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gagan\Downloads\"/>
    </mc:Choice>
  </mc:AlternateContent>
  <xr:revisionPtr revIDLastSave="0" documentId="13_ncr:1_{4F940FF5-9B15-4FF7-ACAB-42F6F6EE6FD8}" xr6:coauthVersionLast="47" xr6:coauthVersionMax="47" xr10:uidLastSave="{00000000-0000-0000-0000-000000000000}"/>
  <bookViews>
    <workbookView xWindow="-108" yWindow="-108" windowWidth="23256" windowHeight="12456" tabRatio="737" activeTab="2" xr2:uid="{00000000-000D-0000-FFFF-FFFF00000000}"/>
  </bookViews>
  <sheets>
    <sheet name="Student Entey" sheetId="2" r:id="rId1"/>
    <sheet name="Admission Form" sheetId="4" r:id="rId2"/>
    <sheet name="Receipt" sheetId="5" r:id="rId3"/>
    <sheet name="Student Data" sheetId="3" r:id="rId4"/>
    <sheet name="Ledger" sheetId="6" r:id="rId5"/>
    <sheet name="Accounts" sheetId="7" r:id="rId6"/>
    <sheet name="Caluclation" sheetId="1" r:id="rId7"/>
  </sheets>
  <definedNames>
    <definedName name="_xlnm.Print_Area" localSheetId="1">'Admission Form'!$B$2:$N$76</definedName>
    <definedName name="_xlnm.Print_Area" localSheetId="2">Receipt!$B$2:$J$25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0" i="5" l="1"/>
  <c r="E19" i="5"/>
  <c r="E18" i="5"/>
  <c r="E17" i="5"/>
  <c r="I10" i="5"/>
  <c r="E24" i="5" s="1"/>
  <c r="AQ3" i="1"/>
  <c r="AL3" i="1"/>
  <c r="BH3" i="1"/>
  <c r="BG3" i="1"/>
  <c r="BF3" i="1"/>
  <c r="BE3" i="1"/>
  <c r="AX3" i="1"/>
  <c r="G5" i="7" l="1"/>
  <c r="H5" i="7"/>
  <c r="I5" i="7"/>
  <c r="J5" i="7"/>
  <c r="G6" i="7"/>
  <c r="H6" i="7"/>
  <c r="I6" i="7"/>
  <c r="J6" i="7"/>
  <c r="G7" i="7"/>
  <c r="H7" i="7"/>
  <c r="I7" i="7"/>
  <c r="J7" i="7"/>
  <c r="G8" i="7"/>
  <c r="H8" i="7"/>
  <c r="I8" i="7"/>
  <c r="J8" i="7"/>
  <c r="G9" i="7"/>
  <c r="H9" i="7"/>
  <c r="I9" i="7"/>
  <c r="J9" i="7"/>
  <c r="G10" i="7"/>
  <c r="H10" i="7"/>
  <c r="I10" i="7"/>
  <c r="J10" i="7"/>
  <c r="G11" i="7"/>
  <c r="H11" i="7"/>
  <c r="I11" i="7"/>
  <c r="J11" i="7"/>
  <c r="G12" i="7"/>
  <c r="H12" i="7"/>
  <c r="I12" i="7"/>
  <c r="J12" i="7"/>
  <c r="G13" i="7"/>
  <c r="H13" i="7"/>
  <c r="I13" i="7"/>
  <c r="J13" i="7"/>
  <c r="G14" i="7"/>
  <c r="H14" i="7"/>
  <c r="I14" i="7"/>
  <c r="J14" i="7"/>
  <c r="G15" i="7"/>
  <c r="H15" i="7"/>
  <c r="I15" i="7"/>
  <c r="J15" i="7"/>
  <c r="G16" i="7"/>
  <c r="H16" i="7"/>
  <c r="I16" i="7"/>
  <c r="J16" i="7"/>
  <c r="G17" i="7"/>
  <c r="H17" i="7"/>
  <c r="I17" i="7"/>
  <c r="J17" i="7"/>
  <c r="G18" i="7"/>
  <c r="H18" i="7"/>
  <c r="I18" i="7"/>
  <c r="J18" i="7"/>
  <c r="G19" i="7"/>
  <c r="H19" i="7"/>
  <c r="I19" i="7"/>
  <c r="J19" i="7"/>
  <c r="G20" i="7"/>
  <c r="H20" i="7"/>
  <c r="I20" i="7"/>
  <c r="J20" i="7"/>
  <c r="G21" i="7"/>
  <c r="H21" i="7"/>
  <c r="I21" i="7"/>
  <c r="J21" i="7"/>
  <c r="G22" i="7"/>
  <c r="H22" i="7"/>
  <c r="I22" i="7"/>
  <c r="J22" i="7"/>
  <c r="G23" i="7"/>
  <c r="H23" i="7"/>
  <c r="I23" i="7"/>
  <c r="J23" i="7"/>
  <c r="G24" i="7"/>
  <c r="H24" i="7"/>
  <c r="I24" i="7"/>
  <c r="J24" i="7"/>
  <c r="G25" i="7"/>
  <c r="H25" i="7"/>
  <c r="I25" i="7"/>
  <c r="J25" i="7"/>
  <c r="G26" i="7"/>
  <c r="H26" i="7"/>
  <c r="I26" i="7"/>
  <c r="J26" i="7"/>
  <c r="G27" i="7"/>
  <c r="H27" i="7"/>
  <c r="I27" i="7"/>
  <c r="J27" i="7"/>
  <c r="G28" i="7"/>
  <c r="H28" i="7"/>
  <c r="I28" i="7"/>
  <c r="J28" i="7"/>
  <c r="G29" i="7"/>
  <c r="H29" i="7"/>
  <c r="I29" i="7"/>
  <c r="J29" i="7"/>
  <c r="G30" i="7"/>
  <c r="H30" i="7"/>
  <c r="I30" i="7"/>
  <c r="J30" i="7"/>
  <c r="G31" i="7"/>
  <c r="H31" i="7"/>
  <c r="I31" i="7"/>
  <c r="J31" i="7"/>
  <c r="G32" i="7"/>
  <c r="H32" i="7"/>
  <c r="I32" i="7"/>
  <c r="J32" i="7"/>
  <c r="G33" i="7"/>
  <c r="H33" i="7"/>
  <c r="I33" i="7"/>
  <c r="J33" i="7"/>
  <c r="G34" i="7"/>
  <c r="H34" i="7"/>
  <c r="I34" i="7"/>
  <c r="J34" i="7"/>
  <c r="G35" i="7"/>
  <c r="H35" i="7"/>
  <c r="I35" i="7"/>
  <c r="J35" i="7"/>
  <c r="G36" i="7"/>
  <c r="H36" i="7"/>
  <c r="I36" i="7"/>
  <c r="J36" i="7"/>
  <c r="G37" i="7"/>
  <c r="H37" i="7"/>
  <c r="I37" i="7"/>
  <c r="J37" i="7"/>
  <c r="G38" i="7"/>
  <c r="H38" i="7"/>
  <c r="I38" i="7"/>
  <c r="J38" i="7"/>
  <c r="G39" i="7"/>
  <c r="H39" i="7"/>
  <c r="I39" i="7"/>
  <c r="J39" i="7"/>
  <c r="G40" i="7"/>
  <c r="H40" i="7"/>
  <c r="I40" i="7"/>
  <c r="J40" i="7"/>
  <c r="G41" i="7"/>
  <c r="H41" i="7"/>
  <c r="I41" i="7"/>
  <c r="J41" i="7"/>
  <c r="G42" i="7"/>
  <c r="H42" i="7"/>
  <c r="I42" i="7"/>
  <c r="J42" i="7"/>
  <c r="G43" i="7"/>
  <c r="H43" i="7"/>
  <c r="I43" i="7"/>
  <c r="J43" i="7"/>
  <c r="G44" i="7"/>
  <c r="H44" i="7"/>
  <c r="I44" i="7"/>
  <c r="J44" i="7"/>
  <c r="G45" i="7"/>
  <c r="H45" i="7"/>
  <c r="I45" i="7"/>
  <c r="J45" i="7"/>
  <c r="G46" i="7"/>
  <c r="H46" i="7"/>
  <c r="I46" i="7"/>
  <c r="J46" i="7"/>
  <c r="G47" i="7"/>
  <c r="H47" i="7"/>
  <c r="I47" i="7"/>
  <c r="J47" i="7"/>
  <c r="G48" i="7"/>
  <c r="H48" i="7"/>
  <c r="I48" i="7"/>
  <c r="J48" i="7"/>
  <c r="G49" i="7"/>
  <c r="H49" i="7"/>
  <c r="I49" i="7"/>
  <c r="J49" i="7"/>
  <c r="G50" i="7"/>
  <c r="H50" i="7"/>
  <c r="I50" i="7"/>
  <c r="J50" i="7"/>
  <c r="G51" i="7"/>
  <c r="H51" i="7"/>
  <c r="I51" i="7"/>
  <c r="J51" i="7"/>
  <c r="G52" i="7"/>
  <c r="H52" i="7"/>
  <c r="I52" i="7"/>
  <c r="J52" i="7"/>
  <c r="G53" i="7"/>
  <c r="H53" i="7"/>
  <c r="I53" i="7"/>
  <c r="J53" i="7"/>
  <c r="G54" i="7"/>
  <c r="H54" i="7"/>
  <c r="I54" i="7"/>
  <c r="J54" i="7"/>
  <c r="G55" i="7"/>
  <c r="H55" i="7"/>
  <c r="I55" i="7"/>
  <c r="J55" i="7"/>
  <c r="G56" i="7"/>
  <c r="H56" i="7"/>
  <c r="I56" i="7"/>
  <c r="J56" i="7"/>
  <c r="G57" i="7"/>
  <c r="H57" i="7"/>
  <c r="I57" i="7"/>
  <c r="J57" i="7"/>
  <c r="G58" i="7"/>
  <c r="H58" i="7"/>
  <c r="I58" i="7"/>
  <c r="J58" i="7"/>
  <c r="G59" i="7"/>
  <c r="H59" i="7"/>
  <c r="I59" i="7"/>
  <c r="J59" i="7"/>
  <c r="G60" i="7"/>
  <c r="H60" i="7"/>
  <c r="I60" i="7"/>
  <c r="J60" i="7"/>
  <c r="G61" i="7"/>
  <c r="H61" i="7"/>
  <c r="I61" i="7"/>
  <c r="J61" i="7"/>
  <c r="G62" i="7"/>
  <c r="H62" i="7"/>
  <c r="I62" i="7"/>
  <c r="J62" i="7"/>
  <c r="G63" i="7"/>
  <c r="H63" i="7"/>
  <c r="I63" i="7"/>
  <c r="J63" i="7"/>
  <c r="G64" i="7"/>
  <c r="H64" i="7"/>
  <c r="I64" i="7"/>
  <c r="J64" i="7"/>
  <c r="G65" i="7"/>
  <c r="H65" i="7"/>
  <c r="I65" i="7"/>
  <c r="J65" i="7"/>
  <c r="G66" i="7"/>
  <c r="H66" i="7"/>
  <c r="I66" i="7"/>
  <c r="J66" i="7"/>
  <c r="G67" i="7"/>
  <c r="H67" i="7"/>
  <c r="I67" i="7"/>
  <c r="J67" i="7"/>
  <c r="G68" i="7"/>
  <c r="H68" i="7"/>
  <c r="I68" i="7"/>
  <c r="J68" i="7"/>
  <c r="G69" i="7"/>
  <c r="H69" i="7"/>
  <c r="I69" i="7"/>
  <c r="J69" i="7"/>
  <c r="G70" i="7"/>
  <c r="H70" i="7"/>
  <c r="I70" i="7"/>
  <c r="J70" i="7"/>
  <c r="G71" i="7"/>
  <c r="H71" i="7"/>
  <c r="I71" i="7"/>
  <c r="J71" i="7"/>
  <c r="G72" i="7"/>
  <c r="H72" i="7"/>
  <c r="I72" i="7"/>
  <c r="J72" i="7"/>
  <c r="G73" i="7"/>
  <c r="H73" i="7"/>
  <c r="I73" i="7"/>
  <c r="J73" i="7"/>
  <c r="G74" i="7"/>
  <c r="H74" i="7"/>
  <c r="I74" i="7"/>
  <c r="J74" i="7"/>
  <c r="G75" i="7"/>
  <c r="H75" i="7"/>
  <c r="I75" i="7"/>
  <c r="J75" i="7"/>
  <c r="G76" i="7"/>
  <c r="H76" i="7"/>
  <c r="I76" i="7"/>
  <c r="J76" i="7"/>
  <c r="G77" i="7"/>
  <c r="H77" i="7"/>
  <c r="I77" i="7"/>
  <c r="J77" i="7"/>
  <c r="G78" i="7"/>
  <c r="H78" i="7"/>
  <c r="I78" i="7"/>
  <c r="J78" i="7"/>
  <c r="G79" i="7"/>
  <c r="H79" i="7"/>
  <c r="I79" i="7"/>
  <c r="J79" i="7"/>
  <c r="G80" i="7"/>
  <c r="H80" i="7"/>
  <c r="I80" i="7"/>
  <c r="J80" i="7"/>
  <c r="G81" i="7"/>
  <c r="H81" i="7"/>
  <c r="I81" i="7"/>
  <c r="J81" i="7"/>
  <c r="G82" i="7"/>
  <c r="H82" i="7"/>
  <c r="I82" i="7"/>
  <c r="J82" i="7"/>
  <c r="G83" i="7"/>
  <c r="H83" i="7"/>
  <c r="I83" i="7"/>
  <c r="J83" i="7"/>
  <c r="G84" i="7"/>
  <c r="H84" i="7"/>
  <c r="I84" i="7"/>
  <c r="J84" i="7"/>
  <c r="G85" i="7"/>
  <c r="H85" i="7"/>
  <c r="I85" i="7"/>
  <c r="J85" i="7"/>
  <c r="G86" i="7"/>
  <c r="H86" i="7"/>
  <c r="I86" i="7"/>
  <c r="J86" i="7"/>
  <c r="G87" i="7"/>
  <c r="H87" i="7"/>
  <c r="I87" i="7"/>
  <c r="J87" i="7"/>
  <c r="G88" i="7"/>
  <c r="H88" i="7"/>
  <c r="I88" i="7"/>
  <c r="J88" i="7"/>
  <c r="G89" i="7"/>
  <c r="H89" i="7"/>
  <c r="I89" i="7"/>
  <c r="J89" i="7"/>
  <c r="G90" i="7"/>
  <c r="H90" i="7"/>
  <c r="I90" i="7"/>
  <c r="J90" i="7"/>
  <c r="G91" i="7"/>
  <c r="H91" i="7"/>
  <c r="I91" i="7"/>
  <c r="J91" i="7"/>
  <c r="G92" i="7"/>
  <c r="H92" i="7"/>
  <c r="I92" i="7"/>
  <c r="J92" i="7"/>
  <c r="G93" i="7"/>
  <c r="H93" i="7"/>
  <c r="I93" i="7"/>
  <c r="J93" i="7"/>
  <c r="G94" i="7"/>
  <c r="H94" i="7"/>
  <c r="I94" i="7"/>
  <c r="J94" i="7"/>
  <c r="G95" i="7"/>
  <c r="H95" i="7"/>
  <c r="I95" i="7"/>
  <c r="J95" i="7"/>
  <c r="G96" i="7"/>
  <c r="H96" i="7"/>
  <c r="I96" i="7"/>
  <c r="J96" i="7"/>
  <c r="G97" i="7"/>
  <c r="H97" i="7"/>
  <c r="I97" i="7"/>
  <c r="J97" i="7"/>
  <c r="G98" i="7"/>
  <c r="H98" i="7"/>
  <c r="I98" i="7"/>
  <c r="J98" i="7"/>
  <c r="G99" i="7"/>
  <c r="H99" i="7"/>
  <c r="I99" i="7"/>
  <c r="J99" i="7"/>
  <c r="G100" i="7"/>
  <c r="H100" i="7"/>
  <c r="I100" i="7"/>
  <c r="J100" i="7"/>
  <c r="G101" i="7"/>
  <c r="H101" i="7"/>
  <c r="I101" i="7"/>
  <c r="J101" i="7"/>
  <c r="G102" i="7"/>
  <c r="H102" i="7"/>
  <c r="I102" i="7"/>
  <c r="J102" i="7"/>
  <c r="G103" i="7"/>
  <c r="H103" i="7"/>
  <c r="I103" i="7"/>
  <c r="J103" i="7"/>
  <c r="G104" i="7"/>
  <c r="H104" i="7"/>
  <c r="I104" i="7"/>
  <c r="J104" i="7"/>
  <c r="G105" i="7"/>
  <c r="H105" i="7"/>
  <c r="I105" i="7"/>
  <c r="J105" i="7"/>
  <c r="G106" i="7"/>
  <c r="H106" i="7"/>
  <c r="I106" i="7"/>
  <c r="J106" i="7"/>
  <c r="G107" i="7"/>
  <c r="H107" i="7"/>
  <c r="I107" i="7"/>
  <c r="J107" i="7"/>
  <c r="G108" i="7"/>
  <c r="H108" i="7"/>
  <c r="I108" i="7"/>
  <c r="J108" i="7"/>
  <c r="G109" i="7"/>
  <c r="H109" i="7"/>
  <c r="I109" i="7"/>
  <c r="J109" i="7"/>
  <c r="G110" i="7"/>
  <c r="H110" i="7"/>
  <c r="I110" i="7"/>
  <c r="J110" i="7"/>
  <c r="G111" i="7"/>
  <c r="H111" i="7"/>
  <c r="I111" i="7"/>
  <c r="J111" i="7"/>
  <c r="G112" i="7"/>
  <c r="H112" i="7"/>
  <c r="I112" i="7"/>
  <c r="J112" i="7"/>
  <c r="G113" i="7"/>
  <c r="H113" i="7"/>
  <c r="I113" i="7"/>
  <c r="J113" i="7"/>
  <c r="G114" i="7"/>
  <c r="H114" i="7"/>
  <c r="I114" i="7"/>
  <c r="J114" i="7"/>
  <c r="G115" i="7"/>
  <c r="H115" i="7"/>
  <c r="I115" i="7"/>
  <c r="J115" i="7"/>
  <c r="G116" i="7"/>
  <c r="H116" i="7"/>
  <c r="I116" i="7"/>
  <c r="J116" i="7"/>
  <c r="G117" i="7"/>
  <c r="H117" i="7"/>
  <c r="I117" i="7"/>
  <c r="J117" i="7"/>
  <c r="G118" i="7"/>
  <c r="H118" i="7"/>
  <c r="I118" i="7"/>
  <c r="J118" i="7"/>
  <c r="G119" i="7"/>
  <c r="H119" i="7"/>
  <c r="I119" i="7"/>
  <c r="J119" i="7"/>
  <c r="G120" i="7"/>
  <c r="H120" i="7"/>
  <c r="I120" i="7"/>
  <c r="J120" i="7"/>
  <c r="G121" i="7"/>
  <c r="H121" i="7"/>
  <c r="I121" i="7"/>
  <c r="J121" i="7"/>
  <c r="G122" i="7"/>
  <c r="H122" i="7"/>
  <c r="I122" i="7"/>
  <c r="J122" i="7"/>
  <c r="G123" i="7"/>
  <c r="H123" i="7"/>
  <c r="I123" i="7"/>
  <c r="J123" i="7"/>
  <c r="G124" i="7"/>
  <c r="H124" i="7"/>
  <c r="I124" i="7"/>
  <c r="J124" i="7"/>
  <c r="G125" i="7"/>
  <c r="H125" i="7"/>
  <c r="I125" i="7"/>
  <c r="J125" i="7"/>
  <c r="G126" i="7"/>
  <c r="H126" i="7"/>
  <c r="I126" i="7"/>
  <c r="J126" i="7"/>
  <c r="G127" i="7"/>
  <c r="H127" i="7"/>
  <c r="I127" i="7"/>
  <c r="J127" i="7"/>
  <c r="G128" i="7"/>
  <c r="H128" i="7"/>
  <c r="I128" i="7"/>
  <c r="J128" i="7"/>
  <c r="G129" i="7"/>
  <c r="H129" i="7"/>
  <c r="I129" i="7"/>
  <c r="J129" i="7"/>
  <c r="G130" i="7"/>
  <c r="H130" i="7"/>
  <c r="I130" i="7"/>
  <c r="J130" i="7"/>
  <c r="G131" i="7"/>
  <c r="H131" i="7"/>
  <c r="I131" i="7"/>
  <c r="J131" i="7"/>
  <c r="G132" i="7"/>
  <c r="H132" i="7"/>
  <c r="I132" i="7"/>
  <c r="J132" i="7"/>
  <c r="G133" i="7"/>
  <c r="H133" i="7"/>
  <c r="I133" i="7"/>
  <c r="J133" i="7"/>
  <c r="G134" i="7"/>
  <c r="H134" i="7"/>
  <c r="I134" i="7"/>
  <c r="J134" i="7"/>
  <c r="G135" i="7"/>
  <c r="H135" i="7"/>
  <c r="I135" i="7"/>
  <c r="J135" i="7"/>
  <c r="G136" i="7"/>
  <c r="H136" i="7"/>
  <c r="I136" i="7"/>
  <c r="J136" i="7"/>
  <c r="G137" i="7"/>
  <c r="H137" i="7"/>
  <c r="I137" i="7"/>
  <c r="J137" i="7"/>
  <c r="G138" i="7"/>
  <c r="H138" i="7"/>
  <c r="I138" i="7"/>
  <c r="J138" i="7"/>
  <c r="G139" i="7"/>
  <c r="H139" i="7"/>
  <c r="I139" i="7"/>
  <c r="J139" i="7"/>
  <c r="G140" i="7"/>
  <c r="H140" i="7"/>
  <c r="I140" i="7"/>
  <c r="J140" i="7"/>
  <c r="G141" i="7"/>
  <c r="H141" i="7"/>
  <c r="I141" i="7"/>
  <c r="J141" i="7"/>
  <c r="G142" i="7"/>
  <c r="H142" i="7"/>
  <c r="I142" i="7"/>
  <c r="J142" i="7"/>
  <c r="G143" i="7"/>
  <c r="H143" i="7"/>
  <c r="I143" i="7"/>
  <c r="J143" i="7"/>
  <c r="G144" i="7"/>
  <c r="H144" i="7"/>
  <c r="I144" i="7"/>
  <c r="J144" i="7"/>
  <c r="G145" i="7"/>
  <c r="H145" i="7"/>
  <c r="I145" i="7"/>
  <c r="J145" i="7"/>
  <c r="G146" i="7"/>
  <c r="H146" i="7"/>
  <c r="I146" i="7"/>
  <c r="J146" i="7"/>
  <c r="G147" i="7"/>
  <c r="H147" i="7"/>
  <c r="I147" i="7"/>
  <c r="J147" i="7"/>
  <c r="G148" i="7"/>
  <c r="H148" i="7"/>
  <c r="I148" i="7"/>
  <c r="J148" i="7"/>
  <c r="G149" i="7"/>
  <c r="H149" i="7"/>
  <c r="I149" i="7"/>
  <c r="J149" i="7"/>
  <c r="G150" i="7"/>
  <c r="H150" i="7"/>
  <c r="I150" i="7"/>
  <c r="J150" i="7"/>
  <c r="G151" i="7"/>
  <c r="H151" i="7"/>
  <c r="I151" i="7"/>
  <c r="J151" i="7"/>
  <c r="G152" i="7"/>
  <c r="H152" i="7"/>
  <c r="I152" i="7"/>
  <c r="J152" i="7"/>
  <c r="G153" i="7"/>
  <c r="H153" i="7"/>
  <c r="I153" i="7"/>
  <c r="J153" i="7"/>
  <c r="G154" i="7"/>
  <c r="H154" i="7"/>
  <c r="I154" i="7"/>
  <c r="J154" i="7"/>
  <c r="G155" i="7"/>
  <c r="H155" i="7"/>
  <c r="I155" i="7"/>
  <c r="J155" i="7"/>
  <c r="G156" i="7"/>
  <c r="H156" i="7"/>
  <c r="I156" i="7"/>
  <c r="J156" i="7"/>
  <c r="G157" i="7"/>
  <c r="H157" i="7"/>
  <c r="I157" i="7"/>
  <c r="J157" i="7"/>
  <c r="G158" i="7"/>
  <c r="H158" i="7"/>
  <c r="I158" i="7"/>
  <c r="J158" i="7"/>
  <c r="G159" i="7"/>
  <c r="H159" i="7"/>
  <c r="I159" i="7"/>
  <c r="J159" i="7"/>
  <c r="G160" i="7"/>
  <c r="H160" i="7"/>
  <c r="I160" i="7"/>
  <c r="J160" i="7"/>
  <c r="G161" i="7"/>
  <c r="H161" i="7"/>
  <c r="I161" i="7"/>
  <c r="J161" i="7"/>
  <c r="G162" i="7"/>
  <c r="H162" i="7"/>
  <c r="I162" i="7"/>
  <c r="J162" i="7"/>
  <c r="G163" i="7"/>
  <c r="H163" i="7"/>
  <c r="I163" i="7"/>
  <c r="J163" i="7"/>
  <c r="G164" i="7"/>
  <c r="H164" i="7"/>
  <c r="I164" i="7"/>
  <c r="J164" i="7"/>
  <c r="G165" i="7"/>
  <c r="H165" i="7"/>
  <c r="I165" i="7"/>
  <c r="J165" i="7"/>
  <c r="G166" i="7"/>
  <c r="H166" i="7"/>
  <c r="I166" i="7"/>
  <c r="J166" i="7"/>
  <c r="G167" i="7"/>
  <c r="H167" i="7"/>
  <c r="I167" i="7"/>
  <c r="J167" i="7"/>
  <c r="G168" i="7"/>
  <c r="H168" i="7"/>
  <c r="I168" i="7"/>
  <c r="J168" i="7"/>
  <c r="G169" i="7"/>
  <c r="H169" i="7"/>
  <c r="I169" i="7"/>
  <c r="J169" i="7"/>
  <c r="G170" i="7"/>
  <c r="H170" i="7"/>
  <c r="I170" i="7"/>
  <c r="J170" i="7"/>
  <c r="G171" i="7"/>
  <c r="H171" i="7"/>
  <c r="I171" i="7"/>
  <c r="J171" i="7"/>
  <c r="G172" i="7"/>
  <c r="H172" i="7"/>
  <c r="I172" i="7"/>
  <c r="J172" i="7"/>
  <c r="G173" i="7"/>
  <c r="H173" i="7"/>
  <c r="I173" i="7"/>
  <c r="J173" i="7"/>
  <c r="G174" i="7"/>
  <c r="H174" i="7"/>
  <c r="I174" i="7"/>
  <c r="J174" i="7"/>
  <c r="G175" i="7"/>
  <c r="H175" i="7"/>
  <c r="I175" i="7"/>
  <c r="J175" i="7"/>
  <c r="G176" i="7"/>
  <c r="H176" i="7"/>
  <c r="I176" i="7"/>
  <c r="J176" i="7"/>
  <c r="G177" i="7"/>
  <c r="H177" i="7"/>
  <c r="I177" i="7"/>
  <c r="J177" i="7"/>
  <c r="G178" i="7"/>
  <c r="H178" i="7"/>
  <c r="I178" i="7"/>
  <c r="J178" i="7"/>
  <c r="G179" i="7"/>
  <c r="H179" i="7"/>
  <c r="I179" i="7"/>
  <c r="J179" i="7"/>
  <c r="G180" i="7"/>
  <c r="H180" i="7"/>
  <c r="I180" i="7"/>
  <c r="J180" i="7"/>
  <c r="G181" i="7"/>
  <c r="H181" i="7"/>
  <c r="I181" i="7"/>
  <c r="J181" i="7"/>
  <c r="G182" i="7"/>
  <c r="H182" i="7"/>
  <c r="I182" i="7"/>
  <c r="J182" i="7"/>
  <c r="G183" i="7"/>
  <c r="H183" i="7"/>
  <c r="I183" i="7"/>
  <c r="J183" i="7"/>
  <c r="G184" i="7"/>
  <c r="H184" i="7"/>
  <c r="I184" i="7"/>
  <c r="J184" i="7"/>
  <c r="G185" i="7"/>
  <c r="H185" i="7"/>
  <c r="I185" i="7"/>
  <c r="J185" i="7"/>
  <c r="G186" i="7"/>
  <c r="H186" i="7"/>
  <c r="I186" i="7"/>
  <c r="J186" i="7"/>
  <c r="G187" i="7"/>
  <c r="H187" i="7"/>
  <c r="I187" i="7"/>
  <c r="J187" i="7"/>
  <c r="G188" i="7"/>
  <c r="H188" i="7"/>
  <c r="I188" i="7"/>
  <c r="J188" i="7"/>
  <c r="G189" i="7"/>
  <c r="H189" i="7"/>
  <c r="I189" i="7"/>
  <c r="J189" i="7"/>
  <c r="G190" i="7"/>
  <c r="H190" i="7"/>
  <c r="I190" i="7"/>
  <c r="J190" i="7"/>
  <c r="G191" i="7"/>
  <c r="H191" i="7"/>
  <c r="I191" i="7"/>
  <c r="J191" i="7"/>
  <c r="G192" i="7"/>
  <c r="H192" i="7"/>
  <c r="I192" i="7"/>
  <c r="J192" i="7"/>
  <c r="G193" i="7"/>
  <c r="H193" i="7"/>
  <c r="I193" i="7"/>
  <c r="J193" i="7"/>
  <c r="G194" i="7"/>
  <c r="H194" i="7"/>
  <c r="I194" i="7"/>
  <c r="J194" i="7"/>
  <c r="G195" i="7"/>
  <c r="H195" i="7"/>
  <c r="I195" i="7"/>
  <c r="J195" i="7"/>
  <c r="G196" i="7"/>
  <c r="H196" i="7"/>
  <c r="I196" i="7"/>
  <c r="J196" i="7"/>
  <c r="G197" i="7"/>
  <c r="H197" i="7"/>
  <c r="I197" i="7"/>
  <c r="J197" i="7"/>
  <c r="G198" i="7"/>
  <c r="H198" i="7"/>
  <c r="I198" i="7"/>
  <c r="J198" i="7"/>
  <c r="G199" i="7"/>
  <c r="H199" i="7"/>
  <c r="I199" i="7"/>
  <c r="J199" i="7"/>
  <c r="G200" i="7"/>
  <c r="H200" i="7"/>
  <c r="I200" i="7"/>
  <c r="J200" i="7"/>
  <c r="G201" i="7"/>
  <c r="H201" i="7"/>
  <c r="I201" i="7"/>
  <c r="J201" i="7"/>
  <c r="G202" i="7"/>
  <c r="H202" i="7"/>
  <c r="I202" i="7"/>
  <c r="J202" i="7"/>
  <c r="G203" i="7"/>
  <c r="H203" i="7"/>
  <c r="I203" i="7"/>
  <c r="J203" i="7"/>
  <c r="G204" i="7"/>
  <c r="H204" i="7"/>
  <c r="I204" i="7"/>
  <c r="J204" i="7"/>
  <c r="G205" i="7"/>
  <c r="H205" i="7"/>
  <c r="I205" i="7"/>
  <c r="J205" i="7"/>
  <c r="G206" i="7"/>
  <c r="H206" i="7"/>
  <c r="I206" i="7"/>
  <c r="J206" i="7"/>
  <c r="G207" i="7"/>
  <c r="H207" i="7"/>
  <c r="I207" i="7"/>
  <c r="J207" i="7"/>
  <c r="G208" i="7"/>
  <c r="H208" i="7"/>
  <c r="I208" i="7"/>
  <c r="J208" i="7"/>
  <c r="G209" i="7"/>
  <c r="H209" i="7"/>
  <c r="I209" i="7"/>
  <c r="J209" i="7"/>
  <c r="G210" i="7"/>
  <c r="H210" i="7"/>
  <c r="I210" i="7"/>
  <c r="J210" i="7"/>
  <c r="G211" i="7"/>
  <c r="H211" i="7"/>
  <c r="I211" i="7"/>
  <c r="J211" i="7"/>
  <c r="G212" i="7"/>
  <c r="H212" i="7"/>
  <c r="I212" i="7"/>
  <c r="J212" i="7"/>
  <c r="G213" i="7"/>
  <c r="H213" i="7"/>
  <c r="I213" i="7"/>
  <c r="J213" i="7"/>
  <c r="G214" i="7"/>
  <c r="H214" i="7"/>
  <c r="I214" i="7"/>
  <c r="J214" i="7"/>
  <c r="G215" i="7"/>
  <c r="H215" i="7"/>
  <c r="I215" i="7"/>
  <c r="J215" i="7"/>
  <c r="G216" i="7"/>
  <c r="H216" i="7"/>
  <c r="I216" i="7"/>
  <c r="J216" i="7"/>
  <c r="G217" i="7"/>
  <c r="H217" i="7"/>
  <c r="I217" i="7"/>
  <c r="J217" i="7"/>
  <c r="G218" i="7"/>
  <c r="H218" i="7"/>
  <c r="I218" i="7"/>
  <c r="J218" i="7"/>
  <c r="G219" i="7"/>
  <c r="H219" i="7"/>
  <c r="I219" i="7"/>
  <c r="J219" i="7"/>
  <c r="G220" i="7"/>
  <c r="H220" i="7"/>
  <c r="I220" i="7"/>
  <c r="J220" i="7"/>
  <c r="G221" i="7"/>
  <c r="H221" i="7"/>
  <c r="I221" i="7"/>
  <c r="J221" i="7"/>
  <c r="G222" i="7"/>
  <c r="H222" i="7"/>
  <c r="I222" i="7"/>
  <c r="J222" i="7"/>
  <c r="G223" i="7"/>
  <c r="H223" i="7"/>
  <c r="I223" i="7"/>
  <c r="J223" i="7"/>
  <c r="G224" i="7"/>
  <c r="H224" i="7"/>
  <c r="I224" i="7"/>
  <c r="J224" i="7"/>
  <c r="G225" i="7"/>
  <c r="H225" i="7"/>
  <c r="I225" i="7"/>
  <c r="J225" i="7"/>
  <c r="G226" i="7"/>
  <c r="H226" i="7"/>
  <c r="I226" i="7"/>
  <c r="J226" i="7"/>
  <c r="G227" i="7"/>
  <c r="H227" i="7"/>
  <c r="I227" i="7"/>
  <c r="J227" i="7"/>
  <c r="G228" i="7"/>
  <c r="H228" i="7"/>
  <c r="I228" i="7"/>
  <c r="J228" i="7"/>
  <c r="G229" i="7"/>
  <c r="H229" i="7"/>
  <c r="I229" i="7"/>
  <c r="J229" i="7"/>
  <c r="G230" i="7"/>
  <c r="H230" i="7"/>
  <c r="I230" i="7"/>
  <c r="J230" i="7"/>
  <c r="G231" i="7"/>
  <c r="H231" i="7"/>
  <c r="I231" i="7"/>
  <c r="J231" i="7"/>
  <c r="G232" i="7"/>
  <c r="H232" i="7"/>
  <c r="I232" i="7"/>
  <c r="J232" i="7"/>
  <c r="G233" i="7"/>
  <c r="H233" i="7"/>
  <c r="I233" i="7"/>
  <c r="J233" i="7"/>
  <c r="G234" i="7"/>
  <c r="H234" i="7"/>
  <c r="I234" i="7"/>
  <c r="J234" i="7"/>
  <c r="G235" i="7"/>
  <c r="H235" i="7"/>
  <c r="I235" i="7"/>
  <c r="J235" i="7"/>
  <c r="G236" i="7"/>
  <c r="H236" i="7"/>
  <c r="I236" i="7"/>
  <c r="J236" i="7"/>
  <c r="G237" i="7"/>
  <c r="H237" i="7"/>
  <c r="I237" i="7"/>
  <c r="J237" i="7"/>
  <c r="G238" i="7"/>
  <c r="H238" i="7"/>
  <c r="I238" i="7"/>
  <c r="J238" i="7"/>
  <c r="G239" i="7"/>
  <c r="H239" i="7"/>
  <c r="I239" i="7"/>
  <c r="J239" i="7"/>
  <c r="G240" i="7"/>
  <c r="H240" i="7"/>
  <c r="I240" i="7"/>
  <c r="J240" i="7"/>
  <c r="G241" i="7"/>
  <c r="H241" i="7"/>
  <c r="I241" i="7"/>
  <c r="J241" i="7"/>
  <c r="G242" i="7"/>
  <c r="H242" i="7"/>
  <c r="I242" i="7"/>
  <c r="J242" i="7"/>
  <c r="G243" i="7"/>
  <c r="H243" i="7"/>
  <c r="I243" i="7"/>
  <c r="J243" i="7"/>
  <c r="G244" i="7"/>
  <c r="H244" i="7"/>
  <c r="I244" i="7"/>
  <c r="J244" i="7"/>
  <c r="G245" i="7"/>
  <c r="H245" i="7"/>
  <c r="I245" i="7"/>
  <c r="J245" i="7"/>
  <c r="G246" i="7"/>
  <c r="H246" i="7"/>
  <c r="I246" i="7"/>
  <c r="J246" i="7"/>
  <c r="G247" i="7"/>
  <c r="H247" i="7"/>
  <c r="I247" i="7"/>
  <c r="J247" i="7"/>
  <c r="G248" i="7"/>
  <c r="H248" i="7"/>
  <c r="I248" i="7"/>
  <c r="J248" i="7"/>
  <c r="G249" i="7"/>
  <c r="H249" i="7"/>
  <c r="I249" i="7"/>
  <c r="J249" i="7"/>
  <c r="G250" i="7"/>
  <c r="H250" i="7"/>
  <c r="I250" i="7"/>
  <c r="J250" i="7"/>
  <c r="G251" i="7"/>
  <c r="H251" i="7"/>
  <c r="I251" i="7"/>
  <c r="J251" i="7"/>
  <c r="G252" i="7"/>
  <c r="H252" i="7"/>
  <c r="I252" i="7"/>
  <c r="J252" i="7"/>
  <c r="G253" i="7"/>
  <c r="H253" i="7"/>
  <c r="I253" i="7"/>
  <c r="J253" i="7"/>
  <c r="G254" i="7"/>
  <c r="H254" i="7"/>
  <c r="I254" i="7"/>
  <c r="J254" i="7"/>
  <c r="G255" i="7"/>
  <c r="H255" i="7"/>
  <c r="I255" i="7"/>
  <c r="J255" i="7"/>
  <c r="G256" i="7"/>
  <c r="H256" i="7"/>
  <c r="I256" i="7"/>
  <c r="J256" i="7"/>
  <c r="G257" i="7"/>
  <c r="H257" i="7"/>
  <c r="I257" i="7"/>
  <c r="J257" i="7"/>
  <c r="G258" i="7"/>
  <c r="H258" i="7"/>
  <c r="I258" i="7"/>
  <c r="J258" i="7"/>
  <c r="G259" i="7"/>
  <c r="H259" i="7"/>
  <c r="I259" i="7"/>
  <c r="J259" i="7"/>
  <c r="G260" i="7"/>
  <c r="H260" i="7"/>
  <c r="I260" i="7"/>
  <c r="J260" i="7"/>
  <c r="G261" i="7"/>
  <c r="H261" i="7"/>
  <c r="I261" i="7"/>
  <c r="J261" i="7"/>
  <c r="G262" i="7"/>
  <c r="H262" i="7"/>
  <c r="I262" i="7"/>
  <c r="J262" i="7"/>
  <c r="G263" i="7"/>
  <c r="H263" i="7"/>
  <c r="I263" i="7"/>
  <c r="J263" i="7"/>
  <c r="G264" i="7"/>
  <c r="H264" i="7"/>
  <c r="I264" i="7"/>
  <c r="J264" i="7"/>
  <c r="G265" i="7"/>
  <c r="H265" i="7"/>
  <c r="I265" i="7"/>
  <c r="J265" i="7"/>
  <c r="G266" i="7"/>
  <c r="H266" i="7"/>
  <c r="I266" i="7"/>
  <c r="J266" i="7"/>
  <c r="G267" i="7"/>
  <c r="H267" i="7"/>
  <c r="I267" i="7"/>
  <c r="J267" i="7"/>
  <c r="G268" i="7"/>
  <c r="H268" i="7"/>
  <c r="I268" i="7"/>
  <c r="J268" i="7"/>
  <c r="G269" i="7"/>
  <c r="H269" i="7"/>
  <c r="I269" i="7"/>
  <c r="J269" i="7"/>
  <c r="G270" i="7"/>
  <c r="H270" i="7"/>
  <c r="I270" i="7"/>
  <c r="J270" i="7"/>
  <c r="G271" i="7"/>
  <c r="H271" i="7"/>
  <c r="I271" i="7"/>
  <c r="J271" i="7"/>
  <c r="G272" i="7"/>
  <c r="H272" i="7"/>
  <c r="I272" i="7"/>
  <c r="J272" i="7"/>
  <c r="G273" i="7"/>
  <c r="H273" i="7"/>
  <c r="I273" i="7"/>
  <c r="J273" i="7"/>
  <c r="G274" i="7"/>
  <c r="H274" i="7"/>
  <c r="I274" i="7"/>
  <c r="J274" i="7"/>
  <c r="G275" i="7"/>
  <c r="H275" i="7"/>
  <c r="I275" i="7"/>
  <c r="J275" i="7"/>
  <c r="G276" i="7"/>
  <c r="H276" i="7"/>
  <c r="I276" i="7"/>
  <c r="J276" i="7"/>
  <c r="G277" i="7"/>
  <c r="H277" i="7"/>
  <c r="I277" i="7"/>
  <c r="J277" i="7"/>
  <c r="G278" i="7"/>
  <c r="H278" i="7"/>
  <c r="I278" i="7"/>
  <c r="J278" i="7"/>
  <c r="G279" i="7"/>
  <c r="H279" i="7"/>
  <c r="I279" i="7"/>
  <c r="J279" i="7"/>
  <c r="G280" i="7"/>
  <c r="H280" i="7"/>
  <c r="I280" i="7"/>
  <c r="J280" i="7"/>
  <c r="G281" i="7"/>
  <c r="H281" i="7"/>
  <c r="I281" i="7"/>
  <c r="J281" i="7"/>
  <c r="G282" i="7"/>
  <c r="H282" i="7"/>
  <c r="I282" i="7"/>
  <c r="J282" i="7"/>
  <c r="G283" i="7"/>
  <c r="H283" i="7"/>
  <c r="I283" i="7"/>
  <c r="J283" i="7"/>
  <c r="G284" i="7"/>
  <c r="H284" i="7"/>
  <c r="I284" i="7"/>
  <c r="J284" i="7"/>
  <c r="G285" i="7"/>
  <c r="H285" i="7"/>
  <c r="I285" i="7"/>
  <c r="J285" i="7"/>
  <c r="G286" i="7"/>
  <c r="H286" i="7"/>
  <c r="I286" i="7"/>
  <c r="J286" i="7"/>
  <c r="G287" i="7"/>
  <c r="H287" i="7"/>
  <c r="I287" i="7"/>
  <c r="J287" i="7"/>
  <c r="G288" i="7"/>
  <c r="H288" i="7"/>
  <c r="I288" i="7"/>
  <c r="J288" i="7"/>
  <c r="G289" i="7"/>
  <c r="H289" i="7"/>
  <c r="I289" i="7"/>
  <c r="J289" i="7"/>
  <c r="G290" i="7"/>
  <c r="H290" i="7"/>
  <c r="I290" i="7"/>
  <c r="J290" i="7"/>
  <c r="G291" i="7"/>
  <c r="H291" i="7"/>
  <c r="I291" i="7"/>
  <c r="J291" i="7"/>
  <c r="G292" i="7"/>
  <c r="H292" i="7"/>
  <c r="I292" i="7"/>
  <c r="J292" i="7"/>
  <c r="G293" i="7"/>
  <c r="H293" i="7"/>
  <c r="I293" i="7"/>
  <c r="J293" i="7"/>
  <c r="G294" i="7"/>
  <c r="H294" i="7"/>
  <c r="I294" i="7"/>
  <c r="J294" i="7"/>
  <c r="G295" i="7"/>
  <c r="H295" i="7"/>
  <c r="I295" i="7"/>
  <c r="J295" i="7"/>
  <c r="G296" i="7"/>
  <c r="H296" i="7"/>
  <c r="I296" i="7"/>
  <c r="J296" i="7"/>
  <c r="G297" i="7"/>
  <c r="H297" i="7"/>
  <c r="I297" i="7"/>
  <c r="J297" i="7"/>
  <c r="G298" i="7"/>
  <c r="H298" i="7"/>
  <c r="I298" i="7"/>
  <c r="J298" i="7"/>
  <c r="G299" i="7"/>
  <c r="H299" i="7"/>
  <c r="I299" i="7"/>
  <c r="J299" i="7"/>
  <c r="G300" i="7"/>
  <c r="H300" i="7"/>
  <c r="I300" i="7"/>
  <c r="J300" i="7"/>
  <c r="G301" i="7"/>
  <c r="H301" i="7"/>
  <c r="I301" i="7"/>
  <c r="J301" i="7"/>
  <c r="G302" i="7"/>
  <c r="H302" i="7"/>
  <c r="I302" i="7"/>
  <c r="J302" i="7"/>
  <c r="G303" i="7"/>
  <c r="H303" i="7"/>
  <c r="I303" i="7"/>
  <c r="J303" i="7"/>
  <c r="G304" i="7"/>
  <c r="H304" i="7"/>
  <c r="I304" i="7"/>
  <c r="J304" i="7"/>
  <c r="G305" i="7"/>
  <c r="H305" i="7"/>
  <c r="I305" i="7"/>
  <c r="J305" i="7"/>
  <c r="G306" i="7"/>
  <c r="H306" i="7"/>
  <c r="I306" i="7"/>
  <c r="J306" i="7"/>
  <c r="G307" i="7"/>
  <c r="H307" i="7"/>
  <c r="I307" i="7"/>
  <c r="J307" i="7"/>
  <c r="G308" i="7"/>
  <c r="H308" i="7"/>
  <c r="I308" i="7"/>
  <c r="J308" i="7"/>
  <c r="G309" i="7"/>
  <c r="H309" i="7"/>
  <c r="I309" i="7"/>
  <c r="J309" i="7"/>
  <c r="G310" i="7"/>
  <c r="H310" i="7"/>
  <c r="I310" i="7"/>
  <c r="J310" i="7"/>
  <c r="G311" i="7"/>
  <c r="H311" i="7"/>
  <c r="I311" i="7"/>
  <c r="J311" i="7"/>
  <c r="G312" i="7"/>
  <c r="H312" i="7"/>
  <c r="I312" i="7"/>
  <c r="J312" i="7"/>
  <c r="G313" i="7"/>
  <c r="H313" i="7"/>
  <c r="I313" i="7"/>
  <c r="J313" i="7"/>
  <c r="G314" i="7"/>
  <c r="H314" i="7"/>
  <c r="I314" i="7"/>
  <c r="J314" i="7"/>
  <c r="G315" i="7"/>
  <c r="H315" i="7"/>
  <c r="I315" i="7"/>
  <c r="J315" i="7"/>
  <c r="G316" i="7"/>
  <c r="H316" i="7"/>
  <c r="I316" i="7"/>
  <c r="J316" i="7"/>
  <c r="G317" i="7"/>
  <c r="H317" i="7"/>
  <c r="I317" i="7"/>
  <c r="J317" i="7"/>
  <c r="G318" i="7"/>
  <c r="H318" i="7"/>
  <c r="I318" i="7"/>
  <c r="J318" i="7"/>
  <c r="G319" i="7"/>
  <c r="H319" i="7"/>
  <c r="I319" i="7"/>
  <c r="J319" i="7"/>
  <c r="G320" i="7"/>
  <c r="H320" i="7"/>
  <c r="I320" i="7"/>
  <c r="J320" i="7"/>
  <c r="G321" i="7"/>
  <c r="H321" i="7"/>
  <c r="I321" i="7"/>
  <c r="J321" i="7"/>
  <c r="G322" i="7"/>
  <c r="H322" i="7"/>
  <c r="I322" i="7"/>
  <c r="J322" i="7"/>
  <c r="G323" i="7"/>
  <c r="H323" i="7"/>
  <c r="I323" i="7"/>
  <c r="J323" i="7"/>
  <c r="G324" i="7"/>
  <c r="H324" i="7"/>
  <c r="I324" i="7"/>
  <c r="J324" i="7"/>
  <c r="G325" i="7"/>
  <c r="H325" i="7"/>
  <c r="I325" i="7"/>
  <c r="J325" i="7"/>
  <c r="G326" i="7"/>
  <c r="H326" i="7"/>
  <c r="I326" i="7"/>
  <c r="J326" i="7"/>
  <c r="G327" i="7"/>
  <c r="H327" i="7"/>
  <c r="I327" i="7"/>
  <c r="J327" i="7"/>
  <c r="G328" i="7"/>
  <c r="H328" i="7"/>
  <c r="I328" i="7"/>
  <c r="J328" i="7"/>
  <c r="G329" i="7"/>
  <c r="H329" i="7"/>
  <c r="I329" i="7"/>
  <c r="J329" i="7"/>
  <c r="G330" i="7"/>
  <c r="H330" i="7"/>
  <c r="I330" i="7"/>
  <c r="J330" i="7"/>
  <c r="G331" i="7"/>
  <c r="H331" i="7"/>
  <c r="I331" i="7"/>
  <c r="J331" i="7"/>
  <c r="G332" i="7"/>
  <c r="H332" i="7"/>
  <c r="I332" i="7"/>
  <c r="J332" i="7"/>
  <c r="G333" i="7"/>
  <c r="H333" i="7"/>
  <c r="I333" i="7"/>
  <c r="J333" i="7"/>
  <c r="G334" i="7"/>
  <c r="H334" i="7"/>
  <c r="I334" i="7"/>
  <c r="J334" i="7"/>
  <c r="G335" i="7"/>
  <c r="H335" i="7"/>
  <c r="I335" i="7"/>
  <c r="J335" i="7"/>
  <c r="G336" i="7"/>
  <c r="H336" i="7"/>
  <c r="I336" i="7"/>
  <c r="J336" i="7"/>
  <c r="G337" i="7"/>
  <c r="H337" i="7"/>
  <c r="I337" i="7"/>
  <c r="J337" i="7"/>
  <c r="G338" i="7"/>
  <c r="H338" i="7"/>
  <c r="I338" i="7"/>
  <c r="J338" i="7"/>
  <c r="G339" i="7"/>
  <c r="H339" i="7"/>
  <c r="I339" i="7"/>
  <c r="J339" i="7"/>
  <c r="G340" i="7"/>
  <c r="H340" i="7"/>
  <c r="I340" i="7"/>
  <c r="J340" i="7"/>
  <c r="G341" i="7"/>
  <c r="H341" i="7"/>
  <c r="I341" i="7"/>
  <c r="J341" i="7"/>
  <c r="G342" i="7"/>
  <c r="H342" i="7"/>
  <c r="I342" i="7"/>
  <c r="J342" i="7"/>
  <c r="G343" i="7"/>
  <c r="H343" i="7"/>
  <c r="I343" i="7"/>
  <c r="J343" i="7"/>
  <c r="G344" i="7"/>
  <c r="H344" i="7"/>
  <c r="I344" i="7"/>
  <c r="J344" i="7"/>
  <c r="G345" i="7"/>
  <c r="H345" i="7"/>
  <c r="I345" i="7"/>
  <c r="J345" i="7"/>
  <c r="G346" i="7"/>
  <c r="H346" i="7"/>
  <c r="I346" i="7"/>
  <c r="J346" i="7"/>
  <c r="G347" i="7"/>
  <c r="H347" i="7"/>
  <c r="I347" i="7"/>
  <c r="J347" i="7"/>
  <c r="G348" i="7"/>
  <c r="H348" i="7"/>
  <c r="I348" i="7"/>
  <c r="J348" i="7"/>
  <c r="G349" i="7"/>
  <c r="H349" i="7"/>
  <c r="I349" i="7"/>
  <c r="J349" i="7"/>
  <c r="G350" i="7"/>
  <c r="H350" i="7"/>
  <c r="I350" i="7"/>
  <c r="J350" i="7"/>
  <c r="G351" i="7"/>
  <c r="H351" i="7"/>
  <c r="I351" i="7"/>
  <c r="J351" i="7"/>
  <c r="G352" i="7"/>
  <c r="H352" i="7"/>
  <c r="I352" i="7"/>
  <c r="J352" i="7"/>
  <c r="G353" i="7"/>
  <c r="H353" i="7"/>
  <c r="I353" i="7"/>
  <c r="J353" i="7"/>
  <c r="G354" i="7"/>
  <c r="H354" i="7"/>
  <c r="I354" i="7"/>
  <c r="J354" i="7"/>
  <c r="G355" i="7"/>
  <c r="H355" i="7"/>
  <c r="I355" i="7"/>
  <c r="J355" i="7"/>
  <c r="G356" i="7"/>
  <c r="H356" i="7"/>
  <c r="I356" i="7"/>
  <c r="J356" i="7"/>
  <c r="G357" i="7"/>
  <c r="H357" i="7"/>
  <c r="I357" i="7"/>
  <c r="J357" i="7"/>
  <c r="G358" i="7"/>
  <c r="H358" i="7"/>
  <c r="I358" i="7"/>
  <c r="J358" i="7"/>
  <c r="G359" i="7"/>
  <c r="H359" i="7"/>
  <c r="I359" i="7"/>
  <c r="J359" i="7"/>
  <c r="G360" i="7"/>
  <c r="H360" i="7"/>
  <c r="I360" i="7"/>
  <c r="J360" i="7"/>
  <c r="G361" i="7"/>
  <c r="H361" i="7"/>
  <c r="I361" i="7"/>
  <c r="J361" i="7"/>
  <c r="G362" i="7"/>
  <c r="H362" i="7"/>
  <c r="I362" i="7"/>
  <c r="J362" i="7"/>
  <c r="G363" i="7"/>
  <c r="H363" i="7"/>
  <c r="I363" i="7"/>
  <c r="J363" i="7"/>
  <c r="G364" i="7"/>
  <c r="H364" i="7"/>
  <c r="I364" i="7"/>
  <c r="J364" i="7"/>
  <c r="G365" i="7"/>
  <c r="H365" i="7"/>
  <c r="I365" i="7"/>
  <c r="J365" i="7"/>
  <c r="G366" i="7"/>
  <c r="H366" i="7"/>
  <c r="I366" i="7"/>
  <c r="J366" i="7"/>
  <c r="G367" i="7"/>
  <c r="H367" i="7"/>
  <c r="I367" i="7"/>
  <c r="J367" i="7"/>
  <c r="G368" i="7"/>
  <c r="H368" i="7"/>
  <c r="I368" i="7"/>
  <c r="J368" i="7"/>
  <c r="G369" i="7"/>
  <c r="H369" i="7"/>
  <c r="I369" i="7"/>
  <c r="J369" i="7"/>
  <c r="G370" i="7"/>
  <c r="H370" i="7"/>
  <c r="I370" i="7"/>
  <c r="J370" i="7"/>
  <c r="G371" i="7"/>
  <c r="H371" i="7"/>
  <c r="I371" i="7"/>
  <c r="J371" i="7"/>
  <c r="G372" i="7"/>
  <c r="H372" i="7"/>
  <c r="I372" i="7"/>
  <c r="J372" i="7"/>
  <c r="G373" i="7"/>
  <c r="H373" i="7"/>
  <c r="I373" i="7"/>
  <c r="J373" i="7"/>
  <c r="G374" i="7"/>
  <c r="H374" i="7"/>
  <c r="I374" i="7"/>
  <c r="J374" i="7"/>
  <c r="G375" i="7"/>
  <c r="H375" i="7"/>
  <c r="I375" i="7"/>
  <c r="J375" i="7"/>
  <c r="G376" i="7"/>
  <c r="H376" i="7"/>
  <c r="I376" i="7"/>
  <c r="J376" i="7"/>
  <c r="G377" i="7"/>
  <c r="H377" i="7"/>
  <c r="I377" i="7"/>
  <c r="J377" i="7"/>
  <c r="G378" i="7"/>
  <c r="H378" i="7"/>
  <c r="I378" i="7"/>
  <c r="J378" i="7"/>
  <c r="G379" i="7"/>
  <c r="H379" i="7"/>
  <c r="I379" i="7"/>
  <c r="J379" i="7"/>
  <c r="G380" i="7"/>
  <c r="H380" i="7"/>
  <c r="I380" i="7"/>
  <c r="J380" i="7"/>
  <c r="G381" i="7"/>
  <c r="H381" i="7"/>
  <c r="I381" i="7"/>
  <c r="J381" i="7"/>
  <c r="G382" i="7"/>
  <c r="H382" i="7"/>
  <c r="I382" i="7"/>
  <c r="J382" i="7"/>
  <c r="G383" i="7"/>
  <c r="H383" i="7"/>
  <c r="I383" i="7"/>
  <c r="J383" i="7"/>
  <c r="G384" i="7"/>
  <c r="H384" i="7"/>
  <c r="I384" i="7"/>
  <c r="J384" i="7"/>
  <c r="G385" i="7"/>
  <c r="H385" i="7"/>
  <c r="I385" i="7"/>
  <c r="J385" i="7"/>
  <c r="G386" i="7"/>
  <c r="H386" i="7"/>
  <c r="I386" i="7"/>
  <c r="J386" i="7"/>
  <c r="G387" i="7"/>
  <c r="H387" i="7"/>
  <c r="I387" i="7"/>
  <c r="J387" i="7"/>
  <c r="G388" i="7"/>
  <c r="H388" i="7"/>
  <c r="I388" i="7"/>
  <c r="J388" i="7"/>
  <c r="G389" i="7"/>
  <c r="H389" i="7"/>
  <c r="I389" i="7"/>
  <c r="J389" i="7"/>
  <c r="G390" i="7"/>
  <c r="H390" i="7"/>
  <c r="I390" i="7"/>
  <c r="J390" i="7"/>
  <c r="G391" i="7"/>
  <c r="H391" i="7"/>
  <c r="I391" i="7"/>
  <c r="J391" i="7"/>
  <c r="G392" i="7"/>
  <c r="H392" i="7"/>
  <c r="I392" i="7"/>
  <c r="J392" i="7"/>
  <c r="G393" i="7"/>
  <c r="H393" i="7"/>
  <c r="I393" i="7"/>
  <c r="J393" i="7"/>
  <c r="G394" i="7"/>
  <c r="H394" i="7"/>
  <c r="I394" i="7"/>
  <c r="J394" i="7"/>
  <c r="G395" i="7"/>
  <c r="H395" i="7"/>
  <c r="I395" i="7"/>
  <c r="J395" i="7"/>
  <c r="G396" i="7"/>
  <c r="H396" i="7"/>
  <c r="I396" i="7"/>
  <c r="J396" i="7"/>
  <c r="G397" i="7"/>
  <c r="H397" i="7"/>
  <c r="I397" i="7"/>
  <c r="J397" i="7"/>
  <c r="G398" i="7"/>
  <c r="H398" i="7"/>
  <c r="I398" i="7"/>
  <c r="J398" i="7"/>
  <c r="G399" i="7"/>
  <c r="H399" i="7"/>
  <c r="I399" i="7"/>
  <c r="J399" i="7"/>
  <c r="G400" i="7"/>
  <c r="H400" i="7"/>
  <c r="I400" i="7"/>
  <c r="J400" i="7"/>
  <c r="G401" i="7"/>
  <c r="H401" i="7"/>
  <c r="I401" i="7"/>
  <c r="J401" i="7"/>
  <c r="G402" i="7"/>
  <c r="H402" i="7"/>
  <c r="I402" i="7"/>
  <c r="J402" i="7"/>
  <c r="G403" i="7"/>
  <c r="H403" i="7"/>
  <c r="I403" i="7"/>
  <c r="J403" i="7"/>
  <c r="G404" i="7"/>
  <c r="H404" i="7"/>
  <c r="I404" i="7"/>
  <c r="J404" i="7"/>
  <c r="G405" i="7"/>
  <c r="H405" i="7"/>
  <c r="I405" i="7"/>
  <c r="J405" i="7"/>
  <c r="G406" i="7"/>
  <c r="H406" i="7"/>
  <c r="I406" i="7"/>
  <c r="J406" i="7"/>
  <c r="G407" i="7"/>
  <c r="H407" i="7"/>
  <c r="I407" i="7"/>
  <c r="J407" i="7"/>
  <c r="G408" i="7"/>
  <c r="H408" i="7"/>
  <c r="I408" i="7"/>
  <c r="J408" i="7"/>
  <c r="G409" i="7"/>
  <c r="H409" i="7"/>
  <c r="I409" i="7"/>
  <c r="J409" i="7"/>
  <c r="G410" i="7"/>
  <c r="H410" i="7"/>
  <c r="I410" i="7"/>
  <c r="J410" i="7"/>
  <c r="G411" i="7"/>
  <c r="H411" i="7"/>
  <c r="I411" i="7"/>
  <c r="J411" i="7"/>
  <c r="G412" i="7"/>
  <c r="H412" i="7"/>
  <c r="I412" i="7"/>
  <c r="J412" i="7"/>
  <c r="G413" i="7"/>
  <c r="H413" i="7"/>
  <c r="I413" i="7"/>
  <c r="J413" i="7"/>
  <c r="G414" i="7"/>
  <c r="H414" i="7"/>
  <c r="I414" i="7"/>
  <c r="J414" i="7"/>
  <c r="G415" i="7"/>
  <c r="H415" i="7"/>
  <c r="I415" i="7"/>
  <c r="J415" i="7"/>
  <c r="G416" i="7"/>
  <c r="H416" i="7"/>
  <c r="I416" i="7"/>
  <c r="J416" i="7"/>
  <c r="G417" i="7"/>
  <c r="H417" i="7"/>
  <c r="I417" i="7"/>
  <c r="J417" i="7"/>
  <c r="G418" i="7"/>
  <c r="H418" i="7"/>
  <c r="I418" i="7"/>
  <c r="J418" i="7"/>
  <c r="G419" i="7"/>
  <c r="H419" i="7"/>
  <c r="I419" i="7"/>
  <c r="J419" i="7"/>
  <c r="G420" i="7"/>
  <c r="H420" i="7"/>
  <c r="I420" i="7"/>
  <c r="J420" i="7"/>
  <c r="G421" i="7"/>
  <c r="H421" i="7"/>
  <c r="I421" i="7"/>
  <c r="J421" i="7"/>
  <c r="G422" i="7"/>
  <c r="H422" i="7"/>
  <c r="I422" i="7"/>
  <c r="J422" i="7"/>
  <c r="G423" i="7"/>
  <c r="H423" i="7"/>
  <c r="I423" i="7"/>
  <c r="J423" i="7"/>
  <c r="G424" i="7"/>
  <c r="H424" i="7"/>
  <c r="I424" i="7"/>
  <c r="J424" i="7"/>
  <c r="G425" i="7"/>
  <c r="H425" i="7"/>
  <c r="I425" i="7"/>
  <c r="J425" i="7"/>
  <c r="G426" i="7"/>
  <c r="H426" i="7"/>
  <c r="I426" i="7"/>
  <c r="J426" i="7"/>
  <c r="G427" i="7"/>
  <c r="H427" i="7"/>
  <c r="I427" i="7"/>
  <c r="J427" i="7"/>
  <c r="G428" i="7"/>
  <c r="H428" i="7"/>
  <c r="I428" i="7"/>
  <c r="J428" i="7"/>
  <c r="G429" i="7"/>
  <c r="H429" i="7"/>
  <c r="I429" i="7"/>
  <c r="J429" i="7"/>
  <c r="G430" i="7"/>
  <c r="H430" i="7"/>
  <c r="I430" i="7"/>
  <c r="J430" i="7"/>
  <c r="G431" i="7"/>
  <c r="H431" i="7"/>
  <c r="I431" i="7"/>
  <c r="J431" i="7"/>
  <c r="G432" i="7"/>
  <c r="H432" i="7"/>
  <c r="I432" i="7"/>
  <c r="J432" i="7"/>
  <c r="G433" i="7"/>
  <c r="H433" i="7"/>
  <c r="I433" i="7"/>
  <c r="J433" i="7"/>
  <c r="G434" i="7"/>
  <c r="H434" i="7"/>
  <c r="I434" i="7"/>
  <c r="J434" i="7"/>
  <c r="G435" i="7"/>
  <c r="H435" i="7"/>
  <c r="I435" i="7"/>
  <c r="J435" i="7"/>
  <c r="G436" i="7"/>
  <c r="H436" i="7"/>
  <c r="I436" i="7"/>
  <c r="J436" i="7"/>
  <c r="G437" i="7"/>
  <c r="H437" i="7"/>
  <c r="I437" i="7"/>
  <c r="J437" i="7"/>
  <c r="G438" i="7"/>
  <c r="H438" i="7"/>
  <c r="I438" i="7"/>
  <c r="J438" i="7"/>
  <c r="G439" i="7"/>
  <c r="H439" i="7"/>
  <c r="I439" i="7"/>
  <c r="J439" i="7"/>
  <c r="G440" i="7"/>
  <c r="H440" i="7"/>
  <c r="I440" i="7"/>
  <c r="J440" i="7"/>
  <c r="G441" i="7"/>
  <c r="H441" i="7"/>
  <c r="I441" i="7"/>
  <c r="J441" i="7"/>
  <c r="G442" i="7"/>
  <c r="H442" i="7"/>
  <c r="I442" i="7"/>
  <c r="J442" i="7"/>
  <c r="G443" i="7"/>
  <c r="H443" i="7"/>
  <c r="I443" i="7"/>
  <c r="J443" i="7"/>
  <c r="G444" i="7"/>
  <c r="H444" i="7"/>
  <c r="I444" i="7"/>
  <c r="J444" i="7"/>
  <c r="G445" i="7"/>
  <c r="H445" i="7"/>
  <c r="I445" i="7"/>
  <c r="J445" i="7"/>
  <c r="G446" i="7"/>
  <c r="H446" i="7"/>
  <c r="I446" i="7"/>
  <c r="J446" i="7"/>
  <c r="G447" i="7"/>
  <c r="H447" i="7"/>
  <c r="I447" i="7"/>
  <c r="J447" i="7"/>
  <c r="G448" i="7"/>
  <c r="H448" i="7"/>
  <c r="I448" i="7"/>
  <c r="J448" i="7"/>
  <c r="G449" i="7"/>
  <c r="H449" i="7"/>
  <c r="I449" i="7"/>
  <c r="J449" i="7"/>
  <c r="G450" i="7"/>
  <c r="H450" i="7"/>
  <c r="I450" i="7"/>
  <c r="J450" i="7"/>
  <c r="G451" i="7"/>
  <c r="H451" i="7"/>
  <c r="I451" i="7"/>
  <c r="J451" i="7"/>
  <c r="G452" i="7"/>
  <c r="H452" i="7"/>
  <c r="I452" i="7"/>
  <c r="J452" i="7"/>
  <c r="G453" i="7"/>
  <c r="H453" i="7"/>
  <c r="I453" i="7"/>
  <c r="J453" i="7"/>
  <c r="G454" i="7"/>
  <c r="H454" i="7"/>
  <c r="I454" i="7"/>
  <c r="J454" i="7"/>
  <c r="G455" i="7"/>
  <c r="H455" i="7"/>
  <c r="I455" i="7"/>
  <c r="J455" i="7"/>
  <c r="G456" i="7"/>
  <c r="H456" i="7"/>
  <c r="I456" i="7"/>
  <c r="J456" i="7"/>
  <c r="G457" i="7"/>
  <c r="H457" i="7"/>
  <c r="I457" i="7"/>
  <c r="J457" i="7"/>
  <c r="G458" i="7"/>
  <c r="H458" i="7"/>
  <c r="I458" i="7"/>
  <c r="J458" i="7"/>
  <c r="G459" i="7"/>
  <c r="H459" i="7"/>
  <c r="I459" i="7"/>
  <c r="J459" i="7"/>
  <c r="G460" i="7"/>
  <c r="H460" i="7"/>
  <c r="I460" i="7"/>
  <c r="J460" i="7"/>
  <c r="G461" i="7"/>
  <c r="H461" i="7"/>
  <c r="I461" i="7"/>
  <c r="J461" i="7"/>
  <c r="G462" i="7"/>
  <c r="H462" i="7"/>
  <c r="I462" i="7"/>
  <c r="J462" i="7"/>
  <c r="G463" i="7"/>
  <c r="H463" i="7"/>
  <c r="I463" i="7"/>
  <c r="J463" i="7"/>
  <c r="G464" i="7"/>
  <c r="H464" i="7"/>
  <c r="I464" i="7"/>
  <c r="J464" i="7"/>
  <c r="G465" i="7"/>
  <c r="H465" i="7"/>
  <c r="I465" i="7"/>
  <c r="J465" i="7"/>
  <c r="G466" i="7"/>
  <c r="H466" i="7"/>
  <c r="I466" i="7"/>
  <c r="J466" i="7"/>
  <c r="G467" i="7"/>
  <c r="H467" i="7"/>
  <c r="I467" i="7"/>
  <c r="J467" i="7"/>
  <c r="G468" i="7"/>
  <c r="H468" i="7"/>
  <c r="I468" i="7"/>
  <c r="J468" i="7"/>
  <c r="G469" i="7"/>
  <c r="H469" i="7"/>
  <c r="I469" i="7"/>
  <c r="J469" i="7"/>
  <c r="G470" i="7"/>
  <c r="H470" i="7"/>
  <c r="I470" i="7"/>
  <c r="J470" i="7"/>
  <c r="G471" i="7"/>
  <c r="H471" i="7"/>
  <c r="I471" i="7"/>
  <c r="J471" i="7"/>
  <c r="G472" i="7"/>
  <c r="H472" i="7"/>
  <c r="I472" i="7"/>
  <c r="J472" i="7"/>
  <c r="G473" i="7"/>
  <c r="H473" i="7"/>
  <c r="I473" i="7"/>
  <c r="J473" i="7"/>
  <c r="G474" i="7"/>
  <c r="H474" i="7"/>
  <c r="I474" i="7"/>
  <c r="J474" i="7"/>
  <c r="G475" i="7"/>
  <c r="H475" i="7"/>
  <c r="I475" i="7"/>
  <c r="J475" i="7"/>
  <c r="G476" i="7"/>
  <c r="H476" i="7"/>
  <c r="I476" i="7"/>
  <c r="J476" i="7"/>
  <c r="G477" i="7"/>
  <c r="H477" i="7"/>
  <c r="I477" i="7"/>
  <c r="J477" i="7"/>
  <c r="G478" i="7"/>
  <c r="H478" i="7"/>
  <c r="I478" i="7"/>
  <c r="J478" i="7"/>
  <c r="G479" i="7"/>
  <c r="H479" i="7"/>
  <c r="I479" i="7"/>
  <c r="J479" i="7"/>
  <c r="G480" i="7"/>
  <c r="H480" i="7"/>
  <c r="I480" i="7"/>
  <c r="J480" i="7"/>
  <c r="G481" i="7"/>
  <c r="H481" i="7"/>
  <c r="I481" i="7"/>
  <c r="J481" i="7"/>
  <c r="G482" i="7"/>
  <c r="H482" i="7"/>
  <c r="I482" i="7"/>
  <c r="J482" i="7"/>
  <c r="G483" i="7"/>
  <c r="H483" i="7"/>
  <c r="I483" i="7"/>
  <c r="J483" i="7"/>
  <c r="G484" i="7"/>
  <c r="H484" i="7"/>
  <c r="I484" i="7"/>
  <c r="J484" i="7"/>
  <c r="G485" i="7"/>
  <c r="H485" i="7"/>
  <c r="I485" i="7"/>
  <c r="J485" i="7"/>
  <c r="G486" i="7"/>
  <c r="H486" i="7"/>
  <c r="I486" i="7"/>
  <c r="J486" i="7"/>
  <c r="G487" i="7"/>
  <c r="H487" i="7"/>
  <c r="I487" i="7"/>
  <c r="J487" i="7"/>
  <c r="G488" i="7"/>
  <c r="H488" i="7"/>
  <c r="I488" i="7"/>
  <c r="J488" i="7"/>
  <c r="G489" i="7"/>
  <c r="H489" i="7"/>
  <c r="I489" i="7"/>
  <c r="J489" i="7"/>
  <c r="G490" i="7"/>
  <c r="H490" i="7"/>
  <c r="I490" i="7"/>
  <c r="J490" i="7"/>
  <c r="G491" i="7"/>
  <c r="H491" i="7"/>
  <c r="I491" i="7"/>
  <c r="J491" i="7"/>
  <c r="G492" i="7"/>
  <c r="H492" i="7"/>
  <c r="I492" i="7"/>
  <c r="J492" i="7"/>
  <c r="G493" i="7"/>
  <c r="H493" i="7"/>
  <c r="I493" i="7"/>
  <c r="J493" i="7"/>
  <c r="G494" i="7"/>
  <c r="H494" i="7"/>
  <c r="I494" i="7"/>
  <c r="J494" i="7"/>
  <c r="G495" i="7"/>
  <c r="H495" i="7"/>
  <c r="I495" i="7"/>
  <c r="J495" i="7"/>
  <c r="G496" i="7"/>
  <c r="H496" i="7"/>
  <c r="I496" i="7"/>
  <c r="J496" i="7"/>
  <c r="G497" i="7"/>
  <c r="H497" i="7"/>
  <c r="I497" i="7"/>
  <c r="J497" i="7"/>
  <c r="G498" i="7"/>
  <c r="H498" i="7"/>
  <c r="I498" i="7"/>
  <c r="J498" i="7"/>
  <c r="G499" i="7"/>
  <c r="H499" i="7"/>
  <c r="I499" i="7"/>
  <c r="J499" i="7"/>
  <c r="G500" i="7"/>
  <c r="H500" i="7"/>
  <c r="I500" i="7"/>
  <c r="J500" i="7"/>
  <c r="G501" i="7"/>
  <c r="H501" i="7"/>
  <c r="I501" i="7"/>
  <c r="J501" i="7"/>
  <c r="G502" i="7"/>
  <c r="H502" i="7"/>
  <c r="I502" i="7"/>
  <c r="J502" i="7"/>
  <c r="G503" i="7"/>
  <c r="H503" i="7"/>
  <c r="I503" i="7"/>
  <c r="J503" i="7"/>
  <c r="G504" i="7"/>
  <c r="H504" i="7"/>
  <c r="I504" i="7"/>
  <c r="J504" i="7"/>
  <c r="G505" i="7"/>
  <c r="H505" i="7"/>
  <c r="I505" i="7"/>
  <c r="J505" i="7"/>
  <c r="G506" i="7"/>
  <c r="H506" i="7"/>
  <c r="I506" i="7"/>
  <c r="J506" i="7"/>
  <c r="G507" i="7"/>
  <c r="H507" i="7"/>
  <c r="I507" i="7"/>
  <c r="J507" i="7"/>
  <c r="G508" i="7"/>
  <c r="H508" i="7"/>
  <c r="I508" i="7"/>
  <c r="J508" i="7"/>
  <c r="G509" i="7"/>
  <c r="H509" i="7"/>
  <c r="I509" i="7"/>
  <c r="J509" i="7"/>
  <c r="G510" i="7"/>
  <c r="H510" i="7"/>
  <c r="I510" i="7"/>
  <c r="J510" i="7"/>
  <c r="G511" i="7"/>
  <c r="H511" i="7"/>
  <c r="I511" i="7"/>
  <c r="J511" i="7"/>
  <c r="G512" i="7"/>
  <c r="H512" i="7"/>
  <c r="I512" i="7"/>
  <c r="J512" i="7"/>
  <c r="G513" i="7"/>
  <c r="H513" i="7"/>
  <c r="I513" i="7"/>
  <c r="J513" i="7"/>
  <c r="G514" i="7"/>
  <c r="H514" i="7"/>
  <c r="I514" i="7"/>
  <c r="J514" i="7"/>
  <c r="G515" i="7"/>
  <c r="H515" i="7"/>
  <c r="I515" i="7"/>
  <c r="J515" i="7"/>
  <c r="G516" i="7"/>
  <c r="H516" i="7"/>
  <c r="I516" i="7"/>
  <c r="J516" i="7"/>
  <c r="G517" i="7"/>
  <c r="H517" i="7"/>
  <c r="I517" i="7"/>
  <c r="J517" i="7"/>
  <c r="G518" i="7"/>
  <c r="H518" i="7"/>
  <c r="I518" i="7"/>
  <c r="J518" i="7"/>
  <c r="G519" i="7"/>
  <c r="H519" i="7"/>
  <c r="I519" i="7"/>
  <c r="J519" i="7"/>
  <c r="G520" i="7"/>
  <c r="H520" i="7"/>
  <c r="I520" i="7"/>
  <c r="J520" i="7"/>
  <c r="G521" i="7"/>
  <c r="H521" i="7"/>
  <c r="I521" i="7"/>
  <c r="J521" i="7"/>
  <c r="G522" i="7"/>
  <c r="H522" i="7"/>
  <c r="I522" i="7"/>
  <c r="J522" i="7"/>
  <c r="G523" i="7"/>
  <c r="H523" i="7"/>
  <c r="I523" i="7"/>
  <c r="J523" i="7"/>
  <c r="G524" i="7"/>
  <c r="H524" i="7"/>
  <c r="I524" i="7"/>
  <c r="J524" i="7"/>
  <c r="G525" i="7"/>
  <c r="H525" i="7"/>
  <c r="I525" i="7"/>
  <c r="J525" i="7"/>
  <c r="G526" i="7"/>
  <c r="H526" i="7"/>
  <c r="I526" i="7"/>
  <c r="J526" i="7"/>
  <c r="G527" i="7"/>
  <c r="H527" i="7"/>
  <c r="I527" i="7"/>
  <c r="J527" i="7"/>
  <c r="G528" i="7"/>
  <c r="H528" i="7"/>
  <c r="I528" i="7"/>
  <c r="J528" i="7"/>
  <c r="G529" i="7"/>
  <c r="H529" i="7"/>
  <c r="I529" i="7"/>
  <c r="J529" i="7"/>
  <c r="G530" i="7"/>
  <c r="H530" i="7"/>
  <c r="I530" i="7"/>
  <c r="J530" i="7"/>
  <c r="G531" i="7"/>
  <c r="H531" i="7"/>
  <c r="I531" i="7"/>
  <c r="J531" i="7"/>
  <c r="G532" i="7"/>
  <c r="H532" i="7"/>
  <c r="I532" i="7"/>
  <c r="J532" i="7"/>
  <c r="G533" i="7"/>
  <c r="H533" i="7"/>
  <c r="I533" i="7"/>
  <c r="J533" i="7"/>
  <c r="G534" i="7"/>
  <c r="H534" i="7"/>
  <c r="I534" i="7"/>
  <c r="J534" i="7"/>
  <c r="G535" i="7"/>
  <c r="H535" i="7"/>
  <c r="I535" i="7"/>
  <c r="J535" i="7"/>
  <c r="G536" i="7"/>
  <c r="H536" i="7"/>
  <c r="I536" i="7"/>
  <c r="J536" i="7"/>
  <c r="G537" i="7"/>
  <c r="H537" i="7"/>
  <c r="I537" i="7"/>
  <c r="J537" i="7"/>
  <c r="G538" i="7"/>
  <c r="H538" i="7"/>
  <c r="I538" i="7"/>
  <c r="J538" i="7"/>
  <c r="G539" i="7"/>
  <c r="H539" i="7"/>
  <c r="I539" i="7"/>
  <c r="J539" i="7"/>
  <c r="G540" i="7"/>
  <c r="H540" i="7"/>
  <c r="I540" i="7"/>
  <c r="J540" i="7"/>
  <c r="G541" i="7"/>
  <c r="H541" i="7"/>
  <c r="I541" i="7"/>
  <c r="J541" i="7"/>
  <c r="G542" i="7"/>
  <c r="H542" i="7"/>
  <c r="I542" i="7"/>
  <c r="J542" i="7"/>
  <c r="G543" i="7"/>
  <c r="H543" i="7"/>
  <c r="I543" i="7"/>
  <c r="J543" i="7"/>
  <c r="G544" i="7"/>
  <c r="H544" i="7"/>
  <c r="I544" i="7"/>
  <c r="J544" i="7"/>
  <c r="G545" i="7"/>
  <c r="H545" i="7"/>
  <c r="I545" i="7"/>
  <c r="J545" i="7"/>
  <c r="G546" i="7"/>
  <c r="H546" i="7"/>
  <c r="I546" i="7"/>
  <c r="J546" i="7"/>
  <c r="G547" i="7"/>
  <c r="H547" i="7"/>
  <c r="I547" i="7"/>
  <c r="J547" i="7"/>
  <c r="G548" i="7"/>
  <c r="H548" i="7"/>
  <c r="I548" i="7"/>
  <c r="J548" i="7"/>
  <c r="G549" i="7"/>
  <c r="H549" i="7"/>
  <c r="I549" i="7"/>
  <c r="J549" i="7"/>
  <c r="G550" i="7"/>
  <c r="H550" i="7"/>
  <c r="I550" i="7"/>
  <c r="J550" i="7"/>
  <c r="G551" i="7"/>
  <c r="H551" i="7"/>
  <c r="I551" i="7"/>
  <c r="J551" i="7"/>
  <c r="G552" i="7"/>
  <c r="H552" i="7"/>
  <c r="I552" i="7"/>
  <c r="J552" i="7"/>
  <c r="G553" i="7"/>
  <c r="H553" i="7"/>
  <c r="I553" i="7"/>
  <c r="J553" i="7"/>
  <c r="G554" i="7"/>
  <c r="H554" i="7"/>
  <c r="I554" i="7"/>
  <c r="J554" i="7"/>
  <c r="G555" i="7"/>
  <c r="H555" i="7"/>
  <c r="I555" i="7"/>
  <c r="J555" i="7"/>
  <c r="G556" i="7"/>
  <c r="H556" i="7"/>
  <c r="I556" i="7"/>
  <c r="J556" i="7"/>
  <c r="G557" i="7"/>
  <c r="H557" i="7"/>
  <c r="I557" i="7"/>
  <c r="J557" i="7"/>
  <c r="G558" i="7"/>
  <c r="H558" i="7"/>
  <c r="I558" i="7"/>
  <c r="J558" i="7"/>
  <c r="G559" i="7"/>
  <c r="H559" i="7"/>
  <c r="I559" i="7"/>
  <c r="J559" i="7"/>
  <c r="G560" i="7"/>
  <c r="H560" i="7"/>
  <c r="I560" i="7"/>
  <c r="J560" i="7"/>
  <c r="G561" i="7"/>
  <c r="H561" i="7"/>
  <c r="I561" i="7"/>
  <c r="J561" i="7"/>
  <c r="G562" i="7"/>
  <c r="H562" i="7"/>
  <c r="I562" i="7"/>
  <c r="J562" i="7"/>
  <c r="G563" i="7"/>
  <c r="H563" i="7"/>
  <c r="I563" i="7"/>
  <c r="J563" i="7"/>
  <c r="G564" i="7"/>
  <c r="H564" i="7"/>
  <c r="I564" i="7"/>
  <c r="J564" i="7"/>
  <c r="G565" i="7"/>
  <c r="H565" i="7"/>
  <c r="I565" i="7"/>
  <c r="J565" i="7"/>
  <c r="G566" i="7"/>
  <c r="H566" i="7"/>
  <c r="I566" i="7"/>
  <c r="J566" i="7"/>
  <c r="G567" i="7"/>
  <c r="H567" i="7"/>
  <c r="I567" i="7"/>
  <c r="J567" i="7"/>
  <c r="G568" i="7"/>
  <c r="H568" i="7"/>
  <c r="I568" i="7"/>
  <c r="J568" i="7"/>
  <c r="G569" i="7"/>
  <c r="H569" i="7"/>
  <c r="I569" i="7"/>
  <c r="J569" i="7"/>
  <c r="G570" i="7"/>
  <c r="H570" i="7"/>
  <c r="I570" i="7"/>
  <c r="J570" i="7"/>
  <c r="G571" i="7"/>
  <c r="H571" i="7"/>
  <c r="I571" i="7"/>
  <c r="J571" i="7"/>
  <c r="G572" i="7"/>
  <c r="H572" i="7"/>
  <c r="I572" i="7"/>
  <c r="J572" i="7"/>
  <c r="G573" i="7"/>
  <c r="H573" i="7"/>
  <c r="I573" i="7"/>
  <c r="J573" i="7"/>
  <c r="G574" i="7"/>
  <c r="H574" i="7"/>
  <c r="I574" i="7"/>
  <c r="J574" i="7"/>
  <c r="G575" i="7"/>
  <c r="H575" i="7"/>
  <c r="I575" i="7"/>
  <c r="J575" i="7"/>
  <c r="G576" i="7"/>
  <c r="H576" i="7"/>
  <c r="I576" i="7"/>
  <c r="J576" i="7"/>
  <c r="G577" i="7"/>
  <c r="H577" i="7"/>
  <c r="I577" i="7"/>
  <c r="J577" i="7"/>
  <c r="G578" i="7"/>
  <c r="H578" i="7"/>
  <c r="I578" i="7"/>
  <c r="J578" i="7"/>
  <c r="G579" i="7"/>
  <c r="H579" i="7"/>
  <c r="I579" i="7"/>
  <c r="J579" i="7"/>
  <c r="G580" i="7"/>
  <c r="H580" i="7"/>
  <c r="I580" i="7"/>
  <c r="J580" i="7"/>
  <c r="G581" i="7"/>
  <c r="H581" i="7"/>
  <c r="I581" i="7"/>
  <c r="J581" i="7"/>
  <c r="G582" i="7"/>
  <c r="H582" i="7"/>
  <c r="I582" i="7"/>
  <c r="J582" i="7"/>
  <c r="G583" i="7"/>
  <c r="H583" i="7"/>
  <c r="I583" i="7"/>
  <c r="J583" i="7"/>
  <c r="G584" i="7"/>
  <c r="H584" i="7"/>
  <c r="I584" i="7"/>
  <c r="J584" i="7"/>
  <c r="G585" i="7"/>
  <c r="H585" i="7"/>
  <c r="I585" i="7"/>
  <c r="J585" i="7"/>
  <c r="G586" i="7"/>
  <c r="H586" i="7"/>
  <c r="I586" i="7"/>
  <c r="J586" i="7"/>
  <c r="G587" i="7"/>
  <c r="H587" i="7"/>
  <c r="I587" i="7"/>
  <c r="J587" i="7"/>
  <c r="G588" i="7"/>
  <c r="H588" i="7"/>
  <c r="I588" i="7"/>
  <c r="J588" i="7"/>
  <c r="G589" i="7"/>
  <c r="H589" i="7"/>
  <c r="I589" i="7"/>
  <c r="J589" i="7"/>
  <c r="G590" i="7"/>
  <c r="H590" i="7"/>
  <c r="I590" i="7"/>
  <c r="J590" i="7"/>
  <c r="G591" i="7"/>
  <c r="H591" i="7"/>
  <c r="I591" i="7"/>
  <c r="J591" i="7"/>
  <c r="G592" i="7"/>
  <c r="H592" i="7"/>
  <c r="I592" i="7"/>
  <c r="J592" i="7"/>
  <c r="G593" i="7"/>
  <c r="H593" i="7"/>
  <c r="I593" i="7"/>
  <c r="J593" i="7"/>
  <c r="G594" i="7"/>
  <c r="H594" i="7"/>
  <c r="I594" i="7"/>
  <c r="J594" i="7"/>
  <c r="G595" i="7"/>
  <c r="H595" i="7"/>
  <c r="I595" i="7"/>
  <c r="J595" i="7"/>
  <c r="G596" i="7"/>
  <c r="H596" i="7"/>
  <c r="I596" i="7"/>
  <c r="J596" i="7"/>
  <c r="G597" i="7"/>
  <c r="H597" i="7"/>
  <c r="I597" i="7"/>
  <c r="J597" i="7"/>
  <c r="G598" i="7"/>
  <c r="H598" i="7"/>
  <c r="I598" i="7"/>
  <c r="J598" i="7"/>
  <c r="G599" i="7"/>
  <c r="H599" i="7"/>
  <c r="I599" i="7"/>
  <c r="J599" i="7"/>
  <c r="G600" i="7"/>
  <c r="H600" i="7"/>
  <c r="I600" i="7"/>
  <c r="J600" i="7"/>
  <c r="G601" i="7"/>
  <c r="H601" i="7"/>
  <c r="I601" i="7"/>
  <c r="J601" i="7"/>
  <c r="G602" i="7"/>
  <c r="H602" i="7"/>
  <c r="I602" i="7"/>
  <c r="J602" i="7"/>
  <c r="G603" i="7"/>
  <c r="H603" i="7"/>
  <c r="I603" i="7"/>
  <c r="J603" i="7"/>
  <c r="G604" i="7"/>
  <c r="H604" i="7"/>
  <c r="I604" i="7"/>
  <c r="J604" i="7"/>
  <c r="G605" i="7"/>
  <c r="H605" i="7"/>
  <c r="I605" i="7"/>
  <c r="J605" i="7"/>
  <c r="G606" i="7"/>
  <c r="H606" i="7"/>
  <c r="I606" i="7"/>
  <c r="J606" i="7"/>
  <c r="G607" i="7"/>
  <c r="H607" i="7"/>
  <c r="I607" i="7"/>
  <c r="J607" i="7"/>
  <c r="G608" i="7"/>
  <c r="H608" i="7"/>
  <c r="I608" i="7"/>
  <c r="J608" i="7"/>
  <c r="G609" i="7"/>
  <c r="H609" i="7"/>
  <c r="I609" i="7"/>
  <c r="J609" i="7"/>
  <c r="G610" i="7"/>
  <c r="H610" i="7"/>
  <c r="I610" i="7"/>
  <c r="J610" i="7"/>
  <c r="G611" i="7"/>
  <c r="H611" i="7"/>
  <c r="I611" i="7"/>
  <c r="J611" i="7"/>
  <c r="G612" i="7"/>
  <c r="H612" i="7"/>
  <c r="I612" i="7"/>
  <c r="J612" i="7"/>
  <c r="G613" i="7"/>
  <c r="H613" i="7"/>
  <c r="I613" i="7"/>
  <c r="J613" i="7"/>
  <c r="G614" i="7"/>
  <c r="H614" i="7"/>
  <c r="I614" i="7"/>
  <c r="J614" i="7"/>
  <c r="G615" i="7"/>
  <c r="H615" i="7"/>
  <c r="I615" i="7"/>
  <c r="J615" i="7"/>
  <c r="G616" i="7"/>
  <c r="H616" i="7"/>
  <c r="I616" i="7"/>
  <c r="J616" i="7"/>
  <c r="G617" i="7"/>
  <c r="H617" i="7"/>
  <c r="I617" i="7"/>
  <c r="J617" i="7"/>
  <c r="G618" i="7"/>
  <c r="H618" i="7"/>
  <c r="I618" i="7"/>
  <c r="J618" i="7"/>
  <c r="G619" i="7"/>
  <c r="H619" i="7"/>
  <c r="I619" i="7"/>
  <c r="J619" i="7"/>
  <c r="G620" i="7"/>
  <c r="H620" i="7"/>
  <c r="I620" i="7"/>
  <c r="J620" i="7"/>
  <c r="G621" i="7"/>
  <c r="H621" i="7"/>
  <c r="I621" i="7"/>
  <c r="J621" i="7"/>
  <c r="G622" i="7"/>
  <c r="H622" i="7"/>
  <c r="I622" i="7"/>
  <c r="J622" i="7"/>
  <c r="G623" i="7"/>
  <c r="H623" i="7"/>
  <c r="I623" i="7"/>
  <c r="J623" i="7"/>
  <c r="G624" i="7"/>
  <c r="H624" i="7"/>
  <c r="I624" i="7"/>
  <c r="J624" i="7"/>
  <c r="G625" i="7"/>
  <c r="H625" i="7"/>
  <c r="I625" i="7"/>
  <c r="J625" i="7"/>
  <c r="G626" i="7"/>
  <c r="H626" i="7"/>
  <c r="I626" i="7"/>
  <c r="J626" i="7"/>
  <c r="G627" i="7"/>
  <c r="H627" i="7"/>
  <c r="I627" i="7"/>
  <c r="J627" i="7"/>
  <c r="G628" i="7"/>
  <c r="H628" i="7"/>
  <c r="I628" i="7"/>
  <c r="J628" i="7"/>
  <c r="G629" i="7"/>
  <c r="H629" i="7"/>
  <c r="I629" i="7"/>
  <c r="J629" i="7"/>
  <c r="G630" i="7"/>
  <c r="H630" i="7"/>
  <c r="I630" i="7"/>
  <c r="J630" i="7"/>
  <c r="G631" i="7"/>
  <c r="H631" i="7"/>
  <c r="I631" i="7"/>
  <c r="J631" i="7"/>
  <c r="G632" i="7"/>
  <c r="H632" i="7"/>
  <c r="I632" i="7"/>
  <c r="J632" i="7"/>
  <c r="G633" i="7"/>
  <c r="H633" i="7"/>
  <c r="I633" i="7"/>
  <c r="J633" i="7"/>
  <c r="G634" i="7"/>
  <c r="H634" i="7"/>
  <c r="I634" i="7"/>
  <c r="J634" i="7"/>
  <c r="G635" i="7"/>
  <c r="H635" i="7"/>
  <c r="I635" i="7"/>
  <c r="J635" i="7"/>
  <c r="G636" i="7"/>
  <c r="H636" i="7"/>
  <c r="I636" i="7"/>
  <c r="J636" i="7"/>
  <c r="G637" i="7"/>
  <c r="H637" i="7"/>
  <c r="I637" i="7"/>
  <c r="J637" i="7"/>
  <c r="G638" i="7"/>
  <c r="H638" i="7"/>
  <c r="I638" i="7"/>
  <c r="J638" i="7"/>
  <c r="G639" i="7"/>
  <c r="H639" i="7"/>
  <c r="I639" i="7"/>
  <c r="J639" i="7"/>
  <c r="G640" i="7"/>
  <c r="H640" i="7"/>
  <c r="I640" i="7"/>
  <c r="J640" i="7"/>
  <c r="G641" i="7"/>
  <c r="H641" i="7"/>
  <c r="I641" i="7"/>
  <c r="J641" i="7"/>
  <c r="G642" i="7"/>
  <c r="H642" i="7"/>
  <c r="I642" i="7"/>
  <c r="J642" i="7"/>
  <c r="G643" i="7"/>
  <c r="H643" i="7"/>
  <c r="I643" i="7"/>
  <c r="J643" i="7"/>
  <c r="G644" i="7"/>
  <c r="H644" i="7"/>
  <c r="I644" i="7"/>
  <c r="J644" i="7"/>
  <c r="G645" i="7"/>
  <c r="H645" i="7"/>
  <c r="I645" i="7"/>
  <c r="J645" i="7"/>
  <c r="G646" i="7"/>
  <c r="H646" i="7"/>
  <c r="I646" i="7"/>
  <c r="J646" i="7"/>
  <c r="G647" i="7"/>
  <c r="H647" i="7"/>
  <c r="I647" i="7"/>
  <c r="J647" i="7"/>
  <c r="G648" i="7"/>
  <c r="H648" i="7"/>
  <c r="I648" i="7"/>
  <c r="J648" i="7"/>
  <c r="G649" i="7"/>
  <c r="H649" i="7"/>
  <c r="I649" i="7"/>
  <c r="J649" i="7"/>
  <c r="G650" i="7"/>
  <c r="H650" i="7"/>
  <c r="I650" i="7"/>
  <c r="J650" i="7"/>
  <c r="G651" i="7"/>
  <c r="H651" i="7"/>
  <c r="I651" i="7"/>
  <c r="J651" i="7"/>
  <c r="G652" i="7"/>
  <c r="H652" i="7"/>
  <c r="I652" i="7"/>
  <c r="J652" i="7"/>
  <c r="G653" i="7"/>
  <c r="H653" i="7"/>
  <c r="I653" i="7"/>
  <c r="J653" i="7"/>
  <c r="G654" i="7"/>
  <c r="H654" i="7"/>
  <c r="I654" i="7"/>
  <c r="J654" i="7"/>
  <c r="G655" i="7"/>
  <c r="H655" i="7"/>
  <c r="I655" i="7"/>
  <c r="J655" i="7"/>
  <c r="G656" i="7"/>
  <c r="H656" i="7"/>
  <c r="I656" i="7"/>
  <c r="J656" i="7"/>
  <c r="G657" i="7"/>
  <c r="H657" i="7"/>
  <c r="I657" i="7"/>
  <c r="J657" i="7"/>
  <c r="G658" i="7"/>
  <c r="H658" i="7"/>
  <c r="I658" i="7"/>
  <c r="J658" i="7"/>
  <c r="G659" i="7"/>
  <c r="H659" i="7"/>
  <c r="I659" i="7"/>
  <c r="J659" i="7"/>
  <c r="G660" i="7"/>
  <c r="H660" i="7"/>
  <c r="I660" i="7"/>
  <c r="J660" i="7"/>
  <c r="G661" i="7"/>
  <c r="H661" i="7"/>
  <c r="I661" i="7"/>
  <c r="J661" i="7"/>
  <c r="G662" i="7"/>
  <c r="H662" i="7"/>
  <c r="I662" i="7"/>
  <c r="J662" i="7"/>
  <c r="G663" i="7"/>
  <c r="H663" i="7"/>
  <c r="I663" i="7"/>
  <c r="J663" i="7"/>
  <c r="G664" i="7"/>
  <c r="H664" i="7"/>
  <c r="I664" i="7"/>
  <c r="J664" i="7"/>
  <c r="G665" i="7"/>
  <c r="H665" i="7"/>
  <c r="I665" i="7"/>
  <c r="J665" i="7"/>
  <c r="G666" i="7"/>
  <c r="H666" i="7"/>
  <c r="I666" i="7"/>
  <c r="J666" i="7"/>
  <c r="G667" i="7"/>
  <c r="H667" i="7"/>
  <c r="I667" i="7"/>
  <c r="J667" i="7"/>
  <c r="G668" i="7"/>
  <c r="H668" i="7"/>
  <c r="I668" i="7"/>
  <c r="J668" i="7"/>
  <c r="G669" i="7"/>
  <c r="H669" i="7"/>
  <c r="I669" i="7"/>
  <c r="J669" i="7"/>
  <c r="G670" i="7"/>
  <c r="H670" i="7"/>
  <c r="I670" i="7"/>
  <c r="J670" i="7"/>
  <c r="G671" i="7"/>
  <c r="H671" i="7"/>
  <c r="I671" i="7"/>
  <c r="J671" i="7"/>
  <c r="G672" i="7"/>
  <c r="H672" i="7"/>
  <c r="I672" i="7"/>
  <c r="J672" i="7"/>
  <c r="G673" i="7"/>
  <c r="H673" i="7"/>
  <c r="I673" i="7"/>
  <c r="J673" i="7"/>
  <c r="G674" i="7"/>
  <c r="H674" i="7"/>
  <c r="I674" i="7"/>
  <c r="J674" i="7"/>
  <c r="G675" i="7"/>
  <c r="H675" i="7"/>
  <c r="I675" i="7"/>
  <c r="J675" i="7"/>
  <c r="G676" i="7"/>
  <c r="H676" i="7"/>
  <c r="I676" i="7"/>
  <c r="J676" i="7"/>
  <c r="G677" i="7"/>
  <c r="H677" i="7"/>
  <c r="I677" i="7"/>
  <c r="J677" i="7"/>
  <c r="G678" i="7"/>
  <c r="H678" i="7"/>
  <c r="I678" i="7"/>
  <c r="J678" i="7"/>
  <c r="G679" i="7"/>
  <c r="H679" i="7"/>
  <c r="I679" i="7"/>
  <c r="J679" i="7"/>
  <c r="G680" i="7"/>
  <c r="H680" i="7"/>
  <c r="I680" i="7"/>
  <c r="J680" i="7"/>
  <c r="G681" i="7"/>
  <c r="H681" i="7"/>
  <c r="I681" i="7"/>
  <c r="J681" i="7"/>
  <c r="G682" i="7"/>
  <c r="H682" i="7"/>
  <c r="I682" i="7"/>
  <c r="J682" i="7"/>
  <c r="G683" i="7"/>
  <c r="H683" i="7"/>
  <c r="I683" i="7"/>
  <c r="J683" i="7"/>
  <c r="G684" i="7"/>
  <c r="H684" i="7"/>
  <c r="I684" i="7"/>
  <c r="J684" i="7"/>
  <c r="G685" i="7"/>
  <c r="H685" i="7"/>
  <c r="I685" i="7"/>
  <c r="J685" i="7"/>
  <c r="G686" i="7"/>
  <c r="H686" i="7"/>
  <c r="I686" i="7"/>
  <c r="J686" i="7"/>
  <c r="G687" i="7"/>
  <c r="H687" i="7"/>
  <c r="I687" i="7"/>
  <c r="J687" i="7"/>
  <c r="G688" i="7"/>
  <c r="H688" i="7"/>
  <c r="I688" i="7"/>
  <c r="J688" i="7"/>
  <c r="G689" i="7"/>
  <c r="H689" i="7"/>
  <c r="I689" i="7"/>
  <c r="J689" i="7"/>
  <c r="G690" i="7"/>
  <c r="H690" i="7"/>
  <c r="I690" i="7"/>
  <c r="J690" i="7"/>
  <c r="G691" i="7"/>
  <c r="H691" i="7"/>
  <c r="I691" i="7"/>
  <c r="J691" i="7"/>
  <c r="G692" i="7"/>
  <c r="H692" i="7"/>
  <c r="I692" i="7"/>
  <c r="J692" i="7"/>
  <c r="G693" i="7"/>
  <c r="H693" i="7"/>
  <c r="I693" i="7"/>
  <c r="J693" i="7"/>
  <c r="G694" i="7"/>
  <c r="H694" i="7"/>
  <c r="I694" i="7"/>
  <c r="J694" i="7"/>
  <c r="G695" i="7"/>
  <c r="H695" i="7"/>
  <c r="I695" i="7"/>
  <c r="J695" i="7"/>
  <c r="G696" i="7"/>
  <c r="H696" i="7"/>
  <c r="I696" i="7"/>
  <c r="J696" i="7"/>
  <c r="G697" i="7"/>
  <c r="H697" i="7"/>
  <c r="I697" i="7"/>
  <c r="J697" i="7"/>
  <c r="G698" i="7"/>
  <c r="H698" i="7"/>
  <c r="I698" i="7"/>
  <c r="J698" i="7"/>
  <c r="G699" i="7"/>
  <c r="H699" i="7"/>
  <c r="I699" i="7"/>
  <c r="J699" i="7"/>
  <c r="G700" i="7"/>
  <c r="H700" i="7"/>
  <c r="I700" i="7"/>
  <c r="J700" i="7"/>
  <c r="G701" i="7"/>
  <c r="H701" i="7"/>
  <c r="I701" i="7"/>
  <c r="J701" i="7"/>
  <c r="G702" i="7"/>
  <c r="H702" i="7"/>
  <c r="I702" i="7"/>
  <c r="J702" i="7"/>
  <c r="G703" i="7"/>
  <c r="H703" i="7"/>
  <c r="I703" i="7"/>
  <c r="J703" i="7"/>
  <c r="G704" i="7"/>
  <c r="H704" i="7"/>
  <c r="I704" i="7"/>
  <c r="J704" i="7"/>
  <c r="G705" i="7"/>
  <c r="H705" i="7"/>
  <c r="I705" i="7"/>
  <c r="J705" i="7"/>
  <c r="G706" i="7"/>
  <c r="H706" i="7"/>
  <c r="I706" i="7"/>
  <c r="J706" i="7"/>
  <c r="G707" i="7"/>
  <c r="H707" i="7"/>
  <c r="I707" i="7"/>
  <c r="J707" i="7"/>
  <c r="G708" i="7"/>
  <c r="H708" i="7"/>
  <c r="I708" i="7"/>
  <c r="J708" i="7"/>
  <c r="G709" i="7"/>
  <c r="H709" i="7"/>
  <c r="I709" i="7"/>
  <c r="J709" i="7"/>
  <c r="G710" i="7"/>
  <c r="H710" i="7"/>
  <c r="I710" i="7"/>
  <c r="J710" i="7"/>
  <c r="G711" i="7"/>
  <c r="H711" i="7"/>
  <c r="I711" i="7"/>
  <c r="J711" i="7"/>
  <c r="G712" i="7"/>
  <c r="H712" i="7"/>
  <c r="I712" i="7"/>
  <c r="J712" i="7"/>
  <c r="G713" i="7"/>
  <c r="H713" i="7"/>
  <c r="I713" i="7"/>
  <c r="J713" i="7"/>
  <c r="G714" i="7"/>
  <c r="H714" i="7"/>
  <c r="I714" i="7"/>
  <c r="J714" i="7"/>
  <c r="G715" i="7"/>
  <c r="H715" i="7"/>
  <c r="I715" i="7"/>
  <c r="J715" i="7"/>
  <c r="G716" i="7"/>
  <c r="H716" i="7"/>
  <c r="I716" i="7"/>
  <c r="J716" i="7"/>
  <c r="G717" i="7"/>
  <c r="H717" i="7"/>
  <c r="I717" i="7"/>
  <c r="J717" i="7"/>
  <c r="G718" i="7"/>
  <c r="H718" i="7"/>
  <c r="I718" i="7"/>
  <c r="J718" i="7"/>
  <c r="G719" i="7"/>
  <c r="H719" i="7"/>
  <c r="I719" i="7"/>
  <c r="J719" i="7"/>
  <c r="G720" i="7"/>
  <c r="H720" i="7"/>
  <c r="I720" i="7"/>
  <c r="J720" i="7"/>
  <c r="G721" i="7"/>
  <c r="H721" i="7"/>
  <c r="I721" i="7"/>
  <c r="J721" i="7"/>
  <c r="G722" i="7"/>
  <c r="H722" i="7"/>
  <c r="I722" i="7"/>
  <c r="J722" i="7"/>
  <c r="G723" i="7"/>
  <c r="H723" i="7"/>
  <c r="I723" i="7"/>
  <c r="J723" i="7"/>
  <c r="G724" i="7"/>
  <c r="H724" i="7"/>
  <c r="I724" i="7"/>
  <c r="J724" i="7"/>
  <c r="G725" i="7"/>
  <c r="H725" i="7"/>
  <c r="I725" i="7"/>
  <c r="J725" i="7"/>
  <c r="G726" i="7"/>
  <c r="H726" i="7"/>
  <c r="I726" i="7"/>
  <c r="J726" i="7"/>
  <c r="G727" i="7"/>
  <c r="H727" i="7"/>
  <c r="I727" i="7"/>
  <c r="J727" i="7"/>
  <c r="G728" i="7"/>
  <c r="H728" i="7"/>
  <c r="I728" i="7"/>
  <c r="J728" i="7"/>
  <c r="G729" i="7"/>
  <c r="H729" i="7"/>
  <c r="I729" i="7"/>
  <c r="J729" i="7"/>
  <c r="G730" i="7"/>
  <c r="H730" i="7"/>
  <c r="I730" i="7"/>
  <c r="J730" i="7"/>
  <c r="G731" i="7"/>
  <c r="H731" i="7"/>
  <c r="I731" i="7"/>
  <c r="J731" i="7"/>
  <c r="G732" i="7"/>
  <c r="H732" i="7"/>
  <c r="I732" i="7"/>
  <c r="J732" i="7"/>
  <c r="G733" i="7"/>
  <c r="H733" i="7"/>
  <c r="I733" i="7"/>
  <c r="J733" i="7"/>
  <c r="G734" i="7"/>
  <c r="H734" i="7"/>
  <c r="I734" i="7"/>
  <c r="J734" i="7"/>
  <c r="G735" i="7"/>
  <c r="H735" i="7"/>
  <c r="I735" i="7"/>
  <c r="J735" i="7"/>
  <c r="G736" i="7"/>
  <c r="H736" i="7"/>
  <c r="I736" i="7"/>
  <c r="J736" i="7"/>
  <c r="G737" i="7"/>
  <c r="H737" i="7"/>
  <c r="I737" i="7"/>
  <c r="J737" i="7"/>
  <c r="G738" i="7"/>
  <c r="H738" i="7"/>
  <c r="I738" i="7"/>
  <c r="J738" i="7"/>
  <c r="G739" i="7"/>
  <c r="H739" i="7"/>
  <c r="I739" i="7"/>
  <c r="J739" i="7"/>
  <c r="G740" i="7"/>
  <c r="H740" i="7"/>
  <c r="I740" i="7"/>
  <c r="J740" i="7"/>
  <c r="G741" i="7"/>
  <c r="H741" i="7"/>
  <c r="I741" i="7"/>
  <c r="J741" i="7"/>
  <c r="G742" i="7"/>
  <c r="H742" i="7"/>
  <c r="I742" i="7"/>
  <c r="J742" i="7"/>
  <c r="G743" i="7"/>
  <c r="H743" i="7"/>
  <c r="I743" i="7"/>
  <c r="J743" i="7"/>
  <c r="G744" i="7"/>
  <c r="H744" i="7"/>
  <c r="I744" i="7"/>
  <c r="J744" i="7"/>
  <c r="G745" i="7"/>
  <c r="H745" i="7"/>
  <c r="I745" i="7"/>
  <c r="J745" i="7"/>
  <c r="G746" i="7"/>
  <c r="H746" i="7"/>
  <c r="I746" i="7"/>
  <c r="J746" i="7"/>
  <c r="G747" i="7"/>
  <c r="H747" i="7"/>
  <c r="I747" i="7"/>
  <c r="J747" i="7"/>
  <c r="G748" i="7"/>
  <c r="H748" i="7"/>
  <c r="I748" i="7"/>
  <c r="J748" i="7"/>
  <c r="G749" i="7"/>
  <c r="H749" i="7"/>
  <c r="I749" i="7"/>
  <c r="J749" i="7"/>
  <c r="G750" i="7"/>
  <c r="H750" i="7"/>
  <c r="I750" i="7"/>
  <c r="J750" i="7"/>
  <c r="G751" i="7"/>
  <c r="H751" i="7"/>
  <c r="I751" i="7"/>
  <c r="J751" i="7"/>
  <c r="G752" i="7"/>
  <c r="H752" i="7"/>
  <c r="I752" i="7"/>
  <c r="J752" i="7"/>
  <c r="G753" i="7"/>
  <c r="H753" i="7"/>
  <c r="I753" i="7"/>
  <c r="J753" i="7"/>
  <c r="G754" i="7"/>
  <c r="H754" i="7"/>
  <c r="I754" i="7"/>
  <c r="J754" i="7"/>
  <c r="G755" i="7"/>
  <c r="H755" i="7"/>
  <c r="I755" i="7"/>
  <c r="J755" i="7"/>
  <c r="G756" i="7"/>
  <c r="H756" i="7"/>
  <c r="I756" i="7"/>
  <c r="J756" i="7"/>
  <c r="G757" i="7"/>
  <c r="H757" i="7"/>
  <c r="I757" i="7"/>
  <c r="J757" i="7"/>
  <c r="G758" i="7"/>
  <c r="H758" i="7"/>
  <c r="I758" i="7"/>
  <c r="J758" i="7"/>
  <c r="G759" i="7"/>
  <c r="H759" i="7"/>
  <c r="I759" i="7"/>
  <c r="J759" i="7"/>
  <c r="G760" i="7"/>
  <c r="H760" i="7"/>
  <c r="I760" i="7"/>
  <c r="J760" i="7"/>
  <c r="G761" i="7"/>
  <c r="H761" i="7"/>
  <c r="I761" i="7"/>
  <c r="J761" i="7"/>
  <c r="G762" i="7"/>
  <c r="H762" i="7"/>
  <c r="I762" i="7"/>
  <c r="J762" i="7"/>
  <c r="G763" i="7"/>
  <c r="H763" i="7"/>
  <c r="I763" i="7"/>
  <c r="J763" i="7"/>
  <c r="G764" i="7"/>
  <c r="H764" i="7"/>
  <c r="I764" i="7"/>
  <c r="J764" i="7"/>
  <c r="G765" i="7"/>
  <c r="H765" i="7"/>
  <c r="I765" i="7"/>
  <c r="J765" i="7"/>
  <c r="G766" i="7"/>
  <c r="H766" i="7"/>
  <c r="I766" i="7"/>
  <c r="J766" i="7"/>
  <c r="G767" i="7"/>
  <c r="H767" i="7"/>
  <c r="I767" i="7"/>
  <c r="J767" i="7"/>
  <c r="G768" i="7"/>
  <c r="H768" i="7"/>
  <c r="I768" i="7"/>
  <c r="J768" i="7"/>
  <c r="G769" i="7"/>
  <c r="H769" i="7"/>
  <c r="I769" i="7"/>
  <c r="J769" i="7"/>
  <c r="G770" i="7"/>
  <c r="H770" i="7"/>
  <c r="I770" i="7"/>
  <c r="J770" i="7"/>
  <c r="G771" i="7"/>
  <c r="H771" i="7"/>
  <c r="I771" i="7"/>
  <c r="J771" i="7"/>
  <c r="G772" i="7"/>
  <c r="H772" i="7"/>
  <c r="I772" i="7"/>
  <c r="J772" i="7"/>
  <c r="G773" i="7"/>
  <c r="H773" i="7"/>
  <c r="I773" i="7"/>
  <c r="J773" i="7"/>
  <c r="G774" i="7"/>
  <c r="H774" i="7"/>
  <c r="I774" i="7"/>
  <c r="J774" i="7"/>
  <c r="G775" i="7"/>
  <c r="H775" i="7"/>
  <c r="I775" i="7"/>
  <c r="J775" i="7"/>
  <c r="G776" i="7"/>
  <c r="H776" i="7"/>
  <c r="I776" i="7"/>
  <c r="J776" i="7"/>
  <c r="G777" i="7"/>
  <c r="H777" i="7"/>
  <c r="I777" i="7"/>
  <c r="J777" i="7"/>
  <c r="G778" i="7"/>
  <c r="H778" i="7"/>
  <c r="I778" i="7"/>
  <c r="J778" i="7"/>
  <c r="G779" i="7"/>
  <c r="H779" i="7"/>
  <c r="I779" i="7"/>
  <c r="J779" i="7"/>
  <c r="G780" i="7"/>
  <c r="H780" i="7"/>
  <c r="I780" i="7"/>
  <c r="J780" i="7"/>
  <c r="G781" i="7"/>
  <c r="H781" i="7"/>
  <c r="I781" i="7"/>
  <c r="J781" i="7"/>
  <c r="G782" i="7"/>
  <c r="H782" i="7"/>
  <c r="I782" i="7"/>
  <c r="J782" i="7"/>
  <c r="G783" i="7"/>
  <c r="H783" i="7"/>
  <c r="I783" i="7"/>
  <c r="J783" i="7"/>
  <c r="G784" i="7"/>
  <c r="H784" i="7"/>
  <c r="I784" i="7"/>
  <c r="J784" i="7"/>
  <c r="G785" i="7"/>
  <c r="H785" i="7"/>
  <c r="I785" i="7"/>
  <c r="J785" i="7"/>
  <c r="G786" i="7"/>
  <c r="H786" i="7"/>
  <c r="I786" i="7"/>
  <c r="J786" i="7"/>
  <c r="G787" i="7"/>
  <c r="H787" i="7"/>
  <c r="I787" i="7"/>
  <c r="J787" i="7"/>
  <c r="G788" i="7"/>
  <c r="H788" i="7"/>
  <c r="I788" i="7"/>
  <c r="J788" i="7"/>
  <c r="G789" i="7"/>
  <c r="H789" i="7"/>
  <c r="I789" i="7"/>
  <c r="J789" i="7"/>
  <c r="G790" i="7"/>
  <c r="H790" i="7"/>
  <c r="I790" i="7"/>
  <c r="J790" i="7"/>
  <c r="G791" i="7"/>
  <c r="H791" i="7"/>
  <c r="I791" i="7"/>
  <c r="J791" i="7"/>
  <c r="G792" i="7"/>
  <c r="H792" i="7"/>
  <c r="I792" i="7"/>
  <c r="J792" i="7"/>
  <c r="G793" i="7"/>
  <c r="H793" i="7"/>
  <c r="I793" i="7"/>
  <c r="J793" i="7"/>
  <c r="G794" i="7"/>
  <c r="H794" i="7"/>
  <c r="I794" i="7"/>
  <c r="J794" i="7"/>
  <c r="G795" i="7"/>
  <c r="H795" i="7"/>
  <c r="I795" i="7"/>
  <c r="J795" i="7"/>
  <c r="G796" i="7"/>
  <c r="H796" i="7"/>
  <c r="I796" i="7"/>
  <c r="J796" i="7"/>
  <c r="G797" i="7"/>
  <c r="H797" i="7"/>
  <c r="I797" i="7"/>
  <c r="J797" i="7"/>
  <c r="G798" i="7"/>
  <c r="H798" i="7"/>
  <c r="I798" i="7"/>
  <c r="J798" i="7"/>
  <c r="G799" i="7"/>
  <c r="H799" i="7"/>
  <c r="I799" i="7"/>
  <c r="J799" i="7"/>
  <c r="G800" i="7"/>
  <c r="H800" i="7"/>
  <c r="I800" i="7"/>
  <c r="J800" i="7"/>
  <c r="G801" i="7"/>
  <c r="H801" i="7"/>
  <c r="I801" i="7"/>
  <c r="J801" i="7"/>
  <c r="G802" i="7"/>
  <c r="H802" i="7"/>
  <c r="I802" i="7"/>
  <c r="J802" i="7"/>
  <c r="G803" i="7"/>
  <c r="H803" i="7"/>
  <c r="I803" i="7"/>
  <c r="J803" i="7"/>
  <c r="G804" i="7"/>
  <c r="H804" i="7"/>
  <c r="I804" i="7"/>
  <c r="J804" i="7"/>
  <c r="G805" i="7"/>
  <c r="H805" i="7"/>
  <c r="I805" i="7"/>
  <c r="J805" i="7"/>
  <c r="G806" i="7"/>
  <c r="H806" i="7"/>
  <c r="I806" i="7"/>
  <c r="J806" i="7"/>
  <c r="G807" i="7"/>
  <c r="H807" i="7"/>
  <c r="I807" i="7"/>
  <c r="J807" i="7"/>
  <c r="G808" i="7"/>
  <c r="H808" i="7"/>
  <c r="I808" i="7"/>
  <c r="J808" i="7"/>
  <c r="G809" i="7"/>
  <c r="H809" i="7"/>
  <c r="I809" i="7"/>
  <c r="J809" i="7"/>
  <c r="G810" i="7"/>
  <c r="H810" i="7"/>
  <c r="I810" i="7"/>
  <c r="J810" i="7"/>
  <c r="G811" i="7"/>
  <c r="H811" i="7"/>
  <c r="I811" i="7"/>
  <c r="J811" i="7"/>
  <c r="G812" i="7"/>
  <c r="H812" i="7"/>
  <c r="I812" i="7"/>
  <c r="J812" i="7"/>
  <c r="G813" i="7"/>
  <c r="H813" i="7"/>
  <c r="I813" i="7"/>
  <c r="J813" i="7"/>
  <c r="G814" i="7"/>
  <c r="H814" i="7"/>
  <c r="I814" i="7"/>
  <c r="J814" i="7"/>
  <c r="G815" i="7"/>
  <c r="H815" i="7"/>
  <c r="I815" i="7"/>
  <c r="J815" i="7"/>
  <c r="G816" i="7"/>
  <c r="H816" i="7"/>
  <c r="I816" i="7"/>
  <c r="J816" i="7"/>
  <c r="G817" i="7"/>
  <c r="H817" i="7"/>
  <c r="I817" i="7"/>
  <c r="J817" i="7"/>
  <c r="G818" i="7"/>
  <c r="H818" i="7"/>
  <c r="I818" i="7"/>
  <c r="J818" i="7"/>
  <c r="G819" i="7"/>
  <c r="H819" i="7"/>
  <c r="I819" i="7"/>
  <c r="J819" i="7"/>
  <c r="G820" i="7"/>
  <c r="H820" i="7"/>
  <c r="I820" i="7"/>
  <c r="J820" i="7"/>
  <c r="G821" i="7"/>
  <c r="H821" i="7"/>
  <c r="I821" i="7"/>
  <c r="J821" i="7"/>
  <c r="G822" i="7"/>
  <c r="H822" i="7"/>
  <c r="I822" i="7"/>
  <c r="J822" i="7"/>
  <c r="G823" i="7"/>
  <c r="H823" i="7"/>
  <c r="I823" i="7"/>
  <c r="J823" i="7"/>
  <c r="G824" i="7"/>
  <c r="H824" i="7"/>
  <c r="I824" i="7"/>
  <c r="J824" i="7"/>
  <c r="G825" i="7"/>
  <c r="H825" i="7"/>
  <c r="I825" i="7"/>
  <c r="J825" i="7"/>
  <c r="G826" i="7"/>
  <c r="H826" i="7"/>
  <c r="I826" i="7"/>
  <c r="J826" i="7"/>
  <c r="G827" i="7"/>
  <c r="H827" i="7"/>
  <c r="I827" i="7"/>
  <c r="J827" i="7"/>
  <c r="G828" i="7"/>
  <c r="H828" i="7"/>
  <c r="I828" i="7"/>
  <c r="J828" i="7"/>
  <c r="G829" i="7"/>
  <c r="H829" i="7"/>
  <c r="I829" i="7"/>
  <c r="J829" i="7"/>
  <c r="G830" i="7"/>
  <c r="H830" i="7"/>
  <c r="I830" i="7"/>
  <c r="J830" i="7"/>
  <c r="G831" i="7"/>
  <c r="H831" i="7"/>
  <c r="I831" i="7"/>
  <c r="J831" i="7"/>
  <c r="G832" i="7"/>
  <c r="H832" i="7"/>
  <c r="I832" i="7"/>
  <c r="J832" i="7"/>
  <c r="G833" i="7"/>
  <c r="H833" i="7"/>
  <c r="I833" i="7"/>
  <c r="J833" i="7"/>
  <c r="G834" i="7"/>
  <c r="H834" i="7"/>
  <c r="I834" i="7"/>
  <c r="J834" i="7"/>
  <c r="G835" i="7"/>
  <c r="H835" i="7"/>
  <c r="I835" i="7"/>
  <c r="J835" i="7"/>
  <c r="G836" i="7"/>
  <c r="H836" i="7"/>
  <c r="I836" i="7"/>
  <c r="J836" i="7"/>
  <c r="G837" i="7"/>
  <c r="H837" i="7"/>
  <c r="I837" i="7"/>
  <c r="J837" i="7"/>
  <c r="G838" i="7"/>
  <c r="H838" i="7"/>
  <c r="I838" i="7"/>
  <c r="J838" i="7"/>
  <c r="G839" i="7"/>
  <c r="H839" i="7"/>
  <c r="I839" i="7"/>
  <c r="J839" i="7"/>
  <c r="G840" i="7"/>
  <c r="H840" i="7"/>
  <c r="I840" i="7"/>
  <c r="J840" i="7"/>
  <c r="G841" i="7"/>
  <c r="H841" i="7"/>
  <c r="I841" i="7"/>
  <c r="J841" i="7"/>
  <c r="G842" i="7"/>
  <c r="H842" i="7"/>
  <c r="I842" i="7"/>
  <c r="J842" i="7"/>
  <c r="G843" i="7"/>
  <c r="H843" i="7"/>
  <c r="I843" i="7"/>
  <c r="J843" i="7"/>
  <c r="G844" i="7"/>
  <c r="H844" i="7"/>
  <c r="I844" i="7"/>
  <c r="J844" i="7"/>
  <c r="G845" i="7"/>
  <c r="H845" i="7"/>
  <c r="I845" i="7"/>
  <c r="J845" i="7"/>
  <c r="G846" i="7"/>
  <c r="H846" i="7"/>
  <c r="I846" i="7"/>
  <c r="J846" i="7"/>
  <c r="G847" i="7"/>
  <c r="H847" i="7"/>
  <c r="I847" i="7"/>
  <c r="J847" i="7"/>
  <c r="G848" i="7"/>
  <c r="H848" i="7"/>
  <c r="I848" i="7"/>
  <c r="J848" i="7"/>
  <c r="G849" i="7"/>
  <c r="H849" i="7"/>
  <c r="I849" i="7"/>
  <c r="J849" i="7"/>
  <c r="G850" i="7"/>
  <c r="H850" i="7"/>
  <c r="I850" i="7"/>
  <c r="J850" i="7"/>
  <c r="G851" i="7"/>
  <c r="H851" i="7"/>
  <c r="I851" i="7"/>
  <c r="J851" i="7"/>
  <c r="G852" i="7"/>
  <c r="H852" i="7"/>
  <c r="I852" i="7"/>
  <c r="J852" i="7"/>
  <c r="G853" i="7"/>
  <c r="H853" i="7"/>
  <c r="I853" i="7"/>
  <c r="J853" i="7"/>
  <c r="G854" i="7"/>
  <c r="H854" i="7"/>
  <c r="I854" i="7"/>
  <c r="J854" i="7"/>
  <c r="G855" i="7"/>
  <c r="H855" i="7"/>
  <c r="I855" i="7"/>
  <c r="J855" i="7"/>
  <c r="G856" i="7"/>
  <c r="H856" i="7"/>
  <c r="I856" i="7"/>
  <c r="J856" i="7"/>
  <c r="G857" i="7"/>
  <c r="H857" i="7"/>
  <c r="I857" i="7"/>
  <c r="J857" i="7"/>
  <c r="G858" i="7"/>
  <c r="H858" i="7"/>
  <c r="I858" i="7"/>
  <c r="J858" i="7"/>
  <c r="G859" i="7"/>
  <c r="H859" i="7"/>
  <c r="I859" i="7"/>
  <c r="J859" i="7"/>
  <c r="G860" i="7"/>
  <c r="H860" i="7"/>
  <c r="I860" i="7"/>
  <c r="J860" i="7"/>
  <c r="G861" i="7"/>
  <c r="H861" i="7"/>
  <c r="I861" i="7"/>
  <c r="J861" i="7"/>
  <c r="G862" i="7"/>
  <c r="H862" i="7"/>
  <c r="I862" i="7"/>
  <c r="J862" i="7"/>
  <c r="G863" i="7"/>
  <c r="H863" i="7"/>
  <c r="I863" i="7"/>
  <c r="J863" i="7"/>
  <c r="G864" i="7"/>
  <c r="H864" i="7"/>
  <c r="I864" i="7"/>
  <c r="J864" i="7"/>
  <c r="G865" i="7"/>
  <c r="H865" i="7"/>
  <c r="I865" i="7"/>
  <c r="J865" i="7"/>
  <c r="G866" i="7"/>
  <c r="H866" i="7"/>
  <c r="I866" i="7"/>
  <c r="J866" i="7"/>
  <c r="G867" i="7"/>
  <c r="H867" i="7"/>
  <c r="I867" i="7"/>
  <c r="J867" i="7"/>
  <c r="G868" i="7"/>
  <c r="H868" i="7"/>
  <c r="I868" i="7"/>
  <c r="J868" i="7"/>
  <c r="G869" i="7"/>
  <c r="H869" i="7"/>
  <c r="I869" i="7"/>
  <c r="J869" i="7"/>
  <c r="G870" i="7"/>
  <c r="H870" i="7"/>
  <c r="I870" i="7"/>
  <c r="J870" i="7"/>
  <c r="G871" i="7"/>
  <c r="H871" i="7"/>
  <c r="I871" i="7"/>
  <c r="J871" i="7"/>
  <c r="G872" i="7"/>
  <c r="H872" i="7"/>
  <c r="I872" i="7"/>
  <c r="J872" i="7"/>
  <c r="G873" i="7"/>
  <c r="H873" i="7"/>
  <c r="I873" i="7"/>
  <c r="J873" i="7"/>
  <c r="G874" i="7"/>
  <c r="H874" i="7"/>
  <c r="I874" i="7"/>
  <c r="J874" i="7"/>
  <c r="G875" i="7"/>
  <c r="H875" i="7"/>
  <c r="I875" i="7"/>
  <c r="J875" i="7"/>
  <c r="G876" i="7"/>
  <c r="H876" i="7"/>
  <c r="I876" i="7"/>
  <c r="J876" i="7"/>
  <c r="G877" i="7"/>
  <c r="H877" i="7"/>
  <c r="I877" i="7"/>
  <c r="J877" i="7"/>
  <c r="G878" i="7"/>
  <c r="H878" i="7"/>
  <c r="I878" i="7"/>
  <c r="J878" i="7"/>
  <c r="G879" i="7"/>
  <c r="H879" i="7"/>
  <c r="I879" i="7"/>
  <c r="J879" i="7"/>
  <c r="G880" i="7"/>
  <c r="H880" i="7"/>
  <c r="I880" i="7"/>
  <c r="J880" i="7"/>
  <c r="G881" i="7"/>
  <c r="H881" i="7"/>
  <c r="I881" i="7"/>
  <c r="J881" i="7"/>
  <c r="G882" i="7"/>
  <c r="H882" i="7"/>
  <c r="I882" i="7"/>
  <c r="J882" i="7"/>
  <c r="G883" i="7"/>
  <c r="H883" i="7"/>
  <c r="I883" i="7"/>
  <c r="J883" i="7"/>
  <c r="G884" i="7"/>
  <c r="H884" i="7"/>
  <c r="I884" i="7"/>
  <c r="J884" i="7"/>
  <c r="G885" i="7"/>
  <c r="H885" i="7"/>
  <c r="I885" i="7"/>
  <c r="J885" i="7"/>
  <c r="G886" i="7"/>
  <c r="H886" i="7"/>
  <c r="I886" i="7"/>
  <c r="J886" i="7"/>
  <c r="G887" i="7"/>
  <c r="H887" i="7"/>
  <c r="I887" i="7"/>
  <c r="J887" i="7"/>
  <c r="G888" i="7"/>
  <c r="H888" i="7"/>
  <c r="I888" i="7"/>
  <c r="J888" i="7"/>
  <c r="G889" i="7"/>
  <c r="H889" i="7"/>
  <c r="I889" i="7"/>
  <c r="J889" i="7"/>
  <c r="G890" i="7"/>
  <c r="H890" i="7"/>
  <c r="I890" i="7"/>
  <c r="J890" i="7"/>
  <c r="G891" i="7"/>
  <c r="H891" i="7"/>
  <c r="I891" i="7"/>
  <c r="J891" i="7"/>
  <c r="G892" i="7"/>
  <c r="H892" i="7"/>
  <c r="I892" i="7"/>
  <c r="J892" i="7"/>
  <c r="G893" i="7"/>
  <c r="H893" i="7"/>
  <c r="I893" i="7"/>
  <c r="J893" i="7"/>
  <c r="G894" i="7"/>
  <c r="H894" i="7"/>
  <c r="I894" i="7"/>
  <c r="J894" i="7"/>
  <c r="G895" i="7"/>
  <c r="H895" i="7"/>
  <c r="I895" i="7"/>
  <c r="J895" i="7"/>
  <c r="G896" i="7"/>
  <c r="H896" i="7"/>
  <c r="I896" i="7"/>
  <c r="J896" i="7"/>
  <c r="G897" i="7"/>
  <c r="H897" i="7"/>
  <c r="I897" i="7"/>
  <c r="J897" i="7"/>
  <c r="G898" i="7"/>
  <c r="H898" i="7"/>
  <c r="I898" i="7"/>
  <c r="J898" i="7"/>
  <c r="G899" i="7"/>
  <c r="H899" i="7"/>
  <c r="I899" i="7"/>
  <c r="J899" i="7"/>
  <c r="G900" i="7"/>
  <c r="H900" i="7"/>
  <c r="I900" i="7"/>
  <c r="J900" i="7"/>
  <c r="G901" i="7"/>
  <c r="H901" i="7"/>
  <c r="I901" i="7"/>
  <c r="J901" i="7"/>
  <c r="G902" i="7"/>
  <c r="H902" i="7"/>
  <c r="I902" i="7"/>
  <c r="J902" i="7"/>
  <c r="G903" i="7"/>
  <c r="H903" i="7"/>
  <c r="I903" i="7"/>
  <c r="J903" i="7"/>
  <c r="G904" i="7"/>
  <c r="H904" i="7"/>
  <c r="I904" i="7"/>
  <c r="J904" i="7"/>
  <c r="G905" i="7"/>
  <c r="H905" i="7"/>
  <c r="I905" i="7"/>
  <c r="J905" i="7"/>
  <c r="G906" i="7"/>
  <c r="H906" i="7"/>
  <c r="I906" i="7"/>
  <c r="J906" i="7"/>
  <c r="G907" i="7"/>
  <c r="H907" i="7"/>
  <c r="I907" i="7"/>
  <c r="J907" i="7"/>
  <c r="G908" i="7"/>
  <c r="H908" i="7"/>
  <c r="I908" i="7"/>
  <c r="J908" i="7"/>
  <c r="G909" i="7"/>
  <c r="H909" i="7"/>
  <c r="I909" i="7"/>
  <c r="J909" i="7"/>
  <c r="G910" i="7"/>
  <c r="H910" i="7"/>
  <c r="I910" i="7"/>
  <c r="J910" i="7"/>
  <c r="G911" i="7"/>
  <c r="H911" i="7"/>
  <c r="I911" i="7"/>
  <c r="J911" i="7"/>
  <c r="G912" i="7"/>
  <c r="H912" i="7"/>
  <c r="I912" i="7"/>
  <c r="J912" i="7"/>
  <c r="G913" i="7"/>
  <c r="H913" i="7"/>
  <c r="I913" i="7"/>
  <c r="J913" i="7"/>
  <c r="G914" i="7"/>
  <c r="H914" i="7"/>
  <c r="I914" i="7"/>
  <c r="J914" i="7"/>
  <c r="G915" i="7"/>
  <c r="H915" i="7"/>
  <c r="I915" i="7"/>
  <c r="J915" i="7"/>
  <c r="G916" i="7"/>
  <c r="H916" i="7"/>
  <c r="I916" i="7"/>
  <c r="J916" i="7"/>
  <c r="G917" i="7"/>
  <c r="H917" i="7"/>
  <c r="I917" i="7"/>
  <c r="J917" i="7"/>
  <c r="G918" i="7"/>
  <c r="H918" i="7"/>
  <c r="I918" i="7"/>
  <c r="J918" i="7"/>
  <c r="G919" i="7"/>
  <c r="H919" i="7"/>
  <c r="I919" i="7"/>
  <c r="J919" i="7"/>
  <c r="G920" i="7"/>
  <c r="H920" i="7"/>
  <c r="I920" i="7"/>
  <c r="J920" i="7"/>
  <c r="G921" i="7"/>
  <c r="H921" i="7"/>
  <c r="I921" i="7"/>
  <c r="J921" i="7"/>
  <c r="G922" i="7"/>
  <c r="H922" i="7"/>
  <c r="I922" i="7"/>
  <c r="J922" i="7"/>
  <c r="G923" i="7"/>
  <c r="H923" i="7"/>
  <c r="I923" i="7"/>
  <c r="J923" i="7"/>
  <c r="G924" i="7"/>
  <c r="H924" i="7"/>
  <c r="I924" i="7"/>
  <c r="J924" i="7"/>
  <c r="G925" i="7"/>
  <c r="H925" i="7"/>
  <c r="I925" i="7"/>
  <c r="J925" i="7"/>
  <c r="G926" i="7"/>
  <c r="H926" i="7"/>
  <c r="I926" i="7"/>
  <c r="J926" i="7"/>
  <c r="G927" i="7"/>
  <c r="H927" i="7"/>
  <c r="I927" i="7"/>
  <c r="J927" i="7"/>
  <c r="G928" i="7"/>
  <c r="H928" i="7"/>
  <c r="I928" i="7"/>
  <c r="J928" i="7"/>
  <c r="G929" i="7"/>
  <c r="H929" i="7"/>
  <c r="I929" i="7"/>
  <c r="J929" i="7"/>
  <c r="G930" i="7"/>
  <c r="H930" i="7"/>
  <c r="I930" i="7"/>
  <c r="J930" i="7"/>
  <c r="G931" i="7"/>
  <c r="H931" i="7"/>
  <c r="I931" i="7"/>
  <c r="J931" i="7"/>
  <c r="G932" i="7"/>
  <c r="H932" i="7"/>
  <c r="I932" i="7"/>
  <c r="J932" i="7"/>
  <c r="G933" i="7"/>
  <c r="H933" i="7"/>
  <c r="I933" i="7"/>
  <c r="J933" i="7"/>
  <c r="G934" i="7"/>
  <c r="H934" i="7"/>
  <c r="I934" i="7"/>
  <c r="J934" i="7"/>
  <c r="G935" i="7"/>
  <c r="H935" i="7"/>
  <c r="I935" i="7"/>
  <c r="J935" i="7"/>
  <c r="G936" i="7"/>
  <c r="H936" i="7"/>
  <c r="I936" i="7"/>
  <c r="J936" i="7"/>
  <c r="G937" i="7"/>
  <c r="H937" i="7"/>
  <c r="I937" i="7"/>
  <c r="J937" i="7"/>
  <c r="G938" i="7"/>
  <c r="H938" i="7"/>
  <c r="I938" i="7"/>
  <c r="J938" i="7"/>
  <c r="G939" i="7"/>
  <c r="H939" i="7"/>
  <c r="I939" i="7"/>
  <c r="J939" i="7"/>
  <c r="G940" i="7"/>
  <c r="H940" i="7"/>
  <c r="I940" i="7"/>
  <c r="J940" i="7"/>
  <c r="G941" i="7"/>
  <c r="H941" i="7"/>
  <c r="I941" i="7"/>
  <c r="J941" i="7"/>
  <c r="G942" i="7"/>
  <c r="H942" i="7"/>
  <c r="I942" i="7"/>
  <c r="J942" i="7"/>
  <c r="G943" i="7"/>
  <c r="H943" i="7"/>
  <c r="I943" i="7"/>
  <c r="J943" i="7"/>
  <c r="G944" i="7"/>
  <c r="H944" i="7"/>
  <c r="I944" i="7"/>
  <c r="J944" i="7"/>
  <c r="G945" i="7"/>
  <c r="H945" i="7"/>
  <c r="I945" i="7"/>
  <c r="J945" i="7"/>
  <c r="G946" i="7"/>
  <c r="H946" i="7"/>
  <c r="I946" i="7"/>
  <c r="J946" i="7"/>
  <c r="G947" i="7"/>
  <c r="H947" i="7"/>
  <c r="I947" i="7"/>
  <c r="J947" i="7"/>
  <c r="G948" i="7"/>
  <c r="H948" i="7"/>
  <c r="I948" i="7"/>
  <c r="J948" i="7"/>
  <c r="G949" i="7"/>
  <c r="H949" i="7"/>
  <c r="I949" i="7"/>
  <c r="J949" i="7"/>
  <c r="G950" i="7"/>
  <c r="H950" i="7"/>
  <c r="I950" i="7"/>
  <c r="J950" i="7"/>
  <c r="G951" i="7"/>
  <c r="H951" i="7"/>
  <c r="I951" i="7"/>
  <c r="J951" i="7"/>
  <c r="G952" i="7"/>
  <c r="H952" i="7"/>
  <c r="I952" i="7"/>
  <c r="J952" i="7"/>
  <c r="G953" i="7"/>
  <c r="H953" i="7"/>
  <c r="I953" i="7"/>
  <c r="J953" i="7"/>
  <c r="G954" i="7"/>
  <c r="H954" i="7"/>
  <c r="I954" i="7"/>
  <c r="J954" i="7"/>
  <c r="G955" i="7"/>
  <c r="H955" i="7"/>
  <c r="I955" i="7"/>
  <c r="J955" i="7"/>
  <c r="G956" i="7"/>
  <c r="H956" i="7"/>
  <c r="I956" i="7"/>
  <c r="J956" i="7"/>
  <c r="G957" i="7"/>
  <c r="H957" i="7"/>
  <c r="I957" i="7"/>
  <c r="J957" i="7"/>
  <c r="G958" i="7"/>
  <c r="H958" i="7"/>
  <c r="I958" i="7"/>
  <c r="J958" i="7"/>
  <c r="G959" i="7"/>
  <c r="H959" i="7"/>
  <c r="I959" i="7"/>
  <c r="J959" i="7"/>
  <c r="G960" i="7"/>
  <c r="H960" i="7"/>
  <c r="I960" i="7"/>
  <c r="J960" i="7"/>
  <c r="G961" i="7"/>
  <c r="H961" i="7"/>
  <c r="I961" i="7"/>
  <c r="J961" i="7"/>
  <c r="G962" i="7"/>
  <c r="H962" i="7"/>
  <c r="I962" i="7"/>
  <c r="J962" i="7"/>
  <c r="G963" i="7"/>
  <c r="H963" i="7"/>
  <c r="I963" i="7"/>
  <c r="J963" i="7"/>
  <c r="G964" i="7"/>
  <c r="H964" i="7"/>
  <c r="I964" i="7"/>
  <c r="J964" i="7"/>
  <c r="G965" i="7"/>
  <c r="H965" i="7"/>
  <c r="I965" i="7"/>
  <c r="J965" i="7"/>
  <c r="G966" i="7"/>
  <c r="H966" i="7"/>
  <c r="I966" i="7"/>
  <c r="J966" i="7"/>
  <c r="G967" i="7"/>
  <c r="H967" i="7"/>
  <c r="I967" i="7"/>
  <c r="J967" i="7"/>
  <c r="G968" i="7"/>
  <c r="H968" i="7"/>
  <c r="I968" i="7"/>
  <c r="J968" i="7"/>
  <c r="G969" i="7"/>
  <c r="H969" i="7"/>
  <c r="I969" i="7"/>
  <c r="J969" i="7"/>
  <c r="G970" i="7"/>
  <c r="H970" i="7"/>
  <c r="I970" i="7"/>
  <c r="J970" i="7"/>
  <c r="G971" i="7"/>
  <c r="H971" i="7"/>
  <c r="I971" i="7"/>
  <c r="J971" i="7"/>
  <c r="G972" i="7"/>
  <c r="H972" i="7"/>
  <c r="I972" i="7"/>
  <c r="J972" i="7"/>
  <c r="G973" i="7"/>
  <c r="H973" i="7"/>
  <c r="I973" i="7"/>
  <c r="J973" i="7"/>
  <c r="G974" i="7"/>
  <c r="H974" i="7"/>
  <c r="I974" i="7"/>
  <c r="J974" i="7"/>
  <c r="G975" i="7"/>
  <c r="H975" i="7"/>
  <c r="I975" i="7"/>
  <c r="J975" i="7"/>
  <c r="G976" i="7"/>
  <c r="H976" i="7"/>
  <c r="I976" i="7"/>
  <c r="J976" i="7"/>
  <c r="G977" i="7"/>
  <c r="H977" i="7"/>
  <c r="I977" i="7"/>
  <c r="J977" i="7"/>
  <c r="G978" i="7"/>
  <c r="H978" i="7"/>
  <c r="I978" i="7"/>
  <c r="J978" i="7"/>
  <c r="G979" i="7"/>
  <c r="H979" i="7"/>
  <c r="I979" i="7"/>
  <c r="J979" i="7"/>
  <c r="G980" i="7"/>
  <c r="H980" i="7"/>
  <c r="I980" i="7"/>
  <c r="J980" i="7"/>
  <c r="G981" i="7"/>
  <c r="H981" i="7"/>
  <c r="I981" i="7"/>
  <c r="J981" i="7"/>
  <c r="G982" i="7"/>
  <c r="H982" i="7"/>
  <c r="I982" i="7"/>
  <c r="J982" i="7"/>
  <c r="G983" i="7"/>
  <c r="H983" i="7"/>
  <c r="I983" i="7"/>
  <c r="J983" i="7"/>
  <c r="G984" i="7"/>
  <c r="H984" i="7"/>
  <c r="I984" i="7"/>
  <c r="J984" i="7"/>
  <c r="G985" i="7"/>
  <c r="H985" i="7"/>
  <c r="I985" i="7"/>
  <c r="J985" i="7"/>
  <c r="G986" i="7"/>
  <c r="H986" i="7"/>
  <c r="I986" i="7"/>
  <c r="J986" i="7"/>
  <c r="G987" i="7"/>
  <c r="H987" i="7"/>
  <c r="I987" i="7"/>
  <c r="J987" i="7"/>
  <c r="G988" i="7"/>
  <c r="H988" i="7"/>
  <c r="I988" i="7"/>
  <c r="J988" i="7"/>
  <c r="G989" i="7"/>
  <c r="H989" i="7"/>
  <c r="I989" i="7"/>
  <c r="J989" i="7"/>
  <c r="G990" i="7"/>
  <c r="H990" i="7"/>
  <c r="I990" i="7"/>
  <c r="J990" i="7"/>
  <c r="G991" i="7"/>
  <c r="H991" i="7"/>
  <c r="I991" i="7"/>
  <c r="J991" i="7"/>
  <c r="G992" i="7"/>
  <c r="H992" i="7"/>
  <c r="I992" i="7"/>
  <c r="J992" i="7"/>
  <c r="G993" i="7"/>
  <c r="H993" i="7"/>
  <c r="I993" i="7"/>
  <c r="J993" i="7"/>
  <c r="G994" i="7"/>
  <c r="H994" i="7"/>
  <c r="I994" i="7"/>
  <c r="J994" i="7"/>
  <c r="G995" i="7"/>
  <c r="H995" i="7"/>
  <c r="I995" i="7"/>
  <c r="J995" i="7"/>
  <c r="G996" i="7"/>
  <c r="H996" i="7"/>
  <c r="I996" i="7"/>
  <c r="J996" i="7"/>
  <c r="G997" i="7"/>
  <c r="H997" i="7"/>
  <c r="I997" i="7"/>
  <c r="J997" i="7"/>
  <c r="G998" i="7"/>
  <c r="H998" i="7"/>
  <c r="I998" i="7"/>
  <c r="J998" i="7"/>
  <c r="G999" i="7"/>
  <c r="H999" i="7"/>
  <c r="I999" i="7"/>
  <c r="J999" i="7"/>
  <c r="G1000" i="7"/>
  <c r="H1000" i="7"/>
  <c r="I1000" i="7"/>
  <c r="J1000" i="7"/>
  <c r="G1001" i="7"/>
  <c r="H1001" i="7"/>
  <c r="I1001" i="7"/>
  <c r="J1001" i="7"/>
  <c r="G1002" i="7"/>
  <c r="H1002" i="7"/>
  <c r="I1002" i="7"/>
  <c r="J1002" i="7"/>
  <c r="G1003" i="7"/>
  <c r="H1003" i="7"/>
  <c r="I1003" i="7"/>
  <c r="J1003" i="7"/>
  <c r="G1004" i="7"/>
  <c r="H1004" i="7"/>
  <c r="I1004" i="7"/>
  <c r="J1004" i="7"/>
  <c r="G1005" i="7"/>
  <c r="H1005" i="7"/>
  <c r="I1005" i="7"/>
  <c r="J1005" i="7"/>
  <c r="G1006" i="7"/>
  <c r="H1006" i="7"/>
  <c r="I1006" i="7"/>
  <c r="J1006" i="7"/>
  <c r="G1007" i="7"/>
  <c r="H1007" i="7"/>
  <c r="I1007" i="7"/>
  <c r="J1007" i="7"/>
  <c r="G1008" i="7"/>
  <c r="H1008" i="7"/>
  <c r="I1008" i="7"/>
  <c r="J1008" i="7"/>
  <c r="G1009" i="7"/>
  <c r="H1009" i="7"/>
  <c r="I1009" i="7"/>
  <c r="J1009" i="7"/>
  <c r="G1010" i="7"/>
  <c r="H1010" i="7"/>
  <c r="I1010" i="7"/>
  <c r="J1010" i="7"/>
  <c r="G1011" i="7"/>
  <c r="H1011" i="7"/>
  <c r="I1011" i="7"/>
  <c r="J1011" i="7"/>
  <c r="G1012" i="7"/>
  <c r="H1012" i="7"/>
  <c r="I1012" i="7"/>
  <c r="J1012" i="7"/>
  <c r="G1013" i="7"/>
  <c r="H1013" i="7"/>
  <c r="I1013" i="7"/>
  <c r="J1013" i="7"/>
  <c r="G1014" i="7"/>
  <c r="H1014" i="7"/>
  <c r="I1014" i="7"/>
  <c r="J1014" i="7"/>
  <c r="G1015" i="7"/>
  <c r="H1015" i="7"/>
  <c r="I1015" i="7"/>
  <c r="J1015" i="7"/>
  <c r="G1016" i="7"/>
  <c r="H1016" i="7"/>
  <c r="I1016" i="7"/>
  <c r="J1016" i="7"/>
  <c r="G1017" i="7"/>
  <c r="H1017" i="7"/>
  <c r="I1017" i="7"/>
  <c r="J1017" i="7"/>
  <c r="G1018" i="7"/>
  <c r="H1018" i="7"/>
  <c r="I1018" i="7"/>
  <c r="J1018" i="7"/>
  <c r="G1019" i="7"/>
  <c r="H1019" i="7"/>
  <c r="I1019" i="7"/>
  <c r="J1019" i="7"/>
  <c r="G1020" i="7"/>
  <c r="H1020" i="7"/>
  <c r="I1020" i="7"/>
  <c r="J1020" i="7"/>
  <c r="G1021" i="7"/>
  <c r="H1021" i="7"/>
  <c r="I1021" i="7"/>
  <c r="J1021" i="7"/>
  <c r="G1022" i="7"/>
  <c r="H1022" i="7"/>
  <c r="I1022" i="7"/>
  <c r="J1022" i="7"/>
  <c r="G1023" i="7"/>
  <c r="H1023" i="7"/>
  <c r="I1023" i="7"/>
  <c r="J1023" i="7"/>
  <c r="G1024" i="7"/>
  <c r="H1024" i="7"/>
  <c r="I1024" i="7"/>
  <c r="J1024" i="7"/>
  <c r="G1025" i="7"/>
  <c r="H1025" i="7"/>
  <c r="I1025" i="7"/>
  <c r="J1025" i="7"/>
  <c r="G1026" i="7"/>
  <c r="H1026" i="7"/>
  <c r="I1026" i="7"/>
  <c r="J1026" i="7"/>
  <c r="G1027" i="7"/>
  <c r="H1027" i="7"/>
  <c r="I1027" i="7"/>
  <c r="J1027" i="7"/>
  <c r="G1028" i="7"/>
  <c r="H1028" i="7"/>
  <c r="I1028" i="7"/>
  <c r="J1028" i="7"/>
  <c r="G1029" i="7"/>
  <c r="H1029" i="7"/>
  <c r="I1029" i="7"/>
  <c r="J1029" i="7"/>
  <c r="G1030" i="7"/>
  <c r="H1030" i="7"/>
  <c r="I1030" i="7"/>
  <c r="J1030" i="7"/>
  <c r="G1031" i="7"/>
  <c r="H1031" i="7"/>
  <c r="I1031" i="7"/>
  <c r="J1031" i="7"/>
  <c r="G1032" i="7"/>
  <c r="H1032" i="7"/>
  <c r="I1032" i="7"/>
  <c r="J1032" i="7"/>
  <c r="G1033" i="7"/>
  <c r="H1033" i="7"/>
  <c r="I1033" i="7"/>
  <c r="J1033" i="7"/>
  <c r="G1034" i="7"/>
  <c r="H1034" i="7"/>
  <c r="I1034" i="7"/>
  <c r="J1034" i="7"/>
  <c r="G1035" i="7"/>
  <c r="H1035" i="7"/>
  <c r="I1035" i="7"/>
  <c r="J1035" i="7"/>
  <c r="G1036" i="7"/>
  <c r="H1036" i="7"/>
  <c r="I1036" i="7"/>
  <c r="J1036" i="7"/>
  <c r="G1037" i="7"/>
  <c r="H1037" i="7"/>
  <c r="I1037" i="7"/>
  <c r="J1037" i="7"/>
  <c r="G1038" i="7"/>
  <c r="H1038" i="7"/>
  <c r="I1038" i="7"/>
  <c r="J1038" i="7"/>
  <c r="G1039" i="7"/>
  <c r="H1039" i="7"/>
  <c r="I1039" i="7"/>
  <c r="J1039" i="7"/>
  <c r="G1040" i="7"/>
  <c r="H1040" i="7"/>
  <c r="I1040" i="7"/>
  <c r="J1040" i="7"/>
  <c r="G1041" i="7"/>
  <c r="H1041" i="7"/>
  <c r="I1041" i="7"/>
  <c r="J1041" i="7"/>
  <c r="G1042" i="7"/>
  <c r="H1042" i="7"/>
  <c r="I1042" i="7"/>
  <c r="J1042" i="7"/>
  <c r="G1043" i="7"/>
  <c r="H1043" i="7"/>
  <c r="I1043" i="7"/>
  <c r="J1043" i="7"/>
  <c r="G1044" i="7"/>
  <c r="H1044" i="7"/>
  <c r="I1044" i="7"/>
  <c r="J1044" i="7"/>
  <c r="G1045" i="7"/>
  <c r="H1045" i="7"/>
  <c r="I1045" i="7"/>
  <c r="J1045" i="7"/>
  <c r="G1046" i="7"/>
  <c r="H1046" i="7"/>
  <c r="I1046" i="7"/>
  <c r="J1046" i="7"/>
  <c r="G1047" i="7"/>
  <c r="H1047" i="7"/>
  <c r="I1047" i="7"/>
  <c r="J1047" i="7"/>
  <c r="G1048" i="7"/>
  <c r="H1048" i="7"/>
  <c r="I1048" i="7"/>
  <c r="J1048" i="7"/>
  <c r="G1049" i="7"/>
  <c r="H1049" i="7"/>
  <c r="I1049" i="7"/>
  <c r="J1049" i="7"/>
  <c r="G1050" i="7"/>
  <c r="H1050" i="7"/>
  <c r="I1050" i="7"/>
  <c r="J1050" i="7"/>
  <c r="G1051" i="7"/>
  <c r="H1051" i="7"/>
  <c r="I1051" i="7"/>
  <c r="J1051" i="7"/>
  <c r="G1052" i="7"/>
  <c r="H1052" i="7"/>
  <c r="I1052" i="7"/>
  <c r="J1052" i="7"/>
  <c r="G1053" i="7"/>
  <c r="H1053" i="7"/>
  <c r="I1053" i="7"/>
  <c r="J1053" i="7"/>
  <c r="G1054" i="7"/>
  <c r="H1054" i="7"/>
  <c r="I1054" i="7"/>
  <c r="J1054" i="7"/>
  <c r="G1055" i="7"/>
  <c r="H1055" i="7"/>
  <c r="I1055" i="7"/>
  <c r="J1055" i="7"/>
  <c r="G1056" i="7"/>
  <c r="H1056" i="7"/>
  <c r="I1056" i="7"/>
  <c r="J1056" i="7"/>
  <c r="G1057" i="7"/>
  <c r="H1057" i="7"/>
  <c r="I1057" i="7"/>
  <c r="J1057" i="7"/>
  <c r="G1058" i="7"/>
  <c r="H1058" i="7"/>
  <c r="I1058" i="7"/>
  <c r="J1058" i="7"/>
  <c r="G1059" i="7"/>
  <c r="H1059" i="7"/>
  <c r="I1059" i="7"/>
  <c r="J1059" i="7"/>
  <c r="G1060" i="7"/>
  <c r="H1060" i="7"/>
  <c r="I1060" i="7"/>
  <c r="J1060" i="7"/>
  <c r="G1061" i="7"/>
  <c r="H1061" i="7"/>
  <c r="I1061" i="7"/>
  <c r="J1061" i="7"/>
  <c r="G1062" i="7"/>
  <c r="H1062" i="7"/>
  <c r="I1062" i="7"/>
  <c r="J1062" i="7"/>
  <c r="G1063" i="7"/>
  <c r="H1063" i="7"/>
  <c r="I1063" i="7"/>
  <c r="J1063" i="7"/>
  <c r="G1064" i="7"/>
  <c r="H1064" i="7"/>
  <c r="I1064" i="7"/>
  <c r="J1064" i="7"/>
  <c r="G1065" i="7"/>
  <c r="H1065" i="7"/>
  <c r="I1065" i="7"/>
  <c r="J1065" i="7"/>
  <c r="G1066" i="7"/>
  <c r="H1066" i="7"/>
  <c r="I1066" i="7"/>
  <c r="J1066" i="7"/>
  <c r="G1067" i="7"/>
  <c r="H1067" i="7"/>
  <c r="I1067" i="7"/>
  <c r="J1067" i="7"/>
  <c r="G1068" i="7"/>
  <c r="H1068" i="7"/>
  <c r="I1068" i="7"/>
  <c r="J1068" i="7"/>
  <c r="G1069" i="7"/>
  <c r="H1069" i="7"/>
  <c r="I1069" i="7"/>
  <c r="J1069" i="7"/>
  <c r="G1070" i="7"/>
  <c r="H1070" i="7"/>
  <c r="I1070" i="7"/>
  <c r="J1070" i="7"/>
  <c r="G1071" i="7"/>
  <c r="H1071" i="7"/>
  <c r="I1071" i="7"/>
  <c r="J1071" i="7"/>
  <c r="G1072" i="7"/>
  <c r="H1072" i="7"/>
  <c r="I1072" i="7"/>
  <c r="J1072" i="7"/>
  <c r="G1073" i="7"/>
  <c r="H1073" i="7"/>
  <c r="I1073" i="7"/>
  <c r="J1073" i="7"/>
  <c r="G1074" i="7"/>
  <c r="H1074" i="7"/>
  <c r="I1074" i="7"/>
  <c r="J1074" i="7"/>
  <c r="G1075" i="7"/>
  <c r="H1075" i="7"/>
  <c r="I1075" i="7"/>
  <c r="J1075" i="7"/>
  <c r="G1076" i="7"/>
  <c r="H1076" i="7"/>
  <c r="I1076" i="7"/>
  <c r="J1076" i="7"/>
  <c r="G1077" i="7"/>
  <c r="H1077" i="7"/>
  <c r="I1077" i="7"/>
  <c r="J1077" i="7"/>
  <c r="G1078" i="7"/>
  <c r="H1078" i="7"/>
  <c r="I1078" i="7"/>
  <c r="J1078" i="7"/>
  <c r="G1079" i="7"/>
  <c r="H1079" i="7"/>
  <c r="I1079" i="7"/>
  <c r="J1079" i="7"/>
  <c r="G1080" i="7"/>
  <c r="H1080" i="7"/>
  <c r="I1080" i="7"/>
  <c r="J1080" i="7"/>
  <c r="G1081" i="7"/>
  <c r="H1081" i="7"/>
  <c r="I1081" i="7"/>
  <c r="J1081" i="7"/>
  <c r="G1082" i="7"/>
  <c r="H1082" i="7"/>
  <c r="I1082" i="7"/>
  <c r="J1082" i="7"/>
  <c r="G1083" i="7"/>
  <c r="H1083" i="7"/>
  <c r="I1083" i="7"/>
  <c r="J1083" i="7"/>
  <c r="G1084" i="7"/>
  <c r="H1084" i="7"/>
  <c r="I1084" i="7"/>
  <c r="J1084" i="7"/>
  <c r="G1085" i="7"/>
  <c r="H1085" i="7"/>
  <c r="I1085" i="7"/>
  <c r="J1085" i="7"/>
  <c r="G1086" i="7"/>
  <c r="H1086" i="7"/>
  <c r="I1086" i="7"/>
  <c r="J1086" i="7"/>
  <c r="G1087" i="7"/>
  <c r="H1087" i="7"/>
  <c r="I1087" i="7"/>
  <c r="J1087" i="7"/>
  <c r="G1088" i="7"/>
  <c r="H1088" i="7"/>
  <c r="I1088" i="7"/>
  <c r="J1088" i="7"/>
  <c r="G1089" i="7"/>
  <c r="H1089" i="7"/>
  <c r="I1089" i="7"/>
  <c r="J1089" i="7"/>
  <c r="G1090" i="7"/>
  <c r="H1090" i="7"/>
  <c r="I1090" i="7"/>
  <c r="J1090" i="7"/>
  <c r="G1091" i="7"/>
  <c r="H1091" i="7"/>
  <c r="I1091" i="7"/>
  <c r="J1091" i="7"/>
  <c r="G1092" i="7"/>
  <c r="H1092" i="7"/>
  <c r="I1092" i="7"/>
  <c r="J1092" i="7"/>
  <c r="G1093" i="7"/>
  <c r="H1093" i="7"/>
  <c r="I1093" i="7"/>
  <c r="J1093" i="7"/>
  <c r="G1094" i="7"/>
  <c r="H1094" i="7"/>
  <c r="I1094" i="7"/>
  <c r="J1094" i="7"/>
  <c r="G1095" i="7"/>
  <c r="H1095" i="7"/>
  <c r="I1095" i="7"/>
  <c r="J1095" i="7"/>
  <c r="G1096" i="7"/>
  <c r="H1096" i="7"/>
  <c r="I1096" i="7"/>
  <c r="J1096" i="7"/>
  <c r="G1097" i="7"/>
  <c r="H1097" i="7"/>
  <c r="I1097" i="7"/>
  <c r="J1097" i="7"/>
  <c r="G1098" i="7"/>
  <c r="H1098" i="7"/>
  <c r="I1098" i="7"/>
  <c r="J1098" i="7"/>
  <c r="G1099" i="7"/>
  <c r="H1099" i="7"/>
  <c r="I1099" i="7"/>
  <c r="J1099" i="7"/>
  <c r="G1100" i="7"/>
  <c r="H1100" i="7"/>
  <c r="I1100" i="7"/>
  <c r="J1100" i="7"/>
  <c r="G1101" i="7"/>
  <c r="H1101" i="7"/>
  <c r="I1101" i="7"/>
  <c r="J1101" i="7"/>
  <c r="G1102" i="7"/>
  <c r="H1102" i="7"/>
  <c r="I1102" i="7"/>
  <c r="J1102" i="7"/>
  <c r="G1103" i="7"/>
  <c r="H1103" i="7"/>
  <c r="I1103" i="7"/>
  <c r="J1103" i="7"/>
  <c r="G1104" i="7"/>
  <c r="H1104" i="7"/>
  <c r="I1104" i="7"/>
  <c r="J1104" i="7"/>
  <c r="G1105" i="7"/>
  <c r="H1105" i="7"/>
  <c r="I1105" i="7"/>
  <c r="J1105" i="7"/>
  <c r="G1106" i="7"/>
  <c r="H1106" i="7"/>
  <c r="I1106" i="7"/>
  <c r="J1106" i="7"/>
  <c r="G1107" i="7"/>
  <c r="H1107" i="7"/>
  <c r="I1107" i="7"/>
  <c r="J1107" i="7"/>
  <c r="G1108" i="7"/>
  <c r="H1108" i="7"/>
  <c r="I1108" i="7"/>
  <c r="J1108" i="7"/>
  <c r="G1109" i="7"/>
  <c r="H1109" i="7"/>
  <c r="I1109" i="7"/>
  <c r="J1109" i="7"/>
  <c r="G1110" i="7"/>
  <c r="H1110" i="7"/>
  <c r="I1110" i="7"/>
  <c r="J1110" i="7"/>
  <c r="G1111" i="7"/>
  <c r="H1111" i="7"/>
  <c r="I1111" i="7"/>
  <c r="J1111" i="7"/>
  <c r="G1112" i="7"/>
  <c r="H1112" i="7"/>
  <c r="I1112" i="7"/>
  <c r="J1112" i="7"/>
  <c r="G1113" i="7"/>
  <c r="H1113" i="7"/>
  <c r="I1113" i="7"/>
  <c r="J1113" i="7"/>
  <c r="G1114" i="7"/>
  <c r="H1114" i="7"/>
  <c r="I1114" i="7"/>
  <c r="J1114" i="7"/>
  <c r="G1115" i="7"/>
  <c r="H1115" i="7"/>
  <c r="I1115" i="7"/>
  <c r="J1115" i="7"/>
  <c r="G1116" i="7"/>
  <c r="H1116" i="7"/>
  <c r="I1116" i="7"/>
  <c r="J1116" i="7"/>
  <c r="G1117" i="7"/>
  <c r="H1117" i="7"/>
  <c r="I1117" i="7"/>
  <c r="J1117" i="7"/>
  <c r="G1118" i="7"/>
  <c r="H1118" i="7"/>
  <c r="I1118" i="7"/>
  <c r="J1118" i="7"/>
  <c r="G1119" i="7"/>
  <c r="H1119" i="7"/>
  <c r="I1119" i="7"/>
  <c r="J1119" i="7"/>
  <c r="G1120" i="7"/>
  <c r="H1120" i="7"/>
  <c r="I1120" i="7"/>
  <c r="J1120" i="7"/>
  <c r="G1121" i="7"/>
  <c r="H1121" i="7"/>
  <c r="I1121" i="7"/>
  <c r="J1121" i="7"/>
  <c r="G1122" i="7"/>
  <c r="H1122" i="7"/>
  <c r="I1122" i="7"/>
  <c r="J1122" i="7"/>
  <c r="G1123" i="7"/>
  <c r="H1123" i="7"/>
  <c r="I1123" i="7"/>
  <c r="J1123" i="7"/>
  <c r="G1124" i="7"/>
  <c r="H1124" i="7"/>
  <c r="I1124" i="7"/>
  <c r="J1124" i="7"/>
  <c r="G1125" i="7"/>
  <c r="H1125" i="7"/>
  <c r="I1125" i="7"/>
  <c r="J1125" i="7"/>
  <c r="G1126" i="7"/>
  <c r="H1126" i="7"/>
  <c r="I1126" i="7"/>
  <c r="J1126" i="7"/>
  <c r="G1127" i="7"/>
  <c r="H1127" i="7"/>
  <c r="I1127" i="7"/>
  <c r="J1127" i="7"/>
  <c r="G1128" i="7"/>
  <c r="H1128" i="7"/>
  <c r="I1128" i="7"/>
  <c r="J1128" i="7"/>
  <c r="G1129" i="7"/>
  <c r="H1129" i="7"/>
  <c r="I1129" i="7"/>
  <c r="J1129" i="7"/>
  <c r="G1130" i="7"/>
  <c r="H1130" i="7"/>
  <c r="I1130" i="7"/>
  <c r="J1130" i="7"/>
  <c r="G1131" i="7"/>
  <c r="H1131" i="7"/>
  <c r="I1131" i="7"/>
  <c r="J1131" i="7"/>
  <c r="G1132" i="7"/>
  <c r="H1132" i="7"/>
  <c r="I1132" i="7"/>
  <c r="J1132" i="7"/>
  <c r="G1133" i="7"/>
  <c r="H1133" i="7"/>
  <c r="I1133" i="7"/>
  <c r="J1133" i="7"/>
  <c r="G1134" i="7"/>
  <c r="H1134" i="7"/>
  <c r="I1134" i="7"/>
  <c r="J1134" i="7"/>
  <c r="G1135" i="7"/>
  <c r="H1135" i="7"/>
  <c r="I1135" i="7"/>
  <c r="J1135" i="7"/>
  <c r="G1136" i="7"/>
  <c r="H1136" i="7"/>
  <c r="I1136" i="7"/>
  <c r="J1136" i="7"/>
  <c r="G1137" i="7"/>
  <c r="H1137" i="7"/>
  <c r="I1137" i="7"/>
  <c r="J1137" i="7"/>
  <c r="G1138" i="7"/>
  <c r="H1138" i="7"/>
  <c r="I1138" i="7"/>
  <c r="J1138" i="7"/>
  <c r="G1139" i="7"/>
  <c r="H1139" i="7"/>
  <c r="I1139" i="7"/>
  <c r="J1139" i="7"/>
  <c r="G1140" i="7"/>
  <c r="H1140" i="7"/>
  <c r="I1140" i="7"/>
  <c r="J1140" i="7"/>
  <c r="G1141" i="7"/>
  <c r="H1141" i="7"/>
  <c r="I1141" i="7"/>
  <c r="J1141" i="7"/>
  <c r="G1142" i="7"/>
  <c r="H1142" i="7"/>
  <c r="I1142" i="7"/>
  <c r="J1142" i="7"/>
  <c r="G1143" i="7"/>
  <c r="H1143" i="7"/>
  <c r="I1143" i="7"/>
  <c r="J1143" i="7"/>
  <c r="G1144" i="7"/>
  <c r="H1144" i="7"/>
  <c r="I1144" i="7"/>
  <c r="J1144" i="7"/>
  <c r="G1145" i="7"/>
  <c r="H1145" i="7"/>
  <c r="I1145" i="7"/>
  <c r="J1145" i="7"/>
  <c r="G1146" i="7"/>
  <c r="H1146" i="7"/>
  <c r="I1146" i="7"/>
  <c r="J1146" i="7"/>
  <c r="G1147" i="7"/>
  <c r="H1147" i="7"/>
  <c r="I1147" i="7"/>
  <c r="J1147" i="7"/>
  <c r="G1148" i="7"/>
  <c r="H1148" i="7"/>
  <c r="I1148" i="7"/>
  <c r="J1148" i="7"/>
  <c r="G1149" i="7"/>
  <c r="H1149" i="7"/>
  <c r="I1149" i="7"/>
  <c r="J1149" i="7"/>
  <c r="G1150" i="7"/>
  <c r="H1150" i="7"/>
  <c r="I1150" i="7"/>
  <c r="J1150" i="7"/>
  <c r="G1151" i="7"/>
  <c r="H1151" i="7"/>
  <c r="I1151" i="7"/>
  <c r="J1151" i="7"/>
  <c r="G1152" i="7"/>
  <c r="H1152" i="7"/>
  <c r="I1152" i="7"/>
  <c r="J1152" i="7"/>
  <c r="G1153" i="7"/>
  <c r="H1153" i="7"/>
  <c r="I1153" i="7"/>
  <c r="J1153" i="7"/>
  <c r="G1154" i="7"/>
  <c r="H1154" i="7"/>
  <c r="I1154" i="7"/>
  <c r="J1154" i="7"/>
  <c r="G1155" i="7"/>
  <c r="H1155" i="7"/>
  <c r="I1155" i="7"/>
  <c r="J1155" i="7"/>
  <c r="G1156" i="7"/>
  <c r="H1156" i="7"/>
  <c r="I1156" i="7"/>
  <c r="J1156" i="7"/>
  <c r="G1157" i="7"/>
  <c r="H1157" i="7"/>
  <c r="I1157" i="7"/>
  <c r="J1157" i="7"/>
  <c r="G1158" i="7"/>
  <c r="H1158" i="7"/>
  <c r="I1158" i="7"/>
  <c r="J1158" i="7"/>
  <c r="G1159" i="7"/>
  <c r="H1159" i="7"/>
  <c r="I1159" i="7"/>
  <c r="J1159" i="7"/>
  <c r="G1160" i="7"/>
  <c r="H1160" i="7"/>
  <c r="I1160" i="7"/>
  <c r="J1160" i="7"/>
  <c r="G1161" i="7"/>
  <c r="H1161" i="7"/>
  <c r="I1161" i="7"/>
  <c r="J1161" i="7"/>
  <c r="G1162" i="7"/>
  <c r="H1162" i="7"/>
  <c r="I1162" i="7"/>
  <c r="J1162" i="7"/>
  <c r="G1163" i="7"/>
  <c r="H1163" i="7"/>
  <c r="I1163" i="7"/>
  <c r="J1163" i="7"/>
  <c r="G1164" i="7"/>
  <c r="H1164" i="7"/>
  <c r="I1164" i="7"/>
  <c r="J1164" i="7"/>
  <c r="G1165" i="7"/>
  <c r="H1165" i="7"/>
  <c r="I1165" i="7"/>
  <c r="J1165" i="7"/>
  <c r="G1166" i="7"/>
  <c r="H1166" i="7"/>
  <c r="I1166" i="7"/>
  <c r="J1166" i="7"/>
  <c r="G1167" i="7"/>
  <c r="H1167" i="7"/>
  <c r="I1167" i="7"/>
  <c r="J1167" i="7"/>
  <c r="G1168" i="7"/>
  <c r="H1168" i="7"/>
  <c r="I1168" i="7"/>
  <c r="J1168" i="7"/>
  <c r="G1169" i="7"/>
  <c r="H1169" i="7"/>
  <c r="I1169" i="7"/>
  <c r="J1169" i="7"/>
  <c r="G1170" i="7"/>
  <c r="H1170" i="7"/>
  <c r="I1170" i="7"/>
  <c r="J1170" i="7"/>
  <c r="G1171" i="7"/>
  <c r="H1171" i="7"/>
  <c r="I1171" i="7"/>
  <c r="J1171" i="7"/>
  <c r="G1172" i="7"/>
  <c r="H1172" i="7"/>
  <c r="I1172" i="7"/>
  <c r="J1172" i="7"/>
  <c r="G1173" i="7"/>
  <c r="H1173" i="7"/>
  <c r="I1173" i="7"/>
  <c r="J1173" i="7"/>
  <c r="G1174" i="7"/>
  <c r="H1174" i="7"/>
  <c r="I1174" i="7"/>
  <c r="J1174" i="7"/>
  <c r="G1175" i="7"/>
  <c r="H1175" i="7"/>
  <c r="I1175" i="7"/>
  <c r="J1175" i="7"/>
  <c r="G1176" i="7"/>
  <c r="H1176" i="7"/>
  <c r="I1176" i="7"/>
  <c r="J1176" i="7"/>
  <c r="G1177" i="7"/>
  <c r="H1177" i="7"/>
  <c r="I1177" i="7"/>
  <c r="J1177" i="7"/>
  <c r="G1178" i="7"/>
  <c r="H1178" i="7"/>
  <c r="I1178" i="7"/>
  <c r="J1178" i="7"/>
  <c r="G1179" i="7"/>
  <c r="H1179" i="7"/>
  <c r="I1179" i="7"/>
  <c r="J1179" i="7"/>
  <c r="G1180" i="7"/>
  <c r="H1180" i="7"/>
  <c r="I1180" i="7"/>
  <c r="J1180" i="7"/>
  <c r="G1181" i="7"/>
  <c r="H1181" i="7"/>
  <c r="I1181" i="7"/>
  <c r="J1181" i="7"/>
  <c r="G1182" i="7"/>
  <c r="H1182" i="7"/>
  <c r="I1182" i="7"/>
  <c r="J1182" i="7"/>
  <c r="G1183" i="7"/>
  <c r="H1183" i="7"/>
  <c r="I1183" i="7"/>
  <c r="J1183" i="7"/>
  <c r="G1184" i="7"/>
  <c r="H1184" i="7"/>
  <c r="I1184" i="7"/>
  <c r="J1184" i="7"/>
  <c r="G1185" i="7"/>
  <c r="H1185" i="7"/>
  <c r="I1185" i="7"/>
  <c r="J1185" i="7"/>
  <c r="G1186" i="7"/>
  <c r="H1186" i="7"/>
  <c r="I1186" i="7"/>
  <c r="J1186" i="7"/>
  <c r="G1187" i="7"/>
  <c r="H1187" i="7"/>
  <c r="I1187" i="7"/>
  <c r="J1187" i="7"/>
  <c r="G1188" i="7"/>
  <c r="H1188" i="7"/>
  <c r="I1188" i="7"/>
  <c r="J1188" i="7"/>
  <c r="G1189" i="7"/>
  <c r="H1189" i="7"/>
  <c r="I1189" i="7"/>
  <c r="J1189" i="7"/>
  <c r="G1190" i="7"/>
  <c r="H1190" i="7"/>
  <c r="I1190" i="7"/>
  <c r="J1190" i="7"/>
  <c r="G1191" i="7"/>
  <c r="H1191" i="7"/>
  <c r="I1191" i="7"/>
  <c r="J1191" i="7"/>
  <c r="G1192" i="7"/>
  <c r="H1192" i="7"/>
  <c r="I1192" i="7"/>
  <c r="J1192" i="7"/>
  <c r="G1193" i="7"/>
  <c r="H1193" i="7"/>
  <c r="I1193" i="7"/>
  <c r="J1193" i="7"/>
  <c r="G1194" i="7"/>
  <c r="H1194" i="7"/>
  <c r="I1194" i="7"/>
  <c r="J1194" i="7"/>
  <c r="G1195" i="7"/>
  <c r="H1195" i="7"/>
  <c r="I1195" i="7"/>
  <c r="J1195" i="7"/>
  <c r="G1196" i="7"/>
  <c r="H1196" i="7"/>
  <c r="I1196" i="7"/>
  <c r="J1196" i="7"/>
  <c r="G1197" i="7"/>
  <c r="H1197" i="7"/>
  <c r="I1197" i="7"/>
  <c r="J1197" i="7"/>
  <c r="G1198" i="7"/>
  <c r="H1198" i="7"/>
  <c r="I1198" i="7"/>
  <c r="J1198" i="7"/>
  <c r="G1199" i="7"/>
  <c r="H1199" i="7"/>
  <c r="I1199" i="7"/>
  <c r="J1199" i="7"/>
  <c r="G1200" i="7"/>
  <c r="H1200" i="7"/>
  <c r="I1200" i="7"/>
  <c r="J1200" i="7"/>
  <c r="G1201" i="7"/>
  <c r="H1201" i="7"/>
  <c r="I1201" i="7"/>
  <c r="J1201" i="7"/>
  <c r="G1202" i="7"/>
  <c r="H1202" i="7"/>
  <c r="I1202" i="7"/>
  <c r="J1202" i="7"/>
  <c r="G4" i="7"/>
  <c r="H4" i="7"/>
  <c r="I4" i="7"/>
  <c r="J4" i="7"/>
  <c r="F4" i="7"/>
  <c r="F5" i="7"/>
  <c r="F6" i="7"/>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487" i="7"/>
  <c r="F488" i="7"/>
  <c r="F489" i="7"/>
  <c r="F490" i="7"/>
  <c r="F491" i="7"/>
  <c r="F492" i="7"/>
  <c r="F493" i="7"/>
  <c r="F494" i="7"/>
  <c r="F495" i="7"/>
  <c r="F496" i="7"/>
  <c r="F497" i="7"/>
  <c r="F498" i="7"/>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529" i="7"/>
  <c r="F530" i="7"/>
  <c r="F531" i="7"/>
  <c r="F532" i="7"/>
  <c r="F533" i="7"/>
  <c r="F534" i="7"/>
  <c r="F535" i="7"/>
  <c r="F536" i="7"/>
  <c r="F537" i="7"/>
  <c r="F538" i="7"/>
  <c r="F539" i="7"/>
  <c r="F540" i="7"/>
  <c r="F541" i="7"/>
  <c r="F542" i="7"/>
  <c r="F543" i="7"/>
  <c r="F544" i="7"/>
  <c r="F545" i="7"/>
  <c r="F546" i="7"/>
  <c r="F547" i="7"/>
  <c r="F548" i="7"/>
  <c r="F549" i="7"/>
  <c r="F550" i="7"/>
  <c r="F551" i="7"/>
  <c r="F552" i="7"/>
  <c r="F553" i="7"/>
  <c r="F554" i="7"/>
  <c r="F555" i="7"/>
  <c r="F556" i="7"/>
  <c r="F557" i="7"/>
  <c r="F558" i="7"/>
  <c r="F559" i="7"/>
  <c r="F560" i="7"/>
  <c r="F561" i="7"/>
  <c r="F562" i="7"/>
  <c r="F563" i="7"/>
  <c r="F564" i="7"/>
  <c r="F565" i="7"/>
  <c r="F566" i="7"/>
  <c r="F567" i="7"/>
  <c r="F568" i="7"/>
  <c r="F569" i="7"/>
  <c r="F570" i="7"/>
  <c r="F571" i="7"/>
  <c r="F572" i="7"/>
  <c r="F573" i="7"/>
  <c r="F574" i="7"/>
  <c r="F575" i="7"/>
  <c r="F576" i="7"/>
  <c r="F577" i="7"/>
  <c r="F578" i="7"/>
  <c r="F579" i="7"/>
  <c r="F580" i="7"/>
  <c r="F581" i="7"/>
  <c r="F582" i="7"/>
  <c r="F583" i="7"/>
  <c r="F584" i="7"/>
  <c r="F585" i="7"/>
  <c r="F586" i="7"/>
  <c r="F587" i="7"/>
  <c r="F588" i="7"/>
  <c r="F589" i="7"/>
  <c r="F590" i="7"/>
  <c r="F591" i="7"/>
  <c r="F592" i="7"/>
  <c r="F593" i="7"/>
  <c r="F594" i="7"/>
  <c r="F595" i="7"/>
  <c r="F596" i="7"/>
  <c r="F597" i="7"/>
  <c r="F598" i="7"/>
  <c r="F599" i="7"/>
  <c r="F600" i="7"/>
  <c r="F601" i="7"/>
  <c r="F602" i="7"/>
  <c r="F603" i="7"/>
  <c r="F604" i="7"/>
  <c r="F605" i="7"/>
  <c r="F606" i="7"/>
  <c r="F607" i="7"/>
  <c r="F608" i="7"/>
  <c r="F609" i="7"/>
  <c r="F610" i="7"/>
  <c r="F611" i="7"/>
  <c r="F612" i="7"/>
  <c r="F613" i="7"/>
  <c r="F614" i="7"/>
  <c r="F615" i="7"/>
  <c r="F616" i="7"/>
  <c r="F617" i="7"/>
  <c r="F618" i="7"/>
  <c r="F619" i="7"/>
  <c r="F620" i="7"/>
  <c r="F621" i="7"/>
  <c r="F622" i="7"/>
  <c r="F623" i="7"/>
  <c r="F624" i="7"/>
  <c r="F625" i="7"/>
  <c r="F626" i="7"/>
  <c r="F627" i="7"/>
  <c r="F628" i="7"/>
  <c r="F629" i="7"/>
  <c r="F630" i="7"/>
  <c r="F631" i="7"/>
  <c r="F632" i="7"/>
  <c r="F633" i="7"/>
  <c r="F634" i="7"/>
  <c r="F635" i="7"/>
  <c r="F636" i="7"/>
  <c r="F637" i="7"/>
  <c r="F638" i="7"/>
  <c r="F639" i="7"/>
  <c r="F640" i="7"/>
  <c r="F641" i="7"/>
  <c r="F642" i="7"/>
  <c r="F643" i="7"/>
  <c r="F644" i="7"/>
  <c r="F645" i="7"/>
  <c r="F646" i="7"/>
  <c r="F647" i="7"/>
  <c r="F648" i="7"/>
  <c r="F649" i="7"/>
  <c r="F650" i="7"/>
  <c r="F651" i="7"/>
  <c r="F652" i="7"/>
  <c r="F653" i="7"/>
  <c r="F654" i="7"/>
  <c r="F655" i="7"/>
  <c r="F656" i="7"/>
  <c r="F657" i="7"/>
  <c r="F658" i="7"/>
  <c r="F659" i="7"/>
  <c r="F660" i="7"/>
  <c r="F661" i="7"/>
  <c r="F662" i="7"/>
  <c r="F663" i="7"/>
  <c r="F664" i="7"/>
  <c r="F665" i="7"/>
  <c r="F666" i="7"/>
  <c r="F667" i="7"/>
  <c r="F668" i="7"/>
  <c r="F669" i="7"/>
  <c r="F670" i="7"/>
  <c r="F671" i="7"/>
  <c r="F672" i="7"/>
  <c r="F673" i="7"/>
  <c r="F674" i="7"/>
  <c r="F675" i="7"/>
  <c r="F676" i="7"/>
  <c r="F677" i="7"/>
  <c r="F678" i="7"/>
  <c r="F679" i="7"/>
  <c r="F680" i="7"/>
  <c r="F681" i="7"/>
  <c r="F682" i="7"/>
  <c r="F683" i="7"/>
  <c r="F684" i="7"/>
  <c r="F685" i="7"/>
  <c r="F686" i="7"/>
  <c r="F687" i="7"/>
  <c r="F688" i="7"/>
  <c r="F689" i="7"/>
  <c r="F690" i="7"/>
  <c r="F691" i="7"/>
  <c r="F692" i="7"/>
  <c r="F693" i="7"/>
  <c r="F694" i="7"/>
  <c r="F695" i="7"/>
  <c r="F696" i="7"/>
  <c r="F697" i="7"/>
  <c r="F698" i="7"/>
  <c r="F699" i="7"/>
  <c r="F700" i="7"/>
  <c r="F701" i="7"/>
  <c r="F702" i="7"/>
  <c r="F703" i="7"/>
  <c r="F704" i="7"/>
  <c r="F705" i="7"/>
  <c r="F706" i="7"/>
  <c r="F707" i="7"/>
  <c r="F708" i="7"/>
  <c r="F709" i="7"/>
  <c r="F710" i="7"/>
  <c r="F711" i="7"/>
  <c r="F712" i="7"/>
  <c r="F713" i="7"/>
  <c r="F714" i="7"/>
  <c r="F715" i="7"/>
  <c r="F716" i="7"/>
  <c r="F717" i="7"/>
  <c r="F718" i="7"/>
  <c r="F719" i="7"/>
  <c r="F720" i="7"/>
  <c r="F721" i="7"/>
  <c r="F722" i="7"/>
  <c r="F723" i="7"/>
  <c r="F724" i="7"/>
  <c r="F725" i="7"/>
  <c r="F726" i="7"/>
  <c r="F727" i="7"/>
  <c r="F728" i="7"/>
  <c r="F729" i="7"/>
  <c r="F730" i="7"/>
  <c r="F731" i="7"/>
  <c r="F732" i="7"/>
  <c r="F733" i="7"/>
  <c r="F734" i="7"/>
  <c r="F735" i="7"/>
  <c r="F736" i="7"/>
  <c r="F737" i="7"/>
  <c r="F738" i="7"/>
  <c r="F739" i="7"/>
  <c r="F740" i="7"/>
  <c r="F741" i="7"/>
  <c r="F742" i="7"/>
  <c r="F743" i="7"/>
  <c r="F744" i="7"/>
  <c r="F745" i="7"/>
  <c r="F746" i="7"/>
  <c r="F747" i="7"/>
  <c r="F748" i="7"/>
  <c r="F749" i="7"/>
  <c r="F750" i="7"/>
  <c r="F751" i="7"/>
  <c r="F752" i="7"/>
  <c r="F753" i="7"/>
  <c r="F754" i="7"/>
  <c r="F755" i="7"/>
  <c r="F756" i="7"/>
  <c r="F757" i="7"/>
  <c r="F758" i="7"/>
  <c r="F759" i="7"/>
  <c r="F760" i="7"/>
  <c r="F761" i="7"/>
  <c r="F762" i="7"/>
  <c r="F763" i="7"/>
  <c r="F764" i="7"/>
  <c r="F765" i="7"/>
  <c r="F766" i="7"/>
  <c r="F767" i="7"/>
  <c r="F768" i="7"/>
  <c r="F769" i="7"/>
  <c r="F770" i="7"/>
  <c r="F771" i="7"/>
  <c r="F772" i="7"/>
  <c r="F773" i="7"/>
  <c r="F774" i="7"/>
  <c r="F775" i="7"/>
  <c r="F776" i="7"/>
  <c r="F777" i="7"/>
  <c r="F778" i="7"/>
  <c r="F779" i="7"/>
  <c r="F780" i="7"/>
  <c r="F781" i="7"/>
  <c r="F782" i="7"/>
  <c r="F783" i="7"/>
  <c r="F784" i="7"/>
  <c r="F785" i="7"/>
  <c r="F786" i="7"/>
  <c r="F787" i="7"/>
  <c r="F788" i="7"/>
  <c r="F789" i="7"/>
  <c r="F790" i="7"/>
  <c r="F791" i="7"/>
  <c r="F792" i="7"/>
  <c r="F793" i="7"/>
  <c r="F794" i="7"/>
  <c r="F795" i="7"/>
  <c r="F796" i="7"/>
  <c r="F797" i="7"/>
  <c r="F798" i="7"/>
  <c r="F799" i="7"/>
  <c r="F800" i="7"/>
  <c r="F801" i="7"/>
  <c r="F802" i="7"/>
  <c r="F803" i="7"/>
  <c r="F804" i="7"/>
  <c r="F805" i="7"/>
  <c r="F806" i="7"/>
  <c r="F807" i="7"/>
  <c r="F808" i="7"/>
  <c r="F809" i="7"/>
  <c r="F810" i="7"/>
  <c r="F811" i="7"/>
  <c r="F812" i="7"/>
  <c r="F813" i="7"/>
  <c r="F814" i="7"/>
  <c r="F815" i="7"/>
  <c r="F816" i="7"/>
  <c r="F817" i="7"/>
  <c r="F818" i="7"/>
  <c r="F819" i="7"/>
  <c r="F820" i="7"/>
  <c r="F821" i="7"/>
  <c r="F822" i="7"/>
  <c r="F823" i="7"/>
  <c r="F824" i="7"/>
  <c r="F825" i="7"/>
  <c r="F826" i="7"/>
  <c r="F827" i="7"/>
  <c r="F828" i="7"/>
  <c r="F829" i="7"/>
  <c r="F830" i="7"/>
  <c r="F831" i="7"/>
  <c r="F832" i="7"/>
  <c r="F833" i="7"/>
  <c r="F834" i="7"/>
  <c r="F835" i="7"/>
  <c r="F836" i="7"/>
  <c r="F837" i="7"/>
  <c r="F838" i="7"/>
  <c r="F839" i="7"/>
  <c r="F840" i="7"/>
  <c r="F841" i="7"/>
  <c r="F842" i="7"/>
  <c r="F843" i="7"/>
  <c r="F844" i="7"/>
  <c r="F845" i="7"/>
  <c r="F846" i="7"/>
  <c r="F847" i="7"/>
  <c r="F848" i="7"/>
  <c r="F849" i="7"/>
  <c r="F850" i="7"/>
  <c r="F851" i="7"/>
  <c r="F852" i="7"/>
  <c r="F853" i="7"/>
  <c r="F854" i="7"/>
  <c r="F855" i="7"/>
  <c r="F856" i="7"/>
  <c r="F857" i="7"/>
  <c r="F858" i="7"/>
  <c r="F859" i="7"/>
  <c r="F860" i="7"/>
  <c r="F861" i="7"/>
  <c r="F862" i="7"/>
  <c r="F863" i="7"/>
  <c r="F864" i="7"/>
  <c r="F865" i="7"/>
  <c r="F866" i="7"/>
  <c r="F867" i="7"/>
  <c r="F868" i="7"/>
  <c r="F869" i="7"/>
  <c r="F870" i="7"/>
  <c r="F871" i="7"/>
  <c r="F872" i="7"/>
  <c r="F873" i="7"/>
  <c r="F874" i="7"/>
  <c r="F875" i="7"/>
  <c r="F876" i="7"/>
  <c r="F877" i="7"/>
  <c r="F878" i="7"/>
  <c r="F879" i="7"/>
  <c r="F880" i="7"/>
  <c r="F881" i="7"/>
  <c r="F882" i="7"/>
  <c r="F883" i="7"/>
  <c r="F884" i="7"/>
  <c r="F885" i="7"/>
  <c r="F886" i="7"/>
  <c r="F887" i="7"/>
  <c r="F888" i="7"/>
  <c r="F889" i="7"/>
  <c r="F890" i="7"/>
  <c r="F891" i="7"/>
  <c r="F892" i="7"/>
  <c r="F893" i="7"/>
  <c r="F894" i="7"/>
  <c r="F895" i="7"/>
  <c r="F896" i="7"/>
  <c r="F897" i="7"/>
  <c r="F898" i="7"/>
  <c r="F899" i="7"/>
  <c r="F900" i="7"/>
  <c r="F901" i="7"/>
  <c r="F902" i="7"/>
  <c r="F903" i="7"/>
  <c r="F904" i="7"/>
  <c r="F905" i="7"/>
  <c r="F906" i="7"/>
  <c r="F907" i="7"/>
  <c r="F908" i="7"/>
  <c r="F909" i="7"/>
  <c r="F910" i="7"/>
  <c r="F911" i="7"/>
  <c r="F912" i="7"/>
  <c r="F913" i="7"/>
  <c r="F914" i="7"/>
  <c r="F915" i="7"/>
  <c r="F916" i="7"/>
  <c r="F917" i="7"/>
  <c r="F918" i="7"/>
  <c r="F919" i="7"/>
  <c r="F920" i="7"/>
  <c r="F921" i="7"/>
  <c r="F922" i="7"/>
  <c r="F923" i="7"/>
  <c r="F924" i="7"/>
  <c r="F925" i="7"/>
  <c r="F926" i="7"/>
  <c r="F927" i="7"/>
  <c r="F928" i="7"/>
  <c r="F929" i="7"/>
  <c r="F930" i="7"/>
  <c r="F931" i="7"/>
  <c r="F932" i="7"/>
  <c r="F933" i="7"/>
  <c r="F934" i="7"/>
  <c r="F935" i="7"/>
  <c r="F936" i="7"/>
  <c r="F937" i="7"/>
  <c r="F938" i="7"/>
  <c r="F939" i="7"/>
  <c r="F940" i="7"/>
  <c r="F941" i="7"/>
  <c r="F942" i="7"/>
  <c r="F943" i="7"/>
  <c r="F944" i="7"/>
  <c r="F945" i="7"/>
  <c r="F946" i="7"/>
  <c r="F947" i="7"/>
  <c r="F948" i="7"/>
  <c r="F949" i="7"/>
  <c r="F950" i="7"/>
  <c r="F951" i="7"/>
  <c r="F952" i="7"/>
  <c r="F953" i="7"/>
  <c r="F954" i="7"/>
  <c r="F955" i="7"/>
  <c r="F956" i="7"/>
  <c r="F957" i="7"/>
  <c r="F958" i="7"/>
  <c r="F959" i="7"/>
  <c r="F960" i="7"/>
  <c r="F961" i="7"/>
  <c r="F962" i="7"/>
  <c r="F963" i="7"/>
  <c r="F964" i="7"/>
  <c r="F965" i="7"/>
  <c r="F966" i="7"/>
  <c r="F967" i="7"/>
  <c r="F968" i="7"/>
  <c r="F969" i="7"/>
  <c r="F970" i="7"/>
  <c r="F971" i="7"/>
  <c r="F972" i="7"/>
  <c r="F973" i="7"/>
  <c r="F974" i="7"/>
  <c r="F975" i="7"/>
  <c r="F976" i="7"/>
  <c r="F977" i="7"/>
  <c r="F978" i="7"/>
  <c r="F979" i="7"/>
  <c r="F980" i="7"/>
  <c r="F981" i="7"/>
  <c r="F982" i="7"/>
  <c r="F983" i="7"/>
  <c r="F984" i="7"/>
  <c r="F985" i="7"/>
  <c r="F986" i="7"/>
  <c r="F987" i="7"/>
  <c r="F988" i="7"/>
  <c r="F989" i="7"/>
  <c r="F990" i="7"/>
  <c r="F991" i="7"/>
  <c r="F992" i="7"/>
  <c r="F993" i="7"/>
  <c r="F994" i="7"/>
  <c r="F995" i="7"/>
  <c r="F996" i="7"/>
  <c r="F997" i="7"/>
  <c r="F998" i="7"/>
  <c r="F999" i="7"/>
  <c r="F1000" i="7"/>
  <c r="F1001" i="7"/>
  <c r="F1002" i="7"/>
  <c r="F1003" i="7"/>
  <c r="F1004" i="7"/>
  <c r="F1005" i="7"/>
  <c r="F1006" i="7"/>
  <c r="F1007" i="7"/>
  <c r="F1008" i="7"/>
  <c r="F1009" i="7"/>
  <c r="F1010" i="7"/>
  <c r="F1011" i="7"/>
  <c r="F1012" i="7"/>
  <c r="F1013" i="7"/>
  <c r="F1014" i="7"/>
  <c r="F1015" i="7"/>
  <c r="F1016" i="7"/>
  <c r="F1017" i="7"/>
  <c r="F1018" i="7"/>
  <c r="F1019" i="7"/>
  <c r="F1020" i="7"/>
  <c r="F1021" i="7"/>
  <c r="F1022" i="7"/>
  <c r="F1023" i="7"/>
  <c r="F1024" i="7"/>
  <c r="F1025" i="7"/>
  <c r="F1026" i="7"/>
  <c r="F1027" i="7"/>
  <c r="F1028" i="7"/>
  <c r="F1029" i="7"/>
  <c r="F1030" i="7"/>
  <c r="F1031" i="7"/>
  <c r="F1032" i="7"/>
  <c r="F1033" i="7"/>
  <c r="F1034" i="7"/>
  <c r="F1035" i="7"/>
  <c r="F1036" i="7"/>
  <c r="F1037" i="7"/>
  <c r="F1038" i="7"/>
  <c r="F1039" i="7"/>
  <c r="F1040" i="7"/>
  <c r="F1041" i="7"/>
  <c r="F1042" i="7"/>
  <c r="F1043" i="7"/>
  <c r="F1044" i="7"/>
  <c r="F1045" i="7"/>
  <c r="F1046" i="7"/>
  <c r="F1047" i="7"/>
  <c r="F1048" i="7"/>
  <c r="F1049" i="7"/>
  <c r="F1050" i="7"/>
  <c r="F1051" i="7"/>
  <c r="F1052" i="7"/>
  <c r="F1053" i="7"/>
  <c r="F1054" i="7"/>
  <c r="F1055" i="7"/>
  <c r="F1056" i="7"/>
  <c r="F1057" i="7"/>
  <c r="F1058" i="7"/>
  <c r="F1059" i="7"/>
  <c r="F1060" i="7"/>
  <c r="F1061" i="7"/>
  <c r="F1062" i="7"/>
  <c r="F1063" i="7"/>
  <c r="F1064" i="7"/>
  <c r="F1065" i="7"/>
  <c r="F1066" i="7"/>
  <c r="F1067" i="7"/>
  <c r="F1068" i="7"/>
  <c r="F1069" i="7"/>
  <c r="F1070" i="7"/>
  <c r="F1071" i="7"/>
  <c r="F1072" i="7"/>
  <c r="F1073" i="7"/>
  <c r="F1074" i="7"/>
  <c r="F1075" i="7"/>
  <c r="F1076" i="7"/>
  <c r="F1077" i="7"/>
  <c r="F1078" i="7"/>
  <c r="F1079" i="7"/>
  <c r="F1080" i="7"/>
  <c r="F1081" i="7"/>
  <c r="F1082" i="7"/>
  <c r="F1083" i="7"/>
  <c r="F1084" i="7"/>
  <c r="F1085" i="7"/>
  <c r="F1086" i="7"/>
  <c r="F1087" i="7"/>
  <c r="F1088" i="7"/>
  <c r="F1089" i="7"/>
  <c r="F1090" i="7"/>
  <c r="F1091" i="7"/>
  <c r="F1092" i="7"/>
  <c r="F1093" i="7"/>
  <c r="F1094" i="7"/>
  <c r="F1095" i="7"/>
  <c r="F1096" i="7"/>
  <c r="F1097" i="7"/>
  <c r="F1098" i="7"/>
  <c r="F1099" i="7"/>
  <c r="F1100" i="7"/>
  <c r="F1101" i="7"/>
  <c r="F1102" i="7"/>
  <c r="F1103" i="7"/>
  <c r="F1104" i="7"/>
  <c r="F1105" i="7"/>
  <c r="F1106" i="7"/>
  <c r="F1107" i="7"/>
  <c r="F1108" i="7"/>
  <c r="F1109" i="7"/>
  <c r="F1110" i="7"/>
  <c r="F1111" i="7"/>
  <c r="F1112" i="7"/>
  <c r="F1113" i="7"/>
  <c r="F1114" i="7"/>
  <c r="F1115" i="7"/>
  <c r="F1116" i="7"/>
  <c r="F1117" i="7"/>
  <c r="F1118" i="7"/>
  <c r="F1119" i="7"/>
  <c r="F1120" i="7"/>
  <c r="F1121" i="7"/>
  <c r="F1122" i="7"/>
  <c r="F1123" i="7"/>
  <c r="F1124" i="7"/>
  <c r="F1125" i="7"/>
  <c r="F1126" i="7"/>
  <c r="F1127" i="7"/>
  <c r="F1128" i="7"/>
  <c r="F1129" i="7"/>
  <c r="F1130" i="7"/>
  <c r="F1131" i="7"/>
  <c r="F1132" i="7"/>
  <c r="F1133" i="7"/>
  <c r="F1134" i="7"/>
  <c r="F1135" i="7"/>
  <c r="F1136" i="7"/>
  <c r="F1137" i="7"/>
  <c r="F1138" i="7"/>
  <c r="F1139" i="7"/>
  <c r="F1140" i="7"/>
  <c r="F1141" i="7"/>
  <c r="F1142" i="7"/>
  <c r="F1143" i="7"/>
  <c r="F1144" i="7"/>
  <c r="F1145" i="7"/>
  <c r="F1146" i="7"/>
  <c r="F1147" i="7"/>
  <c r="F1148" i="7"/>
  <c r="F1149" i="7"/>
  <c r="F1150" i="7"/>
  <c r="F1151" i="7"/>
  <c r="F1152" i="7"/>
  <c r="F1153" i="7"/>
  <c r="F1154" i="7"/>
  <c r="F1155" i="7"/>
  <c r="F1156" i="7"/>
  <c r="F1157" i="7"/>
  <c r="F1158" i="7"/>
  <c r="F1159" i="7"/>
  <c r="F1160" i="7"/>
  <c r="F1161" i="7"/>
  <c r="F1162" i="7"/>
  <c r="F1163" i="7"/>
  <c r="F1164" i="7"/>
  <c r="F1165" i="7"/>
  <c r="F1166" i="7"/>
  <c r="F1167" i="7"/>
  <c r="F1168" i="7"/>
  <c r="F1169" i="7"/>
  <c r="F1170" i="7"/>
  <c r="F1171" i="7"/>
  <c r="F1172" i="7"/>
  <c r="F1173" i="7"/>
  <c r="F1174" i="7"/>
  <c r="F1175" i="7"/>
  <c r="F1176" i="7"/>
  <c r="F1177" i="7"/>
  <c r="F1178" i="7"/>
  <c r="F1179" i="7"/>
  <c r="F1180" i="7"/>
  <c r="F1181" i="7"/>
  <c r="F1182" i="7"/>
  <c r="F1183" i="7"/>
  <c r="F1184" i="7"/>
  <c r="F1185" i="7"/>
  <c r="F1186" i="7"/>
  <c r="F1187" i="7"/>
  <c r="F1188" i="7"/>
  <c r="F1189" i="7"/>
  <c r="F1190" i="7"/>
  <c r="F1191" i="7"/>
  <c r="F1192" i="7"/>
  <c r="F1193" i="7"/>
  <c r="F1194" i="7"/>
  <c r="F1195" i="7"/>
  <c r="F1196" i="7"/>
  <c r="F1197" i="7"/>
  <c r="F1198" i="7"/>
  <c r="F1199" i="7"/>
  <c r="F1200" i="7"/>
  <c r="F1201" i="7"/>
  <c r="F1202" i="7"/>
  <c r="J3" i="7"/>
  <c r="H14" i="2"/>
  <c r="BI3" i="1" s="1"/>
  <c r="I3" i="7"/>
  <c r="H3" i="7"/>
  <c r="G3" i="7"/>
  <c r="F3" i="7"/>
  <c r="C5" i="7"/>
  <c r="D5" i="7"/>
  <c r="E5" i="7"/>
  <c r="C6" i="7"/>
  <c r="D6" i="7"/>
  <c r="E6" i="7"/>
  <c r="C7" i="7"/>
  <c r="D7" i="7"/>
  <c r="E7" i="7"/>
  <c r="C8" i="7"/>
  <c r="D8" i="7"/>
  <c r="E8" i="7"/>
  <c r="C9" i="7"/>
  <c r="D9" i="7"/>
  <c r="E9" i="7"/>
  <c r="C10" i="7"/>
  <c r="D10" i="7"/>
  <c r="E10" i="7"/>
  <c r="C11" i="7"/>
  <c r="D11" i="7"/>
  <c r="E11" i="7"/>
  <c r="C12" i="7"/>
  <c r="D12" i="7"/>
  <c r="E12" i="7"/>
  <c r="C13" i="7"/>
  <c r="D13" i="7"/>
  <c r="E13" i="7"/>
  <c r="C14" i="7"/>
  <c r="D14" i="7"/>
  <c r="E14" i="7"/>
  <c r="C15" i="7"/>
  <c r="D15" i="7"/>
  <c r="E15" i="7"/>
  <c r="C16" i="7"/>
  <c r="D16" i="7"/>
  <c r="E16" i="7"/>
  <c r="C17" i="7"/>
  <c r="D17" i="7"/>
  <c r="E17" i="7"/>
  <c r="C18" i="7"/>
  <c r="D18" i="7"/>
  <c r="E18" i="7"/>
  <c r="C19" i="7"/>
  <c r="D19" i="7"/>
  <c r="E19" i="7"/>
  <c r="C20" i="7"/>
  <c r="D20" i="7"/>
  <c r="E20" i="7"/>
  <c r="C21" i="7"/>
  <c r="D21" i="7"/>
  <c r="E21" i="7"/>
  <c r="C22" i="7"/>
  <c r="D22" i="7"/>
  <c r="E22" i="7"/>
  <c r="C23" i="7"/>
  <c r="D23" i="7"/>
  <c r="E23" i="7"/>
  <c r="C24" i="7"/>
  <c r="D24" i="7"/>
  <c r="E24" i="7"/>
  <c r="C25" i="7"/>
  <c r="D25" i="7"/>
  <c r="E25" i="7"/>
  <c r="C26" i="7"/>
  <c r="D26" i="7"/>
  <c r="E26" i="7"/>
  <c r="C27" i="7"/>
  <c r="D27" i="7"/>
  <c r="E27" i="7"/>
  <c r="C28" i="7"/>
  <c r="D28" i="7"/>
  <c r="E28" i="7"/>
  <c r="C29" i="7"/>
  <c r="D29" i="7"/>
  <c r="E29" i="7"/>
  <c r="C30" i="7"/>
  <c r="D30" i="7"/>
  <c r="E30" i="7"/>
  <c r="C31" i="7"/>
  <c r="D31" i="7"/>
  <c r="E31" i="7"/>
  <c r="C32" i="7"/>
  <c r="D32" i="7"/>
  <c r="E32" i="7"/>
  <c r="C33" i="7"/>
  <c r="D33" i="7"/>
  <c r="E33" i="7"/>
  <c r="C34" i="7"/>
  <c r="D34" i="7"/>
  <c r="E34" i="7"/>
  <c r="C35" i="7"/>
  <c r="D35" i="7"/>
  <c r="E35" i="7"/>
  <c r="C36" i="7"/>
  <c r="D36" i="7"/>
  <c r="E36" i="7"/>
  <c r="C37" i="7"/>
  <c r="D37" i="7"/>
  <c r="E37" i="7"/>
  <c r="C38" i="7"/>
  <c r="D38" i="7"/>
  <c r="E38" i="7"/>
  <c r="C39" i="7"/>
  <c r="D39" i="7"/>
  <c r="E39" i="7"/>
  <c r="C40" i="7"/>
  <c r="D40" i="7"/>
  <c r="E40" i="7"/>
  <c r="C41" i="7"/>
  <c r="D41" i="7"/>
  <c r="E41" i="7"/>
  <c r="C42" i="7"/>
  <c r="D42" i="7"/>
  <c r="E42" i="7"/>
  <c r="C43" i="7"/>
  <c r="D43" i="7"/>
  <c r="E43" i="7"/>
  <c r="C44" i="7"/>
  <c r="D44" i="7"/>
  <c r="E44" i="7"/>
  <c r="C45" i="7"/>
  <c r="D45" i="7"/>
  <c r="E45" i="7"/>
  <c r="C46" i="7"/>
  <c r="D46" i="7"/>
  <c r="E46" i="7"/>
  <c r="C47" i="7"/>
  <c r="D47" i="7"/>
  <c r="E47" i="7"/>
  <c r="C48" i="7"/>
  <c r="D48" i="7"/>
  <c r="E48" i="7"/>
  <c r="C49" i="7"/>
  <c r="D49" i="7"/>
  <c r="E49" i="7"/>
  <c r="C50" i="7"/>
  <c r="D50" i="7"/>
  <c r="E50" i="7"/>
  <c r="C51" i="7"/>
  <c r="D51" i="7"/>
  <c r="E51" i="7"/>
  <c r="C52" i="7"/>
  <c r="D52" i="7"/>
  <c r="E52" i="7"/>
  <c r="C53" i="7"/>
  <c r="D53" i="7"/>
  <c r="E53" i="7"/>
  <c r="C54" i="7"/>
  <c r="D54" i="7"/>
  <c r="E54" i="7"/>
  <c r="C55" i="7"/>
  <c r="D55" i="7"/>
  <c r="E55" i="7"/>
  <c r="C56" i="7"/>
  <c r="D56" i="7"/>
  <c r="E56" i="7"/>
  <c r="C57" i="7"/>
  <c r="D57" i="7"/>
  <c r="E57" i="7"/>
  <c r="C58" i="7"/>
  <c r="D58" i="7"/>
  <c r="E58" i="7"/>
  <c r="C59" i="7"/>
  <c r="D59" i="7"/>
  <c r="E59" i="7"/>
  <c r="C60" i="7"/>
  <c r="D60" i="7"/>
  <c r="E60" i="7"/>
  <c r="C61" i="7"/>
  <c r="D61" i="7"/>
  <c r="E61" i="7"/>
  <c r="C62" i="7"/>
  <c r="D62" i="7"/>
  <c r="E62" i="7"/>
  <c r="C63" i="7"/>
  <c r="D63" i="7"/>
  <c r="E63" i="7"/>
  <c r="C64" i="7"/>
  <c r="D64" i="7"/>
  <c r="E64" i="7"/>
  <c r="C65" i="7"/>
  <c r="D65" i="7"/>
  <c r="E65" i="7"/>
  <c r="C66" i="7"/>
  <c r="D66" i="7"/>
  <c r="E66" i="7"/>
  <c r="C67" i="7"/>
  <c r="D67" i="7"/>
  <c r="E67" i="7"/>
  <c r="C68" i="7"/>
  <c r="D68" i="7"/>
  <c r="E68" i="7"/>
  <c r="C69" i="7"/>
  <c r="D69" i="7"/>
  <c r="E69" i="7"/>
  <c r="C70" i="7"/>
  <c r="D70" i="7"/>
  <c r="E70" i="7"/>
  <c r="C71" i="7"/>
  <c r="D71" i="7"/>
  <c r="E71" i="7"/>
  <c r="C72" i="7"/>
  <c r="D72" i="7"/>
  <c r="E72" i="7"/>
  <c r="C73" i="7"/>
  <c r="D73" i="7"/>
  <c r="E73" i="7"/>
  <c r="C74" i="7"/>
  <c r="D74" i="7"/>
  <c r="E74" i="7"/>
  <c r="C75" i="7"/>
  <c r="D75" i="7"/>
  <c r="E75" i="7"/>
  <c r="C76" i="7"/>
  <c r="D76" i="7"/>
  <c r="E76" i="7"/>
  <c r="C77" i="7"/>
  <c r="D77" i="7"/>
  <c r="E77" i="7"/>
  <c r="C78" i="7"/>
  <c r="D78" i="7"/>
  <c r="E78" i="7"/>
  <c r="C79" i="7"/>
  <c r="D79" i="7"/>
  <c r="E79" i="7"/>
  <c r="C80" i="7"/>
  <c r="D80" i="7"/>
  <c r="E80" i="7"/>
  <c r="C81" i="7"/>
  <c r="D81" i="7"/>
  <c r="E81" i="7"/>
  <c r="C82" i="7"/>
  <c r="D82" i="7"/>
  <c r="E82" i="7"/>
  <c r="C83" i="7"/>
  <c r="D83" i="7"/>
  <c r="E83" i="7"/>
  <c r="C84" i="7"/>
  <c r="D84" i="7"/>
  <c r="E84" i="7"/>
  <c r="C85" i="7"/>
  <c r="D85" i="7"/>
  <c r="E85" i="7"/>
  <c r="C86" i="7"/>
  <c r="D86" i="7"/>
  <c r="E86" i="7"/>
  <c r="C87" i="7"/>
  <c r="D87" i="7"/>
  <c r="E87" i="7"/>
  <c r="C88" i="7"/>
  <c r="D88" i="7"/>
  <c r="E88" i="7"/>
  <c r="C89" i="7"/>
  <c r="D89" i="7"/>
  <c r="E89" i="7"/>
  <c r="C90" i="7"/>
  <c r="D90" i="7"/>
  <c r="E90" i="7"/>
  <c r="C91" i="7"/>
  <c r="D91" i="7"/>
  <c r="E91" i="7"/>
  <c r="C92" i="7"/>
  <c r="D92" i="7"/>
  <c r="E92" i="7"/>
  <c r="C93" i="7"/>
  <c r="D93" i="7"/>
  <c r="E93" i="7"/>
  <c r="C94" i="7"/>
  <c r="D94" i="7"/>
  <c r="E94" i="7"/>
  <c r="C95" i="7"/>
  <c r="D95" i="7"/>
  <c r="E95" i="7"/>
  <c r="C96" i="7"/>
  <c r="D96" i="7"/>
  <c r="E96" i="7"/>
  <c r="C97" i="7"/>
  <c r="D97" i="7"/>
  <c r="E97" i="7"/>
  <c r="C98" i="7"/>
  <c r="D98" i="7"/>
  <c r="E98" i="7"/>
  <c r="C99" i="7"/>
  <c r="D99" i="7"/>
  <c r="E99" i="7"/>
  <c r="C100" i="7"/>
  <c r="D100" i="7"/>
  <c r="E100" i="7"/>
  <c r="C101" i="7"/>
  <c r="D101" i="7"/>
  <c r="E101" i="7"/>
  <c r="C102" i="7"/>
  <c r="D102" i="7"/>
  <c r="E102" i="7"/>
  <c r="C103" i="7"/>
  <c r="D103" i="7"/>
  <c r="E103" i="7"/>
  <c r="C104" i="7"/>
  <c r="D104" i="7"/>
  <c r="E104" i="7"/>
  <c r="C105" i="7"/>
  <c r="D105" i="7"/>
  <c r="E105" i="7"/>
  <c r="C106" i="7"/>
  <c r="D106" i="7"/>
  <c r="E106" i="7"/>
  <c r="C107" i="7"/>
  <c r="D107" i="7"/>
  <c r="E107" i="7"/>
  <c r="C108" i="7"/>
  <c r="D108" i="7"/>
  <c r="E108" i="7"/>
  <c r="C109" i="7"/>
  <c r="D109" i="7"/>
  <c r="E109" i="7"/>
  <c r="C110" i="7"/>
  <c r="D110" i="7"/>
  <c r="E110" i="7"/>
  <c r="C111" i="7"/>
  <c r="D111" i="7"/>
  <c r="E111" i="7"/>
  <c r="C112" i="7"/>
  <c r="D112" i="7"/>
  <c r="E112" i="7"/>
  <c r="C113" i="7"/>
  <c r="D113" i="7"/>
  <c r="E113" i="7"/>
  <c r="C114" i="7"/>
  <c r="D114" i="7"/>
  <c r="E114" i="7"/>
  <c r="C115" i="7"/>
  <c r="D115" i="7"/>
  <c r="E115" i="7"/>
  <c r="C116" i="7"/>
  <c r="D116" i="7"/>
  <c r="E116" i="7"/>
  <c r="C117" i="7"/>
  <c r="D117" i="7"/>
  <c r="E117" i="7"/>
  <c r="C118" i="7"/>
  <c r="D118" i="7"/>
  <c r="E118" i="7"/>
  <c r="C119" i="7"/>
  <c r="D119" i="7"/>
  <c r="E119" i="7"/>
  <c r="C120" i="7"/>
  <c r="D120" i="7"/>
  <c r="E120" i="7"/>
  <c r="C121" i="7"/>
  <c r="D121" i="7"/>
  <c r="E121" i="7"/>
  <c r="C122" i="7"/>
  <c r="D122" i="7"/>
  <c r="E122" i="7"/>
  <c r="C123" i="7"/>
  <c r="D123" i="7"/>
  <c r="E123" i="7"/>
  <c r="C124" i="7"/>
  <c r="D124" i="7"/>
  <c r="E124" i="7"/>
  <c r="C125" i="7"/>
  <c r="D125" i="7"/>
  <c r="E125" i="7"/>
  <c r="C126" i="7"/>
  <c r="D126" i="7"/>
  <c r="E126" i="7"/>
  <c r="C127" i="7"/>
  <c r="D127" i="7"/>
  <c r="E127" i="7"/>
  <c r="C128" i="7"/>
  <c r="D128" i="7"/>
  <c r="E128" i="7"/>
  <c r="C129" i="7"/>
  <c r="D129" i="7"/>
  <c r="E129" i="7"/>
  <c r="C130" i="7"/>
  <c r="D130" i="7"/>
  <c r="E130" i="7"/>
  <c r="C131" i="7"/>
  <c r="D131" i="7"/>
  <c r="E131" i="7"/>
  <c r="C132" i="7"/>
  <c r="D132" i="7"/>
  <c r="E132" i="7"/>
  <c r="C133" i="7"/>
  <c r="D133" i="7"/>
  <c r="E133" i="7"/>
  <c r="C134" i="7"/>
  <c r="D134" i="7"/>
  <c r="E134" i="7"/>
  <c r="C135" i="7"/>
  <c r="D135" i="7"/>
  <c r="E135" i="7"/>
  <c r="C136" i="7"/>
  <c r="D136" i="7"/>
  <c r="E136" i="7"/>
  <c r="C137" i="7"/>
  <c r="D137" i="7"/>
  <c r="E137" i="7"/>
  <c r="C138" i="7"/>
  <c r="D138" i="7"/>
  <c r="E138" i="7"/>
  <c r="C139" i="7"/>
  <c r="D139" i="7"/>
  <c r="E139" i="7"/>
  <c r="C140" i="7"/>
  <c r="D140" i="7"/>
  <c r="E140" i="7"/>
  <c r="C141" i="7"/>
  <c r="D141" i="7"/>
  <c r="E141" i="7"/>
  <c r="C142" i="7"/>
  <c r="D142" i="7"/>
  <c r="E142" i="7"/>
  <c r="C143" i="7"/>
  <c r="D143" i="7"/>
  <c r="E143" i="7"/>
  <c r="C144" i="7"/>
  <c r="D144" i="7"/>
  <c r="E144" i="7"/>
  <c r="C145" i="7"/>
  <c r="D145" i="7"/>
  <c r="E145" i="7"/>
  <c r="C146" i="7"/>
  <c r="D146" i="7"/>
  <c r="E146" i="7"/>
  <c r="C147" i="7"/>
  <c r="D147" i="7"/>
  <c r="E147" i="7"/>
  <c r="C148" i="7"/>
  <c r="D148" i="7"/>
  <c r="E148" i="7"/>
  <c r="C149" i="7"/>
  <c r="D149" i="7"/>
  <c r="E149" i="7"/>
  <c r="C150" i="7"/>
  <c r="D150" i="7"/>
  <c r="E150" i="7"/>
  <c r="C151" i="7"/>
  <c r="D151" i="7"/>
  <c r="E151" i="7"/>
  <c r="C152" i="7"/>
  <c r="D152" i="7"/>
  <c r="E152" i="7"/>
  <c r="C153" i="7"/>
  <c r="D153" i="7"/>
  <c r="E153" i="7"/>
  <c r="C154" i="7"/>
  <c r="D154" i="7"/>
  <c r="E154" i="7"/>
  <c r="C155" i="7"/>
  <c r="D155" i="7"/>
  <c r="E155" i="7"/>
  <c r="C156" i="7"/>
  <c r="D156" i="7"/>
  <c r="E156" i="7"/>
  <c r="C157" i="7"/>
  <c r="D157" i="7"/>
  <c r="E157" i="7"/>
  <c r="C158" i="7"/>
  <c r="D158" i="7"/>
  <c r="E158" i="7"/>
  <c r="C159" i="7"/>
  <c r="D159" i="7"/>
  <c r="E159" i="7"/>
  <c r="C160" i="7"/>
  <c r="D160" i="7"/>
  <c r="E160" i="7"/>
  <c r="C161" i="7"/>
  <c r="D161" i="7"/>
  <c r="E161" i="7"/>
  <c r="C162" i="7"/>
  <c r="D162" i="7"/>
  <c r="E162" i="7"/>
  <c r="C163" i="7"/>
  <c r="D163" i="7"/>
  <c r="E163" i="7"/>
  <c r="C164" i="7"/>
  <c r="D164" i="7"/>
  <c r="E164" i="7"/>
  <c r="C165" i="7"/>
  <c r="D165" i="7"/>
  <c r="E165" i="7"/>
  <c r="C166" i="7"/>
  <c r="D166" i="7"/>
  <c r="E166" i="7"/>
  <c r="C167" i="7"/>
  <c r="D167" i="7"/>
  <c r="E167" i="7"/>
  <c r="C168" i="7"/>
  <c r="D168" i="7"/>
  <c r="E168" i="7"/>
  <c r="C169" i="7"/>
  <c r="D169" i="7"/>
  <c r="E169" i="7"/>
  <c r="C170" i="7"/>
  <c r="D170" i="7"/>
  <c r="E170" i="7"/>
  <c r="C171" i="7"/>
  <c r="D171" i="7"/>
  <c r="E171" i="7"/>
  <c r="C172" i="7"/>
  <c r="D172" i="7"/>
  <c r="E172" i="7"/>
  <c r="C173" i="7"/>
  <c r="D173" i="7"/>
  <c r="E173" i="7"/>
  <c r="C174" i="7"/>
  <c r="D174" i="7"/>
  <c r="E174" i="7"/>
  <c r="C175" i="7"/>
  <c r="D175" i="7"/>
  <c r="E175" i="7"/>
  <c r="C176" i="7"/>
  <c r="D176" i="7"/>
  <c r="E176" i="7"/>
  <c r="C177" i="7"/>
  <c r="D177" i="7"/>
  <c r="E177" i="7"/>
  <c r="C178" i="7"/>
  <c r="D178" i="7"/>
  <c r="E178" i="7"/>
  <c r="C179" i="7"/>
  <c r="D179" i="7"/>
  <c r="E179" i="7"/>
  <c r="C180" i="7"/>
  <c r="D180" i="7"/>
  <c r="E180" i="7"/>
  <c r="C181" i="7"/>
  <c r="D181" i="7"/>
  <c r="E181" i="7"/>
  <c r="C182" i="7"/>
  <c r="D182" i="7"/>
  <c r="E182" i="7"/>
  <c r="C183" i="7"/>
  <c r="D183" i="7"/>
  <c r="E183" i="7"/>
  <c r="C184" i="7"/>
  <c r="D184" i="7"/>
  <c r="E184" i="7"/>
  <c r="C185" i="7"/>
  <c r="D185" i="7"/>
  <c r="E185" i="7"/>
  <c r="C186" i="7"/>
  <c r="D186" i="7"/>
  <c r="E186" i="7"/>
  <c r="C187" i="7"/>
  <c r="D187" i="7"/>
  <c r="E187" i="7"/>
  <c r="C188" i="7"/>
  <c r="D188" i="7"/>
  <c r="E188" i="7"/>
  <c r="C189" i="7"/>
  <c r="D189" i="7"/>
  <c r="E189" i="7"/>
  <c r="C190" i="7"/>
  <c r="D190" i="7"/>
  <c r="E190" i="7"/>
  <c r="C191" i="7"/>
  <c r="D191" i="7"/>
  <c r="E191" i="7"/>
  <c r="C192" i="7"/>
  <c r="D192" i="7"/>
  <c r="E192" i="7"/>
  <c r="C193" i="7"/>
  <c r="D193" i="7"/>
  <c r="E193" i="7"/>
  <c r="C194" i="7"/>
  <c r="D194" i="7"/>
  <c r="E194" i="7"/>
  <c r="C195" i="7"/>
  <c r="D195" i="7"/>
  <c r="E195" i="7"/>
  <c r="C196" i="7"/>
  <c r="D196" i="7"/>
  <c r="E196" i="7"/>
  <c r="C197" i="7"/>
  <c r="D197" i="7"/>
  <c r="E197" i="7"/>
  <c r="C198" i="7"/>
  <c r="D198" i="7"/>
  <c r="E198" i="7"/>
  <c r="C199" i="7"/>
  <c r="D199" i="7"/>
  <c r="E199" i="7"/>
  <c r="C200" i="7"/>
  <c r="D200" i="7"/>
  <c r="E200" i="7"/>
  <c r="C201" i="7"/>
  <c r="D201" i="7"/>
  <c r="E201" i="7"/>
  <c r="C202" i="7"/>
  <c r="D202" i="7"/>
  <c r="E202" i="7"/>
  <c r="C203" i="7"/>
  <c r="D203" i="7"/>
  <c r="E203" i="7"/>
  <c r="C204" i="7"/>
  <c r="D204" i="7"/>
  <c r="E204" i="7"/>
  <c r="C205" i="7"/>
  <c r="D205" i="7"/>
  <c r="E205" i="7"/>
  <c r="C206" i="7"/>
  <c r="D206" i="7"/>
  <c r="E206" i="7"/>
  <c r="C207" i="7"/>
  <c r="D207" i="7"/>
  <c r="E207" i="7"/>
  <c r="C208" i="7"/>
  <c r="D208" i="7"/>
  <c r="E208" i="7"/>
  <c r="C209" i="7"/>
  <c r="D209" i="7"/>
  <c r="E209" i="7"/>
  <c r="C210" i="7"/>
  <c r="D210" i="7"/>
  <c r="E210" i="7"/>
  <c r="C211" i="7"/>
  <c r="D211" i="7"/>
  <c r="E211" i="7"/>
  <c r="C212" i="7"/>
  <c r="D212" i="7"/>
  <c r="E212" i="7"/>
  <c r="C213" i="7"/>
  <c r="D213" i="7"/>
  <c r="E213" i="7"/>
  <c r="C214" i="7"/>
  <c r="D214" i="7"/>
  <c r="E214" i="7"/>
  <c r="C215" i="7"/>
  <c r="D215" i="7"/>
  <c r="E215" i="7"/>
  <c r="C216" i="7"/>
  <c r="D216" i="7"/>
  <c r="E216" i="7"/>
  <c r="C217" i="7"/>
  <c r="D217" i="7"/>
  <c r="E217" i="7"/>
  <c r="C218" i="7"/>
  <c r="D218" i="7"/>
  <c r="E218" i="7"/>
  <c r="C219" i="7"/>
  <c r="D219" i="7"/>
  <c r="E219" i="7"/>
  <c r="C220" i="7"/>
  <c r="D220" i="7"/>
  <c r="E220" i="7"/>
  <c r="C221" i="7"/>
  <c r="D221" i="7"/>
  <c r="E221" i="7"/>
  <c r="C222" i="7"/>
  <c r="D222" i="7"/>
  <c r="E222" i="7"/>
  <c r="C223" i="7"/>
  <c r="D223" i="7"/>
  <c r="E223" i="7"/>
  <c r="C224" i="7"/>
  <c r="D224" i="7"/>
  <c r="E224" i="7"/>
  <c r="C225" i="7"/>
  <c r="D225" i="7"/>
  <c r="E225" i="7"/>
  <c r="C226" i="7"/>
  <c r="D226" i="7"/>
  <c r="E226" i="7"/>
  <c r="C227" i="7"/>
  <c r="D227" i="7"/>
  <c r="E227" i="7"/>
  <c r="C228" i="7"/>
  <c r="D228" i="7"/>
  <c r="E228" i="7"/>
  <c r="C229" i="7"/>
  <c r="D229" i="7"/>
  <c r="E229" i="7"/>
  <c r="C230" i="7"/>
  <c r="D230" i="7"/>
  <c r="E230" i="7"/>
  <c r="C231" i="7"/>
  <c r="D231" i="7"/>
  <c r="E231" i="7"/>
  <c r="C232" i="7"/>
  <c r="D232" i="7"/>
  <c r="E232" i="7"/>
  <c r="C233" i="7"/>
  <c r="D233" i="7"/>
  <c r="E233" i="7"/>
  <c r="C234" i="7"/>
  <c r="D234" i="7"/>
  <c r="E234" i="7"/>
  <c r="C235" i="7"/>
  <c r="D235" i="7"/>
  <c r="E235" i="7"/>
  <c r="C236" i="7"/>
  <c r="D236" i="7"/>
  <c r="E236" i="7"/>
  <c r="C237" i="7"/>
  <c r="D237" i="7"/>
  <c r="E237" i="7"/>
  <c r="C238" i="7"/>
  <c r="D238" i="7"/>
  <c r="E238" i="7"/>
  <c r="C239" i="7"/>
  <c r="D239" i="7"/>
  <c r="E239" i="7"/>
  <c r="C240" i="7"/>
  <c r="D240" i="7"/>
  <c r="E240" i="7"/>
  <c r="C241" i="7"/>
  <c r="D241" i="7"/>
  <c r="E241" i="7"/>
  <c r="C242" i="7"/>
  <c r="D242" i="7"/>
  <c r="E242" i="7"/>
  <c r="C243" i="7"/>
  <c r="D243" i="7"/>
  <c r="E243" i="7"/>
  <c r="C244" i="7"/>
  <c r="D244" i="7"/>
  <c r="E244" i="7"/>
  <c r="C245" i="7"/>
  <c r="D245" i="7"/>
  <c r="E245" i="7"/>
  <c r="C246" i="7"/>
  <c r="D246" i="7"/>
  <c r="E246" i="7"/>
  <c r="C247" i="7"/>
  <c r="D247" i="7"/>
  <c r="E247" i="7"/>
  <c r="C248" i="7"/>
  <c r="D248" i="7"/>
  <c r="E248" i="7"/>
  <c r="C249" i="7"/>
  <c r="D249" i="7"/>
  <c r="E249" i="7"/>
  <c r="C250" i="7"/>
  <c r="D250" i="7"/>
  <c r="E250" i="7"/>
  <c r="C251" i="7"/>
  <c r="D251" i="7"/>
  <c r="E251" i="7"/>
  <c r="C252" i="7"/>
  <c r="D252" i="7"/>
  <c r="E252" i="7"/>
  <c r="C253" i="7"/>
  <c r="D253" i="7"/>
  <c r="E253" i="7"/>
  <c r="C254" i="7"/>
  <c r="D254" i="7"/>
  <c r="E254" i="7"/>
  <c r="C255" i="7"/>
  <c r="D255" i="7"/>
  <c r="E255" i="7"/>
  <c r="C256" i="7"/>
  <c r="D256" i="7"/>
  <c r="E256" i="7"/>
  <c r="C257" i="7"/>
  <c r="D257" i="7"/>
  <c r="E257" i="7"/>
  <c r="C258" i="7"/>
  <c r="D258" i="7"/>
  <c r="E258" i="7"/>
  <c r="C259" i="7"/>
  <c r="D259" i="7"/>
  <c r="E259" i="7"/>
  <c r="C260" i="7"/>
  <c r="D260" i="7"/>
  <c r="E260" i="7"/>
  <c r="C261" i="7"/>
  <c r="D261" i="7"/>
  <c r="E261" i="7"/>
  <c r="C262" i="7"/>
  <c r="D262" i="7"/>
  <c r="E262" i="7"/>
  <c r="C263" i="7"/>
  <c r="D263" i="7"/>
  <c r="E263" i="7"/>
  <c r="C264" i="7"/>
  <c r="D264" i="7"/>
  <c r="E264" i="7"/>
  <c r="C265" i="7"/>
  <c r="D265" i="7"/>
  <c r="E265" i="7"/>
  <c r="C266" i="7"/>
  <c r="D266" i="7"/>
  <c r="E266" i="7"/>
  <c r="C267" i="7"/>
  <c r="D267" i="7"/>
  <c r="E267" i="7"/>
  <c r="C268" i="7"/>
  <c r="D268" i="7"/>
  <c r="E268" i="7"/>
  <c r="C269" i="7"/>
  <c r="D269" i="7"/>
  <c r="E269" i="7"/>
  <c r="C270" i="7"/>
  <c r="D270" i="7"/>
  <c r="E270" i="7"/>
  <c r="C271" i="7"/>
  <c r="D271" i="7"/>
  <c r="E271" i="7"/>
  <c r="C272" i="7"/>
  <c r="D272" i="7"/>
  <c r="E272" i="7"/>
  <c r="C273" i="7"/>
  <c r="D273" i="7"/>
  <c r="E273" i="7"/>
  <c r="C274" i="7"/>
  <c r="D274" i="7"/>
  <c r="E274" i="7"/>
  <c r="C275" i="7"/>
  <c r="D275" i="7"/>
  <c r="E275" i="7"/>
  <c r="C276" i="7"/>
  <c r="D276" i="7"/>
  <c r="E276" i="7"/>
  <c r="C277" i="7"/>
  <c r="D277" i="7"/>
  <c r="E277" i="7"/>
  <c r="C278" i="7"/>
  <c r="D278" i="7"/>
  <c r="E278" i="7"/>
  <c r="C279" i="7"/>
  <c r="D279" i="7"/>
  <c r="E279" i="7"/>
  <c r="C280" i="7"/>
  <c r="D280" i="7"/>
  <c r="E280" i="7"/>
  <c r="C281" i="7"/>
  <c r="D281" i="7"/>
  <c r="E281" i="7"/>
  <c r="C282" i="7"/>
  <c r="D282" i="7"/>
  <c r="E282" i="7"/>
  <c r="C283" i="7"/>
  <c r="D283" i="7"/>
  <c r="E283" i="7"/>
  <c r="C284" i="7"/>
  <c r="D284" i="7"/>
  <c r="E284" i="7"/>
  <c r="C285" i="7"/>
  <c r="D285" i="7"/>
  <c r="E285" i="7"/>
  <c r="C286" i="7"/>
  <c r="D286" i="7"/>
  <c r="E286" i="7"/>
  <c r="C287" i="7"/>
  <c r="D287" i="7"/>
  <c r="E287" i="7"/>
  <c r="C288" i="7"/>
  <c r="D288" i="7"/>
  <c r="E288" i="7"/>
  <c r="C289" i="7"/>
  <c r="D289" i="7"/>
  <c r="E289" i="7"/>
  <c r="C290" i="7"/>
  <c r="D290" i="7"/>
  <c r="E290" i="7"/>
  <c r="C291" i="7"/>
  <c r="D291" i="7"/>
  <c r="E291" i="7"/>
  <c r="C292" i="7"/>
  <c r="D292" i="7"/>
  <c r="E292" i="7"/>
  <c r="C293" i="7"/>
  <c r="D293" i="7"/>
  <c r="E293" i="7"/>
  <c r="C294" i="7"/>
  <c r="D294" i="7"/>
  <c r="E294" i="7"/>
  <c r="C295" i="7"/>
  <c r="D295" i="7"/>
  <c r="E295" i="7"/>
  <c r="C296" i="7"/>
  <c r="D296" i="7"/>
  <c r="E296" i="7"/>
  <c r="C297" i="7"/>
  <c r="D297" i="7"/>
  <c r="E297" i="7"/>
  <c r="C298" i="7"/>
  <c r="D298" i="7"/>
  <c r="E298" i="7"/>
  <c r="C299" i="7"/>
  <c r="D299" i="7"/>
  <c r="E299" i="7"/>
  <c r="C300" i="7"/>
  <c r="D300" i="7"/>
  <c r="E300" i="7"/>
  <c r="C301" i="7"/>
  <c r="D301" i="7"/>
  <c r="E301" i="7"/>
  <c r="C302" i="7"/>
  <c r="D302" i="7"/>
  <c r="E302" i="7"/>
  <c r="C303" i="7"/>
  <c r="D303" i="7"/>
  <c r="E303" i="7"/>
  <c r="C304" i="7"/>
  <c r="D304" i="7"/>
  <c r="E304" i="7"/>
  <c r="C305" i="7"/>
  <c r="D305" i="7"/>
  <c r="E305" i="7"/>
  <c r="C306" i="7"/>
  <c r="D306" i="7"/>
  <c r="E306" i="7"/>
  <c r="C307" i="7"/>
  <c r="D307" i="7"/>
  <c r="E307" i="7"/>
  <c r="C308" i="7"/>
  <c r="D308" i="7"/>
  <c r="E308" i="7"/>
  <c r="C309" i="7"/>
  <c r="D309" i="7"/>
  <c r="E309" i="7"/>
  <c r="C310" i="7"/>
  <c r="D310" i="7"/>
  <c r="E310" i="7"/>
  <c r="C311" i="7"/>
  <c r="D311" i="7"/>
  <c r="E311" i="7"/>
  <c r="C312" i="7"/>
  <c r="D312" i="7"/>
  <c r="E312" i="7"/>
  <c r="C313" i="7"/>
  <c r="D313" i="7"/>
  <c r="E313" i="7"/>
  <c r="C314" i="7"/>
  <c r="D314" i="7"/>
  <c r="E314" i="7"/>
  <c r="C315" i="7"/>
  <c r="D315" i="7"/>
  <c r="E315" i="7"/>
  <c r="C316" i="7"/>
  <c r="D316" i="7"/>
  <c r="E316" i="7"/>
  <c r="C317" i="7"/>
  <c r="D317" i="7"/>
  <c r="E317" i="7"/>
  <c r="C318" i="7"/>
  <c r="D318" i="7"/>
  <c r="E318" i="7"/>
  <c r="C319" i="7"/>
  <c r="D319" i="7"/>
  <c r="E319" i="7"/>
  <c r="C320" i="7"/>
  <c r="D320" i="7"/>
  <c r="E320" i="7"/>
  <c r="C321" i="7"/>
  <c r="D321" i="7"/>
  <c r="E321" i="7"/>
  <c r="C322" i="7"/>
  <c r="D322" i="7"/>
  <c r="E322" i="7"/>
  <c r="C323" i="7"/>
  <c r="D323" i="7"/>
  <c r="E323" i="7"/>
  <c r="C324" i="7"/>
  <c r="D324" i="7"/>
  <c r="E324" i="7"/>
  <c r="C325" i="7"/>
  <c r="D325" i="7"/>
  <c r="E325" i="7"/>
  <c r="C326" i="7"/>
  <c r="D326" i="7"/>
  <c r="E326" i="7"/>
  <c r="C327" i="7"/>
  <c r="D327" i="7"/>
  <c r="E327" i="7"/>
  <c r="C328" i="7"/>
  <c r="D328" i="7"/>
  <c r="E328" i="7"/>
  <c r="C329" i="7"/>
  <c r="D329" i="7"/>
  <c r="E329" i="7"/>
  <c r="C330" i="7"/>
  <c r="D330" i="7"/>
  <c r="E330" i="7"/>
  <c r="C331" i="7"/>
  <c r="D331" i="7"/>
  <c r="E331" i="7"/>
  <c r="C332" i="7"/>
  <c r="D332" i="7"/>
  <c r="E332" i="7"/>
  <c r="C333" i="7"/>
  <c r="D333" i="7"/>
  <c r="E333" i="7"/>
  <c r="C334" i="7"/>
  <c r="D334" i="7"/>
  <c r="E334" i="7"/>
  <c r="C335" i="7"/>
  <c r="D335" i="7"/>
  <c r="E335" i="7"/>
  <c r="C336" i="7"/>
  <c r="D336" i="7"/>
  <c r="E336" i="7"/>
  <c r="C337" i="7"/>
  <c r="D337" i="7"/>
  <c r="E337" i="7"/>
  <c r="C338" i="7"/>
  <c r="D338" i="7"/>
  <c r="E338" i="7"/>
  <c r="C339" i="7"/>
  <c r="D339" i="7"/>
  <c r="E339" i="7"/>
  <c r="C340" i="7"/>
  <c r="D340" i="7"/>
  <c r="E340" i="7"/>
  <c r="C341" i="7"/>
  <c r="D341" i="7"/>
  <c r="E341" i="7"/>
  <c r="C342" i="7"/>
  <c r="D342" i="7"/>
  <c r="E342" i="7"/>
  <c r="C343" i="7"/>
  <c r="D343" i="7"/>
  <c r="E343" i="7"/>
  <c r="C344" i="7"/>
  <c r="D344" i="7"/>
  <c r="E344" i="7"/>
  <c r="C345" i="7"/>
  <c r="D345" i="7"/>
  <c r="E345" i="7"/>
  <c r="C346" i="7"/>
  <c r="D346" i="7"/>
  <c r="E346" i="7"/>
  <c r="C347" i="7"/>
  <c r="D347" i="7"/>
  <c r="E347" i="7"/>
  <c r="C348" i="7"/>
  <c r="D348" i="7"/>
  <c r="E348" i="7"/>
  <c r="C349" i="7"/>
  <c r="D349" i="7"/>
  <c r="E349" i="7"/>
  <c r="C350" i="7"/>
  <c r="D350" i="7"/>
  <c r="E350" i="7"/>
  <c r="C351" i="7"/>
  <c r="D351" i="7"/>
  <c r="E351" i="7"/>
  <c r="C352" i="7"/>
  <c r="D352" i="7"/>
  <c r="E352" i="7"/>
  <c r="C353" i="7"/>
  <c r="D353" i="7"/>
  <c r="E353" i="7"/>
  <c r="C354" i="7"/>
  <c r="D354" i="7"/>
  <c r="E354" i="7"/>
  <c r="C355" i="7"/>
  <c r="D355" i="7"/>
  <c r="E355" i="7"/>
  <c r="C356" i="7"/>
  <c r="D356" i="7"/>
  <c r="E356" i="7"/>
  <c r="C357" i="7"/>
  <c r="D357" i="7"/>
  <c r="E357" i="7"/>
  <c r="C358" i="7"/>
  <c r="D358" i="7"/>
  <c r="E358" i="7"/>
  <c r="C359" i="7"/>
  <c r="D359" i="7"/>
  <c r="E359" i="7"/>
  <c r="C360" i="7"/>
  <c r="D360" i="7"/>
  <c r="E360" i="7"/>
  <c r="C361" i="7"/>
  <c r="D361" i="7"/>
  <c r="E361" i="7"/>
  <c r="C362" i="7"/>
  <c r="D362" i="7"/>
  <c r="E362" i="7"/>
  <c r="C363" i="7"/>
  <c r="D363" i="7"/>
  <c r="E363" i="7"/>
  <c r="C364" i="7"/>
  <c r="D364" i="7"/>
  <c r="E364" i="7"/>
  <c r="C365" i="7"/>
  <c r="D365" i="7"/>
  <c r="E365" i="7"/>
  <c r="C366" i="7"/>
  <c r="D366" i="7"/>
  <c r="E366" i="7"/>
  <c r="C367" i="7"/>
  <c r="D367" i="7"/>
  <c r="E367" i="7"/>
  <c r="C368" i="7"/>
  <c r="D368" i="7"/>
  <c r="E368" i="7"/>
  <c r="C369" i="7"/>
  <c r="D369" i="7"/>
  <c r="E369" i="7"/>
  <c r="C370" i="7"/>
  <c r="D370" i="7"/>
  <c r="E370" i="7"/>
  <c r="C371" i="7"/>
  <c r="D371" i="7"/>
  <c r="E371" i="7"/>
  <c r="C372" i="7"/>
  <c r="D372" i="7"/>
  <c r="E372" i="7"/>
  <c r="C373" i="7"/>
  <c r="D373" i="7"/>
  <c r="E373" i="7"/>
  <c r="C374" i="7"/>
  <c r="D374" i="7"/>
  <c r="E374" i="7"/>
  <c r="C375" i="7"/>
  <c r="D375" i="7"/>
  <c r="E375" i="7"/>
  <c r="C376" i="7"/>
  <c r="D376" i="7"/>
  <c r="E376" i="7"/>
  <c r="C377" i="7"/>
  <c r="D377" i="7"/>
  <c r="E377" i="7"/>
  <c r="C378" i="7"/>
  <c r="D378" i="7"/>
  <c r="E378" i="7"/>
  <c r="C379" i="7"/>
  <c r="D379" i="7"/>
  <c r="E379" i="7"/>
  <c r="C380" i="7"/>
  <c r="D380" i="7"/>
  <c r="E380" i="7"/>
  <c r="C381" i="7"/>
  <c r="D381" i="7"/>
  <c r="E381" i="7"/>
  <c r="C382" i="7"/>
  <c r="D382" i="7"/>
  <c r="E382" i="7"/>
  <c r="C383" i="7"/>
  <c r="D383" i="7"/>
  <c r="E383" i="7"/>
  <c r="C384" i="7"/>
  <c r="D384" i="7"/>
  <c r="E384" i="7"/>
  <c r="C385" i="7"/>
  <c r="D385" i="7"/>
  <c r="E385" i="7"/>
  <c r="C386" i="7"/>
  <c r="D386" i="7"/>
  <c r="E386" i="7"/>
  <c r="C387" i="7"/>
  <c r="D387" i="7"/>
  <c r="E387" i="7"/>
  <c r="C388" i="7"/>
  <c r="D388" i="7"/>
  <c r="E388" i="7"/>
  <c r="C389" i="7"/>
  <c r="D389" i="7"/>
  <c r="E389" i="7"/>
  <c r="C390" i="7"/>
  <c r="D390" i="7"/>
  <c r="E390" i="7"/>
  <c r="C391" i="7"/>
  <c r="D391" i="7"/>
  <c r="E391" i="7"/>
  <c r="C392" i="7"/>
  <c r="D392" i="7"/>
  <c r="E392" i="7"/>
  <c r="C393" i="7"/>
  <c r="D393" i="7"/>
  <c r="E393" i="7"/>
  <c r="C394" i="7"/>
  <c r="D394" i="7"/>
  <c r="E394" i="7"/>
  <c r="C395" i="7"/>
  <c r="D395" i="7"/>
  <c r="E395" i="7"/>
  <c r="C396" i="7"/>
  <c r="D396" i="7"/>
  <c r="E396" i="7"/>
  <c r="C397" i="7"/>
  <c r="D397" i="7"/>
  <c r="E397" i="7"/>
  <c r="C398" i="7"/>
  <c r="D398" i="7"/>
  <c r="E398" i="7"/>
  <c r="C399" i="7"/>
  <c r="D399" i="7"/>
  <c r="E399" i="7"/>
  <c r="C400" i="7"/>
  <c r="D400" i="7"/>
  <c r="E400" i="7"/>
  <c r="C401" i="7"/>
  <c r="D401" i="7"/>
  <c r="E401" i="7"/>
  <c r="C402" i="7"/>
  <c r="D402" i="7"/>
  <c r="E402" i="7"/>
  <c r="C403" i="7"/>
  <c r="D403" i="7"/>
  <c r="E403" i="7"/>
  <c r="C404" i="7"/>
  <c r="D404" i="7"/>
  <c r="E404" i="7"/>
  <c r="C405" i="7"/>
  <c r="D405" i="7"/>
  <c r="E405" i="7"/>
  <c r="C406" i="7"/>
  <c r="D406" i="7"/>
  <c r="E406" i="7"/>
  <c r="C407" i="7"/>
  <c r="D407" i="7"/>
  <c r="E407" i="7"/>
  <c r="C408" i="7"/>
  <c r="D408" i="7"/>
  <c r="E408" i="7"/>
  <c r="C409" i="7"/>
  <c r="D409" i="7"/>
  <c r="E409" i="7"/>
  <c r="C410" i="7"/>
  <c r="D410" i="7"/>
  <c r="E410" i="7"/>
  <c r="C411" i="7"/>
  <c r="D411" i="7"/>
  <c r="E411" i="7"/>
  <c r="C412" i="7"/>
  <c r="D412" i="7"/>
  <c r="E412" i="7"/>
  <c r="C413" i="7"/>
  <c r="D413" i="7"/>
  <c r="E413" i="7"/>
  <c r="C414" i="7"/>
  <c r="D414" i="7"/>
  <c r="E414" i="7"/>
  <c r="C415" i="7"/>
  <c r="D415" i="7"/>
  <c r="E415" i="7"/>
  <c r="C416" i="7"/>
  <c r="D416" i="7"/>
  <c r="E416" i="7"/>
  <c r="C417" i="7"/>
  <c r="D417" i="7"/>
  <c r="E417" i="7"/>
  <c r="C418" i="7"/>
  <c r="D418" i="7"/>
  <c r="E418" i="7"/>
  <c r="C419" i="7"/>
  <c r="D419" i="7"/>
  <c r="E419" i="7"/>
  <c r="C420" i="7"/>
  <c r="D420" i="7"/>
  <c r="E420" i="7"/>
  <c r="C421" i="7"/>
  <c r="D421" i="7"/>
  <c r="E421" i="7"/>
  <c r="C422" i="7"/>
  <c r="D422" i="7"/>
  <c r="E422" i="7"/>
  <c r="C423" i="7"/>
  <c r="D423" i="7"/>
  <c r="E423" i="7"/>
  <c r="C424" i="7"/>
  <c r="D424" i="7"/>
  <c r="E424" i="7"/>
  <c r="C425" i="7"/>
  <c r="D425" i="7"/>
  <c r="E425" i="7"/>
  <c r="C426" i="7"/>
  <c r="D426" i="7"/>
  <c r="E426" i="7"/>
  <c r="C427" i="7"/>
  <c r="D427" i="7"/>
  <c r="E427" i="7"/>
  <c r="C428" i="7"/>
  <c r="D428" i="7"/>
  <c r="E428" i="7"/>
  <c r="C429" i="7"/>
  <c r="D429" i="7"/>
  <c r="E429" i="7"/>
  <c r="C430" i="7"/>
  <c r="D430" i="7"/>
  <c r="E430" i="7"/>
  <c r="C431" i="7"/>
  <c r="D431" i="7"/>
  <c r="E431" i="7"/>
  <c r="C432" i="7"/>
  <c r="D432" i="7"/>
  <c r="E432" i="7"/>
  <c r="C433" i="7"/>
  <c r="D433" i="7"/>
  <c r="E433" i="7"/>
  <c r="C434" i="7"/>
  <c r="D434" i="7"/>
  <c r="E434" i="7"/>
  <c r="C435" i="7"/>
  <c r="D435" i="7"/>
  <c r="E435" i="7"/>
  <c r="C436" i="7"/>
  <c r="D436" i="7"/>
  <c r="E436" i="7"/>
  <c r="C437" i="7"/>
  <c r="D437" i="7"/>
  <c r="E437" i="7"/>
  <c r="C438" i="7"/>
  <c r="D438" i="7"/>
  <c r="E438" i="7"/>
  <c r="C439" i="7"/>
  <c r="D439" i="7"/>
  <c r="E439" i="7"/>
  <c r="C440" i="7"/>
  <c r="D440" i="7"/>
  <c r="E440" i="7"/>
  <c r="C441" i="7"/>
  <c r="D441" i="7"/>
  <c r="E441" i="7"/>
  <c r="C442" i="7"/>
  <c r="D442" i="7"/>
  <c r="E442" i="7"/>
  <c r="C443" i="7"/>
  <c r="D443" i="7"/>
  <c r="E443" i="7"/>
  <c r="C444" i="7"/>
  <c r="D444" i="7"/>
  <c r="E444" i="7"/>
  <c r="C445" i="7"/>
  <c r="D445" i="7"/>
  <c r="E445" i="7"/>
  <c r="C446" i="7"/>
  <c r="D446" i="7"/>
  <c r="E446" i="7"/>
  <c r="C447" i="7"/>
  <c r="D447" i="7"/>
  <c r="E447" i="7"/>
  <c r="C448" i="7"/>
  <c r="D448" i="7"/>
  <c r="E448" i="7"/>
  <c r="C449" i="7"/>
  <c r="D449" i="7"/>
  <c r="E449" i="7"/>
  <c r="C450" i="7"/>
  <c r="D450" i="7"/>
  <c r="E450" i="7"/>
  <c r="C451" i="7"/>
  <c r="D451" i="7"/>
  <c r="E451" i="7"/>
  <c r="C452" i="7"/>
  <c r="D452" i="7"/>
  <c r="E452" i="7"/>
  <c r="C453" i="7"/>
  <c r="D453" i="7"/>
  <c r="E453" i="7"/>
  <c r="C454" i="7"/>
  <c r="D454" i="7"/>
  <c r="E454" i="7"/>
  <c r="C455" i="7"/>
  <c r="D455" i="7"/>
  <c r="E455" i="7"/>
  <c r="C456" i="7"/>
  <c r="D456" i="7"/>
  <c r="E456" i="7"/>
  <c r="C457" i="7"/>
  <c r="D457" i="7"/>
  <c r="E457" i="7"/>
  <c r="C458" i="7"/>
  <c r="D458" i="7"/>
  <c r="E458" i="7"/>
  <c r="C459" i="7"/>
  <c r="D459" i="7"/>
  <c r="E459" i="7"/>
  <c r="C460" i="7"/>
  <c r="D460" i="7"/>
  <c r="E460" i="7"/>
  <c r="C461" i="7"/>
  <c r="D461" i="7"/>
  <c r="E461" i="7"/>
  <c r="C462" i="7"/>
  <c r="D462" i="7"/>
  <c r="E462" i="7"/>
  <c r="C463" i="7"/>
  <c r="D463" i="7"/>
  <c r="E463" i="7"/>
  <c r="C464" i="7"/>
  <c r="D464" i="7"/>
  <c r="E464" i="7"/>
  <c r="C465" i="7"/>
  <c r="D465" i="7"/>
  <c r="E465" i="7"/>
  <c r="C466" i="7"/>
  <c r="D466" i="7"/>
  <c r="E466" i="7"/>
  <c r="C467" i="7"/>
  <c r="D467" i="7"/>
  <c r="E467" i="7"/>
  <c r="C468" i="7"/>
  <c r="D468" i="7"/>
  <c r="E468" i="7"/>
  <c r="C469" i="7"/>
  <c r="D469" i="7"/>
  <c r="E469" i="7"/>
  <c r="C470" i="7"/>
  <c r="D470" i="7"/>
  <c r="E470" i="7"/>
  <c r="C471" i="7"/>
  <c r="D471" i="7"/>
  <c r="E471" i="7"/>
  <c r="C472" i="7"/>
  <c r="D472" i="7"/>
  <c r="E472" i="7"/>
  <c r="C473" i="7"/>
  <c r="D473" i="7"/>
  <c r="E473" i="7"/>
  <c r="C474" i="7"/>
  <c r="D474" i="7"/>
  <c r="E474" i="7"/>
  <c r="C475" i="7"/>
  <c r="D475" i="7"/>
  <c r="E475" i="7"/>
  <c r="C476" i="7"/>
  <c r="D476" i="7"/>
  <c r="E476" i="7"/>
  <c r="C477" i="7"/>
  <c r="D477" i="7"/>
  <c r="E477" i="7"/>
  <c r="C478" i="7"/>
  <c r="D478" i="7"/>
  <c r="E478" i="7"/>
  <c r="C479" i="7"/>
  <c r="D479" i="7"/>
  <c r="E479" i="7"/>
  <c r="C480" i="7"/>
  <c r="D480" i="7"/>
  <c r="E480" i="7"/>
  <c r="C481" i="7"/>
  <c r="D481" i="7"/>
  <c r="E481" i="7"/>
  <c r="C482" i="7"/>
  <c r="D482" i="7"/>
  <c r="E482" i="7"/>
  <c r="C483" i="7"/>
  <c r="D483" i="7"/>
  <c r="E483" i="7"/>
  <c r="C484" i="7"/>
  <c r="D484" i="7"/>
  <c r="E484" i="7"/>
  <c r="C485" i="7"/>
  <c r="D485" i="7"/>
  <c r="E485" i="7"/>
  <c r="C486" i="7"/>
  <c r="D486" i="7"/>
  <c r="E486" i="7"/>
  <c r="C487" i="7"/>
  <c r="D487" i="7"/>
  <c r="E487" i="7"/>
  <c r="C488" i="7"/>
  <c r="D488" i="7"/>
  <c r="E488" i="7"/>
  <c r="C489" i="7"/>
  <c r="D489" i="7"/>
  <c r="E489" i="7"/>
  <c r="C490" i="7"/>
  <c r="D490" i="7"/>
  <c r="E490" i="7"/>
  <c r="C491" i="7"/>
  <c r="D491" i="7"/>
  <c r="E491" i="7"/>
  <c r="C492" i="7"/>
  <c r="D492" i="7"/>
  <c r="E492" i="7"/>
  <c r="C493" i="7"/>
  <c r="D493" i="7"/>
  <c r="E493" i="7"/>
  <c r="C494" i="7"/>
  <c r="D494" i="7"/>
  <c r="E494" i="7"/>
  <c r="C495" i="7"/>
  <c r="D495" i="7"/>
  <c r="E495" i="7"/>
  <c r="C496" i="7"/>
  <c r="D496" i="7"/>
  <c r="E496" i="7"/>
  <c r="C497" i="7"/>
  <c r="D497" i="7"/>
  <c r="E497" i="7"/>
  <c r="C498" i="7"/>
  <c r="D498" i="7"/>
  <c r="E498" i="7"/>
  <c r="C499" i="7"/>
  <c r="D499" i="7"/>
  <c r="E499" i="7"/>
  <c r="C500" i="7"/>
  <c r="D500" i="7"/>
  <c r="E500" i="7"/>
  <c r="C501" i="7"/>
  <c r="D501" i="7"/>
  <c r="E501" i="7"/>
  <c r="C502" i="7"/>
  <c r="D502" i="7"/>
  <c r="E502" i="7"/>
  <c r="C503" i="7"/>
  <c r="D503" i="7"/>
  <c r="E503" i="7"/>
  <c r="C504" i="7"/>
  <c r="D504" i="7"/>
  <c r="E504" i="7"/>
  <c r="C505" i="7"/>
  <c r="D505" i="7"/>
  <c r="E505" i="7"/>
  <c r="C506" i="7"/>
  <c r="D506" i="7"/>
  <c r="E506" i="7"/>
  <c r="C507" i="7"/>
  <c r="D507" i="7"/>
  <c r="E507" i="7"/>
  <c r="C508" i="7"/>
  <c r="D508" i="7"/>
  <c r="E508" i="7"/>
  <c r="C509" i="7"/>
  <c r="D509" i="7"/>
  <c r="E509" i="7"/>
  <c r="C510" i="7"/>
  <c r="D510" i="7"/>
  <c r="E510" i="7"/>
  <c r="C511" i="7"/>
  <c r="D511" i="7"/>
  <c r="E511" i="7"/>
  <c r="C512" i="7"/>
  <c r="D512" i="7"/>
  <c r="E512" i="7"/>
  <c r="C513" i="7"/>
  <c r="D513" i="7"/>
  <c r="E513" i="7"/>
  <c r="C514" i="7"/>
  <c r="D514" i="7"/>
  <c r="E514" i="7"/>
  <c r="C515" i="7"/>
  <c r="D515" i="7"/>
  <c r="E515" i="7"/>
  <c r="C516" i="7"/>
  <c r="D516" i="7"/>
  <c r="E516" i="7"/>
  <c r="C517" i="7"/>
  <c r="D517" i="7"/>
  <c r="E517" i="7"/>
  <c r="C518" i="7"/>
  <c r="D518" i="7"/>
  <c r="E518" i="7"/>
  <c r="C519" i="7"/>
  <c r="D519" i="7"/>
  <c r="E519" i="7"/>
  <c r="C520" i="7"/>
  <c r="D520" i="7"/>
  <c r="E520" i="7"/>
  <c r="C521" i="7"/>
  <c r="D521" i="7"/>
  <c r="E521" i="7"/>
  <c r="C522" i="7"/>
  <c r="D522" i="7"/>
  <c r="E522" i="7"/>
  <c r="C523" i="7"/>
  <c r="D523" i="7"/>
  <c r="E523" i="7"/>
  <c r="C524" i="7"/>
  <c r="D524" i="7"/>
  <c r="E524" i="7"/>
  <c r="C525" i="7"/>
  <c r="D525" i="7"/>
  <c r="E525" i="7"/>
  <c r="C526" i="7"/>
  <c r="D526" i="7"/>
  <c r="E526" i="7"/>
  <c r="C527" i="7"/>
  <c r="D527" i="7"/>
  <c r="E527" i="7"/>
  <c r="C528" i="7"/>
  <c r="D528" i="7"/>
  <c r="E528" i="7"/>
  <c r="C529" i="7"/>
  <c r="D529" i="7"/>
  <c r="E529" i="7"/>
  <c r="C530" i="7"/>
  <c r="D530" i="7"/>
  <c r="E530" i="7"/>
  <c r="C531" i="7"/>
  <c r="D531" i="7"/>
  <c r="E531" i="7"/>
  <c r="C532" i="7"/>
  <c r="D532" i="7"/>
  <c r="E532" i="7"/>
  <c r="C533" i="7"/>
  <c r="D533" i="7"/>
  <c r="E533" i="7"/>
  <c r="C534" i="7"/>
  <c r="D534" i="7"/>
  <c r="E534" i="7"/>
  <c r="C535" i="7"/>
  <c r="D535" i="7"/>
  <c r="E535" i="7"/>
  <c r="C536" i="7"/>
  <c r="D536" i="7"/>
  <c r="E536" i="7"/>
  <c r="C537" i="7"/>
  <c r="D537" i="7"/>
  <c r="E537" i="7"/>
  <c r="C538" i="7"/>
  <c r="D538" i="7"/>
  <c r="E538" i="7"/>
  <c r="C539" i="7"/>
  <c r="D539" i="7"/>
  <c r="E539" i="7"/>
  <c r="C540" i="7"/>
  <c r="D540" i="7"/>
  <c r="E540" i="7"/>
  <c r="C541" i="7"/>
  <c r="D541" i="7"/>
  <c r="E541" i="7"/>
  <c r="C542" i="7"/>
  <c r="D542" i="7"/>
  <c r="E542" i="7"/>
  <c r="C543" i="7"/>
  <c r="D543" i="7"/>
  <c r="E543" i="7"/>
  <c r="C544" i="7"/>
  <c r="D544" i="7"/>
  <c r="E544" i="7"/>
  <c r="C545" i="7"/>
  <c r="D545" i="7"/>
  <c r="E545" i="7"/>
  <c r="C546" i="7"/>
  <c r="D546" i="7"/>
  <c r="E546" i="7"/>
  <c r="C547" i="7"/>
  <c r="D547" i="7"/>
  <c r="E547" i="7"/>
  <c r="C548" i="7"/>
  <c r="D548" i="7"/>
  <c r="E548" i="7"/>
  <c r="C549" i="7"/>
  <c r="D549" i="7"/>
  <c r="E549" i="7"/>
  <c r="C550" i="7"/>
  <c r="D550" i="7"/>
  <c r="E550" i="7"/>
  <c r="C551" i="7"/>
  <c r="D551" i="7"/>
  <c r="E551" i="7"/>
  <c r="C552" i="7"/>
  <c r="D552" i="7"/>
  <c r="E552" i="7"/>
  <c r="C553" i="7"/>
  <c r="D553" i="7"/>
  <c r="E553" i="7"/>
  <c r="C554" i="7"/>
  <c r="D554" i="7"/>
  <c r="E554" i="7"/>
  <c r="C555" i="7"/>
  <c r="D555" i="7"/>
  <c r="E555" i="7"/>
  <c r="C556" i="7"/>
  <c r="D556" i="7"/>
  <c r="E556" i="7"/>
  <c r="C557" i="7"/>
  <c r="D557" i="7"/>
  <c r="E557" i="7"/>
  <c r="C558" i="7"/>
  <c r="D558" i="7"/>
  <c r="E558" i="7"/>
  <c r="C559" i="7"/>
  <c r="D559" i="7"/>
  <c r="E559" i="7"/>
  <c r="C560" i="7"/>
  <c r="D560" i="7"/>
  <c r="E560" i="7"/>
  <c r="C561" i="7"/>
  <c r="D561" i="7"/>
  <c r="E561" i="7"/>
  <c r="C562" i="7"/>
  <c r="D562" i="7"/>
  <c r="E562" i="7"/>
  <c r="C563" i="7"/>
  <c r="D563" i="7"/>
  <c r="E563" i="7"/>
  <c r="C564" i="7"/>
  <c r="D564" i="7"/>
  <c r="E564" i="7"/>
  <c r="C565" i="7"/>
  <c r="D565" i="7"/>
  <c r="E565" i="7"/>
  <c r="C566" i="7"/>
  <c r="D566" i="7"/>
  <c r="E566" i="7"/>
  <c r="C567" i="7"/>
  <c r="D567" i="7"/>
  <c r="E567" i="7"/>
  <c r="C568" i="7"/>
  <c r="D568" i="7"/>
  <c r="E568" i="7"/>
  <c r="C569" i="7"/>
  <c r="D569" i="7"/>
  <c r="E569" i="7"/>
  <c r="C570" i="7"/>
  <c r="D570" i="7"/>
  <c r="E570" i="7"/>
  <c r="C571" i="7"/>
  <c r="D571" i="7"/>
  <c r="E571" i="7"/>
  <c r="C572" i="7"/>
  <c r="D572" i="7"/>
  <c r="E572" i="7"/>
  <c r="C573" i="7"/>
  <c r="D573" i="7"/>
  <c r="E573" i="7"/>
  <c r="C574" i="7"/>
  <c r="D574" i="7"/>
  <c r="E574" i="7"/>
  <c r="C575" i="7"/>
  <c r="D575" i="7"/>
  <c r="E575" i="7"/>
  <c r="C576" i="7"/>
  <c r="D576" i="7"/>
  <c r="E576" i="7"/>
  <c r="C577" i="7"/>
  <c r="D577" i="7"/>
  <c r="E577" i="7"/>
  <c r="C578" i="7"/>
  <c r="D578" i="7"/>
  <c r="E578" i="7"/>
  <c r="C579" i="7"/>
  <c r="D579" i="7"/>
  <c r="E579" i="7"/>
  <c r="C580" i="7"/>
  <c r="D580" i="7"/>
  <c r="E580" i="7"/>
  <c r="C581" i="7"/>
  <c r="D581" i="7"/>
  <c r="E581" i="7"/>
  <c r="C582" i="7"/>
  <c r="D582" i="7"/>
  <c r="E582" i="7"/>
  <c r="C583" i="7"/>
  <c r="D583" i="7"/>
  <c r="E583" i="7"/>
  <c r="C584" i="7"/>
  <c r="D584" i="7"/>
  <c r="E584" i="7"/>
  <c r="C585" i="7"/>
  <c r="D585" i="7"/>
  <c r="E585" i="7"/>
  <c r="C586" i="7"/>
  <c r="D586" i="7"/>
  <c r="E586" i="7"/>
  <c r="C587" i="7"/>
  <c r="D587" i="7"/>
  <c r="E587" i="7"/>
  <c r="C588" i="7"/>
  <c r="D588" i="7"/>
  <c r="E588" i="7"/>
  <c r="C589" i="7"/>
  <c r="D589" i="7"/>
  <c r="E589" i="7"/>
  <c r="C590" i="7"/>
  <c r="D590" i="7"/>
  <c r="E590" i="7"/>
  <c r="C591" i="7"/>
  <c r="D591" i="7"/>
  <c r="E591" i="7"/>
  <c r="C592" i="7"/>
  <c r="D592" i="7"/>
  <c r="E592" i="7"/>
  <c r="C593" i="7"/>
  <c r="D593" i="7"/>
  <c r="E593" i="7"/>
  <c r="C594" i="7"/>
  <c r="D594" i="7"/>
  <c r="E594" i="7"/>
  <c r="C595" i="7"/>
  <c r="D595" i="7"/>
  <c r="E595" i="7"/>
  <c r="C596" i="7"/>
  <c r="D596" i="7"/>
  <c r="E596" i="7"/>
  <c r="C597" i="7"/>
  <c r="D597" i="7"/>
  <c r="E597" i="7"/>
  <c r="C598" i="7"/>
  <c r="D598" i="7"/>
  <c r="E598" i="7"/>
  <c r="C599" i="7"/>
  <c r="D599" i="7"/>
  <c r="E599" i="7"/>
  <c r="C600" i="7"/>
  <c r="D600" i="7"/>
  <c r="E600" i="7"/>
  <c r="C601" i="7"/>
  <c r="D601" i="7"/>
  <c r="E601" i="7"/>
  <c r="C602" i="7"/>
  <c r="D602" i="7"/>
  <c r="E602" i="7"/>
  <c r="C603" i="7"/>
  <c r="D603" i="7"/>
  <c r="E603" i="7"/>
  <c r="C604" i="7"/>
  <c r="D604" i="7"/>
  <c r="E604" i="7"/>
  <c r="C605" i="7"/>
  <c r="D605" i="7"/>
  <c r="E605" i="7"/>
  <c r="C606" i="7"/>
  <c r="D606" i="7"/>
  <c r="E606" i="7"/>
  <c r="C607" i="7"/>
  <c r="D607" i="7"/>
  <c r="E607" i="7"/>
  <c r="C608" i="7"/>
  <c r="D608" i="7"/>
  <c r="E608" i="7"/>
  <c r="C609" i="7"/>
  <c r="D609" i="7"/>
  <c r="E609" i="7"/>
  <c r="C610" i="7"/>
  <c r="D610" i="7"/>
  <c r="E610" i="7"/>
  <c r="C611" i="7"/>
  <c r="D611" i="7"/>
  <c r="E611" i="7"/>
  <c r="C612" i="7"/>
  <c r="D612" i="7"/>
  <c r="E612" i="7"/>
  <c r="C613" i="7"/>
  <c r="D613" i="7"/>
  <c r="E613" i="7"/>
  <c r="C614" i="7"/>
  <c r="D614" i="7"/>
  <c r="E614" i="7"/>
  <c r="C615" i="7"/>
  <c r="D615" i="7"/>
  <c r="E615" i="7"/>
  <c r="C616" i="7"/>
  <c r="D616" i="7"/>
  <c r="E616" i="7"/>
  <c r="C617" i="7"/>
  <c r="D617" i="7"/>
  <c r="E617" i="7"/>
  <c r="C618" i="7"/>
  <c r="D618" i="7"/>
  <c r="E618" i="7"/>
  <c r="C619" i="7"/>
  <c r="D619" i="7"/>
  <c r="E619" i="7"/>
  <c r="C620" i="7"/>
  <c r="D620" i="7"/>
  <c r="E620" i="7"/>
  <c r="C621" i="7"/>
  <c r="D621" i="7"/>
  <c r="E621" i="7"/>
  <c r="C622" i="7"/>
  <c r="D622" i="7"/>
  <c r="E622" i="7"/>
  <c r="C623" i="7"/>
  <c r="D623" i="7"/>
  <c r="E623" i="7"/>
  <c r="C624" i="7"/>
  <c r="D624" i="7"/>
  <c r="E624" i="7"/>
  <c r="C625" i="7"/>
  <c r="D625" i="7"/>
  <c r="E625" i="7"/>
  <c r="C626" i="7"/>
  <c r="D626" i="7"/>
  <c r="E626" i="7"/>
  <c r="C627" i="7"/>
  <c r="D627" i="7"/>
  <c r="E627" i="7"/>
  <c r="C628" i="7"/>
  <c r="D628" i="7"/>
  <c r="E628" i="7"/>
  <c r="C629" i="7"/>
  <c r="D629" i="7"/>
  <c r="E629" i="7"/>
  <c r="C630" i="7"/>
  <c r="D630" i="7"/>
  <c r="E630" i="7"/>
  <c r="C631" i="7"/>
  <c r="D631" i="7"/>
  <c r="E631" i="7"/>
  <c r="C632" i="7"/>
  <c r="D632" i="7"/>
  <c r="E632" i="7"/>
  <c r="C633" i="7"/>
  <c r="D633" i="7"/>
  <c r="E633" i="7"/>
  <c r="C634" i="7"/>
  <c r="D634" i="7"/>
  <c r="E634" i="7"/>
  <c r="C635" i="7"/>
  <c r="D635" i="7"/>
  <c r="E635" i="7"/>
  <c r="C636" i="7"/>
  <c r="D636" i="7"/>
  <c r="E636" i="7"/>
  <c r="C637" i="7"/>
  <c r="D637" i="7"/>
  <c r="E637" i="7"/>
  <c r="C638" i="7"/>
  <c r="D638" i="7"/>
  <c r="E638" i="7"/>
  <c r="C639" i="7"/>
  <c r="D639" i="7"/>
  <c r="E639" i="7"/>
  <c r="C640" i="7"/>
  <c r="D640" i="7"/>
  <c r="E640" i="7"/>
  <c r="C641" i="7"/>
  <c r="D641" i="7"/>
  <c r="E641" i="7"/>
  <c r="C642" i="7"/>
  <c r="D642" i="7"/>
  <c r="E642" i="7"/>
  <c r="C643" i="7"/>
  <c r="D643" i="7"/>
  <c r="E643" i="7"/>
  <c r="C644" i="7"/>
  <c r="D644" i="7"/>
  <c r="E644" i="7"/>
  <c r="C645" i="7"/>
  <c r="D645" i="7"/>
  <c r="E645" i="7"/>
  <c r="C646" i="7"/>
  <c r="D646" i="7"/>
  <c r="E646" i="7"/>
  <c r="C647" i="7"/>
  <c r="D647" i="7"/>
  <c r="E647" i="7"/>
  <c r="C648" i="7"/>
  <c r="D648" i="7"/>
  <c r="E648" i="7"/>
  <c r="C649" i="7"/>
  <c r="D649" i="7"/>
  <c r="E649" i="7"/>
  <c r="C650" i="7"/>
  <c r="D650" i="7"/>
  <c r="E650" i="7"/>
  <c r="C651" i="7"/>
  <c r="D651" i="7"/>
  <c r="E651" i="7"/>
  <c r="C652" i="7"/>
  <c r="D652" i="7"/>
  <c r="E652" i="7"/>
  <c r="C653" i="7"/>
  <c r="D653" i="7"/>
  <c r="E653" i="7"/>
  <c r="C654" i="7"/>
  <c r="D654" i="7"/>
  <c r="E654" i="7"/>
  <c r="C655" i="7"/>
  <c r="D655" i="7"/>
  <c r="E655" i="7"/>
  <c r="C656" i="7"/>
  <c r="D656" i="7"/>
  <c r="E656" i="7"/>
  <c r="C657" i="7"/>
  <c r="D657" i="7"/>
  <c r="E657" i="7"/>
  <c r="C658" i="7"/>
  <c r="D658" i="7"/>
  <c r="E658" i="7"/>
  <c r="C659" i="7"/>
  <c r="D659" i="7"/>
  <c r="E659" i="7"/>
  <c r="C660" i="7"/>
  <c r="D660" i="7"/>
  <c r="E660" i="7"/>
  <c r="C661" i="7"/>
  <c r="D661" i="7"/>
  <c r="E661" i="7"/>
  <c r="C662" i="7"/>
  <c r="D662" i="7"/>
  <c r="E662" i="7"/>
  <c r="C663" i="7"/>
  <c r="D663" i="7"/>
  <c r="E663" i="7"/>
  <c r="C664" i="7"/>
  <c r="D664" i="7"/>
  <c r="E664" i="7"/>
  <c r="C665" i="7"/>
  <c r="D665" i="7"/>
  <c r="E665" i="7"/>
  <c r="C666" i="7"/>
  <c r="D666" i="7"/>
  <c r="E666" i="7"/>
  <c r="C667" i="7"/>
  <c r="D667" i="7"/>
  <c r="E667" i="7"/>
  <c r="C668" i="7"/>
  <c r="D668" i="7"/>
  <c r="E668" i="7"/>
  <c r="C669" i="7"/>
  <c r="D669" i="7"/>
  <c r="E669" i="7"/>
  <c r="C670" i="7"/>
  <c r="D670" i="7"/>
  <c r="E670" i="7"/>
  <c r="C671" i="7"/>
  <c r="D671" i="7"/>
  <c r="E671" i="7"/>
  <c r="C672" i="7"/>
  <c r="D672" i="7"/>
  <c r="E672" i="7"/>
  <c r="C673" i="7"/>
  <c r="D673" i="7"/>
  <c r="E673" i="7"/>
  <c r="C674" i="7"/>
  <c r="D674" i="7"/>
  <c r="E674" i="7"/>
  <c r="C675" i="7"/>
  <c r="D675" i="7"/>
  <c r="E675" i="7"/>
  <c r="C676" i="7"/>
  <c r="D676" i="7"/>
  <c r="E676" i="7"/>
  <c r="C677" i="7"/>
  <c r="D677" i="7"/>
  <c r="E677" i="7"/>
  <c r="C678" i="7"/>
  <c r="D678" i="7"/>
  <c r="E678" i="7"/>
  <c r="C679" i="7"/>
  <c r="D679" i="7"/>
  <c r="E679" i="7"/>
  <c r="C680" i="7"/>
  <c r="D680" i="7"/>
  <c r="E680" i="7"/>
  <c r="C681" i="7"/>
  <c r="D681" i="7"/>
  <c r="E681" i="7"/>
  <c r="C682" i="7"/>
  <c r="D682" i="7"/>
  <c r="E682" i="7"/>
  <c r="C683" i="7"/>
  <c r="D683" i="7"/>
  <c r="E683" i="7"/>
  <c r="C684" i="7"/>
  <c r="D684" i="7"/>
  <c r="E684" i="7"/>
  <c r="C685" i="7"/>
  <c r="D685" i="7"/>
  <c r="E685" i="7"/>
  <c r="C686" i="7"/>
  <c r="D686" i="7"/>
  <c r="E686" i="7"/>
  <c r="C687" i="7"/>
  <c r="D687" i="7"/>
  <c r="E687" i="7"/>
  <c r="C688" i="7"/>
  <c r="D688" i="7"/>
  <c r="E688" i="7"/>
  <c r="C689" i="7"/>
  <c r="D689" i="7"/>
  <c r="E689" i="7"/>
  <c r="C690" i="7"/>
  <c r="D690" i="7"/>
  <c r="E690" i="7"/>
  <c r="C691" i="7"/>
  <c r="D691" i="7"/>
  <c r="E691" i="7"/>
  <c r="C692" i="7"/>
  <c r="D692" i="7"/>
  <c r="E692" i="7"/>
  <c r="C693" i="7"/>
  <c r="D693" i="7"/>
  <c r="E693" i="7"/>
  <c r="C694" i="7"/>
  <c r="D694" i="7"/>
  <c r="E694" i="7"/>
  <c r="C695" i="7"/>
  <c r="D695" i="7"/>
  <c r="E695" i="7"/>
  <c r="C696" i="7"/>
  <c r="D696" i="7"/>
  <c r="E696" i="7"/>
  <c r="C697" i="7"/>
  <c r="D697" i="7"/>
  <c r="E697" i="7"/>
  <c r="C698" i="7"/>
  <c r="D698" i="7"/>
  <c r="E698" i="7"/>
  <c r="C699" i="7"/>
  <c r="D699" i="7"/>
  <c r="E699" i="7"/>
  <c r="C700" i="7"/>
  <c r="D700" i="7"/>
  <c r="E700" i="7"/>
  <c r="C701" i="7"/>
  <c r="D701" i="7"/>
  <c r="E701" i="7"/>
  <c r="C702" i="7"/>
  <c r="D702" i="7"/>
  <c r="E702" i="7"/>
  <c r="C703" i="7"/>
  <c r="D703" i="7"/>
  <c r="E703" i="7"/>
  <c r="C704" i="7"/>
  <c r="D704" i="7"/>
  <c r="E704" i="7"/>
  <c r="C705" i="7"/>
  <c r="D705" i="7"/>
  <c r="E705" i="7"/>
  <c r="C706" i="7"/>
  <c r="D706" i="7"/>
  <c r="E706" i="7"/>
  <c r="C707" i="7"/>
  <c r="D707" i="7"/>
  <c r="E707" i="7"/>
  <c r="C708" i="7"/>
  <c r="D708" i="7"/>
  <c r="E708" i="7"/>
  <c r="C709" i="7"/>
  <c r="D709" i="7"/>
  <c r="E709" i="7"/>
  <c r="C710" i="7"/>
  <c r="D710" i="7"/>
  <c r="E710" i="7"/>
  <c r="C711" i="7"/>
  <c r="D711" i="7"/>
  <c r="E711" i="7"/>
  <c r="C712" i="7"/>
  <c r="D712" i="7"/>
  <c r="E712" i="7"/>
  <c r="C713" i="7"/>
  <c r="D713" i="7"/>
  <c r="E713" i="7"/>
  <c r="C714" i="7"/>
  <c r="D714" i="7"/>
  <c r="E714" i="7"/>
  <c r="C715" i="7"/>
  <c r="D715" i="7"/>
  <c r="E715" i="7"/>
  <c r="C716" i="7"/>
  <c r="D716" i="7"/>
  <c r="E716" i="7"/>
  <c r="C717" i="7"/>
  <c r="D717" i="7"/>
  <c r="E717" i="7"/>
  <c r="C718" i="7"/>
  <c r="D718" i="7"/>
  <c r="E718" i="7"/>
  <c r="C719" i="7"/>
  <c r="D719" i="7"/>
  <c r="E719" i="7"/>
  <c r="C720" i="7"/>
  <c r="D720" i="7"/>
  <c r="E720" i="7"/>
  <c r="C721" i="7"/>
  <c r="D721" i="7"/>
  <c r="E721" i="7"/>
  <c r="C722" i="7"/>
  <c r="D722" i="7"/>
  <c r="E722" i="7"/>
  <c r="C723" i="7"/>
  <c r="D723" i="7"/>
  <c r="E723" i="7"/>
  <c r="C724" i="7"/>
  <c r="D724" i="7"/>
  <c r="E724" i="7"/>
  <c r="C725" i="7"/>
  <c r="D725" i="7"/>
  <c r="E725" i="7"/>
  <c r="C726" i="7"/>
  <c r="D726" i="7"/>
  <c r="E726" i="7"/>
  <c r="C727" i="7"/>
  <c r="D727" i="7"/>
  <c r="E727" i="7"/>
  <c r="C728" i="7"/>
  <c r="D728" i="7"/>
  <c r="E728" i="7"/>
  <c r="C729" i="7"/>
  <c r="D729" i="7"/>
  <c r="E729" i="7"/>
  <c r="C730" i="7"/>
  <c r="D730" i="7"/>
  <c r="E730" i="7"/>
  <c r="C731" i="7"/>
  <c r="D731" i="7"/>
  <c r="E731" i="7"/>
  <c r="C732" i="7"/>
  <c r="D732" i="7"/>
  <c r="E732" i="7"/>
  <c r="C733" i="7"/>
  <c r="D733" i="7"/>
  <c r="E733" i="7"/>
  <c r="C734" i="7"/>
  <c r="D734" i="7"/>
  <c r="E734" i="7"/>
  <c r="C735" i="7"/>
  <c r="D735" i="7"/>
  <c r="E735" i="7"/>
  <c r="C736" i="7"/>
  <c r="D736" i="7"/>
  <c r="E736" i="7"/>
  <c r="C737" i="7"/>
  <c r="D737" i="7"/>
  <c r="E737" i="7"/>
  <c r="C738" i="7"/>
  <c r="D738" i="7"/>
  <c r="E738" i="7"/>
  <c r="C739" i="7"/>
  <c r="D739" i="7"/>
  <c r="E739" i="7"/>
  <c r="C740" i="7"/>
  <c r="D740" i="7"/>
  <c r="E740" i="7"/>
  <c r="C741" i="7"/>
  <c r="D741" i="7"/>
  <c r="E741" i="7"/>
  <c r="C742" i="7"/>
  <c r="D742" i="7"/>
  <c r="E742" i="7"/>
  <c r="C743" i="7"/>
  <c r="D743" i="7"/>
  <c r="E743" i="7"/>
  <c r="C744" i="7"/>
  <c r="D744" i="7"/>
  <c r="E744" i="7"/>
  <c r="C745" i="7"/>
  <c r="D745" i="7"/>
  <c r="E745" i="7"/>
  <c r="C746" i="7"/>
  <c r="D746" i="7"/>
  <c r="E746" i="7"/>
  <c r="C747" i="7"/>
  <c r="D747" i="7"/>
  <c r="E747" i="7"/>
  <c r="C748" i="7"/>
  <c r="D748" i="7"/>
  <c r="E748" i="7"/>
  <c r="C749" i="7"/>
  <c r="D749" i="7"/>
  <c r="E749" i="7"/>
  <c r="C750" i="7"/>
  <c r="D750" i="7"/>
  <c r="E750" i="7"/>
  <c r="C751" i="7"/>
  <c r="D751" i="7"/>
  <c r="E751" i="7"/>
  <c r="C752" i="7"/>
  <c r="D752" i="7"/>
  <c r="E752" i="7"/>
  <c r="C753" i="7"/>
  <c r="D753" i="7"/>
  <c r="E753" i="7"/>
  <c r="C754" i="7"/>
  <c r="D754" i="7"/>
  <c r="E754" i="7"/>
  <c r="C755" i="7"/>
  <c r="D755" i="7"/>
  <c r="E755" i="7"/>
  <c r="C756" i="7"/>
  <c r="D756" i="7"/>
  <c r="E756" i="7"/>
  <c r="C757" i="7"/>
  <c r="D757" i="7"/>
  <c r="E757" i="7"/>
  <c r="C758" i="7"/>
  <c r="D758" i="7"/>
  <c r="E758" i="7"/>
  <c r="C759" i="7"/>
  <c r="D759" i="7"/>
  <c r="E759" i="7"/>
  <c r="C760" i="7"/>
  <c r="D760" i="7"/>
  <c r="E760" i="7"/>
  <c r="C761" i="7"/>
  <c r="D761" i="7"/>
  <c r="E761" i="7"/>
  <c r="C762" i="7"/>
  <c r="D762" i="7"/>
  <c r="E762" i="7"/>
  <c r="C763" i="7"/>
  <c r="D763" i="7"/>
  <c r="E763" i="7"/>
  <c r="C764" i="7"/>
  <c r="D764" i="7"/>
  <c r="E764" i="7"/>
  <c r="C765" i="7"/>
  <c r="D765" i="7"/>
  <c r="E765" i="7"/>
  <c r="C766" i="7"/>
  <c r="D766" i="7"/>
  <c r="E766" i="7"/>
  <c r="C767" i="7"/>
  <c r="D767" i="7"/>
  <c r="E767" i="7"/>
  <c r="C768" i="7"/>
  <c r="D768" i="7"/>
  <c r="E768" i="7"/>
  <c r="C769" i="7"/>
  <c r="D769" i="7"/>
  <c r="E769" i="7"/>
  <c r="C770" i="7"/>
  <c r="D770" i="7"/>
  <c r="E770" i="7"/>
  <c r="C771" i="7"/>
  <c r="D771" i="7"/>
  <c r="E771" i="7"/>
  <c r="C772" i="7"/>
  <c r="D772" i="7"/>
  <c r="E772" i="7"/>
  <c r="C773" i="7"/>
  <c r="D773" i="7"/>
  <c r="E773" i="7"/>
  <c r="C774" i="7"/>
  <c r="D774" i="7"/>
  <c r="E774" i="7"/>
  <c r="C775" i="7"/>
  <c r="D775" i="7"/>
  <c r="E775" i="7"/>
  <c r="C776" i="7"/>
  <c r="D776" i="7"/>
  <c r="E776" i="7"/>
  <c r="C777" i="7"/>
  <c r="D777" i="7"/>
  <c r="E777" i="7"/>
  <c r="C778" i="7"/>
  <c r="D778" i="7"/>
  <c r="E778" i="7"/>
  <c r="C779" i="7"/>
  <c r="D779" i="7"/>
  <c r="E779" i="7"/>
  <c r="C780" i="7"/>
  <c r="D780" i="7"/>
  <c r="E780" i="7"/>
  <c r="C781" i="7"/>
  <c r="D781" i="7"/>
  <c r="E781" i="7"/>
  <c r="C782" i="7"/>
  <c r="D782" i="7"/>
  <c r="E782" i="7"/>
  <c r="C783" i="7"/>
  <c r="D783" i="7"/>
  <c r="E783" i="7"/>
  <c r="C784" i="7"/>
  <c r="D784" i="7"/>
  <c r="E784" i="7"/>
  <c r="C785" i="7"/>
  <c r="D785" i="7"/>
  <c r="E785" i="7"/>
  <c r="C786" i="7"/>
  <c r="D786" i="7"/>
  <c r="E786" i="7"/>
  <c r="C787" i="7"/>
  <c r="D787" i="7"/>
  <c r="E787" i="7"/>
  <c r="C788" i="7"/>
  <c r="D788" i="7"/>
  <c r="E788" i="7"/>
  <c r="C789" i="7"/>
  <c r="D789" i="7"/>
  <c r="E789" i="7"/>
  <c r="C790" i="7"/>
  <c r="D790" i="7"/>
  <c r="E790" i="7"/>
  <c r="C791" i="7"/>
  <c r="D791" i="7"/>
  <c r="E791" i="7"/>
  <c r="C792" i="7"/>
  <c r="D792" i="7"/>
  <c r="E792" i="7"/>
  <c r="C793" i="7"/>
  <c r="D793" i="7"/>
  <c r="E793" i="7"/>
  <c r="C794" i="7"/>
  <c r="D794" i="7"/>
  <c r="E794" i="7"/>
  <c r="C795" i="7"/>
  <c r="D795" i="7"/>
  <c r="E795" i="7"/>
  <c r="C796" i="7"/>
  <c r="D796" i="7"/>
  <c r="E796" i="7"/>
  <c r="C797" i="7"/>
  <c r="D797" i="7"/>
  <c r="E797" i="7"/>
  <c r="C798" i="7"/>
  <c r="D798" i="7"/>
  <c r="E798" i="7"/>
  <c r="C799" i="7"/>
  <c r="D799" i="7"/>
  <c r="E799" i="7"/>
  <c r="C800" i="7"/>
  <c r="D800" i="7"/>
  <c r="E800" i="7"/>
  <c r="C801" i="7"/>
  <c r="D801" i="7"/>
  <c r="E801" i="7"/>
  <c r="C802" i="7"/>
  <c r="D802" i="7"/>
  <c r="E802" i="7"/>
  <c r="C803" i="7"/>
  <c r="D803" i="7"/>
  <c r="E803" i="7"/>
  <c r="C804" i="7"/>
  <c r="D804" i="7"/>
  <c r="E804" i="7"/>
  <c r="C805" i="7"/>
  <c r="D805" i="7"/>
  <c r="E805" i="7"/>
  <c r="C806" i="7"/>
  <c r="D806" i="7"/>
  <c r="E806" i="7"/>
  <c r="C807" i="7"/>
  <c r="D807" i="7"/>
  <c r="E807" i="7"/>
  <c r="C808" i="7"/>
  <c r="D808" i="7"/>
  <c r="E808" i="7"/>
  <c r="C809" i="7"/>
  <c r="D809" i="7"/>
  <c r="E809" i="7"/>
  <c r="C810" i="7"/>
  <c r="D810" i="7"/>
  <c r="E810" i="7"/>
  <c r="C811" i="7"/>
  <c r="D811" i="7"/>
  <c r="E811" i="7"/>
  <c r="C812" i="7"/>
  <c r="D812" i="7"/>
  <c r="E812" i="7"/>
  <c r="C813" i="7"/>
  <c r="D813" i="7"/>
  <c r="E813" i="7"/>
  <c r="C814" i="7"/>
  <c r="D814" i="7"/>
  <c r="E814" i="7"/>
  <c r="C815" i="7"/>
  <c r="D815" i="7"/>
  <c r="E815" i="7"/>
  <c r="C816" i="7"/>
  <c r="D816" i="7"/>
  <c r="E816" i="7"/>
  <c r="C817" i="7"/>
  <c r="D817" i="7"/>
  <c r="E817" i="7"/>
  <c r="C818" i="7"/>
  <c r="D818" i="7"/>
  <c r="E818" i="7"/>
  <c r="C819" i="7"/>
  <c r="D819" i="7"/>
  <c r="E819" i="7"/>
  <c r="C820" i="7"/>
  <c r="D820" i="7"/>
  <c r="E820" i="7"/>
  <c r="C821" i="7"/>
  <c r="D821" i="7"/>
  <c r="E821" i="7"/>
  <c r="C822" i="7"/>
  <c r="D822" i="7"/>
  <c r="E822" i="7"/>
  <c r="C823" i="7"/>
  <c r="D823" i="7"/>
  <c r="E823" i="7"/>
  <c r="C824" i="7"/>
  <c r="D824" i="7"/>
  <c r="E824" i="7"/>
  <c r="C825" i="7"/>
  <c r="D825" i="7"/>
  <c r="E825" i="7"/>
  <c r="C826" i="7"/>
  <c r="D826" i="7"/>
  <c r="E826" i="7"/>
  <c r="C827" i="7"/>
  <c r="D827" i="7"/>
  <c r="E827" i="7"/>
  <c r="C828" i="7"/>
  <c r="D828" i="7"/>
  <c r="E828" i="7"/>
  <c r="C829" i="7"/>
  <c r="D829" i="7"/>
  <c r="E829" i="7"/>
  <c r="C830" i="7"/>
  <c r="D830" i="7"/>
  <c r="E830" i="7"/>
  <c r="C831" i="7"/>
  <c r="D831" i="7"/>
  <c r="E831" i="7"/>
  <c r="C832" i="7"/>
  <c r="D832" i="7"/>
  <c r="E832" i="7"/>
  <c r="C833" i="7"/>
  <c r="D833" i="7"/>
  <c r="E833" i="7"/>
  <c r="C834" i="7"/>
  <c r="D834" i="7"/>
  <c r="E834" i="7"/>
  <c r="C835" i="7"/>
  <c r="D835" i="7"/>
  <c r="E835" i="7"/>
  <c r="C836" i="7"/>
  <c r="D836" i="7"/>
  <c r="E836" i="7"/>
  <c r="C837" i="7"/>
  <c r="D837" i="7"/>
  <c r="E837" i="7"/>
  <c r="C838" i="7"/>
  <c r="D838" i="7"/>
  <c r="E838" i="7"/>
  <c r="C839" i="7"/>
  <c r="D839" i="7"/>
  <c r="E839" i="7"/>
  <c r="C840" i="7"/>
  <c r="D840" i="7"/>
  <c r="E840" i="7"/>
  <c r="C841" i="7"/>
  <c r="D841" i="7"/>
  <c r="E841" i="7"/>
  <c r="C842" i="7"/>
  <c r="D842" i="7"/>
  <c r="E842" i="7"/>
  <c r="C843" i="7"/>
  <c r="D843" i="7"/>
  <c r="E843" i="7"/>
  <c r="C844" i="7"/>
  <c r="D844" i="7"/>
  <c r="E844" i="7"/>
  <c r="C845" i="7"/>
  <c r="D845" i="7"/>
  <c r="E845" i="7"/>
  <c r="C846" i="7"/>
  <c r="D846" i="7"/>
  <c r="E846" i="7"/>
  <c r="C847" i="7"/>
  <c r="D847" i="7"/>
  <c r="E847" i="7"/>
  <c r="C848" i="7"/>
  <c r="D848" i="7"/>
  <c r="E848" i="7"/>
  <c r="C849" i="7"/>
  <c r="D849" i="7"/>
  <c r="E849" i="7"/>
  <c r="C850" i="7"/>
  <c r="D850" i="7"/>
  <c r="E850" i="7"/>
  <c r="C851" i="7"/>
  <c r="D851" i="7"/>
  <c r="E851" i="7"/>
  <c r="C852" i="7"/>
  <c r="D852" i="7"/>
  <c r="E852" i="7"/>
  <c r="C853" i="7"/>
  <c r="D853" i="7"/>
  <c r="E853" i="7"/>
  <c r="C854" i="7"/>
  <c r="D854" i="7"/>
  <c r="E854" i="7"/>
  <c r="C855" i="7"/>
  <c r="D855" i="7"/>
  <c r="E855" i="7"/>
  <c r="C856" i="7"/>
  <c r="D856" i="7"/>
  <c r="E856" i="7"/>
  <c r="C857" i="7"/>
  <c r="D857" i="7"/>
  <c r="E857" i="7"/>
  <c r="C858" i="7"/>
  <c r="D858" i="7"/>
  <c r="E858" i="7"/>
  <c r="C859" i="7"/>
  <c r="D859" i="7"/>
  <c r="E859" i="7"/>
  <c r="C860" i="7"/>
  <c r="D860" i="7"/>
  <c r="E860" i="7"/>
  <c r="C861" i="7"/>
  <c r="D861" i="7"/>
  <c r="E861" i="7"/>
  <c r="C862" i="7"/>
  <c r="D862" i="7"/>
  <c r="E862" i="7"/>
  <c r="C863" i="7"/>
  <c r="D863" i="7"/>
  <c r="E863" i="7"/>
  <c r="C864" i="7"/>
  <c r="D864" i="7"/>
  <c r="E864" i="7"/>
  <c r="C865" i="7"/>
  <c r="D865" i="7"/>
  <c r="E865" i="7"/>
  <c r="C866" i="7"/>
  <c r="D866" i="7"/>
  <c r="E866" i="7"/>
  <c r="C867" i="7"/>
  <c r="D867" i="7"/>
  <c r="E867" i="7"/>
  <c r="C868" i="7"/>
  <c r="D868" i="7"/>
  <c r="E868" i="7"/>
  <c r="C869" i="7"/>
  <c r="D869" i="7"/>
  <c r="E869" i="7"/>
  <c r="C870" i="7"/>
  <c r="D870" i="7"/>
  <c r="E870" i="7"/>
  <c r="C871" i="7"/>
  <c r="D871" i="7"/>
  <c r="E871" i="7"/>
  <c r="C872" i="7"/>
  <c r="D872" i="7"/>
  <c r="E872" i="7"/>
  <c r="C873" i="7"/>
  <c r="D873" i="7"/>
  <c r="E873" i="7"/>
  <c r="C874" i="7"/>
  <c r="D874" i="7"/>
  <c r="E874" i="7"/>
  <c r="C875" i="7"/>
  <c r="D875" i="7"/>
  <c r="E875" i="7"/>
  <c r="C876" i="7"/>
  <c r="D876" i="7"/>
  <c r="E876" i="7"/>
  <c r="C877" i="7"/>
  <c r="D877" i="7"/>
  <c r="E877" i="7"/>
  <c r="C878" i="7"/>
  <c r="D878" i="7"/>
  <c r="E878" i="7"/>
  <c r="C879" i="7"/>
  <c r="D879" i="7"/>
  <c r="E879" i="7"/>
  <c r="C880" i="7"/>
  <c r="D880" i="7"/>
  <c r="E880" i="7"/>
  <c r="C881" i="7"/>
  <c r="D881" i="7"/>
  <c r="E881" i="7"/>
  <c r="C882" i="7"/>
  <c r="D882" i="7"/>
  <c r="E882" i="7"/>
  <c r="C883" i="7"/>
  <c r="D883" i="7"/>
  <c r="E883" i="7"/>
  <c r="C884" i="7"/>
  <c r="D884" i="7"/>
  <c r="E884" i="7"/>
  <c r="C885" i="7"/>
  <c r="D885" i="7"/>
  <c r="E885" i="7"/>
  <c r="C886" i="7"/>
  <c r="D886" i="7"/>
  <c r="E886" i="7"/>
  <c r="C887" i="7"/>
  <c r="D887" i="7"/>
  <c r="E887" i="7"/>
  <c r="C888" i="7"/>
  <c r="D888" i="7"/>
  <c r="E888" i="7"/>
  <c r="C889" i="7"/>
  <c r="D889" i="7"/>
  <c r="E889" i="7"/>
  <c r="C890" i="7"/>
  <c r="D890" i="7"/>
  <c r="E890" i="7"/>
  <c r="C891" i="7"/>
  <c r="D891" i="7"/>
  <c r="E891" i="7"/>
  <c r="C892" i="7"/>
  <c r="D892" i="7"/>
  <c r="E892" i="7"/>
  <c r="C893" i="7"/>
  <c r="D893" i="7"/>
  <c r="E893" i="7"/>
  <c r="C894" i="7"/>
  <c r="D894" i="7"/>
  <c r="E894" i="7"/>
  <c r="C895" i="7"/>
  <c r="D895" i="7"/>
  <c r="E895" i="7"/>
  <c r="C896" i="7"/>
  <c r="D896" i="7"/>
  <c r="E896" i="7"/>
  <c r="C897" i="7"/>
  <c r="D897" i="7"/>
  <c r="E897" i="7"/>
  <c r="C898" i="7"/>
  <c r="D898" i="7"/>
  <c r="E898" i="7"/>
  <c r="C899" i="7"/>
  <c r="D899" i="7"/>
  <c r="E899" i="7"/>
  <c r="C900" i="7"/>
  <c r="D900" i="7"/>
  <c r="E900" i="7"/>
  <c r="C901" i="7"/>
  <c r="D901" i="7"/>
  <c r="E901" i="7"/>
  <c r="C902" i="7"/>
  <c r="D902" i="7"/>
  <c r="E902" i="7"/>
  <c r="C903" i="7"/>
  <c r="D903" i="7"/>
  <c r="E903" i="7"/>
  <c r="C904" i="7"/>
  <c r="D904" i="7"/>
  <c r="E904" i="7"/>
  <c r="C905" i="7"/>
  <c r="D905" i="7"/>
  <c r="E905" i="7"/>
  <c r="C906" i="7"/>
  <c r="D906" i="7"/>
  <c r="E906" i="7"/>
  <c r="C907" i="7"/>
  <c r="D907" i="7"/>
  <c r="E907" i="7"/>
  <c r="C908" i="7"/>
  <c r="D908" i="7"/>
  <c r="E908" i="7"/>
  <c r="C909" i="7"/>
  <c r="D909" i="7"/>
  <c r="E909" i="7"/>
  <c r="C910" i="7"/>
  <c r="D910" i="7"/>
  <c r="E910" i="7"/>
  <c r="C911" i="7"/>
  <c r="D911" i="7"/>
  <c r="E911" i="7"/>
  <c r="C912" i="7"/>
  <c r="D912" i="7"/>
  <c r="E912" i="7"/>
  <c r="C913" i="7"/>
  <c r="D913" i="7"/>
  <c r="E913" i="7"/>
  <c r="C914" i="7"/>
  <c r="D914" i="7"/>
  <c r="E914" i="7"/>
  <c r="C915" i="7"/>
  <c r="D915" i="7"/>
  <c r="E915" i="7"/>
  <c r="C916" i="7"/>
  <c r="D916" i="7"/>
  <c r="E916" i="7"/>
  <c r="C917" i="7"/>
  <c r="D917" i="7"/>
  <c r="E917" i="7"/>
  <c r="C918" i="7"/>
  <c r="D918" i="7"/>
  <c r="E918" i="7"/>
  <c r="C919" i="7"/>
  <c r="D919" i="7"/>
  <c r="E919" i="7"/>
  <c r="C920" i="7"/>
  <c r="D920" i="7"/>
  <c r="E920" i="7"/>
  <c r="C921" i="7"/>
  <c r="D921" i="7"/>
  <c r="E921" i="7"/>
  <c r="C922" i="7"/>
  <c r="D922" i="7"/>
  <c r="E922" i="7"/>
  <c r="C923" i="7"/>
  <c r="D923" i="7"/>
  <c r="E923" i="7"/>
  <c r="C924" i="7"/>
  <c r="D924" i="7"/>
  <c r="E924" i="7"/>
  <c r="C925" i="7"/>
  <c r="D925" i="7"/>
  <c r="E925" i="7"/>
  <c r="C926" i="7"/>
  <c r="D926" i="7"/>
  <c r="E926" i="7"/>
  <c r="C927" i="7"/>
  <c r="D927" i="7"/>
  <c r="E927" i="7"/>
  <c r="C928" i="7"/>
  <c r="D928" i="7"/>
  <c r="E928" i="7"/>
  <c r="C929" i="7"/>
  <c r="D929" i="7"/>
  <c r="E929" i="7"/>
  <c r="C930" i="7"/>
  <c r="D930" i="7"/>
  <c r="E930" i="7"/>
  <c r="C931" i="7"/>
  <c r="D931" i="7"/>
  <c r="E931" i="7"/>
  <c r="C932" i="7"/>
  <c r="D932" i="7"/>
  <c r="E932" i="7"/>
  <c r="C933" i="7"/>
  <c r="D933" i="7"/>
  <c r="E933" i="7"/>
  <c r="C934" i="7"/>
  <c r="D934" i="7"/>
  <c r="E934" i="7"/>
  <c r="C935" i="7"/>
  <c r="D935" i="7"/>
  <c r="E935" i="7"/>
  <c r="C936" i="7"/>
  <c r="D936" i="7"/>
  <c r="E936" i="7"/>
  <c r="C937" i="7"/>
  <c r="D937" i="7"/>
  <c r="E937" i="7"/>
  <c r="C938" i="7"/>
  <c r="D938" i="7"/>
  <c r="E938" i="7"/>
  <c r="C939" i="7"/>
  <c r="D939" i="7"/>
  <c r="E939" i="7"/>
  <c r="C940" i="7"/>
  <c r="D940" i="7"/>
  <c r="E940" i="7"/>
  <c r="C941" i="7"/>
  <c r="D941" i="7"/>
  <c r="E941" i="7"/>
  <c r="C942" i="7"/>
  <c r="D942" i="7"/>
  <c r="E942" i="7"/>
  <c r="C943" i="7"/>
  <c r="D943" i="7"/>
  <c r="E943" i="7"/>
  <c r="C944" i="7"/>
  <c r="D944" i="7"/>
  <c r="E944" i="7"/>
  <c r="C945" i="7"/>
  <c r="D945" i="7"/>
  <c r="E945" i="7"/>
  <c r="C946" i="7"/>
  <c r="D946" i="7"/>
  <c r="E946" i="7"/>
  <c r="C947" i="7"/>
  <c r="D947" i="7"/>
  <c r="E947" i="7"/>
  <c r="C948" i="7"/>
  <c r="D948" i="7"/>
  <c r="E948" i="7"/>
  <c r="C949" i="7"/>
  <c r="D949" i="7"/>
  <c r="E949" i="7"/>
  <c r="C950" i="7"/>
  <c r="D950" i="7"/>
  <c r="E950" i="7"/>
  <c r="C951" i="7"/>
  <c r="D951" i="7"/>
  <c r="E951" i="7"/>
  <c r="C952" i="7"/>
  <c r="D952" i="7"/>
  <c r="E952" i="7"/>
  <c r="C953" i="7"/>
  <c r="D953" i="7"/>
  <c r="E953" i="7"/>
  <c r="C954" i="7"/>
  <c r="D954" i="7"/>
  <c r="E954" i="7"/>
  <c r="C955" i="7"/>
  <c r="D955" i="7"/>
  <c r="E955" i="7"/>
  <c r="C956" i="7"/>
  <c r="D956" i="7"/>
  <c r="E956" i="7"/>
  <c r="C957" i="7"/>
  <c r="D957" i="7"/>
  <c r="E957" i="7"/>
  <c r="C958" i="7"/>
  <c r="D958" i="7"/>
  <c r="E958" i="7"/>
  <c r="C959" i="7"/>
  <c r="D959" i="7"/>
  <c r="E959" i="7"/>
  <c r="C960" i="7"/>
  <c r="D960" i="7"/>
  <c r="E960" i="7"/>
  <c r="C961" i="7"/>
  <c r="D961" i="7"/>
  <c r="E961" i="7"/>
  <c r="C962" i="7"/>
  <c r="D962" i="7"/>
  <c r="E962" i="7"/>
  <c r="C963" i="7"/>
  <c r="D963" i="7"/>
  <c r="E963" i="7"/>
  <c r="C964" i="7"/>
  <c r="D964" i="7"/>
  <c r="E964" i="7"/>
  <c r="C965" i="7"/>
  <c r="D965" i="7"/>
  <c r="E965" i="7"/>
  <c r="C966" i="7"/>
  <c r="D966" i="7"/>
  <c r="E966" i="7"/>
  <c r="C967" i="7"/>
  <c r="D967" i="7"/>
  <c r="E967" i="7"/>
  <c r="C968" i="7"/>
  <c r="D968" i="7"/>
  <c r="E968" i="7"/>
  <c r="C969" i="7"/>
  <c r="D969" i="7"/>
  <c r="E969" i="7"/>
  <c r="C970" i="7"/>
  <c r="D970" i="7"/>
  <c r="E970" i="7"/>
  <c r="C971" i="7"/>
  <c r="D971" i="7"/>
  <c r="E971" i="7"/>
  <c r="C972" i="7"/>
  <c r="D972" i="7"/>
  <c r="E972" i="7"/>
  <c r="C973" i="7"/>
  <c r="D973" i="7"/>
  <c r="E973" i="7"/>
  <c r="C974" i="7"/>
  <c r="D974" i="7"/>
  <c r="E974" i="7"/>
  <c r="C975" i="7"/>
  <c r="D975" i="7"/>
  <c r="E975" i="7"/>
  <c r="C976" i="7"/>
  <c r="D976" i="7"/>
  <c r="E976" i="7"/>
  <c r="C977" i="7"/>
  <c r="D977" i="7"/>
  <c r="E977" i="7"/>
  <c r="C978" i="7"/>
  <c r="D978" i="7"/>
  <c r="E978" i="7"/>
  <c r="C979" i="7"/>
  <c r="D979" i="7"/>
  <c r="E979" i="7"/>
  <c r="C980" i="7"/>
  <c r="D980" i="7"/>
  <c r="E980" i="7"/>
  <c r="C981" i="7"/>
  <c r="D981" i="7"/>
  <c r="E981" i="7"/>
  <c r="C982" i="7"/>
  <c r="D982" i="7"/>
  <c r="E982" i="7"/>
  <c r="C983" i="7"/>
  <c r="D983" i="7"/>
  <c r="E983" i="7"/>
  <c r="C984" i="7"/>
  <c r="D984" i="7"/>
  <c r="E984" i="7"/>
  <c r="C985" i="7"/>
  <c r="D985" i="7"/>
  <c r="E985" i="7"/>
  <c r="C986" i="7"/>
  <c r="D986" i="7"/>
  <c r="E986" i="7"/>
  <c r="C987" i="7"/>
  <c r="D987" i="7"/>
  <c r="E987" i="7"/>
  <c r="C988" i="7"/>
  <c r="D988" i="7"/>
  <c r="E988" i="7"/>
  <c r="C989" i="7"/>
  <c r="D989" i="7"/>
  <c r="E989" i="7"/>
  <c r="C990" i="7"/>
  <c r="D990" i="7"/>
  <c r="E990" i="7"/>
  <c r="C991" i="7"/>
  <c r="D991" i="7"/>
  <c r="E991" i="7"/>
  <c r="C992" i="7"/>
  <c r="D992" i="7"/>
  <c r="E992" i="7"/>
  <c r="C993" i="7"/>
  <c r="D993" i="7"/>
  <c r="E993" i="7"/>
  <c r="C994" i="7"/>
  <c r="D994" i="7"/>
  <c r="E994" i="7"/>
  <c r="C995" i="7"/>
  <c r="D995" i="7"/>
  <c r="E995" i="7"/>
  <c r="C996" i="7"/>
  <c r="D996" i="7"/>
  <c r="E996" i="7"/>
  <c r="C997" i="7"/>
  <c r="D997" i="7"/>
  <c r="E997" i="7"/>
  <c r="C998" i="7"/>
  <c r="D998" i="7"/>
  <c r="E998" i="7"/>
  <c r="C999" i="7"/>
  <c r="D999" i="7"/>
  <c r="E999" i="7"/>
  <c r="C1000" i="7"/>
  <c r="D1000" i="7"/>
  <c r="E1000" i="7"/>
  <c r="C1001" i="7"/>
  <c r="D1001" i="7"/>
  <c r="E1001" i="7"/>
  <c r="C1002" i="7"/>
  <c r="D1002" i="7"/>
  <c r="E1002" i="7"/>
  <c r="C1003" i="7"/>
  <c r="D1003" i="7"/>
  <c r="E1003" i="7"/>
  <c r="C1004" i="7"/>
  <c r="D1004" i="7"/>
  <c r="E1004" i="7"/>
  <c r="C1005" i="7"/>
  <c r="D1005" i="7"/>
  <c r="E1005" i="7"/>
  <c r="C1006" i="7"/>
  <c r="D1006" i="7"/>
  <c r="E1006" i="7"/>
  <c r="C1007" i="7"/>
  <c r="D1007" i="7"/>
  <c r="E1007" i="7"/>
  <c r="C1008" i="7"/>
  <c r="D1008" i="7"/>
  <c r="E1008" i="7"/>
  <c r="C1009" i="7"/>
  <c r="D1009" i="7"/>
  <c r="E1009" i="7"/>
  <c r="C1010" i="7"/>
  <c r="D1010" i="7"/>
  <c r="E1010" i="7"/>
  <c r="C1011" i="7"/>
  <c r="D1011" i="7"/>
  <c r="E1011" i="7"/>
  <c r="C1012" i="7"/>
  <c r="D1012" i="7"/>
  <c r="E1012" i="7"/>
  <c r="C1013" i="7"/>
  <c r="D1013" i="7"/>
  <c r="E1013" i="7"/>
  <c r="C1014" i="7"/>
  <c r="D1014" i="7"/>
  <c r="E1014" i="7"/>
  <c r="C1015" i="7"/>
  <c r="D1015" i="7"/>
  <c r="E1015" i="7"/>
  <c r="C1016" i="7"/>
  <c r="D1016" i="7"/>
  <c r="E1016" i="7"/>
  <c r="C1017" i="7"/>
  <c r="D1017" i="7"/>
  <c r="E1017" i="7"/>
  <c r="C1018" i="7"/>
  <c r="D1018" i="7"/>
  <c r="E1018" i="7"/>
  <c r="C1019" i="7"/>
  <c r="D1019" i="7"/>
  <c r="E1019" i="7"/>
  <c r="C1020" i="7"/>
  <c r="D1020" i="7"/>
  <c r="E1020" i="7"/>
  <c r="C1021" i="7"/>
  <c r="D1021" i="7"/>
  <c r="E1021" i="7"/>
  <c r="C1022" i="7"/>
  <c r="D1022" i="7"/>
  <c r="E1022" i="7"/>
  <c r="C1023" i="7"/>
  <c r="D1023" i="7"/>
  <c r="E1023" i="7"/>
  <c r="C1024" i="7"/>
  <c r="D1024" i="7"/>
  <c r="E1024" i="7"/>
  <c r="C1025" i="7"/>
  <c r="D1025" i="7"/>
  <c r="E1025" i="7"/>
  <c r="C1026" i="7"/>
  <c r="D1026" i="7"/>
  <c r="E1026" i="7"/>
  <c r="C1027" i="7"/>
  <c r="D1027" i="7"/>
  <c r="E1027" i="7"/>
  <c r="C1028" i="7"/>
  <c r="D1028" i="7"/>
  <c r="E1028" i="7"/>
  <c r="C1029" i="7"/>
  <c r="D1029" i="7"/>
  <c r="E1029" i="7"/>
  <c r="C1030" i="7"/>
  <c r="D1030" i="7"/>
  <c r="E1030" i="7"/>
  <c r="C1031" i="7"/>
  <c r="D1031" i="7"/>
  <c r="E1031" i="7"/>
  <c r="C1032" i="7"/>
  <c r="D1032" i="7"/>
  <c r="E1032" i="7"/>
  <c r="C1033" i="7"/>
  <c r="D1033" i="7"/>
  <c r="E1033" i="7"/>
  <c r="C1034" i="7"/>
  <c r="D1034" i="7"/>
  <c r="E1034" i="7"/>
  <c r="C1035" i="7"/>
  <c r="D1035" i="7"/>
  <c r="E1035" i="7"/>
  <c r="C1036" i="7"/>
  <c r="D1036" i="7"/>
  <c r="E1036" i="7"/>
  <c r="C1037" i="7"/>
  <c r="D1037" i="7"/>
  <c r="E1037" i="7"/>
  <c r="C1038" i="7"/>
  <c r="D1038" i="7"/>
  <c r="E1038" i="7"/>
  <c r="C1039" i="7"/>
  <c r="D1039" i="7"/>
  <c r="E1039" i="7"/>
  <c r="C1040" i="7"/>
  <c r="D1040" i="7"/>
  <c r="E1040" i="7"/>
  <c r="C1041" i="7"/>
  <c r="D1041" i="7"/>
  <c r="E1041" i="7"/>
  <c r="C1042" i="7"/>
  <c r="D1042" i="7"/>
  <c r="E1042" i="7"/>
  <c r="C1043" i="7"/>
  <c r="D1043" i="7"/>
  <c r="E1043" i="7"/>
  <c r="C1044" i="7"/>
  <c r="D1044" i="7"/>
  <c r="E1044" i="7"/>
  <c r="C1045" i="7"/>
  <c r="D1045" i="7"/>
  <c r="E1045" i="7"/>
  <c r="C1046" i="7"/>
  <c r="D1046" i="7"/>
  <c r="E1046" i="7"/>
  <c r="C1047" i="7"/>
  <c r="D1047" i="7"/>
  <c r="E1047" i="7"/>
  <c r="C1048" i="7"/>
  <c r="D1048" i="7"/>
  <c r="E1048" i="7"/>
  <c r="C1049" i="7"/>
  <c r="D1049" i="7"/>
  <c r="E1049" i="7"/>
  <c r="C1050" i="7"/>
  <c r="D1050" i="7"/>
  <c r="E1050" i="7"/>
  <c r="C1051" i="7"/>
  <c r="D1051" i="7"/>
  <c r="E1051" i="7"/>
  <c r="C1052" i="7"/>
  <c r="D1052" i="7"/>
  <c r="E1052" i="7"/>
  <c r="C1053" i="7"/>
  <c r="D1053" i="7"/>
  <c r="E1053" i="7"/>
  <c r="C1054" i="7"/>
  <c r="D1054" i="7"/>
  <c r="E1054" i="7"/>
  <c r="C1055" i="7"/>
  <c r="D1055" i="7"/>
  <c r="E1055" i="7"/>
  <c r="C1056" i="7"/>
  <c r="D1056" i="7"/>
  <c r="E1056" i="7"/>
  <c r="C1057" i="7"/>
  <c r="D1057" i="7"/>
  <c r="E1057" i="7"/>
  <c r="C1058" i="7"/>
  <c r="D1058" i="7"/>
  <c r="E1058" i="7"/>
  <c r="C1059" i="7"/>
  <c r="D1059" i="7"/>
  <c r="E1059" i="7"/>
  <c r="C1060" i="7"/>
  <c r="D1060" i="7"/>
  <c r="E1060" i="7"/>
  <c r="C1061" i="7"/>
  <c r="D1061" i="7"/>
  <c r="E1061" i="7"/>
  <c r="C1062" i="7"/>
  <c r="D1062" i="7"/>
  <c r="E1062" i="7"/>
  <c r="C1063" i="7"/>
  <c r="D1063" i="7"/>
  <c r="E1063" i="7"/>
  <c r="C1064" i="7"/>
  <c r="D1064" i="7"/>
  <c r="E1064" i="7"/>
  <c r="C1065" i="7"/>
  <c r="D1065" i="7"/>
  <c r="E1065" i="7"/>
  <c r="C1066" i="7"/>
  <c r="D1066" i="7"/>
  <c r="E1066" i="7"/>
  <c r="C1067" i="7"/>
  <c r="D1067" i="7"/>
  <c r="E1067" i="7"/>
  <c r="C1068" i="7"/>
  <c r="D1068" i="7"/>
  <c r="E1068" i="7"/>
  <c r="C1069" i="7"/>
  <c r="D1069" i="7"/>
  <c r="E1069" i="7"/>
  <c r="C1070" i="7"/>
  <c r="D1070" i="7"/>
  <c r="E1070" i="7"/>
  <c r="C1071" i="7"/>
  <c r="D1071" i="7"/>
  <c r="E1071" i="7"/>
  <c r="C1072" i="7"/>
  <c r="D1072" i="7"/>
  <c r="E1072" i="7"/>
  <c r="C1073" i="7"/>
  <c r="D1073" i="7"/>
  <c r="E1073" i="7"/>
  <c r="C1074" i="7"/>
  <c r="D1074" i="7"/>
  <c r="E1074" i="7"/>
  <c r="C1075" i="7"/>
  <c r="D1075" i="7"/>
  <c r="E1075" i="7"/>
  <c r="C1076" i="7"/>
  <c r="D1076" i="7"/>
  <c r="E1076" i="7"/>
  <c r="C1077" i="7"/>
  <c r="D1077" i="7"/>
  <c r="E1077" i="7"/>
  <c r="C1078" i="7"/>
  <c r="D1078" i="7"/>
  <c r="E1078" i="7"/>
  <c r="C1079" i="7"/>
  <c r="D1079" i="7"/>
  <c r="E1079" i="7"/>
  <c r="C1080" i="7"/>
  <c r="D1080" i="7"/>
  <c r="E1080" i="7"/>
  <c r="C1081" i="7"/>
  <c r="D1081" i="7"/>
  <c r="E1081" i="7"/>
  <c r="C1082" i="7"/>
  <c r="D1082" i="7"/>
  <c r="E1082" i="7"/>
  <c r="C1083" i="7"/>
  <c r="D1083" i="7"/>
  <c r="E1083" i="7"/>
  <c r="C1084" i="7"/>
  <c r="D1084" i="7"/>
  <c r="E1084" i="7"/>
  <c r="C1085" i="7"/>
  <c r="D1085" i="7"/>
  <c r="E1085" i="7"/>
  <c r="C1086" i="7"/>
  <c r="D1086" i="7"/>
  <c r="E1086" i="7"/>
  <c r="C1087" i="7"/>
  <c r="D1087" i="7"/>
  <c r="E1087" i="7"/>
  <c r="C1088" i="7"/>
  <c r="D1088" i="7"/>
  <c r="E1088" i="7"/>
  <c r="C1089" i="7"/>
  <c r="D1089" i="7"/>
  <c r="E1089" i="7"/>
  <c r="C1090" i="7"/>
  <c r="D1090" i="7"/>
  <c r="E1090" i="7"/>
  <c r="C1091" i="7"/>
  <c r="D1091" i="7"/>
  <c r="E1091" i="7"/>
  <c r="C1092" i="7"/>
  <c r="D1092" i="7"/>
  <c r="E1092" i="7"/>
  <c r="C1093" i="7"/>
  <c r="D1093" i="7"/>
  <c r="E1093" i="7"/>
  <c r="C1094" i="7"/>
  <c r="D1094" i="7"/>
  <c r="E1094" i="7"/>
  <c r="C1095" i="7"/>
  <c r="D1095" i="7"/>
  <c r="E1095" i="7"/>
  <c r="C1096" i="7"/>
  <c r="D1096" i="7"/>
  <c r="E1096" i="7"/>
  <c r="C1097" i="7"/>
  <c r="D1097" i="7"/>
  <c r="E1097" i="7"/>
  <c r="C1098" i="7"/>
  <c r="D1098" i="7"/>
  <c r="E1098" i="7"/>
  <c r="C1099" i="7"/>
  <c r="D1099" i="7"/>
  <c r="E1099" i="7"/>
  <c r="C1100" i="7"/>
  <c r="D1100" i="7"/>
  <c r="E1100" i="7"/>
  <c r="C1101" i="7"/>
  <c r="D1101" i="7"/>
  <c r="E1101" i="7"/>
  <c r="C1102" i="7"/>
  <c r="D1102" i="7"/>
  <c r="E1102" i="7"/>
  <c r="C1103" i="7"/>
  <c r="D1103" i="7"/>
  <c r="E1103" i="7"/>
  <c r="C1104" i="7"/>
  <c r="D1104" i="7"/>
  <c r="E1104" i="7"/>
  <c r="C1105" i="7"/>
  <c r="D1105" i="7"/>
  <c r="E1105" i="7"/>
  <c r="C1106" i="7"/>
  <c r="D1106" i="7"/>
  <c r="E1106" i="7"/>
  <c r="C1107" i="7"/>
  <c r="D1107" i="7"/>
  <c r="E1107" i="7"/>
  <c r="C1108" i="7"/>
  <c r="D1108" i="7"/>
  <c r="E1108" i="7"/>
  <c r="C1109" i="7"/>
  <c r="D1109" i="7"/>
  <c r="E1109" i="7"/>
  <c r="C1110" i="7"/>
  <c r="D1110" i="7"/>
  <c r="E1110" i="7"/>
  <c r="C1111" i="7"/>
  <c r="D1111" i="7"/>
  <c r="E1111" i="7"/>
  <c r="C1112" i="7"/>
  <c r="D1112" i="7"/>
  <c r="E1112" i="7"/>
  <c r="C1113" i="7"/>
  <c r="D1113" i="7"/>
  <c r="E1113" i="7"/>
  <c r="C1114" i="7"/>
  <c r="D1114" i="7"/>
  <c r="E1114" i="7"/>
  <c r="C1115" i="7"/>
  <c r="D1115" i="7"/>
  <c r="E1115" i="7"/>
  <c r="C1116" i="7"/>
  <c r="D1116" i="7"/>
  <c r="E1116" i="7"/>
  <c r="C1117" i="7"/>
  <c r="D1117" i="7"/>
  <c r="E1117" i="7"/>
  <c r="C1118" i="7"/>
  <c r="D1118" i="7"/>
  <c r="E1118" i="7"/>
  <c r="C1119" i="7"/>
  <c r="D1119" i="7"/>
  <c r="E1119" i="7"/>
  <c r="C1120" i="7"/>
  <c r="D1120" i="7"/>
  <c r="E1120" i="7"/>
  <c r="C1121" i="7"/>
  <c r="D1121" i="7"/>
  <c r="E1121" i="7"/>
  <c r="C1122" i="7"/>
  <c r="D1122" i="7"/>
  <c r="E1122" i="7"/>
  <c r="C1123" i="7"/>
  <c r="D1123" i="7"/>
  <c r="E1123" i="7"/>
  <c r="C1124" i="7"/>
  <c r="D1124" i="7"/>
  <c r="E1124" i="7"/>
  <c r="C1125" i="7"/>
  <c r="D1125" i="7"/>
  <c r="E1125" i="7"/>
  <c r="C1126" i="7"/>
  <c r="D1126" i="7"/>
  <c r="E1126" i="7"/>
  <c r="C1127" i="7"/>
  <c r="D1127" i="7"/>
  <c r="E1127" i="7"/>
  <c r="C1128" i="7"/>
  <c r="D1128" i="7"/>
  <c r="E1128" i="7"/>
  <c r="C1129" i="7"/>
  <c r="D1129" i="7"/>
  <c r="E1129" i="7"/>
  <c r="C1130" i="7"/>
  <c r="D1130" i="7"/>
  <c r="E1130" i="7"/>
  <c r="C1131" i="7"/>
  <c r="D1131" i="7"/>
  <c r="E1131" i="7"/>
  <c r="C1132" i="7"/>
  <c r="D1132" i="7"/>
  <c r="E1132" i="7"/>
  <c r="C1133" i="7"/>
  <c r="D1133" i="7"/>
  <c r="E1133" i="7"/>
  <c r="C1134" i="7"/>
  <c r="D1134" i="7"/>
  <c r="E1134" i="7"/>
  <c r="C1135" i="7"/>
  <c r="D1135" i="7"/>
  <c r="E1135" i="7"/>
  <c r="C1136" i="7"/>
  <c r="D1136" i="7"/>
  <c r="E1136" i="7"/>
  <c r="C1137" i="7"/>
  <c r="D1137" i="7"/>
  <c r="E1137" i="7"/>
  <c r="C1138" i="7"/>
  <c r="D1138" i="7"/>
  <c r="E1138" i="7"/>
  <c r="C1139" i="7"/>
  <c r="D1139" i="7"/>
  <c r="E1139" i="7"/>
  <c r="C1140" i="7"/>
  <c r="D1140" i="7"/>
  <c r="E1140" i="7"/>
  <c r="C1141" i="7"/>
  <c r="D1141" i="7"/>
  <c r="E1141" i="7"/>
  <c r="C1142" i="7"/>
  <c r="D1142" i="7"/>
  <c r="E1142" i="7"/>
  <c r="C1143" i="7"/>
  <c r="D1143" i="7"/>
  <c r="E1143" i="7"/>
  <c r="C1144" i="7"/>
  <c r="D1144" i="7"/>
  <c r="E1144" i="7"/>
  <c r="C1145" i="7"/>
  <c r="D1145" i="7"/>
  <c r="E1145" i="7"/>
  <c r="C1146" i="7"/>
  <c r="D1146" i="7"/>
  <c r="E1146" i="7"/>
  <c r="C1147" i="7"/>
  <c r="D1147" i="7"/>
  <c r="E1147" i="7"/>
  <c r="C1148" i="7"/>
  <c r="D1148" i="7"/>
  <c r="E1148" i="7"/>
  <c r="C1149" i="7"/>
  <c r="D1149" i="7"/>
  <c r="E1149" i="7"/>
  <c r="C1150" i="7"/>
  <c r="D1150" i="7"/>
  <c r="E1150" i="7"/>
  <c r="C1151" i="7"/>
  <c r="D1151" i="7"/>
  <c r="E1151" i="7"/>
  <c r="C1152" i="7"/>
  <c r="D1152" i="7"/>
  <c r="E1152" i="7"/>
  <c r="C1153" i="7"/>
  <c r="D1153" i="7"/>
  <c r="E1153" i="7"/>
  <c r="C1154" i="7"/>
  <c r="D1154" i="7"/>
  <c r="E1154" i="7"/>
  <c r="C1155" i="7"/>
  <c r="D1155" i="7"/>
  <c r="E1155" i="7"/>
  <c r="C1156" i="7"/>
  <c r="D1156" i="7"/>
  <c r="E1156" i="7"/>
  <c r="C1157" i="7"/>
  <c r="D1157" i="7"/>
  <c r="E1157" i="7"/>
  <c r="C1158" i="7"/>
  <c r="D1158" i="7"/>
  <c r="E1158" i="7"/>
  <c r="C1159" i="7"/>
  <c r="D1159" i="7"/>
  <c r="E1159" i="7"/>
  <c r="C1160" i="7"/>
  <c r="D1160" i="7"/>
  <c r="E1160" i="7"/>
  <c r="C1161" i="7"/>
  <c r="D1161" i="7"/>
  <c r="E1161" i="7"/>
  <c r="C1162" i="7"/>
  <c r="D1162" i="7"/>
  <c r="E1162" i="7"/>
  <c r="C1163" i="7"/>
  <c r="D1163" i="7"/>
  <c r="E1163" i="7"/>
  <c r="C1164" i="7"/>
  <c r="D1164" i="7"/>
  <c r="E1164" i="7"/>
  <c r="C1165" i="7"/>
  <c r="D1165" i="7"/>
  <c r="E1165" i="7"/>
  <c r="C1166" i="7"/>
  <c r="D1166" i="7"/>
  <c r="E1166" i="7"/>
  <c r="C1167" i="7"/>
  <c r="D1167" i="7"/>
  <c r="E1167" i="7"/>
  <c r="C1168" i="7"/>
  <c r="D1168" i="7"/>
  <c r="E1168" i="7"/>
  <c r="C1169" i="7"/>
  <c r="D1169" i="7"/>
  <c r="E1169" i="7"/>
  <c r="C1170" i="7"/>
  <c r="D1170" i="7"/>
  <c r="E1170" i="7"/>
  <c r="C1171" i="7"/>
  <c r="D1171" i="7"/>
  <c r="E1171" i="7"/>
  <c r="C1172" i="7"/>
  <c r="D1172" i="7"/>
  <c r="E1172" i="7"/>
  <c r="C1173" i="7"/>
  <c r="D1173" i="7"/>
  <c r="E1173" i="7"/>
  <c r="C1174" i="7"/>
  <c r="D1174" i="7"/>
  <c r="E1174" i="7"/>
  <c r="C1175" i="7"/>
  <c r="D1175" i="7"/>
  <c r="E1175" i="7"/>
  <c r="C1176" i="7"/>
  <c r="D1176" i="7"/>
  <c r="E1176" i="7"/>
  <c r="C1177" i="7"/>
  <c r="D1177" i="7"/>
  <c r="E1177" i="7"/>
  <c r="C1178" i="7"/>
  <c r="D1178" i="7"/>
  <c r="E1178" i="7"/>
  <c r="C1179" i="7"/>
  <c r="D1179" i="7"/>
  <c r="E1179" i="7"/>
  <c r="C1180" i="7"/>
  <c r="D1180" i="7"/>
  <c r="E1180" i="7"/>
  <c r="C1181" i="7"/>
  <c r="D1181" i="7"/>
  <c r="E1181" i="7"/>
  <c r="C1182" i="7"/>
  <c r="D1182" i="7"/>
  <c r="E1182" i="7"/>
  <c r="C1183" i="7"/>
  <c r="D1183" i="7"/>
  <c r="E1183" i="7"/>
  <c r="C1184" i="7"/>
  <c r="D1184" i="7"/>
  <c r="E1184" i="7"/>
  <c r="C1185" i="7"/>
  <c r="D1185" i="7"/>
  <c r="E1185" i="7"/>
  <c r="C1186" i="7"/>
  <c r="D1186" i="7"/>
  <c r="E1186" i="7"/>
  <c r="C1187" i="7"/>
  <c r="D1187" i="7"/>
  <c r="E1187" i="7"/>
  <c r="C1188" i="7"/>
  <c r="D1188" i="7"/>
  <c r="E1188" i="7"/>
  <c r="C1189" i="7"/>
  <c r="D1189" i="7"/>
  <c r="E1189" i="7"/>
  <c r="C1190" i="7"/>
  <c r="D1190" i="7"/>
  <c r="E1190" i="7"/>
  <c r="C1191" i="7"/>
  <c r="D1191" i="7"/>
  <c r="E1191" i="7"/>
  <c r="C1192" i="7"/>
  <c r="D1192" i="7"/>
  <c r="E1192" i="7"/>
  <c r="C1193" i="7"/>
  <c r="D1193" i="7"/>
  <c r="E1193" i="7"/>
  <c r="C1194" i="7"/>
  <c r="D1194" i="7"/>
  <c r="E1194" i="7"/>
  <c r="C1195" i="7"/>
  <c r="D1195" i="7"/>
  <c r="E1195" i="7"/>
  <c r="C1196" i="7"/>
  <c r="D1196" i="7"/>
  <c r="E1196" i="7"/>
  <c r="C1197" i="7"/>
  <c r="D1197" i="7"/>
  <c r="E1197" i="7"/>
  <c r="C1198" i="7"/>
  <c r="D1198" i="7"/>
  <c r="E1198" i="7"/>
  <c r="C1199" i="7"/>
  <c r="D1199" i="7"/>
  <c r="E1199" i="7"/>
  <c r="C1200" i="7"/>
  <c r="D1200" i="7"/>
  <c r="E1200" i="7"/>
  <c r="C1201" i="7"/>
  <c r="D1201" i="7"/>
  <c r="E1201" i="7"/>
  <c r="C1202" i="7"/>
  <c r="D1202" i="7"/>
  <c r="E1202" i="7"/>
  <c r="C4" i="7"/>
  <c r="D4" i="7"/>
  <c r="E4" i="7"/>
  <c r="E3" i="7"/>
  <c r="D3" i="7"/>
  <c r="C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275" i="7"/>
  <c r="B276" i="7"/>
  <c r="B277" i="7"/>
  <c r="B278" i="7"/>
  <c r="B279" i="7"/>
  <c r="B280" i="7"/>
  <c r="B281" i="7"/>
  <c r="B282" i="7"/>
  <c r="B283" i="7"/>
  <c r="B284" i="7"/>
  <c r="B285" i="7"/>
  <c r="B286" i="7"/>
  <c r="B287" i="7"/>
  <c r="B288" i="7"/>
  <c r="B289" i="7"/>
  <c r="B290" i="7"/>
  <c r="B291" i="7"/>
  <c r="B292" i="7"/>
  <c r="B293" i="7"/>
  <c r="B294" i="7"/>
  <c r="B295" i="7"/>
  <c r="B296" i="7"/>
  <c r="B297" i="7"/>
  <c r="B298" i="7"/>
  <c r="B299" i="7"/>
  <c r="B300" i="7"/>
  <c r="B301" i="7"/>
  <c r="B302" i="7"/>
  <c r="B303" i="7"/>
  <c r="B304" i="7"/>
  <c r="B305" i="7"/>
  <c r="B306" i="7"/>
  <c r="B307" i="7"/>
  <c r="B308" i="7"/>
  <c r="B309" i="7"/>
  <c r="B310" i="7"/>
  <c r="B311" i="7"/>
  <c r="B312" i="7"/>
  <c r="B313" i="7"/>
  <c r="B314" i="7"/>
  <c r="B315" i="7"/>
  <c r="B316" i="7"/>
  <c r="B317" i="7"/>
  <c r="B318" i="7"/>
  <c r="B319" i="7"/>
  <c r="B320" i="7"/>
  <c r="B321" i="7"/>
  <c r="B322" i="7"/>
  <c r="B323" i="7"/>
  <c r="B324" i="7"/>
  <c r="B325" i="7"/>
  <c r="B326" i="7"/>
  <c r="B327" i="7"/>
  <c r="B328" i="7"/>
  <c r="B329" i="7"/>
  <c r="B330" i="7"/>
  <c r="B331" i="7"/>
  <c r="B332" i="7"/>
  <c r="B333" i="7"/>
  <c r="B334" i="7"/>
  <c r="B335" i="7"/>
  <c r="B336" i="7"/>
  <c r="B337" i="7"/>
  <c r="B338" i="7"/>
  <c r="B339" i="7"/>
  <c r="B340" i="7"/>
  <c r="B341" i="7"/>
  <c r="B342" i="7"/>
  <c r="B343" i="7"/>
  <c r="B344" i="7"/>
  <c r="B345" i="7"/>
  <c r="B346" i="7"/>
  <c r="B347" i="7"/>
  <c r="B348" i="7"/>
  <c r="B349" i="7"/>
  <c r="B350" i="7"/>
  <c r="B351" i="7"/>
  <c r="B352" i="7"/>
  <c r="B353" i="7"/>
  <c r="B354" i="7"/>
  <c r="B355" i="7"/>
  <c r="B356" i="7"/>
  <c r="B357" i="7"/>
  <c r="B358" i="7"/>
  <c r="B359" i="7"/>
  <c r="B360" i="7"/>
  <c r="B361" i="7"/>
  <c r="B362" i="7"/>
  <c r="B363" i="7"/>
  <c r="B364" i="7"/>
  <c r="B365" i="7"/>
  <c r="B366" i="7"/>
  <c r="B367" i="7"/>
  <c r="B368" i="7"/>
  <c r="B369" i="7"/>
  <c r="B370" i="7"/>
  <c r="B371" i="7"/>
  <c r="B372" i="7"/>
  <c r="B373" i="7"/>
  <c r="B374" i="7"/>
  <c r="B375" i="7"/>
  <c r="B376" i="7"/>
  <c r="B377" i="7"/>
  <c r="B378" i="7"/>
  <c r="B379" i="7"/>
  <c r="B380" i="7"/>
  <c r="B381" i="7"/>
  <c r="B382" i="7"/>
  <c r="B383" i="7"/>
  <c r="B384" i="7"/>
  <c r="B385" i="7"/>
  <c r="B386" i="7"/>
  <c r="B387" i="7"/>
  <c r="B388" i="7"/>
  <c r="B389" i="7"/>
  <c r="B390" i="7"/>
  <c r="B391" i="7"/>
  <c r="B392" i="7"/>
  <c r="B393" i="7"/>
  <c r="B394" i="7"/>
  <c r="B395" i="7"/>
  <c r="B396" i="7"/>
  <c r="B397" i="7"/>
  <c r="B398" i="7"/>
  <c r="B399" i="7"/>
  <c r="B400" i="7"/>
  <c r="B401" i="7"/>
  <c r="B402" i="7"/>
  <c r="B403" i="7"/>
  <c r="B404" i="7"/>
  <c r="B405" i="7"/>
  <c r="B406" i="7"/>
  <c r="B407" i="7"/>
  <c r="B408" i="7"/>
  <c r="B409" i="7"/>
  <c r="B410" i="7"/>
  <c r="B411" i="7"/>
  <c r="B412" i="7"/>
  <c r="B413" i="7"/>
  <c r="B414" i="7"/>
  <c r="B415" i="7"/>
  <c r="B416" i="7"/>
  <c r="B417" i="7"/>
  <c r="B418" i="7"/>
  <c r="B419" i="7"/>
  <c r="B420" i="7"/>
  <c r="B421" i="7"/>
  <c r="B422" i="7"/>
  <c r="B423" i="7"/>
  <c r="B424" i="7"/>
  <c r="B425" i="7"/>
  <c r="B426" i="7"/>
  <c r="B427" i="7"/>
  <c r="B428" i="7"/>
  <c r="B429" i="7"/>
  <c r="B430" i="7"/>
  <c r="B431" i="7"/>
  <c r="B432" i="7"/>
  <c r="B433" i="7"/>
  <c r="B434" i="7"/>
  <c r="B435" i="7"/>
  <c r="B436" i="7"/>
  <c r="B437" i="7"/>
  <c r="B438" i="7"/>
  <c r="B439" i="7"/>
  <c r="B440" i="7"/>
  <c r="B441" i="7"/>
  <c r="B442" i="7"/>
  <c r="B443" i="7"/>
  <c r="B444" i="7"/>
  <c r="B445" i="7"/>
  <c r="B446" i="7"/>
  <c r="B447" i="7"/>
  <c r="B448" i="7"/>
  <c r="B449" i="7"/>
  <c r="B450" i="7"/>
  <c r="B451" i="7"/>
  <c r="B452" i="7"/>
  <c r="B453" i="7"/>
  <c r="B454" i="7"/>
  <c r="B455" i="7"/>
  <c r="B456" i="7"/>
  <c r="B457" i="7"/>
  <c r="B458" i="7"/>
  <c r="B459" i="7"/>
  <c r="B460" i="7"/>
  <c r="B461" i="7"/>
  <c r="B462" i="7"/>
  <c r="B463" i="7"/>
  <c r="B464" i="7"/>
  <c r="B465" i="7"/>
  <c r="B466" i="7"/>
  <c r="B467" i="7"/>
  <c r="B468" i="7"/>
  <c r="B469" i="7"/>
  <c r="B470" i="7"/>
  <c r="B471" i="7"/>
  <c r="B472" i="7"/>
  <c r="B473" i="7"/>
  <c r="B474" i="7"/>
  <c r="B475" i="7"/>
  <c r="B476" i="7"/>
  <c r="B477" i="7"/>
  <c r="B478" i="7"/>
  <c r="B479" i="7"/>
  <c r="B480" i="7"/>
  <c r="B481" i="7"/>
  <c r="B482" i="7"/>
  <c r="B483" i="7"/>
  <c r="B484" i="7"/>
  <c r="B485" i="7"/>
  <c r="B486" i="7"/>
  <c r="B487" i="7"/>
  <c r="B488" i="7"/>
  <c r="B489" i="7"/>
  <c r="B490" i="7"/>
  <c r="B491" i="7"/>
  <c r="B492" i="7"/>
  <c r="B493" i="7"/>
  <c r="B494" i="7"/>
  <c r="B495" i="7"/>
  <c r="B496" i="7"/>
  <c r="B497" i="7"/>
  <c r="B498" i="7"/>
  <c r="B499" i="7"/>
  <c r="B500" i="7"/>
  <c r="B501" i="7"/>
  <c r="B502" i="7"/>
  <c r="B503" i="7"/>
  <c r="B504" i="7"/>
  <c r="B505" i="7"/>
  <c r="B506" i="7"/>
  <c r="B507" i="7"/>
  <c r="B508" i="7"/>
  <c r="B509" i="7"/>
  <c r="B510" i="7"/>
  <c r="B511" i="7"/>
  <c r="B512" i="7"/>
  <c r="B513" i="7"/>
  <c r="B514" i="7"/>
  <c r="B515" i="7"/>
  <c r="B516" i="7"/>
  <c r="B517" i="7"/>
  <c r="B518" i="7"/>
  <c r="B519" i="7"/>
  <c r="B520" i="7"/>
  <c r="B521" i="7"/>
  <c r="B522" i="7"/>
  <c r="B523" i="7"/>
  <c r="B524" i="7"/>
  <c r="B525" i="7"/>
  <c r="B526" i="7"/>
  <c r="B527" i="7"/>
  <c r="B528" i="7"/>
  <c r="B529" i="7"/>
  <c r="B530" i="7"/>
  <c r="B531" i="7"/>
  <c r="B532" i="7"/>
  <c r="B533" i="7"/>
  <c r="B534" i="7"/>
  <c r="B535" i="7"/>
  <c r="B536" i="7"/>
  <c r="B537" i="7"/>
  <c r="B538" i="7"/>
  <c r="B539" i="7"/>
  <c r="B540" i="7"/>
  <c r="B541" i="7"/>
  <c r="B542" i="7"/>
  <c r="B543" i="7"/>
  <c r="B544" i="7"/>
  <c r="B545" i="7"/>
  <c r="B546" i="7"/>
  <c r="B547" i="7"/>
  <c r="B548" i="7"/>
  <c r="B549" i="7"/>
  <c r="B550" i="7"/>
  <c r="B551" i="7"/>
  <c r="B552" i="7"/>
  <c r="B553" i="7"/>
  <c r="B554" i="7"/>
  <c r="B555" i="7"/>
  <c r="B556" i="7"/>
  <c r="B557" i="7"/>
  <c r="B558" i="7"/>
  <c r="B559" i="7"/>
  <c r="B560" i="7"/>
  <c r="B561" i="7"/>
  <c r="B562" i="7"/>
  <c r="B563" i="7"/>
  <c r="B564" i="7"/>
  <c r="B565" i="7"/>
  <c r="B566" i="7"/>
  <c r="B567" i="7"/>
  <c r="B568" i="7"/>
  <c r="B569" i="7"/>
  <c r="B570" i="7"/>
  <c r="B571" i="7"/>
  <c r="B572" i="7"/>
  <c r="B573" i="7"/>
  <c r="B574" i="7"/>
  <c r="B575" i="7"/>
  <c r="B576" i="7"/>
  <c r="B577" i="7"/>
  <c r="B578" i="7"/>
  <c r="B579" i="7"/>
  <c r="B580" i="7"/>
  <c r="B581" i="7"/>
  <c r="B582" i="7"/>
  <c r="B583" i="7"/>
  <c r="B584" i="7"/>
  <c r="B585" i="7"/>
  <c r="B586" i="7"/>
  <c r="B587" i="7"/>
  <c r="B588" i="7"/>
  <c r="B589" i="7"/>
  <c r="B590" i="7"/>
  <c r="B591" i="7"/>
  <c r="B592" i="7"/>
  <c r="B593" i="7"/>
  <c r="B594" i="7"/>
  <c r="B595" i="7"/>
  <c r="B596" i="7"/>
  <c r="B597" i="7"/>
  <c r="B598" i="7"/>
  <c r="B599" i="7"/>
  <c r="B600" i="7"/>
  <c r="B601" i="7"/>
  <c r="B602" i="7"/>
  <c r="B603" i="7"/>
  <c r="B604" i="7"/>
  <c r="B605" i="7"/>
  <c r="B606" i="7"/>
  <c r="B607" i="7"/>
  <c r="B608" i="7"/>
  <c r="B609" i="7"/>
  <c r="B610" i="7"/>
  <c r="B611" i="7"/>
  <c r="B612" i="7"/>
  <c r="B613" i="7"/>
  <c r="B614" i="7"/>
  <c r="B615" i="7"/>
  <c r="B616" i="7"/>
  <c r="B617" i="7"/>
  <c r="B618" i="7"/>
  <c r="B619" i="7"/>
  <c r="B620" i="7"/>
  <c r="B621" i="7"/>
  <c r="B622" i="7"/>
  <c r="B623" i="7"/>
  <c r="B624" i="7"/>
  <c r="B625" i="7"/>
  <c r="B626" i="7"/>
  <c r="B627" i="7"/>
  <c r="B628" i="7"/>
  <c r="B629" i="7"/>
  <c r="B630" i="7"/>
  <c r="B631" i="7"/>
  <c r="B632" i="7"/>
  <c r="B633" i="7"/>
  <c r="B634" i="7"/>
  <c r="B635" i="7"/>
  <c r="B636" i="7"/>
  <c r="B637" i="7"/>
  <c r="B638" i="7"/>
  <c r="B639" i="7"/>
  <c r="B640" i="7"/>
  <c r="B641" i="7"/>
  <c r="B642" i="7"/>
  <c r="B643" i="7"/>
  <c r="B644" i="7"/>
  <c r="B645" i="7"/>
  <c r="B646" i="7"/>
  <c r="B647" i="7"/>
  <c r="B648" i="7"/>
  <c r="B649" i="7"/>
  <c r="B650" i="7"/>
  <c r="B651" i="7"/>
  <c r="B652" i="7"/>
  <c r="B653" i="7"/>
  <c r="B654" i="7"/>
  <c r="B655" i="7"/>
  <c r="B656" i="7"/>
  <c r="B657" i="7"/>
  <c r="B658" i="7"/>
  <c r="B659" i="7"/>
  <c r="B660" i="7"/>
  <c r="B661" i="7"/>
  <c r="B662" i="7"/>
  <c r="B663" i="7"/>
  <c r="B664" i="7"/>
  <c r="B665" i="7"/>
  <c r="B666" i="7"/>
  <c r="B667" i="7"/>
  <c r="B668" i="7"/>
  <c r="B669" i="7"/>
  <c r="B670" i="7"/>
  <c r="B671" i="7"/>
  <c r="B672" i="7"/>
  <c r="B673" i="7"/>
  <c r="B674" i="7"/>
  <c r="B675" i="7"/>
  <c r="B676" i="7"/>
  <c r="B677" i="7"/>
  <c r="B678" i="7"/>
  <c r="B679" i="7"/>
  <c r="B680" i="7"/>
  <c r="B681" i="7"/>
  <c r="B682" i="7"/>
  <c r="B683" i="7"/>
  <c r="B684" i="7"/>
  <c r="B685" i="7"/>
  <c r="B686" i="7"/>
  <c r="B687" i="7"/>
  <c r="B688" i="7"/>
  <c r="B689" i="7"/>
  <c r="B690" i="7"/>
  <c r="B691" i="7"/>
  <c r="B692" i="7"/>
  <c r="B693" i="7"/>
  <c r="B694" i="7"/>
  <c r="B695" i="7"/>
  <c r="B696" i="7"/>
  <c r="B697" i="7"/>
  <c r="B698" i="7"/>
  <c r="B699" i="7"/>
  <c r="B700" i="7"/>
  <c r="B701" i="7"/>
  <c r="B702" i="7"/>
  <c r="B703" i="7"/>
  <c r="B704" i="7"/>
  <c r="B705" i="7"/>
  <c r="B706" i="7"/>
  <c r="B707" i="7"/>
  <c r="B708" i="7"/>
  <c r="B709" i="7"/>
  <c r="B710" i="7"/>
  <c r="B711" i="7"/>
  <c r="B712" i="7"/>
  <c r="B713" i="7"/>
  <c r="B714" i="7"/>
  <c r="B715" i="7"/>
  <c r="B716" i="7"/>
  <c r="B717" i="7"/>
  <c r="B718" i="7"/>
  <c r="B719" i="7"/>
  <c r="B720" i="7"/>
  <c r="B721" i="7"/>
  <c r="B722" i="7"/>
  <c r="B723" i="7"/>
  <c r="B724" i="7"/>
  <c r="B725" i="7"/>
  <c r="B726" i="7"/>
  <c r="B727" i="7"/>
  <c r="B728" i="7"/>
  <c r="B729" i="7"/>
  <c r="B730" i="7"/>
  <c r="B731" i="7"/>
  <c r="B732" i="7"/>
  <c r="B733" i="7"/>
  <c r="B734" i="7"/>
  <c r="B735" i="7"/>
  <c r="B736" i="7"/>
  <c r="B737" i="7"/>
  <c r="B738" i="7"/>
  <c r="B739" i="7"/>
  <c r="B740" i="7"/>
  <c r="B741" i="7"/>
  <c r="B742" i="7"/>
  <c r="B743" i="7"/>
  <c r="B744" i="7"/>
  <c r="B745" i="7"/>
  <c r="B746" i="7"/>
  <c r="B747" i="7"/>
  <c r="B748" i="7"/>
  <c r="B749" i="7"/>
  <c r="B750" i="7"/>
  <c r="B751" i="7"/>
  <c r="B752" i="7"/>
  <c r="B753" i="7"/>
  <c r="B754" i="7"/>
  <c r="B755" i="7"/>
  <c r="B756" i="7"/>
  <c r="B757" i="7"/>
  <c r="B758" i="7"/>
  <c r="B759" i="7"/>
  <c r="B760" i="7"/>
  <c r="B761" i="7"/>
  <c r="B762" i="7"/>
  <c r="B763" i="7"/>
  <c r="B764" i="7"/>
  <c r="B765" i="7"/>
  <c r="B766" i="7"/>
  <c r="B767" i="7"/>
  <c r="B768" i="7"/>
  <c r="B769" i="7"/>
  <c r="B770" i="7"/>
  <c r="B771" i="7"/>
  <c r="B772" i="7"/>
  <c r="B773" i="7"/>
  <c r="B774" i="7"/>
  <c r="B775" i="7"/>
  <c r="B776" i="7"/>
  <c r="B777" i="7"/>
  <c r="B778" i="7"/>
  <c r="B779" i="7"/>
  <c r="B780" i="7"/>
  <c r="B781" i="7"/>
  <c r="B782" i="7"/>
  <c r="B783" i="7"/>
  <c r="B784" i="7"/>
  <c r="B785" i="7"/>
  <c r="B786" i="7"/>
  <c r="B787" i="7"/>
  <c r="B788" i="7"/>
  <c r="B789" i="7"/>
  <c r="B790" i="7"/>
  <c r="B791" i="7"/>
  <c r="B792" i="7"/>
  <c r="B793" i="7"/>
  <c r="B794" i="7"/>
  <c r="B795" i="7"/>
  <c r="B796" i="7"/>
  <c r="B797" i="7"/>
  <c r="B798" i="7"/>
  <c r="B799" i="7"/>
  <c r="B800" i="7"/>
  <c r="B801" i="7"/>
  <c r="B802" i="7"/>
  <c r="B803" i="7"/>
  <c r="B804" i="7"/>
  <c r="B805" i="7"/>
  <c r="B806" i="7"/>
  <c r="B807" i="7"/>
  <c r="B808" i="7"/>
  <c r="B809" i="7"/>
  <c r="B810" i="7"/>
  <c r="B811" i="7"/>
  <c r="B812" i="7"/>
  <c r="B813" i="7"/>
  <c r="B814" i="7"/>
  <c r="B815" i="7"/>
  <c r="B816" i="7"/>
  <c r="B817" i="7"/>
  <c r="B818" i="7"/>
  <c r="B819" i="7"/>
  <c r="B820" i="7"/>
  <c r="B821" i="7"/>
  <c r="B822" i="7"/>
  <c r="B823" i="7"/>
  <c r="B824" i="7"/>
  <c r="B825" i="7"/>
  <c r="B826" i="7"/>
  <c r="B827" i="7"/>
  <c r="B828" i="7"/>
  <c r="B829" i="7"/>
  <c r="B830" i="7"/>
  <c r="B831" i="7"/>
  <c r="B832" i="7"/>
  <c r="B833" i="7"/>
  <c r="B834" i="7"/>
  <c r="B835" i="7"/>
  <c r="B836" i="7"/>
  <c r="B837" i="7"/>
  <c r="B838" i="7"/>
  <c r="B839" i="7"/>
  <c r="B840" i="7"/>
  <c r="B841" i="7"/>
  <c r="B842" i="7"/>
  <c r="B843" i="7"/>
  <c r="B844" i="7"/>
  <c r="B845" i="7"/>
  <c r="B846" i="7"/>
  <c r="B847" i="7"/>
  <c r="B848" i="7"/>
  <c r="B849" i="7"/>
  <c r="B850" i="7"/>
  <c r="B851" i="7"/>
  <c r="B852" i="7"/>
  <c r="B853" i="7"/>
  <c r="B854" i="7"/>
  <c r="B855" i="7"/>
  <c r="B856" i="7"/>
  <c r="B857" i="7"/>
  <c r="B858" i="7"/>
  <c r="B859" i="7"/>
  <c r="B860" i="7"/>
  <c r="B861" i="7"/>
  <c r="B862" i="7"/>
  <c r="B863" i="7"/>
  <c r="B864" i="7"/>
  <c r="B865" i="7"/>
  <c r="B866" i="7"/>
  <c r="B867" i="7"/>
  <c r="B868" i="7"/>
  <c r="B869" i="7"/>
  <c r="B870" i="7"/>
  <c r="B871" i="7"/>
  <c r="B872" i="7"/>
  <c r="B873" i="7"/>
  <c r="B874" i="7"/>
  <c r="B875" i="7"/>
  <c r="B876" i="7"/>
  <c r="B877" i="7"/>
  <c r="B878" i="7"/>
  <c r="B879" i="7"/>
  <c r="B880" i="7"/>
  <c r="B881" i="7"/>
  <c r="B882" i="7"/>
  <c r="B883" i="7"/>
  <c r="B884" i="7"/>
  <c r="B885" i="7"/>
  <c r="B886" i="7"/>
  <c r="B887" i="7"/>
  <c r="B888" i="7"/>
  <c r="B889" i="7"/>
  <c r="B890" i="7"/>
  <c r="B891" i="7"/>
  <c r="B892" i="7"/>
  <c r="B893" i="7"/>
  <c r="B894" i="7"/>
  <c r="B895" i="7"/>
  <c r="B896" i="7"/>
  <c r="B897" i="7"/>
  <c r="B898" i="7"/>
  <c r="B899" i="7"/>
  <c r="B900" i="7"/>
  <c r="B901" i="7"/>
  <c r="B902" i="7"/>
  <c r="B903" i="7"/>
  <c r="B904" i="7"/>
  <c r="B905" i="7"/>
  <c r="B906" i="7"/>
  <c r="B907" i="7"/>
  <c r="B908" i="7"/>
  <c r="B909" i="7"/>
  <c r="B910" i="7"/>
  <c r="B911" i="7"/>
  <c r="B912" i="7"/>
  <c r="B913" i="7"/>
  <c r="B914" i="7"/>
  <c r="B915" i="7"/>
  <c r="B916" i="7"/>
  <c r="B917" i="7"/>
  <c r="B918" i="7"/>
  <c r="B919" i="7"/>
  <c r="B920" i="7"/>
  <c r="B921" i="7"/>
  <c r="B922" i="7"/>
  <c r="B923" i="7"/>
  <c r="B924" i="7"/>
  <c r="B925" i="7"/>
  <c r="B926" i="7"/>
  <c r="B927" i="7"/>
  <c r="B928" i="7"/>
  <c r="B929" i="7"/>
  <c r="B930" i="7"/>
  <c r="B931" i="7"/>
  <c r="B932" i="7"/>
  <c r="B933" i="7"/>
  <c r="B934" i="7"/>
  <c r="B935" i="7"/>
  <c r="B936" i="7"/>
  <c r="B937" i="7"/>
  <c r="B938" i="7"/>
  <c r="B939" i="7"/>
  <c r="B940" i="7"/>
  <c r="B941" i="7"/>
  <c r="B942" i="7"/>
  <c r="B943" i="7"/>
  <c r="B944" i="7"/>
  <c r="B945" i="7"/>
  <c r="B946" i="7"/>
  <c r="B947" i="7"/>
  <c r="B948" i="7"/>
  <c r="B949" i="7"/>
  <c r="B950" i="7"/>
  <c r="B951" i="7"/>
  <c r="B952" i="7"/>
  <c r="B953" i="7"/>
  <c r="B954" i="7"/>
  <c r="B955" i="7"/>
  <c r="B956" i="7"/>
  <c r="B957" i="7"/>
  <c r="B958" i="7"/>
  <c r="B959" i="7"/>
  <c r="B960" i="7"/>
  <c r="B961" i="7"/>
  <c r="B962" i="7"/>
  <c r="B963" i="7"/>
  <c r="B964" i="7"/>
  <c r="B965" i="7"/>
  <c r="B966" i="7"/>
  <c r="B967" i="7"/>
  <c r="B968" i="7"/>
  <c r="B969" i="7"/>
  <c r="B970" i="7"/>
  <c r="B971" i="7"/>
  <c r="B972" i="7"/>
  <c r="B973" i="7"/>
  <c r="B974" i="7"/>
  <c r="B975" i="7"/>
  <c r="B976" i="7"/>
  <c r="B977" i="7"/>
  <c r="B978" i="7"/>
  <c r="B979" i="7"/>
  <c r="B980" i="7"/>
  <c r="B981" i="7"/>
  <c r="B982" i="7"/>
  <c r="B983" i="7"/>
  <c r="B984" i="7"/>
  <c r="B985" i="7"/>
  <c r="B986" i="7"/>
  <c r="B987" i="7"/>
  <c r="B988" i="7"/>
  <c r="B989" i="7"/>
  <c r="B990" i="7"/>
  <c r="B991" i="7"/>
  <c r="B992" i="7"/>
  <c r="B993" i="7"/>
  <c r="B994" i="7"/>
  <c r="B995" i="7"/>
  <c r="B996" i="7"/>
  <c r="B997" i="7"/>
  <c r="B998" i="7"/>
  <c r="B999" i="7"/>
  <c r="B1000" i="7"/>
  <c r="B1001" i="7"/>
  <c r="B1002" i="7"/>
  <c r="B1003" i="7"/>
  <c r="B1004" i="7"/>
  <c r="B1005" i="7"/>
  <c r="B1006" i="7"/>
  <c r="B1007" i="7"/>
  <c r="B1008" i="7"/>
  <c r="B1009" i="7"/>
  <c r="B1010" i="7"/>
  <c r="B1011" i="7"/>
  <c r="B1012" i="7"/>
  <c r="B1013" i="7"/>
  <c r="B1014" i="7"/>
  <c r="B1015" i="7"/>
  <c r="B1016" i="7"/>
  <c r="B1017" i="7"/>
  <c r="B1018" i="7"/>
  <c r="B1019" i="7"/>
  <c r="B1020" i="7"/>
  <c r="B1021" i="7"/>
  <c r="B1022" i="7"/>
  <c r="B1023" i="7"/>
  <c r="B1024" i="7"/>
  <c r="B1025" i="7"/>
  <c r="B1026" i="7"/>
  <c r="B1027" i="7"/>
  <c r="B1028" i="7"/>
  <c r="B1029" i="7"/>
  <c r="B1030" i="7"/>
  <c r="B1031" i="7"/>
  <c r="B1032" i="7"/>
  <c r="B1033" i="7"/>
  <c r="B1034" i="7"/>
  <c r="B1035" i="7"/>
  <c r="B1036" i="7"/>
  <c r="B1037" i="7"/>
  <c r="B1038" i="7"/>
  <c r="B1039" i="7"/>
  <c r="B1040" i="7"/>
  <c r="B1041" i="7"/>
  <c r="B1042" i="7"/>
  <c r="B1043" i="7"/>
  <c r="B1044" i="7"/>
  <c r="B1045" i="7"/>
  <c r="B1046" i="7"/>
  <c r="B1047" i="7"/>
  <c r="B1048" i="7"/>
  <c r="B1049" i="7"/>
  <c r="B1050" i="7"/>
  <c r="B1051" i="7"/>
  <c r="B1052" i="7"/>
  <c r="B1053" i="7"/>
  <c r="B1054" i="7"/>
  <c r="B1055" i="7"/>
  <c r="B1056" i="7"/>
  <c r="B1057" i="7"/>
  <c r="B1058" i="7"/>
  <c r="B1059" i="7"/>
  <c r="B1060" i="7"/>
  <c r="B1061" i="7"/>
  <c r="B1062" i="7"/>
  <c r="B1063" i="7"/>
  <c r="B1064" i="7"/>
  <c r="B1065" i="7"/>
  <c r="B1066" i="7"/>
  <c r="B1067" i="7"/>
  <c r="B1068" i="7"/>
  <c r="B1069" i="7"/>
  <c r="B1070" i="7"/>
  <c r="B1071" i="7"/>
  <c r="B1072" i="7"/>
  <c r="B1073" i="7"/>
  <c r="B1074" i="7"/>
  <c r="B1075" i="7"/>
  <c r="B1076" i="7"/>
  <c r="B1077" i="7"/>
  <c r="B1078" i="7"/>
  <c r="B1079" i="7"/>
  <c r="B1080" i="7"/>
  <c r="B1081" i="7"/>
  <c r="B1082" i="7"/>
  <c r="B1083" i="7"/>
  <c r="B1084" i="7"/>
  <c r="B1085" i="7"/>
  <c r="B1086" i="7"/>
  <c r="B1087" i="7"/>
  <c r="B1088" i="7"/>
  <c r="B1089" i="7"/>
  <c r="B1090" i="7"/>
  <c r="B1091" i="7"/>
  <c r="B1092" i="7"/>
  <c r="B1093" i="7"/>
  <c r="B1094" i="7"/>
  <c r="B1095" i="7"/>
  <c r="B1096" i="7"/>
  <c r="B1097" i="7"/>
  <c r="B1098" i="7"/>
  <c r="B1099" i="7"/>
  <c r="B1100" i="7"/>
  <c r="B1101" i="7"/>
  <c r="B1102" i="7"/>
  <c r="B1103" i="7"/>
  <c r="B1104" i="7"/>
  <c r="B1105" i="7"/>
  <c r="B1106" i="7"/>
  <c r="B1107" i="7"/>
  <c r="B1108" i="7"/>
  <c r="B1109" i="7"/>
  <c r="B1110" i="7"/>
  <c r="B1111" i="7"/>
  <c r="B1112" i="7"/>
  <c r="B1113" i="7"/>
  <c r="B1114" i="7"/>
  <c r="B1115" i="7"/>
  <c r="B1116" i="7"/>
  <c r="B1117" i="7"/>
  <c r="B1118" i="7"/>
  <c r="B1119" i="7"/>
  <c r="B1120" i="7"/>
  <c r="B1121" i="7"/>
  <c r="B1122" i="7"/>
  <c r="B1123" i="7"/>
  <c r="B1124" i="7"/>
  <c r="B1125" i="7"/>
  <c r="B1126" i="7"/>
  <c r="B1127" i="7"/>
  <c r="B1128" i="7"/>
  <c r="B1129" i="7"/>
  <c r="B1130" i="7"/>
  <c r="B1131" i="7"/>
  <c r="B1132" i="7"/>
  <c r="B1133" i="7"/>
  <c r="B1134" i="7"/>
  <c r="B1135" i="7"/>
  <c r="B1136" i="7"/>
  <c r="B1137" i="7"/>
  <c r="B1138" i="7"/>
  <c r="B1139" i="7"/>
  <c r="B1140" i="7"/>
  <c r="B1141" i="7"/>
  <c r="B1142" i="7"/>
  <c r="B1143" i="7"/>
  <c r="B1144" i="7"/>
  <c r="B1145" i="7"/>
  <c r="B1146" i="7"/>
  <c r="B1147" i="7"/>
  <c r="B1148" i="7"/>
  <c r="B1149" i="7"/>
  <c r="B1150" i="7"/>
  <c r="B1151" i="7"/>
  <c r="B1152" i="7"/>
  <c r="B1153" i="7"/>
  <c r="B1154" i="7"/>
  <c r="B1155" i="7"/>
  <c r="B1156" i="7"/>
  <c r="B1157" i="7"/>
  <c r="B1158" i="7"/>
  <c r="B1159" i="7"/>
  <c r="B1160" i="7"/>
  <c r="B1161" i="7"/>
  <c r="B1162" i="7"/>
  <c r="B1163" i="7"/>
  <c r="B1164" i="7"/>
  <c r="B1165" i="7"/>
  <c r="B1166" i="7"/>
  <c r="B1167" i="7"/>
  <c r="B1168" i="7"/>
  <c r="B1169" i="7"/>
  <c r="B1170" i="7"/>
  <c r="B1171" i="7"/>
  <c r="B1172" i="7"/>
  <c r="B1173" i="7"/>
  <c r="B1174" i="7"/>
  <c r="B1175" i="7"/>
  <c r="B1176" i="7"/>
  <c r="B1177" i="7"/>
  <c r="B1178" i="7"/>
  <c r="B1179" i="7"/>
  <c r="B1180" i="7"/>
  <c r="B1181" i="7"/>
  <c r="B1182" i="7"/>
  <c r="B1183" i="7"/>
  <c r="B1184" i="7"/>
  <c r="B1185" i="7"/>
  <c r="B1186" i="7"/>
  <c r="B1187" i="7"/>
  <c r="B1188" i="7"/>
  <c r="B1189" i="7"/>
  <c r="B1190" i="7"/>
  <c r="B1191" i="7"/>
  <c r="B1192" i="7"/>
  <c r="B1193" i="7"/>
  <c r="B1194" i="7"/>
  <c r="B1195" i="7"/>
  <c r="B1196" i="7"/>
  <c r="B1197" i="7"/>
  <c r="B1198" i="7"/>
  <c r="B1199" i="7"/>
  <c r="B1200" i="7"/>
  <c r="B1201" i="7"/>
  <c r="B1202" i="7"/>
  <c r="B3" i="7"/>
  <c r="AG11" i="1"/>
  <c r="I12" i="5"/>
  <c r="AF11" i="1" s="1"/>
  <c r="I11" i="5"/>
  <c r="AC11" i="1" s="1"/>
  <c r="E12" i="5"/>
  <c r="AE11" i="1" s="1"/>
  <c r="E11" i="5"/>
  <c r="AD11" i="1" s="1"/>
  <c r="H2" i="2"/>
  <c r="AW3" i="1" s="1"/>
  <c r="E10" i="5"/>
  <c r="AA11" i="1" s="1"/>
  <c r="I19" i="5"/>
  <c r="AJ11" i="1" s="1"/>
  <c r="AI11" i="1"/>
  <c r="AA3" i="1"/>
  <c r="Z11" i="1"/>
  <c r="Z3" i="1"/>
  <c r="K19" i="4"/>
  <c r="E55" i="4"/>
  <c r="K53" i="4"/>
  <c r="K45" i="4"/>
  <c r="K43" i="4"/>
  <c r="E45" i="4"/>
  <c r="E43" i="4"/>
  <c r="E51" i="4"/>
  <c r="E53" i="4"/>
  <c r="K51" i="4"/>
  <c r="K49" i="4"/>
  <c r="E49" i="4"/>
  <c r="E61" i="4"/>
  <c r="E59" i="4"/>
  <c r="E35" i="4"/>
  <c r="E37" i="4"/>
  <c r="K39" i="4"/>
  <c r="E39" i="4"/>
  <c r="K37" i="4"/>
  <c r="K35" i="4"/>
  <c r="K33" i="4"/>
  <c r="K31" i="4"/>
  <c r="K29" i="4"/>
  <c r="E33" i="4"/>
  <c r="E31" i="4"/>
  <c r="E29" i="4"/>
  <c r="K25" i="4"/>
  <c r="E25" i="4"/>
  <c r="K23" i="4"/>
  <c r="K21" i="4"/>
  <c r="E23" i="4"/>
  <c r="E21" i="4"/>
  <c r="E19" i="4"/>
  <c r="E15" i="4"/>
  <c r="N2" i="1"/>
  <c r="AB3" i="1"/>
  <c r="AC3" i="1"/>
  <c r="AD3" i="1"/>
  <c r="AE3" i="1"/>
  <c r="AF3" i="1"/>
  <c r="AG3" i="1"/>
  <c r="AH3" i="1"/>
  <c r="AI3" i="1"/>
  <c r="AJ3" i="1"/>
  <c r="AK3" i="1"/>
  <c r="AM3" i="1"/>
  <c r="AN3" i="1"/>
  <c r="AO3" i="1"/>
  <c r="AP3" i="1"/>
  <c r="AR3" i="1"/>
  <c r="AS3" i="1"/>
  <c r="AT3" i="1"/>
  <c r="AU3" i="1"/>
  <c r="AV3" i="1"/>
  <c r="AY3" i="1"/>
  <c r="AZ3" i="1"/>
  <c r="BA3" i="1"/>
  <c r="BB3" i="1"/>
  <c r="BC3" i="1"/>
  <c r="BD3" i="1"/>
  <c r="BJ3" i="1"/>
  <c r="BK3" i="1"/>
  <c r="BL3" i="1"/>
  <c r="BM3" i="1"/>
  <c r="BN3" i="1"/>
  <c r="BO3" i="1"/>
  <c r="BP3" i="1"/>
  <c r="BQ3" i="1"/>
  <c r="X1202" i="7" l="1"/>
  <c r="W1202" i="7"/>
  <c r="V1202" i="7"/>
  <c r="U1202" i="7"/>
  <c r="T1202" i="7"/>
  <c r="S1202" i="7"/>
  <c r="R1202" i="7"/>
  <c r="Q1202" i="7"/>
  <c r="P1202" i="7"/>
  <c r="M1202" i="7"/>
  <c r="N1202" i="7"/>
  <c r="O1202" i="7"/>
  <c r="X1186" i="7"/>
  <c r="W1186" i="7"/>
  <c r="U1186" i="7"/>
  <c r="T1186" i="7"/>
  <c r="V1186" i="7"/>
  <c r="S1186" i="7"/>
  <c r="R1186" i="7"/>
  <c r="P1186" i="7"/>
  <c r="Q1186" i="7"/>
  <c r="O1186" i="7"/>
  <c r="M1186" i="7"/>
  <c r="N1186" i="7"/>
  <c r="X1090" i="7"/>
  <c r="W1090" i="7"/>
  <c r="U1090" i="7"/>
  <c r="T1090" i="7"/>
  <c r="V1090" i="7"/>
  <c r="S1090" i="7"/>
  <c r="R1090" i="7"/>
  <c r="P1090" i="7"/>
  <c r="Q1090" i="7"/>
  <c r="M1090" i="7"/>
  <c r="O1090" i="7"/>
  <c r="N1090" i="7"/>
  <c r="X1034" i="7"/>
  <c r="W1034" i="7"/>
  <c r="V1034" i="7"/>
  <c r="U1034" i="7"/>
  <c r="T1034" i="7"/>
  <c r="S1034" i="7"/>
  <c r="R1034" i="7"/>
  <c r="P1034" i="7"/>
  <c r="Q1034" i="7"/>
  <c r="M1034" i="7"/>
  <c r="N1034" i="7"/>
  <c r="O1034" i="7"/>
  <c r="X994" i="7"/>
  <c r="W994" i="7"/>
  <c r="V994" i="7"/>
  <c r="U994" i="7"/>
  <c r="T994" i="7"/>
  <c r="S994" i="7"/>
  <c r="R994" i="7"/>
  <c r="P994" i="7"/>
  <c r="Q994" i="7"/>
  <c r="O994" i="7"/>
  <c r="M994" i="7"/>
  <c r="N994" i="7"/>
  <c r="X938" i="7"/>
  <c r="W938" i="7"/>
  <c r="V938" i="7"/>
  <c r="U938" i="7"/>
  <c r="T938" i="7"/>
  <c r="S938" i="7"/>
  <c r="R938" i="7"/>
  <c r="Q938" i="7"/>
  <c r="P938" i="7"/>
  <c r="O938" i="7"/>
  <c r="M938" i="7"/>
  <c r="N938" i="7"/>
  <c r="X898" i="7"/>
  <c r="W898" i="7"/>
  <c r="V898" i="7"/>
  <c r="U898" i="7"/>
  <c r="T898" i="7"/>
  <c r="S898" i="7"/>
  <c r="R898" i="7"/>
  <c r="P898" i="7"/>
  <c r="Q898" i="7"/>
  <c r="M898" i="7"/>
  <c r="N898" i="7"/>
  <c r="O898" i="7"/>
  <c r="X866" i="7"/>
  <c r="W866" i="7"/>
  <c r="V866" i="7"/>
  <c r="U866" i="7"/>
  <c r="T866" i="7"/>
  <c r="S866" i="7"/>
  <c r="R866" i="7"/>
  <c r="P866" i="7"/>
  <c r="Q866" i="7"/>
  <c r="M866" i="7"/>
  <c r="N866" i="7"/>
  <c r="O866" i="7"/>
  <c r="X842" i="7"/>
  <c r="W842" i="7"/>
  <c r="V842" i="7"/>
  <c r="U842" i="7"/>
  <c r="T842" i="7"/>
  <c r="S842" i="7"/>
  <c r="R842" i="7"/>
  <c r="P842" i="7"/>
  <c r="Q842" i="7"/>
  <c r="O842" i="7"/>
  <c r="M842" i="7"/>
  <c r="N842" i="7"/>
  <c r="X650" i="7"/>
  <c r="W650" i="7"/>
  <c r="V650" i="7"/>
  <c r="U650" i="7"/>
  <c r="T650" i="7"/>
  <c r="S650" i="7"/>
  <c r="R650" i="7"/>
  <c r="Q650" i="7"/>
  <c r="P650" i="7"/>
  <c r="O650" i="7"/>
  <c r="M650" i="7"/>
  <c r="N650" i="7"/>
  <c r="X634" i="7"/>
  <c r="W634" i="7"/>
  <c r="U634" i="7"/>
  <c r="V634" i="7"/>
  <c r="T634" i="7"/>
  <c r="S634" i="7"/>
  <c r="R634" i="7"/>
  <c r="P634" i="7"/>
  <c r="Q634" i="7"/>
  <c r="O634" i="7"/>
  <c r="M634" i="7"/>
  <c r="N634" i="7"/>
  <c r="X578" i="7"/>
  <c r="W578" i="7"/>
  <c r="V578" i="7"/>
  <c r="U578" i="7"/>
  <c r="T578" i="7"/>
  <c r="S578" i="7"/>
  <c r="R578" i="7"/>
  <c r="P578" i="7"/>
  <c r="Q578" i="7"/>
  <c r="M578" i="7"/>
  <c r="N578" i="7"/>
  <c r="O578" i="7"/>
  <c r="X450" i="7"/>
  <c r="W450" i="7"/>
  <c r="V450" i="7"/>
  <c r="T450" i="7"/>
  <c r="U450" i="7"/>
  <c r="S450" i="7"/>
  <c r="R450" i="7"/>
  <c r="P450" i="7"/>
  <c r="Q450" i="7"/>
  <c r="O450" i="7"/>
  <c r="M450" i="7"/>
  <c r="N450" i="7"/>
  <c r="X394" i="7"/>
  <c r="W394" i="7"/>
  <c r="U394" i="7"/>
  <c r="T394" i="7"/>
  <c r="V394" i="7"/>
  <c r="R394" i="7"/>
  <c r="S394" i="7"/>
  <c r="Q394" i="7"/>
  <c r="P394" i="7"/>
  <c r="O394" i="7"/>
  <c r="M394" i="7"/>
  <c r="N394" i="7"/>
  <c r="X194" i="7"/>
  <c r="W194" i="7"/>
  <c r="V194" i="7"/>
  <c r="U194" i="7"/>
  <c r="T194" i="7"/>
  <c r="S194" i="7"/>
  <c r="R194" i="7"/>
  <c r="P194" i="7"/>
  <c r="Q194" i="7"/>
  <c r="O194" i="7"/>
  <c r="M194" i="7"/>
  <c r="N194" i="7"/>
  <c r="X1199" i="7"/>
  <c r="W1199" i="7"/>
  <c r="V1199" i="7"/>
  <c r="U1199" i="7"/>
  <c r="T1199" i="7"/>
  <c r="S1199" i="7"/>
  <c r="Q1199" i="7"/>
  <c r="R1199" i="7"/>
  <c r="P1199" i="7"/>
  <c r="N1199" i="7"/>
  <c r="O1199" i="7"/>
  <c r="M1199" i="7"/>
  <c r="X1191" i="7"/>
  <c r="W1191" i="7"/>
  <c r="V1191" i="7"/>
  <c r="U1191" i="7"/>
  <c r="T1191" i="7"/>
  <c r="S1191" i="7"/>
  <c r="R1191" i="7"/>
  <c r="Q1191" i="7"/>
  <c r="P1191" i="7"/>
  <c r="N1191" i="7"/>
  <c r="O1191" i="7"/>
  <c r="M1191" i="7"/>
  <c r="X1183" i="7"/>
  <c r="V1183" i="7"/>
  <c r="U1183" i="7"/>
  <c r="W1183" i="7"/>
  <c r="S1183" i="7"/>
  <c r="Q1183" i="7"/>
  <c r="T1183" i="7"/>
  <c r="P1183" i="7"/>
  <c r="R1183" i="7"/>
  <c r="N1183" i="7"/>
  <c r="M1183" i="7"/>
  <c r="O1183" i="7"/>
  <c r="X1175" i="7"/>
  <c r="W1175" i="7"/>
  <c r="V1175" i="7"/>
  <c r="U1175" i="7"/>
  <c r="T1175" i="7"/>
  <c r="S1175" i="7"/>
  <c r="R1175" i="7"/>
  <c r="Q1175" i="7"/>
  <c r="P1175" i="7"/>
  <c r="O1175" i="7"/>
  <c r="N1175" i="7"/>
  <c r="M1175" i="7"/>
  <c r="X1167" i="7"/>
  <c r="W1167" i="7"/>
  <c r="V1167" i="7"/>
  <c r="U1167" i="7"/>
  <c r="T1167" i="7"/>
  <c r="S1167" i="7"/>
  <c r="Q1167" i="7"/>
  <c r="R1167" i="7"/>
  <c r="P1167" i="7"/>
  <c r="N1167" i="7"/>
  <c r="O1167" i="7"/>
  <c r="M1167" i="7"/>
  <c r="X1159" i="7"/>
  <c r="W1159" i="7"/>
  <c r="V1159" i="7"/>
  <c r="U1159" i="7"/>
  <c r="T1159" i="7"/>
  <c r="S1159" i="7"/>
  <c r="Q1159" i="7"/>
  <c r="R1159" i="7"/>
  <c r="P1159" i="7"/>
  <c r="N1159" i="7"/>
  <c r="O1159" i="7"/>
  <c r="M1159" i="7"/>
  <c r="X1151" i="7"/>
  <c r="V1151" i="7"/>
  <c r="W1151" i="7"/>
  <c r="T1151" i="7"/>
  <c r="U1151" i="7"/>
  <c r="S1151" i="7"/>
  <c r="R1151" i="7"/>
  <c r="Q1151" i="7"/>
  <c r="P1151" i="7"/>
  <c r="N1151" i="7"/>
  <c r="M1151" i="7"/>
  <c r="O1151" i="7"/>
  <c r="X1143" i="7"/>
  <c r="W1143" i="7"/>
  <c r="U1143" i="7"/>
  <c r="V1143" i="7"/>
  <c r="T1143" i="7"/>
  <c r="S1143" i="7"/>
  <c r="R1143" i="7"/>
  <c r="Q1143" i="7"/>
  <c r="P1143" i="7"/>
  <c r="O1143" i="7"/>
  <c r="N1143" i="7"/>
  <c r="M1143" i="7"/>
  <c r="X1135" i="7"/>
  <c r="V1135" i="7"/>
  <c r="W1135" i="7"/>
  <c r="U1135" i="7"/>
  <c r="T1135" i="7"/>
  <c r="S1135" i="7"/>
  <c r="Q1135" i="7"/>
  <c r="R1135" i="7"/>
  <c r="P1135" i="7"/>
  <c r="N1135" i="7"/>
  <c r="O1135" i="7"/>
  <c r="M1135" i="7"/>
  <c r="X1127" i="7"/>
  <c r="W1127" i="7"/>
  <c r="V1127" i="7"/>
  <c r="U1127" i="7"/>
  <c r="T1127" i="7"/>
  <c r="S1127" i="7"/>
  <c r="R1127" i="7"/>
  <c r="Q1127" i="7"/>
  <c r="N1127" i="7"/>
  <c r="O1127" i="7"/>
  <c r="M1127" i="7"/>
  <c r="P1127" i="7"/>
  <c r="X1119" i="7"/>
  <c r="V1119" i="7"/>
  <c r="W1119" i="7"/>
  <c r="U1119" i="7"/>
  <c r="S1119" i="7"/>
  <c r="T1119" i="7"/>
  <c r="Q1119" i="7"/>
  <c r="R1119" i="7"/>
  <c r="P1119" i="7"/>
  <c r="N1119" i="7"/>
  <c r="O1119" i="7"/>
  <c r="M1119" i="7"/>
  <c r="X1111" i="7"/>
  <c r="W1111" i="7"/>
  <c r="V1111" i="7"/>
  <c r="U1111" i="7"/>
  <c r="T1111" i="7"/>
  <c r="S1111" i="7"/>
  <c r="R1111" i="7"/>
  <c r="Q1111" i="7"/>
  <c r="P1111" i="7"/>
  <c r="O1111" i="7"/>
  <c r="N1111" i="7"/>
  <c r="M1111" i="7"/>
  <c r="X1103" i="7"/>
  <c r="W1103" i="7"/>
  <c r="V1103" i="7"/>
  <c r="U1103" i="7"/>
  <c r="T1103" i="7"/>
  <c r="Q1103" i="7"/>
  <c r="R1103" i="7"/>
  <c r="S1103" i="7"/>
  <c r="P1103" i="7"/>
  <c r="N1103" i="7"/>
  <c r="O1103" i="7"/>
  <c r="M1103" i="7"/>
  <c r="X1095" i="7"/>
  <c r="W1095" i="7"/>
  <c r="V1095" i="7"/>
  <c r="U1095" i="7"/>
  <c r="T1095" i="7"/>
  <c r="S1095" i="7"/>
  <c r="Q1095" i="7"/>
  <c r="R1095" i="7"/>
  <c r="P1095" i="7"/>
  <c r="N1095" i="7"/>
  <c r="O1095" i="7"/>
  <c r="M1095" i="7"/>
  <c r="X1087" i="7"/>
  <c r="W1087" i="7"/>
  <c r="V1087" i="7"/>
  <c r="T1087" i="7"/>
  <c r="U1087" i="7"/>
  <c r="S1087" i="7"/>
  <c r="R1087" i="7"/>
  <c r="Q1087" i="7"/>
  <c r="P1087" i="7"/>
  <c r="N1087" i="7"/>
  <c r="O1087" i="7"/>
  <c r="M1087" i="7"/>
  <c r="X1079" i="7"/>
  <c r="W1079" i="7"/>
  <c r="U1079" i="7"/>
  <c r="V1079" i="7"/>
  <c r="T1079" i="7"/>
  <c r="S1079" i="7"/>
  <c r="R1079" i="7"/>
  <c r="Q1079" i="7"/>
  <c r="P1079" i="7"/>
  <c r="N1079" i="7"/>
  <c r="M1079" i="7"/>
  <c r="O1079" i="7"/>
  <c r="X1071" i="7"/>
  <c r="V1071" i="7"/>
  <c r="W1071" i="7"/>
  <c r="U1071" i="7"/>
  <c r="T1071" i="7"/>
  <c r="S1071" i="7"/>
  <c r="Q1071" i="7"/>
  <c r="R1071" i="7"/>
  <c r="P1071" i="7"/>
  <c r="N1071" i="7"/>
  <c r="O1071" i="7"/>
  <c r="M1071" i="7"/>
  <c r="X1063" i="7"/>
  <c r="W1063" i="7"/>
  <c r="V1063" i="7"/>
  <c r="U1063" i="7"/>
  <c r="T1063" i="7"/>
  <c r="S1063" i="7"/>
  <c r="R1063" i="7"/>
  <c r="Q1063" i="7"/>
  <c r="O1063" i="7"/>
  <c r="N1063" i="7"/>
  <c r="P1063" i="7"/>
  <c r="M1063" i="7"/>
  <c r="X1055" i="7"/>
  <c r="V1055" i="7"/>
  <c r="W1055" i="7"/>
  <c r="U1055" i="7"/>
  <c r="S1055" i="7"/>
  <c r="T1055" i="7"/>
  <c r="Q1055" i="7"/>
  <c r="P1055" i="7"/>
  <c r="R1055" i="7"/>
  <c r="N1055" i="7"/>
  <c r="O1055" i="7"/>
  <c r="M1055" i="7"/>
  <c r="X1047" i="7"/>
  <c r="W1047" i="7"/>
  <c r="V1047" i="7"/>
  <c r="U1047" i="7"/>
  <c r="S1047" i="7"/>
  <c r="T1047" i="7"/>
  <c r="R1047" i="7"/>
  <c r="Q1047" i="7"/>
  <c r="P1047" i="7"/>
  <c r="N1047" i="7"/>
  <c r="O1047" i="7"/>
  <c r="M1047" i="7"/>
  <c r="X1039" i="7"/>
  <c r="W1039" i="7"/>
  <c r="V1039" i="7"/>
  <c r="U1039" i="7"/>
  <c r="S1039" i="7"/>
  <c r="T1039" i="7"/>
  <c r="Q1039" i="7"/>
  <c r="R1039" i="7"/>
  <c r="P1039" i="7"/>
  <c r="O1039" i="7"/>
  <c r="N1039" i="7"/>
  <c r="M1039" i="7"/>
  <c r="X1031" i="7"/>
  <c r="W1031" i="7"/>
  <c r="V1031" i="7"/>
  <c r="S1031" i="7"/>
  <c r="U1031" i="7"/>
  <c r="T1031" i="7"/>
  <c r="R1031" i="7"/>
  <c r="Q1031" i="7"/>
  <c r="P1031" i="7"/>
  <c r="N1031" i="7"/>
  <c r="O1031" i="7"/>
  <c r="M1031" i="7"/>
  <c r="X1023" i="7"/>
  <c r="V1023" i="7"/>
  <c r="W1023" i="7"/>
  <c r="U1023" i="7"/>
  <c r="S1023" i="7"/>
  <c r="T1023" i="7"/>
  <c r="Q1023" i="7"/>
  <c r="P1023" i="7"/>
  <c r="R1023" i="7"/>
  <c r="O1023" i="7"/>
  <c r="N1023" i="7"/>
  <c r="M1023" i="7"/>
  <c r="X1015" i="7"/>
  <c r="V1015" i="7"/>
  <c r="W1015" i="7"/>
  <c r="U1015" i="7"/>
  <c r="S1015" i="7"/>
  <c r="T1015" i="7"/>
  <c r="Q1015" i="7"/>
  <c r="R1015" i="7"/>
  <c r="P1015" i="7"/>
  <c r="N1015" i="7"/>
  <c r="O1015" i="7"/>
  <c r="M1015" i="7"/>
  <c r="X1007" i="7"/>
  <c r="V1007" i="7"/>
  <c r="W1007" i="7"/>
  <c r="U1007" i="7"/>
  <c r="S1007" i="7"/>
  <c r="T1007" i="7"/>
  <c r="R1007" i="7"/>
  <c r="Q1007" i="7"/>
  <c r="P1007" i="7"/>
  <c r="N1007" i="7"/>
  <c r="O1007" i="7"/>
  <c r="M1007" i="7"/>
  <c r="X999" i="7"/>
  <c r="W999" i="7"/>
  <c r="V999" i="7"/>
  <c r="U999" i="7"/>
  <c r="T999" i="7"/>
  <c r="S999" i="7"/>
  <c r="R999" i="7"/>
  <c r="Q999" i="7"/>
  <c r="P999" i="7"/>
  <c r="O999" i="7"/>
  <c r="N999" i="7"/>
  <c r="M999" i="7"/>
  <c r="X991" i="7"/>
  <c r="W991" i="7"/>
  <c r="V991" i="7"/>
  <c r="U991" i="7"/>
  <c r="S991" i="7"/>
  <c r="T991" i="7"/>
  <c r="Q991" i="7"/>
  <c r="P991" i="7"/>
  <c r="R991" i="7"/>
  <c r="N991" i="7"/>
  <c r="O991" i="7"/>
  <c r="M991" i="7"/>
  <c r="X983" i="7"/>
  <c r="V983" i="7"/>
  <c r="W983" i="7"/>
  <c r="U983" i="7"/>
  <c r="S983" i="7"/>
  <c r="T983" i="7"/>
  <c r="Q983" i="7"/>
  <c r="R983" i="7"/>
  <c r="P983" i="7"/>
  <c r="N983" i="7"/>
  <c r="O983" i="7"/>
  <c r="M983" i="7"/>
  <c r="X975" i="7"/>
  <c r="W975" i="7"/>
  <c r="V975" i="7"/>
  <c r="U975" i="7"/>
  <c r="S975" i="7"/>
  <c r="T975" i="7"/>
  <c r="R975" i="7"/>
  <c r="Q975" i="7"/>
  <c r="P975" i="7"/>
  <c r="O975" i="7"/>
  <c r="N975" i="7"/>
  <c r="M975" i="7"/>
  <c r="X967" i="7"/>
  <c r="V967" i="7"/>
  <c r="W967" i="7"/>
  <c r="S967" i="7"/>
  <c r="U967" i="7"/>
  <c r="T967" i="7"/>
  <c r="R967" i="7"/>
  <c r="Q967" i="7"/>
  <c r="P967" i="7"/>
  <c r="N967" i="7"/>
  <c r="O967" i="7"/>
  <c r="M967" i="7"/>
  <c r="X959" i="7"/>
  <c r="W959" i="7"/>
  <c r="V959" i="7"/>
  <c r="U959" i="7"/>
  <c r="S959" i="7"/>
  <c r="T959" i="7"/>
  <c r="Q959" i="7"/>
  <c r="R959" i="7"/>
  <c r="P959" i="7"/>
  <c r="O959" i="7"/>
  <c r="N959" i="7"/>
  <c r="M959" i="7"/>
  <c r="X951" i="7"/>
  <c r="W951" i="7"/>
  <c r="V951" i="7"/>
  <c r="U951" i="7"/>
  <c r="S951" i="7"/>
  <c r="T951" i="7"/>
  <c r="Q951" i="7"/>
  <c r="R951" i="7"/>
  <c r="P951" i="7"/>
  <c r="N951" i="7"/>
  <c r="M951" i="7"/>
  <c r="O951" i="7"/>
  <c r="X943" i="7"/>
  <c r="W943" i="7"/>
  <c r="V943" i="7"/>
  <c r="U943" i="7"/>
  <c r="S943" i="7"/>
  <c r="T943" i="7"/>
  <c r="R943" i="7"/>
  <c r="Q943" i="7"/>
  <c r="P943" i="7"/>
  <c r="N943" i="7"/>
  <c r="O943" i="7"/>
  <c r="M943" i="7"/>
  <c r="X935" i="7"/>
  <c r="V935" i="7"/>
  <c r="W935" i="7"/>
  <c r="U935" i="7"/>
  <c r="T935" i="7"/>
  <c r="S935" i="7"/>
  <c r="R935" i="7"/>
  <c r="Q935" i="7"/>
  <c r="O935" i="7"/>
  <c r="N935" i="7"/>
  <c r="P935" i="7"/>
  <c r="M935" i="7"/>
  <c r="X927" i="7"/>
  <c r="W927" i="7"/>
  <c r="V927" i="7"/>
  <c r="U927" i="7"/>
  <c r="S927" i="7"/>
  <c r="T927" i="7"/>
  <c r="R927" i="7"/>
  <c r="Q927" i="7"/>
  <c r="P927" i="7"/>
  <c r="N927" i="7"/>
  <c r="O927" i="7"/>
  <c r="M927" i="7"/>
  <c r="X919" i="7"/>
  <c r="W919" i="7"/>
  <c r="V919" i="7"/>
  <c r="U919" i="7"/>
  <c r="S919" i="7"/>
  <c r="T919" i="7"/>
  <c r="R919" i="7"/>
  <c r="Q919" i="7"/>
  <c r="P919" i="7"/>
  <c r="N919" i="7"/>
  <c r="O919" i="7"/>
  <c r="M919" i="7"/>
  <c r="X911" i="7"/>
  <c r="W911" i="7"/>
  <c r="V911" i="7"/>
  <c r="U911" i="7"/>
  <c r="S911" i="7"/>
  <c r="R911" i="7"/>
  <c r="T911" i="7"/>
  <c r="P911" i="7"/>
  <c r="O911" i="7"/>
  <c r="Q911" i="7"/>
  <c r="N911" i="7"/>
  <c r="M911" i="7"/>
  <c r="X903" i="7"/>
  <c r="W903" i="7"/>
  <c r="V903" i="7"/>
  <c r="S903" i="7"/>
  <c r="T903" i="7"/>
  <c r="U903" i="7"/>
  <c r="R903" i="7"/>
  <c r="Q903" i="7"/>
  <c r="P903" i="7"/>
  <c r="O903" i="7"/>
  <c r="N903" i="7"/>
  <c r="M903" i="7"/>
  <c r="X895" i="7"/>
  <c r="W895" i="7"/>
  <c r="V895" i="7"/>
  <c r="U895" i="7"/>
  <c r="S895" i="7"/>
  <c r="T895" i="7"/>
  <c r="R895" i="7"/>
  <c r="Q895" i="7"/>
  <c r="O895" i="7"/>
  <c r="P895" i="7"/>
  <c r="N895" i="7"/>
  <c r="M895" i="7"/>
  <c r="X887" i="7"/>
  <c r="W887" i="7"/>
  <c r="V887" i="7"/>
  <c r="U887" i="7"/>
  <c r="S887" i="7"/>
  <c r="T887" i="7"/>
  <c r="R887" i="7"/>
  <c r="Q887" i="7"/>
  <c r="P887" i="7"/>
  <c r="O887" i="7"/>
  <c r="N887" i="7"/>
  <c r="M887" i="7"/>
  <c r="X879" i="7"/>
  <c r="V879" i="7"/>
  <c r="W879" i="7"/>
  <c r="U879" i="7"/>
  <c r="S879" i="7"/>
  <c r="T879" i="7"/>
  <c r="R879" i="7"/>
  <c r="Q879" i="7"/>
  <c r="P879" i="7"/>
  <c r="O879" i="7"/>
  <c r="N879" i="7"/>
  <c r="M879" i="7"/>
  <c r="X871" i="7"/>
  <c r="W871" i="7"/>
  <c r="V871" i="7"/>
  <c r="U871" i="7"/>
  <c r="T871" i="7"/>
  <c r="S871" i="7"/>
  <c r="R871" i="7"/>
  <c r="Q871" i="7"/>
  <c r="O871" i="7"/>
  <c r="N871" i="7"/>
  <c r="P871" i="7"/>
  <c r="M871" i="7"/>
  <c r="X863" i="7"/>
  <c r="V863" i="7"/>
  <c r="W863" i="7"/>
  <c r="U863" i="7"/>
  <c r="S863" i="7"/>
  <c r="T863" i="7"/>
  <c r="R863" i="7"/>
  <c r="Q863" i="7"/>
  <c r="P863" i="7"/>
  <c r="O863" i="7"/>
  <c r="N863" i="7"/>
  <c r="M863" i="7"/>
  <c r="X855" i="7"/>
  <c r="W855" i="7"/>
  <c r="V855" i="7"/>
  <c r="U855" i="7"/>
  <c r="S855" i="7"/>
  <c r="T855" i="7"/>
  <c r="R855" i="7"/>
  <c r="Q855" i="7"/>
  <c r="O855" i="7"/>
  <c r="P855" i="7"/>
  <c r="N855" i="7"/>
  <c r="M855" i="7"/>
  <c r="X847" i="7"/>
  <c r="W847" i="7"/>
  <c r="V847" i="7"/>
  <c r="U847" i="7"/>
  <c r="S847" i="7"/>
  <c r="R847" i="7"/>
  <c r="T847" i="7"/>
  <c r="Q847" i="7"/>
  <c r="P847" i="7"/>
  <c r="O847" i="7"/>
  <c r="N847" i="7"/>
  <c r="M847" i="7"/>
  <c r="X839" i="7"/>
  <c r="W839" i="7"/>
  <c r="V839" i="7"/>
  <c r="S839" i="7"/>
  <c r="U839" i="7"/>
  <c r="T839" i="7"/>
  <c r="R839" i="7"/>
  <c r="Q839" i="7"/>
  <c r="P839" i="7"/>
  <c r="O839" i="7"/>
  <c r="N839" i="7"/>
  <c r="M839" i="7"/>
  <c r="W831" i="7"/>
  <c r="X831" i="7"/>
  <c r="U831" i="7"/>
  <c r="V831" i="7"/>
  <c r="S831" i="7"/>
  <c r="T831" i="7"/>
  <c r="R831" i="7"/>
  <c r="Q831" i="7"/>
  <c r="O831" i="7"/>
  <c r="P831" i="7"/>
  <c r="N831" i="7"/>
  <c r="M831" i="7"/>
  <c r="X823" i="7"/>
  <c r="W823" i="7"/>
  <c r="U823" i="7"/>
  <c r="S823" i="7"/>
  <c r="V823" i="7"/>
  <c r="T823" i="7"/>
  <c r="R823" i="7"/>
  <c r="Q823" i="7"/>
  <c r="P823" i="7"/>
  <c r="O823" i="7"/>
  <c r="N823" i="7"/>
  <c r="M823" i="7"/>
  <c r="W815" i="7"/>
  <c r="X815" i="7"/>
  <c r="V815" i="7"/>
  <c r="U815" i="7"/>
  <c r="S815" i="7"/>
  <c r="T815" i="7"/>
  <c r="R815" i="7"/>
  <c r="Q815" i="7"/>
  <c r="P815" i="7"/>
  <c r="O815" i="7"/>
  <c r="N815" i="7"/>
  <c r="M815" i="7"/>
  <c r="X807" i="7"/>
  <c r="W807" i="7"/>
  <c r="V807" i="7"/>
  <c r="U807" i="7"/>
  <c r="T807" i="7"/>
  <c r="S807" i="7"/>
  <c r="R807" i="7"/>
  <c r="Q807" i="7"/>
  <c r="O807" i="7"/>
  <c r="P807" i="7"/>
  <c r="N807" i="7"/>
  <c r="M807" i="7"/>
  <c r="X799" i="7"/>
  <c r="W799" i="7"/>
  <c r="V799" i="7"/>
  <c r="U799" i="7"/>
  <c r="S799" i="7"/>
  <c r="T799" i="7"/>
  <c r="R799" i="7"/>
  <c r="Q799" i="7"/>
  <c r="P799" i="7"/>
  <c r="O799" i="7"/>
  <c r="N799" i="7"/>
  <c r="M799" i="7"/>
  <c r="W791" i="7"/>
  <c r="X791" i="7"/>
  <c r="V791" i="7"/>
  <c r="U791" i="7"/>
  <c r="S791" i="7"/>
  <c r="T791" i="7"/>
  <c r="R791" i="7"/>
  <c r="Q791" i="7"/>
  <c r="O791" i="7"/>
  <c r="P791" i="7"/>
  <c r="N791" i="7"/>
  <c r="M791" i="7"/>
  <c r="X783" i="7"/>
  <c r="W783" i="7"/>
  <c r="V783" i="7"/>
  <c r="U783" i="7"/>
  <c r="S783" i="7"/>
  <c r="T783" i="7"/>
  <c r="R783" i="7"/>
  <c r="Q783" i="7"/>
  <c r="P783" i="7"/>
  <c r="O783" i="7"/>
  <c r="N783" i="7"/>
  <c r="M783" i="7"/>
  <c r="X775" i="7"/>
  <c r="W775" i="7"/>
  <c r="V775" i="7"/>
  <c r="U775" i="7"/>
  <c r="S775" i="7"/>
  <c r="T775" i="7"/>
  <c r="R775" i="7"/>
  <c r="Q775" i="7"/>
  <c r="P775" i="7"/>
  <c r="O775" i="7"/>
  <c r="N775" i="7"/>
  <c r="M775" i="7"/>
  <c r="W767" i="7"/>
  <c r="X767" i="7"/>
  <c r="V767" i="7"/>
  <c r="U767" i="7"/>
  <c r="S767" i="7"/>
  <c r="T767" i="7"/>
  <c r="R767" i="7"/>
  <c r="Q767" i="7"/>
  <c r="O767" i="7"/>
  <c r="P767" i="7"/>
  <c r="N767" i="7"/>
  <c r="M767" i="7"/>
  <c r="X759" i="7"/>
  <c r="W759" i="7"/>
  <c r="V759" i="7"/>
  <c r="U759" i="7"/>
  <c r="S759" i="7"/>
  <c r="T759" i="7"/>
  <c r="R759" i="7"/>
  <c r="Q759" i="7"/>
  <c r="P759" i="7"/>
  <c r="O759" i="7"/>
  <c r="N759" i="7"/>
  <c r="M759" i="7"/>
  <c r="W751" i="7"/>
  <c r="X751" i="7"/>
  <c r="V751" i="7"/>
  <c r="U751" i="7"/>
  <c r="S751" i="7"/>
  <c r="T751" i="7"/>
  <c r="R751" i="7"/>
  <c r="Q751" i="7"/>
  <c r="P751" i="7"/>
  <c r="O751" i="7"/>
  <c r="N751" i="7"/>
  <c r="M751" i="7"/>
  <c r="X743" i="7"/>
  <c r="W743" i="7"/>
  <c r="V743" i="7"/>
  <c r="U743" i="7"/>
  <c r="T743" i="7"/>
  <c r="S743" i="7"/>
  <c r="R743" i="7"/>
  <c r="Q743" i="7"/>
  <c r="O743" i="7"/>
  <c r="N743" i="7"/>
  <c r="P743" i="7"/>
  <c r="M743" i="7"/>
  <c r="X735" i="7"/>
  <c r="W735" i="7"/>
  <c r="V735" i="7"/>
  <c r="U735" i="7"/>
  <c r="S735" i="7"/>
  <c r="T735" i="7"/>
  <c r="R735" i="7"/>
  <c r="Q735" i="7"/>
  <c r="P735" i="7"/>
  <c r="O735" i="7"/>
  <c r="N735" i="7"/>
  <c r="M735" i="7"/>
  <c r="W727" i="7"/>
  <c r="X727" i="7"/>
  <c r="V727" i="7"/>
  <c r="U727" i="7"/>
  <c r="S727" i="7"/>
  <c r="T727" i="7"/>
  <c r="R727" i="7"/>
  <c r="Q727" i="7"/>
  <c r="O727" i="7"/>
  <c r="P727" i="7"/>
  <c r="N727" i="7"/>
  <c r="M727" i="7"/>
  <c r="X719" i="7"/>
  <c r="W719" i="7"/>
  <c r="V719" i="7"/>
  <c r="U719" i="7"/>
  <c r="S719" i="7"/>
  <c r="R719" i="7"/>
  <c r="T719" i="7"/>
  <c r="P719" i="7"/>
  <c r="O719" i="7"/>
  <c r="Q719" i="7"/>
  <c r="N719" i="7"/>
  <c r="M719" i="7"/>
  <c r="X711" i="7"/>
  <c r="W711" i="7"/>
  <c r="V711" i="7"/>
  <c r="U711" i="7"/>
  <c r="S711" i="7"/>
  <c r="T711" i="7"/>
  <c r="R711" i="7"/>
  <c r="Q711" i="7"/>
  <c r="P711" i="7"/>
  <c r="O711" i="7"/>
  <c r="N711" i="7"/>
  <c r="M711" i="7"/>
  <c r="W703" i="7"/>
  <c r="X703" i="7"/>
  <c r="V703" i="7"/>
  <c r="U703" i="7"/>
  <c r="S703" i="7"/>
  <c r="T703" i="7"/>
  <c r="Q703" i="7"/>
  <c r="R703" i="7"/>
  <c r="O703" i="7"/>
  <c r="P703" i="7"/>
  <c r="N703" i="7"/>
  <c r="M703" i="7"/>
  <c r="X695" i="7"/>
  <c r="W695" i="7"/>
  <c r="V695" i="7"/>
  <c r="U695" i="7"/>
  <c r="S695" i="7"/>
  <c r="T695" i="7"/>
  <c r="Q695" i="7"/>
  <c r="R695" i="7"/>
  <c r="P695" i="7"/>
  <c r="O695" i="7"/>
  <c r="N695" i="7"/>
  <c r="M695" i="7"/>
  <c r="W687" i="7"/>
  <c r="X687" i="7"/>
  <c r="V687" i="7"/>
  <c r="U687" i="7"/>
  <c r="S687" i="7"/>
  <c r="T687" i="7"/>
  <c r="Q687" i="7"/>
  <c r="R687" i="7"/>
  <c r="P687" i="7"/>
  <c r="O687" i="7"/>
  <c r="N687" i="7"/>
  <c r="M687" i="7"/>
  <c r="X679" i="7"/>
  <c r="W679" i="7"/>
  <c r="U679" i="7"/>
  <c r="V679" i="7"/>
  <c r="T679" i="7"/>
  <c r="S679" i="7"/>
  <c r="Q679" i="7"/>
  <c r="R679" i="7"/>
  <c r="O679" i="7"/>
  <c r="P679" i="7"/>
  <c r="N679" i="7"/>
  <c r="M679" i="7"/>
  <c r="X671" i="7"/>
  <c r="W671" i="7"/>
  <c r="V671" i="7"/>
  <c r="S671" i="7"/>
  <c r="T671" i="7"/>
  <c r="U671" i="7"/>
  <c r="Q671" i="7"/>
  <c r="R671" i="7"/>
  <c r="P671" i="7"/>
  <c r="O671" i="7"/>
  <c r="N671" i="7"/>
  <c r="M671" i="7"/>
  <c r="X663" i="7"/>
  <c r="W663" i="7"/>
  <c r="V663" i="7"/>
  <c r="U663" i="7"/>
  <c r="S663" i="7"/>
  <c r="T663" i="7"/>
  <c r="Q663" i="7"/>
  <c r="R663" i="7"/>
  <c r="O663" i="7"/>
  <c r="P663" i="7"/>
  <c r="N663" i="7"/>
  <c r="M663" i="7"/>
  <c r="X655" i="7"/>
  <c r="W655" i="7"/>
  <c r="V655" i="7"/>
  <c r="U655" i="7"/>
  <c r="S655" i="7"/>
  <c r="Q655" i="7"/>
  <c r="R655" i="7"/>
  <c r="T655" i="7"/>
  <c r="P655" i="7"/>
  <c r="O655" i="7"/>
  <c r="N655" i="7"/>
  <c r="M655" i="7"/>
  <c r="X647" i="7"/>
  <c r="W647" i="7"/>
  <c r="U647" i="7"/>
  <c r="V647" i="7"/>
  <c r="S647" i="7"/>
  <c r="T647" i="7"/>
  <c r="Q647" i="7"/>
  <c r="R647" i="7"/>
  <c r="P647" i="7"/>
  <c r="O647" i="7"/>
  <c r="N647" i="7"/>
  <c r="M647" i="7"/>
  <c r="X639" i="7"/>
  <c r="W639" i="7"/>
  <c r="V639" i="7"/>
  <c r="S639" i="7"/>
  <c r="T639" i="7"/>
  <c r="U639" i="7"/>
  <c r="Q639" i="7"/>
  <c r="R639" i="7"/>
  <c r="O639" i="7"/>
  <c r="P639" i="7"/>
  <c r="N639" i="7"/>
  <c r="M639" i="7"/>
  <c r="X631" i="7"/>
  <c r="W631" i="7"/>
  <c r="V631" i="7"/>
  <c r="U631" i="7"/>
  <c r="S631" i="7"/>
  <c r="T631" i="7"/>
  <c r="Q631" i="7"/>
  <c r="R631" i="7"/>
  <c r="P631" i="7"/>
  <c r="O631" i="7"/>
  <c r="N631" i="7"/>
  <c r="M631" i="7"/>
  <c r="X623" i="7"/>
  <c r="W623" i="7"/>
  <c r="V623" i="7"/>
  <c r="U623" i="7"/>
  <c r="S623" i="7"/>
  <c r="T623" i="7"/>
  <c r="Q623" i="7"/>
  <c r="R623" i="7"/>
  <c r="P623" i="7"/>
  <c r="O623" i="7"/>
  <c r="N623" i="7"/>
  <c r="M623" i="7"/>
  <c r="X615" i="7"/>
  <c r="W615" i="7"/>
  <c r="V615" i="7"/>
  <c r="U615" i="7"/>
  <c r="T615" i="7"/>
  <c r="S615" i="7"/>
  <c r="Q615" i="7"/>
  <c r="R615" i="7"/>
  <c r="O615" i="7"/>
  <c r="N615" i="7"/>
  <c r="M615" i="7"/>
  <c r="P615" i="7"/>
  <c r="X607" i="7"/>
  <c r="W607" i="7"/>
  <c r="V607" i="7"/>
  <c r="U607" i="7"/>
  <c r="S607" i="7"/>
  <c r="T607" i="7"/>
  <c r="Q607" i="7"/>
  <c r="R607" i="7"/>
  <c r="P607" i="7"/>
  <c r="O607" i="7"/>
  <c r="N607" i="7"/>
  <c r="M607" i="7"/>
  <c r="X599" i="7"/>
  <c r="W599" i="7"/>
  <c r="U599" i="7"/>
  <c r="S599" i="7"/>
  <c r="T599" i="7"/>
  <c r="V599" i="7"/>
  <c r="Q599" i="7"/>
  <c r="R599" i="7"/>
  <c r="P599" i="7"/>
  <c r="O599" i="7"/>
  <c r="N599" i="7"/>
  <c r="M599" i="7"/>
  <c r="X591" i="7"/>
  <c r="W591" i="7"/>
  <c r="V591" i="7"/>
  <c r="U591" i="7"/>
  <c r="S591" i="7"/>
  <c r="T591" i="7"/>
  <c r="Q591" i="7"/>
  <c r="R591" i="7"/>
  <c r="O591" i="7"/>
  <c r="P591" i="7"/>
  <c r="N591" i="7"/>
  <c r="M591" i="7"/>
  <c r="X583" i="7"/>
  <c r="W583" i="7"/>
  <c r="V583" i="7"/>
  <c r="U583" i="7"/>
  <c r="S583" i="7"/>
  <c r="T583" i="7"/>
  <c r="Q583" i="7"/>
  <c r="R583" i="7"/>
  <c r="O583" i="7"/>
  <c r="N583" i="7"/>
  <c r="P583" i="7"/>
  <c r="M583" i="7"/>
  <c r="X575" i="7"/>
  <c r="W575" i="7"/>
  <c r="V575" i="7"/>
  <c r="T575" i="7"/>
  <c r="U575" i="7"/>
  <c r="S575" i="7"/>
  <c r="Q575" i="7"/>
  <c r="R575" i="7"/>
  <c r="P575" i="7"/>
  <c r="O575" i="7"/>
  <c r="M575" i="7"/>
  <c r="N575" i="7"/>
  <c r="X567" i="7"/>
  <c r="W567" i="7"/>
  <c r="U567" i="7"/>
  <c r="V567" i="7"/>
  <c r="T567" i="7"/>
  <c r="S567" i="7"/>
  <c r="Q567" i="7"/>
  <c r="R567" i="7"/>
  <c r="P567" i="7"/>
  <c r="O567" i="7"/>
  <c r="M567" i="7"/>
  <c r="N567" i="7"/>
  <c r="X559" i="7"/>
  <c r="W559" i="7"/>
  <c r="V559" i="7"/>
  <c r="U559" i="7"/>
  <c r="T559" i="7"/>
  <c r="S559" i="7"/>
  <c r="Q559" i="7"/>
  <c r="R559" i="7"/>
  <c r="O559" i="7"/>
  <c r="P559" i="7"/>
  <c r="M559" i="7"/>
  <c r="N559" i="7"/>
  <c r="X551" i="7"/>
  <c r="W551" i="7"/>
  <c r="U551" i="7"/>
  <c r="T551" i="7"/>
  <c r="V551" i="7"/>
  <c r="S551" i="7"/>
  <c r="Q551" i="7"/>
  <c r="R551" i="7"/>
  <c r="O551" i="7"/>
  <c r="M551" i="7"/>
  <c r="N551" i="7"/>
  <c r="P551" i="7"/>
  <c r="X543" i="7"/>
  <c r="W543" i="7"/>
  <c r="V543" i="7"/>
  <c r="T543" i="7"/>
  <c r="U543" i="7"/>
  <c r="S543" i="7"/>
  <c r="Q543" i="7"/>
  <c r="R543" i="7"/>
  <c r="P543" i="7"/>
  <c r="O543" i="7"/>
  <c r="M543" i="7"/>
  <c r="N543" i="7"/>
  <c r="X535" i="7"/>
  <c r="W535" i="7"/>
  <c r="V535" i="7"/>
  <c r="U535" i="7"/>
  <c r="T535" i="7"/>
  <c r="S535" i="7"/>
  <c r="Q535" i="7"/>
  <c r="R535" i="7"/>
  <c r="P535" i="7"/>
  <c r="O535" i="7"/>
  <c r="M535" i="7"/>
  <c r="N535" i="7"/>
  <c r="X527" i="7"/>
  <c r="W527" i="7"/>
  <c r="V527" i="7"/>
  <c r="T527" i="7"/>
  <c r="U527" i="7"/>
  <c r="S527" i="7"/>
  <c r="Q527" i="7"/>
  <c r="R527" i="7"/>
  <c r="P527" i="7"/>
  <c r="O527" i="7"/>
  <c r="M527" i="7"/>
  <c r="N527" i="7"/>
  <c r="X519" i="7"/>
  <c r="W519" i="7"/>
  <c r="V519" i="7"/>
  <c r="U519" i="7"/>
  <c r="T519" i="7"/>
  <c r="S519" i="7"/>
  <c r="Q519" i="7"/>
  <c r="R519" i="7"/>
  <c r="O519" i="7"/>
  <c r="P519" i="7"/>
  <c r="M519" i="7"/>
  <c r="N519" i="7"/>
  <c r="X511" i="7"/>
  <c r="W511" i="7"/>
  <c r="V511" i="7"/>
  <c r="T511" i="7"/>
  <c r="U511" i="7"/>
  <c r="S511" i="7"/>
  <c r="Q511" i="7"/>
  <c r="R511" i="7"/>
  <c r="O511" i="7"/>
  <c r="P511" i="7"/>
  <c r="M511" i="7"/>
  <c r="N511" i="7"/>
  <c r="X503" i="7"/>
  <c r="W503" i="7"/>
  <c r="V503" i="7"/>
  <c r="U503" i="7"/>
  <c r="T503" i="7"/>
  <c r="S503" i="7"/>
  <c r="Q503" i="7"/>
  <c r="R503" i="7"/>
  <c r="O503" i="7"/>
  <c r="M503" i="7"/>
  <c r="N503" i="7"/>
  <c r="P503" i="7"/>
  <c r="X495" i="7"/>
  <c r="W495" i="7"/>
  <c r="V495" i="7"/>
  <c r="U495" i="7"/>
  <c r="T495" i="7"/>
  <c r="S495" i="7"/>
  <c r="Q495" i="7"/>
  <c r="R495" i="7"/>
  <c r="P495" i="7"/>
  <c r="O495" i="7"/>
  <c r="M495" i="7"/>
  <c r="N495" i="7"/>
  <c r="X487" i="7"/>
  <c r="W487" i="7"/>
  <c r="U487" i="7"/>
  <c r="V487" i="7"/>
  <c r="T487" i="7"/>
  <c r="S487" i="7"/>
  <c r="R487" i="7"/>
  <c r="Q487" i="7"/>
  <c r="P487" i="7"/>
  <c r="O487" i="7"/>
  <c r="M487" i="7"/>
  <c r="N487" i="7"/>
  <c r="X479" i="7"/>
  <c r="W479" i="7"/>
  <c r="V479" i="7"/>
  <c r="T479" i="7"/>
  <c r="U479" i="7"/>
  <c r="S479" i="7"/>
  <c r="Q479" i="7"/>
  <c r="R479" i="7"/>
  <c r="P479" i="7"/>
  <c r="M479" i="7"/>
  <c r="N479" i="7"/>
  <c r="O479" i="7"/>
  <c r="X471" i="7"/>
  <c r="W471" i="7"/>
  <c r="V471" i="7"/>
  <c r="U471" i="7"/>
  <c r="T471" i="7"/>
  <c r="S471" i="7"/>
  <c r="Q471" i="7"/>
  <c r="R471" i="7"/>
  <c r="O471" i="7"/>
  <c r="P471" i="7"/>
  <c r="M471" i="7"/>
  <c r="N471" i="7"/>
  <c r="X463" i="7"/>
  <c r="W463" i="7"/>
  <c r="V463" i="7"/>
  <c r="T463" i="7"/>
  <c r="U463" i="7"/>
  <c r="S463" i="7"/>
  <c r="Q463" i="7"/>
  <c r="R463" i="7"/>
  <c r="O463" i="7"/>
  <c r="P463" i="7"/>
  <c r="M463" i="7"/>
  <c r="N463" i="7"/>
  <c r="X455" i="7"/>
  <c r="W455" i="7"/>
  <c r="V455" i="7"/>
  <c r="U455" i="7"/>
  <c r="T455" i="7"/>
  <c r="S455" i="7"/>
  <c r="R455" i="7"/>
  <c r="Q455" i="7"/>
  <c r="O455" i="7"/>
  <c r="P455" i="7"/>
  <c r="M455" i="7"/>
  <c r="N455" i="7"/>
  <c r="X447" i="7"/>
  <c r="W447" i="7"/>
  <c r="V447" i="7"/>
  <c r="T447" i="7"/>
  <c r="U447" i="7"/>
  <c r="S447" i="7"/>
  <c r="Q447" i="7"/>
  <c r="R447" i="7"/>
  <c r="O447" i="7"/>
  <c r="P447" i="7"/>
  <c r="M447" i="7"/>
  <c r="N447" i="7"/>
  <c r="X439" i="7"/>
  <c r="W439" i="7"/>
  <c r="V439" i="7"/>
  <c r="U439" i="7"/>
  <c r="T439" i="7"/>
  <c r="S439" i="7"/>
  <c r="Q439" i="7"/>
  <c r="R439" i="7"/>
  <c r="O439" i="7"/>
  <c r="M439" i="7"/>
  <c r="N439" i="7"/>
  <c r="P439" i="7"/>
  <c r="X431" i="7"/>
  <c r="W431" i="7"/>
  <c r="V431" i="7"/>
  <c r="U431" i="7"/>
  <c r="T431" i="7"/>
  <c r="S431" i="7"/>
  <c r="Q431" i="7"/>
  <c r="R431" i="7"/>
  <c r="O431" i="7"/>
  <c r="P431" i="7"/>
  <c r="M431" i="7"/>
  <c r="N431" i="7"/>
  <c r="X423" i="7"/>
  <c r="W423" i="7"/>
  <c r="V423" i="7"/>
  <c r="U423" i="7"/>
  <c r="T423" i="7"/>
  <c r="S423" i="7"/>
  <c r="R423" i="7"/>
  <c r="Q423" i="7"/>
  <c r="O423" i="7"/>
  <c r="P423" i="7"/>
  <c r="M423" i="7"/>
  <c r="N423" i="7"/>
  <c r="X415" i="7"/>
  <c r="W415" i="7"/>
  <c r="V415" i="7"/>
  <c r="T415" i="7"/>
  <c r="U415" i="7"/>
  <c r="S415" i="7"/>
  <c r="Q415" i="7"/>
  <c r="R415" i="7"/>
  <c r="O415" i="7"/>
  <c r="P415" i="7"/>
  <c r="M415" i="7"/>
  <c r="N415" i="7"/>
  <c r="X407" i="7"/>
  <c r="W407" i="7"/>
  <c r="V407" i="7"/>
  <c r="U407" i="7"/>
  <c r="T407" i="7"/>
  <c r="S407" i="7"/>
  <c r="Q407" i="7"/>
  <c r="R407" i="7"/>
  <c r="O407" i="7"/>
  <c r="P407" i="7"/>
  <c r="M407" i="7"/>
  <c r="N407" i="7"/>
  <c r="X399" i="7"/>
  <c r="W399" i="7"/>
  <c r="V399" i="7"/>
  <c r="T399" i="7"/>
  <c r="S399" i="7"/>
  <c r="U399" i="7"/>
  <c r="Q399" i="7"/>
  <c r="R399" i="7"/>
  <c r="O399" i="7"/>
  <c r="P399" i="7"/>
  <c r="M399" i="7"/>
  <c r="N399" i="7"/>
  <c r="X391" i="7"/>
  <c r="W391" i="7"/>
  <c r="V391" i="7"/>
  <c r="U391" i="7"/>
  <c r="T391" i="7"/>
  <c r="S391" i="7"/>
  <c r="R391" i="7"/>
  <c r="Q391" i="7"/>
  <c r="O391" i="7"/>
  <c r="P391" i="7"/>
  <c r="M391" i="7"/>
  <c r="N391" i="7"/>
  <c r="X383" i="7"/>
  <c r="W383" i="7"/>
  <c r="V383" i="7"/>
  <c r="T383" i="7"/>
  <c r="U383" i="7"/>
  <c r="S383" i="7"/>
  <c r="Q383" i="7"/>
  <c r="R383" i="7"/>
  <c r="O383" i="7"/>
  <c r="P383" i="7"/>
  <c r="M383" i="7"/>
  <c r="N383" i="7"/>
  <c r="X375" i="7"/>
  <c r="W375" i="7"/>
  <c r="V375" i="7"/>
  <c r="U375" i="7"/>
  <c r="T375" i="7"/>
  <c r="S375" i="7"/>
  <c r="Q375" i="7"/>
  <c r="R375" i="7"/>
  <c r="O375" i="7"/>
  <c r="M375" i="7"/>
  <c r="P375" i="7"/>
  <c r="N375" i="7"/>
  <c r="X367" i="7"/>
  <c r="W367" i="7"/>
  <c r="V367" i="7"/>
  <c r="U367" i="7"/>
  <c r="T367" i="7"/>
  <c r="S367" i="7"/>
  <c r="R367" i="7"/>
  <c r="Q367" i="7"/>
  <c r="O367" i="7"/>
  <c r="P367" i="7"/>
  <c r="M367" i="7"/>
  <c r="N367" i="7"/>
  <c r="X359" i="7"/>
  <c r="W359" i="7"/>
  <c r="U359" i="7"/>
  <c r="V359" i="7"/>
  <c r="T359" i="7"/>
  <c r="S359" i="7"/>
  <c r="Q359" i="7"/>
  <c r="R359" i="7"/>
  <c r="O359" i="7"/>
  <c r="P359" i="7"/>
  <c r="M359" i="7"/>
  <c r="N359" i="7"/>
  <c r="X351" i="7"/>
  <c r="W351" i="7"/>
  <c r="V351" i="7"/>
  <c r="T351" i="7"/>
  <c r="U351" i="7"/>
  <c r="S351" i="7"/>
  <c r="Q351" i="7"/>
  <c r="R351" i="7"/>
  <c r="O351" i="7"/>
  <c r="P351" i="7"/>
  <c r="M351" i="7"/>
  <c r="N351" i="7"/>
  <c r="X343" i="7"/>
  <c r="W343" i="7"/>
  <c r="V343" i="7"/>
  <c r="U343" i="7"/>
  <c r="T343" i="7"/>
  <c r="S343" i="7"/>
  <c r="Q343" i="7"/>
  <c r="R343" i="7"/>
  <c r="O343" i="7"/>
  <c r="P343" i="7"/>
  <c r="M343" i="7"/>
  <c r="N343" i="7"/>
  <c r="X335" i="7"/>
  <c r="W335" i="7"/>
  <c r="V335" i="7"/>
  <c r="T335" i="7"/>
  <c r="U335" i="7"/>
  <c r="S335" i="7"/>
  <c r="Q335" i="7"/>
  <c r="R335" i="7"/>
  <c r="O335" i="7"/>
  <c r="P335" i="7"/>
  <c r="M335" i="7"/>
  <c r="N335" i="7"/>
  <c r="X327" i="7"/>
  <c r="W327" i="7"/>
  <c r="V327" i="7"/>
  <c r="U327" i="7"/>
  <c r="T327" i="7"/>
  <c r="S327" i="7"/>
  <c r="Q327" i="7"/>
  <c r="R327" i="7"/>
  <c r="O327" i="7"/>
  <c r="P327" i="7"/>
  <c r="M327" i="7"/>
  <c r="N327" i="7"/>
  <c r="X319" i="7"/>
  <c r="W319" i="7"/>
  <c r="V319" i="7"/>
  <c r="T319" i="7"/>
  <c r="U319" i="7"/>
  <c r="S319" i="7"/>
  <c r="Q319" i="7"/>
  <c r="R319" i="7"/>
  <c r="O319" i="7"/>
  <c r="P319" i="7"/>
  <c r="M319" i="7"/>
  <c r="N319" i="7"/>
  <c r="X311" i="7"/>
  <c r="W311" i="7"/>
  <c r="U311" i="7"/>
  <c r="T311" i="7"/>
  <c r="V311" i="7"/>
  <c r="S311" i="7"/>
  <c r="Q311" i="7"/>
  <c r="R311" i="7"/>
  <c r="O311" i="7"/>
  <c r="P311" i="7"/>
  <c r="M311" i="7"/>
  <c r="N311" i="7"/>
  <c r="X303" i="7"/>
  <c r="W303" i="7"/>
  <c r="V303" i="7"/>
  <c r="U303" i="7"/>
  <c r="T303" i="7"/>
  <c r="S303" i="7"/>
  <c r="R303" i="7"/>
  <c r="Q303" i="7"/>
  <c r="O303" i="7"/>
  <c r="P303" i="7"/>
  <c r="M303" i="7"/>
  <c r="N303" i="7"/>
  <c r="X295" i="7"/>
  <c r="W295" i="7"/>
  <c r="U295" i="7"/>
  <c r="V295" i="7"/>
  <c r="T295" i="7"/>
  <c r="S295" i="7"/>
  <c r="Q295" i="7"/>
  <c r="R295" i="7"/>
  <c r="O295" i="7"/>
  <c r="P295" i="7"/>
  <c r="M295" i="7"/>
  <c r="N295" i="7"/>
  <c r="X287" i="7"/>
  <c r="W287" i="7"/>
  <c r="V287" i="7"/>
  <c r="T287" i="7"/>
  <c r="U287" i="7"/>
  <c r="S287" i="7"/>
  <c r="Q287" i="7"/>
  <c r="R287" i="7"/>
  <c r="O287" i="7"/>
  <c r="P287" i="7"/>
  <c r="M287" i="7"/>
  <c r="N287" i="7"/>
  <c r="X279" i="7"/>
  <c r="W279" i="7"/>
  <c r="U279" i="7"/>
  <c r="T279" i="7"/>
  <c r="V279" i="7"/>
  <c r="S279" i="7"/>
  <c r="Q279" i="7"/>
  <c r="R279" i="7"/>
  <c r="O279" i="7"/>
  <c r="P279" i="7"/>
  <c r="M279" i="7"/>
  <c r="N279" i="7"/>
  <c r="X271" i="7"/>
  <c r="W271" i="7"/>
  <c r="V271" i="7"/>
  <c r="T271" i="7"/>
  <c r="U271" i="7"/>
  <c r="S271" i="7"/>
  <c r="Q271" i="7"/>
  <c r="R271" i="7"/>
  <c r="O271" i="7"/>
  <c r="P271" i="7"/>
  <c r="M271" i="7"/>
  <c r="N271" i="7"/>
  <c r="X263" i="7"/>
  <c r="W263" i="7"/>
  <c r="V263" i="7"/>
  <c r="U263" i="7"/>
  <c r="T263" i="7"/>
  <c r="S263" i="7"/>
  <c r="Q263" i="7"/>
  <c r="O263" i="7"/>
  <c r="R263" i="7"/>
  <c r="P263" i="7"/>
  <c r="M263" i="7"/>
  <c r="N263" i="7"/>
  <c r="X255" i="7"/>
  <c r="W255" i="7"/>
  <c r="V255" i="7"/>
  <c r="T255" i="7"/>
  <c r="U255" i="7"/>
  <c r="S255" i="7"/>
  <c r="Q255" i="7"/>
  <c r="R255" i="7"/>
  <c r="O255" i="7"/>
  <c r="P255" i="7"/>
  <c r="M255" i="7"/>
  <c r="N255" i="7"/>
  <c r="X247" i="7"/>
  <c r="W247" i="7"/>
  <c r="V247" i="7"/>
  <c r="U247" i="7"/>
  <c r="T247" i="7"/>
  <c r="S247" i="7"/>
  <c r="Q247" i="7"/>
  <c r="R247" i="7"/>
  <c r="O247" i="7"/>
  <c r="P247" i="7"/>
  <c r="M247" i="7"/>
  <c r="N247" i="7"/>
  <c r="X239" i="7"/>
  <c r="W239" i="7"/>
  <c r="V239" i="7"/>
  <c r="U239" i="7"/>
  <c r="T239" i="7"/>
  <c r="S239" i="7"/>
  <c r="R239" i="7"/>
  <c r="Q239" i="7"/>
  <c r="O239" i="7"/>
  <c r="P239" i="7"/>
  <c r="M239" i="7"/>
  <c r="N239" i="7"/>
  <c r="X231" i="7"/>
  <c r="W231" i="7"/>
  <c r="V231" i="7"/>
  <c r="U231" i="7"/>
  <c r="T231" i="7"/>
  <c r="S231" i="7"/>
  <c r="Q231" i="7"/>
  <c r="R231" i="7"/>
  <c r="O231" i="7"/>
  <c r="P231" i="7"/>
  <c r="M231" i="7"/>
  <c r="N231" i="7"/>
  <c r="X223" i="7"/>
  <c r="W223" i="7"/>
  <c r="V223" i="7"/>
  <c r="T223" i="7"/>
  <c r="U223" i="7"/>
  <c r="S223" i="7"/>
  <c r="Q223" i="7"/>
  <c r="R223" i="7"/>
  <c r="O223" i="7"/>
  <c r="P223" i="7"/>
  <c r="M223" i="7"/>
  <c r="N223" i="7"/>
  <c r="X215" i="7"/>
  <c r="W215" i="7"/>
  <c r="V215" i="7"/>
  <c r="U215" i="7"/>
  <c r="T215" i="7"/>
  <c r="S215" i="7"/>
  <c r="Q215" i="7"/>
  <c r="R215" i="7"/>
  <c r="O215" i="7"/>
  <c r="P215" i="7"/>
  <c r="M215" i="7"/>
  <c r="N215" i="7"/>
  <c r="X207" i="7"/>
  <c r="W207" i="7"/>
  <c r="V207" i="7"/>
  <c r="T207" i="7"/>
  <c r="U207" i="7"/>
  <c r="S207" i="7"/>
  <c r="Q207" i="7"/>
  <c r="R207" i="7"/>
  <c r="O207" i="7"/>
  <c r="P207" i="7"/>
  <c r="M207" i="7"/>
  <c r="N207" i="7"/>
  <c r="X199" i="7"/>
  <c r="W199" i="7"/>
  <c r="V199" i="7"/>
  <c r="U199" i="7"/>
  <c r="T199" i="7"/>
  <c r="S199" i="7"/>
  <c r="Q199" i="7"/>
  <c r="R199" i="7"/>
  <c r="O199" i="7"/>
  <c r="P199" i="7"/>
  <c r="M199" i="7"/>
  <c r="N199" i="7"/>
  <c r="X191" i="7"/>
  <c r="W191" i="7"/>
  <c r="V191" i="7"/>
  <c r="T191" i="7"/>
  <c r="U191" i="7"/>
  <c r="S191" i="7"/>
  <c r="Q191" i="7"/>
  <c r="R191" i="7"/>
  <c r="O191" i="7"/>
  <c r="P191" i="7"/>
  <c r="M191" i="7"/>
  <c r="N191" i="7"/>
  <c r="X183" i="7"/>
  <c r="W183" i="7"/>
  <c r="V183" i="7"/>
  <c r="U183" i="7"/>
  <c r="T183" i="7"/>
  <c r="S183" i="7"/>
  <c r="Q183" i="7"/>
  <c r="R183" i="7"/>
  <c r="O183" i="7"/>
  <c r="M183" i="7"/>
  <c r="N183" i="7"/>
  <c r="P183" i="7"/>
  <c r="X175" i="7"/>
  <c r="W175" i="7"/>
  <c r="V175" i="7"/>
  <c r="U175" i="7"/>
  <c r="T175" i="7"/>
  <c r="S175" i="7"/>
  <c r="R175" i="7"/>
  <c r="Q175" i="7"/>
  <c r="O175" i="7"/>
  <c r="P175" i="7"/>
  <c r="M175" i="7"/>
  <c r="N175" i="7"/>
  <c r="X167" i="7"/>
  <c r="W167" i="7"/>
  <c r="V167" i="7"/>
  <c r="U167" i="7"/>
  <c r="T167" i="7"/>
  <c r="S167" i="7"/>
  <c r="Q167" i="7"/>
  <c r="R167" i="7"/>
  <c r="O167" i="7"/>
  <c r="P167" i="7"/>
  <c r="M167" i="7"/>
  <c r="N167" i="7"/>
  <c r="X159" i="7"/>
  <c r="W159" i="7"/>
  <c r="V159" i="7"/>
  <c r="T159" i="7"/>
  <c r="S159" i="7"/>
  <c r="Q159" i="7"/>
  <c r="U159" i="7"/>
  <c r="R159" i="7"/>
  <c r="O159" i="7"/>
  <c r="P159" i="7"/>
  <c r="M159" i="7"/>
  <c r="N159" i="7"/>
  <c r="X151" i="7"/>
  <c r="W151" i="7"/>
  <c r="V151" i="7"/>
  <c r="T151" i="7"/>
  <c r="U151" i="7"/>
  <c r="S151" i="7"/>
  <c r="Q151" i="7"/>
  <c r="R151" i="7"/>
  <c r="O151" i="7"/>
  <c r="P151" i="7"/>
  <c r="M151" i="7"/>
  <c r="N151" i="7"/>
  <c r="X143" i="7"/>
  <c r="W143" i="7"/>
  <c r="V143" i="7"/>
  <c r="T143" i="7"/>
  <c r="U143" i="7"/>
  <c r="S143" i="7"/>
  <c r="Q143" i="7"/>
  <c r="R143" i="7"/>
  <c r="O143" i="7"/>
  <c r="P143" i="7"/>
  <c r="M143" i="7"/>
  <c r="N143" i="7"/>
  <c r="X135" i="7"/>
  <c r="W135" i="7"/>
  <c r="V135" i="7"/>
  <c r="T135" i="7"/>
  <c r="U135" i="7"/>
  <c r="S135" i="7"/>
  <c r="Q135" i="7"/>
  <c r="R135" i="7"/>
  <c r="O135" i="7"/>
  <c r="P135" i="7"/>
  <c r="M135" i="7"/>
  <c r="N135" i="7"/>
  <c r="X127" i="7"/>
  <c r="W127" i="7"/>
  <c r="V127" i="7"/>
  <c r="T127" i="7"/>
  <c r="U127" i="7"/>
  <c r="S127" i="7"/>
  <c r="Q127" i="7"/>
  <c r="R127" i="7"/>
  <c r="O127" i="7"/>
  <c r="P127" i="7"/>
  <c r="M127" i="7"/>
  <c r="N127" i="7"/>
  <c r="X119" i="7"/>
  <c r="W119" i="7"/>
  <c r="T119" i="7"/>
  <c r="V119" i="7"/>
  <c r="S119" i="7"/>
  <c r="U119" i="7"/>
  <c r="Q119" i="7"/>
  <c r="R119" i="7"/>
  <c r="O119" i="7"/>
  <c r="M119" i="7"/>
  <c r="N119" i="7"/>
  <c r="P119" i="7"/>
  <c r="X111" i="7"/>
  <c r="W111" i="7"/>
  <c r="V111" i="7"/>
  <c r="T111" i="7"/>
  <c r="U111" i="7"/>
  <c r="S111" i="7"/>
  <c r="R111" i="7"/>
  <c r="Q111" i="7"/>
  <c r="O111" i="7"/>
  <c r="P111" i="7"/>
  <c r="M111" i="7"/>
  <c r="N111" i="7"/>
  <c r="X103" i="7"/>
  <c r="W103" i="7"/>
  <c r="V103" i="7"/>
  <c r="T103" i="7"/>
  <c r="U103" i="7"/>
  <c r="S103" i="7"/>
  <c r="Q103" i="7"/>
  <c r="R103" i="7"/>
  <c r="O103" i="7"/>
  <c r="P103" i="7"/>
  <c r="M103" i="7"/>
  <c r="N103" i="7"/>
  <c r="X95" i="7"/>
  <c r="W95" i="7"/>
  <c r="V95" i="7"/>
  <c r="U95" i="7"/>
  <c r="T95" i="7"/>
  <c r="S95" i="7"/>
  <c r="Q95" i="7"/>
  <c r="R95" i="7"/>
  <c r="O95" i="7"/>
  <c r="P95" i="7"/>
  <c r="M95" i="7"/>
  <c r="N95" i="7"/>
  <c r="X87" i="7"/>
  <c r="W87" i="7"/>
  <c r="V87" i="7"/>
  <c r="T87" i="7"/>
  <c r="U87" i="7"/>
  <c r="S87" i="7"/>
  <c r="Q87" i="7"/>
  <c r="R87" i="7"/>
  <c r="O87" i="7"/>
  <c r="P87" i="7"/>
  <c r="M87" i="7"/>
  <c r="N87" i="7"/>
  <c r="X79" i="7"/>
  <c r="W79" i="7"/>
  <c r="V79" i="7"/>
  <c r="U79" i="7"/>
  <c r="T79" i="7"/>
  <c r="S79" i="7"/>
  <c r="Q79" i="7"/>
  <c r="R79" i="7"/>
  <c r="O79" i="7"/>
  <c r="P79" i="7"/>
  <c r="M79" i="7"/>
  <c r="N79" i="7"/>
  <c r="X71" i="7"/>
  <c r="W71" i="7"/>
  <c r="V71" i="7"/>
  <c r="U71" i="7"/>
  <c r="T71" i="7"/>
  <c r="S71" i="7"/>
  <c r="Q71" i="7"/>
  <c r="R71" i="7"/>
  <c r="O71" i="7"/>
  <c r="P71" i="7"/>
  <c r="M71" i="7"/>
  <c r="N71" i="7"/>
  <c r="X63" i="7"/>
  <c r="W63" i="7"/>
  <c r="V63" i="7"/>
  <c r="U63" i="7"/>
  <c r="T63" i="7"/>
  <c r="S63" i="7"/>
  <c r="Q63" i="7"/>
  <c r="R63" i="7"/>
  <c r="O63" i="7"/>
  <c r="P63" i="7"/>
  <c r="M63" i="7"/>
  <c r="N63" i="7"/>
  <c r="X55" i="7"/>
  <c r="W55" i="7"/>
  <c r="V55" i="7"/>
  <c r="U55" i="7"/>
  <c r="T55" i="7"/>
  <c r="S55" i="7"/>
  <c r="Q55" i="7"/>
  <c r="R55" i="7"/>
  <c r="O55" i="7"/>
  <c r="M55" i="7"/>
  <c r="N55" i="7"/>
  <c r="P55" i="7"/>
  <c r="X47" i="7"/>
  <c r="W47" i="7"/>
  <c r="V47" i="7"/>
  <c r="U47" i="7"/>
  <c r="T47" i="7"/>
  <c r="S47" i="7"/>
  <c r="R47" i="7"/>
  <c r="Q47" i="7"/>
  <c r="O47" i="7"/>
  <c r="P47" i="7"/>
  <c r="M47" i="7"/>
  <c r="N47" i="7"/>
  <c r="X39" i="7"/>
  <c r="W39" i="7"/>
  <c r="U39" i="7"/>
  <c r="T39" i="7"/>
  <c r="V39" i="7"/>
  <c r="S39" i="7"/>
  <c r="Q39" i="7"/>
  <c r="R39" i="7"/>
  <c r="O39" i="7"/>
  <c r="P39" i="7"/>
  <c r="M39" i="7"/>
  <c r="N39" i="7"/>
  <c r="X31" i="7"/>
  <c r="W31" i="7"/>
  <c r="V31" i="7"/>
  <c r="U31" i="7"/>
  <c r="T31" i="7"/>
  <c r="S31" i="7"/>
  <c r="Q31" i="7"/>
  <c r="R31" i="7"/>
  <c r="O31" i="7"/>
  <c r="P31" i="7"/>
  <c r="M31" i="7"/>
  <c r="N31" i="7"/>
  <c r="X23" i="7"/>
  <c r="W23" i="7"/>
  <c r="V23" i="7"/>
  <c r="T23" i="7"/>
  <c r="U23" i="7"/>
  <c r="S23" i="7"/>
  <c r="Q23" i="7"/>
  <c r="R23" i="7"/>
  <c r="P23" i="7"/>
  <c r="O23" i="7"/>
  <c r="M23" i="7"/>
  <c r="N23" i="7"/>
  <c r="X15" i="7"/>
  <c r="W15" i="7"/>
  <c r="V15" i="7"/>
  <c r="U15" i="7"/>
  <c r="T15" i="7"/>
  <c r="S15" i="7"/>
  <c r="Q15" i="7"/>
  <c r="R15" i="7"/>
  <c r="P15" i="7"/>
  <c r="O15" i="7"/>
  <c r="M15" i="7"/>
  <c r="N15" i="7"/>
  <c r="X7" i="7"/>
  <c r="W7" i="7"/>
  <c r="V7" i="7"/>
  <c r="U7" i="7"/>
  <c r="T7" i="7"/>
  <c r="S7" i="7"/>
  <c r="Q7" i="7"/>
  <c r="R7" i="7"/>
  <c r="P7" i="7"/>
  <c r="O7" i="7"/>
  <c r="M7" i="7"/>
  <c r="N7" i="7"/>
  <c r="X1154" i="7"/>
  <c r="W1154" i="7"/>
  <c r="U1154" i="7"/>
  <c r="T1154" i="7"/>
  <c r="V1154" i="7"/>
  <c r="S1154" i="7"/>
  <c r="R1154" i="7"/>
  <c r="P1154" i="7"/>
  <c r="Q1154" i="7"/>
  <c r="O1154" i="7"/>
  <c r="M1154" i="7"/>
  <c r="N1154" i="7"/>
  <c r="X1114" i="7"/>
  <c r="W1114" i="7"/>
  <c r="V1114" i="7"/>
  <c r="U1114" i="7"/>
  <c r="T1114" i="7"/>
  <c r="S1114" i="7"/>
  <c r="R1114" i="7"/>
  <c r="Q1114" i="7"/>
  <c r="P1114" i="7"/>
  <c r="O1114" i="7"/>
  <c r="M1114" i="7"/>
  <c r="N1114" i="7"/>
  <c r="X1074" i="7"/>
  <c r="W1074" i="7"/>
  <c r="V1074" i="7"/>
  <c r="U1074" i="7"/>
  <c r="T1074" i="7"/>
  <c r="S1074" i="7"/>
  <c r="R1074" i="7"/>
  <c r="Q1074" i="7"/>
  <c r="P1074" i="7"/>
  <c r="M1074" i="7"/>
  <c r="N1074" i="7"/>
  <c r="O1074" i="7"/>
  <c r="X1018" i="7"/>
  <c r="W1018" i="7"/>
  <c r="U1018" i="7"/>
  <c r="T1018" i="7"/>
  <c r="V1018" i="7"/>
  <c r="S1018" i="7"/>
  <c r="R1018" i="7"/>
  <c r="Q1018" i="7"/>
  <c r="P1018" i="7"/>
  <c r="O1018" i="7"/>
  <c r="M1018" i="7"/>
  <c r="N1018" i="7"/>
  <c r="X978" i="7"/>
  <c r="W978" i="7"/>
  <c r="V978" i="7"/>
  <c r="U978" i="7"/>
  <c r="T978" i="7"/>
  <c r="S978" i="7"/>
  <c r="R978" i="7"/>
  <c r="Q978" i="7"/>
  <c r="P978" i="7"/>
  <c r="O978" i="7"/>
  <c r="M978" i="7"/>
  <c r="N978" i="7"/>
  <c r="X922" i="7"/>
  <c r="W922" i="7"/>
  <c r="V922" i="7"/>
  <c r="U922" i="7"/>
  <c r="T922" i="7"/>
  <c r="S922" i="7"/>
  <c r="R922" i="7"/>
  <c r="P922" i="7"/>
  <c r="Q922" i="7"/>
  <c r="M922" i="7"/>
  <c r="O922" i="7"/>
  <c r="N922" i="7"/>
  <c r="X882" i="7"/>
  <c r="W882" i="7"/>
  <c r="U882" i="7"/>
  <c r="V882" i="7"/>
  <c r="T882" i="7"/>
  <c r="S882" i="7"/>
  <c r="R882" i="7"/>
  <c r="P882" i="7"/>
  <c r="Q882" i="7"/>
  <c r="O882" i="7"/>
  <c r="M882" i="7"/>
  <c r="N882" i="7"/>
  <c r="X850" i="7"/>
  <c r="W850" i="7"/>
  <c r="V850" i="7"/>
  <c r="U850" i="7"/>
  <c r="T850" i="7"/>
  <c r="S850" i="7"/>
  <c r="R850" i="7"/>
  <c r="Q850" i="7"/>
  <c r="P850" i="7"/>
  <c r="O850" i="7"/>
  <c r="M850" i="7"/>
  <c r="N850" i="7"/>
  <c r="X794" i="7"/>
  <c r="W794" i="7"/>
  <c r="V794" i="7"/>
  <c r="U794" i="7"/>
  <c r="T794" i="7"/>
  <c r="S794" i="7"/>
  <c r="R794" i="7"/>
  <c r="P794" i="7"/>
  <c r="Q794" i="7"/>
  <c r="O794" i="7"/>
  <c r="M794" i="7"/>
  <c r="N794" i="7"/>
  <c r="X722" i="7"/>
  <c r="W722" i="7"/>
  <c r="V722" i="7"/>
  <c r="T722" i="7"/>
  <c r="U722" i="7"/>
  <c r="S722" i="7"/>
  <c r="R722" i="7"/>
  <c r="Q722" i="7"/>
  <c r="P722" i="7"/>
  <c r="O722" i="7"/>
  <c r="M722" i="7"/>
  <c r="N722" i="7"/>
  <c r="X666" i="7"/>
  <c r="W666" i="7"/>
  <c r="V666" i="7"/>
  <c r="U666" i="7"/>
  <c r="T666" i="7"/>
  <c r="S666" i="7"/>
  <c r="R666" i="7"/>
  <c r="P666" i="7"/>
  <c r="Q666" i="7"/>
  <c r="O666" i="7"/>
  <c r="M666" i="7"/>
  <c r="N666" i="7"/>
  <c r="X626" i="7"/>
  <c r="W626" i="7"/>
  <c r="V626" i="7"/>
  <c r="T626" i="7"/>
  <c r="U626" i="7"/>
  <c r="S626" i="7"/>
  <c r="R626" i="7"/>
  <c r="Q626" i="7"/>
  <c r="P626" i="7"/>
  <c r="O626" i="7"/>
  <c r="M626" i="7"/>
  <c r="N626" i="7"/>
  <c r="X586" i="7"/>
  <c r="W586" i="7"/>
  <c r="U586" i="7"/>
  <c r="T586" i="7"/>
  <c r="V586" i="7"/>
  <c r="S586" i="7"/>
  <c r="R586" i="7"/>
  <c r="Q586" i="7"/>
  <c r="P586" i="7"/>
  <c r="O586" i="7"/>
  <c r="M586" i="7"/>
  <c r="N586" i="7"/>
  <c r="X490" i="7"/>
  <c r="W490" i="7"/>
  <c r="V490" i="7"/>
  <c r="U490" i="7"/>
  <c r="T490" i="7"/>
  <c r="S490" i="7"/>
  <c r="R490" i="7"/>
  <c r="P490" i="7"/>
  <c r="Q490" i="7"/>
  <c r="O490" i="7"/>
  <c r="M490" i="7"/>
  <c r="N490" i="7"/>
  <c r="X434" i="7"/>
  <c r="W434" i="7"/>
  <c r="V434" i="7"/>
  <c r="T434" i="7"/>
  <c r="S434" i="7"/>
  <c r="R434" i="7"/>
  <c r="U434" i="7"/>
  <c r="Q434" i="7"/>
  <c r="P434" i="7"/>
  <c r="O434" i="7"/>
  <c r="M434" i="7"/>
  <c r="N434" i="7"/>
  <c r="X346" i="7"/>
  <c r="W346" i="7"/>
  <c r="U346" i="7"/>
  <c r="V346" i="7"/>
  <c r="T346" i="7"/>
  <c r="S346" i="7"/>
  <c r="R346" i="7"/>
  <c r="P346" i="7"/>
  <c r="O346" i="7"/>
  <c r="M346" i="7"/>
  <c r="Q346" i="7"/>
  <c r="N346" i="7"/>
  <c r="X306" i="7"/>
  <c r="W306" i="7"/>
  <c r="V306" i="7"/>
  <c r="U306" i="7"/>
  <c r="T306" i="7"/>
  <c r="S306" i="7"/>
  <c r="R306" i="7"/>
  <c r="Q306" i="7"/>
  <c r="P306" i="7"/>
  <c r="O306" i="7"/>
  <c r="M306" i="7"/>
  <c r="N306" i="7"/>
  <c r="X290" i="7"/>
  <c r="W290" i="7"/>
  <c r="V290" i="7"/>
  <c r="U290" i="7"/>
  <c r="T290" i="7"/>
  <c r="S290" i="7"/>
  <c r="R290" i="7"/>
  <c r="Q290" i="7"/>
  <c r="P290" i="7"/>
  <c r="O290" i="7"/>
  <c r="M290" i="7"/>
  <c r="N290" i="7"/>
  <c r="X274" i="7"/>
  <c r="W274" i="7"/>
  <c r="V274" i="7"/>
  <c r="U274" i="7"/>
  <c r="T274" i="7"/>
  <c r="S274" i="7"/>
  <c r="R274" i="7"/>
  <c r="P274" i="7"/>
  <c r="Q274" i="7"/>
  <c r="O274" i="7"/>
  <c r="M274" i="7"/>
  <c r="N274" i="7"/>
  <c r="X258" i="7"/>
  <c r="W258" i="7"/>
  <c r="V258" i="7"/>
  <c r="T258" i="7"/>
  <c r="U258" i="7"/>
  <c r="S258" i="7"/>
  <c r="R258" i="7"/>
  <c r="P258" i="7"/>
  <c r="Q258" i="7"/>
  <c r="O258" i="7"/>
  <c r="M258" i="7"/>
  <c r="N258" i="7"/>
  <c r="X242" i="7"/>
  <c r="W242" i="7"/>
  <c r="V242" i="7"/>
  <c r="U242" i="7"/>
  <c r="T242" i="7"/>
  <c r="S242" i="7"/>
  <c r="R242" i="7"/>
  <c r="Q242" i="7"/>
  <c r="P242" i="7"/>
  <c r="O242" i="7"/>
  <c r="M242" i="7"/>
  <c r="N242" i="7"/>
  <c r="X226" i="7"/>
  <c r="W226" i="7"/>
  <c r="V226" i="7"/>
  <c r="U226" i="7"/>
  <c r="T226" i="7"/>
  <c r="S226" i="7"/>
  <c r="R226" i="7"/>
  <c r="Q226" i="7"/>
  <c r="P226" i="7"/>
  <c r="M226" i="7"/>
  <c r="O226" i="7"/>
  <c r="N226" i="7"/>
  <c r="X210" i="7"/>
  <c r="W210" i="7"/>
  <c r="V210" i="7"/>
  <c r="U210" i="7"/>
  <c r="S210" i="7"/>
  <c r="T210" i="7"/>
  <c r="P210" i="7"/>
  <c r="R210" i="7"/>
  <c r="Q210" i="7"/>
  <c r="O210" i="7"/>
  <c r="M210" i="7"/>
  <c r="N210" i="7"/>
  <c r="X186" i="7"/>
  <c r="W186" i="7"/>
  <c r="V186" i="7"/>
  <c r="U186" i="7"/>
  <c r="T186" i="7"/>
  <c r="S186" i="7"/>
  <c r="R186" i="7"/>
  <c r="P186" i="7"/>
  <c r="Q186" i="7"/>
  <c r="O186" i="7"/>
  <c r="M186" i="7"/>
  <c r="N186" i="7"/>
  <c r="X82" i="7"/>
  <c r="W82" i="7"/>
  <c r="V82" i="7"/>
  <c r="U82" i="7"/>
  <c r="T82" i="7"/>
  <c r="S82" i="7"/>
  <c r="R82" i="7"/>
  <c r="P82" i="7"/>
  <c r="Q82" i="7"/>
  <c r="O82" i="7"/>
  <c r="M82" i="7"/>
  <c r="N82" i="7"/>
  <c r="X10" i="7"/>
  <c r="W10" i="7"/>
  <c r="V10" i="7"/>
  <c r="U10" i="7"/>
  <c r="T10" i="7"/>
  <c r="S10" i="7"/>
  <c r="R10" i="7"/>
  <c r="P10" i="7"/>
  <c r="Q10" i="7"/>
  <c r="O10" i="7"/>
  <c r="M10" i="7"/>
  <c r="N10" i="7"/>
  <c r="X1196" i="7"/>
  <c r="V1196" i="7"/>
  <c r="W1196" i="7"/>
  <c r="U1196" i="7"/>
  <c r="T1196" i="7"/>
  <c r="S1196" i="7"/>
  <c r="R1196" i="7"/>
  <c r="P1196" i="7"/>
  <c r="Q1196" i="7"/>
  <c r="O1196" i="7"/>
  <c r="N1196" i="7"/>
  <c r="M1196" i="7"/>
  <c r="X1188" i="7"/>
  <c r="V1188" i="7"/>
  <c r="W1188" i="7"/>
  <c r="T1188" i="7"/>
  <c r="S1188" i="7"/>
  <c r="U1188" i="7"/>
  <c r="R1188" i="7"/>
  <c r="Q1188" i="7"/>
  <c r="P1188" i="7"/>
  <c r="O1188" i="7"/>
  <c r="N1188" i="7"/>
  <c r="M1188" i="7"/>
  <c r="X1180" i="7"/>
  <c r="V1180" i="7"/>
  <c r="W1180" i="7"/>
  <c r="U1180" i="7"/>
  <c r="T1180" i="7"/>
  <c r="R1180" i="7"/>
  <c r="S1180" i="7"/>
  <c r="Q1180" i="7"/>
  <c r="P1180" i="7"/>
  <c r="O1180" i="7"/>
  <c r="M1180" i="7"/>
  <c r="N1180" i="7"/>
  <c r="X1172" i="7"/>
  <c r="V1172" i="7"/>
  <c r="W1172" i="7"/>
  <c r="U1172" i="7"/>
  <c r="T1172" i="7"/>
  <c r="S1172" i="7"/>
  <c r="R1172" i="7"/>
  <c r="Q1172" i="7"/>
  <c r="P1172" i="7"/>
  <c r="N1172" i="7"/>
  <c r="O1172" i="7"/>
  <c r="M1172" i="7"/>
  <c r="X1164" i="7"/>
  <c r="W1164" i="7"/>
  <c r="V1164" i="7"/>
  <c r="U1164" i="7"/>
  <c r="T1164" i="7"/>
  <c r="S1164" i="7"/>
  <c r="R1164" i="7"/>
  <c r="P1164" i="7"/>
  <c r="Q1164" i="7"/>
  <c r="O1164" i="7"/>
  <c r="N1164" i="7"/>
  <c r="M1164" i="7"/>
  <c r="X1156" i="7"/>
  <c r="V1156" i="7"/>
  <c r="W1156" i="7"/>
  <c r="U1156" i="7"/>
  <c r="S1156" i="7"/>
  <c r="T1156" i="7"/>
  <c r="R1156" i="7"/>
  <c r="Q1156" i="7"/>
  <c r="P1156" i="7"/>
  <c r="O1156" i="7"/>
  <c r="M1156" i="7"/>
  <c r="N1156" i="7"/>
  <c r="X1148" i="7"/>
  <c r="W1148" i="7"/>
  <c r="V1148" i="7"/>
  <c r="U1148" i="7"/>
  <c r="T1148" i="7"/>
  <c r="S1148" i="7"/>
  <c r="R1148" i="7"/>
  <c r="Q1148" i="7"/>
  <c r="P1148" i="7"/>
  <c r="O1148" i="7"/>
  <c r="N1148" i="7"/>
  <c r="M1148" i="7"/>
  <c r="X1140" i="7"/>
  <c r="V1140" i="7"/>
  <c r="W1140" i="7"/>
  <c r="U1140" i="7"/>
  <c r="T1140" i="7"/>
  <c r="S1140" i="7"/>
  <c r="R1140" i="7"/>
  <c r="Q1140" i="7"/>
  <c r="P1140" i="7"/>
  <c r="M1140" i="7"/>
  <c r="O1140" i="7"/>
  <c r="N1140" i="7"/>
  <c r="X1132" i="7"/>
  <c r="V1132" i="7"/>
  <c r="W1132" i="7"/>
  <c r="U1132" i="7"/>
  <c r="T1132" i="7"/>
  <c r="S1132" i="7"/>
  <c r="R1132" i="7"/>
  <c r="P1132" i="7"/>
  <c r="Q1132" i="7"/>
  <c r="O1132" i="7"/>
  <c r="N1132" i="7"/>
  <c r="M1132" i="7"/>
  <c r="X1124" i="7"/>
  <c r="V1124" i="7"/>
  <c r="W1124" i="7"/>
  <c r="U1124" i="7"/>
  <c r="T1124" i="7"/>
  <c r="S1124" i="7"/>
  <c r="R1124" i="7"/>
  <c r="Q1124" i="7"/>
  <c r="P1124" i="7"/>
  <c r="O1124" i="7"/>
  <c r="N1124" i="7"/>
  <c r="M1124" i="7"/>
  <c r="X1116" i="7"/>
  <c r="V1116" i="7"/>
  <c r="W1116" i="7"/>
  <c r="U1116" i="7"/>
  <c r="T1116" i="7"/>
  <c r="R1116" i="7"/>
  <c r="Q1116" i="7"/>
  <c r="S1116" i="7"/>
  <c r="P1116" i="7"/>
  <c r="O1116" i="7"/>
  <c r="M1116" i="7"/>
  <c r="N1116" i="7"/>
  <c r="X1108" i="7"/>
  <c r="V1108" i="7"/>
  <c r="W1108" i="7"/>
  <c r="U1108" i="7"/>
  <c r="T1108" i="7"/>
  <c r="S1108" i="7"/>
  <c r="R1108" i="7"/>
  <c r="Q1108" i="7"/>
  <c r="P1108" i="7"/>
  <c r="N1108" i="7"/>
  <c r="M1108" i="7"/>
  <c r="O1108" i="7"/>
  <c r="X1100" i="7"/>
  <c r="W1100" i="7"/>
  <c r="V1100" i="7"/>
  <c r="U1100" i="7"/>
  <c r="T1100" i="7"/>
  <c r="S1100" i="7"/>
  <c r="R1100" i="7"/>
  <c r="P1100" i="7"/>
  <c r="Q1100" i="7"/>
  <c r="O1100" i="7"/>
  <c r="N1100" i="7"/>
  <c r="M1100" i="7"/>
  <c r="X1092" i="7"/>
  <c r="V1092" i="7"/>
  <c r="W1092" i="7"/>
  <c r="U1092" i="7"/>
  <c r="T1092" i="7"/>
  <c r="S1092" i="7"/>
  <c r="R1092" i="7"/>
  <c r="Q1092" i="7"/>
  <c r="P1092" i="7"/>
  <c r="O1092" i="7"/>
  <c r="M1092" i="7"/>
  <c r="N1092" i="7"/>
  <c r="X1084" i="7"/>
  <c r="W1084" i="7"/>
  <c r="V1084" i="7"/>
  <c r="U1084" i="7"/>
  <c r="T1084" i="7"/>
  <c r="S1084" i="7"/>
  <c r="R1084" i="7"/>
  <c r="Q1084" i="7"/>
  <c r="P1084" i="7"/>
  <c r="O1084" i="7"/>
  <c r="N1084" i="7"/>
  <c r="M1084" i="7"/>
  <c r="X1076" i="7"/>
  <c r="V1076" i="7"/>
  <c r="W1076" i="7"/>
  <c r="U1076" i="7"/>
  <c r="T1076" i="7"/>
  <c r="S1076" i="7"/>
  <c r="R1076" i="7"/>
  <c r="Q1076" i="7"/>
  <c r="P1076" i="7"/>
  <c r="O1076" i="7"/>
  <c r="M1076" i="7"/>
  <c r="N1076" i="7"/>
  <c r="X1068" i="7"/>
  <c r="V1068" i="7"/>
  <c r="W1068" i="7"/>
  <c r="U1068" i="7"/>
  <c r="T1068" i="7"/>
  <c r="S1068" i="7"/>
  <c r="R1068" i="7"/>
  <c r="P1068" i="7"/>
  <c r="Q1068" i="7"/>
  <c r="O1068" i="7"/>
  <c r="N1068" i="7"/>
  <c r="M1068" i="7"/>
  <c r="X1060" i="7"/>
  <c r="V1060" i="7"/>
  <c r="W1060" i="7"/>
  <c r="U1060" i="7"/>
  <c r="T1060" i="7"/>
  <c r="S1060" i="7"/>
  <c r="R1060" i="7"/>
  <c r="Q1060" i="7"/>
  <c r="P1060" i="7"/>
  <c r="O1060" i="7"/>
  <c r="N1060" i="7"/>
  <c r="M1060" i="7"/>
  <c r="X1052" i="7"/>
  <c r="V1052" i="7"/>
  <c r="W1052" i="7"/>
  <c r="U1052" i="7"/>
  <c r="T1052" i="7"/>
  <c r="S1052" i="7"/>
  <c r="R1052" i="7"/>
  <c r="Q1052" i="7"/>
  <c r="P1052" i="7"/>
  <c r="O1052" i="7"/>
  <c r="M1052" i="7"/>
  <c r="N1052" i="7"/>
  <c r="X1044" i="7"/>
  <c r="V1044" i="7"/>
  <c r="W1044" i="7"/>
  <c r="U1044" i="7"/>
  <c r="T1044" i="7"/>
  <c r="S1044" i="7"/>
  <c r="R1044" i="7"/>
  <c r="Q1044" i="7"/>
  <c r="P1044" i="7"/>
  <c r="O1044" i="7"/>
  <c r="N1044" i="7"/>
  <c r="M1044" i="7"/>
  <c r="X1036" i="7"/>
  <c r="W1036" i="7"/>
  <c r="V1036" i="7"/>
  <c r="U1036" i="7"/>
  <c r="T1036" i="7"/>
  <c r="S1036" i="7"/>
  <c r="R1036" i="7"/>
  <c r="P1036" i="7"/>
  <c r="Q1036" i="7"/>
  <c r="O1036" i="7"/>
  <c r="N1036" i="7"/>
  <c r="M1036" i="7"/>
  <c r="X1028" i="7"/>
  <c r="V1028" i="7"/>
  <c r="W1028" i="7"/>
  <c r="U1028" i="7"/>
  <c r="T1028" i="7"/>
  <c r="S1028" i="7"/>
  <c r="Q1028" i="7"/>
  <c r="R1028" i="7"/>
  <c r="P1028" i="7"/>
  <c r="O1028" i="7"/>
  <c r="M1028" i="7"/>
  <c r="N1028" i="7"/>
  <c r="X1020" i="7"/>
  <c r="W1020" i="7"/>
  <c r="V1020" i="7"/>
  <c r="U1020" i="7"/>
  <c r="T1020" i="7"/>
  <c r="S1020" i="7"/>
  <c r="Q1020" i="7"/>
  <c r="R1020" i="7"/>
  <c r="P1020" i="7"/>
  <c r="O1020" i="7"/>
  <c r="N1020" i="7"/>
  <c r="M1020" i="7"/>
  <c r="X1012" i="7"/>
  <c r="V1012" i="7"/>
  <c r="U1012" i="7"/>
  <c r="W1012" i="7"/>
  <c r="T1012" i="7"/>
  <c r="S1012" i="7"/>
  <c r="Q1012" i="7"/>
  <c r="R1012" i="7"/>
  <c r="P1012" i="7"/>
  <c r="O1012" i="7"/>
  <c r="M1012" i="7"/>
  <c r="N1012" i="7"/>
  <c r="X1004" i="7"/>
  <c r="V1004" i="7"/>
  <c r="W1004" i="7"/>
  <c r="U1004" i="7"/>
  <c r="T1004" i="7"/>
  <c r="S1004" i="7"/>
  <c r="Q1004" i="7"/>
  <c r="R1004" i="7"/>
  <c r="P1004" i="7"/>
  <c r="O1004" i="7"/>
  <c r="N1004" i="7"/>
  <c r="M1004" i="7"/>
  <c r="X996" i="7"/>
  <c r="V996" i="7"/>
  <c r="W996" i="7"/>
  <c r="U996" i="7"/>
  <c r="T996" i="7"/>
  <c r="S996" i="7"/>
  <c r="Q996" i="7"/>
  <c r="R996" i="7"/>
  <c r="P996" i="7"/>
  <c r="O996" i="7"/>
  <c r="N996" i="7"/>
  <c r="M996" i="7"/>
  <c r="X988" i="7"/>
  <c r="V988" i="7"/>
  <c r="W988" i="7"/>
  <c r="U988" i="7"/>
  <c r="T988" i="7"/>
  <c r="S988" i="7"/>
  <c r="Q988" i="7"/>
  <c r="R988" i="7"/>
  <c r="P988" i="7"/>
  <c r="O988" i="7"/>
  <c r="M988" i="7"/>
  <c r="N988" i="7"/>
  <c r="X980" i="7"/>
  <c r="W980" i="7"/>
  <c r="V980" i="7"/>
  <c r="U980" i="7"/>
  <c r="T980" i="7"/>
  <c r="S980" i="7"/>
  <c r="Q980" i="7"/>
  <c r="R980" i="7"/>
  <c r="P980" i="7"/>
  <c r="O980" i="7"/>
  <c r="N980" i="7"/>
  <c r="M980" i="7"/>
  <c r="X972" i="7"/>
  <c r="W972" i="7"/>
  <c r="V972" i="7"/>
  <c r="U972" i="7"/>
  <c r="T972" i="7"/>
  <c r="S972" i="7"/>
  <c r="Q972" i="7"/>
  <c r="R972" i="7"/>
  <c r="P972" i="7"/>
  <c r="O972" i="7"/>
  <c r="N972" i="7"/>
  <c r="M972" i="7"/>
  <c r="X964" i="7"/>
  <c r="V964" i="7"/>
  <c r="W964" i="7"/>
  <c r="U964" i="7"/>
  <c r="T964" i="7"/>
  <c r="S964" i="7"/>
  <c r="Q964" i="7"/>
  <c r="R964" i="7"/>
  <c r="P964" i="7"/>
  <c r="O964" i="7"/>
  <c r="M964" i="7"/>
  <c r="N964" i="7"/>
  <c r="X956" i="7"/>
  <c r="W956" i="7"/>
  <c r="V956" i="7"/>
  <c r="U956" i="7"/>
  <c r="T956" i="7"/>
  <c r="S956" i="7"/>
  <c r="Q956" i="7"/>
  <c r="R956" i="7"/>
  <c r="P956" i="7"/>
  <c r="O956" i="7"/>
  <c r="N956" i="7"/>
  <c r="M956" i="7"/>
  <c r="X948" i="7"/>
  <c r="V948" i="7"/>
  <c r="U948" i="7"/>
  <c r="W948" i="7"/>
  <c r="T948" i="7"/>
  <c r="S948" i="7"/>
  <c r="Q948" i="7"/>
  <c r="R948" i="7"/>
  <c r="P948" i="7"/>
  <c r="O948" i="7"/>
  <c r="M948" i="7"/>
  <c r="N948" i="7"/>
  <c r="X940" i="7"/>
  <c r="V940" i="7"/>
  <c r="W940" i="7"/>
  <c r="U940" i="7"/>
  <c r="T940" i="7"/>
  <c r="S940" i="7"/>
  <c r="Q940" i="7"/>
  <c r="R940" i="7"/>
  <c r="P940" i="7"/>
  <c r="O940" i="7"/>
  <c r="N940" i="7"/>
  <c r="M940" i="7"/>
  <c r="X932" i="7"/>
  <c r="V932" i="7"/>
  <c r="W932" i="7"/>
  <c r="U932" i="7"/>
  <c r="T932" i="7"/>
  <c r="S932" i="7"/>
  <c r="Q932" i="7"/>
  <c r="R932" i="7"/>
  <c r="P932" i="7"/>
  <c r="O932" i="7"/>
  <c r="N932" i="7"/>
  <c r="M932" i="7"/>
  <c r="X924" i="7"/>
  <c r="V924" i="7"/>
  <c r="W924" i="7"/>
  <c r="U924" i="7"/>
  <c r="T924" i="7"/>
  <c r="S924" i="7"/>
  <c r="Q924" i="7"/>
  <c r="R924" i="7"/>
  <c r="P924" i="7"/>
  <c r="O924" i="7"/>
  <c r="M924" i="7"/>
  <c r="N924" i="7"/>
  <c r="X916" i="7"/>
  <c r="V916" i="7"/>
  <c r="U916" i="7"/>
  <c r="W916" i="7"/>
  <c r="T916" i="7"/>
  <c r="S916" i="7"/>
  <c r="Q916" i="7"/>
  <c r="R916" i="7"/>
  <c r="P916" i="7"/>
  <c r="O916" i="7"/>
  <c r="N916" i="7"/>
  <c r="M916" i="7"/>
  <c r="X908" i="7"/>
  <c r="V908" i="7"/>
  <c r="U908" i="7"/>
  <c r="W908" i="7"/>
  <c r="T908" i="7"/>
  <c r="S908" i="7"/>
  <c r="Q908" i="7"/>
  <c r="R908" i="7"/>
  <c r="P908" i="7"/>
  <c r="O908" i="7"/>
  <c r="M908" i="7"/>
  <c r="N908" i="7"/>
  <c r="X900" i="7"/>
  <c r="W900" i="7"/>
  <c r="V900" i="7"/>
  <c r="U900" i="7"/>
  <c r="T900" i="7"/>
  <c r="S900" i="7"/>
  <c r="Q900" i="7"/>
  <c r="R900" i="7"/>
  <c r="P900" i="7"/>
  <c r="O900" i="7"/>
  <c r="N900" i="7"/>
  <c r="M900" i="7"/>
  <c r="X892" i="7"/>
  <c r="V892" i="7"/>
  <c r="W892" i="7"/>
  <c r="U892" i="7"/>
  <c r="T892" i="7"/>
  <c r="S892" i="7"/>
  <c r="Q892" i="7"/>
  <c r="R892" i="7"/>
  <c r="P892" i="7"/>
  <c r="O892" i="7"/>
  <c r="M892" i="7"/>
  <c r="N892" i="7"/>
  <c r="X884" i="7"/>
  <c r="W884" i="7"/>
  <c r="V884" i="7"/>
  <c r="U884" i="7"/>
  <c r="T884" i="7"/>
  <c r="S884" i="7"/>
  <c r="Q884" i="7"/>
  <c r="R884" i="7"/>
  <c r="P884" i="7"/>
  <c r="O884" i="7"/>
  <c r="M884" i="7"/>
  <c r="N884" i="7"/>
  <c r="X876" i="7"/>
  <c r="W876" i="7"/>
  <c r="V876" i="7"/>
  <c r="U876" i="7"/>
  <c r="T876" i="7"/>
  <c r="S876" i="7"/>
  <c r="Q876" i="7"/>
  <c r="R876" i="7"/>
  <c r="P876" i="7"/>
  <c r="O876" i="7"/>
  <c r="M876" i="7"/>
  <c r="N876" i="7"/>
  <c r="X868" i="7"/>
  <c r="W868" i="7"/>
  <c r="V868" i="7"/>
  <c r="U868" i="7"/>
  <c r="T868" i="7"/>
  <c r="S868" i="7"/>
  <c r="Q868" i="7"/>
  <c r="R868" i="7"/>
  <c r="P868" i="7"/>
  <c r="O868" i="7"/>
  <c r="N868" i="7"/>
  <c r="M868" i="7"/>
  <c r="X860" i="7"/>
  <c r="W860" i="7"/>
  <c r="V860" i="7"/>
  <c r="U860" i="7"/>
  <c r="T860" i="7"/>
  <c r="S860" i="7"/>
  <c r="Q860" i="7"/>
  <c r="R860" i="7"/>
  <c r="P860" i="7"/>
  <c r="O860" i="7"/>
  <c r="M860" i="7"/>
  <c r="N860" i="7"/>
  <c r="X852" i="7"/>
  <c r="W852" i="7"/>
  <c r="V852" i="7"/>
  <c r="U852" i="7"/>
  <c r="T852" i="7"/>
  <c r="S852" i="7"/>
  <c r="Q852" i="7"/>
  <c r="R852" i="7"/>
  <c r="P852" i="7"/>
  <c r="O852" i="7"/>
  <c r="N852" i="7"/>
  <c r="M852" i="7"/>
  <c r="X844" i="7"/>
  <c r="W844" i="7"/>
  <c r="V844" i="7"/>
  <c r="U844" i="7"/>
  <c r="T844" i="7"/>
  <c r="S844" i="7"/>
  <c r="Q844" i="7"/>
  <c r="R844" i="7"/>
  <c r="P844" i="7"/>
  <c r="O844" i="7"/>
  <c r="M844" i="7"/>
  <c r="N844" i="7"/>
  <c r="X836" i="7"/>
  <c r="W836" i="7"/>
  <c r="V836" i="7"/>
  <c r="U836" i="7"/>
  <c r="T836" i="7"/>
  <c r="S836" i="7"/>
  <c r="Q836" i="7"/>
  <c r="R836" i="7"/>
  <c r="P836" i="7"/>
  <c r="O836" i="7"/>
  <c r="N836" i="7"/>
  <c r="M836" i="7"/>
  <c r="X828" i="7"/>
  <c r="W828" i="7"/>
  <c r="V828" i="7"/>
  <c r="U828" i="7"/>
  <c r="T828" i="7"/>
  <c r="S828" i="7"/>
  <c r="Q828" i="7"/>
  <c r="R828" i="7"/>
  <c r="P828" i="7"/>
  <c r="O828" i="7"/>
  <c r="M828" i="7"/>
  <c r="N828" i="7"/>
  <c r="X820" i="7"/>
  <c r="W820" i="7"/>
  <c r="V820" i="7"/>
  <c r="U820" i="7"/>
  <c r="T820" i="7"/>
  <c r="S820" i="7"/>
  <c r="Q820" i="7"/>
  <c r="R820" i="7"/>
  <c r="P820" i="7"/>
  <c r="O820" i="7"/>
  <c r="M820" i="7"/>
  <c r="N820" i="7"/>
  <c r="X812" i="7"/>
  <c r="W812" i="7"/>
  <c r="V812" i="7"/>
  <c r="U812" i="7"/>
  <c r="T812" i="7"/>
  <c r="S812" i="7"/>
  <c r="Q812" i="7"/>
  <c r="R812" i="7"/>
  <c r="P812" i="7"/>
  <c r="O812" i="7"/>
  <c r="M812" i="7"/>
  <c r="N812" i="7"/>
  <c r="X804" i="7"/>
  <c r="W804" i="7"/>
  <c r="V804" i="7"/>
  <c r="U804" i="7"/>
  <c r="T804" i="7"/>
  <c r="S804" i="7"/>
  <c r="Q804" i="7"/>
  <c r="R804" i="7"/>
  <c r="P804" i="7"/>
  <c r="O804" i="7"/>
  <c r="N804" i="7"/>
  <c r="M804" i="7"/>
  <c r="X796" i="7"/>
  <c r="W796" i="7"/>
  <c r="U796" i="7"/>
  <c r="V796" i="7"/>
  <c r="T796" i="7"/>
  <c r="S796" i="7"/>
  <c r="Q796" i="7"/>
  <c r="R796" i="7"/>
  <c r="P796" i="7"/>
  <c r="O796" i="7"/>
  <c r="M796" i="7"/>
  <c r="N796" i="7"/>
  <c r="X788" i="7"/>
  <c r="W788" i="7"/>
  <c r="V788" i="7"/>
  <c r="U788" i="7"/>
  <c r="T788" i="7"/>
  <c r="S788" i="7"/>
  <c r="Q788" i="7"/>
  <c r="R788" i="7"/>
  <c r="P788" i="7"/>
  <c r="O788" i="7"/>
  <c r="N788" i="7"/>
  <c r="M788" i="7"/>
  <c r="X780" i="7"/>
  <c r="W780" i="7"/>
  <c r="V780" i="7"/>
  <c r="U780" i="7"/>
  <c r="T780" i="7"/>
  <c r="S780" i="7"/>
  <c r="Q780" i="7"/>
  <c r="R780" i="7"/>
  <c r="P780" i="7"/>
  <c r="O780" i="7"/>
  <c r="M780" i="7"/>
  <c r="N780" i="7"/>
  <c r="X772" i="7"/>
  <c r="W772" i="7"/>
  <c r="U772" i="7"/>
  <c r="V772" i="7"/>
  <c r="T772" i="7"/>
  <c r="S772" i="7"/>
  <c r="Q772" i="7"/>
  <c r="R772" i="7"/>
  <c r="P772" i="7"/>
  <c r="O772" i="7"/>
  <c r="N772" i="7"/>
  <c r="M772" i="7"/>
  <c r="X764" i="7"/>
  <c r="W764" i="7"/>
  <c r="U764" i="7"/>
  <c r="V764" i="7"/>
  <c r="T764" i="7"/>
  <c r="S764" i="7"/>
  <c r="Q764" i="7"/>
  <c r="R764" i="7"/>
  <c r="P764" i="7"/>
  <c r="O764" i="7"/>
  <c r="M764" i="7"/>
  <c r="N764" i="7"/>
  <c r="X756" i="7"/>
  <c r="W756" i="7"/>
  <c r="V756" i="7"/>
  <c r="U756" i="7"/>
  <c r="T756" i="7"/>
  <c r="S756" i="7"/>
  <c r="Q756" i="7"/>
  <c r="R756" i="7"/>
  <c r="P756" i="7"/>
  <c r="O756" i="7"/>
  <c r="M756" i="7"/>
  <c r="N756" i="7"/>
  <c r="X748" i="7"/>
  <c r="W748" i="7"/>
  <c r="V748" i="7"/>
  <c r="U748" i="7"/>
  <c r="T748" i="7"/>
  <c r="S748" i="7"/>
  <c r="Q748" i="7"/>
  <c r="R748" i="7"/>
  <c r="P748" i="7"/>
  <c r="O748" i="7"/>
  <c r="M748" i="7"/>
  <c r="N748" i="7"/>
  <c r="X740" i="7"/>
  <c r="W740" i="7"/>
  <c r="U740" i="7"/>
  <c r="V740" i="7"/>
  <c r="T740" i="7"/>
  <c r="S740" i="7"/>
  <c r="Q740" i="7"/>
  <c r="R740" i="7"/>
  <c r="P740" i="7"/>
  <c r="O740" i="7"/>
  <c r="N740" i="7"/>
  <c r="M740" i="7"/>
  <c r="X732" i="7"/>
  <c r="W732" i="7"/>
  <c r="V732" i="7"/>
  <c r="U732" i="7"/>
  <c r="T732" i="7"/>
  <c r="S732" i="7"/>
  <c r="Q732" i="7"/>
  <c r="R732" i="7"/>
  <c r="P732" i="7"/>
  <c r="O732" i="7"/>
  <c r="M732" i="7"/>
  <c r="N732" i="7"/>
  <c r="X724" i="7"/>
  <c r="W724" i="7"/>
  <c r="V724" i="7"/>
  <c r="U724" i="7"/>
  <c r="T724" i="7"/>
  <c r="S724" i="7"/>
  <c r="Q724" i="7"/>
  <c r="R724" i="7"/>
  <c r="P724" i="7"/>
  <c r="O724" i="7"/>
  <c r="N724" i="7"/>
  <c r="M724" i="7"/>
  <c r="X716" i="7"/>
  <c r="W716" i="7"/>
  <c r="V716" i="7"/>
  <c r="U716" i="7"/>
  <c r="T716" i="7"/>
  <c r="S716" i="7"/>
  <c r="Q716" i="7"/>
  <c r="R716" i="7"/>
  <c r="P716" i="7"/>
  <c r="O716" i="7"/>
  <c r="M716" i="7"/>
  <c r="N716" i="7"/>
  <c r="X708" i="7"/>
  <c r="W708" i="7"/>
  <c r="V708" i="7"/>
  <c r="U708" i="7"/>
  <c r="T708" i="7"/>
  <c r="S708" i="7"/>
  <c r="Q708" i="7"/>
  <c r="R708" i="7"/>
  <c r="P708" i="7"/>
  <c r="O708" i="7"/>
  <c r="N708" i="7"/>
  <c r="M708" i="7"/>
  <c r="X700" i="7"/>
  <c r="W700" i="7"/>
  <c r="V700" i="7"/>
  <c r="U700" i="7"/>
  <c r="T700" i="7"/>
  <c r="S700" i="7"/>
  <c r="Q700" i="7"/>
  <c r="R700" i="7"/>
  <c r="P700" i="7"/>
  <c r="O700" i="7"/>
  <c r="M700" i="7"/>
  <c r="N700" i="7"/>
  <c r="X692" i="7"/>
  <c r="W692" i="7"/>
  <c r="V692" i="7"/>
  <c r="U692" i="7"/>
  <c r="T692" i="7"/>
  <c r="S692" i="7"/>
  <c r="Q692" i="7"/>
  <c r="R692" i="7"/>
  <c r="P692" i="7"/>
  <c r="O692" i="7"/>
  <c r="M692" i="7"/>
  <c r="N692" i="7"/>
  <c r="X684" i="7"/>
  <c r="W684" i="7"/>
  <c r="V684" i="7"/>
  <c r="U684" i="7"/>
  <c r="T684" i="7"/>
  <c r="S684" i="7"/>
  <c r="Q684" i="7"/>
  <c r="R684" i="7"/>
  <c r="P684" i="7"/>
  <c r="O684" i="7"/>
  <c r="M684" i="7"/>
  <c r="N684" i="7"/>
  <c r="X676" i="7"/>
  <c r="W676" i="7"/>
  <c r="V676" i="7"/>
  <c r="U676" i="7"/>
  <c r="T676" i="7"/>
  <c r="S676" i="7"/>
  <c r="Q676" i="7"/>
  <c r="R676" i="7"/>
  <c r="P676" i="7"/>
  <c r="O676" i="7"/>
  <c r="N676" i="7"/>
  <c r="M676" i="7"/>
  <c r="X668" i="7"/>
  <c r="W668" i="7"/>
  <c r="V668" i="7"/>
  <c r="U668" i="7"/>
  <c r="T668" i="7"/>
  <c r="S668" i="7"/>
  <c r="Q668" i="7"/>
  <c r="R668" i="7"/>
  <c r="P668" i="7"/>
  <c r="O668" i="7"/>
  <c r="M668" i="7"/>
  <c r="N668" i="7"/>
  <c r="X660" i="7"/>
  <c r="W660" i="7"/>
  <c r="V660" i="7"/>
  <c r="U660" i="7"/>
  <c r="T660" i="7"/>
  <c r="S660" i="7"/>
  <c r="Q660" i="7"/>
  <c r="R660" i="7"/>
  <c r="P660" i="7"/>
  <c r="O660" i="7"/>
  <c r="N660" i="7"/>
  <c r="M660" i="7"/>
  <c r="X652" i="7"/>
  <c r="W652" i="7"/>
  <c r="V652" i="7"/>
  <c r="U652" i="7"/>
  <c r="T652" i="7"/>
  <c r="S652" i="7"/>
  <c r="Q652" i="7"/>
  <c r="R652" i="7"/>
  <c r="P652" i="7"/>
  <c r="O652" i="7"/>
  <c r="N652" i="7"/>
  <c r="M652" i="7"/>
  <c r="X644" i="7"/>
  <c r="W644" i="7"/>
  <c r="V644" i="7"/>
  <c r="U644" i="7"/>
  <c r="T644" i="7"/>
  <c r="S644" i="7"/>
  <c r="Q644" i="7"/>
  <c r="R644" i="7"/>
  <c r="P644" i="7"/>
  <c r="O644" i="7"/>
  <c r="N644" i="7"/>
  <c r="M644" i="7"/>
  <c r="X636" i="7"/>
  <c r="W636" i="7"/>
  <c r="V636" i="7"/>
  <c r="U636" i="7"/>
  <c r="T636" i="7"/>
  <c r="S636" i="7"/>
  <c r="Q636" i="7"/>
  <c r="R636" i="7"/>
  <c r="P636" i="7"/>
  <c r="O636" i="7"/>
  <c r="M636" i="7"/>
  <c r="N636" i="7"/>
  <c r="X628" i="7"/>
  <c r="W628" i="7"/>
  <c r="V628" i="7"/>
  <c r="U628" i="7"/>
  <c r="T628" i="7"/>
  <c r="S628" i="7"/>
  <c r="Q628" i="7"/>
  <c r="R628" i="7"/>
  <c r="P628" i="7"/>
  <c r="O628" i="7"/>
  <c r="N628" i="7"/>
  <c r="M628" i="7"/>
  <c r="X620" i="7"/>
  <c r="W620" i="7"/>
  <c r="V620" i="7"/>
  <c r="U620" i="7"/>
  <c r="T620" i="7"/>
  <c r="S620" i="7"/>
  <c r="Q620" i="7"/>
  <c r="R620" i="7"/>
  <c r="P620" i="7"/>
  <c r="O620" i="7"/>
  <c r="M620" i="7"/>
  <c r="N620" i="7"/>
  <c r="X612" i="7"/>
  <c r="W612" i="7"/>
  <c r="V612" i="7"/>
  <c r="U612" i="7"/>
  <c r="T612" i="7"/>
  <c r="S612" i="7"/>
  <c r="Q612" i="7"/>
  <c r="R612" i="7"/>
  <c r="P612" i="7"/>
  <c r="O612" i="7"/>
  <c r="N612" i="7"/>
  <c r="M612" i="7"/>
  <c r="X604" i="7"/>
  <c r="W604" i="7"/>
  <c r="V604" i="7"/>
  <c r="U604" i="7"/>
  <c r="T604" i="7"/>
  <c r="S604" i="7"/>
  <c r="Q604" i="7"/>
  <c r="R604" i="7"/>
  <c r="P604" i="7"/>
  <c r="O604" i="7"/>
  <c r="M604" i="7"/>
  <c r="N604" i="7"/>
  <c r="X596" i="7"/>
  <c r="W596" i="7"/>
  <c r="V596" i="7"/>
  <c r="U596" i="7"/>
  <c r="T596" i="7"/>
  <c r="S596" i="7"/>
  <c r="Q596" i="7"/>
  <c r="R596" i="7"/>
  <c r="P596" i="7"/>
  <c r="O596" i="7"/>
  <c r="N596" i="7"/>
  <c r="M596" i="7"/>
  <c r="X588" i="7"/>
  <c r="W588" i="7"/>
  <c r="V588" i="7"/>
  <c r="U588" i="7"/>
  <c r="T588" i="7"/>
  <c r="S588" i="7"/>
  <c r="Q588" i="7"/>
  <c r="R588" i="7"/>
  <c r="P588" i="7"/>
  <c r="O588" i="7"/>
  <c r="N588" i="7"/>
  <c r="M588" i="7"/>
  <c r="X580" i="7"/>
  <c r="W580" i="7"/>
  <c r="V580" i="7"/>
  <c r="U580" i="7"/>
  <c r="T580" i="7"/>
  <c r="S580" i="7"/>
  <c r="Q580" i="7"/>
  <c r="R580" i="7"/>
  <c r="P580" i="7"/>
  <c r="O580" i="7"/>
  <c r="N580" i="7"/>
  <c r="M580" i="7"/>
  <c r="X572" i="7"/>
  <c r="V572" i="7"/>
  <c r="W572" i="7"/>
  <c r="U572" i="7"/>
  <c r="T572" i="7"/>
  <c r="S572" i="7"/>
  <c r="Q572" i="7"/>
  <c r="R572" i="7"/>
  <c r="P572" i="7"/>
  <c r="O572" i="7"/>
  <c r="M572" i="7"/>
  <c r="N572" i="7"/>
  <c r="X564" i="7"/>
  <c r="W564" i="7"/>
  <c r="V564" i="7"/>
  <c r="U564" i="7"/>
  <c r="S564" i="7"/>
  <c r="T564" i="7"/>
  <c r="Q564" i="7"/>
  <c r="R564" i="7"/>
  <c r="P564" i="7"/>
  <c r="O564" i="7"/>
  <c r="M564" i="7"/>
  <c r="N564" i="7"/>
  <c r="X556" i="7"/>
  <c r="W556" i="7"/>
  <c r="V556" i="7"/>
  <c r="U556" i="7"/>
  <c r="T556" i="7"/>
  <c r="S556" i="7"/>
  <c r="Q556" i="7"/>
  <c r="R556" i="7"/>
  <c r="P556" i="7"/>
  <c r="O556" i="7"/>
  <c r="N556" i="7"/>
  <c r="M556" i="7"/>
  <c r="X548" i="7"/>
  <c r="W548" i="7"/>
  <c r="V548" i="7"/>
  <c r="U548" i="7"/>
  <c r="T548" i="7"/>
  <c r="S548" i="7"/>
  <c r="Q548" i="7"/>
  <c r="R548" i="7"/>
  <c r="P548" i="7"/>
  <c r="O548" i="7"/>
  <c r="M548" i="7"/>
  <c r="N548" i="7"/>
  <c r="X540" i="7"/>
  <c r="W540" i="7"/>
  <c r="V540" i="7"/>
  <c r="U540" i="7"/>
  <c r="T540" i="7"/>
  <c r="S540" i="7"/>
  <c r="Q540" i="7"/>
  <c r="R540" i="7"/>
  <c r="P540" i="7"/>
  <c r="O540" i="7"/>
  <c r="M540" i="7"/>
  <c r="N540" i="7"/>
  <c r="W532" i="7"/>
  <c r="X532" i="7"/>
  <c r="V532" i="7"/>
  <c r="U532" i="7"/>
  <c r="T532" i="7"/>
  <c r="S532" i="7"/>
  <c r="Q532" i="7"/>
  <c r="R532" i="7"/>
  <c r="P532" i="7"/>
  <c r="O532" i="7"/>
  <c r="M532" i="7"/>
  <c r="N532" i="7"/>
  <c r="X524" i="7"/>
  <c r="W524" i="7"/>
  <c r="V524" i="7"/>
  <c r="U524" i="7"/>
  <c r="T524" i="7"/>
  <c r="S524" i="7"/>
  <c r="Q524" i="7"/>
  <c r="R524" i="7"/>
  <c r="P524" i="7"/>
  <c r="O524" i="7"/>
  <c r="M524" i="7"/>
  <c r="N524" i="7"/>
  <c r="X516" i="7"/>
  <c r="W516" i="7"/>
  <c r="V516" i="7"/>
  <c r="U516" i="7"/>
  <c r="T516" i="7"/>
  <c r="S516" i="7"/>
  <c r="Q516" i="7"/>
  <c r="R516" i="7"/>
  <c r="P516" i="7"/>
  <c r="O516" i="7"/>
  <c r="M516" i="7"/>
  <c r="N516" i="7"/>
  <c r="X508" i="7"/>
  <c r="W508" i="7"/>
  <c r="V508" i="7"/>
  <c r="U508" i="7"/>
  <c r="T508" i="7"/>
  <c r="R508" i="7"/>
  <c r="S508" i="7"/>
  <c r="Q508" i="7"/>
  <c r="P508" i="7"/>
  <c r="O508" i="7"/>
  <c r="M508" i="7"/>
  <c r="N508" i="7"/>
  <c r="X500" i="7"/>
  <c r="W500" i="7"/>
  <c r="V500" i="7"/>
  <c r="U500" i="7"/>
  <c r="T500" i="7"/>
  <c r="S500" i="7"/>
  <c r="R500" i="7"/>
  <c r="Q500" i="7"/>
  <c r="P500" i="7"/>
  <c r="O500" i="7"/>
  <c r="M500" i="7"/>
  <c r="N500" i="7"/>
  <c r="X492" i="7"/>
  <c r="W492" i="7"/>
  <c r="V492" i="7"/>
  <c r="U492" i="7"/>
  <c r="T492" i="7"/>
  <c r="S492" i="7"/>
  <c r="R492" i="7"/>
  <c r="Q492" i="7"/>
  <c r="P492" i="7"/>
  <c r="O492" i="7"/>
  <c r="M492" i="7"/>
  <c r="N492" i="7"/>
  <c r="X484" i="7"/>
  <c r="W484" i="7"/>
  <c r="V484" i="7"/>
  <c r="U484" i="7"/>
  <c r="T484" i="7"/>
  <c r="S484" i="7"/>
  <c r="Q484" i="7"/>
  <c r="R484" i="7"/>
  <c r="O484" i="7"/>
  <c r="P484" i="7"/>
  <c r="M484" i="7"/>
  <c r="N484" i="7"/>
  <c r="X476" i="7"/>
  <c r="W476" i="7"/>
  <c r="V476" i="7"/>
  <c r="U476" i="7"/>
  <c r="T476" i="7"/>
  <c r="R476" i="7"/>
  <c r="S476" i="7"/>
  <c r="Q476" i="7"/>
  <c r="O476" i="7"/>
  <c r="P476" i="7"/>
  <c r="M476" i="7"/>
  <c r="N476" i="7"/>
  <c r="X468" i="7"/>
  <c r="W468" i="7"/>
  <c r="V468" i="7"/>
  <c r="U468" i="7"/>
  <c r="T468" i="7"/>
  <c r="S468" i="7"/>
  <c r="R468" i="7"/>
  <c r="Q468" i="7"/>
  <c r="O468" i="7"/>
  <c r="P468" i="7"/>
  <c r="M468" i="7"/>
  <c r="N468" i="7"/>
  <c r="X460" i="7"/>
  <c r="W460" i="7"/>
  <c r="V460" i="7"/>
  <c r="U460" i="7"/>
  <c r="T460" i="7"/>
  <c r="S460" i="7"/>
  <c r="R460" i="7"/>
  <c r="Q460" i="7"/>
  <c r="O460" i="7"/>
  <c r="P460" i="7"/>
  <c r="M460" i="7"/>
  <c r="N460" i="7"/>
  <c r="X452" i="7"/>
  <c r="W452" i="7"/>
  <c r="V452" i="7"/>
  <c r="U452" i="7"/>
  <c r="S452" i="7"/>
  <c r="T452" i="7"/>
  <c r="Q452" i="7"/>
  <c r="R452" i="7"/>
  <c r="O452" i="7"/>
  <c r="P452" i="7"/>
  <c r="M452" i="7"/>
  <c r="N452" i="7"/>
  <c r="X444" i="7"/>
  <c r="W444" i="7"/>
  <c r="V444" i="7"/>
  <c r="U444" i="7"/>
  <c r="T444" i="7"/>
  <c r="R444" i="7"/>
  <c r="S444" i="7"/>
  <c r="Q444" i="7"/>
  <c r="O444" i="7"/>
  <c r="P444" i="7"/>
  <c r="M444" i="7"/>
  <c r="N444" i="7"/>
  <c r="X436" i="7"/>
  <c r="W436" i="7"/>
  <c r="V436" i="7"/>
  <c r="U436" i="7"/>
  <c r="T436" i="7"/>
  <c r="S436" i="7"/>
  <c r="R436" i="7"/>
  <c r="Q436" i="7"/>
  <c r="O436" i="7"/>
  <c r="P436" i="7"/>
  <c r="M436" i="7"/>
  <c r="N436" i="7"/>
  <c r="X428" i="7"/>
  <c r="W428" i="7"/>
  <c r="V428" i="7"/>
  <c r="U428" i="7"/>
  <c r="T428" i="7"/>
  <c r="S428" i="7"/>
  <c r="R428" i="7"/>
  <c r="Q428" i="7"/>
  <c r="O428" i="7"/>
  <c r="P428" i="7"/>
  <c r="M428" i="7"/>
  <c r="N428" i="7"/>
  <c r="W420" i="7"/>
  <c r="X420" i="7"/>
  <c r="V420" i="7"/>
  <c r="U420" i="7"/>
  <c r="S420" i="7"/>
  <c r="T420" i="7"/>
  <c r="Q420" i="7"/>
  <c r="R420" i="7"/>
  <c r="O420" i="7"/>
  <c r="P420" i="7"/>
  <c r="M420" i="7"/>
  <c r="N420" i="7"/>
  <c r="X412" i="7"/>
  <c r="W412" i="7"/>
  <c r="V412" i="7"/>
  <c r="U412" i="7"/>
  <c r="T412" i="7"/>
  <c r="R412" i="7"/>
  <c r="S412" i="7"/>
  <c r="Q412" i="7"/>
  <c r="O412" i="7"/>
  <c r="P412" i="7"/>
  <c r="M412" i="7"/>
  <c r="N412" i="7"/>
  <c r="X404" i="7"/>
  <c r="W404" i="7"/>
  <c r="V404" i="7"/>
  <c r="U404" i="7"/>
  <c r="T404" i="7"/>
  <c r="R404" i="7"/>
  <c r="Q404" i="7"/>
  <c r="S404" i="7"/>
  <c r="O404" i="7"/>
  <c r="P404" i="7"/>
  <c r="M404" i="7"/>
  <c r="N404" i="7"/>
  <c r="X396" i="7"/>
  <c r="W396" i="7"/>
  <c r="V396" i="7"/>
  <c r="U396" i="7"/>
  <c r="S396" i="7"/>
  <c r="T396" i="7"/>
  <c r="R396" i="7"/>
  <c r="Q396" i="7"/>
  <c r="O396" i="7"/>
  <c r="P396" i="7"/>
  <c r="M396" i="7"/>
  <c r="N396" i="7"/>
  <c r="X388" i="7"/>
  <c r="W388" i="7"/>
  <c r="V388" i="7"/>
  <c r="U388" i="7"/>
  <c r="T388" i="7"/>
  <c r="S388" i="7"/>
  <c r="Q388" i="7"/>
  <c r="R388" i="7"/>
  <c r="O388" i="7"/>
  <c r="P388" i="7"/>
  <c r="M388" i="7"/>
  <c r="N388" i="7"/>
  <c r="X380" i="7"/>
  <c r="W380" i="7"/>
  <c r="V380" i="7"/>
  <c r="U380" i="7"/>
  <c r="T380" i="7"/>
  <c r="R380" i="7"/>
  <c r="S380" i="7"/>
  <c r="Q380" i="7"/>
  <c r="O380" i="7"/>
  <c r="P380" i="7"/>
  <c r="M380" i="7"/>
  <c r="N380" i="7"/>
  <c r="X372" i="7"/>
  <c r="W372" i="7"/>
  <c r="V372" i="7"/>
  <c r="U372" i="7"/>
  <c r="T372" i="7"/>
  <c r="R372" i="7"/>
  <c r="Q372" i="7"/>
  <c r="S372" i="7"/>
  <c r="O372" i="7"/>
  <c r="P372" i="7"/>
  <c r="M372" i="7"/>
  <c r="N372" i="7"/>
  <c r="X364" i="7"/>
  <c r="W364" i="7"/>
  <c r="V364" i="7"/>
  <c r="U364" i="7"/>
  <c r="S364" i="7"/>
  <c r="R364" i="7"/>
  <c r="T364" i="7"/>
  <c r="Q364" i="7"/>
  <c r="O364" i="7"/>
  <c r="P364" i="7"/>
  <c r="M364" i="7"/>
  <c r="N364" i="7"/>
  <c r="X356" i="7"/>
  <c r="W356" i="7"/>
  <c r="V356" i="7"/>
  <c r="U356" i="7"/>
  <c r="T356" i="7"/>
  <c r="R356" i="7"/>
  <c r="S356" i="7"/>
  <c r="Q356" i="7"/>
  <c r="O356" i="7"/>
  <c r="P356" i="7"/>
  <c r="M356" i="7"/>
  <c r="N356" i="7"/>
  <c r="X348" i="7"/>
  <c r="W348" i="7"/>
  <c r="V348" i="7"/>
  <c r="U348" i="7"/>
  <c r="T348" i="7"/>
  <c r="R348" i="7"/>
  <c r="Q348" i="7"/>
  <c r="S348" i="7"/>
  <c r="O348" i="7"/>
  <c r="P348" i="7"/>
  <c r="M348" i="7"/>
  <c r="N348" i="7"/>
  <c r="X340" i="7"/>
  <c r="W340" i="7"/>
  <c r="V340" i="7"/>
  <c r="U340" i="7"/>
  <c r="R340" i="7"/>
  <c r="S340" i="7"/>
  <c r="Q340" i="7"/>
  <c r="T340" i="7"/>
  <c r="O340" i="7"/>
  <c r="P340" i="7"/>
  <c r="M340" i="7"/>
  <c r="N340" i="7"/>
  <c r="X332" i="7"/>
  <c r="W332" i="7"/>
  <c r="V332" i="7"/>
  <c r="U332" i="7"/>
  <c r="S332" i="7"/>
  <c r="R332" i="7"/>
  <c r="T332" i="7"/>
  <c r="Q332" i="7"/>
  <c r="O332" i="7"/>
  <c r="P332" i="7"/>
  <c r="M332" i="7"/>
  <c r="N332" i="7"/>
  <c r="X324" i="7"/>
  <c r="W324" i="7"/>
  <c r="V324" i="7"/>
  <c r="U324" i="7"/>
  <c r="T324" i="7"/>
  <c r="R324" i="7"/>
  <c r="S324" i="7"/>
  <c r="Q324" i="7"/>
  <c r="O324" i="7"/>
  <c r="P324" i="7"/>
  <c r="M324" i="7"/>
  <c r="N324" i="7"/>
  <c r="X316" i="7"/>
  <c r="W316" i="7"/>
  <c r="V316" i="7"/>
  <c r="U316" i="7"/>
  <c r="T316" i="7"/>
  <c r="R316" i="7"/>
  <c r="Q316" i="7"/>
  <c r="S316" i="7"/>
  <c r="O316" i="7"/>
  <c r="P316" i="7"/>
  <c r="M316" i="7"/>
  <c r="N316" i="7"/>
  <c r="X308" i="7"/>
  <c r="W308" i="7"/>
  <c r="V308" i="7"/>
  <c r="U308" i="7"/>
  <c r="R308" i="7"/>
  <c r="T308" i="7"/>
  <c r="S308" i="7"/>
  <c r="Q308" i="7"/>
  <c r="O308" i="7"/>
  <c r="P308" i="7"/>
  <c r="M308" i="7"/>
  <c r="N308" i="7"/>
  <c r="X300" i="7"/>
  <c r="V300" i="7"/>
  <c r="W300" i="7"/>
  <c r="U300" i="7"/>
  <c r="S300" i="7"/>
  <c r="T300" i="7"/>
  <c r="R300" i="7"/>
  <c r="Q300" i="7"/>
  <c r="O300" i="7"/>
  <c r="P300" i="7"/>
  <c r="M300" i="7"/>
  <c r="N300" i="7"/>
  <c r="X292" i="7"/>
  <c r="W292" i="7"/>
  <c r="V292" i="7"/>
  <c r="U292" i="7"/>
  <c r="T292" i="7"/>
  <c r="R292" i="7"/>
  <c r="S292" i="7"/>
  <c r="Q292" i="7"/>
  <c r="O292" i="7"/>
  <c r="P292" i="7"/>
  <c r="M292" i="7"/>
  <c r="N292" i="7"/>
  <c r="X284" i="7"/>
  <c r="W284" i="7"/>
  <c r="V284" i="7"/>
  <c r="U284" i="7"/>
  <c r="T284" i="7"/>
  <c r="R284" i="7"/>
  <c r="S284" i="7"/>
  <c r="Q284" i="7"/>
  <c r="O284" i="7"/>
  <c r="P284" i="7"/>
  <c r="M284" i="7"/>
  <c r="N284" i="7"/>
  <c r="X276" i="7"/>
  <c r="W276" i="7"/>
  <c r="V276" i="7"/>
  <c r="U276" i="7"/>
  <c r="R276" i="7"/>
  <c r="T276" i="7"/>
  <c r="S276" i="7"/>
  <c r="Q276" i="7"/>
  <c r="O276" i="7"/>
  <c r="P276" i="7"/>
  <c r="M276" i="7"/>
  <c r="N276" i="7"/>
  <c r="X268" i="7"/>
  <c r="W268" i="7"/>
  <c r="V268" i="7"/>
  <c r="U268" i="7"/>
  <c r="T268" i="7"/>
  <c r="S268" i="7"/>
  <c r="R268" i="7"/>
  <c r="Q268" i="7"/>
  <c r="O268" i="7"/>
  <c r="P268" i="7"/>
  <c r="M268" i="7"/>
  <c r="N268" i="7"/>
  <c r="X260" i="7"/>
  <c r="W260" i="7"/>
  <c r="V260" i="7"/>
  <c r="U260" i="7"/>
  <c r="T260" i="7"/>
  <c r="R260" i="7"/>
  <c r="S260" i="7"/>
  <c r="Q260" i="7"/>
  <c r="O260" i="7"/>
  <c r="P260" i="7"/>
  <c r="M260" i="7"/>
  <c r="N260" i="7"/>
  <c r="X252" i="7"/>
  <c r="W252" i="7"/>
  <c r="V252" i="7"/>
  <c r="U252" i="7"/>
  <c r="T252" i="7"/>
  <c r="R252" i="7"/>
  <c r="S252" i="7"/>
  <c r="Q252" i="7"/>
  <c r="O252" i="7"/>
  <c r="P252" i="7"/>
  <c r="M252" i="7"/>
  <c r="N252" i="7"/>
  <c r="X244" i="7"/>
  <c r="W244" i="7"/>
  <c r="V244" i="7"/>
  <c r="U244" i="7"/>
  <c r="T244" i="7"/>
  <c r="R244" i="7"/>
  <c r="S244" i="7"/>
  <c r="Q244" i="7"/>
  <c r="O244" i="7"/>
  <c r="P244" i="7"/>
  <c r="M244" i="7"/>
  <c r="N244" i="7"/>
  <c r="X236" i="7"/>
  <c r="W236" i="7"/>
  <c r="V236" i="7"/>
  <c r="U236" i="7"/>
  <c r="T236" i="7"/>
  <c r="S236" i="7"/>
  <c r="R236" i="7"/>
  <c r="Q236" i="7"/>
  <c r="O236" i="7"/>
  <c r="P236" i="7"/>
  <c r="M236" i="7"/>
  <c r="N236" i="7"/>
  <c r="X228" i="7"/>
  <c r="W228" i="7"/>
  <c r="V228" i="7"/>
  <c r="U228" i="7"/>
  <c r="T228" i="7"/>
  <c r="R228" i="7"/>
  <c r="S228" i="7"/>
  <c r="Q228" i="7"/>
  <c r="O228" i="7"/>
  <c r="P228" i="7"/>
  <c r="M228" i="7"/>
  <c r="N228" i="7"/>
  <c r="X220" i="7"/>
  <c r="W220" i="7"/>
  <c r="V220" i="7"/>
  <c r="U220" i="7"/>
  <c r="R220" i="7"/>
  <c r="T220" i="7"/>
  <c r="S220" i="7"/>
  <c r="Q220" i="7"/>
  <c r="O220" i="7"/>
  <c r="P220" i="7"/>
  <c r="M220" i="7"/>
  <c r="N220" i="7"/>
  <c r="X212" i="7"/>
  <c r="W212" i="7"/>
  <c r="V212" i="7"/>
  <c r="U212" i="7"/>
  <c r="T212" i="7"/>
  <c r="R212" i="7"/>
  <c r="S212" i="7"/>
  <c r="Q212" i="7"/>
  <c r="O212" i="7"/>
  <c r="P212" i="7"/>
  <c r="M212" i="7"/>
  <c r="N212" i="7"/>
  <c r="X204" i="7"/>
  <c r="W204" i="7"/>
  <c r="V204" i="7"/>
  <c r="U204" i="7"/>
  <c r="T204" i="7"/>
  <c r="S204" i="7"/>
  <c r="R204" i="7"/>
  <c r="Q204" i="7"/>
  <c r="O204" i="7"/>
  <c r="P204" i="7"/>
  <c r="M204" i="7"/>
  <c r="N204" i="7"/>
  <c r="X196" i="7"/>
  <c r="V196" i="7"/>
  <c r="U196" i="7"/>
  <c r="W196" i="7"/>
  <c r="T196" i="7"/>
  <c r="R196" i="7"/>
  <c r="S196" i="7"/>
  <c r="Q196" i="7"/>
  <c r="O196" i="7"/>
  <c r="P196" i="7"/>
  <c r="M196" i="7"/>
  <c r="N196" i="7"/>
  <c r="X188" i="7"/>
  <c r="W188" i="7"/>
  <c r="V188" i="7"/>
  <c r="U188" i="7"/>
  <c r="R188" i="7"/>
  <c r="T188" i="7"/>
  <c r="S188" i="7"/>
  <c r="Q188" i="7"/>
  <c r="O188" i="7"/>
  <c r="P188" i="7"/>
  <c r="M188" i="7"/>
  <c r="N188" i="7"/>
  <c r="X180" i="7"/>
  <c r="W180" i="7"/>
  <c r="V180" i="7"/>
  <c r="U180" i="7"/>
  <c r="T180" i="7"/>
  <c r="R180" i="7"/>
  <c r="S180" i="7"/>
  <c r="Q180" i="7"/>
  <c r="O180" i="7"/>
  <c r="P180" i="7"/>
  <c r="M180" i="7"/>
  <c r="N180" i="7"/>
  <c r="X172" i="7"/>
  <c r="W172" i="7"/>
  <c r="V172" i="7"/>
  <c r="U172" i="7"/>
  <c r="T172" i="7"/>
  <c r="R172" i="7"/>
  <c r="S172" i="7"/>
  <c r="Q172" i="7"/>
  <c r="O172" i="7"/>
  <c r="P172" i="7"/>
  <c r="M172" i="7"/>
  <c r="N172" i="7"/>
  <c r="X164" i="7"/>
  <c r="W164" i="7"/>
  <c r="V164" i="7"/>
  <c r="U164" i="7"/>
  <c r="T164" i="7"/>
  <c r="S164" i="7"/>
  <c r="R164" i="7"/>
  <c r="Q164" i="7"/>
  <c r="O164" i="7"/>
  <c r="P164" i="7"/>
  <c r="M164" i="7"/>
  <c r="N164" i="7"/>
  <c r="X156" i="7"/>
  <c r="W156" i="7"/>
  <c r="V156" i="7"/>
  <c r="U156" i="7"/>
  <c r="S156" i="7"/>
  <c r="R156" i="7"/>
  <c r="T156" i="7"/>
  <c r="Q156" i="7"/>
  <c r="O156" i="7"/>
  <c r="P156" i="7"/>
  <c r="M156" i="7"/>
  <c r="N156" i="7"/>
  <c r="X148" i="7"/>
  <c r="W148" i="7"/>
  <c r="V148" i="7"/>
  <c r="U148" i="7"/>
  <c r="T148" i="7"/>
  <c r="R148" i="7"/>
  <c r="S148" i="7"/>
  <c r="Q148" i="7"/>
  <c r="O148" i="7"/>
  <c r="P148" i="7"/>
  <c r="M148" i="7"/>
  <c r="N148" i="7"/>
  <c r="X140" i="7"/>
  <c r="W140" i="7"/>
  <c r="V140" i="7"/>
  <c r="U140" i="7"/>
  <c r="T140" i="7"/>
  <c r="R140" i="7"/>
  <c r="Q140" i="7"/>
  <c r="S140" i="7"/>
  <c r="O140" i="7"/>
  <c r="P140" i="7"/>
  <c r="M140" i="7"/>
  <c r="N140" i="7"/>
  <c r="X132" i="7"/>
  <c r="W132" i="7"/>
  <c r="V132" i="7"/>
  <c r="U132" i="7"/>
  <c r="T132" i="7"/>
  <c r="S132" i="7"/>
  <c r="R132" i="7"/>
  <c r="Q132" i="7"/>
  <c r="O132" i="7"/>
  <c r="P132" i="7"/>
  <c r="M132" i="7"/>
  <c r="N132" i="7"/>
  <c r="X124" i="7"/>
  <c r="W124" i="7"/>
  <c r="V124" i="7"/>
  <c r="U124" i="7"/>
  <c r="T124" i="7"/>
  <c r="R124" i="7"/>
  <c r="S124" i="7"/>
  <c r="Q124" i="7"/>
  <c r="O124" i="7"/>
  <c r="P124" i="7"/>
  <c r="M124" i="7"/>
  <c r="N124" i="7"/>
  <c r="X116" i="7"/>
  <c r="W116" i="7"/>
  <c r="V116" i="7"/>
  <c r="U116" i="7"/>
  <c r="T116" i="7"/>
  <c r="R116" i="7"/>
  <c r="S116" i="7"/>
  <c r="Q116" i="7"/>
  <c r="O116" i="7"/>
  <c r="P116" i="7"/>
  <c r="M116" i="7"/>
  <c r="N116" i="7"/>
  <c r="X108" i="7"/>
  <c r="W108" i="7"/>
  <c r="V108" i="7"/>
  <c r="U108" i="7"/>
  <c r="T108" i="7"/>
  <c r="R108" i="7"/>
  <c r="S108" i="7"/>
  <c r="Q108" i="7"/>
  <c r="O108" i="7"/>
  <c r="P108" i="7"/>
  <c r="M108" i="7"/>
  <c r="N108" i="7"/>
  <c r="X100" i="7"/>
  <c r="W100" i="7"/>
  <c r="V100" i="7"/>
  <c r="U100" i="7"/>
  <c r="T100" i="7"/>
  <c r="S100" i="7"/>
  <c r="R100" i="7"/>
  <c r="Q100" i="7"/>
  <c r="O100" i="7"/>
  <c r="P100" i="7"/>
  <c r="M100" i="7"/>
  <c r="N100" i="7"/>
  <c r="X92" i="7"/>
  <c r="W92" i="7"/>
  <c r="V92" i="7"/>
  <c r="U92" i="7"/>
  <c r="T92" i="7"/>
  <c r="S92" i="7"/>
  <c r="R92" i="7"/>
  <c r="Q92" i="7"/>
  <c r="O92" i="7"/>
  <c r="P92" i="7"/>
  <c r="M92" i="7"/>
  <c r="N92" i="7"/>
  <c r="X84" i="7"/>
  <c r="W84" i="7"/>
  <c r="V84" i="7"/>
  <c r="U84" i="7"/>
  <c r="T84" i="7"/>
  <c r="R84" i="7"/>
  <c r="S84" i="7"/>
  <c r="Q84" i="7"/>
  <c r="O84" i="7"/>
  <c r="P84" i="7"/>
  <c r="M84" i="7"/>
  <c r="N84" i="7"/>
  <c r="X76" i="7"/>
  <c r="W76" i="7"/>
  <c r="V76" i="7"/>
  <c r="U76" i="7"/>
  <c r="T76" i="7"/>
  <c r="R76" i="7"/>
  <c r="S76" i="7"/>
  <c r="Q76" i="7"/>
  <c r="O76" i="7"/>
  <c r="P76" i="7"/>
  <c r="M76" i="7"/>
  <c r="N76" i="7"/>
  <c r="X68" i="7"/>
  <c r="W68" i="7"/>
  <c r="V68" i="7"/>
  <c r="U68" i="7"/>
  <c r="T68" i="7"/>
  <c r="S68" i="7"/>
  <c r="R68" i="7"/>
  <c r="Q68" i="7"/>
  <c r="O68" i="7"/>
  <c r="P68" i="7"/>
  <c r="M68" i="7"/>
  <c r="N68" i="7"/>
  <c r="X60" i="7"/>
  <c r="W60" i="7"/>
  <c r="V60" i="7"/>
  <c r="U60" i="7"/>
  <c r="T60" i="7"/>
  <c r="R60" i="7"/>
  <c r="S60" i="7"/>
  <c r="Q60" i="7"/>
  <c r="O60" i="7"/>
  <c r="P60" i="7"/>
  <c r="M60" i="7"/>
  <c r="N60" i="7"/>
  <c r="X52" i="7"/>
  <c r="W52" i="7"/>
  <c r="V52" i="7"/>
  <c r="U52" i="7"/>
  <c r="T52" i="7"/>
  <c r="R52" i="7"/>
  <c r="S52" i="7"/>
  <c r="Q52" i="7"/>
  <c r="O52" i="7"/>
  <c r="P52" i="7"/>
  <c r="M52" i="7"/>
  <c r="N52" i="7"/>
  <c r="X44" i="7"/>
  <c r="W44" i="7"/>
  <c r="V44" i="7"/>
  <c r="T44" i="7"/>
  <c r="U44" i="7"/>
  <c r="R44" i="7"/>
  <c r="S44" i="7"/>
  <c r="Q44" i="7"/>
  <c r="O44" i="7"/>
  <c r="P44" i="7"/>
  <c r="M44" i="7"/>
  <c r="N44" i="7"/>
  <c r="X36" i="7"/>
  <c r="W36" i="7"/>
  <c r="V36" i="7"/>
  <c r="U36" i="7"/>
  <c r="T36" i="7"/>
  <c r="S36" i="7"/>
  <c r="R36" i="7"/>
  <c r="Q36" i="7"/>
  <c r="O36" i="7"/>
  <c r="P36" i="7"/>
  <c r="M36" i="7"/>
  <c r="N36" i="7"/>
  <c r="X28" i="7"/>
  <c r="W28" i="7"/>
  <c r="V28" i="7"/>
  <c r="U28" i="7"/>
  <c r="T28" i="7"/>
  <c r="S28" i="7"/>
  <c r="R28" i="7"/>
  <c r="Q28" i="7"/>
  <c r="O28" i="7"/>
  <c r="P28" i="7"/>
  <c r="M28" i="7"/>
  <c r="N28" i="7"/>
  <c r="X20" i="7"/>
  <c r="W20" i="7"/>
  <c r="V20" i="7"/>
  <c r="U20" i="7"/>
  <c r="T20" i="7"/>
  <c r="R20" i="7"/>
  <c r="S20" i="7"/>
  <c r="Q20" i="7"/>
  <c r="O20" i="7"/>
  <c r="P20" i="7"/>
  <c r="M20" i="7"/>
  <c r="N20" i="7"/>
  <c r="X12" i="7"/>
  <c r="W12" i="7"/>
  <c r="V12" i="7"/>
  <c r="U12" i="7"/>
  <c r="T12" i="7"/>
  <c r="R12" i="7"/>
  <c r="S12" i="7"/>
  <c r="Q12" i="7"/>
  <c r="P12" i="7"/>
  <c r="O12" i="7"/>
  <c r="M12" i="7"/>
  <c r="N12" i="7"/>
  <c r="X1170" i="7"/>
  <c r="W1170" i="7"/>
  <c r="U1170" i="7"/>
  <c r="V1170" i="7"/>
  <c r="T1170" i="7"/>
  <c r="S1170" i="7"/>
  <c r="R1170" i="7"/>
  <c r="Q1170" i="7"/>
  <c r="P1170" i="7"/>
  <c r="M1170" i="7"/>
  <c r="N1170" i="7"/>
  <c r="O1170" i="7"/>
  <c r="X1098" i="7"/>
  <c r="W1098" i="7"/>
  <c r="V1098" i="7"/>
  <c r="U1098" i="7"/>
  <c r="T1098" i="7"/>
  <c r="S1098" i="7"/>
  <c r="R1098" i="7"/>
  <c r="P1098" i="7"/>
  <c r="Q1098" i="7"/>
  <c r="O1098" i="7"/>
  <c r="M1098" i="7"/>
  <c r="N1098" i="7"/>
  <c r="X1066" i="7"/>
  <c r="W1066" i="7"/>
  <c r="V1066" i="7"/>
  <c r="U1066" i="7"/>
  <c r="T1066" i="7"/>
  <c r="S1066" i="7"/>
  <c r="R1066" i="7"/>
  <c r="P1066" i="7"/>
  <c r="Q1066" i="7"/>
  <c r="O1066" i="7"/>
  <c r="M1066" i="7"/>
  <c r="N1066" i="7"/>
  <c r="X1010" i="7"/>
  <c r="W1010" i="7"/>
  <c r="U1010" i="7"/>
  <c r="V1010" i="7"/>
  <c r="T1010" i="7"/>
  <c r="S1010" i="7"/>
  <c r="R1010" i="7"/>
  <c r="P1010" i="7"/>
  <c r="Q1010" i="7"/>
  <c r="M1010" i="7"/>
  <c r="N1010" i="7"/>
  <c r="O1010" i="7"/>
  <c r="X986" i="7"/>
  <c r="W986" i="7"/>
  <c r="U986" i="7"/>
  <c r="V986" i="7"/>
  <c r="T986" i="7"/>
  <c r="S986" i="7"/>
  <c r="R986" i="7"/>
  <c r="P986" i="7"/>
  <c r="Q986" i="7"/>
  <c r="M986" i="7"/>
  <c r="O986" i="7"/>
  <c r="N986" i="7"/>
  <c r="X970" i="7"/>
  <c r="W970" i="7"/>
  <c r="V970" i="7"/>
  <c r="U970" i="7"/>
  <c r="T970" i="7"/>
  <c r="S970" i="7"/>
  <c r="R970" i="7"/>
  <c r="P970" i="7"/>
  <c r="Q970" i="7"/>
  <c r="M970" i="7"/>
  <c r="N970" i="7"/>
  <c r="O970" i="7"/>
  <c r="X914" i="7"/>
  <c r="W914" i="7"/>
  <c r="V914" i="7"/>
  <c r="U914" i="7"/>
  <c r="T914" i="7"/>
  <c r="S914" i="7"/>
  <c r="R914" i="7"/>
  <c r="Q914" i="7"/>
  <c r="P914" i="7"/>
  <c r="O914" i="7"/>
  <c r="M914" i="7"/>
  <c r="N914" i="7"/>
  <c r="X890" i="7"/>
  <c r="W890" i="7"/>
  <c r="U890" i="7"/>
  <c r="T890" i="7"/>
  <c r="V890" i="7"/>
  <c r="S890" i="7"/>
  <c r="R890" i="7"/>
  <c r="Q890" i="7"/>
  <c r="P890" i="7"/>
  <c r="O890" i="7"/>
  <c r="M890" i="7"/>
  <c r="N890" i="7"/>
  <c r="X874" i="7"/>
  <c r="V874" i="7"/>
  <c r="W874" i="7"/>
  <c r="U874" i="7"/>
  <c r="T874" i="7"/>
  <c r="S874" i="7"/>
  <c r="R874" i="7"/>
  <c r="Q874" i="7"/>
  <c r="P874" i="7"/>
  <c r="O874" i="7"/>
  <c r="M874" i="7"/>
  <c r="N874" i="7"/>
  <c r="X858" i="7"/>
  <c r="W858" i="7"/>
  <c r="U858" i="7"/>
  <c r="V858" i="7"/>
  <c r="T858" i="7"/>
  <c r="S858" i="7"/>
  <c r="R858" i="7"/>
  <c r="P858" i="7"/>
  <c r="Q858" i="7"/>
  <c r="O858" i="7"/>
  <c r="M858" i="7"/>
  <c r="N858" i="7"/>
  <c r="X810" i="7"/>
  <c r="W810" i="7"/>
  <c r="V810" i="7"/>
  <c r="U810" i="7"/>
  <c r="T810" i="7"/>
  <c r="S810" i="7"/>
  <c r="R810" i="7"/>
  <c r="Q810" i="7"/>
  <c r="P810" i="7"/>
  <c r="O810" i="7"/>
  <c r="M810" i="7"/>
  <c r="N810" i="7"/>
  <c r="X714" i="7"/>
  <c r="W714" i="7"/>
  <c r="U714" i="7"/>
  <c r="T714" i="7"/>
  <c r="V714" i="7"/>
  <c r="S714" i="7"/>
  <c r="R714" i="7"/>
  <c r="P714" i="7"/>
  <c r="Q714" i="7"/>
  <c r="O714" i="7"/>
  <c r="M714" i="7"/>
  <c r="N714" i="7"/>
  <c r="X682" i="7"/>
  <c r="W682" i="7"/>
  <c r="V682" i="7"/>
  <c r="U682" i="7"/>
  <c r="T682" i="7"/>
  <c r="S682" i="7"/>
  <c r="R682" i="7"/>
  <c r="P682" i="7"/>
  <c r="Q682" i="7"/>
  <c r="O682" i="7"/>
  <c r="M682" i="7"/>
  <c r="N682" i="7"/>
  <c r="X674" i="7"/>
  <c r="W674" i="7"/>
  <c r="V674" i="7"/>
  <c r="U674" i="7"/>
  <c r="T674" i="7"/>
  <c r="S674" i="7"/>
  <c r="R674" i="7"/>
  <c r="Q674" i="7"/>
  <c r="P674" i="7"/>
  <c r="M674" i="7"/>
  <c r="N674" i="7"/>
  <c r="O674" i="7"/>
  <c r="X618" i="7"/>
  <c r="W618" i="7"/>
  <c r="U618" i="7"/>
  <c r="V618" i="7"/>
  <c r="T618" i="7"/>
  <c r="S618" i="7"/>
  <c r="R618" i="7"/>
  <c r="P618" i="7"/>
  <c r="Q618" i="7"/>
  <c r="O618" i="7"/>
  <c r="M618" i="7"/>
  <c r="N618" i="7"/>
  <c r="X602" i="7"/>
  <c r="W602" i="7"/>
  <c r="U602" i="7"/>
  <c r="V602" i="7"/>
  <c r="T602" i="7"/>
  <c r="S602" i="7"/>
  <c r="R602" i="7"/>
  <c r="P602" i="7"/>
  <c r="Q602" i="7"/>
  <c r="O602" i="7"/>
  <c r="M602" i="7"/>
  <c r="N602" i="7"/>
  <c r="X538" i="7"/>
  <c r="W538" i="7"/>
  <c r="V538" i="7"/>
  <c r="U538" i="7"/>
  <c r="T538" i="7"/>
  <c r="S538" i="7"/>
  <c r="R538" i="7"/>
  <c r="P538" i="7"/>
  <c r="Q538" i="7"/>
  <c r="O538" i="7"/>
  <c r="M538" i="7"/>
  <c r="N538" i="7"/>
  <c r="X522" i="7"/>
  <c r="W522" i="7"/>
  <c r="V522" i="7"/>
  <c r="U522" i="7"/>
  <c r="T522" i="7"/>
  <c r="S522" i="7"/>
  <c r="R522" i="7"/>
  <c r="Q522" i="7"/>
  <c r="P522" i="7"/>
  <c r="O522" i="7"/>
  <c r="M522" i="7"/>
  <c r="N522" i="7"/>
  <c r="X458" i="7"/>
  <c r="W458" i="7"/>
  <c r="V458" i="7"/>
  <c r="U458" i="7"/>
  <c r="T458" i="7"/>
  <c r="R458" i="7"/>
  <c r="Q458" i="7"/>
  <c r="P458" i="7"/>
  <c r="S458" i="7"/>
  <c r="O458" i="7"/>
  <c r="M458" i="7"/>
  <c r="N458" i="7"/>
  <c r="X402" i="7"/>
  <c r="W402" i="7"/>
  <c r="V402" i="7"/>
  <c r="U402" i="7"/>
  <c r="T402" i="7"/>
  <c r="S402" i="7"/>
  <c r="R402" i="7"/>
  <c r="P402" i="7"/>
  <c r="Q402" i="7"/>
  <c r="O402" i="7"/>
  <c r="M402" i="7"/>
  <c r="N402" i="7"/>
  <c r="X370" i="7"/>
  <c r="W370" i="7"/>
  <c r="V370" i="7"/>
  <c r="U370" i="7"/>
  <c r="T370" i="7"/>
  <c r="S370" i="7"/>
  <c r="R370" i="7"/>
  <c r="Q370" i="7"/>
  <c r="P370" i="7"/>
  <c r="O370" i="7"/>
  <c r="M370" i="7"/>
  <c r="N370" i="7"/>
  <c r="X330" i="7"/>
  <c r="W330" i="7"/>
  <c r="V330" i="7"/>
  <c r="U330" i="7"/>
  <c r="T330" i="7"/>
  <c r="R330" i="7"/>
  <c r="S330" i="7"/>
  <c r="Q330" i="7"/>
  <c r="P330" i="7"/>
  <c r="O330" i="7"/>
  <c r="M330" i="7"/>
  <c r="N330" i="7"/>
  <c r="X314" i="7"/>
  <c r="W314" i="7"/>
  <c r="V314" i="7"/>
  <c r="U314" i="7"/>
  <c r="T314" i="7"/>
  <c r="S314" i="7"/>
  <c r="R314" i="7"/>
  <c r="P314" i="7"/>
  <c r="Q314" i="7"/>
  <c r="O314" i="7"/>
  <c r="M314" i="7"/>
  <c r="N314" i="7"/>
  <c r="X178" i="7"/>
  <c r="W178" i="7"/>
  <c r="V178" i="7"/>
  <c r="U178" i="7"/>
  <c r="T178" i="7"/>
  <c r="S178" i="7"/>
  <c r="R178" i="7"/>
  <c r="Q178" i="7"/>
  <c r="P178" i="7"/>
  <c r="O178" i="7"/>
  <c r="M178" i="7"/>
  <c r="N178" i="7"/>
  <c r="X162" i="7"/>
  <c r="W162" i="7"/>
  <c r="V162" i="7"/>
  <c r="U162" i="7"/>
  <c r="T162" i="7"/>
  <c r="R162" i="7"/>
  <c r="S162" i="7"/>
  <c r="Q162" i="7"/>
  <c r="P162" i="7"/>
  <c r="O162" i="7"/>
  <c r="M162" i="7"/>
  <c r="N162" i="7"/>
  <c r="X146" i="7"/>
  <c r="W146" i="7"/>
  <c r="V146" i="7"/>
  <c r="U146" i="7"/>
  <c r="T146" i="7"/>
  <c r="S146" i="7"/>
  <c r="P146" i="7"/>
  <c r="Q146" i="7"/>
  <c r="R146" i="7"/>
  <c r="O146" i="7"/>
  <c r="M146" i="7"/>
  <c r="N146" i="7"/>
  <c r="X130" i="7"/>
  <c r="W130" i="7"/>
  <c r="V130" i="7"/>
  <c r="U130" i="7"/>
  <c r="T130" i="7"/>
  <c r="S130" i="7"/>
  <c r="R130" i="7"/>
  <c r="P130" i="7"/>
  <c r="Q130" i="7"/>
  <c r="O130" i="7"/>
  <c r="M130" i="7"/>
  <c r="N130" i="7"/>
  <c r="X114" i="7"/>
  <c r="W114" i="7"/>
  <c r="V114" i="7"/>
  <c r="U114" i="7"/>
  <c r="T114" i="7"/>
  <c r="S114" i="7"/>
  <c r="R114" i="7"/>
  <c r="Q114" i="7"/>
  <c r="P114" i="7"/>
  <c r="O114" i="7"/>
  <c r="M114" i="7"/>
  <c r="N114" i="7"/>
  <c r="X50" i="7"/>
  <c r="W50" i="7"/>
  <c r="V50" i="7"/>
  <c r="U50" i="7"/>
  <c r="T50" i="7"/>
  <c r="S50" i="7"/>
  <c r="R50" i="7"/>
  <c r="Q50" i="7"/>
  <c r="P50" i="7"/>
  <c r="O50" i="7"/>
  <c r="M50" i="7"/>
  <c r="N50" i="7"/>
  <c r="X34" i="7"/>
  <c r="W34" i="7"/>
  <c r="V34" i="7"/>
  <c r="U34" i="7"/>
  <c r="T34" i="7"/>
  <c r="R34" i="7"/>
  <c r="S34" i="7"/>
  <c r="Q34" i="7"/>
  <c r="P34" i="7"/>
  <c r="O34" i="7"/>
  <c r="M34" i="7"/>
  <c r="N34" i="7"/>
  <c r="X1201" i="7"/>
  <c r="W1201" i="7"/>
  <c r="V1201" i="7"/>
  <c r="U1201" i="7"/>
  <c r="T1201" i="7"/>
  <c r="Q1201" i="7"/>
  <c r="S1201" i="7"/>
  <c r="R1201" i="7"/>
  <c r="P1201" i="7"/>
  <c r="M1201" i="7"/>
  <c r="N1201" i="7"/>
  <c r="O1201" i="7"/>
  <c r="X1193" i="7"/>
  <c r="W1193" i="7"/>
  <c r="V1193" i="7"/>
  <c r="U1193" i="7"/>
  <c r="T1193" i="7"/>
  <c r="S1193" i="7"/>
  <c r="Q1193" i="7"/>
  <c r="R1193" i="7"/>
  <c r="P1193" i="7"/>
  <c r="M1193" i="7"/>
  <c r="N1193" i="7"/>
  <c r="O1193" i="7"/>
  <c r="X1185" i="7"/>
  <c r="W1185" i="7"/>
  <c r="V1185" i="7"/>
  <c r="U1185" i="7"/>
  <c r="T1185" i="7"/>
  <c r="Q1185" i="7"/>
  <c r="S1185" i="7"/>
  <c r="R1185" i="7"/>
  <c r="P1185" i="7"/>
  <c r="O1185" i="7"/>
  <c r="M1185" i="7"/>
  <c r="N1185" i="7"/>
  <c r="X1177" i="7"/>
  <c r="W1177" i="7"/>
  <c r="V1177" i="7"/>
  <c r="U1177" i="7"/>
  <c r="T1177" i="7"/>
  <c r="Q1177" i="7"/>
  <c r="S1177" i="7"/>
  <c r="R1177" i="7"/>
  <c r="P1177" i="7"/>
  <c r="O1177" i="7"/>
  <c r="M1177" i="7"/>
  <c r="N1177" i="7"/>
  <c r="X1169" i="7"/>
  <c r="W1169" i="7"/>
  <c r="V1169" i="7"/>
  <c r="U1169" i="7"/>
  <c r="S1169" i="7"/>
  <c r="Q1169" i="7"/>
  <c r="T1169" i="7"/>
  <c r="R1169" i="7"/>
  <c r="P1169" i="7"/>
  <c r="M1169" i="7"/>
  <c r="N1169" i="7"/>
  <c r="O1169" i="7"/>
  <c r="X1161" i="7"/>
  <c r="V1161" i="7"/>
  <c r="W1161" i="7"/>
  <c r="U1161" i="7"/>
  <c r="T1161" i="7"/>
  <c r="Q1161" i="7"/>
  <c r="S1161" i="7"/>
  <c r="P1161" i="7"/>
  <c r="R1161" i="7"/>
  <c r="M1161" i="7"/>
  <c r="N1161" i="7"/>
  <c r="O1161" i="7"/>
  <c r="X1153" i="7"/>
  <c r="W1153" i="7"/>
  <c r="V1153" i="7"/>
  <c r="U1153" i="7"/>
  <c r="T1153" i="7"/>
  <c r="Q1153" i="7"/>
  <c r="R1153" i="7"/>
  <c r="S1153" i="7"/>
  <c r="P1153" i="7"/>
  <c r="O1153" i="7"/>
  <c r="M1153" i="7"/>
  <c r="N1153" i="7"/>
  <c r="X1145" i="7"/>
  <c r="W1145" i="7"/>
  <c r="V1145" i="7"/>
  <c r="U1145" i="7"/>
  <c r="T1145" i="7"/>
  <c r="S1145" i="7"/>
  <c r="Q1145" i="7"/>
  <c r="R1145" i="7"/>
  <c r="P1145" i="7"/>
  <c r="O1145" i="7"/>
  <c r="M1145" i="7"/>
  <c r="N1145" i="7"/>
  <c r="X1137" i="7"/>
  <c r="W1137" i="7"/>
  <c r="V1137" i="7"/>
  <c r="U1137" i="7"/>
  <c r="T1137" i="7"/>
  <c r="Q1137" i="7"/>
  <c r="S1137" i="7"/>
  <c r="R1137" i="7"/>
  <c r="P1137" i="7"/>
  <c r="M1137" i="7"/>
  <c r="N1137" i="7"/>
  <c r="O1137" i="7"/>
  <c r="X1129" i="7"/>
  <c r="W1129" i="7"/>
  <c r="V1129" i="7"/>
  <c r="U1129" i="7"/>
  <c r="T1129" i="7"/>
  <c r="S1129" i="7"/>
  <c r="Q1129" i="7"/>
  <c r="R1129" i="7"/>
  <c r="P1129" i="7"/>
  <c r="M1129" i="7"/>
  <c r="N1129" i="7"/>
  <c r="O1129" i="7"/>
  <c r="X1121" i="7"/>
  <c r="W1121" i="7"/>
  <c r="V1121" i="7"/>
  <c r="U1121" i="7"/>
  <c r="T1121" i="7"/>
  <c r="Q1121" i="7"/>
  <c r="S1121" i="7"/>
  <c r="R1121" i="7"/>
  <c r="P1121" i="7"/>
  <c r="O1121" i="7"/>
  <c r="M1121" i="7"/>
  <c r="N1121" i="7"/>
  <c r="X1113" i="7"/>
  <c r="V1113" i="7"/>
  <c r="U1113" i="7"/>
  <c r="W1113" i="7"/>
  <c r="T1113" i="7"/>
  <c r="Q1113" i="7"/>
  <c r="S1113" i="7"/>
  <c r="R1113" i="7"/>
  <c r="P1113" i="7"/>
  <c r="O1113" i="7"/>
  <c r="M1113" i="7"/>
  <c r="N1113" i="7"/>
  <c r="X1105" i="7"/>
  <c r="W1105" i="7"/>
  <c r="V1105" i="7"/>
  <c r="U1105" i="7"/>
  <c r="T1105" i="7"/>
  <c r="S1105" i="7"/>
  <c r="Q1105" i="7"/>
  <c r="R1105" i="7"/>
  <c r="O1105" i="7"/>
  <c r="M1105" i="7"/>
  <c r="N1105" i="7"/>
  <c r="P1105" i="7"/>
  <c r="X1097" i="7"/>
  <c r="V1097" i="7"/>
  <c r="W1097" i="7"/>
  <c r="U1097" i="7"/>
  <c r="T1097" i="7"/>
  <c r="Q1097" i="7"/>
  <c r="S1097" i="7"/>
  <c r="R1097" i="7"/>
  <c r="P1097" i="7"/>
  <c r="O1097" i="7"/>
  <c r="M1097" i="7"/>
  <c r="N1097" i="7"/>
  <c r="X1089" i="7"/>
  <c r="W1089" i="7"/>
  <c r="V1089" i="7"/>
  <c r="U1089" i="7"/>
  <c r="T1089" i="7"/>
  <c r="Q1089" i="7"/>
  <c r="S1089" i="7"/>
  <c r="R1089" i="7"/>
  <c r="O1089" i="7"/>
  <c r="P1089" i="7"/>
  <c r="M1089" i="7"/>
  <c r="N1089" i="7"/>
  <c r="X1081" i="7"/>
  <c r="V1081" i="7"/>
  <c r="W1081" i="7"/>
  <c r="U1081" i="7"/>
  <c r="T1081" i="7"/>
  <c r="Q1081" i="7"/>
  <c r="S1081" i="7"/>
  <c r="R1081" i="7"/>
  <c r="P1081" i="7"/>
  <c r="O1081" i="7"/>
  <c r="M1081" i="7"/>
  <c r="N1081" i="7"/>
  <c r="X1073" i="7"/>
  <c r="W1073" i="7"/>
  <c r="V1073" i="7"/>
  <c r="T1073" i="7"/>
  <c r="U1073" i="7"/>
  <c r="Q1073" i="7"/>
  <c r="S1073" i="7"/>
  <c r="R1073" i="7"/>
  <c r="P1073" i="7"/>
  <c r="O1073" i="7"/>
  <c r="M1073" i="7"/>
  <c r="N1073" i="7"/>
  <c r="X1065" i="7"/>
  <c r="W1065" i="7"/>
  <c r="V1065" i="7"/>
  <c r="U1065" i="7"/>
  <c r="T1065" i="7"/>
  <c r="Q1065" i="7"/>
  <c r="S1065" i="7"/>
  <c r="R1065" i="7"/>
  <c r="P1065" i="7"/>
  <c r="O1065" i="7"/>
  <c r="M1065" i="7"/>
  <c r="N1065" i="7"/>
  <c r="X1057" i="7"/>
  <c r="W1057" i="7"/>
  <c r="U1057" i="7"/>
  <c r="V1057" i="7"/>
  <c r="T1057" i="7"/>
  <c r="Q1057" i="7"/>
  <c r="S1057" i="7"/>
  <c r="R1057" i="7"/>
  <c r="P1057" i="7"/>
  <c r="O1057" i="7"/>
  <c r="M1057" i="7"/>
  <c r="N1057" i="7"/>
  <c r="X1049" i="7"/>
  <c r="W1049" i="7"/>
  <c r="V1049" i="7"/>
  <c r="U1049" i="7"/>
  <c r="T1049" i="7"/>
  <c r="Q1049" i="7"/>
  <c r="R1049" i="7"/>
  <c r="S1049" i="7"/>
  <c r="P1049" i="7"/>
  <c r="O1049" i="7"/>
  <c r="M1049" i="7"/>
  <c r="N1049" i="7"/>
  <c r="X1041" i="7"/>
  <c r="W1041" i="7"/>
  <c r="V1041" i="7"/>
  <c r="U1041" i="7"/>
  <c r="T1041" i="7"/>
  <c r="S1041" i="7"/>
  <c r="Q1041" i="7"/>
  <c r="R1041" i="7"/>
  <c r="O1041" i="7"/>
  <c r="P1041" i="7"/>
  <c r="M1041" i="7"/>
  <c r="N1041" i="7"/>
  <c r="X1033" i="7"/>
  <c r="V1033" i="7"/>
  <c r="U1033" i="7"/>
  <c r="W1033" i="7"/>
  <c r="T1033" i="7"/>
  <c r="Q1033" i="7"/>
  <c r="R1033" i="7"/>
  <c r="S1033" i="7"/>
  <c r="P1033" i="7"/>
  <c r="O1033" i="7"/>
  <c r="M1033" i="7"/>
  <c r="N1033" i="7"/>
  <c r="X1025" i="7"/>
  <c r="W1025" i="7"/>
  <c r="V1025" i="7"/>
  <c r="U1025" i="7"/>
  <c r="T1025" i="7"/>
  <c r="Q1025" i="7"/>
  <c r="S1025" i="7"/>
  <c r="R1025" i="7"/>
  <c r="O1025" i="7"/>
  <c r="P1025" i="7"/>
  <c r="M1025" i="7"/>
  <c r="N1025" i="7"/>
  <c r="X1017" i="7"/>
  <c r="V1017" i="7"/>
  <c r="W1017" i="7"/>
  <c r="U1017" i="7"/>
  <c r="S1017" i="7"/>
  <c r="Q1017" i="7"/>
  <c r="R1017" i="7"/>
  <c r="T1017" i="7"/>
  <c r="P1017" i="7"/>
  <c r="O1017" i="7"/>
  <c r="M1017" i="7"/>
  <c r="N1017" i="7"/>
  <c r="X1009" i="7"/>
  <c r="W1009" i="7"/>
  <c r="V1009" i="7"/>
  <c r="U1009" i="7"/>
  <c r="T1009" i="7"/>
  <c r="Q1009" i="7"/>
  <c r="R1009" i="7"/>
  <c r="S1009" i="7"/>
  <c r="P1009" i="7"/>
  <c r="O1009" i="7"/>
  <c r="M1009" i="7"/>
  <c r="N1009" i="7"/>
  <c r="X1001" i="7"/>
  <c r="W1001" i="7"/>
  <c r="V1001" i="7"/>
  <c r="U1001" i="7"/>
  <c r="T1001" i="7"/>
  <c r="S1001" i="7"/>
  <c r="Q1001" i="7"/>
  <c r="R1001" i="7"/>
  <c r="P1001" i="7"/>
  <c r="O1001" i="7"/>
  <c r="M1001" i="7"/>
  <c r="N1001" i="7"/>
  <c r="X993" i="7"/>
  <c r="W993" i="7"/>
  <c r="U993" i="7"/>
  <c r="V993" i="7"/>
  <c r="T993" i="7"/>
  <c r="Q993" i="7"/>
  <c r="R993" i="7"/>
  <c r="S993" i="7"/>
  <c r="P993" i="7"/>
  <c r="O993" i="7"/>
  <c r="M993" i="7"/>
  <c r="N993" i="7"/>
  <c r="W985" i="7"/>
  <c r="X985" i="7"/>
  <c r="V985" i="7"/>
  <c r="U985" i="7"/>
  <c r="T985" i="7"/>
  <c r="Q985" i="7"/>
  <c r="R985" i="7"/>
  <c r="S985" i="7"/>
  <c r="P985" i="7"/>
  <c r="O985" i="7"/>
  <c r="M985" i="7"/>
  <c r="N985" i="7"/>
  <c r="X977" i="7"/>
  <c r="W977" i="7"/>
  <c r="V977" i="7"/>
  <c r="U977" i="7"/>
  <c r="T977" i="7"/>
  <c r="S977" i="7"/>
  <c r="Q977" i="7"/>
  <c r="R977" i="7"/>
  <c r="O977" i="7"/>
  <c r="P977" i="7"/>
  <c r="M977" i="7"/>
  <c r="N977" i="7"/>
  <c r="W969" i="7"/>
  <c r="X969" i="7"/>
  <c r="V969" i="7"/>
  <c r="U969" i="7"/>
  <c r="T969" i="7"/>
  <c r="Q969" i="7"/>
  <c r="R969" i="7"/>
  <c r="S969" i="7"/>
  <c r="P969" i="7"/>
  <c r="O969" i="7"/>
  <c r="M969" i="7"/>
  <c r="N969" i="7"/>
  <c r="X961" i="7"/>
  <c r="W961" i="7"/>
  <c r="V961" i="7"/>
  <c r="U961" i="7"/>
  <c r="T961" i="7"/>
  <c r="Q961" i="7"/>
  <c r="S961" i="7"/>
  <c r="R961" i="7"/>
  <c r="O961" i="7"/>
  <c r="P961" i="7"/>
  <c r="M961" i="7"/>
  <c r="N961" i="7"/>
  <c r="X953" i="7"/>
  <c r="W953" i="7"/>
  <c r="V953" i="7"/>
  <c r="U953" i="7"/>
  <c r="S953" i="7"/>
  <c r="T953" i="7"/>
  <c r="Q953" i="7"/>
  <c r="R953" i="7"/>
  <c r="P953" i="7"/>
  <c r="O953" i="7"/>
  <c r="M953" i="7"/>
  <c r="N953" i="7"/>
  <c r="X945" i="7"/>
  <c r="W945" i="7"/>
  <c r="V945" i="7"/>
  <c r="U945" i="7"/>
  <c r="T945" i="7"/>
  <c r="Q945" i="7"/>
  <c r="R945" i="7"/>
  <c r="S945" i="7"/>
  <c r="P945" i="7"/>
  <c r="O945" i="7"/>
  <c r="M945" i="7"/>
  <c r="N945" i="7"/>
  <c r="W937" i="7"/>
  <c r="X937" i="7"/>
  <c r="V937" i="7"/>
  <c r="U937" i="7"/>
  <c r="T937" i="7"/>
  <c r="S937" i="7"/>
  <c r="Q937" i="7"/>
  <c r="R937" i="7"/>
  <c r="P937" i="7"/>
  <c r="O937" i="7"/>
  <c r="M937" i="7"/>
  <c r="N937" i="7"/>
  <c r="X929" i="7"/>
  <c r="W929" i="7"/>
  <c r="U929" i="7"/>
  <c r="V929" i="7"/>
  <c r="T929" i="7"/>
  <c r="Q929" i="7"/>
  <c r="R929" i="7"/>
  <c r="S929" i="7"/>
  <c r="P929" i="7"/>
  <c r="O929" i="7"/>
  <c r="M929" i="7"/>
  <c r="N929" i="7"/>
  <c r="W921" i="7"/>
  <c r="X921" i="7"/>
  <c r="V921" i="7"/>
  <c r="U921" i="7"/>
  <c r="T921" i="7"/>
  <c r="Q921" i="7"/>
  <c r="R921" i="7"/>
  <c r="S921" i="7"/>
  <c r="P921" i="7"/>
  <c r="O921" i="7"/>
  <c r="M921" i="7"/>
  <c r="N921" i="7"/>
  <c r="X913" i="7"/>
  <c r="W913" i="7"/>
  <c r="V913" i="7"/>
  <c r="U913" i="7"/>
  <c r="T913" i="7"/>
  <c r="S913" i="7"/>
  <c r="Q913" i="7"/>
  <c r="R913" i="7"/>
  <c r="O913" i="7"/>
  <c r="M913" i="7"/>
  <c r="N913" i="7"/>
  <c r="P913" i="7"/>
  <c r="W905" i="7"/>
  <c r="X905" i="7"/>
  <c r="V905" i="7"/>
  <c r="U905" i="7"/>
  <c r="T905" i="7"/>
  <c r="Q905" i="7"/>
  <c r="R905" i="7"/>
  <c r="S905" i="7"/>
  <c r="P905" i="7"/>
  <c r="O905" i="7"/>
  <c r="M905" i="7"/>
  <c r="N905" i="7"/>
  <c r="X897" i="7"/>
  <c r="W897" i="7"/>
  <c r="V897" i="7"/>
  <c r="U897" i="7"/>
  <c r="T897" i="7"/>
  <c r="Q897" i="7"/>
  <c r="S897" i="7"/>
  <c r="R897" i="7"/>
  <c r="O897" i="7"/>
  <c r="P897" i="7"/>
  <c r="M897" i="7"/>
  <c r="N897" i="7"/>
  <c r="X889" i="7"/>
  <c r="W889" i="7"/>
  <c r="V889" i="7"/>
  <c r="U889" i="7"/>
  <c r="S889" i="7"/>
  <c r="Q889" i="7"/>
  <c r="R889" i="7"/>
  <c r="T889" i="7"/>
  <c r="P889" i="7"/>
  <c r="O889" i="7"/>
  <c r="M889" i="7"/>
  <c r="N889" i="7"/>
  <c r="X881" i="7"/>
  <c r="W881" i="7"/>
  <c r="V881" i="7"/>
  <c r="T881" i="7"/>
  <c r="U881" i="7"/>
  <c r="Q881" i="7"/>
  <c r="R881" i="7"/>
  <c r="S881" i="7"/>
  <c r="P881" i="7"/>
  <c r="O881" i="7"/>
  <c r="M881" i="7"/>
  <c r="N881" i="7"/>
  <c r="X873" i="7"/>
  <c r="W873" i="7"/>
  <c r="V873" i="7"/>
  <c r="U873" i="7"/>
  <c r="T873" i="7"/>
  <c r="S873" i="7"/>
  <c r="Q873" i="7"/>
  <c r="R873" i="7"/>
  <c r="P873" i="7"/>
  <c r="O873" i="7"/>
  <c r="M873" i="7"/>
  <c r="N873" i="7"/>
  <c r="X865" i="7"/>
  <c r="W865" i="7"/>
  <c r="U865" i="7"/>
  <c r="V865" i="7"/>
  <c r="T865" i="7"/>
  <c r="Q865" i="7"/>
  <c r="R865" i="7"/>
  <c r="P865" i="7"/>
  <c r="S865" i="7"/>
  <c r="O865" i="7"/>
  <c r="M865" i="7"/>
  <c r="N865" i="7"/>
  <c r="W857" i="7"/>
  <c r="X857" i="7"/>
  <c r="V857" i="7"/>
  <c r="U857" i="7"/>
  <c r="T857" i="7"/>
  <c r="Q857" i="7"/>
  <c r="R857" i="7"/>
  <c r="S857" i="7"/>
  <c r="P857" i="7"/>
  <c r="O857" i="7"/>
  <c r="M857" i="7"/>
  <c r="N857" i="7"/>
  <c r="X849" i="7"/>
  <c r="W849" i="7"/>
  <c r="V849" i="7"/>
  <c r="U849" i="7"/>
  <c r="T849" i="7"/>
  <c r="S849" i="7"/>
  <c r="Q849" i="7"/>
  <c r="R849" i="7"/>
  <c r="O849" i="7"/>
  <c r="P849" i="7"/>
  <c r="M849" i="7"/>
  <c r="N849" i="7"/>
  <c r="X841" i="7"/>
  <c r="W841" i="7"/>
  <c r="V841" i="7"/>
  <c r="U841" i="7"/>
  <c r="T841" i="7"/>
  <c r="Q841" i="7"/>
  <c r="R841" i="7"/>
  <c r="S841" i="7"/>
  <c r="P841" i="7"/>
  <c r="O841" i="7"/>
  <c r="M841" i="7"/>
  <c r="N841" i="7"/>
  <c r="X833" i="7"/>
  <c r="W833" i="7"/>
  <c r="V833" i="7"/>
  <c r="U833" i="7"/>
  <c r="T833" i="7"/>
  <c r="Q833" i="7"/>
  <c r="S833" i="7"/>
  <c r="R833" i="7"/>
  <c r="O833" i="7"/>
  <c r="P833" i="7"/>
  <c r="M833" i="7"/>
  <c r="N833" i="7"/>
  <c r="X825" i="7"/>
  <c r="W825" i="7"/>
  <c r="V825" i="7"/>
  <c r="U825" i="7"/>
  <c r="S825" i="7"/>
  <c r="Q825" i="7"/>
  <c r="T825" i="7"/>
  <c r="R825" i="7"/>
  <c r="P825" i="7"/>
  <c r="O825" i="7"/>
  <c r="M825" i="7"/>
  <c r="N825" i="7"/>
  <c r="X817" i="7"/>
  <c r="W817" i="7"/>
  <c r="V817" i="7"/>
  <c r="U817" i="7"/>
  <c r="T817" i="7"/>
  <c r="Q817" i="7"/>
  <c r="R817" i="7"/>
  <c r="S817" i="7"/>
  <c r="P817" i="7"/>
  <c r="O817" i="7"/>
  <c r="M817" i="7"/>
  <c r="N817" i="7"/>
  <c r="X809" i="7"/>
  <c r="W809" i="7"/>
  <c r="V809" i="7"/>
  <c r="U809" i="7"/>
  <c r="T809" i="7"/>
  <c r="S809" i="7"/>
  <c r="Q809" i="7"/>
  <c r="R809" i="7"/>
  <c r="P809" i="7"/>
  <c r="O809" i="7"/>
  <c r="M809" i="7"/>
  <c r="N809" i="7"/>
  <c r="X801" i="7"/>
  <c r="W801" i="7"/>
  <c r="V801" i="7"/>
  <c r="U801" i="7"/>
  <c r="T801" i="7"/>
  <c r="Q801" i="7"/>
  <c r="R801" i="7"/>
  <c r="S801" i="7"/>
  <c r="P801" i="7"/>
  <c r="O801" i="7"/>
  <c r="M801" i="7"/>
  <c r="N801" i="7"/>
  <c r="W793" i="7"/>
  <c r="X793" i="7"/>
  <c r="V793" i="7"/>
  <c r="U793" i="7"/>
  <c r="T793" i="7"/>
  <c r="Q793" i="7"/>
  <c r="R793" i="7"/>
  <c r="S793" i="7"/>
  <c r="P793" i="7"/>
  <c r="O793" i="7"/>
  <c r="M793" i="7"/>
  <c r="N793" i="7"/>
  <c r="X785" i="7"/>
  <c r="W785" i="7"/>
  <c r="V785" i="7"/>
  <c r="U785" i="7"/>
  <c r="T785" i="7"/>
  <c r="S785" i="7"/>
  <c r="Q785" i="7"/>
  <c r="R785" i="7"/>
  <c r="O785" i="7"/>
  <c r="M785" i="7"/>
  <c r="N785" i="7"/>
  <c r="P785" i="7"/>
  <c r="X777" i="7"/>
  <c r="W777" i="7"/>
  <c r="V777" i="7"/>
  <c r="U777" i="7"/>
  <c r="T777" i="7"/>
  <c r="Q777" i="7"/>
  <c r="R777" i="7"/>
  <c r="S777" i="7"/>
  <c r="P777" i="7"/>
  <c r="O777" i="7"/>
  <c r="M777" i="7"/>
  <c r="N777" i="7"/>
  <c r="X769" i="7"/>
  <c r="W769" i="7"/>
  <c r="V769" i="7"/>
  <c r="U769" i="7"/>
  <c r="T769" i="7"/>
  <c r="Q769" i="7"/>
  <c r="S769" i="7"/>
  <c r="R769" i="7"/>
  <c r="O769" i="7"/>
  <c r="P769" i="7"/>
  <c r="M769" i="7"/>
  <c r="N769" i="7"/>
  <c r="X761" i="7"/>
  <c r="W761" i="7"/>
  <c r="V761" i="7"/>
  <c r="U761" i="7"/>
  <c r="T761" i="7"/>
  <c r="S761" i="7"/>
  <c r="Q761" i="7"/>
  <c r="R761" i="7"/>
  <c r="P761" i="7"/>
  <c r="O761" i="7"/>
  <c r="M761" i="7"/>
  <c r="N761" i="7"/>
  <c r="X753" i="7"/>
  <c r="W753" i="7"/>
  <c r="V753" i="7"/>
  <c r="U753" i="7"/>
  <c r="T753" i="7"/>
  <c r="Q753" i="7"/>
  <c r="R753" i="7"/>
  <c r="S753" i="7"/>
  <c r="P753" i="7"/>
  <c r="O753" i="7"/>
  <c r="M753" i="7"/>
  <c r="N753" i="7"/>
  <c r="X745" i="7"/>
  <c r="W745" i="7"/>
  <c r="V745" i="7"/>
  <c r="U745" i="7"/>
  <c r="T745" i="7"/>
  <c r="S745" i="7"/>
  <c r="Q745" i="7"/>
  <c r="R745" i="7"/>
  <c r="P745" i="7"/>
  <c r="O745" i="7"/>
  <c r="M745" i="7"/>
  <c r="N745" i="7"/>
  <c r="X737" i="7"/>
  <c r="W737" i="7"/>
  <c r="V737" i="7"/>
  <c r="U737" i="7"/>
  <c r="T737" i="7"/>
  <c r="Q737" i="7"/>
  <c r="R737" i="7"/>
  <c r="S737" i="7"/>
  <c r="P737" i="7"/>
  <c r="O737" i="7"/>
  <c r="M737" i="7"/>
  <c r="N737" i="7"/>
  <c r="W729" i="7"/>
  <c r="X729" i="7"/>
  <c r="V729" i="7"/>
  <c r="U729" i="7"/>
  <c r="T729" i="7"/>
  <c r="Q729" i="7"/>
  <c r="R729" i="7"/>
  <c r="S729" i="7"/>
  <c r="P729" i="7"/>
  <c r="O729" i="7"/>
  <c r="M729" i="7"/>
  <c r="N729" i="7"/>
  <c r="X721" i="7"/>
  <c r="W721" i="7"/>
  <c r="V721" i="7"/>
  <c r="U721" i="7"/>
  <c r="T721" i="7"/>
  <c r="S721" i="7"/>
  <c r="Q721" i="7"/>
  <c r="R721" i="7"/>
  <c r="O721" i="7"/>
  <c r="M721" i="7"/>
  <c r="P721" i="7"/>
  <c r="N721" i="7"/>
  <c r="X713" i="7"/>
  <c r="W713" i="7"/>
  <c r="V713" i="7"/>
  <c r="U713" i="7"/>
  <c r="T713" i="7"/>
  <c r="Q713" i="7"/>
  <c r="R713" i="7"/>
  <c r="S713" i="7"/>
  <c r="P713" i="7"/>
  <c r="O713" i="7"/>
  <c r="M713" i="7"/>
  <c r="N713" i="7"/>
  <c r="X705" i="7"/>
  <c r="W705" i="7"/>
  <c r="V705" i="7"/>
  <c r="U705" i="7"/>
  <c r="T705" i="7"/>
  <c r="Q705" i="7"/>
  <c r="S705" i="7"/>
  <c r="R705" i="7"/>
  <c r="O705" i="7"/>
  <c r="P705" i="7"/>
  <c r="M705" i="7"/>
  <c r="N705" i="7"/>
  <c r="X697" i="7"/>
  <c r="W697" i="7"/>
  <c r="V697" i="7"/>
  <c r="U697" i="7"/>
  <c r="S697" i="7"/>
  <c r="Q697" i="7"/>
  <c r="R697" i="7"/>
  <c r="T697" i="7"/>
  <c r="P697" i="7"/>
  <c r="O697" i="7"/>
  <c r="M697" i="7"/>
  <c r="N697" i="7"/>
  <c r="X689" i="7"/>
  <c r="W689" i="7"/>
  <c r="V689" i="7"/>
  <c r="U689" i="7"/>
  <c r="T689" i="7"/>
  <c r="Q689" i="7"/>
  <c r="R689" i="7"/>
  <c r="S689" i="7"/>
  <c r="P689" i="7"/>
  <c r="O689" i="7"/>
  <c r="M689" i="7"/>
  <c r="N689" i="7"/>
  <c r="X681" i="7"/>
  <c r="W681" i="7"/>
  <c r="V681" i="7"/>
  <c r="U681" i="7"/>
  <c r="T681" i="7"/>
  <c r="S681" i="7"/>
  <c r="Q681" i="7"/>
  <c r="R681" i="7"/>
  <c r="P681" i="7"/>
  <c r="O681" i="7"/>
  <c r="M681" i="7"/>
  <c r="N681" i="7"/>
  <c r="X673" i="7"/>
  <c r="W673" i="7"/>
  <c r="V673" i="7"/>
  <c r="U673" i="7"/>
  <c r="T673" i="7"/>
  <c r="Q673" i="7"/>
  <c r="R673" i="7"/>
  <c r="S673" i="7"/>
  <c r="P673" i="7"/>
  <c r="O673" i="7"/>
  <c r="M673" i="7"/>
  <c r="N673" i="7"/>
  <c r="X665" i="7"/>
  <c r="W665" i="7"/>
  <c r="V665" i="7"/>
  <c r="U665" i="7"/>
  <c r="T665" i="7"/>
  <c r="Q665" i="7"/>
  <c r="R665" i="7"/>
  <c r="S665" i="7"/>
  <c r="P665" i="7"/>
  <c r="O665" i="7"/>
  <c r="M665" i="7"/>
  <c r="N665" i="7"/>
  <c r="X657" i="7"/>
  <c r="W657" i="7"/>
  <c r="V657" i="7"/>
  <c r="U657" i="7"/>
  <c r="T657" i="7"/>
  <c r="S657" i="7"/>
  <c r="Q657" i="7"/>
  <c r="R657" i="7"/>
  <c r="O657" i="7"/>
  <c r="P657" i="7"/>
  <c r="M657" i="7"/>
  <c r="N657" i="7"/>
  <c r="X649" i="7"/>
  <c r="W649" i="7"/>
  <c r="V649" i="7"/>
  <c r="U649" i="7"/>
  <c r="T649" i="7"/>
  <c r="Q649" i="7"/>
  <c r="R649" i="7"/>
  <c r="S649" i="7"/>
  <c r="P649" i="7"/>
  <c r="O649" i="7"/>
  <c r="M649" i="7"/>
  <c r="N649" i="7"/>
  <c r="X641" i="7"/>
  <c r="W641" i="7"/>
  <c r="V641" i="7"/>
  <c r="U641" i="7"/>
  <c r="T641" i="7"/>
  <c r="Q641" i="7"/>
  <c r="S641" i="7"/>
  <c r="R641" i="7"/>
  <c r="O641" i="7"/>
  <c r="P641" i="7"/>
  <c r="M641" i="7"/>
  <c r="N641" i="7"/>
  <c r="X633" i="7"/>
  <c r="W633" i="7"/>
  <c r="V633" i="7"/>
  <c r="U633" i="7"/>
  <c r="S633" i="7"/>
  <c r="T633" i="7"/>
  <c r="Q633" i="7"/>
  <c r="R633" i="7"/>
  <c r="P633" i="7"/>
  <c r="O633" i="7"/>
  <c r="M633" i="7"/>
  <c r="N633" i="7"/>
  <c r="X625" i="7"/>
  <c r="W625" i="7"/>
  <c r="V625" i="7"/>
  <c r="U625" i="7"/>
  <c r="T625" i="7"/>
  <c r="Q625" i="7"/>
  <c r="R625" i="7"/>
  <c r="S625" i="7"/>
  <c r="P625" i="7"/>
  <c r="O625" i="7"/>
  <c r="M625" i="7"/>
  <c r="N625" i="7"/>
  <c r="X617" i="7"/>
  <c r="W617" i="7"/>
  <c r="V617" i="7"/>
  <c r="U617" i="7"/>
  <c r="T617" i="7"/>
  <c r="S617" i="7"/>
  <c r="Q617" i="7"/>
  <c r="R617" i="7"/>
  <c r="P617" i="7"/>
  <c r="O617" i="7"/>
  <c r="M617" i="7"/>
  <c r="N617" i="7"/>
  <c r="X609" i="7"/>
  <c r="W609" i="7"/>
  <c r="V609" i="7"/>
  <c r="U609" i="7"/>
  <c r="T609" i="7"/>
  <c r="Q609" i="7"/>
  <c r="R609" i="7"/>
  <c r="S609" i="7"/>
  <c r="P609" i="7"/>
  <c r="O609" i="7"/>
  <c r="M609" i="7"/>
  <c r="N609" i="7"/>
  <c r="X601" i="7"/>
  <c r="W601" i="7"/>
  <c r="V601" i="7"/>
  <c r="U601" i="7"/>
  <c r="T601" i="7"/>
  <c r="Q601" i="7"/>
  <c r="R601" i="7"/>
  <c r="S601" i="7"/>
  <c r="P601" i="7"/>
  <c r="O601" i="7"/>
  <c r="M601" i="7"/>
  <c r="N601" i="7"/>
  <c r="X593" i="7"/>
  <c r="W593" i="7"/>
  <c r="V593" i="7"/>
  <c r="U593" i="7"/>
  <c r="T593" i="7"/>
  <c r="S593" i="7"/>
  <c r="Q593" i="7"/>
  <c r="R593" i="7"/>
  <c r="P593" i="7"/>
  <c r="O593" i="7"/>
  <c r="M593" i="7"/>
  <c r="N593" i="7"/>
  <c r="X585" i="7"/>
  <c r="W585" i="7"/>
  <c r="V585" i="7"/>
  <c r="U585" i="7"/>
  <c r="T585" i="7"/>
  <c r="Q585" i="7"/>
  <c r="R585" i="7"/>
  <c r="S585" i="7"/>
  <c r="P585" i="7"/>
  <c r="O585" i="7"/>
  <c r="M585" i="7"/>
  <c r="N585" i="7"/>
  <c r="X577" i="7"/>
  <c r="W577" i="7"/>
  <c r="V577" i="7"/>
  <c r="U577" i="7"/>
  <c r="T577" i="7"/>
  <c r="Q577" i="7"/>
  <c r="S577" i="7"/>
  <c r="R577" i="7"/>
  <c r="P577" i="7"/>
  <c r="O577" i="7"/>
  <c r="M577" i="7"/>
  <c r="N577" i="7"/>
  <c r="X569" i="7"/>
  <c r="W569" i="7"/>
  <c r="V569" i="7"/>
  <c r="U569" i="7"/>
  <c r="T569" i="7"/>
  <c r="S569" i="7"/>
  <c r="Q569" i="7"/>
  <c r="R569" i="7"/>
  <c r="P569" i="7"/>
  <c r="O569" i="7"/>
  <c r="M569" i="7"/>
  <c r="N569" i="7"/>
  <c r="X561" i="7"/>
  <c r="W561" i="7"/>
  <c r="V561" i="7"/>
  <c r="U561" i="7"/>
  <c r="T561" i="7"/>
  <c r="Q561" i="7"/>
  <c r="R561" i="7"/>
  <c r="S561" i="7"/>
  <c r="P561" i="7"/>
  <c r="O561" i="7"/>
  <c r="M561" i="7"/>
  <c r="N561" i="7"/>
  <c r="X553" i="7"/>
  <c r="W553" i="7"/>
  <c r="V553" i="7"/>
  <c r="U553" i="7"/>
  <c r="T553" i="7"/>
  <c r="S553" i="7"/>
  <c r="Q553" i="7"/>
  <c r="R553" i="7"/>
  <c r="P553" i="7"/>
  <c r="O553" i="7"/>
  <c r="M553" i="7"/>
  <c r="N553" i="7"/>
  <c r="X545" i="7"/>
  <c r="W545" i="7"/>
  <c r="V545" i="7"/>
  <c r="U545" i="7"/>
  <c r="T545" i="7"/>
  <c r="S545" i="7"/>
  <c r="Q545" i="7"/>
  <c r="R545" i="7"/>
  <c r="P545" i="7"/>
  <c r="O545" i="7"/>
  <c r="M545" i="7"/>
  <c r="N545" i="7"/>
  <c r="X537" i="7"/>
  <c r="W537" i="7"/>
  <c r="V537" i="7"/>
  <c r="U537" i="7"/>
  <c r="S537" i="7"/>
  <c r="Q537" i="7"/>
  <c r="R537" i="7"/>
  <c r="T537" i="7"/>
  <c r="P537" i="7"/>
  <c r="O537" i="7"/>
  <c r="M537" i="7"/>
  <c r="N537" i="7"/>
  <c r="X529" i="7"/>
  <c r="W529" i="7"/>
  <c r="V529" i="7"/>
  <c r="U529" i="7"/>
  <c r="T529" i="7"/>
  <c r="S529" i="7"/>
  <c r="Q529" i="7"/>
  <c r="R529" i="7"/>
  <c r="P529" i="7"/>
  <c r="O529" i="7"/>
  <c r="M529" i="7"/>
  <c r="N529" i="7"/>
  <c r="X521" i="7"/>
  <c r="W521" i="7"/>
  <c r="V521" i="7"/>
  <c r="U521" i="7"/>
  <c r="T521" i="7"/>
  <c r="S521" i="7"/>
  <c r="Q521" i="7"/>
  <c r="R521" i="7"/>
  <c r="P521" i="7"/>
  <c r="O521" i="7"/>
  <c r="M521" i="7"/>
  <c r="N521" i="7"/>
  <c r="X513" i="7"/>
  <c r="W513" i="7"/>
  <c r="V513" i="7"/>
  <c r="U513" i="7"/>
  <c r="T513" i="7"/>
  <c r="S513" i="7"/>
  <c r="Q513" i="7"/>
  <c r="R513" i="7"/>
  <c r="P513" i="7"/>
  <c r="O513" i="7"/>
  <c r="M513" i="7"/>
  <c r="N513" i="7"/>
  <c r="X505" i="7"/>
  <c r="W505" i="7"/>
  <c r="V505" i="7"/>
  <c r="U505" i="7"/>
  <c r="S505" i="7"/>
  <c r="T505" i="7"/>
  <c r="Q505" i="7"/>
  <c r="R505" i="7"/>
  <c r="P505" i="7"/>
  <c r="O505" i="7"/>
  <c r="M505" i="7"/>
  <c r="N505" i="7"/>
  <c r="X497" i="7"/>
  <c r="W497" i="7"/>
  <c r="V497" i="7"/>
  <c r="U497" i="7"/>
  <c r="T497" i="7"/>
  <c r="R497" i="7"/>
  <c r="S497" i="7"/>
  <c r="Q497" i="7"/>
  <c r="P497" i="7"/>
  <c r="O497" i="7"/>
  <c r="M497" i="7"/>
  <c r="N497" i="7"/>
  <c r="X489" i="7"/>
  <c r="W489" i="7"/>
  <c r="V489" i="7"/>
  <c r="U489" i="7"/>
  <c r="T489" i="7"/>
  <c r="R489" i="7"/>
  <c r="Q489" i="7"/>
  <c r="P489" i="7"/>
  <c r="S489" i="7"/>
  <c r="O489" i="7"/>
  <c r="M489" i="7"/>
  <c r="N489" i="7"/>
  <c r="X481" i="7"/>
  <c r="W481" i="7"/>
  <c r="V481" i="7"/>
  <c r="U481" i="7"/>
  <c r="S481" i="7"/>
  <c r="Q481" i="7"/>
  <c r="T481" i="7"/>
  <c r="R481" i="7"/>
  <c r="P481" i="7"/>
  <c r="O481" i="7"/>
  <c r="M481" i="7"/>
  <c r="N481" i="7"/>
  <c r="X473" i="7"/>
  <c r="W473" i="7"/>
  <c r="V473" i="7"/>
  <c r="U473" i="7"/>
  <c r="T473" i="7"/>
  <c r="S473" i="7"/>
  <c r="Q473" i="7"/>
  <c r="R473" i="7"/>
  <c r="P473" i="7"/>
  <c r="O473" i="7"/>
  <c r="M473" i="7"/>
  <c r="N473" i="7"/>
  <c r="X465" i="7"/>
  <c r="W465" i="7"/>
  <c r="V465" i="7"/>
  <c r="U465" i="7"/>
  <c r="T465" i="7"/>
  <c r="S465" i="7"/>
  <c r="R465" i="7"/>
  <c r="Q465" i="7"/>
  <c r="O465" i="7"/>
  <c r="P465" i="7"/>
  <c r="M465" i="7"/>
  <c r="N465" i="7"/>
  <c r="X457" i="7"/>
  <c r="W457" i="7"/>
  <c r="V457" i="7"/>
  <c r="U457" i="7"/>
  <c r="T457" i="7"/>
  <c r="R457" i="7"/>
  <c r="Q457" i="7"/>
  <c r="S457" i="7"/>
  <c r="O457" i="7"/>
  <c r="P457" i="7"/>
  <c r="M457" i="7"/>
  <c r="N457" i="7"/>
  <c r="X449" i="7"/>
  <c r="W449" i="7"/>
  <c r="V449" i="7"/>
  <c r="U449" i="7"/>
  <c r="S449" i="7"/>
  <c r="T449" i="7"/>
  <c r="Q449" i="7"/>
  <c r="R449" i="7"/>
  <c r="O449" i="7"/>
  <c r="P449" i="7"/>
  <c r="M449" i="7"/>
  <c r="N449" i="7"/>
  <c r="X441" i="7"/>
  <c r="W441" i="7"/>
  <c r="V441" i="7"/>
  <c r="U441" i="7"/>
  <c r="T441" i="7"/>
  <c r="S441" i="7"/>
  <c r="Q441" i="7"/>
  <c r="R441" i="7"/>
  <c r="O441" i="7"/>
  <c r="P441" i="7"/>
  <c r="M441" i="7"/>
  <c r="N441" i="7"/>
  <c r="X433" i="7"/>
  <c r="W433" i="7"/>
  <c r="V433" i="7"/>
  <c r="U433" i="7"/>
  <c r="T433" i="7"/>
  <c r="R433" i="7"/>
  <c r="Q433" i="7"/>
  <c r="O433" i="7"/>
  <c r="P433" i="7"/>
  <c r="S433" i="7"/>
  <c r="M433" i="7"/>
  <c r="N433" i="7"/>
  <c r="X425" i="7"/>
  <c r="W425" i="7"/>
  <c r="V425" i="7"/>
  <c r="U425" i="7"/>
  <c r="T425" i="7"/>
  <c r="R425" i="7"/>
  <c r="Q425" i="7"/>
  <c r="S425" i="7"/>
  <c r="O425" i="7"/>
  <c r="P425" i="7"/>
  <c r="M425" i="7"/>
  <c r="N425" i="7"/>
  <c r="X417" i="7"/>
  <c r="W417" i="7"/>
  <c r="V417" i="7"/>
  <c r="U417" i="7"/>
  <c r="S417" i="7"/>
  <c r="T417" i="7"/>
  <c r="Q417" i="7"/>
  <c r="R417" i="7"/>
  <c r="O417" i="7"/>
  <c r="P417" i="7"/>
  <c r="M417" i="7"/>
  <c r="N417" i="7"/>
  <c r="X409" i="7"/>
  <c r="W409" i="7"/>
  <c r="V409" i="7"/>
  <c r="U409" i="7"/>
  <c r="T409" i="7"/>
  <c r="S409" i="7"/>
  <c r="Q409" i="7"/>
  <c r="R409" i="7"/>
  <c r="O409" i="7"/>
  <c r="P409" i="7"/>
  <c r="M409" i="7"/>
  <c r="N409" i="7"/>
  <c r="X401" i="7"/>
  <c r="W401" i="7"/>
  <c r="V401" i="7"/>
  <c r="U401" i="7"/>
  <c r="T401" i="7"/>
  <c r="R401" i="7"/>
  <c r="Q401" i="7"/>
  <c r="S401" i="7"/>
  <c r="O401" i="7"/>
  <c r="P401" i="7"/>
  <c r="M401" i="7"/>
  <c r="N401" i="7"/>
  <c r="X393" i="7"/>
  <c r="W393" i="7"/>
  <c r="V393" i="7"/>
  <c r="U393" i="7"/>
  <c r="T393" i="7"/>
  <c r="R393" i="7"/>
  <c r="Q393" i="7"/>
  <c r="S393" i="7"/>
  <c r="O393" i="7"/>
  <c r="P393" i="7"/>
  <c r="M393" i="7"/>
  <c r="N393" i="7"/>
  <c r="X385" i="7"/>
  <c r="W385" i="7"/>
  <c r="V385" i="7"/>
  <c r="U385" i="7"/>
  <c r="S385" i="7"/>
  <c r="T385" i="7"/>
  <c r="Q385" i="7"/>
  <c r="R385" i="7"/>
  <c r="O385" i="7"/>
  <c r="P385" i="7"/>
  <c r="M385" i="7"/>
  <c r="N385" i="7"/>
  <c r="X377" i="7"/>
  <c r="W377" i="7"/>
  <c r="V377" i="7"/>
  <c r="U377" i="7"/>
  <c r="T377" i="7"/>
  <c r="S377" i="7"/>
  <c r="Q377" i="7"/>
  <c r="R377" i="7"/>
  <c r="O377" i="7"/>
  <c r="P377" i="7"/>
  <c r="M377" i="7"/>
  <c r="N377" i="7"/>
  <c r="X369" i="7"/>
  <c r="W369" i="7"/>
  <c r="V369" i="7"/>
  <c r="U369" i="7"/>
  <c r="T369" i="7"/>
  <c r="R369" i="7"/>
  <c r="Q369" i="7"/>
  <c r="S369" i="7"/>
  <c r="O369" i="7"/>
  <c r="P369" i="7"/>
  <c r="M369" i="7"/>
  <c r="N369" i="7"/>
  <c r="X361" i="7"/>
  <c r="W361" i="7"/>
  <c r="V361" i="7"/>
  <c r="U361" i="7"/>
  <c r="T361" i="7"/>
  <c r="Q361" i="7"/>
  <c r="S361" i="7"/>
  <c r="R361" i="7"/>
  <c r="O361" i="7"/>
  <c r="P361" i="7"/>
  <c r="M361" i="7"/>
  <c r="N361" i="7"/>
  <c r="X353" i="7"/>
  <c r="W353" i="7"/>
  <c r="V353" i="7"/>
  <c r="U353" i="7"/>
  <c r="T353" i="7"/>
  <c r="S353" i="7"/>
  <c r="R353" i="7"/>
  <c r="Q353" i="7"/>
  <c r="O353" i="7"/>
  <c r="P353" i="7"/>
  <c r="M353" i="7"/>
  <c r="N353" i="7"/>
  <c r="X345" i="7"/>
  <c r="W345" i="7"/>
  <c r="V345" i="7"/>
  <c r="U345" i="7"/>
  <c r="T345" i="7"/>
  <c r="S345" i="7"/>
  <c r="Q345" i="7"/>
  <c r="R345" i="7"/>
  <c r="O345" i="7"/>
  <c r="P345" i="7"/>
  <c r="M345" i="7"/>
  <c r="N345" i="7"/>
  <c r="X337" i="7"/>
  <c r="W337" i="7"/>
  <c r="V337" i="7"/>
  <c r="U337" i="7"/>
  <c r="T337" i="7"/>
  <c r="Q337" i="7"/>
  <c r="S337" i="7"/>
  <c r="R337" i="7"/>
  <c r="O337" i="7"/>
  <c r="P337" i="7"/>
  <c r="M337" i="7"/>
  <c r="N337" i="7"/>
  <c r="X329" i="7"/>
  <c r="W329" i="7"/>
  <c r="V329" i="7"/>
  <c r="U329" i="7"/>
  <c r="T329" i="7"/>
  <c r="R329" i="7"/>
  <c r="S329" i="7"/>
  <c r="Q329" i="7"/>
  <c r="O329" i="7"/>
  <c r="P329" i="7"/>
  <c r="M329" i="7"/>
  <c r="N329" i="7"/>
  <c r="X321" i="7"/>
  <c r="W321" i="7"/>
  <c r="V321" i="7"/>
  <c r="U321" i="7"/>
  <c r="T321" i="7"/>
  <c r="S321" i="7"/>
  <c r="Q321" i="7"/>
  <c r="R321" i="7"/>
  <c r="O321" i="7"/>
  <c r="P321" i="7"/>
  <c r="M321" i="7"/>
  <c r="N321" i="7"/>
  <c r="X313" i="7"/>
  <c r="W313" i="7"/>
  <c r="V313" i="7"/>
  <c r="U313" i="7"/>
  <c r="T313" i="7"/>
  <c r="S313" i="7"/>
  <c r="Q313" i="7"/>
  <c r="O313" i="7"/>
  <c r="P313" i="7"/>
  <c r="R313" i="7"/>
  <c r="M313" i="7"/>
  <c r="N313" i="7"/>
  <c r="X305" i="7"/>
  <c r="W305" i="7"/>
  <c r="V305" i="7"/>
  <c r="U305" i="7"/>
  <c r="T305" i="7"/>
  <c r="R305" i="7"/>
  <c r="Q305" i="7"/>
  <c r="S305" i="7"/>
  <c r="O305" i="7"/>
  <c r="P305" i="7"/>
  <c r="M305" i="7"/>
  <c r="N305" i="7"/>
  <c r="X297" i="7"/>
  <c r="W297" i="7"/>
  <c r="V297" i="7"/>
  <c r="U297" i="7"/>
  <c r="T297" i="7"/>
  <c r="S297" i="7"/>
  <c r="Q297" i="7"/>
  <c r="R297" i="7"/>
  <c r="O297" i="7"/>
  <c r="P297" i="7"/>
  <c r="M297" i="7"/>
  <c r="N297" i="7"/>
  <c r="X289" i="7"/>
  <c r="W289" i="7"/>
  <c r="V289" i="7"/>
  <c r="U289" i="7"/>
  <c r="T289" i="7"/>
  <c r="S289" i="7"/>
  <c r="R289" i="7"/>
  <c r="Q289" i="7"/>
  <c r="O289" i="7"/>
  <c r="P289" i="7"/>
  <c r="M289" i="7"/>
  <c r="N289" i="7"/>
  <c r="X281" i="7"/>
  <c r="W281" i="7"/>
  <c r="V281" i="7"/>
  <c r="U281" i="7"/>
  <c r="S281" i="7"/>
  <c r="Q281" i="7"/>
  <c r="R281" i="7"/>
  <c r="T281" i="7"/>
  <c r="O281" i="7"/>
  <c r="P281" i="7"/>
  <c r="M281" i="7"/>
  <c r="N281" i="7"/>
  <c r="X273" i="7"/>
  <c r="W273" i="7"/>
  <c r="V273" i="7"/>
  <c r="U273" i="7"/>
  <c r="T273" i="7"/>
  <c r="S273" i="7"/>
  <c r="Q273" i="7"/>
  <c r="R273" i="7"/>
  <c r="O273" i="7"/>
  <c r="P273" i="7"/>
  <c r="M273" i="7"/>
  <c r="N273" i="7"/>
  <c r="X265" i="7"/>
  <c r="W265" i="7"/>
  <c r="V265" i="7"/>
  <c r="U265" i="7"/>
  <c r="T265" i="7"/>
  <c r="S265" i="7"/>
  <c r="R265" i="7"/>
  <c r="Q265" i="7"/>
  <c r="O265" i="7"/>
  <c r="P265" i="7"/>
  <c r="M265" i="7"/>
  <c r="N265" i="7"/>
  <c r="X257" i="7"/>
  <c r="W257" i="7"/>
  <c r="V257" i="7"/>
  <c r="U257" i="7"/>
  <c r="T257" i="7"/>
  <c r="S257" i="7"/>
  <c r="Q257" i="7"/>
  <c r="R257" i="7"/>
  <c r="O257" i="7"/>
  <c r="P257" i="7"/>
  <c r="M257" i="7"/>
  <c r="N257" i="7"/>
  <c r="X249" i="7"/>
  <c r="W249" i="7"/>
  <c r="V249" i="7"/>
  <c r="U249" i="7"/>
  <c r="S249" i="7"/>
  <c r="T249" i="7"/>
  <c r="Q249" i="7"/>
  <c r="O249" i="7"/>
  <c r="P249" i="7"/>
  <c r="R249" i="7"/>
  <c r="M249" i="7"/>
  <c r="N249" i="7"/>
  <c r="X241" i="7"/>
  <c r="W241" i="7"/>
  <c r="V241" i="7"/>
  <c r="U241" i="7"/>
  <c r="T241" i="7"/>
  <c r="S241" i="7"/>
  <c r="R241" i="7"/>
  <c r="Q241" i="7"/>
  <c r="O241" i="7"/>
  <c r="P241" i="7"/>
  <c r="M241" i="7"/>
  <c r="N241" i="7"/>
  <c r="X233" i="7"/>
  <c r="W233" i="7"/>
  <c r="V233" i="7"/>
  <c r="U233" i="7"/>
  <c r="T233" i="7"/>
  <c r="Q233" i="7"/>
  <c r="R233" i="7"/>
  <c r="O233" i="7"/>
  <c r="P233" i="7"/>
  <c r="S233" i="7"/>
  <c r="M233" i="7"/>
  <c r="N233" i="7"/>
  <c r="X225" i="7"/>
  <c r="W225" i="7"/>
  <c r="V225" i="7"/>
  <c r="U225" i="7"/>
  <c r="T225" i="7"/>
  <c r="S225" i="7"/>
  <c r="R225" i="7"/>
  <c r="Q225" i="7"/>
  <c r="O225" i="7"/>
  <c r="P225" i="7"/>
  <c r="M225" i="7"/>
  <c r="N225" i="7"/>
  <c r="X217" i="7"/>
  <c r="W217" i="7"/>
  <c r="V217" i="7"/>
  <c r="U217" i="7"/>
  <c r="T217" i="7"/>
  <c r="S217" i="7"/>
  <c r="Q217" i="7"/>
  <c r="R217" i="7"/>
  <c r="O217" i="7"/>
  <c r="P217" i="7"/>
  <c r="M217" i="7"/>
  <c r="N217" i="7"/>
  <c r="X209" i="7"/>
  <c r="W209" i="7"/>
  <c r="V209" i="7"/>
  <c r="U209" i="7"/>
  <c r="T209" i="7"/>
  <c r="S209" i="7"/>
  <c r="Q209" i="7"/>
  <c r="R209" i="7"/>
  <c r="O209" i="7"/>
  <c r="P209" i="7"/>
  <c r="M209" i="7"/>
  <c r="N209" i="7"/>
  <c r="X201" i="7"/>
  <c r="W201" i="7"/>
  <c r="V201" i="7"/>
  <c r="U201" i="7"/>
  <c r="T201" i="7"/>
  <c r="R201" i="7"/>
  <c r="Q201" i="7"/>
  <c r="S201" i="7"/>
  <c r="O201" i="7"/>
  <c r="P201" i="7"/>
  <c r="M201" i="7"/>
  <c r="N201" i="7"/>
  <c r="X193" i="7"/>
  <c r="W193" i="7"/>
  <c r="V193" i="7"/>
  <c r="U193" i="7"/>
  <c r="T193" i="7"/>
  <c r="S193" i="7"/>
  <c r="Q193" i="7"/>
  <c r="R193" i="7"/>
  <c r="O193" i="7"/>
  <c r="P193" i="7"/>
  <c r="M193" i="7"/>
  <c r="N193" i="7"/>
  <c r="X185" i="7"/>
  <c r="W185" i="7"/>
  <c r="V185" i="7"/>
  <c r="U185" i="7"/>
  <c r="S185" i="7"/>
  <c r="T185" i="7"/>
  <c r="Q185" i="7"/>
  <c r="O185" i="7"/>
  <c r="R185" i="7"/>
  <c r="P185" i="7"/>
  <c r="M185" i="7"/>
  <c r="N185" i="7"/>
  <c r="X177" i="7"/>
  <c r="W177" i="7"/>
  <c r="V177" i="7"/>
  <c r="U177" i="7"/>
  <c r="T177" i="7"/>
  <c r="S177" i="7"/>
  <c r="R177" i="7"/>
  <c r="Q177" i="7"/>
  <c r="O177" i="7"/>
  <c r="P177" i="7"/>
  <c r="M177" i="7"/>
  <c r="N177" i="7"/>
  <c r="X169" i="7"/>
  <c r="W169" i="7"/>
  <c r="V169" i="7"/>
  <c r="U169" i="7"/>
  <c r="T169" i="7"/>
  <c r="S169" i="7"/>
  <c r="Q169" i="7"/>
  <c r="R169" i="7"/>
  <c r="O169" i="7"/>
  <c r="P169" i="7"/>
  <c r="M169" i="7"/>
  <c r="N169" i="7"/>
  <c r="X161" i="7"/>
  <c r="W161" i="7"/>
  <c r="V161" i="7"/>
  <c r="U161" i="7"/>
  <c r="T161" i="7"/>
  <c r="S161" i="7"/>
  <c r="R161" i="7"/>
  <c r="Q161" i="7"/>
  <c r="O161" i="7"/>
  <c r="P161" i="7"/>
  <c r="M161" i="7"/>
  <c r="N161" i="7"/>
  <c r="X153" i="7"/>
  <c r="W153" i="7"/>
  <c r="V153" i="7"/>
  <c r="U153" i="7"/>
  <c r="T153" i="7"/>
  <c r="S153" i="7"/>
  <c r="Q153" i="7"/>
  <c r="R153" i="7"/>
  <c r="O153" i="7"/>
  <c r="P153" i="7"/>
  <c r="M153" i="7"/>
  <c r="N153" i="7"/>
  <c r="X145" i="7"/>
  <c r="W145" i="7"/>
  <c r="V145" i="7"/>
  <c r="U145" i="7"/>
  <c r="T145" i="7"/>
  <c r="S145" i="7"/>
  <c r="Q145" i="7"/>
  <c r="R145" i="7"/>
  <c r="O145" i="7"/>
  <c r="P145" i="7"/>
  <c r="M145" i="7"/>
  <c r="N145" i="7"/>
  <c r="X137" i="7"/>
  <c r="W137" i="7"/>
  <c r="V137" i="7"/>
  <c r="U137" i="7"/>
  <c r="T137" i="7"/>
  <c r="R137" i="7"/>
  <c r="Q137" i="7"/>
  <c r="S137" i="7"/>
  <c r="O137" i="7"/>
  <c r="P137" i="7"/>
  <c r="M137" i="7"/>
  <c r="N137" i="7"/>
  <c r="X129" i="7"/>
  <c r="W129" i="7"/>
  <c r="V129" i="7"/>
  <c r="U129" i="7"/>
  <c r="T129" i="7"/>
  <c r="Q129" i="7"/>
  <c r="R129" i="7"/>
  <c r="S129" i="7"/>
  <c r="O129" i="7"/>
  <c r="P129" i="7"/>
  <c r="M129" i="7"/>
  <c r="N129" i="7"/>
  <c r="X121" i="7"/>
  <c r="W121" i="7"/>
  <c r="V121" i="7"/>
  <c r="U121" i="7"/>
  <c r="S121" i="7"/>
  <c r="T121" i="7"/>
  <c r="Q121" i="7"/>
  <c r="O121" i="7"/>
  <c r="P121" i="7"/>
  <c r="R121" i="7"/>
  <c r="M121" i="7"/>
  <c r="N121" i="7"/>
  <c r="X113" i="7"/>
  <c r="W113" i="7"/>
  <c r="V113" i="7"/>
  <c r="U113" i="7"/>
  <c r="T113" i="7"/>
  <c r="S113" i="7"/>
  <c r="R113" i="7"/>
  <c r="Q113" i="7"/>
  <c r="O113" i="7"/>
  <c r="P113" i="7"/>
  <c r="M113" i="7"/>
  <c r="N113" i="7"/>
  <c r="X105" i="7"/>
  <c r="W105" i="7"/>
  <c r="V105" i="7"/>
  <c r="U105" i="7"/>
  <c r="T105" i="7"/>
  <c r="S105" i="7"/>
  <c r="Q105" i="7"/>
  <c r="R105" i="7"/>
  <c r="O105" i="7"/>
  <c r="P105" i="7"/>
  <c r="M105" i="7"/>
  <c r="N105" i="7"/>
  <c r="X97" i="7"/>
  <c r="W97" i="7"/>
  <c r="V97" i="7"/>
  <c r="U97" i="7"/>
  <c r="T97" i="7"/>
  <c r="S97" i="7"/>
  <c r="R97" i="7"/>
  <c r="Q97" i="7"/>
  <c r="O97" i="7"/>
  <c r="P97" i="7"/>
  <c r="M97" i="7"/>
  <c r="N97" i="7"/>
  <c r="X89" i="7"/>
  <c r="W89" i="7"/>
  <c r="V89" i="7"/>
  <c r="U89" i="7"/>
  <c r="T89" i="7"/>
  <c r="Q89" i="7"/>
  <c r="S89" i="7"/>
  <c r="R89" i="7"/>
  <c r="O89" i="7"/>
  <c r="P89" i="7"/>
  <c r="M89" i="7"/>
  <c r="N89" i="7"/>
  <c r="X81" i="7"/>
  <c r="W81" i="7"/>
  <c r="V81" i="7"/>
  <c r="U81" i="7"/>
  <c r="T81" i="7"/>
  <c r="S81" i="7"/>
  <c r="Q81" i="7"/>
  <c r="R81" i="7"/>
  <c r="O81" i="7"/>
  <c r="P81" i="7"/>
  <c r="M81" i="7"/>
  <c r="N81" i="7"/>
  <c r="X73" i="7"/>
  <c r="W73" i="7"/>
  <c r="V73" i="7"/>
  <c r="U73" i="7"/>
  <c r="T73" i="7"/>
  <c r="R73" i="7"/>
  <c r="Q73" i="7"/>
  <c r="S73" i="7"/>
  <c r="O73" i="7"/>
  <c r="P73" i="7"/>
  <c r="M73" i="7"/>
  <c r="N73" i="7"/>
  <c r="X65" i="7"/>
  <c r="W65" i="7"/>
  <c r="V65" i="7"/>
  <c r="U65" i="7"/>
  <c r="T65" i="7"/>
  <c r="Q65" i="7"/>
  <c r="R65" i="7"/>
  <c r="S65" i="7"/>
  <c r="O65" i="7"/>
  <c r="P65" i="7"/>
  <c r="M65" i="7"/>
  <c r="N65" i="7"/>
  <c r="X57" i="7"/>
  <c r="W57" i="7"/>
  <c r="V57" i="7"/>
  <c r="U57" i="7"/>
  <c r="T57" i="7"/>
  <c r="S57" i="7"/>
  <c r="Q57" i="7"/>
  <c r="O57" i="7"/>
  <c r="P57" i="7"/>
  <c r="R57" i="7"/>
  <c r="M57" i="7"/>
  <c r="N57" i="7"/>
  <c r="X49" i="7"/>
  <c r="W49" i="7"/>
  <c r="V49" i="7"/>
  <c r="U49" i="7"/>
  <c r="T49" i="7"/>
  <c r="S49" i="7"/>
  <c r="R49" i="7"/>
  <c r="Q49" i="7"/>
  <c r="O49" i="7"/>
  <c r="P49" i="7"/>
  <c r="M49" i="7"/>
  <c r="N49" i="7"/>
  <c r="X41" i="7"/>
  <c r="W41" i="7"/>
  <c r="V41" i="7"/>
  <c r="U41" i="7"/>
  <c r="T41" i="7"/>
  <c r="S41" i="7"/>
  <c r="Q41" i="7"/>
  <c r="R41" i="7"/>
  <c r="O41" i="7"/>
  <c r="P41" i="7"/>
  <c r="M41" i="7"/>
  <c r="N41" i="7"/>
  <c r="X33" i="7"/>
  <c r="W33" i="7"/>
  <c r="V33" i="7"/>
  <c r="U33" i="7"/>
  <c r="T33" i="7"/>
  <c r="S33" i="7"/>
  <c r="R33" i="7"/>
  <c r="Q33" i="7"/>
  <c r="O33" i="7"/>
  <c r="P33" i="7"/>
  <c r="M33" i="7"/>
  <c r="N33" i="7"/>
  <c r="X25" i="7"/>
  <c r="W25" i="7"/>
  <c r="V25" i="7"/>
  <c r="U25" i="7"/>
  <c r="T25" i="7"/>
  <c r="Q25" i="7"/>
  <c r="R25" i="7"/>
  <c r="S25" i="7"/>
  <c r="O25" i="7"/>
  <c r="P25" i="7"/>
  <c r="M25" i="7"/>
  <c r="N25" i="7"/>
  <c r="X17" i="7"/>
  <c r="W17" i="7"/>
  <c r="V17" i="7"/>
  <c r="U17" i="7"/>
  <c r="T17" i="7"/>
  <c r="S17" i="7"/>
  <c r="Q17" i="7"/>
  <c r="R17" i="7"/>
  <c r="O17" i="7"/>
  <c r="P17" i="7"/>
  <c r="M17" i="7"/>
  <c r="N17" i="7"/>
  <c r="X9" i="7"/>
  <c r="W9" i="7"/>
  <c r="V9" i="7"/>
  <c r="U9" i="7"/>
  <c r="T9" i="7"/>
  <c r="S9" i="7"/>
  <c r="R9" i="7"/>
  <c r="Q9" i="7"/>
  <c r="O9" i="7"/>
  <c r="P9" i="7"/>
  <c r="M9" i="7"/>
  <c r="N9" i="7"/>
  <c r="X1194" i="7"/>
  <c r="W1194" i="7"/>
  <c r="V1194" i="7"/>
  <c r="U1194" i="7"/>
  <c r="T1194" i="7"/>
  <c r="S1194" i="7"/>
  <c r="R1194" i="7"/>
  <c r="P1194" i="7"/>
  <c r="Q1194" i="7"/>
  <c r="O1194" i="7"/>
  <c r="M1194" i="7"/>
  <c r="N1194" i="7"/>
  <c r="X1138" i="7"/>
  <c r="W1138" i="7"/>
  <c r="V1138" i="7"/>
  <c r="U1138" i="7"/>
  <c r="T1138" i="7"/>
  <c r="S1138" i="7"/>
  <c r="R1138" i="7"/>
  <c r="Q1138" i="7"/>
  <c r="P1138" i="7"/>
  <c r="M1138" i="7"/>
  <c r="N1138" i="7"/>
  <c r="O1138" i="7"/>
  <c r="X1082" i="7"/>
  <c r="W1082" i="7"/>
  <c r="V1082" i="7"/>
  <c r="U1082" i="7"/>
  <c r="T1082" i="7"/>
  <c r="S1082" i="7"/>
  <c r="R1082" i="7"/>
  <c r="Q1082" i="7"/>
  <c r="P1082" i="7"/>
  <c r="O1082" i="7"/>
  <c r="M1082" i="7"/>
  <c r="N1082" i="7"/>
  <c r="X1042" i="7"/>
  <c r="W1042" i="7"/>
  <c r="V1042" i="7"/>
  <c r="U1042" i="7"/>
  <c r="T1042" i="7"/>
  <c r="S1042" i="7"/>
  <c r="R1042" i="7"/>
  <c r="Q1042" i="7"/>
  <c r="P1042" i="7"/>
  <c r="O1042" i="7"/>
  <c r="M1042" i="7"/>
  <c r="N1042" i="7"/>
  <c r="X946" i="7"/>
  <c r="W946" i="7"/>
  <c r="U946" i="7"/>
  <c r="T946" i="7"/>
  <c r="V946" i="7"/>
  <c r="S946" i="7"/>
  <c r="R946" i="7"/>
  <c r="P946" i="7"/>
  <c r="Q946" i="7"/>
  <c r="M946" i="7"/>
  <c r="N946" i="7"/>
  <c r="O946" i="7"/>
  <c r="X818" i="7"/>
  <c r="W818" i="7"/>
  <c r="V818" i="7"/>
  <c r="U818" i="7"/>
  <c r="T818" i="7"/>
  <c r="S818" i="7"/>
  <c r="R818" i="7"/>
  <c r="P818" i="7"/>
  <c r="Q818" i="7"/>
  <c r="O818" i="7"/>
  <c r="M818" i="7"/>
  <c r="N818" i="7"/>
  <c r="X786" i="7"/>
  <c r="W786" i="7"/>
  <c r="U786" i="7"/>
  <c r="T786" i="7"/>
  <c r="V786" i="7"/>
  <c r="S786" i="7"/>
  <c r="R786" i="7"/>
  <c r="Q786" i="7"/>
  <c r="P786" i="7"/>
  <c r="O786" i="7"/>
  <c r="M786" i="7"/>
  <c r="N786" i="7"/>
  <c r="X770" i="7"/>
  <c r="W770" i="7"/>
  <c r="V770" i="7"/>
  <c r="T770" i="7"/>
  <c r="U770" i="7"/>
  <c r="S770" i="7"/>
  <c r="R770" i="7"/>
  <c r="P770" i="7"/>
  <c r="Q770" i="7"/>
  <c r="M770" i="7"/>
  <c r="N770" i="7"/>
  <c r="O770" i="7"/>
  <c r="X754" i="7"/>
  <c r="W754" i="7"/>
  <c r="V754" i="7"/>
  <c r="U754" i="7"/>
  <c r="T754" i="7"/>
  <c r="S754" i="7"/>
  <c r="R754" i="7"/>
  <c r="P754" i="7"/>
  <c r="Q754" i="7"/>
  <c r="O754" i="7"/>
  <c r="M754" i="7"/>
  <c r="N754" i="7"/>
  <c r="X738" i="7"/>
  <c r="W738" i="7"/>
  <c r="V738" i="7"/>
  <c r="U738" i="7"/>
  <c r="T738" i="7"/>
  <c r="S738" i="7"/>
  <c r="R738" i="7"/>
  <c r="P738" i="7"/>
  <c r="Q738" i="7"/>
  <c r="M738" i="7"/>
  <c r="N738" i="7"/>
  <c r="O738" i="7"/>
  <c r="X642" i="7"/>
  <c r="W642" i="7"/>
  <c r="V642" i="7"/>
  <c r="U642" i="7"/>
  <c r="T642" i="7"/>
  <c r="S642" i="7"/>
  <c r="R642" i="7"/>
  <c r="P642" i="7"/>
  <c r="Q642" i="7"/>
  <c r="M642" i="7"/>
  <c r="N642" i="7"/>
  <c r="O642" i="7"/>
  <c r="X546" i="7"/>
  <c r="W546" i="7"/>
  <c r="V546" i="7"/>
  <c r="U546" i="7"/>
  <c r="T546" i="7"/>
  <c r="S546" i="7"/>
  <c r="R546" i="7"/>
  <c r="Q546" i="7"/>
  <c r="P546" i="7"/>
  <c r="M546" i="7"/>
  <c r="N546" i="7"/>
  <c r="O546" i="7"/>
  <c r="X506" i="7"/>
  <c r="W506" i="7"/>
  <c r="V506" i="7"/>
  <c r="U506" i="7"/>
  <c r="T506" i="7"/>
  <c r="S506" i="7"/>
  <c r="P506" i="7"/>
  <c r="Q506" i="7"/>
  <c r="R506" i="7"/>
  <c r="O506" i="7"/>
  <c r="M506" i="7"/>
  <c r="N506" i="7"/>
  <c r="X482" i="7"/>
  <c r="W482" i="7"/>
  <c r="V482" i="7"/>
  <c r="U482" i="7"/>
  <c r="T482" i="7"/>
  <c r="S482" i="7"/>
  <c r="R482" i="7"/>
  <c r="Q482" i="7"/>
  <c r="P482" i="7"/>
  <c r="O482" i="7"/>
  <c r="M482" i="7"/>
  <c r="N482" i="7"/>
  <c r="X410" i="7"/>
  <c r="W410" i="7"/>
  <c r="V410" i="7"/>
  <c r="U410" i="7"/>
  <c r="T410" i="7"/>
  <c r="S410" i="7"/>
  <c r="P410" i="7"/>
  <c r="R410" i="7"/>
  <c r="Q410" i="7"/>
  <c r="O410" i="7"/>
  <c r="M410" i="7"/>
  <c r="N410" i="7"/>
  <c r="X354" i="7"/>
  <c r="W354" i="7"/>
  <c r="V354" i="7"/>
  <c r="U354" i="7"/>
  <c r="T354" i="7"/>
  <c r="S354" i="7"/>
  <c r="R354" i="7"/>
  <c r="Q354" i="7"/>
  <c r="P354" i="7"/>
  <c r="O354" i="7"/>
  <c r="M354" i="7"/>
  <c r="N354" i="7"/>
  <c r="X338" i="7"/>
  <c r="V338" i="7"/>
  <c r="W338" i="7"/>
  <c r="U338" i="7"/>
  <c r="T338" i="7"/>
  <c r="S338" i="7"/>
  <c r="P338" i="7"/>
  <c r="Q338" i="7"/>
  <c r="R338" i="7"/>
  <c r="O338" i="7"/>
  <c r="M338" i="7"/>
  <c r="N338" i="7"/>
  <c r="X298" i="7"/>
  <c r="W298" i="7"/>
  <c r="V298" i="7"/>
  <c r="U298" i="7"/>
  <c r="T298" i="7"/>
  <c r="S298" i="7"/>
  <c r="R298" i="7"/>
  <c r="P298" i="7"/>
  <c r="Q298" i="7"/>
  <c r="O298" i="7"/>
  <c r="M298" i="7"/>
  <c r="N298" i="7"/>
  <c r="X266" i="7"/>
  <c r="V266" i="7"/>
  <c r="W266" i="7"/>
  <c r="U266" i="7"/>
  <c r="T266" i="7"/>
  <c r="S266" i="7"/>
  <c r="R266" i="7"/>
  <c r="Q266" i="7"/>
  <c r="P266" i="7"/>
  <c r="O266" i="7"/>
  <c r="M266" i="7"/>
  <c r="N266" i="7"/>
  <c r="X218" i="7"/>
  <c r="W218" i="7"/>
  <c r="V218" i="7"/>
  <c r="U218" i="7"/>
  <c r="T218" i="7"/>
  <c r="S218" i="7"/>
  <c r="R218" i="7"/>
  <c r="P218" i="7"/>
  <c r="O218" i="7"/>
  <c r="Q218" i="7"/>
  <c r="M218" i="7"/>
  <c r="N218" i="7"/>
  <c r="X1198" i="7"/>
  <c r="W1198" i="7"/>
  <c r="V1198" i="7"/>
  <c r="U1198" i="7"/>
  <c r="T1198" i="7"/>
  <c r="R1198" i="7"/>
  <c r="S1198" i="7"/>
  <c r="P1198" i="7"/>
  <c r="O1198" i="7"/>
  <c r="Q1198" i="7"/>
  <c r="N1198" i="7"/>
  <c r="M1198" i="7"/>
  <c r="X1190" i="7"/>
  <c r="W1190" i="7"/>
  <c r="V1190" i="7"/>
  <c r="U1190" i="7"/>
  <c r="T1190" i="7"/>
  <c r="R1190" i="7"/>
  <c r="S1190" i="7"/>
  <c r="Q1190" i="7"/>
  <c r="P1190" i="7"/>
  <c r="O1190" i="7"/>
  <c r="N1190" i="7"/>
  <c r="M1190" i="7"/>
  <c r="X1182" i="7"/>
  <c r="W1182" i="7"/>
  <c r="V1182" i="7"/>
  <c r="U1182" i="7"/>
  <c r="T1182" i="7"/>
  <c r="S1182" i="7"/>
  <c r="R1182" i="7"/>
  <c r="Q1182" i="7"/>
  <c r="P1182" i="7"/>
  <c r="O1182" i="7"/>
  <c r="N1182" i="7"/>
  <c r="M1182" i="7"/>
  <c r="X1174" i="7"/>
  <c r="V1174" i="7"/>
  <c r="W1174" i="7"/>
  <c r="U1174" i="7"/>
  <c r="T1174" i="7"/>
  <c r="R1174" i="7"/>
  <c r="S1174" i="7"/>
  <c r="Q1174" i="7"/>
  <c r="P1174" i="7"/>
  <c r="O1174" i="7"/>
  <c r="N1174" i="7"/>
  <c r="M1174" i="7"/>
  <c r="X1166" i="7"/>
  <c r="W1166" i="7"/>
  <c r="V1166" i="7"/>
  <c r="U1166" i="7"/>
  <c r="T1166" i="7"/>
  <c r="R1166" i="7"/>
  <c r="S1166" i="7"/>
  <c r="P1166" i="7"/>
  <c r="O1166" i="7"/>
  <c r="Q1166" i="7"/>
  <c r="N1166" i="7"/>
  <c r="M1166" i="7"/>
  <c r="X1158" i="7"/>
  <c r="W1158" i="7"/>
  <c r="U1158" i="7"/>
  <c r="V1158" i="7"/>
  <c r="T1158" i="7"/>
  <c r="R1158" i="7"/>
  <c r="S1158" i="7"/>
  <c r="Q1158" i="7"/>
  <c r="P1158" i="7"/>
  <c r="O1158" i="7"/>
  <c r="N1158" i="7"/>
  <c r="M1158" i="7"/>
  <c r="X1150" i="7"/>
  <c r="W1150" i="7"/>
  <c r="V1150" i="7"/>
  <c r="U1150" i="7"/>
  <c r="T1150" i="7"/>
  <c r="R1150" i="7"/>
  <c r="S1150" i="7"/>
  <c r="Q1150" i="7"/>
  <c r="P1150" i="7"/>
  <c r="O1150" i="7"/>
  <c r="N1150" i="7"/>
  <c r="M1150" i="7"/>
  <c r="X1142" i="7"/>
  <c r="W1142" i="7"/>
  <c r="V1142" i="7"/>
  <c r="U1142" i="7"/>
  <c r="T1142" i="7"/>
  <c r="R1142" i="7"/>
  <c r="Q1142" i="7"/>
  <c r="S1142" i="7"/>
  <c r="P1142" i="7"/>
  <c r="O1142" i="7"/>
  <c r="N1142" i="7"/>
  <c r="M1142" i="7"/>
  <c r="X1134" i="7"/>
  <c r="W1134" i="7"/>
  <c r="V1134" i="7"/>
  <c r="U1134" i="7"/>
  <c r="T1134" i="7"/>
  <c r="R1134" i="7"/>
  <c r="S1134" i="7"/>
  <c r="P1134" i="7"/>
  <c r="Q1134" i="7"/>
  <c r="O1134" i="7"/>
  <c r="N1134" i="7"/>
  <c r="M1134" i="7"/>
  <c r="X1126" i="7"/>
  <c r="W1126" i="7"/>
  <c r="V1126" i="7"/>
  <c r="U1126" i="7"/>
  <c r="T1126" i="7"/>
  <c r="R1126" i="7"/>
  <c r="S1126" i="7"/>
  <c r="Q1126" i="7"/>
  <c r="P1126" i="7"/>
  <c r="O1126" i="7"/>
  <c r="N1126" i="7"/>
  <c r="M1126" i="7"/>
  <c r="X1118" i="7"/>
  <c r="W1118" i="7"/>
  <c r="V1118" i="7"/>
  <c r="U1118" i="7"/>
  <c r="T1118" i="7"/>
  <c r="S1118" i="7"/>
  <c r="R1118" i="7"/>
  <c r="Q1118" i="7"/>
  <c r="P1118" i="7"/>
  <c r="O1118" i="7"/>
  <c r="N1118" i="7"/>
  <c r="M1118" i="7"/>
  <c r="X1110" i="7"/>
  <c r="V1110" i="7"/>
  <c r="W1110" i="7"/>
  <c r="U1110" i="7"/>
  <c r="T1110" i="7"/>
  <c r="R1110" i="7"/>
  <c r="S1110" i="7"/>
  <c r="Q1110" i="7"/>
  <c r="P1110" i="7"/>
  <c r="O1110" i="7"/>
  <c r="N1110" i="7"/>
  <c r="M1110" i="7"/>
  <c r="X1102" i="7"/>
  <c r="W1102" i="7"/>
  <c r="V1102" i="7"/>
  <c r="U1102" i="7"/>
  <c r="T1102" i="7"/>
  <c r="R1102" i="7"/>
  <c r="S1102" i="7"/>
  <c r="P1102" i="7"/>
  <c r="O1102" i="7"/>
  <c r="Q1102" i="7"/>
  <c r="N1102" i="7"/>
  <c r="M1102" i="7"/>
  <c r="X1094" i="7"/>
  <c r="W1094" i="7"/>
  <c r="U1094" i="7"/>
  <c r="T1094" i="7"/>
  <c r="V1094" i="7"/>
  <c r="R1094" i="7"/>
  <c r="S1094" i="7"/>
  <c r="Q1094" i="7"/>
  <c r="P1094" i="7"/>
  <c r="O1094" i="7"/>
  <c r="N1094" i="7"/>
  <c r="M1094" i="7"/>
  <c r="X1086" i="7"/>
  <c r="W1086" i="7"/>
  <c r="V1086" i="7"/>
  <c r="U1086" i="7"/>
  <c r="T1086" i="7"/>
  <c r="R1086" i="7"/>
  <c r="S1086" i="7"/>
  <c r="Q1086" i="7"/>
  <c r="P1086" i="7"/>
  <c r="O1086" i="7"/>
  <c r="N1086" i="7"/>
  <c r="M1086" i="7"/>
  <c r="X1078" i="7"/>
  <c r="W1078" i="7"/>
  <c r="V1078" i="7"/>
  <c r="U1078" i="7"/>
  <c r="T1078" i="7"/>
  <c r="S1078" i="7"/>
  <c r="R1078" i="7"/>
  <c r="Q1078" i="7"/>
  <c r="P1078" i="7"/>
  <c r="O1078" i="7"/>
  <c r="N1078" i="7"/>
  <c r="M1078" i="7"/>
  <c r="X1070" i="7"/>
  <c r="W1070" i="7"/>
  <c r="V1070" i="7"/>
  <c r="U1070" i="7"/>
  <c r="T1070" i="7"/>
  <c r="R1070" i="7"/>
  <c r="S1070" i="7"/>
  <c r="P1070" i="7"/>
  <c r="Q1070" i="7"/>
  <c r="O1070" i="7"/>
  <c r="N1070" i="7"/>
  <c r="M1070" i="7"/>
  <c r="X1062" i="7"/>
  <c r="W1062" i="7"/>
  <c r="V1062" i="7"/>
  <c r="U1062" i="7"/>
  <c r="T1062" i="7"/>
  <c r="S1062" i="7"/>
  <c r="R1062" i="7"/>
  <c r="Q1062" i="7"/>
  <c r="P1062" i="7"/>
  <c r="O1062" i="7"/>
  <c r="N1062" i="7"/>
  <c r="M1062" i="7"/>
  <c r="X1054" i="7"/>
  <c r="W1054" i="7"/>
  <c r="V1054" i="7"/>
  <c r="U1054" i="7"/>
  <c r="T1054" i="7"/>
  <c r="R1054" i="7"/>
  <c r="S1054" i="7"/>
  <c r="Q1054" i="7"/>
  <c r="P1054" i="7"/>
  <c r="O1054" i="7"/>
  <c r="N1054" i="7"/>
  <c r="M1054" i="7"/>
  <c r="X1046" i="7"/>
  <c r="V1046" i="7"/>
  <c r="U1046" i="7"/>
  <c r="W1046" i="7"/>
  <c r="T1046" i="7"/>
  <c r="R1046" i="7"/>
  <c r="S1046" i="7"/>
  <c r="Q1046" i="7"/>
  <c r="P1046" i="7"/>
  <c r="O1046" i="7"/>
  <c r="N1046" i="7"/>
  <c r="M1046" i="7"/>
  <c r="X1038" i="7"/>
  <c r="W1038" i="7"/>
  <c r="V1038" i="7"/>
  <c r="U1038" i="7"/>
  <c r="T1038" i="7"/>
  <c r="R1038" i="7"/>
  <c r="P1038" i="7"/>
  <c r="Q1038" i="7"/>
  <c r="O1038" i="7"/>
  <c r="S1038" i="7"/>
  <c r="N1038" i="7"/>
  <c r="M1038" i="7"/>
  <c r="X1030" i="7"/>
  <c r="W1030" i="7"/>
  <c r="U1030" i="7"/>
  <c r="T1030" i="7"/>
  <c r="V1030" i="7"/>
  <c r="R1030" i="7"/>
  <c r="S1030" i="7"/>
  <c r="Q1030" i="7"/>
  <c r="P1030" i="7"/>
  <c r="O1030" i="7"/>
  <c r="N1030" i="7"/>
  <c r="M1030" i="7"/>
  <c r="X1022" i="7"/>
  <c r="W1022" i="7"/>
  <c r="U1022" i="7"/>
  <c r="V1022" i="7"/>
  <c r="T1022" i="7"/>
  <c r="R1022" i="7"/>
  <c r="S1022" i="7"/>
  <c r="Q1022" i="7"/>
  <c r="P1022" i="7"/>
  <c r="O1022" i="7"/>
  <c r="N1022" i="7"/>
  <c r="M1022" i="7"/>
  <c r="X1014" i="7"/>
  <c r="W1014" i="7"/>
  <c r="V1014" i="7"/>
  <c r="U1014" i="7"/>
  <c r="T1014" i="7"/>
  <c r="R1014" i="7"/>
  <c r="S1014" i="7"/>
  <c r="P1014" i="7"/>
  <c r="O1014" i="7"/>
  <c r="Q1014" i="7"/>
  <c r="N1014" i="7"/>
  <c r="M1014" i="7"/>
  <c r="X1006" i="7"/>
  <c r="W1006" i="7"/>
  <c r="V1006" i="7"/>
  <c r="U1006" i="7"/>
  <c r="T1006" i="7"/>
  <c r="R1006" i="7"/>
  <c r="S1006" i="7"/>
  <c r="Q1006" i="7"/>
  <c r="P1006" i="7"/>
  <c r="O1006" i="7"/>
  <c r="N1006" i="7"/>
  <c r="M1006" i="7"/>
  <c r="X998" i="7"/>
  <c r="V998" i="7"/>
  <c r="U998" i="7"/>
  <c r="W998" i="7"/>
  <c r="T998" i="7"/>
  <c r="S998" i="7"/>
  <c r="R998" i="7"/>
  <c r="Q998" i="7"/>
  <c r="P998" i="7"/>
  <c r="O998" i="7"/>
  <c r="N998" i="7"/>
  <c r="M998" i="7"/>
  <c r="X990" i="7"/>
  <c r="W990" i="7"/>
  <c r="V990" i="7"/>
  <c r="U990" i="7"/>
  <c r="T990" i="7"/>
  <c r="R990" i="7"/>
  <c r="S990" i="7"/>
  <c r="Q990" i="7"/>
  <c r="P990" i="7"/>
  <c r="O990" i="7"/>
  <c r="N990" i="7"/>
  <c r="M990" i="7"/>
  <c r="X982" i="7"/>
  <c r="W982" i="7"/>
  <c r="V982" i="7"/>
  <c r="U982" i="7"/>
  <c r="T982" i="7"/>
  <c r="R982" i="7"/>
  <c r="S982" i="7"/>
  <c r="Q982" i="7"/>
  <c r="P982" i="7"/>
  <c r="O982" i="7"/>
  <c r="N982" i="7"/>
  <c r="M982" i="7"/>
  <c r="X974" i="7"/>
  <c r="V974" i="7"/>
  <c r="U974" i="7"/>
  <c r="W974" i="7"/>
  <c r="T974" i="7"/>
  <c r="R974" i="7"/>
  <c r="S974" i="7"/>
  <c r="Q974" i="7"/>
  <c r="P974" i="7"/>
  <c r="O974" i="7"/>
  <c r="N974" i="7"/>
  <c r="M974" i="7"/>
  <c r="X966" i="7"/>
  <c r="W966" i="7"/>
  <c r="U966" i="7"/>
  <c r="T966" i="7"/>
  <c r="V966" i="7"/>
  <c r="R966" i="7"/>
  <c r="S966" i="7"/>
  <c r="Q966" i="7"/>
  <c r="P966" i="7"/>
  <c r="O966" i="7"/>
  <c r="N966" i="7"/>
  <c r="M966" i="7"/>
  <c r="X958" i="7"/>
  <c r="W958" i="7"/>
  <c r="V958" i="7"/>
  <c r="U958" i="7"/>
  <c r="T958" i="7"/>
  <c r="R958" i="7"/>
  <c r="S958" i="7"/>
  <c r="Q958" i="7"/>
  <c r="P958" i="7"/>
  <c r="O958" i="7"/>
  <c r="N958" i="7"/>
  <c r="M958" i="7"/>
  <c r="W950" i="7"/>
  <c r="X950" i="7"/>
  <c r="V950" i="7"/>
  <c r="U950" i="7"/>
  <c r="T950" i="7"/>
  <c r="R950" i="7"/>
  <c r="S950" i="7"/>
  <c r="P950" i="7"/>
  <c r="Q950" i="7"/>
  <c r="O950" i="7"/>
  <c r="N950" i="7"/>
  <c r="M950" i="7"/>
  <c r="X942" i="7"/>
  <c r="W942" i="7"/>
  <c r="V942" i="7"/>
  <c r="U942" i="7"/>
  <c r="T942" i="7"/>
  <c r="R942" i="7"/>
  <c r="S942" i="7"/>
  <c r="Q942" i="7"/>
  <c r="P942" i="7"/>
  <c r="O942" i="7"/>
  <c r="N942" i="7"/>
  <c r="M942" i="7"/>
  <c r="X934" i="7"/>
  <c r="W934" i="7"/>
  <c r="V934" i="7"/>
  <c r="U934" i="7"/>
  <c r="T934" i="7"/>
  <c r="S934" i="7"/>
  <c r="R934" i="7"/>
  <c r="Q934" i="7"/>
  <c r="P934" i="7"/>
  <c r="O934" i="7"/>
  <c r="N934" i="7"/>
  <c r="M934" i="7"/>
  <c r="X926" i="7"/>
  <c r="W926" i="7"/>
  <c r="V926" i="7"/>
  <c r="U926" i="7"/>
  <c r="T926" i="7"/>
  <c r="R926" i="7"/>
  <c r="S926" i="7"/>
  <c r="Q926" i="7"/>
  <c r="P926" i="7"/>
  <c r="O926" i="7"/>
  <c r="N926" i="7"/>
  <c r="M926" i="7"/>
  <c r="W918" i="7"/>
  <c r="X918" i="7"/>
  <c r="V918" i="7"/>
  <c r="U918" i="7"/>
  <c r="T918" i="7"/>
  <c r="R918" i="7"/>
  <c r="S918" i="7"/>
  <c r="Q918" i="7"/>
  <c r="P918" i="7"/>
  <c r="O918" i="7"/>
  <c r="N918" i="7"/>
  <c r="M918" i="7"/>
  <c r="X910" i="7"/>
  <c r="W910" i="7"/>
  <c r="V910" i="7"/>
  <c r="U910" i="7"/>
  <c r="T910" i="7"/>
  <c r="R910" i="7"/>
  <c r="S910" i="7"/>
  <c r="Q910" i="7"/>
  <c r="P910" i="7"/>
  <c r="O910" i="7"/>
  <c r="N910" i="7"/>
  <c r="M910" i="7"/>
  <c r="X902" i="7"/>
  <c r="W902" i="7"/>
  <c r="U902" i="7"/>
  <c r="V902" i="7"/>
  <c r="T902" i="7"/>
  <c r="R902" i="7"/>
  <c r="S902" i="7"/>
  <c r="Q902" i="7"/>
  <c r="P902" i="7"/>
  <c r="O902" i="7"/>
  <c r="N902" i="7"/>
  <c r="M902" i="7"/>
  <c r="X894" i="7"/>
  <c r="W894" i="7"/>
  <c r="U894" i="7"/>
  <c r="T894" i="7"/>
  <c r="V894" i="7"/>
  <c r="R894" i="7"/>
  <c r="S894" i="7"/>
  <c r="Q894" i="7"/>
  <c r="P894" i="7"/>
  <c r="O894" i="7"/>
  <c r="N894" i="7"/>
  <c r="M894" i="7"/>
  <c r="X886" i="7"/>
  <c r="W886" i="7"/>
  <c r="V886" i="7"/>
  <c r="U886" i="7"/>
  <c r="T886" i="7"/>
  <c r="R886" i="7"/>
  <c r="S886" i="7"/>
  <c r="P886" i="7"/>
  <c r="O886" i="7"/>
  <c r="Q886" i="7"/>
  <c r="N886" i="7"/>
  <c r="M886" i="7"/>
  <c r="X878" i="7"/>
  <c r="W878" i="7"/>
  <c r="V878" i="7"/>
  <c r="U878" i="7"/>
  <c r="T878" i="7"/>
  <c r="R878" i="7"/>
  <c r="S878" i="7"/>
  <c r="Q878" i="7"/>
  <c r="P878" i="7"/>
  <c r="O878" i="7"/>
  <c r="N878" i="7"/>
  <c r="M878" i="7"/>
  <c r="X870" i="7"/>
  <c r="W870" i="7"/>
  <c r="V870" i="7"/>
  <c r="U870" i="7"/>
  <c r="T870" i="7"/>
  <c r="S870" i="7"/>
  <c r="R870" i="7"/>
  <c r="Q870" i="7"/>
  <c r="P870" i="7"/>
  <c r="O870" i="7"/>
  <c r="N870" i="7"/>
  <c r="M870" i="7"/>
  <c r="X862" i="7"/>
  <c r="W862" i="7"/>
  <c r="V862" i="7"/>
  <c r="U862" i="7"/>
  <c r="T862" i="7"/>
  <c r="R862" i="7"/>
  <c r="S862" i="7"/>
  <c r="Q862" i="7"/>
  <c r="P862" i="7"/>
  <c r="O862" i="7"/>
  <c r="N862" i="7"/>
  <c r="M862" i="7"/>
  <c r="X854" i="7"/>
  <c r="W854" i="7"/>
  <c r="V854" i="7"/>
  <c r="U854" i="7"/>
  <c r="T854" i="7"/>
  <c r="R854" i="7"/>
  <c r="S854" i="7"/>
  <c r="Q854" i="7"/>
  <c r="P854" i="7"/>
  <c r="O854" i="7"/>
  <c r="N854" i="7"/>
  <c r="M854" i="7"/>
  <c r="X846" i="7"/>
  <c r="V846" i="7"/>
  <c r="W846" i="7"/>
  <c r="U846" i="7"/>
  <c r="T846" i="7"/>
  <c r="R846" i="7"/>
  <c r="S846" i="7"/>
  <c r="Q846" i="7"/>
  <c r="P846" i="7"/>
  <c r="O846" i="7"/>
  <c r="N846" i="7"/>
  <c r="M846" i="7"/>
  <c r="X838" i="7"/>
  <c r="W838" i="7"/>
  <c r="V838" i="7"/>
  <c r="U838" i="7"/>
  <c r="T838" i="7"/>
  <c r="R838" i="7"/>
  <c r="S838" i="7"/>
  <c r="Q838" i="7"/>
  <c r="P838" i="7"/>
  <c r="O838" i="7"/>
  <c r="N838" i="7"/>
  <c r="M838" i="7"/>
  <c r="X830" i="7"/>
  <c r="W830" i="7"/>
  <c r="V830" i="7"/>
  <c r="U830" i="7"/>
  <c r="T830" i="7"/>
  <c r="R830" i="7"/>
  <c r="S830" i="7"/>
  <c r="Q830" i="7"/>
  <c r="P830" i="7"/>
  <c r="O830" i="7"/>
  <c r="N830" i="7"/>
  <c r="M830" i="7"/>
  <c r="X822" i="7"/>
  <c r="W822" i="7"/>
  <c r="V822" i="7"/>
  <c r="U822" i="7"/>
  <c r="T822" i="7"/>
  <c r="R822" i="7"/>
  <c r="S822" i="7"/>
  <c r="P822" i="7"/>
  <c r="O822" i="7"/>
  <c r="Q822" i="7"/>
  <c r="N822" i="7"/>
  <c r="M822" i="7"/>
  <c r="X814" i="7"/>
  <c r="W814" i="7"/>
  <c r="U814" i="7"/>
  <c r="V814" i="7"/>
  <c r="T814" i="7"/>
  <c r="R814" i="7"/>
  <c r="S814" i="7"/>
  <c r="Q814" i="7"/>
  <c r="P814" i="7"/>
  <c r="O814" i="7"/>
  <c r="N814" i="7"/>
  <c r="M814" i="7"/>
  <c r="W806" i="7"/>
  <c r="X806" i="7"/>
  <c r="V806" i="7"/>
  <c r="U806" i="7"/>
  <c r="T806" i="7"/>
  <c r="S806" i="7"/>
  <c r="R806" i="7"/>
  <c r="Q806" i="7"/>
  <c r="P806" i="7"/>
  <c r="O806" i="7"/>
  <c r="N806" i="7"/>
  <c r="M806" i="7"/>
  <c r="X798" i="7"/>
  <c r="V798" i="7"/>
  <c r="W798" i="7"/>
  <c r="U798" i="7"/>
  <c r="T798" i="7"/>
  <c r="R798" i="7"/>
  <c r="S798" i="7"/>
  <c r="Q798" i="7"/>
  <c r="P798" i="7"/>
  <c r="O798" i="7"/>
  <c r="N798" i="7"/>
  <c r="M798" i="7"/>
  <c r="X790" i="7"/>
  <c r="W790" i="7"/>
  <c r="V790" i="7"/>
  <c r="U790" i="7"/>
  <c r="T790" i="7"/>
  <c r="R790" i="7"/>
  <c r="S790" i="7"/>
  <c r="Q790" i="7"/>
  <c r="P790" i="7"/>
  <c r="O790" i="7"/>
  <c r="N790" i="7"/>
  <c r="M790" i="7"/>
  <c r="X782" i="7"/>
  <c r="W782" i="7"/>
  <c r="V782" i="7"/>
  <c r="U782" i="7"/>
  <c r="T782" i="7"/>
  <c r="R782" i="7"/>
  <c r="S782" i="7"/>
  <c r="Q782" i="7"/>
  <c r="P782" i="7"/>
  <c r="O782" i="7"/>
  <c r="N782" i="7"/>
  <c r="M782" i="7"/>
  <c r="X774" i="7"/>
  <c r="W774" i="7"/>
  <c r="V774" i="7"/>
  <c r="T774" i="7"/>
  <c r="U774" i="7"/>
  <c r="R774" i="7"/>
  <c r="S774" i="7"/>
  <c r="Q774" i="7"/>
  <c r="P774" i="7"/>
  <c r="O774" i="7"/>
  <c r="N774" i="7"/>
  <c r="M774" i="7"/>
  <c r="X766" i="7"/>
  <c r="W766" i="7"/>
  <c r="V766" i="7"/>
  <c r="U766" i="7"/>
  <c r="T766" i="7"/>
  <c r="R766" i="7"/>
  <c r="S766" i="7"/>
  <c r="Q766" i="7"/>
  <c r="P766" i="7"/>
  <c r="O766" i="7"/>
  <c r="N766" i="7"/>
  <c r="M766" i="7"/>
  <c r="X758" i="7"/>
  <c r="W758" i="7"/>
  <c r="V758" i="7"/>
  <c r="U758" i="7"/>
  <c r="T758" i="7"/>
  <c r="R758" i="7"/>
  <c r="S758" i="7"/>
  <c r="P758" i="7"/>
  <c r="Q758" i="7"/>
  <c r="O758" i="7"/>
  <c r="N758" i="7"/>
  <c r="M758" i="7"/>
  <c r="X750" i="7"/>
  <c r="W750" i="7"/>
  <c r="U750" i="7"/>
  <c r="T750" i="7"/>
  <c r="V750" i="7"/>
  <c r="R750" i="7"/>
  <c r="S750" i="7"/>
  <c r="Q750" i="7"/>
  <c r="P750" i="7"/>
  <c r="O750" i="7"/>
  <c r="N750" i="7"/>
  <c r="M750" i="7"/>
  <c r="W742" i="7"/>
  <c r="X742" i="7"/>
  <c r="V742" i="7"/>
  <c r="T742" i="7"/>
  <c r="U742" i="7"/>
  <c r="S742" i="7"/>
  <c r="R742" i="7"/>
  <c r="Q742" i="7"/>
  <c r="P742" i="7"/>
  <c r="O742" i="7"/>
  <c r="N742" i="7"/>
  <c r="M742" i="7"/>
  <c r="X734" i="7"/>
  <c r="W734" i="7"/>
  <c r="V734" i="7"/>
  <c r="U734" i="7"/>
  <c r="T734" i="7"/>
  <c r="R734" i="7"/>
  <c r="S734" i="7"/>
  <c r="Q734" i="7"/>
  <c r="P734" i="7"/>
  <c r="O734" i="7"/>
  <c r="N734" i="7"/>
  <c r="M734" i="7"/>
  <c r="X726" i="7"/>
  <c r="W726" i="7"/>
  <c r="V726" i="7"/>
  <c r="U726" i="7"/>
  <c r="T726" i="7"/>
  <c r="R726" i="7"/>
  <c r="S726" i="7"/>
  <c r="Q726" i="7"/>
  <c r="P726" i="7"/>
  <c r="O726" i="7"/>
  <c r="N726" i="7"/>
  <c r="M726" i="7"/>
  <c r="X718" i="7"/>
  <c r="W718" i="7"/>
  <c r="V718" i="7"/>
  <c r="U718" i="7"/>
  <c r="T718" i="7"/>
  <c r="R718" i="7"/>
  <c r="S718" i="7"/>
  <c r="Q718" i="7"/>
  <c r="P718" i="7"/>
  <c r="O718" i="7"/>
  <c r="N718" i="7"/>
  <c r="M718" i="7"/>
  <c r="X710" i="7"/>
  <c r="V710" i="7"/>
  <c r="W710" i="7"/>
  <c r="U710" i="7"/>
  <c r="T710" i="7"/>
  <c r="R710" i="7"/>
  <c r="S710" i="7"/>
  <c r="Q710" i="7"/>
  <c r="P710" i="7"/>
  <c r="O710" i="7"/>
  <c r="N710" i="7"/>
  <c r="M710" i="7"/>
  <c r="X702" i="7"/>
  <c r="W702" i="7"/>
  <c r="V702" i="7"/>
  <c r="U702" i="7"/>
  <c r="T702" i="7"/>
  <c r="R702" i="7"/>
  <c r="S702" i="7"/>
  <c r="Q702" i="7"/>
  <c r="P702" i="7"/>
  <c r="O702" i="7"/>
  <c r="N702" i="7"/>
  <c r="M702" i="7"/>
  <c r="X694" i="7"/>
  <c r="W694" i="7"/>
  <c r="V694" i="7"/>
  <c r="U694" i="7"/>
  <c r="T694" i="7"/>
  <c r="R694" i="7"/>
  <c r="S694" i="7"/>
  <c r="Q694" i="7"/>
  <c r="P694" i="7"/>
  <c r="O694" i="7"/>
  <c r="N694" i="7"/>
  <c r="M694" i="7"/>
  <c r="X686" i="7"/>
  <c r="W686" i="7"/>
  <c r="V686" i="7"/>
  <c r="U686" i="7"/>
  <c r="T686" i="7"/>
  <c r="R686" i="7"/>
  <c r="S686" i="7"/>
  <c r="Q686" i="7"/>
  <c r="P686" i="7"/>
  <c r="O686" i="7"/>
  <c r="N686" i="7"/>
  <c r="M686" i="7"/>
  <c r="X678" i="7"/>
  <c r="W678" i="7"/>
  <c r="V678" i="7"/>
  <c r="U678" i="7"/>
  <c r="T678" i="7"/>
  <c r="S678" i="7"/>
  <c r="R678" i="7"/>
  <c r="Q678" i="7"/>
  <c r="P678" i="7"/>
  <c r="O678" i="7"/>
  <c r="N678" i="7"/>
  <c r="M678" i="7"/>
  <c r="X670" i="7"/>
  <c r="W670" i="7"/>
  <c r="V670" i="7"/>
  <c r="U670" i="7"/>
  <c r="T670" i="7"/>
  <c r="R670" i="7"/>
  <c r="S670" i="7"/>
  <c r="Q670" i="7"/>
  <c r="P670" i="7"/>
  <c r="O670" i="7"/>
  <c r="N670" i="7"/>
  <c r="M670" i="7"/>
  <c r="X662" i="7"/>
  <c r="W662" i="7"/>
  <c r="V662" i="7"/>
  <c r="U662" i="7"/>
  <c r="T662" i="7"/>
  <c r="R662" i="7"/>
  <c r="S662" i="7"/>
  <c r="Q662" i="7"/>
  <c r="P662" i="7"/>
  <c r="O662" i="7"/>
  <c r="N662" i="7"/>
  <c r="M662" i="7"/>
  <c r="X654" i="7"/>
  <c r="W654" i="7"/>
  <c r="V654" i="7"/>
  <c r="U654" i="7"/>
  <c r="T654" i="7"/>
  <c r="R654" i="7"/>
  <c r="Q654" i="7"/>
  <c r="S654" i="7"/>
  <c r="P654" i="7"/>
  <c r="O654" i="7"/>
  <c r="N654" i="7"/>
  <c r="M654" i="7"/>
  <c r="X646" i="7"/>
  <c r="W646" i="7"/>
  <c r="V646" i="7"/>
  <c r="U646" i="7"/>
  <c r="T646" i="7"/>
  <c r="R646" i="7"/>
  <c r="S646" i="7"/>
  <c r="P646" i="7"/>
  <c r="Q646" i="7"/>
  <c r="O646" i="7"/>
  <c r="N646" i="7"/>
  <c r="M646" i="7"/>
  <c r="X638" i="7"/>
  <c r="W638" i="7"/>
  <c r="V638" i="7"/>
  <c r="U638" i="7"/>
  <c r="T638" i="7"/>
  <c r="R638" i="7"/>
  <c r="S638" i="7"/>
  <c r="Q638" i="7"/>
  <c r="P638" i="7"/>
  <c r="O638" i="7"/>
  <c r="N638" i="7"/>
  <c r="M638" i="7"/>
  <c r="X630" i="7"/>
  <c r="W630" i="7"/>
  <c r="V630" i="7"/>
  <c r="U630" i="7"/>
  <c r="T630" i="7"/>
  <c r="R630" i="7"/>
  <c r="S630" i="7"/>
  <c r="Q630" i="7"/>
  <c r="P630" i="7"/>
  <c r="O630" i="7"/>
  <c r="N630" i="7"/>
  <c r="M630" i="7"/>
  <c r="X622" i="7"/>
  <c r="W622" i="7"/>
  <c r="V622" i="7"/>
  <c r="U622" i="7"/>
  <c r="T622" i="7"/>
  <c r="R622" i="7"/>
  <c r="S622" i="7"/>
  <c r="Q622" i="7"/>
  <c r="P622" i="7"/>
  <c r="O622" i="7"/>
  <c r="N622" i="7"/>
  <c r="M622" i="7"/>
  <c r="X614" i="7"/>
  <c r="W614" i="7"/>
  <c r="V614" i="7"/>
  <c r="U614" i="7"/>
  <c r="T614" i="7"/>
  <c r="S614" i="7"/>
  <c r="R614" i="7"/>
  <c r="Q614" i="7"/>
  <c r="P614" i="7"/>
  <c r="O614" i="7"/>
  <c r="N614" i="7"/>
  <c r="M614" i="7"/>
  <c r="X606" i="7"/>
  <c r="W606" i="7"/>
  <c r="V606" i="7"/>
  <c r="U606" i="7"/>
  <c r="T606" i="7"/>
  <c r="R606" i="7"/>
  <c r="S606" i="7"/>
  <c r="Q606" i="7"/>
  <c r="P606" i="7"/>
  <c r="O606" i="7"/>
  <c r="N606" i="7"/>
  <c r="M606" i="7"/>
  <c r="X598" i="7"/>
  <c r="W598" i="7"/>
  <c r="V598" i="7"/>
  <c r="U598" i="7"/>
  <c r="T598" i="7"/>
  <c r="R598" i="7"/>
  <c r="S598" i="7"/>
  <c r="Q598" i="7"/>
  <c r="P598" i="7"/>
  <c r="O598" i="7"/>
  <c r="N598" i="7"/>
  <c r="M598" i="7"/>
  <c r="X590" i="7"/>
  <c r="W590" i="7"/>
  <c r="V590" i="7"/>
  <c r="U590" i="7"/>
  <c r="T590" i="7"/>
  <c r="R590" i="7"/>
  <c r="S590" i="7"/>
  <c r="Q590" i="7"/>
  <c r="P590" i="7"/>
  <c r="O590" i="7"/>
  <c r="N590" i="7"/>
  <c r="M590" i="7"/>
  <c r="X582" i="7"/>
  <c r="W582" i="7"/>
  <c r="V582" i="7"/>
  <c r="U582" i="7"/>
  <c r="T582" i="7"/>
  <c r="R582" i="7"/>
  <c r="S582" i="7"/>
  <c r="P582" i="7"/>
  <c r="Q582" i="7"/>
  <c r="O582" i="7"/>
  <c r="N582" i="7"/>
  <c r="M582" i="7"/>
  <c r="X574" i="7"/>
  <c r="W574" i="7"/>
  <c r="V574" i="7"/>
  <c r="U574" i="7"/>
  <c r="T574" i="7"/>
  <c r="R574" i="7"/>
  <c r="S574" i="7"/>
  <c r="Q574" i="7"/>
  <c r="P574" i="7"/>
  <c r="O574" i="7"/>
  <c r="N574" i="7"/>
  <c r="M574" i="7"/>
  <c r="X566" i="7"/>
  <c r="W566" i="7"/>
  <c r="V566" i="7"/>
  <c r="U566" i="7"/>
  <c r="R566" i="7"/>
  <c r="S566" i="7"/>
  <c r="Q566" i="7"/>
  <c r="T566" i="7"/>
  <c r="P566" i="7"/>
  <c r="O566" i="7"/>
  <c r="N566" i="7"/>
  <c r="M566" i="7"/>
  <c r="X558" i="7"/>
  <c r="W558" i="7"/>
  <c r="V558" i="7"/>
  <c r="U558" i="7"/>
  <c r="T558" i="7"/>
  <c r="R558" i="7"/>
  <c r="S558" i="7"/>
  <c r="Q558" i="7"/>
  <c r="P558" i="7"/>
  <c r="O558" i="7"/>
  <c r="N558" i="7"/>
  <c r="M558" i="7"/>
  <c r="X550" i="7"/>
  <c r="W550" i="7"/>
  <c r="V550" i="7"/>
  <c r="U550" i="7"/>
  <c r="T550" i="7"/>
  <c r="S550" i="7"/>
  <c r="R550" i="7"/>
  <c r="Q550" i="7"/>
  <c r="P550" i="7"/>
  <c r="O550" i="7"/>
  <c r="N550" i="7"/>
  <c r="M550" i="7"/>
  <c r="X542" i="7"/>
  <c r="V542" i="7"/>
  <c r="W542" i="7"/>
  <c r="U542" i="7"/>
  <c r="T542" i="7"/>
  <c r="R542" i="7"/>
  <c r="S542" i="7"/>
  <c r="Q542" i="7"/>
  <c r="P542" i="7"/>
  <c r="O542" i="7"/>
  <c r="N542" i="7"/>
  <c r="M542" i="7"/>
  <c r="X534" i="7"/>
  <c r="W534" i="7"/>
  <c r="V534" i="7"/>
  <c r="U534" i="7"/>
  <c r="S534" i="7"/>
  <c r="T534" i="7"/>
  <c r="R534" i="7"/>
  <c r="Q534" i="7"/>
  <c r="P534" i="7"/>
  <c r="O534" i="7"/>
  <c r="N534" i="7"/>
  <c r="M534" i="7"/>
  <c r="X526" i="7"/>
  <c r="W526" i="7"/>
  <c r="V526" i="7"/>
  <c r="U526" i="7"/>
  <c r="T526" i="7"/>
  <c r="S526" i="7"/>
  <c r="R526" i="7"/>
  <c r="Q526" i="7"/>
  <c r="P526" i="7"/>
  <c r="O526" i="7"/>
  <c r="N526" i="7"/>
  <c r="M526" i="7"/>
  <c r="X518" i="7"/>
  <c r="W518" i="7"/>
  <c r="V518" i="7"/>
  <c r="U518" i="7"/>
  <c r="T518" i="7"/>
  <c r="R518" i="7"/>
  <c r="P518" i="7"/>
  <c r="S518" i="7"/>
  <c r="O518" i="7"/>
  <c r="N518" i="7"/>
  <c r="Q518" i="7"/>
  <c r="M518" i="7"/>
  <c r="X510" i="7"/>
  <c r="W510" i="7"/>
  <c r="V510" i="7"/>
  <c r="U510" i="7"/>
  <c r="R510" i="7"/>
  <c r="T510" i="7"/>
  <c r="S510" i="7"/>
  <c r="Q510" i="7"/>
  <c r="P510" i="7"/>
  <c r="O510" i="7"/>
  <c r="N510" i="7"/>
  <c r="M510" i="7"/>
  <c r="X502" i="7"/>
  <c r="W502" i="7"/>
  <c r="V502" i="7"/>
  <c r="U502" i="7"/>
  <c r="S502" i="7"/>
  <c r="T502" i="7"/>
  <c r="R502" i="7"/>
  <c r="Q502" i="7"/>
  <c r="P502" i="7"/>
  <c r="O502" i="7"/>
  <c r="N502" i="7"/>
  <c r="M502" i="7"/>
  <c r="X494" i="7"/>
  <c r="W494" i="7"/>
  <c r="V494" i="7"/>
  <c r="U494" i="7"/>
  <c r="T494" i="7"/>
  <c r="S494" i="7"/>
  <c r="R494" i="7"/>
  <c r="Q494" i="7"/>
  <c r="P494" i="7"/>
  <c r="O494" i="7"/>
  <c r="N494" i="7"/>
  <c r="M494" i="7"/>
  <c r="X486" i="7"/>
  <c r="W486" i="7"/>
  <c r="V486" i="7"/>
  <c r="U486" i="7"/>
  <c r="T486" i="7"/>
  <c r="R486" i="7"/>
  <c r="S486" i="7"/>
  <c r="Q486" i="7"/>
  <c r="P486" i="7"/>
  <c r="O486" i="7"/>
  <c r="N486" i="7"/>
  <c r="M486" i="7"/>
  <c r="X478" i="7"/>
  <c r="W478" i="7"/>
  <c r="V478" i="7"/>
  <c r="U478" i="7"/>
  <c r="T478" i="7"/>
  <c r="R478" i="7"/>
  <c r="S478" i="7"/>
  <c r="Q478" i="7"/>
  <c r="P478" i="7"/>
  <c r="O478" i="7"/>
  <c r="N478" i="7"/>
  <c r="M478" i="7"/>
  <c r="X470" i="7"/>
  <c r="V470" i="7"/>
  <c r="U470" i="7"/>
  <c r="W470" i="7"/>
  <c r="S470" i="7"/>
  <c r="T470" i="7"/>
  <c r="R470" i="7"/>
  <c r="Q470" i="7"/>
  <c r="P470" i="7"/>
  <c r="O470" i="7"/>
  <c r="N470" i="7"/>
  <c r="M470" i="7"/>
  <c r="X462" i="7"/>
  <c r="W462" i="7"/>
  <c r="U462" i="7"/>
  <c r="V462" i="7"/>
  <c r="T462" i="7"/>
  <c r="S462" i="7"/>
  <c r="R462" i="7"/>
  <c r="Q462" i="7"/>
  <c r="P462" i="7"/>
  <c r="O462" i="7"/>
  <c r="N462" i="7"/>
  <c r="M462" i="7"/>
  <c r="X454" i="7"/>
  <c r="W454" i="7"/>
  <c r="V454" i="7"/>
  <c r="U454" i="7"/>
  <c r="T454" i="7"/>
  <c r="R454" i="7"/>
  <c r="S454" i="7"/>
  <c r="P454" i="7"/>
  <c r="Q454" i="7"/>
  <c r="O454" i="7"/>
  <c r="N454" i="7"/>
  <c r="M454" i="7"/>
  <c r="X446" i="7"/>
  <c r="W446" i="7"/>
  <c r="V446" i="7"/>
  <c r="U446" i="7"/>
  <c r="T446" i="7"/>
  <c r="R446" i="7"/>
  <c r="S446" i="7"/>
  <c r="Q446" i="7"/>
  <c r="P446" i="7"/>
  <c r="O446" i="7"/>
  <c r="N446" i="7"/>
  <c r="M446" i="7"/>
  <c r="X438" i="7"/>
  <c r="W438" i="7"/>
  <c r="V438" i="7"/>
  <c r="U438" i="7"/>
  <c r="T438" i="7"/>
  <c r="S438" i="7"/>
  <c r="R438" i="7"/>
  <c r="Q438" i="7"/>
  <c r="P438" i="7"/>
  <c r="O438" i="7"/>
  <c r="N438" i="7"/>
  <c r="M438" i="7"/>
  <c r="X430" i="7"/>
  <c r="W430" i="7"/>
  <c r="V430" i="7"/>
  <c r="U430" i="7"/>
  <c r="T430" i="7"/>
  <c r="S430" i="7"/>
  <c r="R430" i="7"/>
  <c r="Q430" i="7"/>
  <c r="P430" i="7"/>
  <c r="O430" i="7"/>
  <c r="N430" i="7"/>
  <c r="M430" i="7"/>
  <c r="X422" i="7"/>
  <c r="W422" i="7"/>
  <c r="V422" i="7"/>
  <c r="U422" i="7"/>
  <c r="T422" i="7"/>
  <c r="R422" i="7"/>
  <c r="S422" i="7"/>
  <c r="Q422" i="7"/>
  <c r="P422" i="7"/>
  <c r="O422" i="7"/>
  <c r="N422" i="7"/>
  <c r="M422" i="7"/>
  <c r="X414" i="7"/>
  <c r="W414" i="7"/>
  <c r="U414" i="7"/>
  <c r="V414" i="7"/>
  <c r="T414" i="7"/>
  <c r="R414" i="7"/>
  <c r="S414" i="7"/>
  <c r="Q414" i="7"/>
  <c r="P414" i="7"/>
  <c r="O414" i="7"/>
  <c r="N414" i="7"/>
  <c r="M414" i="7"/>
  <c r="X406" i="7"/>
  <c r="W406" i="7"/>
  <c r="V406" i="7"/>
  <c r="U406" i="7"/>
  <c r="T406" i="7"/>
  <c r="S406" i="7"/>
  <c r="R406" i="7"/>
  <c r="Q406" i="7"/>
  <c r="P406" i="7"/>
  <c r="O406" i="7"/>
  <c r="N406" i="7"/>
  <c r="M406" i="7"/>
  <c r="X398" i="7"/>
  <c r="W398" i="7"/>
  <c r="U398" i="7"/>
  <c r="V398" i="7"/>
  <c r="T398" i="7"/>
  <c r="S398" i="7"/>
  <c r="R398" i="7"/>
  <c r="Q398" i="7"/>
  <c r="P398" i="7"/>
  <c r="O398" i="7"/>
  <c r="N398" i="7"/>
  <c r="M398" i="7"/>
  <c r="X390" i="7"/>
  <c r="W390" i="7"/>
  <c r="V390" i="7"/>
  <c r="U390" i="7"/>
  <c r="T390" i="7"/>
  <c r="R390" i="7"/>
  <c r="S390" i="7"/>
  <c r="P390" i="7"/>
  <c r="O390" i="7"/>
  <c r="Q390" i="7"/>
  <c r="N390" i="7"/>
  <c r="M390" i="7"/>
  <c r="X382" i="7"/>
  <c r="W382" i="7"/>
  <c r="U382" i="7"/>
  <c r="V382" i="7"/>
  <c r="T382" i="7"/>
  <c r="R382" i="7"/>
  <c r="S382" i="7"/>
  <c r="Q382" i="7"/>
  <c r="P382" i="7"/>
  <c r="O382" i="7"/>
  <c r="N382" i="7"/>
  <c r="M382" i="7"/>
  <c r="X374" i="7"/>
  <c r="W374" i="7"/>
  <c r="V374" i="7"/>
  <c r="U374" i="7"/>
  <c r="T374" i="7"/>
  <c r="S374" i="7"/>
  <c r="R374" i="7"/>
  <c r="Q374" i="7"/>
  <c r="P374" i="7"/>
  <c r="O374" i="7"/>
  <c r="N374" i="7"/>
  <c r="M374" i="7"/>
  <c r="X366" i="7"/>
  <c r="W366" i="7"/>
  <c r="V366" i="7"/>
  <c r="U366" i="7"/>
  <c r="S366" i="7"/>
  <c r="R366" i="7"/>
  <c r="T366" i="7"/>
  <c r="Q366" i="7"/>
  <c r="P366" i="7"/>
  <c r="O366" i="7"/>
  <c r="N366" i="7"/>
  <c r="M366" i="7"/>
  <c r="X358" i="7"/>
  <c r="W358" i="7"/>
  <c r="V358" i="7"/>
  <c r="U358" i="7"/>
  <c r="T358" i="7"/>
  <c r="R358" i="7"/>
  <c r="S358" i="7"/>
  <c r="Q358" i="7"/>
  <c r="P358" i="7"/>
  <c r="O358" i="7"/>
  <c r="N358" i="7"/>
  <c r="M358" i="7"/>
  <c r="X350" i="7"/>
  <c r="W350" i="7"/>
  <c r="U350" i="7"/>
  <c r="V350" i="7"/>
  <c r="T350" i="7"/>
  <c r="R350" i="7"/>
  <c r="S350" i="7"/>
  <c r="Q350" i="7"/>
  <c r="P350" i="7"/>
  <c r="O350" i="7"/>
  <c r="N350" i="7"/>
  <c r="M350" i="7"/>
  <c r="X342" i="7"/>
  <c r="W342" i="7"/>
  <c r="V342" i="7"/>
  <c r="U342" i="7"/>
  <c r="T342" i="7"/>
  <c r="S342" i="7"/>
  <c r="R342" i="7"/>
  <c r="Q342" i="7"/>
  <c r="P342" i="7"/>
  <c r="O342" i="7"/>
  <c r="N342" i="7"/>
  <c r="M342" i="7"/>
  <c r="X334" i="7"/>
  <c r="W334" i="7"/>
  <c r="V334" i="7"/>
  <c r="U334" i="7"/>
  <c r="S334" i="7"/>
  <c r="T334" i="7"/>
  <c r="R334" i="7"/>
  <c r="Q334" i="7"/>
  <c r="P334" i="7"/>
  <c r="O334" i="7"/>
  <c r="N334" i="7"/>
  <c r="M334" i="7"/>
  <c r="X326" i="7"/>
  <c r="W326" i="7"/>
  <c r="V326" i="7"/>
  <c r="T326" i="7"/>
  <c r="U326" i="7"/>
  <c r="R326" i="7"/>
  <c r="S326" i="7"/>
  <c r="P326" i="7"/>
  <c r="Q326" i="7"/>
  <c r="O326" i="7"/>
  <c r="N326" i="7"/>
  <c r="M326" i="7"/>
  <c r="X318" i="7"/>
  <c r="W318" i="7"/>
  <c r="V318" i="7"/>
  <c r="U318" i="7"/>
  <c r="T318" i="7"/>
  <c r="R318" i="7"/>
  <c r="S318" i="7"/>
  <c r="Q318" i="7"/>
  <c r="P318" i="7"/>
  <c r="O318" i="7"/>
  <c r="N318" i="7"/>
  <c r="M318" i="7"/>
  <c r="X310" i="7"/>
  <c r="W310" i="7"/>
  <c r="V310" i="7"/>
  <c r="U310" i="7"/>
  <c r="S310" i="7"/>
  <c r="R310" i="7"/>
  <c r="T310" i="7"/>
  <c r="Q310" i="7"/>
  <c r="P310" i="7"/>
  <c r="O310" i="7"/>
  <c r="N310" i="7"/>
  <c r="M310" i="7"/>
  <c r="X302" i="7"/>
  <c r="W302" i="7"/>
  <c r="V302" i="7"/>
  <c r="U302" i="7"/>
  <c r="T302" i="7"/>
  <c r="S302" i="7"/>
  <c r="R302" i="7"/>
  <c r="Q302" i="7"/>
  <c r="P302" i="7"/>
  <c r="O302" i="7"/>
  <c r="N302" i="7"/>
  <c r="M302" i="7"/>
  <c r="X294" i="7"/>
  <c r="W294" i="7"/>
  <c r="V294" i="7"/>
  <c r="T294" i="7"/>
  <c r="U294" i="7"/>
  <c r="R294" i="7"/>
  <c r="S294" i="7"/>
  <c r="Q294" i="7"/>
  <c r="P294" i="7"/>
  <c r="O294" i="7"/>
  <c r="N294" i="7"/>
  <c r="M294" i="7"/>
  <c r="X286" i="7"/>
  <c r="W286" i="7"/>
  <c r="V286" i="7"/>
  <c r="U286" i="7"/>
  <c r="T286" i="7"/>
  <c r="R286" i="7"/>
  <c r="S286" i="7"/>
  <c r="Q286" i="7"/>
  <c r="P286" i="7"/>
  <c r="O286" i="7"/>
  <c r="N286" i="7"/>
  <c r="M286" i="7"/>
  <c r="X278" i="7"/>
  <c r="W278" i="7"/>
  <c r="V278" i="7"/>
  <c r="U278" i="7"/>
  <c r="S278" i="7"/>
  <c r="T278" i="7"/>
  <c r="R278" i="7"/>
  <c r="Q278" i="7"/>
  <c r="P278" i="7"/>
  <c r="O278" i="7"/>
  <c r="N278" i="7"/>
  <c r="M278" i="7"/>
  <c r="X270" i="7"/>
  <c r="W270" i="7"/>
  <c r="V270" i="7"/>
  <c r="U270" i="7"/>
  <c r="T270" i="7"/>
  <c r="S270" i="7"/>
  <c r="R270" i="7"/>
  <c r="Q270" i="7"/>
  <c r="P270" i="7"/>
  <c r="O270" i="7"/>
  <c r="N270" i="7"/>
  <c r="M270" i="7"/>
  <c r="X262" i="7"/>
  <c r="W262" i="7"/>
  <c r="V262" i="7"/>
  <c r="T262" i="7"/>
  <c r="U262" i="7"/>
  <c r="R262" i="7"/>
  <c r="S262" i="7"/>
  <c r="P262" i="7"/>
  <c r="Q262" i="7"/>
  <c r="O262" i="7"/>
  <c r="N262" i="7"/>
  <c r="M262" i="7"/>
  <c r="X254" i="7"/>
  <c r="W254" i="7"/>
  <c r="V254" i="7"/>
  <c r="U254" i="7"/>
  <c r="R254" i="7"/>
  <c r="T254" i="7"/>
  <c r="S254" i="7"/>
  <c r="Q254" i="7"/>
  <c r="P254" i="7"/>
  <c r="O254" i="7"/>
  <c r="N254" i="7"/>
  <c r="M254" i="7"/>
  <c r="X246" i="7"/>
  <c r="W246" i="7"/>
  <c r="V246" i="7"/>
  <c r="U246" i="7"/>
  <c r="S246" i="7"/>
  <c r="T246" i="7"/>
  <c r="R246" i="7"/>
  <c r="Q246" i="7"/>
  <c r="P246" i="7"/>
  <c r="O246" i="7"/>
  <c r="N246" i="7"/>
  <c r="M246" i="7"/>
  <c r="X238" i="7"/>
  <c r="W238" i="7"/>
  <c r="V238" i="7"/>
  <c r="U238" i="7"/>
  <c r="T238" i="7"/>
  <c r="S238" i="7"/>
  <c r="R238" i="7"/>
  <c r="Q238" i="7"/>
  <c r="P238" i="7"/>
  <c r="O238" i="7"/>
  <c r="N238" i="7"/>
  <c r="M238" i="7"/>
  <c r="X230" i="7"/>
  <c r="W230" i="7"/>
  <c r="V230" i="7"/>
  <c r="T230" i="7"/>
  <c r="U230" i="7"/>
  <c r="R230" i="7"/>
  <c r="S230" i="7"/>
  <c r="Q230" i="7"/>
  <c r="P230" i="7"/>
  <c r="O230" i="7"/>
  <c r="N230" i="7"/>
  <c r="M230" i="7"/>
  <c r="X222" i="7"/>
  <c r="W222" i="7"/>
  <c r="U222" i="7"/>
  <c r="V222" i="7"/>
  <c r="T222" i="7"/>
  <c r="R222" i="7"/>
  <c r="S222" i="7"/>
  <c r="Q222" i="7"/>
  <c r="P222" i="7"/>
  <c r="O222" i="7"/>
  <c r="N222" i="7"/>
  <c r="M222" i="7"/>
  <c r="X214" i="7"/>
  <c r="W214" i="7"/>
  <c r="V214" i="7"/>
  <c r="U214" i="7"/>
  <c r="T214" i="7"/>
  <c r="S214" i="7"/>
  <c r="R214" i="7"/>
  <c r="Q214" i="7"/>
  <c r="P214" i="7"/>
  <c r="O214" i="7"/>
  <c r="N214" i="7"/>
  <c r="M214" i="7"/>
  <c r="X206" i="7"/>
  <c r="W206" i="7"/>
  <c r="V206" i="7"/>
  <c r="U206" i="7"/>
  <c r="T206" i="7"/>
  <c r="S206" i="7"/>
  <c r="R206" i="7"/>
  <c r="Q206" i="7"/>
  <c r="P206" i="7"/>
  <c r="N206" i="7"/>
  <c r="O206" i="7"/>
  <c r="M206" i="7"/>
  <c r="X198" i="7"/>
  <c r="W198" i="7"/>
  <c r="V198" i="7"/>
  <c r="T198" i="7"/>
  <c r="U198" i="7"/>
  <c r="R198" i="7"/>
  <c r="S198" i="7"/>
  <c r="P198" i="7"/>
  <c r="O198" i="7"/>
  <c r="Q198" i="7"/>
  <c r="N198" i="7"/>
  <c r="M198" i="7"/>
  <c r="X190" i="7"/>
  <c r="W190" i="7"/>
  <c r="T190" i="7"/>
  <c r="U190" i="7"/>
  <c r="V190" i="7"/>
  <c r="R190" i="7"/>
  <c r="S190" i="7"/>
  <c r="Q190" i="7"/>
  <c r="P190" i="7"/>
  <c r="O190" i="7"/>
  <c r="N190" i="7"/>
  <c r="M190" i="7"/>
  <c r="X182" i="7"/>
  <c r="W182" i="7"/>
  <c r="V182" i="7"/>
  <c r="T182" i="7"/>
  <c r="U182" i="7"/>
  <c r="S182" i="7"/>
  <c r="R182" i="7"/>
  <c r="Q182" i="7"/>
  <c r="P182" i="7"/>
  <c r="O182" i="7"/>
  <c r="N182" i="7"/>
  <c r="M182" i="7"/>
  <c r="X174" i="7"/>
  <c r="W174" i="7"/>
  <c r="V174" i="7"/>
  <c r="U174" i="7"/>
  <c r="T174" i="7"/>
  <c r="S174" i="7"/>
  <c r="R174" i="7"/>
  <c r="Q174" i="7"/>
  <c r="P174" i="7"/>
  <c r="O174" i="7"/>
  <c r="N174" i="7"/>
  <c r="M174" i="7"/>
  <c r="X166" i="7"/>
  <c r="W166" i="7"/>
  <c r="V166" i="7"/>
  <c r="T166" i="7"/>
  <c r="U166" i="7"/>
  <c r="S166" i="7"/>
  <c r="R166" i="7"/>
  <c r="Q166" i="7"/>
  <c r="P166" i="7"/>
  <c r="O166" i="7"/>
  <c r="N166" i="7"/>
  <c r="M166" i="7"/>
  <c r="X158" i="7"/>
  <c r="W158" i="7"/>
  <c r="U158" i="7"/>
  <c r="T158" i="7"/>
  <c r="V158" i="7"/>
  <c r="S158" i="7"/>
  <c r="R158" i="7"/>
  <c r="Q158" i="7"/>
  <c r="P158" i="7"/>
  <c r="O158" i="7"/>
  <c r="N158" i="7"/>
  <c r="M158" i="7"/>
  <c r="X150" i="7"/>
  <c r="W150" i="7"/>
  <c r="V150" i="7"/>
  <c r="U150" i="7"/>
  <c r="T150" i="7"/>
  <c r="S150" i="7"/>
  <c r="R150" i="7"/>
  <c r="Q150" i="7"/>
  <c r="P150" i="7"/>
  <c r="O150" i="7"/>
  <c r="N150" i="7"/>
  <c r="M150" i="7"/>
  <c r="X142" i="7"/>
  <c r="W142" i="7"/>
  <c r="U142" i="7"/>
  <c r="T142" i="7"/>
  <c r="V142" i="7"/>
  <c r="S142" i="7"/>
  <c r="R142" i="7"/>
  <c r="Q142" i="7"/>
  <c r="P142" i="7"/>
  <c r="O142" i="7"/>
  <c r="N142" i="7"/>
  <c r="M142" i="7"/>
  <c r="X134" i="7"/>
  <c r="W134" i="7"/>
  <c r="V134" i="7"/>
  <c r="U134" i="7"/>
  <c r="T134" i="7"/>
  <c r="S134" i="7"/>
  <c r="R134" i="7"/>
  <c r="P134" i="7"/>
  <c r="O134" i="7"/>
  <c r="Q134" i="7"/>
  <c r="N134" i="7"/>
  <c r="M134" i="7"/>
  <c r="X126" i="7"/>
  <c r="W126" i="7"/>
  <c r="U126" i="7"/>
  <c r="V126" i="7"/>
  <c r="T126" i="7"/>
  <c r="S126" i="7"/>
  <c r="R126" i="7"/>
  <c r="Q126" i="7"/>
  <c r="P126" i="7"/>
  <c r="O126" i="7"/>
  <c r="N126" i="7"/>
  <c r="M126" i="7"/>
  <c r="X118" i="7"/>
  <c r="W118" i="7"/>
  <c r="V118" i="7"/>
  <c r="U118" i="7"/>
  <c r="T118" i="7"/>
  <c r="S118" i="7"/>
  <c r="R118" i="7"/>
  <c r="Q118" i="7"/>
  <c r="P118" i="7"/>
  <c r="O118" i="7"/>
  <c r="N118" i="7"/>
  <c r="M118" i="7"/>
  <c r="X110" i="7"/>
  <c r="W110" i="7"/>
  <c r="V110" i="7"/>
  <c r="U110" i="7"/>
  <c r="T110" i="7"/>
  <c r="S110" i="7"/>
  <c r="R110" i="7"/>
  <c r="Q110" i="7"/>
  <c r="P110" i="7"/>
  <c r="O110" i="7"/>
  <c r="N110" i="7"/>
  <c r="M110" i="7"/>
  <c r="X102" i="7"/>
  <c r="W102" i="7"/>
  <c r="V102" i="7"/>
  <c r="U102" i="7"/>
  <c r="T102" i="7"/>
  <c r="S102" i="7"/>
  <c r="R102" i="7"/>
  <c r="Q102" i="7"/>
  <c r="P102" i="7"/>
  <c r="O102" i="7"/>
  <c r="N102" i="7"/>
  <c r="M102" i="7"/>
  <c r="X94" i="7"/>
  <c r="W94" i="7"/>
  <c r="V94" i="7"/>
  <c r="T94" i="7"/>
  <c r="U94" i="7"/>
  <c r="S94" i="7"/>
  <c r="R94" i="7"/>
  <c r="Q94" i="7"/>
  <c r="P94" i="7"/>
  <c r="O94" i="7"/>
  <c r="N94" i="7"/>
  <c r="M94" i="7"/>
  <c r="X86" i="7"/>
  <c r="W86" i="7"/>
  <c r="V86" i="7"/>
  <c r="U86" i="7"/>
  <c r="T86" i="7"/>
  <c r="S86" i="7"/>
  <c r="R86" i="7"/>
  <c r="Q86" i="7"/>
  <c r="P86" i="7"/>
  <c r="O86" i="7"/>
  <c r="N86" i="7"/>
  <c r="M86" i="7"/>
  <c r="X78" i="7"/>
  <c r="W78" i="7"/>
  <c r="V78" i="7"/>
  <c r="T78" i="7"/>
  <c r="U78" i="7"/>
  <c r="S78" i="7"/>
  <c r="R78" i="7"/>
  <c r="Q78" i="7"/>
  <c r="P78" i="7"/>
  <c r="N78" i="7"/>
  <c r="O78" i="7"/>
  <c r="M78" i="7"/>
  <c r="X70" i="7"/>
  <c r="W70" i="7"/>
  <c r="V70" i="7"/>
  <c r="U70" i="7"/>
  <c r="T70" i="7"/>
  <c r="S70" i="7"/>
  <c r="R70" i="7"/>
  <c r="P70" i="7"/>
  <c r="Q70" i="7"/>
  <c r="O70" i="7"/>
  <c r="N70" i="7"/>
  <c r="M70" i="7"/>
  <c r="X62" i="7"/>
  <c r="W62" i="7"/>
  <c r="V62" i="7"/>
  <c r="T62" i="7"/>
  <c r="S62" i="7"/>
  <c r="U62" i="7"/>
  <c r="R62" i="7"/>
  <c r="Q62" i="7"/>
  <c r="P62" i="7"/>
  <c r="O62" i="7"/>
  <c r="N62" i="7"/>
  <c r="M62" i="7"/>
  <c r="X54" i="7"/>
  <c r="W54" i="7"/>
  <c r="V54" i="7"/>
  <c r="U54" i="7"/>
  <c r="T54" i="7"/>
  <c r="S54" i="7"/>
  <c r="R54" i="7"/>
  <c r="Q54" i="7"/>
  <c r="P54" i="7"/>
  <c r="O54" i="7"/>
  <c r="N54" i="7"/>
  <c r="M54" i="7"/>
  <c r="X46" i="7"/>
  <c r="W46" i="7"/>
  <c r="V46" i="7"/>
  <c r="U46" i="7"/>
  <c r="T46" i="7"/>
  <c r="S46" i="7"/>
  <c r="R46" i="7"/>
  <c r="Q46" i="7"/>
  <c r="P46" i="7"/>
  <c r="O46" i="7"/>
  <c r="N46" i="7"/>
  <c r="M46" i="7"/>
  <c r="X38" i="7"/>
  <c r="W38" i="7"/>
  <c r="V38" i="7"/>
  <c r="U38" i="7"/>
  <c r="T38" i="7"/>
  <c r="S38" i="7"/>
  <c r="R38" i="7"/>
  <c r="Q38" i="7"/>
  <c r="P38" i="7"/>
  <c r="O38" i="7"/>
  <c r="N38" i="7"/>
  <c r="M38" i="7"/>
  <c r="X30" i="7"/>
  <c r="W30" i="7"/>
  <c r="V30" i="7"/>
  <c r="T30" i="7"/>
  <c r="U30" i="7"/>
  <c r="S30" i="7"/>
  <c r="R30" i="7"/>
  <c r="P30" i="7"/>
  <c r="Q30" i="7"/>
  <c r="O30" i="7"/>
  <c r="N30" i="7"/>
  <c r="M30" i="7"/>
  <c r="X22" i="7"/>
  <c r="W22" i="7"/>
  <c r="V22" i="7"/>
  <c r="U22" i="7"/>
  <c r="T22" i="7"/>
  <c r="S22" i="7"/>
  <c r="R22" i="7"/>
  <c r="P22" i="7"/>
  <c r="Q22" i="7"/>
  <c r="O22" i="7"/>
  <c r="N22" i="7"/>
  <c r="M22" i="7"/>
  <c r="X14" i="7"/>
  <c r="W14" i="7"/>
  <c r="V14" i="7"/>
  <c r="T14" i="7"/>
  <c r="U14" i="7"/>
  <c r="S14" i="7"/>
  <c r="R14" i="7"/>
  <c r="P14" i="7"/>
  <c r="Q14" i="7"/>
  <c r="N14" i="7"/>
  <c r="O14" i="7"/>
  <c r="M14" i="7"/>
  <c r="X6" i="7"/>
  <c r="W6" i="7"/>
  <c r="V6" i="7"/>
  <c r="U6" i="7"/>
  <c r="T6" i="7"/>
  <c r="S6" i="7"/>
  <c r="R6" i="7"/>
  <c r="P6" i="7"/>
  <c r="O6" i="7"/>
  <c r="N6" i="7"/>
  <c r="Q6" i="7"/>
  <c r="M6" i="7"/>
  <c r="X1058" i="7"/>
  <c r="W1058" i="7"/>
  <c r="U1058" i="7"/>
  <c r="V1058" i="7"/>
  <c r="T1058" i="7"/>
  <c r="S1058" i="7"/>
  <c r="R1058" i="7"/>
  <c r="P1058" i="7"/>
  <c r="Q1058" i="7"/>
  <c r="O1058" i="7"/>
  <c r="M1058" i="7"/>
  <c r="N1058" i="7"/>
  <c r="X1002" i="7"/>
  <c r="W1002" i="7"/>
  <c r="V1002" i="7"/>
  <c r="U1002" i="7"/>
  <c r="T1002" i="7"/>
  <c r="S1002" i="7"/>
  <c r="R1002" i="7"/>
  <c r="Q1002" i="7"/>
  <c r="P1002" i="7"/>
  <c r="O1002" i="7"/>
  <c r="M1002" i="7"/>
  <c r="N1002" i="7"/>
  <c r="X962" i="7"/>
  <c r="V962" i="7"/>
  <c r="W962" i="7"/>
  <c r="U962" i="7"/>
  <c r="T962" i="7"/>
  <c r="S962" i="7"/>
  <c r="R962" i="7"/>
  <c r="P962" i="7"/>
  <c r="Q962" i="7"/>
  <c r="O962" i="7"/>
  <c r="M962" i="7"/>
  <c r="N962" i="7"/>
  <c r="X906" i="7"/>
  <c r="W906" i="7"/>
  <c r="V906" i="7"/>
  <c r="U906" i="7"/>
  <c r="T906" i="7"/>
  <c r="S906" i="7"/>
  <c r="R906" i="7"/>
  <c r="P906" i="7"/>
  <c r="Q906" i="7"/>
  <c r="O906" i="7"/>
  <c r="M906" i="7"/>
  <c r="N906" i="7"/>
  <c r="X834" i="7"/>
  <c r="W834" i="7"/>
  <c r="V834" i="7"/>
  <c r="U834" i="7"/>
  <c r="T834" i="7"/>
  <c r="S834" i="7"/>
  <c r="R834" i="7"/>
  <c r="P834" i="7"/>
  <c r="Q834" i="7"/>
  <c r="M834" i="7"/>
  <c r="N834" i="7"/>
  <c r="O834" i="7"/>
  <c r="X778" i="7"/>
  <c r="W778" i="7"/>
  <c r="V778" i="7"/>
  <c r="U778" i="7"/>
  <c r="T778" i="7"/>
  <c r="S778" i="7"/>
  <c r="R778" i="7"/>
  <c r="P778" i="7"/>
  <c r="Q778" i="7"/>
  <c r="O778" i="7"/>
  <c r="M778" i="7"/>
  <c r="N778" i="7"/>
  <c r="X706" i="7"/>
  <c r="W706" i="7"/>
  <c r="V706" i="7"/>
  <c r="T706" i="7"/>
  <c r="S706" i="7"/>
  <c r="U706" i="7"/>
  <c r="R706" i="7"/>
  <c r="P706" i="7"/>
  <c r="Q706" i="7"/>
  <c r="M706" i="7"/>
  <c r="N706" i="7"/>
  <c r="O706" i="7"/>
  <c r="X610" i="7"/>
  <c r="W610" i="7"/>
  <c r="V610" i="7"/>
  <c r="U610" i="7"/>
  <c r="T610" i="7"/>
  <c r="S610" i="7"/>
  <c r="R610" i="7"/>
  <c r="Q610" i="7"/>
  <c r="P610" i="7"/>
  <c r="M610" i="7"/>
  <c r="N610" i="7"/>
  <c r="O610" i="7"/>
  <c r="X570" i="7"/>
  <c r="W570" i="7"/>
  <c r="V570" i="7"/>
  <c r="U570" i="7"/>
  <c r="T570" i="7"/>
  <c r="S570" i="7"/>
  <c r="R570" i="7"/>
  <c r="P570" i="7"/>
  <c r="Q570" i="7"/>
  <c r="O570" i="7"/>
  <c r="M570" i="7"/>
  <c r="N570" i="7"/>
  <c r="X530" i="7"/>
  <c r="W530" i="7"/>
  <c r="V530" i="7"/>
  <c r="U530" i="7"/>
  <c r="T530" i="7"/>
  <c r="S530" i="7"/>
  <c r="R530" i="7"/>
  <c r="P530" i="7"/>
  <c r="Q530" i="7"/>
  <c r="O530" i="7"/>
  <c r="M530" i="7"/>
  <c r="N530" i="7"/>
  <c r="X514" i="7"/>
  <c r="W514" i="7"/>
  <c r="V514" i="7"/>
  <c r="U514" i="7"/>
  <c r="T514" i="7"/>
  <c r="S514" i="7"/>
  <c r="R514" i="7"/>
  <c r="P514" i="7"/>
  <c r="Q514" i="7"/>
  <c r="O514" i="7"/>
  <c r="M514" i="7"/>
  <c r="N514" i="7"/>
  <c r="X474" i="7"/>
  <c r="W474" i="7"/>
  <c r="V474" i="7"/>
  <c r="U474" i="7"/>
  <c r="T474" i="7"/>
  <c r="S474" i="7"/>
  <c r="R474" i="7"/>
  <c r="P474" i="7"/>
  <c r="O474" i="7"/>
  <c r="Q474" i="7"/>
  <c r="M474" i="7"/>
  <c r="N474" i="7"/>
  <c r="X418" i="7"/>
  <c r="W418" i="7"/>
  <c r="V418" i="7"/>
  <c r="U418" i="7"/>
  <c r="T418" i="7"/>
  <c r="S418" i="7"/>
  <c r="R418" i="7"/>
  <c r="Q418" i="7"/>
  <c r="P418" i="7"/>
  <c r="O418" i="7"/>
  <c r="M418" i="7"/>
  <c r="N418" i="7"/>
  <c r="X378" i="7"/>
  <c r="W378" i="7"/>
  <c r="V378" i="7"/>
  <c r="U378" i="7"/>
  <c r="T378" i="7"/>
  <c r="S378" i="7"/>
  <c r="R378" i="7"/>
  <c r="P378" i="7"/>
  <c r="Q378" i="7"/>
  <c r="O378" i="7"/>
  <c r="M378" i="7"/>
  <c r="N378" i="7"/>
  <c r="X362" i="7"/>
  <c r="W362" i="7"/>
  <c r="U362" i="7"/>
  <c r="V362" i="7"/>
  <c r="T362" i="7"/>
  <c r="S362" i="7"/>
  <c r="R362" i="7"/>
  <c r="P362" i="7"/>
  <c r="Q362" i="7"/>
  <c r="O362" i="7"/>
  <c r="M362" i="7"/>
  <c r="N362" i="7"/>
  <c r="X322" i="7"/>
  <c r="W322" i="7"/>
  <c r="V322" i="7"/>
  <c r="T322" i="7"/>
  <c r="U322" i="7"/>
  <c r="S322" i="7"/>
  <c r="R322" i="7"/>
  <c r="P322" i="7"/>
  <c r="Q322" i="7"/>
  <c r="O322" i="7"/>
  <c r="M322" i="7"/>
  <c r="N322" i="7"/>
  <c r="X170" i="7"/>
  <c r="W170" i="7"/>
  <c r="V170" i="7"/>
  <c r="U170" i="7"/>
  <c r="T170" i="7"/>
  <c r="S170" i="7"/>
  <c r="R170" i="7"/>
  <c r="P170" i="7"/>
  <c r="Q170" i="7"/>
  <c r="O170" i="7"/>
  <c r="M170" i="7"/>
  <c r="N170" i="7"/>
  <c r="X154" i="7"/>
  <c r="W154" i="7"/>
  <c r="V154" i="7"/>
  <c r="U154" i="7"/>
  <c r="T154" i="7"/>
  <c r="S154" i="7"/>
  <c r="R154" i="7"/>
  <c r="P154" i="7"/>
  <c r="O154" i="7"/>
  <c r="Q154" i="7"/>
  <c r="M154" i="7"/>
  <c r="N154" i="7"/>
  <c r="X98" i="7"/>
  <c r="W98" i="7"/>
  <c r="V98" i="7"/>
  <c r="U98" i="7"/>
  <c r="T98" i="7"/>
  <c r="R98" i="7"/>
  <c r="S98" i="7"/>
  <c r="Q98" i="7"/>
  <c r="P98" i="7"/>
  <c r="M98" i="7"/>
  <c r="N98" i="7"/>
  <c r="O98" i="7"/>
  <c r="X4" i="7"/>
  <c r="W4" i="7"/>
  <c r="V4" i="7"/>
  <c r="U4" i="7"/>
  <c r="T4" i="7"/>
  <c r="S4" i="7"/>
  <c r="R4" i="7"/>
  <c r="Q4" i="7"/>
  <c r="P4" i="7"/>
  <c r="O4" i="7"/>
  <c r="M4" i="7"/>
  <c r="N4" i="7"/>
  <c r="X1195" i="7"/>
  <c r="W1195" i="7"/>
  <c r="V1195" i="7"/>
  <c r="U1195" i="7"/>
  <c r="S1195" i="7"/>
  <c r="T1195" i="7"/>
  <c r="R1195" i="7"/>
  <c r="P1195" i="7"/>
  <c r="Q1195" i="7"/>
  <c r="O1195" i="7"/>
  <c r="M1195" i="7"/>
  <c r="N1195" i="7"/>
  <c r="X1187" i="7"/>
  <c r="W1187" i="7"/>
  <c r="V1187" i="7"/>
  <c r="U1187" i="7"/>
  <c r="T1187" i="7"/>
  <c r="S1187" i="7"/>
  <c r="R1187" i="7"/>
  <c r="P1187" i="7"/>
  <c r="O1187" i="7"/>
  <c r="Q1187" i="7"/>
  <c r="M1187" i="7"/>
  <c r="N1187" i="7"/>
  <c r="X1179" i="7"/>
  <c r="W1179" i="7"/>
  <c r="U1179" i="7"/>
  <c r="V1179" i="7"/>
  <c r="S1179" i="7"/>
  <c r="T1179" i="7"/>
  <c r="R1179" i="7"/>
  <c r="Q1179" i="7"/>
  <c r="P1179" i="7"/>
  <c r="O1179" i="7"/>
  <c r="M1179" i="7"/>
  <c r="N1179" i="7"/>
  <c r="X1171" i="7"/>
  <c r="W1171" i="7"/>
  <c r="V1171" i="7"/>
  <c r="U1171" i="7"/>
  <c r="T1171" i="7"/>
  <c r="S1171" i="7"/>
  <c r="R1171" i="7"/>
  <c r="Q1171" i="7"/>
  <c r="P1171" i="7"/>
  <c r="O1171" i="7"/>
  <c r="M1171" i="7"/>
  <c r="N1171" i="7"/>
  <c r="X1163" i="7"/>
  <c r="W1163" i="7"/>
  <c r="V1163" i="7"/>
  <c r="T1163" i="7"/>
  <c r="S1163" i="7"/>
  <c r="U1163" i="7"/>
  <c r="R1163" i="7"/>
  <c r="P1163" i="7"/>
  <c r="Q1163" i="7"/>
  <c r="O1163" i="7"/>
  <c r="M1163" i="7"/>
  <c r="N1163" i="7"/>
  <c r="X1155" i="7"/>
  <c r="W1155" i="7"/>
  <c r="V1155" i="7"/>
  <c r="U1155" i="7"/>
  <c r="S1155" i="7"/>
  <c r="T1155" i="7"/>
  <c r="R1155" i="7"/>
  <c r="P1155" i="7"/>
  <c r="O1155" i="7"/>
  <c r="Q1155" i="7"/>
  <c r="M1155" i="7"/>
  <c r="N1155" i="7"/>
  <c r="X1147" i="7"/>
  <c r="W1147" i="7"/>
  <c r="V1147" i="7"/>
  <c r="U1147" i="7"/>
  <c r="T1147" i="7"/>
  <c r="S1147" i="7"/>
  <c r="R1147" i="7"/>
  <c r="Q1147" i="7"/>
  <c r="P1147" i="7"/>
  <c r="O1147" i="7"/>
  <c r="M1147" i="7"/>
  <c r="N1147" i="7"/>
  <c r="X1139" i="7"/>
  <c r="W1139" i="7"/>
  <c r="V1139" i="7"/>
  <c r="U1139" i="7"/>
  <c r="T1139" i="7"/>
  <c r="S1139" i="7"/>
  <c r="R1139" i="7"/>
  <c r="Q1139" i="7"/>
  <c r="P1139" i="7"/>
  <c r="O1139" i="7"/>
  <c r="M1139" i="7"/>
  <c r="N1139" i="7"/>
  <c r="X1131" i="7"/>
  <c r="W1131" i="7"/>
  <c r="V1131" i="7"/>
  <c r="U1131" i="7"/>
  <c r="S1131" i="7"/>
  <c r="T1131" i="7"/>
  <c r="R1131" i="7"/>
  <c r="P1131" i="7"/>
  <c r="Q1131" i="7"/>
  <c r="O1131" i="7"/>
  <c r="M1131" i="7"/>
  <c r="N1131" i="7"/>
  <c r="X1123" i="7"/>
  <c r="W1123" i="7"/>
  <c r="V1123" i="7"/>
  <c r="U1123" i="7"/>
  <c r="T1123" i="7"/>
  <c r="S1123" i="7"/>
  <c r="R1123" i="7"/>
  <c r="P1123" i="7"/>
  <c r="Q1123" i="7"/>
  <c r="O1123" i="7"/>
  <c r="M1123" i="7"/>
  <c r="N1123" i="7"/>
  <c r="X1115" i="7"/>
  <c r="W1115" i="7"/>
  <c r="U1115" i="7"/>
  <c r="V1115" i="7"/>
  <c r="S1115" i="7"/>
  <c r="T1115" i="7"/>
  <c r="R1115" i="7"/>
  <c r="Q1115" i="7"/>
  <c r="P1115" i="7"/>
  <c r="O1115" i="7"/>
  <c r="M1115" i="7"/>
  <c r="N1115" i="7"/>
  <c r="X1107" i="7"/>
  <c r="W1107" i="7"/>
  <c r="V1107" i="7"/>
  <c r="U1107" i="7"/>
  <c r="T1107" i="7"/>
  <c r="S1107" i="7"/>
  <c r="R1107" i="7"/>
  <c r="Q1107" i="7"/>
  <c r="P1107" i="7"/>
  <c r="O1107" i="7"/>
  <c r="M1107" i="7"/>
  <c r="N1107" i="7"/>
  <c r="X1099" i="7"/>
  <c r="W1099" i="7"/>
  <c r="V1099" i="7"/>
  <c r="U1099" i="7"/>
  <c r="T1099" i="7"/>
  <c r="S1099" i="7"/>
  <c r="R1099" i="7"/>
  <c r="P1099" i="7"/>
  <c r="Q1099" i="7"/>
  <c r="O1099" i="7"/>
  <c r="M1099" i="7"/>
  <c r="N1099" i="7"/>
  <c r="X1091" i="7"/>
  <c r="W1091" i="7"/>
  <c r="V1091" i="7"/>
  <c r="U1091" i="7"/>
  <c r="S1091" i="7"/>
  <c r="T1091" i="7"/>
  <c r="R1091" i="7"/>
  <c r="P1091" i="7"/>
  <c r="O1091" i="7"/>
  <c r="Q1091" i="7"/>
  <c r="M1091" i="7"/>
  <c r="N1091" i="7"/>
  <c r="X1083" i="7"/>
  <c r="W1083" i="7"/>
  <c r="V1083" i="7"/>
  <c r="U1083" i="7"/>
  <c r="T1083" i="7"/>
  <c r="S1083" i="7"/>
  <c r="R1083" i="7"/>
  <c r="Q1083" i="7"/>
  <c r="P1083" i="7"/>
  <c r="O1083" i="7"/>
  <c r="M1083" i="7"/>
  <c r="N1083" i="7"/>
  <c r="X1075" i="7"/>
  <c r="W1075" i="7"/>
  <c r="V1075" i="7"/>
  <c r="U1075" i="7"/>
  <c r="S1075" i="7"/>
  <c r="T1075" i="7"/>
  <c r="R1075" i="7"/>
  <c r="Q1075" i="7"/>
  <c r="P1075" i="7"/>
  <c r="O1075" i="7"/>
  <c r="M1075" i="7"/>
  <c r="N1075" i="7"/>
  <c r="X1067" i="7"/>
  <c r="W1067" i="7"/>
  <c r="V1067" i="7"/>
  <c r="U1067" i="7"/>
  <c r="T1067" i="7"/>
  <c r="S1067" i="7"/>
  <c r="R1067" i="7"/>
  <c r="P1067" i="7"/>
  <c r="Q1067" i="7"/>
  <c r="O1067" i="7"/>
  <c r="M1067" i="7"/>
  <c r="N1067" i="7"/>
  <c r="X1059" i="7"/>
  <c r="W1059" i="7"/>
  <c r="V1059" i="7"/>
  <c r="U1059" i="7"/>
  <c r="S1059" i="7"/>
  <c r="R1059" i="7"/>
  <c r="T1059" i="7"/>
  <c r="P1059" i="7"/>
  <c r="O1059" i="7"/>
  <c r="Q1059" i="7"/>
  <c r="M1059" i="7"/>
  <c r="N1059" i="7"/>
  <c r="X1051" i="7"/>
  <c r="W1051" i="7"/>
  <c r="V1051" i="7"/>
  <c r="T1051" i="7"/>
  <c r="S1051" i="7"/>
  <c r="U1051" i="7"/>
  <c r="R1051" i="7"/>
  <c r="Q1051" i="7"/>
  <c r="P1051" i="7"/>
  <c r="O1051" i="7"/>
  <c r="M1051" i="7"/>
  <c r="N1051" i="7"/>
  <c r="X1043" i="7"/>
  <c r="W1043" i="7"/>
  <c r="V1043" i="7"/>
  <c r="U1043" i="7"/>
  <c r="T1043" i="7"/>
  <c r="S1043" i="7"/>
  <c r="R1043" i="7"/>
  <c r="Q1043" i="7"/>
  <c r="P1043" i="7"/>
  <c r="O1043" i="7"/>
  <c r="M1043" i="7"/>
  <c r="N1043" i="7"/>
  <c r="X1035" i="7"/>
  <c r="W1035" i="7"/>
  <c r="V1035" i="7"/>
  <c r="U1035" i="7"/>
  <c r="S1035" i="7"/>
  <c r="T1035" i="7"/>
  <c r="R1035" i="7"/>
  <c r="P1035" i="7"/>
  <c r="Q1035" i="7"/>
  <c r="O1035" i="7"/>
  <c r="M1035" i="7"/>
  <c r="N1035" i="7"/>
  <c r="X1027" i="7"/>
  <c r="W1027" i="7"/>
  <c r="V1027" i="7"/>
  <c r="U1027" i="7"/>
  <c r="T1027" i="7"/>
  <c r="S1027" i="7"/>
  <c r="R1027" i="7"/>
  <c r="Q1027" i="7"/>
  <c r="P1027" i="7"/>
  <c r="O1027" i="7"/>
  <c r="M1027" i="7"/>
  <c r="N1027" i="7"/>
  <c r="X1019" i="7"/>
  <c r="W1019" i="7"/>
  <c r="V1019" i="7"/>
  <c r="U1019" i="7"/>
  <c r="T1019" i="7"/>
  <c r="S1019" i="7"/>
  <c r="R1019" i="7"/>
  <c r="Q1019" i="7"/>
  <c r="P1019" i="7"/>
  <c r="O1019" i="7"/>
  <c r="M1019" i="7"/>
  <c r="N1019" i="7"/>
  <c r="X1011" i="7"/>
  <c r="W1011" i="7"/>
  <c r="V1011" i="7"/>
  <c r="U1011" i="7"/>
  <c r="S1011" i="7"/>
  <c r="T1011" i="7"/>
  <c r="R1011" i="7"/>
  <c r="P1011" i="7"/>
  <c r="Q1011" i="7"/>
  <c r="O1011" i="7"/>
  <c r="M1011" i="7"/>
  <c r="N1011" i="7"/>
  <c r="X1003" i="7"/>
  <c r="W1003" i="7"/>
  <c r="V1003" i="7"/>
  <c r="U1003" i="7"/>
  <c r="T1003" i="7"/>
  <c r="S1003" i="7"/>
  <c r="R1003" i="7"/>
  <c r="Q1003" i="7"/>
  <c r="P1003" i="7"/>
  <c r="O1003" i="7"/>
  <c r="M1003" i="7"/>
  <c r="N1003" i="7"/>
  <c r="X995" i="7"/>
  <c r="W995" i="7"/>
  <c r="V995" i="7"/>
  <c r="U995" i="7"/>
  <c r="S995" i="7"/>
  <c r="T995" i="7"/>
  <c r="R995" i="7"/>
  <c r="P995" i="7"/>
  <c r="Q995" i="7"/>
  <c r="O995" i="7"/>
  <c r="M995" i="7"/>
  <c r="N995" i="7"/>
  <c r="X987" i="7"/>
  <c r="W987" i="7"/>
  <c r="V987" i="7"/>
  <c r="U987" i="7"/>
  <c r="T987" i="7"/>
  <c r="S987" i="7"/>
  <c r="R987" i="7"/>
  <c r="P987" i="7"/>
  <c r="O987" i="7"/>
  <c r="Q987" i="7"/>
  <c r="M987" i="7"/>
  <c r="N987" i="7"/>
  <c r="X979" i="7"/>
  <c r="W979" i="7"/>
  <c r="V979" i="7"/>
  <c r="U979" i="7"/>
  <c r="T979" i="7"/>
  <c r="S979" i="7"/>
  <c r="R979" i="7"/>
  <c r="Q979" i="7"/>
  <c r="P979" i="7"/>
  <c r="O979" i="7"/>
  <c r="M979" i="7"/>
  <c r="N979" i="7"/>
  <c r="X971" i="7"/>
  <c r="W971" i="7"/>
  <c r="V971" i="7"/>
  <c r="U971" i="7"/>
  <c r="S971" i="7"/>
  <c r="T971" i="7"/>
  <c r="R971" i="7"/>
  <c r="P971" i="7"/>
  <c r="Q971" i="7"/>
  <c r="O971" i="7"/>
  <c r="M971" i="7"/>
  <c r="N971" i="7"/>
  <c r="X963" i="7"/>
  <c r="W963" i="7"/>
  <c r="V963" i="7"/>
  <c r="U963" i="7"/>
  <c r="T963" i="7"/>
  <c r="S963" i="7"/>
  <c r="R963" i="7"/>
  <c r="Q963" i="7"/>
  <c r="P963" i="7"/>
  <c r="O963" i="7"/>
  <c r="M963" i="7"/>
  <c r="N963" i="7"/>
  <c r="X955" i="7"/>
  <c r="W955" i="7"/>
  <c r="V955" i="7"/>
  <c r="U955" i="7"/>
  <c r="T955" i="7"/>
  <c r="S955" i="7"/>
  <c r="R955" i="7"/>
  <c r="Q955" i="7"/>
  <c r="P955" i="7"/>
  <c r="O955" i="7"/>
  <c r="M955" i="7"/>
  <c r="N955" i="7"/>
  <c r="W947" i="7"/>
  <c r="X947" i="7"/>
  <c r="V947" i="7"/>
  <c r="U947" i="7"/>
  <c r="S947" i="7"/>
  <c r="T947" i="7"/>
  <c r="R947" i="7"/>
  <c r="P947" i="7"/>
  <c r="Q947" i="7"/>
  <c r="O947" i="7"/>
  <c r="M947" i="7"/>
  <c r="N947" i="7"/>
  <c r="X939" i="7"/>
  <c r="W939" i="7"/>
  <c r="V939" i="7"/>
  <c r="U939" i="7"/>
  <c r="T939" i="7"/>
  <c r="S939" i="7"/>
  <c r="R939" i="7"/>
  <c r="Q939" i="7"/>
  <c r="P939" i="7"/>
  <c r="O939" i="7"/>
  <c r="M939" i="7"/>
  <c r="N939" i="7"/>
  <c r="X931" i="7"/>
  <c r="W931" i="7"/>
  <c r="V931" i="7"/>
  <c r="U931" i="7"/>
  <c r="S931" i="7"/>
  <c r="T931" i="7"/>
  <c r="R931" i="7"/>
  <c r="P931" i="7"/>
  <c r="Q931" i="7"/>
  <c r="O931" i="7"/>
  <c r="M931" i="7"/>
  <c r="N931" i="7"/>
  <c r="X923" i="7"/>
  <c r="W923" i="7"/>
  <c r="V923" i="7"/>
  <c r="T923" i="7"/>
  <c r="S923" i="7"/>
  <c r="U923" i="7"/>
  <c r="R923" i="7"/>
  <c r="P923" i="7"/>
  <c r="O923" i="7"/>
  <c r="Q923" i="7"/>
  <c r="M923" i="7"/>
  <c r="N923" i="7"/>
  <c r="X915" i="7"/>
  <c r="W915" i="7"/>
  <c r="V915" i="7"/>
  <c r="U915" i="7"/>
  <c r="T915" i="7"/>
  <c r="S915" i="7"/>
  <c r="R915" i="7"/>
  <c r="Q915" i="7"/>
  <c r="P915" i="7"/>
  <c r="O915" i="7"/>
  <c r="M915" i="7"/>
  <c r="N915" i="7"/>
  <c r="X907" i="7"/>
  <c r="W907" i="7"/>
  <c r="V907" i="7"/>
  <c r="U907" i="7"/>
  <c r="S907" i="7"/>
  <c r="T907" i="7"/>
  <c r="R907" i="7"/>
  <c r="P907" i="7"/>
  <c r="Q907" i="7"/>
  <c r="O907" i="7"/>
  <c r="M907" i="7"/>
  <c r="N907" i="7"/>
  <c r="X899" i="7"/>
  <c r="W899" i="7"/>
  <c r="V899" i="7"/>
  <c r="U899" i="7"/>
  <c r="T899" i="7"/>
  <c r="S899" i="7"/>
  <c r="R899" i="7"/>
  <c r="Q899" i="7"/>
  <c r="P899" i="7"/>
  <c r="O899" i="7"/>
  <c r="M899" i="7"/>
  <c r="N899" i="7"/>
  <c r="X891" i="7"/>
  <c r="W891" i="7"/>
  <c r="V891" i="7"/>
  <c r="U891" i="7"/>
  <c r="T891" i="7"/>
  <c r="S891" i="7"/>
  <c r="R891" i="7"/>
  <c r="Q891" i="7"/>
  <c r="P891" i="7"/>
  <c r="O891" i="7"/>
  <c r="M891" i="7"/>
  <c r="N891" i="7"/>
  <c r="W883" i="7"/>
  <c r="X883" i="7"/>
  <c r="V883" i="7"/>
  <c r="U883" i="7"/>
  <c r="S883" i="7"/>
  <c r="T883" i="7"/>
  <c r="R883" i="7"/>
  <c r="P883" i="7"/>
  <c r="Q883" i="7"/>
  <c r="O883" i="7"/>
  <c r="M883" i="7"/>
  <c r="N883" i="7"/>
  <c r="X875" i="7"/>
  <c r="W875" i="7"/>
  <c r="V875" i="7"/>
  <c r="U875" i="7"/>
  <c r="T875" i="7"/>
  <c r="S875" i="7"/>
  <c r="R875" i="7"/>
  <c r="Q875" i="7"/>
  <c r="P875" i="7"/>
  <c r="O875" i="7"/>
  <c r="M875" i="7"/>
  <c r="N875" i="7"/>
  <c r="X867" i="7"/>
  <c r="W867" i="7"/>
  <c r="V867" i="7"/>
  <c r="U867" i="7"/>
  <c r="S867" i="7"/>
  <c r="T867" i="7"/>
  <c r="R867" i="7"/>
  <c r="P867" i="7"/>
  <c r="Q867" i="7"/>
  <c r="O867" i="7"/>
  <c r="M867" i="7"/>
  <c r="N867" i="7"/>
  <c r="X859" i="7"/>
  <c r="W859" i="7"/>
  <c r="V859" i="7"/>
  <c r="U859" i="7"/>
  <c r="T859" i="7"/>
  <c r="S859" i="7"/>
  <c r="R859" i="7"/>
  <c r="P859" i="7"/>
  <c r="O859" i="7"/>
  <c r="Q859" i="7"/>
  <c r="M859" i="7"/>
  <c r="N859" i="7"/>
  <c r="X851" i="7"/>
  <c r="W851" i="7"/>
  <c r="V851" i="7"/>
  <c r="U851" i="7"/>
  <c r="T851" i="7"/>
  <c r="S851" i="7"/>
  <c r="R851" i="7"/>
  <c r="Q851" i="7"/>
  <c r="P851" i="7"/>
  <c r="O851" i="7"/>
  <c r="M851" i="7"/>
  <c r="N851" i="7"/>
  <c r="X843" i="7"/>
  <c r="W843" i="7"/>
  <c r="V843" i="7"/>
  <c r="U843" i="7"/>
  <c r="S843" i="7"/>
  <c r="T843" i="7"/>
  <c r="R843" i="7"/>
  <c r="P843" i="7"/>
  <c r="Q843" i="7"/>
  <c r="O843" i="7"/>
  <c r="M843" i="7"/>
  <c r="N843" i="7"/>
  <c r="X835" i="7"/>
  <c r="W835" i="7"/>
  <c r="V835" i="7"/>
  <c r="U835" i="7"/>
  <c r="T835" i="7"/>
  <c r="S835" i="7"/>
  <c r="R835" i="7"/>
  <c r="Q835" i="7"/>
  <c r="P835" i="7"/>
  <c r="O835" i="7"/>
  <c r="M835" i="7"/>
  <c r="N835" i="7"/>
  <c r="X827" i="7"/>
  <c r="W827" i="7"/>
  <c r="V827" i="7"/>
  <c r="U827" i="7"/>
  <c r="T827" i="7"/>
  <c r="S827" i="7"/>
  <c r="R827" i="7"/>
  <c r="Q827" i="7"/>
  <c r="P827" i="7"/>
  <c r="O827" i="7"/>
  <c r="M827" i="7"/>
  <c r="N827" i="7"/>
  <c r="X819" i="7"/>
  <c r="W819" i="7"/>
  <c r="V819" i="7"/>
  <c r="U819" i="7"/>
  <c r="S819" i="7"/>
  <c r="T819" i="7"/>
  <c r="R819" i="7"/>
  <c r="P819" i="7"/>
  <c r="Q819" i="7"/>
  <c r="O819" i="7"/>
  <c r="M819" i="7"/>
  <c r="N819" i="7"/>
  <c r="X811" i="7"/>
  <c r="W811" i="7"/>
  <c r="V811" i="7"/>
  <c r="U811" i="7"/>
  <c r="T811" i="7"/>
  <c r="S811" i="7"/>
  <c r="R811" i="7"/>
  <c r="Q811" i="7"/>
  <c r="P811" i="7"/>
  <c r="O811" i="7"/>
  <c r="M811" i="7"/>
  <c r="N811" i="7"/>
  <c r="X803" i="7"/>
  <c r="W803" i="7"/>
  <c r="V803" i="7"/>
  <c r="U803" i="7"/>
  <c r="S803" i="7"/>
  <c r="T803" i="7"/>
  <c r="R803" i="7"/>
  <c r="P803" i="7"/>
  <c r="Q803" i="7"/>
  <c r="O803" i="7"/>
  <c r="M803" i="7"/>
  <c r="N803" i="7"/>
  <c r="X795" i="7"/>
  <c r="W795" i="7"/>
  <c r="V795" i="7"/>
  <c r="U795" i="7"/>
  <c r="T795" i="7"/>
  <c r="S795" i="7"/>
  <c r="R795" i="7"/>
  <c r="P795" i="7"/>
  <c r="O795" i="7"/>
  <c r="Q795" i="7"/>
  <c r="M795" i="7"/>
  <c r="N795" i="7"/>
  <c r="X787" i="7"/>
  <c r="W787" i="7"/>
  <c r="V787" i="7"/>
  <c r="U787" i="7"/>
  <c r="T787" i="7"/>
  <c r="S787" i="7"/>
  <c r="R787" i="7"/>
  <c r="Q787" i="7"/>
  <c r="P787" i="7"/>
  <c r="O787" i="7"/>
  <c r="M787" i="7"/>
  <c r="N787" i="7"/>
  <c r="X779" i="7"/>
  <c r="W779" i="7"/>
  <c r="U779" i="7"/>
  <c r="V779" i="7"/>
  <c r="S779" i="7"/>
  <c r="T779" i="7"/>
  <c r="R779" i="7"/>
  <c r="P779" i="7"/>
  <c r="Q779" i="7"/>
  <c r="O779" i="7"/>
  <c r="M779" i="7"/>
  <c r="N779" i="7"/>
  <c r="X771" i="7"/>
  <c r="W771" i="7"/>
  <c r="V771" i="7"/>
  <c r="U771" i="7"/>
  <c r="T771" i="7"/>
  <c r="S771" i="7"/>
  <c r="R771" i="7"/>
  <c r="Q771" i="7"/>
  <c r="P771" i="7"/>
  <c r="O771" i="7"/>
  <c r="M771" i="7"/>
  <c r="N771" i="7"/>
  <c r="X763" i="7"/>
  <c r="W763" i="7"/>
  <c r="V763" i="7"/>
  <c r="U763" i="7"/>
  <c r="T763" i="7"/>
  <c r="S763" i="7"/>
  <c r="R763" i="7"/>
  <c r="Q763" i="7"/>
  <c r="P763" i="7"/>
  <c r="O763" i="7"/>
  <c r="M763" i="7"/>
  <c r="N763" i="7"/>
  <c r="X755" i="7"/>
  <c r="W755" i="7"/>
  <c r="U755" i="7"/>
  <c r="V755" i="7"/>
  <c r="S755" i="7"/>
  <c r="T755" i="7"/>
  <c r="R755" i="7"/>
  <c r="P755" i="7"/>
  <c r="Q755" i="7"/>
  <c r="O755" i="7"/>
  <c r="M755" i="7"/>
  <c r="N755" i="7"/>
  <c r="X747" i="7"/>
  <c r="V747" i="7"/>
  <c r="W747" i="7"/>
  <c r="U747" i="7"/>
  <c r="T747" i="7"/>
  <c r="S747" i="7"/>
  <c r="R747" i="7"/>
  <c r="Q747" i="7"/>
  <c r="P747" i="7"/>
  <c r="O747" i="7"/>
  <c r="M747" i="7"/>
  <c r="N747" i="7"/>
  <c r="X739" i="7"/>
  <c r="W739" i="7"/>
  <c r="V739" i="7"/>
  <c r="U739" i="7"/>
  <c r="S739" i="7"/>
  <c r="R739" i="7"/>
  <c r="T739" i="7"/>
  <c r="P739" i="7"/>
  <c r="Q739" i="7"/>
  <c r="O739" i="7"/>
  <c r="M739" i="7"/>
  <c r="N739" i="7"/>
  <c r="X731" i="7"/>
  <c r="W731" i="7"/>
  <c r="V731" i="7"/>
  <c r="U731" i="7"/>
  <c r="T731" i="7"/>
  <c r="S731" i="7"/>
  <c r="R731" i="7"/>
  <c r="P731" i="7"/>
  <c r="Q731" i="7"/>
  <c r="O731" i="7"/>
  <c r="M731" i="7"/>
  <c r="N731" i="7"/>
  <c r="X723" i="7"/>
  <c r="W723" i="7"/>
  <c r="V723" i="7"/>
  <c r="U723" i="7"/>
  <c r="T723" i="7"/>
  <c r="S723" i="7"/>
  <c r="R723" i="7"/>
  <c r="Q723" i="7"/>
  <c r="P723" i="7"/>
  <c r="O723" i="7"/>
  <c r="M723" i="7"/>
  <c r="N723" i="7"/>
  <c r="X715" i="7"/>
  <c r="W715" i="7"/>
  <c r="V715" i="7"/>
  <c r="U715" i="7"/>
  <c r="S715" i="7"/>
  <c r="T715" i="7"/>
  <c r="R715" i="7"/>
  <c r="P715" i="7"/>
  <c r="Q715" i="7"/>
  <c r="O715" i="7"/>
  <c r="M715" i="7"/>
  <c r="N715" i="7"/>
  <c r="X707" i="7"/>
  <c r="W707" i="7"/>
  <c r="V707" i="7"/>
  <c r="U707" i="7"/>
  <c r="T707" i="7"/>
  <c r="S707" i="7"/>
  <c r="R707" i="7"/>
  <c r="Q707" i="7"/>
  <c r="P707" i="7"/>
  <c r="O707" i="7"/>
  <c r="M707" i="7"/>
  <c r="N707" i="7"/>
  <c r="X699" i="7"/>
  <c r="W699" i="7"/>
  <c r="V699" i="7"/>
  <c r="U699" i="7"/>
  <c r="T699" i="7"/>
  <c r="S699" i="7"/>
  <c r="R699" i="7"/>
  <c r="P699" i="7"/>
  <c r="Q699" i="7"/>
  <c r="O699" i="7"/>
  <c r="M699" i="7"/>
  <c r="N699" i="7"/>
  <c r="X691" i="7"/>
  <c r="W691" i="7"/>
  <c r="V691" i="7"/>
  <c r="U691" i="7"/>
  <c r="S691" i="7"/>
  <c r="T691" i="7"/>
  <c r="Q691" i="7"/>
  <c r="R691" i="7"/>
  <c r="P691" i="7"/>
  <c r="O691" i="7"/>
  <c r="M691" i="7"/>
  <c r="N691" i="7"/>
  <c r="X683" i="7"/>
  <c r="W683" i="7"/>
  <c r="V683" i="7"/>
  <c r="U683" i="7"/>
  <c r="T683" i="7"/>
  <c r="S683" i="7"/>
  <c r="Q683" i="7"/>
  <c r="R683" i="7"/>
  <c r="P683" i="7"/>
  <c r="O683" i="7"/>
  <c r="M683" i="7"/>
  <c r="N683" i="7"/>
  <c r="X675" i="7"/>
  <c r="V675" i="7"/>
  <c r="W675" i="7"/>
  <c r="U675" i="7"/>
  <c r="S675" i="7"/>
  <c r="T675" i="7"/>
  <c r="Q675" i="7"/>
  <c r="R675" i="7"/>
  <c r="P675" i="7"/>
  <c r="O675" i="7"/>
  <c r="M675" i="7"/>
  <c r="N675" i="7"/>
  <c r="X667" i="7"/>
  <c r="W667" i="7"/>
  <c r="V667" i="7"/>
  <c r="U667" i="7"/>
  <c r="T667" i="7"/>
  <c r="S667" i="7"/>
  <c r="Q667" i="7"/>
  <c r="R667" i="7"/>
  <c r="P667" i="7"/>
  <c r="O667" i="7"/>
  <c r="M667" i="7"/>
  <c r="N667" i="7"/>
  <c r="X659" i="7"/>
  <c r="W659" i="7"/>
  <c r="V659" i="7"/>
  <c r="U659" i="7"/>
  <c r="T659" i="7"/>
  <c r="S659" i="7"/>
  <c r="Q659" i="7"/>
  <c r="R659" i="7"/>
  <c r="P659" i="7"/>
  <c r="O659" i="7"/>
  <c r="M659" i="7"/>
  <c r="N659" i="7"/>
  <c r="X651" i="7"/>
  <c r="W651" i="7"/>
  <c r="V651" i="7"/>
  <c r="U651" i="7"/>
  <c r="S651" i="7"/>
  <c r="T651" i="7"/>
  <c r="Q651" i="7"/>
  <c r="R651" i="7"/>
  <c r="P651" i="7"/>
  <c r="O651" i="7"/>
  <c r="M651" i="7"/>
  <c r="N651" i="7"/>
  <c r="X643" i="7"/>
  <c r="W643" i="7"/>
  <c r="V643" i="7"/>
  <c r="U643" i="7"/>
  <c r="T643" i="7"/>
  <c r="S643" i="7"/>
  <c r="Q643" i="7"/>
  <c r="R643" i="7"/>
  <c r="P643" i="7"/>
  <c r="O643" i="7"/>
  <c r="M643" i="7"/>
  <c r="N643" i="7"/>
  <c r="X635" i="7"/>
  <c r="W635" i="7"/>
  <c r="V635" i="7"/>
  <c r="U635" i="7"/>
  <c r="T635" i="7"/>
  <c r="S635" i="7"/>
  <c r="Q635" i="7"/>
  <c r="R635" i="7"/>
  <c r="P635" i="7"/>
  <c r="O635" i="7"/>
  <c r="M635" i="7"/>
  <c r="N635" i="7"/>
  <c r="X627" i="7"/>
  <c r="W627" i="7"/>
  <c r="V627" i="7"/>
  <c r="U627" i="7"/>
  <c r="S627" i="7"/>
  <c r="T627" i="7"/>
  <c r="Q627" i="7"/>
  <c r="R627" i="7"/>
  <c r="P627" i="7"/>
  <c r="O627" i="7"/>
  <c r="M627" i="7"/>
  <c r="N627" i="7"/>
  <c r="X619" i="7"/>
  <c r="W619" i="7"/>
  <c r="V619" i="7"/>
  <c r="U619" i="7"/>
  <c r="T619" i="7"/>
  <c r="S619" i="7"/>
  <c r="Q619" i="7"/>
  <c r="R619" i="7"/>
  <c r="P619" i="7"/>
  <c r="O619" i="7"/>
  <c r="M619" i="7"/>
  <c r="N619" i="7"/>
  <c r="X611" i="7"/>
  <c r="W611" i="7"/>
  <c r="V611" i="7"/>
  <c r="U611" i="7"/>
  <c r="S611" i="7"/>
  <c r="T611" i="7"/>
  <c r="Q611" i="7"/>
  <c r="R611" i="7"/>
  <c r="P611" i="7"/>
  <c r="O611" i="7"/>
  <c r="M611" i="7"/>
  <c r="N611" i="7"/>
  <c r="X603" i="7"/>
  <c r="W603" i="7"/>
  <c r="V603" i="7"/>
  <c r="U603" i="7"/>
  <c r="T603" i="7"/>
  <c r="S603" i="7"/>
  <c r="Q603" i="7"/>
  <c r="R603" i="7"/>
  <c r="P603" i="7"/>
  <c r="O603" i="7"/>
  <c r="M603" i="7"/>
  <c r="N603" i="7"/>
  <c r="X595" i="7"/>
  <c r="W595" i="7"/>
  <c r="V595" i="7"/>
  <c r="U595" i="7"/>
  <c r="T595" i="7"/>
  <c r="S595" i="7"/>
  <c r="Q595" i="7"/>
  <c r="R595" i="7"/>
  <c r="P595" i="7"/>
  <c r="O595" i="7"/>
  <c r="M595" i="7"/>
  <c r="N595" i="7"/>
  <c r="X587" i="7"/>
  <c r="W587" i="7"/>
  <c r="V587" i="7"/>
  <c r="U587" i="7"/>
  <c r="S587" i="7"/>
  <c r="T587" i="7"/>
  <c r="Q587" i="7"/>
  <c r="R587" i="7"/>
  <c r="P587" i="7"/>
  <c r="O587" i="7"/>
  <c r="M587" i="7"/>
  <c r="N587" i="7"/>
  <c r="X579" i="7"/>
  <c r="W579" i="7"/>
  <c r="V579" i="7"/>
  <c r="U579" i="7"/>
  <c r="T579" i="7"/>
  <c r="S579" i="7"/>
  <c r="Q579" i="7"/>
  <c r="R579" i="7"/>
  <c r="P579" i="7"/>
  <c r="O579" i="7"/>
  <c r="M579" i="7"/>
  <c r="N579" i="7"/>
  <c r="X571" i="7"/>
  <c r="W571" i="7"/>
  <c r="V571" i="7"/>
  <c r="T571" i="7"/>
  <c r="U571" i="7"/>
  <c r="S571" i="7"/>
  <c r="Q571" i="7"/>
  <c r="R571" i="7"/>
  <c r="P571" i="7"/>
  <c r="O571" i="7"/>
  <c r="M571" i="7"/>
  <c r="N571" i="7"/>
  <c r="X563" i="7"/>
  <c r="W563" i="7"/>
  <c r="V563" i="7"/>
  <c r="U563" i="7"/>
  <c r="T563" i="7"/>
  <c r="S563" i="7"/>
  <c r="Q563" i="7"/>
  <c r="R563" i="7"/>
  <c r="P563" i="7"/>
  <c r="O563" i="7"/>
  <c r="M563" i="7"/>
  <c r="N563" i="7"/>
  <c r="X555" i="7"/>
  <c r="W555" i="7"/>
  <c r="V555" i="7"/>
  <c r="T555" i="7"/>
  <c r="U555" i="7"/>
  <c r="S555" i="7"/>
  <c r="Q555" i="7"/>
  <c r="R555" i="7"/>
  <c r="P555" i="7"/>
  <c r="O555" i="7"/>
  <c r="M555" i="7"/>
  <c r="N555" i="7"/>
  <c r="X547" i="7"/>
  <c r="W547" i="7"/>
  <c r="V547" i="7"/>
  <c r="T547" i="7"/>
  <c r="U547" i="7"/>
  <c r="S547" i="7"/>
  <c r="Q547" i="7"/>
  <c r="R547" i="7"/>
  <c r="P547" i="7"/>
  <c r="O547" i="7"/>
  <c r="M547" i="7"/>
  <c r="N547" i="7"/>
  <c r="X539" i="7"/>
  <c r="W539" i="7"/>
  <c r="V539" i="7"/>
  <c r="T539" i="7"/>
  <c r="U539" i="7"/>
  <c r="S539" i="7"/>
  <c r="Q539" i="7"/>
  <c r="R539" i="7"/>
  <c r="P539" i="7"/>
  <c r="O539" i="7"/>
  <c r="M539" i="7"/>
  <c r="N539" i="7"/>
  <c r="X531" i="7"/>
  <c r="W531" i="7"/>
  <c r="V531" i="7"/>
  <c r="T531" i="7"/>
  <c r="U531" i="7"/>
  <c r="S531" i="7"/>
  <c r="Q531" i="7"/>
  <c r="R531" i="7"/>
  <c r="P531" i="7"/>
  <c r="O531" i="7"/>
  <c r="M531" i="7"/>
  <c r="N531" i="7"/>
  <c r="X523" i="7"/>
  <c r="W523" i="7"/>
  <c r="V523" i="7"/>
  <c r="T523" i="7"/>
  <c r="S523" i="7"/>
  <c r="U523" i="7"/>
  <c r="Q523" i="7"/>
  <c r="R523" i="7"/>
  <c r="P523" i="7"/>
  <c r="O523" i="7"/>
  <c r="M523" i="7"/>
  <c r="N523" i="7"/>
  <c r="X515" i="7"/>
  <c r="W515" i="7"/>
  <c r="V515" i="7"/>
  <c r="U515" i="7"/>
  <c r="T515" i="7"/>
  <c r="S515" i="7"/>
  <c r="R515" i="7"/>
  <c r="Q515" i="7"/>
  <c r="P515" i="7"/>
  <c r="O515" i="7"/>
  <c r="M515" i="7"/>
  <c r="N515" i="7"/>
  <c r="X507" i="7"/>
  <c r="W507" i="7"/>
  <c r="V507" i="7"/>
  <c r="T507" i="7"/>
  <c r="U507" i="7"/>
  <c r="S507" i="7"/>
  <c r="R507" i="7"/>
  <c r="Q507" i="7"/>
  <c r="P507" i="7"/>
  <c r="O507" i="7"/>
  <c r="M507" i="7"/>
  <c r="N507" i="7"/>
  <c r="X499" i="7"/>
  <c r="W499" i="7"/>
  <c r="V499" i="7"/>
  <c r="U499" i="7"/>
  <c r="T499" i="7"/>
  <c r="S499" i="7"/>
  <c r="R499" i="7"/>
  <c r="Q499" i="7"/>
  <c r="P499" i="7"/>
  <c r="O499" i="7"/>
  <c r="M499" i="7"/>
  <c r="N499" i="7"/>
  <c r="X491" i="7"/>
  <c r="W491" i="7"/>
  <c r="V491" i="7"/>
  <c r="T491" i="7"/>
  <c r="S491" i="7"/>
  <c r="U491" i="7"/>
  <c r="R491" i="7"/>
  <c r="Q491" i="7"/>
  <c r="P491" i="7"/>
  <c r="O491" i="7"/>
  <c r="M491" i="7"/>
  <c r="N491" i="7"/>
  <c r="X483" i="7"/>
  <c r="W483" i="7"/>
  <c r="V483" i="7"/>
  <c r="T483" i="7"/>
  <c r="U483" i="7"/>
  <c r="S483" i="7"/>
  <c r="R483" i="7"/>
  <c r="Q483" i="7"/>
  <c r="P483" i="7"/>
  <c r="O483" i="7"/>
  <c r="M483" i="7"/>
  <c r="N483" i="7"/>
  <c r="X475" i="7"/>
  <c r="W475" i="7"/>
  <c r="V475" i="7"/>
  <c r="T475" i="7"/>
  <c r="U475" i="7"/>
  <c r="S475" i="7"/>
  <c r="R475" i="7"/>
  <c r="Q475" i="7"/>
  <c r="P475" i="7"/>
  <c r="O475" i="7"/>
  <c r="M475" i="7"/>
  <c r="N475" i="7"/>
  <c r="X467" i="7"/>
  <c r="V467" i="7"/>
  <c r="W467" i="7"/>
  <c r="T467" i="7"/>
  <c r="U467" i="7"/>
  <c r="S467" i="7"/>
  <c r="R467" i="7"/>
  <c r="Q467" i="7"/>
  <c r="O467" i="7"/>
  <c r="P467" i="7"/>
  <c r="M467" i="7"/>
  <c r="N467" i="7"/>
  <c r="X459" i="7"/>
  <c r="W459" i="7"/>
  <c r="V459" i="7"/>
  <c r="T459" i="7"/>
  <c r="S459" i="7"/>
  <c r="U459" i="7"/>
  <c r="R459" i="7"/>
  <c r="Q459" i="7"/>
  <c r="O459" i="7"/>
  <c r="P459" i="7"/>
  <c r="M459" i="7"/>
  <c r="N459" i="7"/>
  <c r="X451" i="7"/>
  <c r="W451" i="7"/>
  <c r="V451" i="7"/>
  <c r="U451" i="7"/>
  <c r="T451" i="7"/>
  <c r="S451" i="7"/>
  <c r="R451" i="7"/>
  <c r="Q451" i="7"/>
  <c r="O451" i="7"/>
  <c r="P451" i="7"/>
  <c r="M451" i="7"/>
  <c r="N451" i="7"/>
  <c r="X443" i="7"/>
  <c r="W443" i="7"/>
  <c r="V443" i="7"/>
  <c r="T443" i="7"/>
  <c r="U443" i="7"/>
  <c r="S443" i="7"/>
  <c r="R443" i="7"/>
  <c r="Q443" i="7"/>
  <c r="O443" i="7"/>
  <c r="P443" i="7"/>
  <c r="M443" i="7"/>
  <c r="N443" i="7"/>
  <c r="X435" i="7"/>
  <c r="W435" i="7"/>
  <c r="V435" i="7"/>
  <c r="U435" i="7"/>
  <c r="T435" i="7"/>
  <c r="S435" i="7"/>
  <c r="R435" i="7"/>
  <c r="Q435" i="7"/>
  <c r="O435" i="7"/>
  <c r="P435" i="7"/>
  <c r="M435" i="7"/>
  <c r="N435" i="7"/>
  <c r="X427" i="7"/>
  <c r="W427" i="7"/>
  <c r="V427" i="7"/>
  <c r="T427" i="7"/>
  <c r="S427" i="7"/>
  <c r="U427" i="7"/>
  <c r="R427" i="7"/>
  <c r="Q427" i="7"/>
  <c r="O427" i="7"/>
  <c r="P427" i="7"/>
  <c r="M427" i="7"/>
  <c r="N427" i="7"/>
  <c r="X419" i="7"/>
  <c r="W419" i="7"/>
  <c r="V419" i="7"/>
  <c r="T419" i="7"/>
  <c r="U419" i="7"/>
  <c r="S419" i="7"/>
  <c r="R419" i="7"/>
  <c r="Q419" i="7"/>
  <c r="O419" i="7"/>
  <c r="P419" i="7"/>
  <c r="M419" i="7"/>
  <c r="N419" i="7"/>
  <c r="X411" i="7"/>
  <c r="W411" i="7"/>
  <c r="V411" i="7"/>
  <c r="T411" i="7"/>
  <c r="U411" i="7"/>
  <c r="S411" i="7"/>
  <c r="R411" i="7"/>
  <c r="Q411" i="7"/>
  <c r="O411" i="7"/>
  <c r="P411" i="7"/>
  <c r="M411" i="7"/>
  <c r="N411" i="7"/>
  <c r="X403" i="7"/>
  <c r="V403" i="7"/>
  <c r="W403" i="7"/>
  <c r="T403" i="7"/>
  <c r="U403" i="7"/>
  <c r="S403" i="7"/>
  <c r="R403" i="7"/>
  <c r="Q403" i="7"/>
  <c r="O403" i="7"/>
  <c r="P403" i="7"/>
  <c r="M403" i="7"/>
  <c r="N403" i="7"/>
  <c r="X395" i="7"/>
  <c r="W395" i="7"/>
  <c r="V395" i="7"/>
  <c r="T395" i="7"/>
  <c r="S395" i="7"/>
  <c r="U395" i="7"/>
  <c r="R395" i="7"/>
  <c r="Q395" i="7"/>
  <c r="O395" i="7"/>
  <c r="P395" i="7"/>
  <c r="M395" i="7"/>
  <c r="N395" i="7"/>
  <c r="X387" i="7"/>
  <c r="W387" i="7"/>
  <c r="V387" i="7"/>
  <c r="U387" i="7"/>
  <c r="T387" i="7"/>
  <c r="S387" i="7"/>
  <c r="R387" i="7"/>
  <c r="Q387" i="7"/>
  <c r="O387" i="7"/>
  <c r="P387" i="7"/>
  <c r="M387" i="7"/>
  <c r="N387" i="7"/>
  <c r="X379" i="7"/>
  <c r="W379" i="7"/>
  <c r="V379" i="7"/>
  <c r="T379" i="7"/>
  <c r="U379" i="7"/>
  <c r="S379" i="7"/>
  <c r="R379" i="7"/>
  <c r="Q379" i="7"/>
  <c r="O379" i="7"/>
  <c r="P379" i="7"/>
  <c r="M379" i="7"/>
  <c r="N379" i="7"/>
  <c r="X371" i="7"/>
  <c r="W371" i="7"/>
  <c r="V371" i="7"/>
  <c r="U371" i="7"/>
  <c r="T371" i="7"/>
  <c r="S371" i="7"/>
  <c r="R371" i="7"/>
  <c r="Q371" i="7"/>
  <c r="O371" i="7"/>
  <c r="P371" i="7"/>
  <c r="M371" i="7"/>
  <c r="N371" i="7"/>
  <c r="X363" i="7"/>
  <c r="W363" i="7"/>
  <c r="V363" i="7"/>
  <c r="T363" i="7"/>
  <c r="S363" i="7"/>
  <c r="R363" i="7"/>
  <c r="U363" i="7"/>
  <c r="Q363" i="7"/>
  <c r="O363" i="7"/>
  <c r="P363" i="7"/>
  <c r="M363" i="7"/>
  <c r="N363" i="7"/>
  <c r="X355" i="7"/>
  <c r="W355" i="7"/>
  <c r="V355" i="7"/>
  <c r="T355" i="7"/>
  <c r="U355" i="7"/>
  <c r="S355" i="7"/>
  <c r="R355" i="7"/>
  <c r="Q355" i="7"/>
  <c r="O355" i="7"/>
  <c r="P355" i="7"/>
  <c r="M355" i="7"/>
  <c r="N355" i="7"/>
  <c r="X347" i="7"/>
  <c r="W347" i="7"/>
  <c r="V347" i="7"/>
  <c r="T347" i="7"/>
  <c r="S347" i="7"/>
  <c r="U347" i="7"/>
  <c r="R347" i="7"/>
  <c r="Q347" i="7"/>
  <c r="O347" i="7"/>
  <c r="P347" i="7"/>
  <c r="M347" i="7"/>
  <c r="N347" i="7"/>
  <c r="X339" i="7"/>
  <c r="W339" i="7"/>
  <c r="V339" i="7"/>
  <c r="T339" i="7"/>
  <c r="U339" i="7"/>
  <c r="S339" i="7"/>
  <c r="R339" i="7"/>
  <c r="Q339" i="7"/>
  <c r="O339" i="7"/>
  <c r="P339" i="7"/>
  <c r="M339" i="7"/>
  <c r="N339" i="7"/>
  <c r="X331" i="7"/>
  <c r="W331" i="7"/>
  <c r="V331" i="7"/>
  <c r="T331" i="7"/>
  <c r="S331" i="7"/>
  <c r="R331" i="7"/>
  <c r="U331" i="7"/>
  <c r="Q331" i="7"/>
  <c r="O331" i="7"/>
  <c r="P331" i="7"/>
  <c r="M331" i="7"/>
  <c r="N331" i="7"/>
  <c r="X323" i="7"/>
  <c r="W323" i="7"/>
  <c r="V323" i="7"/>
  <c r="U323" i="7"/>
  <c r="T323" i="7"/>
  <c r="S323" i="7"/>
  <c r="R323" i="7"/>
  <c r="Q323" i="7"/>
  <c r="O323" i="7"/>
  <c r="P323" i="7"/>
  <c r="M323" i="7"/>
  <c r="N323" i="7"/>
  <c r="X315" i="7"/>
  <c r="W315" i="7"/>
  <c r="V315" i="7"/>
  <c r="T315" i="7"/>
  <c r="U315" i="7"/>
  <c r="S315" i="7"/>
  <c r="R315" i="7"/>
  <c r="Q315" i="7"/>
  <c r="O315" i="7"/>
  <c r="P315" i="7"/>
  <c r="M315" i="7"/>
  <c r="N315" i="7"/>
  <c r="X307" i="7"/>
  <c r="W307" i="7"/>
  <c r="V307" i="7"/>
  <c r="U307" i="7"/>
  <c r="T307" i="7"/>
  <c r="S307" i="7"/>
  <c r="R307" i="7"/>
  <c r="Q307" i="7"/>
  <c r="O307" i="7"/>
  <c r="P307" i="7"/>
  <c r="M307" i="7"/>
  <c r="N307" i="7"/>
  <c r="X299" i="7"/>
  <c r="V299" i="7"/>
  <c r="W299" i="7"/>
  <c r="T299" i="7"/>
  <c r="U299" i="7"/>
  <c r="S299" i="7"/>
  <c r="R299" i="7"/>
  <c r="Q299" i="7"/>
  <c r="O299" i="7"/>
  <c r="P299" i="7"/>
  <c r="M299" i="7"/>
  <c r="N299" i="7"/>
  <c r="X291" i="7"/>
  <c r="W291" i="7"/>
  <c r="V291" i="7"/>
  <c r="T291" i="7"/>
  <c r="U291" i="7"/>
  <c r="S291" i="7"/>
  <c r="R291" i="7"/>
  <c r="Q291" i="7"/>
  <c r="O291" i="7"/>
  <c r="P291" i="7"/>
  <c r="M291" i="7"/>
  <c r="N291" i="7"/>
  <c r="X283" i="7"/>
  <c r="W283" i="7"/>
  <c r="V283" i="7"/>
  <c r="T283" i="7"/>
  <c r="S283" i="7"/>
  <c r="U283" i="7"/>
  <c r="R283" i="7"/>
  <c r="Q283" i="7"/>
  <c r="O283" i="7"/>
  <c r="P283" i="7"/>
  <c r="M283" i="7"/>
  <c r="N283" i="7"/>
  <c r="X275" i="7"/>
  <c r="W275" i="7"/>
  <c r="V275" i="7"/>
  <c r="T275" i="7"/>
  <c r="U275" i="7"/>
  <c r="S275" i="7"/>
  <c r="R275" i="7"/>
  <c r="Q275" i="7"/>
  <c r="O275" i="7"/>
  <c r="P275" i="7"/>
  <c r="M275" i="7"/>
  <c r="N275" i="7"/>
  <c r="X267" i="7"/>
  <c r="W267" i="7"/>
  <c r="V267" i="7"/>
  <c r="T267" i="7"/>
  <c r="U267" i="7"/>
  <c r="S267" i="7"/>
  <c r="R267" i="7"/>
  <c r="Q267" i="7"/>
  <c r="O267" i="7"/>
  <c r="P267" i="7"/>
  <c r="M267" i="7"/>
  <c r="N267" i="7"/>
  <c r="X259" i="7"/>
  <c r="W259" i="7"/>
  <c r="V259" i="7"/>
  <c r="U259" i="7"/>
  <c r="T259" i="7"/>
  <c r="S259" i="7"/>
  <c r="R259" i="7"/>
  <c r="Q259" i="7"/>
  <c r="O259" i="7"/>
  <c r="P259" i="7"/>
  <c r="M259" i="7"/>
  <c r="N259" i="7"/>
  <c r="X251" i="7"/>
  <c r="W251" i="7"/>
  <c r="V251" i="7"/>
  <c r="T251" i="7"/>
  <c r="U251" i="7"/>
  <c r="S251" i="7"/>
  <c r="R251" i="7"/>
  <c r="Q251" i="7"/>
  <c r="O251" i="7"/>
  <c r="P251" i="7"/>
  <c r="M251" i="7"/>
  <c r="N251" i="7"/>
  <c r="X243" i="7"/>
  <c r="W243" i="7"/>
  <c r="V243" i="7"/>
  <c r="U243" i="7"/>
  <c r="T243" i="7"/>
  <c r="S243" i="7"/>
  <c r="R243" i="7"/>
  <c r="Q243" i="7"/>
  <c r="O243" i="7"/>
  <c r="P243" i="7"/>
  <c r="M243" i="7"/>
  <c r="N243" i="7"/>
  <c r="X235" i="7"/>
  <c r="V235" i="7"/>
  <c r="W235" i="7"/>
  <c r="T235" i="7"/>
  <c r="U235" i="7"/>
  <c r="S235" i="7"/>
  <c r="R235" i="7"/>
  <c r="Q235" i="7"/>
  <c r="O235" i="7"/>
  <c r="P235" i="7"/>
  <c r="M235" i="7"/>
  <c r="N235" i="7"/>
  <c r="X227" i="7"/>
  <c r="V227" i="7"/>
  <c r="W227" i="7"/>
  <c r="T227" i="7"/>
  <c r="U227" i="7"/>
  <c r="S227" i="7"/>
  <c r="R227" i="7"/>
  <c r="Q227" i="7"/>
  <c r="O227" i="7"/>
  <c r="P227" i="7"/>
  <c r="M227" i="7"/>
  <c r="N227" i="7"/>
  <c r="X219" i="7"/>
  <c r="W219" i="7"/>
  <c r="V219" i="7"/>
  <c r="T219" i="7"/>
  <c r="S219" i="7"/>
  <c r="U219" i="7"/>
  <c r="R219" i="7"/>
  <c r="Q219" i="7"/>
  <c r="O219" i="7"/>
  <c r="P219" i="7"/>
  <c r="M219" i="7"/>
  <c r="N219" i="7"/>
  <c r="X211" i="7"/>
  <c r="W211" i="7"/>
  <c r="V211" i="7"/>
  <c r="T211" i="7"/>
  <c r="U211" i="7"/>
  <c r="S211" i="7"/>
  <c r="R211" i="7"/>
  <c r="Q211" i="7"/>
  <c r="O211" i="7"/>
  <c r="P211" i="7"/>
  <c r="M211" i="7"/>
  <c r="N211" i="7"/>
  <c r="X203" i="7"/>
  <c r="W203" i="7"/>
  <c r="V203" i="7"/>
  <c r="T203" i="7"/>
  <c r="U203" i="7"/>
  <c r="S203" i="7"/>
  <c r="R203" i="7"/>
  <c r="Q203" i="7"/>
  <c r="O203" i="7"/>
  <c r="P203" i="7"/>
  <c r="M203" i="7"/>
  <c r="N203" i="7"/>
  <c r="X195" i="7"/>
  <c r="W195" i="7"/>
  <c r="V195" i="7"/>
  <c r="U195" i="7"/>
  <c r="T195" i="7"/>
  <c r="S195" i="7"/>
  <c r="R195" i="7"/>
  <c r="Q195" i="7"/>
  <c r="O195" i="7"/>
  <c r="P195" i="7"/>
  <c r="M195" i="7"/>
  <c r="N195" i="7"/>
  <c r="X187" i="7"/>
  <c r="W187" i="7"/>
  <c r="V187" i="7"/>
  <c r="T187" i="7"/>
  <c r="U187" i="7"/>
  <c r="S187" i="7"/>
  <c r="R187" i="7"/>
  <c r="Q187" i="7"/>
  <c r="O187" i="7"/>
  <c r="P187" i="7"/>
  <c r="M187" i="7"/>
  <c r="N187" i="7"/>
  <c r="X179" i="7"/>
  <c r="W179" i="7"/>
  <c r="V179" i="7"/>
  <c r="U179" i="7"/>
  <c r="T179" i="7"/>
  <c r="S179" i="7"/>
  <c r="R179" i="7"/>
  <c r="Q179" i="7"/>
  <c r="O179" i="7"/>
  <c r="P179" i="7"/>
  <c r="M179" i="7"/>
  <c r="N179" i="7"/>
  <c r="X171" i="7"/>
  <c r="W171" i="7"/>
  <c r="V171" i="7"/>
  <c r="T171" i="7"/>
  <c r="U171" i="7"/>
  <c r="S171" i="7"/>
  <c r="R171" i="7"/>
  <c r="Q171" i="7"/>
  <c r="O171" i="7"/>
  <c r="P171" i="7"/>
  <c r="M171" i="7"/>
  <c r="N171" i="7"/>
  <c r="W163" i="7"/>
  <c r="X163" i="7"/>
  <c r="V163" i="7"/>
  <c r="T163" i="7"/>
  <c r="U163" i="7"/>
  <c r="S163" i="7"/>
  <c r="R163" i="7"/>
  <c r="Q163" i="7"/>
  <c r="O163" i="7"/>
  <c r="P163" i="7"/>
  <c r="M163" i="7"/>
  <c r="N163" i="7"/>
  <c r="X155" i="7"/>
  <c r="W155" i="7"/>
  <c r="V155" i="7"/>
  <c r="U155" i="7"/>
  <c r="T155" i="7"/>
  <c r="S155" i="7"/>
  <c r="R155" i="7"/>
  <c r="Q155" i="7"/>
  <c r="O155" i="7"/>
  <c r="P155" i="7"/>
  <c r="M155" i="7"/>
  <c r="N155" i="7"/>
  <c r="W147" i="7"/>
  <c r="X147" i="7"/>
  <c r="V147" i="7"/>
  <c r="T147" i="7"/>
  <c r="U147" i="7"/>
  <c r="S147" i="7"/>
  <c r="R147" i="7"/>
  <c r="Q147" i="7"/>
  <c r="O147" i="7"/>
  <c r="P147" i="7"/>
  <c r="M147" i="7"/>
  <c r="N147" i="7"/>
  <c r="X139" i="7"/>
  <c r="W139" i="7"/>
  <c r="V139" i="7"/>
  <c r="U139" i="7"/>
  <c r="T139" i="7"/>
  <c r="S139" i="7"/>
  <c r="R139" i="7"/>
  <c r="Q139" i="7"/>
  <c r="O139" i="7"/>
  <c r="P139" i="7"/>
  <c r="M139" i="7"/>
  <c r="N139" i="7"/>
  <c r="W131" i="7"/>
  <c r="X131" i="7"/>
  <c r="V131" i="7"/>
  <c r="T131" i="7"/>
  <c r="U131" i="7"/>
  <c r="S131" i="7"/>
  <c r="R131" i="7"/>
  <c r="Q131" i="7"/>
  <c r="O131" i="7"/>
  <c r="P131" i="7"/>
  <c r="M131" i="7"/>
  <c r="N131" i="7"/>
  <c r="X123" i="7"/>
  <c r="W123" i="7"/>
  <c r="V123" i="7"/>
  <c r="U123" i="7"/>
  <c r="T123" i="7"/>
  <c r="S123" i="7"/>
  <c r="R123" i="7"/>
  <c r="Q123" i="7"/>
  <c r="O123" i="7"/>
  <c r="P123" i="7"/>
  <c r="M123" i="7"/>
  <c r="N123" i="7"/>
  <c r="X115" i="7"/>
  <c r="W115" i="7"/>
  <c r="V115" i="7"/>
  <c r="T115" i="7"/>
  <c r="U115" i="7"/>
  <c r="S115" i="7"/>
  <c r="R115" i="7"/>
  <c r="Q115" i="7"/>
  <c r="O115" i="7"/>
  <c r="P115" i="7"/>
  <c r="M115" i="7"/>
  <c r="N115" i="7"/>
  <c r="X107" i="7"/>
  <c r="W107" i="7"/>
  <c r="V107" i="7"/>
  <c r="U107" i="7"/>
  <c r="T107" i="7"/>
  <c r="S107" i="7"/>
  <c r="R107" i="7"/>
  <c r="Q107" i="7"/>
  <c r="O107" i="7"/>
  <c r="P107" i="7"/>
  <c r="M107" i="7"/>
  <c r="N107" i="7"/>
  <c r="W99" i="7"/>
  <c r="X99" i="7"/>
  <c r="V99" i="7"/>
  <c r="U99" i="7"/>
  <c r="T99" i="7"/>
  <c r="S99" i="7"/>
  <c r="R99" i="7"/>
  <c r="Q99" i="7"/>
  <c r="O99" i="7"/>
  <c r="P99" i="7"/>
  <c r="M99" i="7"/>
  <c r="N99" i="7"/>
  <c r="X91" i="7"/>
  <c r="W91" i="7"/>
  <c r="V91" i="7"/>
  <c r="U91" i="7"/>
  <c r="T91" i="7"/>
  <c r="S91" i="7"/>
  <c r="R91" i="7"/>
  <c r="Q91" i="7"/>
  <c r="O91" i="7"/>
  <c r="P91" i="7"/>
  <c r="M91" i="7"/>
  <c r="N91" i="7"/>
  <c r="W83" i="7"/>
  <c r="X83" i="7"/>
  <c r="V83" i="7"/>
  <c r="T83" i="7"/>
  <c r="U83" i="7"/>
  <c r="S83" i="7"/>
  <c r="R83" i="7"/>
  <c r="Q83" i="7"/>
  <c r="O83" i="7"/>
  <c r="P83" i="7"/>
  <c r="M83" i="7"/>
  <c r="N83" i="7"/>
  <c r="X75" i="7"/>
  <c r="W75" i="7"/>
  <c r="V75" i="7"/>
  <c r="U75" i="7"/>
  <c r="T75" i="7"/>
  <c r="S75" i="7"/>
  <c r="R75" i="7"/>
  <c r="Q75" i="7"/>
  <c r="O75" i="7"/>
  <c r="P75" i="7"/>
  <c r="M75" i="7"/>
  <c r="N75" i="7"/>
  <c r="W67" i="7"/>
  <c r="X67" i="7"/>
  <c r="V67" i="7"/>
  <c r="U67" i="7"/>
  <c r="T67" i="7"/>
  <c r="S67" i="7"/>
  <c r="R67" i="7"/>
  <c r="Q67" i="7"/>
  <c r="O67" i="7"/>
  <c r="P67" i="7"/>
  <c r="M67" i="7"/>
  <c r="N67" i="7"/>
  <c r="X59" i="7"/>
  <c r="W59" i="7"/>
  <c r="V59" i="7"/>
  <c r="U59" i="7"/>
  <c r="T59" i="7"/>
  <c r="S59" i="7"/>
  <c r="R59" i="7"/>
  <c r="Q59" i="7"/>
  <c r="O59" i="7"/>
  <c r="P59" i="7"/>
  <c r="M59" i="7"/>
  <c r="N59" i="7"/>
  <c r="X51" i="7"/>
  <c r="W51" i="7"/>
  <c r="V51" i="7"/>
  <c r="T51" i="7"/>
  <c r="S51" i="7"/>
  <c r="U51" i="7"/>
  <c r="R51" i="7"/>
  <c r="Q51" i="7"/>
  <c r="O51" i="7"/>
  <c r="P51" i="7"/>
  <c r="M51" i="7"/>
  <c r="N51" i="7"/>
  <c r="X43" i="7"/>
  <c r="W43" i="7"/>
  <c r="V43" i="7"/>
  <c r="U43" i="7"/>
  <c r="T43" i="7"/>
  <c r="S43" i="7"/>
  <c r="R43" i="7"/>
  <c r="Q43" i="7"/>
  <c r="O43" i="7"/>
  <c r="P43" i="7"/>
  <c r="M43" i="7"/>
  <c r="N43" i="7"/>
  <c r="W35" i="7"/>
  <c r="X35" i="7"/>
  <c r="V35" i="7"/>
  <c r="T35" i="7"/>
  <c r="U35" i="7"/>
  <c r="S35" i="7"/>
  <c r="R35" i="7"/>
  <c r="Q35" i="7"/>
  <c r="O35" i="7"/>
  <c r="P35" i="7"/>
  <c r="M35" i="7"/>
  <c r="N35" i="7"/>
  <c r="X27" i="7"/>
  <c r="W27" i="7"/>
  <c r="V27" i="7"/>
  <c r="U27" i="7"/>
  <c r="T27" i="7"/>
  <c r="S27" i="7"/>
  <c r="R27" i="7"/>
  <c r="Q27" i="7"/>
  <c r="O27" i="7"/>
  <c r="P27" i="7"/>
  <c r="M27" i="7"/>
  <c r="N27" i="7"/>
  <c r="X19" i="7"/>
  <c r="W19" i="7"/>
  <c r="V19" i="7"/>
  <c r="T19" i="7"/>
  <c r="U19" i="7"/>
  <c r="S19" i="7"/>
  <c r="R19" i="7"/>
  <c r="Q19" i="7"/>
  <c r="O19" i="7"/>
  <c r="P19" i="7"/>
  <c r="M19" i="7"/>
  <c r="N19" i="7"/>
  <c r="X11" i="7"/>
  <c r="W11" i="7"/>
  <c r="V11" i="7"/>
  <c r="U11" i="7"/>
  <c r="T11" i="7"/>
  <c r="S11" i="7"/>
  <c r="R11" i="7"/>
  <c r="Q11" i="7"/>
  <c r="P11" i="7"/>
  <c r="O11" i="7"/>
  <c r="M11" i="7"/>
  <c r="N11" i="7"/>
  <c r="Y3" i="7"/>
  <c r="AG3" i="7"/>
  <c r="AO3" i="7"/>
  <c r="AW3" i="7"/>
  <c r="BE3" i="7"/>
  <c r="BM3" i="7"/>
  <c r="BU3" i="7"/>
  <c r="CC3" i="7"/>
  <c r="CK3" i="7"/>
  <c r="CS3" i="7"/>
  <c r="DA3" i="7"/>
  <c r="DI3" i="7"/>
  <c r="DQ3" i="7"/>
  <c r="DY3" i="7"/>
  <c r="EG3" i="7"/>
  <c r="EO3" i="7"/>
  <c r="EW3" i="7"/>
  <c r="FE3" i="7"/>
  <c r="FM3" i="7"/>
  <c r="FU3" i="7"/>
  <c r="GC3" i="7"/>
  <c r="GK3" i="7"/>
  <c r="GS3" i="7"/>
  <c r="HA3" i="7"/>
  <c r="HI3" i="7"/>
  <c r="HQ3" i="7"/>
  <c r="HY3" i="7"/>
  <c r="IG3" i="7"/>
  <c r="IO3" i="7"/>
  <c r="IW3" i="7"/>
  <c r="JE3" i="7"/>
  <c r="JM3" i="7"/>
  <c r="JU3" i="7"/>
  <c r="KC3" i="7"/>
  <c r="KK3" i="7"/>
  <c r="KS3" i="7"/>
  <c r="LA3" i="7"/>
  <c r="LI3" i="7"/>
  <c r="LQ3" i="7"/>
  <c r="LY3" i="7"/>
  <c r="MG3" i="7"/>
  <c r="MO3" i="7"/>
  <c r="MW3" i="7"/>
  <c r="NE3" i="7"/>
  <c r="NM3" i="7"/>
  <c r="NU3" i="7"/>
  <c r="OC3" i="7"/>
  <c r="OK3" i="7"/>
  <c r="OS3" i="7"/>
  <c r="PA3" i="7"/>
  <c r="PI3" i="7"/>
  <c r="PQ3" i="7"/>
  <c r="PY3" i="7"/>
  <c r="QG3" i="7"/>
  <c r="QO3" i="7"/>
  <c r="QW3" i="7"/>
  <c r="RE3" i="7"/>
  <c r="RM3" i="7"/>
  <c r="RU3" i="7"/>
  <c r="SC3" i="7"/>
  <c r="SK3" i="7"/>
  <c r="SS3" i="7"/>
  <c r="TA3" i="7"/>
  <c r="TI3" i="7"/>
  <c r="TQ3" i="7"/>
  <c r="TY3" i="7"/>
  <c r="UG3" i="7"/>
  <c r="UO3" i="7"/>
  <c r="UW3" i="7"/>
  <c r="VE3" i="7"/>
  <c r="VM3" i="7"/>
  <c r="VU3" i="7"/>
  <c r="WC3" i="7"/>
  <c r="WK3" i="7"/>
  <c r="WS3" i="7"/>
  <c r="XA3" i="7"/>
  <c r="XI3" i="7"/>
  <c r="XQ3" i="7"/>
  <c r="XY3" i="7"/>
  <c r="YG3" i="7"/>
  <c r="YO3" i="7"/>
  <c r="YW3" i="7"/>
  <c r="ZE3" i="7"/>
  <c r="ZM3" i="7"/>
  <c r="ZU3" i="7"/>
  <c r="AAC3" i="7"/>
  <c r="AAK3" i="7"/>
  <c r="AAS3" i="7"/>
  <c r="ABA3" i="7"/>
  <c r="ABI3" i="7"/>
  <c r="ABQ3" i="7"/>
  <c r="ABY3" i="7"/>
  <c r="ACG3" i="7"/>
  <c r="ACO3" i="7"/>
  <c r="ACW3" i="7"/>
  <c r="ADE3" i="7"/>
  <c r="ADM3" i="7"/>
  <c r="ADU3" i="7"/>
  <c r="AEC3" i="7"/>
  <c r="AEK3" i="7"/>
  <c r="AES3" i="7"/>
  <c r="AFA3" i="7"/>
  <c r="AFI3" i="7"/>
  <c r="AFQ3" i="7"/>
  <c r="AFY3" i="7"/>
  <c r="AGG3" i="7"/>
  <c r="AGO3" i="7"/>
  <c r="AGW3" i="7"/>
  <c r="AHE3" i="7"/>
  <c r="AHM3" i="7"/>
  <c r="AHU3" i="7"/>
  <c r="AIC3" i="7"/>
  <c r="AIK3" i="7"/>
  <c r="AIS3" i="7"/>
  <c r="AJA3" i="7"/>
  <c r="AJI3" i="7"/>
  <c r="AJQ3" i="7"/>
  <c r="AJY3" i="7"/>
  <c r="AKG3" i="7"/>
  <c r="AKO3" i="7"/>
  <c r="AKW3" i="7"/>
  <c r="ALE3" i="7"/>
  <c r="ALM3" i="7"/>
  <c r="ALU3" i="7"/>
  <c r="AMC3" i="7"/>
  <c r="AMK3" i="7"/>
  <c r="AMS3" i="7"/>
  <c r="ANA3" i="7"/>
  <c r="ANI3" i="7"/>
  <c r="ANQ3" i="7"/>
  <c r="ANY3" i="7"/>
  <c r="AOG3" i="7"/>
  <c r="AOO3" i="7"/>
  <c r="AOW3" i="7"/>
  <c r="APE3" i="7"/>
  <c r="APM3" i="7"/>
  <c r="APU3" i="7"/>
  <c r="AQC3" i="7"/>
  <c r="AQK3" i="7"/>
  <c r="AQS3" i="7"/>
  <c r="ARA3" i="7"/>
  <c r="ARI3" i="7"/>
  <c r="ARQ3" i="7"/>
  <c r="ARY3" i="7"/>
  <c r="ASG3" i="7"/>
  <c r="ASO3" i="7"/>
  <c r="ASW3" i="7"/>
  <c r="ATE3" i="7"/>
  <c r="ATM3" i="7"/>
  <c r="ATU3" i="7"/>
  <c r="AUC3" i="7"/>
  <c r="AUK3" i="7"/>
  <c r="AUS3" i="7"/>
  <c r="AVA3" i="7"/>
  <c r="AVI3" i="7"/>
  <c r="AVQ3" i="7"/>
  <c r="AVY3" i="7"/>
  <c r="AWG3" i="7"/>
  <c r="AWO3" i="7"/>
  <c r="AWW3" i="7"/>
  <c r="AXE3" i="7"/>
  <c r="AXM3" i="7"/>
  <c r="AXU3" i="7"/>
  <c r="AYC3" i="7"/>
  <c r="AYK3" i="7"/>
  <c r="AYS3" i="7"/>
  <c r="AZA3" i="7"/>
  <c r="AZI3" i="7"/>
  <c r="AZQ3" i="7"/>
  <c r="AZY3" i="7"/>
  <c r="BAG3" i="7"/>
  <c r="BAO3" i="7"/>
  <c r="BAW3" i="7"/>
  <c r="BBE3" i="7"/>
  <c r="BBM3" i="7"/>
  <c r="BBU3" i="7"/>
  <c r="BCC3" i="7"/>
  <c r="BCK3" i="7"/>
  <c r="BCS3" i="7"/>
  <c r="BDA3" i="7"/>
  <c r="BDI3" i="7"/>
  <c r="BDQ3" i="7"/>
  <c r="BDY3" i="7"/>
  <c r="BEG3" i="7"/>
  <c r="BEO3" i="7"/>
  <c r="BEW3" i="7"/>
  <c r="BFE3" i="7"/>
  <c r="BFM3" i="7"/>
  <c r="BFU3" i="7"/>
  <c r="BGC3" i="7"/>
  <c r="BGK3" i="7"/>
  <c r="BGS3" i="7"/>
  <c r="BHA3" i="7"/>
  <c r="BHI3" i="7"/>
  <c r="BHQ3" i="7"/>
  <c r="BHY3" i="7"/>
  <c r="BIG3" i="7"/>
  <c r="BIO3" i="7"/>
  <c r="BIW3" i="7"/>
  <c r="BJE3" i="7"/>
  <c r="BJM3" i="7"/>
  <c r="BJU3" i="7"/>
  <c r="BKC3" i="7"/>
  <c r="BKK3" i="7"/>
  <c r="BKS3" i="7"/>
  <c r="BLA3" i="7"/>
  <c r="BLI3" i="7"/>
  <c r="BLQ3" i="7"/>
  <c r="BLY3" i="7"/>
  <c r="BMG3" i="7"/>
  <c r="BMO3" i="7"/>
  <c r="BMW3" i="7"/>
  <c r="BNE3" i="7"/>
  <c r="BNM3" i="7"/>
  <c r="BNU3" i="7"/>
  <c r="BOC3" i="7"/>
  <c r="BOK3" i="7"/>
  <c r="BOS3" i="7"/>
  <c r="BPA3" i="7"/>
  <c r="BPI3" i="7"/>
  <c r="BPQ3" i="7"/>
  <c r="BPY3" i="7"/>
  <c r="BQG3" i="7"/>
  <c r="BQO3" i="7"/>
  <c r="BQW3" i="7"/>
  <c r="BRE3" i="7"/>
  <c r="BRM3" i="7"/>
  <c r="BRU3" i="7"/>
  <c r="BSC3" i="7"/>
  <c r="BSK3" i="7"/>
  <c r="BSS3" i="7"/>
  <c r="BTA3" i="7"/>
  <c r="BTI3" i="7"/>
  <c r="BTQ3" i="7"/>
  <c r="BTY3" i="7"/>
  <c r="BUG3" i="7"/>
  <c r="BUO3" i="7"/>
  <c r="BUW3" i="7"/>
  <c r="BVE3" i="7"/>
  <c r="BVM3" i="7"/>
  <c r="BVU3" i="7"/>
  <c r="BWC3" i="7"/>
  <c r="BWK3" i="7"/>
  <c r="BWS3" i="7"/>
  <c r="BXA3" i="7"/>
  <c r="BXI3" i="7"/>
  <c r="BXQ3" i="7"/>
  <c r="Z3" i="7"/>
  <c r="AH3" i="7"/>
  <c r="AP3" i="7"/>
  <c r="AX3" i="7"/>
  <c r="BF3" i="7"/>
  <c r="BN3" i="7"/>
  <c r="BV3" i="7"/>
  <c r="CD3" i="7"/>
  <c r="CL3" i="7"/>
  <c r="CT3" i="7"/>
  <c r="DB3" i="7"/>
  <c r="DJ3" i="7"/>
  <c r="DR3" i="7"/>
  <c r="DZ3" i="7"/>
  <c r="EH3" i="7"/>
  <c r="EP3" i="7"/>
  <c r="EX3" i="7"/>
  <c r="FF3" i="7"/>
  <c r="FN3" i="7"/>
  <c r="FV3" i="7"/>
  <c r="GD3" i="7"/>
  <c r="GL3" i="7"/>
  <c r="GT3" i="7"/>
  <c r="HB3" i="7"/>
  <c r="HJ3" i="7"/>
  <c r="HR3" i="7"/>
  <c r="HZ3" i="7"/>
  <c r="IH3" i="7"/>
  <c r="IP3" i="7"/>
  <c r="IX3" i="7"/>
  <c r="JF3" i="7"/>
  <c r="JN3" i="7"/>
  <c r="JV3" i="7"/>
  <c r="KD3" i="7"/>
  <c r="KL3" i="7"/>
  <c r="KT3" i="7"/>
  <c r="LB3" i="7"/>
  <c r="LJ3" i="7"/>
  <c r="LR3" i="7"/>
  <c r="LZ3" i="7"/>
  <c r="MH3" i="7"/>
  <c r="MP3" i="7"/>
  <c r="MX3" i="7"/>
  <c r="NF3" i="7"/>
  <c r="NN3" i="7"/>
  <c r="NV3" i="7"/>
  <c r="OD3" i="7"/>
  <c r="OL3" i="7"/>
  <c r="OT3" i="7"/>
  <c r="PB3" i="7"/>
  <c r="PJ3" i="7"/>
  <c r="PR3" i="7"/>
  <c r="PZ3" i="7"/>
  <c r="QH3" i="7"/>
  <c r="QP3" i="7"/>
  <c r="QX3" i="7"/>
  <c r="RF3" i="7"/>
  <c r="RN3" i="7"/>
  <c r="RV3" i="7"/>
  <c r="SD3" i="7"/>
  <c r="SL3" i="7"/>
  <c r="ST3" i="7"/>
  <c r="TB3" i="7"/>
  <c r="TJ3" i="7"/>
  <c r="TR3" i="7"/>
  <c r="TZ3" i="7"/>
  <c r="UH3" i="7"/>
  <c r="UP3" i="7"/>
  <c r="UX3" i="7"/>
  <c r="VF3" i="7"/>
  <c r="VN3" i="7"/>
  <c r="VV3" i="7"/>
  <c r="WD3" i="7"/>
  <c r="WL3" i="7"/>
  <c r="WT3" i="7"/>
  <c r="XB3" i="7"/>
  <c r="XJ3" i="7"/>
  <c r="XR3" i="7"/>
  <c r="XZ3" i="7"/>
  <c r="YH3" i="7"/>
  <c r="YP3" i="7"/>
  <c r="YX3" i="7"/>
  <c r="ZF3" i="7"/>
  <c r="ZN3" i="7"/>
  <c r="ZV3" i="7"/>
  <c r="AAD3" i="7"/>
  <c r="AAL3" i="7"/>
  <c r="AAT3" i="7"/>
  <c r="ABB3" i="7"/>
  <c r="ABJ3" i="7"/>
  <c r="ABR3" i="7"/>
  <c r="ABZ3" i="7"/>
  <c r="ACH3" i="7"/>
  <c r="ACP3" i="7"/>
  <c r="ACX3" i="7"/>
  <c r="ADF3" i="7"/>
  <c r="ADN3" i="7"/>
  <c r="ADV3" i="7"/>
  <c r="AED3" i="7"/>
  <c r="AEL3" i="7"/>
  <c r="AET3" i="7"/>
  <c r="AFB3" i="7"/>
  <c r="AFJ3" i="7"/>
  <c r="AFR3" i="7"/>
  <c r="AFZ3" i="7"/>
  <c r="AGH3" i="7"/>
  <c r="AGP3" i="7"/>
  <c r="AGX3" i="7"/>
  <c r="AHF3" i="7"/>
  <c r="AHN3" i="7"/>
  <c r="AHV3" i="7"/>
  <c r="AID3" i="7"/>
  <c r="AIL3" i="7"/>
  <c r="AIT3" i="7"/>
  <c r="AJB3" i="7"/>
  <c r="AJJ3" i="7"/>
  <c r="AJR3" i="7"/>
  <c r="AJZ3" i="7"/>
  <c r="AKH3" i="7"/>
  <c r="AKP3" i="7"/>
  <c r="AKX3" i="7"/>
  <c r="ALF3" i="7"/>
  <c r="ALN3" i="7"/>
  <c r="ALV3" i="7"/>
  <c r="AMD3" i="7"/>
  <c r="AML3" i="7"/>
  <c r="AMT3" i="7"/>
  <c r="ANB3" i="7"/>
  <c r="ANJ3" i="7"/>
  <c r="ANR3" i="7"/>
  <c r="ANZ3" i="7"/>
  <c r="AOH3" i="7"/>
  <c r="AOP3" i="7"/>
  <c r="AOX3" i="7"/>
  <c r="APF3" i="7"/>
  <c r="APN3" i="7"/>
  <c r="APV3" i="7"/>
  <c r="AQD3" i="7"/>
  <c r="AQL3" i="7"/>
  <c r="AQT3" i="7"/>
  <c r="ARB3" i="7"/>
  <c r="ARJ3" i="7"/>
  <c r="ARR3" i="7"/>
  <c r="ARZ3" i="7"/>
  <c r="ASH3" i="7"/>
  <c r="ASP3" i="7"/>
  <c r="ASX3" i="7"/>
  <c r="ATF3" i="7"/>
  <c r="ATN3" i="7"/>
  <c r="ATV3" i="7"/>
  <c r="AUD3" i="7"/>
  <c r="AUL3" i="7"/>
  <c r="AUT3" i="7"/>
  <c r="AVB3" i="7"/>
  <c r="AVJ3" i="7"/>
  <c r="AVR3" i="7"/>
  <c r="AVZ3" i="7"/>
  <c r="AWH3" i="7"/>
  <c r="AWP3" i="7"/>
  <c r="AWX3" i="7"/>
  <c r="AXF3" i="7"/>
  <c r="AXN3" i="7"/>
  <c r="AXV3" i="7"/>
  <c r="AYD3" i="7"/>
  <c r="AYL3" i="7"/>
  <c r="AYT3" i="7"/>
  <c r="AZB3" i="7"/>
  <c r="AZJ3" i="7"/>
  <c r="AZR3" i="7"/>
  <c r="AZZ3" i="7"/>
  <c r="BAH3" i="7"/>
  <c r="BAP3" i="7"/>
  <c r="BAX3" i="7"/>
  <c r="BBF3" i="7"/>
  <c r="BBN3" i="7"/>
  <c r="BBV3" i="7"/>
  <c r="BCD3" i="7"/>
  <c r="BCL3" i="7"/>
  <c r="BCT3" i="7"/>
  <c r="BDB3" i="7"/>
  <c r="BDJ3" i="7"/>
  <c r="BDR3" i="7"/>
  <c r="BDZ3" i="7"/>
  <c r="BEH3" i="7"/>
  <c r="BEP3" i="7"/>
  <c r="BEX3" i="7"/>
  <c r="BFF3" i="7"/>
  <c r="BFN3" i="7"/>
  <c r="BFV3" i="7"/>
  <c r="BGD3" i="7"/>
  <c r="BGL3" i="7"/>
  <c r="BGT3" i="7"/>
  <c r="BHB3" i="7"/>
  <c r="BHJ3" i="7"/>
  <c r="BHR3" i="7"/>
  <c r="BHZ3" i="7"/>
  <c r="BIH3" i="7"/>
  <c r="BIP3" i="7"/>
  <c r="BIX3" i="7"/>
  <c r="BJF3" i="7"/>
  <c r="BJN3" i="7"/>
  <c r="BJV3" i="7"/>
  <c r="BKD3" i="7"/>
  <c r="BKL3" i="7"/>
  <c r="BKT3" i="7"/>
  <c r="BLB3" i="7"/>
  <c r="BLJ3" i="7"/>
  <c r="BLR3" i="7"/>
  <c r="BLZ3" i="7"/>
  <c r="BMH3" i="7"/>
  <c r="BMP3" i="7"/>
  <c r="BMX3" i="7"/>
  <c r="BNF3" i="7"/>
  <c r="BNN3" i="7"/>
  <c r="BNV3" i="7"/>
  <c r="BOD3" i="7"/>
  <c r="BOL3" i="7"/>
  <c r="BOT3" i="7"/>
  <c r="BPB3" i="7"/>
  <c r="BPJ3" i="7"/>
  <c r="BPR3" i="7"/>
  <c r="AA3" i="7"/>
  <c r="AI3" i="7"/>
  <c r="AQ3" i="7"/>
  <c r="AY3" i="7"/>
  <c r="BG3" i="7"/>
  <c r="BO3" i="7"/>
  <c r="BW3" i="7"/>
  <c r="CE3" i="7"/>
  <c r="CM3" i="7"/>
  <c r="CU3" i="7"/>
  <c r="DC3" i="7"/>
  <c r="DK3" i="7"/>
  <c r="DS3" i="7"/>
  <c r="EA3" i="7"/>
  <c r="EI3" i="7"/>
  <c r="EQ3" i="7"/>
  <c r="EY3" i="7"/>
  <c r="FG3" i="7"/>
  <c r="FO3" i="7"/>
  <c r="FW3" i="7"/>
  <c r="GE3" i="7"/>
  <c r="GM3" i="7"/>
  <c r="GU3" i="7"/>
  <c r="HC3" i="7"/>
  <c r="HK3" i="7"/>
  <c r="HS3" i="7"/>
  <c r="IA3" i="7"/>
  <c r="II3" i="7"/>
  <c r="IQ3" i="7"/>
  <c r="IY3" i="7"/>
  <c r="JG3" i="7"/>
  <c r="JO3" i="7"/>
  <c r="JW3" i="7"/>
  <c r="KE3" i="7"/>
  <c r="KM3" i="7"/>
  <c r="KU3" i="7"/>
  <c r="LC3" i="7"/>
  <c r="LK3" i="7"/>
  <c r="LS3" i="7"/>
  <c r="MA3" i="7"/>
  <c r="MI3" i="7"/>
  <c r="MQ3" i="7"/>
  <c r="MY3" i="7"/>
  <c r="NG3" i="7"/>
  <c r="NO3" i="7"/>
  <c r="NW3" i="7"/>
  <c r="OE3" i="7"/>
  <c r="OM3" i="7"/>
  <c r="OU3" i="7"/>
  <c r="PC3" i="7"/>
  <c r="PK3" i="7"/>
  <c r="PS3" i="7"/>
  <c r="QA3" i="7"/>
  <c r="QI3" i="7"/>
  <c r="QQ3" i="7"/>
  <c r="QY3" i="7"/>
  <c r="RG3" i="7"/>
  <c r="RO3" i="7"/>
  <c r="RW3" i="7"/>
  <c r="SE3" i="7"/>
  <c r="SM3" i="7"/>
  <c r="SU3" i="7"/>
  <c r="TC3" i="7"/>
  <c r="TK3" i="7"/>
  <c r="TS3" i="7"/>
  <c r="UA3" i="7"/>
  <c r="UI3" i="7"/>
  <c r="UQ3" i="7"/>
  <c r="UY3" i="7"/>
  <c r="VG3" i="7"/>
  <c r="VO3" i="7"/>
  <c r="VW3" i="7"/>
  <c r="WE3" i="7"/>
  <c r="WM3" i="7"/>
  <c r="WU3" i="7"/>
  <c r="XC3" i="7"/>
  <c r="XK3" i="7"/>
  <c r="XS3" i="7"/>
  <c r="YA3" i="7"/>
  <c r="YI3" i="7"/>
  <c r="YQ3" i="7"/>
  <c r="YY3" i="7"/>
  <c r="ZG3" i="7"/>
  <c r="ZO3" i="7"/>
  <c r="ZW3" i="7"/>
  <c r="AAE3" i="7"/>
  <c r="AAM3" i="7"/>
  <c r="AAU3" i="7"/>
  <c r="ABC3" i="7"/>
  <c r="ABK3" i="7"/>
  <c r="ABS3" i="7"/>
  <c r="ACA3" i="7"/>
  <c r="ACI3" i="7"/>
  <c r="ACQ3" i="7"/>
  <c r="ACY3" i="7"/>
  <c r="ADG3" i="7"/>
  <c r="ADO3" i="7"/>
  <c r="ADW3" i="7"/>
  <c r="AEE3" i="7"/>
  <c r="AEM3" i="7"/>
  <c r="AEU3" i="7"/>
  <c r="AFC3" i="7"/>
  <c r="AFK3" i="7"/>
  <c r="AFS3" i="7"/>
  <c r="AGA3" i="7"/>
  <c r="AGI3" i="7"/>
  <c r="AGQ3" i="7"/>
  <c r="AGY3" i="7"/>
  <c r="AHG3" i="7"/>
  <c r="AHO3" i="7"/>
  <c r="AHW3" i="7"/>
  <c r="AIE3" i="7"/>
  <c r="AIM3" i="7"/>
  <c r="AIU3" i="7"/>
  <c r="AJC3" i="7"/>
  <c r="AJK3" i="7"/>
  <c r="AJS3" i="7"/>
  <c r="AKA3" i="7"/>
  <c r="AKI3" i="7"/>
  <c r="AKQ3" i="7"/>
  <c r="AKY3" i="7"/>
  <c r="ALG3" i="7"/>
  <c r="ALO3" i="7"/>
  <c r="ALW3" i="7"/>
  <c r="AME3" i="7"/>
  <c r="AMM3" i="7"/>
  <c r="AMU3" i="7"/>
  <c r="ANC3" i="7"/>
  <c r="ANK3" i="7"/>
  <c r="ANS3" i="7"/>
  <c r="AOA3" i="7"/>
  <c r="AOI3" i="7"/>
  <c r="AOQ3" i="7"/>
  <c r="AOY3" i="7"/>
  <c r="APG3" i="7"/>
  <c r="APO3" i="7"/>
  <c r="APW3" i="7"/>
  <c r="AQE3" i="7"/>
  <c r="AQM3" i="7"/>
  <c r="AQU3" i="7"/>
  <c r="ARC3" i="7"/>
  <c r="ARK3" i="7"/>
  <c r="ARS3" i="7"/>
  <c r="ASA3" i="7"/>
  <c r="ASI3" i="7"/>
  <c r="ASQ3" i="7"/>
  <c r="AB3" i="7"/>
  <c r="AJ3" i="7"/>
  <c r="AR3" i="7"/>
  <c r="AZ3" i="7"/>
  <c r="BH3" i="7"/>
  <c r="BP3" i="7"/>
  <c r="BX3" i="7"/>
  <c r="CF3" i="7"/>
  <c r="CN3" i="7"/>
  <c r="CV3" i="7"/>
  <c r="DD3" i="7"/>
  <c r="DL3" i="7"/>
  <c r="DT3" i="7"/>
  <c r="EB3" i="7"/>
  <c r="EJ3" i="7"/>
  <c r="ER3" i="7"/>
  <c r="EZ3" i="7"/>
  <c r="FH3" i="7"/>
  <c r="FP3" i="7"/>
  <c r="FX3" i="7"/>
  <c r="GF3" i="7"/>
  <c r="GN3" i="7"/>
  <c r="GV3" i="7"/>
  <c r="HD3" i="7"/>
  <c r="HL3" i="7"/>
  <c r="HT3" i="7"/>
  <c r="IB3" i="7"/>
  <c r="IJ3" i="7"/>
  <c r="IR3" i="7"/>
  <c r="IZ3" i="7"/>
  <c r="JH3" i="7"/>
  <c r="JP3" i="7"/>
  <c r="JX3" i="7"/>
  <c r="KF3" i="7"/>
  <c r="KN3" i="7"/>
  <c r="KV3" i="7"/>
  <c r="LD3" i="7"/>
  <c r="LL3" i="7"/>
  <c r="LT3" i="7"/>
  <c r="MB3" i="7"/>
  <c r="MJ3" i="7"/>
  <c r="MR3" i="7"/>
  <c r="MZ3" i="7"/>
  <c r="NH3" i="7"/>
  <c r="NP3" i="7"/>
  <c r="NX3" i="7"/>
  <c r="OF3" i="7"/>
  <c r="ON3" i="7"/>
  <c r="OV3" i="7"/>
  <c r="PD3" i="7"/>
  <c r="PL3" i="7"/>
  <c r="PT3" i="7"/>
  <c r="QB3" i="7"/>
  <c r="QJ3" i="7"/>
  <c r="QR3" i="7"/>
  <c r="QZ3" i="7"/>
  <c r="RH3" i="7"/>
  <c r="RP3" i="7"/>
  <c r="RX3" i="7"/>
  <c r="SF3" i="7"/>
  <c r="SN3" i="7"/>
  <c r="SV3" i="7"/>
  <c r="TD3" i="7"/>
  <c r="TL3" i="7"/>
  <c r="TT3" i="7"/>
  <c r="UB3" i="7"/>
  <c r="UJ3" i="7"/>
  <c r="UR3" i="7"/>
  <c r="UZ3" i="7"/>
  <c r="VH3" i="7"/>
  <c r="VP3" i="7"/>
  <c r="VX3" i="7"/>
  <c r="WF3" i="7"/>
  <c r="WN3" i="7"/>
  <c r="WV3" i="7"/>
  <c r="XD3" i="7"/>
  <c r="XL3" i="7"/>
  <c r="XT3" i="7"/>
  <c r="YB3" i="7"/>
  <c r="YJ3" i="7"/>
  <c r="YR3" i="7"/>
  <c r="YZ3" i="7"/>
  <c r="ZH3" i="7"/>
  <c r="ZP3" i="7"/>
  <c r="ZX3" i="7"/>
  <c r="AAF3" i="7"/>
  <c r="AAN3" i="7"/>
  <c r="AAV3" i="7"/>
  <c r="ABD3" i="7"/>
  <c r="ABL3" i="7"/>
  <c r="ABT3" i="7"/>
  <c r="ACB3" i="7"/>
  <c r="ACJ3" i="7"/>
  <c r="ACR3" i="7"/>
  <c r="ACZ3" i="7"/>
  <c r="ADH3" i="7"/>
  <c r="ADP3" i="7"/>
  <c r="ADX3" i="7"/>
  <c r="AEF3" i="7"/>
  <c r="AEN3" i="7"/>
  <c r="AEV3" i="7"/>
  <c r="AFD3" i="7"/>
  <c r="AFL3" i="7"/>
  <c r="AFT3" i="7"/>
  <c r="AGB3" i="7"/>
  <c r="AGJ3" i="7"/>
  <c r="AGR3" i="7"/>
  <c r="AGZ3" i="7"/>
  <c r="AHH3" i="7"/>
  <c r="AHP3" i="7"/>
  <c r="AHX3" i="7"/>
  <c r="AIF3" i="7"/>
  <c r="AIN3" i="7"/>
  <c r="AIV3" i="7"/>
  <c r="AJD3" i="7"/>
  <c r="AJL3" i="7"/>
  <c r="AJT3" i="7"/>
  <c r="AKB3" i="7"/>
  <c r="AKJ3" i="7"/>
  <c r="AKR3" i="7"/>
  <c r="AKZ3" i="7"/>
  <c r="AC3" i="7"/>
  <c r="AK3" i="7"/>
  <c r="AS3" i="7"/>
  <c r="BA3" i="7"/>
  <c r="BI3" i="7"/>
  <c r="BQ3" i="7"/>
  <c r="BY3" i="7"/>
  <c r="CG3" i="7"/>
  <c r="CO3" i="7"/>
  <c r="CW3" i="7"/>
  <c r="DE3" i="7"/>
  <c r="DM3" i="7"/>
  <c r="DU3" i="7"/>
  <c r="EC3" i="7"/>
  <c r="EK3" i="7"/>
  <c r="ES3" i="7"/>
  <c r="FA3" i="7"/>
  <c r="FI3" i="7"/>
  <c r="FQ3" i="7"/>
  <c r="FY3" i="7"/>
  <c r="GG3" i="7"/>
  <c r="GO3" i="7"/>
  <c r="GW3" i="7"/>
  <c r="HE3" i="7"/>
  <c r="HM3" i="7"/>
  <c r="HU3" i="7"/>
  <c r="IC3" i="7"/>
  <c r="IK3" i="7"/>
  <c r="IS3" i="7"/>
  <c r="JA3" i="7"/>
  <c r="JI3" i="7"/>
  <c r="JQ3" i="7"/>
  <c r="JY3" i="7"/>
  <c r="KG3" i="7"/>
  <c r="KO3" i="7"/>
  <c r="KW3" i="7"/>
  <c r="LE3" i="7"/>
  <c r="LM3" i="7"/>
  <c r="LU3" i="7"/>
  <c r="MC3" i="7"/>
  <c r="MK3" i="7"/>
  <c r="MS3" i="7"/>
  <c r="NA3" i="7"/>
  <c r="NI3" i="7"/>
  <c r="NQ3" i="7"/>
  <c r="NY3" i="7"/>
  <c r="OG3" i="7"/>
  <c r="OO3" i="7"/>
  <c r="OW3" i="7"/>
  <c r="PE3" i="7"/>
  <c r="PM3" i="7"/>
  <c r="PU3" i="7"/>
  <c r="QC3" i="7"/>
  <c r="QK3" i="7"/>
  <c r="QS3" i="7"/>
  <c r="RA3" i="7"/>
  <c r="RI3" i="7"/>
  <c r="RQ3" i="7"/>
  <c r="RY3" i="7"/>
  <c r="SG3" i="7"/>
  <c r="SO3" i="7"/>
  <c r="SW3" i="7"/>
  <c r="TE3" i="7"/>
  <c r="TM3" i="7"/>
  <c r="TU3" i="7"/>
  <c r="UC3" i="7"/>
  <c r="UK3" i="7"/>
  <c r="US3" i="7"/>
  <c r="VA3" i="7"/>
  <c r="VI3" i="7"/>
  <c r="VQ3" i="7"/>
  <c r="VY3" i="7"/>
  <c r="WG3" i="7"/>
  <c r="WO3" i="7"/>
  <c r="WW3" i="7"/>
  <c r="XE3" i="7"/>
  <c r="XM3" i="7"/>
  <c r="XU3" i="7"/>
  <c r="YC3" i="7"/>
  <c r="YK3" i="7"/>
  <c r="YS3" i="7"/>
  <c r="ZA3" i="7"/>
  <c r="ZI3" i="7"/>
  <c r="ZQ3" i="7"/>
  <c r="ZY3" i="7"/>
  <c r="AAG3" i="7"/>
  <c r="AAO3" i="7"/>
  <c r="AAW3" i="7"/>
  <c r="ABE3" i="7"/>
  <c r="ABM3" i="7"/>
  <c r="ABU3" i="7"/>
  <c r="ACC3" i="7"/>
  <c r="ACK3" i="7"/>
  <c r="ACS3" i="7"/>
  <c r="ADA3" i="7"/>
  <c r="ADI3" i="7"/>
  <c r="ADQ3" i="7"/>
  <c r="ADY3" i="7"/>
  <c r="AEG3" i="7"/>
  <c r="AEO3" i="7"/>
  <c r="AEW3" i="7"/>
  <c r="AFE3" i="7"/>
  <c r="AFM3" i="7"/>
  <c r="AFU3" i="7"/>
  <c r="AGC3" i="7"/>
  <c r="AGK3" i="7"/>
  <c r="AGS3" i="7"/>
  <c r="AHA3" i="7"/>
  <c r="AHI3" i="7"/>
  <c r="AHQ3" i="7"/>
  <c r="AHY3" i="7"/>
  <c r="AIG3" i="7"/>
  <c r="AIO3" i="7"/>
  <c r="AIW3" i="7"/>
  <c r="AJE3" i="7"/>
  <c r="AJM3" i="7"/>
  <c r="AJU3" i="7"/>
  <c r="AKC3" i="7"/>
  <c r="AKK3" i="7"/>
  <c r="AKS3" i="7"/>
  <c r="ALA3" i="7"/>
  <c r="ALI3" i="7"/>
  <c r="ALQ3" i="7"/>
  <c r="ALY3" i="7"/>
  <c r="AMG3" i="7"/>
  <c r="AMO3" i="7"/>
  <c r="AMW3" i="7"/>
  <c r="ANE3" i="7"/>
  <c r="ANM3" i="7"/>
  <c r="ANU3" i="7"/>
  <c r="AOC3" i="7"/>
  <c r="AOK3" i="7"/>
  <c r="AOS3" i="7"/>
  <c r="APA3" i="7"/>
  <c r="API3" i="7"/>
  <c r="APQ3" i="7"/>
  <c r="APY3" i="7"/>
  <c r="AQG3" i="7"/>
  <c r="AQO3" i="7"/>
  <c r="AQW3" i="7"/>
  <c r="ARE3" i="7"/>
  <c r="ARM3" i="7"/>
  <c r="ARU3" i="7"/>
  <c r="ASC3" i="7"/>
  <c r="ASK3" i="7"/>
  <c r="ASS3" i="7"/>
  <c r="ATA3" i="7"/>
  <c r="ATI3" i="7"/>
  <c r="ATQ3" i="7"/>
  <c r="ATY3" i="7"/>
  <c r="AUG3" i="7"/>
  <c r="AUO3" i="7"/>
  <c r="AUW3" i="7"/>
  <c r="AVE3" i="7"/>
  <c r="AVM3" i="7"/>
  <c r="AVU3" i="7"/>
  <c r="AWC3" i="7"/>
  <c r="AWK3" i="7"/>
  <c r="AWS3" i="7"/>
  <c r="AXA3" i="7"/>
  <c r="AXI3" i="7"/>
  <c r="AXQ3" i="7"/>
  <c r="AXY3" i="7"/>
  <c r="AYG3" i="7"/>
  <c r="AYO3" i="7"/>
  <c r="AYW3" i="7"/>
  <c r="AZE3" i="7"/>
  <c r="AZM3" i="7"/>
  <c r="AZU3" i="7"/>
  <c r="BAC3" i="7"/>
  <c r="BAK3" i="7"/>
  <c r="BAS3" i="7"/>
  <c r="BBA3" i="7"/>
  <c r="BBI3" i="7"/>
  <c r="BBQ3" i="7"/>
  <c r="BBY3" i="7"/>
  <c r="BCG3" i="7"/>
  <c r="BCO3" i="7"/>
  <c r="BCW3" i="7"/>
  <c r="BDE3" i="7"/>
  <c r="BDM3" i="7"/>
  <c r="BDU3" i="7"/>
  <c r="BEC3" i="7"/>
  <c r="BEK3" i="7"/>
  <c r="BES3" i="7"/>
  <c r="BFA3" i="7"/>
  <c r="BFI3" i="7"/>
  <c r="BFQ3" i="7"/>
  <c r="BFY3" i="7"/>
  <c r="BGG3" i="7"/>
  <c r="BGO3" i="7"/>
  <c r="BGW3" i="7"/>
  <c r="BHE3" i="7"/>
  <c r="BHM3" i="7"/>
  <c r="BHU3" i="7"/>
  <c r="BIC3" i="7"/>
  <c r="BIK3" i="7"/>
  <c r="BIS3" i="7"/>
  <c r="BJA3" i="7"/>
  <c r="BJI3" i="7"/>
  <c r="BJQ3" i="7"/>
  <c r="BJY3" i="7"/>
  <c r="BKG3" i="7"/>
  <c r="BKO3" i="7"/>
  <c r="BKW3" i="7"/>
  <c r="BLE3" i="7"/>
  <c r="BLM3" i="7"/>
  <c r="BLU3" i="7"/>
  <c r="BMC3" i="7"/>
  <c r="BMK3" i="7"/>
  <c r="AD3" i="7"/>
  <c r="AL3" i="7"/>
  <c r="AT3" i="7"/>
  <c r="BB3" i="7"/>
  <c r="BJ3" i="7"/>
  <c r="BR3" i="7"/>
  <c r="BZ3" i="7"/>
  <c r="CH3" i="7"/>
  <c r="CP3" i="7"/>
  <c r="CX3" i="7"/>
  <c r="DF3" i="7"/>
  <c r="DN3" i="7"/>
  <c r="DV3" i="7"/>
  <c r="ED3" i="7"/>
  <c r="EL3" i="7"/>
  <c r="ET3" i="7"/>
  <c r="FB3" i="7"/>
  <c r="FJ3" i="7"/>
  <c r="FR3" i="7"/>
  <c r="FZ3" i="7"/>
  <c r="GH3" i="7"/>
  <c r="GP3" i="7"/>
  <c r="GX3" i="7"/>
  <c r="HF3" i="7"/>
  <c r="HN3" i="7"/>
  <c r="HV3" i="7"/>
  <c r="ID3" i="7"/>
  <c r="IL3" i="7"/>
  <c r="IT3" i="7"/>
  <c r="JB3" i="7"/>
  <c r="JJ3" i="7"/>
  <c r="JR3" i="7"/>
  <c r="JZ3" i="7"/>
  <c r="KH3" i="7"/>
  <c r="KP3" i="7"/>
  <c r="KX3" i="7"/>
  <c r="LF3" i="7"/>
  <c r="LN3" i="7"/>
  <c r="LV3" i="7"/>
  <c r="MD3" i="7"/>
  <c r="ML3" i="7"/>
  <c r="MT3" i="7"/>
  <c r="NB3" i="7"/>
  <c r="NJ3" i="7"/>
  <c r="NR3" i="7"/>
  <c r="NZ3" i="7"/>
  <c r="OH3" i="7"/>
  <c r="OP3" i="7"/>
  <c r="OX3" i="7"/>
  <c r="PF3" i="7"/>
  <c r="PN3" i="7"/>
  <c r="PV3" i="7"/>
  <c r="QD3" i="7"/>
  <c r="QL3" i="7"/>
  <c r="QT3" i="7"/>
  <c r="RB3" i="7"/>
  <c r="RJ3" i="7"/>
  <c r="RR3" i="7"/>
  <c r="RZ3" i="7"/>
  <c r="SH3" i="7"/>
  <c r="SP3" i="7"/>
  <c r="SX3" i="7"/>
  <c r="TF3" i="7"/>
  <c r="TN3" i="7"/>
  <c r="TV3" i="7"/>
  <c r="UD3" i="7"/>
  <c r="UL3" i="7"/>
  <c r="UT3" i="7"/>
  <c r="VB3" i="7"/>
  <c r="VJ3" i="7"/>
  <c r="VR3" i="7"/>
  <c r="VZ3" i="7"/>
  <c r="WH3" i="7"/>
  <c r="WP3" i="7"/>
  <c r="WX3" i="7"/>
  <c r="XF3" i="7"/>
  <c r="XN3" i="7"/>
  <c r="XV3" i="7"/>
  <c r="YD3" i="7"/>
  <c r="YL3" i="7"/>
  <c r="YT3" i="7"/>
  <c r="ZB3" i="7"/>
  <c r="ZJ3" i="7"/>
  <c r="ZR3" i="7"/>
  <c r="ZZ3" i="7"/>
  <c r="AAH3" i="7"/>
  <c r="AAP3" i="7"/>
  <c r="AAX3" i="7"/>
  <c r="ABF3" i="7"/>
  <c r="ABN3" i="7"/>
  <c r="ABV3" i="7"/>
  <c r="ACD3" i="7"/>
  <c r="ACL3" i="7"/>
  <c r="ACT3" i="7"/>
  <c r="ADB3" i="7"/>
  <c r="ADJ3" i="7"/>
  <c r="ADR3" i="7"/>
  <c r="ADZ3" i="7"/>
  <c r="AEH3" i="7"/>
  <c r="AEP3" i="7"/>
  <c r="AEX3" i="7"/>
  <c r="AFF3" i="7"/>
  <c r="AFN3" i="7"/>
  <c r="AFV3" i="7"/>
  <c r="AGD3" i="7"/>
  <c r="AGL3" i="7"/>
  <c r="AGT3" i="7"/>
  <c r="AHB3" i="7"/>
  <c r="AHJ3" i="7"/>
  <c r="AHR3" i="7"/>
  <c r="AHZ3" i="7"/>
  <c r="AIH3" i="7"/>
  <c r="AIP3" i="7"/>
  <c r="AIX3" i="7"/>
  <c r="AJF3" i="7"/>
  <c r="AJN3" i="7"/>
  <c r="AJV3" i="7"/>
  <c r="AKD3" i="7"/>
  <c r="AKL3" i="7"/>
  <c r="AKT3" i="7"/>
  <c r="ALB3" i="7"/>
  <c r="ALJ3" i="7"/>
  <c r="ALR3" i="7"/>
  <c r="ALZ3" i="7"/>
  <c r="AMH3" i="7"/>
  <c r="AMP3" i="7"/>
  <c r="AMX3" i="7"/>
  <c r="AE3" i="7"/>
  <c r="AM3" i="7"/>
  <c r="AU3" i="7"/>
  <c r="BC3" i="7"/>
  <c r="BK3" i="7"/>
  <c r="BS3" i="7"/>
  <c r="CA3" i="7"/>
  <c r="CI3" i="7"/>
  <c r="CQ3" i="7"/>
  <c r="CY3" i="7"/>
  <c r="DG3" i="7"/>
  <c r="DO3" i="7"/>
  <c r="DW3" i="7"/>
  <c r="EE3" i="7"/>
  <c r="EM3" i="7"/>
  <c r="EU3" i="7"/>
  <c r="FC3" i="7"/>
  <c r="FK3" i="7"/>
  <c r="FS3" i="7"/>
  <c r="GA3" i="7"/>
  <c r="GI3" i="7"/>
  <c r="GQ3" i="7"/>
  <c r="GY3" i="7"/>
  <c r="HG3" i="7"/>
  <c r="HO3" i="7"/>
  <c r="HW3" i="7"/>
  <c r="IE3" i="7"/>
  <c r="IM3" i="7"/>
  <c r="IU3" i="7"/>
  <c r="JC3" i="7"/>
  <c r="JK3" i="7"/>
  <c r="JS3" i="7"/>
  <c r="KA3" i="7"/>
  <c r="KI3" i="7"/>
  <c r="KQ3" i="7"/>
  <c r="KY3" i="7"/>
  <c r="LG3" i="7"/>
  <c r="LO3" i="7"/>
  <c r="LW3" i="7"/>
  <c r="ME3" i="7"/>
  <c r="MM3" i="7"/>
  <c r="MU3" i="7"/>
  <c r="NC3" i="7"/>
  <c r="NK3" i="7"/>
  <c r="NS3" i="7"/>
  <c r="OA3" i="7"/>
  <c r="OI3" i="7"/>
  <c r="OQ3" i="7"/>
  <c r="OY3" i="7"/>
  <c r="PG3" i="7"/>
  <c r="PO3" i="7"/>
  <c r="PW3" i="7"/>
  <c r="QE3" i="7"/>
  <c r="QM3" i="7"/>
  <c r="QU3" i="7"/>
  <c r="RC3" i="7"/>
  <c r="RK3" i="7"/>
  <c r="RS3" i="7"/>
  <c r="SA3" i="7"/>
  <c r="SI3" i="7"/>
  <c r="SQ3" i="7"/>
  <c r="SY3" i="7"/>
  <c r="TG3" i="7"/>
  <c r="TO3" i="7"/>
  <c r="TW3" i="7"/>
  <c r="UE3" i="7"/>
  <c r="UM3" i="7"/>
  <c r="UU3" i="7"/>
  <c r="VC3" i="7"/>
  <c r="VK3" i="7"/>
  <c r="VS3" i="7"/>
  <c r="WA3" i="7"/>
  <c r="WI3" i="7"/>
  <c r="WQ3" i="7"/>
  <c r="WY3" i="7"/>
  <c r="XG3" i="7"/>
  <c r="XO3" i="7"/>
  <c r="XW3" i="7"/>
  <c r="YE3" i="7"/>
  <c r="YM3" i="7"/>
  <c r="YU3" i="7"/>
  <c r="ZC3" i="7"/>
  <c r="ZK3" i="7"/>
  <c r="ZS3" i="7"/>
  <c r="AAA3" i="7"/>
  <c r="AAI3" i="7"/>
  <c r="AAQ3" i="7"/>
  <c r="AAY3" i="7"/>
  <c r="ABG3" i="7"/>
  <c r="ABO3" i="7"/>
  <c r="ABW3" i="7"/>
  <c r="ACE3" i="7"/>
  <c r="ACM3" i="7"/>
  <c r="ACU3" i="7"/>
  <c r="ADC3" i="7"/>
  <c r="ADK3" i="7"/>
  <c r="ADS3" i="7"/>
  <c r="AEA3" i="7"/>
  <c r="AEI3" i="7"/>
  <c r="AEQ3" i="7"/>
  <c r="AEY3" i="7"/>
  <c r="AFG3" i="7"/>
  <c r="AFO3" i="7"/>
  <c r="AFW3" i="7"/>
  <c r="AGE3" i="7"/>
  <c r="AGM3" i="7"/>
  <c r="AGU3" i="7"/>
  <c r="AHC3" i="7"/>
  <c r="AHK3" i="7"/>
  <c r="AHS3" i="7"/>
  <c r="AIA3" i="7"/>
  <c r="AII3" i="7"/>
  <c r="AIQ3" i="7"/>
  <c r="AIY3" i="7"/>
  <c r="AJG3" i="7"/>
  <c r="AJO3" i="7"/>
  <c r="AJW3" i="7"/>
  <c r="AKE3" i="7"/>
  <c r="AKM3" i="7"/>
  <c r="AKU3" i="7"/>
  <c r="ALC3" i="7"/>
  <c r="ALK3" i="7"/>
  <c r="ALS3" i="7"/>
  <c r="AMA3" i="7"/>
  <c r="AV3" i="7"/>
  <c r="DH3" i="7"/>
  <c r="FT3" i="7"/>
  <c r="IF3" i="7"/>
  <c r="KR3" i="7"/>
  <c r="ND3" i="7"/>
  <c r="PP3" i="7"/>
  <c r="SB3" i="7"/>
  <c r="UN3" i="7"/>
  <c r="WZ3" i="7"/>
  <c r="ZL3" i="7"/>
  <c r="ABX3" i="7"/>
  <c r="AEJ3" i="7"/>
  <c r="AGV3" i="7"/>
  <c r="AJH3" i="7"/>
  <c r="ALL3" i="7"/>
  <c r="AMN3" i="7"/>
  <c r="ANG3" i="7"/>
  <c r="ANW3" i="7"/>
  <c r="AOM3" i="7"/>
  <c r="APC3" i="7"/>
  <c r="APS3" i="7"/>
  <c r="AQI3" i="7"/>
  <c r="AQY3" i="7"/>
  <c r="ARO3" i="7"/>
  <c r="ASE3" i="7"/>
  <c r="ASU3" i="7"/>
  <c r="ATH3" i="7"/>
  <c r="ATT3" i="7"/>
  <c r="AUH3" i="7"/>
  <c r="AUU3" i="7"/>
  <c r="AVG3" i="7"/>
  <c r="AVT3" i="7"/>
  <c r="AWF3" i="7"/>
  <c r="AWT3" i="7"/>
  <c r="AXG3" i="7"/>
  <c r="AXS3" i="7"/>
  <c r="AYF3" i="7"/>
  <c r="AYR3" i="7"/>
  <c r="AZF3" i="7"/>
  <c r="AZS3" i="7"/>
  <c r="BAE3" i="7"/>
  <c r="BAR3" i="7"/>
  <c r="BBD3" i="7"/>
  <c r="BBR3" i="7"/>
  <c r="BCE3" i="7"/>
  <c r="BCQ3" i="7"/>
  <c r="BDD3" i="7"/>
  <c r="BDP3" i="7"/>
  <c r="BED3" i="7"/>
  <c r="BEQ3" i="7"/>
  <c r="BFC3" i="7"/>
  <c r="BFP3" i="7"/>
  <c r="BGB3" i="7"/>
  <c r="BGP3" i="7"/>
  <c r="BHC3" i="7"/>
  <c r="BHO3" i="7"/>
  <c r="BIB3" i="7"/>
  <c r="BIN3" i="7"/>
  <c r="BJB3" i="7"/>
  <c r="BJO3" i="7"/>
  <c r="BKA3" i="7"/>
  <c r="BKN3" i="7"/>
  <c r="BKZ3" i="7"/>
  <c r="BLN3" i="7"/>
  <c r="BMA3" i="7"/>
  <c r="BMM3" i="7"/>
  <c r="BMY3" i="7"/>
  <c r="BNI3" i="7"/>
  <c r="BNS3" i="7"/>
  <c r="BOE3" i="7"/>
  <c r="BOO3" i="7"/>
  <c r="BOY3" i="7"/>
  <c r="BPK3" i="7"/>
  <c r="BPU3" i="7"/>
  <c r="BQD3" i="7"/>
  <c r="BQM3" i="7"/>
  <c r="BQV3" i="7"/>
  <c r="BD3" i="7"/>
  <c r="DP3" i="7"/>
  <c r="GB3" i="7"/>
  <c r="IN3" i="7"/>
  <c r="KZ3" i="7"/>
  <c r="NL3" i="7"/>
  <c r="PX3" i="7"/>
  <c r="SJ3" i="7"/>
  <c r="UV3" i="7"/>
  <c r="XH3" i="7"/>
  <c r="ZT3" i="7"/>
  <c r="ACF3" i="7"/>
  <c r="AER3" i="7"/>
  <c r="AHD3" i="7"/>
  <c r="AJP3" i="7"/>
  <c r="ALP3" i="7"/>
  <c r="AMQ3" i="7"/>
  <c r="ANH3" i="7"/>
  <c r="ANX3" i="7"/>
  <c r="AON3" i="7"/>
  <c r="APD3" i="7"/>
  <c r="APT3" i="7"/>
  <c r="AQJ3" i="7"/>
  <c r="AQZ3" i="7"/>
  <c r="ARP3" i="7"/>
  <c r="ASF3" i="7"/>
  <c r="ASV3" i="7"/>
  <c r="ATJ3" i="7"/>
  <c r="ATW3" i="7"/>
  <c r="AUI3" i="7"/>
  <c r="AUV3" i="7"/>
  <c r="AVH3" i="7"/>
  <c r="AVV3" i="7"/>
  <c r="AWI3" i="7"/>
  <c r="AWU3" i="7"/>
  <c r="AXH3" i="7"/>
  <c r="AXT3" i="7"/>
  <c r="AYH3" i="7"/>
  <c r="AYU3" i="7"/>
  <c r="AZG3" i="7"/>
  <c r="AZT3" i="7"/>
  <c r="BAF3" i="7"/>
  <c r="BAT3" i="7"/>
  <c r="BBG3" i="7"/>
  <c r="BBS3" i="7"/>
  <c r="BCF3" i="7"/>
  <c r="BCR3" i="7"/>
  <c r="BDF3" i="7"/>
  <c r="BDS3" i="7"/>
  <c r="BEE3" i="7"/>
  <c r="BER3" i="7"/>
  <c r="BFD3" i="7"/>
  <c r="BFR3" i="7"/>
  <c r="BGE3" i="7"/>
  <c r="BGQ3" i="7"/>
  <c r="BHD3" i="7"/>
  <c r="BHP3" i="7"/>
  <c r="BID3" i="7"/>
  <c r="BIQ3" i="7"/>
  <c r="BJC3" i="7"/>
  <c r="BJP3" i="7"/>
  <c r="BKB3" i="7"/>
  <c r="BKP3" i="7"/>
  <c r="BLC3" i="7"/>
  <c r="BLO3" i="7"/>
  <c r="BMB3" i="7"/>
  <c r="BMN3" i="7"/>
  <c r="BMZ3" i="7"/>
  <c r="BNJ3" i="7"/>
  <c r="BNT3" i="7"/>
  <c r="BOF3" i="7"/>
  <c r="BOP3" i="7"/>
  <c r="BOZ3" i="7"/>
  <c r="BPL3" i="7"/>
  <c r="BPV3" i="7"/>
  <c r="BQE3" i="7"/>
  <c r="BQN3" i="7"/>
  <c r="BQX3" i="7"/>
  <c r="BRG3" i="7"/>
  <c r="BRP3" i="7"/>
  <c r="BRY3" i="7"/>
  <c r="BSH3" i="7"/>
  <c r="BSQ3" i="7"/>
  <c r="BSZ3" i="7"/>
  <c r="BTJ3" i="7"/>
  <c r="BTS3" i="7"/>
  <c r="BUB3" i="7"/>
  <c r="BUK3" i="7"/>
  <c r="BUT3" i="7"/>
  <c r="BVC3" i="7"/>
  <c r="BVL3" i="7"/>
  <c r="BVV3" i="7"/>
  <c r="BWE3" i="7"/>
  <c r="BWN3" i="7"/>
  <c r="BWW3" i="7"/>
  <c r="BXF3" i="7"/>
  <c r="BXO3" i="7"/>
  <c r="BXX3" i="7"/>
  <c r="BYF3" i="7"/>
  <c r="BYN3" i="7"/>
  <c r="BYV3" i="7"/>
  <c r="BZD3" i="7"/>
  <c r="BZL3" i="7"/>
  <c r="BZT3" i="7"/>
  <c r="CAB3" i="7"/>
  <c r="CAJ3" i="7"/>
  <c r="CAR3" i="7"/>
  <c r="CAZ3" i="7"/>
  <c r="CBH3" i="7"/>
  <c r="CBP3" i="7"/>
  <c r="CBX3" i="7"/>
  <c r="CCF3" i="7"/>
  <c r="CCN3" i="7"/>
  <c r="CCV3" i="7"/>
  <c r="CDD3" i="7"/>
  <c r="CDL3" i="7"/>
  <c r="CDT3" i="7"/>
  <c r="CEB3" i="7"/>
  <c r="CEJ3" i="7"/>
  <c r="CER3" i="7"/>
  <c r="CEZ3" i="7"/>
  <c r="CFH3" i="7"/>
  <c r="CFP3" i="7"/>
  <c r="CFX3" i="7"/>
  <c r="CGF3" i="7"/>
  <c r="CGN3" i="7"/>
  <c r="CGV3" i="7"/>
  <c r="CHD3" i="7"/>
  <c r="CHL3" i="7"/>
  <c r="CHT3" i="7"/>
  <c r="CIB3" i="7"/>
  <c r="CIJ3" i="7"/>
  <c r="CIR3" i="7"/>
  <c r="CIZ3" i="7"/>
  <c r="CJH3" i="7"/>
  <c r="CJP3" i="7"/>
  <c r="CJX3" i="7"/>
  <c r="CKF3" i="7"/>
  <c r="CKN3" i="7"/>
  <c r="CKV3" i="7"/>
  <c r="CLD3" i="7"/>
  <c r="CLL3" i="7"/>
  <c r="CLT3" i="7"/>
  <c r="CMB3" i="7"/>
  <c r="CMJ3" i="7"/>
  <c r="CMR3" i="7"/>
  <c r="CMZ3" i="7"/>
  <c r="CNH3" i="7"/>
  <c r="CNP3" i="7"/>
  <c r="CNX3" i="7"/>
  <c r="COF3" i="7"/>
  <c r="CON3" i="7"/>
  <c r="COV3" i="7"/>
  <c r="CPD3" i="7"/>
  <c r="CPL3" i="7"/>
  <c r="CPT3" i="7"/>
  <c r="CQB3" i="7"/>
  <c r="CQJ3" i="7"/>
  <c r="CQR3" i="7"/>
  <c r="CQZ3" i="7"/>
  <c r="CRH3" i="7"/>
  <c r="CRP3" i="7"/>
  <c r="CRX3" i="7"/>
  <c r="CSF3" i="7"/>
  <c r="CSN3" i="7"/>
  <c r="CSV3" i="7"/>
  <c r="CTD3" i="7"/>
  <c r="CTL3" i="7"/>
  <c r="CTT3" i="7"/>
  <c r="CUB3" i="7"/>
  <c r="CUJ3" i="7"/>
  <c r="CUR3" i="7"/>
  <c r="CUZ3" i="7"/>
  <c r="CVH3" i="7"/>
  <c r="CVP3" i="7"/>
  <c r="CVX3" i="7"/>
  <c r="CWF3" i="7"/>
  <c r="CWN3" i="7"/>
  <c r="CWV3" i="7"/>
  <c r="CXD3" i="7"/>
  <c r="CXL3" i="7"/>
  <c r="CXT3" i="7"/>
  <c r="CYB3" i="7"/>
  <c r="CYJ3" i="7"/>
  <c r="CYR3" i="7"/>
  <c r="CYZ3" i="7"/>
  <c r="CZH3" i="7"/>
  <c r="CZP3" i="7"/>
  <c r="CZX3" i="7"/>
  <c r="DAF3" i="7"/>
  <c r="DAN3" i="7"/>
  <c r="DAV3" i="7"/>
  <c r="DBD3" i="7"/>
  <c r="DBL3" i="7"/>
  <c r="DBT3" i="7"/>
  <c r="DCB3" i="7"/>
  <c r="DCJ3" i="7"/>
  <c r="DCR3" i="7"/>
  <c r="DCZ3" i="7"/>
  <c r="DDH3" i="7"/>
  <c r="DDP3" i="7"/>
  <c r="DDX3" i="7"/>
  <c r="DEF3" i="7"/>
  <c r="DEN3" i="7"/>
  <c r="DEV3" i="7"/>
  <c r="DFD3" i="7"/>
  <c r="DFL3" i="7"/>
  <c r="DFT3" i="7"/>
  <c r="DGB3" i="7"/>
  <c r="DGJ3" i="7"/>
  <c r="DGR3" i="7"/>
  <c r="DGZ3" i="7"/>
  <c r="DHH3" i="7"/>
  <c r="DHP3" i="7"/>
  <c r="DHX3" i="7"/>
  <c r="DIF3" i="7"/>
  <c r="DIN3" i="7"/>
  <c r="DIV3" i="7"/>
  <c r="DJD3" i="7"/>
  <c r="DJL3" i="7"/>
  <c r="DJT3" i="7"/>
  <c r="DKB3" i="7"/>
  <c r="DKJ3" i="7"/>
  <c r="DKR3" i="7"/>
  <c r="DKZ3" i="7"/>
  <c r="DLH3" i="7"/>
  <c r="DLP3" i="7"/>
  <c r="DLX3" i="7"/>
  <c r="DMF3" i="7"/>
  <c r="DMN3" i="7"/>
  <c r="DMV3" i="7"/>
  <c r="DND3" i="7"/>
  <c r="DNL3" i="7"/>
  <c r="DNT3" i="7"/>
  <c r="DOB3" i="7"/>
  <c r="DOJ3" i="7"/>
  <c r="DOR3" i="7"/>
  <c r="DOZ3" i="7"/>
  <c r="DPH3" i="7"/>
  <c r="DPP3" i="7"/>
  <c r="DPX3" i="7"/>
  <c r="DQF3" i="7"/>
  <c r="DQN3" i="7"/>
  <c r="DQV3" i="7"/>
  <c r="DRD3" i="7"/>
  <c r="DRL3" i="7"/>
  <c r="DRT3" i="7"/>
  <c r="DSB3" i="7"/>
  <c r="DSJ3" i="7"/>
  <c r="DSR3" i="7"/>
  <c r="DSZ3" i="7"/>
  <c r="DTH3" i="7"/>
  <c r="DTP3" i="7"/>
  <c r="DTX3" i="7"/>
  <c r="DUF3" i="7"/>
  <c r="DUN3" i="7"/>
  <c r="DUV3" i="7"/>
  <c r="DVD3" i="7"/>
  <c r="DVL3" i="7"/>
  <c r="DVT3" i="7"/>
  <c r="DWB3" i="7"/>
  <c r="DWJ3" i="7"/>
  <c r="DWR3" i="7"/>
  <c r="DWZ3" i="7"/>
  <c r="DXH3" i="7"/>
  <c r="DXP3" i="7"/>
  <c r="DXX3" i="7"/>
  <c r="DYF3" i="7"/>
  <c r="DYN3" i="7"/>
  <c r="DYV3" i="7"/>
  <c r="DZD3" i="7"/>
  <c r="DZL3" i="7"/>
  <c r="DZT3" i="7"/>
  <c r="EAB3" i="7"/>
  <c r="EAJ3" i="7"/>
  <c r="EAR3" i="7"/>
  <c r="EAZ3" i="7"/>
  <c r="EBH3" i="7"/>
  <c r="EBP3" i="7"/>
  <c r="EBX3" i="7"/>
  <c r="ECF3" i="7"/>
  <c r="ECN3" i="7"/>
  <c r="ECV3" i="7"/>
  <c r="EDD3" i="7"/>
  <c r="EDL3" i="7"/>
  <c r="EDT3" i="7"/>
  <c r="EEB3" i="7"/>
  <c r="EEJ3" i="7"/>
  <c r="EER3" i="7"/>
  <c r="EEZ3" i="7"/>
  <c r="EFH3" i="7"/>
  <c r="EFP3" i="7"/>
  <c r="EFX3" i="7"/>
  <c r="EGF3" i="7"/>
  <c r="EGN3" i="7"/>
  <c r="EGV3" i="7"/>
  <c r="EHD3" i="7"/>
  <c r="EHL3" i="7"/>
  <c r="EHT3" i="7"/>
  <c r="EIB3" i="7"/>
  <c r="EIJ3" i="7"/>
  <c r="EIR3" i="7"/>
  <c r="EIZ3" i="7"/>
  <c r="EJH3" i="7"/>
  <c r="EJP3" i="7"/>
  <c r="EJX3" i="7"/>
  <c r="EKF3" i="7"/>
  <c r="EKN3" i="7"/>
  <c r="EKV3" i="7"/>
  <c r="ELD3" i="7"/>
  <c r="ELL3" i="7"/>
  <c r="ELT3" i="7"/>
  <c r="EMB3" i="7"/>
  <c r="EMJ3" i="7"/>
  <c r="EMR3" i="7"/>
  <c r="EMZ3" i="7"/>
  <c r="ENH3" i="7"/>
  <c r="ENP3" i="7"/>
  <c r="ENX3" i="7"/>
  <c r="EOF3" i="7"/>
  <c r="EON3" i="7"/>
  <c r="EOV3" i="7"/>
  <c r="EPD3" i="7"/>
  <c r="EPL3" i="7"/>
  <c r="EPT3" i="7"/>
  <c r="EQB3" i="7"/>
  <c r="EQJ3" i="7"/>
  <c r="EQR3" i="7"/>
  <c r="EQZ3" i="7"/>
  <c r="BL3" i="7"/>
  <c r="DX3" i="7"/>
  <c r="GJ3" i="7"/>
  <c r="IV3" i="7"/>
  <c r="LH3" i="7"/>
  <c r="NT3" i="7"/>
  <c r="QF3" i="7"/>
  <c r="SR3" i="7"/>
  <c r="VD3" i="7"/>
  <c r="XP3" i="7"/>
  <c r="AAB3" i="7"/>
  <c r="ACN3" i="7"/>
  <c r="AEZ3" i="7"/>
  <c r="AHL3" i="7"/>
  <c r="AJX3" i="7"/>
  <c r="ALT3" i="7"/>
  <c r="AMR3" i="7"/>
  <c r="ANL3" i="7"/>
  <c r="AOB3" i="7"/>
  <c r="AOR3" i="7"/>
  <c r="APH3" i="7"/>
  <c r="APX3" i="7"/>
  <c r="AQN3" i="7"/>
  <c r="ARD3" i="7"/>
  <c r="ART3" i="7"/>
  <c r="ASJ3" i="7"/>
  <c r="ASY3" i="7"/>
  <c r="ATK3" i="7"/>
  <c r="ATX3" i="7"/>
  <c r="AUJ3" i="7"/>
  <c r="AUX3" i="7"/>
  <c r="AVK3" i="7"/>
  <c r="AVW3" i="7"/>
  <c r="AWJ3" i="7"/>
  <c r="AWV3" i="7"/>
  <c r="AXJ3" i="7"/>
  <c r="AXW3" i="7"/>
  <c r="AYI3" i="7"/>
  <c r="AYV3" i="7"/>
  <c r="AZH3" i="7"/>
  <c r="AZV3" i="7"/>
  <c r="BAI3" i="7"/>
  <c r="BAU3" i="7"/>
  <c r="BBH3" i="7"/>
  <c r="BBT3" i="7"/>
  <c r="BCH3" i="7"/>
  <c r="BCU3" i="7"/>
  <c r="BDG3" i="7"/>
  <c r="BDT3" i="7"/>
  <c r="BEF3" i="7"/>
  <c r="BET3" i="7"/>
  <c r="BFG3" i="7"/>
  <c r="BFS3" i="7"/>
  <c r="BGF3" i="7"/>
  <c r="BGR3" i="7"/>
  <c r="BHF3" i="7"/>
  <c r="BHS3" i="7"/>
  <c r="BIE3" i="7"/>
  <c r="BIR3" i="7"/>
  <c r="BJD3" i="7"/>
  <c r="BJR3" i="7"/>
  <c r="BKE3" i="7"/>
  <c r="BKQ3" i="7"/>
  <c r="BLD3" i="7"/>
  <c r="BLP3" i="7"/>
  <c r="BMD3" i="7"/>
  <c r="BMQ3" i="7"/>
  <c r="BNA3" i="7"/>
  <c r="BNK3" i="7"/>
  <c r="BNW3" i="7"/>
  <c r="BOG3" i="7"/>
  <c r="BOQ3" i="7"/>
  <c r="BPC3" i="7"/>
  <c r="BPM3" i="7"/>
  <c r="BPW3" i="7"/>
  <c r="BQF3" i="7"/>
  <c r="BQP3" i="7"/>
  <c r="BQY3" i="7"/>
  <c r="BRH3" i="7"/>
  <c r="BRQ3" i="7"/>
  <c r="BRZ3" i="7"/>
  <c r="BSI3" i="7"/>
  <c r="BSR3" i="7"/>
  <c r="BTB3" i="7"/>
  <c r="BTK3" i="7"/>
  <c r="BTT3" i="7"/>
  <c r="BUC3" i="7"/>
  <c r="BUL3" i="7"/>
  <c r="BUU3" i="7"/>
  <c r="BVD3" i="7"/>
  <c r="BVN3" i="7"/>
  <c r="BVW3" i="7"/>
  <c r="BWF3" i="7"/>
  <c r="BWO3" i="7"/>
  <c r="BWX3" i="7"/>
  <c r="BXG3" i="7"/>
  <c r="BXP3" i="7"/>
  <c r="BXY3" i="7"/>
  <c r="BYG3" i="7"/>
  <c r="BYO3" i="7"/>
  <c r="BYW3" i="7"/>
  <c r="BZE3" i="7"/>
  <c r="BZM3" i="7"/>
  <c r="BZU3" i="7"/>
  <c r="CAC3" i="7"/>
  <c r="CAK3" i="7"/>
  <c r="CAS3" i="7"/>
  <c r="CBA3" i="7"/>
  <c r="CBI3" i="7"/>
  <c r="CBQ3" i="7"/>
  <c r="CBY3" i="7"/>
  <c r="CCG3" i="7"/>
  <c r="CCO3" i="7"/>
  <c r="CCW3" i="7"/>
  <c r="CDE3" i="7"/>
  <c r="CDM3" i="7"/>
  <c r="CDU3" i="7"/>
  <c r="CEC3" i="7"/>
  <c r="CEK3" i="7"/>
  <c r="CES3" i="7"/>
  <c r="CFA3" i="7"/>
  <c r="CFI3" i="7"/>
  <c r="CFQ3" i="7"/>
  <c r="CFY3" i="7"/>
  <c r="CGG3" i="7"/>
  <c r="CGO3" i="7"/>
  <c r="CGW3" i="7"/>
  <c r="CHE3" i="7"/>
  <c r="CHM3" i="7"/>
  <c r="CHU3" i="7"/>
  <c r="CIC3" i="7"/>
  <c r="CIK3" i="7"/>
  <c r="CIS3" i="7"/>
  <c r="CJA3" i="7"/>
  <c r="CJI3" i="7"/>
  <c r="CJQ3" i="7"/>
  <c r="CJY3" i="7"/>
  <c r="CKG3" i="7"/>
  <c r="CKO3" i="7"/>
  <c r="CKW3" i="7"/>
  <c r="CLE3" i="7"/>
  <c r="CLM3" i="7"/>
  <c r="CLU3" i="7"/>
  <c r="CMC3" i="7"/>
  <c r="CMK3" i="7"/>
  <c r="CMS3" i="7"/>
  <c r="CNA3" i="7"/>
  <c r="CNI3" i="7"/>
  <c r="CNQ3" i="7"/>
  <c r="CNY3" i="7"/>
  <c r="COG3" i="7"/>
  <c r="COO3" i="7"/>
  <c r="COW3" i="7"/>
  <c r="CPE3" i="7"/>
  <c r="CPM3" i="7"/>
  <c r="CPU3" i="7"/>
  <c r="CQC3" i="7"/>
  <c r="CQK3" i="7"/>
  <c r="CQS3" i="7"/>
  <c r="CRA3" i="7"/>
  <c r="CRI3" i="7"/>
  <c r="CRQ3" i="7"/>
  <c r="CRY3" i="7"/>
  <c r="CSG3" i="7"/>
  <c r="CSO3" i="7"/>
  <c r="CSW3" i="7"/>
  <c r="CTE3" i="7"/>
  <c r="CTM3" i="7"/>
  <c r="CTU3" i="7"/>
  <c r="CUC3" i="7"/>
  <c r="CUK3" i="7"/>
  <c r="CUS3" i="7"/>
  <c r="CVA3" i="7"/>
  <c r="CVI3" i="7"/>
  <c r="CVQ3" i="7"/>
  <c r="CVY3" i="7"/>
  <c r="CWG3" i="7"/>
  <c r="CWO3" i="7"/>
  <c r="CWW3" i="7"/>
  <c r="CXE3" i="7"/>
  <c r="CXM3" i="7"/>
  <c r="CXU3" i="7"/>
  <c r="CYC3" i="7"/>
  <c r="CYK3" i="7"/>
  <c r="CYS3" i="7"/>
  <c r="CZA3" i="7"/>
  <c r="CZI3" i="7"/>
  <c r="CZQ3" i="7"/>
  <c r="CZY3" i="7"/>
  <c r="DAG3" i="7"/>
  <c r="DAO3" i="7"/>
  <c r="DAW3" i="7"/>
  <c r="DBE3" i="7"/>
  <c r="DBM3" i="7"/>
  <c r="DBU3" i="7"/>
  <c r="DCC3" i="7"/>
  <c r="DCK3" i="7"/>
  <c r="DCS3" i="7"/>
  <c r="DDA3" i="7"/>
  <c r="DDI3" i="7"/>
  <c r="DDQ3" i="7"/>
  <c r="DDY3" i="7"/>
  <c r="DEG3" i="7"/>
  <c r="DEO3" i="7"/>
  <c r="DEW3" i="7"/>
  <c r="DFE3" i="7"/>
  <c r="DFM3" i="7"/>
  <c r="DFU3" i="7"/>
  <c r="DGC3" i="7"/>
  <c r="DGK3" i="7"/>
  <c r="DGS3" i="7"/>
  <c r="DHA3" i="7"/>
  <c r="DHI3" i="7"/>
  <c r="DHQ3" i="7"/>
  <c r="DHY3" i="7"/>
  <c r="DIG3" i="7"/>
  <c r="DIO3" i="7"/>
  <c r="DIW3" i="7"/>
  <c r="DJE3" i="7"/>
  <c r="DJM3" i="7"/>
  <c r="DJU3" i="7"/>
  <c r="DKC3" i="7"/>
  <c r="DKK3" i="7"/>
  <c r="DKS3" i="7"/>
  <c r="DLA3" i="7"/>
  <c r="DLI3" i="7"/>
  <c r="DLQ3" i="7"/>
  <c r="DLY3" i="7"/>
  <c r="DMG3" i="7"/>
  <c r="DMO3" i="7"/>
  <c r="DMW3" i="7"/>
  <c r="DNE3" i="7"/>
  <c r="DNM3" i="7"/>
  <c r="DNU3" i="7"/>
  <c r="DOC3" i="7"/>
  <c r="DOK3" i="7"/>
  <c r="DOS3" i="7"/>
  <c r="DPA3" i="7"/>
  <c r="DPI3" i="7"/>
  <c r="DPQ3" i="7"/>
  <c r="DPY3" i="7"/>
  <c r="DQG3" i="7"/>
  <c r="DQO3" i="7"/>
  <c r="DQW3" i="7"/>
  <c r="DRE3" i="7"/>
  <c r="DRM3" i="7"/>
  <c r="DRU3" i="7"/>
  <c r="DSC3" i="7"/>
  <c r="DSK3" i="7"/>
  <c r="DSS3" i="7"/>
  <c r="DTA3" i="7"/>
  <c r="DTI3" i="7"/>
  <c r="DTQ3" i="7"/>
  <c r="DTY3" i="7"/>
  <c r="DUG3" i="7"/>
  <c r="DUO3" i="7"/>
  <c r="DUW3" i="7"/>
  <c r="DVE3" i="7"/>
  <c r="DVM3" i="7"/>
  <c r="DVU3" i="7"/>
  <c r="DWC3" i="7"/>
  <c r="DWK3" i="7"/>
  <c r="DWS3" i="7"/>
  <c r="DXA3" i="7"/>
  <c r="DXI3" i="7"/>
  <c r="DXQ3" i="7"/>
  <c r="DXY3" i="7"/>
  <c r="DYG3" i="7"/>
  <c r="DYO3" i="7"/>
  <c r="DYW3" i="7"/>
  <c r="DZE3" i="7"/>
  <c r="DZM3" i="7"/>
  <c r="DZU3" i="7"/>
  <c r="EAC3" i="7"/>
  <c r="EAK3" i="7"/>
  <c r="EAS3" i="7"/>
  <c r="EBA3" i="7"/>
  <c r="EBI3" i="7"/>
  <c r="EBQ3" i="7"/>
  <c r="EBY3" i="7"/>
  <c r="ECG3" i="7"/>
  <c r="ECO3" i="7"/>
  <c r="ECW3" i="7"/>
  <c r="EDE3" i="7"/>
  <c r="EDM3" i="7"/>
  <c r="EDU3" i="7"/>
  <c r="EEC3" i="7"/>
  <c r="EEK3" i="7"/>
  <c r="EES3" i="7"/>
  <c r="EFA3" i="7"/>
  <c r="EFI3" i="7"/>
  <c r="EFQ3" i="7"/>
  <c r="EFY3" i="7"/>
  <c r="EGG3" i="7"/>
  <c r="EGO3" i="7"/>
  <c r="EGW3" i="7"/>
  <c r="EHE3" i="7"/>
  <c r="EHM3" i="7"/>
  <c r="EHU3" i="7"/>
  <c r="EIC3" i="7"/>
  <c r="EIK3" i="7"/>
  <c r="EIS3" i="7"/>
  <c r="EJA3" i="7"/>
  <c r="EJI3" i="7"/>
  <c r="EJQ3" i="7"/>
  <c r="EJY3" i="7"/>
  <c r="EKG3" i="7"/>
  <c r="EKO3" i="7"/>
  <c r="EKW3" i="7"/>
  <c r="ELE3" i="7"/>
  <c r="ELM3" i="7"/>
  <c r="ELU3" i="7"/>
  <c r="EMC3" i="7"/>
  <c r="EMK3" i="7"/>
  <c r="EMS3" i="7"/>
  <c r="ENA3" i="7"/>
  <c r="ENI3" i="7"/>
  <c r="ENQ3" i="7"/>
  <c r="ENY3" i="7"/>
  <c r="EOG3" i="7"/>
  <c r="EOO3" i="7"/>
  <c r="EOW3" i="7"/>
  <c r="EPE3" i="7"/>
  <c r="EPM3" i="7"/>
  <c r="EPU3" i="7"/>
  <c r="EQC3" i="7"/>
  <c r="EQK3" i="7"/>
  <c r="EQS3" i="7"/>
  <c r="ERA3" i="7"/>
  <c r="ERI3" i="7"/>
  <c r="BT3" i="7"/>
  <c r="EF3" i="7"/>
  <c r="GR3" i="7"/>
  <c r="JD3" i="7"/>
  <c r="LP3" i="7"/>
  <c r="OB3" i="7"/>
  <c r="QN3" i="7"/>
  <c r="SZ3" i="7"/>
  <c r="VL3" i="7"/>
  <c r="XX3" i="7"/>
  <c r="AAJ3" i="7"/>
  <c r="ACV3" i="7"/>
  <c r="AFH3" i="7"/>
  <c r="AHT3" i="7"/>
  <c r="AKF3" i="7"/>
  <c r="ALX3" i="7"/>
  <c r="AMV3" i="7"/>
  <c r="ANN3" i="7"/>
  <c r="AOD3" i="7"/>
  <c r="AOT3" i="7"/>
  <c r="APJ3" i="7"/>
  <c r="APZ3" i="7"/>
  <c r="AQP3" i="7"/>
  <c r="ARF3" i="7"/>
  <c r="ARV3" i="7"/>
  <c r="ASL3" i="7"/>
  <c r="ASZ3" i="7"/>
  <c r="ATL3" i="7"/>
  <c r="ATZ3" i="7"/>
  <c r="AUM3" i="7"/>
  <c r="AUY3" i="7"/>
  <c r="AVL3" i="7"/>
  <c r="AVX3" i="7"/>
  <c r="AWL3" i="7"/>
  <c r="AWY3" i="7"/>
  <c r="AXK3" i="7"/>
  <c r="AXX3" i="7"/>
  <c r="AYJ3" i="7"/>
  <c r="AYX3" i="7"/>
  <c r="AZK3" i="7"/>
  <c r="AZW3" i="7"/>
  <c r="BAJ3" i="7"/>
  <c r="BAV3" i="7"/>
  <c r="BBJ3" i="7"/>
  <c r="BBW3" i="7"/>
  <c r="BCI3" i="7"/>
  <c r="BCV3" i="7"/>
  <c r="BDH3" i="7"/>
  <c r="BDV3" i="7"/>
  <c r="BEI3" i="7"/>
  <c r="BEU3" i="7"/>
  <c r="BFH3" i="7"/>
  <c r="BFT3" i="7"/>
  <c r="BGH3" i="7"/>
  <c r="BGU3" i="7"/>
  <c r="BHG3" i="7"/>
  <c r="BHT3" i="7"/>
  <c r="BIF3" i="7"/>
  <c r="BIT3" i="7"/>
  <c r="BJG3" i="7"/>
  <c r="BJS3" i="7"/>
  <c r="BKF3" i="7"/>
  <c r="BKR3" i="7"/>
  <c r="BLF3" i="7"/>
  <c r="BLS3" i="7"/>
  <c r="BME3" i="7"/>
  <c r="BMR3" i="7"/>
  <c r="BNB3" i="7"/>
  <c r="BNL3" i="7"/>
  <c r="BNX3" i="7"/>
  <c r="BOH3" i="7"/>
  <c r="BOR3" i="7"/>
  <c r="BPD3" i="7"/>
  <c r="BPN3" i="7"/>
  <c r="BPX3" i="7"/>
  <c r="BQH3" i="7"/>
  <c r="BQQ3" i="7"/>
  <c r="BQZ3" i="7"/>
  <c r="BRI3" i="7"/>
  <c r="BRR3" i="7"/>
  <c r="BSA3" i="7"/>
  <c r="BSJ3" i="7"/>
  <c r="BST3" i="7"/>
  <c r="BTC3" i="7"/>
  <c r="BTL3" i="7"/>
  <c r="BTU3" i="7"/>
  <c r="BUD3" i="7"/>
  <c r="BUM3" i="7"/>
  <c r="BUV3" i="7"/>
  <c r="BVF3" i="7"/>
  <c r="BVO3" i="7"/>
  <c r="BVX3" i="7"/>
  <c r="BWG3" i="7"/>
  <c r="BWP3" i="7"/>
  <c r="BWY3" i="7"/>
  <c r="BXH3" i="7"/>
  <c r="BXR3" i="7"/>
  <c r="BXZ3" i="7"/>
  <c r="BYH3" i="7"/>
  <c r="BYP3" i="7"/>
  <c r="BYX3" i="7"/>
  <c r="BZF3" i="7"/>
  <c r="BZN3" i="7"/>
  <c r="BZV3" i="7"/>
  <c r="CAD3" i="7"/>
  <c r="CAL3" i="7"/>
  <c r="CAT3" i="7"/>
  <c r="CBB3" i="7"/>
  <c r="CBJ3" i="7"/>
  <c r="CBR3" i="7"/>
  <c r="CBZ3" i="7"/>
  <c r="CCH3" i="7"/>
  <c r="CCP3" i="7"/>
  <c r="CCX3" i="7"/>
  <c r="CDF3" i="7"/>
  <c r="CDN3" i="7"/>
  <c r="CDV3" i="7"/>
  <c r="CED3" i="7"/>
  <c r="CEL3" i="7"/>
  <c r="CET3" i="7"/>
  <c r="CFB3" i="7"/>
  <c r="CFJ3" i="7"/>
  <c r="CFR3" i="7"/>
  <c r="CFZ3" i="7"/>
  <c r="CGH3" i="7"/>
  <c r="CGP3" i="7"/>
  <c r="CGX3" i="7"/>
  <c r="CHF3" i="7"/>
  <c r="CHN3" i="7"/>
  <c r="CHV3" i="7"/>
  <c r="CID3" i="7"/>
  <c r="CIL3" i="7"/>
  <c r="CIT3" i="7"/>
  <c r="CJB3" i="7"/>
  <c r="CJJ3" i="7"/>
  <c r="CJR3" i="7"/>
  <c r="CJZ3" i="7"/>
  <c r="CKH3" i="7"/>
  <c r="CKP3" i="7"/>
  <c r="CKX3" i="7"/>
  <c r="CLF3" i="7"/>
  <c r="CLN3" i="7"/>
  <c r="CLV3" i="7"/>
  <c r="CMD3" i="7"/>
  <c r="CML3" i="7"/>
  <c r="CMT3" i="7"/>
  <c r="CNB3" i="7"/>
  <c r="CNJ3" i="7"/>
  <c r="CNR3" i="7"/>
  <c r="CNZ3" i="7"/>
  <c r="COH3" i="7"/>
  <c r="COP3" i="7"/>
  <c r="COX3" i="7"/>
  <c r="CPF3" i="7"/>
  <c r="CPN3" i="7"/>
  <c r="CPV3" i="7"/>
  <c r="CQD3" i="7"/>
  <c r="CQL3" i="7"/>
  <c r="CQT3" i="7"/>
  <c r="CRB3" i="7"/>
  <c r="CRJ3" i="7"/>
  <c r="CRR3" i="7"/>
  <c r="CRZ3" i="7"/>
  <c r="CSH3" i="7"/>
  <c r="CSP3" i="7"/>
  <c r="CSX3" i="7"/>
  <c r="CTF3" i="7"/>
  <c r="CTN3" i="7"/>
  <c r="CTV3" i="7"/>
  <c r="CUD3" i="7"/>
  <c r="CUL3" i="7"/>
  <c r="CUT3" i="7"/>
  <c r="CVB3" i="7"/>
  <c r="CVJ3" i="7"/>
  <c r="CVR3" i="7"/>
  <c r="CVZ3" i="7"/>
  <c r="CWH3" i="7"/>
  <c r="CWP3" i="7"/>
  <c r="CWX3" i="7"/>
  <c r="CXF3" i="7"/>
  <c r="CXN3" i="7"/>
  <c r="CXV3" i="7"/>
  <c r="CYD3" i="7"/>
  <c r="CYL3" i="7"/>
  <c r="CYT3" i="7"/>
  <c r="CZB3" i="7"/>
  <c r="CZJ3" i="7"/>
  <c r="CZR3" i="7"/>
  <c r="CZZ3" i="7"/>
  <c r="DAH3" i="7"/>
  <c r="DAP3" i="7"/>
  <c r="DAX3" i="7"/>
  <c r="DBF3" i="7"/>
  <c r="DBN3" i="7"/>
  <c r="DBV3" i="7"/>
  <c r="DCD3" i="7"/>
  <c r="DCL3" i="7"/>
  <c r="DCT3" i="7"/>
  <c r="DDB3" i="7"/>
  <c r="DDJ3" i="7"/>
  <c r="DDR3" i="7"/>
  <c r="DDZ3" i="7"/>
  <c r="DEH3" i="7"/>
  <c r="DEP3" i="7"/>
  <c r="DEX3" i="7"/>
  <c r="DFF3" i="7"/>
  <c r="DFN3" i="7"/>
  <c r="DFV3" i="7"/>
  <c r="DGD3" i="7"/>
  <c r="DGL3" i="7"/>
  <c r="DGT3" i="7"/>
  <c r="DHB3" i="7"/>
  <c r="DHJ3" i="7"/>
  <c r="DHR3" i="7"/>
  <c r="DHZ3" i="7"/>
  <c r="DIH3" i="7"/>
  <c r="DIP3" i="7"/>
  <c r="DIX3" i="7"/>
  <c r="DJF3" i="7"/>
  <c r="DJN3" i="7"/>
  <c r="DJV3" i="7"/>
  <c r="DKD3" i="7"/>
  <c r="DKL3" i="7"/>
  <c r="DKT3" i="7"/>
  <c r="DLB3" i="7"/>
  <c r="DLJ3" i="7"/>
  <c r="DLR3" i="7"/>
  <c r="DLZ3" i="7"/>
  <c r="DMH3" i="7"/>
  <c r="DMP3" i="7"/>
  <c r="DMX3" i="7"/>
  <c r="DNF3" i="7"/>
  <c r="DNN3" i="7"/>
  <c r="DNV3" i="7"/>
  <c r="DOD3" i="7"/>
  <c r="DOL3" i="7"/>
  <c r="DOT3" i="7"/>
  <c r="DPB3" i="7"/>
  <c r="DPJ3" i="7"/>
  <c r="DPR3" i="7"/>
  <c r="DPZ3" i="7"/>
  <c r="DQH3" i="7"/>
  <c r="DQP3" i="7"/>
  <c r="DQX3" i="7"/>
  <c r="DRF3" i="7"/>
  <c r="DRN3" i="7"/>
  <c r="DRV3" i="7"/>
  <c r="DSD3" i="7"/>
  <c r="DSL3" i="7"/>
  <c r="DST3" i="7"/>
  <c r="DTB3" i="7"/>
  <c r="DTJ3" i="7"/>
  <c r="DTR3" i="7"/>
  <c r="DTZ3" i="7"/>
  <c r="DUH3" i="7"/>
  <c r="DUP3" i="7"/>
  <c r="DUX3" i="7"/>
  <c r="DVF3" i="7"/>
  <c r="DVN3" i="7"/>
  <c r="DVV3" i="7"/>
  <c r="DWD3" i="7"/>
  <c r="DWL3" i="7"/>
  <c r="DWT3" i="7"/>
  <c r="DXB3" i="7"/>
  <c r="DXJ3" i="7"/>
  <c r="DXR3" i="7"/>
  <c r="DXZ3" i="7"/>
  <c r="DYH3" i="7"/>
  <c r="DYP3" i="7"/>
  <c r="DYX3" i="7"/>
  <c r="DZF3" i="7"/>
  <c r="DZN3" i="7"/>
  <c r="DZV3" i="7"/>
  <c r="EAD3" i="7"/>
  <c r="EAL3" i="7"/>
  <c r="EAT3" i="7"/>
  <c r="EBB3" i="7"/>
  <c r="EBJ3" i="7"/>
  <c r="EBR3" i="7"/>
  <c r="EBZ3" i="7"/>
  <c r="ECH3" i="7"/>
  <c r="ECP3" i="7"/>
  <c r="ECX3" i="7"/>
  <c r="EDF3" i="7"/>
  <c r="EDN3" i="7"/>
  <c r="EDV3" i="7"/>
  <c r="EED3" i="7"/>
  <c r="EEL3" i="7"/>
  <c r="EET3" i="7"/>
  <c r="EFB3" i="7"/>
  <c r="EFJ3" i="7"/>
  <c r="EFR3" i="7"/>
  <c r="EFZ3" i="7"/>
  <c r="EGH3" i="7"/>
  <c r="EGP3" i="7"/>
  <c r="EGX3" i="7"/>
  <c r="EHF3" i="7"/>
  <c r="EHN3" i="7"/>
  <c r="EHV3" i="7"/>
  <c r="EID3" i="7"/>
  <c r="EIL3" i="7"/>
  <c r="EIT3" i="7"/>
  <c r="EJB3" i="7"/>
  <c r="EJJ3" i="7"/>
  <c r="EJR3" i="7"/>
  <c r="EJZ3" i="7"/>
  <c r="EKH3" i="7"/>
  <c r="EKP3" i="7"/>
  <c r="EKX3" i="7"/>
  <c r="ELF3" i="7"/>
  <c r="ELN3" i="7"/>
  <c r="ELV3" i="7"/>
  <c r="EMD3" i="7"/>
  <c r="EML3" i="7"/>
  <c r="EMT3" i="7"/>
  <c r="ENB3" i="7"/>
  <c r="ENJ3" i="7"/>
  <c r="ENR3" i="7"/>
  <c r="ENZ3" i="7"/>
  <c r="EOH3" i="7"/>
  <c r="EOP3" i="7"/>
  <c r="EOX3" i="7"/>
  <c r="EPF3" i="7"/>
  <c r="EPN3" i="7"/>
  <c r="EPV3" i="7"/>
  <c r="EQD3" i="7"/>
  <c r="EQL3" i="7"/>
  <c r="EQT3" i="7"/>
  <c r="ERB3" i="7"/>
  <c r="ERJ3" i="7"/>
  <c r="ERR3" i="7"/>
  <c r="CB3" i="7"/>
  <c r="EN3" i="7"/>
  <c r="GZ3" i="7"/>
  <c r="JL3" i="7"/>
  <c r="LX3" i="7"/>
  <c r="OJ3" i="7"/>
  <c r="QV3" i="7"/>
  <c r="TH3" i="7"/>
  <c r="VT3" i="7"/>
  <c r="YF3" i="7"/>
  <c r="AAR3" i="7"/>
  <c r="ADD3" i="7"/>
  <c r="AFP3" i="7"/>
  <c r="AIB3" i="7"/>
  <c r="AKN3" i="7"/>
  <c r="AMB3" i="7"/>
  <c r="AMY3" i="7"/>
  <c r="ANO3" i="7"/>
  <c r="AOE3" i="7"/>
  <c r="AOU3" i="7"/>
  <c r="APK3" i="7"/>
  <c r="AQA3" i="7"/>
  <c r="AQQ3" i="7"/>
  <c r="ARG3" i="7"/>
  <c r="ARW3" i="7"/>
  <c r="ASM3" i="7"/>
  <c r="ATB3" i="7"/>
  <c r="ATO3" i="7"/>
  <c r="AUA3" i="7"/>
  <c r="AUN3" i="7"/>
  <c r="AUZ3" i="7"/>
  <c r="AVN3" i="7"/>
  <c r="AWA3" i="7"/>
  <c r="AWM3" i="7"/>
  <c r="AWZ3" i="7"/>
  <c r="AXL3" i="7"/>
  <c r="AXZ3" i="7"/>
  <c r="AYM3" i="7"/>
  <c r="AYY3" i="7"/>
  <c r="AZL3" i="7"/>
  <c r="AZX3" i="7"/>
  <c r="BAL3" i="7"/>
  <c r="BAY3" i="7"/>
  <c r="BBK3" i="7"/>
  <c r="BBX3" i="7"/>
  <c r="BCJ3" i="7"/>
  <c r="BCX3" i="7"/>
  <c r="BDK3" i="7"/>
  <c r="BDW3" i="7"/>
  <c r="BEJ3" i="7"/>
  <c r="BEV3" i="7"/>
  <c r="BFJ3" i="7"/>
  <c r="BFW3" i="7"/>
  <c r="BGI3" i="7"/>
  <c r="BGV3" i="7"/>
  <c r="BHH3" i="7"/>
  <c r="BHV3" i="7"/>
  <c r="BII3" i="7"/>
  <c r="BIU3" i="7"/>
  <c r="BJH3" i="7"/>
  <c r="BJT3" i="7"/>
  <c r="BKH3" i="7"/>
  <c r="BKU3" i="7"/>
  <c r="BLG3" i="7"/>
  <c r="BLT3" i="7"/>
  <c r="BMF3" i="7"/>
  <c r="BMS3" i="7"/>
  <c r="BNC3" i="7"/>
  <c r="BNO3" i="7"/>
  <c r="BNY3" i="7"/>
  <c r="BOI3" i="7"/>
  <c r="BOU3" i="7"/>
  <c r="BPE3" i="7"/>
  <c r="BPO3" i="7"/>
  <c r="BPZ3" i="7"/>
  <c r="BQI3" i="7"/>
  <c r="BQR3" i="7"/>
  <c r="BRA3" i="7"/>
  <c r="BRJ3" i="7"/>
  <c r="BRS3" i="7"/>
  <c r="BSB3" i="7"/>
  <c r="BSL3" i="7"/>
  <c r="BSU3" i="7"/>
  <c r="BTD3" i="7"/>
  <c r="BTM3" i="7"/>
  <c r="BTV3" i="7"/>
  <c r="BUE3" i="7"/>
  <c r="BUN3" i="7"/>
  <c r="BUX3" i="7"/>
  <c r="BVG3" i="7"/>
  <c r="BVP3" i="7"/>
  <c r="BVY3" i="7"/>
  <c r="BWH3" i="7"/>
  <c r="BWQ3" i="7"/>
  <c r="BWZ3" i="7"/>
  <c r="BXJ3" i="7"/>
  <c r="BXS3" i="7"/>
  <c r="BYA3" i="7"/>
  <c r="BYI3" i="7"/>
  <c r="BYQ3" i="7"/>
  <c r="BYY3" i="7"/>
  <c r="BZG3" i="7"/>
  <c r="BZO3" i="7"/>
  <c r="BZW3" i="7"/>
  <c r="CAE3" i="7"/>
  <c r="CAM3" i="7"/>
  <c r="CAU3" i="7"/>
  <c r="CBC3" i="7"/>
  <c r="CBK3" i="7"/>
  <c r="CBS3" i="7"/>
  <c r="CCA3" i="7"/>
  <c r="CCI3" i="7"/>
  <c r="CCQ3" i="7"/>
  <c r="CCY3" i="7"/>
  <c r="CDG3" i="7"/>
  <c r="CDO3" i="7"/>
  <c r="CDW3" i="7"/>
  <c r="CEE3" i="7"/>
  <c r="CEM3" i="7"/>
  <c r="CEU3" i="7"/>
  <c r="CFC3" i="7"/>
  <c r="CFK3" i="7"/>
  <c r="CFS3" i="7"/>
  <c r="CGA3" i="7"/>
  <c r="CGI3" i="7"/>
  <c r="CGQ3" i="7"/>
  <c r="CGY3" i="7"/>
  <c r="CHG3" i="7"/>
  <c r="CHO3" i="7"/>
  <c r="CHW3" i="7"/>
  <c r="CIE3" i="7"/>
  <c r="CIM3" i="7"/>
  <c r="CIU3" i="7"/>
  <c r="CJC3" i="7"/>
  <c r="CJK3" i="7"/>
  <c r="CJS3" i="7"/>
  <c r="CKA3" i="7"/>
  <c r="CKI3" i="7"/>
  <c r="CKQ3" i="7"/>
  <c r="CKY3" i="7"/>
  <c r="CLG3" i="7"/>
  <c r="CLO3" i="7"/>
  <c r="CLW3" i="7"/>
  <c r="CME3" i="7"/>
  <c r="CMM3" i="7"/>
  <c r="CMU3" i="7"/>
  <c r="CNC3" i="7"/>
  <c r="CNK3" i="7"/>
  <c r="CNS3" i="7"/>
  <c r="COA3" i="7"/>
  <c r="COI3" i="7"/>
  <c r="COQ3" i="7"/>
  <c r="COY3" i="7"/>
  <c r="CPG3" i="7"/>
  <c r="CPO3" i="7"/>
  <c r="CPW3" i="7"/>
  <c r="CQE3" i="7"/>
  <c r="CQM3" i="7"/>
  <c r="CQU3" i="7"/>
  <c r="CRC3" i="7"/>
  <c r="CRK3" i="7"/>
  <c r="CRS3" i="7"/>
  <c r="CSA3" i="7"/>
  <c r="CSI3" i="7"/>
  <c r="CSQ3" i="7"/>
  <c r="CSY3" i="7"/>
  <c r="CTG3" i="7"/>
  <c r="CTO3" i="7"/>
  <c r="CTW3" i="7"/>
  <c r="CUE3" i="7"/>
  <c r="CUM3" i="7"/>
  <c r="CUU3" i="7"/>
  <c r="CVC3" i="7"/>
  <c r="CVK3" i="7"/>
  <c r="CVS3" i="7"/>
  <c r="CWA3" i="7"/>
  <c r="CWI3" i="7"/>
  <c r="CWQ3" i="7"/>
  <c r="CWY3" i="7"/>
  <c r="CXG3" i="7"/>
  <c r="CXO3" i="7"/>
  <c r="CXW3" i="7"/>
  <c r="CYE3" i="7"/>
  <c r="CYM3" i="7"/>
  <c r="CYU3" i="7"/>
  <c r="CZC3" i="7"/>
  <c r="CZK3" i="7"/>
  <c r="CZS3" i="7"/>
  <c r="DAA3" i="7"/>
  <c r="DAI3" i="7"/>
  <c r="DAQ3" i="7"/>
  <c r="DAY3" i="7"/>
  <c r="DBG3" i="7"/>
  <c r="DBO3" i="7"/>
  <c r="DBW3" i="7"/>
  <c r="DCE3" i="7"/>
  <c r="DCM3" i="7"/>
  <c r="DCU3" i="7"/>
  <c r="DDC3" i="7"/>
  <c r="DDK3" i="7"/>
  <c r="DDS3" i="7"/>
  <c r="DEA3" i="7"/>
  <c r="DEI3" i="7"/>
  <c r="DEQ3" i="7"/>
  <c r="DEY3" i="7"/>
  <c r="DFG3" i="7"/>
  <c r="DFO3" i="7"/>
  <c r="DFW3" i="7"/>
  <c r="DGE3" i="7"/>
  <c r="DGM3" i="7"/>
  <c r="DGU3" i="7"/>
  <c r="DHC3" i="7"/>
  <c r="DHK3" i="7"/>
  <c r="DHS3" i="7"/>
  <c r="DIA3" i="7"/>
  <c r="DII3" i="7"/>
  <c r="DIQ3" i="7"/>
  <c r="DIY3" i="7"/>
  <c r="DJG3" i="7"/>
  <c r="DJO3" i="7"/>
  <c r="DJW3" i="7"/>
  <c r="DKE3" i="7"/>
  <c r="DKM3" i="7"/>
  <c r="DKU3" i="7"/>
  <c r="DLC3" i="7"/>
  <c r="DLK3" i="7"/>
  <c r="DLS3" i="7"/>
  <c r="DMA3" i="7"/>
  <c r="DMI3" i="7"/>
  <c r="DMQ3" i="7"/>
  <c r="DMY3" i="7"/>
  <c r="DNG3" i="7"/>
  <c r="DNO3" i="7"/>
  <c r="DNW3" i="7"/>
  <c r="DOE3" i="7"/>
  <c r="DOM3" i="7"/>
  <c r="DOU3" i="7"/>
  <c r="DPC3" i="7"/>
  <c r="DPK3" i="7"/>
  <c r="DPS3" i="7"/>
  <c r="DQA3" i="7"/>
  <c r="DQI3" i="7"/>
  <c r="DQQ3" i="7"/>
  <c r="DQY3" i="7"/>
  <c r="DRG3" i="7"/>
  <c r="DRO3" i="7"/>
  <c r="DRW3" i="7"/>
  <c r="DSE3" i="7"/>
  <c r="DSM3" i="7"/>
  <c r="DSU3" i="7"/>
  <c r="DTC3" i="7"/>
  <c r="DTK3" i="7"/>
  <c r="DTS3" i="7"/>
  <c r="DUA3" i="7"/>
  <c r="DUI3" i="7"/>
  <c r="DUQ3" i="7"/>
  <c r="DUY3" i="7"/>
  <c r="DVG3" i="7"/>
  <c r="DVO3" i="7"/>
  <c r="DVW3" i="7"/>
  <c r="DWE3" i="7"/>
  <c r="DWM3" i="7"/>
  <c r="DWU3" i="7"/>
  <c r="DXC3" i="7"/>
  <c r="DXK3" i="7"/>
  <c r="DXS3" i="7"/>
  <c r="DYA3" i="7"/>
  <c r="DYI3" i="7"/>
  <c r="DYQ3" i="7"/>
  <c r="DYY3" i="7"/>
  <c r="DZG3" i="7"/>
  <c r="DZO3" i="7"/>
  <c r="DZW3" i="7"/>
  <c r="EAE3" i="7"/>
  <c r="EAM3" i="7"/>
  <c r="EAU3" i="7"/>
  <c r="EBC3" i="7"/>
  <c r="EBK3" i="7"/>
  <c r="EBS3" i="7"/>
  <c r="ECA3" i="7"/>
  <c r="ECI3" i="7"/>
  <c r="ECQ3" i="7"/>
  <c r="ECY3" i="7"/>
  <c r="EDG3" i="7"/>
  <c r="EDO3" i="7"/>
  <c r="EDW3" i="7"/>
  <c r="EEE3" i="7"/>
  <c r="EEM3" i="7"/>
  <c r="EEU3" i="7"/>
  <c r="EFC3" i="7"/>
  <c r="EFK3" i="7"/>
  <c r="EFS3" i="7"/>
  <c r="EGA3" i="7"/>
  <c r="EGI3" i="7"/>
  <c r="EGQ3" i="7"/>
  <c r="EGY3" i="7"/>
  <c r="EHG3" i="7"/>
  <c r="EHO3" i="7"/>
  <c r="EHW3" i="7"/>
  <c r="EIE3" i="7"/>
  <c r="EIM3" i="7"/>
  <c r="EIU3" i="7"/>
  <c r="EJC3" i="7"/>
  <c r="EJK3" i="7"/>
  <c r="EJS3" i="7"/>
  <c r="EKA3" i="7"/>
  <c r="EKI3" i="7"/>
  <c r="EKQ3" i="7"/>
  <c r="EKY3" i="7"/>
  <c r="ELG3" i="7"/>
  <c r="ELO3" i="7"/>
  <c r="ELW3" i="7"/>
  <c r="EME3" i="7"/>
  <c r="EMM3" i="7"/>
  <c r="EMU3" i="7"/>
  <c r="ENC3" i="7"/>
  <c r="ENK3" i="7"/>
  <c r="ENS3" i="7"/>
  <c r="EOA3" i="7"/>
  <c r="EOI3" i="7"/>
  <c r="EOQ3" i="7"/>
  <c r="EOY3" i="7"/>
  <c r="EPG3" i="7"/>
  <c r="EPO3" i="7"/>
  <c r="EPW3" i="7"/>
  <c r="EQE3" i="7"/>
  <c r="EQM3" i="7"/>
  <c r="EQU3" i="7"/>
  <c r="ERC3" i="7"/>
  <c r="CJ3" i="7"/>
  <c r="EV3" i="7"/>
  <c r="HH3" i="7"/>
  <c r="JT3" i="7"/>
  <c r="MF3" i="7"/>
  <c r="OR3" i="7"/>
  <c r="RD3" i="7"/>
  <c r="TP3" i="7"/>
  <c r="WB3" i="7"/>
  <c r="YN3" i="7"/>
  <c r="AAZ3" i="7"/>
  <c r="ADL3" i="7"/>
  <c r="AFX3" i="7"/>
  <c r="AIJ3" i="7"/>
  <c r="AKV3" i="7"/>
  <c r="AMF3" i="7"/>
  <c r="AMZ3" i="7"/>
  <c r="ANP3" i="7"/>
  <c r="AOF3" i="7"/>
  <c r="AOV3" i="7"/>
  <c r="APL3" i="7"/>
  <c r="AQB3" i="7"/>
  <c r="AQR3" i="7"/>
  <c r="ARH3" i="7"/>
  <c r="ARX3" i="7"/>
  <c r="ASN3" i="7"/>
  <c r="ATC3" i="7"/>
  <c r="ATP3" i="7"/>
  <c r="AUB3" i="7"/>
  <c r="AUP3" i="7"/>
  <c r="AVC3" i="7"/>
  <c r="AVO3" i="7"/>
  <c r="AWB3" i="7"/>
  <c r="AWN3" i="7"/>
  <c r="AXB3" i="7"/>
  <c r="AXO3" i="7"/>
  <c r="AYA3" i="7"/>
  <c r="AYN3" i="7"/>
  <c r="AYZ3" i="7"/>
  <c r="AZN3" i="7"/>
  <c r="BAA3" i="7"/>
  <c r="BAM3" i="7"/>
  <c r="BAZ3" i="7"/>
  <c r="BBL3" i="7"/>
  <c r="BBZ3" i="7"/>
  <c r="BCM3" i="7"/>
  <c r="BCY3" i="7"/>
  <c r="BDL3" i="7"/>
  <c r="BDX3" i="7"/>
  <c r="BEL3" i="7"/>
  <c r="BEY3" i="7"/>
  <c r="BFK3" i="7"/>
  <c r="BFX3" i="7"/>
  <c r="BGJ3" i="7"/>
  <c r="BGX3" i="7"/>
  <c r="BHK3" i="7"/>
  <c r="BHW3" i="7"/>
  <c r="BIJ3" i="7"/>
  <c r="BIV3" i="7"/>
  <c r="BJJ3" i="7"/>
  <c r="BJW3" i="7"/>
  <c r="BKI3" i="7"/>
  <c r="BKV3" i="7"/>
  <c r="BLH3" i="7"/>
  <c r="BLV3" i="7"/>
  <c r="BMI3" i="7"/>
  <c r="BMT3" i="7"/>
  <c r="BND3" i="7"/>
  <c r="BNP3" i="7"/>
  <c r="BNZ3" i="7"/>
  <c r="BOJ3" i="7"/>
  <c r="BOV3" i="7"/>
  <c r="BPF3" i="7"/>
  <c r="BPP3" i="7"/>
  <c r="BQA3" i="7"/>
  <c r="BQJ3" i="7"/>
  <c r="BQS3" i="7"/>
  <c r="BRB3" i="7"/>
  <c r="BRK3" i="7"/>
  <c r="BRT3" i="7"/>
  <c r="BSD3" i="7"/>
  <c r="BSM3" i="7"/>
  <c r="BSV3" i="7"/>
  <c r="BTE3" i="7"/>
  <c r="BTN3" i="7"/>
  <c r="BTW3" i="7"/>
  <c r="BUF3" i="7"/>
  <c r="BUP3" i="7"/>
  <c r="BUY3" i="7"/>
  <c r="BVH3" i="7"/>
  <c r="BVQ3" i="7"/>
  <c r="BVZ3" i="7"/>
  <c r="BWI3" i="7"/>
  <c r="BWR3" i="7"/>
  <c r="BXB3" i="7"/>
  <c r="BXK3" i="7"/>
  <c r="BXT3" i="7"/>
  <c r="BYB3" i="7"/>
  <c r="BYJ3" i="7"/>
  <c r="BYR3" i="7"/>
  <c r="BYZ3" i="7"/>
  <c r="BZH3" i="7"/>
  <c r="BZP3" i="7"/>
  <c r="BZX3" i="7"/>
  <c r="CAF3" i="7"/>
  <c r="CAN3" i="7"/>
  <c r="CAV3" i="7"/>
  <c r="CBD3" i="7"/>
  <c r="CBL3" i="7"/>
  <c r="CBT3" i="7"/>
  <c r="CCB3" i="7"/>
  <c r="CCJ3" i="7"/>
  <c r="CCR3" i="7"/>
  <c r="CCZ3" i="7"/>
  <c r="CDH3" i="7"/>
  <c r="CDP3" i="7"/>
  <c r="CDX3" i="7"/>
  <c r="CEF3" i="7"/>
  <c r="CEN3" i="7"/>
  <c r="CEV3" i="7"/>
  <c r="CFD3" i="7"/>
  <c r="CFL3" i="7"/>
  <c r="CFT3" i="7"/>
  <c r="CGB3" i="7"/>
  <c r="CGJ3" i="7"/>
  <c r="CGR3" i="7"/>
  <c r="CGZ3" i="7"/>
  <c r="CHH3" i="7"/>
  <c r="CHP3" i="7"/>
  <c r="CHX3" i="7"/>
  <c r="CIF3" i="7"/>
  <c r="CIN3" i="7"/>
  <c r="CIV3" i="7"/>
  <c r="CJD3" i="7"/>
  <c r="CJL3" i="7"/>
  <c r="CJT3" i="7"/>
  <c r="CKB3" i="7"/>
  <c r="CKJ3" i="7"/>
  <c r="CKR3" i="7"/>
  <c r="CKZ3" i="7"/>
  <c r="CLH3" i="7"/>
  <c r="CLP3" i="7"/>
  <c r="CLX3" i="7"/>
  <c r="CMF3" i="7"/>
  <c r="CMN3" i="7"/>
  <c r="CMV3" i="7"/>
  <c r="CND3" i="7"/>
  <c r="CNL3" i="7"/>
  <c r="CNT3" i="7"/>
  <c r="COB3" i="7"/>
  <c r="COJ3" i="7"/>
  <c r="COR3" i="7"/>
  <c r="COZ3" i="7"/>
  <c r="CPH3" i="7"/>
  <c r="CPP3" i="7"/>
  <c r="CPX3" i="7"/>
  <c r="CQF3" i="7"/>
  <c r="CQN3" i="7"/>
  <c r="CQV3" i="7"/>
  <c r="CRD3" i="7"/>
  <c r="CRL3" i="7"/>
  <c r="CRT3" i="7"/>
  <c r="CSB3" i="7"/>
  <c r="CSJ3" i="7"/>
  <c r="CSR3" i="7"/>
  <c r="CSZ3" i="7"/>
  <c r="CTH3" i="7"/>
  <c r="CTP3" i="7"/>
  <c r="CTX3" i="7"/>
  <c r="CUF3" i="7"/>
  <c r="CUN3" i="7"/>
  <c r="CUV3" i="7"/>
  <c r="CVD3" i="7"/>
  <c r="CVL3" i="7"/>
  <c r="CVT3" i="7"/>
  <c r="CWB3" i="7"/>
  <c r="CWJ3" i="7"/>
  <c r="CWR3" i="7"/>
  <c r="CWZ3" i="7"/>
  <c r="CXH3" i="7"/>
  <c r="CXP3" i="7"/>
  <c r="CXX3" i="7"/>
  <c r="CYF3" i="7"/>
  <c r="CYN3" i="7"/>
  <c r="CYV3" i="7"/>
  <c r="CZD3" i="7"/>
  <c r="CZL3" i="7"/>
  <c r="CZT3" i="7"/>
  <c r="DAB3" i="7"/>
  <c r="DAJ3" i="7"/>
  <c r="DAR3" i="7"/>
  <c r="DAZ3" i="7"/>
  <c r="DBH3" i="7"/>
  <c r="DBP3" i="7"/>
  <c r="DBX3" i="7"/>
  <c r="DCF3" i="7"/>
  <c r="DCN3" i="7"/>
  <c r="DCV3" i="7"/>
  <c r="DDD3" i="7"/>
  <c r="DDL3" i="7"/>
  <c r="DDT3" i="7"/>
  <c r="DEB3" i="7"/>
  <c r="DEJ3" i="7"/>
  <c r="DER3" i="7"/>
  <c r="DEZ3" i="7"/>
  <c r="DFH3" i="7"/>
  <c r="DFP3" i="7"/>
  <c r="DFX3" i="7"/>
  <c r="DGF3" i="7"/>
  <c r="DGN3" i="7"/>
  <c r="DGV3" i="7"/>
  <c r="DHD3" i="7"/>
  <c r="DHL3" i="7"/>
  <c r="DHT3" i="7"/>
  <c r="DIB3" i="7"/>
  <c r="DIJ3" i="7"/>
  <c r="DIR3" i="7"/>
  <c r="DIZ3" i="7"/>
  <c r="DJH3" i="7"/>
  <c r="DJP3" i="7"/>
  <c r="DJX3" i="7"/>
  <c r="DKF3" i="7"/>
  <c r="DKN3" i="7"/>
  <c r="DKV3" i="7"/>
  <c r="DLD3" i="7"/>
  <c r="DLL3" i="7"/>
  <c r="DLT3" i="7"/>
  <c r="DMB3" i="7"/>
  <c r="DMJ3" i="7"/>
  <c r="DMR3" i="7"/>
  <c r="DMZ3" i="7"/>
  <c r="DNH3" i="7"/>
  <c r="DNP3" i="7"/>
  <c r="DNX3" i="7"/>
  <c r="DOF3" i="7"/>
  <c r="DON3" i="7"/>
  <c r="DOV3" i="7"/>
  <c r="DPD3" i="7"/>
  <c r="DPL3" i="7"/>
  <c r="DPT3" i="7"/>
  <c r="DQB3" i="7"/>
  <c r="DQJ3" i="7"/>
  <c r="DQR3" i="7"/>
  <c r="DQZ3" i="7"/>
  <c r="DRH3" i="7"/>
  <c r="DRP3" i="7"/>
  <c r="DRX3" i="7"/>
  <c r="DSF3" i="7"/>
  <c r="DSN3" i="7"/>
  <c r="DSV3" i="7"/>
  <c r="DTD3" i="7"/>
  <c r="DTL3" i="7"/>
  <c r="DTT3" i="7"/>
  <c r="DUB3" i="7"/>
  <c r="DUJ3" i="7"/>
  <c r="DUR3" i="7"/>
  <c r="DUZ3" i="7"/>
  <c r="DVH3" i="7"/>
  <c r="DVP3" i="7"/>
  <c r="DVX3" i="7"/>
  <c r="DWF3" i="7"/>
  <c r="DWN3" i="7"/>
  <c r="DWV3" i="7"/>
  <c r="DXD3" i="7"/>
  <c r="DXL3" i="7"/>
  <c r="DXT3" i="7"/>
  <c r="DYB3" i="7"/>
  <c r="DYJ3" i="7"/>
  <c r="DYR3" i="7"/>
  <c r="DYZ3" i="7"/>
  <c r="DZH3" i="7"/>
  <c r="DZP3" i="7"/>
  <c r="DZX3" i="7"/>
  <c r="EAF3" i="7"/>
  <c r="EAN3" i="7"/>
  <c r="EAV3" i="7"/>
  <c r="EBD3" i="7"/>
  <c r="EBL3" i="7"/>
  <c r="EBT3" i="7"/>
  <c r="ECB3" i="7"/>
  <c r="ECJ3" i="7"/>
  <c r="ECR3" i="7"/>
  <c r="ECZ3" i="7"/>
  <c r="EDH3" i="7"/>
  <c r="EDP3" i="7"/>
  <c r="EDX3" i="7"/>
  <c r="EEF3" i="7"/>
  <c r="EEN3" i="7"/>
  <c r="EEV3" i="7"/>
  <c r="EFD3" i="7"/>
  <c r="EFL3" i="7"/>
  <c r="EFT3" i="7"/>
  <c r="EGB3" i="7"/>
  <c r="EGJ3" i="7"/>
  <c r="EGR3" i="7"/>
  <c r="EGZ3" i="7"/>
  <c r="EHH3" i="7"/>
  <c r="EHP3" i="7"/>
  <c r="EHX3" i="7"/>
  <c r="EIF3" i="7"/>
  <c r="EIN3" i="7"/>
  <c r="EIV3" i="7"/>
  <c r="EJD3" i="7"/>
  <c r="EJL3" i="7"/>
  <c r="EJT3" i="7"/>
  <c r="EKB3" i="7"/>
  <c r="EKJ3" i="7"/>
  <c r="EKR3" i="7"/>
  <c r="AF3" i="7"/>
  <c r="CR3" i="7"/>
  <c r="FD3" i="7"/>
  <c r="HP3" i="7"/>
  <c r="KB3" i="7"/>
  <c r="MN3" i="7"/>
  <c r="OZ3" i="7"/>
  <c r="RL3" i="7"/>
  <c r="TX3" i="7"/>
  <c r="WJ3" i="7"/>
  <c r="YV3" i="7"/>
  <c r="ABH3" i="7"/>
  <c r="ADT3" i="7"/>
  <c r="AGF3" i="7"/>
  <c r="AIR3" i="7"/>
  <c r="ALD3" i="7"/>
  <c r="AMI3" i="7"/>
  <c r="AND3" i="7"/>
  <c r="ANT3" i="7"/>
  <c r="AOJ3" i="7"/>
  <c r="AOZ3" i="7"/>
  <c r="APP3" i="7"/>
  <c r="AQF3" i="7"/>
  <c r="AQV3" i="7"/>
  <c r="ARL3" i="7"/>
  <c r="ASB3" i="7"/>
  <c r="ASR3" i="7"/>
  <c r="ATD3" i="7"/>
  <c r="ATR3" i="7"/>
  <c r="AUE3" i="7"/>
  <c r="AUQ3" i="7"/>
  <c r="AVD3" i="7"/>
  <c r="AVP3" i="7"/>
  <c r="AWD3" i="7"/>
  <c r="AWQ3" i="7"/>
  <c r="AXC3" i="7"/>
  <c r="AXP3" i="7"/>
  <c r="AYB3" i="7"/>
  <c r="AYP3" i="7"/>
  <c r="AZC3" i="7"/>
  <c r="AZO3" i="7"/>
  <c r="BAB3" i="7"/>
  <c r="BAN3" i="7"/>
  <c r="BBB3" i="7"/>
  <c r="BBO3" i="7"/>
  <c r="BCA3" i="7"/>
  <c r="BCN3" i="7"/>
  <c r="BCZ3" i="7"/>
  <c r="BDN3" i="7"/>
  <c r="BEA3" i="7"/>
  <c r="BEM3" i="7"/>
  <c r="BEZ3" i="7"/>
  <c r="BFL3" i="7"/>
  <c r="BFZ3" i="7"/>
  <c r="BGM3" i="7"/>
  <c r="BGY3" i="7"/>
  <c r="BHL3" i="7"/>
  <c r="BHX3" i="7"/>
  <c r="BIL3" i="7"/>
  <c r="BIY3" i="7"/>
  <c r="BJK3" i="7"/>
  <c r="BJX3" i="7"/>
  <c r="BKJ3" i="7"/>
  <c r="BKX3" i="7"/>
  <c r="BLK3" i="7"/>
  <c r="BLW3" i="7"/>
  <c r="BMJ3" i="7"/>
  <c r="BMU3" i="7"/>
  <c r="BNG3" i="7"/>
  <c r="BNQ3" i="7"/>
  <c r="BOA3" i="7"/>
  <c r="BOM3" i="7"/>
  <c r="BOW3" i="7"/>
  <c r="BPG3" i="7"/>
  <c r="BPS3" i="7"/>
  <c r="BQB3" i="7"/>
  <c r="BQK3" i="7"/>
  <c r="BQT3" i="7"/>
  <c r="BRC3" i="7"/>
  <c r="BRL3" i="7"/>
  <c r="BRV3" i="7"/>
  <c r="BSE3" i="7"/>
  <c r="BSN3" i="7"/>
  <c r="BSW3" i="7"/>
  <c r="BTF3" i="7"/>
  <c r="BTO3" i="7"/>
  <c r="BTX3" i="7"/>
  <c r="BUH3" i="7"/>
  <c r="BUQ3" i="7"/>
  <c r="BUZ3" i="7"/>
  <c r="BVI3" i="7"/>
  <c r="BVR3" i="7"/>
  <c r="BWA3" i="7"/>
  <c r="BWJ3" i="7"/>
  <c r="BWT3" i="7"/>
  <c r="BXC3" i="7"/>
  <c r="BXL3" i="7"/>
  <c r="BXU3" i="7"/>
  <c r="BYC3" i="7"/>
  <c r="BYK3" i="7"/>
  <c r="BYS3" i="7"/>
  <c r="BZA3" i="7"/>
  <c r="BZI3" i="7"/>
  <c r="BZQ3" i="7"/>
  <c r="BZY3" i="7"/>
  <c r="CAG3" i="7"/>
  <c r="CAO3" i="7"/>
  <c r="CAW3" i="7"/>
  <c r="CBE3" i="7"/>
  <c r="CBM3" i="7"/>
  <c r="CBU3" i="7"/>
  <c r="CCC3" i="7"/>
  <c r="CCK3" i="7"/>
  <c r="CCS3" i="7"/>
  <c r="CDA3" i="7"/>
  <c r="CDI3" i="7"/>
  <c r="CDQ3" i="7"/>
  <c r="CDY3" i="7"/>
  <c r="CEG3" i="7"/>
  <c r="CEO3" i="7"/>
  <c r="CEW3" i="7"/>
  <c r="CFE3" i="7"/>
  <c r="CFM3" i="7"/>
  <c r="CFU3" i="7"/>
  <c r="CGC3" i="7"/>
  <c r="CGK3" i="7"/>
  <c r="CGS3" i="7"/>
  <c r="CHA3" i="7"/>
  <c r="CHI3" i="7"/>
  <c r="CHQ3" i="7"/>
  <c r="CHY3" i="7"/>
  <c r="CIG3" i="7"/>
  <c r="CIO3" i="7"/>
  <c r="CIW3" i="7"/>
  <c r="CJE3" i="7"/>
  <c r="CJM3" i="7"/>
  <c r="CJU3" i="7"/>
  <c r="CKC3" i="7"/>
  <c r="CKK3" i="7"/>
  <c r="CKS3" i="7"/>
  <c r="CLA3" i="7"/>
  <c r="CLI3" i="7"/>
  <c r="CLQ3" i="7"/>
  <c r="CLY3" i="7"/>
  <c r="CMG3" i="7"/>
  <c r="CMO3" i="7"/>
  <c r="CMW3" i="7"/>
  <c r="CNE3" i="7"/>
  <c r="CNM3" i="7"/>
  <c r="CNU3" i="7"/>
  <c r="COC3" i="7"/>
  <c r="COK3" i="7"/>
  <c r="COS3" i="7"/>
  <c r="CPA3" i="7"/>
  <c r="CPI3" i="7"/>
  <c r="CPQ3" i="7"/>
  <c r="CPY3" i="7"/>
  <c r="CQG3" i="7"/>
  <c r="CQO3" i="7"/>
  <c r="CQW3" i="7"/>
  <c r="CRE3" i="7"/>
  <c r="CRM3" i="7"/>
  <c r="CRU3" i="7"/>
  <c r="CSC3" i="7"/>
  <c r="CSK3" i="7"/>
  <c r="CSS3" i="7"/>
  <c r="CTA3" i="7"/>
  <c r="CTI3" i="7"/>
  <c r="CTQ3" i="7"/>
  <c r="CTY3" i="7"/>
  <c r="CUG3" i="7"/>
  <c r="CUO3" i="7"/>
  <c r="CUW3" i="7"/>
  <c r="CVE3" i="7"/>
  <c r="CVM3" i="7"/>
  <c r="CVU3" i="7"/>
  <c r="CWC3" i="7"/>
  <c r="CWK3" i="7"/>
  <c r="CWS3" i="7"/>
  <c r="CXA3" i="7"/>
  <c r="CXI3" i="7"/>
  <c r="CXQ3" i="7"/>
  <c r="CXY3" i="7"/>
  <c r="CYG3" i="7"/>
  <c r="CYO3" i="7"/>
  <c r="CYW3" i="7"/>
  <c r="CZE3" i="7"/>
  <c r="CZM3" i="7"/>
  <c r="CZU3" i="7"/>
  <c r="DAC3" i="7"/>
  <c r="DAK3" i="7"/>
  <c r="DAS3" i="7"/>
  <c r="DBA3" i="7"/>
  <c r="DBI3" i="7"/>
  <c r="DBQ3" i="7"/>
  <c r="DBY3" i="7"/>
  <c r="DCG3" i="7"/>
  <c r="DCO3" i="7"/>
  <c r="DCW3" i="7"/>
  <c r="DDE3" i="7"/>
  <c r="DDM3" i="7"/>
  <c r="DDU3" i="7"/>
  <c r="DEC3" i="7"/>
  <c r="DEK3" i="7"/>
  <c r="DES3" i="7"/>
  <c r="DFA3" i="7"/>
  <c r="DFI3" i="7"/>
  <c r="DFQ3" i="7"/>
  <c r="DFY3" i="7"/>
  <c r="DGG3" i="7"/>
  <c r="DGO3" i="7"/>
  <c r="DGW3" i="7"/>
  <c r="DHE3" i="7"/>
  <c r="DHM3" i="7"/>
  <c r="DHU3" i="7"/>
  <c r="DIC3" i="7"/>
  <c r="DIK3" i="7"/>
  <c r="DIS3" i="7"/>
  <c r="DJA3" i="7"/>
  <c r="DJI3" i="7"/>
  <c r="DJQ3" i="7"/>
  <c r="DJY3" i="7"/>
  <c r="DKG3" i="7"/>
  <c r="DKO3" i="7"/>
  <c r="DKW3" i="7"/>
  <c r="DLE3" i="7"/>
  <c r="DLM3" i="7"/>
  <c r="DLU3" i="7"/>
  <c r="DMC3" i="7"/>
  <c r="DMK3" i="7"/>
  <c r="DMS3" i="7"/>
  <c r="DNA3" i="7"/>
  <c r="DNI3" i="7"/>
  <c r="DNQ3" i="7"/>
  <c r="DNY3" i="7"/>
  <c r="DOG3" i="7"/>
  <c r="DOO3" i="7"/>
  <c r="DOW3" i="7"/>
  <c r="DPE3" i="7"/>
  <c r="DPM3" i="7"/>
  <c r="DPU3" i="7"/>
  <c r="DQC3" i="7"/>
  <c r="DQK3" i="7"/>
  <c r="DQS3" i="7"/>
  <c r="DRA3" i="7"/>
  <c r="DRI3" i="7"/>
  <c r="DRQ3" i="7"/>
  <c r="DRY3" i="7"/>
  <c r="DSG3" i="7"/>
  <c r="DSO3" i="7"/>
  <c r="DSW3" i="7"/>
  <c r="DTE3" i="7"/>
  <c r="DTM3" i="7"/>
  <c r="DTU3" i="7"/>
  <c r="DUC3" i="7"/>
  <c r="DUK3" i="7"/>
  <c r="DUS3" i="7"/>
  <c r="DVA3" i="7"/>
  <c r="DVI3" i="7"/>
  <c r="DVQ3" i="7"/>
  <c r="DVY3" i="7"/>
  <c r="DWG3" i="7"/>
  <c r="DWO3" i="7"/>
  <c r="DWW3" i="7"/>
  <c r="DXE3" i="7"/>
  <c r="DXM3" i="7"/>
  <c r="DXU3" i="7"/>
  <c r="DYC3" i="7"/>
  <c r="DYK3" i="7"/>
  <c r="DYS3" i="7"/>
  <c r="DZA3" i="7"/>
  <c r="DZI3" i="7"/>
  <c r="DZQ3" i="7"/>
  <c r="DZY3" i="7"/>
  <c r="EAG3" i="7"/>
  <c r="EAO3" i="7"/>
  <c r="EAW3" i="7"/>
  <c r="EBE3" i="7"/>
  <c r="EBM3" i="7"/>
  <c r="EBU3" i="7"/>
  <c r="ECC3" i="7"/>
  <c r="ECK3" i="7"/>
  <c r="ECS3" i="7"/>
  <c r="EDA3" i="7"/>
  <c r="EDI3" i="7"/>
  <c r="EDQ3" i="7"/>
  <c r="EDY3" i="7"/>
  <c r="EEG3" i="7"/>
  <c r="EEO3" i="7"/>
  <c r="EEW3" i="7"/>
  <c r="EFE3" i="7"/>
  <c r="EFM3" i="7"/>
  <c r="EFU3" i="7"/>
  <c r="EGC3" i="7"/>
  <c r="EGK3" i="7"/>
  <c r="EGS3" i="7"/>
  <c r="EHA3" i="7"/>
  <c r="EHI3" i="7"/>
  <c r="EHQ3" i="7"/>
  <c r="EHY3" i="7"/>
  <c r="EIG3" i="7"/>
  <c r="EIO3" i="7"/>
  <c r="EIW3" i="7"/>
  <c r="EJE3" i="7"/>
  <c r="EJM3" i="7"/>
  <c r="EJU3" i="7"/>
  <c r="EKC3" i="7"/>
  <c r="EKK3" i="7"/>
  <c r="EKS3" i="7"/>
  <c r="ELA3" i="7"/>
  <c r="ELI3" i="7"/>
  <c r="ELQ3" i="7"/>
  <c r="ELY3" i="7"/>
  <c r="EMG3" i="7"/>
  <c r="EMO3" i="7"/>
  <c r="EMW3" i="7"/>
  <c r="ENE3" i="7"/>
  <c r="ENM3" i="7"/>
  <c r="ENU3" i="7"/>
  <c r="EOC3" i="7"/>
  <c r="EOK3" i="7"/>
  <c r="EOS3" i="7"/>
  <c r="EPA3" i="7"/>
  <c r="EPI3" i="7"/>
  <c r="EPQ3" i="7"/>
  <c r="EPY3" i="7"/>
  <c r="EQG3" i="7"/>
  <c r="EQO3" i="7"/>
  <c r="EQW3" i="7"/>
  <c r="ERE3" i="7"/>
  <c r="AN3" i="7"/>
  <c r="CZ3" i="7"/>
  <c r="FL3" i="7"/>
  <c r="HX3" i="7"/>
  <c r="KJ3" i="7"/>
  <c r="MV3" i="7"/>
  <c r="PH3" i="7"/>
  <c r="RT3" i="7"/>
  <c r="UF3" i="7"/>
  <c r="WR3" i="7"/>
  <c r="ZD3" i="7"/>
  <c r="ABP3" i="7"/>
  <c r="AEB3" i="7"/>
  <c r="AGN3" i="7"/>
  <c r="AIZ3" i="7"/>
  <c r="ALH3" i="7"/>
  <c r="AMJ3" i="7"/>
  <c r="ANF3" i="7"/>
  <c r="ANV3" i="7"/>
  <c r="AOL3" i="7"/>
  <c r="APB3" i="7"/>
  <c r="APR3" i="7"/>
  <c r="AQH3" i="7"/>
  <c r="AQX3" i="7"/>
  <c r="ARN3" i="7"/>
  <c r="ASD3" i="7"/>
  <c r="AST3" i="7"/>
  <c r="ATG3" i="7"/>
  <c r="ATS3" i="7"/>
  <c r="AUF3" i="7"/>
  <c r="AUR3" i="7"/>
  <c r="AVF3" i="7"/>
  <c r="AVS3" i="7"/>
  <c r="AWE3" i="7"/>
  <c r="AWR3" i="7"/>
  <c r="AXD3" i="7"/>
  <c r="AXR3" i="7"/>
  <c r="AYE3" i="7"/>
  <c r="AYQ3" i="7"/>
  <c r="AZD3" i="7"/>
  <c r="AZP3" i="7"/>
  <c r="BAD3" i="7"/>
  <c r="BAQ3" i="7"/>
  <c r="BBC3" i="7"/>
  <c r="BBP3" i="7"/>
  <c r="BCB3" i="7"/>
  <c r="BCP3" i="7"/>
  <c r="BDC3" i="7"/>
  <c r="BDO3" i="7"/>
  <c r="BEB3" i="7"/>
  <c r="BEN3" i="7"/>
  <c r="BFB3" i="7"/>
  <c r="BFO3" i="7"/>
  <c r="BGA3" i="7"/>
  <c r="BGN3" i="7"/>
  <c r="BGZ3" i="7"/>
  <c r="BHN3" i="7"/>
  <c r="BIA3" i="7"/>
  <c r="BIM3" i="7"/>
  <c r="BIZ3" i="7"/>
  <c r="BJL3" i="7"/>
  <c r="BJZ3" i="7"/>
  <c r="BKM3" i="7"/>
  <c r="BKY3" i="7"/>
  <c r="BLL3" i="7"/>
  <c r="BLX3" i="7"/>
  <c r="BML3" i="7"/>
  <c r="BMV3" i="7"/>
  <c r="BNH3" i="7"/>
  <c r="BNR3" i="7"/>
  <c r="BOB3" i="7"/>
  <c r="BON3" i="7"/>
  <c r="BOX3" i="7"/>
  <c r="BPH3" i="7"/>
  <c r="BPT3" i="7"/>
  <c r="BQC3" i="7"/>
  <c r="BQL3" i="7"/>
  <c r="BQU3" i="7"/>
  <c r="BRD3" i="7"/>
  <c r="BRN3" i="7"/>
  <c r="BRW3" i="7"/>
  <c r="BSF3" i="7"/>
  <c r="BSO3" i="7"/>
  <c r="BSX3" i="7"/>
  <c r="BTG3" i="7"/>
  <c r="BTP3" i="7"/>
  <c r="BTZ3" i="7"/>
  <c r="BUI3" i="7"/>
  <c r="BUR3" i="7"/>
  <c r="BVA3" i="7"/>
  <c r="BVJ3" i="7"/>
  <c r="BVS3" i="7"/>
  <c r="BRF3" i="7"/>
  <c r="BUA3" i="7"/>
  <c r="BWL3" i="7"/>
  <c r="BXV3" i="7"/>
  <c r="BZB3" i="7"/>
  <c r="CAH3" i="7"/>
  <c r="CBN3" i="7"/>
  <c r="CCT3" i="7"/>
  <c r="CDZ3" i="7"/>
  <c r="CFF3" i="7"/>
  <c r="CGL3" i="7"/>
  <c r="CHR3" i="7"/>
  <c r="CIX3" i="7"/>
  <c r="CKD3" i="7"/>
  <c r="CLJ3" i="7"/>
  <c r="CMP3" i="7"/>
  <c r="CNV3" i="7"/>
  <c r="CPB3" i="7"/>
  <c r="CQH3" i="7"/>
  <c r="CRN3" i="7"/>
  <c r="CST3" i="7"/>
  <c r="CTZ3" i="7"/>
  <c r="CVF3" i="7"/>
  <c r="CWL3" i="7"/>
  <c r="CXR3" i="7"/>
  <c r="CYX3" i="7"/>
  <c r="DAD3" i="7"/>
  <c r="DBJ3" i="7"/>
  <c r="DCP3" i="7"/>
  <c r="DDV3" i="7"/>
  <c r="DFB3" i="7"/>
  <c r="DGH3" i="7"/>
  <c r="DHN3" i="7"/>
  <c r="DIT3" i="7"/>
  <c r="DJZ3" i="7"/>
  <c r="DLF3" i="7"/>
  <c r="DML3" i="7"/>
  <c r="DNR3" i="7"/>
  <c r="DOX3" i="7"/>
  <c r="DQD3" i="7"/>
  <c r="DRJ3" i="7"/>
  <c r="DSP3" i="7"/>
  <c r="DTV3" i="7"/>
  <c r="DVB3" i="7"/>
  <c r="DWH3" i="7"/>
  <c r="DXN3" i="7"/>
  <c r="DYT3" i="7"/>
  <c r="DZZ3" i="7"/>
  <c r="EBF3" i="7"/>
  <c r="ECL3" i="7"/>
  <c r="EDR3" i="7"/>
  <c r="EEX3" i="7"/>
  <c r="EGD3" i="7"/>
  <c r="EHJ3" i="7"/>
  <c r="EIP3" i="7"/>
  <c r="EJV3" i="7"/>
  <c r="EKZ3" i="7"/>
  <c r="ELS3" i="7"/>
  <c r="EMP3" i="7"/>
  <c r="ENL3" i="7"/>
  <c r="EOE3" i="7"/>
  <c r="EPB3" i="7"/>
  <c r="EPX3" i="7"/>
  <c r="EQQ3" i="7"/>
  <c r="ERK3" i="7"/>
  <c r="ERT3" i="7"/>
  <c r="ESB3" i="7"/>
  <c r="ESJ3" i="7"/>
  <c r="ESR3" i="7"/>
  <c r="ESZ3" i="7"/>
  <c r="ETH3" i="7"/>
  <c r="ETP3" i="7"/>
  <c r="ETX3" i="7"/>
  <c r="EUF3" i="7"/>
  <c r="EUN3" i="7"/>
  <c r="EUV3" i="7"/>
  <c r="EVD3" i="7"/>
  <c r="EVL3" i="7"/>
  <c r="EVT3" i="7"/>
  <c r="EWB3" i="7"/>
  <c r="EWJ3" i="7"/>
  <c r="EWR3" i="7"/>
  <c r="EWZ3" i="7"/>
  <c r="EXH3" i="7"/>
  <c r="EXP3" i="7"/>
  <c r="EXX3" i="7"/>
  <c r="EYF3" i="7"/>
  <c r="EYN3" i="7"/>
  <c r="EYV3" i="7"/>
  <c r="EZD3" i="7"/>
  <c r="EZL3" i="7"/>
  <c r="EZT3" i="7"/>
  <c r="FAB3" i="7"/>
  <c r="FAJ3" i="7"/>
  <c r="FAR3" i="7"/>
  <c r="FAZ3" i="7"/>
  <c r="FBH3" i="7"/>
  <c r="FBP3" i="7"/>
  <c r="FBX3" i="7"/>
  <c r="FCF3" i="7"/>
  <c r="FCN3" i="7"/>
  <c r="FCV3" i="7"/>
  <c r="FDD3" i="7"/>
  <c r="FDL3" i="7"/>
  <c r="FDT3" i="7"/>
  <c r="FEB3" i="7"/>
  <c r="FEJ3" i="7"/>
  <c r="FER3" i="7"/>
  <c r="FEZ3" i="7"/>
  <c r="FFH3" i="7"/>
  <c r="FFP3" i="7"/>
  <c r="FFX3" i="7"/>
  <c r="FGF3" i="7"/>
  <c r="FGN3" i="7"/>
  <c r="FGV3" i="7"/>
  <c r="FHD3" i="7"/>
  <c r="FHL3" i="7"/>
  <c r="FHT3" i="7"/>
  <c r="FIB3" i="7"/>
  <c r="FIJ3" i="7"/>
  <c r="FIR3" i="7"/>
  <c r="FIZ3" i="7"/>
  <c r="FJH3" i="7"/>
  <c r="FJP3" i="7"/>
  <c r="FJX3" i="7"/>
  <c r="FKF3" i="7"/>
  <c r="FKN3" i="7"/>
  <c r="FKV3" i="7"/>
  <c r="FLD3" i="7"/>
  <c r="FLL3" i="7"/>
  <c r="FLT3" i="7"/>
  <c r="FMB3" i="7"/>
  <c r="FMJ3" i="7"/>
  <c r="FMR3" i="7"/>
  <c r="FMZ3" i="7"/>
  <c r="FNH3" i="7"/>
  <c r="FNP3" i="7"/>
  <c r="FNX3" i="7"/>
  <c r="FOF3" i="7"/>
  <c r="FON3" i="7"/>
  <c r="FOV3" i="7"/>
  <c r="FPD3" i="7"/>
  <c r="FPL3" i="7"/>
  <c r="FPT3" i="7"/>
  <c r="FQB3" i="7"/>
  <c r="FQJ3" i="7"/>
  <c r="FQR3" i="7"/>
  <c r="FQZ3" i="7"/>
  <c r="FRH3" i="7"/>
  <c r="FRP3" i="7"/>
  <c r="FRX3" i="7"/>
  <c r="FSF3" i="7"/>
  <c r="FSN3" i="7"/>
  <c r="FSV3" i="7"/>
  <c r="FTD3" i="7"/>
  <c r="FTL3" i="7"/>
  <c r="FTT3" i="7"/>
  <c r="FUB3" i="7"/>
  <c r="FUJ3" i="7"/>
  <c r="FUR3" i="7"/>
  <c r="FUZ3" i="7"/>
  <c r="FVH3" i="7"/>
  <c r="FVP3" i="7"/>
  <c r="FVX3" i="7"/>
  <c r="FWF3" i="7"/>
  <c r="FWN3" i="7"/>
  <c r="FWV3" i="7"/>
  <c r="FXD3" i="7"/>
  <c r="FXL3" i="7"/>
  <c r="FXT3" i="7"/>
  <c r="FYB3" i="7"/>
  <c r="FYJ3" i="7"/>
  <c r="FYR3" i="7"/>
  <c r="FYZ3" i="7"/>
  <c r="FZH3" i="7"/>
  <c r="FZP3" i="7"/>
  <c r="FZX3" i="7"/>
  <c r="GAF3" i="7"/>
  <c r="GAN3" i="7"/>
  <c r="GAV3" i="7"/>
  <c r="GBD3" i="7"/>
  <c r="GBL3" i="7"/>
  <c r="GBT3" i="7"/>
  <c r="GCB3" i="7"/>
  <c r="GCJ3" i="7"/>
  <c r="GCR3" i="7"/>
  <c r="GCZ3" i="7"/>
  <c r="GDH3" i="7"/>
  <c r="GDP3" i="7"/>
  <c r="GDX3" i="7"/>
  <c r="GEF3" i="7"/>
  <c r="GEN3" i="7"/>
  <c r="GEV3" i="7"/>
  <c r="GFD3" i="7"/>
  <c r="GFL3" i="7"/>
  <c r="GFT3" i="7"/>
  <c r="GGB3" i="7"/>
  <c r="GGJ3" i="7"/>
  <c r="GGR3" i="7"/>
  <c r="GGZ3" i="7"/>
  <c r="GHH3" i="7"/>
  <c r="GHP3" i="7"/>
  <c r="GHX3" i="7"/>
  <c r="GIF3" i="7"/>
  <c r="GIN3" i="7"/>
  <c r="GIV3" i="7"/>
  <c r="GJD3" i="7"/>
  <c r="GJL3" i="7"/>
  <c r="GJT3" i="7"/>
  <c r="GKB3" i="7"/>
  <c r="GKJ3" i="7"/>
  <c r="GKR3" i="7"/>
  <c r="GKZ3" i="7"/>
  <c r="GLH3" i="7"/>
  <c r="GLP3" i="7"/>
  <c r="GLX3" i="7"/>
  <c r="GMF3" i="7"/>
  <c r="GMN3" i="7"/>
  <c r="GMV3" i="7"/>
  <c r="GND3" i="7"/>
  <c r="GNL3" i="7"/>
  <c r="GNT3" i="7"/>
  <c r="GOB3" i="7"/>
  <c r="GOJ3" i="7"/>
  <c r="GOR3" i="7"/>
  <c r="GOZ3" i="7"/>
  <c r="GPH3" i="7"/>
  <c r="GPP3" i="7"/>
  <c r="GPX3" i="7"/>
  <c r="GQF3" i="7"/>
  <c r="GQN3" i="7"/>
  <c r="GQV3" i="7"/>
  <c r="GRD3" i="7"/>
  <c r="GRL3" i="7"/>
  <c r="GRT3" i="7"/>
  <c r="GSB3" i="7"/>
  <c r="GSJ3" i="7"/>
  <c r="GSR3" i="7"/>
  <c r="GSZ3" i="7"/>
  <c r="GTH3" i="7"/>
  <c r="GTP3" i="7"/>
  <c r="GTX3" i="7"/>
  <c r="GUF3" i="7"/>
  <c r="GUN3" i="7"/>
  <c r="GUV3" i="7"/>
  <c r="GVD3" i="7"/>
  <c r="GVL3" i="7"/>
  <c r="GVT3" i="7"/>
  <c r="GWB3" i="7"/>
  <c r="GWJ3" i="7"/>
  <c r="GWR3" i="7"/>
  <c r="GWZ3" i="7"/>
  <c r="GXH3" i="7"/>
  <c r="GXP3" i="7"/>
  <c r="GXX3" i="7"/>
  <c r="GYF3" i="7"/>
  <c r="GYN3" i="7"/>
  <c r="GYV3" i="7"/>
  <c r="GZD3" i="7"/>
  <c r="GZL3" i="7"/>
  <c r="GZT3" i="7"/>
  <c r="HAB3" i="7"/>
  <c r="HAJ3" i="7"/>
  <c r="HAR3" i="7"/>
  <c r="HAZ3" i="7"/>
  <c r="HBH3" i="7"/>
  <c r="HBP3" i="7"/>
  <c r="HBX3" i="7"/>
  <c r="HCF3" i="7"/>
  <c r="HCN3" i="7"/>
  <c r="HCV3" i="7"/>
  <c r="HDD3" i="7"/>
  <c r="HDL3" i="7"/>
  <c r="HDT3" i="7"/>
  <c r="HEB3" i="7"/>
  <c r="HEJ3" i="7"/>
  <c r="HER3" i="7"/>
  <c r="HEZ3" i="7"/>
  <c r="HFH3" i="7"/>
  <c r="HFP3" i="7"/>
  <c r="HFX3" i="7"/>
  <c r="HGF3" i="7"/>
  <c r="HGN3" i="7"/>
  <c r="HGV3" i="7"/>
  <c r="HHD3" i="7"/>
  <c r="HHL3" i="7"/>
  <c r="HHT3" i="7"/>
  <c r="HIB3" i="7"/>
  <c r="HIJ3" i="7"/>
  <c r="HIR3" i="7"/>
  <c r="HIZ3" i="7"/>
  <c r="HJH3" i="7"/>
  <c r="HJP3" i="7"/>
  <c r="HJX3" i="7"/>
  <c r="HKF3" i="7"/>
  <c r="HKN3" i="7"/>
  <c r="HKV3" i="7"/>
  <c r="HLD3" i="7"/>
  <c r="HLL3" i="7"/>
  <c r="HLT3" i="7"/>
  <c r="HMB3" i="7"/>
  <c r="HMJ3" i="7"/>
  <c r="HMR3" i="7"/>
  <c r="HMZ3" i="7"/>
  <c r="HNH3" i="7"/>
  <c r="HNP3" i="7"/>
  <c r="HNX3" i="7"/>
  <c r="HOF3" i="7"/>
  <c r="HON3" i="7"/>
  <c r="HOV3" i="7"/>
  <c r="HPD3" i="7"/>
  <c r="HPL3" i="7"/>
  <c r="HPT3" i="7"/>
  <c r="HQB3" i="7"/>
  <c r="HQJ3" i="7"/>
  <c r="HQR3" i="7"/>
  <c r="HQZ3" i="7"/>
  <c r="HRH3" i="7"/>
  <c r="HRP3" i="7"/>
  <c r="HRX3" i="7"/>
  <c r="HSF3" i="7"/>
  <c r="HSN3" i="7"/>
  <c r="HSV3" i="7"/>
  <c r="HTD3" i="7"/>
  <c r="HTL3" i="7"/>
  <c r="HTT3" i="7"/>
  <c r="HUB3" i="7"/>
  <c r="HUJ3" i="7"/>
  <c r="HUR3" i="7"/>
  <c r="HUZ3" i="7"/>
  <c r="HVH3" i="7"/>
  <c r="HVP3" i="7"/>
  <c r="HVX3" i="7"/>
  <c r="HWF3" i="7"/>
  <c r="HWN3" i="7"/>
  <c r="HWV3" i="7"/>
  <c r="HXD3" i="7"/>
  <c r="HXL3" i="7"/>
  <c r="HXT3" i="7"/>
  <c r="HYB3" i="7"/>
  <c r="HYJ3" i="7"/>
  <c r="HYR3" i="7"/>
  <c r="HYZ3" i="7"/>
  <c r="HZH3" i="7"/>
  <c r="HZP3" i="7"/>
  <c r="HZX3" i="7"/>
  <c r="IAF3" i="7"/>
  <c r="IAN3" i="7"/>
  <c r="IAV3" i="7"/>
  <c r="IBD3" i="7"/>
  <c r="BRO3" i="7"/>
  <c r="BUJ3" i="7"/>
  <c r="BWM3" i="7"/>
  <c r="BXW3" i="7"/>
  <c r="BZC3" i="7"/>
  <c r="CAI3" i="7"/>
  <c r="CBO3" i="7"/>
  <c r="CCU3" i="7"/>
  <c r="CEA3" i="7"/>
  <c r="CFG3" i="7"/>
  <c r="CGM3" i="7"/>
  <c r="CHS3" i="7"/>
  <c r="CIY3" i="7"/>
  <c r="CKE3" i="7"/>
  <c r="CLK3" i="7"/>
  <c r="CMQ3" i="7"/>
  <c r="CNW3" i="7"/>
  <c r="CPC3" i="7"/>
  <c r="CQI3" i="7"/>
  <c r="CRO3" i="7"/>
  <c r="CSU3" i="7"/>
  <c r="CUA3" i="7"/>
  <c r="CVG3" i="7"/>
  <c r="CWM3" i="7"/>
  <c r="CXS3" i="7"/>
  <c r="CYY3" i="7"/>
  <c r="DAE3" i="7"/>
  <c r="DBK3" i="7"/>
  <c r="DCQ3" i="7"/>
  <c r="DDW3" i="7"/>
  <c r="DFC3" i="7"/>
  <c r="DGI3" i="7"/>
  <c r="DHO3" i="7"/>
  <c r="DIU3" i="7"/>
  <c r="DKA3" i="7"/>
  <c r="DLG3" i="7"/>
  <c r="DMM3" i="7"/>
  <c r="DNS3" i="7"/>
  <c r="DOY3" i="7"/>
  <c r="DQE3" i="7"/>
  <c r="DRK3" i="7"/>
  <c r="DSQ3" i="7"/>
  <c r="DTW3" i="7"/>
  <c r="DVC3" i="7"/>
  <c r="DWI3" i="7"/>
  <c r="DXO3" i="7"/>
  <c r="DYU3" i="7"/>
  <c r="EAA3" i="7"/>
  <c r="EBG3" i="7"/>
  <c r="ECM3" i="7"/>
  <c r="EDS3" i="7"/>
  <c r="EEY3" i="7"/>
  <c r="EGE3" i="7"/>
  <c r="EHK3" i="7"/>
  <c r="EIQ3" i="7"/>
  <c r="EJW3" i="7"/>
  <c r="ELB3" i="7"/>
  <c r="ELX3" i="7"/>
  <c r="EMQ3" i="7"/>
  <c r="ENN3" i="7"/>
  <c r="EOJ3" i="7"/>
  <c r="EPC3" i="7"/>
  <c r="EPZ3" i="7"/>
  <c r="EQV3" i="7"/>
  <c r="ERL3" i="7"/>
  <c r="ERU3" i="7"/>
  <c r="ESC3" i="7"/>
  <c r="ESK3" i="7"/>
  <c r="ESS3" i="7"/>
  <c r="ETA3" i="7"/>
  <c r="ETI3" i="7"/>
  <c r="ETQ3" i="7"/>
  <c r="ETY3" i="7"/>
  <c r="EUG3" i="7"/>
  <c r="EUO3" i="7"/>
  <c r="EUW3" i="7"/>
  <c r="EVE3" i="7"/>
  <c r="EVM3" i="7"/>
  <c r="EVU3" i="7"/>
  <c r="EWC3" i="7"/>
  <c r="EWK3" i="7"/>
  <c r="EWS3" i="7"/>
  <c r="EXA3" i="7"/>
  <c r="EXI3" i="7"/>
  <c r="EXQ3" i="7"/>
  <c r="EXY3" i="7"/>
  <c r="EYG3" i="7"/>
  <c r="EYO3" i="7"/>
  <c r="EYW3" i="7"/>
  <c r="EZE3" i="7"/>
  <c r="EZM3" i="7"/>
  <c r="EZU3" i="7"/>
  <c r="FAC3" i="7"/>
  <c r="FAK3" i="7"/>
  <c r="FAS3" i="7"/>
  <c r="FBA3" i="7"/>
  <c r="FBI3" i="7"/>
  <c r="FBQ3" i="7"/>
  <c r="FBY3" i="7"/>
  <c r="FCG3" i="7"/>
  <c r="FCO3" i="7"/>
  <c r="FCW3" i="7"/>
  <c r="FDE3" i="7"/>
  <c r="FDM3" i="7"/>
  <c r="FDU3" i="7"/>
  <c r="FEC3" i="7"/>
  <c r="FEK3" i="7"/>
  <c r="FES3" i="7"/>
  <c r="FFA3" i="7"/>
  <c r="FFI3" i="7"/>
  <c r="FFQ3" i="7"/>
  <c r="FFY3" i="7"/>
  <c r="FGG3" i="7"/>
  <c r="FGO3" i="7"/>
  <c r="FGW3" i="7"/>
  <c r="FHE3" i="7"/>
  <c r="FHM3" i="7"/>
  <c r="FHU3" i="7"/>
  <c r="FIC3" i="7"/>
  <c r="FIK3" i="7"/>
  <c r="FIS3" i="7"/>
  <c r="FJA3" i="7"/>
  <c r="FJI3" i="7"/>
  <c r="FJQ3" i="7"/>
  <c r="FJY3" i="7"/>
  <c r="FKG3" i="7"/>
  <c r="FKO3" i="7"/>
  <c r="FKW3" i="7"/>
  <c r="FLE3" i="7"/>
  <c r="FLM3" i="7"/>
  <c r="FLU3" i="7"/>
  <c r="FMC3" i="7"/>
  <c r="FMK3" i="7"/>
  <c r="FMS3" i="7"/>
  <c r="FNA3" i="7"/>
  <c r="FNI3" i="7"/>
  <c r="FNQ3" i="7"/>
  <c r="FNY3" i="7"/>
  <c r="FOG3" i="7"/>
  <c r="FOO3" i="7"/>
  <c r="FOW3" i="7"/>
  <c r="FPE3" i="7"/>
  <c r="FPM3" i="7"/>
  <c r="FPU3" i="7"/>
  <c r="FQC3" i="7"/>
  <c r="FQK3" i="7"/>
  <c r="FQS3" i="7"/>
  <c r="FRA3" i="7"/>
  <c r="FRI3" i="7"/>
  <c r="FRQ3" i="7"/>
  <c r="FRY3" i="7"/>
  <c r="FSG3" i="7"/>
  <c r="FSO3" i="7"/>
  <c r="FSW3" i="7"/>
  <c r="FTE3" i="7"/>
  <c r="FTM3" i="7"/>
  <c r="FTU3" i="7"/>
  <c r="FUC3" i="7"/>
  <c r="FUK3" i="7"/>
  <c r="FUS3" i="7"/>
  <c r="FVA3" i="7"/>
  <c r="FVI3" i="7"/>
  <c r="FVQ3" i="7"/>
  <c r="FVY3" i="7"/>
  <c r="FWG3" i="7"/>
  <c r="FWO3" i="7"/>
  <c r="FWW3" i="7"/>
  <c r="FXE3" i="7"/>
  <c r="FXM3" i="7"/>
  <c r="FXU3" i="7"/>
  <c r="FYC3" i="7"/>
  <c r="FYK3" i="7"/>
  <c r="FYS3" i="7"/>
  <c r="FZA3" i="7"/>
  <c r="FZI3" i="7"/>
  <c r="FZQ3" i="7"/>
  <c r="FZY3" i="7"/>
  <c r="GAG3" i="7"/>
  <c r="BRX3" i="7"/>
  <c r="BUS3" i="7"/>
  <c r="BWU3" i="7"/>
  <c r="BYD3" i="7"/>
  <c r="BZJ3" i="7"/>
  <c r="CAP3" i="7"/>
  <c r="CBV3" i="7"/>
  <c r="CDB3" i="7"/>
  <c r="CEH3" i="7"/>
  <c r="CFN3" i="7"/>
  <c r="CGT3" i="7"/>
  <c r="CHZ3" i="7"/>
  <c r="CJF3" i="7"/>
  <c r="CKL3" i="7"/>
  <c r="CLR3" i="7"/>
  <c r="CMX3" i="7"/>
  <c r="COD3" i="7"/>
  <c r="CPJ3" i="7"/>
  <c r="CQP3" i="7"/>
  <c r="CRV3" i="7"/>
  <c r="CTB3" i="7"/>
  <c r="CUH3" i="7"/>
  <c r="CVN3" i="7"/>
  <c r="CWT3" i="7"/>
  <c r="CXZ3" i="7"/>
  <c r="CZF3" i="7"/>
  <c r="DAL3" i="7"/>
  <c r="DBR3" i="7"/>
  <c r="DCX3" i="7"/>
  <c r="DED3" i="7"/>
  <c r="DFJ3" i="7"/>
  <c r="DGP3" i="7"/>
  <c r="DHV3" i="7"/>
  <c r="DJB3" i="7"/>
  <c r="DKH3" i="7"/>
  <c r="DLN3" i="7"/>
  <c r="DMT3" i="7"/>
  <c r="DNZ3" i="7"/>
  <c r="DPF3" i="7"/>
  <c r="DQL3" i="7"/>
  <c r="DRR3" i="7"/>
  <c r="DSX3" i="7"/>
  <c r="DUD3" i="7"/>
  <c r="DVJ3" i="7"/>
  <c r="DWP3" i="7"/>
  <c r="DXV3" i="7"/>
  <c r="DZB3" i="7"/>
  <c r="EAH3" i="7"/>
  <c r="EBN3" i="7"/>
  <c r="ECT3" i="7"/>
  <c r="EDZ3" i="7"/>
  <c r="EFF3" i="7"/>
  <c r="EGL3" i="7"/>
  <c r="EHR3" i="7"/>
  <c r="EIX3" i="7"/>
  <c r="EKD3" i="7"/>
  <c r="ELC3" i="7"/>
  <c r="ELZ3" i="7"/>
  <c r="EMV3" i="7"/>
  <c r="ENO3" i="7"/>
  <c r="EOL3" i="7"/>
  <c r="EPH3" i="7"/>
  <c r="EQA3" i="7"/>
  <c r="EQX3" i="7"/>
  <c r="ERM3" i="7"/>
  <c r="ERV3" i="7"/>
  <c r="ESD3" i="7"/>
  <c r="ESL3" i="7"/>
  <c r="EST3" i="7"/>
  <c r="ETB3" i="7"/>
  <c r="ETJ3" i="7"/>
  <c r="ETR3" i="7"/>
  <c r="ETZ3" i="7"/>
  <c r="EUH3" i="7"/>
  <c r="EUP3" i="7"/>
  <c r="EUX3" i="7"/>
  <c r="EVF3" i="7"/>
  <c r="EVN3" i="7"/>
  <c r="EVV3" i="7"/>
  <c r="EWD3" i="7"/>
  <c r="EWL3" i="7"/>
  <c r="EWT3" i="7"/>
  <c r="EXB3" i="7"/>
  <c r="EXJ3" i="7"/>
  <c r="EXR3" i="7"/>
  <c r="EXZ3" i="7"/>
  <c r="EYH3" i="7"/>
  <c r="EYP3" i="7"/>
  <c r="EYX3" i="7"/>
  <c r="EZF3" i="7"/>
  <c r="EZN3" i="7"/>
  <c r="EZV3" i="7"/>
  <c r="FAD3" i="7"/>
  <c r="FAL3" i="7"/>
  <c r="FAT3" i="7"/>
  <c r="FBB3" i="7"/>
  <c r="FBJ3" i="7"/>
  <c r="FBR3" i="7"/>
  <c r="FBZ3" i="7"/>
  <c r="FCH3" i="7"/>
  <c r="FCP3" i="7"/>
  <c r="FCX3" i="7"/>
  <c r="FDF3" i="7"/>
  <c r="FDN3" i="7"/>
  <c r="FDV3" i="7"/>
  <c r="FED3" i="7"/>
  <c r="FEL3" i="7"/>
  <c r="FET3" i="7"/>
  <c r="FFB3" i="7"/>
  <c r="FFJ3" i="7"/>
  <c r="FFR3" i="7"/>
  <c r="FFZ3" i="7"/>
  <c r="FGH3" i="7"/>
  <c r="FGP3" i="7"/>
  <c r="FGX3" i="7"/>
  <c r="FHF3" i="7"/>
  <c r="FHN3" i="7"/>
  <c r="FHV3" i="7"/>
  <c r="FID3" i="7"/>
  <c r="FIL3" i="7"/>
  <c r="FIT3" i="7"/>
  <c r="FJB3" i="7"/>
  <c r="FJJ3" i="7"/>
  <c r="FJR3" i="7"/>
  <c r="FJZ3" i="7"/>
  <c r="FKH3" i="7"/>
  <c r="FKP3" i="7"/>
  <c r="FKX3" i="7"/>
  <c r="FLF3" i="7"/>
  <c r="FLN3" i="7"/>
  <c r="FLV3" i="7"/>
  <c r="FMD3" i="7"/>
  <c r="FML3" i="7"/>
  <c r="FMT3" i="7"/>
  <c r="FNB3" i="7"/>
  <c r="FNJ3" i="7"/>
  <c r="FNR3" i="7"/>
  <c r="FNZ3" i="7"/>
  <c r="FOH3" i="7"/>
  <c r="FOP3" i="7"/>
  <c r="FOX3" i="7"/>
  <c r="FPF3" i="7"/>
  <c r="FPN3" i="7"/>
  <c r="FPV3" i="7"/>
  <c r="FQD3" i="7"/>
  <c r="FQL3" i="7"/>
  <c r="FQT3" i="7"/>
  <c r="FRB3" i="7"/>
  <c r="FRJ3" i="7"/>
  <c r="FRR3" i="7"/>
  <c r="FRZ3" i="7"/>
  <c r="FSH3" i="7"/>
  <c r="FSP3" i="7"/>
  <c r="FSX3" i="7"/>
  <c r="FTF3" i="7"/>
  <c r="FTN3" i="7"/>
  <c r="FTV3" i="7"/>
  <c r="FUD3" i="7"/>
  <c r="FUL3" i="7"/>
  <c r="FUT3" i="7"/>
  <c r="FVB3" i="7"/>
  <c r="FVJ3" i="7"/>
  <c r="FVR3" i="7"/>
  <c r="FVZ3" i="7"/>
  <c r="FWH3" i="7"/>
  <c r="FWP3" i="7"/>
  <c r="FWX3" i="7"/>
  <c r="FXF3" i="7"/>
  <c r="FXN3" i="7"/>
  <c r="FXV3" i="7"/>
  <c r="FYD3" i="7"/>
  <c r="FYL3" i="7"/>
  <c r="FYT3" i="7"/>
  <c r="FZB3" i="7"/>
  <c r="FZJ3" i="7"/>
  <c r="FZR3" i="7"/>
  <c r="FZZ3" i="7"/>
  <c r="GAH3" i="7"/>
  <c r="GAP3" i="7"/>
  <c r="GAX3" i="7"/>
  <c r="GBF3" i="7"/>
  <c r="GBN3" i="7"/>
  <c r="GBV3" i="7"/>
  <c r="GCD3" i="7"/>
  <c r="GCL3" i="7"/>
  <c r="GCT3" i="7"/>
  <c r="GDB3" i="7"/>
  <c r="GDJ3" i="7"/>
  <c r="GDR3" i="7"/>
  <c r="GDZ3" i="7"/>
  <c r="GEH3" i="7"/>
  <c r="GEP3" i="7"/>
  <c r="GEX3" i="7"/>
  <c r="GFF3" i="7"/>
  <c r="GFN3" i="7"/>
  <c r="GFV3" i="7"/>
  <c r="GGD3" i="7"/>
  <c r="GGL3" i="7"/>
  <c r="GGT3" i="7"/>
  <c r="GHB3" i="7"/>
  <c r="GHJ3" i="7"/>
  <c r="GHR3" i="7"/>
  <c r="GHZ3" i="7"/>
  <c r="GIH3" i="7"/>
  <c r="GIP3" i="7"/>
  <c r="GIX3" i="7"/>
  <c r="GJF3" i="7"/>
  <c r="GJN3" i="7"/>
  <c r="GJV3" i="7"/>
  <c r="GKD3" i="7"/>
  <c r="GKL3" i="7"/>
  <c r="GKT3" i="7"/>
  <c r="GLB3" i="7"/>
  <c r="GLJ3" i="7"/>
  <c r="GLR3" i="7"/>
  <c r="GLZ3" i="7"/>
  <c r="GMH3" i="7"/>
  <c r="GMP3" i="7"/>
  <c r="GMX3" i="7"/>
  <c r="GNF3" i="7"/>
  <c r="GNN3" i="7"/>
  <c r="GNV3" i="7"/>
  <c r="GOD3" i="7"/>
  <c r="GOL3" i="7"/>
  <c r="GOT3" i="7"/>
  <c r="GPB3" i="7"/>
  <c r="GPJ3" i="7"/>
  <c r="GPR3" i="7"/>
  <c r="GPZ3" i="7"/>
  <c r="GQH3" i="7"/>
  <c r="GQP3" i="7"/>
  <c r="GQX3" i="7"/>
  <c r="GRF3" i="7"/>
  <c r="GRN3" i="7"/>
  <c r="GRV3" i="7"/>
  <c r="GSD3" i="7"/>
  <c r="GSL3" i="7"/>
  <c r="GST3" i="7"/>
  <c r="GTB3" i="7"/>
  <c r="GTJ3" i="7"/>
  <c r="GTR3" i="7"/>
  <c r="GTZ3" i="7"/>
  <c r="GUH3" i="7"/>
  <c r="GUP3" i="7"/>
  <c r="GUX3" i="7"/>
  <c r="GVF3" i="7"/>
  <c r="GVN3" i="7"/>
  <c r="GVV3" i="7"/>
  <c r="GWD3" i="7"/>
  <c r="GWL3" i="7"/>
  <c r="GWT3" i="7"/>
  <c r="GXB3" i="7"/>
  <c r="GXJ3" i="7"/>
  <c r="GXR3" i="7"/>
  <c r="GXZ3" i="7"/>
  <c r="GYH3" i="7"/>
  <c r="GYP3" i="7"/>
  <c r="GYX3" i="7"/>
  <c r="GZF3" i="7"/>
  <c r="GZN3" i="7"/>
  <c r="GZV3" i="7"/>
  <c r="HAD3" i="7"/>
  <c r="HAL3" i="7"/>
  <c r="HAT3" i="7"/>
  <c r="HBB3" i="7"/>
  <c r="HBJ3" i="7"/>
  <c r="HBR3" i="7"/>
  <c r="HBZ3" i="7"/>
  <c r="HCH3" i="7"/>
  <c r="HCP3" i="7"/>
  <c r="HCX3" i="7"/>
  <c r="HDF3" i="7"/>
  <c r="HDN3" i="7"/>
  <c r="HDV3" i="7"/>
  <c r="HED3" i="7"/>
  <c r="HEL3" i="7"/>
  <c r="HET3" i="7"/>
  <c r="HFB3" i="7"/>
  <c r="HFJ3" i="7"/>
  <c r="HFR3" i="7"/>
  <c r="BSG3" i="7"/>
  <c r="BVB3" i="7"/>
  <c r="BWV3" i="7"/>
  <c r="BYE3" i="7"/>
  <c r="BZK3" i="7"/>
  <c r="CAQ3" i="7"/>
  <c r="CBW3" i="7"/>
  <c r="CDC3" i="7"/>
  <c r="CEI3" i="7"/>
  <c r="CFO3" i="7"/>
  <c r="CGU3" i="7"/>
  <c r="CIA3" i="7"/>
  <c r="CJG3" i="7"/>
  <c r="CKM3" i="7"/>
  <c r="CLS3" i="7"/>
  <c r="CMY3" i="7"/>
  <c r="COE3" i="7"/>
  <c r="CPK3" i="7"/>
  <c r="CQQ3" i="7"/>
  <c r="CRW3" i="7"/>
  <c r="CTC3" i="7"/>
  <c r="CUI3" i="7"/>
  <c r="CVO3" i="7"/>
  <c r="CWU3" i="7"/>
  <c r="CYA3" i="7"/>
  <c r="CZG3" i="7"/>
  <c r="DAM3" i="7"/>
  <c r="DBS3" i="7"/>
  <c r="DCY3" i="7"/>
  <c r="DEE3" i="7"/>
  <c r="DFK3" i="7"/>
  <c r="DGQ3" i="7"/>
  <c r="DHW3" i="7"/>
  <c r="DJC3" i="7"/>
  <c r="DKI3" i="7"/>
  <c r="DLO3" i="7"/>
  <c r="DMU3" i="7"/>
  <c r="DOA3" i="7"/>
  <c r="DPG3" i="7"/>
  <c r="DQM3" i="7"/>
  <c r="DRS3" i="7"/>
  <c r="DSY3" i="7"/>
  <c r="DUE3" i="7"/>
  <c r="DVK3" i="7"/>
  <c r="DWQ3" i="7"/>
  <c r="DXW3" i="7"/>
  <c r="DZC3" i="7"/>
  <c r="EAI3" i="7"/>
  <c r="EBO3" i="7"/>
  <c r="ECU3" i="7"/>
  <c r="EEA3" i="7"/>
  <c r="EFG3" i="7"/>
  <c r="EGM3" i="7"/>
  <c r="EHS3" i="7"/>
  <c r="EIY3" i="7"/>
  <c r="EKE3" i="7"/>
  <c r="ELH3" i="7"/>
  <c r="EMA3" i="7"/>
  <c r="EMX3" i="7"/>
  <c r="ENT3" i="7"/>
  <c r="EOM3" i="7"/>
  <c r="EPJ3" i="7"/>
  <c r="EQF3" i="7"/>
  <c r="EQY3" i="7"/>
  <c r="ERN3" i="7"/>
  <c r="ERW3" i="7"/>
  <c r="ESE3" i="7"/>
  <c r="ESM3" i="7"/>
  <c r="ESU3" i="7"/>
  <c r="ETC3" i="7"/>
  <c r="ETK3" i="7"/>
  <c r="ETS3" i="7"/>
  <c r="EUA3" i="7"/>
  <c r="EUI3" i="7"/>
  <c r="EUQ3" i="7"/>
  <c r="EUY3" i="7"/>
  <c r="EVG3" i="7"/>
  <c r="EVO3" i="7"/>
  <c r="EVW3" i="7"/>
  <c r="EWE3" i="7"/>
  <c r="EWM3" i="7"/>
  <c r="EWU3" i="7"/>
  <c r="EXC3" i="7"/>
  <c r="EXK3" i="7"/>
  <c r="EXS3" i="7"/>
  <c r="EYA3" i="7"/>
  <c r="EYI3" i="7"/>
  <c r="EYQ3" i="7"/>
  <c r="EYY3" i="7"/>
  <c r="EZG3" i="7"/>
  <c r="EZO3" i="7"/>
  <c r="EZW3" i="7"/>
  <c r="FAE3" i="7"/>
  <c r="FAM3" i="7"/>
  <c r="FAU3" i="7"/>
  <c r="FBC3" i="7"/>
  <c r="FBK3" i="7"/>
  <c r="FBS3" i="7"/>
  <c r="FCA3" i="7"/>
  <c r="FCI3" i="7"/>
  <c r="FCQ3" i="7"/>
  <c r="FCY3" i="7"/>
  <c r="FDG3" i="7"/>
  <c r="FDO3" i="7"/>
  <c r="FDW3" i="7"/>
  <c r="FEE3" i="7"/>
  <c r="FEM3" i="7"/>
  <c r="FEU3" i="7"/>
  <c r="FFC3" i="7"/>
  <c r="FFK3" i="7"/>
  <c r="FFS3" i="7"/>
  <c r="FGA3" i="7"/>
  <c r="FGI3" i="7"/>
  <c r="FGQ3" i="7"/>
  <c r="FGY3" i="7"/>
  <c r="FHG3" i="7"/>
  <c r="FHO3" i="7"/>
  <c r="FHW3" i="7"/>
  <c r="FIE3" i="7"/>
  <c r="FIM3" i="7"/>
  <c r="FIU3" i="7"/>
  <c r="FJC3" i="7"/>
  <c r="FJK3" i="7"/>
  <c r="FJS3" i="7"/>
  <c r="FKA3" i="7"/>
  <c r="FKI3" i="7"/>
  <c r="FKQ3" i="7"/>
  <c r="FKY3" i="7"/>
  <c r="FLG3" i="7"/>
  <c r="FLO3" i="7"/>
  <c r="FLW3" i="7"/>
  <c r="FME3" i="7"/>
  <c r="FMM3" i="7"/>
  <c r="FMU3" i="7"/>
  <c r="FNC3" i="7"/>
  <c r="FNK3" i="7"/>
  <c r="FNS3" i="7"/>
  <c r="FOA3" i="7"/>
  <c r="FOI3" i="7"/>
  <c r="FOQ3" i="7"/>
  <c r="FOY3" i="7"/>
  <c r="FPG3" i="7"/>
  <c r="FPO3" i="7"/>
  <c r="FPW3" i="7"/>
  <c r="FQE3" i="7"/>
  <c r="FQM3" i="7"/>
  <c r="FQU3" i="7"/>
  <c r="FRC3" i="7"/>
  <c r="FRK3" i="7"/>
  <c r="FRS3" i="7"/>
  <c r="FSA3" i="7"/>
  <c r="FSI3" i="7"/>
  <c r="FSQ3" i="7"/>
  <c r="FSY3" i="7"/>
  <c r="FTG3" i="7"/>
  <c r="FTO3" i="7"/>
  <c r="FTW3" i="7"/>
  <c r="FUE3" i="7"/>
  <c r="FUM3" i="7"/>
  <c r="FUU3" i="7"/>
  <c r="FVC3" i="7"/>
  <c r="FVK3" i="7"/>
  <c r="FVS3" i="7"/>
  <c r="FWA3" i="7"/>
  <c r="FWI3" i="7"/>
  <c r="FWQ3" i="7"/>
  <c r="FWY3" i="7"/>
  <c r="FXG3" i="7"/>
  <c r="FXO3" i="7"/>
  <c r="FXW3" i="7"/>
  <c r="FYE3" i="7"/>
  <c r="FYM3" i="7"/>
  <c r="FYU3" i="7"/>
  <c r="FZC3" i="7"/>
  <c r="FZK3" i="7"/>
  <c r="FZS3" i="7"/>
  <c r="GAA3" i="7"/>
  <c r="GAI3" i="7"/>
  <c r="GAQ3" i="7"/>
  <c r="GAY3" i="7"/>
  <c r="BSP3" i="7"/>
  <c r="BVK3" i="7"/>
  <c r="BXD3" i="7"/>
  <c r="BYL3" i="7"/>
  <c r="BZR3" i="7"/>
  <c r="CAX3" i="7"/>
  <c r="CCD3" i="7"/>
  <c r="CDJ3" i="7"/>
  <c r="CEP3" i="7"/>
  <c r="CFV3" i="7"/>
  <c r="CHB3" i="7"/>
  <c r="CIH3" i="7"/>
  <c r="CJN3" i="7"/>
  <c r="CKT3" i="7"/>
  <c r="CLZ3" i="7"/>
  <c r="CNF3" i="7"/>
  <c r="COL3" i="7"/>
  <c r="CPR3" i="7"/>
  <c r="CQX3" i="7"/>
  <c r="CSD3" i="7"/>
  <c r="CTJ3" i="7"/>
  <c r="CUP3" i="7"/>
  <c r="CVV3" i="7"/>
  <c r="CXB3" i="7"/>
  <c r="CYH3" i="7"/>
  <c r="CZN3" i="7"/>
  <c r="DAT3" i="7"/>
  <c r="DBZ3" i="7"/>
  <c r="DDF3" i="7"/>
  <c r="DEL3" i="7"/>
  <c r="DFR3" i="7"/>
  <c r="DGX3" i="7"/>
  <c r="DID3" i="7"/>
  <c r="DJJ3" i="7"/>
  <c r="DKP3" i="7"/>
  <c r="DLV3" i="7"/>
  <c r="DNB3" i="7"/>
  <c r="DOH3" i="7"/>
  <c r="DPN3" i="7"/>
  <c r="DQT3" i="7"/>
  <c r="DRZ3" i="7"/>
  <c r="DTF3" i="7"/>
  <c r="DUL3" i="7"/>
  <c r="DVR3" i="7"/>
  <c r="DWX3" i="7"/>
  <c r="DYD3" i="7"/>
  <c r="DZJ3" i="7"/>
  <c r="EAP3" i="7"/>
  <c r="EBV3" i="7"/>
  <c r="EDB3" i="7"/>
  <c r="EEH3" i="7"/>
  <c r="EFN3" i="7"/>
  <c r="EGT3" i="7"/>
  <c r="EHZ3" i="7"/>
  <c r="EJF3" i="7"/>
  <c r="EKL3" i="7"/>
  <c r="ELJ3" i="7"/>
  <c r="EMF3" i="7"/>
  <c r="EMY3" i="7"/>
  <c r="ENV3" i="7"/>
  <c r="EOR3" i="7"/>
  <c r="EPK3" i="7"/>
  <c r="EQH3" i="7"/>
  <c r="ERD3" i="7"/>
  <c r="ERO3" i="7"/>
  <c r="ERX3" i="7"/>
  <c r="ESF3" i="7"/>
  <c r="ESN3" i="7"/>
  <c r="ESV3" i="7"/>
  <c r="ETD3" i="7"/>
  <c r="ETL3" i="7"/>
  <c r="ETT3" i="7"/>
  <c r="EUB3" i="7"/>
  <c r="EUJ3" i="7"/>
  <c r="EUR3" i="7"/>
  <c r="EUZ3" i="7"/>
  <c r="EVH3" i="7"/>
  <c r="EVP3" i="7"/>
  <c r="EVX3" i="7"/>
  <c r="EWF3" i="7"/>
  <c r="EWN3" i="7"/>
  <c r="EWV3" i="7"/>
  <c r="EXD3" i="7"/>
  <c r="EXL3" i="7"/>
  <c r="EXT3" i="7"/>
  <c r="EYB3" i="7"/>
  <c r="EYJ3" i="7"/>
  <c r="EYR3" i="7"/>
  <c r="EYZ3" i="7"/>
  <c r="EZH3" i="7"/>
  <c r="EZP3" i="7"/>
  <c r="EZX3" i="7"/>
  <c r="FAF3" i="7"/>
  <c r="FAN3" i="7"/>
  <c r="FAV3" i="7"/>
  <c r="FBD3" i="7"/>
  <c r="FBL3" i="7"/>
  <c r="FBT3" i="7"/>
  <c r="FCB3" i="7"/>
  <c r="FCJ3" i="7"/>
  <c r="FCR3" i="7"/>
  <c r="FCZ3" i="7"/>
  <c r="FDH3" i="7"/>
  <c r="FDP3" i="7"/>
  <c r="FDX3" i="7"/>
  <c r="FEF3" i="7"/>
  <c r="FEN3" i="7"/>
  <c r="FEV3" i="7"/>
  <c r="FFD3" i="7"/>
  <c r="FFL3" i="7"/>
  <c r="FFT3" i="7"/>
  <c r="FGB3" i="7"/>
  <c r="FGJ3" i="7"/>
  <c r="FGR3" i="7"/>
  <c r="FGZ3" i="7"/>
  <c r="FHH3" i="7"/>
  <c r="FHP3" i="7"/>
  <c r="FHX3" i="7"/>
  <c r="FIF3" i="7"/>
  <c r="FIN3" i="7"/>
  <c r="FIV3" i="7"/>
  <c r="FJD3" i="7"/>
  <c r="FJL3" i="7"/>
  <c r="FJT3" i="7"/>
  <c r="FKB3" i="7"/>
  <c r="FKJ3" i="7"/>
  <c r="FKR3" i="7"/>
  <c r="FKZ3" i="7"/>
  <c r="FLH3" i="7"/>
  <c r="FLP3" i="7"/>
  <c r="FLX3" i="7"/>
  <c r="FMF3" i="7"/>
  <c r="FMN3" i="7"/>
  <c r="FMV3" i="7"/>
  <c r="FND3" i="7"/>
  <c r="FNL3" i="7"/>
  <c r="FNT3" i="7"/>
  <c r="FOB3" i="7"/>
  <c r="FOJ3" i="7"/>
  <c r="FOR3" i="7"/>
  <c r="FOZ3" i="7"/>
  <c r="FPH3" i="7"/>
  <c r="FPP3" i="7"/>
  <c r="FPX3" i="7"/>
  <c r="FQF3" i="7"/>
  <c r="FQN3" i="7"/>
  <c r="FQV3" i="7"/>
  <c r="FRD3" i="7"/>
  <c r="FRL3" i="7"/>
  <c r="FRT3" i="7"/>
  <c r="FSB3" i="7"/>
  <c r="FSJ3" i="7"/>
  <c r="FSR3" i="7"/>
  <c r="FSZ3" i="7"/>
  <c r="FTH3" i="7"/>
  <c r="FTP3" i="7"/>
  <c r="FTX3" i="7"/>
  <c r="FUF3" i="7"/>
  <c r="FUN3" i="7"/>
  <c r="FUV3" i="7"/>
  <c r="FVD3" i="7"/>
  <c r="FVL3" i="7"/>
  <c r="FVT3" i="7"/>
  <c r="FWB3" i="7"/>
  <c r="FWJ3" i="7"/>
  <c r="FWR3" i="7"/>
  <c r="FWZ3" i="7"/>
  <c r="FXH3" i="7"/>
  <c r="FXP3" i="7"/>
  <c r="FXX3" i="7"/>
  <c r="FYF3" i="7"/>
  <c r="FYN3" i="7"/>
  <c r="FYV3" i="7"/>
  <c r="FZD3" i="7"/>
  <c r="FZL3" i="7"/>
  <c r="FZT3" i="7"/>
  <c r="GAB3" i="7"/>
  <c r="GAJ3" i="7"/>
  <c r="GAR3" i="7"/>
  <c r="GAZ3" i="7"/>
  <c r="GBH3" i="7"/>
  <c r="GBP3" i="7"/>
  <c r="GBX3" i="7"/>
  <c r="GCF3" i="7"/>
  <c r="GCN3" i="7"/>
  <c r="GCV3" i="7"/>
  <c r="GDD3" i="7"/>
  <c r="GDL3" i="7"/>
  <c r="GDT3" i="7"/>
  <c r="GEB3" i="7"/>
  <c r="GEJ3" i="7"/>
  <c r="GER3" i="7"/>
  <c r="GEZ3" i="7"/>
  <c r="GFH3" i="7"/>
  <c r="GFP3" i="7"/>
  <c r="GFX3" i="7"/>
  <c r="GGF3" i="7"/>
  <c r="GGN3" i="7"/>
  <c r="GGV3" i="7"/>
  <c r="GHD3" i="7"/>
  <c r="GHL3" i="7"/>
  <c r="GHT3" i="7"/>
  <c r="GIB3" i="7"/>
  <c r="GIJ3" i="7"/>
  <c r="GIR3" i="7"/>
  <c r="GIZ3" i="7"/>
  <c r="GJH3" i="7"/>
  <c r="GJP3" i="7"/>
  <c r="GJX3" i="7"/>
  <c r="GKF3" i="7"/>
  <c r="GKN3" i="7"/>
  <c r="GKV3" i="7"/>
  <c r="GLD3" i="7"/>
  <c r="GLL3" i="7"/>
  <c r="GLT3" i="7"/>
  <c r="GMB3" i="7"/>
  <c r="GMJ3" i="7"/>
  <c r="GMR3" i="7"/>
  <c r="GMZ3" i="7"/>
  <c r="GNH3" i="7"/>
  <c r="GNP3" i="7"/>
  <c r="GNX3" i="7"/>
  <c r="GOF3" i="7"/>
  <c r="GON3" i="7"/>
  <c r="GOV3" i="7"/>
  <c r="GPD3" i="7"/>
  <c r="GPL3" i="7"/>
  <c r="GPT3" i="7"/>
  <c r="GQB3" i="7"/>
  <c r="GQJ3" i="7"/>
  <c r="GQR3" i="7"/>
  <c r="GQZ3" i="7"/>
  <c r="GRH3" i="7"/>
  <c r="GRP3" i="7"/>
  <c r="GRX3" i="7"/>
  <c r="GSF3" i="7"/>
  <c r="GSN3" i="7"/>
  <c r="GSV3" i="7"/>
  <c r="GTD3" i="7"/>
  <c r="GTL3" i="7"/>
  <c r="GTT3" i="7"/>
  <c r="GUB3" i="7"/>
  <c r="GUJ3" i="7"/>
  <c r="GUR3" i="7"/>
  <c r="GUZ3" i="7"/>
  <c r="GVH3" i="7"/>
  <c r="GVP3" i="7"/>
  <c r="GVX3" i="7"/>
  <c r="GWF3" i="7"/>
  <c r="GWN3" i="7"/>
  <c r="GWV3" i="7"/>
  <c r="GXD3" i="7"/>
  <c r="GXL3" i="7"/>
  <c r="GXT3" i="7"/>
  <c r="GYB3" i="7"/>
  <c r="GYJ3" i="7"/>
  <c r="GYR3" i="7"/>
  <c r="GYZ3" i="7"/>
  <c r="GZH3" i="7"/>
  <c r="GZP3" i="7"/>
  <c r="GZX3" i="7"/>
  <c r="HAF3" i="7"/>
  <c r="HAN3" i="7"/>
  <c r="HAV3" i="7"/>
  <c r="HBD3" i="7"/>
  <c r="HBL3" i="7"/>
  <c r="HBT3" i="7"/>
  <c r="HCB3" i="7"/>
  <c r="HCJ3" i="7"/>
  <c r="HCR3" i="7"/>
  <c r="HCZ3" i="7"/>
  <c r="HDH3" i="7"/>
  <c r="HDP3" i="7"/>
  <c r="HDX3" i="7"/>
  <c r="HEF3" i="7"/>
  <c r="HEN3" i="7"/>
  <c r="HEV3" i="7"/>
  <c r="HFD3" i="7"/>
  <c r="HFL3" i="7"/>
  <c r="HFT3" i="7"/>
  <c r="HGB3" i="7"/>
  <c r="HGJ3" i="7"/>
  <c r="HGR3" i="7"/>
  <c r="HGZ3" i="7"/>
  <c r="HHH3" i="7"/>
  <c r="HHP3" i="7"/>
  <c r="HHX3" i="7"/>
  <c r="HIF3" i="7"/>
  <c r="HIN3" i="7"/>
  <c r="HIV3" i="7"/>
  <c r="HJD3" i="7"/>
  <c r="HJL3" i="7"/>
  <c r="HJT3" i="7"/>
  <c r="HKB3" i="7"/>
  <c r="HKJ3" i="7"/>
  <c r="HKR3" i="7"/>
  <c r="HKZ3" i="7"/>
  <c r="HLH3" i="7"/>
  <c r="HLP3" i="7"/>
  <c r="HLX3" i="7"/>
  <c r="HMF3" i="7"/>
  <c r="HMN3" i="7"/>
  <c r="HMV3" i="7"/>
  <c r="HND3" i="7"/>
  <c r="HNL3" i="7"/>
  <c r="HNT3" i="7"/>
  <c r="HOB3" i="7"/>
  <c r="HOJ3" i="7"/>
  <c r="BSY3" i="7"/>
  <c r="BVT3" i="7"/>
  <c r="BXE3" i="7"/>
  <c r="BYM3" i="7"/>
  <c r="BZS3" i="7"/>
  <c r="CAY3" i="7"/>
  <c r="CCE3" i="7"/>
  <c r="CDK3" i="7"/>
  <c r="CEQ3" i="7"/>
  <c r="CFW3" i="7"/>
  <c r="CHC3" i="7"/>
  <c r="CII3" i="7"/>
  <c r="CJO3" i="7"/>
  <c r="CKU3" i="7"/>
  <c r="CMA3" i="7"/>
  <c r="CNG3" i="7"/>
  <c r="COM3" i="7"/>
  <c r="CPS3" i="7"/>
  <c r="CQY3" i="7"/>
  <c r="CSE3" i="7"/>
  <c r="CTK3" i="7"/>
  <c r="CUQ3" i="7"/>
  <c r="CVW3" i="7"/>
  <c r="CXC3" i="7"/>
  <c r="CYI3" i="7"/>
  <c r="CZO3" i="7"/>
  <c r="DAU3" i="7"/>
  <c r="DCA3" i="7"/>
  <c r="DDG3" i="7"/>
  <c r="DEM3" i="7"/>
  <c r="DFS3" i="7"/>
  <c r="DGY3" i="7"/>
  <c r="DIE3" i="7"/>
  <c r="DJK3" i="7"/>
  <c r="DKQ3" i="7"/>
  <c r="DLW3" i="7"/>
  <c r="DNC3" i="7"/>
  <c r="DOI3" i="7"/>
  <c r="DPO3" i="7"/>
  <c r="DQU3" i="7"/>
  <c r="DSA3" i="7"/>
  <c r="DTG3" i="7"/>
  <c r="DUM3" i="7"/>
  <c r="DVS3" i="7"/>
  <c r="DWY3" i="7"/>
  <c r="DYE3" i="7"/>
  <c r="DZK3" i="7"/>
  <c r="EAQ3" i="7"/>
  <c r="EBW3" i="7"/>
  <c r="EDC3" i="7"/>
  <c r="EEI3" i="7"/>
  <c r="EFO3" i="7"/>
  <c r="EGU3" i="7"/>
  <c r="EIA3" i="7"/>
  <c r="EJG3" i="7"/>
  <c r="EKM3" i="7"/>
  <c r="ELK3" i="7"/>
  <c r="EMH3" i="7"/>
  <c r="END3" i="7"/>
  <c r="ENW3" i="7"/>
  <c r="EOT3" i="7"/>
  <c r="EPP3" i="7"/>
  <c r="EQI3" i="7"/>
  <c r="ERF3" i="7"/>
  <c r="ERP3" i="7"/>
  <c r="ERY3" i="7"/>
  <c r="ESG3" i="7"/>
  <c r="ESO3" i="7"/>
  <c r="ESW3" i="7"/>
  <c r="ETE3" i="7"/>
  <c r="ETM3" i="7"/>
  <c r="ETU3" i="7"/>
  <c r="EUC3" i="7"/>
  <c r="EUK3" i="7"/>
  <c r="EUS3" i="7"/>
  <c r="EVA3" i="7"/>
  <c r="EVI3" i="7"/>
  <c r="EVQ3" i="7"/>
  <c r="EVY3" i="7"/>
  <c r="EWG3" i="7"/>
  <c r="EWO3" i="7"/>
  <c r="EWW3" i="7"/>
  <c r="EXE3" i="7"/>
  <c r="EXM3" i="7"/>
  <c r="EXU3" i="7"/>
  <c r="EYC3" i="7"/>
  <c r="EYK3" i="7"/>
  <c r="EYS3" i="7"/>
  <c r="EZA3" i="7"/>
  <c r="EZI3" i="7"/>
  <c r="EZQ3" i="7"/>
  <c r="EZY3" i="7"/>
  <c r="FAG3" i="7"/>
  <c r="FAO3" i="7"/>
  <c r="FAW3" i="7"/>
  <c r="FBE3" i="7"/>
  <c r="FBM3" i="7"/>
  <c r="FBU3" i="7"/>
  <c r="FCC3" i="7"/>
  <c r="FCK3" i="7"/>
  <c r="FCS3" i="7"/>
  <c r="FDA3" i="7"/>
  <c r="FDI3" i="7"/>
  <c r="FDQ3" i="7"/>
  <c r="FDY3" i="7"/>
  <c r="FEG3" i="7"/>
  <c r="FEO3" i="7"/>
  <c r="FEW3" i="7"/>
  <c r="FFE3" i="7"/>
  <c r="FFM3" i="7"/>
  <c r="FFU3" i="7"/>
  <c r="FGC3" i="7"/>
  <c r="FGK3" i="7"/>
  <c r="FGS3" i="7"/>
  <c r="FHA3" i="7"/>
  <c r="FHI3" i="7"/>
  <c r="FHQ3" i="7"/>
  <c r="FHY3" i="7"/>
  <c r="FIG3" i="7"/>
  <c r="FIO3" i="7"/>
  <c r="FIW3" i="7"/>
  <c r="FJE3" i="7"/>
  <c r="FJM3" i="7"/>
  <c r="FJU3" i="7"/>
  <c r="FKC3" i="7"/>
  <c r="FKK3" i="7"/>
  <c r="FKS3" i="7"/>
  <c r="FLA3" i="7"/>
  <c r="FLI3" i="7"/>
  <c r="FLQ3" i="7"/>
  <c r="FLY3" i="7"/>
  <c r="FMG3" i="7"/>
  <c r="FMO3" i="7"/>
  <c r="FMW3" i="7"/>
  <c r="FNE3" i="7"/>
  <c r="FNM3" i="7"/>
  <c r="FNU3" i="7"/>
  <c r="FOC3" i="7"/>
  <c r="FOK3" i="7"/>
  <c r="FOS3" i="7"/>
  <c r="FPA3" i="7"/>
  <c r="FPI3" i="7"/>
  <c r="FPQ3" i="7"/>
  <c r="FPY3" i="7"/>
  <c r="FQG3" i="7"/>
  <c r="FQO3" i="7"/>
  <c r="FQW3" i="7"/>
  <c r="FRE3" i="7"/>
  <c r="FRM3" i="7"/>
  <c r="FRU3" i="7"/>
  <c r="FSC3" i="7"/>
  <c r="FSK3" i="7"/>
  <c r="FSS3" i="7"/>
  <c r="FTA3" i="7"/>
  <c r="FTI3" i="7"/>
  <c r="FTQ3" i="7"/>
  <c r="FTY3" i="7"/>
  <c r="FUG3" i="7"/>
  <c r="FUO3" i="7"/>
  <c r="FUW3" i="7"/>
  <c r="FVE3" i="7"/>
  <c r="FVM3" i="7"/>
  <c r="FVU3" i="7"/>
  <c r="FWC3" i="7"/>
  <c r="FWK3" i="7"/>
  <c r="FWS3" i="7"/>
  <c r="FXA3" i="7"/>
  <c r="FXI3" i="7"/>
  <c r="FXQ3" i="7"/>
  <c r="FXY3" i="7"/>
  <c r="FYG3" i="7"/>
  <c r="FYO3" i="7"/>
  <c r="FYW3" i="7"/>
  <c r="FZE3" i="7"/>
  <c r="FZM3" i="7"/>
  <c r="FZU3" i="7"/>
  <c r="GAC3" i="7"/>
  <c r="GAK3" i="7"/>
  <c r="GAS3" i="7"/>
  <c r="GBA3" i="7"/>
  <c r="GBI3" i="7"/>
  <c r="GBQ3" i="7"/>
  <c r="GBY3" i="7"/>
  <c r="GCG3" i="7"/>
  <c r="GCO3" i="7"/>
  <c r="GCW3" i="7"/>
  <c r="GDE3" i="7"/>
  <c r="GDM3" i="7"/>
  <c r="GDU3" i="7"/>
  <c r="GEC3" i="7"/>
  <c r="GEK3" i="7"/>
  <c r="GES3" i="7"/>
  <c r="GFA3" i="7"/>
  <c r="GFI3" i="7"/>
  <c r="GFQ3" i="7"/>
  <c r="GFY3" i="7"/>
  <c r="GGG3" i="7"/>
  <c r="GGO3" i="7"/>
  <c r="GGW3" i="7"/>
  <c r="GHE3" i="7"/>
  <c r="GHM3" i="7"/>
  <c r="GHU3" i="7"/>
  <c r="GIC3" i="7"/>
  <c r="GIK3" i="7"/>
  <c r="GIS3" i="7"/>
  <c r="GJA3" i="7"/>
  <c r="GJI3" i="7"/>
  <c r="GJQ3" i="7"/>
  <c r="GJY3" i="7"/>
  <c r="GKG3" i="7"/>
  <c r="GKO3" i="7"/>
  <c r="GKW3" i="7"/>
  <c r="GLE3" i="7"/>
  <c r="GLM3" i="7"/>
  <c r="GLU3" i="7"/>
  <c r="GMC3" i="7"/>
  <c r="GMK3" i="7"/>
  <c r="GMS3" i="7"/>
  <c r="GNA3" i="7"/>
  <c r="GNI3" i="7"/>
  <c r="GNQ3" i="7"/>
  <c r="GNY3" i="7"/>
  <c r="GOG3" i="7"/>
  <c r="GOO3" i="7"/>
  <c r="GOW3" i="7"/>
  <c r="GPE3" i="7"/>
  <c r="GPM3" i="7"/>
  <c r="GPU3" i="7"/>
  <c r="GQC3" i="7"/>
  <c r="GQK3" i="7"/>
  <c r="GQS3" i="7"/>
  <c r="GRA3" i="7"/>
  <c r="GRI3" i="7"/>
  <c r="GRQ3" i="7"/>
  <c r="GRY3" i="7"/>
  <c r="GSG3" i="7"/>
  <c r="GSO3" i="7"/>
  <c r="GSW3" i="7"/>
  <c r="GTE3" i="7"/>
  <c r="GTM3" i="7"/>
  <c r="GTU3" i="7"/>
  <c r="GUC3" i="7"/>
  <c r="GUK3" i="7"/>
  <c r="GUS3" i="7"/>
  <c r="GVA3" i="7"/>
  <c r="GVI3" i="7"/>
  <c r="GVQ3" i="7"/>
  <c r="GVY3" i="7"/>
  <c r="GWG3" i="7"/>
  <c r="GWO3" i="7"/>
  <c r="GWW3" i="7"/>
  <c r="GXE3" i="7"/>
  <c r="GXM3" i="7"/>
  <c r="GXU3" i="7"/>
  <c r="GYC3" i="7"/>
  <c r="GYK3" i="7"/>
  <c r="GYS3" i="7"/>
  <c r="GZA3" i="7"/>
  <c r="GZI3" i="7"/>
  <c r="GZQ3" i="7"/>
  <c r="GZY3" i="7"/>
  <c r="HAG3" i="7"/>
  <c r="HAO3" i="7"/>
  <c r="HAW3" i="7"/>
  <c r="HBE3" i="7"/>
  <c r="HBM3" i="7"/>
  <c r="HBU3" i="7"/>
  <c r="HCC3" i="7"/>
  <c r="HCK3" i="7"/>
  <c r="HCS3" i="7"/>
  <c r="HDA3" i="7"/>
  <c r="HDI3" i="7"/>
  <c r="HDQ3" i="7"/>
  <c r="HDY3" i="7"/>
  <c r="HEG3" i="7"/>
  <c r="HEO3" i="7"/>
  <c r="HEW3" i="7"/>
  <c r="HFE3" i="7"/>
  <c r="HFM3" i="7"/>
  <c r="HFU3" i="7"/>
  <c r="HGC3" i="7"/>
  <c r="HGK3" i="7"/>
  <c r="HGS3" i="7"/>
  <c r="HHA3" i="7"/>
  <c r="HHI3" i="7"/>
  <c r="HHQ3" i="7"/>
  <c r="HHY3" i="7"/>
  <c r="HIG3" i="7"/>
  <c r="HIO3" i="7"/>
  <c r="HIW3" i="7"/>
  <c r="HJE3" i="7"/>
  <c r="HJM3" i="7"/>
  <c r="HJU3" i="7"/>
  <c r="HKC3" i="7"/>
  <c r="HKK3" i="7"/>
  <c r="HKS3" i="7"/>
  <c r="HLA3" i="7"/>
  <c r="HLI3" i="7"/>
  <c r="HLQ3" i="7"/>
  <c r="HLY3" i="7"/>
  <c r="HMG3" i="7"/>
  <c r="HMO3" i="7"/>
  <c r="HMW3" i="7"/>
  <c r="HNE3" i="7"/>
  <c r="HNM3" i="7"/>
  <c r="HNU3" i="7"/>
  <c r="HOC3" i="7"/>
  <c r="HOK3" i="7"/>
  <c r="HOS3" i="7"/>
  <c r="HPA3" i="7"/>
  <c r="HPI3" i="7"/>
  <c r="HPQ3" i="7"/>
  <c r="HPY3" i="7"/>
  <c r="HQG3" i="7"/>
  <c r="HQO3" i="7"/>
  <c r="HQW3" i="7"/>
  <c r="HRE3" i="7"/>
  <c r="HRM3" i="7"/>
  <c r="HRU3" i="7"/>
  <c r="HSC3" i="7"/>
  <c r="HSK3" i="7"/>
  <c r="HSS3" i="7"/>
  <c r="HTA3" i="7"/>
  <c r="HTI3" i="7"/>
  <c r="HTQ3" i="7"/>
  <c r="HTY3" i="7"/>
  <c r="HUG3" i="7"/>
  <c r="HUO3" i="7"/>
  <c r="HUW3" i="7"/>
  <c r="HVE3" i="7"/>
  <c r="HVM3" i="7"/>
  <c r="HVU3" i="7"/>
  <c r="HWC3" i="7"/>
  <c r="HWK3" i="7"/>
  <c r="HWS3" i="7"/>
  <c r="HXA3" i="7"/>
  <c r="HXI3" i="7"/>
  <c r="HXQ3" i="7"/>
  <c r="HXY3" i="7"/>
  <c r="HYG3" i="7"/>
  <c r="HYO3" i="7"/>
  <c r="BTH3" i="7"/>
  <c r="BZZ3" i="7"/>
  <c r="CEX3" i="7"/>
  <c r="CJV3" i="7"/>
  <c r="COT3" i="7"/>
  <c r="CTR3" i="7"/>
  <c r="CYP3" i="7"/>
  <c r="DDN3" i="7"/>
  <c r="DIL3" i="7"/>
  <c r="DNJ3" i="7"/>
  <c r="DSH3" i="7"/>
  <c r="DXF3" i="7"/>
  <c r="ECD3" i="7"/>
  <c r="EHB3" i="7"/>
  <c r="ELP3" i="7"/>
  <c r="EOU3" i="7"/>
  <c r="ERQ3" i="7"/>
  <c r="ESX3" i="7"/>
  <c r="EUD3" i="7"/>
  <c r="EVJ3" i="7"/>
  <c r="EWP3" i="7"/>
  <c r="EXV3" i="7"/>
  <c r="EZB3" i="7"/>
  <c r="FAH3" i="7"/>
  <c r="FBN3" i="7"/>
  <c r="FCT3" i="7"/>
  <c r="FDZ3" i="7"/>
  <c r="FFF3" i="7"/>
  <c r="FGL3" i="7"/>
  <c r="FHR3" i="7"/>
  <c r="FIX3" i="7"/>
  <c r="FKD3" i="7"/>
  <c r="FLJ3" i="7"/>
  <c r="FMP3" i="7"/>
  <c r="FNV3" i="7"/>
  <c r="FPB3" i="7"/>
  <c r="FQH3" i="7"/>
  <c r="FRN3" i="7"/>
  <c r="FST3" i="7"/>
  <c r="FTZ3" i="7"/>
  <c r="FVF3" i="7"/>
  <c r="FWL3" i="7"/>
  <c r="FXR3" i="7"/>
  <c r="FYX3" i="7"/>
  <c r="GAD3" i="7"/>
  <c r="GBB3" i="7"/>
  <c r="GBR3" i="7"/>
  <c r="GCH3" i="7"/>
  <c r="GCX3" i="7"/>
  <c r="GDN3" i="7"/>
  <c r="GED3" i="7"/>
  <c r="GET3" i="7"/>
  <c r="GFJ3" i="7"/>
  <c r="GFZ3" i="7"/>
  <c r="GGP3" i="7"/>
  <c r="GHF3" i="7"/>
  <c r="GHV3" i="7"/>
  <c r="GIL3" i="7"/>
  <c r="GJB3" i="7"/>
  <c r="GJR3" i="7"/>
  <c r="GKH3" i="7"/>
  <c r="GKX3" i="7"/>
  <c r="GLN3" i="7"/>
  <c r="GMD3" i="7"/>
  <c r="GMT3" i="7"/>
  <c r="GNJ3" i="7"/>
  <c r="GNZ3" i="7"/>
  <c r="GOP3" i="7"/>
  <c r="GPF3" i="7"/>
  <c r="GPV3" i="7"/>
  <c r="GQL3" i="7"/>
  <c r="GRB3" i="7"/>
  <c r="GRR3" i="7"/>
  <c r="GSH3" i="7"/>
  <c r="GSX3" i="7"/>
  <c r="GTN3" i="7"/>
  <c r="GUD3" i="7"/>
  <c r="GUT3" i="7"/>
  <c r="GVJ3" i="7"/>
  <c r="GVZ3" i="7"/>
  <c r="GWP3" i="7"/>
  <c r="GXF3" i="7"/>
  <c r="GXV3" i="7"/>
  <c r="GYL3" i="7"/>
  <c r="GZB3" i="7"/>
  <c r="GZR3" i="7"/>
  <c r="HAH3" i="7"/>
  <c r="HAX3" i="7"/>
  <c r="HBN3" i="7"/>
  <c r="HCD3" i="7"/>
  <c r="HCT3" i="7"/>
  <c r="HDJ3" i="7"/>
  <c r="HDZ3" i="7"/>
  <c r="HEP3" i="7"/>
  <c r="HFF3" i="7"/>
  <c r="HFV3" i="7"/>
  <c r="HGH3" i="7"/>
  <c r="HGU3" i="7"/>
  <c r="HHG3" i="7"/>
  <c r="HHU3" i="7"/>
  <c r="HIH3" i="7"/>
  <c r="HIT3" i="7"/>
  <c r="HJG3" i="7"/>
  <c r="HJS3" i="7"/>
  <c r="HKG3" i="7"/>
  <c r="HKT3" i="7"/>
  <c r="HLF3" i="7"/>
  <c r="HLS3" i="7"/>
  <c r="HME3" i="7"/>
  <c r="HMS3" i="7"/>
  <c r="HNF3" i="7"/>
  <c r="HNR3" i="7"/>
  <c r="HOE3" i="7"/>
  <c r="HOQ3" i="7"/>
  <c r="HPB3" i="7"/>
  <c r="HPM3" i="7"/>
  <c r="HPW3" i="7"/>
  <c r="HQH3" i="7"/>
  <c r="HQS3" i="7"/>
  <c r="HRC3" i="7"/>
  <c r="HRN3" i="7"/>
  <c r="HRY3" i="7"/>
  <c r="HSI3" i="7"/>
  <c r="HST3" i="7"/>
  <c r="HTE3" i="7"/>
  <c r="HTO3" i="7"/>
  <c r="HTZ3" i="7"/>
  <c r="HUK3" i="7"/>
  <c r="HUU3" i="7"/>
  <c r="HVF3" i="7"/>
  <c r="HVQ3" i="7"/>
  <c r="HWA3" i="7"/>
  <c r="HWL3" i="7"/>
  <c r="HWW3" i="7"/>
  <c r="HXG3" i="7"/>
  <c r="HXR3" i="7"/>
  <c r="HYC3" i="7"/>
  <c r="HYM3" i="7"/>
  <c r="HYW3" i="7"/>
  <c r="BTR3" i="7"/>
  <c r="CAA3" i="7"/>
  <c r="CEY3" i="7"/>
  <c r="CJW3" i="7"/>
  <c r="COU3" i="7"/>
  <c r="CTS3" i="7"/>
  <c r="CYQ3" i="7"/>
  <c r="DDO3" i="7"/>
  <c r="DIM3" i="7"/>
  <c r="DNK3" i="7"/>
  <c r="DSI3" i="7"/>
  <c r="DXG3" i="7"/>
  <c r="ECE3" i="7"/>
  <c r="EHC3" i="7"/>
  <c r="ELR3" i="7"/>
  <c r="EOZ3" i="7"/>
  <c r="ERS3" i="7"/>
  <c r="ESY3" i="7"/>
  <c r="EUE3" i="7"/>
  <c r="EVK3" i="7"/>
  <c r="EWQ3" i="7"/>
  <c r="EXW3" i="7"/>
  <c r="EZC3" i="7"/>
  <c r="FAI3" i="7"/>
  <c r="FBO3" i="7"/>
  <c r="FCU3" i="7"/>
  <c r="FEA3" i="7"/>
  <c r="FFG3" i="7"/>
  <c r="FGM3" i="7"/>
  <c r="FHS3" i="7"/>
  <c r="FIY3" i="7"/>
  <c r="FKE3" i="7"/>
  <c r="FLK3" i="7"/>
  <c r="FMQ3" i="7"/>
  <c r="FNW3" i="7"/>
  <c r="FPC3" i="7"/>
  <c r="FQI3" i="7"/>
  <c r="FRO3" i="7"/>
  <c r="FSU3" i="7"/>
  <c r="FUA3" i="7"/>
  <c r="FVG3" i="7"/>
  <c r="FWM3" i="7"/>
  <c r="FXS3" i="7"/>
  <c r="FYY3" i="7"/>
  <c r="GAE3" i="7"/>
  <c r="GBC3" i="7"/>
  <c r="GBS3" i="7"/>
  <c r="GCI3" i="7"/>
  <c r="GCY3" i="7"/>
  <c r="GDO3" i="7"/>
  <c r="GEE3" i="7"/>
  <c r="GEU3" i="7"/>
  <c r="GFK3" i="7"/>
  <c r="GGA3" i="7"/>
  <c r="GGQ3" i="7"/>
  <c r="GHG3" i="7"/>
  <c r="GHW3" i="7"/>
  <c r="GIM3" i="7"/>
  <c r="GJC3" i="7"/>
  <c r="GJS3" i="7"/>
  <c r="GKI3" i="7"/>
  <c r="GKY3" i="7"/>
  <c r="GLO3" i="7"/>
  <c r="GME3" i="7"/>
  <c r="GMU3" i="7"/>
  <c r="GNK3" i="7"/>
  <c r="GOA3" i="7"/>
  <c r="GOQ3" i="7"/>
  <c r="GPG3" i="7"/>
  <c r="GPW3" i="7"/>
  <c r="GQM3" i="7"/>
  <c r="GRC3" i="7"/>
  <c r="GRS3" i="7"/>
  <c r="GSI3" i="7"/>
  <c r="GSY3" i="7"/>
  <c r="GTO3" i="7"/>
  <c r="GUE3" i="7"/>
  <c r="GUU3" i="7"/>
  <c r="GVK3" i="7"/>
  <c r="GWA3" i="7"/>
  <c r="GWQ3" i="7"/>
  <c r="GXG3" i="7"/>
  <c r="GXW3" i="7"/>
  <c r="GYM3" i="7"/>
  <c r="GZC3" i="7"/>
  <c r="GZS3" i="7"/>
  <c r="HAI3" i="7"/>
  <c r="HAY3" i="7"/>
  <c r="HBO3" i="7"/>
  <c r="HCE3" i="7"/>
  <c r="HCU3" i="7"/>
  <c r="HDK3" i="7"/>
  <c r="HEA3" i="7"/>
  <c r="HEQ3" i="7"/>
  <c r="HFG3" i="7"/>
  <c r="HFW3" i="7"/>
  <c r="HGI3" i="7"/>
  <c r="HGW3" i="7"/>
  <c r="HHJ3" i="7"/>
  <c r="HHV3" i="7"/>
  <c r="HII3" i="7"/>
  <c r="HIU3" i="7"/>
  <c r="HJI3" i="7"/>
  <c r="HJV3" i="7"/>
  <c r="HKH3" i="7"/>
  <c r="HKU3" i="7"/>
  <c r="HLG3" i="7"/>
  <c r="HLU3" i="7"/>
  <c r="HMH3" i="7"/>
  <c r="HMT3" i="7"/>
  <c r="HNG3" i="7"/>
  <c r="HNS3" i="7"/>
  <c r="HOG3" i="7"/>
  <c r="HOR3" i="7"/>
  <c r="HPC3" i="7"/>
  <c r="HPN3" i="7"/>
  <c r="HPX3" i="7"/>
  <c r="HQI3" i="7"/>
  <c r="HQT3" i="7"/>
  <c r="HRD3" i="7"/>
  <c r="HRO3" i="7"/>
  <c r="HRZ3" i="7"/>
  <c r="HSJ3" i="7"/>
  <c r="HSU3" i="7"/>
  <c r="HTF3" i="7"/>
  <c r="HTP3" i="7"/>
  <c r="HUA3" i="7"/>
  <c r="HUL3" i="7"/>
  <c r="HUV3" i="7"/>
  <c r="HVG3" i="7"/>
  <c r="HVR3" i="7"/>
  <c r="HWB3" i="7"/>
  <c r="HWM3" i="7"/>
  <c r="HWX3" i="7"/>
  <c r="HXH3" i="7"/>
  <c r="HXS3" i="7"/>
  <c r="HYD3" i="7"/>
  <c r="HYN3" i="7"/>
  <c r="HYX3" i="7"/>
  <c r="HZG3" i="7"/>
  <c r="BWB3" i="7"/>
  <c r="CBF3" i="7"/>
  <c r="CGD3" i="7"/>
  <c r="CLB3" i="7"/>
  <c r="CPZ3" i="7"/>
  <c r="CUX3" i="7"/>
  <c r="CZV3" i="7"/>
  <c r="DET3" i="7"/>
  <c r="DJR3" i="7"/>
  <c r="DOP3" i="7"/>
  <c r="DTN3" i="7"/>
  <c r="DYL3" i="7"/>
  <c r="EDJ3" i="7"/>
  <c r="EIH3" i="7"/>
  <c r="EMI3" i="7"/>
  <c r="EPR3" i="7"/>
  <c r="ERZ3" i="7"/>
  <c r="ETF3" i="7"/>
  <c r="EUL3" i="7"/>
  <c r="EVR3" i="7"/>
  <c r="EWX3" i="7"/>
  <c r="EYD3" i="7"/>
  <c r="EZJ3" i="7"/>
  <c r="FAP3" i="7"/>
  <c r="FBV3" i="7"/>
  <c r="FDB3" i="7"/>
  <c r="FEH3" i="7"/>
  <c r="FFN3" i="7"/>
  <c r="FGT3" i="7"/>
  <c r="FHZ3" i="7"/>
  <c r="FJF3" i="7"/>
  <c r="FKL3" i="7"/>
  <c r="FLR3" i="7"/>
  <c r="FMX3" i="7"/>
  <c r="FOD3" i="7"/>
  <c r="FPJ3" i="7"/>
  <c r="FQP3" i="7"/>
  <c r="FRV3" i="7"/>
  <c r="FTB3" i="7"/>
  <c r="FUH3" i="7"/>
  <c r="FVN3" i="7"/>
  <c r="FWT3" i="7"/>
  <c r="FXZ3" i="7"/>
  <c r="FZF3" i="7"/>
  <c r="GAL3" i="7"/>
  <c r="GBE3" i="7"/>
  <c r="GBU3" i="7"/>
  <c r="GCK3" i="7"/>
  <c r="GDA3" i="7"/>
  <c r="GDQ3" i="7"/>
  <c r="GEG3" i="7"/>
  <c r="GEW3" i="7"/>
  <c r="GFM3" i="7"/>
  <c r="GGC3" i="7"/>
  <c r="GGS3" i="7"/>
  <c r="GHI3" i="7"/>
  <c r="GHY3" i="7"/>
  <c r="GIO3" i="7"/>
  <c r="GJE3" i="7"/>
  <c r="GJU3" i="7"/>
  <c r="GKK3" i="7"/>
  <c r="GLA3" i="7"/>
  <c r="GLQ3" i="7"/>
  <c r="GMG3" i="7"/>
  <c r="GMW3" i="7"/>
  <c r="GNM3" i="7"/>
  <c r="GOC3" i="7"/>
  <c r="GOS3" i="7"/>
  <c r="GPI3" i="7"/>
  <c r="GPY3" i="7"/>
  <c r="GQO3" i="7"/>
  <c r="GRE3" i="7"/>
  <c r="GRU3" i="7"/>
  <c r="GSK3" i="7"/>
  <c r="GTA3" i="7"/>
  <c r="GTQ3" i="7"/>
  <c r="GUG3" i="7"/>
  <c r="GUW3" i="7"/>
  <c r="GVM3" i="7"/>
  <c r="GWC3" i="7"/>
  <c r="GWS3" i="7"/>
  <c r="GXI3" i="7"/>
  <c r="GXY3" i="7"/>
  <c r="GYO3" i="7"/>
  <c r="GZE3" i="7"/>
  <c r="GZU3" i="7"/>
  <c r="HAK3" i="7"/>
  <c r="HBA3" i="7"/>
  <c r="HBQ3" i="7"/>
  <c r="HCG3" i="7"/>
  <c r="HCW3" i="7"/>
  <c r="HDM3" i="7"/>
  <c r="HEC3" i="7"/>
  <c r="HES3" i="7"/>
  <c r="HFI3" i="7"/>
  <c r="HFY3" i="7"/>
  <c r="HGL3" i="7"/>
  <c r="HGX3" i="7"/>
  <c r="HHK3" i="7"/>
  <c r="HHW3" i="7"/>
  <c r="HIK3" i="7"/>
  <c r="HIX3" i="7"/>
  <c r="HJJ3" i="7"/>
  <c r="HJW3" i="7"/>
  <c r="HKI3" i="7"/>
  <c r="HKW3" i="7"/>
  <c r="HLJ3" i="7"/>
  <c r="HLV3" i="7"/>
  <c r="HMI3" i="7"/>
  <c r="HMU3" i="7"/>
  <c r="HNI3" i="7"/>
  <c r="HNV3" i="7"/>
  <c r="HOH3" i="7"/>
  <c r="HOT3" i="7"/>
  <c r="HPE3" i="7"/>
  <c r="HPO3" i="7"/>
  <c r="HPZ3" i="7"/>
  <c r="HQK3" i="7"/>
  <c r="HQU3" i="7"/>
  <c r="HRF3" i="7"/>
  <c r="HRQ3" i="7"/>
  <c r="HSA3" i="7"/>
  <c r="HSL3" i="7"/>
  <c r="HSW3" i="7"/>
  <c r="HTG3" i="7"/>
  <c r="HTR3" i="7"/>
  <c r="HUC3" i="7"/>
  <c r="HUM3" i="7"/>
  <c r="HUX3" i="7"/>
  <c r="HVI3" i="7"/>
  <c r="HVS3" i="7"/>
  <c r="HWD3" i="7"/>
  <c r="HWO3" i="7"/>
  <c r="HWY3" i="7"/>
  <c r="HXJ3" i="7"/>
  <c r="HXU3" i="7"/>
  <c r="HYE3" i="7"/>
  <c r="HYP3" i="7"/>
  <c r="HYY3" i="7"/>
  <c r="HZI3" i="7"/>
  <c r="HZR3" i="7"/>
  <c r="IAA3" i="7"/>
  <c r="IAJ3" i="7"/>
  <c r="IAS3" i="7"/>
  <c r="IBB3" i="7"/>
  <c r="IBK3" i="7"/>
  <c r="IBS3" i="7"/>
  <c r="ICA3" i="7"/>
  <c r="ICI3" i="7"/>
  <c r="ICQ3" i="7"/>
  <c r="ICY3" i="7"/>
  <c r="IDG3" i="7"/>
  <c r="IDO3" i="7"/>
  <c r="IDW3" i="7"/>
  <c r="IEE3" i="7"/>
  <c r="IEM3" i="7"/>
  <c r="IEU3" i="7"/>
  <c r="IFC3" i="7"/>
  <c r="IFK3" i="7"/>
  <c r="IFS3" i="7"/>
  <c r="IGA3" i="7"/>
  <c r="IGI3" i="7"/>
  <c r="IGQ3" i="7"/>
  <c r="IGY3" i="7"/>
  <c r="IHG3" i="7"/>
  <c r="IHO3" i="7"/>
  <c r="IHW3" i="7"/>
  <c r="IIE3" i="7"/>
  <c r="IIM3" i="7"/>
  <c r="IIU3" i="7"/>
  <c r="IJC3" i="7"/>
  <c r="IJK3" i="7"/>
  <c r="IJS3" i="7"/>
  <c r="IKA3" i="7"/>
  <c r="IKI3" i="7"/>
  <c r="IKQ3" i="7"/>
  <c r="IKY3" i="7"/>
  <c r="ILG3" i="7"/>
  <c r="ILO3" i="7"/>
  <c r="ILW3" i="7"/>
  <c r="IME3" i="7"/>
  <c r="IMM3" i="7"/>
  <c r="IMU3" i="7"/>
  <c r="INC3" i="7"/>
  <c r="INK3" i="7"/>
  <c r="INS3" i="7"/>
  <c r="IOA3" i="7"/>
  <c r="IOI3" i="7"/>
  <c r="IOQ3" i="7"/>
  <c r="IOY3" i="7"/>
  <c r="IPG3" i="7"/>
  <c r="IPO3" i="7"/>
  <c r="IPW3" i="7"/>
  <c r="IQE3" i="7"/>
  <c r="IQM3" i="7"/>
  <c r="IQU3" i="7"/>
  <c r="IRC3" i="7"/>
  <c r="IRK3" i="7"/>
  <c r="IRS3" i="7"/>
  <c r="ISA3" i="7"/>
  <c r="ISI3" i="7"/>
  <c r="ISQ3" i="7"/>
  <c r="ISY3" i="7"/>
  <c r="ITG3" i="7"/>
  <c r="ITO3" i="7"/>
  <c r="ITW3" i="7"/>
  <c r="IUE3" i="7"/>
  <c r="IUM3" i="7"/>
  <c r="IUU3" i="7"/>
  <c r="IVC3" i="7"/>
  <c r="IVK3" i="7"/>
  <c r="IVS3" i="7"/>
  <c r="IWA3" i="7"/>
  <c r="IWI3" i="7"/>
  <c r="IWQ3" i="7"/>
  <c r="IWY3" i="7"/>
  <c r="IXG3" i="7"/>
  <c r="IXO3" i="7"/>
  <c r="IXW3" i="7"/>
  <c r="IYE3" i="7"/>
  <c r="IYM3" i="7"/>
  <c r="IYU3" i="7"/>
  <c r="IZC3" i="7"/>
  <c r="IZK3" i="7"/>
  <c r="IZS3" i="7"/>
  <c r="JAA3" i="7"/>
  <c r="JAI3" i="7"/>
  <c r="JAQ3" i="7"/>
  <c r="JAY3" i="7"/>
  <c r="JBG3" i="7"/>
  <c r="JBO3" i="7"/>
  <c r="JBW3" i="7"/>
  <c r="JCE3" i="7"/>
  <c r="JCM3" i="7"/>
  <c r="JCU3" i="7"/>
  <c r="JDC3" i="7"/>
  <c r="JDK3" i="7"/>
  <c r="JDS3" i="7"/>
  <c r="JEA3" i="7"/>
  <c r="JEI3" i="7"/>
  <c r="JEQ3" i="7"/>
  <c r="JEY3" i="7"/>
  <c r="JFG3" i="7"/>
  <c r="JFO3" i="7"/>
  <c r="JFW3" i="7"/>
  <c r="JGE3" i="7"/>
  <c r="JGM3" i="7"/>
  <c r="JGU3" i="7"/>
  <c r="BWD3" i="7"/>
  <c r="CBG3" i="7"/>
  <c r="CGE3" i="7"/>
  <c r="CLC3" i="7"/>
  <c r="CQA3" i="7"/>
  <c r="CUY3" i="7"/>
  <c r="CZW3" i="7"/>
  <c r="DEU3" i="7"/>
  <c r="DJS3" i="7"/>
  <c r="DOQ3" i="7"/>
  <c r="DTO3" i="7"/>
  <c r="DYM3" i="7"/>
  <c r="EDK3" i="7"/>
  <c r="EII3" i="7"/>
  <c r="EMN3" i="7"/>
  <c r="EPS3" i="7"/>
  <c r="ESA3" i="7"/>
  <c r="ETG3" i="7"/>
  <c r="EUM3" i="7"/>
  <c r="EVS3" i="7"/>
  <c r="EWY3" i="7"/>
  <c r="EYE3" i="7"/>
  <c r="EZK3" i="7"/>
  <c r="FAQ3" i="7"/>
  <c r="FBW3" i="7"/>
  <c r="FDC3" i="7"/>
  <c r="FEI3" i="7"/>
  <c r="FFO3" i="7"/>
  <c r="FGU3" i="7"/>
  <c r="FIA3" i="7"/>
  <c r="FJG3" i="7"/>
  <c r="FKM3" i="7"/>
  <c r="FLS3" i="7"/>
  <c r="FMY3" i="7"/>
  <c r="FOE3" i="7"/>
  <c r="FPK3" i="7"/>
  <c r="FQQ3" i="7"/>
  <c r="FRW3" i="7"/>
  <c r="FTC3" i="7"/>
  <c r="FUI3" i="7"/>
  <c r="FVO3" i="7"/>
  <c r="FWU3" i="7"/>
  <c r="FYA3" i="7"/>
  <c r="FZG3" i="7"/>
  <c r="GAM3" i="7"/>
  <c r="GBG3" i="7"/>
  <c r="GBW3" i="7"/>
  <c r="GCM3" i="7"/>
  <c r="GDC3" i="7"/>
  <c r="GDS3" i="7"/>
  <c r="GEI3" i="7"/>
  <c r="GEY3" i="7"/>
  <c r="GFO3" i="7"/>
  <c r="GGE3" i="7"/>
  <c r="GGU3" i="7"/>
  <c r="GHK3" i="7"/>
  <c r="GIA3" i="7"/>
  <c r="GIQ3" i="7"/>
  <c r="GJG3" i="7"/>
  <c r="GJW3" i="7"/>
  <c r="GKM3" i="7"/>
  <c r="GLC3" i="7"/>
  <c r="GLS3" i="7"/>
  <c r="GMI3" i="7"/>
  <c r="GMY3" i="7"/>
  <c r="GNO3" i="7"/>
  <c r="GOE3" i="7"/>
  <c r="GOU3" i="7"/>
  <c r="GPK3" i="7"/>
  <c r="GQA3" i="7"/>
  <c r="GQQ3" i="7"/>
  <c r="GRG3" i="7"/>
  <c r="GRW3" i="7"/>
  <c r="GSM3" i="7"/>
  <c r="GTC3" i="7"/>
  <c r="GTS3" i="7"/>
  <c r="GUI3" i="7"/>
  <c r="GUY3" i="7"/>
  <c r="GVO3" i="7"/>
  <c r="GWE3" i="7"/>
  <c r="GWU3" i="7"/>
  <c r="GXK3" i="7"/>
  <c r="GYA3" i="7"/>
  <c r="GYQ3" i="7"/>
  <c r="GZG3" i="7"/>
  <c r="GZW3" i="7"/>
  <c r="HAM3" i="7"/>
  <c r="HBC3" i="7"/>
  <c r="HBS3" i="7"/>
  <c r="HCI3" i="7"/>
  <c r="HCY3" i="7"/>
  <c r="HDO3" i="7"/>
  <c r="HEE3" i="7"/>
  <c r="HEU3" i="7"/>
  <c r="HFK3" i="7"/>
  <c r="HFZ3" i="7"/>
  <c r="HGM3" i="7"/>
  <c r="HGY3" i="7"/>
  <c r="HHM3" i="7"/>
  <c r="HHZ3" i="7"/>
  <c r="HIL3" i="7"/>
  <c r="HIY3" i="7"/>
  <c r="HJK3" i="7"/>
  <c r="HJY3" i="7"/>
  <c r="HKL3" i="7"/>
  <c r="HKX3" i="7"/>
  <c r="HLK3" i="7"/>
  <c r="HLW3" i="7"/>
  <c r="HMK3" i="7"/>
  <c r="HMX3" i="7"/>
  <c r="HNJ3" i="7"/>
  <c r="HNW3" i="7"/>
  <c r="HOI3" i="7"/>
  <c r="HOU3" i="7"/>
  <c r="HPF3" i="7"/>
  <c r="HPP3" i="7"/>
  <c r="HQA3" i="7"/>
  <c r="HQL3" i="7"/>
  <c r="HQV3" i="7"/>
  <c r="HRG3" i="7"/>
  <c r="HRR3" i="7"/>
  <c r="HSB3" i="7"/>
  <c r="HSM3" i="7"/>
  <c r="HSX3" i="7"/>
  <c r="HTH3" i="7"/>
  <c r="HTS3" i="7"/>
  <c r="HUD3" i="7"/>
  <c r="HUN3" i="7"/>
  <c r="HUY3" i="7"/>
  <c r="HVJ3" i="7"/>
  <c r="HVT3" i="7"/>
  <c r="HWE3" i="7"/>
  <c r="HWP3" i="7"/>
  <c r="HWZ3" i="7"/>
  <c r="HXK3" i="7"/>
  <c r="HXV3" i="7"/>
  <c r="HYF3" i="7"/>
  <c r="HYQ3" i="7"/>
  <c r="HZA3" i="7"/>
  <c r="HZJ3" i="7"/>
  <c r="HZS3" i="7"/>
  <c r="IAB3" i="7"/>
  <c r="IAK3" i="7"/>
  <c r="IAT3" i="7"/>
  <c r="IBC3" i="7"/>
  <c r="IBL3" i="7"/>
  <c r="IBT3" i="7"/>
  <c r="ICB3" i="7"/>
  <c r="ICJ3" i="7"/>
  <c r="ICR3" i="7"/>
  <c r="ICZ3" i="7"/>
  <c r="IDH3" i="7"/>
  <c r="IDP3" i="7"/>
  <c r="IDX3" i="7"/>
  <c r="IEF3" i="7"/>
  <c r="IEN3" i="7"/>
  <c r="IEV3" i="7"/>
  <c r="IFD3" i="7"/>
  <c r="IFL3" i="7"/>
  <c r="IFT3" i="7"/>
  <c r="IGB3" i="7"/>
  <c r="IGJ3" i="7"/>
  <c r="IGR3" i="7"/>
  <c r="IGZ3" i="7"/>
  <c r="IHH3" i="7"/>
  <c r="IHP3" i="7"/>
  <c r="IHX3" i="7"/>
  <c r="IIF3" i="7"/>
  <c r="IIN3" i="7"/>
  <c r="IIV3" i="7"/>
  <c r="IJD3" i="7"/>
  <c r="IJL3" i="7"/>
  <c r="IJT3" i="7"/>
  <c r="IKB3" i="7"/>
  <c r="IKJ3" i="7"/>
  <c r="IKR3" i="7"/>
  <c r="IKZ3" i="7"/>
  <c r="ILH3" i="7"/>
  <c r="ILP3" i="7"/>
  <c r="ILX3" i="7"/>
  <c r="IMF3" i="7"/>
  <c r="IMN3" i="7"/>
  <c r="IMV3" i="7"/>
  <c r="IND3" i="7"/>
  <c r="INL3" i="7"/>
  <c r="INT3" i="7"/>
  <c r="IOB3" i="7"/>
  <c r="IOJ3" i="7"/>
  <c r="IOR3" i="7"/>
  <c r="IOZ3" i="7"/>
  <c r="IPH3" i="7"/>
  <c r="IPP3" i="7"/>
  <c r="IPX3" i="7"/>
  <c r="IQF3" i="7"/>
  <c r="IQN3" i="7"/>
  <c r="IQV3" i="7"/>
  <c r="IRD3" i="7"/>
  <c r="IRL3" i="7"/>
  <c r="IRT3" i="7"/>
  <c r="ISB3" i="7"/>
  <c r="ISJ3" i="7"/>
  <c r="ISR3" i="7"/>
  <c r="ISZ3" i="7"/>
  <c r="ITH3" i="7"/>
  <c r="ITP3" i="7"/>
  <c r="ITX3" i="7"/>
  <c r="IUF3" i="7"/>
  <c r="IUN3" i="7"/>
  <c r="IUV3" i="7"/>
  <c r="IVD3" i="7"/>
  <c r="IVL3" i="7"/>
  <c r="IVT3" i="7"/>
  <c r="IWB3" i="7"/>
  <c r="IWJ3" i="7"/>
  <c r="IWR3" i="7"/>
  <c r="IWZ3" i="7"/>
  <c r="IXH3" i="7"/>
  <c r="IXP3" i="7"/>
  <c r="IXX3" i="7"/>
  <c r="IYF3" i="7"/>
  <c r="IYN3" i="7"/>
  <c r="IYV3" i="7"/>
  <c r="IZD3" i="7"/>
  <c r="IZL3" i="7"/>
  <c r="IZT3" i="7"/>
  <c r="JAB3" i="7"/>
  <c r="JAJ3" i="7"/>
  <c r="JAR3" i="7"/>
  <c r="JAZ3" i="7"/>
  <c r="JBH3" i="7"/>
  <c r="JBP3" i="7"/>
  <c r="JBX3" i="7"/>
  <c r="JCF3" i="7"/>
  <c r="JCN3" i="7"/>
  <c r="JCV3" i="7"/>
  <c r="JDD3" i="7"/>
  <c r="JDL3" i="7"/>
  <c r="JDT3" i="7"/>
  <c r="JEB3" i="7"/>
  <c r="JEJ3" i="7"/>
  <c r="JER3" i="7"/>
  <c r="JEZ3" i="7"/>
  <c r="JFH3" i="7"/>
  <c r="JFP3" i="7"/>
  <c r="JFX3" i="7"/>
  <c r="JGF3" i="7"/>
  <c r="JGN3" i="7"/>
  <c r="JGV3" i="7"/>
  <c r="JHD3" i="7"/>
  <c r="JHL3" i="7"/>
  <c r="JHT3" i="7"/>
  <c r="JIB3" i="7"/>
  <c r="JIJ3" i="7"/>
  <c r="JIR3" i="7"/>
  <c r="JIZ3" i="7"/>
  <c r="BXM3" i="7"/>
  <c r="CCL3" i="7"/>
  <c r="CHJ3" i="7"/>
  <c r="CMH3" i="7"/>
  <c r="CRF3" i="7"/>
  <c r="CWD3" i="7"/>
  <c r="DBB3" i="7"/>
  <c r="DFZ3" i="7"/>
  <c r="DKX3" i="7"/>
  <c r="DPV3" i="7"/>
  <c r="DUT3" i="7"/>
  <c r="DZR3" i="7"/>
  <c r="EEP3" i="7"/>
  <c r="EJN3" i="7"/>
  <c r="ENF3" i="7"/>
  <c r="EQN3" i="7"/>
  <c r="ESH3" i="7"/>
  <c r="ETN3" i="7"/>
  <c r="EUT3" i="7"/>
  <c r="EVZ3" i="7"/>
  <c r="EXF3" i="7"/>
  <c r="EYL3" i="7"/>
  <c r="EZR3" i="7"/>
  <c r="FAX3" i="7"/>
  <c r="FCD3" i="7"/>
  <c r="FDJ3" i="7"/>
  <c r="FEP3" i="7"/>
  <c r="FFV3" i="7"/>
  <c r="FHB3" i="7"/>
  <c r="FIH3" i="7"/>
  <c r="FJN3" i="7"/>
  <c r="FKT3" i="7"/>
  <c r="FLZ3" i="7"/>
  <c r="FNF3" i="7"/>
  <c r="FOL3" i="7"/>
  <c r="FPR3" i="7"/>
  <c r="FQX3" i="7"/>
  <c r="FSD3" i="7"/>
  <c r="FTJ3" i="7"/>
  <c r="FUP3" i="7"/>
  <c r="FVV3" i="7"/>
  <c r="FXB3" i="7"/>
  <c r="FYH3" i="7"/>
  <c r="FZN3" i="7"/>
  <c r="GAO3" i="7"/>
  <c r="GBJ3" i="7"/>
  <c r="GBZ3" i="7"/>
  <c r="GCP3" i="7"/>
  <c r="GDF3" i="7"/>
  <c r="GDV3" i="7"/>
  <c r="GEL3" i="7"/>
  <c r="GFB3" i="7"/>
  <c r="GFR3" i="7"/>
  <c r="GGH3" i="7"/>
  <c r="GGX3" i="7"/>
  <c r="GHN3" i="7"/>
  <c r="GID3" i="7"/>
  <c r="GIT3" i="7"/>
  <c r="GJJ3" i="7"/>
  <c r="GJZ3" i="7"/>
  <c r="GKP3" i="7"/>
  <c r="GLF3" i="7"/>
  <c r="GLV3" i="7"/>
  <c r="GML3" i="7"/>
  <c r="GNB3" i="7"/>
  <c r="GNR3" i="7"/>
  <c r="GOH3" i="7"/>
  <c r="GOX3" i="7"/>
  <c r="GPN3" i="7"/>
  <c r="GQD3" i="7"/>
  <c r="GQT3" i="7"/>
  <c r="GRJ3" i="7"/>
  <c r="GRZ3" i="7"/>
  <c r="GSP3" i="7"/>
  <c r="GTF3" i="7"/>
  <c r="GTV3" i="7"/>
  <c r="GUL3" i="7"/>
  <c r="GVB3" i="7"/>
  <c r="GVR3" i="7"/>
  <c r="GWH3" i="7"/>
  <c r="GWX3" i="7"/>
  <c r="GXN3" i="7"/>
  <c r="GYD3" i="7"/>
  <c r="GYT3" i="7"/>
  <c r="GZJ3" i="7"/>
  <c r="GZZ3" i="7"/>
  <c r="HAP3" i="7"/>
  <c r="HBF3" i="7"/>
  <c r="HBV3" i="7"/>
  <c r="HCL3" i="7"/>
  <c r="HDB3" i="7"/>
  <c r="HDR3" i="7"/>
  <c r="HEH3" i="7"/>
  <c r="HEX3" i="7"/>
  <c r="HFN3" i="7"/>
  <c r="HGA3" i="7"/>
  <c r="HGO3" i="7"/>
  <c r="HHB3" i="7"/>
  <c r="HHN3" i="7"/>
  <c r="HIA3" i="7"/>
  <c r="HIM3" i="7"/>
  <c r="HJA3" i="7"/>
  <c r="HJN3" i="7"/>
  <c r="HJZ3" i="7"/>
  <c r="HKM3" i="7"/>
  <c r="HKY3" i="7"/>
  <c r="HLM3" i="7"/>
  <c r="HLZ3" i="7"/>
  <c r="HML3" i="7"/>
  <c r="HMY3" i="7"/>
  <c r="HNK3" i="7"/>
  <c r="HNY3" i="7"/>
  <c r="HOL3" i="7"/>
  <c r="HOW3" i="7"/>
  <c r="HPG3" i="7"/>
  <c r="HPR3" i="7"/>
  <c r="HQC3" i="7"/>
  <c r="HQM3" i="7"/>
  <c r="HQX3" i="7"/>
  <c r="HRI3" i="7"/>
  <c r="HRS3" i="7"/>
  <c r="HSD3" i="7"/>
  <c r="HSO3" i="7"/>
  <c r="HSY3" i="7"/>
  <c r="HTJ3" i="7"/>
  <c r="HTU3" i="7"/>
  <c r="HUE3" i="7"/>
  <c r="HUP3" i="7"/>
  <c r="HVA3" i="7"/>
  <c r="HVK3" i="7"/>
  <c r="HVV3" i="7"/>
  <c r="HWG3" i="7"/>
  <c r="HWQ3" i="7"/>
  <c r="HXB3" i="7"/>
  <c r="HXM3" i="7"/>
  <c r="HXW3" i="7"/>
  <c r="HYH3" i="7"/>
  <c r="HYS3" i="7"/>
  <c r="HZB3" i="7"/>
  <c r="HZK3" i="7"/>
  <c r="HZT3" i="7"/>
  <c r="IAC3" i="7"/>
  <c r="IAL3" i="7"/>
  <c r="IAU3" i="7"/>
  <c r="IBE3" i="7"/>
  <c r="IBM3" i="7"/>
  <c r="IBU3" i="7"/>
  <c r="ICC3" i="7"/>
  <c r="ICK3" i="7"/>
  <c r="ICS3" i="7"/>
  <c r="IDA3" i="7"/>
  <c r="IDI3" i="7"/>
  <c r="IDQ3" i="7"/>
  <c r="IDY3" i="7"/>
  <c r="IEG3" i="7"/>
  <c r="IEO3" i="7"/>
  <c r="IEW3" i="7"/>
  <c r="IFE3" i="7"/>
  <c r="IFM3" i="7"/>
  <c r="IFU3" i="7"/>
  <c r="IGC3" i="7"/>
  <c r="IGK3" i="7"/>
  <c r="IGS3" i="7"/>
  <c r="IHA3" i="7"/>
  <c r="IHI3" i="7"/>
  <c r="IHQ3" i="7"/>
  <c r="IHY3" i="7"/>
  <c r="IIG3" i="7"/>
  <c r="IIO3" i="7"/>
  <c r="IIW3" i="7"/>
  <c r="IJE3" i="7"/>
  <c r="IJM3" i="7"/>
  <c r="IJU3" i="7"/>
  <c r="IKC3" i="7"/>
  <c r="IKK3" i="7"/>
  <c r="IKS3" i="7"/>
  <c r="ILA3" i="7"/>
  <c r="ILI3" i="7"/>
  <c r="ILQ3" i="7"/>
  <c r="ILY3" i="7"/>
  <c r="IMG3" i="7"/>
  <c r="IMO3" i="7"/>
  <c r="IMW3" i="7"/>
  <c r="INE3" i="7"/>
  <c r="INM3" i="7"/>
  <c r="INU3" i="7"/>
  <c r="IOC3" i="7"/>
  <c r="IOK3" i="7"/>
  <c r="IOS3" i="7"/>
  <c r="IPA3" i="7"/>
  <c r="IPI3" i="7"/>
  <c r="IPQ3" i="7"/>
  <c r="IPY3" i="7"/>
  <c r="IQG3" i="7"/>
  <c r="IQO3" i="7"/>
  <c r="IQW3" i="7"/>
  <c r="IRE3" i="7"/>
  <c r="IRM3" i="7"/>
  <c r="IRU3" i="7"/>
  <c r="ISC3" i="7"/>
  <c r="ISK3" i="7"/>
  <c r="ISS3" i="7"/>
  <c r="ITA3" i="7"/>
  <c r="ITI3" i="7"/>
  <c r="ITQ3" i="7"/>
  <c r="ITY3" i="7"/>
  <c r="IUG3" i="7"/>
  <c r="IUO3" i="7"/>
  <c r="IUW3" i="7"/>
  <c r="IVE3" i="7"/>
  <c r="IVM3" i="7"/>
  <c r="IVU3" i="7"/>
  <c r="IWC3" i="7"/>
  <c r="IWK3" i="7"/>
  <c r="IWS3" i="7"/>
  <c r="IXA3" i="7"/>
  <c r="IXI3" i="7"/>
  <c r="IXQ3" i="7"/>
  <c r="IXY3" i="7"/>
  <c r="IYG3" i="7"/>
  <c r="IYO3" i="7"/>
  <c r="IYW3" i="7"/>
  <c r="IZE3" i="7"/>
  <c r="IZM3" i="7"/>
  <c r="IZU3" i="7"/>
  <c r="JAC3" i="7"/>
  <c r="JAK3" i="7"/>
  <c r="JAS3" i="7"/>
  <c r="JBA3" i="7"/>
  <c r="JBI3" i="7"/>
  <c r="JBQ3" i="7"/>
  <c r="JBY3" i="7"/>
  <c r="JCG3" i="7"/>
  <c r="JCO3" i="7"/>
  <c r="JCW3" i="7"/>
  <c r="JDE3" i="7"/>
  <c r="JDM3" i="7"/>
  <c r="JDU3" i="7"/>
  <c r="JEC3" i="7"/>
  <c r="JEK3" i="7"/>
  <c r="JES3" i="7"/>
  <c r="JFA3" i="7"/>
  <c r="JFI3" i="7"/>
  <c r="JFQ3" i="7"/>
  <c r="JFY3" i="7"/>
  <c r="JGG3" i="7"/>
  <c r="JGO3" i="7"/>
  <c r="JGW3" i="7"/>
  <c r="JHE3" i="7"/>
  <c r="JHM3" i="7"/>
  <c r="BYT3" i="7"/>
  <c r="CDR3" i="7"/>
  <c r="CIP3" i="7"/>
  <c r="CNN3" i="7"/>
  <c r="CSL3" i="7"/>
  <c r="CXJ3" i="7"/>
  <c r="DCH3" i="7"/>
  <c r="DHF3" i="7"/>
  <c r="DMD3" i="7"/>
  <c r="DRB3" i="7"/>
  <c r="DVZ3" i="7"/>
  <c r="EAX3" i="7"/>
  <c r="EFV3" i="7"/>
  <c r="EKT3" i="7"/>
  <c r="EOB3" i="7"/>
  <c r="ERG3" i="7"/>
  <c r="ESP3" i="7"/>
  <c r="ETV3" i="7"/>
  <c r="EVB3" i="7"/>
  <c r="EWH3" i="7"/>
  <c r="EXN3" i="7"/>
  <c r="EYT3" i="7"/>
  <c r="EZZ3" i="7"/>
  <c r="FBF3" i="7"/>
  <c r="FCL3" i="7"/>
  <c r="FDR3" i="7"/>
  <c r="FEX3" i="7"/>
  <c r="FGD3" i="7"/>
  <c r="FHJ3" i="7"/>
  <c r="FIP3" i="7"/>
  <c r="FJV3" i="7"/>
  <c r="FLB3" i="7"/>
  <c r="FMH3" i="7"/>
  <c r="FNN3" i="7"/>
  <c r="FOT3" i="7"/>
  <c r="FPZ3" i="7"/>
  <c r="FRF3" i="7"/>
  <c r="FSL3" i="7"/>
  <c r="FTR3" i="7"/>
  <c r="FUX3" i="7"/>
  <c r="FWD3" i="7"/>
  <c r="FXJ3" i="7"/>
  <c r="FYP3" i="7"/>
  <c r="FZV3" i="7"/>
  <c r="GAU3" i="7"/>
  <c r="GBM3" i="7"/>
  <c r="GCC3" i="7"/>
  <c r="GCS3" i="7"/>
  <c r="GDI3" i="7"/>
  <c r="GDY3" i="7"/>
  <c r="GEO3" i="7"/>
  <c r="GFE3" i="7"/>
  <c r="GFU3" i="7"/>
  <c r="GGK3" i="7"/>
  <c r="GHA3" i="7"/>
  <c r="GHQ3" i="7"/>
  <c r="GIG3" i="7"/>
  <c r="GIW3" i="7"/>
  <c r="GJM3" i="7"/>
  <c r="GKC3" i="7"/>
  <c r="GKS3" i="7"/>
  <c r="GLI3" i="7"/>
  <c r="GLY3" i="7"/>
  <c r="GMO3" i="7"/>
  <c r="GNE3" i="7"/>
  <c r="GNU3" i="7"/>
  <c r="GOK3" i="7"/>
  <c r="GPA3" i="7"/>
  <c r="GPQ3" i="7"/>
  <c r="GQG3" i="7"/>
  <c r="GQW3" i="7"/>
  <c r="GRM3" i="7"/>
  <c r="GSC3" i="7"/>
  <c r="GSS3" i="7"/>
  <c r="GTI3" i="7"/>
  <c r="GTY3" i="7"/>
  <c r="GUO3" i="7"/>
  <c r="GVE3" i="7"/>
  <c r="GVU3" i="7"/>
  <c r="GWK3" i="7"/>
  <c r="GXA3" i="7"/>
  <c r="GXQ3" i="7"/>
  <c r="GYG3" i="7"/>
  <c r="GYW3" i="7"/>
  <c r="GZM3" i="7"/>
  <c r="HAC3" i="7"/>
  <c r="HAS3" i="7"/>
  <c r="HBI3" i="7"/>
  <c r="HBY3" i="7"/>
  <c r="HCO3" i="7"/>
  <c r="HDE3" i="7"/>
  <c r="HDU3" i="7"/>
  <c r="HEK3" i="7"/>
  <c r="HFA3" i="7"/>
  <c r="HFQ3" i="7"/>
  <c r="HGE3" i="7"/>
  <c r="HGQ3" i="7"/>
  <c r="HHE3" i="7"/>
  <c r="HHR3" i="7"/>
  <c r="HID3" i="7"/>
  <c r="HIQ3" i="7"/>
  <c r="HJC3" i="7"/>
  <c r="HJQ3" i="7"/>
  <c r="HKD3" i="7"/>
  <c r="HKP3" i="7"/>
  <c r="HLC3" i="7"/>
  <c r="HLO3" i="7"/>
  <c r="HMC3" i="7"/>
  <c r="HMP3" i="7"/>
  <c r="HNB3" i="7"/>
  <c r="HNO3" i="7"/>
  <c r="HOA3" i="7"/>
  <c r="HOO3" i="7"/>
  <c r="HOY3" i="7"/>
  <c r="HPJ3" i="7"/>
  <c r="HPU3" i="7"/>
  <c r="HQE3" i="7"/>
  <c r="HQP3" i="7"/>
  <c r="HRA3" i="7"/>
  <c r="HRK3" i="7"/>
  <c r="HRV3" i="7"/>
  <c r="HSG3" i="7"/>
  <c r="HSQ3" i="7"/>
  <c r="HTB3" i="7"/>
  <c r="HTM3" i="7"/>
  <c r="HTW3" i="7"/>
  <c r="HUH3" i="7"/>
  <c r="HUS3" i="7"/>
  <c r="HVC3" i="7"/>
  <c r="HVN3" i="7"/>
  <c r="HVY3" i="7"/>
  <c r="HWI3" i="7"/>
  <c r="HWT3" i="7"/>
  <c r="HXE3" i="7"/>
  <c r="HXO3" i="7"/>
  <c r="HXZ3" i="7"/>
  <c r="HYK3" i="7"/>
  <c r="HYU3" i="7"/>
  <c r="HZD3" i="7"/>
  <c r="HZM3" i="7"/>
  <c r="HZV3" i="7"/>
  <c r="IAE3" i="7"/>
  <c r="IAO3" i="7"/>
  <c r="IAX3" i="7"/>
  <c r="IBG3" i="7"/>
  <c r="IBO3" i="7"/>
  <c r="IBW3" i="7"/>
  <c r="ICE3" i="7"/>
  <c r="ICM3" i="7"/>
  <c r="ICU3" i="7"/>
  <c r="IDC3" i="7"/>
  <c r="IDK3" i="7"/>
  <c r="IDS3" i="7"/>
  <c r="IEA3" i="7"/>
  <c r="IEI3" i="7"/>
  <c r="IEQ3" i="7"/>
  <c r="IEY3" i="7"/>
  <c r="IFG3" i="7"/>
  <c r="IFO3" i="7"/>
  <c r="IFW3" i="7"/>
  <c r="IGE3" i="7"/>
  <c r="IGM3" i="7"/>
  <c r="IGU3" i="7"/>
  <c r="IHC3" i="7"/>
  <c r="IHK3" i="7"/>
  <c r="IHS3" i="7"/>
  <c r="IIA3" i="7"/>
  <c r="III3" i="7"/>
  <c r="IIQ3" i="7"/>
  <c r="IIY3" i="7"/>
  <c r="IJG3" i="7"/>
  <c r="IJO3" i="7"/>
  <c r="IJW3" i="7"/>
  <c r="IKE3" i="7"/>
  <c r="IKM3" i="7"/>
  <c r="IKU3" i="7"/>
  <c r="ILC3" i="7"/>
  <c r="ILK3" i="7"/>
  <c r="ILS3" i="7"/>
  <c r="IMA3" i="7"/>
  <c r="IMI3" i="7"/>
  <c r="IMQ3" i="7"/>
  <c r="IMY3" i="7"/>
  <c r="ING3" i="7"/>
  <c r="INO3" i="7"/>
  <c r="INW3" i="7"/>
  <c r="IOE3" i="7"/>
  <c r="IOM3" i="7"/>
  <c r="IOU3" i="7"/>
  <c r="IPC3" i="7"/>
  <c r="IPK3" i="7"/>
  <c r="IPS3" i="7"/>
  <c r="IQA3" i="7"/>
  <c r="IQI3" i="7"/>
  <c r="IQQ3" i="7"/>
  <c r="IQY3" i="7"/>
  <c r="IRG3" i="7"/>
  <c r="IRO3" i="7"/>
  <c r="IRW3" i="7"/>
  <c r="ISE3" i="7"/>
  <c r="ISM3" i="7"/>
  <c r="ISU3" i="7"/>
  <c r="ITC3" i="7"/>
  <c r="ITK3" i="7"/>
  <c r="ITS3" i="7"/>
  <c r="IUA3" i="7"/>
  <c r="IUI3" i="7"/>
  <c r="IUQ3" i="7"/>
  <c r="IUY3" i="7"/>
  <c r="IVG3" i="7"/>
  <c r="IVO3" i="7"/>
  <c r="IVW3" i="7"/>
  <c r="IWE3" i="7"/>
  <c r="IWM3" i="7"/>
  <c r="IWU3" i="7"/>
  <c r="IXC3" i="7"/>
  <c r="IXK3" i="7"/>
  <c r="IXS3" i="7"/>
  <c r="IYA3" i="7"/>
  <c r="IYI3" i="7"/>
  <c r="IYQ3" i="7"/>
  <c r="IYY3" i="7"/>
  <c r="IZG3" i="7"/>
  <c r="IZO3" i="7"/>
  <c r="IZW3" i="7"/>
  <c r="JAE3" i="7"/>
  <c r="JAM3" i="7"/>
  <c r="JAU3" i="7"/>
  <c r="JBC3" i="7"/>
  <c r="JBK3" i="7"/>
  <c r="JBS3" i="7"/>
  <c r="JCA3" i="7"/>
  <c r="JCI3" i="7"/>
  <c r="JCQ3" i="7"/>
  <c r="JCY3" i="7"/>
  <c r="JDG3" i="7"/>
  <c r="JDO3" i="7"/>
  <c r="JDW3" i="7"/>
  <c r="JEE3" i="7"/>
  <c r="JEM3" i="7"/>
  <c r="JEU3" i="7"/>
  <c r="JFC3" i="7"/>
  <c r="JFK3" i="7"/>
  <c r="JFS3" i="7"/>
  <c r="JGA3" i="7"/>
  <c r="JGI3" i="7"/>
  <c r="JGQ3" i="7"/>
  <c r="JGY3" i="7"/>
  <c r="JHG3" i="7"/>
  <c r="JHO3" i="7"/>
  <c r="JHW3" i="7"/>
  <c r="JIE3" i="7"/>
  <c r="JIM3" i="7"/>
  <c r="JIU3" i="7"/>
  <c r="JJC3" i="7"/>
  <c r="BYU3" i="7"/>
  <c r="CDS3" i="7"/>
  <c r="CIQ3" i="7"/>
  <c r="CNO3" i="7"/>
  <c r="CSM3" i="7"/>
  <c r="CXK3" i="7"/>
  <c r="DCI3" i="7"/>
  <c r="DHG3" i="7"/>
  <c r="DME3" i="7"/>
  <c r="DRC3" i="7"/>
  <c r="DWA3" i="7"/>
  <c r="EAY3" i="7"/>
  <c r="EFW3" i="7"/>
  <c r="EKU3" i="7"/>
  <c r="EOD3" i="7"/>
  <c r="ERH3" i="7"/>
  <c r="ESQ3" i="7"/>
  <c r="ETW3" i="7"/>
  <c r="EVC3" i="7"/>
  <c r="EWI3" i="7"/>
  <c r="EXO3" i="7"/>
  <c r="EYU3" i="7"/>
  <c r="FAA3" i="7"/>
  <c r="FBG3" i="7"/>
  <c r="FCM3" i="7"/>
  <c r="FDS3" i="7"/>
  <c r="FEY3" i="7"/>
  <c r="FGE3" i="7"/>
  <c r="FHK3" i="7"/>
  <c r="FIQ3" i="7"/>
  <c r="FJW3" i="7"/>
  <c r="FLC3" i="7"/>
  <c r="FMI3" i="7"/>
  <c r="FNO3" i="7"/>
  <c r="FOU3" i="7"/>
  <c r="FQA3" i="7"/>
  <c r="FRG3" i="7"/>
  <c r="FSM3" i="7"/>
  <c r="FTS3" i="7"/>
  <c r="FUY3" i="7"/>
  <c r="FWE3" i="7"/>
  <c r="FXK3" i="7"/>
  <c r="FYQ3" i="7"/>
  <c r="FZW3" i="7"/>
  <c r="GAW3" i="7"/>
  <c r="GBO3" i="7"/>
  <c r="GCE3" i="7"/>
  <c r="GCU3" i="7"/>
  <c r="GDK3" i="7"/>
  <c r="GEA3" i="7"/>
  <c r="GEQ3" i="7"/>
  <c r="GFG3" i="7"/>
  <c r="GFW3" i="7"/>
  <c r="GGM3" i="7"/>
  <c r="GHC3" i="7"/>
  <c r="GHS3" i="7"/>
  <c r="GII3" i="7"/>
  <c r="GIY3" i="7"/>
  <c r="GJO3" i="7"/>
  <c r="GKE3" i="7"/>
  <c r="GKU3" i="7"/>
  <c r="GLK3" i="7"/>
  <c r="GMA3" i="7"/>
  <c r="GMQ3" i="7"/>
  <c r="GNG3" i="7"/>
  <c r="GNW3" i="7"/>
  <c r="GOM3" i="7"/>
  <c r="GPC3" i="7"/>
  <c r="GPS3" i="7"/>
  <c r="GQI3" i="7"/>
  <c r="GQY3" i="7"/>
  <c r="GRO3" i="7"/>
  <c r="GSE3" i="7"/>
  <c r="GSU3" i="7"/>
  <c r="GTK3" i="7"/>
  <c r="GUA3" i="7"/>
  <c r="GUQ3" i="7"/>
  <c r="GVG3" i="7"/>
  <c r="GVW3" i="7"/>
  <c r="GWM3" i="7"/>
  <c r="GXC3" i="7"/>
  <c r="GXS3" i="7"/>
  <c r="GYI3" i="7"/>
  <c r="GYY3" i="7"/>
  <c r="GZO3" i="7"/>
  <c r="HAE3" i="7"/>
  <c r="HAU3" i="7"/>
  <c r="HBK3" i="7"/>
  <c r="HCA3" i="7"/>
  <c r="HCQ3" i="7"/>
  <c r="HDG3" i="7"/>
  <c r="HDW3" i="7"/>
  <c r="HEM3" i="7"/>
  <c r="HFC3" i="7"/>
  <c r="HFS3" i="7"/>
  <c r="HGG3" i="7"/>
  <c r="HGT3" i="7"/>
  <c r="HHF3" i="7"/>
  <c r="HHS3" i="7"/>
  <c r="HIE3" i="7"/>
  <c r="HIS3" i="7"/>
  <c r="HJF3" i="7"/>
  <c r="HJR3" i="7"/>
  <c r="HKE3" i="7"/>
  <c r="HKQ3" i="7"/>
  <c r="HLE3" i="7"/>
  <c r="HLR3" i="7"/>
  <c r="HMD3" i="7"/>
  <c r="HMQ3" i="7"/>
  <c r="HNC3" i="7"/>
  <c r="HNQ3" i="7"/>
  <c r="HOD3" i="7"/>
  <c r="HOP3" i="7"/>
  <c r="HOZ3" i="7"/>
  <c r="HPK3" i="7"/>
  <c r="HPV3" i="7"/>
  <c r="HQF3" i="7"/>
  <c r="HQQ3" i="7"/>
  <c r="HRB3" i="7"/>
  <c r="HRL3" i="7"/>
  <c r="HRW3" i="7"/>
  <c r="HSH3" i="7"/>
  <c r="HSR3" i="7"/>
  <c r="HTC3" i="7"/>
  <c r="HTN3" i="7"/>
  <c r="HTX3" i="7"/>
  <c r="HUI3" i="7"/>
  <c r="HUT3" i="7"/>
  <c r="HVD3" i="7"/>
  <c r="HVO3" i="7"/>
  <c r="HVZ3" i="7"/>
  <c r="HWJ3" i="7"/>
  <c r="HWU3" i="7"/>
  <c r="HXF3" i="7"/>
  <c r="HXP3" i="7"/>
  <c r="HYA3" i="7"/>
  <c r="HYL3" i="7"/>
  <c r="HYV3" i="7"/>
  <c r="HZE3" i="7"/>
  <c r="HZN3" i="7"/>
  <c r="HZW3" i="7"/>
  <c r="IAG3" i="7"/>
  <c r="IAP3" i="7"/>
  <c r="IAY3" i="7"/>
  <c r="IBH3" i="7"/>
  <c r="IBP3" i="7"/>
  <c r="IBX3" i="7"/>
  <c r="ICF3" i="7"/>
  <c r="ICN3" i="7"/>
  <c r="ICV3" i="7"/>
  <c r="IDD3" i="7"/>
  <c r="IDL3" i="7"/>
  <c r="IDT3" i="7"/>
  <c r="IEB3" i="7"/>
  <c r="IEJ3" i="7"/>
  <c r="IER3" i="7"/>
  <c r="IEZ3" i="7"/>
  <c r="IFH3" i="7"/>
  <c r="IFP3" i="7"/>
  <c r="IFX3" i="7"/>
  <c r="IGF3" i="7"/>
  <c r="IGN3" i="7"/>
  <c r="IGV3" i="7"/>
  <c r="IHD3" i="7"/>
  <c r="IHL3" i="7"/>
  <c r="IHT3" i="7"/>
  <c r="IIB3" i="7"/>
  <c r="IIJ3" i="7"/>
  <c r="IIR3" i="7"/>
  <c r="IIZ3" i="7"/>
  <c r="BXN3" i="7"/>
  <c r="DKY3" i="7"/>
  <c r="ESI3" i="7"/>
  <c r="FCE3" i="7"/>
  <c r="FMA3" i="7"/>
  <c r="FVW3" i="7"/>
  <c r="GDG3" i="7"/>
  <c r="GIE3" i="7"/>
  <c r="GNC3" i="7"/>
  <c r="GSA3" i="7"/>
  <c r="GWY3" i="7"/>
  <c r="HBW3" i="7"/>
  <c r="HGP3" i="7"/>
  <c r="HKO3" i="7"/>
  <c r="HOM3" i="7"/>
  <c r="HRT3" i="7"/>
  <c r="HVB3" i="7"/>
  <c r="HYI3" i="7"/>
  <c r="HZY3" i="7"/>
  <c r="IAW3" i="7"/>
  <c r="IBR3" i="7"/>
  <c r="ICO3" i="7"/>
  <c r="IDJ3" i="7"/>
  <c r="IED3" i="7"/>
  <c r="IFA3" i="7"/>
  <c r="IFV3" i="7"/>
  <c r="IGP3" i="7"/>
  <c r="IHM3" i="7"/>
  <c r="IIH3" i="7"/>
  <c r="IJB3" i="7"/>
  <c r="IJR3" i="7"/>
  <c r="IKH3" i="7"/>
  <c r="IKX3" i="7"/>
  <c r="ILN3" i="7"/>
  <c r="IMD3" i="7"/>
  <c r="IMT3" i="7"/>
  <c r="INJ3" i="7"/>
  <c r="INZ3" i="7"/>
  <c r="IOP3" i="7"/>
  <c r="IPF3" i="7"/>
  <c r="IPV3" i="7"/>
  <c r="IQL3" i="7"/>
  <c r="IRB3" i="7"/>
  <c r="IRR3" i="7"/>
  <c r="ISH3" i="7"/>
  <c r="ISX3" i="7"/>
  <c r="ITN3" i="7"/>
  <c r="IUD3" i="7"/>
  <c r="IUT3" i="7"/>
  <c r="IVJ3" i="7"/>
  <c r="IVZ3" i="7"/>
  <c r="IWP3" i="7"/>
  <c r="IXF3" i="7"/>
  <c r="IXV3" i="7"/>
  <c r="IYL3" i="7"/>
  <c r="IZB3" i="7"/>
  <c r="IZR3" i="7"/>
  <c r="JAH3" i="7"/>
  <c r="JAX3" i="7"/>
  <c r="JBN3" i="7"/>
  <c r="JCD3" i="7"/>
  <c r="JCT3" i="7"/>
  <c r="JDJ3" i="7"/>
  <c r="JDZ3" i="7"/>
  <c r="JEP3" i="7"/>
  <c r="JFF3" i="7"/>
  <c r="JFV3" i="7"/>
  <c r="JGL3" i="7"/>
  <c r="JHB3" i="7"/>
  <c r="JHP3" i="7"/>
  <c r="JHZ3" i="7"/>
  <c r="JIK3" i="7"/>
  <c r="JIV3" i="7"/>
  <c r="JJF3" i="7"/>
  <c r="JJN3" i="7"/>
  <c r="JJV3" i="7"/>
  <c r="JKD3" i="7"/>
  <c r="JKL3" i="7"/>
  <c r="JKT3" i="7"/>
  <c r="JLB3" i="7"/>
  <c r="JLJ3" i="7"/>
  <c r="JLR3" i="7"/>
  <c r="JLZ3" i="7"/>
  <c r="JMH3" i="7"/>
  <c r="JMP3" i="7"/>
  <c r="JMX3" i="7"/>
  <c r="JNF3" i="7"/>
  <c r="JNN3" i="7"/>
  <c r="JNV3" i="7"/>
  <c r="JOD3" i="7"/>
  <c r="JOL3" i="7"/>
  <c r="JOT3" i="7"/>
  <c r="JPB3" i="7"/>
  <c r="JPJ3" i="7"/>
  <c r="JPR3" i="7"/>
  <c r="JPZ3" i="7"/>
  <c r="JQH3" i="7"/>
  <c r="JQP3" i="7"/>
  <c r="JQX3" i="7"/>
  <c r="JRF3" i="7"/>
  <c r="JRN3" i="7"/>
  <c r="JRV3" i="7"/>
  <c r="JSD3" i="7"/>
  <c r="JSL3" i="7"/>
  <c r="JST3" i="7"/>
  <c r="JTB3" i="7"/>
  <c r="JTJ3" i="7"/>
  <c r="JTR3" i="7"/>
  <c r="JTZ3" i="7"/>
  <c r="JUH3" i="7"/>
  <c r="JUP3" i="7"/>
  <c r="JUX3" i="7"/>
  <c r="JVF3" i="7"/>
  <c r="JVN3" i="7"/>
  <c r="JVV3" i="7"/>
  <c r="JWD3" i="7"/>
  <c r="JWL3" i="7"/>
  <c r="JWT3" i="7"/>
  <c r="JXB3" i="7"/>
  <c r="JXJ3" i="7"/>
  <c r="JXR3" i="7"/>
  <c r="JXZ3" i="7"/>
  <c r="JYH3" i="7"/>
  <c r="JYP3" i="7"/>
  <c r="JYX3" i="7"/>
  <c r="JZF3" i="7"/>
  <c r="JZN3" i="7"/>
  <c r="JZV3" i="7"/>
  <c r="KAD3" i="7"/>
  <c r="KAL3" i="7"/>
  <c r="KAT3" i="7"/>
  <c r="KBB3" i="7"/>
  <c r="KBJ3" i="7"/>
  <c r="KBR3" i="7"/>
  <c r="KBZ3" i="7"/>
  <c r="KCH3" i="7"/>
  <c r="KCP3" i="7"/>
  <c r="KCX3" i="7"/>
  <c r="KDF3" i="7"/>
  <c r="KDN3" i="7"/>
  <c r="KDV3" i="7"/>
  <c r="KED3" i="7"/>
  <c r="KEL3" i="7"/>
  <c r="KET3" i="7"/>
  <c r="KFB3" i="7"/>
  <c r="KFJ3" i="7"/>
  <c r="KFR3" i="7"/>
  <c r="KFZ3" i="7"/>
  <c r="KGH3" i="7"/>
  <c r="KGP3" i="7"/>
  <c r="KGX3" i="7"/>
  <c r="KHF3" i="7"/>
  <c r="KHN3" i="7"/>
  <c r="KHV3" i="7"/>
  <c r="KID3" i="7"/>
  <c r="KIL3" i="7"/>
  <c r="KIT3" i="7"/>
  <c r="KJB3" i="7"/>
  <c r="KJJ3" i="7"/>
  <c r="KJR3" i="7"/>
  <c r="KJZ3" i="7"/>
  <c r="KKH3" i="7"/>
  <c r="KKP3" i="7"/>
  <c r="KKX3" i="7"/>
  <c r="KLF3" i="7"/>
  <c r="KLN3" i="7"/>
  <c r="KLV3" i="7"/>
  <c r="KMD3" i="7"/>
  <c r="KML3" i="7"/>
  <c r="KMT3" i="7"/>
  <c r="KNB3" i="7"/>
  <c r="KNJ3" i="7"/>
  <c r="KNR3" i="7"/>
  <c r="KNZ3" i="7"/>
  <c r="KOH3" i="7"/>
  <c r="KOP3" i="7"/>
  <c r="KOX3" i="7"/>
  <c r="KPF3" i="7"/>
  <c r="KPN3" i="7"/>
  <c r="KPV3" i="7"/>
  <c r="KQD3" i="7"/>
  <c r="KQL3" i="7"/>
  <c r="KQT3" i="7"/>
  <c r="KRB3" i="7"/>
  <c r="KRJ3" i="7"/>
  <c r="KRR3" i="7"/>
  <c r="KRZ3" i="7"/>
  <c r="KSH3" i="7"/>
  <c r="KSP3" i="7"/>
  <c r="KSX3" i="7"/>
  <c r="KTF3" i="7"/>
  <c r="KTN3" i="7"/>
  <c r="KTV3" i="7"/>
  <c r="KUD3" i="7"/>
  <c r="KUL3" i="7"/>
  <c r="KUT3" i="7"/>
  <c r="KVB3" i="7"/>
  <c r="KVJ3" i="7"/>
  <c r="KVR3" i="7"/>
  <c r="KVZ3" i="7"/>
  <c r="KWH3" i="7"/>
  <c r="KWP3" i="7"/>
  <c r="KWX3" i="7"/>
  <c r="KXF3" i="7"/>
  <c r="KXN3" i="7"/>
  <c r="KXV3" i="7"/>
  <c r="KYD3" i="7"/>
  <c r="KYL3" i="7"/>
  <c r="KYT3" i="7"/>
  <c r="KZB3" i="7"/>
  <c r="KZJ3" i="7"/>
  <c r="KZR3" i="7"/>
  <c r="KZZ3" i="7"/>
  <c r="LAH3" i="7"/>
  <c r="LAP3" i="7"/>
  <c r="LAX3" i="7"/>
  <c r="LBF3" i="7"/>
  <c r="LBN3" i="7"/>
  <c r="LBV3" i="7"/>
  <c r="LCD3" i="7"/>
  <c r="LCL3" i="7"/>
  <c r="LCT3" i="7"/>
  <c r="LDB3" i="7"/>
  <c r="LDJ3" i="7"/>
  <c r="LDR3" i="7"/>
  <c r="LDZ3" i="7"/>
  <c r="LEH3" i="7"/>
  <c r="LEP3" i="7"/>
  <c r="LEX3" i="7"/>
  <c r="LFF3" i="7"/>
  <c r="LFN3" i="7"/>
  <c r="LFV3" i="7"/>
  <c r="LGD3" i="7"/>
  <c r="LGL3" i="7"/>
  <c r="LGT3" i="7"/>
  <c r="LHB3" i="7"/>
  <c r="LHJ3" i="7"/>
  <c r="LHR3" i="7"/>
  <c r="LHZ3" i="7"/>
  <c r="LIH3" i="7"/>
  <c r="LIP3" i="7"/>
  <c r="LIX3" i="7"/>
  <c r="LJF3" i="7"/>
  <c r="LJN3" i="7"/>
  <c r="LJV3" i="7"/>
  <c r="LKD3" i="7"/>
  <c r="LKL3" i="7"/>
  <c r="LKT3" i="7"/>
  <c r="LLB3" i="7"/>
  <c r="LLJ3" i="7"/>
  <c r="LLR3" i="7"/>
  <c r="LLZ3" i="7"/>
  <c r="LMH3" i="7"/>
  <c r="LMP3" i="7"/>
  <c r="LMX3" i="7"/>
  <c r="LNF3" i="7"/>
  <c r="LNN3" i="7"/>
  <c r="LNV3" i="7"/>
  <c r="LOD3" i="7"/>
  <c r="LOL3" i="7"/>
  <c r="LOT3" i="7"/>
  <c r="LPB3" i="7"/>
  <c r="LPJ3" i="7"/>
  <c r="LPR3" i="7"/>
  <c r="LPZ3" i="7"/>
  <c r="LQH3" i="7"/>
  <c r="LQP3" i="7"/>
  <c r="LQX3" i="7"/>
  <c r="LRF3" i="7"/>
  <c r="LRN3" i="7"/>
  <c r="LRV3" i="7"/>
  <c r="LSD3" i="7"/>
  <c r="LSL3" i="7"/>
  <c r="LST3" i="7"/>
  <c r="LTB3" i="7"/>
  <c r="LTJ3" i="7"/>
  <c r="LTR3" i="7"/>
  <c r="LTZ3" i="7"/>
  <c r="LUH3" i="7"/>
  <c r="LUP3" i="7"/>
  <c r="LUX3" i="7"/>
  <c r="LVF3" i="7"/>
  <c r="LVN3" i="7"/>
  <c r="LVV3" i="7"/>
  <c r="LWD3" i="7"/>
  <c r="LWL3" i="7"/>
  <c r="LWT3" i="7"/>
  <c r="LXB3" i="7"/>
  <c r="LXJ3" i="7"/>
  <c r="LXR3" i="7"/>
  <c r="LXZ3" i="7"/>
  <c r="LYH3" i="7"/>
  <c r="LYP3" i="7"/>
  <c r="LYX3" i="7"/>
  <c r="LZF3" i="7"/>
  <c r="LZN3" i="7"/>
  <c r="LZV3" i="7"/>
  <c r="MAD3" i="7"/>
  <c r="MAL3" i="7"/>
  <c r="MAT3" i="7"/>
  <c r="MBB3" i="7"/>
  <c r="MBJ3" i="7"/>
  <c r="MBR3" i="7"/>
  <c r="MBZ3" i="7"/>
  <c r="MCH3" i="7"/>
  <c r="MCP3" i="7"/>
  <c r="MCX3" i="7"/>
  <c r="MDF3" i="7"/>
  <c r="MDN3" i="7"/>
  <c r="MDV3" i="7"/>
  <c r="MED3" i="7"/>
  <c r="MEL3" i="7"/>
  <c r="MET3" i="7"/>
  <c r="MFB3" i="7"/>
  <c r="MFJ3" i="7"/>
  <c r="MFR3" i="7"/>
  <c r="MFZ3" i="7"/>
  <c r="MGH3" i="7"/>
  <c r="MGP3" i="7"/>
  <c r="MGX3" i="7"/>
  <c r="MHF3" i="7"/>
  <c r="MHN3" i="7"/>
  <c r="MHV3" i="7"/>
  <c r="MID3" i="7"/>
  <c r="MIL3" i="7"/>
  <c r="MIT3" i="7"/>
  <c r="MJB3" i="7"/>
  <c r="MJJ3" i="7"/>
  <c r="MJR3" i="7"/>
  <c r="MJZ3" i="7"/>
  <c r="MKH3" i="7"/>
  <c r="MKP3" i="7"/>
  <c r="MKX3" i="7"/>
  <c r="MLF3" i="7"/>
  <c r="MLN3" i="7"/>
  <c r="MLV3" i="7"/>
  <c r="MMD3" i="7"/>
  <c r="MML3" i="7"/>
  <c r="MMT3" i="7"/>
  <c r="MNB3" i="7"/>
  <c r="MNJ3" i="7"/>
  <c r="MNR3" i="7"/>
  <c r="MNZ3" i="7"/>
  <c r="MOH3" i="7"/>
  <c r="MOP3" i="7"/>
  <c r="MOX3" i="7"/>
  <c r="MPF3" i="7"/>
  <c r="MPN3" i="7"/>
  <c r="MPV3" i="7"/>
  <c r="MQD3" i="7"/>
  <c r="MQL3" i="7"/>
  <c r="MQT3" i="7"/>
  <c r="MRB3" i="7"/>
  <c r="MRJ3" i="7"/>
  <c r="MRR3" i="7"/>
  <c r="MRZ3" i="7"/>
  <c r="MSH3" i="7"/>
  <c r="MSP3" i="7"/>
  <c r="MSX3" i="7"/>
  <c r="MTF3" i="7"/>
  <c r="MTN3" i="7"/>
  <c r="MTV3" i="7"/>
  <c r="MUD3" i="7"/>
  <c r="MUL3" i="7"/>
  <c r="MUT3" i="7"/>
  <c r="MVB3" i="7"/>
  <c r="MVJ3" i="7"/>
  <c r="MVR3" i="7"/>
  <c r="MVZ3" i="7"/>
  <c r="MWH3" i="7"/>
  <c r="MWP3" i="7"/>
  <c r="MWX3" i="7"/>
  <c r="MXF3" i="7"/>
  <c r="MXN3" i="7"/>
  <c r="MXV3" i="7"/>
  <c r="MYD3" i="7"/>
  <c r="MYL3" i="7"/>
  <c r="MYT3" i="7"/>
  <c r="MZB3" i="7"/>
  <c r="MZJ3" i="7"/>
  <c r="MZR3" i="7"/>
  <c r="MZZ3" i="7"/>
  <c r="NAH3" i="7"/>
  <c r="NAP3" i="7"/>
  <c r="NAX3" i="7"/>
  <c r="NBF3" i="7"/>
  <c r="NBN3" i="7"/>
  <c r="NBV3" i="7"/>
  <c r="NCD3" i="7"/>
  <c r="NCL3" i="7"/>
  <c r="NCT3" i="7"/>
  <c r="NDB3" i="7"/>
  <c r="NDJ3" i="7"/>
  <c r="NDR3" i="7"/>
  <c r="NDZ3" i="7"/>
  <c r="NEH3" i="7"/>
  <c r="NEP3" i="7"/>
  <c r="NEX3" i="7"/>
  <c r="NFF3" i="7"/>
  <c r="NFN3" i="7"/>
  <c r="NFV3" i="7"/>
  <c r="NGD3" i="7"/>
  <c r="NGL3" i="7"/>
  <c r="NGT3" i="7"/>
  <c r="NHB3" i="7"/>
  <c r="NHJ3" i="7"/>
  <c r="NHR3" i="7"/>
  <c r="NHZ3" i="7"/>
  <c r="NIH3" i="7"/>
  <c r="NIP3" i="7"/>
  <c r="NIX3" i="7"/>
  <c r="NJF3" i="7"/>
  <c r="NJN3" i="7"/>
  <c r="NJV3" i="7"/>
  <c r="NKD3" i="7"/>
  <c r="NKL3" i="7"/>
  <c r="NKT3" i="7"/>
  <c r="NLB3" i="7"/>
  <c r="NLJ3" i="7"/>
  <c r="NLR3" i="7"/>
  <c r="NLZ3" i="7"/>
  <c r="NMH3" i="7"/>
  <c r="NMP3" i="7"/>
  <c r="NMX3" i="7"/>
  <c r="NNF3" i="7"/>
  <c r="NNN3" i="7"/>
  <c r="NNV3" i="7"/>
  <c r="NOD3" i="7"/>
  <c r="NOL3" i="7"/>
  <c r="NOT3" i="7"/>
  <c r="NPB3" i="7"/>
  <c r="NPJ3" i="7"/>
  <c r="NPR3" i="7"/>
  <c r="NPZ3" i="7"/>
  <c r="NQH3" i="7"/>
  <c r="NQP3" i="7"/>
  <c r="NQX3" i="7"/>
  <c r="NRF3" i="7"/>
  <c r="NRN3" i="7"/>
  <c r="NRV3" i="7"/>
  <c r="NSD3" i="7"/>
  <c r="NSL3" i="7"/>
  <c r="NST3" i="7"/>
  <c r="NTB3" i="7"/>
  <c r="NTJ3" i="7"/>
  <c r="NTR3" i="7"/>
  <c r="NTZ3" i="7"/>
  <c r="NUH3" i="7"/>
  <c r="NUP3" i="7"/>
  <c r="NUX3" i="7"/>
  <c r="NVF3" i="7"/>
  <c r="NVN3" i="7"/>
  <c r="NVV3" i="7"/>
  <c r="NWD3" i="7"/>
  <c r="NWL3" i="7"/>
  <c r="NWT3" i="7"/>
  <c r="NXB3" i="7"/>
  <c r="NXJ3" i="7"/>
  <c r="NXR3" i="7"/>
  <c r="NXZ3" i="7"/>
  <c r="NYH3" i="7"/>
  <c r="NYP3" i="7"/>
  <c r="NYX3" i="7"/>
  <c r="NZF3" i="7"/>
  <c r="NZN3" i="7"/>
  <c r="NZV3" i="7"/>
  <c r="OAD3" i="7"/>
  <c r="OAL3" i="7"/>
  <c r="OAT3" i="7"/>
  <c r="OBB3" i="7"/>
  <c r="OBJ3" i="7"/>
  <c r="OBR3" i="7"/>
  <c r="OBZ3" i="7"/>
  <c r="OCH3" i="7"/>
  <c r="OCP3" i="7"/>
  <c r="OCX3" i="7"/>
  <c r="ODF3" i="7"/>
  <c r="ODN3" i="7"/>
  <c r="ODV3" i="7"/>
  <c r="OED3" i="7"/>
  <c r="OEL3" i="7"/>
  <c r="OET3" i="7"/>
  <c r="OFB3" i="7"/>
  <c r="OFJ3" i="7"/>
  <c r="OFR3" i="7"/>
  <c r="OFZ3" i="7"/>
  <c r="OGH3" i="7"/>
  <c r="OGP3" i="7"/>
  <c r="OGX3" i="7"/>
  <c r="OHF3" i="7"/>
  <c r="OHN3" i="7"/>
  <c r="OHV3" i="7"/>
  <c r="OID3" i="7"/>
  <c r="OIL3" i="7"/>
  <c r="OIT3" i="7"/>
  <c r="OJB3" i="7"/>
  <c r="OJJ3" i="7"/>
  <c r="OJR3" i="7"/>
  <c r="OJZ3" i="7"/>
  <c r="OKH3" i="7"/>
  <c r="OKP3" i="7"/>
  <c r="OKX3" i="7"/>
  <c r="OLF3" i="7"/>
  <c r="OLN3" i="7"/>
  <c r="OLV3" i="7"/>
  <c r="OMD3" i="7"/>
  <c r="OML3" i="7"/>
  <c r="OMT3" i="7"/>
  <c r="ONB3" i="7"/>
  <c r="ONJ3" i="7"/>
  <c r="ONR3" i="7"/>
  <c r="ONZ3" i="7"/>
  <c r="OOH3" i="7"/>
  <c r="OOP3" i="7"/>
  <c r="OOX3" i="7"/>
  <c r="OPF3" i="7"/>
  <c r="OPN3" i="7"/>
  <c r="OPV3" i="7"/>
  <c r="OQD3" i="7"/>
  <c r="OQL3" i="7"/>
  <c r="OQT3" i="7"/>
  <c r="ORB3" i="7"/>
  <c r="ORJ3" i="7"/>
  <c r="ORR3" i="7"/>
  <c r="ORZ3" i="7"/>
  <c r="OSH3" i="7"/>
  <c r="OSP3" i="7"/>
  <c r="OSX3" i="7"/>
  <c r="OTF3" i="7"/>
  <c r="OTN3" i="7"/>
  <c r="OTV3" i="7"/>
  <c r="OUD3" i="7"/>
  <c r="OUL3" i="7"/>
  <c r="OUT3" i="7"/>
  <c r="OVB3" i="7"/>
  <c r="OVJ3" i="7"/>
  <c r="OVR3" i="7"/>
  <c r="OVZ3" i="7"/>
  <c r="OWH3" i="7"/>
  <c r="OWP3" i="7"/>
  <c r="OWX3" i="7"/>
  <c r="OXF3" i="7"/>
  <c r="OXN3" i="7"/>
  <c r="OXV3" i="7"/>
  <c r="OYD3" i="7"/>
  <c r="OYL3" i="7"/>
  <c r="OYT3" i="7"/>
  <c r="OZB3" i="7"/>
  <c r="OZJ3" i="7"/>
  <c r="OZR3" i="7"/>
  <c r="OZZ3" i="7"/>
  <c r="PAH3" i="7"/>
  <c r="PAP3" i="7"/>
  <c r="PAX3" i="7"/>
  <c r="PBF3" i="7"/>
  <c r="PBN3" i="7"/>
  <c r="PBV3" i="7"/>
  <c r="PCD3" i="7"/>
  <c r="PCL3" i="7"/>
  <c r="PCT3" i="7"/>
  <c r="PDB3" i="7"/>
  <c r="PDJ3" i="7"/>
  <c r="PDR3" i="7"/>
  <c r="PDZ3" i="7"/>
  <c r="PEH3" i="7"/>
  <c r="PEP3" i="7"/>
  <c r="PEX3" i="7"/>
  <c r="PFF3" i="7"/>
  <c r="PFN3" i="7"/>
  <c r="PFV3" i="7"/>
  <c r="PGD3" i="7"/>
  <c r="PGL3" i="7"/>
  <c r="PGT3" i="7"/>
  <c r="PHB3" i="7"/>
  <c r="PHJ3" i="7"/>
  <c r="PHR3" i="7"/>
  <c r="PHZ3" i="7"/>
  <c r="PIH3" i="7"/>
  <c r="PIP3" i="7"/>
  <c r="PIX3" i="7"/>
  <c r="PJF3" i="7"/>
  <c r="PJN3" i="7"/>
  <c r="PJV3" i="7"/>
  <c r="PKD3" i="7"/>
  <c r="PKL3" i="7"/>
  <c r="PKT3" i="7"/>
  <c r="PLB3" i="7"/>
  <c r="PLJ3" i="7"/>
  <c r="PLR3" i="7"/>
  <c r="PLZ3" i="7"/>
  <c r="PMH3" i="7"/>
  <c r="PMP3" i="7"/>
  <c r="PMX3" i="7"/>
  <c r="PNF3" i="7"/>
  <c r="PNN3" i="7"/>
  <c r="PNV3" i="7"/>
  <c r="POD3" i="7"/>
  <c r="POL3" i="7"/>
  <c r="POT3" i="7"/>
  <c r="PPB3" i="7"/>
  <c r="PPJ3" i="7"/>
  <c r="PPR3" i="7"/>
  <c r="PPZ3" i="7"/>
  <c r="PQH3" i="7"/>
  <c r="PQP3" i="7"/>
  <c r="PQX3" i="7"/>
  <c r="PRF3" i="7"/>
  <c r="PRN3" i="7"/>
  <c r="PRV3" i="7"/>
  <c r="PSD3" i="7"/>
  <c r="PSL3" i="7"/>
  <c r="PST3" i="7"/>
  <c r="PTB3" i="7"/>
  <c r="PTJ3" i="7"/>
  <c r="PTR3" i="7"/>
  <c r="PTZ3" i="7"/>
  <c r="PUH3" i="7"/>
  <c r="PUP3" i="7"/>
  <c r="PUX3" i="7"/>
  <c r="PVF3" i="7"/>
  <c r="PVN3" i="7"/>
  <c r="PVV3" i="7"/>
  <c r="PWD3" i="7"/>
  <c r="PWL3" i="7"/>
  <c r="PWT3" i="7"/>
  <c r="PXB3" i="7"/>
  <c r="PXJ3" i="7"/>
  <c r="PXR3" i="7"/>
  <c r="PXZ3" i="7"/>
  <c r="PYH3" i="7"/>
  <c r="PYP3" i="7"/>
  <c r="PYX3" i="7"/>
  <c r="PZF3" i="7"/>
  <c r="PZN3" i="7"/>
  <c r="PZV3" i="7"/>
  <c r="QAD3" i="7"/>
  <c r="QAL3" i="7"/>
  <c r="QAT3" i="7"/>
  <c r="QBB3" i="7"/>
  <c r="QBJ3" i="7"/>
  <c r="QBR3" i="7"/>
  <c r="QBZ3" i="7"/>
  <c r="QCH3" i="7"/>
  <c r="QCP3" i="7"/>
  <c r="QCX3" i="7"/>
  <c r="QDF3" i="7"/>
  <c r="QDN3" i="7"/>
  <c r="QDV3" i="7"/>
  <c r="QED3" i="7"/>
  <c r="QEL3" i="7"/>
  <c r="QET3" i="7"/>
  <c r="QFB3" i="7"/>
  <c r="QFJ3" i="7"/>
  <c r="QFR3" i="7"/>
  <c r="QFZ3" i="7"/>
  <c r="QGH3" i="7"/>
  <c r="QGP3" i="7"/>
  <c r="QGX3" i="7"/>
  <c r="QHF3" i="7"/>
  <c r="QHN3" i="7"/>
  <c r="QHV3" i="7"/>
  <c r="QID3" i="7"/>
  <c r="QIL3" i="7"/>
  <c r="QIT3" i="7"/>
  <c r="QJB3" i="7"/>
  <c r="QJJ3" i="7"/>
  <c r="QJR3" i="7"/>
  <c r="QJZ3" i="7"/>
  <c r="QKH3" i="7"/>
  <c r="QKP3" i="7"/>
  <c r="QKX3" i="7"/>
  <c r="QLF3" i="7"/>
  <c r="QLN3" i="7"/>
  <c r="QLV3" i="7"/>
  <c r="QMD3" i="7"/>
  <c r="QML3" i="7"/>
  <c r="QMT3" i="7"/>
  <c r="QNB3" i="7"/>
  <c r="QNJ3" i="7"/>
  <c r="QNR3" i="7"/>
  <c r="QNZ3" i="7"/>
  <c r="QOH3" i="7"/>
  <c r="CCM3" i="7"/>
  <c r="DPW3" i="7"/>
  <c r="ETO3" i="7"/>
  <c r="FDK3" i="7"/>
  <c r="FNG3" i="7"/>
  <c r="FXC3" i="7"/>
  <c r="GDW3" i="7"/>
  <c r="GIU3" i="7"/>
  <c r="GNS3" i="7"/>
  <c r="GSQ3" i="7"/>
  <c r="GXO3" i="7"/>
  <c r="HCM3" i="7"/>
  <c r="HHC3" i="7"/>
  <c r="HLB3" i="7"/>
  <c r="HOX3" i="7"/>
  <c r="HSE3" i="7"/>
  <c r="HVL3" i="7"/>
  <c r="HYT3" i="7"/>
  <c r="HZZ3" i="7"/>
  <c r="IAZ3" i="7"/>
  <c r="IBV3" i="7"/>
  <c r="ICP3" i="7"/>
  <c r="IDM3" i="7"/>
  <c r="IEH3" i="7"/>
  <c r="IFB3" i="7"/>
  <c r="IFY3" i="7"/>
  <c r="IGT3" i="7"/>
  <c r="IHN3" i="7"/>
  <c r="IIK3" i="7"/>
  <c r="IJF3" i="7"/>
  <c r="IJV3" i="7"/>
  <c r="IKL3" i="7"/>
  <c r="ILB3" i="7"/>
  <c r="ILR3" i="7"/>
  <c r="IMH3" i="7"/>
  <c r="IMX3" i="7"/>
  <c r="INN3" i="7"/>
  <c r="IOD3" i="7"/>
  <c r="IOT3" i="7"/>
  <c r="IPJ3" i="7"/>
  <c r="IPZ3" i="7"/>
  <c r="IQP3" i="7"/>
  <c r="IRF3" i="7"/>
  <c r="IRV3" i="7"/>
  <c r="ISL3" i="7"/>
  <c r="ITB3" i="7"/>
  <c r="ITR3" i="7"/>
  <c r="IUH3" i="7"/>
  <c r="IUX3" i="7"/>
  <c r="IVN3" i="7"/>
  <c r="IWD3" i="7"/>
  <c r="IWT3" i="7"/>
  <c r="IXJ3" i="7"/>
  <c r="IXZ3" i="7"/>
  <c r="IYP3" i="7"/>
  <c r="IZF3" i="7"/>
  <c r="IZV3" i="7"/>
  <c r="JAL3" i="7"/>
  <c r="JBB3" i="7"/>
  <c r="JBR3" i="7"/>
  <c r="JCH3" i="7"/>
  <c r="JCX3" i="7"/>
  <c r="JDN3" i="7"/>
  <c r="JED3" i="7"/>
  <c r="JET3" i="7"/>
  <c r="JFJ3" i="7"/>
  <c r="JFZ3" i="7"/>
  <c r="JGP3" i="7"/>
  <c r="JHC3" i="7"/>
  <c r="JHQ3" i="7"/>
  <c r="JIA3" i="7"/>
  <c r="JIL3" i="7"/>
  <c r="JIW3" i="7"/>
  <c r="JJG3" i="7"/>
  <c r="JJO3" i="7"/>
  <c r="JJW3" i="7"/>
  <c r="JKE3" i="7"/>
  <c r="JKM3" i="7"/>
  <c r="JKU3" i="7"/>
  <c r="JLC3" i="7"/>
  <c r="JLK3" i="7"/>
  <c r="JLS3" i="7"/>
  <c r="JMA3" i="7"/>
  <c r="JMI3" i="7"/>
  <c r="JMQ3" i="7"/>
  <c r="JMY3" i="7"/>
  <c r="JNG3" i="7"/>
  <c r="JNO3" i="7"/>
  <c r="JNW3" i="7"/>
  <c r="JOE3" i="7"/>
  <c r="JOM3" i="7"/>
  <c r="JOU3" i="7"/>
  <c r="JPC3" i="7"/>
  <c r="JPK3" i="7"/>
  <c r="JPS3" i="7"/>
  <c r="JQA3" i="7"/>
  <c r="JQI3" i="7"/>
  <c r="JQQ3" i="7"/>
  <c r="JQY3" i="7"/>
  <c r="JRG3" i="7"/>
  <c r="JRO3" i="7"/>
  <c r="JRW3" i="7"/>
  <c r="JSE3" i="7"/>
  <c r="JSM3" i="7"/>
  <c r="JSU3" i="7"/>
  <c r="JTC3" i="7"/>
  <c r="JTK3" i="7"/>
  <c r="JTS3" i="7"/>
  <c r="JUA3" i="7"/>
  <c r="JUI3" i="7"/>
  <c r="JUQ3" i="7"/>
  <c r="JUY3" i="7"/>
  <c r="JVG3" i="7"/>
  <c r="JVO3" i="7"/>
  <c r="JVW3" i="7"/>
  <c r="JWE3" i="7"/>
  <c r="JWM3" i="7"/>
  <c r="JWU3" i="7"/>
  <c r="JXC3" i="7"/>
  <c r="JXK3" i="7"/>
  <c r="JXS3" i="7"/>
  <c r="JYA3" i="7"/>
  <c r="JYI3" i="7"/>
  <c r="JYQ3" i="7"/>
  <c r="JYY3" i="7"/>
  <c r="JZG3" i="7"/>
  <c r="JZO3" i="7"/>
  <c r="JZW3" i="7"/>
  <c r="KAE3" i="7"/>
  <c r="KAM3" i="7"/>
  <c r="KAU3" i="7"/>
  <c r="KBC3" i="7"/>
  <c r="KBK3" i="7"/>
  <c r="KBS3" i="7"/>
  <c r="KCA3" i="7"/>
  <c r="KCI3" i="7"/>
  <c r="KCQ3" i="7"/>
  <c r="KCY3" i="7"/>
  <c r="KDG3" i="7"/>
  <c r="KDO3" i="7"/>
  <c r="KDW3" i="7"/>
  <c r="KEE3" i="7"/>
  <c r="KEM3" i="7"/>
  <c r="KEU3" i="7"/>
  <c r="KFC3" i="7"/>
  <c r="KFK3" i="7"/>
  <c r="KFS3" i="7"/>
  <c r="KGA3" i="7"/>
  <c r="KGI3" i="7"/>
  <c r="KGQ3" i="7"/>
  <c r="KGY3" i="7"/>
  <c r="KHG3" i="7"/>
  <c r="KHO3" i="7"/>
  <c r="KHW3" i="7"/>
  <c r="KIE3" i="7"/>
  <c r="KIM3" i="7"/>
  <c r="KIU3" i="7"/>
  <c r="KJC3" i="7"/>
  <c r="KJK3" i="7"/>
  <c r="KJS3" i="7"/>
  <c r="KKA3" i="7"/>
  <c r="KKI3" i="7"/>
  <c r="KKQ3" i="7"/>
  <c r="KKY3" i="7"/>
  <c r="KLG3" i="7"/>
  <c r="KLO3" i="7"/>
  <c r="KLW3" i="7"/>
  <c r="KME3" i="7"/>
  <c r="KMM3" i="7"/>
  <c r="KMU3" i="7"/>
  <c r="KNC3" i="7"/>
  <c r="KNK3" i="7"/>
  <c r="KNS3" i="7"/>
  <c r="KOA3" i="7"/>
  <c r="KOI3" i="7"/>
  <c r="KOQ3" i="7"/>
  <c r="KOY3" i="7"/>
  <c r="KPG3" i="7"/>
  <c r="KPO3" i="7"/>
  <c r="KPW3" i="7"/>
  <c r="KQE3" i="7"/>
  <c r="KQM3" i="7"/>
  <c r="KQU3" i="7"/>
  <c r="KRC3" i="7"/>
  <c r="KRK3" i="7"/>
  <c r="KRS3" i="7"/>
  <c r="KSA3" i="7"/>
  <c r="KSI3" i="7"/>
  <c r="KSQ3" i="7"/>
  <c r="KSY3" i="7"/>
  <c r="KTG3" i="7"/>
  <c r="KTO3" i="7"/>
  <c r="KTW3" i="7"/>
  <c r="KUE3" i="7"/>
  <c r="KUM3" i="7"/>
  <c r="KUU3" i="7"/>
  <c r="KVC3" i="7"/>
  <c r="KVK3" i="7"/>
  <c r="KVS3" i="7"/>
  <c r="KWA3" i="7"/>
  <c r="KWI3" i="7"/>
  <c r="KWQ3" i="7"/>
  <c r="KWY3" i="7"/>
  <c r="KXG3" i="7"/>
  <c r="KXO3" i="7"/>
  <c r="KXW3" i="7"/>
  <c r="KYE3" i="7"/>
  <c r="KYM3" i="7"/>
  <c r="KYU3" i="7"/>
  <c r="KZC3" i="7"/>
  <c r="KZK3" i="7"/>
  <c r="KZS3" i="7"/>
  <c r="LAA3" i="7"/>
  <c r="LAI3" i="7"/>
  <c r="LAQ3" i="7"/>
  <c r="LAY3" i="7"/>
  <c r="LBG3" i="7"/>
  <c r="LBO3" i="7"/>
  <c r="LBW3" i="7"/>
  <c r="LCE3" i="7"/>
  <c r="LCM3" i="7"/>
  <c r="LCU3" i="7"/>
  <c r="LDC3" i="7"/>
  <c r="LDK3" i="7"/>
  <c r="LDS3" i="7"/>
  <c r="LEA3" i="7"/>
  <c r="LEI3" i="7"/>
  <c r="LEQ3" i="7"/>
  <c r="LEY3" i="7"/>
  <c r="LFG3" i="7"/>
  <c r="LFO3" i="7"/>
  <c r="LFW3" i="7"/>
  <c r="LGE3" i="7"/>
  <c r="LGM3" i="7"/>
  <c r="LGU3" i="7"/>
  <c r="LHC3" i="7"/>
  <c r="LHK3" i="7"/>
  <c r="LHS3" i="7"/>
  <c r="LIA3" i="7"/>
  <c r="LII3" i="7"/>
  <c r="LIQ3" i="7"/>
  <c r="LIY3" i="7"/>
  <c r="LJG3" i="7"/>
  <c r="LJO3" i="7"/>
  <c r="LJW3" i="7"/>
  <c r="LKE3" i="7"/>
  <c r="LKM3" i="7"/>
  <c r="LKU3" i="7"/>
  <c r="LLC3" i="7"/>
  <c r="LLK3" i="7"/>
  <c r="LLS3" i="7"/>
  <c r="LMA3" i="7"/>
  <c r="LMI3" i="7"/>
  <c r="LMQ3" i="7"/>
  <c r="LMY3" i="7"/>
  <c r="LNG3" i="7"/>
  <c r="LNO3" i="7"/>
  <c r="LNW3" i="7"/>
  <c r="LOE3" i="7"/>
  <c r="LOM3" i="7"/>
  <c r="LOU3" i="7"/>
  <c r="LPC3" i="7"/>
  <c r="LPK3" i="7"/>
  <c r="LPS3" i="7"/>
  <c r="LQA3" i="7"/>
  <c r="LQI3" i="7"/>
  <c r="LQQ3" i="7"/>
  <c r="LQY3" i="7"/>
  <c r="LRG3" i="7"/>
  <c r="LRO3" i="7"/>
  <c r="LRW3" i="7"/>
  <c r="LSE3" i="7"/>
  <c r="LSM3" i="7"/>
  <c r="LSU3" i="7"/>
  <c r="LTC3" i="7"/>
  <c r="LTK3" i="7"/>
  <c r="LTS3" i="7"/>
  <c r="LUA3" i="7"/>
  <c r="LUI3" i="7"/>
  <c r="LUQ3" i="7"/>
  <c r="LUY3" i="7"/>
  <c r="LVG3" i="7"/>
  <c r="LVO3" i="7"/>
  <c r="LVW3" i="7"/>
  <c r="LWE3" i="7"/>
  <c r="LWM3" i="7"/>
  <c r="LWU3" i="7"/>
  <c r="LXC3" i="7"/>
  <c r="LXK3" i="7"/>
  <c r="LXS3" i="7"/>
  <c r="LYA3" i="7"/>
  <c r="LYI3" i="7"/>
  <c r="LYQ3" i="7"/>
  <c r="LYY3" i="7"/>
  <c r="LZG3" i="7"/>
  <c r="LZO3" i="7"/>
  <c r="LZW3" i="7"/>
  <c r="MAE3" i="7"/>
  <c r="MAM3" i="7"/>
  <c r="MAU3" i="7"/>
  <c r="MBC3" i="7"/>
  <c r="MBK3" i="7"/>
  <c r="MBS3" i="7"/>
  <c r="MCA3" i="7"/>
  <c r="MCI3" i="7"/>
  <c r="MCQ3" i="7"/>
  <c r="MCY3" i="7"/>
  <c r="MDG3" i="7"/>
  <c r="MDO3" i="7"/>
  <c r="MDW3" i="7"/>
  <c r="MEE3" i="7"/>
  <c r="MEM3" i="7"/>
  <c r="MEU3" i="7"/>
  <c r="MFC3" i="7"/>
  <c r="MFK3" i="7"/>
  <c r="MFS3" i="7"/>
  <c r="MGA3" i="7"/>
  <c r="MGI3" i="7"/>
  <c r="MGQ3" i="7"/>
  <c r="MGY3" i="7"/>
  <c r="MHG3" i="7"/>
  <c r="MHO3" i="7"/>
  <c r="MHW3" i="7"/>
  <c r="MIE3" i="7"/>
  <c r="MIM3" i="7"/>
  <c r="MIU3" i="7"/>
  <c r="MJC3" i="7"/>
  <c r="MJK3" i="7"/>
  <c r="MJS3" i="7"/>
  <c r="MKA3" i="7"/>
  <c r="MKI3" i="7"/>
  <c r="MKQ3" i="7"/>
  <c r="MKY3" i="7"/>
  <c r="MLG3" i="7"/>
  <c r="MLO3" i="7"/>
  <c r="MLW3" i="7"/>
  <c r="MME3" i="7"/>
  <c r="MMM3" i="7"/>
  <c r="MMU3" i="7"/>
  <c r="MNC3" i="7"/>
  <c r="MNK3" i="7"/>
  <c r="MNS3" i="7"/>
  <c r="MOA3" i="7"/>
  <c r="MOI3" i="7"/>
  <c r="MOQ3" i="7"/>
  <c r="MOY3" i="7"/>
  <c r="MPG3" i="7"/>
  <c r="MPO3" i="7"/>
  <c r="MPW3" i="7"/>
  <c r="MQE3" i="7"/>
  <c r="MQM3" i="7"/>
  <c r="MQU3" i="7"/>
  <c r="MRC3" i="7"/>
  <c r="MRK3" i="7"/>
  <c r="MRS3" i="7"/>
  <c r="MSA3" i="7"/>
  <c r="MSI3" i="7"/>
  <c r="MSQ3" i="7"/>
  <c r="MSY3" i="7"/>
  <c r="MTG3" i="7"/>
  <c r="MTO3" i="7"/>
  <c r="MTW3" i="7"/>
  <c r="MUE3" i="7"/>
  <c r="MUM3" i="7"/>
  <c r="MUU3" i="7"/>
  <c r="MVC3" i="7"/>
  <c r="MVK3" i="7"/>
  <c r="MVS3" i="7"/>
  <c r="MWA3" i="7"/>
  <c r="MWI3" i="7"/>
  <c r="MWQ3" i="7"/>
  <c r="MWY3" i="7"/>
  <c r="MXG3" i="7"/>
  <c r="MXO3" i="7"/>
  <c r="MXW3" i="7"/>
  <c r="MYE3" i="7"/>
  <c r="MYM3" i="7"/>
  <c r="MYU3" i="7"/>
  <c r="MZC3" i="7"/>
  <c r="MZK3" i="7"/>
  <c r="MZS3" i="7"/>
  <c r="NAA3" i="7"/>
  <c r="NAI3" i="7"/>
  <c r="NAQ3" i="7"/>
  <c r="NAY3" i="7"/>
  <c r="NBG3" i="7"/>
  <c r="NBO3" i="7"/>
  <c r="NBW3" i="7"/>
  <c r="NCE3" i="7"/>
  <c r="NCM3" i="7"/>
  <c r="NCU3" i="7"/>
  <c r="NDC3" i="7"/>
  <c r="NDK3" i="7"/>
  <c r="NDS3" i="7"/>
  <c r="NEA3" i="7"/>
  <c r="NEI3" i="7"/>
  <c r="NEQ3" i="7"/>
  <c r="NEY3" i="7"/>
  <c r="NFG3" i="7"/>
  <c r="NFO3" i="7"/>
  <c r="NFW3" i="7"/>
  <c r="NGE3" i="7"/>
  <c r="NGM3" i="7"/>
  <c r="NGU3" i="7"/>
  <c r="NHC3" i="7"/>
  <c r="NHK3" i="7"/>
  <c r="NHS3" i="7"/>
  <c r="NIA3" i="7"/>
  <c r="NII3" i="7"/>
  <c r="NIQ3" i="7"/>
  <c r="NIY3" i="7"/>
  <c r="NJG3" i="7"/>
  <c r="NJO3" i="7"/>
  <c r="NJW3" i="7"/>
  <c r="NKE3" i="7"/>
  <c r="NKM3" i="7"/>
  <c r="NKU3" i="7"/>
  <c r="NLC3" i="7"/>
  <c r="NLK3" i="7"/>
  <c r="NLS3" i="7"/>
  <c r="NMA3" i="7"/>
  <c r="NMI3" i="7"/>
  <c r="NMQ3" i="7"/>
  <c r="NMY3" i="7"/>
  <c r="NNG3" i="7"/>
  <c r="NNO3" i="7"/>
  <c r="NNW3" i="7"/>
  <c r="NOE3" i="7"/>
  <c r="NOM3" i="7"/>
  <c r="NOU3" i="7"/>
  <c r="NPC3" i="7"/>
  <c r="NPK3" i="7"/>
  <c r="NPS3" i="7"/>
  <c r="NQA3" i="7"/>
  <c r="NQI3" i="7"/>
  <c r="NQQ3" i="7"/>
  <c r="NQY3" i="7"/>
  <c r="NRG3" i="7"/>
  <c r="NRO3" i="7"/>
  <c r="NRW3" i="7"/>
  <c r="NSE3" i="7"/>
  <c r="NSM3" i="7"/>
  <c r="NSU3" i="7"/>
  <c r="NTC3" i="7"/>
  <c r="NTK3" i="7"/>
  <c r="NTS3" i="7"/>
  <c r="NUA3" i="7"/>
  <c r="NUI3" i="7"/>
  <c r="NUQ3" i="7"/>
  <c r="NUY3" i="7"/>
  <c r="NVG3" i="7"/>
  <c r="NVO3" i="7"/>
  <c r="NVW3" i="7"/>
  <c r="NWE3" i="7"/>
  <c r="NWM3" i="7"/>
  <c r="NWU3" i="7"/>
  <c r="NXC3" i="7"/>
  <c r="NXK3" i="7"/>
  <c r="NXS3" i="7"/>
  <c r="NYA3" i="7"/>
  <c r="NYI3" i="7"/>
  <c r="NYQ3" i="7"/>
  <c r="NYY3" i="7"/>
  <c r="NZG3" i="7"/>
  <c r="NZO3" i="7"/>
  <c r="NZW3" i="7"/>
  <c r="OAE3" i="7"/>
  <c r="OAM3" i="7"/>
  <c r="OAU3" i="7"/>
  <c r="OBC3" i="7"/>
  <c r="OBK3" i="7"/>
  <c r="OBS3" i="7"/>
  <c r="OCA3" i="7"/>
  <c r="OCI3" i="7"/>
  <c r="OCQ3" i="7"/>
  <c r="OCY3" i="7"/>
  <c r="ODG3" i="7"/>
  <c r="ODO3" i="7"/>
  <c r="ODW3" i="7"/>
  <c r="OEE3" i="7"/>
  <c r="OEM3" i="7"/>
  <c r="OEU3" i="7"/>
  <c r="OFC3" i="7"/>
  <c r="OFK3" i="7"/>
  <c r="OFS3" i="7"/>
  <c r="OGA3" i="7"/>
  <c r="OGI3" i="7"/>
  <c r="OGQ3" i="7"/>
  <c r="OGY3" i="7"/>
  <c r="OHG3" i="7"/>
  <c r="OHO3" i="7"/>
  <c r="OHW3" i="7"/>
  <c r="OIE3" i="7"/>
  <c r="OIM3" i="7"/>
  <c r="OIU3" i="7"/>
  <c r="OJC3" i="7"/>
  <c r="OJK3" i="7"/>
  <c r="OJS3" i="7"/>
  <c r="OKA3" i="7"/>
  <c r="OKI3" i="7"/>
  <c r="OKQ3" i="7"/>
  <c r="OKY3" i="7"/>
  <c r="OLG3" i="7"/>
  <c r="OLO3" i="7"/>
  <c r="OLW3" i="7"/>
  <c r="OME3" i="7"/>
  <c r="OMM3" i="7"/>
  <c r="OMU3" i="7"/>
  <c r="ONC3" i="7"/>
  <c r="ONK3" i="7"/>
  <c r="ONS3" i="7"/>
  <c r="OOA3" i="7"/>
  <c r="OOI3" i="7"/>
  <c r="OOQ3" i="7"/>
  <c r="OOY3" i="7"/>
  <c r="OPG3" i="7"/>
  <c r="OPO3" i="7"/>
  <c r="OPW3" i="7"/>
  <c r="OQE3" i="7"/>
  <c r="OQM3" i="7"/>
  <c r="OQU3" i="7"/>
  <c r="ORC3" i="7"/>
  <c r="ORK3" i="7"/>
  <c r="ORS3" i="7"/>
  <c r="OSA3" i="7"/>
  <c r="OSI3" i="7"/>
  <c r="OSQ3" i="7"/>
  <c r="OSY3" i="7"/>
  <c r="OTG3" i="7"/>
  <c r="OTO3" i="7"/>
  <c r="OTW3" i="7"/>
  <c r="OUE3" i="7"/>
  <c r="OUM3" i="7"/>
  <c r="OUU3" i="7"/>
  <c r="OVC3" i="7"/>
  <c r="OVK3" i="7"/>
  <c r="OVS3" i="7"/>
  <c r="OWA3" i="7"/>
  <c r="OWI3" i="7"/>
  <c r="OWQ3" i="7"/>
  <c r="OWY3" i="7"/>
  <c r="OXG3" i="7"/>
  <c r="OXO3" i="7"/>
  <c r="OXW3" i="7"/>
  <c r="OYE3" i="7"/>
  <c r="OYM3" i="7"/>
  <c r="OYU3" i="7"/>
  <c r="OZC3" i="7"/>
  <c r="OZK3" i="7"/>
  <c r="OZS3" i="7"/>
  <c r="PAA3" i="7"/>
  <c r="PAI3" i="7"/>
  <c r="PAQ3" i="7"/>
  <c r="PAY3" i="7"/>
  <c r="PBG3" i="7"/>
  <c r="PBO3" i="7"/>
  <c r="PBW3" i="7"/>
  <c r="PCE3" i="7"/>
  <c r="PCM3" i="7"/>
  <c r="PCU3" i="7"/>
  <c r="PDC3" i="7"/>
  <c r="PDK3" i="7"/>
  <c r="PDS3" i="7"/>
  <c r="PEA3" i="7"/>
  <c r="PEI3" i="7"/>
  <c r="PEQ3" i="7"/>
  <c r="PEY3" i="7"/>
  <c r="PFG3" i="7"/>
  <c r="PFO3" i="7"/>
  <c r="PFW3" i="7"/>
  <c r="PGE3" i="7"/>
  <c r="PGM3" i="7"/>
  <c r="PGU3" i="7"/>
  <c r="PHC3" i="7"/>
  <c r="PHK3" i="7"/>
  <c r="PHS3" i="7"/>
  <c r="PIA3" i="7"/>
  <c r="PII3" i="7"/>
  <c r="PIQ3" i="7"/>
  <c r="PIY3" i="7"/>
  <c r="PJG3" i="7"/>
  <c r="PJO3" i="7"/>
  <c r="PJW3" i="7"/>
  <c r="PKE3" i="7"/>
  <c r="PKM3" i="7"/>
  <c r="PKU3" i="7"/>
  <c r="PLC3" i="7"/>
  <c r="PLK3" i="7"/>
  <c r="PLS3" i="7"/>
  <c r="PMA3" i="7"/>
  <c r="PMI3" i="7"/>
  <c r="PMQ3" i="7"/>
  <c r="PMY3" i="7"/>
  <c r="PNG3" i="7"/>
  <c r="PNO3" i="7"/>
  <c r="PNW3" i="7"/>
  <c r="POE3" i="7"/>
  <c r="POM3" i="7"/>
  <c r="POU3" i="7"/>
  <c r="PPC3" i="7"/>
  <c r="PPK3" i="7"/>
  <c r="PPS3" i="7"/>
  <c r="PQA3" i="7"/>
  <c r="PQI3" i="7"/>
  <c r="PQQ3" i="7"/>
  <c r="PQY3" i="7"/>
  <c r="PRG3" i="7"/>
  <c r="PRO3" i="7"/>
  <c r="PRW3" i="7"/>
  <c r="PSE3" i="7"/>
  <c r="PSM3" i="7"/>
  <c r="PSU3" i="7"/>
  <c r="PTC3" i="7"/>
  <c r="PTK3" i="7"/>
  <c r="PTS3" i="7"/>
  <c r="PUA3" i="7"/>
  <c r="PUI3" i="7"/>
  <c r="PUQ3" i="7"/>
  <c r="PUY3" i="7"/>
  <c r="PVG3" i="7"/>
  <c r="PVO3" i="7"/>
  <c r="PVW3" i="7"/>
  <c r="PWE3" i="7"/>
  <c r="PWM3" i="7"/>
  <c r="PWU3" i="7"/>
  <c r="PXC3" i="7"/>
  <c r="PXK3" i="7"/>
  <c r="PXS3" i="7"/>
  <c r="PYA3" i="7"/>
  <c r="PYI3" i="7"/>
  <c r="PYQ3" i="7"/>
  <c r="PYY3" i="7"/>
  <c r="PZG3" i="7"/>
  <c r="PZO3" i="7"/>
  <c r="PZW3" i="7"/>
  <c r="QAE3" i="7"/>
  <c r="QAM3" i="7"/>
  <c r="QAU3" i="7"/>
  <c r="QBC3" i="7"/>
  <c r="QBK3" i="7"/>
  <c r="QBS3" i="7"/>
  <c r="QCA3" i="7"/>
  <c r="QCI3" i="7"/>
  <c r="QCQ3" i="7"/>
  <c r="QCY3" i="7"/>
  <c r="QDG3" i="7"/>
  <c r="QDO3" i="7"/>
  <c r="QDW3" i="7"/>
  <c r="QEE3" i="7"/>
  <c r="QEM3" i="7"/>
  <c r="QEU3" i="7"/>
  <c r="QFC3" i="7"/>
  <c r="QFK3" i="7"/>
  <c r="QFS3" i="7"/>
  <c r="QGA3" i="7"/>
  <c r="QGI3" i="7"/>
  <c r="QGQ3" i="7"/>
  <c r="QGY3" i="7"/>
  <c r="QHG3" i="7"/>
  <c r="QHO3" i="7"/>
  <c r="QHW3" i="7"/>
  <c r="QIE3" i="7"/>
  <c r="QIM3" i="7"/>
  <c r="QIU3" i="7"/>
  <c r="QJC3" i="7"/>
  <c r="QJK3" i="7"/>
  <c r="QJS3" i="7"/>
  <c r="QKA3" i="7"/>
  <c r="QKI3" i="7"/>
  <c r="QKQ3" i="7"/>
  <c r="QKY3" i="7"/>
  <c r="QLG3" i="7"/>
  <c r="QLO3" i="7"/>
  <c r="QLW3" i="7"/>
  <c r="QME3" i="7"/>
  <c r="QMM3" i="7"/>
  <c r="QMU3" i="7"/>
  <c r="QNC3" i="7"/>
  <c r="QNK3" i="7"/>
  <c r="QNS3" i="7"/>
  <c r="QOA3" i="7"/>
  <c r="QOI3" i="7"/>
  <c r="CHK3" i="7"/>
  <c r="DUU3" i="7"/>
  <c r="EUU3" i="7"/>
  <c r="FEQ3" i="7"/>
  <c r="FOM3" i="7"/>
  <c r="FYI3" i="7"/>
  <c r="GEM3" i="7"/>
  <c r="GJK3" i="7"/>
  <c r="GOI3" i="7"/>
  <c r="GTG3" i="7"/>
  <c r="GYE3" i="7"/>
  <c r="HDC3" i="7"/>
  <c r="HHO3" i="7"/>
  <c r="HLN3" i="7"/>
  <c r="HPH3" i="7"/>
  <c r="HSP3" i="7"/>
  <c r="HVW3" i="7"/>
  <c r="HZC3" i="7"/>
  <c r="IAD3" i="7"/>
  <c r="IBA3" i="7"/>
  <c r="IBY3" i="7"/>
  <c r="ICT3" i="7"/>
  <c r="IDN3" i="7"/>
  <c r="IEK3" i="7"/>
  <c r="IFF3" i="7"/>
  <c r="IFZ3" i="7"/>
  <c r="IGW3" i="7"/>
  <c r="IHR3" i="7"/>
  <c r="IIL3" i="7"/>
  <c r="IJH3" i="7"/>
  <c r="IJX3" i="7"/>
  <c r="IKN3" i="7"/>
  <c r="ILD3" i="7"/>
  <c r="ILT3" i="7"/>
  <c r="IMJ3" i="7"/>
  <c r="IMZ3" i="7"/>
  <c r="INP3" i="7"/>
  <c r="IOF3" i="7"/>
  <c r="IOV3" i="7"/>
  <c r="IPL3" i="7"/>
  <c r="IQB3" i="7"/>
  <c r="IQR3" i="7"/>
  <c r="IRH3" i="7"/>
  <c r="IRX3" i="7"/>
  <c r="ISN3" i="7"/>
  <c r="ITD3" i="7"/>
  <c r="ITT3" i="7"/>
  <c r="IUJ3" i="7"/>
  <c r="IUZ3" i="7"/>
  <c r="IVP3" i="7"/>
  <c r="IWF3" i="7"/>
  <c r="IWV3" i="7"/>
  <c r="IXL3" i="7"/>
  <c r="IYB3" i="7"/>
  <c r="IYR3" i="7"/>
  <c r="IZH3" i="7"/>
  <c r="IZX3" i="7"/>
  <c r="JAN3" i="7"/>
  <c r="JBD3" i="7"/>
  <c r="JBT3" i="7"/>
  <c r="JCJ3" i="7"/>
  <c r="JCZ3" i="7"/>
  <c r="JDP3" i="7"/>
  <c r="JEF3" i="7"/>
  <c r="JEV3" i="7"/>
  <c r="JFL3" i="7"/>
  <c r="JGB3" i="7"/>
  <c r="JGR3" i="7"/>
  <c r="JHF3" i="7"/>
  <c r="JHR3" i="7"/>
  <c r="JIC3" i="7"/>
  <c r="JIN3" i="7"/>
  <c r="JIX3" i="7"/>
  <c r="JJH3" i="7"/>
  <c r="JJP3" i="7"/>
  <c r="JJX3" i="7"/>
  <c r="JKF3" i="7"/>
  <c r="JKN3" i="7"/>
  <c r="JKV3" i="7"/>
  <c r="JLD3" i="7"/>
  <c r="JLL3" i="7"/>
  <c r="JLT3" i="7"/>
  <c r="JMB3" i="7"/>
  <c r="JMJ3" i="7"/>
  <c r="JMR3" i="7"/>
  <c r="JMZ3" i="7"/>
  <c r="JNH3" i="7"/>
  <c r="JNP3" i="7"/>
  <c r="JNX3" i="7"/>
  <c r="JOF3" i="7"/>
  <c r="JON3" i="7"/>
  <c r="JOV3" i="7"/>
  <c r="JPD3" i="7"/>
  <c r="JPL3" i="7"/>
  <c r="JPT3" i="7"/>
  <c r="JQB3" i="7"/>
  <c r="JQJ3" i="7"/>
  <c r="JQR3" i="7"/>
  <c r="JQZ3" i="7"/>
  <c r="JRH3" i="7"/>
  <c r="JRP3" i="7"/>
  <c r="JRX3" i="7"/>
  <c r="JSF3" i="7"/>
  <c r="JSN3" i="7"/>
  <c r="JSV3" i="7"/>
  <c r="JTD3" i="7"/>
  <c r="JTL3" i="7"/>
  <c r="JTT3" i="7"/>
  <c r="JUB3" i="7"/>
  <c r="JUJ3" i="7"/>
  <c r="JUR3" i="7"/>
  <c r="JUZ3" i="7"/>
  <c r="JVH3" i="7"/>
  <c r="JVP3" i="7"/>
  <c r="JVX3" i="7"/>
  <c r="JWF3" i="7"/>
  <c r="JWN3" i="7"/>
  <c r="JWV3" i="7"/>
  <c r="JXD3" i="7"/>
  <c r="JXL3" i="7"/>
  <c r="JXT3" i="7"/>
  <c r="JYB3" i="7"/>
  <c r="JYJ3" i="7"/>
  <c r="JYR3" i="7"/>
  <c r="JYZ3" i="7"/>
  <c r="JZH3" i="7"/>
  <c r="JZP3" i="7"/>
  <c r="JZX3" i="7"/>
  <c r="KAF3" i="7"/>
  <c r="KAN3" i="7"/>
  <c r="KAV3" i="7"/>
  <c r="KBD3" i="7"/>
  <c r="KBL3" i="7"/>
  <c r="KBT3" i="7"/>
  <c r="KCB3" i="7"/>
  <c r="KCJ3" i="7"/>
  <c r="KCR3" i="7"/>
  <c r="KCZ3" i="7"/>
  <c r="KDH3" i="7"/>
  <c r="KDP3" i="7"/>
  <c r="KDX3" i="7"/>
  <c r="KEF3" i="7"/>
  <c r="KEN3" i="7"/>
  <c r="KEV3" i="7"/>
  <c r="KFD3" i="7"/>
  <c r="KFL3" i="7"/>
  <c r="KFT3" i="7"/>
  <c r="KGB3" i="7"/>
  <c r="KGJ3" i="7"/>
  <c r="KGR3" i="7"/>
  <c r="KGZ3" i="7"/>
  <c r="KHH3" i="7"/>
  <c r="KHP3" i="7"/>
  <c r="KHX3" i="7"/>
  <c r="KIF3" i="7"/>
  <c r="KIN3" i="7"/>
  <c r="KIV3" i="7"/>
  <c r="KJD3" i="7"/>
  <c r="KJL3" i="7"/>
  <c r="KJT3" i="7"/>
  <c r="KKB3" i="7"/>
  <c r="KKJ3" i="7"/>
  <c r="KKR3" i="7"/>
  <c r="KKZ3" i="7"/>
  <c r="KLH3" i="7"/>
  <c r="KLP3" i="7"/>
  <c r="KLX3" i="7"/>
  <c r="KMF3" i="7"/>
  <c r="KMN3" i="7"/>
  <c r="KMV3" i="7"/>
  <c r="KND3" i="7"/>
  <c r="KNL3" i="7"/>
  <c r="KNT3" i="7"/>
  <c r="KOB3" i="7"/>
  <c r="KOJ3" i="7"/>
  <c r="KOR3" i="7"/>
  <c r="KOZ3" i="7"/>
  <c r="KPH3" i="7"/>
  <c r="KPP3" i="7"/>
  <c r="KPX3" i="7"/>
  <c r="KQF3" i="7"/>
  <c r="KQN3" i="7"/>
  <c r="KQV3" i="7"/>
  <c r="KRD3" i="7"/>
  <c r="KRL3" i="7"/>
  <c r="KRT3" i="7"/>
  <c r="KSB3" i="7"/>
  <c r="KSJ3" i="7"/>
  <c r="KSR3" i="7"/>
  <c r="KSZ3" i="7"/>
  <c r="KTH3" i="7"/>
  <c r="KTP3" i="7"/>
  <c r="KTX3" i="7"/>
  <c r="KUF3" i="7"/>
  <c r="KUN3" i="7"/>
  <c r="KUV3" i="7"/>
  <c r="KVD3" i="7"/>
  <c r="KVL3" i="7"/>
  <c r="KVT3" i="7"/>
  <c r="KWB3" i="7"/>
  <c r="KWJ3" i="7"/>
  <c r="KWR3" i="7"/>
  <c r="KWZ3" i="7"/>
  <c r="KXH3" i="7"/>
  <c r="KXP3" i="7"/>
  <c r="KXX3" i="7"/>
  <c r="KYF3" i="7"/>
  <c r="KYN3" i="7"/>
  <c r="KYV3" i="7"/>
  <c r="KZD3" i="7"/>
  <c r="KZL3" i="7"/>
  <c r="KZT3" i="7"/>
  <c r="LAB3" i="7"/>
  <c r="LAJ3" i="7"/>
  <c r="LAR3" i="7"/>
  <c r="LAZ3" i="7"/>
  <c r="LBH3" i="7"/>
  <c r="LBP3" i="7"/>
  <c r="LBX3" i="7"/>
  <c r="LCF3" i="7"/>
  <c r="LCN3" i="7"/>
  <c r="LCV3" i="7"/>
  <c r="LDD3" i="7"/>
  <c r="LDL3" i="7"/>
  <c r="LDT3" i="7"/>
  <c r="LEB3" i="7"/>
  <c r="LEJ3" i="7"/>
  <c r="LER3" i="7"/>
  <c r="LEZ3" i="7"/>
  <c r="LFH3" i="7"/>
  <c r="LFP3" i="7"/>
  <c r="LFX3" i="7"/>
  <c r="LGF3" i="7"/>
  <c r="LGN3" i="7"/>
  <c r="LGV3" i="7"/>
  <c r="LHD3" i="7"/>
  <c r="LHL3" i="7"/>
  <c r="LHT3" i="7"/>
  <c r="LIB3" i="7"/>
  <c r="LIJ3" i="7"/>
  <c r="LIR3" i="7"/>
  <c r="LIZ3" i="7"/>
  <c r="LJH3" i="7"/>
  <c r="LJP3" i="7"/>
  <c r="LJX3" i="7"/>
  <c r="LKF3" i="7"/>
  <c r="LKN3" i="7"/>
  <c r="LKV3" i="7"/>
  <c r="LLD3" i="7"/>
  <c r="LLL3" i="7"/>
  <c r="LLT3" i="7"/>
  <c r="LMB3" i="7"/>
  <c r="LMJ3" i="7"/>
  <c r="LMR3" i="7"/>
  <c r="LMZ3" i="7"/>
  <c r="LNH3" i="7"/>
  <c r="LNP3" i="7"/>
  <c r="LNX3" i="7"/>
  <c r="LOF3" i="7"/>
  <c r="LON3" i="7"/>
  <c r="LOV3" i="7"/>
  <c r="LPD3" i="7"/>
  <c r="LPL3" i="7"/>
  <c r="LPT3" i="7"/>
  <c r="LQB3" i="7"/>
  <c r="LQJ3" i="7"/>
  <c r="LQR3" i="7"/>
  <c r="LQZ3" i="7"/>
  <c r="LRH3" i="7"/>
  <c r="LRP3" i="7"/>
  <c r="LRX3" i="7"/>
  <c r="LSF3" i="7"/>
  <c r="LSN3" i="7"/>
  <c r="LSV3" i="7"/>
  <c r="LTD3" i="7"/>
  <c r="LTL3" i="7"/>
  <c r="LTT3" i="7"/>
  <c r="LUB3" i="7"/>
  <c r="LUJ3" i="7"/>
  <c r="LUR3" i="7"/>
  <c r="LUZ3" i="7"/>
  <c r="LVH3" i="7"/>
  <c r="LVP3" i="7"/>
  <c r="LVX3" i="7"/>
  <c r="LWF3" i="7"/>
  <c r="LWN3" i="7"/>
  <c r="LWV3" i="7"/>
  <c r="LXD3" i="7"/>
  <c r="LXL3" i="7"/>
  <c r="LXT3" i="7"/>
  <c r="LYB3" i="7"/>
  <c r="LYJ3" i="7"/>
  <c r="LYR3" i="7"/>
  <c r="LYZ3" i="7"/>
  <c r="LZH3" i="7"/>
  <c r="LZP3" i="7"/>
  <c r="LZX3" i="7"/>
  <c r="MAF3" i="7"/>
  <c r="MAN3" i="7"/>
  <c r="MAV3" i="7"/>
  <c r="MBD3" i="7"/>
  <c r="MBL3" i="7"/>
  <c r="MBT3" i="7"/>
  <c r="MCB3" i="7"/>
  <c r="MCJ3" i="7"/>
  <c r="MCR3" i="7"/>
  <c r="MCZ3" i="7"/>
  <c r="MDH3" i="7"/>
  <c r="MDP3" i="7"/>
  <c r="MDX3" i="7"/>
  <c r="MEF3" i="7"/>
  <c r="MEN3" i="7"/>
  <c r="MEV3" i="7"/>
  <c r="MFD3" i="7"/>
  <c r="MFL3" i="7"/>
  <c r="MFT3" i="7"/>
  <c r="MGB3" i="7"/>
  <c r="MGJ3" i="7"/>
  <c r="MGR3" i="7"/>
  <c r="MGZ3" i="7"/>
  <c r="MHH3" i="7"/>
  <c r="MHP3" i="7"/>
  <c r="MHX3" i="7"/>
  <c r="MIF3" i="7"/>
  <c r="MIN3" i="7"/>
  <c r="MIV3" i="7"/>
  <c r="MJD3" i="7"/>
  <c r="MJL3" i="7"/>
  <c r="MJT3" i="7"/>
  <c r="MKB3" i="7"/>
  <c r="MKJ3" i="7"/>
  <c r="MKR3" i="7"/>
  <c r="MKZ3" i="7"/>
  <c r="MLH3" i="7"/>
  <c r="MLP3" i="7"/>
  <c r="MLX3" i="7"/>
  <c r="MMF3" i="7"/>
  <c r="MMN3" i="7"/>
  <c r="MMV3" i="7"/>
  <c r="MND3" i="7"/>
  <c r="MNL3" i="7"/>
  <c r="MNT3" i="7"/>
  <c r="MOB3" i="7"/>
  <c r="MOJ3" i="7"/>
  <c r="MOR3" i="7"/>
  <c r="MOZ3" i="7"/>
  <c r="MPH3" i="7"/>
  <c r="MPP3" i="7"/>
  <c r="MPX3" i="7"/>
  <c r="MQF3" i="7"/>
  <c r="MQN3" i="7"/>
  <c r="MQV3" i="7"/>
  <c r="MRD3" i="7"/>
  <c r="MRL3" i="7"/>
  <c r="MRT3" i="7"/>
  <c r="MSB3" i="7"/>
  <c r="MSJ3" i="7"/>
  <c r="MSR3" i="7"/>
  <c r="MSZ3" i="7"/>
  <c r="MTH3" i="7"/>
  <c r="MTP3" i="7"/>
  <c r="MTX3" i="7"/>
  <c r="MUF3" i="7"/>
  <c r="MUN3" i="7"/>
  <c r="MUV3" i="7"/>
  <c r="MVD3" i="7"/>
  <c r="MVL3" i="7"/>
  <c r="MVT3" i="7"/>
  <c r="MWB3" i="7"/>
  <c r="MWJ3" i="7"/>
  <c r="MWR3" i="7"/>
  <c r="MWZ3" i="7"/>
  <c r="MXH3" i="7"/>
  <c r="MXP3" i="7"/>
  <c r="MXX3" i="7"/>
  <c r="MYF3" i="7"/>
  <c r="MYN3" i="7"/>
  <c r="MYV3" i="7"/>
  <c r="MZD3" i="7"/>
  <c r="MZL3" i="7"/>
  <c r="MZT3" i="7"/>
  <c r="NAB3" i="7"/>
  <c r="NAJ3" i="7"/>
  <c r="NAR3" i="7"/>
  <c r="NAZ3" i="7"/>
  <c r="NBH3" i="7"/>
  <c r="NBP3" i="7"/>
  <c r="NBX3" i="7"/>
  <c r="NCF3" i="7"/>
  <c r="NCN3" i="7"/>
  <c r="NCV3" i="7"/>
  <c r="NDD3" i="7"/>
  <c r="NDL3" i="7"/>
  <c r="NDT3" i="7"/>
  <c r="NEB3" i="7"/>
  <c r="NEJ3" i="7"/>
  <c r="NER3" i="7"/>
  <c r="NEZ3" i="7"/>
  <c r="NFH3" i="7"/>
  <c r="NFP3" i="7"/>
  <c r="NFX3" i="7"/>
  <c r="NGF3" i="7"/>
  <c r="NGN3" i="7"/>
  <c r="NGV3" i="7"/>
  <c r="NHD3" i="7"/>
  <c r="NHL3" i="7"/>
  <c r="NHT3" i="7"/>
  <c r="NIB3" i="7"/>
  <c r="NIJ3" i="7"/>
  <c r="NIR3" i="7"/>
  <c r="NIZ3" i="7"/>
  <c r="NJH3" i="7"/>
  <c r="NJP3" i="7"/>
  <c r="NJX3" i="7"/>
  <c r="NKF3" i="7"/>
  <c r="NKN3" i="7"/>
  <c r="NKV3" i="7"/>
  <c r="NLD3" i="7"/>
  <c r="NLL3" i="7"/>
  <c r="NLT3" i="7"/>
  <c r="NMB3" i="7"/>
  <c r="NMJ3" i="7"/>
  <c r="NMR3" i="7"/>
  <c r="NMZ3" i="7"/>
  <c r="NNH3" i="7"/>
  <c r="NNP3" i="7"/>
  <c r="NNX3" i="7"/>
  <c r="NOF3" i="7"/>
  <c r="NON3" i="7"/>
  <c r="NOV3" i="7"/>
  <c r="NPD3" i="7"/>
  <c r="NPL3" i="7"/>
  <c r="NPT3" i="7"/>
  <c r="NQB3" i="7"/>
  <c r="NQJ3" i="7"/>
  <c r="NQR3" i="7"/>
  <c r="NQZ3" i="7"/>
  <c r="NRH3" i="7"/>
  <c r="NRP3" i="7"/>
  <c r="NRX3" i="7"/>
  <c r="NSF3" i="7"/>
  <c r="NSN3" i="7"/>
  <c r="NSV3" i="7"/>
  <c r="NTD3" i="7"/>
  <c r="NTL3" i="7"/>
  <c r="NTT3" i="7"/>
  <c r="NUB3" i="7"/>
  <c r="NUJ3" i="7"/>
  <c r="NUR3" i="7"/>
  <c r="NUZ3" i="7"/>
  <c r="NVH3" i="7"/>
  <c r="NVP3" i="7"/>
  <c r="NVX3" i="7"/>
  <c r="NWF3" i="7"/>
  <c r="NWN3" i="7"/>
  <c r="NWV3" i="7"/>
  <c r="NXD3" i="7"/>
  <c r="NXL3" i="7"/>
  <c r="NXT3" i="7"/>
  <c r="NYB3" i="7"/>
  <c r="NYJ3" i="7"/>
  <c r="NYR3" i="7"/>
  <c r="NYZ3" i="7"/>
  <c r="NZH3" i="7"/>
  <c r="NZP3" i="7"/>
  <c r="NZX3" i="7"/>
  <c r="OAF3" i="7"/>
  <c r="OAN3" i="7"/>
  <c r="OAV3" i="7"/>
  <c r="OBD3" i="7"/>
  <c r="OBL3" i="7"/>
  <c r="OBT3" i="7"/>
  <c r="OCB3" i="7"/>
  <c r="OCJ3" i="7"/>
  <c r="OCR3" i="7"/>
  <c r="OCZ3" i="7"/>
  <c r="ODH3" i="7"/>
  <c r="ODP3" i="7"/>
  <c r="ODX3" i="7"/>
  <c r="OEF3" i="7"/>
  <c r="OEN3" i="7"/>
  <c r="OEV3" i="7"/>
  <c r="OFD3" i="7"/>
  <c r="OFL3" i="7"/>
  <c r="OFT3" i="7"/>
  <c r="OGB3" i="7"/>
  <c r="OGJ3" i="7"/>
  <c r="OGR3" i="7"/>
  <c r="OGZ3" i="7"/>
  <c r="OHH3" i="7"/>
  <c r="OHP3" i="7"/>
  <c r="OHX3" i="7"/>
  <c r="OIF3" i="7"/>
  <c r="OIN3" i="7"/>
  <c r="OIV3" i="7"/>
  <c r="OJD3" i="7"/>
  <c r="OJL3" i="7"/>
  <c r="OJT3" i="7"/>
  <c r="OKB3" i="7"/>
  <c r="OKJ3" i="7"/>
  <c r="OKR3" i="7"/>
  <c r="OKZ3" i="7"/>
  <c r="OLH3" i="7"/>
  <c r="OLP3" i="7"/>
  <c r="OLX3" i="7"/>
  <c r="OMF3" i="7"/>
  <c r="OMN3" i="7"/>
  <c r="OMV3" i="7"/>
  <c r="OND3" i="7"/>
  <c r="ONL3" i="7"/>
  <c r="ONT3" i="7"/>
  <c r="OOB3" i="7"/>
  <c r="OOJ3" i="7"/>
  <c r="OOR3" i="7"/>
  <c r="OOZ3" i="7"/>
  <c r="OPH3" i="7"/>
  <c r="OPP3" i="7"/>
  <c r="OPX3" i="7"/>
  <c r="OQF3" i="7"/>
  <c r="OQN3" i="7"/>
  <c r="OQV3" i="7"/>
  <c r="ORD3" i="7"/>
  <c r="ORL3" i="7"/>
  <c r="ORT3" i="7"/>
  <c r="OSB3" i="7"/>
  <c r="OSJ3" i="7"/>
  <c r="OSR3" i="7"/>
  <c r="OSZ3" i="7"/>
  <c r="OTH3" i="7"/>
  <c r="OTP3" i="7"/>
  <c r="OTX3" i="7"/>
  <c r="OUF3" i="7"/>
  <c r="OUN3" i="7"/>
  <c r="OUV3" i="7"/>
  <c r="OVD3" i="7"/>
  <c r="OVL3" i="7"/>
  <c r="OVT3" i="7"/>
  <c r="OWB3" i="7"/>
  <c r="OWJ3" i="7"/>
  <c r="OWR3" i="7"/>
  <c r="OWZ3" i="7"/>
  <c r="OXH3" i="7"/>
  <c r="OXP3" i="7"/>
  <c r="OXX3" i="7"/>
  <c r="OYF3" i="7"/>
  <c r="OYN3" i="7"/>
  <c r="OYV3" i="7"/>
  <c r="OZD3" i="7"/>
  <c r="OZL3" i="7"/>
  <c r="OZT3" i="7"/>
  <c r="PAB3" i="7"/>
  <c r="PAJ3" i="7"/>
  <c r="PAR3" i="7"/>
  <c r="PAZ3" i="7"/>
  <c r="PBH3" i="7"/>
  <c r="PBP3" i="7"/>
  <c r="PBX3" i="7"/>
  <c r="PCF3" i="7"/>
  <c r="PCN3" i="7"/>
  <c r="PCV3" i="7"/>
  <c r="PDD3" i="7"/>
  <c r="PDL3" i="7"/>
  <c r="PDT3" i="7"/>
  <c r="PEB3" i="7"/>
  <c r="PEJ3" i="7"/>
  <c r="PER3" i="7"/>
  <c r="PEZ3" i="7"/>
  <c r="PFH3" i="7"/>
  <c r="PFP3" i="7"/>
  <c r="PFX3" i="7"/>
  <c r="PGF3" i="7"/>
  <c r="PGN3" i="7"/>
  <c r="PGV3" i="7"/>
  <c r="PHD3" i="7"/>
  <c r="PHL3" i="7"/>
  <c r="PHT3" i="7"/>
  <c r="PIB3" i="7"/>
  <c r="PIJ3" i="7"/>
  <c r="PIR3" i="7"/>
  <c r="PIZ3" i="7"/>
  <c r="PJH3" i="7"/>
  <c r="PJP3" i="7"/>
  <c r="PJX3" i="7"/>
  <c r="PKF3" i="7"/>
  <c r="PKN3" i="7"/>
  <c r="PKV3" i="7"/>
  <c r="PLD3" i="7"/>
  <c r="PLL3" i="7"/>
  <c r="PLT3" i="7"/>
  <c r="PMB3" i="7"/>
  <c r="PMJ3" i="7"/>
  <c r="PMR3" i="7"/>
  <c r="PMZ3" i="7"/>
  <c r="PNH3" i="7"/>
  <c r="PNP3" i="7"/>
  <c r="PNX3" i="7"/>
  <c r="POF3" i="7"/>
  <c r="PON3" i="7"/>
  <c r="POV3" i="7"/>
  <c r="PPD3" i="7"/>
  <c r="PPL3" i="7"/>
  <c r="PPT3" i="7"/>
  <c r="PQB3" i="7"/>
  <c r="PQJ3" i="7"/>
  <c r="PQR3" i="7"/>
  <c r="PQZ3" i="7"/>
  <c r="PRH3" i="7"/>
  <c r="PRP3" i="7"/>
  <c r="PRX3" i="7"/>
  <c r="PSF3" i="7"/>
  <c r="PSN3" i="7"/>
  <c r="PSV3" i="7"/>
  <c r="PTD3" i="7"/>
  <c r="PTL3" i="7"/>
  <c r="PTT3" i="7"/>
  <c r="PUB3" i="7"/>
  <c r="PUJ3" i="7"/>
  <c r="PUR3" i="7"/>
  <c r="PUZ3" i="7"/>
  <c r="PVH3" i="7"/>
  <c r="PVP3" i="7"/>
  <c r="PVX3" i="7"/>
  <c r="PWF3" i="7"/>
  <c r="PWN3" i="7"/>
  <c r="PWV3" i="7"/>
  <c r="PXD3" i="7"/>
  <c r="PXL3" i="7"/>
  <c r="PXT3" i="7"/>
  <c r="PYB3" i="7"/>
  <c r="PYJ3" i="7"/>
  <c r="PYR3" i="7"/>
  <c r="PYZ3" i="7"/>
  <c r="PZH3" i="7"/>
  <c r="PZP3" i="7"/>
  <c r="PZX3" i="7"/>
  <c r="QAF3" i="7"/>
  <c r="QAN3" i="7"/>
  <c r="QAV3" i="7"/>
  <c r="QBD3" i="7"/>
  <c r="QBL3" i="7"/>
  <c r="QBT3" i="7"/>
  <c r="QCB3" i="7"/>
  <c r="QCJ3" i="7"/>
  <c r="QCR3" i="7"/>
  <c r="QCZ3" i="7"/>
  <c r="QDH3" i="7"/>
  <c r="QDP3" i="7"/>
  <c r="QDX3" i="7"/>
  <c r="QEF3" i="7"/>
  <c r="QEN3" i="7"/>
  <c r="QEV3" i="7"/>
  <c r="QFD3" i="7"/>
  <c r="QFL3" i="7"/>
  <c r="QFT3" i="7"/>
  <c r="QGB3" i="7"/>
  <c r="QGJ3" i="7"/>
  <c r="QGR3" i="7"/>
  <c r="QGZ3" i="7"/>
  <c r="QHH3" i="7"/>
  <c r="QHP3" i="7"/>
  <c r="QHX3" i="7"/>
  <c r="QIF3" i="7"/>
  <c r="QIN3" i="7"/>
  <c r="QIV3" i="7"/>
  <c r="QJD3" i="7"/>
  <c r="QJL3" i="7"/>
  <c r="QJT3" i="7"/>
  <c r="QKB3" i="7"/>
  <c r="QKJ3" i="7"/>
  <c r="QKR3" i="7"/>
  <c r="QKZ3" i="7"/>
  <c r="QLH3" i="7"/>
  <c r="QLP3" i="7"/>
  <c r="QLX3" i="7"/>
  <c r="QMF3" i="7"/>
  <c r="QMN3" i="7"/>
  <c r="QMV3" i="7"/>
  <c r="QND3" i="7"/>
  <c r="QNL3" i="7"/>
  <c r="QNT3" i="7"/>
  <c r="QOB3" i="7"/>
  <c r="QOJ3" i="7"/>
  <c r="CMI3" i="7"/>
  <c r="DZS3" i="7"/>
  <c r="EWA3" i="7"/>
  <c r="FFW3" i="7"/>
  <c r="FPS3" i="7"/>
  <c r="FZO3" i="7"/>
  <c r="GFC3" i="7"/>
  <c r="GKA3" i="7"/>
  <c r="GOY3" i="7"/>
  <c r="GTW3" i="7"/>
  <c r="GYU3" i="7"/>
  <c r="HDS3" i="7"/>
  <c r="HIC3" i="7"/>
  <c r="HMA3" i="7"/>
  <c r="HPS3" i="7"/>
  <c r="HSZ3" i="7"/>
  <c r="HWH3" i="7"/>
  <c r="HZF3" i="7"/>
  <c r="IAH3" i="7"/>
  <c r="IBF3" i="7"/>
  <c r="IBZ3" i="7"/>
  <c r="ICW3" i="7"/>
  <c r="IDR3" i="7"/>
  <c r="IEL3" i="7"/>
  <c r="IFI3" i="7"/>
  <c r="IGD3" i="7"/>
  <c r="IGX3" i="7"/>
  <c r="IHU3" i="7"/>
  <c r="IIP3" i="7"/>
  <c r="IJI3" i="7"/>
  <c r="IJY3" i="7"/>
  <c r="IKO3" i="7"/>
  <c r="ILE3" i="7"/>
  <c r="ILU3" i="7"/>
  <c r="IMK3" i="7"/>
  <c r="INA3" i="7"/>
  <c r="INQ3" i="7"/>
  <c r="IOG3" i="7"/>
  <c r="IOW3" i="7"/>
  <c r="IPM3" i="7"/>
  <c r="IQC3" i="7"/>
  <c r="IQS3" i="7"/>
  <c r="IRI3" i="7"/>
  <c r="IRY3" i="7"/>
  <c r="ISO3" i="7"/>
  <c r="ITE3" i="7"/>
  <c r="ITU3" i="7"/>
  <c r="IUK3" i="7"/>
  <c r="IVA3" i="7"/>
  <c r="IVQ3" i="7"/>
  <c r="IWG3" i="7"/>
  <c r="IWW3" i="7"/>
  <c r="IXM3" i="7"/>
  <c r="IYC3" i="7"/>
  <c r="IYS3" i="7"/>
  <c r="IZI3" i="7"/>
  <c r="IZY3" i="7"/>
  <c r="JAO3" i="7"/>
  <c r="JBE3" i="7"/>
  <c r="JBU3" i="7"/>
  <c r="JCK3" i="7"/>
  <c r="JDA3" i="7"/>
  <c r="JDQ3" i="7"/>
  <c r="JEG3" i="7"/>
  <c r="JEW3" i="7"/>
  <c r="JFM3" i="7"/>
  <c r="JGC3" i="7"/>
  <c r="JGS3" i="7"/>
  <c r="JHH3" i="7"/>
  <c r="JHS3" i="7"/>
  <c r="JID3" i="7"/>
  <c r="JIO3" i="7"/>
  <c r="JIY3" i="7"/>
  <c r="JJI3" i="7"/>
  <c r="JJQ3" i="7"/>
  <c r="JJY3" i="7"/>
  <c r="JKG3" i="7"/>
  <c r="JKO3" i="7"/>
  <c r="JKW3" i="7"/>
  <c r="JLE3" i="7"/>
  <c r="JLM3" i="7"/>
  <c r="JLU3" i="7"/>
  <c r="JMC3" i="7"/>
  <c r="JMK3" i="7"/>
  <c r="JMS3" i="7"/>
  <c r="JNA3" i="7"/>
  <c r="JNI3" i="7"/>
  <c r="JNQ3" i="7"/>
  <c r="JNY3" i="7"/>
  <c r="JOG3" i="7"/>
  <c r="JOO3" i="7"/>
  <c r="JOW3" i="7"/>
  <c r="JPE3" i="7"/>
  <c r="JPM3" i="7"/>
  <c r="JPU3" i="7"/>
  <c r="JQC3" i="7"/>
  <c r="JQK3" i="7"/>
  <c r="JQS3" i="7"/>
  <c r="JRA3" i="7"/>
  <c r="JRI3" i="7"/>
  <c r="JRQ3" i="7"/>
  <c r="JRY3" i="7"/>
  <c r="JSG3" i="7"/>
  <c r="JSO3" i="7"/>
  <c r="JSW3" i="7"/>
  <c r="JTE3" i="7"/>
  <c r="JTM3" i="7"/>
  <c r="JTU3" i="7"/>
  <c r="JUC3" i="7"/>
  <c r="JUK3" i="7"/>
  <c r="JUS3" i="7"/>
  <c r="JVA3" i="7"/>
  <c r="JVI3" i="7"/>
  <c r="JVQ3" i="7"/>
  <c r="JVY3" i="7"/>
  <c r="JWG3" i="7"/>
  <c r="JWO3" i="7"/>
  <c r="JWW3" i="7"/>
  <c r="JXE3" i="7"/>
  <c r="JXM3" i="7"/>
  <c r="JXU3" i="7"/>
  <c r="JYC3" i="7"/>
  <c r="JYK3" i="7"/>
  <c r="JYS3" i="7"/>
  <c r="JZA3" i="7"/>
  <c r="JZI3" i="7"/>
  <c r="JZQ3" i="7"/>
  <c r="JZY3" i="7"/>
  <c r="KAG3" i="7"/>
  <c r="KAO3" i="7"/>
  <c r="KAW3" i="7"/>
  <c r="KBE3" i="7"/>
  <c r="KBM3" i="7"/>
  <c r="KBU3" i="7"/>
  <c r="KCC3" i="7"/>
  <c r="KCK3" i="7"/>
  <c r="KCS3" i="7"/>
  <c r="KDA3" i="7"/>
  <c r="KDI3" i="7"/>
  <c r="KDQ3" i="7"/>
  <c r="KDY3" i="7"/>
  <c r="KEG3" i="7"/>
  <c r="KEO3" i="7"/>
  <c r="KEW3" i="7"/>
  <c r="KFE3" i="7"/>
  <c r="KFM3" i="7"/>
  <c r="KFU3" i="7"/>
  <c r="KGC3" i="7"/>
  <c r="KGK3" i="7"/>
  <c r="KGS3" i="7"/>
  <c r="KHA3" i="7"/>
  <c r="KHI3" i="7"/>
  <c r="KHQ3" i="7"/>
  <c r="KHY3" i="7"/>
  <c r="KIG3" i="7"/>
  <c r="KIO3" i="7"/>
  <c r="KIW3" i="7"/>
  <c r="KJE3" i="7"/>
  <c r="KJM3" i="7"/>
  <c r="KJU3" i="7"/>
  <c r="KKC3" i="7"/>
  <c r="KKK3" i="7"/>
  <c r="KKS3" i="7"/>
  <c r="KLA3" i="7"/>
  <c r="KLI3" i="7"/>
  <c r="KLQ3" i="7"/>
  <c r="KLY3" i="7"/>
  <c r="KMG3" i="7"/>
  <c r="KMO3" i="7"/>
  <c r="KMW3" i="7"/>
  <c r="KNE3" i="7"/>
  <c r="KNM3" i="7"/>
  <c r="KNU3" i="7"/>
  <c r="KOC3" i="7"/>
  <c r="KOK3" i="7"/>
  <c r="KOS3" i="7"/>
  <c r="KPA3" i="7"/>
  <c r="KPI3" i="7"/>
  <c r="KPQ3" i="7"/>
  <c r="KPY3" i="7"/>
  <c r="KQG3" i="7"/>
  <c r="KQO3" i="7"/>
  <c r="KQW3" i="7"/>
  <c r="KRE3" i="7"/>
  <c r="KRM3" i="7"/>
  <c r="KRU3" i="7"/>
  <c r="KSC3" i="7"/>
  <c r="KSK3" i="7"/>
  <c r="KSS3" i="7"/>
  <c r="KTA3" i="7"/>
  <c r="KTI3" i="7"/>
  <c r="KTQ3" i="7"/>
  <c r="KTY3" i="7"/>
  <c r="KUG3" i="7"/>
  <c r="KUO3" i="7"/>
  <c r="KUW3" i="7"/>
  <c r="KVE3" i="7"/>
  <c r="KVM3" i="7"/>
  <c r="KVU3" i="7"/>
  <c r="KWC3" i="7"/>
  <c r="KWK3" i="7"/>
  <c r="KWS3" i="7"/>
  <c r="KXA3" i="7"/>
  <c r="KXI3" i="7"/>
  <c r="KXQ3" i="7"/>
  <c r="KXY3" i="7"/>
  <c r="KYG3" i="7"/>
  <c r="KYO3" i="7"/>
  <c r="KYW3" i="7"/>
  <c r="KZE3" i="7"/>
  <c r="KZM3" i="7"/>
  <c r="KZU3" i="7"/>
  <c r="LAC3" i="7"/>
  <c r="LAK3" i="7"/>
  <c r="LAS3" i="7"/>
  <c r="LBA3" i="7"/>
  <c r="LBI3" i="7"/>
  <c r="LBQ3" i="7"/>
  <c r="LBY3" i="7"/>
  <c r="LCG3" i="7"/>
  <c r="LCO3" i="7"/>
  <c r="LCW3" i="7"/>
  <c r="LDE3" i="7"/>
  <c r="LDM3" i="7"/>
  <c r="LDU3" i="7"/>
  <c r="LEC3" i="7"/>
  <c r="LEK3" i="7"/>
  <c r="LES3" i="7"/>
  <c r="LFA3" i="7"/>
  <c r="LFI3" i="7"/>
  <c r="LFQ3" i="7"/>
  <c r="LFY3" i="7"/>
  <c r="LGG3" i="7"/>
  <c r="LGO3" i="7"/>
  <c r="LGW3" i="7"/>
  <c r="LHE3" i="7"/>
  <c r="LHM3" i="7"/>
  <c r="LHU3" i="7"/>
  <c r="LIC3" i="7"/>
  <c r="LIK3" i="7"/>
  <c r="LIS3" i="7"/>
  <c r="LJA3" i="7"/>
  <c r="LJI3" i="7"/>
  <c r="LJQ3" i="7"/>
  <c r="LJY3" i="7"/>
  <c r="LKG3" i="7"/>
  <c r="LKO3" i="7"/>
  <c r="LKW3" i="7"/>
  <c r="LLE3" i="7"/>
  <c r="LLM3" i="7"/>
  <c r="LLU3" i="7"/>
  <c r="LMC3" i="7"/>
  <c r="LMK3" i="7"/>
  <c r="LMS3" i="7"/>
  <c r="LNA3" i="7"/>
  <c r="LNI3" i="7"/>
  <c r="LNQ3" i="7"/>
  <c r="LNY3" i="7"/>
  <c r="LOG3" i="7"/>
  <c r="LOO3" i="7"/>
  <c r="LOW3" i="7"/>
  <c r="LPE3" i="7"/>
  <c r="LPM3" i="7"/>
  <c r="LPU3" i="7"/>
  <c r="LQC3" i="7"/>
  <c r="LQK3" i="7"/>
  <c r="LQS3" i="7"/>
  <c r="LRA3" i="7"/>
  <c r="LRI3" i="7"/>
  <c r="LRQ3" i="7"/>
  <c r="LRY3" i="7"/>
  <c r="LSG3" i="7"/>
  <c r="LSO3" i="7"/>
  <c r="LSW3" i="7"/>
  <c r="LTE3" i="7"/>
  <c r="LTM3" i="7"/>
  <c r="LTU3" i="7"/>
  <c r="LUC3" i="7"/>
  <c r="LUK3" i="7"/>
  <c r="LUS3" i="7"/>
  <c r="LVA3" i="7"/>
  <c r="LVI3" i="7"/>
  <c r="LVQ3" i="7"/>
  <c r="LVY3" i="7"/>
  <c r="LWG3" i="7"/>
  <c r="LWO3" i="7"/>
  <c r="LWW3" i="7"/>
  <c r="LXE3" i="7"/>
  <c r="LXM3" i="7"/>
  <c r="LXU3" i="7"/>
  <c r="LYC3" i="7"/>
  <c r="LYK3" i="7"/>
  <c r="LYS3" i="7"/>
  <c r="LZA3" i="7"/>
  <c r="LZI3" i="7"/>
  <c r="LZQ3" i="7"/>
  <c r="LZY3" i="7"/>
  <c r="MAG3" i="7"/>
  <c r="MAO3" i="7"/>
  <c r="MAW3" i="7"/>
  <c r="MBE3" i="7"/>
  <c r="MBM3" i="7"/>
  <c r="MBU3" i="7"/>
  <c r="MCC3" i="7"/>
  <c r="MCK3" i="7"/>
  <c r="MCS3" i="7"/>
  <c r="MDA3" i="7"/>
  <c r="MDI3" i="7"/>
  <c r="MDQ3" i="7"/>
  <c r="MDY3" i="7"/>
  <c r="MEG3" i="7"/>
  <c r="MEO3" i="7"/>
  <c r="MEW3" i="7"/>
  <c r="MFE3" i="7"/>
  <c r="MFM3" i="7"/>
  <c r="MFU3" i="7"/>
  <c r="MGC3" i="7"/>
  <c r="MGK3" i="7"/>
  <c r="MGS3" i="7"/>
  <c r="MHA3" i="7"/>
  <c r="MHI3" i="7"/>
  <c r="MHQ3" i="7"/>
  <c r="MHY3" i="7"/>
  <c r="MIG3" i="7"/>
  <c r="MIO3" i="7"/>
  <c r="MIW3" i="7"/>
  <c r="MJE3" i="7"/>
  <c r="MJM3" i="7"/>
  <c r="MJU3" i="7"/>
  <c r="MKC3" i="7"/>
  <c r="MKK3" i="7"/>
  <c r="MKS3" i="7"/>
  <c r="MLA3" i="7"/>
  <c r="MLI3" i="7"/>
  <c r="MLQ3" i="7"/>
  <c r="MLY3" i="7"/>
  <c r="MMG3" i="7"/>
  <c r="MMO3" i="7"/>
  <c r="MMW3" i="7"/>
  <c r="MNE3" i="7"/>
  <c r="MNM3" i="7"/>
  <c r="MNU3" i="7"/>
  <c r="MOC3" i="7"/>
  <c r="MOK3" i="7"/>
  <c r="MOS3" i="7"/>
  <c r="MPA3" i="7"/>
  <c r="MPI3" i="7"/>
  <c r="MPQ3" i="7"/>
  <c r="MPY3" i="7"/>
  <c r="MQG3" i="7"/>
  <c r="MQO3" i="7"/>
  <c r="MQW3" i="7"/>
  <c r="MRE3" i="7"/>
  <c r="MRM3" i="7"/>
  <c r="MRU3" i="7"/>
  <c r="MSC3" i="7"/>
  <c r="MSK3" i="7"/>
  <c r="MSS3" i="7"/>
  <c r="MTA3" i="7"/>
  <c r="MTI3" i="7"/>
  <c r="MTQ3" i="7"/>
  <c r="MTY3" i="7"/>
  <c r="MUG3" i="7"/>
  <c r="MUO3" i="7"/>
  <c r="MUW3" i="7"/>
  <c r="MVE3" i="7"/>
  <c r="MVM3" i="7"/>
  <c r="MVU3" i="7"/>
  <c r="MWC3" i="7"/>
  <c r="MWK3" i="7"/>
  <c r="MWS3" i="7"/>
  <c r="MXA3" i="7"/>
  <c r="MXI3" i="7"/>
  <c r="MXQ3" i="7"/>
  <c r="MXY3" i="7"/>
  <c r="MYG3" i="7"/>
  <c r="MYO3" i="7"/>
  <c r="MYW3" i="7"/>
  <c r="MZE3" i="7"/>
  <c r="MZM3" i="7"/>
  <c r="MZU3" i="7"/>
  <c r="NAC3" i="7"/>
  <c r="NAK3" i="7"/>
  <c r="NAS3" i="7"/>
  <c r="NBA3" i="7"/>
  <c r="NBI3" i="7"/>
  <c r="NBQ3" i="7"/>
  <c r="NBY3" i="7"/>
  <c r="NCG3" i="7"/>
  <c r="NCO3" i="7"/>
  <c r="NCW3" i="7"/>
  <c r="NDE3" i="7"/>
  <c r="NDM3" i="7"/>
  <c r="NDU3" i="7"/>
  <c r="NEC3" i="7"/>
  <c r="NEK3" i="7"/>
  <c r="NES3" i="7"/>
  <c r="NFA3" i="7"/>
  <c r="NFI3" i="7"/>
  <c r="NFQ3" i="7"/>
  <c r="NFY3" i="7"/>
  <c r="NGG3" i="7"/>
  <c r="NGO3" i="7"/>
  <c r="NGW3" i="7"/>
  <c r="NHE3" i="7"/>
  <c r="NHM3" i="7"/>
  <c r="NHU3" i="7"/>
  <c r="NIC3" i="7"/>
  <c r="NIK3" i="7"/>
  <c r="NIS3" i="7"/>
  <c r="NJA3" i="7"/>
  <c r="NJI3" i="7"/>
  <c r="NJQ3" i="7"/>
  <c r="NJY3" i="7"/>
  <c r="NKG3" i="7"/>
  <c r="NKO3" i="7"/>
  <c r="NKW3" i="7"/>
  <c r="NLE3" i="7"/>
  <c r="NLM3" i="7"/>
  <c r="NLU3" i="7"/>
  <c r="NMC3" i="7"/>
  <c r="NMK3" i="7"/>
  <c r="NMS3" i="7"/>
  <c r="NNA3" i="7"/>
  <c r="NNI3" i="7"/>
  <c r="NNQ3" i="7"/>
  <c r="NNY3" i="7"/>
  <c r="NOG3" i="7"/>
  <c r="NOO3" i="7"/>
  <c r="NOW3" i="7"/>
  <c r="NPE3" i="7"/>
  <c r="NPM3" i="7"/>
  <c r="NPU3" i="7"/>
  <c r="NQC3" i="7"/>
  <c r="NQK3" i="7"/>
  <c r="NQS3" i="7"/>
  <c r="NRA3" i="7"/>
  <c r="NRI3" i="7"/>
  <c r="NRQ3" i="7"/>
  <c r="NRY3" i="7"/>
  <c r="NSG3" i="7"/>
  <c r="NSO3" i="7"/>
  <c r="NSW3" i="7"/>
  <c r="NTE3" i="7"/>
  <c r="NTM3" i="7"/>
  <c r="NTU3" i="7"/>
  <c r="NUC3" i="7"/>
  <c r="NUK3" i="7"/>
  <c r="NUS3" i="7"/>
  <c r="NVA3" i="7"/>
  <c r="NVI3" i="7"/>
  <c r="NVQ3" i="7"/>
  <c r="NVY3" i="7"/>
  <c r="NWG3" i="7"/>
  <c r="NWO3" i="7"/>
  <c r="NWW3" i="7"/>
  <c r="NXE3" i="7"/>
  <c r="NXM3" i="7"/>
  <c r="NXU3" i="7"/>
  <c r="NYC3" i="7"/>
  <c r="NYK3" i="7"/>
  <c r="NYS3" i="7"/>
  <c r="NZA3" i="7"/>
  <c r="NZI3" i="7"/>
  <c r="NZQ3" i="7"/>
  <c r="NZY3" i="7"/>
  <c r="OAG3" i="7"/>
  <c r="OAO3" i="7"/>
  <c r="OAW3" i="7"/>
  <c r="OBE3" i="7"/>
  <c r="OBM3" i="7"/>
  <c r="OBU3" i="7"/>
  <c r="OCC3" i="7"/>
  <c r="OCK3" i="7"/>
  <c r="OCS3" i="7"/>
  <c r="ODA3" i="7"/>
  <c r="ODI3" i="7"/>
  <c r="ODQ3" i="7"/>
  <c r="ODY3" i="7"/>
  <c r="OEG3" i="7"/>
  <c r="OEO3" i="7"/>
  <c r="OEW3" i="7"/>
  <c r="OFE3" i="7"/>
  <c r="OFM3" i="7"/>
  <c r="OFU3" i="7"/>
  <c r="OGC3" i="7"/>
  <c r="OGK3" i="7"/>
  <c r="OGS3" i="7"/>
  <c r="OHA3" i="7"/>
  <c r="OHI3" i="7"/>
  <c r="OHQ3" i="7"/>
  <c r="OHY3" i="7"/>
  <c r="OIG3" i="7"/>
  <c r="OIO3" i="7"/>
  <c r="OIW3" i="7"/>
  <c r="OJE3" i="7"/>
  <c r="OJM3" i="7"/>
  <c r="OJU3" i="7"/>
  <c r="OKC3" i="7"/>
  <c r="OKK3" i="7"/>
  <c r="OKS3" i="7"/>
  <c r="OLA3" i="7"/>
  <c r="OLI3" i="7"/>
  <c r="OLQ3" i="7"/>
  <c r="OLY3" i="7"/>
  <c r="OMG3" i="7"/>
  <c r="OMO3" i="7"/>
  <c r="OMW3" i="7"/>
  <c r="ONE3" i="7"/>
  <c r="ONM3" i="7"/>
  <c r="ONU3" i="7"/>
  <c r="OOC3" i="7"/>
  <c r="OOK3" i="7"/>
  <c r="OOS3" i="7"/>
  <c r="OPA3" i="7"/>
  <c r="OPI3" i="7"/>
  <c r="OPQ3" i="7"/>
  <c r="OPY3" i="7"/>
  <c r="OQG3" i="7"/>
  <c r="OQO3" i="7"/>
  <c r="OQW3" i="7"/>
  <c r="ORE3" i="7"/>
  <c r="ORM3" i="7"/>
  <c r="ORU3" i="7"/>
  <c r="OSC3" i="7"/>
  <c r="OSK3" i="7"/>
  <c r="OSS3" i="7"/>
  <c r="OTA3" i="7"/>
  <c r="OTI3" i="7"/>
  <c r="OTQ3" i="7"/>
  <c r="OTY3" i="7"/>
  <c r="OUG3" i="7"/>
  <c r="OUO3" i="7"/>
  <c r="OUW3" i="7"/>
  <c r="OVE3" i="7"/>
  <c r="OVM3" i="7"/>
  <c r="OVU3" i="7"/>
  <c r="OWC3" i="7"/>
  <c r="OWK3" i="7"/>
  <c r="OWS3" i="7"/>
  <c r="OXA3" i="7"/>
  <c r="OXI3" i="7"/>
  <c r="OXQ3" i="7"/>
  <c r="OXY3" i="7"/>
  <c r="OYG3" i="7"/>
  <c r="OYO3" i="7"/>
  <c r="OYW3" i="7"/>
  <c r="OZE3" i="7"/>
  <c r="OZM3" i="7"/>
  <c r="OZU3" i="7"/>
  <c r="PAC3" i="7"/>
  <c r="PAK3" i="7"/>
  <c r="PAS3" i="7"/>
  <c r="PBA3" i="7"/>
  <c r="PBI3" i="7"/>
  <c r="PBQ3" i="7"/>
  <c r="PBY3" i="7"/>
  <c r="PCG3" i="7"/>
  <c r="PCO3" i="7"/>
  <c r="PCW3" i="7"/>
  <c r="PDE3" i="7"/>
  <c r="PDM3" i="7"/>
  <c r="PDU3" i="7"/>
  <c r="PEC3" i="7"/>
  <c r="PEK3" i="7"/>
  <c r="PES3" i="7"/>
  <c r="PFA3" i="7"/>
  <c r="PFI3" i="7"/>
  <c r="PFQ3" i="7"/>
  <c r="PFY3" i="7"/>
  <c r="PGG3" i="7"/>
  <c r="PGO3" i="7"/>
  <c r="PGW3" i="7"/>
  <c r="PHE3" i="7"/>
  <c r="PHM3" i="7"/>
  <c r="PHU3" i="7"/>
  <c r="PIC3" i="7"/>
  <c r="PIK3" i="7"/>
  <c r="PIS3" i="7"/>
  <c r="PJA3" i="7"/>
  <c r="PJI3" i="7"/>
  <c r="PJQ3" i="7"/>
  <c r="PJY3" i="7"/>
  <c r="PKG3" i="7"/>
  <c r="PKO3" i="7"/>
  <c r="PKW3" i="7"/>
  <c r="PLE3" i="7"/>
  <c r="PLM3" i="7"/>
  <c r="PLU3" i="7"/>
  <c r="PMC3" i="7"/>
  <c r="PMK3" i="7"/>
  <c r="PMS3" i="7"/>
  <c r="PNA3" i="7"/>
  <c r="PNI3" i="7"/>
  <c r="PNQ3" i="7"/>
  <c r="PNY3" i="7"/>
  <c r="POG3" i="7"/>
  <c r="POO3" i="7"/>
  <c r="POW3" i="7"/>
  <c r="PPE3" i="7"/>
  <c r="PPM3" i="7"/>
  <c r="PPU3" i="7"/>
  <c r="PQC3" i="7"/>
  <c r="PQK3" i="7"/>
  <c r="PQS3" i="7"/>
  <c r="PRA3" i="7"/>
  <c r="PRI3" i="7"/>
  <c r="PRQ3" i="7"/>
  <c r="PRY3" i="7"/>
  <c r="PSG3" i="7"/>
  <c r="PSO3" i="7"/>
  <c r="PSW3" i="7"/>
  <c r="PTE3" i="7"/>
  <c r="PTM3" i="7"/>
  <c r="PTU3" i="7"/>
  <c r="PUC3" i="7"/>
  <c r="PUK3" i="7"/>
  <c r="PUS3" i="7"/>
  <c r="PVA3" i="7"/>
  <c r="PVI3" i="7"/>
  <c r="PVQ3" i="7"/>
  <c r="PVY3" i="7"/>
  <c r="PWG3" i="7"/>
  <c r="PWO3" i="7"/>
  <c r="PWW3" i="7"/>
  <c r="PXE3" i="7"/>
  <c r="PXM3" i="7"/>
  <c r="PXU3" i="7"/>
  <c r="PYC3" i="7"/>
  <c r="PYK3" i="7"/>
  <c r="PYS3" i="7"/>
  <c r="PZA3" i="7"/>
  <c r="PZI3" i="7"/>
  <c r="PZQ3" i="7"/>
  <c r="PZY3" i="7"/>
  <c r="QAG3" i="7"/>
  <c r="QAO3" i="7"/>
  <c r="QAW3" i="7"/>
  <c r="QBE3" i="7"/>
  <c r="QBM3" i="7"/>
  <c r="QBU3" i="7"/>
  <c r="QCC3" i="7"/>
  <c r="QCK3" i="7"/>
  <c r="QCS3" i="7"/>
  <c r="QDA3" i="7"/>
  <c r="QDI3" i="7"/>
  <c r="QDQ3" i="7"/>
  <c r="QDY3" i="7"/>
  <c r="QEG3" i="7"/>
  <c r="QEO3" i="7"/>
  <c r="QEW3" i="7"/>
  <c r="QFE3" i="7"/>
  <c r="QFM3" i="7"/>
  <c r="QFU3" i="7"/>
  <c r="QGC3" i="7"/>
  <c r="QGK3" i="7"/>
  <c r="QGS3" i="7"/>
  <c r="QHA3" i="7"/>
  <c r="QHI3" i="7"/>
  <c r="QHQ3" i="7"/>
  <c r="QHY3" i="7"/>
  <c r="QIG3" i="7"/>
  <c r="QIO3" i="7"/>
  <c r="QIW3" i="7"/>
  <c r="QJE3" i="7"/>
  <c r="QJM3" i="7"/>
  <c r="QJU3" i="7"/>
  <c r="QKC3" i="7"/>
  <c r="QKK3" i="7"/>
  <c r="QKS3" i="7"/>
  <c r="QLA3" i="7"/>
  <c r="QLI3" i="7"/>
  <c r="QLQ3" i="7"/>
  <c r="QLY3" i="7"/>
  <c r="QMG3" i="7"/>
  <c r="QMO3" i="7"/>
  <c r="QMW3" i="7"/>
  <c r="QNE3" i="7"/>
  <c r="QNM3" i="7"/>
  <c r="QNU3" i="7"/>
  <c r="QOC3" i="7"/>
  <c r="QOK3" i="7"/>
  <c r="CRG3" i="7"/>
  <c r="EEQ3" i="7"/>
  <c r="EXG3" i="7"/>
  <c r="FHC3" i="7"/>
  <c r="FQY3" i="7"/>
  <c r="GAT3" i="7"/>
  <c r="GFS3" i="7"/>
  <c r="GKQ3" i="7"/>
  <c r="GPO3" i="7"/>
  <c r="GUM3" i="7"/>
  <c r="GZK3" i="7"/>
  <c r="HEI3" i="7"/>
  <c r="HIP3" i="7"/>
  <c r="HMM3" i="7"/>
  <c r="HQD3" i="7"/>
  <c r="HTK3" i="7"/>
  <c r="HWR3" i="7"/>
  <c r="HZL3" i="7"/>
  <c r="IAI3" i="7"/>
  <c r="IBI3" i="7"/>
  <c r="ICD3" i="7"/>
  <c r="ICX3" i="7"/>
  <c r="IDU3" i="7"/>
  <c r="IEP3" i="7"/>
  <c r="IFJ3" i="7"/>
  <c r="IGG3" i="7"/>
  <c r="IHB3" i="7"/>
  <c r="IHV3" i="7"/>
  <c r="IIS3" i="7"/>
  <c r="IJJ3" i="7"/>
  <c r="IJZ3" i="7"/>
  <c r="IKP3" i="7"/>
  <c r="ILF3" i="7"/>
  <c r="ILV3" i="7"/>
  <c r="IML3" i="7"/>
  <c r="INB3" i="7"/>
  <c r="INR3" i="7"/>
  <c r="IOH3" i="7"/>
  <c r="IOX3" i="7"/>
  <c r="IPN3" i="7"/>
  <c r="IQD3" i="7"/>
  <c r="IQT3" i="7"/>
  <c r="IRJ3" i="7"/>
  <c r="IRZ3" i="7"/>
  <c r="ISP3" i="7"/>
  <c r="ITF3" i="7"/>
  <c r="ITV3" i="7"/>
  <c r="IUL3" i="7"/>
  <c r="IVB3" i="7"/>
  <c r="IVR3" i="7"/>
  <c r="IWH3" i="7"/>
  <c r="IWX3" i="7"/>
  <c r="IXN3" i="7"/>
  <c r="IYD3" i="7"/>
  <c r="IYT3" i="7"/>
  <c r="IZJ3" i="7"/>
  <c r="IZZ3" i="7"/>
  <c r="JAP3" i="7"/>
  <c r="JBF3" i="7"/>
  <c r="JBV3" i="7"/>
  <c r="JCL3" i="7"/>
  <c r="JDB3" i="7"/>
  <c r="JDR3" i="7"/>
  <c r="JEH3" i="7"/>
  <c r="JEX3" i="7"/>
  <c r="JFN3" i="7"/>
  <c r="JGD3" i="7"/>
  <c r="JGT3" i="7"/>
  <c r="JHI3" i="7"/>
  <c r="JHU3" i="7"/>
  <c r="JIF3" i="7"/>
  <c r="JIP3" i="7"/>
  <c r="JJA3" i="7"/>
  <c r="JJJ3" i="7"/>
  <c r="JJR3" i="7"/>
  <c r="JJZ3" i="7"/>
  <c r="JKH3" i="7"/>
  <c r="JKP3" i="7"/>
  <c r="JKX3" i="7"/>
  <c r="JLF3" i="7"/>
  <c r="JLN3" i="7"/>
  <c r="JLV3" i="7"/>
  <c r="JMD3" i="7"/>
  <c r="JML3" i="7"/>
  <c r="JMT3" i="7"/>
  <c r="JNB3" i="7"/>
  <c r="JNJ3" i="7"/>
  <c r="JNR3" i="7"/>
  <c r="JNZ3" i="7"/>
  <c r="JOH3" i="7"/>
  <c r="JOP3" i="7"/>
  <c r="JOX3" i="7"/>
  <c r="JPF3" i="7"/>
  <c r="JPN3" i="7"/>
  <c r="JPV3" i="7"/>
  <c r="JQD3" i="7"/>
  <c r="JQL3" i="7"/>
  <c r="JQT3" i="7"/>
  <c r="JRB3" i="7"/>
  <c r="JRJ3" i="7"/>
  <c r="JRR3" i="7"/>
  <c r="JRZ3" i="7"/>
  <c r="JSH3" i="7"/>
  <c r="JSP3" i="7"/>
  <c r="JSX3" i="7"/>
  <c r="JTF3" i="7"/>
  <c r="JTN3" i="7"/>
  <c r="JTV3" i="7"/>
  <c r="JUD3" i="7"/>
  <c r="JUL3" i="7"/>
  <c r="JUT3" i="7"/>
  <c r="JVB3" i="7"/>
  <c r="JVJ3" i="7"/>
  <c r="JVR3" i="7"/>
  <c r="JVZ3" i="7"/>
  <c r="JWH3" i="7"/>
  <c r="JWP3" i="7"/>
  <c r="JWX3" i="7"/>
  <c r="JXF3" i="7"/>
  <c r="JXN3" i="7"/>
  <c r="JXV3" i="7"/>
  <c r="JYD3" i="7"/>
  <c r="JYL3" i="7"/>
  <c r="JYT3" i="7"/>
  <c r="JZB3" i="7"/>
  <c r="JZJ3" i="7"/>
  <c r="JZR3" i="7"/>
  <c r="JZZ3" i="7"/>
  <c r="KAH3" i="7"/>
  <c r="KAP3" i="7"/>
  <c r="KAX3" i="7"/>
  <c r="KBF3" i="7"/>
  <c r="KBN3" i="7"/>
  <c r="KBV3" i="7"/>
  <c r="KCD3" i="7"/>
  <c r="KCL3" i="7"/>
  <c r="KCT3" i="7"/>
  <c r="KDB3" i="7"/>
  <c r="KDJ3" i="7"/>
  <c r="KDR3" i="7"/>
  <c r="KDZ3" i="7"/>
  <c r="KEH3" i="7"/>
  <c r="KEP3" i="7"/>
  <c r="KEX3" i="7"/>
  <c r="KFF3" i="7"/>
  <c r="KFN3" i="7"/>
  <c r="KFV3" i="7"/>
  <c r="KGD3" i="7"/>
  <c r="KGL3" i="7"/>
  <c r="KGT3" i="7"/>
  <c r="KHB3" i="7"/>
  <c r="KHJ3" i="7"/>
  <c r="KHR3" i="7"/>
  <c r="KHZ3" i="7"/>
  <c r="KIH3" i="7"/>
  <c r="KIP3" i="7"/>
  <c r="KIX3" i="7"/>
  <c r="KJF3" i="7"/>
  <c r="KJN3" i="7"/>
  <c r="KJV3" i="7"/>
  <c r="KKD3" i="7"/>
  <c r="KKL3" i="7"/>
  <c r="KKT3" i="7"/>
  <c r="KLB3" i="7"/>
  <c r="KLJ3" i="7"/>
  <c r="KLR3" i="7"/>
  <c r="KLZ3" i="7"/>
  <c r="KMH3" i="7"/>
  <c r="KMP3" i="7"/>
  <c r="KMX3" i="7"/>
  <c r="KNF3" i="7"/>
  <c r="KNN3" i="7"/>
  <c r="KNV3" i="7"/>
  <c r="KOD3" i="7"/>
  <c r="KOL3" i="7"/>
  <c r="KOT3" i="7"/>
  <c r="KPB3" i="7"/>
  <c r="KPJ3" i="7"/>
  <c r="KPR3" i="7"/>
  <c r="KPZ3" i="7"/>
  <c r="KQH3" i="7"/>
  <c r="KQP3" i="7"/>
  <c r="KQX3" i="7"/>
  <c r="KRF3" i="7"/>
  <c r="KRN3" i="7"/>
  <c r="KRV3" i="7"/>
  <c r="KSD3" i="7"/>
  <c r="KSL3" i="7"/>
  <c r="KST3" i="7"/>
  <c r="KTB3" i="7"/>
  <c r="KTJ3" i="7"/>
  <c r="KTR3" i="7"/>
  <c r="KTZ3" i="7"/>
  <c r="KUH3" i="7"/>
  <c r="KUP3" i="7"/>
  <c r="KUX3" i="7"/>
  <c r="KVF3" i="7"/>
  <c r="KVN3" i="7"/>
  <c r="KVV3" i="7"/>
  <c r="KWD3" i="7"/>
  <c r="KWL3" i="7"/>
  <c r="KWT3" i="7"/>
  <c r="KXB3" i="7"/>
  <c r="KXJ3" i="7"/>
  <c r="KXR3" i="7"/>
  <c r="KXZ3" i="7"/>
  <c r="KYH3" i="7"/>
  <c r="KYP3" i="7"/>
  <c r="KYX3" i="7"/>
  <c r="KZF3" i="7"/>
  <c r="KZN3" i="7"/>
  <c r="KZV3" i="7"/>
  <c r="LAD3" i="7"/>
  <c r="LAL3" i="7"/>
  <c r="LAT3" i="7"/>
  <c r="LBB3" i="7"/>
  <c r="LBJ3" i="7"/>
  <c r="LBR3" i="7"/>
  <c r="LBZ3" i="7"/>
  <c r="LCH3" i="7"/>
  <c r="LCP3" i="7"/>
  <c r="LCX3" i="7"/>
  <c r="LDF3" i="7"/>
  <c r="LDN3" i="7"/>
  <c r="LDV3" i="7"/>
  <c r="LED3" i="7"/>
  <c r="LEL3" i="7"/>
  <c r="LET3" i="7"/>
  <c r="LFB3" i="7"/>
  <c r="LFJ3" i="7"/>
  <c r="LFR3" i="7"/>
  <c r="LFZ3" i="7"/>
  <c r="LGH3" i="7"/>
  <c r="LGP3" i="7"/>
  <c r="LGX3" i="7"/>
  <c r="LHF3" i="7"/>
  <c r="LHN3" i="7"/>
  <c r="LHV3" i="7"/>
  <c r="LID3" i="7"/>
  <c r="LIL3" i="7"/>
  <c r="LIT3" i="7"/>
  <c r="LJB3" i="7"/>
  <c r="LJJ3" i="7"/>
  <c r="LJR3" i="7"/>
  <c r="LJZ3" i="7"/>
  <c r="LKH3" i="7"/>
  <c r="LKP3" i="7"/>
  <c r="LKX3" i="7"/>
  <c r="LLF3" i="7"/>
  <c r="LLN3" i="7"/>
  <c r="LLV3" i="7"/>
  <c r="LMD3" i="7"/>
  <c r="LML3" i="7"/>
  <c r="LMT3" i="7"/>
  <c r="LNB3" i="7"/>
  <c r="LNJ3" i="7"/>
  <c r="LNR3" i="7"/>
  <c r="LNZ3" i="7"/>
  <c r="LOH3" i="7"/>
  <c r="LOP3" i="7"/>
  <c r="LOX3" i="7"/>
  <c r="LPF3" i="7"/>
  <c r="LPN3" i="7"/>
  <c r="LPV3" i="7"/>
  <c r="LQD3" i="7"/>
  <c r="LQL3" i="7"/>
  <c r="LQT3" i="7"/>
  <c r="LRB3" i="7"/>
  <c r="LRJ3" i="7"/>
  <c r="LRR3" i="7"/>
  <c r="LRZ3" i="7"/>
  <c r="LSH3" i="7"/>
  <c r="LSP3" i="7"/>
  <c r="LSX3" i="7"/>
  <c r="LTF3" i="7"/>
  <c r="LTN3" i="7"/>
  <c r="LTV3" i="7"/>
  <c r="LUD3" i="7"/>
  <c r="LUL3" i="7"/>
  <c r="LUT3" i="7"/>
  <c r="LVB3" i="7"/>
  <c r="LVJ3" i="7"/>
  <c r="LVR3" i="7"/>
  <c r="LVZ3" i="7"/>
  <c r="LWH3" i="7"/>
  <c r="LWP3" i="7"/>
  <c r="LWX3" i="7"/>
  <c r="LXF3" i="7"/>
  <c r="LXN3" i="7"/>
  <c r="LXV3" i="7"/>
  <c r="LYD3" i="7"/>
  <c r="LYL3" i="7"/>
  <c r="LYT3" i="7"/>
  <c r="LZB3" i="7"/>
  <c r="LZJ3" i="7"/>
  <c r="LZR3" i="7"/>
  <c r="LZZ3" i="7"/>
  <c r="MAH3" i="7"/>
  <c r="MAP3" i="7"/>
  <c r="MAX3" i="7"/>
  <c r="MBF3" i="7"/>
  <c r="MBN3" i="7"/>
  <c r="MBV3" i="7"/>
  <c r="MCD3" i="7"/>
  <c r="MCL3" i="7"/>
  <c r="MCT3" i="7"/>
  <c r="MDB3" i="7"/>
  <c r="MDJ3" i="7"/>
  <c r="MDR3" i="7"/>
  <c r="MDZ3" i="7"/>
  <c r="MEH3" i="7"/>
  <c r="MEP3" i="7"/>
  <c r="MEX3" i="7"/>
  <c r="MFF3" i="7"/>
  <c r="MFN3" i="7"/>
  <c r="MFV3" i="7"/>
  <c r="MGD3" i="7"/>
  <c r="MGL3" i="7"/>
  <c r="MGT3" i="7"/>
  <c r="MHB3" i="7"/>
  <c r="MHJ3" i="7"/>
  <c r="MHR3" i="7"/>
  <c r="MHZ3" i="7"/>
  <c r="MIH3" i="7"/>
  <c r="MIP3" i="7"/>
  <c r="MIX3" i="7"/>
  <c r="MJF3" i="7"/>
  <c r="MJN3" i="7"/>
  <c r="MJV3" i="7"/>
  <c r="MKD3" i="7"/>
  <c r="MKL3" i="7"/>
  <c r="MKT3" i="7"/>
  <c r="MLB3" i="7"/>
  <c r="MLJ3" i="7"/>
  <c r="MLR3" i="7"/>
  <c r="MLZ3" i="7"/>
  <c r="MMH3" i="7"/>
  <c r="MMP3" i="7"/>
  <c r="MMX3" i="7"/>
  <c r="MNF3" i="7"/>
  <c r="MNN3" i="7"/>
  <c r="MNV3" i="7"/>
  <c r="MOD3" i="7"/>
  <c r="MOL3" i="7"/>
  <c r="MOT3" i="7"/>
  <c r="MPB3" i="7"/>
  <c r="MPJ3" i="7"/>
  <c r="MPR3" i="7"/>
  <c r="MPZ3" i="7"/>
  <c r="MQH3" i="7"/>
  <c r="MQP3" i="7"/>
  <c r="MQX3" i="7"/>
  <c r="MRF3" i="7"/>
  <c r="MRN3" i="7"/>
  <c r="MRV3" i="7"/>
  <c r="MSD3" i="7"/>
  <c r="MSL3" i="7"/>
  <c r="MST3" i="7"/>
  <c r="MTB3" i="7"/>
  <c r="MTJ3" i="7"/>
  <c r="MTR3" i="7"/>
  <c r="MTZ3" i="7"/>
  <c r="MUH3" i="7"/>
  <c r="MUP3" i="7"/>
  <c r="MUX3" i="7"/>
  <c r="MVF3" i="7"/>
  <c r="MVN3" i="7"/>
  <c r="MVV3" i="7"/>
  <c r="MWD3" i="7"/>
  <c r="MWL3" i="7"/>
  <c r="MWT3" i="7"/>
  <c r="MXB3" i="7"/>
  <c r="MXJ3" i="7"/>
  <c r="MXR3" i="7"/>
  <c r="MXZ3" i="7"/>
  <c r="MYH3" i="7"/>
  <c r="MYP3" i="7"/>
  <c r="MYX3" i="7"/>
  <c r="MZF3" i="7"/>
  <c r="MZN3" i="7"/>
  <c r="MZV3" i="7"/>
  <c r="NAD3" i="7"/>
  <c r="NAL3" i="7"/>
  <c r="NAT3" i="7"/>
  <c r="NBB3" i="7"/>
  <c r="NBJ3" i="7"/>
  <c r="NBR3" i="7"/>
  <c r="NBZ3" i="7"/>
  <c r="NCH3" i="7"/>
  <c r="NCP3" i="7"/>
  <c r="NCX3" i="7"/>
  <c r="NDF3" i="7"/>
  <c r="NDN3" i="7"/>
  <c r="NDV3" i="7"/>
  <c r="NED3" i="7"/>
  <c r="NEL3" i="7"/>
  <c r="NET3" i="7"/>
  <c r="NFB3" i="7"/>
  <c r="NFJ3" i="7"/>
  <c r="NFR3" i="7"/>
  <c r="NFZ3" i="7"/>
  <c r="NGH3" i="7"/>
  <c r="NGP3" i="7"/>
  <c r="NGX3" i="7"/>
  <c r="NHF3" i="7"/>
  <c r="NHN3" i="7"/>
  <c r="NHV3" i="7"/>
  <c r="NID3" i="7"/>
  <c r="NIL3" i="7"/>
  <c r="NIT3" i="7"/>
  <c r="NJB3" i="7"/>
  <c r="NJJ3" i="7"/>
  <c r="NJR3" i="7"/>
  <c r="NJZ3" i="7"/>
  <c r="NKH3" i="7"/>
  <c r="NKP3" i="7"/>
  <c r="NKX3" i="7"/>
  <c r="NLF3" i="7"/>
  <c r="NLN3" i="7"/>
  <c r="NLV3" i="7"/>
  <c r="NMD3" i="7"/>
  <c r="NML3" i="7"/>
  <c r="NMT3" i="7"/>
  <c r="NNB3" i="7"/>
  <c r="NNJ3" i="7"/>
  <c r="NNR3" i="7"/>
  <c r="NNZ3" i="7"/>
  <c r="NOH3" i="7"/>
  <c r="CWE3" i="7"/>
  <c r="EJO3" i="7"/>
  <c r="EYM3" i="7"/>
  <c r="FII3" i="7"/>
  <c r="FSE3" i="7"/>
  <c r="GBK3" i="7"/>
  <c r="GGI3" i="7"/>
  <c r="GLG3" i="7"/>
  <c r="GQE3" i="7"/>
  <c r="GVC3" i="7"/>
  <c r="HAA3" i="7"/>
  <c r="HEY3" i="7"/>
  <c r="HJB3" i="7"/>
  <c r="HNA3" i="7"/>
  <c r="HQN3" i="7"/>
  <c r="HTV3" i="7"/>
  <c r="HXC3" i="7"/>
  <c r="HZO3" i="7"/>
  <c r="IAM3" i="7"/>
  <c r="IBJ3" i="7"/>
  <c r="ICG3" i="7"/>
  <c r="IDB3" i="7"/>
  <c r="IDV3" i="7"/>
  <c r="IES3" i="7"/>
  <c r="IFN3" i="7"/>
  <c r="IGH3" i="7"/>
  <c r="IHE3" i="7"/>
  <c r="IHZ3" i="7"/>
  <c r="IIT3" i="7"/>
  <c r="IJN3" i="7"/>
  <c r="IKD3" i="7"/>
  <c r="IKT3" i="7"/>
  <c r="ILJ3" i="7"/>
  <c r="ILZ3" i="7"/>
  <c r="IMP3" i="7"/>
  <c r="INF3" i="7"/>
  <c r="INV3" i="7"/>
  <c r="IOL3" i="7"/>
  <c r="IPB3" i="7"/>
  <c r="IPR3" i="7"/>
  <c r="IQH3" i="7"/>
  <c r="IQX3" i="7"/>
  <c r="IRN3" i="7"/>
  <c r="ISD3" i="7"/>
  <c r="IST3" i="7"/>
  <c r="ITJ3" i="7"/>
  <c r="ITZ3" i="7"/>
  <c r="IUP3" i="7"/>
  <c r="IVF3" i="7"/>
  <c r="IVV3" i="7"/>
  <c r="IWL3" i="7"/>
  <c r="IXB3" i="7"/>
  <c r="IXR3" i="7"/>
  <c r="IYH3" i="7"/>
  <c r="IYX3" i="7"/>
  <c r="IZN3" i="7"/>
  <c r="JAD3" i="7"/>
  <c r="JAT3" i="7"/>
  <c r="JBJ3" i="7"/>
  <c r="JBZ3" i="7"/>
  <c r="JCP3" i="7"/>
  <c r="JDF3" i="7"/>
  <c r="JDV3" i="7"/>
  <c r="JEL3" i="7"/>
  <c r="JFB3" i="7"/>
  <c r="JFR3" i="7"/>
  <c r="JGH3" i="7"/>
  <c r="JGX3" i="7"/>
  <c r="JHJ3" i="7"/>
  <c r="JHV3" i="7"/>
  <c r="JIG3" i="7"/>
  <c r="JIQ3" i="7"/>
  <c r="JJB3" i="7"/>
  <c r="JJK3" i="7"/>
  <c r="JJS3" i="7"/>
  <c r="JKA3" i="7"/>
  <c r="JKI3" i="7"/>
  <c r="JKQ3" i="7"/>
  <c r="JKY3" i="7"/>
  <c r="JLG3" i="7"/>
  <c r="JLO3" i="7"/>
  <c r="JLW3" i="7"/>
  <c r="JME3" i="7"/>
  <c r="JMM3" i="7"/>
  <c r="JMU3" i="7"/>
  <c r="JNC3" i="7"/>
  <c r="JNK3" i="7"/>
  <c r="JNS3" i="7"/>
  <c r="JOA3" i="7"/>
  <c r="JOI3" i="7"/>
  <c r="JOQ3" i="7"/>
  <c r="JOY3" i="7"/>
  <c r="JPG3" i="7"/>
  <c r="JPO3" i="7"/>
  <c r="JPW3" i="7"/>
  <c r="JQE3" i="7"/>
  <c r="JQM3" i="7"/>
  <c r="JQU3" i="7"/>
  <c r="JRC3" i="7"/>
  <c r="JRK3" i="7"/>
  <c r="JRS3" i="7"/>
  <c r="JSA3" i="7"/>
  <c r="JSI3" i="7"/>
  <c r="JSQ3" i="7"/>
  <c r="JSY3" i="7"/>
  <c r="JTG3" i="7"/>
  <c r="JTO3" i="7"/>
  <c r="JTW3" i="7"/>
  <c r="JUE3" i="7"/>
  <c r="JUM3" i="7"/>
  <c r="JUU3" i="7"/>
  <c r="JVC3" i="7"/>
  <c r="JVK3" i="7"/>
  <c r="JVS3" i="7"/>
  <c r="JWA3" i="7"/>
  <c r="JWI3" i="7"/>
  <c r="JWQ3" i="7"/>
  <c r="JWY3" i="7"/>
  <c r="JXG3" i="7"/>
  <c r="JXO3" i="7"/>
  <c r="JXW3" i="7"/>
  <c r="JYE3" i="7"/>
  <c r="JYM3" i="7"/>
  <c r="JYU3" i="7"/>
  <c r="JZC3" i="7"/>
  <c r="JZK3" i="7"/>
  <c r="JZS3" i="7"/>
  <c r="KAA3" i="7"/>
  <c r="KAI3" i="7"/>
  <c r="KAQ3" i="7"/>
  <c r="KAY3" i="7"/>
  <c r="KBG3" i="7"/>
  <c r="KBO3" i="7"/>
  <c r="KBW3" i="7"/>
  <c r="KCE3" i="7"/>
  <c r="KCM3" i="7"/>
  <c r="KCU3" i="7"/>
  <c r="KDC3" i="7"/>
  <c r="KDK3" i="7"/>
  <c r="KDS3" i="7"/>
  <c r="KEA3" i="7"/>
  <c r="KEI3" i="7"/>
  <c r="KEQ3" i="7"/>
  <c r="KEY3" i="7"/>
  <c r="KFG3" i="7"/>
  <c r="KFO3" i="7"/>
  <c r="KFW3" i="7"/>
  <c r="KGE3" i="7"/>
  <c r="KGM3" i="7"/>
  <c r="KGU3" i="7"/>
  <c r="KHC3" i="7"/>
  <c r="KHK3" i="7"/>
  <c r="KHS3" i="7"/>
  <c r="KIA3" i="7"/>
  <c r="KII3" i="7"/>
  <c r="KIQ3" i="7"/>
  <c r="KIY3" i="7"/>
  <c r="KJG3" i="7"/>
  <c r="KJO3" i="7"/>
  <c r="KJW3" i="7"/>
  <c r="KKE3" i="7"/>
  <c r="KKM3" i="7"/>
  <c r="KKU3" i="7"/>
  <c r="KLC3" i="7"/>
  <c r="KLK3" i="7"/>
  <c r="KLS3" i="7"/>
  <c r="KMA3" i="7"/>
  <c r="KMI3" i="7"/>
  <c r="KMQ3" i="7"/>
  <c r="KMY3" i="7"/>
  <c r="KNG3" i="7"/>
  <c r="KNO3" i="7"/>
  <c r="KNW3" i="7"/>
  <c r="KOE3" i="7"/>
  <c r="KOM3" i="7"/>
  <c r="KOU3" i="7"/>
  <c r="KPC3" i="7"/>
  <c r="KPK3" i="7"/>
  <c r="KPS3" i="7"/>
  <c r="KQA3" i="7"/>
  <c r="KQI3" i="7"/>
  <c r="KQQ3" i="7"/>
  <c r="KQY3" i="7"/>
  <c r="KRG3" i="7"/>
  <c r="KRO3" i="7"/>
  <c r="KRW3" i="7"/>
  <c r="KSE3" i="7"/>
  <c r="KSM3" i="7"/>
  <c r="KSU3" i="7"/>
  <c r="KTC3" i="7"/>
  <c r="KTK3" i="7"/>
  <c r="KTS3" i="7"/>
  <c r="KUA3" i="7"/>
  <c r="KUI3" i="7"/>
  <c r="KUQ3" i="7"/>
  <c r="KUY3" i="7"/>
  <c r="KVG3" i="7"/>
  <c r="KVO3" i="7"/>
  <c r="KVW3" i="7"/>
  <c r="KWE3" i="7"/>
  <c r="KWM3" i="7"/>
  <c r="KWU3" i="7"/>
  <c r="KXC3" i="7"/>
  <c r="KXK3" i="7"/>
  <c r="KXS3" i="7"/>
  <c r="KYA3" i="7"/>
  <c r="KYI3" i="7"/>
  <c r="KYQ3" i="7"/>
  <c r="KYY3" i="7"/>
  <c r="KZG3" i="7"/>
  <c r="KZO3" i="7"/>
  <c r="KZW3" i="7"/>
  <c r="LAE3" i="7"/>
  <c r="LAM3" i="7"/>
  <c r="LAU3" i="7"/>
  <c r="LBC3" i="7"/>
  <c r="LBK3" i="7"/>
  <c r="LBS3" i="7"/>
  <c r="LCA3" i="7"/>
  <c r="LCI3" i="7"/>
  <c r="LCQ3" i="7"/>
  <c r="LCY3" i="7"/>
  <c r="LDG3" i="7"/>
  <c r="LDO3" i="7"/>
  <c r="LDW3" i="7"/>
  <c r="LEE3" i="7"/>
  <c r="LEM3" i="7"/>
  <c r="LEU3" i="7"/>
  <c r="LFC3" i="7"/>
  <c r="LFK3" i="7"/>
  <c r="LFS3" i="7"/>
  <c r="LGA3" i="7"/>
  <c r="LGI3" i="7"/>
  <c r="LGQ3" i="7"/>
  <c r="LGY3" i="7"/>
  <c r="LHG3" i="7"/>
  <c r="LHO3" i="7"/>
  <c r="LHW3" i="7"/>
  <c r="LIE3" i="7"/>
  <c r="LIM3" i="7"/>
  <c r="LIU3" i="7"/>
  <c r="LJC3" i="7"/>
  <c r="LJK3" i="7"/>
  <c r="LJS3" i="7"/>
  <c r="LKA3" i="7"/>
  <c r="LKI3" i="7"/>
  <c r="LKQ3" i="7"/>
  <c r="LKY3" i="7"/>
  <c r="LLG3" i="7"/>
  <c r="LLO3" i="7"/>
  <c r="LLW3" i="7"/>
  <c r="LME3" i="7"/>
  <c r="LMM3" i="7"/>
  <c r="LMU3" i="7"/>
  <c r="LNC3" i="7"/>
  <c r="LNK3" i="7"/>
  <c r="LNS3" i="7"/>
  <c r="LOA3" i="7"/>
  <c r="LOI3" i="7"/>
  <c r="LOQ3" i="7"/>
  <c r="LOY3" i="7"/>
  <c r="LPG3" i="7"/>
  <c r="LPO3" i="7"/>
  <c r="LPW3" i="7"/>
  <c r="LQE3" i="7"/>
  <c r="LQM3" i="7"/>
  <c r="LQU3" i="7"/>
  <c r="LRC3" i="7"/>
  <c r="LRK3" i="7"/>
  <c r="LRS3" i="7"/>
  <c r="LSA3" i="7"/>
  <c r="LSI3" i="7"/>
  <c r="LSQ3" i="7"/>
  <c r="LSY3" i="7"/>
  <c r="LTG3" i="7"/>
  <c r="LTO3" i="7"/>
  <c r="LTW3" i="7"/>
  <c r="LUE3" i="7"/>
  <c r="LUM3" i="7"/>
  <c r="LUU3" i="7"/>
  <c r="LVC3" i="7"/>
  <c r="LVK3" i="7"/>
  <c r="LVS3" i="7"/>
  <c r="LWA3" i="7"/>
  <c r="LWI3" i="7"/>
  <c r="LWQ3" i="7"/>
  <c r="LWY3" i="7"/>
  <c r="LXG3" i="7"/>
  <c r="LXO3" i="7"/>
  <c r="LXW3" i="7"/>
  <c r="LYE3" i="7"/>
  <c r="LYM3" i="7"/>
  <c r="LYU3" i="7"/>
  <c r="LZC3" i="7"/>
  <c r="LZK3" i="7"/>
  <c r="LZS3" i="7"/>
  <c r="MAA3" i="7"/>
  <c r="MAI3" i="7"/>
  <c r="MAQ3" i="7"/>
  <c r="MAY3" i="7"/>
  <c r="MBG3" i="7"/>
  <c r="MBO3" i="7"/>
  <c r="MBW3" i="7"/>
  <c r="MCE3" i="7"/>
  <c r="MCM3" i="7"/>
  <c r="MCU3" i="7"/>
  <c r="MDC3" i="7"/>
  <c r="MDK3" i="7"/>
  <c r="MDS3" i="7"/>
  <c r="MEA3" i="7"/>
  <c r="MEI3" i="7"/>
  <c r="MEQ3" i="7"/>
  <c r="MEY3" i="7"/>
  <c r="MFG3" i="7"/>
  <c r="MFO3" i="7"/>
  <c r="MFW3" i="7"/>
  <c r="MGE3" i="7"/>
  <c r="MGM3" i="7"/>
  <c r="MGU3" i="7"/>
  <c r="MHC3" i="7"/>
  <c r="MHK3" i="7"/>
  <c r="MHS3" i="7"/>
  <c r="MIA3" i="7"/>
  <c r="MII3" i="7"/>
  <c r="MIQ3" i="7"/>
  <c r="MIY3" i="7"/>
  <c r="MJG3" i="7"/>
  <c r="MJO3" i="7"/>
  <c r="MJW3" i="7"/>
  <c r="MKE3" i="7"/>
  <c r="MKM3" i="7"/>
  <c r="MKU3" i="7"/>
  <c r="MLC3" i="7"/>
  <c r="MLK3" i="7"/>
  <c r="MLS3" i="7"/>
  <c r="MMA3" i="7"/>
  <c r="MMI3" i="7"/>
  <c r="MMQ3" i="7"/>
  <c r="MMY3" i="7"/>
  <c r="MNG3" i="7"/>
  <c r="MNO3" i="7"/>
  <c r="MNW3" i="7"/>
  <c r="MOE3" i="7"/>
  <c r="MOM3" i="7"/>
  <c r="MOU3" i="7"/>
  <c r="MPC3" i="7"/>
  <c r="MPK3" i="7"/>
  <c r="MPS3" i="7"/>
  <c r="MQA3" i="7"/>
  <c r="MQI3" i="7"/>
  <c r="MQQ3" i="7"/>
  <c r="MQY3" i="7"/>
  <c r="MRG3" i="7"/>
  <c r="MRO3" i="7"/>
  <c r="MRW3" i="7"/>
  <c r="MSE3" i="7"/>
  <c r="MSM3" i="7"/>
  <c r="MSU3" i="7"/>
  <c r="MTC3" i="7"/>
  <c r="MTK3" i="7"/>
  <c r="MTS3" i="7"/>
  <c r="MUA3" i="7"/>
  <c r="MUI3" i="7"/>
  <c r="MUQ3" i="7"/>
  <c r="MUY3" i="7"/>
  <c r="MVG3" i="7"/>
  <c r="MVO3" i="7"/>
  <c r="MVW3" i="7"/>
  <c r="MWE3" i="7"/>
  <c r="MWM3" i="7"/>
  <c r="MWU3" i="7"/>
  <c r="MXC3" i="7"/>
  <c r="MXK3" i="7"/>
  <c r="MXS3" i="7"/>
  <c r="MYA3" i="7"/>
  <c r="MYI3" i="7"/>
  <c r="MYQ3" i="7"/>
  <c r="MYY3" i="7"/>
  <c r="MZG3" i="7"/>
  <c r="MZO3" i="7"/>
  <c r="MZW3" i="7"/>
  <c r="NAE3" i="7"/>
  <c r="NAM3" i="7"/>
  <c r="NAU3" i="7"/>
  <c r="NBC3" i="7"/>
  <c r="NBK3" i="7"/>
  <c r="NBS3" i="7"/>
  <c r="NCA3" i="7"/>
  <c r="NCI3" i="7"/>
  <c r="NCQ3" i="7"/>
  <c r="NCY3" i="7"/>
  <c r="NDG3" i="7"/>
  <c r="NDO3" i="7"/>
  <c r="NDW3" i="7"/>
  <c r="NEE3" i="7"/>
  <c r="NEM3" i="7"/>
  <c r="NEU3" i="7"/>
  <c r="NFC3" i="7"/>
  <c r="NFK3" i="7"/>
  <c r="NFS3" i="7"/>
  <c r="NGA3" i="7"/>
  <c r="NGI3" i="7"/>
  <c r="NGQ3" i="7"/>
  <c r="NGY3" i="7"/>
  <c r="NHG3" i="7"/>
  <c r="NHO3" i="7"/>
  <c r="NHW3" i="7"/>
  <c r="NIE3" i="7"/>
  <c r="NIM3" i="7"/>
  <c r="NIU3" i="7"/>
  <c r="NJC3" i="7"/>
  <c r="NJK3" i="7"/>
  <c r="NJS3" i="7"/>
  <c r="NKA3" i="7"/>
  <c r="NKI3" i="7"/>
  <c r="NKQ3" i="7"/>
  <c r="NKY3" i="7"/>
  <c r="NLG3" i="7"/>
  <c r="NLO3" i="7"/>
  <c r="NLW3" i="7"/>
  <c r="NME3" i="7"/>
  <c r="NMM3" i="7"/>
  <c r="NMU3" i="7"/>
  <c r="NNC3" i="7"/>
  <c r="NNK3" i="7"/>
  <c r="NNS3" i="7"/>
  <c r="NOA3" i="7"/>
  <c r="NOI3" i="7"/>
  <c r="NOQ3" i="7"/>
  <c r="NOY3" i="7"/>
  <c r="NPG3" i="7"/>
  <c r="NPO3" i="7"/>
  <c r="NPW3" i="7"/>
  <c r="NQE3" i="7"/>
  <c r="NQM3" i="7"/>
  <c r="NQU3" i="7"/>
  <c r="NRC3" i="7"/>
  <c r="NRK3" i="7"/>
  <c r="NRS3" i="7"/>
  <c r="NSA3" i="7"/>
  <c r="NSI3" i="7"/>
  <c r="NSQ3" i="7"/>
  <c r="NSY3" i="7"/>
  <c r="NTG3" i="7"/>
  <c r="NTO3" i="7"/>
  <c r="NTW3" i="7"/>
  <c r="NUE3" i="7"/>
  <c r="NUM3" i="7"/>
  <c r="NUU3" i="7"/>
  <c r="NVC3" i="7"/>
  <c r="NVK3" i="7"/>
  <c r="NVS3" i="7"/>
  <c r="NWA3" i="7"/>
  <c r="NWI3" i="7"/>
  <c r="NWQ3" i="7"/>
  <c r="NWY3" i="7"/>
  <c r="NXG3" i="7"/>
  <c r="NXO3" i="7"/>
  <c r="NXW3" i="7"/>
  <c r="NYE3" i="7"/>
  <c r="NYM3" i="7"/>
  <c r="NYU3" i="7"/>
  <c r="NZC3" i="7"/>
  <c r="NZK3" i="7"/>
  <c r="NZS3" i="7"/>
  <c r="OAA3" i="7"/>
  <c r="OAI3" i="7"/>
  <c r="OAQ3" i="7"/>
  <c r="OAY3" i="7"/>
  <c r="OBG3" i="7"/>
  <c r="OBO3" i="7"/>
  <c r="OBW3" i="7"/>
  <c r="OCE3" i="7"/>
  <c r="OCM3" i="7"/>
  <c r="OCU3" i="7"/>
  <c r="ODC3" i="7"/>
  <c r="ODK3" i="7"/>
  <c r="ODS3" i="7"/>
  <c r="OEA3" i="7"/>
  <c r="OEI3" i="7"/>
  <c r="OEQ3" i="7"/>
  <c r="OEY3" i="7"/>
  <c r="OFG3" i="7"/>
  <c r="OFO3" i="7"/>
  <c r="OFW3" i="7"/>
  <c r="OGE3" i="7"/>
  <c r="OGM3" i="7"/>
  <c r="OGU3" i="7"/>
  <c r="OHC3" i="7"/>
  <c r="OHK3" i="7"/>
  <c r="OHS3" i="7"/>
  <c r="OIA3" i="7"/>
  <c r="OII3" i="7"/>
  <c r="OIQ3" i="7"/>
  <c r="OIY3" i="7"/>
  <c r="OJG3" i="7"/>
  <c r="OJO3" i="7"/>
  <c r="OJW3" i="7"/>
  <c r="OKE3" i="7"/>
  <c r="OKM3" i="7"/>
  <c r="OKU3" i="7"/>
  <c r="OLC3" i="7"/>
  <c r="OLK3" i="7"/>
  <c r="OLS3" i="7"/>
  <c r="OMA3" i="7"/>
  <c r="OMI3" i="7"/>
  <c r="OMQ3" i="7"/>
  <c r="OMY3" i="7"/>
  <c r="ONG3" i="7"/>
  <c r="ONO3" i="7"/>
  <c r="ONW3" i="7"/>
  <c r="OOE3" i="7"/>
  <c r="OOM3" i="7"/>
  <c r="OOU3" i="7"/>
  <c r="OPC3" i="7"/>
  <c r="OPK3" i="7"/>
  <c r="OPS3" i="7"/>
  <c r="OQA3" i="7"/>
  <c r="OQI3" i="7"/>
  <c r="OQQ3" i="7"/>
  <c r="OQY3" i="7"/>
  <c r="ORG3" i="7"/>
  <c r="ORO3" i="7"/>
  <c r="ORW3" i="7"/>
  <c r="OSE3" i="7"/>
  <c r="OSM3" i="7"/>
  <c r="OSU3" i="7"/>
  <c r="OTC3" i="7"/>
  <c r="OTK3" i="7"/>
  <c r="OTS3" i="7"/>
  <c r="OUA3" i="7"/>
  <c r="OUI3" i="7"/>
  <c r="OUQ3" i="7"/>
  <c r="OUY3" i="7"/>
  <c r="OVG3" i="7"/>
  <c r="OVO3" i="7"/>
  <c r="OVW3" i="7"/>
  <c r="OWE3" i="7"/>
  <c r="OWM3" i="7"/>
  <c r="OWU3" i="7"/>
  <c r="OXC3" i="7"/>
  <c r="OXK3" i="7"/>
  <c r="OXS3" i="7"/>
  <c r="OYA3" i="7"/>
  <c r="OYI3" i="7"/>
  <c r="OYQ3" i="7"/>
  <c r="OYY3" i="7"/>
  <c r="OZG3" i="7"/>
  <c r="OZO3" i="7"/>
  <c r="OZW3" i="7"/>
  <c r="PAE3" i="7"/>
  <c r="PAM3" i="7"/>
  <c r="PAU3" i="7"/>
  <c r="PBC3" i="7"/>
  <c r="PBK3" i="7"/>
  <c r="PBS3" i="7"/>
  <c r="PCA3" i="7"/>
  <c r="PCI3" i="7"/>
  <c r="PCQ3" i="7"/>
  <c r="PCY3" i="7"/>
  <c r="PDG3" i="7"/>
  <c r="PDO3" i="7"/>
  <c r="PDW3" i="7"/>
  <c r="PEE3" i="7"/>
  <c r="PEM3" i="7"/>
  <c r="PEU3" i="7"/>
  <c r="PFC3" i="7"/>
  <c r="PFK3" i="7"/>
  <c r="PFS3" i="7"/>
  <c r="PGA3" i="7"/>
  <c r="PGI3" i="7"/>
  <c r="PGQ3" i="7"/>
  <c r="PGY3" i="7"/>
  <c r="PHG3" i="7"/>
  <c r="PHO3" i="7"/>
  <c r="PHW3" i="7"/>
  <c r="PIE3" i="7"/>
  <c r="PIM3" i="7"/>
  <c r="PIU3" i="7"/>
  <c r="PJC3" i="7"/>
  <c r="PJK3" i="7"/>
  <c r="PJS3" i="7"/>
  <c r="PKA3" i="7"/>
  <c r="PKI3" i="7"/>
  <c r="PKQ3" i="7"/>
  <c r="PKY3" i="7"/>
  <c r="PLG3" i="7"/>
  <c r="PLO3" i="7"/>
  <c r="PLW3" i="7"/>
  <c r="PME3" i="7"/>
  <c r="PMM3" i="7"/>
  <c r="PMU3" i="7"/>
  <c r="PNC3" i="7"/>
  <c r="PNK3" i="7"/>
  <c r="PNS3" i="7"/>
  <c r="POA3" i="7"/>
  <c r="POI3" i="7"/>
  <c r="POQ3" i="7"/>
  <c r="POY3" i="7"/>
  <c r="PPG3" i="7"/>
  <c r="PPO3" i="7"/>
  <c r="PPW3" i="7"/>
  <c r="PQE3" i="7"/>
  <c r="PQM3" i="7"/>
  <c r="PQU3" i="7"/>
  <c r="PRC3" i="7"/>
  <c r="PRK3" i="7"/>
  <c r="PRS3" i="7"/>
  <c r="PSA3" i="7"/>
  <c r="PSI3" i="7"/>
  <c r="PSQ3" i="7"/>
  <c r="PSY3" i="7"/>
  <c r="PTG3" i="7"/>
  <c r="PTO3" i="7"/>
  <c r="PTW3" i="7"/>
  <c r="PUE3" i="7"/>
  <c r="PUM3" i="7"/>
  <c r="PUU3" i="7"/>
  <c r="PVC3" i="7"/>
  <c r="PVK3" i="7"/>
  <c r="PVS3" i="7"/>
  <c r="PWA3" i="7"/>
  <c r="PWI3" i="7"/>
  <c r="PWQ3" i="7"/>
  <c r="PWY3" i="7"/>
  <c r="PXG3" i="7"/>
  <c r="PXO3" i="7"/>
  <c r="PXW3" i="7"/>
  <c r="PYE3" i="7"/>
  <c r="PYM3" i="7"/>
  <c r="PYU3" i="7"/>
  <c r="PZC3" i="7"/>
  <c r="PZK3" i="7"/>
  <c r="PZS3" i="7"/>
  <c r="QAA3" i="7"/>
  <c r="QAI3" i="7"/>
  <c r="QAQ3" i="7"/>
  <c r="QAY3" i="7"/>
  <c r="QBG3" i="7"/>
  <c r="QBO3" i="7"/>
  <c r="QBW3" i="7"/>
  <c r="QCE3" i="7"/>
  <c r="QCM3" i="7"/>
  <c r="QCU3" i="7"/>
  <c r="QDC3" i="7"/>
  <c r="QDK3" i="7"/>
  <c r="QDS3" i="7"/>
  <c r="QEA3" i="7"/>
  <c r="QEI3" i="7"/>
  <c r="QEQ3" i="7"/>
  <c r="QEY3" i="7"/>
  <c r="QFG3" i="7"/>
  <c r="QFO3" i="7"/>
  <c r="QFW3" i="7"/>
  <c r="QGE3" i="7"/>
  <c r="QGM3" i="7"/>
  <c r="QGU3" i="7"/>
  <c r="QHC3" i="7"/>
  <c r="QHK3" i="7"/>
  <c r="QHS3" i="7"/>
  <c r="QIA3" i="7"/>
  <c r="QII3" i="7"/>
  <c r="QIQ3" i="7"/>
  <c r="QIY3" i="7"/>
  <c r="QJG3" i="7"/>
  <c r="QJO3" i="7"/>
  <c r="QJW3" i="7"/>
  <c r="QKE3" i="7"/>
  <c r="QKM3" i="7"/>
  <c r="QKU3" i="7"/>
  <c r="QLC3" i="7"/>
  <c r="QLK3" i="7"/>
  <c r="QLS3" i="7"/>
  <c r="QMA3" i="7"/>
  <c r="QMI3" i="7"/>
  <c r="QMQ3" i="7"/>
  <c r="QMY3" i="7"/>
  <c r="QNG3" i="7"/>
  <c r="QNO3" i="7"/>
  <c r="QNW3" i="7"/>
  <c r="QOE3" i="7"/>
  <c r="QOM3" i="7"/>
  <c r="DBC3" i="7"/>
  <c r="ENG3" i="7"/>
  <c r="EZS3" i="7"/>
  <c r="FJO3" i="7"/>
  <c r="FTK3" i="7"/>
  <c r="GCA3" i="7"/>
  <c r="GGY3" i="7"/>
  <c r="GLW3" i="7"/>
  <c r="GQU3" i="7"/>
  <c r="GVS3" i="7"/>
  <c r="HAQ3" i="7"/>
  <c r="HFO3" i="7"/>
  <c r="HJO3" i="7"/>
  <c r="HNN3" i="7"/>
  <c r="HQY3" i="7"/>
  <c r="HUF3" i="7"/>
  <c r="HXN3" i="7"/>
  <c r="HZQ3" i="7"/>
  <c r="IAQ3" i="7"/>
  <c r="IBN3" i="7"/>
  <c r="ICH3" i="7"/>
  <c r="IDE3" i="7"/>
  <c r="IDZ3" i="7"/>
  <c r="IET3" i="7"/>
  <c r="IFQ3" i="7"/>
  <c r="IGL3" i="7"/>
  <c r="IHF3" i="7"/>
  <c r="IIC3" i="7"/>
  <c r="IIX3" i="7"/>
  <c r="IJP3" i="7"/>
  <c r="IKF3" i="7"/>
  <c r="IKV3" i="7"/>
  <c r="ILL3" i="7"/>
  <c r="IMB3" i="7"/>
  <c r="IMR3" i="7"/>
  <c r="INH3" i="7"/>
  <c r="INX3" i="7"/>
  <c r="ION3" i="7"/>
  <c r="IPD3" i="7"/>
  <c r="IPT3" i="7"/>
  <c r="IQJ3" i="7"/>
  <c r="IQZ3" i="7"/>
  <c r="IRP3" i="7"/>
  <c r="ISF3" i="7"/>
  <c r="ISV3" i="7"/>
  <c r="ITL3" i="7"/>
  <c r="IUB3" i="7"/>
  <c r="IUR3" i="7"/>
  <c r="IVH3" i="7"/>
  <c r="IVX3" i="7"/>
  <c r="IWN3" i="7"/>
  <c r="IXD3" i="7"/>
  <c r="IXT3" i="7"/>
  <c r="IYJ3" i="7"/>
  <c r="IYZ3" i="7"/>
  <c r="IZP3" i="7"/>
  <c r="JAF3" i="7"/>
  <c r="JAV3" i="7"/>
  <c r="JBL3" i="7"/>
  <c r="JCB3" i="7"/>
  <c r="JCR3" i="7"/>
  <c r="JDH3" i="7"/>
  <c r="JDX3" i="7"/>
  <c r="JEN3" i="7"/>
  <c r="JFD3" i="7"/>
  <c r="JFT3" i="7"/>
  <c r="JGJ3" i="7"/>
  <c r="JGZ3" i="7"/>
  <c r="JHK3" i="7"/>
  <c r="JHX3" i="7"/>
  <c r="JIH3" i="7"/>
  <c r="JIS3" i="7"/>
  <c r="JJD3" i="7"/>
  <c r="JJL3" i="7"/>
  <c r="JJT3" i="7"/>
  <c r="JKB3" i="7"/>
  <c r="JKJ3" i="7"/>
  <c r="JKR3" i="7"/>
  <c r="JKZ3" i="7"/>
  <c r="JLH3" i="7"/>
  <c r="JLP3" i="7"/>
  <c r="JLX3" i="7"/>
  <c r="JMF3" i="7"/>
  <c r="JMN3" i="7"/>
  <c r="JMV3" i="7"/>
  <c r="JND3" i="7"/>
  <c r="JNL3" i="7"/>
  <c r="JNT3" i="7"/>
  <c r="JOB3" i="7"/>
  <c r="JOJ3" i="7"/>
  <c r="JOR3" i="7"/>
  <c r="JOZ3" i="7"/>
  <c r="JPH3" i="7"/>
  <c r="JPP3" i="7"/>
  <c r="JPX3" i="7"/>
  <c r="JQF3" i="7"/>
  <c r="JQN3" i="7"/>
  <c r="JQV3" i="7"/>
  <c r="JRD3" i="7"/>
  <c r="JRL3" i="7"/>
  <c r="JRT3" i="7"/>
  <c r="JSB3" i="7"/>
  <c r="JSJ3" i="7"/>
  <c r="JSR3" i="7"/>
  <c r="JSZ3" i="7"/>
  <c r="JTH3" i="7"/>
  <c r="JTP3" i="7"/>
  <c r="JTX3" i="7"/>
  <c r="JUF3" i="7"/>
  <c r="JUN3" i="7"/>
  <c r="JUV3" i="7"/>
  <c r="JVD3" i="7"/>
  <c r="JVL3" i="7"/>
  <c r="JVT3" i="7"/>
  <c r="JWB3" i="7"/>
  <c r="JWJ3" i="7"/>
  <c r="JWR3" i="7"/>
  <c r="JWZ3" i="7"/>
  <c r="JXH3" i="7"/>
  <c r="JXP3" i="7"/>
  <c r="JXX3" i="7"/>
  <c r="JYF3" i="7"/>
  <c r="JYN3" i="7"/>
  <c r="JYV3" i="7"/>
  <c r="JZD3" i="7"/>
  <c r="JZL3" i="7"/>
  <c r="JZT3" i="7"/>
  <c r="KAB3" i="7"/>
  <c r="KAJ3" i="7"/>
  <c r="KAR3" i="7"/>
  <c r="KAZ3" i="7"/>
  <c r="KBH3" i="7"/>
  <c r="KBP3" i="7"/>
  <c r="KBX3" i="7"/>
  <c r="KCF3" i="7"/>
  <c r="KCN3" i="7"/>
  <c r="KCV3" i="7"/>
  <c r="KDD3" i="7"/>
  <c r="KDL3" i="7"/>
  <c r="KDT3" i="7"/>
  <c r="KEB3" i="7"/>
  <c r="KEJ3" i="7"/>
  <c r="KER3" i="7"/>
  <c r="KEZ3" i="7"/>
  <c r="KFH3" i="7"/>
  <c r="KFP3" i="7"/>
  <c r="KFX3" i="7"/>
  <c r="KGF3" i="7"/>
  <c r="KGN3" i="7"/>
  <c r="KGV3" i="7"/>
  <c r="KHD3" i="7"/>
  <c r="KHL3" i="7"/>
  <c r="KHT3" i="7"/>
  <c r="KIB3" i="7"/>
  <c r="KIJ3" i="7"/>
  <c r="KIR3" i="7"/>
  <c r="KIZ3" i="7"/>
  <c r="KJH3" i="7"/>
  <c r="KJP3" i="7"/>
  <c r="KJX3" i="7"/>
  <c r="KKF3" i="7"/>
  <c r="KKN3" i="7"/>
  <c r="KKV3" i="7"/>
  <c r="KLD3" i="7"/>
  <c r="KLL3" i="7"/>
  <c r="KLT3" i="7"/>
  <c r="KMB3" i="7"/>
  <c r="KMJ3" i="7"/>
  <c r="KMR3" i="7"/>
  <c r="KMZ3" i="7"/>
  <c r="KNH3" i="7"/>
  <c r="KNP3" i="7"/>
  <c r="KNX3" i="7"/>
  <c r="KOF3" i="7"/>
  <c r="KON3" i="7"/>
  <c r="KOV3" i="7"/>
  <c r="KPD3" i="7"/>
  <c r="KPL3" i="7"/>
  <c r="KPT3" i="7"/>
  <c r="KQB3" i="7"/>
  <c r="KQJ3" i="7"/>
  <c r="KQR3" i="7"/>
  <c r="KQZ3" i="7"/>
  <c r="KRH3" i="7"/>
  <c r="KRP3" i="7"/>
  <c r="KRX3" i="7"/>
  <c r="KSF3" i="7"/>
  <c r="KSN3" i="7"/>
  <c r="KSV3" i="7"/>
  <c r="KTD3" i="7"/>
  <c r="KTL3" i="7"/>
  <c r="KTT3" i="7"/>
  <c r="KUB3" i="7"/>
  <c r="KUJ3" i="7"/>
  <c r="KUR3" i="7"/>
  <c r="KUZ3" i="7"/>
  <c r="KVH3" i="7"/>
  <c r="KVP3" i="7"/>
  <c r="KVX3" i="7"/>
  <c r="KWF3" i="7"/>
  <c r="KWN3" i="7"/>
  <c r="KWV3" i="7"/>
  <c r="KXD3" i="7"/>
  <c r="KXL3" i="7"/>
  <c r="KXT3" i="7"/>
  <c r="KYB3" i="7"/>
  <c r="KYJ3" i="7"/>
  <c r="KYR3" i="7"/>
  <c r="KYZ3" i="7"/>
  <c r="KZH3" i="7"/>
  <c r="KZP3" i="7"/>
  <c r="KZX3" i="7"/>
  <c r="LAF3" i="7"/>
  <c r="LAN3" i="7"/>
  <c r="LAV3" i="7"/>
  <c r="LBD3" i="7"/>
  <c r="LBL3" i="7"/>
  <c r="LBT3" i="7"/>
  <c r="LCB3" i="7"/>
  <c r="LCJ3" i="7"/>
  <c r="LCR3" i="7"/>
  <c r="LCZ3" i="7"/>
  <c r="LDH3" i="7"/>
  <c r="LDP3" i="7"/>
  <c r="LDX3" i="7"/>
  <c r="LEF3" i="7"/>
  <c r="LEN3" i="7"/>
  <c r="LEV3" i="7"/>
  <c r="LFD3" i="7"/>
  <c r="LFL3" i="7"/>
  <c r="LFT3" i="7"/>
  <c r="LGB3" i="7"/>
  <c r="LGJ3" i="7"/>
  <c r="LGR3" i="7"/>
  <c r="LGZ3" i="7"/>
  <c r="LHH3" i="7"/>
  <c r="LHP3" i="7"/>
  <c r="LHX3" i="7"/>
  <c r="LIF3" i="7"/>
  <c r="LIN3" i="7"/>
  <c r="LIV3" i="7"/>
  <c r="LJD3" i="7"/>
  <c r="LJL3" i="7"/>
  <c r="LJT3" i="7"/>
  <c r="LKB3" i="7"/>
  <c r="LKJ3" i="7"/>
  <c r="LKR3" i="7"/>
  <c r="LKZ3" i="7"/>
  <c r="LLH3" i="7"/>
  <c r="LLP3" i="7"/>
  <c r="LLX3" i="7"/>
  <c r="LMF3" i="7"/>
  <c r="LMN3" i="7"/>
  <c r="LMV3" i="7"/>
  <c r="LND3" i="7"/>
  <c r="LNL3" i="7"/>
  <c r="LNT3" i="7"/>
  <c r="LOB3" i="7"/>
  <c r="LOJ3" i="7"/>
  <c r="LOR3" i="7"/>
  <c r="LOZ3" i="7"/>
  <c r="LPH3" i="7"/>
  <c r="LPP3" i="7"/>
  <c r="LPX3" i="7"/>
  <c r="LQF3" i="7"/>
  <c r="LQN3" i="7"/>
  <c r="LQV3" i="7"/>
  <c r="LRD3" i="7"/>
  <c r="LRL3" i="7"/>
  <c r="LRT3" i="7"/>
  <c r="LSB3" i="7"/>
  <c r="LSJ3" i="7"/>
  <c r="LSR3" i="7"/>
  <c r="LSZ3" i="7"/>
  <c r="LTH3" i="7"/>
  <c r="LTP3" i="7"/>
  <c r="LTX3" i="7"/>
  <c r="LUF3" i="7"/>
  <c r="LUN3" i="7"/>
  <c r="LUV3" i="7"/>
  <c r="LVD3" i="7"/>
  <c r="LVL3" i="7"/>
  <c r="LVT3" i="7"/>
  <c r="LWB3" i="7"/>
  <c r="LWJ3" i="7"/>
  <c r="LWR3" i="7"/>
  <c r="LWZ3" i="7"/>
  <c r="LXH3" i="7"/>
  <c r="LXP3" i="7"/>
  <c r="LXX3" i="7"/>
  <c r="LYF3" i="7"/>
  <c r="LYN3" i="7"/>
  <c r="LYV3" i="7"/>
  <c r="LZD3" i="7"/>
  <c r="LZL3" i="7"/>
  <c r="LZT3" i="7"/>
  <c r="MAB3" i="7"/>
  <c r="MAJ3" i="7"/>
  <c r="MAR3" i="7"/>
  <c r="MAZ3" i="7"/>
  <c r="MBH3" i="7"/>
  <c r="MBP3" i="7"/>
  <c r="MBX3" i="7"/>
  <c r="MCF3" i="7"/>
  <c r="MCN3" i="7"/>
  <c r="MCV3" i="7"/>
  <c r="MDD3" i="7"/>
  <c r="MDL3" i="7"/>
  <c r="MDT3" i="7"/>
  <c r="MEB3" i="7"/>
  <c r="MEJ3" i="7"/>
  <c r="MER3" i="7"/>
  <c r="MEZ3" i="7"/>
  <c r="MFH3" i="7"/>
  <c r="MFP3" i="7"/>
  <c r="MFX3" i="7"/>
  <c r="MGF3" i="7"/>
  <c r="MGN3" i="7"/>
  <c r="MGV3" i="7"/>
  <c r="MHD3" i="7"/>
  <c r="MHL3" i="7"/>
  <c r="MHT3" i="7"/>
  <c r="MIB3" i="7"/>
  <c r="MIJ3" i="7"/>
  <c r="MIR3" i="7"/>
  <c r="MIZ3" i="7"/>
  <c r="MJH3" i="7"/>
  <c r="MJP3" i="7"/>
  <c r="MJX3" i="7"/>
  <c r="MKF3" i="7"/>
  <c r="MKN3" i="7"/>
  <c r="MKV3" i="7"/>
  <c r="MLD3" i="7"/>
  <c r="MLL3" i="7"/>
  <c r="MLT3" i="7"/>
  <c r="MMB3" i="7"/>
  <c r="MMJ3" i="7"/>
  <c r="MMR3" i="7"/>
  <c r="MMZ3" i="7"/>
  <c r="MNH3" i="7"/>
  <c r="MNP3" i="7"/>
  <c r="MNX3" i="7"/>
  <c r="MOF3" i="7"/>
  <c r="MON3" i="7"/>
  <c r="MOV3" i="7"/>
  <c r="MPD3" i="7"/>
  <c r="MPL3" i="7"/>
  <c r="MPT3" i="7"/>
  <c r="MQB3" i="7"/>
  <c r="MQJ3" i="7"/>
  <c r="MQR3" i="7"/>
  <c r="MQZ3" i="7"/>
  <c r="MRH3" i="7"/>
  <c r="MRP3" i="7"/>
  <c r="MRX3" i="7"/>
  <c r="MSF3" i="7"/>
  <c r="MSN3" i="7"/>
  <c r="MSV3" i="7"/>
  <c r="MTD3" i="7"/>
  <c r="MTL3" i="7"/>
  <c r="MTT3" i="7"/>
  <c r="MUB3" i="7"/>
  <c r="MUJ3" i="7"/>
  <c r="MUR3" i="7"/>
  <c r="MUZ3" i="7"/>
  <c r="MVH3" i="7"/>
  <c r="MVP3" i="7"/>
  <c r="MVX3" i="7"/>
  <c r="MWF3" i="7"/>
  <c r="MWN3" i="7"/>
  <c r="MWV3" i="7"/>
  <c r="MXD3" i="7"/>
  <c r="MXL3" i="7"/>
  <c r="MXT3" i="7"/>
  <c r="MYB3" i="7"/>
  <c r="MYJ3" i="7"/>
  <c r="MYR3" i="7"/>
  <c r="MYZ3" i="7"/>
  <c r="MZH3" i="7"/>
  <c r="MZP3" i="7"/>
  <c r="MZX3" i="7"/>
  <c r="NAF3" i="7"/>
  <c r="NAN3" i="7"/>
  <c r="NAV3" i="7"/>
  <c r="NBD3" i="7"/>
  <c r="NBL3" i="7"/>
  <c r="NBT3" i="7"/>
  <c r="NCB3" i="7"/>
  <c r="NCJ3" i="7"/>
  <c r="NCR3" i="7"/>
  <c r="NCZ3" i="7"/>
  <c r="NDH3" i="7"/>
  <c r="NDP3" i="7"/>
  <c r="NDX3" i="7"/>
  <c r="NEF3" i="7"/>
  <c r="NEN3" i="7"/>
  <c r="NEV3" i="7"/>
  <c r="NFD3" i="7"/>
  <c r="NFL3" i="7"/>
  <c r="NFT3" i="7"/>
  <c r="NGB3" i="7"/>
  <c r="NGJ3" i="7"/>
  <c r="NGR3" i="7"/>
  <c r="NGZ3" i="7"/>
  <c r="NHH3" i="7"/>
  <c r="NHP3" i="7"/>
  <c r="NHX3" i="7"/>
  <c r="NIF3" i="7"/>
  <c r="NIN3" i="7"/>
  <c r="NIV3" i="7"/>
  <c r="NJD3" i="7"/>
  <c r="NJL3" i="7"/>
  <c r="NJT3" i="7"/>
  <c r="NKB3" i="7"/>
  <c r="NKJ3" i="7"/>
  <c r="NKR3" i="7"/>
  <c r="NKZ3" i="7"/>
  <c r="NLH3" i="7"/>
  <c r="NLP3" i="7"/>
  <c r="NLX3" i="7"/>
  <c r="NMF3" i="7"/>
  <c r="NMN3" i="7"/>
  <c r="NMV3" i="7"/>
  <c r="NND3" i="7"/>
  <c r="NNL3" i="7"/>
  <c r="NNT3" i="7"/>
  <c r="NOB3" i="7"/>
  <c r="NOJ3" i="7"/>
  <c r="NOR3" i="7"/>
  <c r="NOZ3" i="7"/>
  <c r="NPH3" i="7"/>
  <c r="NPP3" i="7"/>
  <c r="NPX3" i="7"/>
  <c r="NQF3" i="7"/>
  <c r="NQN3" i="7"/>
  <c r="NQV3" i="7"/>
  <c r="NRD3" i="7"/>
  <c r="NRL3" i="7"/>
  <c r="NRT3" i="7"/>
  <c r="NSB3" i="7"/>
  <c r="NSJ3" i="7"/>
  <c r="NSR3" i="7"/>
  <c r="NSZ3" i="7"/>
  <c r="NTH3" i="7"/>
  <c r="NTP3" i="7"/>
  <c r="NTX3" i="7"/>
  <c r="NUF3" i="7"/>
  <c r="NUN3" i="7"/>
  <c r="NUV3" i="7"/>
  <c r="NVD3" i="7"/>
  <c r="NVL3" i="7"/>
  <c r="NVT3" i="7"/>
  <c r="NWB3" i="7"/>
  <c r="NWJ3" i="7"/>
  <c r="NWR3" i="7"/>
  <c r="NWZ3" i="7"/>
  <c r="NXH3" i="7"/>
  <c r="NXP3" i="7"/>
  <c r="NXX3" i="7"/>
  <c r="NYF3" i="7"/>
  <c r="NYN3" i="7"/>
  <c r="NYV3" i="7"/>
  <c r="NZD3" i="7"/>
  <c r="NZL3" i="7"/>
  <c r="NZT3" i="7"/>
  <c r="OAB3" i="7"/>
  <c r="OAJ3" i="7"/>
  <c r="OAR3" i="7"/>
  <c r="OAZ3" i="7"/>
  <c r="OBH3" i="7"/>
  <c r="OBP3" i="7"/>
  <c r="OBX3" i="7"/>
  <c r="OCF3" i="7"/>
  <c r="OCN3" i="7"/>
  <c r="OCV3" i="7"/>
  <c r="ODD3" i="7"/>
  <c r="ODL3" i="7"/>
  <c r="ODT3" i="7"/>
  <c r="OEB3" i="7"/>
  <c r="OEJ3" i="7"/>
  <c r="OER3" i="7"/>
  <c r="OEZ3" i="7"/>
  <c r="OFH3" i="7"/>
  <c r="OFP3" i="7"/>
  <c r="OFX3" i="7"/>
  <c r="OGF3" i="7"/>
  <c r="OGN3" i="7"/>
  <c r="OGV3" i="7"/>
  <c r="OHD3" i="7"/>
  <c r="OHL3" i="7"/>
  <c r="OHT3" i="7"/>
  <c r="OIB3" i="7"/>
  <c r="OIJ3" i="7"/>
  <c r="OIR3" i="7"/>
  <c r="OIZ3" i="7"/>
  <c r="OJH3" i="7"/>
  <c r="OJP3" i="7"/>
  <c r="OJX3" i="7"/>
  <c r="OKF3" i="7"/>
  <c r="OKN3" i="7"/>
  <c r="OKV3" i="7"/>
  <c r="OLD3" i="7"/>
  <c r="OLL3" i="7"/>
  <c r="OLT3" i="7"/>
  <c r="OMB3" i="7"/>
  <c r="OMJ3" i="7"/>
  <c r="OMR3" i="7"/>
  <c r="OMZ3" i="7"/>
  <c r="ONH3" i="7"/>
  <c r="ONP3" i="7"/>
  <c r="ONX3" i="7"/>
  <c r="OOF3" i="7"/>
  <c r="OON3" i="7"/>
  <c r="OOV3" i="7"/>
  <c r="OPD3" i="7"/>
  <c r="OPL3" i="7"/>
  <c r="OPT3" i="7"/>
  <c r="OQB3" i="7"/>
  <c r="OQJ3" i="7"/>
  <c r="OQR3" i="7"/>
  <c r="OQZ3" i="7"/>
  <c r="ORH3" i="7"/>
  <c r="ORP3" i="7"/>
  <c r="ORX3" i="7"/>
  <c r="OSF3" i="7"/>
  <c r="OSN3" i="7"/>
  <c r="OSV3" i="7"/>
  <c r="OTD3" i="7"/>
  <c r="OTL3" i="7"/>
  <c r="OTT3" i="7"/>
  <c r="OUB3" i="7"/>
  <c r="OUJ3" i="7"/>
  <c r="OUR3" i="7"/>
  <c r="OUZ3" i="7"/>
  <c r="OVH3" i="7"/>
  <c r="OVP3" i="7"/>
  <c r="OVX3" i="7"/>
  <c r="OWF3" i="7"/>
  <c r="OWN3" i="7"/>
  <c r="OWV3" i="7"/>
  <c r="OXD3" i="7"/>
  <c r="OXL3" i="7"/>
  <c r="OXT3" i="7"/>
  <c r="OYB3" i="7"/>
  <c r="OYJ3" i="7"/>
  <c r="OYR3" i="7"/>
  <c r="OYZ3" i="7"/>
  <c r="OZH3" i="7"/>
  <c r="OZP3" i="7"/>
  <c r="OZX3" i="7"/>
  <c r="PAF3" i="7"/>
  <c r="PAN3" i="7"/>
  <c r="PAV3" i="7"/>
  <c r="PBD3" i="7"/>
  <c r="PBL3" i="7"/>
  <c r="PBT3" i="7"/>
  <c r="PCB3" i="7"/>
  <c r="PCJ3" i="7"/>
  <c r="PCR3" i="7"/>
  <c r="PCZ3" i="7"/>
  <c r="PDH3" i="7"/>
  <c r="PDP3" i="7"/>
  <c r="PDX3" i="7"/>
  <c r="PEF3" i="7"/>
  <c r="PEN3" i="7"/>
  <c r="PEV3" i="7"/>
  <c r="PFD3" i="7"/>
  <c r="PFL3" i="7"/>
  <c r="PFT3" i="7"/>
  <c r="PGB3" i="7"/>
  <c r="PGJ3" i="7"/>
  <c r="PGR3" i="7"/>
  <c r="PGZ3" i="7"/>
  <c r="PHH3" i="7"/>
  <c r="PHP3" i="7"/>
  <c r="PHX3" i="7"/>
  <c r="PIF3" i="7"/>
  <c r="PIN3" i="7"/>
  <c r="PIV3" i="7"/>
  <c r="PJD3" i="7"/>
  <c r="PJL3" i="7"/>
  <c r="PJT3" i="7"/>
  <c r="PKB3" i="7"/>
  <c r="PKJ3" i="7"/>
  <c r="PKR3" i="7"/>
  <c r="PKZ3" i="7"/>
  <c r="PLH3" i="7"/>
  <c r="PLP3" i="7"/>
  <c r="PLX3" i="7"/>
  <c r="PMF3" i="7"/>
  <c r="PMN3" i="7"/>
  <c r="PMV3" i="7"/>
  <c r="PND3" i="7"/>
  <c r="PNL3" i="7"/>
  <c r="PNT3" i="7"/>
  <c r="POB3" i="7"/>
  <c r="POJ3" i="7"/>
  <c r="POR3" i="7"/>
  <c r="POZ3" i="7"/>
  <c r="PPH3" i="7"/>
  <c r="PPP3" i="7"/>
  <c r="PPX3" i="7"/>
  <c r="PQF3" i="7"/>
  <c r="PQN3" i="7"/>
  <c r="PQV3" i="7"/>
  <c r="PRD3" i="7"/>
  <c r="PRL3" i="7"/>
  <c r="PRT3" i="7"/>
  <c r="PSB3" i="7"/>
  <c r="PSJ3" i="7"/>
  <c r="PSR3" i="7"/>
  <c r="PSZ3" i="7"/>
  <c r="PTH3" i="7"/>
  <c r="PTP3" i="7"/>
  <c r="PTX3" i="7"/>
  <c r="PUF3" i="7"/>
  <c r="PUN3" i="7"/>
  <c r="PUV3" i="7"/>
  <c r="PVD3" i="7"/>
  <c r="PVL3" i="7"/>
  <c r="PVT3" i="7"/>
  <c r="PWB3" i="7"/>
  <c r="PWJ3" i="7"/>
  <c r="PWR3" i="7"/>
  <c r="PWZ3" i="7"/>
  <c r="PXH3" i="7"/>
  <c r="PXP3" i="7"/>
  <c r="PXX3" i="7"/>
  <c r="PYF3" i="7"/>
  <c r="PYN3" i="7"/>
  <c r="PYV3" i="7"/>
  <c r="PZD3" i="7"/>
  <c r="PZL3" i="7"/>
  <c r="PZT3" i="7"/>
  <c r="QAB3" i="7"/>
  <c r="QAJ3" i="7"/>
  <c r="QAR3" i="7"/>
  <c r="QAZ3" i="7"/>
  <c r="QBH3" i="7"/>
  <c r="QBP3" i="7"/>
  <c r="QBX3" i="7"/>
  <c r="QCF3" i="7"/>
  <c r="QCN3" i="7"/>
  <c r="QCV3" i="7"/>
  <c r="QDD3" i="7"/>
  <c r="QDL3" i="7"/>
  <c r="QDT3" i="7"/>
  <c r="QEB3" i="7"/>
  <c r="QEJ3" i="7"/>
  <c r="QER3" i="7"/>
  <c r="QEZ3" i="7"/>
  <c r="QFH3" i="7"/>
  <c r="QFP3" i="7"/>
  <c r="QFX3" i="7"/>
  <c r="QGF3" i="7"/>
  <c r="QGN3" i="7"/>
  <c r="QGV3" i="7"/>
  <c r="QHD3" i="7"/>
  <c r="QHL3" i="7"/>
  <c r="QHT3" i="7"/>
  <c r="QIB3" i="7"/>
  <c r="QIJ3" i="7"/>
  <c r="QIR3" i="7"/>
  <c r="QIZ3" i="7"/>
  <c r="QJH3" i="7"/>
  <c r="QJP3" i="7"/>
  <c r="QJX3" i="7"/>
  <c r="QKF3" i="7"/>
  <c r="QKN3" i="7"/>
  <c r="QKV3" i="7"/>
  <c r="QLD3" i="7"/>
  <c r="QLL3" i="7"/>
  <c r="QLT3" i="7"/>
  <c r="QMB3" i="7"/>
  <c r="QMJ3" i="7"/>
  <c r="DGA3" i="7"/>
  <c r="EQP3" i="7"/>
  <c r="FAY3" i="7"/>
  <c r="FKU3" i="7"/>
  <c r="FUQ3" i="7"/>
  <c r="GCQ3" i="7"/>
  <c r="GHO3" i="7"/>
  <c r="GMM3" i="7"/>
  <c r="GRK3" i="7"/>
  <c r="GWI3" i="7"/>
  <c r="HBG3" i="7"/>
  <c r="HGD3" i="7"/>
  <c r="HKA3" i="7"/>
  <c r="HNZ3" i="7"/>
  <c r="HRJ3" i="7"/>
  <c r="HUQ3" i="7"/>
  <c r="HXX3" i="7"/>
  <c r="HZU3" i="7"/>
  <c r="IAR3" i="7"/>
  <c r="IBQ3" i="7"/>
  <c r="ICL3" i="7"/>
  <c r="IDF3" i="7"/>
  <c r="IEC3" i="7"/>
  <c r="IEX3" i="7"/>
  <c r="IFR3" i="7"/>
  <c r="IGO3" i="7"/>
  <c r="IHJ3" i="7"/>
  <c r="IID3" i="7"/>
  <c r="IJA3" i="7"/>
  <c r="IJQ3" i="7"/>
  <c r="IKG3" i="7"/>
  <c r="IKW3" i="7"/>
  <c r="ILM3" i="7"/>
  <c r="IMC3" i="7"/>
  <c r="IMS3" i="7"/>
  <c r="INI3" i="7"/>
  <c r="INY3" i="7"/>
  <c r="IOO3" i="7"/>
  <c r="IPE3" i="7"/>
  <c r="IPU3" i="7"/>
  <c r="IQK3" i="7"/>
  <c r="IRA3" i="7"/>
  <c r="IRQ3" i="7"/>
  <c r="ISG3" i="7"/>
  <c r="ISW3" i="7"/>
  <c r="ITM3" i="7"/>
  <c r="IUC3" i="7"/>
  <c r="IUS3" i="7"/>
  <c r="IVI3" i="7"/>
  <c r="IVY3" i="7"/>
  <c r="IWO3" i="7"/>
  <c r="IXE3" i="7"/>
  <c r="IXU3" i="7"/>
  <c r="IYK3" i="7"/>
  <c r="IZA3" i="7"/>
  <c r="IZQ3" i="7"/>
  <c r="JAG3" i="7"/>
  <c r="JAW3" i="7"/>
  <c r="JBM3" i="7"/>
  <c r="JCC3" i="7"/>
  <c r="JCS3" i="7"/>
  <c r="JDI3" i="7"/>
  <c r="JDY3" i="7"/>
  <c r="JEO3" i="7"/>
  <c r="JFE3" i="7"/>
  <c r="JFU3" i="7"/>
  <c r="JGK3" i="7"/>
  <c r="JHA3" i="7"/>
  <c r="JHN3" i="7"/>
  <c r="JHY3" i="7"/>
  <c r="JII3" i="7"/>
  <c r="JIT3" i="7"/>
  <c r="JJE3" i="7"/>
  <c r="JJM3" i="7"/>
  <c r="JJU3" i="7"/>
  <c r="JKC3" i="7"/>
  <c r="JKK3" i="7"/>
  <c r="JKS3" i="7"/>
  <c r="JLA3" i="7"/>
  <c r="JLI3" i="7"/>
  <c r="JLQ3" i="7"/>
  <c r="JLY3" i="7"/>
  <c r="JMG3" i="7"/>
  <c r="JMO3" i="7"/>
  <c r="JMW3" i="7"/>
  <c r="JNE3" i="7"/>
  <c r="JNM3" i="7"/>
  <c r="JNU3" i="7"/>
  <c r="JOC3" i="7"/>
  <c r="JOK3" i="7"/>
  <c r="JOS3" i="7"/>
  <c r="JPA3" i="7"/>
  <c r="JPI3" i="7"/>
  <c r="JPQ3" i="7"/>
  <c r="JPY3" i="7"/>
  <c r="JQG3" i="7"/>
  <c r="JQO3" i="7"/>
  <c r="JQW3" i="7"/>
  <c r="JRE3" i="7"/>
  <c r="JRM3" i="7"/>
  <c r="JRU3" i="7"/>
  <c r="JSC3" i="7"/>
  <c r="JSK3" i="7"/>
  <c r="JSS3" i="7"/>
  <c r="JTA3" i="7"/>
  <c r="JTI3" i="7"/>
  <c r="JTQ3" i="7"/>
  <c r="JTY3" i="7"/>
  <c r="JUG3" i="7"/>
  <c r="JUO3" i="7"/>
  <c r="JUW3" i="7"/>
  <c r="JVE3" i="7"/>
  <c r="JVM3" i="7"/>
  <c r="JVU3" i="7"/>
  <c r="JWC3" i="7"/>
  <c r="JWK3" i="7"/>
  <c r="JWS3" i="7"/>
  <c r="JXA3" i="7"/>
  <c r="JXI3" i="7"/>
  <c r="JXQ3" i="7"/>
  <c r="JXY3" i="7"/>
  <c r="JYG3" i="7"/>
  <c r="JYO3" i="7"/>
  <c r="JYW3" i="7"/>
  <c r="JZE3" i="7"/>
  <c r="JZM3" i="7"/>
  <c r="JZU3" i="7"/>
  <c r="KAC3" i="7"/>
  <c r="KAK3" i="7"/>
  <c r="KAS3" i="7"/>
  <c r="KBA3" i="7"/>
  <c r="KBI3" i="7"/>
  <c r="KBQ3" i="7"/>
  <c r="KBY3" i="7"/>
  <c r="KCG3" i="7"/>
  <c r="KCO3" i="7"/>
  <c r="KCW3" i="7"/>
  <c r="KDE3" i="7"/>
  <c r="KDM3" i="7"/>
  <c r="KDU3" i="7"/>
  <c r="KEC3" i="7"/>
  <c r="KEK3" i="7"/>
  <c r="KES3" i="7"/>
  <c r="KFA3" i="7"/>
  <c r="KFI3" i="7"/>
  <c r="KFQ3" i="7"/>
  <c r="KFY3" i="7"/>
  <c r="KGG3" i="7"/>
  <c r="KGO3" i="7"/>
  <c r="KGW3" i="7"/>
  <c r="KHE3" i="7"/>
  <c r="KHM3" i="7"/>
  <c r="KHU3" i="7"/>
  <c r="KIC3" i="7"/>
  <c r="KKO3" i="7"/>
  <c r="KNA3" i="7"/>
  <c r="KPM3" i="7"/>
  <c r="KRY3" i="7"/>
  <c r="KUK3" i="7"/>
  <c r="KWW3" i="7"/>
  <c r="KZI3" i="7"/>
  <c r="LBU3" i="7"/>
  <c r="LEG3" i="7"/>
  <c r="LGS3" i="7"/>
  <c r="LJE3" i="7"/>
  <c r="LLQ3" i="7"/>
  <c r="LOC3" i="7"/>
  <c r="LQO3" i="7"/>
  <c r="LTA3" i="7"/>
  <c r="LVM3" i="7"/>
  <c r="LXY3" i="7"/>
  <c r="MAK3" i="7"/>
  <c r="MCW3" i="7"/>
  <c r="MFI3" i="7"/>
  <c r="MHU3" i="7"/>
  <c r="MKG3" i="7"/>
  <c r="MMS3" i="7"/>
  <c r="MPE3" i="7"/>
  <c r="MRQ3" i="7"/>
  <c r="MUC3" i="7"/>
  <c r="MWO3" i="7"/>
  <c r="MZA3" i="7"/>
  <c r="NBM3" i="7"/>
  <c r="NDY3" i="7"/>
  <c r="NGK3" i="7"/>
  <c r="NIW3" i="7"/>
  <c r="NLI3" i="7"/>
  <c r="NNU3" i="7"/>
  <c r="NPI3" i="7"/>
  <c r="NQO3" i="7"/>
  <c r="NRU3" i="7"/>
  <c r="NTA3" i="7"/>
  <c r="NUG3" i="7"/>
  <c r="NVM3" i="7"/>
  <c r="NWS3" i="7"/>
  <c r="NXY3" i="7"/>
  <c r="NZE3" i="7"/>
  <c r="OAK3" i="7"/>
  <c r="OBQ3" i="7"/>
  <c r="OCW3" i="7"/>
  <c r="OEC3" i="7"/>
  <c r="OFI3" i="7"/>
  <c r="OGO3" i="7"/>
  <c r="OHU3" i="7"/>
  <c r="OJA3" i="7"/>
  <c r="OKG3" i="7"/>
  <c r="OLM3" i="7"/>
  <c r="OMS3" i="7"/>
  <c r="ONY3" i="7"/>
  <c r="OPE3" i="7"/>
  <c r="OQK3" i="7"/>
  <c r="ORQ3" i="7"/>
  <c r="OSW3" i="7"/>
  <c r="OUC3" i="7"/>
  <c r="OVI3" i="7"/>
  <c r="OWO3" i="7"/>
  <c r="OXU3" i="7"/>
  <c r="OZA3" i="7"/>
  <c r="PAG3" i="7"/>
  <c r="PBM3" i="7"/>
  <c r="PCS3" i="7"/>
  <c r="PDY3" i="7"/>
  <c r="PFE3" i="7"/>
  <c r="PGK3" i="7"/>
  <c r="PHQ3" i="7"/>
  <c r="PIW3" i="7"/>
  <c r="PKC3" i="7"/>
  <c r="PLI3" i="7"/>
  <c r="PMO3" i="7"/>
  <c r="PNU3" i="7"/>
  <c r="PPA3" i="7"/>
  <c r="PQG3" i="7"/>
  <c r="PRM3" i="7"/>
  <c r="PSS3" i="7"/>
  <c r="PTY3" i="7"/>
  <c r="PVE3" i="7"/>
  <c r="PWK3" i="7"/>
  <c r="PXQ3" i="7"/>
  <c r="PYW3" i="7"/>
  <c r="QAC3" i="7"/>
  <c r="QBI3" i="7"/>
  <c r="QCO3" i="7"/>
  <c r="QDU3" i="7"/>
  <c r="QFA3" i="7"/>
  <c r="QGG3" i="7"/>
  <c r="QHM3" i="7"/>
  <c r="QIS3" i="7"/>
  <c r="QJY3" i="7"/>
  <c r="QLE3" i="7"/>
  <c r="QMK3" i="7"/>
  <c r="QNH3" i="7"/>
  <c r="QOD3" i="7"/>
  <c r="QOR3" i="7"/>
  <c r="QOZ3" i="7"/>
  <c r="QPH3" i="7"/>
  <c r="QPP3" i="7"/>
  <c r="QPX3" i="7"/>
  <c r="QQF3" i="7"/>
  <c r="QQN3" i="7"/>
  <c r="QQV3" i="7"/>
  <c r="QRD3" i="7"/>
  <c r="QRL3" i="7"/>
  <c r="QRT3" i="7"/>
  <c r="QSB3" i="7"/>
  <c r="QSJ3" i="7"/>
  <c r="QSR3" i="7"/>
  <c r="QSZ3" i="7"/>
  <c r="QTH3" i="7"/>
  <c r="QTP3" i="7"/>
  <c r="QTX3" i="7"/>
  <c r="QUF3" i="7"/>
  <c r="QUN3" i="7"/>
  <c r="QUV3" i="7"/>
  <c r="QVD3" i="7"/>
  <c r="QVL3" i="7"/>
  <c r="QVT3" i="7"/>
  <c r="QWB3" i="7"/>
  <c r="QWJ3" i="7"/>
  <c r="QWR3" i="7"/>
  <c r="QWZ3" i="7"/>
  <c r="QXH3" i="7"/>
  <c r="QXP3" i="7"/>
  <c r="QXX3" i="7"/>
  <c r="QYF3" i="7"/>
  <c r="QYN3" i="7"/>
  <c r="QYV3" i="7"/>
  <c r="QZD3" i="7"/>
  <c r="QZL3" i="7"/>
  <c r="QZT3" i="7"/>
  <c r="RAB3" i="7"/>
  <c r="RAJ3" i="7"/>
  <c r="RAR3" i="7"/>
  <c r="RAZ3" i="7"/>
  <c r="RBH3" i="7"/>
  <c r="RBP3" i="7"/>
  <c r="RBX3" i="7"/>
  <c r="RCF3" i="7"/>
  <c r="RCN3" i="7"/>
  <c r="RCV3" i="7"/>
  <c r="RDD3" i="7"/>
  <c r="RDL3" i="7"/>
  <c r="RDT3" i="7"/>
  <c r="REB3" i="7"/>
  <c r="REJ3" i="7"/>
  <c r="RER3" i="7"/>
  <c r="REZ3" i="7"/>
  <c r="RFH3" i="7"/>
  <c r="RFP3" i="7"/>
  <c r="RFX3" i="7"/>
  <c r="RGF3" i="7"/>
  <c r="RGN3" i="7"/>
  <c r="RGV3" i="7"/>
  <c r="RHD3" i="7"/>
  <c r="RHL3" i="7"/>
  <c r="RHT3" i="7"/>
  <c r="RIB3" i="7"/>
  <c r="RIJ3" i="7"/>
  <c r="RIR3" i="7"/>
  <c r="RIZ3" i="7"/>
  <c r="RJH3" i="7"/>
  <c r="RJP3" i="7"/>
  <c r="RJX3" i="7"/>
  <c r="RKF3" i="7"/>
  <c r="RKN3" i="7"/>
  <c r="RKV3" i="7"/>
  <c r="RLD3" i="7"/>
  <c r="RLL3" i="7"/>
  <c r="RLT3" i="7"/>
  <c r="RMB3" i="7"/>
  <c r="RMJ3" i="7"/>
  <c r="RMR3" i="7"/>
  <c r="RMZ3" i="7"/>
  <c r="RNH3" i="7"/>
  <c r="RNP3" i="7"/>
  <c r="RNX3" i="7"/>
  <c r="ROF3" i="7"/>
  <c r="RON3" i="7"/>
  <c r="ROV3" i="7"/>
  <c r="RPD3" i="7"/>
  <c r="RPL3" i="7"/>
  <c r="RPT3" i="7"/>
  <c r="RQB3" i="7"/>
  <c r="RQJ3" i="7"/>
  <c r="RQR3" i="7"/>
  <c r="RQZ3" i="7"/>
  <c r="RRH3" i="7"/>
  <c r="RRP3" i="7"/>
  <c r="RRX3" i="7"/>
  <c r="RSF3" i="7"/>
  <c r="RSN3" i="7"/>
  <c r="RSV3" i="7"/>
  <c r="RTD3" i="7"/>
  <c r="RTL3" i="7"/>
  <c r="RTT3" i="7"/>
  <c r="RUB3" i="7"/>
  <c r="RUJ3" i="7"/>
  <c r="RUR3" i="7"/>
  <c r="RUZ3" i="7"/>
  <c r="RVH3" i="7"/>
  <c r="RVP3" i="7"/>
  <c r="RVX3" i="7"/>
  <c r="RWF3" i="7"/>
  <c r="RWN3" i="7"/>
  <c r="RWV3" i="7"/>
  <c r="RXD3" i="7"/>
  <c r="RXL3" i="7"/>
  <c r="RXT3" i="7"/>
  <c r="RYB3" i="7"/>
  <c r="RYJ3" i="7"/>
  <c r="RYR3" i="7"/>
  <c r="RYZ3" i="7"/>
  <c r="RZH3" i="7"/>
  <c r="RZP3" i="7"/>
  <c r="RZX3" i="7"/>
  <c r="SAF3" i="7"/>
  <c r="SAN3" i="7"/>
  <c r="SAV3" i="7"/>
  <c r="SBD3" i="7"/>
  <c r="SBL3" i="7"/>
  <c r="SBT3" i="7"/>
  <c r="SCB3" i="7"/>
  <c r="SCJ3" i="7"/>
  <c r="SCR3" i="7"/>
  <c r="SCZ3" i="7"/>
  <c r="SDH3" i="7"/>
  <c r="SDP3" i="7"/>
  <c r="SDX3" i="7"/>
  <c r="SEF3" i="7"/>
  <c r="SEN3" i="7"/>
  <c r="SEV3" i="7"/>
  <c r="SFD3" i="7"/>
  <c r="SFL3" i="7"/>
  <c r="SFT3" i="7"/>
  <c r="SGB3" i="7"/>
  <c r="SGJ3" i="7"/>
  <c r="SGR3" i="7"/>
  <c r="SGZ3" i="7"/>
  <c r="SHH3" i="7"/>
  <c r="SHP3" i="7"/>
  <c r="SHX3" i="7"/>
  <c r="SIF3" i="7"/>
  <c r="SIN3" i="7"/>
  <c r="SIV3" i="7"/>
  <c r="SJD3" i="7"/>
  <c r="SJL3" i="7"/>
  <c r="SJT3" i="7"/>
  <c r="SKB3" i="7"/>
  <c r="SKJ3" i="7"/>
  <c r="SKR3" i="7"/>
  <c r="SKZ3" i="7"/>
  <c r="SLH3" i="7"/>
  <c r="SLP3" i="7"/>
  <c r="SLX3" i="7"/>
  <c r="SMF3" i="7"/>
  <c r="SMN3" i="7"/>
  <c r="SMV3" i="7"/>
  <c r="SND3" i="7"/>
  <c r="SNL3" i="7"/>
  <c r="SNT3" i="7"/>
  <c r="SOB3" i="7"/>
  <c r="SOJ3" i="7"/>
  <c r="SOR3" i="7"/>
  <c r="SOZ3" i="7"/>
  <c r="SPH3" i="7"/>
  <c r="SPP3" i="7"/>
  <c r="SPX3" i="7"/>
  <c r="SQF3" i="7"/>
  <c r="SQN3" i="7"/>
  <c r="SQV3" i="7"/>
  <c r="SRD3" i="7"/>
  <c r="SRL3" i="7"/>
  <c r="SRT3" i="7"/>
  <c r="SSB3" i="7"/>
  <c r="SSJ3" i="7"/>
  <c r="SSR3" i="7"/>
  <c r="SSZ3" i="7"/>
  <c r="STH3" i="7"/>
  <c r="STP3" i="7"/>
  <c r="STX3" i="7"/>
  <c r="SUF3" i="7"/>
  <c r="SUN3" i="7"/>
  <c r="SUV3" i="7"/>
  <c r="SVD3" i="7"/>
  <c r="SVL3" i="7"/>
  <c r="SVT3" i="7"/>
  <c r="SWB3" i="7"/>
  <c r="SWJ3" i="7"/>
  <c r="SWR3" i="7"/>
  <c r="SWZ3" i="7"/>
  <c r="SXH3" i="7"/>
  <c r="SXP3" i="7"/>
  <c r="SXX3" i="7"/>
  <c r="SYF3" i="7"/>
  <c r="SYN3" i="7"/>
  <c r="SYV3" i="7"/>
  <c r="SZD3" i="7"/>
  <c r="SZL3" i="7"/>
  <c r="SZT3" i="7"/>
  <c r="TAB3" i="7"/>
  <c r="TAJ3" i="7"/>
  <c r="TAR3" i="7"/>
  <c r="TAZ3" i="7"/>
  <c r="TBH3" i="7"/>
  <c r="TBP3" i="7"/>
  <c r="TBX3" i="7"/>
  <c r="TCF3" i="7"/>
  <c r="TCN3" i="7"/>
  <c r="TCV3" i="7"/>
  <c r="TDD3" i="7"/>
  <c r="TDL3" i="7"/>
  <c r="TDT3" i="7"/>
  <c r="TEB3" i="7"/>
  <c r="TEJ3" i="7"/>
  <c r="TER3" i="7"/>
  <c r="TEZ3" i="7"/>
  <c r="TFH3" i="7"/>
  <c r="TFP3" i="7"/>
  <c r="TFX3" i="7"/>
  <c r="TGF3" i="7"/>
  <c r="TGN3" i="7"/>
  <c r="TGV3" i="7"/>
  <c r="THD3" i="7"/>
  <c r="THL3" i="7"/>
  <c r="THT3" i="7"/>
  <c r="TIB3" i="7"/>
  <c r="TIJ3" i="7"/>
  <c r="TIR3" i="7"/>
  <c r="TIZ3" i="7"/>
  <c r="TJH3" i="7"/>
  <c r="TJP3" i="7"/>
  <c r="TJX3" i="7"/>
  <c r="TKF3" i="7"/>
  <c r="TKN3" i="7"/>
  <c r="TKV3" i="7"/>
  <c r="TLD3" i="7"/>
  <c r="TLL3" i="7"/>
  <c r="TLT3" i="7"/>
  <c r="TMB3" i="7"/>
  <c r="TMJ3" i="7"/>
  <c r="TMR3" i="7"/>
  <c r="TMZ3" i="7"/>
  <c r="TNH3" i="7"/>
  <c r="TNP3" i="7"/>
  <c r="TNX3" i="7"/>
  <c r="TOF3" i="7"/>
  <c r="TON3" i="7"/>
  <c r="TOV3" i="7"/>
  <c r="TPD3" i="7"/>
  <c r="TPL3" i="7"/>
  <c r="TPT3" i="7"/>
  <c r="TQB3" i="7"/>
  <c r="TQJ3" i="7"/>
  <c r="TQR3" i="7"/>
  <c r="TQZ3" i="7"/>
  <c r="TRH3" i="7"/>
  <c r="TRP3" i="7"/>
  <c r="TRX3" i="7"/>
  <c r="TSF3" i="7"/>
  <c r="TSN3" i="7"/>
  <c r="TSV3" i="7"/>
  <c r="TTD3" i="7"/>
  <c r="TTL3" i="7"/>
  <c r="TTT3" i="7"/>
  <c r="TUB3" i="7"/>
  <c r="TUJ3" i="7"/>
  <c r="TUR3" i="7"/>
  <c r="TUZ3" i="7"/>
  <c r="TVH3" i="7"/>
  <c r="TVP3" i="7"/>
  <c r="TVX3" i="7"/>
  <c r="TWF3" i="7"/>
  <c r="TWN3" i="7"/>
  <c r="TWV3" i="7"/>
  <c r="TXD3" i="7"/>
  <c r="TXL3" i="7"/>
  <c r="TXT3" i="7"/>
  <c r="TYB3" i="7"/>
  <c r="TYJ3" i="7"/>
  <c r="TYR3" i="7"/>
  <c r="TYZ3" i="7"/>
  <c r="TZH3" i="7"/>
  <c r="TZP3" i="7"/>
  <c r="TZX3" i="7"/>
  <c r="UAF3" i="7"/>
  <c r="UAN3" i="7"/>
  <c r="UAV3" i="7"/>
  <c r="UBD3" i="7"/>
  <c r="UBL3" i="7"/>
  <c r="UBT3" i="7"/>
  <c r="UCB3" i="7"/>
  <c r="UCJ3" i="7"/>
  <c r="UCR3" i="7"/>
  <c r="UCZ3" i="7"/>
  <c r="UDH3" i="7"/>
  <c r="UDP3" i="7"/>
  <c r="UDX3" i="7"/>
  <c r="UEF3" i="7"/>
  <c r="UEN3" i="7"/>
  <c r="UEV3" i="7"/>
  <c r="UFD3" i="7"/>
  <c r="UFL3" i="7"/>
  <c r="UFT3" i="7"/>
  <c r="UGB3" i="7"/>
  <c r="UGJ3" i="7"/>
  <c r="UGR3" i="7"/>
  <c r="UGZ3" i="7"/>
  <c r="UHH3" i="7"/>
  <c r="UHP3" i="7"/>
  <c r="UHX3" i="7"/>
  <c r="UIF3" i="7"/>
  <c r="UIN3" i="7"/>
  <c r="UIV3" i="7"/>
  <c r="UJD3" i="7"/>
  <c r="UJL3" i="7"/>
  <c r="UJT3" i="7"/>
  <c r="UKB3" i="7"/>
  <c r="UKJ3" i="7"/>
  <c r="UKR3" i="7"/>
  <c r="UKZ3" i="7"/>
  <c r="ULH3" i="7"/>
  <c r="ULP3" i="7"/>
  <c r="ULX3" i="7"/>
  <c r="UMF3" i="7"/>
  <c r="UMN3" i="7"/>
  <c r="UMV3" i="7"/>
  <c r="UND3" i="7"/>
  <c r="UNL3" i="7"/>
  <c r="UNT3" i="7"/>
  <c r="UOB3" i="7"/>
  <c r="UOJ3" i="7"/>
  <c r="UOR3" i="7"/>
  <c r="UOZ3" i="7"/>
  <c r="UPH3" i="7"/>
  <c r="UPP3" i="7"/>
  <c r="UPX3" i="7"/>
  <c r="UQF3" i="7"/>
  <c r="UQN3" i="7"/>
  <c r="UQV3" i="7"/>
  <c r="URD3" i="7"/>
  <c r="URL3" i="7"/>
  <c r="URT3" i="7"/>
  <c r="USB3" i="7"/>
  <c r="USJ3" i="7"/>
  <c r="USR3" i="7"/>
  <c r="USZ3" i="7"/>
  <c r="UTH3" i="7"/>
  <c r="UTP3" i="7"/>
  <c r="UTX3" i="7"/>
  <c r="UUF3" i="7"/>
  <c r="UUN3" i="7"/>
  <c r="UUV3" i="7"/>
  <c r="UVD3" i="7"/>
  <c r="UVL3" i="7"/>
  <c r="UVT3" i="7"/>
  <c r="UWB3" i="7"/>
  <c r="UWJ3" i="7"/>
  <c r="UWR3" i="7"/>
  <c r="UWZ3" i="7"/>
  <c r="UXH3" i="7"/>
  <c r="UXP3" i="7"/>
  <c r="UXX3" i="7"/>
  <c r="UYF3" i="7"/>
  <c r="UYN3" i="7"/>
  <c r="UYV3" i="7"/>
  <c r="UZD3" i="7"/>
  <c r="UZL3" i="7"/>
  <c r="UZT3" i="7"/>
  <c r="VAB3" i="7"/>
  <c r="VAJ3" i="7"/>
  <c r="VAR3" i="7"/>
  <c r="VAZ3" i="7"/>
  <c r="VBH3" i="7"/>
  <c r="VBP3" i="7"/>
  <c r="VBX3" i="7"/>
  <c r="VCF3" i="7"/>
  <c r="VCN3" i="7"/>
  <c r="VCV3" i="7"/>
  <c r="VDD3" i="7"/>
  <c r="VDL3" i="7"/>
  <c r="VDT3" i="7"/>
  <c r="VEB3" i="7"/>
  <c r="VEJ3" i="7"/>
  <c r="VER3" i="7"/>
  <c r="VEZ3" i="7"/>
  <c r="VFH3" i="7"/>
  <c r="VFP3" i="7"/>
  <c r="VFX3" i="7"/>
  <c r="VGF3" i="7"/>
  <c r="VGN3" i="7"/>
  <c r="VGV3" i="7"/>
  <c r="VHD3" i="7"/>
  <c r="VHL3" i="7"/>
  <c r="VHT3" i="7"/>
  <c r="VIB3" i="7"/>
  <c r="VIJ3" i="7"/>
  <c r="VIR3" i="7"/>
  <c r="VIZ3" i="7"/>
  <c r="VJH3" i="7"/>
  <c r="VJP3" i="7"/>
  <c r="VJX3" i="7"/>
  <c r="VKF3" i="7"/>
  <c r="VKN3" i="7"/>
  <c r="VKV3" i="7"/>
  <c r="VLD3" i="7"/>
  <c r="VLL3" i="7"/>
  <c r="VLT3" i="7"/>
  <c r="VMB3" i="7"/>
  <c r="VMJ3" i="7"/>
  <c r="VMR3" i="7"/>
  <c r="VMZ3" i="7"/>
  <c r="VNH3" i="7"/>
  <c r="VNP3" i="7"/>
  <c r="VNX3" i="7"/>
  <c r="VOF3" i="7"/>
  <c r="VON3" i="7"/>
  <c r="VOV3" i="7"/>
  <c r="VPD3" i="7"/>
  <c r="VPL3" i="7"/>
  <c r="VPT3" i="7"/>
  <c r="VQB3" i="7"/>
  <c r="VQJ3" i="7"/>
  <c r="VQR3" i="7"/>
  <c r="VQZ3" i="7"/>
  <c r="VRH3" i="7"/>
  <c r="VRP3" i="7"/>
  <c r="VRX3" i="7"/>
  <c r="VSF3" i="7"/>
  <c r="VSN3" i="7"/>
  <c r="VSV3" i="7"/>
  <c r="VTD3" i="7"/>
  <c r="VTL3" i="7"/>
  <c r="VTT3" i="7"/>
  <c r="VUB3" i="7"/>
  <c r="VUJ3" i="7"/>
  <c r="VUR3" i="7"/>
  <c r="VUZ3" i="7"/>
  <c r="VVH3" i="7"/>
  <c r="VVP3" i="7"/>
  <c r="VVX3" i="7"/>
  <c r="VWF3" i="7"/>
  <c r="VWN3" i="7"/>
  <c r="VWV3" i="7"/>
  <c r="VXD3" i="7"/>
  <c r="VXL3" i="7"/>
  <c r="VXT3" i="7"/>
  <c r="VYB3" i="7"/>
  <c r="VYJ3" i="7"/>
  <c r="VYR3" i="7"/>
  <c r="VYZ3" i="7"/>
  <c r="VZH3" i="7"/>
  <c r="VZP3" i="7"/>
  <c r="VZX3" i="7"/>
  <c r="WAF3" i="7"/>
  <c r="WAN3" i="7"/>
  <c r="WAV3" i="7"/>
  <c r="WBD3" i="7"/>
  <c r="WBL3" i="7"/>
  <c r="WBT3" i="7"/>
  <c r="WCB3" i="7"/>
  <c r="WCJ3" i="7"/>
  <c r="WCR3" i="7"/>
  <c r="WCZ3" i="7"/>
  <c r="WDH3" i="7"/>
  <c r="WDP3" i="7"/>
  <c r="WDX3" i="7"/>
  <c r="WEF3" i="7"/>
  <c r="WEN3" i="7"/>
  <c r="WEV3" i="7"/>
  <c r="WFD3" i="7"/>
  <c r="WFL3" i="7"/>
  <c r="WFT3" i="7"/>
  <c r="WGB3" i="7"/>
  <c r="WGJ3" i="7"/>
  <c r="WGR3" i="7"/>
  <c r="WGZ3" i="7"/>
  <c r="WHH3" i="7"/>
  <c r="WHP3" i="7"/>
  <c r="WHX3" i="7"/>
  <c r="WIF3" i="7"/>
  <c r="WIN3" i="7"/>
  <c r="WIV3" i="7"/>
  <c r="WJD3" i="7"/>
  <c r="WJL3" i="7"/>
  <c r="WJT3" i="7"/>
  <c r="WKB3" i="7"/>
  <c r="WKJ3" i="7"/>
  <c r="WKR3" i="7"/>
  <c r="WKZ3" i="7"/>
  <c r="WLH3" i="7"/>
  <c r="WLP3" i="7"/>
  <c r="WLX3" i="7"/>
  <c r="WMF3" i="7"/>
  <c r="WMN3" i="7"/>
  <c r="WMV3" i="7"/>
  <c r="WND3" i="7"/>
  <c r="WNL3" i="7"/>
  <c r="WNT3" i="7"/>
  <c r="WOB3" i="7"/>
  <c r="WOJ3" i="7"/>
  <c r="WOR3" i="7"/>
  <c r="WOZ3" i="7"/>
  <c r="WPH3" i="7"/>
  <c r="WPP3" i="7"/>
  <c r="WPX3" i="7"/>
  <c r="WQF3" i="7"/>
  <c r="WQN3" i="7"/>
  <c r="WQV3" i="7"/>
  <c r="WRD3" i="7"/>
  <c r="WRL3" i="7"/>
  <c r="WRT3" i="7"/>
  <c r="WSB3" i="7"/>
  <c r="WSJ3" i="7"/>
  <c r="WSR3" i="7"/>
  <c r="WSZ3" i="7"/>
  <c r="WTH3" i="7"/>
  <c r="WTP3" i="7"/>
  <c r="WTX3" i="7"/>
  <c r="WUF3" i="7"/>
  <c r="WUN3" i="7"/>
  <c r="WUV3" i="7"/>
  <c r="WVD3" i="7"/>
  <c r="WVL3" i="7"/>
  <c r="WVT3" i="7"/>
  <c r="WWB3" i="7"/>
  <c r="WWJ3" i="7"/>
  <c r="WWR3" i="7"/>
  <c r="WWZ3" i="7"/>
  <c r="WXH3" i="7"/>
  <c r="WXP3" i="7"/>
  <c r="WXX3" i="7"/>
  <c r="WYF3" i="7"/>
  <c r="WYN3" i="7"/>
  <c r="WYV3" i="7"/>
  <c r="WZD3" i="7"/>
  <c r="WZL3" i="7"/>
  <c r="WZT3" i="7"/>
  <c r="XAB3" i="7"/>
  <c r="XAJ3" i="7"/>
  <c r="XAR3" i="7"/>
  <c r="XAZ3" i="7"/>
  <c r="XBH3" i="7"/>
  <c r="XBP3" i="7"/>
  <c r="XBX3" i="7"/>
  <c r="XCF3" i="7"/>
  <c r="XCN3" i="7"/>
  <c r="XCV3" i="7"/>
  <c r="XDD3" i="7"/>
  <c r="XDL3" i="7"/>
  <c r="XDT3" i="7"/>
  <c r="XEB3" i="7"/>
  <c r="XEJ3" i="7"/>
  <c r="XER3" i="7"/>
  <c r="XEZ3" i="7"/>
  <c r="Q3" i="7"/>
  <c r="M3" i="7"/>
  <c r="WWK3" i="7"/>
  <c r="WXQ3" i="7"/>
  <c r="WYO3" i="7"/>
  <c r="WZE3" i="7"/>
  <c r="WZU3" i="7"/>
  <c r="XAK3" i="7"/>
  <c r="XBA3" i="7"/>
  <c r="XBQ3" i="7"/>
  <c r="XCG3" i="7"/>
  <c r="XCW3" i="7"/>
  <c r="XDM3" i="7"/>
  <c r="XEC3" i="7"/>
  <c r="XES3" i="7"/>
  <c r="R3" i="7"/>
  <c r="KIK3" i="7"/>
  <c r="KKW3" i="7"/>
  <c r="KNI3" i="7"/>
  <c r="KPU3" i="7"/>
  <c r="KSG3" i="7"/>
  <c r="KUS3" i="7"/>
  <c r="KXE3" i="7"/>
  <c r="KZQ3" i="7"/>
  <c r="LCC3" i="7"/>
  <c r="LEO3" i="7"/>
  <c r="LHA3" i="7"/>
  <c r="LJM3" i="7"/>
  <c r="LLY3" i="7"/>
  <c r="LOK3" i="7"/>
  <c r="LQW3" i="7"/>
  <c r="LTI3" i="7"/>
  <c r="LVU3" i="7"/>
  <c r="LYG3" i="7"/>
  <c r="MAS3" i="7"/>
  <c r="MDE3" i="7"/>
  <c r="MFQ3" i="7"/>
  <c r="MIC3" i="7"/>
  <c r="MKO3" i="7"/>
  <c r="MNA3" i="7"/>
  <c r="MPM3" i="7"/>
  <c r="MRY3" i="7"/>
  <c r="MUK3" i="7"/>
  <c r="MWW3" i="7"/>
  <c r="MZI3" i="7"/>
  <c r="NBU3" i="7"/>
  <c r="NEG3" i="7"/>
  <c r="NGS3" i="7"/>
  <c r="NJE3" i="7"/>
  <c r="NLQ3" i="7"/>
  <c r="NOC3" i="7"/>
  <c r="NPN3" i="7"/>
  <c r="NQT3" i="7"/>
  <c r="NRZ3" i="7"/>
  <c r="NTF3" i="7"/>
  <c r="NUL3" i="7"/>
  <c r="NVR3" i="7"/>
  <c r="NWX3" i="7"/>
  <c r="NYD3" i="7"/>
  <c r="NZJ3" i="7"/>
  <c r="OAP3" i="7"/>
  <c r="OBV3" i="7"/>
  <c r="ODB3" i="7"/>
  <c r="OEH3" i="7"/>
  <c r="OFN3" i="7"/>
  <c r="OGT3" i="7"/>
  <c r="OHZ3" i="7"/>
  <c r="OJF3" i="7"/>
  <c r="OKL3" i="7"/>
  <c r="OLR3" i="7"/>
  <c r="OMX3" i="7"/>
  <c r="OOD3" i="7"/>
  <c r="OPJ3" i="7"/>
  <c r="OQP3" i="7"/>
  <c r="ORV3" i="7"/>
  <c r="OTB3" i="7"/>
  <c r="OUH3" i="7"/>
  <c r="OVN3" i="7"/>
  <c r="OWT3" i="7"/>
  <c r="OXZ3" i="7"/>
  <c r="OZF3" i="7"/>
  <c r="PAL3" i="7"/>
  <c r="PBR3" i="7"/>
  <c r="PCX3" i="7"/>
  <c r="PED3" i="7"/>
  <c r="PFJ3" i="7"/>
  <c r="PGP3" i="7"/>
  <c r="PHV3" i="7"/>
  <c r="PJB3" i="7"/>
  <c r="PKH3" i="7"/>
  <c r="PLN3" i="7"/>
  <c r="PMT3" i="7"/>
  <c r="PNZ3" i="7"/>
  <c r="PPF3" i="7"/>
  <c r="PQL3" i="7"/>
  <c r="PRR3" i="7"/>
  <c r="PSX3" i="7"/>
  <c r="PUD3" i="7"/>
  <c r="PVJ3" i="7"/>
  <c r="PWP3" i="7"/>
  <c r="PXV3" i="7"/>
  <c r="PZB3" i="7"/>
  <c r="QAH3" i="7"/>
  <c r="QBN3" i="7"/>
  <c r="QCT3" i="7"/>
  <c r="QDZ3" i="7"/>
  <c r="QFF3" i="7"/>
  <c r="QGL3" i="7"/>
  <c r="QHR3" i="7"/>
  <c r="QIX3" i="7"/>
  <c r="QKD3" i="7"/>
  <c r="QLJ3" i="7"/>
  <c r="QMP3" i="7"/>
  <c r="QNI3" i="7"/>
  <c r="QOF3" i="7"/>
  <c r="QOS3" i="7"/>
  <c r="QPA3" i="7"/>
  <c r="QPI3" i="7"/>
  <c r="QPQ3" i="7"/>
  <c r="QPY3" i="7"/>
  <c r="QQG3" i="7"/>
  <c r="QQO3" i="7"/>
  <c r="QQW3" i="7"/>
  <c r="QRE3" i="7"/>
  <c r="QRM3" i="7"/>
  <c r="QRU3" i="7"/>
  <c r="QSC3" i="7"/>
  <c r="QSK3" i="7"/>
  <c r="QSS3" i="7"/>
  <c r="QTA3" i="7"/>
  <c r="QTI3" i="7"/>
  <c r="QTQ3" i="7"/>
  <c r="QTY3" i="7"/>
  <c r="QUG3" i="7"/>
  <c r="QUO3" i="7"/>
  <c r="QUW3" i="7"/>
  <c r="QVE3" i="7"/>
  <c r="QVM3" i="7"/>
  <c r="QVU3" i="7"/>
  <c r="QWC3" i="7"/>
  <c r="QWK3" i="7"/>
  <c r="QWS3" i="7"/>
  <c r="QXA3" i="7"/>
  <c r="QXI3" i="7"/>
  <c r="QXQ3" i="7"/>
  <c r="QXY3" i="7"/>
  <c r="QYG3" i="7"/>
  <c r="QYO3" i="7"/>
  <c r="QYW3" i="7"/>
  <c r="QZE3" i="7"/>
  <c r="QZM3" i="7"/>
  <c r="QZU3" i="7"/>
  <c r="RAC3" i="7"/>
  <c r="RAK3" i="7"/>
  <c r="RAS3" i="7"/>
  <c r="RBA3" i="7"/>
  <c r="RBI3" i="7"/>
  <c r="RBQ3" i="7"/>
  <c r="RBY3" i="7"/>
  <c r="RCG3" i="7"/>
  <c r="RCO3" i="7"/>
  <c r="RCW3" i="7"/>
  <c r="RDE3" i="7"/>
  <c r="RDM3" i="7"/>
  <c r="RDU3" i="7"/>
  <c r="REC3" i="7"/>
  <c r="REK3" i="7"/>
  <c r="RES3" i="7"/>
  <c r="RFA3" i="7"/>
  <c r="RFI3" i="7"/>
  <c r="RFQ3" i="7"/>
  <c r="RFY3" i="7"/>
  <c r="RGG3" i="7"/>
  <c r="RGO3" i="7"/>
  <c r="RGW3" i="7"/>
  <c r="RHE3" i="7"/>
  <c r="RHM3" i="7"/>
  <c r="RHU3" i="7"/>
  <c r="RIC3" i="7"/>
  <c r="RIK3" i="7"/>
  <c r="RIS3" i="7"/>
  <c r="RJA3" i="7"/>
  <c r="RJI3" i="7"/>
  <c r="RJQ3" i="7"/>
  <c r="RJY3" i="7"/>
  <c r="RKG3" i="7"/>
  <c r="RKO3" i="7"/>
  <c r="RKW3" i="7"/>
  <c r="RLE3" i="7"/>
  <c r="RLM3" i="7"/>
  <c r="RLU3" i="7"/>
  <c r="RMC3" i="7"/>
  <c r="RMK3" i="7"/>
  <c r="RMS3" i="7"/>
  <c r="RNA3" i="7"/>
  <c r="RNI3" i="7"/>
  <c r="RNQ3" i="7"/>
  <c r="RNY3" i="7"/>
  <c r="ROG3" i="7"/>
  <c r="ROO3" i="7"/>
  <c r="ROW3" i="7"/>
  <c r="RPE3" i="7"/>
  <c r="RPM3" i="7"/>
  <c r="RPU3" i="7"/>
  <c r="RQC3" i="7"/>
  <c r="RQK3" i="7"/>
  <c r="RQS3" i="7"/>
  <c r="RRA3" i="7"/>
  <c r="RRI3" i="7"/>
  <c r="RRQ3" i="7"/>
  <c r="RRY3" i="7"/>
  <c r="RSG3" i="7"/>
  <c r="RSO3" i="7"/>
  <c r="RSW3" i="7"/>
  <c r="RTE3" i="7"/>
  <c r="RTM3" i="7"/>
  <c r="RTU3" i="7"/>
  <c r="RUC3" i="7"/>
  <c r="RUK3" i="7"/>
  <c r="RUS3" i="7"/>
  <c r="RVA3" i="7"/>
  <c r="RVI3" i="7"/>
  <c r="RVQ3" i="7"/>
  <c r="RVY3" i="7"/>
  <c r="RWG3" i="7"/>
  <c r="RWO3" i="7"/>
  <c r="RWW3" i="7"/>
  <c r="RXE3" i="7"/>
  <c r="RXM3" i="7"/>
  <c r="RXU3" i="7"/>
  <c r="RYC3" i="7"/>
  <c r="RYK3" i="7"/>
  <c r="RYS3" i="7"/>
  <c r="RZA3" i="7"/>
  <c r="RZI3" i="7"/>
  <c r="RZQ3" i="7"/>
  <c r="RZY3" i="7"/>
  <c r="SAG3" i="7"/>
  <c r="SAO3" i="7"/>
  <c r="SAW3" i="7"/>
  <c r="SBE3" i="7"/>
  <c r="SBM3" i="7"/>
  <c r="SBU3" i="7"/>
  <c r="SCC3" i="7"/>
  <c r="SCK3" i="7"/>
  <c r="SCS3" i="7"/>
  <c r="SDA3" i="7"/>
  <c r="SDI3" i="7"/>
  <c r="SDQ3" i="7"/>
  <c r="SDY3" i="7"/>
  <c r="SEG3" i="7"/>
  <c r="SEO3" i="7"/>
  <c r="SEW3" i="7"/>
  <c r="SFE3" i="7"/>
  <c r="SFM3" i="7"/>
  <c r="SFU3" i="7"/>
  <c r="SGC3" i="7"/>
  <c r="SGK3" i="7"/>
  <c r="SGS3" i="7"/>
  <c r="SHA3" i="7"/>
  <c r="SHI3" i="7"/>
  <c r="SHQ3" i="7"/>
  <c r="SHY3" i="7"/>
  <c r="SIG3" i="7"/>
  <c r="SIO3" i="7"/>
  <c r="SIW3" i="7"/>
  <c r="SJE3" i="7"/>
  <c r="SJM3" i="7"/>
  <c r="SJU3" i="7"/>
  <c r="SKC3" i="7"/>
  <c r="SKK3" i="7"/>
  <c r="SKS3" i="7"/>
  <c r="SLA3" i="7"/>
  <c r="SLI3" i="7"/>
  <c r="SLQ3" i="7"/>
  <c r="SLY3" i="7"/>
  <c r="SMG3" i="7"/>
  <c r="SMO3" i="7"/>
  <c r="SMW3" i="7"/>
  <c r="SNE3" i="7"/>
  <c r="SNM3" i="7"/>
  <c r="SNU3" i="7"/>
  <c r="SOC3" i="7"/>
  <c r="SOK3" i="7"/>
  <c r="SOS3" i="7"/>
  <c r="SPA3" i="7"/>
  <c r="SPI3" i="7"/>
  <c r="SPQ3" i="7"/>
  <c r="SPY3" i="7"/>
  <c r="SQG3" i="7"/>
  <c r="SQO3" i="7"/>
  <c r="SQW3" i="7"/>
  <c r="SRE3" i="7"/>
  <c r="SRM3" i="7"/>
  <c r="SRU3" i="7"/>
  <c r="SSC3" i="7"/>
  <c r="SSK3" i="7"/>
  <c r="SSS3" i="7"/>
  <c r="STA3" i="7"/>
  <c r="STI3" i="7"/>
  <c r="STQ3" i="7"/>
  <c r="STY3" i="7"/>
  <c r="SUG3" i="7"/>
  <c r="SUO3" i="7"/>
  <c r="SUW3" i="7"/>
  <c r="SVE3" i="7"/>
  <c r="SVM3" i="7"/>
  <c r="SVU3" i="7"/>
  <c r="SWC3" i="7"/>
  <c r="SWK3" i="7"/>
  <c r="SWS3" i="7"/>
  <c r="SXA3" i="7"/>
  <c r="SXI3" i="7"/>
  <c r="SXQ3" i="7"/>
  <c r="SXY3" i="7"/>
  <c r="SYG3" i="7"/>
  <c r="SYO3" i="7"/>
  <c r="SYW3" i="7"/>
  <c r="SZE3" i="7"/>
  <c r="SZM3" i="7"/>
  <c r="SZU3" i="7"/>
  <c r="TAC3" i="7"/>
  <c r="TAK3" i="7"/>
  <c r="TAS3" i="7"/>
  <c r="TBA3" i="7"/>
  <c r="TBI3" i="7"/>
  <c r="TBQ3" i="7"/>
  <c r="TBY3" i="7"/>
  <c r="TCG3" i="7"/>
  <c r="TCO3" i="7"/>
  <c r="TCW3" i="7"/>
  <c r="TDE3" i="7"/>
  <c r="TDM3" i="7"/>
  <c r="TDU3" i="7"/>
  <c r="TEC3" i="7"/>
  <c r="TEK3" i="7"/>
  <c r="TES3" i="7"/>
  <c r="TFA3" i="7"/>
  <c r="TFI3" i="7"/>
  <c r="TFQ3" i="7"/>
  <c r="TFY3" i="7"/>
  <c r="TGG3" i="7"/>
  <c r="TGO3" i="7"/>
  <c r="TGW3" i="7"/>
  <c r="THE3" i="7"/>
  <c r="THM3" i="7"/>
  <c r="THU3" i="7"/>
  <c r="TIC3" i="7"/>
  <c r="TIK3" i="7"/>
  <c r="TIS3" i="7"/>
  <c r="TJA3" i="7"/>
  <c r="TJI3" i="7"/>
  <c r="TJQ3" i="7"/>
  <c r="TJY3" i="7"/>
  <c r="TKG3" i="7"/>
  <c r="TKO3" i="7"/>
  <c r="TKW3" i="7"/>
  <c r="TLE3" i="7"/>
  <c r="TLM3" i="7"/>
  <c r="TLU3" i="7"/>
  <c r="TMC3" i="7"/>
  <c r="TMK3" i="7"/>
  <c r="TMS3" i="7"/>
  <c r="TNA3" i="7"/>
  <c r="TNI3" i="7"/>
  <c r="TNQ3" i="7"/>
  <c r="TNY3" i="7"/>
  <c r="TOG3" i="7"/>
  <c r="TOO3" i="7"/>
  <c r="TOW3" i="7"/>
  <c r="TPE3" i="7"/>
  <c r="TPM3" i="7"/>
  <c r="TPU3" i="7"/>
  <c r="TQC3" i="7"/>
  <c r="TQK3" i="7"/>
  <c r="TQS3" i="7"/>
  <c r="TRA3" i="7"/>
  <c r="TRI3" i="7"/>
  <c r="TRQ3" i="7"/>
  <c r="TRY3" i="7"/>
  <c r="TSG3" i="7"/>
  <c r="TSO3" i="7"/>
  <c r="TSW3" i="7"/>
  <c r="TTE3" i="7"/>
  <c r="TTM3" i="7"/>
  <c r="TTU3" i="7"/>
  <c r="TUC3" i="7"/>
  <c r="TUK3" i="7"/>
  <c r="TUS3" i="7"/>
  <c r="TVA3" i="7"/>
  <c r="TVI3" i="7"/>
  <c r="TVQ3" i="7"/>
  <c r="TVY3" i="7"/>
  <c r="TWG3" i="7"/>
  <c r="TWO3" i="7"/>
  <c r="TWW3" i="7"/>
  <c r="TXE3" i="7"/>
  <c r="TXM3" i="7"/>
  <c r="TXU3" i="7"/>
  <c r="TYC3" i="7"/>
  <c r="TYK3" i="7"/>
  <c r="TYS3" i="7"/>
  <c r="TZA3" i="7"/>
  <c r="TZI3" i="7"/>
  <c r="TZQ3" i="7"/>
  <c r="TZY3" i="7"/>
  <c r="UAG3" i="7"/>
  <c r="UAO3" i="7"/>
  <c r="UAW3" i="7"/>
  <c r="UBE3" i="7"/>
  <c r="UBM3" i="7"/>
  <c r="UBU3" i="7"/>
  <c r="UCC3" i="7"/>
  <c r="UCK3" i="7"/>
  <c r="UCS3" i="7"/>
  <c r="UDA3" i="7"/>
  <c r="UDI3" i="7"/>
  <c r="UDQ3" i="7"/>
  <c r="UDY3" i="7"/>
  <c r="UEG3" i="7"/>
  <c r="UEO3" i="7"/>
  <c r="UEW3" i="7"/>
  <c r="UFE3" i="7"/>
  <c r="UFM3" i="7"/>
  <c r="UFU3" i="7"/>
  <c r="UGC3" i="7"/>
  <c r="UGK3" i="7"/>
  <c r="UGS3" i="7"/>
  <c r="UHA3" i="7"/>
  <c r="UHI3" i="7"/>
  <c r="UHQ3" i="7"/>
  <c r="UHY3" i="7"/>
  <c r="UIG3" i="7"/>
  <c r="UIO3" i="7"/>
  <c r="UIW3" i="7"/>
  <c r="UJE3" i="7"/>
  <c r="UJM3" i="7"/>
  <c r="UJU3" i="7"/>
  <c r="UKC3" i="7"/>
  <c r="UKK3" i="7"/>
  <c r="UKS3" i="7"/>
  <c r="ULA3" i="7"/>
  <c r="ULI3" i="7"/>
  <c r="ULQ3" i="7"/>
  <c r="ULY3" i="7"/>
  <c r="UMG3" i="7"/>
  <c r="UMO3" i="7"/>
  <c r="UMW3" i="7"/>
  <c r="UNE3" i="7"/>
  <c r="UNM3" i="7"/>
  <c r="UNU3" i="7"/>
  <c r="UOC3" i="7"/>
  <c r="UOK3" i="7"/>
  <c r="UOS3" i="7"/>
  <c r="UPA3" i="7"/>
  <c r="UPI3" i="7"/>
  <c r="UPQ3" i="7"/>
  <c r="UPY3" i="7"/>
  <c r="UQG3" i="7"/>
  <c r="UQO3" i="7"/>
  <c r="UQW3" i="7"/>
  <c r="URE3" i="7"/>
  <c r="URM3" i="7"/>
  <c r="URU3" i="7"/>
  <c r="USC3" i="7"/>
  <c r="USK3" i="7"/>
  <c r="USS3" i="7"/>
  <c r="UTA3" i="7"/>
  <c r="UTI3" i="7"/>
  <c r="UTQ3" i="7"/>
  <c r="UTY3" i="7"/>
  <c r="UUG3" i="7"/>
  <c r="UUO3" i="7"/>
  <c r="UUW3" i="7"/>
  <c r="UVE3" i="7"/>
  <c r="UVM3" i="7"/>
  <c r="UVU3" i="7"/>
  <c r="UWC3" i="7"/>
  <c r="UWK3" i="7"/>
  <c r="UWS3" i="7"/>
  <c r="UXA3" i="7"/>
  <c r="UXI3" i="7"/>
  <c r="UXQ3" i="7"/>
  <c r="UXY3" i="7"/>
  <c r="UYG3" i="7"/>
  <c r="UYO3" i="7"/>
  <c r="UYW3" i="7"/>
  <c r="UZE3" i="7"/>
  <c r="UZM3" i="7"/>
  <c r="UZU3" i="7"/>
  <c r="VAC3" i="7"/>
  <c r="VAK3" i="7"/>
  <c r="VAS3" i="7"/>
  <c r="VBA3" i="7"/>
  <c r="VBI3" i="7"/>
  <c r="VBQ3" i="7"/>
  <c r="VBY3" i="7"/>
  <c r="VCG3" i="7"/>
  <c r="VCO3" i="7"/>
  <c r="VCW3" i="7"/>
  <c r="VDE3" i="7"/>
  <c r="VDM3" i="7"/>
  <c r="VDU3" i="7"/>
  <c r="VEC3" i="7"/>
  <c r="VEK3" i="7"/>
  <c r="VES3" i="7"/>
  <c r="VFA3" i="7"/>
  <c r="VFI3" i="7"/>
  <c r="VFQ3" i="7"/>
  <c r="VFY3" i="7"/>
  <c r="VGG3" i="7"/>
  <c r="VGO3" i="7"/>
  <c r="VGW3" i="7"/>
  <c r="VHE3" i="7"/>
  <c r="VHM3" i="7"/>
  <c r="VHU3" i="7"/>
  <c r="VIC3" i="7"/>
  <c r="VIK3" i="7"/>
  <c r="VIS3" i="7"/>
  <c r="VJA3" i="7"/>
  <c r="VJI3" i="7"/>
  <c r="VJQ3" i="7"/>
  <c r="VJY3" i="7"/>
  <c r="VKG3" i="7"/>
  <c r="VKO3" i="7"/>
  <c r="VKW3" i="7"/>
  <c r="VLE3" i="7"/>
  <c r="VLM3" i="7"/>
  <c r="VLU3" i="7"/>
  <c r="VMC3" i="7"/>
  <c r="VMK3" i="7"/>
  <c r="VMS3" i="7"/>
  <c r="VNA3" i="7"/>
  <c r="VNI3" i="7"/>
  <c r="VNQ3" i="7"/>
  <c r="VNY3" i="7"/>
  <c r="VOG3" i="7"/>
  <c r="VOO3" i="7"/>
  <c r="VOW3" i="7"/>
  <c r="VPE3" i="7"/>
  <c r="VPM3" i="7"/>
  <c r="VPU3" i="7"/>
  <c r="VQC3" i="7"/>
  <c r="VQK3" i="7"/>
  <c r="VQS3" i="7"/>
  <c r="VRA3" i="7"/>
  <c r="VRI3" i="7"/>
  <c r="VRQ3" i="7"/>
  <c r="VRY3" i="7"/>
  <c r="VSG3" i="7"/>
  <c r="VSO3" i="7"/>
  <c r="VSW3" i="7"/>
  <c r="VTE3" i="7"/>
  <c r="VTM3" i="7"/>
  <c r="VTU3" i="7"/>
  <c r="VUC3" i="7"/>
  <c r="VUK3" i="7"/>
  <c r="VUS3" i="7"/>
  <c r="VVA3" i="7"/>
  <c r="VVI3" i="7"/>
  <c r="VVQ3" i="7"/>
  <c r="VVY3" i="7"/>
  <c r="VWG3" i="7"/>
  <c r="VWO3" i="7"/>
  <c r="VWW3" i="7"/>
  <c r="VXE3" i="7"/>
  <c r="VXM3" i="7"/>
  <c r="VXU3" i="7"/>
  <c r="VYC3" i="7"/>
  <c r="VYK3" i="7"/>
  <c r="VYS3" i="7"/>
  <c r="VZA3" i="7"/>
  <c r="VZI3" i="7"/>
  <c r="VZQ3" i="7"/>
  <c r="VZY3" i="7"/>
  <c r="WAG3" i="7"/>
  <c r="WAO3" i="7"/>
  <c r="WAW3" i="7"/>
  <c r="WBE3" i="7"/>
  <c r="WBM3" i="7"/>
  <c r="WBU3" i="7"/>
  <c r="WCC3" i="7"/>
  <c r="WCK3" i="7"/>
  <c r="WCS3" i="7"/>
  <c r="WDA3" i="7"/>
  <c r="WDI3" i="7"/>
  <c r="WDQ3" i="7"/>
  <c r="WDY3" i="7"/>
  <c r="WEG3" i="7"/>
  <c r="WEO3" i="7"/>
  <c r="WEW3" i="7"/>
  <c r="WFE3" i="7"/>
  <c r="WFM3" i="7"/>
  <c r="WFU3" i="7"/>
  <c r="WGC3" i="7"/>
  <c r="WGK3" i="7"/>
  <c r="WGS3" i="7"/>
  <c r="WHA3" i="7"/>
  <c r="WHI3" i="7"/>
  <c r="WHQ3" i="7"/>
  <c r="WHY3" i="7"/>
  <c r="WIG3" i="7"/>
  <c r="WIO3" i="7"/>
  <c r="WIW3" i="7"/>
  <c r="WJE3" i="7"/>
  <c r="WJM3" i="7"/>
  <c r="WJU3" i="7"/>
  <c r="WKC3" i="7"/>
  <c r="WKK3" i="7"/>
  <c r="WKS3" i="7"/>
  <c r="WLA3" i="7"/>
  <c r="WLI3" i="7"/>
  <c r="WLQ3" i="7"/>
  <c r="WLY3" i="7"/>
  <c r="WMG3" i="7"/>
  <c r="WMO3" i="7"/>
  <c r="WMW3" i="7"/>
  <c r="WNE3" i="7"/>
  <c r="WNM3" i="7"/>
  <c r="WNU3" i="7"/>
  <c r="WOC3" i="7"/>
  <c r="WOK3" i="7"/>
  <c r="WOS3" i="7"/>
  <c r="WPA3" i="7"/>
  <c r="WPI3" i="7"/>
  <c r="WPQ3" i="7"/>
  <c r="WPY3" i="7"/>
  <c r="WQG3" i="7"/>
  <c r="WQO3" i="7"/>
  <c r="WQW3" i="7"/>
  <c r="WRE3" i="7"/>
  <c r="WRM3" i="7"/>
  <c r="WRU3" i="7"/>
  <c r="WSC3" i="7"/>
  <c r="WSK3" i="7"/>
  <c r="WSS3" i="7"/>
  <c r="WTA3" i="7"/>
  <c r="WTI3" i="7"/>
  <c r="WTQ3" i="7"/>
  <c r="WTY3" i="7"/>
  <c r="WUG3" i="7"/>
  <c r="WUO3" i="7"/>
  <c r="WUW3" i="7"/>
  <c r="WVE3" i="7"/>
  <c r="WVM3" i="7"/>
  <c r="WVU3" i="7"/>
  <c r="WWC3" i="7"/>
  <c r="WWS3" i="7"/>
  <c r="WXA3" i="7"/>
  <c r="WXI3" i="7"/>
  <c r="WXY3" i="7"/>
  <c r="WYG3" i="7"/>
  <c r="WYW3" i="7"/>
  <c r="WZM3" i="7"/>
  <c r="XAC3" i="7"/>
  <c r="XAS3" i="7"/>
  <c r="XBI3" i="7"/>
  <c r="XBY3" i="7"/>
  <c r="XCO3" i="7"/>
  <c r="XDE3" i="7"/>
  <c r="XDU3" i="7"/>
  <c r="XEK3" i="7"/>
  <c r="XFA3" i="7"/>
  <c r="KIS3" i="7"/>
  <c r="KLE3" i="7"/>
  <c r="KNQ3" i="7"/>
  <c r="KQC3" i="7"/>
  <c r="KSO3" i="7"/>
  <c r="KVA3" i="7"/>
  <c r="KXM3" i="7"/>
  <c r="KZY3" i="7"/>
  <c r="LCK3" i="7"/>
  <c r="LEW3" i="7"/>
  <c r="LHI3" i="7"/>
  <c r="LJU3" i="7"/>
  <c r="LMG3" i="7"/>
  <c r="LOS3" i="7"/>
  <c r="LRE3" i="7"/>
  <c r="LTQ3" i="7"/>
  <c r="LWC3" i="7"/>
  <c r="LYO3" i="7"/>
  <c r="MBA3" i="7"/>
  <c r="MDM3" i="7"/>
  <c r="MFY3" i="7"/>
  <c r="MIK3" i="7"/>
  <c r="MKW3" i="7"/>
  <c r="MNI3" i="7"/>
  <c r="MPU3" i="7"/>
  <c r="MSG3" i="7"/>
  <c r="MUS3" i="7"/>
  <c r="MXE3" i="7"/>
  <c r="MZQ3" i="7"/>
  <c r="NCC3" i="7"/>
  <c r="NEO3" i="7"/>
  <c r="NHA3" i="7"/>
  <c r="NJM3" i="7"/>
  <c r="NLY3" i="7"/>
  <c r="NOK3" i="7"/>
  <c r="NPQ3" i="7"/>
  <c r="NQW3" i="7"/>
  <c r="NSC3" i="7"/>
  <c r="NTI3" i="7"/>
  <c r="NUO3" i="7"/>
  <c r="NVU3" i="7"/>
  <c r="NXA3" i="7"/>
  <c r="NYG3" i="7"/>
  <c r="NZM3" i="7"/>
  <c r="OAS3" i="7"/>
  <c r="OBY3" i="7"/>
  <c r="ODE3" i="7"/>
  <c r="OEK3" i="7"/>
  <c r="OFQ3" i="7"/>
  <c r="OGW3" i="7"/>
  <c r="OIC3" i="7"/>
  <c r="OJI3" i="7"/>
  <c r="OKO3" i="7"/>
  <c r="OLU3" i="7"/>
  <c r="ONA3" i="7"/>
  <c r="OOG3" i="7"/>
  <c r="OPM3" i="7"/>
  <c r="OQS3" i="7"/>
  <c r="ORY3" i="7"/>
  <c r="OTE3" i="7"/>
  <c r="OUK3" i="7"/>
  <c r="OVQ3" i="7"/>
  <c r="OWW3" i="7"/>
  <c r="OYC3" i="7"/>
  <c r="OZI3" i="7"/>
  <c r="PAO3" i="7"/>
  <c r="PBU3" i="7"/>
  <c r="PDA3" i="7"/>
  <c r="PEG3" i="7"/>
  <c r="PFM3" i="7"/>
  <c r="PGS3" i="7"/>
  <c r="PHY3" i="7"/>
  <c r="PJE3" i="7"/>
  <c r="PKK3" i="7"/>
  <c r="PLQ3" i="7"/>
  <c r="PMW3" i="7"/>
  <c r="POC3" i="7"/>
  <c r="PPI3" i="7"/>
  <c r="PQO3" i="7"/>
  <c r="PRU3" i="7"/>
  <c r="PTA3" i="7"/>
  <c r="PUG3" i="7"/>
  <c r="PVM3" i="7"/>
  <c r="PWS3" i="7"/>
  <c r="PXY3" i="7"/>
  <c r="PZE3" i="7"/>
  <c r="QAK3" i="7"/>
  <c r="QBQ3" i="7"/>
  <c r="QCW3" i="7"/>
  <c r="QEC3" i="7"/>
  <c r="QFI3" i="7"/>
  <c r="QGO3" i="7"/>
  <c r="QHU3" i="7"/>
  <c r="QJA3" i="7"/>
  <c r="QKG3" i="7"/>
  <c r="QLM3" i="7"/>
  <c r="QMR3" i="7"/>
  <c r="QNN3" i="7"/>
  <c r="QOG3" i="7"/>
  <c r="QOT3" i="7"/>
  <c r="QPB3" i="7"/>
  <c r="QPJ3" i="7"/>
  <c r="QPR3" i="7"/>
  <c r="QPZ3" i="7"/>
  <c r="QQH3" i="7"/>
  <c r="QQP3" i="7"/>
  <c r="QQX3" i="7"/>
  <c r="QRF3" i="7"/>
  <c r="QRN3" i="7"/>
  <c r="QRV3" i="7"/>
  <c r="QSD3" i="7"/>
  <c r="QSL3" i="7"/>
  <c r="QST3" i="7"/>
  <c r="QTB3" i="7"/>
  <c r="QTJ3" i="7"/>
  <c r="QTR3" i="7"/>
  <c r="QTZ3" i="7"/>
  <c r="QUH3" i="7"/>
  <c r="QUP3" i="7"/>
  <c r="QUX3" i="7"/>
  <c r="QVF3" i="7"/>
  <c r="QVN3" i="7"/>
  <c r="QVV3" i="7"/>
  <c r="QWD3" i="7"/>
  <c r="QWL3" i="7"/>
  <c r="QWT3" i="7"/>
  <c r="QXB3" i="7"/>
  <c r="QXJ3" i="7"/>
  <c r="QXR3" i="7"/>
  <c r="QXZ3" i="7"/>
  <c r="QYH3" i="7"/>
  <c r="QYP3" i="7"/>
  <c r="QYX3" i="7"/>
  <c r="QZF3" i="7"/>
  <c r="QZN3" i="7"/>
  <c r="QZV3" i="7"/>
  <c r="RAD3" i="7"/>
  <c r="RAL3" i="7"/>
  <c r="RAT3" i="7"/>
  <c r="RBB3" i="7"/>
  <c r="RBJ3" i="7"/>
  <c r="RBR3" i="7"/>
  <c r="RBZ3" i="7"/>
  <c r="RCH3" i="7"/>
  <c r="RCP3" i="7"/>
  <c r="RCX3" i="7"/>
  <c r="RDF3" i="7"/>
  <c r="RDN3" i="7"/>
  <c r="RDV3" i="7"/>
  <c r="RED3" i="7"/>
  <c r="REL3" i="7"/>
  <c r="RET3" i="7"/>
  <c r="RFB3" i="7"/>
  <c r="RFJ3" i="7"/>
  <c r="RFR3" i="7"/>
  <c r="RFZ3" i="7"/>
  <c r="RGH3" i="7"/>
  <c r="RGP3" i="7"/>
  <c r="RGX3" i="7"/>
  <c r="RHF3" i="7"/>
  <c r="RHN3" i="7"/>
  <c r="RHV3" i="7"/>
  <c r="RID3" i="7"/>
  <c r="RIL3" i="7"/>
  <c r="RIT3" i="7"/>
  <c r="RJB3" i="7"/>
  <c r="RJJ3" i="7"/>
  <c r="RJR3" i="7"/>
  <c r="RJZ3" i="7"/>
  <c r="RKH3" i="7"/>
  <c r="RKP3" i="7"/>
  <c r="RKX3" i="7"/>
  <c r="RLF3" i="7"/>
  <c r="RLN3" i="7"/>
  <c r="RLV3" i="7"/>
  <c r="RMD3" i="7"/>
  <c r="RML3" i="7"/>
  <c r="RMT3" i="7"/>
  <c r="RNB3" i="7"/>
  <c r="RNJ3" i="7"/>
  <c r="RNR3" i="7"/>
  <c r="RNZ3" i="7"/>
  <c r="ROH3" i="7"/>
  <c r="ROP3" i="7"/>
  <c r="ROX3" i="7"/>
  <c r="RPF3" i="7"/>
  <c r="RPN3" i="7"/>
  <c r="RPV3" i="7"/>
  <c r="RQD3" i="7"/>
  <c r="RQL3" i="7"/>
  <c r="RQT3" i="7"/>
  <c r="RRB3" i="7"/>
  <c r="RRJ3" i="7"/>
  <c r="RRR3" i="7"/>
  <c r="RRZ3" i="7"/>
  <c r="RSH3" i="7"/>
  <c r="RSP3" i="7"/>
  <c r="RSX3" i="7"/>
  <c r="RTF3" i="7"/>
  <c r="RTN3" i="7"/>
  <c r="RTV3" i="7"/>
  <c r="RUD3" i="7"/>
  <c r="RUL3" i="7"/>
  <c r="RUT3" i="7"/>
  <c r="RVB3" i="7"/>
  <c r="RVJ3" i="7"/>
  <c r="RVR3" i="7"/>
  <c r="RVZ3" i="7"/>
  <c r="RWH3" i="7"/>
  <c r="RWP3" i="7"/>
  <c r="RWX3" i="7"/>
  <c r="RXF3" i="7"/>
  <c r="RXN3" i="7"/>
  <c r="RXV3" i="7"/>
  <c r="RYD3" i="7"/>
  <c r="RYL3" i="7"/>
  <c r="RYT3" i="7"/>
  <c r="RZB3" i="7"/>
  <c r="RZJ3" i="7"/>
  <c r="RZR3" i="7"/>
  <c r="RZZ3" i="7"/>
  <c r="SAH3" i="7"/>
  <c r="SAP3" i="7"/>
  <c r="SAX3" i="7"/>
  <c r="SBF3" i="7"/>
  <c r="SBN3" i="7"/>
  <c r="SBV3" i="7"/>
  <c r="SCD3" i="7"/>
  <c r="SCL3" i="7"/>
  <c r="SCT3" i="7"/>
  <c r="SDB3" i="7"/>
  <c r="SDJ3" i="7"/>
  <c r="SDR3" i="7"/>
  <c r="SDZ3" i="7"/>
  <c r="SEH3" i="7"/>
  <c r="SEP3" i="7"/>
  <c r="SEX3" i="7"/>
  <c r="SFF3" i="7"/>
  <c r="SFN3" i="7"/>
  <c r="SFV3" i="7"/>
  <c r="SGD3" i="7"/>
  <c r="SGL3" i="7"/>
  <c r="SGT3" i="7"/>
  <c r="SHB3" i="7"/>
  <c r="SHJ3" i="7"/>
  <c r="SHR3" i="7"/>
  <c r="SHZ3" i="7"/>
  <c r="SIH3" i="7"/>
  <c r="SIP3" i="7"/>
  <c r="SIX3" i="7"/>
  <c r="SJF3" i="7"/>
  <c r="SJN3" i="7"/>
  <c r="SJV3" i="7"/>
  <c r="SKD3" i="7"/>
  <c r="SKL3" i="7"/>
  <c r="SKT3" i="7"/>
  <c r="SLB3" i="7"/>
  <c r="SLJ3" i="7"/>
  <c r="SLR3" i="7"/>
  <c r="SLZ3" i="7"/>
  <c r="SMH3" i="7"/>
  <c r="SMP3" i="7"/>
  <c r="SMX3" i="7"/>
  <c r="SNF3" i="7"/>
  <c r="SNN3" i="7"/>
  <c r="SNV3" i="7"/>
  <c r="SOD3" i="7"/>
  <c r="SOL3" i="7"/>
  <c r="SOT3" i="7"/>
  <c r="SPB3" i="7"/>
  <c r="SPJ3" i="7"/>
  <c r="SPR3" i="7"/>
  <c r="SPZ3" i="7"/>
  <c r="SQH3" i="7"/>
  <c r="SQP3" i="7"/>
  <c r="SQX3" i="7"/>
  <c r="SRF3" i="7"/>
  <c r="SRN3" i="7"/>
  <c r="SRV3" i="7"/>
  <c r="SSD3" i="7"/>
  <c r="SSL3" i="7"/>
  <c r="SST3" i="7"/>
  <c r="STB3" i="7"/>
  <c r="STJ3" i="7"/>
  <c r="STR3" i="7"/>
  <c r="STZ3" i="7"/>
  <c r="SUH3" i="7"/>
  <c r="SUP3" i="7"/>
  <c r="SUX3" i="7"/>
  <c r="SVF3" i="7"/>
  <c r="SVN3" i="7"/>
  <c r="SVV3" i="7"/>
  <c r="SWD3" i="7"/>
  <c r="SWL3" i="7"/>
  <c r="SWT3" i="7"/>
  <c r="SXB3" i="7"/>
  <c r="SXJ3" i="7"/>
  <c r="SXR3" i="7"/>
  <c r="SXZ3" i="7"/>
  <c r="SYH3" i="7"/>
  <c r="SYP3" i="7"/>
  <c r="SYX3" i="7"/>
  <c r="SZF3" i="7"/>
  <c r="SZN3" i="7"/>
  <c r="SZV3" i="7"/>
  <c r="TAD3" i="7"/>
  <c r="TAL3" i="7"/>
  <c r="TAT3" i="7"/>
  <c r="TBB3" i="7"/>
  <c r="TBJ3" i="7"/>
  <c r="TBR3" i="7"/>
  <c r="TBZ3" i="7"/>
  <c r="TCH3" i="7"/>
  <c r="TCP3" i="7"/>
  <c r="TCX3" i="7"/>
  <c r="TDF3" i="7"/>
  <c r="TDN3" i="7"/>
  <c r="TDV3" i="7"/>
  <c r="TED3" i="7"/>
  <c r="TEL3" i="7"/>
  <c r="TET3" i="7"/>
  <c r="TFB3" i="7"/>
  <c r="TFJ3" i="7"/>
  <c r="TFR3" i="7"/>
  <c r="TFZ3" i="7"/>
  <c r="TGH3" i="7"/>
  <c r="TGP3" i="7"/>
  <c r="TGX3" i="7"/>
  <c r="THF3" i="7"/>
  <c r="THN3" i="7"/>
  <c r="THV3" i="7"/>
  <c r="TID3" i="7"/>
  <c r="TIL3" i="7"/>
  <c r="TIT3" i="7"/>
  <c r="TJB3" i="7"/>
  <c r="TJJ3" i="7"/>
  <c r="TJR3" i="7"/>
  <c r="TJZ3" i="7"/>
  <c r="TKH3" i="7"/>
  <c r="TKP3" i="7"/>
  <c r="TKX3" i="7"/>
  <c r="TLF3" i="7"/>
  <c r="TLN3" i="7"/>
  <c r="TLV3" i="7"/>
  <c r="TMD3" i="7"/>
  <c r="TML3" i="7"/>
  <c r="TMT3" i="7"/>
  <c r="TNB3" i="7"/>
  <c r="TNJ3" i="7"/>
  <c r="TNR3" i="7"/>
  <c r="TNZ3" i="7"/>
  <c r="TOH3" i="7"/>
  <c r="TOP3" i="7"/>
  <c r="TOX3" i="7"/>
  <c r="TPF3" i="7"/>
  <c r="TPN3" i="7"/>
  <c r="TPV3" i="7"/>
  <c r="TQD3" i="7"/>
  <c r="TQL3" i="7"/>
  <c r="TQT3" i="7"/>
  <c r="TRB3" i="7"/>
  <c r="TRJ3" i="7"/>
  <c r="TRR3" i="7"/>
  <c r="TRZ3" i="7"/>
  <c r="TSH3" i="7"/>
  <c r="TSP3" i="7"/>
  <c r="TSX3" i="7"/>
  <c r="TTF3" i="7"/>
  <c r="TTN3" i="7"/>
  <c r="TTV3" i="7"/>
  <c r="TUD3" i="7"/>
  <c r="TUL3" i="7"/>
  <c r="TUT3" i="7"/>
  <c r="TVB3" i="7"/>
  <c r="TVJ3" i="7"/>
  <c r="TVR3" i="7"/>
  <c r="TVZ3" i="7"/>
  <c r="TWH3" i="7"/>
  <c r="TWP3" i="7"/>
  <c r="TWX3" i="7"/>
  <c r="TXF3" i="7"/>
  <c r="TXN3" i="7"/>
  <c r="TXV3" i="7"/>
  <c r="TYD3" i="7"/>
  <c r="TYL3" i="7"/>
  <c r="TYT3" i="7"/>
  <c r="TZB3" i="7"/>
  <c r="TZJ3" i="7"/>
  <c r="TZR3" i="7"/>
  <c r="TZZ3" i="7"/>
  <c r="UAH3" i="7"/>
  <c r="UAP3" i="7"/>
  <c r="UAX3" i="7"/>
  <c r="UBF3" i="7"/>
  <c r="UBN3" i="7"/>
  <c r="UBV3" i="7"/>
  <c r="UCD3" i="7"/>
  <c r="UCL3" i="7"/>
  <c r="UCT3" i="7"/>
  <c r="UDB3" i="7"/>
  <c r="UDJ3" i="7"/>
  <c r="UDR3" i="7"/>
  <c r="UDZ3" i="7"/>
  <c r="UEH3" i="7"/>
  <c r="UEP3" i="7"/>
  <c r="UEX3" i="7"/>
  <c r="UFF3" i="7"/>
  <c r="UFN3" i="7"/>
  <c r="UFV3" i="7"/>
  <c r="UGD3" i="7"/>
  <c r="UGL3" i="7"/>
  <c r="UGT3" i="7"/>
  <c r="UHB3" i="7"/>
  <c r="UHJ3" i="7"/>
  <c r="UHR3" i="7"/>
  <c r="UHZ3" i="7"/>
  <c r="UIH3" i="7"/>
  <c r="UIP3" i="7"/>
  <c r="UIX3" i="7"/>
  <c r="UJF3" i="7"/>
  <c r="UJN3" i="7"/>
  <c r="UJV3" i="7"/>
  <c r="UKD3" i="7"/>
  <c r="UKL3" i="7"/>
  <c r="UKT3" i="7"/>
  <c r="ULB3" i="7"/>
  <c r="ULJ3" i="7"/>
  <c r="ULR3" i="7"/>
  <c r="ULZ3" i="7"/>
  <c r="UMH3" i="7"/>
  <c r="UMP3" i="7"/>
  <c r="UMX3" i="7"/>
  <c r="UNF3" i="7"/>
  <c r="UNN3" i="7"/>
  <c r="UNV3" i="7"/>
  <c r="UOD3" i="7"/>
  <c r="UOL3" i="7"/>
  <c r="UOT3" i="7"/>
  <c r="UPB3" i="7"/>
  <c r="UPJ3" i="7"/>
  <c r="UPR3" i="7"/>
  <c r="UPZ3" i="7"/>
  <c r="UQH3" i="7"/>
  <c r="UQP3" i="7"/>
  <c r="UQX3" i="7"/>
  <c r="URF3" i="7"/>
  <c r="URN3" i="7"/>
  <c r="URV3" i="7"/>
  <c r="USD3" i="7"/>
  <c r="USL3" i="7"/>
  <c r="UST3" i="7"/>
  <c r="UTB3" i="7"/>
  <c r="UTJ3" i="7"/>
  <c r="UTR3" i="7"/>
  <c r="UTZ3" i="7"/>
  <c r="UUH3" i="7"/>
  <c r="UUP3" i="7"/>
  <c r="UUX3" i="7"/>
  <c r="UVF3" i="7"/>
  <c r="UVN3" i="7"/>
  <c r="UVV3" i="7"/>
  <c r="UWD3" i="7"/>
  <c r="UWL3" i="7"/>
  <c r="UWT3" i="7"/>
  <c r="UXB3" i="7"/>
  <c r="UXJ3" i="7"/>
  <c r="UXR3" i="7"/>
  <c r="UXZ3" i="7"/>
  <c r="UYH3" i="7"/>
  <c r="UYP3" i="7"/>
  <c r="UYX3" i="7"/>
  <c r="UZF3" i="7"/>
  <c r="UZN3" i="7"/>
  <c r="UZV3" i="7"/>
  <c r="VAD3" i="7"/>
  <c r="VAL3" i="7"/>
  <c r="VAT3" i="7"/>
  <c r="VBB3" i="7"/>
  <c r="VBJ3" i="7"/>
  <c r="VBR3" i="7"/>
  <c r="VBZ3" i="7"/>
  <c r="VCH3" i="7"/>
  <c r="VCP3" i="7"/>
  <c r="VCX3" i="7"/>
  <c r="VDF3" i="7"/>
  <c r="VDN3" i="7"/>
  <c r="VDV3" i="7"/>
  <c r="VED3" i="7"/>
  <c r="VEL3" i="7"/>
  <c r="VET3" i="7"/>
  <c r="VFB3" i="7"/>
  <c r="VFJ3" i="7"/>
  <c r="VFR3" i="7"/>
  <c r="VFZ3" i="7"/>
  <c r="VGH3" i="7"/>
  <c r="VGP3" i="7"/>
  <c r="VGX3" i="7"/>
  <c r="VHF3" i="7"/>
  <c r="VHN3" i="7"/>
  <c r="VHV3" i="7"/>
  <c r="VID3" i="7"/>
  <c r="VIL3" i="7"/>
  <c r="VIT3" i="7"/>
  <c r="VJB3" i="7"/>
  <c r="VJJ3" i="7"/>
  <c r="VJR3" i="7"/>
  <c r="VJZ3" i="7"/>
  <c r="VKH3" i="7"/>
  <c r="VKP3" i="7"/>
  <c r="VKX3" i="7"/>
  <c r="VLF3" i="7"/>
  <c r="VLN3" i="7"/>
  <c r="VLV3" i="7"/>
  <c r="VMD3" i="7"/>
  <c r="VML3" i="7"/>
  <c r="VMT3" i="7"/>
  <c r="VNB3" i="7"/>
  <c r="VNJ3" i="7"/>
  <c r="VNR3" i="7"/>
  <c r="VNZ3" i="7"/>
  <c r="VOH3" i="7"/>
  <c r="VOP3" i="7"/>
  <c r="VOX3" i="7"/>
  <c r="VPF3" i="7"/>
  <c r="VPN3" i="7"/>
  <c r="VPV3" i="7"/>
  <c r="VQD3" i="7"/>
  <c r="VQL3" i="7"/>
  <c r="VQT3" i="7"/>
  <c r="VRB3" i="7"/>
  <c r="VRJ3" i="7"/>
  <c r="VRR3" i="7"/>
  <c r="VRZ3" i="7"/>
  <c r="VSH3" i="7"/>
  <c r="VSP3" i="7"/>
  <c r="VSX3" i="7"/>
  <c r="VTF3" i="7"/>
  <c r="VTN3" i="7"/>
  <c r="VTV3" i="7"/>
  <c r="VUD3" i="7"/>
  <c r="VUL3" i="7"/>
  <c r="VUT3" i="7"/>
  <c r="VVB3" i="7"/>
  <c r="VVJ3" i="7"/>
  <c r="VVR3" i="7"/>
  <c r="VVZ3" i="7"/>
  <c r="VWH3" i="7"/>
  <c r="VWP3" i="7"/>
  <c r="VWX3" i="7"/>
  <c r="VXF3" i="7"/>
  <c r="VXN3" i="7"/>
  <c r="VXV3" i="7"/>
  <c r="VYD3" i="7"/>
  <c r="VYL3" i="7"/>
  <c r="VYT3" i="7"/>
  <c r="VZB3" i="7"/>
  <c r="VZJ3" i="7"/>
  <c r="VZR3" i="7"/>
  <c r="VZZ3" i="7"/>
  <c r="WAH3" i="7"/>
  <c r="WAP3" i="7"/>
  <c r="WAX3" i="7"/>
  <c r="WBF3" i="7"/>
  <c r="WBN3" i="7"/>
  <c r="WBV3" i="7"/>
  <c r="WCD3" i="7"/>
  <c r="WCL3" i="7"/>
  <c r="WCT3" i="7"/>
  <c r="WDB3" i="7"/>
  <c r="WDJ3" i="7"/>
  <c r="WDR3" i="7"/>
  <c r="WDZ3" i="7"/>
  <c r="WEH3" i="7"/>
  <c r="WEP3" i="7"/>
  <c r="WEX3" i="7"/>
  <c r="WFF3" i="7"/>
  <c r="WFN3" i="7"/>
  <c r="WFV3" i="7"/>
  <c r="WGD3" i="7"/>
  <c r="WGL3" i="7"/>
  <c r="WGT3" i="7"/>
  <c r="WHB3" i="7"/>
  <c r="WHJ3" i="7"/>
  <c r="WHR3" i="7"/>
  <c r="WHZ3" i="7"/>
  <c r="WIH3" i="7"/>
  <c r="WIP3" i="7"/>
  <c r="WIX3" i="7"/>
  <c r="WJF3" i="7"/>
  <c r="WJN3" i="7"/>
  <c r="WJV3" i="7"/>
  <c r="WKD3" i="7"/>
  <c r="WKL3" i="7"/>
  <c r="WKT3" i="7"/>
  <c r="WLB3" i="7"/>
  <c r="WLJ3" i="7"/>
  <c r="WLR3" i="7"/>
  <c r="WLZ3" i="7"/>
  <c r="WMH3" i="7"/>
  <c r="WMP3" i="7"/>
  <c r="WMX3" i="7"/>
  <c r="WNF3" i="7"/>
  <c r="WNN3" i="7"/>
  <c r="WNV3" i="7"/>
  <c r="WOD3" i="7"/>
  <c r="WOL3" i="7"/>
  <c r="WOT3" i="7"/>
  <c r="WPB3" i="7"/>
  <c r="WPJ3" i="7"/>
  <c r="WPR3" i="7"/>
  <c r="WPZ3" i="7"/>
  <c r="WQH3" i="7"/>
  <c r="WQP3" i="7"/>
  <c r="WQX3" i="7"/>
  <c r="WRF3" i="7"/>
  <c r="WRN3" i="7"/>
  <c r="WRV3" i="7"/>
  <c r="WSD3" i="7"/>
  <c r="WSL3" i="7"/>
  <c r="WST3" i="7"/>
  <c r="WTB3" i="7"/>
  <c r="WTJ3" i="7"/>
  <c r="WTR3" i="7"/>
  <c r="WTZ3" i="7"/>
  <c r="WUH3" i="7"/>
  <c r="WUP3" i="7"/>
  <c r="WUX3" i="7"/>
  <c r="WVF3" i="7"/>
  <c r="WVN3" i="7"/>
  <c r="WVV3" i="7"/>
  <c r="WWD3" i="7"/>
  <c r="WWL3" i="7"/>
  <c r="WWT3" i="7"/>
  <c r="WXB3" i="7"/>
  <c r="WXJ3" i="7"/>
  <c r="WXR3" i="7"/>
  <c r="WXZ3" i="7"/>
  <c r="WYH3" i="7"/>
  <c r="WYP3" i="7"/>
  <c r="WYX3" i="7"/>
  <c r="WZF3" i="7"/>
  <c r="WZN3" i="7"/>
  <c r="WZV3" i="7"/>
  <c r="XAD3" i="7"/>
  <c r="XAL3" i="7"/>
  <c r="XAT3" i="7"/>
  <c r="XBB3" i="7"/>
  <c r="XBJ3" i="7"/>
  <c r="XBR3" i="7"/>
  <c r="XBZ3" i="7"/>
  <c r="XCH3" i="7"/>
  <c r="XCP3" i="7"/>
  <c r="XCX3" i="7"/>
  <c r="XDF3" i="7"/>
  <c r="XDN3" i="7"/>
  <c r="XDV3" i="7"/>
  <c r="XED3" i="7"/>
  <c r="XEL3" i="7"/>
  <c r="XET3" i="7"/>
  <c r="XFB3" i="7"/>
  <c r="S3" i="7"/>
  <c r="XCJ3" i="7"/>
  <c r="XDX3" i="7"/>
  <c r="U3" i="7"/>
  <c r="KMC3" i="7"/>
  <c r="LFU3" i="7"/>
  <c r="LNE3" i="7"/>
  <c r="LXA3" i="7"/>
  <c r="MBY3" i="7"/>
  <c r="MJI3" i="7"/>
  <c r="MVQ3" i="7"/>
  <c r="NDA3" i="7"/>
  <c r="NMW3" i="7"/>
  <c r="NRJ3" i="7"/>
  <c r="NYT3" i="7"/>
  <c r="ODR3" i="7"/>
  <c r="OHJ3" i="7"/>
  <c r="KJA3" i="7"/>
  <c r="KLM3" i="7"/>
  <c r="KNY3" i="7"/>
  <c r="KQK3" i="7"/>
  <c r="KSW3" i="7"/>
  <c r="KVI3" i="7"/>
  <c r="KXU3" i="7"/>
  <c r="LAG3" i="7"/>
  <c r="LCS3" i="7"/>
  <c r="LFE3" i="7"/>
  <c r="LHQ3" i="7"/>
  <c r="LKC3" i="7"/>
  <c r="LMO3" i="7"/>
  <c r="LPA3" i="7"/>
  <c r="LRM3" i="7"/>
  <c r="LTY3" i="7"/>
  <c r="LWK3" i="7"/>
  <c r="LYW3" i="7"/>
  <c r="MBI3" i="7"/>
  <c r="MDU3" i="7"/>
  <c r="MGG3" i="7"/>
  <c r="MIS3" i="7"/>
  <c r="MLE3" i="7"/>
  <c r="MNQ3" i="7"/>
  <c r="MQC3" i="7"/>
  <c r="MSO3" i="7"/>
  <c r="MVA3" i="7"/>
  <c r="MXM3" i="7"/>
  <c r="MZY3" i="7"/>
  <c r="NCK3" i="7"/>
  <c r="NEW3" i="7"/>
  <c r="NHI3" i="7"/>
  <c r="NJU3" i="7"/>
  <c r="NMG3" i="7"/>
  <c r="NOP3" i="7"/>
  <c r="NPV3" i="7"/>
  <c r="NRB3" i="7"/>
  <c r="NSH3" i="7"/>
  <c r="NTN3" i="7"/>
  <c r="NUT3" i="7"/>
  <c r="NVZ3" i="7"/>
  <c r="NXF3" i="7"/>
  <c r="NYL3" i="7"/>
  <c r="NZR3" i="7"/>
  <c r="OAX3" i="7"/>
  <c r="OCD3" i="7"/>
  <c r="ODJ3" i="7"/>
  <c r="OEP3" i="7"/>
  <c r="OFV3" i="7"/>
  <c r="OHB3" i="7"/>
  <c r="OIH3" i="7"/>
  <c r="OJN3" i="7"/>
  <c r="OKT3" i="7"/>
  <c r="OLZ3" i="7"/>
  <c r="ONF3" i="7"/>
  <c r="OOL3" i="7"/>
  <c r="OPR3" i="7"/>
  <c r="OQX3" i="7"/>
  <c r="OSD3" i="7"/>
  <c r="OTJ3" i="7"/>
  <c r="OUP3" i="7"/>
  <c r="OVV3" i="7"/>
  <c r="OXB3" i="7"/>
  <c r="OYH3" i="7"/>
  <c r="OZN3" i="7"/>
  <c r="PAT3" i="7"/>
  <c r="PBZ3" i="7"/>
  <c r="PDF3" i="7"/>
  <c r="PEL3" i="7"/>
  <c r="PFR3" i="7"/>
  <c r="PGX3" i="7"/>
  <c r="PID3" i="7"/>
  <c r="PJJ3" i="7"/>
  <c r="PKP3" i="7"/>
  <c r="PLV3" i="7"/>
  <c r="PNB3" i="7"/>
  <c r="POH3" i="7"/>
  <c r="PPN3" i="7"/>
  <c r="PQT3" i="7"/>
  <c r="PRZ3" i="7"/>
  <c r="PTF3" i="7"/>
  <c r="PUL3" i="7"/>
  <c r="PVR3" i="7"/>
  <c r="PWX3" i="7"/>
  <c r="PYD3" i="7"/>
  <c r="PZJ3" i="7"/>
  <c r="QAP3" i="7"/>
  <c r="QBV3" i="7"/>
  <c r="QDB3" i="7"/>
  <c r="QEH3" i="7"/>
  <c r="QFN3" i="7"/>
  <c r="QGT3" i="7"/>
  <c r="QHZ3" i="7"/>
  <c r="QJF3" i="7"/>
  <c r="QKL3" i="7"/>
  <c r="QLR3" i="7"/>
  <c r="QMS3" i="7"/>
  <c r="QNP3" i="7"/>
  <c r="QOL3" i="7"/>
  <c r="QOU3" i="7"/>
  <c r="QPC3" i="7"/>
  <c r="QPK3" i="7"/>
  <c r="QPS3" i="7"/>
  <c r="QQA3" i="7"/>
  <c r="QQI3" i="7"/>
  <c r="QQQ3" i="7"/>
  <c r="QQY3" i="7"/>
  <c r="QRG3" i="7"/>
  <c r="QRO3" i="7"/>
  <c r="QRW3" i="7"/>
  <c r="QSE3" i="7"/>
  <c r="QSM3" i="7"/>
  <c r="QSU3" i="7"/>
  <c r="QTC3" i="7"/>
  <c r="QTK3" i="7"/>
  <c r="QTS3" i="7"/>
  <c r="QUA3" i="7"/>
  <c r="QUI3" i="7"/>
  <c r="QUQ3" i="7"/>
  <c r="QUY3" i="7"/>
  <c r="QVG3" i="7"/>
  <c r="QVO3" i="7"/>
  <c r="QVW3" i="7"/>
  <c r="QWE3" i="7"/>
  <c r="QWM3" i="7"/>
  <c r="QWU3" i="7"/>
  <c r="QXC3" i="7"/>
  <c r="QXK3" i="7"/>
  <c r="QXS3" i="7"/>
  <c r="QYA3" i="7"/>
  <c r="QYI3" i="7"/>
  <c r="QYQ3" i="7"/>
  <c r="QYY3" i="7"/>
  <c r="QZG3" i="7"/>
  <c r="QZO3" i="7"/>
  <c r="QZW3" i="7"/>
  <c r="RAE3" i="7"/>
  <c r="RAM3" i="7"/>
  <c r="RAU3" i="7"/>
  <c r="RBC3" i="7"/>
  <c r="RBK3" i="7"/>
  <c r="RBS3" i="7"/>
  <c r="RCA3" i="7"/>
  <c r="RCI3" i="7"/>
  <c r="RCQ3" i="7"/>
  <c r="RCY3" i="7"/>
  <c r="RDG3" i="7"/>
  <c r="RDO3" i="7"/>
  <c r="RDW3" i="7"/>
  <c r="REE3" i="7"/>
  <c r="REM3" i="7"/>
  <c r="REU3" i="7"/>
  <c r="RFC3" i="7"/>
  <c r="RFK3" i="7"/>
  <c r="RFS3" i="7"/>
  <c r="RGA3" i="7"/>
  <c r="RGI3" i="7"/>
  <c r="RGQ3" i="7"/>
  <c r="RGY3" i="7"/>
  <c r="RHG3" i="7"/>
  <c r="RHO3" i="7"/>
  <c r="RHW3" i="7"/>
  <c r="RIE3" i="7"/>
  <c r="RIM3" i="7"/>
  <c r="RIU3" i="7"/>
  <c r="RJC3" i="7"/>
  <c r="RJK3" i="7"/>
  <c r="RJS3" i="7"/>
  <c r="RKA3" i="7"/>
  <c r="RKI3" i="7"/>
  <c r="RKQ3" i="7"/>
  <c r="RKY3" i="7"/>
  <c r="RLG3" i="7"/>
  <c r="RLO3" i="7"/>
  <c r="RLW3" i="7"/>
  <c r="RME3" i="7"/>
  <c r="RMM3" i="7"/>
  <c r="RMU3" i="7"/>
  <c r="RNC3" i="7"/>
  <c r="RNK3" i="7"/>
  <c r="RNS3" i="7"/>
  <c r="ROA3" i="7"/>
  <c r="ROI3" i="7"/>
  <c r="ROQ3" i="7"/>
  <c r="ROY3" i="7"/>
  <c r="RPG3" i="7"/>
  <c r="RPO3" i="7"/>
  <c r="RPW3" i="7"/>
  <c r="RQE3" i="7"/>
  <c r="RQM3" i="7"/>
  <c r="RQU3" i="7"/>
  <c r="RRC3" i="7"/>
  <c r="RRK3" i="7"/>
  <c r="RRS3" i="7"/>
  <c r="RSA3" i="7"/>
  <c r="RSI3" i="7"/>
  <c r="RSQ3" i="7"/>
  <c r="RSY3" i="7"/>
  <c r="RTG3" i="7"/>
  <c r="RTO3" i="7"/>
  <c r="RTW3" i="7"/>
  <c r="RUE3" i="7"/>
  <c r="RUM3" i="7"/>
  <c r="RUU3" i="7"/>
  <c r="RVC3" i="7"/>
  <c r="RVK3" i="7"/>
  <c r="RVS3" i="7"/>
  <c r="RWA3" i="7"/>
  <c r="RWI3" i="7"/>
  <c r="RWQ3" i="7"/>
  <c r="RWY3" i="7"/>
  <c r="RXG3" i="7"/>
  <c r="RXO3" i="7"/>
  <c r="RXW3" i="7"/>
  <c r="RYE3" i="7"/>
  <c r="RYM3" i="7"/>
  <c r="RYU3" i="7"/>
  <c r="RZC3" i="7"/>
  <c r="RZK3" i="7"/>
  <c r="RZS3" i="7"/>
  <c r="SAA3" i="7"/>
  <c r="SAI3" i="7"/>
  <c r="SAQ3" i="7"/>
  <c r="SAY3" i="7"/>
  <c r="SBG3" i="7"/>
  <c r="SBO3" i="7"/>
  <c r="SBW3" i="7"/>
  <c r="SCE3" i="7"/>
  <c r="SCM3" i="7"/>
  <c r="SCU3" i="7"/>
  <c r="SDC3" i="7"/>
  <c r="SDK3" i="7"/>
  <c r="SDS3" i="7"/>
  <c r="SEA3" i="7"/>
  <c r="SEI3" i="7"/>
  <c r="SEQ3" i="7"/>
  <c r="SEY3" i="7"/>
  <c r="SFG3" i="7"/>
  <c r="SFO3" i="7"/>
  <c r="SFW3" i="7"/>
  <c r="SGE3" i="7"/>
  <c r="SGM3" i="7"/>
  <c r="SGU3" i="7"/>
  <c r="SHC3" i="7"/>
  <c r="SHK3" i="7"/>
  <c r="SHS3" i="7"/>
  <c r="SIA3" i="7"/>
  <c r="SII3" i="7"/>
  <c r="SIQ3" i="7"/>
  <c r="SIY3" i="7"/>
  <c r="SJG3" i="7"/>
  <c r="SJO3" i="7"/>
  <c r="SJW3" i="7"/>
  <c r="SKE3" i="7"/>
  <c r="SKM3" i="7"/>
  <c r="SKU3" i="7"/>
  <c r="SLC3" i="7"/>
  <c r="SLK3" i="7"/>
  <c r="SLS3" i="7"/>
  <c r="SMA3" i="7"/>
  <c r="SMI3" i="7"/>
  <c r="SMQ3" i="7"/>
  <c r="SMY3" i="7"/>
  <c r="SNG3" i="7"/>
  <c r="SNO3" i="7"/>
  <c r="SNW3" i="7"/>
  <c r="SOE3" i="7"/>
  <c r="SOM3" i="7"/>
  <c r="SOU3" i="7"/>
  <c r="SPC3" i="7"/>
  <c r="SPK3" i="7"/>
  <c r="SPS3" i="7"/>
  <c r="SQA3" i="7"/>
  <c r="SQI3" i="7"/>
  <c r="SQQ3" i="7"/>
  <c r="SQY3" i="7"/>
  <c r="SRG3" i="7"/>
  <c r="SRO3" i="7"/>
  <c r="SRW3" i="7"/>
  <c r="SSE3" i="7"/>
  <c r="SSM3" i="7"/>
  <c r="SSU3" i="7"/>
  <c r="STC3" i="7"/>
  <c r="STK3" i="7"/>
  <c r="STS3" i="7"/>
  <c r="SUA3" i="7"/>
  <c r="SUI3" i="7"/>
  <c r="SUQ3" i="7"/>
  <c r="SUY3" i="7"/>
  <c r="SVG3" i="7"/>
  <c r="SVO3" i="7"/>
  <c r="SVW3" i="7"/>
  <c r="SWE3" i="7"/>
  <c r="SWM3" i="7"/>
  <c r="SWU3" i="7"/>
  <c r="SXC3" i="7"/>
  <c r="SXK3" i="7"/>
  <c r="SXS3" i="7"/>
  <c r="SYA3" i="7"/>
  <c r="SYI3" i="7"/>
  <c r="SYQ3" i="7"/>
  <c r="SYY3" i="7"/>
  <c r="SZG3" i="7"/>
  <c r="SZO3" i="7"/>
  <c r="SZW3" i="7"/>
  <c r="TAE3" i="7"/>
  <c r="TAM3" i="7"/>
  <c r="TAU3" i="7"/>
  <c r="TBC3" i="7"/>
  <c r="TBK3" i="7"/>
  <c r="TBS3" i="7"/>
  <c r="TCA3" i="7"/>
  <c r="TCI3" i="7"/>
  <c r="TCQ3" i="7"/>
  <c r="TCY3" i="7"/>
  <c r="TDG3" i="7"/>
  <c r="TDO3" i="7"/>
  <c r="TDW3" i="7"/>
  <c r="TEE3" i="7"/>
  <c r="TEM3" i="7"/>
  <c r="TEU3" i="7"/>
  <c r="TFC3" i="7"/>
  <c r="TFK3" i="7"/>
  <c r="TFS3" i="7"/>
  <c r="TGA3" i="7"/>
  <c r="TGI3" i="7"/>
  <c r="TGQ3" i="7"/>
  <c r="TGY3" i="7"/>
  <c r="THG3" i="7"/>
  <c r="THO3" i="7"/>
  <c r="THW3" i="7"/>
  <c r="TIE3" i="7"/>
  <c r="TIM3" i="7"/>
  <c r="TIU3" i="7"/>
  <c r="TJC3" i="7"/>
  <c r="TJK3" i="7"/>
  <c r="TJS3" i="7"/>
  <c r="TKA3" i="7"/>
  <c r="TKI3" i="7"/>
  <c r="TKQ3" i="7"/>
  <c r="TKY3" i="7"/>
  <c r="TLG3" i="7"/>
  <c r="TLO3" i="7"/>
  <c r="TLW3" i="7"/>
  <c r="TME3" i="7"/>
  <c r="TMM3" i="7"/>
  <c r="TMU3" i="7"/>
  <c r="TNC3" i="7"/>
  <c r="TNK3" i="7"/>
  <c r="TNS3" i="7"/>
  <c r="TOA3" i="7"/>
  <c r="TOI3" i="7"/>
  <c r="TOQ3" i="7"/>
  <c r="TOY3" i="7"/>
  <c r="TPG3" i="7"/>
  <c r="TPO3" i="7"/>
  <c r="TPW3" i="7"/>
  <c r="TQE3" i="7"/>
  <c r="TQM3" i="7"/>
  <c r="TQU3" i="7"/>
  <c r="TRC3" i="7"/>
  <c r="TRK3" i="7"/>
  <c r="TRS3" i="7"/>
  <c r="TSA3" i="7"/>
  <c r="TSI3" i="7"/>
  <c r="TSQ3" i="7"/>
  <c r="TSY3" i="7"/>
  <c r="TTG3" i="7"/>
  <c r="TTO3" i="7"/>
  <c r="TTW3" i="7"/>
  <c r="TUE3" i="7"/>
  <c r="TUM3" i="7"/>
  <c r="TUU3" i="7"/>
  <c r="TVC3" i="7"/>
  <c r="TVK3" i="7"/>
  <c r="TVS3" i="7"/>
  <c r="TWA3" i="7"/>
  <c r="TWI3" i="7"/>
  <c r="TWQ3" i="7"/>
  <c r="TWY3" i="7"/>
  <c r="TXG3" i="7"/>
  <c r="TXO3" i="7"/>
  <c r="TXW3" i="7"/>
  <c r="TYE3" i="7"/>
  <c r="TYM3" i="7"/>
  <c r="TYU3" i="7"/>
  <c r="TZC3" i="7"/>
  <c r="TZK3" i="7"/>
  <c r="TZS3" i="7"/>
  <c r="UAA3" i="7"/>
  <c r="UAI3" i="7"/>
  <c r="UAQ3" i="7"/>
  <c r="UAY3" i="7"/>
  <c r="UBG3" i="7"/>
  <c r="UBO3" i="7"/>
  <c r="UBW3" i="7"/>
  <c r="UCE3" i="7"/>
  <c r="UCM3" i="7"/>
  <c r="UCU3" i="7"/>
  <c r="UDC3" i="7"/>
  <c r="UDK3" i="7"/>
  <c r="UDS3" i="7"/>
  <c r="UEA3" i="7"/>
  <c r="UEI3" i="7"/>
  <c r="UEQ3" i="7"/>
  <c r="UEY3" i="7"/>
  <c r="UFG3" i="7"/>
  <c r="UFO3" i="7"/>
  <c r="UFW3" i="7"/>
  <c r="UGE3" i="7"/>
  <c r="UGM3" i="7"/>
  <c r="UGU3" i="7"/>
  <c r="UHC3" i="7"/>
  <c r="UHK3" i="7"/>
  <c r="UHS3" i="7"/>
  <c r="UIA3" i="7"/>
  <c r="UII3" i="7"/>
  <c r="UIQ3" i="7"/>
  <c r="UIY3" i="7"/>
  <c r="UJG3" i="7"/>
  <c r="UJO3" i="7"/>
  <c r="UJW3" i="7"/>
  <c r="UKE3" i="7"/>
  <c r="UKM3" i="7"/>
  <c r="UKU3" i="7"/>
  <c r="ULC3" i="7"/>
  <c r="ULK3" i="7"/>
  <c r="ULS3" i="7"/>
  <c r="UMA3" i="7"/>
  <c r="UMI3" i="7"/>
  <c r="UMQ3" i="7"/>
  <c r="UMY3" i="7"/>
  <c r="UNG3" i="7"/>
  <c r="UNO3" i="7"/>
  <c r="UNW3" i="7"/>
  <c r="UOE3" i="7"/>
  <c r="UOM3" i="7"/>
  <c r="UOU3" i="7"/>
  <c r="UPC3" i="7"/>
  <c r="UPK3" i="7"/>
  <c r="UPS3" i="7"/>
  <c r="UQA3" i="7"/>
  <c r="UQI3" i="7"/>
  <c r="UQQ3" i="7"/>
  <c r="UQY3" i="7"/>
  <c r="URG3" i="7"/>
  <c r="URO3" i="7"/>
  <c r="URW3" i="7"/>
  <c r="USE3" i="7"/>
  <c r="USM3" i="7"/>
  <c r="USU3" i="7"/>
  <c r="UTC3" i="7"/>
  <c r="UTK3" i="7"/>
  <c r="UTS3" i="7"/>
  <c r="UUA3" i="7"/>
  <c r="UUI3" i="7"/>
  <c r="UUQ3" i="7"/>
  <c r="UUY3" i="7"/>
  <c r="UVG3" i="7"/>
  <c r="UVO3" i="7"/>
  <c r="UVW3" i="7"/>
  <c r="UWE3" i="7"/>
  <c r="UWM3" i="7"/>
  <c r="UWU3" i="7"/>
  <c r="UXC3" i="7"/>
  <c r="UXK3" i="7"/>
  <c r="UXS3" i="7"/>
  <c r="UYA3" i="7"/>
  <c r="UYI3" i="7"/>
  <c r="UYQ3" i="7"/>
  <c r="UYY3" i="7"/>
  <c r="UZG3" i="7"/>
  <c r="UZO3" i="7"/>
  <c r="UZW3" i="7"/>
  <c r="VAE3" i="7"/>
  <c r="VAM3" i="7"/>
  <c r="VAU3" i="7"/>
  <c r="VBC3" i="7"/>
  <c r="VBK3" i="7"/>
  <c r="VBS3" i="7"/>
  <c r="VCA3" i="7"/>
  <c r="VCI3" i="7"/>
  <c r="VCQ3" i="7"/>
  <c r="VCY3" i="7"/>
  <c r="VDG3" i="7"/>
  <c r="VDO3" i="7"/>
  <c r="VDW3" i="7"/>
  <c r="VEE3" i="7"/>
  <c r="VEM3" i="7"/>
  <c r="VEU3" i="7"/>
  <c r="VFC3" i="7"/>
  <c r="VFK3" i="7"/>
  <c r="VFS3" i="7"/>
  <c r="VGA3" i="7"/>
  <c r="VGI3" i="7"/>
  <c r="VGQ3" i="7"/>
  <c r="VGY3" i="7"/>
  <c r="VHG3" i="7"/>
  <c r="VHO3" i="7"/>
  <c r="VHW3" i="7"/>
  <c r="VIE3" i="7"/>
  <c r="VIM3" i="7"/>
  <c r="VIU3" i="7"/>
  <c r="VJC3" i="7"/>
  <c r="VJK3" i="7"/>
  <c r="VJS3" i="7"/>
  <c r="VKA3" i="7"/>
  <c r="VKI3" i="7"/>
  <c r="VKQ3" i="7"/>
  <c r="VKY3" i="7"/>
  <c r="VLG3" i="7"/>
  <c r="VLO3" i="7"/>
  <c r="VLW3" i="7"/>
  <c r="VME3" i="7"/>
  <c r="VMM3" i="7"/>
  <c r="VMU3" i="7"/>
  <c r="VNC3" i="7"/>
  <c r="VNK3" i="7"/>
  <c r="VNS3" i="7"/>
  <c r="VOA3" i="7"/>
  <c r="VOI3" i="7"/>
  <c r="VOQ3" i="7"/>
  <c r="VOY3" i="7"/>
  <c r="VPG3" i="7"/>
  <c r="VPO3" i="7"/>
  <c r="VPW3" i="7"/>
  <c r="VQE3" i="7"/>
  <c r="VQM3" i="7"/>
  <c r="VQU3" i="7"/>
  <c r="VRC3" i="7"/>
  <c r="VRK3" i="7"/>
  <c r="VRS3" i="7"/>
  <c r="VSA3" i="7"/>
  <c r="VSI3" i="7"/>
  <c r="VSQ3" i="7"/>
  <c r="VSY3" i="7"/>
  <c r="VTG3" i="7"/>
  <c r="VTO3" i="7"/>
  <c r="VTW3" i="7"/>
  <c r="VUE3" i="7"/>
  <c r="VUM3" i="7"/>
  <c r="VUU3" i="7"/>
  <c r="VVC3" i="7"/>
  <c r="VVK3" i="7"/>
  <c r="VVS3" i="7"/>
  <c r="VWA3" i="7"/>
  <c r="VWI3" i="7"/>
  <c r="VWQ3" i="7"/>
  <c r="VWY3" i="7"/>
  <c r="VXG3" i="7"/>
  <c r="VXO3" i="7"/>
  <c r="VXW3" i="7"/>
  <c r="VYE3" i="7"/>
  <c r="VYM3" i="7"/>
  <c r="VYU3" i="7"/>
  <c r="VZC3" i="7"/>
  <c r="VZK3" i="7"/>
  <c r="VZS3" i="7"/>
  <c r="WAA3" i="7"/>
  <c r="WAI3" i="7"/>
  <c r="WAQ3" i="7"/>
  <c r="WAY3" i="7"/>
  <c r="WBG3" i="7"/>
  <c r="WBO3" i="7"/>
  <c r="WBW3" i="7"/>
  <c r="WCE3" i="7"/>
  <c r="WCM3" i="7"/>
  <c r="WCU3" i="7"/>
  <c r="WDC3" i="7"/>
  <c r="WDK3" i="7"/>
  <c r="WDS3" i="7"/>
  <c r="WEA3" i="7"/>
  <c r="WEI3" i="7"/>
  <c r="WEQ3" i="7"/>
  <c r="WEY3" i="7"/>
  <c r="WFG3" i="7"/>
  <c r="WFO3" i="7"/>
  <c r="WFW3" i="7"/>
  <c r="WGE3" i="7"/>
  <c r="WGM3" i="7"/>
  <c r="WGU3" i="7"/>
  <c r="WHC3" i="7"/>
  <c r="WHK3" i="7"/>
  <c r="WHS3" i="7"/>
  <c r="WIA3" i="7"/>
  <c r="WII3" i="7"/>
  <c r="WIQ3" i="7"/>
  <c r="WIY3" i="7"/>
  <c r="WJG3" i="7"/>
  <c r="WJO3" i="7"/>
  <c r="WJW3" i="7"/>
  <c r="WKE3" i="7"/>
  <c r="WKM3" i="7"/>
  <c r="WKU3" i="7"/>
  <c r="WLC3" i="7"/>
  <c r="WLK3" i="7"/>
  <c r="WLS3" i="7"/>
  <c r="WMA3" i="7"/>
  <c r="WMI3" i="7"/>
  <c r="WMQ3" i="7"/>
  <c r="WMY3" i="7"/>
  <c r="WNG3" i="7"/>
  <c r="WNO3" i="7"/>
  <c r="WNW3" i="7"/>
  <c r="WOE3" i="7"/>
  <c r="WOM3" i="7"/>
  <c r="WOU3" i="7"/>
  <c r="WPC3" i="7"/>
  <c r="WPK3" i="7"/>
  <c r="WPS3" i="7"/>
  <c r="WQA3" i="7"/>
  <c r="WQI3" i="7"/>
  <c r="WQQ3" i="7"/>
  <c r="WQY3" i="7"/>
  <c r="WRG3" i="7"/>
  <c r="WRO3" i="7"/>
  <c r="WRW3" i="7"/>
  <c r="WSE3" i="7"/>
  <c r="WSM3" i="7"/>
  <c r="WSU3" i="7"/>
  <c r="WTC3" i="7"/>
  <c r="WTK3" i="7"/>
  <c r="WTS3" i="7"/>
  <c r="WUA3" i="7"/>
  <c r="WUI3" i="7"/>
  <c r="WUQ3" i="7"/>
  <c r="WUY3" i="7"/>
  <c r="WVG3" i="7"/>
  <c r="WVO3" i="7"/>
  <c r="WVW3" i="7"/>
  <c r="WWE3" i="7"/>
  <c r="WWM3" i="7"/>
  <c r="WWU3" i="7"/>
  <c r="WXC3" i="7"/>
  <c r="WXK3" i="7"/>
  <c r="WXS3" i="7"/>
  <c r="WYA3" i="7"/>
  <c r="WYI3" i="7"/>
  <c r="WYQ3" i="7"/>
  <c r="WYY3" i="7"/>
  <c r="WZG3" i="7"/>
  <c r="WZO3" i="7"/>
  <c r="WZW3" i="7"/>
  <c r="XAE3" i="7"/>
  <c r="XAM3" i="7"/>
  <c r="XAU3" i="7"/>
  <c r="XBC3" i="7"/>
  <c r="XBK3" i="7"/>
  <c r="XBS3" i="7"/>
  <c r="XCA3" i="7"/>
  <c r="XCI3" i="7"/>
  <c r="XCQ3" i="7"/>
  <c r="XCY3" i="7"/>
  <c r="XDG3" i="7"/>
  <c r="XDO3" i="7"/>
  <c r="XDW3" i="7"/>
  <c r="XEE3" i="7"/>
  <c r="XEM3" i="7"/>
  <c r="XEU3" i="7"/>
  <c r="XFC3" i="7"/>
  <c r="T3" i="7"/>
  <c r="WYJ3" i="7"/>
  <c r="WZP3" i="7"/>
  <c r="XAF3" i="7"/>
  <c r="XAV3" i="7"/>
  <c r="XBL3" i="7"/>
  <c r="XCB3" i="7"/>
  <c r="XCZ3" i="7"/>
  <c r="XDP3" i="7"/>
  <c r="XEN3" i="7"/>
  <c r="XEV3" i="7"/>
  <c r="KJQ3" i="7"/>
  <c r="KTM3" i="7"/>
  <c r="KVY3" i="7"/>
  <c r="KYK3" i="7"/>
  <c r="LDI3" i="7"/>
  <c r="LKS3" i="7"/>
  <c r="LUO3" i="7"/>
  <c r="MEK3" i="7"/>
  <c r="MLU3" i="7"/>
  <c r="MTE3" i="7"/>
  <c r="NAO3" i="7"/>
  <c r="NHY3" i="7"/>
  <c r="NQD3" i="7"/>
  <c r="NTV3" i="7"/>
  <c r="NXN3" i="7"/>
  <c r="OCL3" i="7"/>
  <c r="OIP3" i="7"/>
  <c r="OLB3" i="7"/>
  <c r="KJI3" i="7"/>
  <c r="KLU3" i="7"/>
  <c r="KOG3" i="7"/>
  <c r="KQS3" i="7"/>
  <c r="KTE3" i="7"/>
  <c r="KVQ3" i="7"/>
  <c r="KYC3" i="7"/>
  <c r="LAO3" i="7"/>
  <c r="LDA3" i="7"/>
  <c r="LFM3" i="7"/>
  <c r="LHY3" i="7"/>
  <c r="LKK3" i="7"/>
  <c r="LMW3" i="7"/>
  <c r="LPI3" i="7"/>
  <c r="LRU3" i="7"/>
  <c r="LUG3" i="7"/>
  <c r="LWS3" i="7"/>
  <c r="LZE3" i="7"/>
  <c r="MBQ3" i="7"/>
  <c r="MEC3" i="7"/>
  <c r="MGO3" i="7"/>
  <c r="MJA3" i="7"/>
  <c r="MLM3" i="7"/>
  <c r="MNY3" i="7"/>
  <c r="MQK3" i="7"/>
  <c r="MSW3" i="7"/>
  <c r="MVI3" i="7"/>
  <c r="MXU3" i="7"/>
  <c r="NAG3" i="7"/>
  <c r="NCS3" i="7"/>
  <c r="NFE3" i="7"/>
  <c r="NHQ3" i="7"/>
  <c r="NKC3" i="7"/>
  <c r="NMO3" i="7"/>
  <c r="NOS3" i="7"/>
  <c r="NPY3" i="7"/>
  <c r="NRE3" i="7"/>
  <c r="NSK3" i="7"/>
  <c r="NTQ3" i="7"/>
  <c r="NUW3" i="7"/>
  <c r="NWC3" i="7"/>
  <c r="NXI3" i="7"/>
  <c r="NYO3" i="7"/>
  <c r="NZU3" i="7"/>
  <c r="OBA3" i="7"/>
  <c r="OCG3" i="7"/>
  <c r="ODM3" i="7"/>
  <c r="OES3" i="7"/>
  <c r="OFY3" i="7"/>
  <c r="OHE3" i="7"/>
  <c r="OIK3" i="7"/>
  <c r="OJQ3" i="7"/>
  <c r="OKW3" i="7"/>
  <c r="OMC3" i="7"/>
  <c r="ONI3" i="7"/>
  <c r="OOO3" i="7"/>
  <c r="OPU3" i="7"/>
  <c r="ORA3" i="7"/>
  <c r="OSG3" i="7"/>
  <c r="OTM3" i="7"/>
  <c r="OUS3" i="7"/>
  <c r="OVY3" i="7"/>
  <c r="OXE3" i="7"/>
  <c r="OYK3" i="7"/>
  <c r="OZQ3" i="7"/>
  <c r="PAW3" i="7"/>
  <c r="PCC3" i="7"/>
  <c r="PDI3" i="7"/>
  <c r="PEO3" i="7"/>
  <c r="PFU3" i="7"/>
  <c r="PHA3" i="7"/>
  <c r="PIG3" i="7"/>
  <c r="PJM3" i="7"/>
  <c r="PKS3" i="7"/>
  <c r="PLY3" i="7"/>
  <c r="PNE3" i="7"/>
  <c r="POK3" i="7"/>
  <c r="PPQ3" i="7"/>
  <c r="PQW3" i="7"/>
  <c r="PSC3" i="7"/>
  <c r="PTI3" i="7"/>
  <c r="PUO3" i="7"/>
  <c r="PVU3" i="7"/>
  <c r="PXA3" i="7"/>
  <c r="PYG3" i="7"/>
  <c r="PZM3" i="7"/>
  <c r="QAS3" i="7"/>
  <c r="QBY3" i="7"/>
  <c r="QDE3" i="7"/>
  <c r="QEK3" i="7"/>
  <c r="QFQ3" i="7"/>
  <c r="QGW3" i="7"/>
  <c r="QIC3" i="7"/>
  <c r="QJI3" i="7"/>
  <c r="QKO3" i="7"/>
  <c r="QLU3" i="7"/>
  <c r="QMX3" i="7"/>
  <c r="QNQ3" i="7"/>
  <c r="QON3" i="7"/>
  <c r="QOV3" i="7"/>
  <c r="QPD3" i="7"/>
  <c r="QPL3" i="7"/>
  <c r="QPT3" i="7"/>
  <c r="QQB3" i="7"/>
  <c r="QQJ3" i="7"/>
  <c r="QQR3" i="7"/>
  <c r="QQZ3" i="7"/>
  <c r="QRH3" i="7"/>
  <c r="QRP3" i="7"/>
  <c r="QRX3" i="7"/>
  <c r="QSF3" i="7"/>
  <c r="QSN3" i="7"/>
  <c r="QSV3" i="7"/>
  <c r="QTD3" i="7"/>
  <c r="QTL3" i="7"/>
  <c r="QTT3" i="7"/>
  <c r="QUB3" i="7"/>
  <c r="QUJ3" i="7"/>
  <c r="QUR3" i="7"/>
  <c r="QUZ3" i="7"/>
  <c r="QVH3" i="7"/>
  <c r="QVP3" i="7"/>
  <c r="QVX3" i="7"/>
  <c r="QWF3" i="7"/>
  <c r="QWN3" i="7"/>
  <c r="QWV3" i="7"/>
  <c r="QXD3" i="7"/>
  <c r="QXL3" i="7"/>
  <c r="QXT3" i="7"/>
  <c r="QYB3" i="7"/>
  <c r="QYJ3" i="7"/>
  <c r="QYR3" i="7"/>
  <c r="QYZ3" i="7"/>
  <c r="QZH3" i="7"/>
  <c r="QZP3" i="7"/>
  <c r="QZX3" i="7"/>
  <c r="RAF3" i="7"/>
  <c r="RAN3" i="7"/>
  <c r="RAV3" i="7"/>
  <c r="RBD3" i="7"/>
  <c r="RBL3" i="7"/>
  <c r="RBT3" i="7"/>
  <c r="RCB3" i="7"/>
  <c r="RCJ3" i="7"/>
  <c r="RCR3" i="7"/>
  <c r="RCZ3" i="7"/>
  <c r="RDH3" i="7"/>
  <c r="RDP3" i="7"/>
  <c r="RDX3" i="7"/>
  <c r="REF3" i="7"/>
  <c r="REN3" i="7"/>
  <c r="REV3" i="7"/>
  <c r="RFD3" i="7"/>
  <c r="RFL3" i="7"/>
  <c r="RFT3" i="7"/>
  <c r="RGB3" i="7"/>
  <c r="RGJ3" i="7"/>
  <c r="RGR3" i="7"/>
  <c r="RGZ3" i="7"/>
  <c r="RHH3" i="7"/>
  <c r="RHP3" i="7"/>
  <c r="RHX3" i="7"/>
  <c r="RIF3" i="7"/>
  <c r="RIN3" i="7"/>
  <c r="RIV3" i="7"/>
  <c r="RJD3" i="7"/>
  <c r="RJL3" i="7"/>
  <c r="RJT3" i="7"/>
  <c r="RKB3" i="7"/>
  <c r="RKJ3" i="7"/>
  <c r="RKR3" i="7"/>
  <c r="RKZ3" i="7"/>
  <c r="RLH3" i="7"/>
  <c r="RLP3" i="7"/>
  <c r="RLX3" i="7"/>
  <c r="RMF3" i="7"/>
  <c r="RMN3" i="7"/>
  <c r="RMV3" i="7"/>
  <c r="RND3" i="7"/>
  <c r="RNL3" i="7"/>
  <c r="RNT3" i="7"/>
  <c r="ROB3" i="7"/>
  <c r="ROJ3" i="7"/>
  <c r="ROR3" i="7"/>
  <c r="ROZ3" i="7"/>
  <c r="RPH3" i="7"/>
  <c r="RPP3" i="7"/>
  <c r="RPX3" i="7"/>
  <c r="RQF3" i="7"/>
  <c r="RQN3" i="7"/>
  <c r="RQV3" i="7"/>
  <c r="RRD3" i="7"/>
  <c r="RRL3" i="7"/>
  <c r="RRT3" i="7"/>
  <c r="RSB3" i="7"/>
  <c r="RSJ3" i="7"/>
  <c r="RSR3" i="7"/>
  <c r="RSZ3" i="7"/>
  <c r="RTH3" i="7"/>
  <c r="RTP3" i="7"/>
  <c r="RTX3" i="7"/>
  <c r="RUF3" i="7"/>
  <c r="RUN3" i="7"/>
  <c r="RUV3" i="7"/>
  <c r="RVD3" i="7"/>
  <c r="RVL3" i="7"/>
  <c r="RVT3" i="7"/>
  <c r="RWB3" i="7"/>
  <c r="RWJ3" i="7"/>
  <c r="RWR3" i="7"/>
  <c r="RWZ3" i="7"/>
  <c r="RXH3" i="7"/>
  <c r="RXP3" i="7"/>
  <c r="RXX3" i="7"/>
  <c r="RYF3" i="7"/>
  <c r="RYN3" i="7"/>
  <c r="RYV3" i="7"/>
  <c r="RZD3" i="7"/>
  <c r="RZL3" i="7"/>
  <c r="RZT3" i="7"/>
  <c r="SAB3" i="7"/>
  <c r="SAJ3" i="7"/>
  <c r="SAR3" i="7"/>
  <c r="SAZ3" i="7"/>
  <c r="SBH3" i="7"/>
  <c r="SBP3" i="7"/>
  <c r="SBX3" i="7"/>
  <c r="SCF3" i="7"/>
  <c r="SCN3" i="7"/>
  <c r="SCV3" i="7"/>
  <c r="SDD3" i="7"/>
  <c r="SDL3" i="7"/>
  <c r="SDT3" i="7"/>
  <c r="SEB3" i="7"/>
  <c r="SEJ3" i="7"/>
  <c r="SER3" i="7"/>
  <c r="SEZ3" i="7"/>
  <c r="SFH3" i="7"/>
  <c r="SFP3" i="7"/>
  <c r="SFX3" i="7"/>
  <c r="SGF3" i="7"/>
  <c r="SGN3" i="7"/>
  <c r="SGV3" i="7"/>
  <c r="SHD3" i="7"/>
  <c r="SHL3" i="7"/>
  <c r="SHT3" i="7"/>
  <c r="SIB3" i="7"/>
  <c r="SIJ3" i="7"/>
  <c r="SIR3" i="7"/>
  <c r="SIZ3" i="7"/>
  <c r="SJH3" i="7"/>
  <c r="SJP3" i="7"/>
  <c r="SJX3" i="7"/>
  <c r="SKF3" i="7"/>
  <c r="SKN3" i="7"/>
  <c r="SKV3" i="7"/>
  <c r="SLD3" i="7"/>
  <c r="SLL3" i="7"/>
  <c r="SLT3" i="7"/>
  <c r="SMB3" i="7"/>
  <c r="SMJ3" i="7"/>
  <c r="SMR3" i="7"/>
  <c r="SMZ3" i="7"/>
  <c r="SNH3" i="7"/>
  <c r="SNP3" i="7"/>
  <c r="SNX3" i="7"/>
  <c r="SOF3" i="7"/>
  <c r="SON3" i="7"/>
  <c r="SOV3" i="7"/>
  <c r="SPD3" i="7"/>
  <c r="SPL3" i="7"/>
  <c r="SPT3" i="7"/>
  <c r="SQB3" i="7"/>
  <c r="SQJ3" i="7"/>
  <c r="SQR3" i="7"/>
  <c r="SQZ3" i="7"/>
  <c r="SRH3" i="7"/>
  <c r="SRP3" i="7"/>
  <c r="SRX3" i="7"/>
  <c r="SSF3" i="7"/>
  <c r="SSN3" i="7"/>
  <c r="SSV3" i="7"/>
  <c r="STD3" i="7"/>
  <c r="STL3" i="7"/>
  <c r="STT3" i="7"/>
  <c r="SUB3" i="7"/>
  <c r="SUJ3" i="7"/>
  <c r="SUR3" i="7"/>
  <c r="SUZ3" i="7"/>
  <c r="SVH3" i="7"/>
  <c r="SVP3" i="7"/>
  <c r="SVX3" i="7"/>
  <c r="SWF3" i="7"/>
  <c r="SWN3" i="7"/>
  <c r="SWV3" i="7"/>
  <c r="SXD3" i="7"/>
  <c r="SXL3" i="7"/>
  <c r="SXT3" i="7"/>
  <c r="SYB3" i="7"/>
  <c r="SYJ3" i="7"/>
  <c r="SYR3" i="7"/>
  <c r="SYZ3" i="7"/>
  <c r="SZH3" i="7"/>
  <c r="SZP3" i="7"/>
  <c r="SZX3" i="7"/>
  <c r="TAF3" i="7"/>
  <c r="TAN3" i="7"/>
  <c r="TAV3" i="7"/>
  <c r="TBD3" i="7"/>
  <c r="TBL3" i="7"/>
  <c r="TBT3" i="7"/>
  <c r="TCB3" i="7"/>
  <c r="TCJ3" i="7"/>
  <c r="TCR3" i="7"/>
  <c r="TCZ3" i="7"/>
  <c r="TDH3" i="7"/>
  <c r="TDP3" i="7"/>
  <c r="TDX3" i="7"/>
  <c r="TEF3" i="7"/>
  <c r="TEN3" i="7"/>
  <c r="TEV3" i="7"/>
  <c r="TFD3" i="7"/>
  <c r="TFL3" i="7"/>
  <c r="TFT3" i="7"/>
  <c r="TGB3" i="7"/>
  <c r="TGJ3" i="7"/>
  <c r="TGR3" i="7"/>
  <c r="TGZ3" i="7"/>
  <c r="THH3" i="7"/>
  <c r="THP3" i="7"/>
  <c r="THX3" i="7"/>
  <c r="TIF3" i="7"/>
  <c r="TIN3" i="7"/>
  <c r="TIV3" i="7"/>
  <c r="TJD3" i="7"/>
  <c r="TJL3" i="7"/>
  <c r="TJT3" i="7"/>
  <c r="TKB3" i="7"/>
  <c r="TKJ3" i="7"/>
  <c r="TKR3" i="7"/>
  <c r="TKZ3" i="7"/>
  <c r="TLH3" i="7"/>
  <c r="TLP3" i="7"/>
  <c r="TLX3" i="7"/>
  <c r="TMF3" i="7"/>
  <c r="TMN3" i="7"/>
  <c r="TMV3" i="7"/>
  <c r="TND3" i="7"/>
  <c r="TNL3" i="7"/>
  <c r="TNT3" i="7"/>
  <c r="TOB3" i="7"/>
  <c r="TOJ3" i="7"/>
  <c r="TOR3" i="7"/>
  <c r="TOZ3" i="7"/>
  <c r="TPH3" i="7"/>
  <c r="TPP3" i="7"/>
  <c r="TPX3" i="7"/>
  <c r="TQF3" i="7"/>
  <c r="TQN3" i="7"/>
  <c r="TQV3" i="7"/>
  <c r="TRD3" i="7"/>
  <c r="TRL3" i="7"/>
  <c r="TRT3" i="7"/>
  <c r="TSB3" i="7"/>
  <c r="TSJ3" i="7"/>
  <c r="TSR3" i="7"/>
  <c r="TSZ3" i="7"/>
  <c r="TTH3" i="7"/>
  <c r="TTP3" i="7"/>
  <c r="TTX3" i="7"/>
  <c r="TUF3" i="7"/>
  <c r="TUN3" i="7"/>
  <c r="TUV3" i="7"/>
  <c r="TVD3" i="7"/>
  <c r="TVL3" i="7"/>
  <c r="TVT3" i="7"/>
  <c r="TWB3" i="7"/>
  <c r="TWJ3" i="7"/>
  <c r="TWR3" i="7"/>
  <c r="TWZ3" i="7"/>
  <c r="TXH3" i="7"/>
  <c r="TXP3" i="7"/>
  <c r="TXX3" i="7"/>
  <c r="TYF3" i="7"/>
  <c r="TYN3" i="7"/>
  <c r="TYV3" i="7"/>
  <c r="TZD3" i="7"/>
  <c r="TZL3" i="7"/>
  <c r="TZT3" i="7"/>
  <c r="UAB3" i="7"/>
  <c r="UAJ3" i="7"/>
  <c r="UAR3" i="7"/>
  <c r="UAZ3" i="7"/>
  <c r="UBH3" i="7"/>
  <c r="UBP3" i="7"/>
  <c r="UBX3" i="7"/>
  <c r="UCF3" i="7"/>
  <c r="UCN3" i="7"/>
  <c r="UCV3" i="7"/>
  <c r="UDD3" i="7"/>
  <c r="UDL3" i="7"/>
  <c r="UDT3" i="7"/>
  <c r="UEB3" i="7"/>
  <c r="UEJ3" i="7"/>
  <c r="UER3" i="7"/>
  <c r="UEZ3" i="7"/>
  <c r="UFH3" i="7"/>
  <c r="UFP3" i="7"/>
  <c r="UFX3" i="7"/>
  <c r="UGF3" i="7"/>
  <c r="UGN3" i="7"/>
  <c r="UGV3" i="7"/>
  <c r="UHD3" i="7"/>
  <c r="UHL3" i="7"/>
  <c r="UHT3" i="7"/>
  <c r="UIB3" i="7"/>
  <c r="UIJ3" i="7"/>
  <c r="UIR3" i="7"/>
  <c r="UIZ3" i="7"/>
  <c r="UJH3" i="7"/>
  <c r="UJP3" i="7"/>
  <c r="UJX3" i="7"/>
  <c r="UKF3" i="7"/>
  <c r="UKN3" i="7"/>
  <c r="UKV3" i="7"/>
  <c r="ULD3" i="7"/>
  <c r="ULL3" i="7"/>
  <c r="ULT3" i="7"/>
  <c r="UMB3" i="7"/>
  <c r="UMJ3" i="7"/>
  <c r="UMR3" i="7"/>
  <c r="UMZ3" i="7"/>
  <c r="UNH3" i="7"/>
  <c r="UNP3" i="7"/>
  <c r="UNX3" i="7"/>
  <c r="UOF3" i="7"/>
  <c r="UON3" i="7"/>
  <c r="UOV3" i="7"/>
  <c r="UPD3" i="7"/>
  <c r="UPL3" i="7"/>
  <c r="UPT3" i="7"/>
  <c r="UQB3" i="7"/>
  <c r="UQJ3" i="7"/>
  <c r="UQR3" i="7"/>
  <c r="UQZ3" i="7"/>
  <c r="URH3" i="7"/>
  <c r="URP3" i="7"/>
  <c r="URX3" i="7"/>
  <c r="USF3" i="7"/>
  <c r="USN3" i="7"/>
  <c r="USV3" i="7"/>
  <c r="UTD3" i="7"/>
  <c r="UTL3" i="7"/>
  <c r="UTT3" i="7"/>
  <c r="UUB3" i="7"/>
  <c r="UUJ3" i="7"/>
  <c r="UUR3" i="7"/>
  <c r="UUZ3" i="7"/>
  <c r="UVH3" i="7"/>
  <c r="UVP3" i="7"/>
  <c r="UVX3" i="7"/>
  <c r="UWF3" i="7"/>
  <c r="UWN3" i="7"/>
  <c r="UWV3" i="7"/>
  <c r="UXD3" i="7"/>
  <c r="UXL3" i="7"/>
  <c r="UXT3" i="7"/>
  <c r="UYB3" i="7"/>
  <c r="UYJ3" i="7"/>
  <c r="UYR3" i="7"/>
  <c r="UYZ3" i="7"/>
  <c r="UZH3" i="7"/>
  <c r="UZP3" i="7"/>
  <c r="UZX3" i="7"/>
  <c r="VAF3" i="7"/>
  <c r="VAN3" i="7"/>
  <c r="VAV3" i="7"/>
  <c r="VBD3" i="7"/>
  <c r="VBL3" i="7"/>
  <c r="VBT3" i="7"/>
  <c r="VCB3" i="7"/>
  <c r="VCJ3" i="7"/>
  <c r="VCR3" i="7"/>
  <c r="VCZ3" i="7"/>
  <c r="VDH3" i="7"/>
  <c r="VDP3" i="7"/>
  <c r="VDX3" i="7"/>
  <c r="VEF3" i="7"/>
  <c r="VEN3" i="7"/>
  <c r="VEV3" i="7"/>
  <c r="VFD3" i="7"/>
  <c r="VFL3" i="7"/>
  <c r="VFT3" i="7"/>
  <c r="VGB3" i="7"/>
  <c r="VGJ3" i="7"/>
  <c r="VGR3" i="7"/>
  <c r="VGZ3" i="7"/>
  <c r="VHH3" i="7"/>
  <c r="VHP3" i="7"/>
  <c r="VHX3" i="7"/>
  <c r="VIF3" i="7"/>
  <c r="VIN3" i="7"/>
  <c r="VIV3" i="7"/>
  <c r="VJD3" i="7"/>
  <c r="VJL3" i="7"/>
  <c r="VJT3" i="7"/>
  <c r="VKB3" i="7"/>
  <c r="VKJ3" i="7"/>
  <c r="VKR3" i="7"/>
  <c r="VKZ3" i="7"/>
  <c r="VLH3" i="7"/>
  <c r="VLP3" i="7"/>
  <c r="VLX3" i="7"/>
  <c r="VMF3" i="7"/>
  <c r="VMN3" i="7"/>
  <c r="VMV3" i="7"/>
  <c r="VND3" i="7"/>
  <c r="VNL3" i="7"/>
  <c r="VNT3" i="7"/>
  <c r="VOB3" i="7"/>
  <c r="VOJ3" i="7"/>
  <c r="VOR3" i="7"/>
  <c r="VOZ3" i="7"/>
  <c r="VPH3" i="7"/>
  <c r="VPP3" i="7"/>
  <c r="VPX3" i="7"/>
  <c r="VQF3" i="7"/>
  <c r="VQN3" i="7"/>
  <c r="VQV3" i="7"/>
  <c r="VRD3" i="7"/>
  <c r="VRL3" i="7"/>
  <c r="VRT3" i="7"/>
  <c r="VSB3" i="7"/>
  <c r="VSJ3" i="7"/>
  <c r="VSR3" i="7"/>
  <c r="VSZ3" i="7"/>
  <c r="VTH3" i="7"/>
  <c r="VTP3" i="7"/>
  <c r="VTX3" i="7"/>
  <c r="VUF3" i="7"/>
  <c r="VUN3" i="7"/>
  <c r="VUV3" i="7"/>
  <c r="VVD3" i="7"/>
  <c r="VVL3" i="7"/>
  <c r="VVT3" i="7"/>
  <c r="VWB3" i="7"/>
  <c r="VWJ3" i="7"/>
  <c r="VWR3" i="7"/>
  <c r="VWZ3" i="7"/>
  <c r="VXH3" i="7"/>
  <c r="VXP3" i="7"/>
  <c r="VXX3" i="7"/>
  <c r="VYF3" i="7"/>
  <c r="VYN3" i="7"/>
  <c r="VYV3" i="7"/>
  <c r="VZD3" i="7"/>
  <c r="VZL3" i="7"/>
  <c r="VZT3" i="7"/>
  <c r="WAB3" i="7"/>
  <c r="WAJ3" i="7"/>
  <c r="WAR3" i="7"/>
  <c r="WAZ3" i="7"/>
  <c r="WBH3" i="7"/>
  <c r="WBP3" i="7"/>
  <c r="WBX3" i="7"/>
  <c r="WCF3" i="7"/>
  <c r="WCN3" i="7"/>
  <c r="WCV3" i="7"/>
  <c r="WDD3" i="7"/>
  <c r="WDL3" i="7"/>
  <c r="WDT3" i="7"/>
  <c r="WEB3" i="7"/>
  <c r="WEJ3" i="7"/>
  <c r="WER3" i="7"/>
  <c r="WEZ3" i="7"/>
  <c r="WFH3" i="7"/>
  <c r="WFP3" i="7"/>
  <c r="WFX3" i="7"/>
  <c r="WGF3" i="7"/>
  <c r="WGN3" i="7"/>
  <c r="WGV3" i="7"/>
  <c r="WHD3" i="7"/>
  <c r="WHL3" i="7"/>
  <c r="WHT3" i="7"/>
  <c r="WIB3" i="7"/>
  <c r="WIJ3" i="7"/>
  <c r="WIR3" i="7"/>
  <c r="WIZ3" i="7"/>
  <c r="WJH3" i="7"/>
  <c r="WJP3" i="7"/>
  <c r="WJX3" i="7"/>
  <c r="WKF3" i="7"/>
  <c r="WKN3" i="7"/>
  <c r="WKV3" i="7"/>
  <c r="WLD3" i="7"/>
  <c r="WLL3" i="7"/>
  <c r="WLT3" i="7"/>
  <c r="WMB3" i="7"/>
  <c r="WMJ3" i="7"/>
  <c r="WMR3" i="7"/>
  <c r="WMZ3" i="7"/>
  <c r="WNH3" i="7"/>
  <c r="WNP3" i="7"/>
  <c r="WNX3" i="7"/>
  <c r="WOF3" i="7"/>
  <c r="WON3" i="7"/>
  <c r="WOV3" i="7"/>
  <c r="WPD3" i="7"/>
  <c r="WPL3" i="7"/>
  <c r="WPT3" i="7"/>
  <c r="WQB3" i="7"/>
  <c r="WQJ3" i="7"/>
  <c r="WQR3" i="7"/>
  <c r="WQZ3" i="7"/>
  <c r="WRH3" i="7"/>
  <c r="WRP3" i="7"/>
  <c r="WRX3" i="7"/>
  <c r="WSF3" i="7"/>
  <c r="WSN3" i="7"/>
  <c r="WSV3" i="7"/>
  <c r="WTD3" i="7"/>
  <c r="WTL3" i="7"/>
  <c r="WTT3" i="7"/>
  <c r="WUB3" i="7"/>
  <c r="WUJ3" i="7"/>
  <c r="WUR3" i="7"/>
  <c r="WUZ3" i="7"/>
  <c r="WVH3" i="7"/>
  <c r="WVP3" i="7"/>
  <c r="WVX3" i="7"/>
  <c r="WWF3" i="7"/>
  <c r="WWN3" i="7"/>
  <c r="WWV3" i="7"/>
  <c r="WXD3" i="7"/>
  <c r="WXL3" i="7"/>
  <c r="WXT3" i="7"/>
  <c r="WYB3" i="7"/>
  <c r="WYR3" i="7"/>
  <c r="WYZ3" i="7"/>
  <c r="WZH3" i="7"/>
  <c r="WZX3" i="7"/>
  <c r="XAN3" i="7"/>
  <c r="XBD3" i="7"/>
  <c r="XBT3" i="7"/>
  <c r="XCR3" i="7"/>
  <c r="XDH3" i="7"/>
  <c r="XEF3" i="7"/>
  <c r="XFD3" i="7"/>
  <c r="KOO3" i="7"/>
  <c r="LAW3" i="7"/>
  <c r="LIG3" i="7"/>
  <c r="LPQ3" i="7"/>
  <c r="LSC3" i="7"/>
  <c r="LZM3" i="7"/>
  <c r="MGW3" i="7"/>
  <c r="MOG3" i="7"/>
  <c r="MQS3" i="7"/>
  <c r="MYC3" i="7"/>
  <c r="NFM3" i="7"/>
  <c r="NKK3" i="7"/>
  <c r="NOX3" i="7"/>
  <c r="NSP3" i="7"/>
  <c r="NVB3" i="7"/>
  <c r="NWH3" i="7"/>
  <c r="NZZ3" i="7"/>
  <c r="OBF3" i="7"/>
  <c r="OEX3" i="7"/>
  <c r="OGD3" i="7"/>
  <c r="OJV3" i="7"/>
  <c r="OMH3" i="7"/>
  <c r="KJY3" i="7"/>
  <c r="KMK3" i="7"/>
  <c r="KOW3" i="7"/>
  <c r="KRI3" i="7"/>
  <c r="KTU3" i="7"/>
  <c r="KWG3" i="7"/>
  <c r="KYS3" i="7"/>
  <c r="LBE3" i="7"/>
  <c r="LDQ3" i="7"/>
  <c r="LGC3" i="7"/>
  <c r="LIO3" i="7"/>
  <c r="LLA3" i="7"/>
  <c r="LNM3" i="7"/>
  <c r="LPY3" i="7"/>
  <c r="LSK3" i="7"/>
  <c r="LUW3" i="7"/>
  <c r="LXI3" i="7"/>
  <c r="LZU3" i="7"/>
  <c r="MCG3" i="7"/>
  <c r="MES3" i="7"/>
  <c r="MHE3" i="7"/>
  <c r="MJQ3" i="7"/>
  <c r="MMC3" i="7"/>
  <c r="MOO3" i="7"/>
  <c r="MRA3" i="7"/>
  <c r="MTM3" i="7"/>
  <c r="MVY3" i="7"/>
  <c r="MYK3" i="7"/>
  <c r="NAW3" i="7"/>
  <c r="NDI3" i="7"/>
  <c r="NFU3" i="7"/>
  <c r="NIG3" i="7"/>
  <c r="NKS3" i="7"/>
  <c r="NNE3" i="7"/>
  <c r="NPA3" i="7"/>
  <c r="NQG3" i="7"/>
  <c r="NRM3" i="7"/>
  <c r="NSS3" i="7"/>
  <c r="NTY3" i="7"/>
  <c r="NVE3" i="7"/>
  <c r="NWK3" i="7"/>
  <c r="NXQ3" i="7"/>
  <c r="NYW3" i="7"/>
  <c r="OAC3" i="7"/>
  <c r="OBI3" i="7"/>
  <c r="OCO3" i="7"/>
  <c r="ODU3" i="7"/>
  <c r="OFA3" i="7"/>
  <c r="OGG3" i="7"/>
  <c r="OHM3" i="7"/>
  <c r="OIS3" i="7"/>
  <c r="OJY3" i="7"/>
  <c r="OLE3" i="7"/>
  <c r="OMK3" i="7"/>
  <c r="ONQ3" i="7"/>
  <c r="OOW3" i="7"/>
  <c r="OQC3" i="7"/>
  <c r="ORI3" i="7"/>
  <c r="OSO3" i="7"/>
  <c r="OTU3" i="7"/>
  <c r="OVA3" i="7"/>
  <c r="OWG3" i="7"/>
  <c r="OXM3" i="7"/>
  <c r="OYS3" i="7"/>
  <c r="OZY3" i="7"/>
  <c r="PBE3" i="7"/>
  <c r="PCK3" i="7"/>
  <c r="PDQ3" i="7"/>
  <c r="PEW3" i="7"/>
  <c r="PGC3" i="7"/>
  <c r="PHI3" i="7"/>
  <c r="PIO3" i="7"/>
  <c r="PJU3" i="7"/>
  <c r="PLA3" i="7"/>
  <c r="PMG3" i="7"/>
  <c r="PNM3" i="7"/>
  <c r="POS3" i="7"/>
  <c r="PPY3" i="7"/>
  <c r="PRE3" i="7"/>
  <c r="PSK3" i="7"/>
  <c r="PTQ3" i="7"/>
  <c r="PUW3" i="7"/>
  <c r="PWC3" i="7"/>
  <c r="PXI3" i="7"/>
  <c r="PYO3" i="7"/>
  <c r="PZU3" i="7"/>
  <c r="QBA3" i="7"/>
  <c r="QCG3" i="7"/>
  <c r="QDM3" i="7"/>
  <c r="QES3" i="7"/>
  <c r="QFY3" i="7"/>
  <c r="QHE3" i="7"/>
  <c r="QIK3" i="7"/>
  <c r="QJQ3" i="7"/>
  <c r="QKW3" i="7"/>
  <c r="QMC3" i="7"/>
  <c r="QNA3" i="7"/>
  <c r="QNX3" i="7"/>
  <c r="QOP3" i="7"/>
  <c r="QOX3" i="7"/>
  <c r="QPF3" i="7"/>
  <c r="QPN3" i="7"/>
  <c r="QPV3" i="7"/>
  <c r="QQD3" i="7"/>
  <c r="QQL3" i="7"/>
  <c r="QQT3" i="7"/>
  <c r="QRB3" i="7"/>
  <c r="QRJ3" i="7"/>
  <c r="QRR3" i="7"/>
  <c r="QRZ3" i="7"/>
  <c r="QSH3" i="7"/>
  <c r="QSP3" i="7"/>
  <c r="QSX3" i="7"/>
  <c r="QTF3" i="7"/>
  <c r="QTN3" i="7"/>
  <c r="QTV3" i="7"/>
  <c r="QUD3" i="7"/>
  <c r="QUL3" i="7"/>
  <c r="QUT3" i="7"/>
  <c r="QVB3" i="7"/>
  <c r="QVJ3" i="7"/>
  <c r="QVR3" i="7"/>
  <c r="QVZ3" i="7"/>
  <c r="QWH3" i="7"/>
  <c r="QWP3" i="7"/>
  <c r="QWX3" i="7"/>
  <c r="QXF3" i="7"/>
  <c r="QXN3" i="7"/>
  <c r="QXV3" i="7"/>
  <c r="QYD3" i="7"/>
  <c r="QYL3" i="7"/>
  <c r="QYT3" i="7"/>
  <c r="QZB3" i="7"/>
  <c r="QZJ3" i="7"/>
  <c r="QZR3" i="7"/>
  <c r="QZZ3" i="7"/>
  <c r="RAH3" i="7"/>
  <c r="RAP3" i="7"/>
  <c r="RAX3" i="7"/>
  <c r="RBF3" i="7"/>
  <c r="RBN3" i="7"/>
  <c r="RBV3" i="7"/>
  <c r="RCD3" i="7"/>
  <c r="RCL3" i="7"/>
  <c r="RCT3" i="7"/>
  <c r="RDB3" i="7"/>
  <c r="RDJ3" i="7"/>
  <c r="RDR3" i="7"/>
  <c r="RDZ3" i="7"/>
  <c r="REH3" i="7"/>
  <c r="REP3" i="7"/>
  <c r="REX3" i="7"/>
  <c r="RFF3" i="7"/>
  <c r="RFN3" i="7"/>
  <c r="RFV3" i="7"/>
  <c r="RGD3" i="7"/>
  <c r="RGL3" i="7"/>
  <c r="RGT3" i="7"/>
  <c r="RHB3" i="7"/>
  <c r="RHJ3" i="7"/>
  <c r="RHR3" i="7"/>
  <c r="RHZ3" i="7"/>
  <c r="RIH3" i="7"/>
  <c r="RIP3" i="7"/>
  <c r="RIX3" i="7"/>
  <c r="RJF3" i="7"/>
  <c r="RJN3" i="7"/>
  <c r="RJV3" i="7"/>
  <c r="RKD3" i="7"/>
  <c r="RKL3" i="7"/>
  <c r="RKT3" i="7"/>
  <c r="RLB3" i="7"/>
  <c r="RLJ3" i="7"/>
  <c r="RLR3" i="7"/>
  <c r="RLZ3" i="7"/>
  <c r="RMH3" i="7"/>
  <c r="RMP3" i="7"/>
  <c r="RMX3" i="7"/>
  <c r="RNF3" i="7"/>
  <c r="RNN3" i="7"/>
  <c r="RNV3" i="7"/>
  <c r="ROD3" i="7"/>
  <c r="ROL3" i="7"/>
  <c r="ROT3" i="7"/>
  <c r="RPB3" i="7"/>
  <c r="RPJ3" i="7"/>
  <c r="RPR3" i="7"/>
  <c r="RPZ3" i="7"/>
  <c r="RQH3" i="7"/>
  <c r="RQP3" i="7"/>
  <c r="RQX3" i="7"/>
  <c r="RRF3" i="7"/>
  <c r="RRN3" i="7"/>
  <c r="RRV3" i="7"/>
  <c r="RSD3" i="7"/>
  <c r="RSL3" i="7"/>
  <c r="RST3" i="7"/>
  <c r="RTB3" i="7"/>
  <c r="RTJ3" i="7"/>
  <c r="RTR3" i="7"/>
  <c r="RTZ3" i="7"/>
  <c r="RUH3" i="7"/>
  <c r="RUP3" i="7"/>
  <c r="RUX3" i="7"/>
  <c r="RVF3" i="7"/>
  <c r="RVN3" i="7"/>
  <c r="RVV3" i="7"/>
  <c r="RWD3" i="7"/>
  <c r="RWL3" i="7"/>
  <c r="RWT3" i="7"/>
  <c r="RXB3" i="7"/>
  <c r="RXJ3" i="7"/>
  <c r="RXR3" i="7"/>
  <c r="RXZ3" i="7"/>
  <c r="RYH3" i="7"/>
  <c r="RYP3" i="7"/>
  <c r="RYX3" i="7"/>
  <c r="RZF3" i="7"/>
  <c r="RZN3" i="7"/>
  <c r="RZV3" i="7"/>
  <c r="SAD3" i="7"/>
  <c r="SAL3" i="7"/>
  <c r="SAT3" i="7"/>
  <c r="SBB3" i="7"/>
  <c r="SBJ3" i="7"/>
  <c r="SBR3" i="7"/>
  <c r="SBZ3" i="7"/>
  <c r="SCH3" i="7"/>
  <c r="SCP3" i="7"/>
  <c r="SCX3" i="7"/>
  <c r="SDF3" i="7"/>
  <c r="SDN3" i="7"/>
  <c r="SDV3" i="7"/>
  <c r="SED3" i="7"/>
  <c r="SEL3" i="7"/>
  <c r="SET3" i="7"/>
  <c r="SFB3" i="7"/>
  <c r="SFJ3" i="7"/>
  <c r="SFR3" i="7"/>
  <c r="SFZ3" i="7"/>
  <c r="SGH3" i="7"/>
  <c r="SGP3" i="7"/>
  <c r="SGX3" i="7"/>
  <c r="SHF3" i="7"/>
  <c r="SHN3" i="7"/>
  <c r="SHV3" i="7"/>
  <c r="SID3" i="7"/>
  <c r="SIL3" i="7"/>
  <c r="SIT3" i="7"/>
  <c r="SJB3" i="7"/>
  <c r="SJJ3" i="7"/>
  <c r="SJR3" i="7"/>
  <c r="SJZ3" i="7"/>
  <c r="SKH3" i="7"/>
  <c r="SKP3" i="7"/>
  <c r="SKX3" i="7"/>
  <c r="SLF3" i="7"/>
  <c r="SLN3" i="7"/>
  <c r="SLV3" i="7"/>
  <c r="SMD3" i="7"/>
  <c r="SML3" i="7"/>
  <c r="SMT3" i="7"/>
  <c r="SNB3" i="7"/>
  <c r="SNJ3" i="7"/>
  <c r="SNR3" i="7"/>
  <c r="SNZ3" i="7"/>
  <c r="SOH3" i="7"/>
  <c r="SOP3" i="7"/>
  <c r="SOX3" i="7"/>
  <c r="SPF3" i="7"/>
  <c r="SPN3" i="7"/>
  <c r="SPV3" i="7"/>
  <c r="SQD3" i="7"/>
  <c r="SQL3" i="7"/>
  <c r="SQT3" i="7"/>
  <c r="SRB3" i="7"/>
  <c r="SRJ3" i="7"/>
  <c r="SRR3" i="7"/>
  <c r="SRZ3" i="7"/>
  <c r="SSH3" i="7"/>
  <c r="SSP3" i="7"/>
  <c r="SSX3" i="7"/>
  <c r="STF3" i="7"/>
  <c r="STN3" i="7"/>
  <c r="STV3" i="7"/>
  <c r="SUD3" i="7"/>
  <c r="SUL3" i="7"/>
  <c r="SUT3" i="7"/>
  <c r="SVB3" i="7"/>
  <c r="SVJ3" i="7"/>
  <c r="SVR3" i="7"/>
  <c r="SVZ3" i="7"/>
  <c r="SWH3" i="7"/>
  <c r="SWP3" i="7"/>
  <c r="SWX3" i="7"/>
  <c r="SXF3" i="7"/>
  <c r="SXN3" i="7"/>
  <c r="SXV3" i="7"/>
  <c r="SYD3" i="7"/>
  <c r="SYL3" i="7"/>
  <c r="SYT3" i="7"/>
  <c r="SZB3" i="7"/>
  <c r="SZJ3" i="7"/>
  <c r="SZR3" i="7"/>
  <c r="SZZ3" i="7"/>
  <c r="TAH3" i="7"/>
  <c r="TAP3" i="7"/>
  <c r="TAX3" i="7"/>
  <c r="TBF3" i="7"/>
  <c r="TBN3" i="7"/>
  <c r="TBV3" i="7"/>
  <c r="TCD3" i="7"/>
  <c r="TCL3" i="7"/>
  <c r="TCT3" i="7"/>
  <c r="TDB3" i="7"/>
  <c r="TDJ3" i="7"/>
  <c r="TDR3" i="7"/>
  <c r="TDZ3" i="7"/>
  <c r="TEH3" i="7"/>
  <c r="TEP3" i="7"/>
  <c r="TEX3" i="7"/>
  <c r="TFF3" i="7"/>
  <c r="TFN3" i="7"/>
  <c r="TFV3" i="7"/>
  <c r="TGD3" i="7"/>
  <c r="TGL3" i="7"/>
  <c r="TGT3" i="7"/>
  <c r="THB3" i="7"/>
  <c r="THJ3" i="7"/>
  <c r="THR3" i="7"/>
  <c r="THZ3" i="7"/>
  <c r="TIH3" i="7"/>
  <c r="TIP3" i="7"/>
  <c r="TIX3" i="7"/>
  <c r="TJF3" i="7"/>
  <c r="TJN3" i="7"/>
  <c r="TJV3" i="7"/>
  <c r="TKD3" i="7"/>
  <c r="TKL3" i="7"/>
  <c r="TKT3" i="7"/>
  <c r="TLB3" i="7"/>
  <c r="TLJ3" i="7"/>
  <c r="TLR3" i="7"/>
  <c r="TLZ3" i="7"/>
  <c r="TMH3" i="7"/>
  <c r="TMP3" i="7"/>
  <c r="TMX3" i="7"/>
  <c r="TNF3" i="7"/>
  <c r="TNN3" i="7"/>
  <c r="TNV3" i="7"/>
  <c r="TOD3" i="7"/>
  <c r="TOL3" i="7"/>
  <c r="TOT3" i="7"/>
  <c r="TPB3" i="7"/>
  <c r="TPJ3" i="7"/>
  <c r="TPR3" i="7"/>
  <c r="TPZ3" i="7"/>
  <c r="TQH3" i="7"/>
  <c r="TQP3" i="7"/>
  <c r="TQX3" i="7"/>
  <c r="TRF3" i="7"/>
  <c r="TRN3" i="7"/>
  <c r="TRV3" i="7"/>
  <c r="TSD3" i="7"/>
  <c r="TSL3" i="7"/>
  <c r="TST3" i="7"/>
  <c r="TTB3" i="7"/>
  <c r="TTJ3" i="7"/>
  <c r="TTR3" i="7"/>
  <c r="TTZ3" i="7"/>
  <c r="TUH3" i="7"/>
  <c r="TUP3" i="7"/>
  <c r="TUX3" i="7"/>
  <c r="TVF3" i="7"/>
  <c r="TVN3" i="7"/>
  <c r="TVV3" i="7"/>
  <c r="TWD3" i="7"/>
  <c r="TWL3" i="7"/>
  <c r="TWT3" i="7"/>
  <c r="TXB3" i="7"/>
  <c r="TXJ3" i="7"/>
  <c r="TXR3" i="7"/>
  <c r="TXZ3" i="7"/>
  <c r="TYH3" i="7"/>
  <c r="TYP3" i="7"/>
  <c r="TYX3" i="7"/>
  <c r="TZF3" i="7"/>
  <c r="TZN3" i="7"/>
  <c r="TZV3" i="7"/>
  <c r="UAD3" i="7"/>
  <c r="UAL3" i="7"/>
  <c r="UAT3" i="7"/>
  <c r="UBB3" i="7"/>
  <c r="UBJ3" i="7"/>
  <c r="UBR3" i="7"/>
  <c r="UBZ3" i="7"/>
  <c r="UCH3" i="7"/>
  <c r="UCP3" i="7"/>
  <c r="UCX3" i="7"/>
  <c r="UDF3" i="7"/>
  <c r="UDN3" i="7"/>
  <c r="UDV3" i="7"/>
  <c r="UED3" i="7"/>
  <c r="UEL3" i="7"/>
  <c r="UET3" i="7"/>
  <c r="UFB3" i="7"/>
  <c r="UFJ3" i="7"/>
  <c r="UFR3" i="7"/>
  <c r="UFZ3" i="7"/>
  <c r="UGH3" i="7"/>
  <c r="UGP3" i="7"/>
  <c r="UGX3" i="7"/>
  <c r="UHF3" i="7"/>
  <c r="UHN3" i="7"/>
  <c r="UHV3" i="7"/>
  <c r="UID3" i="7"/>
  <c r="UIL3" i="7"/>
  <c r="UIT3" i="7"/>
  <c r="UJB3" i="7"/>
  <c r="UJJ3" i="7"/>
  <c r="UJR3" i="7"/>
  <c r="UJZ3" i="7"/>
  <c r="UKH3" i="7"/>
  <c r="UKP3" i="7"/>
  <c r="UKX3" i="7"/>
  <c r="ULF3" i="7"/>
  <c r="ULN3" i="7"/>
  <c r="ULV3" i="7"/>
  <c r="UMD3" i="7"/>
  <c r="UML3" i="7"/>
  <c r="UMT3" i="7"/>
  <c r="UNB3" i="7"/>
  <c r="UNJ3" i="7"/>
  <c r="UNR3" i="7"/>
  <c r="UNZ3" i="7"/>
  <c r="UOH3" i="7"/>
  <c r="UOP3" i="7"/>
  <c r="UOX3" i="7"/>
  <c r="UPF3" i="7"/>
  <c r="UPN3" i="7"/>
  <c r="UPV3" i="7"/>
  <c r="UQD3" i="7"/>
  <c r="UQL3" i="7"/>
  <c r="UQT3" i="7"/>
  <c r="URB3" i="7"/>
  <c r="URJ3" i="7"/>
  <c r="URR3" i="7"/>
  <c r="URZ3" i="7"/>
  <c r="USH3" i="7"/>
  <c r="USP3" i="7"/>
  <c r="USX3" i="7"/>
  <c r="UTF3" i="7"/>
  <c r="UTN3" i="7"/>
  <c r="UTV3" i="7"/>
  <c r="UUD3" i="7"/>
  <c r="UUL3" i="7"/>
  <c r="UUT3" i="7"/>
  <c r="UVB3" i="7"/>
  <c r="UVJ3" i="7"/>
  <c r="UVR3" i="7"/>
  <c r="UVZ3" i="7"/>
  <c r="UWH3" i="7"/>
  <c r="UWP3" i="7"/>
  <c r="UWX3" i="7"/>
  <c r="UXF3" i="7"/>
  <c r="UXN3" i="7"/>
  <c r="UXV3" i="7"/>
  <c r="UYD3" i="7"/>
  <c r="UYL3" i="7"/>
  <c r="UYT3" i="7"/>
  <c r="UZB3" i="7"/>
  <c r="UZJ3" i="7"/>
  <c r="UZR3" i="7"/>
  <c r="UZZ3" i="7"/>
  <c r="VAH3" i="7"/>
  <c r="VAP3" i="7"/>
  <c r="VAX3" i="7"/>
  <c r="VBF3" i="7"/>
  <c r="VBN3" i="7"/>
  <c r="VBV3" i="7"/>
  <c r="VCD3" i="7"/>
  <c r="VCL3" i="7"/>
  <c r="VCT3" i="7"/>
  <c r="VDB3" i="7"/>
  <c r="VDJ3" i="7"/>
  <c r="VDR3" i="7"/>
  <c r="VDZ3" i="7"/>
  <c r="VEH3" i="7"/>
  <c r="VEP3" i="7"/>
  <c r="VEX3" i="7"/>
  <c r="VFF3" i="7"/>
  <c r="VFN3" i="7"/>
  <c r="VFV3" i="7"/>
  <c r="VGD3" i="7"/>
  <c r="VGL3" i="7"/>
  <c r="VGT3" i="7"/>
  <c r="VHB3" i="7"/>
  <c r="VHJ3" i="7"/>
  <c r="VHR3" i="7"/>
  <c r="VHZ3" i="7"/>
  <c r="VIH3" i="7"/>
  <c r="VIP3" i="7"/>
  <c r="VIX3" i="7"/>
  <c r="VJF3" i="7"/>
  <c r="VJN3" i="7"/>
  <c r="VJV3" i="7"/>
  <c r="VKD3" i="7"/>
  <c r="VKL3" i="7"/>
  <c r="VKT3" i="7"/>
  <c r="VLB3" i="7"/>
  <c r="VLJ3" i="7"/>
  <c r="VLR3" i="7"/>
  <c r="VLZ3" i="7"/>
  <c r="VMH3" i="7"/>
  <c r="VMP3" i="7"/>
  <c r="VMX3" i="7"/>
  <c r="VNF3" i="7"/>
  <c r="VNN3" i="7"/>
  <c r="VNV3" i="7"/>
  <c r="VOD3" i="7"/>
  <c r="VOL3" i="7"/>
  <c r="VOT3" i="7"/>
  <c r="VPB3" i="7"/>
  <c r="VPJ3" i="7"/>
  <c r="VPR3" i="7"/>
  <c r="VPZ3" i="7"/>
  <c r="VQH3" i="7"/>
  <c r="VQP3" i="7"/>
  <c r="VQX3" i="7"/>
  <c r="VRF3" i="7"/>
  <c r="VRN3" i="7"/>
  <c r="VRV3" i="7"/>
  <c r="VSD3" i="7"/>
  <c r="VSL3" i="7"/>
  <c r="VST3" i="7"/>
  <c r="VTB3" i="7"/>
  <c r="VTJ3" i="7"/>
  <c r="VTR3" i="7"/>
  <c r="VTZ3" i="7"/>
  <c r="VUH3" i="7"/>
  <c r="VUP3" i="7"/>
  <c r="VUX3" i="7"/>
  <c r="VVF3" i="7"/>
  <c r="VVN3" i="7"/>
  <c r="VVV3" i="7"/>
  <c r="VWD3" i="7"/>
  <c r="VWL3" i="7"/>
  <c r="VWT3" i="7"/>
  <c r="VXB3" i="7"/>
  <c r="VXJ3" i="7"/>
  <c r="VXR3" i="7"/>
  <c r="VXZ3" i="7"/>
  <c r="VYH3" i="7"/>
  <c r="VYP3" i="7"/>
  <c r="VYX3" i="7"/>
  <c r="VZF3" i="7"/>
  <c r="VZN3" i="7"/>
  <c r="VZV3" i="7"/>
  <c r="WAD3" i="7"/>
  <c r="WAL3" i="7"/>
  <c r="WAT3" i="7"/>
  <c r="WBB3" i="7"/>
  <c r="WBJ3" i="7"/>
  <c r="WBR3" i="7"/>
  <c r="WBZ3" i="7"/>
  <c r="WCH3" i="7"/>
  <c r="WCP3" i="7"/>
  <c r="WCX3" i="7"/>
  <c r="WDF3" i="7"/>
  <c r="WDN3" i="7"/>
  <c r="WDV3" i="7"/>
  <c r="WED3" i="7"/>
  <c r="WEL3" i="7"/>
  <c r="WET3" i="7"/>
  <c r="WFB3" i="7"/>
  <c r="WFJ3" i="7"/>
  <c r="WFR3" i="7"/>
  <c r="WFZ3" i="7"/>
  <c r="WGH3" i="7"/>
  <c r="WGP3" i="7"/>
  <c r="WGX3" i="7"/>
  <c r="WHF3" i="7"/>
  <c r="WHN3" i="7"/>
  <c r="WHV3" i="7"/>
  <c r="WID3" i="7"/>
  <c r="WIL3" i="7"/>
  <c r="WIT3" i="7"/>
  <c r="WJB3" i="7"/>
  <c r="WJJ3" i="7"/>
  <c r="WJR3" i="7"/>
  <c r="WJZ3" i="7"/>
  <c r="WKH3" i="7"/>
  <c r="WKP3" i="7"/>
  <c r="WKX3" i="7"/>
  <c r="WLF3" i="7"/>
  <c r="WLN3" i="7"/>
  <c r="WLV3" i="7"/>
  <c r="WMD3" i="7"/>
  <c r="WML3" i="7"/>
  <c r="WMT3" i="7"/>
  <c r="WNB3" i="7"/>
  <c r="WNJ3" i="7"/>
  <c r="WNR3" i="7"/>
  <c r="WNZ3" i="7"/>
  <c r="WOH3" i="7"/>
  <c r="WOP3" i="7"/>
  <c r="WOX3" i="7"/>
  <c r="WPF3" i="7"/>
  <c r="WPN3" i="7"/>
  <c r="WPV3" i="7"/>
  <c r="WQD3" i="7"/>
  <c r="WQL3" i="7"/>
  <c r="WQT3" i="7"/>
  <c r="WRB3" i="7"/>
  <c r="WRJ3" i="7"/>
  <c r="WRR3" i="7"/>
  <c r="WRZ3" i="7"/>
  <c r="WSH3" i="7"/>
  <c r="WSP3" i="7"/>
  <c r="WSX3" i="7"/>
  <c r="WTF3" i="7"/>
  <c r="WTN3" i="7"/>
  <c r="WTV3" i="7"/>
  <c r="WUD3" i="7"/>
  <c r="WUL3" i="7"/>
  <c r="WUT3" i="7"/>
  <c r="WVB3" i="7"/>
  <c r="WVJ3" i="7"/>
  <c r="WVR3" i="7"/>
  <c r="WVZ3" i="7"/>
  <c r="WWH3" i="7"/>
  <c r="WWP3" i="7"/>
  <c r="WWX3" i="7"/>
  <c r="WXF3" i="7"/>
  <c r="WXN3" i="7"/>
  <c r="WXV3" i="7"/>
  <c r="WYD3" i="7"/>
  <c r="WYL3" i="7"/>
  <c r="WYT3" i="7"/>
  <c r="WZB3" i="7"/>
  <c r="WZJ3" i="7"/>
  <c r="WZR3" i="7"/>
  <c r="WZZ3" i="7"/>
  <c r="XAH3" i="7"/>
  <c r="XAP3" i="7"/>
  <c r="XAX3" i="7"/>
  <c r="XBF3" i="7"/>
  <c r="XBN3" i="7"/>
  <c r="XBV3" i="7"/>
  <c r="XCD3" i="7"/>
  <c r="XCL3" i="7"/>
  <c r="XCT3" i="7"/>
  <c r="XDB3" i="7"/>
  <c r="XDJ3" i="7"/>
  <c r="XDR3" i="7"/>
  <c r="XDZ3" i="7"/>
  <c r="XEH3" i="7"/>
  <c r="XEP3" i="7"/>
  <c r="XEX3" i="7"/>
  <c r="O3" i="7"/>
  <c r="W3" i="7"/>
  <c r="KKG3" i="7"/>
  <c r="KMS3" i="7"/>
  <c r="KPE3" i="7"/>
  <c r="KRQ3" i="7"/>
  <c r="KUC3" i="7"/>
  <c r="KWO3" i="7"/>
  <c r="KZA3" i="7"/>
  <c r="LBM3" i="7"/>
  <c r="LDY3" i="7"/>
  <c r="LGK3" i="7"/>
  <c r="LIW3" i="7"/>
  <c r="LLI3" i="7"/>
  <c r="LNU3" i="7"/>
  <c r="LQG3" i="7"/>
  <c r="LSS3" i="7"/>
  <c r="LVE3" i="7"/>
  <c r="LXQ3" i="7"/>
  <c r="MAC3" i="7"/>
  <c r="MCO3" i="7"/>
  <c r="MFA3" i="7"/>
  <c r="MHM3" i="7"/>
  <c r="KRA3" i="7"/>
  <c r="NBE3" i="7"/>
  <c r="NRR3" i="7"/>
  <c r="OBN3" i="7"/>
  <c r="OLJ3" i="7"/>
  <c r="ORF3" i="7"/>
  <c r="OWD3" i="7"/>
  <c r="PBB3" i="7"/>
  <c r="PFZ3" i="7"/>
  <c r="PKX3" i="7"/>
  <c r="PPV3" i="7"/>
  <c r="PUT3" i="7"/>
  <c r="PZR3" i="7"/>
  <c r="QEP3" i="7"/>
  <c r="QJN3" i="7"/>
  <c r="QNV3" i="7"/>
  <c r="QPM3" i="7"/>
  <c r="QQS3" i="7"/>
  <c r="QRY3" i="7"/>
  <c r="QTE3" i="7"/>
  <c r="QUK3" i="7"/>
  <c r="QVQ3" i="7"/>
  <c r="QWW3" i="7"/>
  <c r="QYC3" i="7"/>
  <c r="QZI3" i="7"/>
  <c r="RAO3" i="7"/>
  <c r="RBU3" i="7"/>
  <c r="RDA3" i="7"/>
  <c r="REG3" i="7"/>
  <c r="RFM3" i="7"/>
  <c r="RGS3" i="7"/>
  <c r="RHY3" i="7"/>
  <c r="RJE3" i="7"/>
  <c r="RKK3" i="7"/>
  <c r="RLQ3" i="7"/>
  <c r="RMW3" i="7"/>
  <c r="ROC3" i="7"/>
  <c r="RPI3" i="7"/>
  <c r="RQO3" i="7"/>
  <c r="RRU3" i="7"/>
  <c r="RTA3" i="7"/>
  <c r="RUG3" i="7"/>
  <c r="RVM3" i="7"/>
  <c r="RWS3" i="7"/>
  <c r="RXY3" i="7"/>
  <c r="RZE3" i="7"/>
  <c r="SAK3" i="7"/>
  <c r="SBQ3" i="7"/>
  <c r="SCW3" i="7"/>
  <c r="SEC3" i="7"/>
  <c r="SFI3" i="7"/>
  <c r="SGO3" i="7"/>
  <c r="SHU3" i="7"/>
  <c r="SJA3" i="7"/>
  <c r="SKG3" i="7"/>
  <c r="SLM3" i="7"/>
  <c r="SMS3" i="7"/>
  <c r="SNY3" i="7"/>
  <c r="SPE3" i="7"/>
  <c r="SQK3" i="7"/>
  <c r="SRQ3" i="7"/>
  <c r="SSW3" i="7"/>
  <c r="SUC3" i="7"/>
  <c r="SVI3" i="7"/>
  <c r="SWO3" i="7"/>
  <c r="SXU3" i="7"/>
  <c r="SZA3" i="7"/>
  <c r="TAG3" i="7"/>
  <c r="TBM3" i="7"/>
  <c r="TCS3" i="7"/>
  <c r="TDY3" i="7"/>
  <c r="TFE3" i="7"/>
  <c r="TGK3" i="7"/>
  <c r="THQ3" i="7"/>
  <c r="TIW3" i="7"/>
  <c r="TKC3" i="7"/>
  <c r="TLI3" i="7"/>
  <c r="TMO3" i="7"/>
  <c r="TNU3" i="7"/>
  <c r="TPA3" i="7"/>
  <c r="TQG3" i="7"/>
  <c r="TRM3" i="7"/>
  <c r="TSS3" i="7"/>
  <c r="TTY3" i="7"/>
  <c r="TVE3" i="7"/>
  <c r="TWK3" i="7"/>
  <c r="TXQ3" i="7"/>
  <c r="TYW3" i="7"/>
  <c r="UAC3" i="7"/>
  <c r="UBI3" i="7"/>
  <c r="UCO3" i="7"/>
  <c r="UDU3" i="7"/>
  <c r="UFA3" i="7"/>
  <c r="UGG3" i="7"/>
  <c r="UHM3" i="7"/>
  <c r="UIS3" i="7"/>
  <c r="UJY3" i="7"/>
  <c r="ULE3" i="7"/>
  <c r="UMK3" i="7"/>
  <c r="UNQ3" i="7"/>
  <c r="UOW3" i="7"/>
  <c r="UQC3" i="7"/>
  <c r="URI3" i="7"/>
  <c r="USO3" i="7"/>
  <c r="UTU3" i="7"/>
  <c r="UVA3" i="7"/>
  <c r="UWG3" i="7"/>
  <c r="UXM3" i="7"/>
  <c r="UYS3" i="7"/>
  <c r="UZY3" i="7"/>
  <c r="VBE3" i="7"/>
  <c r="VCK3" i="7"/>
  <c r="VDQ3" i="7"/>
  <c r="VEW3" i="7"/>
  <c r="VGC3" i="7"/>
  <c r="VHI3" i="7"/>
  <c r="VIO3" i="7"/>
  <c r="VJU3" i="7"/>
  <c r="VLA3" i="7"/>
  <c r="VMG3" i="7"/>
  <c r="VNM3" i="7"/>
  <c r="VOS3" i="7"/>
  <c r="VPY3" i="7"/>
  <c r="VRE3" i="7"/>
  <c r="VSK3" i="7"/>
  <c r="VTQ3" i="7"/>
  <c r="VUW3" i="7"/>
  <c r="VWC3" i="7"/>
  <c r="VXI3" i="7"/>
  <c r="VYO3" i="7"/>
  <c r="VZU3" i="7"/>
  <c r="WBA3" i="7"/>
  <c r="WCG3" i="7"/>
  <c r="WDM3" i="7"/>
  <c r="WES3" i="7"/>
  <c r="WFY3" i="7"/>
  <c r="WHE3" i="7"/>
  <c r="WIK3" i="7"/>
  <c r="WJQ3" i="7"/>
  <c r="WKW3" i="7"/>
  <c r="WMC3" i="7"/>
  <c r="WNI3" i="7"/>
  <c r="WOO3" i="7"/>
  <c r="WPU3" i="7"/>
  <c r="WRA3" i="7"/>
  <c r="WSG3" i="7"/>
  <c r="WTM3" i="7"/>
  <c r="WUS3" i="7"/>
  <c r="WVY3" i="7"/>
  <c r="WXE3" i="7"/>
  <c r="WYK3" i="7"/>
  <c r="WZQ3" i="7"/>
  <c r="XAW3" i="7"/>
  <c r="XCC3" i="7"/>
  <c r="XDI3" i="7"/>
  <c r="XEO3" i="7"/>
  <c r="VLC3" i="7"/>
  <c r="VSM3" i="7"/>
  <c r="VWE3" i="7"/>
  <c r="VYQ3" i="7"/>
  <c r="WBC3" i="7"/>
  <c r="WDO3" i="7"/>
  <c r="WGA3" i="7"/>
  <c r="WHG3" i="7"/>
  <c r="WJS3" i="7"/>
  <c r="WKY3" i="7"/>
  <c r="WME3" i="7"/>
  <c r="WOQ3" i="7"/>
  <c r="WPW3" i="7"/>
  <c r="WRC3" i="7"/>
  <c r="WTO3" i="7"/>
  <c r="WUU3" i="7"/>
  <c r="WXG3" i="7"/>
  <c r="WYM3" i="7"/>
  <c r="XAY3" i="7"/>
  <c r="XDK3" i="7"/>
  <c r="XEQ3" i="7"/>
  <c r="WRI3" i="7"/>
  <c r="WXM3" i="7"/>
  <c r="XCK3" i="7"/>
  <c r="WIU3" i="7"/>
  <c r="WQE3" i="7"/>
  <c r="WSQ3" i="7"/>
  <c r="WXO3" i="7"/>
  <c r="XBG3" i="7"/>
  <c r="VFM3" i="7"/>
  <c r="VUG3" i="7"/>
  <c r="VZE3" i="7"/>
  <c r="WEC3" i="7"/>
  <c r="WKG3" i="7"/>
  <c r="WPE3" i="7"/>
  <c r="WVI3" i="7"/>
  <c r="XBM3" i="7"/>
  <c r="UUM3" i="7"/>
  <c r="VMY3" i="7"/>
  <c r="VVO3" i="7"/>
  <c r="WAM3" i="7"/>
  <c r="WGQ3" i="7"/>
  <c r="WMU3" i="7"/>
  <c r="WSY3" i="7"/>
  <c r="WWQ3" i="7"/>
  <c r="XEA3" i="7"/>
  <c r="OIX3" i="7"/>
  <c r="RDY3" i="7"/>
  <c r="RSS3" i="7"/>
  <c r="SFA3" i="7"/>
  <c r="SMK3" i="7"/>
  <c r="SVA3" i="7"/>
  <c r="TEW3" i="7"/>
  <c r="TJU3" i="7"/>
  <c r="TOS3" i="7"/>
  <c r="TUW3" i="7"/>
  <c r="TZU3" i="7"/>
  <c r="UFY3" i="7"/>
  <c r="UKW3" i="7"/>
  <c r="USG3" i="7"/>
  <c r="UZQ3" i="7"/>
  <c r="VEO3" i="7"/>
  <c r="VKS3" i="7"/>
  <c r="VPQ3" i="7"/>
  <c r="VUO3" i="7"/>
  <c r="WAS3" i="7"/>
  <c r="WEK3" i="7"/>
  <c r="WLU3" i="7"/>
  <c r="WPM3" i="7"/>
  <c r="WVQ3" i="7"/>
  <c r="XAO3" i="7"/>
  <c r="MYS3" i="7"/>
  <c r="PJZ3" i="7"/>
  <c r="QNF3" i="7"/>
  <c r="QUE3" i="7"/>
  <c r="RBO3" i="7"/>
  <c r="RKE3" i="7"/>
  <c r="RRO3" i="7"/>
  <c r="RYY3" i="7"/>
  <c r="SHO3" i="7"/>
  <c r="SQE3" i="7"/>
  <c r="SYU3" i="7"/>
  <c r="TJW3" i="7"/>
  <c r="TSM3" i="7"/>
  <c r="UBC3" i="7"/>
  <c r="UIM3" i="7"/>
  <c r="UOQ3" i="7"/>
  <c r="UXG3" i="7"/>
  <c r="VFW3" i="7"/>
  <c r="VNG3" i="7"/>
  <c r="VVW3" i="7"/>
  <c r="WEM3" i="7"/>
  <c r="WKQ3" i="7"/>
  <c r="WPO3" i="7"/>
  <c r="WYE3" i="7"/>
  <c r="MJY3" i="7"/>
  <c r="NDQ3" i="7"/>
  <c r="NSX3" i="7"/>
  <c r="OCT3" i="7"/>
  <c r="OMP3" i="7"/>
  <c r="ORN3" i="7"/>
  <c r="OWL3" i="7"/>
  <c r="PBJ3" i="7"/>
  <c r="PGH3" i="7"/>
  <c r="PLF3" i="7"/>
  <c r="PQD3" i="7"/>
  <c r="PVB3" i="7"/>
  <c r="PZZ3" i="7"/>
  <c r="QEX3" i="7"/>
  <c r="QJV3" i="7"/>
  <c r="QNY3" i="7"/>
  <c r="QPO3" i="7"/>
  <c r="QQU3" i="7"/>
  <c r="QSA3" i="7"/>
  <c r="QTG3" i="7"/>
  <c r="QUM3" i="7"/>
  <c r="QVS3" i="7"/>
  <c r="QWY3" i="7"/>
  <c r="QYE3" i="7"/>
  <c r="QZK3" i="7"/>
  <c r="RAQ3" i="7"/>
  <c r="RBW3" i="7"/>
  <c r="RDC3" i="7"/>
  <c r="REI3" i="7"/>
  <c r="RFO3" i="7"/>
  <c r="RGU3" i="7"/>
  <c r="RIA3" i="7"/>
  <c r="RJG3" i="7"/>
  <c r="RKM3" i="7"/>
  <c r="RLS3" i="7"/>
  <c r="RMY3" i="7"/>
  <c r="ROE3" i="7"/>
  <c r="RPK3" i="7"/>
  <c r="RQQ3" i="7"/>
  <c r="RRW3" i="7"/>
  <c r="RTC3" i="7"/>
  <c r="RUI3" i="7"/>
  <c r="RVO3" i="7"/>
  <c r="RWU3" i="7"/>
  <c r="RYA3" i="7"/>
  <c r="RZG3" i="7"/>
  <c r="SAM3" i="7"/>
  <c r="SBS3" i="7"/>
  <c r="SCY3" i="7"/>
  <c r="SEE3" i="7"/>
  <c r="SFK3" i="7"/>
  <c r="SGQ3" i="7"/>
  <c r="SHW3" i="7"/>
  <c r="SJC3" i="7"/>
  <c r="SKI3" i="7"/>
  <c r="SLO3" i="7"/>
  <c r="SMU3" i="7"/>
  <c r="SOA3" i="7"/>
  <c r="SPG3" i="7"/>
  <c r="SQM3" i="7"/>
  <c r="SRS3" i="7"/>
  <c r="SSY3" i="7"/>
  <c r="SUE3" i="7"/>
  <c r="SVK3" i="7"/>
  <c r="SWQ3" i="7"/>
  <c r="SXW3" i="7"/>
  <c r="SZC3" i="7"/>
  <c r="TAI3" i="7"/>
  <c r="TBO3" i="7"/>
  <c r="TCU3" i="7"/>
  <c r="TEA3" i="7"/>
  <c r="TFG3" i="7"/>
  <c r="TGM3" i="7"/>
  <c r="THS3" i="7"/>
  <c r="TIY3" i="7"/>
  <c r="TKE3" i="7"/>
  <c r="TLK3" i="7"/>
  <c r="TMQ3" i="7"/>
  <c r="TNW3" i="7"/>
  <c r="TPC3" i="7"/>
  <c r="TQI3" i="7"/>
  <c r="TRO3" i="7"/>
  <c r="TSU3" i="7"/>
  <c r="TUA3" i="7"/>
  <c r="TVG3" i="7"/>
  <c r="TWM3" i="7"/>
  <c r="TXS3" i="7"/>
  <c r="TYY3" i="7"/>
  <c r="UAE3" i="7"/>
  <c r="UBK3" i="7"/>
  <c r="UCQ3" i="7"/>
  <c r="UDW3" i="7"/>
  <c r="UFC3" i="7"/>
  <c r="UGI3" i="7"/>
  <c r="UHO3" i="7"/>
  <c r="UIU3" i="7"/>
  <c r="UKA3" i="7"/>
  <c r="ULG3" i="7"/>
  <c r="UMM3" i="7"/>
  <c r="UNS3" i="7"/>
  <c r="UOY3" i="7"/>
  <c r="UQE3" i="7"/>
  <c r="URK3" i="7"/>
  <c r="USQ3" i="7"/>
  <c r="UTW3" i="7"/>
  <c r="UVC3" i="7"/>
  <c r="UWI3" i="7"/>
  <c r="UXO3" i="7"/>
  <c r="UYU3" i="7"/>
  <c r="VAA3" i="7"/>
  <c r="VBG3" i="7"/>
  <c r="VCM3" i="7"/>
  <c r="VDS3" i="7"/>
  <c r="VEY3" i="7"/>
  <c r="VGE3" i="7"/>
  <c r="VHK3" i="7"/>
  <c r="VIQ3" i="7"/>
  <c r="VJW3" i="7"/>
  <c r="VMI3" i="7"/>
  <c r="VNO3" i="7"/>
  <c r="VOU3" i="7"/>
  <c r="VQA3" i="7"/>
  <c r="VRG3" i="7"/>
  <c r="VTS3" i="7"/>
  <c r="VUY3" i="7"/>
  <c r="VXK3" i="7"/>
  <c r="VZW3" i="7"/>
  <c r="WCI3" i="7"/>
  <c r="WEU3" i="7"/>
  <c r="WIM3" i="7"/>
  <c r="WNK3" i="7"/>
  <c r="WSI3" i="7"/>
  <c r="WWA3" i="7"/>
  <c r="WZS3" i="7"/>
  <c r="XCE3" i="7"/>
  <c r="WTU3" i="7"/>
  <c r="WWG3" i="7"/>
  <c r="WZY3" i="7"/>
  <c r="XDQ3" i="7"/>
  <c r="WKA3" i="7"/>
  <c r="WVC3" i="7"/>
  <c r="XAA3" i="7"/>
  <c r="XEY3" i="7"/>
  <c r="VHY3" i="7"/>
  <c r="VXY3" i="7"/>
  <c r="WGO3" i="7"/>
  <c r="WNY3" i="7"/>
  <c r="WUC3" i="7"/>
  <c r="WZA3" i="7"/>
  <c r="N3" i="7"/>
  <c r="UZK3" i="7"/>
  <c r="VJG3" i="7"/>
  <c r="VPK3" i="7"/>
  <c r="VWU3" i="7"/>
  <c r="WCY3" i="7"/>
  <c r="WKI3" i="7"/>
  <c r="WRS3" i="7"/>
  <c r="XAI3" i="7"/>
  <c r="MWG3" i="7"/>
  <c r="PJR3" i="7"/>
  <c r="PTN3" i="7"/>
  <c r="QDJ3" i="7"/>
  <c r="QIH3" i="7"/>
  <c r="QPE3" i="7"/>
  <c r="QRQ3" i="7"/>
  <c r="QUC3" i="7"/>
  <c r="QVI3" i="7"/>
  <c r="QXU3" i="7"/>
  <c r="RAG3" i="7"/>
  <c r="RCS3" i="7"/>
  <c r="RGK3" i="7"/>
  <c r="RLI3" i="7"/>
  <c r="RPA3" i="7"/>
  <c r="RRM3" i="7"/>
  <c r="RWK3" i="7"/>
  <c r="SAC3" i="7"/>
  <c r="SDU3" i="7"/>
  <c r="SLE3" i="7"/>
  <c r="SRI3" i="7"/>
  <c r="SZY3" i="7"/>
  <c r="TIO3" i="7"/>
  <c r="TPY3" i="7"/>
  <c r="TYO3" i="7"/>
  <c r="UHE3" i="7"/>
  <c r="UOO3" i="7"/>
  <c r="UXE3" i="7"/>
  <c r="VFU3" i="7"/>
  <c r="VOK3" i="7"/>
  <c r="VYG3" i="7"/>
  <c r="WJI3" i="7"/>
  <c r="WTE3" i="7"/>
  <c r="XBU3" i="7"/>
  <c r="OAH3" i="7"/>
  <c r="POX3" i="7"/>
  <c r="QIP3" i="7"/>
  <c r="QRS3" i="7"/>
  <c r="QWQ3" i="7"/>
  <c r="REA3" i="7"/>
  <c r="RIY3" i="7"/>
  <c r="RNW3" i="7"/>
  <c r="RUA3" i="7"/>
  <c r="SAE3" i="7"/>
  <c r="SFC3" i="7"/>
  <c r="SKA3" i="7"/>
  <c r="SOY3" i="7"/>
  <c r="STW3" i="7"/>
  <c r="TAA3" i="7"/>
  <c r="TDS3" i="7"/>
  <c r="TIQ3" i="7"/>
  <c r="TNO3" i="7"/>
  <c r="TTS3" i="7"/>
  <c r="TYQ3" i="7"/>
  <c r="UGA3" i="7"/>
  <c r="UNK3" i="7"/>
  <c r="USI3" i="7"/>
  <c r="UYM3" i="7"/>
  <c r="VEQ3" i="7"/>
  <c r="VKU3" i="7"/>
  <c r="VOM3" i="7"/>
  <c r="VUQ3" i="7"/>
  <c r="VZO3" i="7"/>
  <c r="WFS3" i="7"/>
  <c r="WNC3" i="7"/>
  <c r="WUM3" i="7"/>
  <c r="XAQ3" i="7"/>
  <c r="MMK3" i="7"/>
  <c r="NGC3" i="7"/>
  <c r="NUD3" i="7"/>
  <c r="ODZ3" i="7"/>
  <c r="ONN3" i="7"/>
  <c r="OSL3" i="7"/>
  <c r="OXJ3" i="7"/>
  <c r="PCH3" i="7"/>
  <c r="PHF3" i="7"/>
  <c r="PMD3" i="7"/>
  <c r="PRB3" i="7"/>
  <c r="PVZ3" i="7"/>
  <c r="QAX3" i="7"/>
  <c r="QFV3" i="7"/>
  <c r="QKT3" i="7"/>
  <c r="QOO3" i="7"/>
  <c r="QPU3" i="7"/>
  <c r="QRA3" i="7"/>
  <c r="QSG3" i="7"/>
  <c r="QTM3" i="7"/>
  <c r="QUS3" i="7"/>
  <c r="QVY3" i="7"/>
  <c r="QXE3" i="7"/>
  <c r="QYK3" i="7"/>
  <c r="QZQ3" i="7"/>
  <c r="RAW3" i="7"/>
  <c r="RCC3" i="7"/>
  <c r="RDI3" i="7"/>
  <c r="REO3" i="7"/>
  <c r="RFU3" i="7"/>
  <c r="RHA3" i="7"/>
  <c r="RIG3" i="7"/>
  <c r="RJM3" i="7"/>
  <c r="RKS3" i="7"/>
  <c r="RLY3" i="7"/>
  <c r="RNE3" i="7"/>
  <c r="ROK3" i="7"/>
  <c r="RPQ3" i="7"/>
  <c r="RQW3" i="7"/>
  <c r="RSC3" i="7"/>
  <c r="RTI3" i="7"/>
  <c r="RUO3" i="7"/>
  <c r="RVU3" i="7"/>
  <c r="RXA3" i="7"/>
  <c r="RYG3" i="7"/>
  <c r="RZM3" i="7"/>
  <c r="SAS3" i="7"/>
  <c r="SBY3" i="7"/>
  <c r="SDE3" i="7"/>
  <c r="SEK3" i="7"/>
  <c r="SFQ3" i="7"/>
  <c r="SGW3" i="7"/>
  <c r="SIC3" i="7"/>
  <c r="SJI3" i="7"/>
  <c r="SKO3" i="7"/>
  <c r="SLU3" i="7"/>
  <c r="SNA3" i="7"/>
  <c r="SOG3" i="7"/>
  <c r="SPM3" i="7"/>
  <c r="SQS3" i="7"/>
  <c r="SRY3" i="7"/>
  <c r="STE3" i="7"/>
  <c r="SUK3" i="7"/>
  <c r="SVQ3" i="7"/>
  <c r="SWW3" i="7"/>
  <c r="SYC3" i="7"/>
  <c r="SZI3" i="7"/>
  <c r="TAO3" i="7"/>
  <c r="TBU3" i="7"/>
  <c r="TDA3" i="7"/>
  <c r="TEG3" i="7"/>
  <c r="TFM3" i="7"/>
  <c r="TGS3" i="7"/>
  <c r="THY3" i="7"/>
  <c r="TJE3" i="7"/>
  <c r="TKK3" i="7"/>
  <c r="TLQ3" i="7"/>
  <c r="TMW3" i="7"/>
  <c r="TOC3" i="7"/>
  <c r="TPI3" i="7"/>
  <c r="TQO3" i="7"/>
  <c r="TRU3" i="7"/>
  <c r="TTA3" i="7"/>
  <c r="TUG3" i="7"/>
  <c r="TVM3" i="7"/>
  <c r="TWS3" i="7"/>
  <c r="TXY3" i="7"/>
  <c r="TZE3" i="7"/>
  <c r="UAK3" i="7"/>
  <c r="UBQ3" i="7"/>
  <c r="UCW3" i="7"/>
  <c r="UEC3" i="7"/>
  <c r="UFI3" i="7"/>
  <c r="UGO3" i="7"/>
  <c r="UHU3" i="7"/>
  <c r="UJA3" i="7"/>
  <c r="UKG3" i="7"/>
  <c r="ULM3" i="7"/>
  <c r="UMS3" i="7"/>
  <c r="UNY3" i="7"/>
  <c r="UPE3" i="7"/>
  <c r="UQK3" i="7"/>
  <c r="URQ3" i="7"/>
  <c r="USW3" i="7"/>
  <c r="UUC3" i="7"/>
  <c r="UVI3" i="7"/>
  <c r="UWO3" i="7"/>
  <c r="UXU3" i="7"/>
  <c r="UZA3" i="7"/>
  <c r="VAG3" i="7"/>
  <c r="VBM3" i="7"/>
  <c r="VCS3" i="7"/>
  <c r="VDY3" i="7"/>
  <c r="VFE3" i="7"/>
  <c r="VGK3" i="7"/>
  <c r="VHQ3" i="7"/>
  <c r="VIW3" i="7"/>
  <c r="VKC3" i="7"/>
  <c r="VLI3" i="7"/>
  <c r="VMO3" i="7"/>
  <c r="VNU3" i="7"/>
  <c r="VPA3" i="7"/>
  <c r="VQG3" i="7"/>
  <c r="VRM3" i="7"/>
  <c r="VSS3" i="7"/>
  <c r="VTY3" i="7"/>
  <c r="VVE3" i="7"/>
  <c r="VWK3" i="7"/>
  <c r="VXQ3" i="7"/>
  <c r="VYW3" i="7"/>
  <c r="WAC3" i="7"/>
  <c r="WBI3" i="7"/>
  <c r="WCO3" i="7"/>
  <c r="WDU3" i="7"/>
  <c r="WFA3" i="7"/>
  <c r="WGG3" i="7"/>
  <c r="WHM3" i="7"/>
  <c r="WIS3" i="7"/>
  <c r="WJY3" i="7"/>
  <c r="WLE3" i="7"/>
  <c r="WMK3" i="7"/>
  <c r="WNQ3" i="7"/>
  <c r="WOW3" i="7"/>
  <c r="WQC3" i="7"/>
  <c r="WSO3" i="7"/>
  <c r="WVA3" i="7"/>
  <c r="WYS3" i="7"/>
  <c r="XBE3" i="7"/>
  <c r="XEW3" i="7"/>
  <c r="WNS3" i="7"/>
  <c r="WTW3" i="7"/>
  <c r="WYU3" i="7"/>
  <c r="XDS3" i="7"/>
  <c r="VEG3" i="7"/>
  <c r="WBQ3" i="7"/>
  <c r="WLM3" i="7"/>
  <c r="WSW3" i="7"/>
  <c r="XAG3" i="7"/>
  <c r="UVS3" i="7"/>
  <c r="VIA3" i="7"/>
  <c r="VQQ3" i="7"/>
  <c r="VZG3" i="7"/>
  <c r="WJC3" i="7"/>
  <c r="WUE3" i="7"/>
  <c r="XBO3" i="7"/>
  <c r="NPF3" i="7"/>
  <c r="RKC3" i="7"/>
  <c r="RYW3" i="7"/>
  <c r="SJY3" i="7"/>
  <c r="STU3" i="7"/>
  <c r="TBE3" i="7"/>
  <c r="TLA3" i="7"/>
  <c r="TWC3" i="7"/>
  <c r="UDM3" i="7"/>
  <c r="UJQ3" i="7"/>
  <c r="UTM3" i="7"/>
  <c r="VCC3" i="7"/>
  <c r="VJM3" i="7"/>
  <c r="VSC3" i="7"/>
  <c r="WBY3" i="7"/>
  <c r="WKO3" i="7"/>
  <c r="WUK3" i="7"/>
  <c r="XDA3" i="7"/>
  <c r="OQH3" i="7"/>
  <c r="QZC3" i="7"/>
  <c r="RMQ3" i="7"/>
  <c r="RXS3" i="7"/>
  <c r="SIU3" i="7"/>
  <c r="SRK3" i="7"/>
  <c r="TBG3" i="7"/>
  <c r="TLC3" i="7"/>
  <c r="TUY3" i="7"/>
  <c r="UCI3" i="7"/>
  <c r="UKY3" i="7"/>
  <c r="UTO3" i="7"/>
  <c r="VAY3" i="7"/>
  <c r="VII3" i="7"/>
  <c r="VQY3" i="7"/>
  <c r="VYI3" i="7"/>
  <c r="WIE3" i="7"/>
  <c r="WSA3" i="7"/>
  <c r="XBW3" i="7"/>
  <c r="MOW3" i="7"/>
  <c r="NIO3" i="7"/>
  <c r="NVJ3" i="7"/>
  <c r="OFF3" i="7"/>
  <c r="ONV3" i="7"/>
  <c r="OST3" i="7"/>
  <c r="OXR3" i="7"/>
  <c r="PCP3" i="7"/>
  <c r="PHN3" i="7"/>
  <c r="PML3" i="7"/>
  <c r="PRJ3" i="7"/>
  <c r="PWH3" i="7"/>
  <c r="QBF3" i="7"/>
  <c r="QGD3" i="7"/>
  <c r="QLB3" i="7"/>
  <c r="QOQ3" i="7"/>
  <c r="QPW3" i="7"/>
  <c r="QRC3" i="7"/>
  <c r="QSI3" i="7"/>
  <c r="QTO3" i="7"/>
  <c r="QUU3" i="7"/>
  <c r="QWA3" i="7"/>
  <c r="QXG3" i="7"/>
  <c r="QYM3" i="7"/>
  <c r="QZS3" i="7"/>
  <c r="RAY3" i="7"/>
  <c r="RCE3" i="7"/>
  <c r="RDK3" i="7"/>
  <c r="REQ3" i="7"/>
  <c r="RFW3" i="7"/>
  <c r="RHC3" i="7"/>
  <c r="RII3" i="7"/>
  <c r="RJO3" i="7"/>
  <c r="RKU3" i="7"/>
  <c r="RMA3" i="7"/>
  <c r="RNG3" i="7"/>
  <c r="ROM3" i="7"/>
  <c r="RPS3" i="7"/>
  <c r="RQY3" i="7"/>
  <c r="RSE3" i="7"/>
  <c r="RTK3" i="7"/>
  <c r="RUQ3" i="7"/>
  <c r="RVW3" i="7"/>
  <c r="RXC3" i="7"/>
  <c r="RYI3" i="7"/>
  <c r="RZO3" i="7"/>
  <c r="SAU3" i="7"/>
  <c r="SCA3" i="7"/>
  <c r="SDG3" i="7"/>
  <c r="SEM3" i="7"/>
  <c r="SFS3" i="7"/>
  <c r="SGY3" i="7"/>
  <c r="SIE3" i="7"/>
  <c r="SJK3" i="7"/>
  <c r="SKQ3" i="7"/>
  <c r="SLW3" i="7"/>
  <c r="SNC3" i="7"/>
  <c r="SOI3" i="7"/>
  <c r="SPO3" i="7"/>
  <c r="SQU3" i="7"/>
  <c r="SSA3" i="7"/>
  <c r="STG3" i="7"/>
  <c r="SUM3" i="7"/>
  <c r="SVS3" i="7"/>
  <c r="SWY3" i="7"/>
  <c r="SYE3" i="7"/>
  <c r="SZK3" i="7"/>
  <c r="TAQ3" i="7"/>
  <c r="TBW3" i="7"/>
  <c r="TDC3" i="7"/>
  <c r="TEI3" i="7"/>
  <c r="TFO3" i="7"/>
  <c r="TGU3" i="7"/>
  <c r="TIA3" i="7"/>
  <c r="TJG3" i="7"/>
  <c r="TKM3" i="7"/>
  <c r="TLS3" i="7"/>
  <c r="TMY3" i="7"/>
  <c r="TOE3" i="7"/>
  <c r="TPK3" i="7"/>
  <c r="TQQ3" i="7"/>
  <c r="TRW3" i="7"/>
  <c r="TTC3" i="7"/>
  <c r="TUI3" i="7"/>
  <c r="TVO3" i="7"/>
  <c r="TWU3" i="7"/>
  <c r="TYA3" i="7"/>
  <c r="TZG3" i="7"/>
  <c r="UAM3" i="7"/>
  <c r="UBS3" i="7"/>
  <c r="UCY3" i="7"/>
  <c r="UEE3" i="7"/>
  <c r="UFK3" i="7"/>
  <c r="UGQ3" i="7"/>
  <c r="UHW3" i="7"/>
  <c r="UJC3" i="7"/>
  <c r="UKI3" i="7"/>
  <c r="ULO3" i="7"/>
  <c r="UMU3" i="7"/>
  <c r="UOA3" i="7"/>
  <c r="UPG3" i="7"/>
  <c r="UQM3" i="7"/>
  <c r="URS3" i="7"/>
  <c r="USY3" i="7"/>
  <c r="UUE3" i="7"/>
  <c r="UVK3" i="7"/>
  <c r="UWQ3" i="7"/>
  <c r="UXW3" i="7"/>
  <c r="UZC3" i="7"/>
  <c r="VAI3" i="7"/>
  <c r="VBO3" i="7"/>
  <c r="VCU3" i="7"/>
  <c r="VEA3" i="7"/>
  <c r="VFG3" i="7"/>
  <c r="VGM3" i="7"/>
  <c r="VHS3" i="7"/>
  <c r="VIY3" i="7"/>
  <c r="VKE3" i="7"/>
  <c r="VLK3" i="7"/>
  <c r="VMQ3" i="7"/>
  <c r="VNW3" i="7"/>
  <c r="VPC3" i="7"/>
  <c r="VQI3" i="7"/>
  <c r="VRO3" i="7"/>
  <c r="VSU3" i="7"/>
  <c r="VUA3" i="7"/>
  <c r="VVG3" i="7"/>
  <c r="VWM3" i="7"/>
  <c r="VXS3" i="7"/>
  <c r="VYY3" i="7"/>
  <c r="WAE3" i="7"/>
  <c r="WBK3" i="7"/>
  <c r="WCQ3" i="7"/>
  <c r="WDW3" i="7"/>
  <c r="WFC3" i="7"/>
  <c r="WGI3" i="7"/>
  <c r="WHO3" i="7"/>
  <c r="WLG3" i="7"/>
  <c r="WMM3" i="7"/>
  <c r="WOY3" i="7"/>
  <c r="WRK3" i="7"/>
  <c r="WWI3" i="7"/>
  <c r="XCM3" i="7"/>
  <c r="VJE3" i="7"/>
  <c r="VRU3" i="7"/>
  <c r="VVM3" i="7"/>
  <c r="WAK3" i="7"/>
  <c r="WFI3" i="7"/>
  <c r="WJA3" i="7"/>
  <c r="WMS3" i="7"/>
  <c r="WRQ3" i="7"/>
  <c r="WXU3" i="7"/>
  <c r="XDY3" i="7"/>
  <c r="UYE3" i="7"/>
  <c r="VRW3" i="7"/>
  <c r="WEE3" i="7"/>
  <c r="WOA3" i="7"/>
  <c r="WXW3" i="7"/>
  <c r="OUX3" i="7"/>
  <c r="RNU3" i="7"/>
  <c r="SCO3" i="7"/>
  <c r="SOW3" i="7"/>
  <c r="SYS3" i="7"/>
  <c r="THI3" i="7"/>
  <c r="TRE3" i="7"/>
  <c r="UCG3" i="7"/>
  <c r="UNI3" i="7"/>
  <c r="UVY3" i="7"/>
  <c r="VDI3" i="7"/>
  <c r="VNE3" i="7"/>
  <c r="VXA3" i="7"/>
  <c r="WGW3" i="7"/>
  <c r="WQS3" i="7"/>
  <c r="WZI3" i="7"/>
  <c r="OVF3" i="7"/>
  <c r="PTV3" i="7"/>
  <c r="QQM3" i="7"/>
  <c r="QXW3" i="7"/>
  <c r="RFG3" i="7"/>
  <c r="RSU3" i="7"/>
  <c r="SCQ3" i="7"/>
  <c r="SMM3" i="7"/>
  <c r="SXO3" i="7"/>
  <c r="TGE3" i="7"/>
  <c r="TQA3" i="7"/>
  <c r="TZW3" i="7"/>
  <c r="UHG3" i="7"/>
  <c r="UPW3" i="7"/>
  <c r="UZS3" i="7"/>
  <c r="VHC3" i="7"/>
  <c r="VSE3" i="7"/>
  <c r="WCA3" i="7"/>
  <c r="WLW3" i="7"/>
  <c r="WVS3" i="7"/>
  <c r="XEI3" i="7"/>
  <c r="MRI3" i="7"/>
  <c r="NLA3" i="7"/>
  <c r="NWP3" i="7"/>
  <c r="OGL3" i="7"/>
  <c r="OOT3" i="7"/>
  <c r="OTR3" i="7"/>
  <c r="OYP3" i="7"/>
  <c r="PDN3" i="7"/>
  <c r="PIL3" i="7"/>
  <c r="PNJ3" i="7"/>
  <c r="PSH3" i="7"/>
  <c r="PXF3" i="7"/>
  <c r="QCD3" i="7"/>
  <c r="QHB3" i="7"/>
  <c r="QLZ3" i="7"/>
  <c r="QOW3" i="7"/>
  <c r="QQC3" i="7"/>
  <c r="QRI3" i="7"/>
  <c r="QSO3" i="7"/>
  <c r="QTU3" i="7"/>
  <c r="QVA3" i="7"/>
  <c r="QWG3" i="7"/>
  <c r="QXM3" i="7"/>
  <c r="QYS3" i="7"/>
  <c r="QZY3" i="7"/>
  <c r="RBE3" i="7"/>
  <c r="RCK3" i="7"/>
  <c r="RDQ3" i="7"/>
  <c r="REW3" i="7"/>
  <c r="RGC3" i="7"/>
  <c r="RHI3" i="7"/>
  <c r="RIO3" i="7"/>
  <c r="RJU3" i="7"/>
  <c r="RLA3" i="7"/>
  <c r="RMG3" i="7"/>
  <c r="RNM3" i="7"/>
  <c r="ROS3" i="7"/>
  <c r="RPY3" i="7"/>
  <c r="RRE3" i="7"/>
  <c r="RSK3" i="7"/>
  <c r="RTQ3" i="7"/>
  <c r="RUW3" i="7"/>
  <c r="RWC3" i="7"/>
  <c r="RXI3" i="7"/>
  <c r="RYO3" i="7"/>
  <c r="RZU3" i="7"/>
  <c r="SBA3" i="7"/>
  <c r="SCG3" i="7"/>
  <c r="SDM3" i="7"/>
  <c r="SES3" i="7"/>
  <c r="SFY3" i="7"/>
  <c r="SHE3" i="7"/>
  <c r="SIK3" i="7"/>
  <c r="SJQ3" i="7"/>
  <c r="SKW3" i="7"/>
  <c r="SMC3" i="7"/>
  <c r="SNI3" i="7"/>
  <c r="SOO3" i="7"/>
  <c r="SPU3" i="7"/>
  <c r="SRA3" i="7"/>
  <c r="SSG3" i="7"/>
  <c r="STM3" i="7"/>
  <c r="SUS3" i="7"/>
  <c r="SVY3" i="7"/>
  <c r="SXE3" i="7"/>
  <c r="SYK3" i="7"/>
  <c r="SZQ3" i="7"/>
  <c r="TAW3" i="7"/>
  <c r="TCC3" i="7"/>
  <c r="TDI3" i="7"/>
  <c r="TEO3" i="7"/>
  <c r="TFU3" i="7"/>
  <c r="THA3" i="7"/>
  <c r="TIG3" i="7"/>
  <c r="TJM3" i="7"/>
  <c r="TKS3" i="7"/>
  <c r="TLY3" i="7"/>
  <c r="TNE3" i="7"/>
  <c r="TOK3" i="7"/>
  <c r="TPQ3" i="7"/>
  <c r="TQW3" i="7"/>
  <c r="TSC3" i="7"/>
  <c r="TTI3" i="7"/>
  <c r="TUO3" i="7"/>
  <c r="TVU3" i="7"/>
  <c r="TXA3" i="7"/>
  <c r="TYG3" i="7"/>
  <c r="TZM3" i="7"/>
  <c r="UAS3" i="7"/>
  <c r="UBY3" i="7"/>
  <c r="UDE3" i="7"/>
  <c r="UEK3" i="7"/>
  <c r="UFQ3" i="7"/>
  <c r="UGW3" i="7"/>
  <c r="UIC3" i="7"/>
  <c r="UJI3" i="7"/>
  <c r="UKO3" i="7"/>
  <c r="ULU3" i="7"/>
  <c r="UNA3" i="7"/>
  <c r="UOG3" i="7"/>
  <c r="UPM3" i="7"/>
  <c r="UQS3" i="7"/>
  <c r="URY3" i="7"/>
  <c r="UTE3" i="7"/>
  <c r="UUK3" i="7"/>
  <c r="UVQ3" i="7"/>
  <c r="UWW3" i="7"/>
  <c r="UYC3" i="7"/>
  <c r="UZI3" i="7"/>
  <c r="VAO3" i="7"/>
  <c r="VBU3" i="7"/>
  <c r="VDA3" i="7"/>
  <c r="VGS3" i="7"/>
  <c r="VKK3" i="7"/>
  <c r="VLQ3" i="7"/>
  <c r="VMW3" i="7"/>
  <c r="VOC3" i="7"/>
  <c r="VPI3" i="7"/>
  <c r="VQO3" i="7"/>
  <c r="VTA3" i="7"/>
  <c r="VWS3" i="7"/>
  <c r="WCW3" i="7"/>
  <c r="WHU3" i="7"/>
  <c r="WQK3" i="7"/>
  <c r="WWO3" i="7"/>
  <c r="XCS3" i="7"/>
  <c r="UWY3" i="7"/>
  <c r="VLS3" i="7"/>
  <c r="VTC3" i="7"/>
  <c r="VYA3" i="7"/>
  <c r="WFK3" i="7"/>
  <c r="WLO3" i="7"/>
  <c r="WQM3" i="7"/>
  <c r="WVK3" i="7"/>
  <c r="XCU3" i="7"/>
  <c r="NZB3" i="7"/>
  <c r="RHQ3" i="7"/>
  <c r="RVE3" i="7"/>
  <c r="SHM3" i="7"/>
  <c r="SQC3" i="7"/>
  <c r="SWG3" i="7"/>
  <c r="TCK3" i="7"/>
  <c r="TGC3" i="7"/>
  <c r="TNM3" i="7"/>
  <c r="TSK3" i="7"/>
  <c r="TXI3" i="7"/>
  <c r="UES3" i="7"/>
  <c r="UMC3" i="7"/>
  <c r="URA3" i="7"/>
  <c r="UUS3" i="7"/>
  <c r="VAW3" i="7"/>
  <c r="VHA3" i="7"/>
  <c r="VLY3" i="7"/>
  <c r="VTI3" i="7"/>
  <c r="VVU3" i="7"/>
  <c r="WDE3" i="7"/>
  <c r="WFQ3" i="7"/>
  <c r="WNA3" i="7"/>
  <c r="WRY3" i="7"/>
  <c r="WYC3" i="7"/>
  <c r="XEG3" i="7"/>
  <c r="NQL3" i="7"/>
  <c r="PAD3" i="7"/>
  <c r="QDR3" i="7"/>
  <c r="QSY3" i="7"/>
  <c r="RAI3" i="7"/>
  <c r="RHS3" i="7"/>
  <c r="RPC3" i="7"/>
  <c r="RWM3" i="7"/>
  <c r="SDW3" i="7"/>
  <c r="SNS3" i="7"/>
  <c r="SWI3" i="7"/>
  <c r="TEY3" i="7"/>
  <c r="TOU3" i="7"/>
  <c r="TWE3" i="7"/>
  <c r="UDO3" i="7"/>
  <c r="UME3" i="7"/>
  <c r="UUU3" i="7"/>
  <c r="VCE3" i="7"/>
  <c r="VMA3" i="7"/>
  <c r="VTK3" i="7"/>
  <c r="WAU3" i="7"/>
  <c r="WJK3" i="7"/>
  <c r="WQU3" i="7"/>
  <c r="WWY3" i="7"/>
  <c r="XDC3" i="7"/>
  <c r="MTU3" i="7"/>
  <c r="NNM3" i="7"/>
  <c r="NXV3" i="7"/>
  <c r="OHR3" i="7"/>
  <c r="OPB3" i="7"/>
  <c r="OTZ3" i="7"/>
  <c r="OYX3" i="7"/>
  <c r="PDV3" i="7"/>
  <c r="PIT3" i="7"/>
  <c r="PNR3" i="7"/>
  <c r="PSP3" i="7"/>
  <c r="PXN3" i="7"/>
  <c r="QCL3" i="7"/>
  <c r="QHJ3" i="7"/>
  <c r="QMH3" i="7"/>
  <c r="QOY3" i="7"/>
  <c r="QQE3" i="7"/>
  <c r="QRK3" i="7"/>
  <c r="QSQ3" i="7"/>
  <c r="QTW3" i="7"/>
  <c r="QVC3" i="7"/>
  <c r="QWI3" i="7"/>
  <c r="QXO3" i="7"/>
  <c r="QYU3" i="7"/>
  <c r="RAA3" i="7"/>
  <c r="RBG3" i="7"/>
  <c r="RCM3" i="7"/>
  <c r="RDS3" i="7"/>
  <c r="REY3" i="7"/>
  <c r="RGE3" i="7"/>
  <c r="RHK3" i="7"/>
  <c r="RIQ3" i="7"/>
  <c r="RJW3" i="7"/>
  <c r="RLC3" i="7"/>
  <c r="RMI3" i="7"/>
  <c r="RNO3" i="7"/>
  <c r="ROU3" i="7"/>
  <c r="RQA3" i="7"/>
  <c r="RRG3" i="7"/>
  <c r="RSM3" i="7"/>
  <c r="RTS3" i="7"/>
  <c r="RUY3" i="7"/>
  <c r="RWE3" i="7"/>
  <c r="RXK3" i="7"/>
  <c r="RYQ3" i="7"/>
  <c r="RZW3" i="7"/>
  <c r="SBC3" i="7"/>
  <c r="SCI3" i="7"/>
  <c r="SDO3" i="7"/>
  <c r="SEU3" i="7"/>
  <c r="SGA3" i="7"/>
  <c r="SHG3" i="7"/>
  <c r="SIM3" i="7"/>
  <c r="SJS3" i="7"/>
  <c r="SKY3" i="7"/>
  <c r="SME3" i="7"/>
  <c r="SNK3" i="7"/>
  <c r="SOQ3" i="7"/>
  <c r="SPW3" i="7"/>
  <c r="SRC3" i="7"/>
  <c r="SSI3" i="7"/>
  <c r="STO3" i="7"/>
  <c r="SUU3" i="7"/>
  <c r="SWA3" i="7"/>
  <c r="SXG3" i="7"/>
  <c r="SYM3" i="7"/>
  <c r="SZS3" i="7"/>
  <c r="TAY3" i="7"/>
  <c r="TCE3" i="7"/>
  <c r="TDK3" i="7"/>
  <c r="TEQ3" i="7"/>
  <c r="TFW3" i="7"/>
  <c r="THC3" i="7"/>
  <c r="TII3" i="7"/>
  <c r="TJO3" i="7"/>
  <c r="TKU3" i="7"/>
  <c r="TMA3" i="7"/>
  <c r="TNG3" i="7"/>
  <c r="TOM3" i="7"/>
  <c r="TPS3" i="7"/>
  <c r="TQY3" i="7"/>
  <c r="TSE3" i="7"/>
  <c r="TTK3" i="7"/>
  <c r="TUQ3" i="7"/>
  <c r="TVW3" i="7"/>
  <c r="TXC3" i="7"/>
  <c r="TYI3" i="7"/>
  <c r="TZO3" i="7"/>
  <c r="UAU3" i="7"/>
  <c r="UCA3" i="7"/>
  <c r="UDG3" i="7"/>
  <c r="UEM3" i="7"/>
  <c r="UFS3" i="7"/>
  <c r="UGY3" i="7"/>
  <c r="UIE3" i="7"/>
  <c r="UJK3" i="7"/>
  <c r="UKQ3" i="7"/>
  <c r="ULW3" i="7"/>
  <c r="UNC3" i="7"/>
  <c r="UOI3" i="7"/>
  <c r="UPO3" i="7"/>
  <c r="UQU3" i="7"/>
  <c r="USA3" i="7"/>
  <c r="UTG3" i="7"/>
  <c r="VAQ3" i="7"/>
  <c r="VBW3" i="7"/>
  <c r="VDC3" i="7"/>
  <c r="VEI3" i="7"/>
  <c r="VFO3" i="7"/>
  <c r="VGU3" i="7"/>
  <c r="VKM3" i="7"/>
  <c r="VOE3" i="7"/>
  <c r="VUI3" i="7"/>
  <c r="WBS3" i="7"/>
  <c r="WHW3" i="7"/>
  <c r="WPG3" i="7"/>
  <c r="WZC3" i="7"/>
  <c r="P3" i="7"/>
  <c r="OPZ3" i="7"/>
  <c r="OZV3" i="7"/>
  <c r="PET3" i="7"/>
  <c r="POP3" i="7"/>
  <c r="PYL3" i="7"/>
  <c r="QMZ3" i="7"/>
  <c r="QQK3" i="7"/>
  <c r="QSW3" i="7"/>
  <c r="QWO3" i="7"/>
  <c r="QZA3" i="7"/>
  <c r="RBM3" i="7"/>
  <c r="RFE3" i="7"/>
  <c r="RIW3" i="7"/>
  <c r="RMO3" i="7"/>
  <c r="RQG3" i="7"/>
  <c r="RTY3" i="7"/>
  <c r="RXQ3" i="7"/>
  <c r="SBI3" i="7"/>
  <c r="SGG3" i="7"/>
  <c r="SIS3" i="7"/>
  <c r="SNQ3" i="7"/>
  <c r="SSO3" i="7"/>
  <c r="SXM3" i="7"/>
  <c r="TDQ3" i="7"/>
  <c r="TMG3" i="7"/>
  <c r="TTQ3" i="7"/>
  <c r="UBA3" i="7"/>
  <c r="UIK3" i="7"/>
  <c r="UPU3" i="7"/>
  <c r="UYK3" i="7"/>
  <c r="VIG3" i="7"/>
  <c r="VQW3" i="7"/>
  <c r="VZM3" i="7"/>
  <c r="WIC3" i="7"/>
  <c r="WOG3" i="7"/>
  <c r="WWW3" i="7"/>
  <c r="V3" i="7"/>
  <c r="OKD3" i="7"/>
  <c r="PFB3" i="7"/>
  <c r="PYT3" i="7"/>
  <c r="QPG3" i="7"/>
  <c r="QVK3" i="7"/>
  <c r="RCU3" i="7"/>
  <c r="RGM3" i="7"/>
  <c r="RLK3" i="7"/>
  <c r="RQI3" i="7"/>
  <c r="RVG3" i="7"/>
  <c r="SBK3" i="7"/>
  <c r="SGI3" i="7"/>
  <c r="SLG3" i="7"/>
  <c r="SSQ3" i="7"/>
  <c r="SVC3" i="7"/>
  <c r="TCM3" i="7"/>
  <c r="THK3" i="7"/>
  <c r="TMI3" i="7"/>
  <c r="TRG3" i="7"/>
  <c r="TXK3" i="7"/>
  <c r="UEU3" i="7"/>
  <c r="UJS3" i="7"/>
  <c r="URC3" i="7"/>
  <c r="UWA3" i="7"/>
  <c r="VDK3" i="7"/>
  <c r="VJO3" i="7"/>
  <c r="VPS3" i="7"/>
  <c r="VXC3" i="7"/>
  <c r="WDG3" i="7"/>
  <c r="WGY3" i="7"/>
  <c r="WOI3" i="7"/>
  <c r="WTG3" i="7"/>
  <c r="WZK3" i="7"/>
  <c r="X3" i="7"/>
  <c r="X1146" i="7"/>
  <c r="W1146" i="7"/>
  <c r="V1146" i="7"/>
  <c r="U1146" i="7"/>
  <c r="T1146" i="7"/>
  <c r="S1146" i="7"/>
  <c r="R1146" i="7"/>
  <c r="Q1146" i="7"/>
  <c r="P1146" i="7"/>
  <c r="O1146" i="7"/>
  <c r="M1146" i="7"/>
  <c r="N1146" i="7"/>
  <c r="X1130" i="7"/>
  <c r="W1130" i="7"/>
  <c r="V1130" i="7"/>
  <c r="U1130" i="7"/>
  <c r="T1130" i="7"/>
  <c r="S1130" i="7"/>
  <c r="R1130" i="7"/>
  <c r="P1130" i="7"/>
  <c r="Q1130" i="7"/>
  <c r="O1130" i="7"/>
  <c r="M1130" i="7"/>
  <c r="N1130" i="7"/>
  <c r="X1106" i="7"/>
  <c r="W1106" i="7"/>
  <c r="U1106" i="7"/>
  <c r="V1106" i="7"/>
  <c r="T1106" i="7"/>
  <c r="S1106" i="7"/>
  <c r="R1106" i="7"/>
  <c r="Q1106" i="7"/>
  <c r="P1106" i="7"/>
  <c r="M1106" i="7"/>
  <c r="N1106" i="7"/>
  <c r="O1106" i="7"/>
  <c r="X1050" i="7"/>
  <c r="W1050" i="7"/>
  <c r="V1050" i="7"/>
  <c r="U1050" i="7"/>
  <c r="T1050" i="7"/>
  <c r="S1050" i="7"/>
  <c r="R1050" i="7"/>
  <c r="Q1050" i="7"/>
  <c r="P1050" i="7"/>
  <c r="M1050" i="7"/>
  <c r="O1050" i="7"/>
  <c r="N1050" i="7"/>
  <c r="X954" i="7"/>
  <c r="W954" i="7"/>
  <c r="U954" i="7"/>
  <c r="T954" i="7"/>
  <c r="V954" i="7"/>
  <c r="S954" i="7"/>
  <c r="R954" i="7"/>
  <c r="Q954" i="7"/>
  <c r="P954" i="7"/>
  <c r="O954" i="7"/>
  <c r="M954" i="7"/>
  <c r="N954" i="7"/>
  <c r="X826" i="7"/>
  <c r="W826" i="7"/>
  <c r="V826" i="7"/>
  <c r="U826" i="7"/>
  <c r="T826" i="7"/>
  <c r="S826" i="7"/>
  <c r="R826" i="7"/>
  <c r="Q826" i="7"/>
  <c r="P826" i="7"/>
  <c r="O826" i="7"/>
  <c r="M826" i="7"/>
  <c r="N826" i="7"/>
  <c r="X762" i="7"/>
  <c r="W762" i="7"/>
  <c r="V762" i="7"/>
  <c r="U762" i="7"/>
  <c r="T762" i="7"/>
  <c r="S762" i="7"/>
  <c r="R762" i="7"/>
  <c r="Q762" i="7"/>
  <c r="P762" i="7"/>
  <c r="O762" i="7"/>
  <c r="M762" i="7"/>
  <c r="N762" i="7"/>
  <c r="X746" i="7"/>
  <c r="W746" i="7"/>
  <c r="V746" i="7"/>
  <c r="U746" i="7"/>
  <c r="T746" i="7"/>
  <c r="S746" i="7"/>
  <c r="R746" i="7"/>
  <c r="Q746" i="7"/>
  <c r="P746" i="7"/>
  <c r="O746" i="7"/>
  <c r="M746" i="7"/>
  <c r="N746" i="7"/>
  <c r="X730" i="7"/>
  <c r="W730" i="7"/>
  <c r="V730" i="7"/>
  <c r="U730" i="7"/>
  <c r="T730" i="7"/>
  <c r="S730" i="7"/>
  <c r="R730" i="7"/>
  <c r="P730" i="7"/>
  <c r="Q730" i="7"/>
  <c r="O730" i="7"/>
  <c r="M730" i="7"/>
  <c r="N730" i="7"/>
  <c r="X690" i="7"/>
  <c r="W690" i="7"/>
  <c r="V690" i="7"/>
  <c r="T690" i="7"/>
  <c r="U690" i="7"/>
  <c r="S690" i="7"/>
  <c r="R690" i="7"/>
  <c r="Q690" i="7"/>
  <c r="P690" i="7"/>
  <c r="O690" i="7"/>
  <c r="M690" i="7"/>
  <c r="N690" i="7"/>
  <c r="X594" i="7"/>
  <c r="W594" i="7"/>
  <c r="V594" i="7"/>
  <c r="T594" i="7"/>
  <c r="U594" i="7"/>
  <c r="S594" i="7"/>
  <c r="R594" i="7"/>
  <c r="P594" i="7"/>
  <c r="Q594" i="7"/>
  <c r="O594" i="7"/>
  <c r="M594" i="7"/>
  <c r="N594" i="7"/>
  <c r="X554" i="7"/>
  <c r="W554" i="7"/>
  <c r="U554" i="7"/>
  <c r="V554" i="7"/>
  <c r="T554" i="7"/>
  <c r="S554" i="7"/>
  <c r="R554" i="7"/>
  <c r="P554" i="7"/>
  <c r="Q554" i="7"/>
  <c r="O554" i="7"/>
  <c r="M554" i="7"/>
  <c r="N554" i="7"/>
  <c r="X498" i="7"/>
  <c r="W498" i="7"/>
  <c r="V498" i="7"/>
  <c r="U498" i="7"/>
  <c r="T498" i="7"/>
  <c r="S498" i="7"/>
  <c r="R498" i="7"/>
  <c r="Q498" i="7"/>
  <c r="P498" i="7"/>
  <c r="O498" i="7"/>
  <c r="M498" i="7"/>
  <c r="N498" i="7"/>
  <c r="X442" i="7"/>
  <c r="W442" i="7"/>
  <c r="V442" i="7"/>
  <c r="U442" i="7"/>
  <c r="T442" i="7"/>
  <c r="S442" i="7"/>
  <c r="P442" i="7"/>
  <c r="Q442" i="7"/>
  <c r="R442" i="7"/>
  <c r="O442" i="7"/>
  <c r="M442" i="7"/>
  <c r="N442" i="7"/>
  <c r="X386" i="7"/>
  <c r="W386" i="7"/>
  <c r="V386" i="7"/>
  <c r="T386" i="7"/>
  <c r="U386" i="7"/>
  <c r="S386" i="7"/>
  <c r="R386" i="7"/>
  <c r="P386" i="7"/>
  <c r="Q386" i="7"/>
  <c r="O386" i="7"/>
  <c r="M386" i="7"/>
  <c r="N386" i="7"/>
  <c r="X66" i="7"/>
  <c r="W66" i="7"/>
  <c r="V66" i="7"/>
  <c r="S66" i="7"/>
  <c r="U66" i="7"/>
  <c r="T66" i="7"/>
  <c r="R66" i="7"/>
  <c r="P66" i="7"/>
  <c r="Q66" i="7"/>
  <c r="O66" i="7"/>
  <c r="M66" i="7"/>
  <c r="N66" i="7"/>
  <c r="X18" i="7"/>
  <c r="W18" i="7"/>
  <c r="V18" i="7"/>
  <c r="U18" i="7"/>
  <c r="T18" i="7"/>
  <c r="S18" i="7"/>
  <c r="P18" i="7"/>
  <c r="R18" i="7"/>
  <c r="Q18" i="7"/>
  <c r="O18" i="7"/>
  <c r="M18" i="7"/>
  <c r="N18" i="7"/>
  <c r="X1200" i="7"/>
  <c r="W1200" i="7"/>
  <c r="V1200" i="7"/>
  <c r="U1200" i="7"/>
  <c r="T1200" i="7"/>
  <c r="R1200" i="7"/>
  <c r="S1200" i="7"/>
  <c r="P1200" i="7"/>
  <c r="Q1200" i="7"/>
  <c r="N1200" i="7"/>
  <c r="O1200" i="7"/>
  <c r="M1200" i="7"/>
  <c r="X1192" i="7"/>
  <c r="W1192" i="7"/>
  <c r="V1192" i="7"/>
  <c r="U1192" i="7"/>
  <c r="T1192" i="7"/>
  <c r="R1192" i="7"/>
  <c r="P1192" i="7"/>
  <c r="S1192" i="7"/>
  <c r="Q1192" i="7"/>
  <c r="N1192" i="7"/>
  <c r="O1192" i="7"/>
  <c r="M1192" i="7"/>
  <c r="X1184" i="7"/>
  <c r="W1184" i="7"/>
  <c r="V1184" i="7"/>
  <c r="U1184" i="7"/>
  <c r="T1184" i="7"/>
  <c r="S1184" i="7"/>
  <c r="R1184" i="7"/>
  <c r="P1184" i="7"/>
  <c r="Q1184" i="7"/>
  <c r="O1184" i="7"/>
  <c r="N1184" i="7"/>
  <c r="M1184" i="7"/>
  <c r="X1176" i="7"/>
  <c r="W1176" i="7"/>
  <c r="V1176" i="7"/>
  <c r="T1176" i="7"/>
  <c r="U1176" i="7"/>
  <c r="R1176" i="7"/>
  <c r="S1176" i="7"/>
  <c r="P1176" i="7"/>
  <c r="O1176" i="7"/>
  <c r="N1176" i="7"/>
  <c r="Q1176" i="7"/>
  <c r="M1176" i="7"/>
  <c r="X1168" i="7"/>
  <c r="W1168" i="7"/>
  <c r="V1168" i="7"/>
  <c r="U1168" i="7"/>
  <c r="T1168" i="7"/>
  <c r="S1168" i="7"/>
  <c r="R1168" i="7"/>
  <c r="P1168" i="7"/>
  <c r="Q1168" i="7"/>
  <c r="N1168" i="7"/>
  <c r="O1168" i="7"/>
  <c r="M1168" i="7"/>
  <c r="X1160" i="7"/>
  <c r="W1160" i="7"/>
  <c r="V1160" i="7"/>
  <c r="U1160" i="7"/>
  <c r="T1160" i="7"/>
  <c r="R1160" i="7"/>
  <c r="S1160" i="7"/>
  <c r="P1160" i="7"/>
  <c r="Q1160" i="7"/>
  <c r="N1160" i="7"/>
  <c r="O1160" i="7"/>
  <c r="M1160" i="7"/>
  <c r="X1152" i="7"/>
  <c r="W1152" i="7"/>
  <c r="V1152" i="7"/>
  <c r="U1152" i="7"/>
  <c r="T1152" i="7"/>
  <c r="R1152" i="7"/>
  <c r="S1152" i="7"/>
  <c r="P1152" i="7"/>
  <c r="Q1152" i="7"/>
  <c r="O1152" i="7"/>
  <c r="N1152" i="7"/>
  <c r="M1152" i="7"/>
  <c r="X1144" i="7"/>
  <c r="W1144" i="7"/>
  <c r="V1144" i="7"/>
  <c r="U1144" i="7"/>
  <c r="S1144" i="7"/>
  <c r="R1144" i="7"/>
  <c r="T1144" i="7"/>
  <c r="P1144" i="7"/>
  <c r="Q1144" i="7"/>
  <c r="O1144" i="7"/>
  <c r="N1144" i="7"/>
  <c r="M1144" i="7"/>
  <c r="X1136" i="7"/>
  <c r="W1136" i="7"/>
  <c r="V1136" i="7"/>
  <c r="U1136" i="7"/>
  <c r="T1136" i="7"/>
  <c r="R1136" i="7"/>
  <c r="S1136" i="7"/>
  <c r="P1136" i="7"/>
  <c r="Q1136" i="7"/>
  <c r="N1136" i="7"/>
  <c r="O1136" i="7"/>
  <c r="M1136" i="7"/>
  <c r="X1128" i="7"/>
  <c r="W1128" i="7"/>
  <c r="V1128" i="7"/>
  <c r="U1128" i="7"/>
  <c r="T1128" i="7"/>
  <c r="R1128" i="7"/>
  <c r="P1128" i="7"/>
  <c r="Q1128" i="7"/>
  <c r="S1128" i="7"/>
  <c r="N1128" i="7"/>
  <c r="O1128" i="7"/>
  <c r="M1128" i="7"/>
  <c r="X1120" i="7"/>
  <c r="W1120" i="7"/>
  <c r="V1120" i="7"/>
  <c r="U1120" i="7"/>
  <c r="T1120" i="7"/>
  <c r="S1120" i="7"/>
  <c r="R1120" i="7"/>
  <c r="P1120" i="7"/>
  <c r="Q1120" i="7"/>
  <c r="O1120" i="7"/>
  <c r="N1120" i="7"/>
  <c r="M1120" i="7"/>
  <c r="X1112" i="7"/>
  <c r="W1112" i="7"/>
  <c r="V1112" i="7"/>
  <c r="U1112" i="7"/>
  <c r="T1112" i="7"/>
  <c r="R1112" i="7"/>
  <c r="S1112" i="7"/>
  <c r="P1112" i="7"/>
  <c r="Q1112" i="7"/>
  <c r="O1112" i="7"/>
  <c r="N1112" i="7"/>
  <c r="M1112" i="7"/>
  <c r="X1104" i="7"/>
  <c r="W1104" i="7"/>
  <c r="V1104" i="7"/>
  <c r="U1104" i="7"/>
  <c r="T1104" i="7"/>
  <c r="S1104" i="7"/>
  <c r="R1104" i="7"/>
  <c r="P1104" i="7"/>
  <c r="Q1104" i="7"/>
  <c r="N1104" i="7"/>
  <c r="O1104" i="7"/>
  <c r="M1104" i="7"/>
  <c r="X1096" i="7"/>
  <c r="W1096" i="7"/>
  <c r="V1096" i="7"/>
  <c r="U1096" i="7"/>
  <c r="T1096" i="7"/>
  <c r="R1096" i="7"/>
  <c r="S1096" i="7"/>
  <c r="P1096" i="7"/>
  <c r="Q1096" i="7"/>
  <c r="O1096" i="7"/>
  <c r="N1096" i="7"/>
  <c r="M1096" i="7"/>
  <c r="X1088" i="7"/>
  <c r="W1088" i="7"/>
  <c r="V1088" i="7"/>
  <c r="U1088" i="7"/>
  <c r="T1088" i="7"/>
  <c r="R1088" i="7"/>
  <c r="S1088" i="7"/>
  <c r="P1088" i="7"/>
  <c r="Q1088" i="7"/>
  <c r="N1088" i="7"/>
  <c r="O1088" i="7"/>
  <c r="M1088" i="7"/>
  <c r="X1080" i="7"/>
  <c r="W1080" i="7"/>
  <c r="V1080" i="7"/>
  <c r="U1080" i="7"/>
  <c r="S1080" i="7"/>
  <c r="R1080" i="7"/>
  <c r="P1080" i="7"/>
  <c r="T1080" i="7"/>
  <c r="Q1080" i="7"/>
  <c r="O1080" i="7"/>
  <c r="N1080" i="7"/>
  <c r="M1080" i="7"/>
  <c r="X1072" i="7"/>
  <c r="W1072" i="7"/>
  <c r="V1072" i="7"/>
  <c r="U1072" i="7"/>
  <c r="T1072" i="7"/>
  <c r="R1072" i="7"/>
  <c r="S1072" i="7"/>
  <c r="P1072" i="7"/>
  <c r="Q1072" i="7"/>
  <c r="N1072" i="7"/>
  <c r="O1072" i="7"/>
  <c r="M1072" i="7"/>
  <c r="X1064" i="7"/>
  <c r="W1064" i="7"/>
  <c r="V1064" i="7"/>
  <c r="U1064" i="7"/>
  <c r="T1064" i="7"/>
  <c r="S1064" i="7"/>
  <c r="R1064" i="7"/>
  <c r="P1064" i="7"/>
  <c r="Q1064" i="7"/>
  <c r="O1064" i="7"/>
  <c r="N1064" i="7"/>
  <c r="M1064" i="7"/>
  <c r="X1056" i="7"/>
  <c r="W1056" i="7"/>
  <c r="V1056" i="7"/>
  <c r="U1056" i="7"/>
  <c r="T1056" i="7"/>
  <c r="R1056" i="7"/>
  <c r="S1056" i="7"/>
  <c r="P1056" i="7"/>
  <c r="Q1056" i="7"/>
  <c r="N1056" i="7"/>
  <c r="O1056" i="7"/>
  <c r="M1056" i="7"/>
  <c r="X1048" i="7"/>
  <c r="W1048" i="7"/>
  <c r="V1048" i="7"/>
  <c r="U1048" i="7"/>
  <c r="T1048" i="7"/>
  <c r="R1048" i="7"/>
  <c r="S1048" i="7"/>
  <c r="P1048" i="7"/>
  <c r="Q1048" i="7"/>
  <c r="N1048" i="7"/>
  <c r="O1048" i="7"/>
  <c r="M1048" i="7"/>
  <c r="X1040" i="7"/>
  <c r="W1040" i="7"/>
  <c r="V1040" i="7"/>
  <c r="U1040" i="7"/>
  <c r="T1040" i="7"/>
  <c r="S1040" i="7"/>
  <c r="R1040" i="7"/>
  <c r="P1040" i="7"/>
  <c r="Q1040" i="7"/>
  <c r="O1040" i="7"/>
  <c r="N1040" i="7"/>
  <c r="M1040" i="7"/>
  <c r="X1032" i="7"/>
  <c r="W1032" i="7"/>
  <c r="V1032" i="7"/>
  <c r="U1032" i="7"/>
  <c r="T1032" i="7"/>
  <c r="R1032" i="7"/>
  <c r="S1032" i="7"/>
  <c r="P1032" i="7"/>
  <c r="Q1032" i="7"/>
  <c r="N1032" i="7"/>
  <c r="O1032" i="7"/>
  <c r="M1032" i="7"/>
  <c r="X1024" i="7"/>
  <c r="W1024" i="7"/>
  <c r="V1024" i="7"/>
  <c r="U1024" i="7"/>
  <c r="T1024" i="7"/>
  <c r="S1024" i="7"/>
  <c r="R1024" i="7"/>
  <c r="P1024" i="7"/>
  <c r="Q1024" i="7"/>
  <c r="O1024" i="7"/>
  <c r="N1024" i="7"/>
  <c r="M1024" i="7"/>
  <c r="X1016" i="7"/>
  <c r="W1016" i="7"/>
  <c r="V1016" i="7"/>
  <c r="U1016" i="7"/>
  <c r="T1016" i="7"/>
  <c r="R1016" i="7"/>
  <c r="P1016" i="7"/>
  <c r="Q1016" i="7"/>
  <c r="S1016" i="7"/>
  <c r="O1016" i="7"/>
  <c r="N1016" i="7"/>
  <c r="M1016" i="7"/>
  <c r="X1008" i="7"/>
  <c r="W1008" i="7"/>
  <c r="V1008" i="7"/>
  <c r="U1008" i="7"/>
  <c r="T1008" i="7"/>
  <c r="R1008" i="7"/>
  <c r="S1008" i="7"/>
  <c r="P1008" i="7"/>
  <c r="Q1008" i="7"/>
  <c r="N1008" i="7"/>
  <c r="O1008" i="7"/>
  <c r="M1008" i="7"/>
  <c r="X1000" i="7"/>
  <c r="W1000" i="7"/>
  <c r="V1000" i="7"/>
  <c r="U1000" i="7"/>
  <c r="T1000" i="7"/>
  <c r="S1000" i="7"/>
  <c r="R1000" i="7"/>
  <c r="P1000" i="7"/>
  <c r="Q1000" i="7"/>
  <c r="O1000" i="7"/>
  <c r="N1000" i="7"/>
  <c r="M1000" i="7"/>
  <c r="X992" i="7"/>
  <c r="W992" i="7"/>
  <c r="V992" i="7"/>
  <c r="U992" i="7"/>
  <c r="T992" i="7"/>
  <c r="R992" i="7"/>
  <c r="S992" i="7"/>
  <c r="P992" i="7"/>
  <c r="Q992" i="7"/>
  <c r="N992" i="7"/>
  <c r="O992" i="7"/>
  <c r="M992" i="7"/>
  <c r="X984" i="7"/>
  <c r="W984" i="7"/>
  <c r="V984" i="7"/>
  <c r="U984" i="7"/>
  <c r="T984" i="7"/>
  <c r="R984" i="7"/>
  <c r="S984" i="7"/>
  <c r="P984" i="7"/>
  <c r="Q984" i="7"/>
  <c r="N984" i="7"/>
  <c r="O984" i="7"/>
  <c r="M984" i="7"/>
  <c r="X976" i="7"/>
  <c r="V976" i="7"/>
  <c r="U976" i="7"/>
  <c r="W976" i="7"/>
  <c r="T976" i="7"/>
  <c r="S976" i="7"/>
  <c r="R976" i="7"/>
  <c r="Q976" i="7"/>
  <c r="P976" i="7"/>
  <c r="O976" i="7"/>
  <c r="N976" i="7"/>
  <c r="M976" i="7"/>
  <c r="X968" i="7"/>
  <c r="W968" i="7"/>
  <c r="V968" i="7"/>
  <c r="U968" i="7"/>
  <c r="T968" i="7"/>
  <c r="R968" i="7"/>
  <c r="S968" i="7"/>
  <c r="P968" i="7"/>
  <c r="Q968" i="7"/>
  <c r="N968" i="7"/>
  <c r="O968" i="7"/>
  <c r="M968" i="7"/>
  <c r="X960" i="7"/>
  <c r="W960" i="7"/>
  <c r="V960" i="7"/>
  <c r="U960" i="7"/>
  <c r="T960" i="7"/>
  <c r="S960" i="7"/>
  <c r="R960" i="7"/>
  <c r="P960" i="7"/>
  <c r="Q960" i="7"/>
  <c r="O960" i="7"/>
  <c r="N960" i="7"/>
  <c r="M960" i="7"/>
  <c r="X952" i="7"/>
  <c r="W952" i="7"/>
  <c r="V952" i="7"/>
  <c r="U952" i="7"/>
  <c r="T952" i="7"/>
  <c r="R952" i="7"/>
  <c r="P952" i="7"/>
  <c r="Q952" i="7"/>
  <c r="S952" i="7"/>
  <c r="O952" i="7"/>
  <c r="N952" i="7"/>
  <c r="M952" i="7"/>
  <c r="X944" i="7"/>
  <c r="W944" i="7"/>
  <c r="V944" i="7"/>
  <c r="U944" i="7"/>
  <c r="T944" i="7"/>
  <c r="R944" i="7"/>
  <c r="S944" i="7"/>
  <c r="P944" i="7"/>
  <c r="Q944" i="7"/>
  <c r="N944" i="7"/>
  <c r="O944" i="7"/>
  <c r="M944" i="7"/>
  <c r="X936" i="7"/>
  <c r="W936" i="7"/>
  <c r="V936" i="7"/>
  <c r="U936" i="7"/>
  <c r="T936" i="7"/>
  <c r="S936" i="7"/>
  <c r="R936" i="7"/>
  <c r="P936" i="7"/>
  <c r="Q936" i="7"/>
  <c r="O936" i="7"/>
  <c r="N936" i="7"/>
  <c r="M936" i="7"/>
  <c r="X928" i="7"/>
  <c r="W928" i="7"/>
  <c r="V928" i="7"/>
  <c r="U928" i="7"/>
  <c r="T928" i="7"/>
  <c r="R928" i="7"/>
  <c r="S928" i="7"/>
  <c r="P928" i="7"/>
  <c r="Q928" i="7"/>
  <c r="N928" i="7"/>
  <c r="O928" i="7"/>
  <c r="M928" i="7"/>
  <c r="X920" i="7"/>
  <c r="W920" i="7"/>
  <c r="V920" i="7"/>
  <c r="U920" i="7"/>
  <c r="T920" i="7"/>
  <c r="R920" i="7"/>
  <c r="S920" i="7"/>
  <c r="P920" i="7"/>
  <c r="Q920" i="7"/>
  <c r="N920" i="7"/>
  <c r="O920" i="7"/>
  <c r="M920" i="7"/>
  <c r="X912" i="7"/>
  <c r="W912" i="7"/>
  <c r="V912" i="7"/>
  <c r="U912" i="7"/>
  <c r="T912" i="7"/>
  <c r="S912" i="7"/>
  <c r="R912" i="7"/>
  <c r="Q912" i="7"/>
  <c r="P912" i="7"/>
  <c r="O912" i="7"/>
  <c r="N912" i="7"/>
  <c r="M912" i="7"/>
  <c r="X904" i="7"/>
  <c r="W904" i="7"/>
  <c r="V904" i="7"/>
  <c r="U904" i="7"/>
  <c r="T904" i="7"/>
  <c r="R904" i="7"/>
  <c r="S904" i="7"/>
  <c r="P904" i="7"/>
  <c r="Q904" i="7"/>
  <c r="N904" i="7"/>
  <c r="O904" i="7"/>
  <c r="M904" i="7"/>
  <c r="X896" i="7"/>
  <c r="W896" i="7"/>
  <c r="V896" i="7"/>
  <c r="U896" i="7"/>
  <c r="T896" i="7"/>
  <c r="S896" i="7"/>
  <c r="R896" i="7"/>
  <c r="P896" i="7"/>
  <c r="Q896" i="7"/>
  <c r="N896" i="7"/>
  <c r="O896" i="7"/>
  <c r="M896" i="7"/>
  <c r="X888" i="7"/>
  <c r="W888" i="7"/>
  <c r="V888" i="7"/>
  <c r="U888" i="7"/>
  <c r="T888" i="7"/>
  <c r="R888" i="7"/>
  <c r="S888" i="7"/>
  <c r="P888" i="7"/>
  <c r="Q888" i="7"/>
  <c r="O888" i="7"/>
  <c r="N888" i="7"/>
  <c r="M888" i="7"/>
  <c r="X880" i="7"/>
  <c r="W880" i="7"/>
  <c r="V880" i="7"/>
  <c r="U880" i="7"/>
  <c r="T880" i="7"/>
  <c r="R880" i="7"/>
  <c r="S880" i="7"/>
  <c r="P880" i="7"/>
  <c r="Q880" i="7"/>
  <c r="O880" i="7"/>
  <c r="N880" i="7"/>
  <c r="M880" i="7"/>
  <c r="X872" i="7"/>
  <c r="W872" i="7"/>
  <c r="V872" i="7"/>
  <c r="U872" i="7"/>
  <c r="T872" i="7"/>
  <c r="S872" i="7"/>
  <c r="R872" i="7"/>
  <c r="P872" i="7"/>
  <c r="Q872" i="7"/>
  <c r="N872" i="7"/>
  <c r="M872" i="7"/>
  <c r="O872" i="7"/>
  <c r="X864" i="7"/>
  <c r="W864" i="7"/>
  <c r="V864" i="7"/>
  <c r="U864" i="7"/>
  <c r="T864" i="7"/>
  <c r="R864" i="7"/>
  <c r="S864" i="7"/>
  <c r="P864" i="7"/>
  <c r="Q864" i="7"/>
  <c r="N864" i="7"/>
  <c r="O864" i="7"/>
  <c r="M864" i="7"/>
  <c r="X856" i="7"/>
  <c r="W856" i="7"/>
  <c r="V856" i="7"/>
  <c r="U856" i="7"/>
  <c r="T856" i="7"/>
  <c r="R856" i="7"/>
  <c r="S856" i="7"/>
  <c r="P856" i="7"/>
  <c r="Q856" i="7"/>
  <c r="O856" i="7"/>
  <c r="N856" i="7"/>
  <c r="M856" i="7"/>
  <c r="X848" i="7"/>
  <c r="W848" i="7"/>
  <c r="V848" i="7"/>
  <c r="U848" i="7"/>
  <c r="T848" i="7"/>
  <c r="S848" i="7"/>
  <c r="R848" i="7"/>
  <c r="Q848" i="7"/>
  <c r="P848" i="7"/>
  <c r="O848" i="7"/>
  <c r="N848" i="7"/>
  <c r="M848" i="7"/>
  <c r="X840" i="7"/>
  <c r="W840" i="7"/>
  <c r="V840" i="7"/>
  <c r="U840" i="7"/>
  <c r="T840" i="7"/>
  <c r="R840" i="7"/>
  <c r="S840" i="7"/>
  <c r="P840" i="7"/>
  <c r="Q840" i="7"/>
  <c r="N840" i="7"/>
  <c r="O840" i="7"/>
  <c r="M840" i="7"/>
  <c r="X832" i="7"/>
  <c r="W832" i="7"/>
  <c r="V832" i="7"/>
  <c r="T832" i="7"/>
  <c r="U832" i="7"/>
  <c r="S832" i="7"/>
  <c r="R832" i="7"/>
  <c r="P832" i="7"/>
  <c r="Q832" i="7"/>
  <c r="N832" i="7"/>
  <c r="O832" i="7"/>
  <c r="M832" i="7"/>
  <c r="X824" i="7"/>
  <c r="W824" i="7"/>
  <c r="V824" i="7"/>
  <c r="T824" i="7"/>
  <c r="U824" i="7"/>
  <c r="R824" i="7"/>
  <c r="P824" i="7"/>
  <c r="Q824" i="7"/>
  <c r="S824" i="7"/>
  <c r="O824" i="7"/>
  <c r="N824" i="7"/>
  <c r="M824" i="7"/>
  <c r="X816" i="7"/>
  <c r="W816" i="7"/>
  <c r="V816" i="7"/>
  <c r="U816" i="7"/>
  <c r="T816" i="7"/>
  <c r="R816" i="7"/>
  <c r="S816" i="7"/>
  <c r="P816" i="7"/>
  <c r="Q816" i="7"/>
  <c r="O816" i="7"/>
  <c r="N816" i="7"/>
  <c r="M816" i="7"/>
  <c r="X808" i="7"/>
  <c r="W808" i="7"/>
  <c r="T808" i="7"/>
  <c r="V808" i="7"/>
  <c r="U808" i="7"/>
  <c r="S808" i="7"/>
  <c r="R808" i="7"/>
  <c r="P808" i="7"/>
  <c r="Q808" i="7"/>
  <c r="N808" i="7"/>
  <c r="O808" i="7"/>
  <c r="M808" i="7"/>
  <c r="X800" i="7"/>
  <c r="W800" i="7"/>
  <c r="U800" i="7"/>
  <c r="V800" i="7"/>
  <c r="T800" i="7"/>
  <c r="R800" i="7"/>
  <c r="S800" i="7"/>
  <c r="P800" i="7"/>
  <c r="Q800" i="7"/>
  <c r="N800" i="7"/>
  <c r="O800" i="7"/>
  <c r="M800" i="7"/>
  <c r="X792" i="7"/>
  <c r="W792" i="7"/>
  <c r="V792" i="7"/>
  <c r="T792" i="7"/>
  <c r="U792" i="7"/>
  <c r="R792" i="7"/>
  <c r="S792" i="7"/>
  <c r="P792" i="7"/>
  <c r="Q792" i="7"/>
  <c r="O792" i="7"/>
  <c r="N792" i="7"/>
  <c r="M792" i="7"/>
  <c r="X784" i="7"/>
  <c r="W784" i="7"/>
  <c r="V784" i="7"/>
  <c r="U784" i="7"/>
  <c r="T784" i="7"/>
  <c r="S784" i="7"/>
  <c r="R784" i="7"/>
  <c r="Q784" i="7"/>
  <c r="P784" i="7"/>
  <c r="O784" i="7"/>
  <c r="N784" i="7"/>
  <c r="M784" i="7"/>
  <c r="X776" i="7"/>
  <c r="W776" i="7"/>
  <c r="V776" i="7"/>
  <c r="U776" i="7"/>
  <c r="T776" i="7"/>
  <c r="R776" i="7"/>
  <c r="S776" i="7"/>
  <c r="P776" i="7"/>
  <c r="Q776" i="7"/>
  <c r="N776" i="7"/>
  <c r="O776" i="7"/>
  <c r="M776" i="7"/>
  <c r="X768" i="7"/>
  <c r="W768" i="7"/>
  <c r="V768" i="7"/>
  <c r="U768" i="7"/>
  <c r="T768" i="7"/>
  <c r="S768" i="7"/>
  <c r="R768" i="7"/>
  <c r="P768" i="7"/>
  <c r="Q768" i="7"/>
  <c r="N768" i="7"/>
  <c r="O768" i="7"/>
  <c r="M768" i="7"/>
  <c r="X760" i="7"/>
  <c r="W760" i="7"/>
  <c r="V760" i="7"/>
  <c r="T760" i="7"/>
  <c r="U760" i="7"/>
  <c r="R760" i="7"/>
  <c r="P760" i="7"/>
  <c r="Q760" i="7"/>
  <c r="S760" i="7"/>
  <c r="O760" i="7"/>
  <c r="N760" i="7"/>
  <c r="M760" i="7"/>
  <c r="X752" i="7"/>
  <c r="W752" i="7"/>
  <c r="V752" i="7"/>
  <c r="U752" i="7"/>
  <c r="T752" i="7"/>
  <c r="R752" i="7"/>
  <c r="S752" i="7"/>
  <c r="P752" i="7"/>
  <c r="Q752" i="7"/>
  <c r="O752" i="7"/>
  <c r="N752" i="7"/>
  <c r="M752" i="7"/>
  <c r="X744" i="7"/>
  <c r="W744" i="7"/>
  <c r="V744" i="7"/>
  <c r="U744" i="7"/>
  <c r="T744" i="7"/>
  <c r="S744" i="7"/>
  <c r="R744" i="7"/>
  <c r="P744" i="7"/>
  <c r="Q744" i="7"/>
  <c r="N744" i="7"/>
  <c r="O744" i="7"/>
  <c r="M744" i="7"/>
  <c r="X736" i="7"/>
  <c r="W736" i="7"/>
  <c r="V736" i="7"/>
  <c r="U736" i="7"/>
  <c r="T736" i="7"/>
  <c r="R736" i="7"/>
  <c r="S736" i="7"/>
  <c r="P736" i="7"/>
  <c r="Q736" i="7"/>
  <c r="N736" i="7"/>
  <c r="O736" i="7"/>
  <c r="M736" i="7"/>
  <c r="X728" i="7"/>
  <c r="W728" i="7"/>
  <c r="V728" i="7"/>
  <c r="T728" i="7"/>
  <c r="U728" i="7"/>
  <c r="R728" i="7"/>
  <c r="S728" i="7"/>
  <c r="P728" i="7"/>
  <c r="Q728" i="7"/>
  <c r="O728" i="7"/>
  <c r="N728" i="7"/>
  <c r="M728" i="7"/>
  <c r="X720" i="7"/>
  <c r="W720" i="7"/>
  <c r="V720" i="7"/>
  <c r="U720" i="7"/>
  <c r="T720" i="7"/>
  <c r="S720" i="7"/>
  <c r="R720" i="7"/>
  <c r="Q720" i="7"/>
  <c r="P720" i="7"/>
  <c r="O720" i="7"/>
  <c r="N720" i="7"/>
  <c r="M720" i="7"/>
  <c r="X712" i="7"/>
  <c r="W712" i="7"/>
  <c r="V712" i="7"/>
  <c r="U712" i="7"/>
  <c r="T712" i="7"/>
  <c r="R712" i="7"/>
  <c r="S712" i="7"/>
  <c r="P712" i="7"/>
  <c r="Q712" i="7"/>
  <c r="N712" i="7"/>
  <c r="O712" i="7"/>
  <c r="M712" i="7"/>
  <c r="X704" i="7"/>
  <c r="W704" i="7"/>
  <c r="V704" i="7"/>
  <c r="U704" i="7"/>
  <c r="T704" i="7"/>
  <c r="S704" i="7"/>
  <c r="R704" i="7"/>
  <c r="P704" i="7"/>
  <c r="Q704" i="7"/>
  <c r="N704" i="7"/>
  <c r="O704" i="7"/>
  <c r="M704" i="7"/>
  <c r="X696" i="7"/>
  <c r="W696" i="7"/>
  <c r="V696" i="7"/>
  <c r="T696" i="7"/>
  <c r="U696" i="7"/>
  <c r="R696" i="7"/>
  <c r="P696" i="7"/>
  <c r="Q696" i="7"/>
  <c r="S696" i="7"/>
  <c r="O696" i="7"/>
  <c r="N696" i="7"/>
  <c r="M696" i="7"/>
  <c r="X688" i="7"/>
  <c r="W688" i="7"/>
  <c r="V688" i="7"/>
  <c r="U688" i="7"/>
  <c r="T688" i="7"/>
  <c r="R688" i="7"/>
  <c r="S688" i="7"/>
  <c r="P688" i="7"/>
  <c r="O688" i="7"/>
  <c r="N688" i="7"/>
  <c r="Q688" i="7"/>
  <c r="M688" i="7"/>
  <c r="X680" i="7"/>
  <c r="W680" i="7"/>
  <c r="V680" i="7"/>
  <c r="T680" i="7"/>
  <c r="U680" i="7"/>
  <c r="S680" i="7"/>
  <c r="R680" i="7"/>
  <c r="P680" i="7"/>
  <c r="Q680" i="7"/>
  <c r="N680" i="7"/>
  <c r="M680" i="7"/>
  <c r="O680" i="7"/>
  <c r="X672" i="7"/>
  <c r="W672" i="7"/>
  <c r="V672" i="7"/>
  <c r="U672" i="7"/>
  <c r="T672" i="7"/>
  <c r="R672" i="7"/>
  <c r="S672" i="7"/>
  <c r="P672" i="7"/>
  <c r="Q672" i="7"/>
  <c r="N672" i="7"/>
  <c r="O672" i="7"/>
  <c r="M672" i="7"/>
  <c r="X664" i="7"/>
  <c r="W664" i="7"/>
  <c r="V664" i="7"/>
  <c r="T664" i="7"/>
  <c r="U664" i="7"/>
  <c r="R664" i="7"/>
  <c r="S664" i="7"/>
  <c r="P664" i="7"/>
  <c r="Q664" i="7"/>
  <c r="M664" i="7"/>
  <c r="O664" i="7"/>
  <c r="N664" i="7"/>
  <c r="X656" i="7"/>
  <c r="W656" i="7"/>
  <c r="V656" i="7"/>
  <c r="U656" i="7"/>
  <c r="T656" i="7"/>
  <c r="S656" i="7"/>
  <c r="R656" i="7"/>
  <c r="P656" i="7"/>
  <c r="Q656" i="7"/>
  <c r="O656" i="7"/>
  <c r="M656" i="7"/>
  <c r="N656" i="7"/>
  <c r="X648" i="7"/>
  <c r="W648" i="7"/>
  <c r="V648" i="7"/>
  <c r="U648" i="7"/>
  <c r="T648" i="7"/>
  <c r="R648" i="7"/>
  <c r="S648" i="7"/>
  <c r="Q648" i="7"/>
  <c r="P648" i="7"/>
  <c r="M648" i="7"/>
  <c r="N648" i="7"/>
  <c r="O648" i="7"/>
  <c r="X640" i="7"/>
  <c r="W640" i="7"/>
  <c r="V640" i="7"/>
  <c r="U640" i="7"/>
  <c r="T640" i="7"/>
  <c r="S640" i="7"/>
  <c r="R640" i="7"/>
  <c r="P640" i="7"/>
  <c r="Q640" i="7"/>
  <c r="M640" i="7"/>
  <c r="N640" i="7"/>
  <c r="O640" i="7"/>
  <c r="X632" i="7"/>
  <c r="W632" i="7"/>
  <c r="V632" i="7"/>
  <c r="T632" i="7"/>
  <c r="U632" i="7"/>
  <c r="R632" i="7"/>
  <c r="P632" i="7"/>
  <c r="Q632" i="7"/>
  <c r="S632" i="7"/>
  <c r="M632" i="7"/>
  <c r="O632" i="7"/>
  <c r="N632" i="7"/>
  <c r="X624" i="7"/>
  <c r="W624" i="7"/>
  <c r="V624" i="7"/>
  <c r="U624" i="7"/>
  <c r="T624" i="7"/>
  <c r="R624" i="7"/>
  <c r="S624" i="7"/>
  <c r="P624" i="7"/>
  <c r="Q624" i="7"/>
  <c r="O624" i="7"/>
  <c r="M624" i="7"/>
  <c r="N624" i="7"/>
  <c r="X616" i="7"/>
  <c r="W616" i="7"/>
  <c r="V616" i="7"/>
  <c r="T616" i="7"/>
  <c r="U616" i="7"/>
  <c r="S616" i="7"/>
  <c r="R616" i="7"/>
  <c r="P616" i="7"/>
  <c r="Q616" i="7"/>
  <c r="M616" i="7"/>
  <c r="N616" i="7"/>
  <c r="O616" i="7"/>
  <c r="X608" i="7"/>
  <c r="V608" i="7"/>
  <c r="W608" i="7"/>
  <c r="U608" i="7"/>
  <c r="T608" i="7"/>
  <c r="R608" i="7"/>
  <c r="S608" i="7"/>
  <c r="P608" i="7"/>
  <c r="Q608" i="7"/>
  <c r="M608" i="7"/>
  <c r="N608" i="7"/>
  <c r="O608" i="7"/>
  <c r="X600" i="7"/>
  <c r="W600" i="7"/>
  <c r="V600" i="7"/>
  <c r="T600" i="7"/>
  <c r="U600" i="7"/>
  <c r="R600" i="7"/>
  <c r="S600" i="7"/>
  <c r="P600" i="7"/>
  <c r="Q600" i="7"/>
  <c r="M600" i="7"/>
  <c r="O600" i="7"/>
  <c r="N600" i="7"/>
  <c r="X592" i="7"/>
  <c r="W592" i="7"/>
  <c r="V592" i="7"/>
  <c r="U592" i="7"/>
  <c r="T592" i="7"/>
  <c r="S592" i="7"/>
  <c r="R592" i="7"/>
  <c r="P592" i="7"/>
  <c r="Q592" i="7"/>
  <c r="O592" i="7"/>
  <c r="M592" i="7"/>
  <c r="N592" i="7"/>
  <c r="X584" i="7"/>
  <c r="W584" i="7"/>
  <c r="V584" i="7"/>
  <c r="U584" i="7"/>
  <c r="T584" i="7"/>
  <c r="R584" i="7"/>
  <c r="S584" i="7"/>
  <c r="Q584" i="7"/>
  <c r="P584" i="7"/>
  <c r="M584" i="7"/>
  <c r="N584" i="7"/>
  <c r="O584" i="7"/>
  <c r="X576" i="7"/>
  <c r="W576" i="7"/>
  <c r="V576" i="7"/>
  <c r="U576" i="7"/>
  <c r="T576" i="7"/>
  <c r="S576" i="7"/>
  <c r="R576" i="7"/>
  <c r="P576" i="7"/>
  <c r="Q576" i="7"/>
  <c r="M576" i="7"/>
  <c r="N576" i="7"/>
  <c r="O576" i="7"/>
  <c r="X568" i="7"/>
  <c r="W568" i="7"/>
  <c r="V568" i="7"/>
  <c r="T568" i="7"/>
  <c r="U568" i="7"/>
  <c r="R568" i="7"/>
  <c r="P568" i="7"/>
  <c r="S568" i="7"/>
  <c r="Q568" i="7"/>
  <c r="M568" i="7"/>
  <c r="O568" i="7"/>
  <c r="N568" i="7"/>
  <c r="X560" i="7"/>
  <c r="W560" i="7"/>
  <c r="V560" i="7"/>
  <c r="U560" i="7"/>
  <c r="T560" i="7"/>
  <c r="R560" i="7"/>
  <c r="S560" i="7"/>
  <c r="P560" i="7"/>
  <c r="Q560" i="7"/>
  <c r="O560" i="7"/>
  <c r="M560" i="7"/>
  <c r="N560" i="7"/>
  <c r="X552" i="7"/>
  <c r="W552" i="7"/>
  <c r="V552" i="7"/>
  <c r="U552" i="7"/>
  <c r="T552" i="7"/>
  <c r="S552" i="7"/>
  <c r="R552" i="7"/>
  <c r="P552" i="7"/>
  <c r="Q552" i="7"/>
  <c r="M552" i="7"/>
  <c r="N552" i="7"/>
  <c r="O552" i="7"/>
  <c r="X544" i="7"/>
  <c r="W544" i="7"/>
  <c r="V544" i="7"/>
  <c r="U544" i="7"/>
  <c r="T544" i="7"/>
  <c r="R544" i="7"/>
  <c r="S544" i="7"/>
  <c r="P544" i="7"/>
  <c r="Q544" i="7"/>
  <c r="M544" i="7"/>
  <c r="N544" i="7"/>
  <c r="O544" i="7"/>
  <c r="X536" i="7"/>
  <c r="W536" i="7"/>
  <c r="V536" i="7"/>
  <c r="T536" i="7"/>
  <c r="U536" i="7"/>
  <c r="S536" i="7"/>
  <c r="R536" i="7"/>
  <c r="P536" i="7"/>
  <c r="Q536" i="7"/>
  <c r="M536" i="7"/>
  <c r="N536" i="7"/>
  <c r="O536" i="7"/>
  <c r="X528" i="7"/>
  <c r="W528" i="7"/>
  <c r="U528" i="7"/>
  <c r="V528" i="7"/>
  <c r="T528" i="7"/>
  <c r="S528" i="7"/>
  <c r="R528" i="7"/>
  <c r="P528" i="7"/>
  <c r="Q528" i="7"/>
  <c r="M528" i="7"/>
  <c r="O528" i="7"/>
  <c r="N528" i="7"/>
  <c r="X520" i="7"/>
  <c r="W520" i="7"/>
  <c r="V520" i="7"/>
  <c r="U520" i="7"/>
  <c r="T520" i="7"/>
  <c r="S520" i="7"/>
  <c r="R520" i="7"/>
  <c r="Q520" i="7"/>
  <c r="P520" i="7"/>
  <c r="O520" i="7"/>
  <c r="M520" i="7"/>
  <c r="N520" i="7"/>
  <c r="X512" i="7"/>
  <c r="W512" i="7"/>
  <c r="V512" i="7"/>
  <c r="U512" i="7"/>
  <c r="T512" i="7"/>
  <c r="R512" i="7"/>
  <c r="S512" i="7"/>
  <c r="P512" i="7"/>
  <c r="Q512" i="7"/>
  <c r="O512" i="7"/>
  <c r="M512" i="7"/>
  <c r="N512" i="7"/>
  <c r="X504" i="7"/>
  <c r="W504" i="7"/>
  <c r="V504" i="7"/>
  <c r="U504" i="7"/>
  <c r="T504" i="7"/>
  <c r="S504" i="7"/>
  <c r="R504" i="7"/>
  <c r="P504" i="7"/>
  <c r="Q504" i="7"/>
  <c r="O504" i="7"/>
  <c r="M504" i="7"/>
  <c r="N504" i="7"/>
  <c r="X496" i="7"/>
  <c r="W496" i="7"/>
  <c r="V496" i="7"/>
  <c r="U496" i="7"/>
  <c r="T496" i="7"/>
  <c r="S496" i="7"/>
  <c r="P496" i="7"/>
  <c r="R496" i="7"/>
  <c r="Q496" i="7"/>
  <c r="M496" i="7"/>
  <c r="N496" i="7"/>
  <c r="O496" i="7"/>
  <c r="X488" i="7"/>
  <c r="W488" i="7"/>
  <c r="V488" i="7"/>
  <c r="U488" i="7"/>
  <c r="T488" i="7"/>
  <c r="S488" i="7"/>
  <c r="R488" i="7"/>
  <c r="P488" i="7"/>
  <c r="Q488" i="7"/>
  <c r="M488" i="7"/>
  <c r="N488" i="7"/>
  <c r="O488" i="7"/>
  <c r="X480" i="7"/>
  <c r="W480" i="7"/>
  <c r="V480" i="7"/>
  <c r="U480" i="7"/>
  <c r="T480" i="7"/>
  <c r="R480" i="7"/>
  <c r="S480" i="7"/>
  <c r="P480" i="7"/>
  <c r="Q480" i="7"/>
  <c r="O480" i="7"/>
  <c r="M480" i="7"/>
  <c r="N480" i="7"/>
  <c r="X472" i="7"/>
  <c r="W472" i="7"/>
  <c r="V472" i="7"/>
  <c r="U472" i="7"/>
  <c r="T472" i="7"/>
  <c r="S472" i="7"/>
  <c r="R472" i="7"/>
  <c r="P472" i="7"/>
  <c r="Q472" i="7"/>
  <c r="O472" i="7"/>
  <c r="M472" i="7"/>
  <c r="N472" i="7"/>
  <c r="X464" i="7"/>
  <c r="W464" i="7"/>
  <c r="V464" i="7"/>
  <c r="U464" i="7"/>
  <c r="T464" i="7"/>
  <c r="S464" i="7"/>
  <c r="R464" i="7"/>
  <c r="P464" i="7"/>
  <c r="Q464" i="7"/>
  <c r="O464" i="7"/>
  <c r="M464" i="7"/>
  <c r="N464" i="7"/>
  <c r="X456" i="7"/>
  <c r="W456" i="7"/>
  <c r="V456" i="7"/>
  <c r="U456" i="7"/>
  <c r="T456" i="7"/>
  <c r="S456" i="7"/>
  <c r="R456" i="7"/>
  <c r="Q456" i="7"/>
  <c r="P456" i="7"/>
  <c r="O456" i="7"/>
  <c r="M456" i="7"/>
  <c r="N456" i="7"/>
  <c r="X448" i="7"/>
  <c r="W448" i="7"/>
  <c r="U448" i="7"/>
  <c r="V448" i="7"/>
  <c r="T448" i="7"/>
  <c r="R448" i="7"/>
  <c r="S448" i="7"/>
  <c r="P448" i="7"/>
  <c r="Q448" i="7"/>
  <c r="O448" i="7"/>
  <c r="M448" i="7"/>
  <c r="N448" i="7"/>
  <c r="X440" i="7"/>
  <c r="V440" i="7"/>
  <c r="W440" i="7"/>
  <c r="U440" i="7"/>
  <c r="T440" i="7"/>
  <c r="S440" i="7"/>
  <c r="R440" i="7"/>
  <c r="P440" i="7"/>
  <c r="Q440" i="7"/>
  <c r="O440" i="7"/>
  <c r="M440" i="7"/>
  <c r="N440" i="7"/>
  <c r="X432" i="7"/>
  <c r="W432" i="7"/>
  <c r="V432" i="7"/>
  <c r="U432" i="7"/>
  <c r="T432" i="7"/>
  <c r="S432" i="7"/>
  <c r="P432" i="7"/>
  <c r="R432" i="7"/>
  <c r="Q432" i="7"/>
  <c r="O432" i="7"/>
  <c r="M432" i="7"/>
  <c r="N432" i="7"/>
  <c r="X424" i="7"/>
  <c r="W424" i="7"/>
  <c r="V424" i="7"/>
  <c r="U424" i="7"/>
  <c r="T424" i="7"/>
  <c r="S424" i="7"/>
  <c r="R424" i="7"/>
  <c r="P424" i="7"/>
  <c r="Q424" i="7"/>
  <c r="O424" i="7"/>
  <c r="M424" i="7"/>
  <c r="N424" i="7"/>
  <c r="X416" i="7"/>
  <c r="W416" i="7"/>
  <c r="V416" i="7"/>
  <c r="U416" i="7"/>
  <c r="T416" i="7"/>
  <c r="S416" i="7"/>
  <c r="R416" i="7"/>
  <c r="P416" i="7"/>
  <c r="Q416" i="7"/>
  <c r="O416" i="7"/>
  <c r="M416" i="7"/>
  <c r="N416" i="7"/>
  <c r="X408" i="7"/>
  <c r="W408" i="7"/>
  <c r="V408" i="7"/>
  <c r="U408" i="7"/>
  <c r="T408" i="7"/>
  <c r="S408" i="7"/>
  <c r="R408" i="7"/>
  <c r="P408" i="7"/>
  <c r="Q408" i="7"/>
  <c r="O408" i="7"/>
  <c r="M408" i="7"/>
  <c r="N408" i="7"/>
  <c r="X400" i="7"/>
  <c r="W400" i="7"/>
  <c r="V400" i="7"/>
  <c r="U400" i="7"/>
  <c r="T400" i="7"/>
  <c r="S400" i="7"/>
  <c r="P400" i="7"/>
  <c r="R400" i="7"/>
  <c r="Q400" i="7"/>
  <c r="O400" i="7"/>
  <c r="M400" i="7"/>
  <c r="N400" i="7"/>
  <c r="X392" i="7"/>
  <c r="W392" i="7"/>
  <c r="V392" i="7"/>
  <c r="U392" i="7"/>
  <c r="T392" i="7"/>
  <c r="S392" i="7"/>
  <c r="R392" i="7"/>
  <c r="Q392" i="7"/>
  <c r="P392" i="7"/>
  <c r="O392" i="7"/>
  <c r="M392" i="7"/>
  <c r="N392" i="7"/>
  <c r="X384" i="7"/>
  <c r="W384" i="7"/>
  <c r="V384" i="7"/>
  <c r="U384" i="7"/>
  <c r="T384" i="7"/>
  <c r="S384" i="7"/>
  <c r="R384" i="7"/>
  <c r="P384" i="7"/>
  <c r="Q384" i="7"/>
  <c r="O384" i="7"/>
  <c r="M384" i="7"/>
  <c r="N384" i="7"/>
  <c r="X376" i="7"/>
  <c r="W376" i="7"/>
  <c r="V376" i="7"/>
  <c r="U376" i="7"/>
  <c r="T376" i="7"/>
  <c r="S376" i="7"/>
  <c r="R376" i="7"/>
  <c r="P376" i="7"/>
  <c r="Q376" i="7"/>
  <c r="O376" i="7"/>
  <c r="M376" i="7"/>
  <c r="N376" i="7"/>
  <c r="X368" i="7"/>
  <c r="W368" i="7"/>
  <c r="V368" i="7"/>
  <c r="U368" i="7"/>
  <c r="T368" i="7"/>
  <c r="S368" i="7"/>
  <c r="R368" i="7"/>
  <c r="P368" i="7"/>
  <c r="O368" i="7"/>
  <c r="Q368" i="7"/>
  <c r="M368" i="7"/>
  <c r="N368" i="7"/>
  <c r="X360" i="7"/>
  <c r="W360" i="7"/>
  <c r="V360" i="7"/>
  <c r="U360" i="7"/>
  <c r="T360" i="7"/>
  <c r="S360" i="7"/>
  <c r="R360" i="7"/>
  <c r="P360" i="7"/>
  <c r="Q360" i="7"/>
  <c r="O360" i="7"/>
  <c r="M360" i="7"/>
  <c r="N360" i="7"/>
  <c r="X352" i="7"/>
  <c r="W352" i="7"/>
  <c r="V352" i="7"/>
  <c r="U352" i="7"/>
  <c r="T352" i="7"/>
  <c r="S352" i="7"/>
  <c r="P352" i="7"/>
  <c r="Q352" i="7"/>
  <c r="R352" i="7"/>
  <c r="O352" i="7"/>
  <c r="M352" i="7"/>
  <c r="N352" i="7"/>
  <c r="X344" i="7"/>
  <c r="W344" i="7"/>
  <c r="V344" i="7"/>
  <c r="U344" i="7"/>
  <c r="T344" i="7"/>
  <c r="S344" i="7"/>
  <c r="R344" i="7"/>
  <c r="P344" i="7"/>
  <c r="Q344" i="7"/>
  <c r="O344" i="7"/>
  <c r="M344" i="7"/>
  <c r="N344" i="7"/>
  <c r="X336" i="7"/>
  <c r="W336" i="7"/>
  <c r="V336" i="7"/>
  <c r="U336" i="7"/>
  <c r="T336" i="7"/>
  <c r="S336" i="7"/>
  <c r="R336" i="7"/>
  <c r="P336" i="7"/>
  <c r="Q336" i="7"/>
  <c r="O336" i="7"/>
  <c r="M336" i="7"/>
  <c r="N336" i="7"/>
  <c r="X328" i="7"/>
  <c r="W328" i="7"/>
  <c r="V328" i="7"/>
  <c r="U328" i="7"/>
  <c r="T328" i="7"/>
  <c r="S328" i="7"/>
  <c r="R328" i="7"/>
  <c r="Q328" i="7"/>
  <c r="P328" i="7"/>
  <c r="O328" i="7"/>
  <c r="M328" i="7"/>
  <c r="N328" i="7"/>
  <c r="X320" i="7"/>
  <c r="W320" i="7"/>
  <c r="V320" i="7"/>
  <c r="U320" i="7"/>
  <c r="T320" i="7"/>
  <c r="S320" i="7"/>
  <c r="R320" i="7"/>
  <c r="P320" i="7"/>
  <c r="Q320" i="7"/>
  <c r="O320" i="7"/>
  <c r="M320" i="7"/>
  <c r="N320" i="7"/>
  <c r="X312" i="7"/>
  <c r="W312" i="7"/>
  <c r="V312" i="7"/>
  <c r="T312" i="7"/>
  <c r="U312" i="7"/>
  <c r="S312" i="7"/>
  <c r="R312" i="7"/>
  <c r="P312" i="7"/>
  <c r="Q312" i="7"/>
  <c r="O312" i="7"/>
  <c r="M312" i="7"/>
  <c r="N312" i="7"/>
  <c r="X304" i="7"/>
  <c r="W304" i="7"/>
  <c r="V304" i="7"/>
  <c r="U304" i="7"/>
  <c r="T304" i="7"/>
  <c r="S304" i="7"/>
  <c r="R304" i="7"/>
  <c r="P304" i="7"/>
  <c r="Q304" i="7"/>
  <c r="O304" i="7"/>
  <c r="M304" i="7"/>
  <c r="N304" i="7"/>
  <c r="X296" i="7"/>
  <c r="W296" i="7"/>
  <c r="V296" i="7"/>
  <c r="T296" i="7"/>
  <c r="S296" i="7"/>
  <c r="U296" i="7"/>
  <c r="R296" i="7"/>
  <c r="P296" i="7"/>
  <c r="Q296" i="7"/>
  <c r="O296" i="7"/>
  <c r="M296" i="7"/>
  <c r="N296" i="7"/>
  <c r="X288" i="7"/>
  <c r="W288" i="7"/>
  <c r="V288" i="7"/>
  <c r="U288" i="7"/>
  <c r="T288" i="7"/>
  <c r="P288" i="7"/>
  <c r="R288" i="7"/>
  <c r="Q288" i="7"/>
  <c r="S288" i="7"/>
  <c r="O288" i="7"/>
  <c r="M288" i="7"/>
  <c r="N288" i="7"/>
  <c r="X280" i="7"/>
  <c r="W280" i="7"/>
  <c r="V280" i="7"/>
  <c r="T280" i="7"/>
  <c r="U280" i="7"/>
  <c r="S280" i="7"/>
  <c r="R280" i="7"/>
  <c r="P280" i="7"/>
  <c r="Q280" i="7"/>
  <c r="O280" i="7"/>
  <c r="M280" i="7"/>
  <c r="N280" i="7"/>
  <c r="X272" i="7"/>
  <c r="W272" i="7"/>
  <c r="V272" i="7"/>
  <c r="U272" i="7"/>
  <c r="T272" i="7"/>
  <c r="S272" i="7"/>
  <c r="R272" i="7"/>
  <c r="P272" i="7"/>
  <c r="Q272" i="7"/>
  <c r="O272" i="7"/>
  <c r="M272" i="7"/>
  <c r="N272" i="7"/>
  <c r="X264" i="7"/>
  <c r="W264" i="7"/>
  <c r="V264" i="7"/>
  <c r="U264" i="7"/>
  <c r="T264" i="7"/>
  <c r="S264" i="7"/>
  <c r="R264" i="7"/>
  <c r="Q264" i="7"/>
  <c r="P264" i="7"/>
  <c r="O264" i="7"/>
  <c r="M264" i="7"/>
  <c r="N264" i="7"/>
  <c r="X256" i="7"/>
  <c r="W256" i="7"/>
  <c r="U256" i="7"/>
  <c r="V256" i="7"/>
  <c r="T256" i="7"/>
  <c r="R256" i="7"/>
  <c r="S256" i="7"/>
  <c r="P256" i="7"/>
  <c r="Q256" i="7"/>
  <c r="O256" i="7"/>
  <c r="M256" i="7"/>
  <c r="N256" i="7"/>
  <c r="X248" i="7"/>
  <c r="W248" i="7"/>
  <c r="V248" i="7"/>
  <c r="T248" i="7"/>
  <c r="U248" i="7"/>
  <c r="S248" i="7"/>
  <c r="R248" i="7"/>
  <c r="P248" i="7"/>
  <c r="Q248" i="7"/>
  <c r="O248" i="7"/>
  <c r="M248" i="7"/>
  <c r="N248" i="7"/>
  <c r="X240" i="7"/>
  <c r="W240" i="7"/>
  <c r="V240" i="7"/>
  <c r="U240" i="7"/>
  <c r="T240" i="7"/>
  <c r="S240" i="7"/>
  <c r="R240" i="7"/>
  <c r="P240" i="7"/>
  <c r="Q240" i="7"/>
  <c r="O240" i="7"/>
  <c r="M240" i="7"/>
  <c r="N240" i="7"/>
  <c r="X232" i="7"/>
  <c r="W232" i="7"/>
  <c r="V232" i="7"/>
  <c r="U232" i="7"/>
  <c r="T232" i="7"/>
  <c r="S232" i="7"/>
  <c r="R232" i="7"/>
  <c r="P232" i="7"/>
  <c r="Q232" i="7"/>
  <c r="O232" i="7"/>
  <c r="M232" i="7"/>
  <c r="N232" i="7"/>
  <c r="X224" i="7"/>
  <c r="W224" i="7"/>
  <c r="V224" i="7"/>
  <c r="U224" i="7"/>
  <c r="T224" i="7"/>
  <c r="S224" i="7"/>
  <c r="P224" i="7"/>
  <c r="Q224" i="7"/>
  <c r="R224" i="7"/>
  <c r="O224" i="7"/>
  <c r="M224" i="7"/>
  <c r="N224" i="7"/>
  <c r="X216" i="7"/>
  <c r="W216" i="7"/>
  <c r="V216" i="7"/>
  <c r="U216" i="7"/>
  <c r="T216" i="7"/>
  <c r="S216" i="7"/>
  <c r="R216" i="7"/>
  <c r="P216" i="7"/>
  <c r="Q216" i="7"/>
  <c r="O216" i="7"/>
  <c r="M216" i="7"/>
  <c r="N216" i="7"/>
  <c r="X208" i="7"/>
  <c r="W208" i="7"/>
  <c r="U208" i="7"/>
  <c r="V208" i="7"/>
  <c r="T208" i="7"/>
  <c r="S208" i="7"/>
  <c r="R208" i="7"/>
  <c r="P208" i="7"/>
  <c r="Q208" i="7"/>
  <c r="O208" i="7"/>
  <c r="M208" i="7"/>
  <c r="N208" i="7"/>
  <c r="X200" i="7"/>
  <c r="W200" i="7"/>
  <c r="V200" i="7"/>
  <c r="U200" i="7"/>
  <c r="T200" i="7"/>
  <c r="S200" i="7"/>
  <c r="R200" i="7"/>
  <c r="Q200" i="7"/>
  <c r="P200" i="7"/>
  <c r="O200" i="7"/>
  <c r="M200" i="7"/>
  <c r="N200" i="7"/>
  <c r="X192" i="7"/>
  <c r="W192" i="7"/>
  <c r="U192" i="7"/>
  <c r="V192" i="7"/>
  <c r="T192" i="7"/>
  <c r="R192" i="7"/>
  <c r="S192" i="7"/>
  <c r="P192" i="7"/>
  <c r="Q192" i="7"/>
  <c r="O192" i="7"/>
  <c r="M192" i="7"/>
  <c r="N192" i="7"/>
  <c r="X184" i="7"/>
  <c r="W184" i="7"/>
  <c r="V184" i="7"/>
  <c r="T184" i="7"/>
  <c r="U184" i="7"/>
  <c r="S184" i="7"/>
  <c r="R184" i="7"/>
  <c r="P184" i="7"/>
  <c r="Q184" i="7"/>
  <c r="M184" i="7"/>
  <c r="O184" i="7"/>
  <c r="N184" i="7"/>
  <c r="X176" i="7"/>
  <c r="W176" i="7"/>
  <c r="U176" i="7"/>
  <c r="V176" i="7"/>
  <c r="T176" i="7"/>
  <c r="R176" i="7"/>
  <c r="P176" i="7"/>
  <c r="S176" i="7"/>
  <c r="O176" i="7"/>
  <c r="M176" i="7"/>
  <c r="N176" i="7"/>
  <c r="Q176" i="7"/>
  <c r="X168" i="7"/>
  <c r="W168" i="7"/>
  <c r="V168" i="7"/>
  <c r="U168" i="7"/>
  <c r="T168" i="7"/>
  <c r="R168" i="7"/>
  <c r="S168" i="7"/>
  <c r="P168" i="7"/>
  <c r="Q168" i="7"/>
  <c r="O168" i="7"/>
  <c r="M168" i="7"/>
  <c r="N168" i="7"/>
  <c r="X160" i="7"/>
  <c r="W160" i="7"/>
  <c r="V160" i="7"/>
  <c r="U160" i="7"/>
  <c r="T160" i="7"/>
  <c r="S160" i="7"/>
  <c r="P160" i="7"/>
  <c r="Q160" i="7"/>
  <c r="R160" i="7"/>
  <c r="O160" i="7"/>
  <c r="M160" i="7"/>
  <c r="N160" i="7"/>
  <c r="X152" i="7"/>
  <c r="W152" i="7"/>
  <c r="V152" i="7"/>
  <c r="U152" i="7"/>
  <c r="T152" i="7"/>
  <c r="S152" i="7"/>
  <c r="R152" i="7"/>
  <c r="P152" i="7"/>
  <c r="Q152" i="7"/>
  <c r="O152" i="7"/>
  <c r="M152" i="7"/>
  <c r="N152" i="7"/>
  <c r="X144" i="7"/>
  <c r="W144" i="7"/>
  <c r="V144" i="7"/>
  <c r="U144" i="7"/>
  <c r="S144" i="7"/>
  <c r="T144" i="7"/>
  <c r="R144" i="7"/>
  <c r="P144" i="7"/>
  <c r="Q144" i="7"/>
  <c r="O144" i="7"/>
  <c r="M144" i="7"/>
  <c r="N144" i="7"/>
  <c r="X136" i="7"/>
  <c r="W136" i="7"/>
  <c r="V136" i="7"/>
  <c r="U136" i="7"/>
  <c r="T136" i="7"/>
  <c r="S136" i="7"/>
  <c r="R136" i="7"/>
  <c r="Q136" i="7"/>
  <c r="P136" i="7"/>
  <c r="O136" i="7"/>
  <c r="M136" i="7"/>
  <c r="N136" i="7"/>
  <c r="X128" i="7"/>
  <c r="W128" i="7"/>
  <c r="V128" i="7"/>
  <c r="U128" i="7"/>
  <c r="T128" i="7"/>
  <c r="R128" i="7"/>
  <c r="S128" i="7"/>
  <c r="P128" i="7"/>
  <c r="Q128" i="7"/>
  <c r="O128" i="7"/>
  <c r="M128" i="7"/>
  <c r="N128" i="7"/>
  <c r="X120" i="7"/>
  <c r="W120" i="7"/>
  <c r="V120" i="7"/>
  <c r="U120" i="7"/>
  <c r="T120" i="7"/>
  <c r="S120" i="7"/>
  <c r="R120" i="7"/>
  <c r="P120" i="7"/>
  <c r="Q120" i="7"/>
  <c r="O120" i="7"/>
  <c r="M120" i="7"/>
  <c r="N120" i="7"/>
  <c r="X112" i="7"/>
  <c r="W112" i="7"/>
  <c r="V112" i="7"/>
  <c r="U112" i="7"/>
  <c r="T112" i="7"/>
  <c r="S112" i="7"/>
  <c r="R112" i="7"/>
  <c r="P112" i="7"/>
  <c r="Q112" i="7"/>
  <c r="O112" i="7"/>
  <c r="M112" i="7"/>
  <c r="N112" i="7"/>
  <c r="X104" i="7"/>
  <c r="W104" i="7"/>
  <c r="V104" i="7"/>
  <c r="U104" i="7"/>
  <c r="T104" i="7"/>
  <c r="R104" i="7"/>
  <c r="P104" i="7"/>
  <c r="S104" i="7"/>
  <c r="Q104" i="7"/>
  <c r="O104" i="7"/>
  <c r="M104" i="7"/>
  <c r="N104" i="7"/>
  <c r="X96" i="7"/>
  <c r="W96" i="7"/>
  <c r="V96" i="7"/>
  <c r="U96" i="7"/>
  <c r="T96" i="7"/>
  <c r="S96" i="7"/>
  <c r="P96" i="7"/>
  <c r="Q96" i="7"/>
  <c r="R96" i="7"/>
  <c r="O96" i="7"/>
  <c r="M96" i="7"/>
  <c r="N96" i="7"/>
  <c r="X88" i="7"/>
  <c r="V88" i="7"/>
  <c r="W88" i="7"/>
  <c r="U88" i="7"/>
  <c r="T88" i="7"/>
  <c r="S88" i="7"/>
  <c r="R88" i="7"/>
  <c r="P88" i="7"/>
  <c r="Q88" i="7"/>
  <c r="O88" i="7"/>
  <c r="M88" i="7"/>
  <c r="N88" i="7"/>
  <c r="X80" i="7"/>
  <c r="W80" i="7"/>
  <c r="U80" i="7"/>
  <c r="V80" i="7"/>
  <c r="S80" i="7"/>
  <c r="R80" i="7"/>
  <c r="T80" i="7"/>
  <c r="P80" i="7"/>
  <c r="Q80" i="7"/>
  <c r="O80" i="7"/>
  <c r="M80" i="7"/>
  <c r="N80" i="7"/>
  <c r="X72" i="7"/>
  <c r="W72" i="7"/>
  <c r="V72" i="7"/>
  <c r="U72" i="7"/>
  <c r="T72" i="7"/>
  <c r="S72" i="7"/>
  <c r="R72" i="7"/>
  <c r="Q72" i="7"/>
  <c r="P72" i="7"/>
  <c r="O72" i="7"/>
  <c r="M72" i="7"/>
  <c r="N72" i="7"/>
  <c r="X64" i="7"/>
  <c r="W64" i="7"/>
  <c r="V64" i="7"/>
  <c r="U64" i="7"/>
  <c r="T64" i="7"/>
  <c r="R64" i="7"/>
  <c r="S64" i="7"/>
  <c r="P64" i="7"/>
  <c r="Q64" i="7"/>
  <c r="O64" i="7"/>
  <c r="M64" i="7"/>
  <c r="N64" i="7"/>
  <c r="X56" i="7"/>
  <c r="W56" i="7"/>
  <c r="V56" i="7"/>
  <c r="U56" i="7"/>
  <c r="T56" i="7"/>
  <c r="S56" i="7"/>
  <c r="R56" i="7"/>
  <c r="P56" i="7"/>
  <c r="Q56" i="7"/>
  <c r="M56" i="7"/>
  <c r="N56" i="7"/>
  <c r="O56" i="7"/>
  <c r="X48" i="7"/>
  <c r="W48" i="7"/>
  <c r="U48" i="7"/>
  <c r="V48" i="7"/>
  <c r="T48" i="7"/>
  <c r="S48" i="7"/>
  <c r="R48" i="7"/>
  <c r="P48" i="7"/>
  <c r="O48" i="7"/>
  <c r="Q48" i="7"/>
  <c r="M48" i="7"/>
  <c r="N48" i="7"/>
  <c r="X40" i="7"/>
  <c r="W40" i="7"/>
  <c r="V40" i="7"/>
  <c r="U40" i="7"/>
  <c r="T40" i="7"/>
  <c r="S40" i="7"/>
  <c r="R40" i="7"/>
  <c r="P40" i="7"/>
  <c r="Q40" i="7"/>
  <c r="O40" i="7"/>
  <c r="M40" i="7"/>
  <c r="N40" i="7"/>
  <c r="X32" i="7"/>
  <c r="W32" i="7"/>
  <c r="V32" i="7"/>
  <c r="U32" i="7"/>
  <c r="T32" i="7"/>
  <c r="S32" i="7"/>
  <c r="P32" i="7"/>
  <c r="Q32" i="7"/>
  <c r="R32" i="7"/>
  <c r="O32" i="7"/>
  <c r="M32" i="7"/>
  <c r="N32" i="7"/>
  <c r="X24" i="7"/>
  <c r="W24" i="7"/>
  <c r="V24" i="7"/>
  <c r="U24" i="7"/>
  <c r="T24" i="7"/>
  <c r="S24" i="7"/>
  <c r="R24" i="7"/>
  <c r="P24" i="7"/>
  <c r="Q24" i="7"/>
  <c r="O24" i="7"/>
  <c r="M24" i="7"/>
  <c r="N24" i="7"/>
  <c r="X16" i="7"/>
  <c r="W16" i="7"/>
  <c r="U16" i="7"/>
  <c r="V16" i="7"/>
  <c r="T16" i="7"/>
  <c r="S16" i="7"/>
  <c r="R16" i="7"/>
  <c r="Q16" i="7"/>
  <c r="P16" i="7"/>
  <c r="O16" i="7"/>
  <c r="M16" i="7"/>
  <c r="N16" i="7"/>
  <c r="X8" i="7"/>
  <c r="W8" i="7"/>
  <c r="V8" i="7"/>
  <c r="T8" i="7"/>
  <c r="U8" i="7"/>
  <c r="S8" i="7"/>
  <c r="R8" i="7"/>
  <c r="Q8" i="7"/>
  <c r="P8" i="7"/>
  <c r="O8" i="7"/>
  <c r="M8" i="7"/>
  <c r="N8" i="7"/>
  <c r="X1178" i="7"/>
  <c r="W1178" i="7"/>
  <c r="V1178" i="7"/>
  <c r="U1178" i="7"/>
  <c r="T1178" i="7"/>
  <c r="S1178" i="7"/>
  <c r="R1178" i="7"/>
  <c r="Q1178" i="7"/>
  <c r="P1178" i="7"/>
  <c r="O1178" i="7"/>
  <c r="M1178" i="7"/>
  <c r="N1178" i="7"/>
  <c r="X1122" i="7"/>
  <c r="W1122" i="7"/>
  <c r="U1122" i="7"/>
  <c r="T1122" i="7"/>
  <c r="V1122" i="7"/>
  <c r="S1122" i="7"/>
  <c r="R1122" i="7"/>
  <c r="P1122" i="7"/>
  <c r="Q1122" i="7"/>
  <c r="O1122" i="7"/>
  <c r="M1122" i="7"/>
  <c r="N1122" i="7"/>
  <c r="X1026" i="7"/>
  <c r="W1026" i="7"/>
  <c r="V1026" i="7"/>
  <c r="U1026" i="7"/>
  <c r="T1026" i="7"/>
  <c r="S1026" i="7"/>
  <c r="R1026" i="7"/>
  <c r="P1026" i="7"/>
  <c r="Q1026" i="7"/>
  <c r="O1026" i="7"/>
  <c r="M1026" i="7"/>
  <c r="N1026" i="7"/>
  <c r="X930" i="7"/>
  <c r="W930" i="7"/>
  <c r="U930" i="7"/>
  <c r="V930" i="7"/>
  <c r="T930" i="7"/>
  <c r="S930" i="7"/>
  <c r="R930" i="7"/>
  <c r="P930" i="7"/>
  <c r="Q930" i="7"/>
  <c r="O930" i="7"/>
  <c r="M930" i="7"/>
  <c r="N930" i="7"/>
  <c r="X802" i="7"/>
  <c r="W802" i="7"/>
  <c r="V802" i="7"/>
  <c r="U802" i="7"/>
  <c r="T802" i="7"/>
  <c r="S802" i="7"/>
  <c r="R802" i="7"/>
  <c r="P802" i="7"/>
  <c r="Q802" i="7"/>
  <c r="M802" i="7"/>
  <c r="N802" i="7"/>
  <c r="O802" i="7"/>
  <c r="X698" i="7"/>
  <c r="W698" i="7"/>
  <c r="V698" i="7"/>
  <c r="U698" i="7"/>
  <c r="T698" i="7"/>
  <c r="S698" i="7"/>
  <c r="R698" i="7"/>
  <c r="P698" i="7"/>
  <c r="Q698" i="7"/>
  <c r="O698" i="7"/>
  <c r="M698" i="7"/>
  <c r="N698" i="7"/>
  <c r="X658" i="7"/>
  <c r="W658" i="7"/>
  <c r="V658" i="7"/>
  <c r="T658" i="7"/>
  <c r="U658" i="7"/>
  <c r="S658" i="7"/>
  <c r="R658" i="7"/>
  <c r="P658" i="7"/>
  <c r="Q658" i="7"/>
  <c r="O658" i="7"/>
  <c r="M658" i="7"/>
  <c r="N658" i="7"/>
  <c r="X562" i="7"/>
  <c r="W562" i="7"/>
  <c r="V562" i="7"/>
  <c r="U562" i="7"/>
  <c r="T562" i="7"/>
  <c r="S562" i="7"/>
  <c r="R562" i="7"/>
  <c r="Q562" i="7"/>
  <c r="P562" i="7"/>
  <c r="O562" i="7"/>
  <c r="M562" i="7"/>
  <c r="N562" i="7"/>
  <c r="X466" i="7"/>
  <c r="W466" i="7"/>
  <c r="V466" i="7"/>
  <c r="T466" i="7"/>
  <c r="U466" i="7"/>
  <c r="S466" i="7"/>
  <c r="R466" i="7"/>
  <c r="P466" i="7"/>
  <c r="Q466" i="7"/>
  <c r="O466" i="7"/>
  <c r="M466" i="7"/>
  <c r="N466" i="7"/>
  <c r="X426" i="7"/>
  <c r="W426" i="7"/>
  <c r="U426" i="7"/>
  <c r="V426" i="7"/>
  <c r="T426" i="7"/>
  <c r="R426" i="7"/>
  <c r="S426" i="7"/>
  <c r="P426" i="7"/>
  <c r="Q426" i="7"/>
  <c r="O426" i="7"/>
  <c r="M426" i="7"/>
  <c r="N426" i="7"/>
  <c r="X282" i="7"/>
  <c r="W282" i="7"/>
  <c r="U282" i="7"/>
  <c r="V282" i="7"/>
  <c r="T282" i="7"/>
  <c r="S282" i="7"/>
  <c r="R282" i="7"/>
  <c r="P282" i="7"/>
  <c r="O282" i="7"/>
  <c r="Q282" i="7"/>
  <c r="M282" i="7"/>
  <c r="N282" i="7"/>
  <c r="X250" i="7"/>
  <c r="W250" i="7"/>
  <c r="V250" i="7"/>
  <c r="U250" i="7"/>
  <c r="T250" i="7"/>
  <c r="S250" i="7"/>
  <c r="R250" i="7"/>
  <c r="P250" i="7"/>
  <c r="Q250" i="7"/>
  <c r="O250" i="7"/>
  <c r="M250" i="7"/>
  <c r="N250" i="7"/>
  <c r="X234" i="7"/>
  <c r="W234" i="7"/>
  <c r="V234" i="7"/>
  <c r="U234" i="7"/>
  <c r="T234" i="7"/>
  <c r="S234" i="7"/>
  <c r="R234" i="7"/>
  <c r="P234" i="7"/>
  <c r="Q234" i="7"/>
  <c r="O234" i="7"/>
  <c r="M234" i="7"/>
  <c r="N234" i="7"/>
  <c r="X202" i="7"/>
  <c r="W202" i="7"/>
  <c r="V202" i="7"/>
  <c r="U202" i="7"/>
  <c r="T202" i="7"/>
  <c r="R202" i="7"/>
  <c r="Q202" i="7"/>
  <c r="P202" i="7"/>
  <c r="S202" i="7"/>
  <c r="O202" i="7"/>
  <c r="M202" i="7"/>
  <c r="N202" i="7"/>
  <c r="X138" i="7"/>
  <c r="W138" i="7"/>
  <c r="V138" i="7"/>
  <c r="U138" i="7"/>
  <c r="T138" i="7"/>
  <c r="S138" i="7"/>
  <c r="R138" i="7"/>
  <c r="Q138" i="7"/>
  <c r="P138" i="7"/>
  <c r="O138" i="7"/>
  <c r="M138" i="7"/>
  <c r="N138" i="7"/>
  <c r="X122" i="7"/>
  <c r="W122" i="7"/>
  <c r="V122" i="7"/>
  <c r="U122" i="7"/>
  <c r="T122" i="7"/>
  <c r="S122" i="7"/>
  <c r="R122" i="7"/>
  <c r="P122" i="7"/>
  <c r="Q122" i="7"/>
  <c r="O122" i="7"/>
  <c r="M122" i="7"/>
  <c r="N122" i="7"/>
  <c r="X106" i="7"/>
  <c r="W106" i="7"/>
  <c r="T106" i="7"/>
  <c r="V106" i="7"/>
  <c r="U106" i="7"/>
  <c r="S106" i="7"/>
  <c r="R106" i="7"/>
  <c r="P106" i="7"/>
  <c r="Q106" i="7"/>
  <c r="O106" i="7"/>
  <c r="M106" i="7"/>
  <c r="N106" i="7"/>
  <c r="X90" i="7"/>
  <c r="W90" i="7"/>
  <c r="U90" i="7"/>
  <c r="V90" i="7"/>
  <c r="T90" i="7"/>
  <c r="S90" i="7"/>
  <c r="R90" i="7"/>
  <c r="P90" i="7"/>
  <c r="Q90" i="7"/>
  <c r="O90" i="7"/>
  <c r="M90" i="7"/>
  <c r="N90" i="7"/>
  <c r="X74" i="7"/>
  <c r="W74" i="7"/>
  <c r="U74" i="7"/>
  <c r="V74" i="7"/>
  <c r="T74" i="7"/>
  <c r="S74" i="7"/>
  <c r="R74" i="7"/>
  <c r="Q74" i="7"/>
  <c r="P74" i="7"/>
  <c r="O74" i="7"/>
  <c r="M74" i="7"/>
  <c r="N74" i="7"/>
  <c r="X58" i="7"/>
  <c r="W58" i="7"/>
  <c r="V58" i="7"/>
  <c r="U58" i="7"/>
  <c r="T58" i="7"/>
  <c r="S58" i="7"/>
  <c r="R58" i="7"/>
  <c r="P58" i="7"/>
  <c r="Q58" i="7"/>
  <c r="O58" i="7"/>
  <c r="M58" i="7"/>
  <c r="N58" i="7"/>
  <c r="X42" i="7"/>
  <c r="W42" i="7"/>
  <c r="V42" i="7"/>
  <c r="U42" i="7"/>
  <c r="T42" i="7"/>
  <c r="S42" i="7"/>
  <c r="R42" i="7"/>
  <c r="P42" i="7"/>
  <c r="Q42" i="7"/>
  <c r="O42" i="7"/>
  <c r="M42" i="7"/>
  <c r="N42" i="7"/>
  <c r="X26" i="7"/>
  <c r="W26" i="7"/>
  <c r="V26" i="7"/>
  <c r="U26" i="7"/>
  <c r="T26" i="7"/>
  <c r="P26" i="7"/>
  <c r="R26" i="7"/>
  <c r="S26" i="7"/>
  <c r="O26" i="7"/>
  <c r="Q26" i="7"/>
  <c r="M26" i="7"/>
  <c r="N26" i="7"/>
  <c r="X1197" i="7"/>
  <c r="W1197" i="7"/>
  <c r="U1197" i="7"/>
  <c r="V1197" i="7"/>
  <c r="T1197" i="7"/>
  <c r="S1197" i="7"/>
  <c r="Q1197" i="7"/>
  <c r="R1197" i="7"/>
  <c r="P1197" i="7"/>
  <c r="O1197" i="7"/>
  <c r="N1197" i="7"/>
  <c r="M1197" i="7"/>
  <c r="X1189" i="7"/>
  <c r="W1189" i="7"/>
  <c r="V1189" i="7"/>
  <c r="U1189" i="7"/>
  <c r="T1189" i="7"/>
  <c r="S1189" i="7"/>
  <c r="Q1189" i="7"/>
  <c r="R1189" i="7"/>
  <c r="P1189" i="7"/>
  <c r="O1189" i="7"/>
  <c r="M1189" i="7"/>
  <c r="N1189" i="7"/>
  <c r="X1181" i="7"/>
  <c r="W1181" i="7"/>
  <c r="V1181" i="7"/>
  <c r="U1181" i="7"/>
  <c r="T1181" i="7"/>
  <c r="S1181" i="7"/>
  <c r="Q1181" i="7"/>
  <c r="R1181" i="7"/>
  <c r="P1181" i="7"/>
  <c r="O1181" i="7"/>
  <c r="M1181" i="7"/>
  <c r="N1181" i="7"/>
  <c r="X1173" i="7"/>
  <c r="W1173" i="7"/>
  <c r="V1173" i="7"/>
  <c r="U1173" i="7"/>
  <c r="T1173" i="7"/>
  <c r="S1173" i="7"/>
  <c r="Q1173" i="7"/>
  <c r="R1173" i="7"/>
  <c r="P1173" i="7"/>
  <c r="O1173" i="7"/>
  <c r="N1173" i="7"/>
  <c r="M1173" i="7"/>
  <c r="X1165" i="7"/>
  <c r="W1165" i="7"/>
  <c r="U1165" i="7"/>
  <c r="V1165" i="7"/>
  <c r="T1165" i="7"/>
  <c r="S1165" i="7"/>
  <c r="Q1165" i="7"/>
  <c r="R1165" i="7"/>
  <c r="P1165" i="7"/>
  <c r="O1165" i="7"/>
  <c r="N1165" i="7"/>
  <c r="M1165" i="7"/>
  <c r="X1157" i="7"/>
  <c r="W1157" i="7"/>
  <c r="V1157" i="7"/>
  <c r="U1157" i="7"/>
  <c r="T1157" i="7"/>
  <c r="S1157" i="7"/>
  <c r="Q1157" i="7"/>
  <c r="R1157" i="7"/>
  <c r="P1157" i="7"/>
  <c r="O1157" i="7"/>
  <c r="M1157" i="7"/>
  <c r="N1157" i="7"/>
  <c r="X1149" i="7"/>
  <c r="W1149" i="7"/>
  <c r="U1149" i="7"/>
  <c r="V1149" i="7"/>
  <c r="T1149" i="7"/>
  <c r="S1149" i="7"/>
  <c r="Q1149" i="7"/>
  <c r="R1149" i="7"/>
  <c r="P1149" i="7"/>
  <c r="O1149" i="7"/>
  <c r="N1149" i="7"/>
  <c r="M1149" i="7"/>
  <c r="X1141" i="7"/>
  <c r="W1141" i="7"/>
  <c r="V1141" i="7"/>
  <c r="U1141" i="7"/>
  <c r="T1141" i="7"/>
  <c r="S1141" i="7"/>
  <c r="Q1141" i="7"/>
  <c r="R1141" i="7"/>
  <c r="P1141" i="7"/>
  <c r="O1141" i="7"/>
  <c r="M1141" i="7"/>
  <c r="N1141" i="7"/>
  <c r="X1133" i="7"/>
  <c r="W1133" i="7"/>
  <c r="U1133" i="7"/>
  <c r="V1133" i="7"/>
  <c r="T1133" i="7"/>
  <c r="S1133" i="7"/>
  <c r="Q1133" i="7"/>
  <c r="R1133" i="7"/>
  <c r="P1133" i="7"/>
  <c r="O1133" i="7"/>
  <c r="N1133" i="7"/>
  <c r="M1133" i="7"/>
  <c r="X1125" i="7"/>
  <c r="W1125" i="7"/>
  <c r="V1125" i="7"/>
  <c r="U1125" i="7"/>
  <c r="T1125" i="7"/>
  <c r="S1125" i="7"/>
  <c r="Q1125" i="7"/>
  <c r="R1125" i="7"/>
  <c r="P1125" i="7"/>
  <c r="O1125" i="7"/>
  <c r="M1125" i="7"/>
  <c r="N1125" i="7"/>
  <c r="X1117" i="7"/>
  <c r="W1117" i="7"/>
  <c r="V1117" i="7"/>
  <c r="U1117" i="7"/>
  <c r="T1117" i="7"/>
  <c r="S1117" i="7"/>
  <c r="Q1117" i="7"/>
  <c r="R1117" i="7"/>
  <c r="P1117" i="7"/>
  <c r="O1117" i="7"/>
  <c r="M1117" i="7"/>
  <c r="N1117" i="7"/>
  <c r="X1109" i="7"/>
  <c r="W1109" i="7"/>
  <c r="V1109" i="7"/>
  <c r="U1109" i="7"/>
  <c r="T1109" i="7"/>
  <c r="S1109" i="7"/>
  <c r="Q1109" i="7"/>
  <c r="R1109" i="7"/>
  <c r="P1109" i="7"/>
  <c r="O1109" i="7"/>
  <c r="N1109" i="7"/>
  <c r="M1109" i="7"/>
  <c r="X1101" i="7"/>
  <c r="U1101" i="7"/>
  <c r="W1101" i="7"/>
  <c r="V1101" i="7"/>
  <c r="T1101" i="7"/>
  <c r="S1101" i="7"/>
  <c r="Q1101" i="7"/>
  <c r="R1101" i="7"/>
  <c r="P1101" i="7"/>
  <c r="O1101" i="7"/>
  <c r="N1101" i="7"/>
  <c r="M1101" i="7"/>
  <c r="X1093" i="7"/>
  <c r="W1093" i="7"/>
  <c r="V1093" i="7"/>
  <c r="U1093" i="7"/>
  <c r="T1093" i="7"/>
  <c r="S1093" i="7"/>
  <c r="Q1093" i="7"/>
  <c r="R1093" i="7"/>
  <c r="P1093" i="7"/>
  <c r="O1093" i="7"/>
  <c r="M1093" i="7"/>
  <c r="N1093" i="7"/>
  <c r="X1085" i="7"/>
  <c r="U1085" i="7"/>
  <c r="W1085" i="7"/>
  <c r="V1085" i="7"/>
  <c r="T1085" i="7"/>
  <c r="S1085" i="7"/>
  <c r="Q1085" i="7"/>
  <c r="R1085" i="7"/>
  <c r="O1085" i="7"/>
  <c r="P1085" i="7"/>
  <c r="N1085" i="7"/>
  <c r="M1085" i="7"/>
  <c r="X1077" i="7"/>
  <c r="W1077" i="7"/>
  <c r="V1077" i="7"/>
  <c r="U1077" i="7"/>
  <c r="T1077" i="7"/>
  <c r="S1077" i="7"/>
  <c r="Q1077" i="7"/>
  <c r="P1077" i="7"/>
  <c r="O1077" i="7"/>
  <c r="R1077" i="7"/>
  <c r="M1077" i="7"/>
  <c r="N1077" i="7"/>
  <c r="X1069" i="7"/>
  <c r="U1069" i="7"/>
  <c r="V1069" i="7"/>
  <c r="T1069" i="7"/>
  <c r="W1069" i="7"/>
  <c r="S1069" i="7"/>
  <c r="Q1069" i="7"/>
  <c r="R1069" i="7"/>
  <c r="O1069" i="7"/>
  <c r="P1069" i="7"/>
  <c r="N1069" i="7"/>
  <c r="M1069" i="7"/>
  <c r="X1061" i="7"/>
  <c r="W1061" i="7"/>
  <c r="V1061" i="7"/>
  <c r="U1061" i="7"/>
  <c r="T1061" i="7"/>
  <c r="S1061" i="7"/>
  <c r="Q1061" i="7"/>
  <c r="R1061" i="7"/>
  <c r="O1061" i="7"/>
  <c r="P1061" i="7"/>
  <c r="M1061" i="7"/>
  <c r="N1061" i="7"/>
  <c r="X1053" i="7"/>
  <c r="W1053" i="7"/>
  <c r="V1053" i="7"/>
  <c r="U1053" i="7"/>
  <c r="T1053" i="7"/>
  <c r="S1053" i="7"/>
  <c r="Q1053" i="7"/>
  <c r="R1053" i="7"/>
  <c r="P1053" i="7"/>
  <c r="O1053" i="7"/>
  <c r="M1053" i="7"/>
  <c r="N1053" i="7"/>
  <c r="X1045" i="7"/>
  <c r="W1045" i="7"/>
  <c r="V1045" i="7"/>
  <c r="U1045" i="7"/>
  <c r="T1045" i="7"/>
  <c r="S1045" i="7"/>
  <c r="Q1045" i="7"/>
  <c r="R1045" i="7"/>
  <c r="O1045" i="7"/>
  <c r="P1045" i="7"/>
  <c r="N1045" i="7"/>
  <c r="M1045" i="7"/>
  <c r="X1037" i="7"/>
  <c r="W1037" i="7"/>
  <c r="U1037" i="7"/>
  <c r="V1037" i="7"/>
  <c r="T1037" i="7"/>
  <c r="S1037" i="7"/>
  <c r="Q1037" i="7"/>
  <c r="R1037" i="7"/>
  <c r="O1037" i="7"/>
  <c r="P1037" i="7"/>
  <c r="N1037" i="7"/>
  <c r="M1037" i="7"/>
  <c r="X1029" i="7"/>
  <c r="W1029" i="7"/>
  <c r="V1029" i="7"/>
  <c r="U1029" i="7"/>
  <c r="T1029" i="7"/>
  <c r="S1029" i="7"/>
  <c r="Q1029" i="7"/>
  <c r="R1029" i="7"/>
  <c r="P1029" i="7"/>
  <c r="O1029" i="7"/>
  <c r="M1029" i="7"/>
  <c r="N1029" i="7"/>
  <c r="X1021" i="7"/>
  <c r="W1021" i="7"/>
  <c r="V1021" i="7"/>
  <c r="U1021" i="7"/>
  <c r="T1021" i="7"/>
  <c r="S1021" i="7"/>
  <c r="Q1021" i="7"/>
  <c r="R1021" i="7"/>
  <c r="O1021" i="7"/>
  <c r="P1021" i="7"/>
  <c r="N1021" i="7"/>
  <c r="M1021" i="7"/>
  <c r="X1013" i="7"/>
  <c r="W1013" i="7"/>
  <c r="V1013" i="7"/>
  <c r="U1013" i="7"/>
  <c r="T1013" i="7"/>
  <c r="S1013" i="7"/>
  <c r="Q1013" i="7"/>
  <c r="R1013" i="7"/>
  <c r="P1013" i="7"/>
  <c r="O1013" i="7"/>
  <c r="M1013" i="7"/>
  <c r="N1013" i="7"/>
  <c r="X1005" i="7"/>
  <c r="W1005" i="7"/>
  <c r="U1005" i="7"/>
  <c r="V1005" i="7"/>
  <c r="T1005" i="7"/>
  <c r="S1005" i="7"/>
  <c r="Q1005" i="7"/>
  <c r="R1005" i="7"/>
  <c r="O1005" i="7"/>
  <c r="P1005" i="7"/>
  <c r="N1005" i="7"/>
  <c r="M1005" i="7"/>
  <c r="X997" i="7"/>
  <c r="W997" i="7"/>
  <c r="U997" i="7"/>
  <c r="V997" i="7"/>
  <c r="T997" i="7"/>
  <c r="S997" i="7"/>
  <c r="Q997" i="7"/>
  <c r="R997" i="7"/>
  <c r="O997" i="7"/>
  <c r="P997" i="7"/>
  <c r="M997" i="7"/>
  <c r="N997" i="7"/>
  <c r="X989" i="7"/>
  <c r="W989" i="7"/>
  <c r="V989" i="7"/>
  <c r="U989" i="7"/>
  <c r="T989" i="7"/>
  <c r="S989" i="7"/>
  <c r="Q989" i="7"/>
  <c r="R989" i="7"/>
  <c r="P989" i="7"/>
  <c r="O989" i="7"/>
  <c r="M989" i="7"/>
  <c r="N989" i="7"/>
  <c r="W981" i="7"/>
  <c r="X981" i="7"/>
  <c r="V981" i="7"/>
  <c r="U981" i="7"/>
  <c r="T981" i="7"/>
  <c r="S981" i="7"/>
  <c r="Q981" i="7"/>
  <c r="R981" i="7"/>
  <c r="O981" i="7"/>
  <c r="P981" i="7"/>
  <c r="N981" i="7"/>
  <c r="M981" i="7"/>
  <c r="W973" i="7"/>
  <c r="X973" i="7"/>
  <c r="V973" i="7"/>
  <c r="U973" i="7"/>
  <c r="T973" i="7"/>
  <c r="S973" i="7"/>
  <c r="Q973" i="7"/>
  <c r="R973" i="7"/>
  <c r="O973" i="7"/>
  <c r="P973" i="7"/>
  <c r="N973" i="7"/>
  <c r="M973" i="7"/>
  <c r="X965" i="7"/>
  <c r="W965" i="7"/>
  <c r="V965" i="7"/>
  <c r="U965" i="7"/>
  <c r="T965" i="7"/>
  <c r="S965" i="7"/>
  <c r="Q965" i="7"/>
  <c r="R965" i="7"/>
  <c r="P965" i="7"/>
  <c r="O965" i="7"/>
  <c r="M965" i="7"/>
  <c r="N965" i="7"/>
  <c r="W957" i="7"/>
  <c r="X957" i="7"/>
  <c r="V957" i="7"/>
  <c r="U957" i="7"/>
  <c r="T957" i="7"/>
  <c r="S957" i="7"/>
  <c r="Q957" i="7"/>
  <c r="R957" i="7"/>
  <c r="O957" i="7"/>
  <c r="P957" i="7"/>
  <c r="N957" i="7"/>
  <c r="M957" i="7"/>
  <c r="X949" i="7"/>
  <c r="W949" i="7"/>
  <c r="V949" i="7"/>
  <c r="U949" i="7"/>
  <c r="T949" i="7"/>
  <c r="S949" i="7"/>
  <c r="Q949" i="7"/>
  <c r="R949" i="7"/>
  <c r="P949" i="7"/>
  <c r="O949" i="7"/>
  <c r="M949" i="7"/>
  <c r="N949" i="7"/>
  <c r="W941" i="7"/>
  <c r="X941" i="7"/>
  <c r="U941" i="7"/>
  <c r="V941" i="7"/>
  <c r="T941" i="7"/>
  <c r="S941" i="7"/>
  <c r="Q941" i="7"/>
  <c r="R941" i="7"/>
  <c r="O941" i="7"/>
  <c r="P941" i="7"/>
  <c r="N941" i="7"/>
  <c r="M941" i="7"/>
  <c r="W933" i="7"/>
  <c r="X933" i="7"/>
  <c r="V933" i="7"/>
  <c r="U933" i="7"/>
  <c r="T933" i="7"/>
  <c r="S933" i="7"/>
  <c r="Q933" i="7"/>
  <c r="R933" i="7"/>
  <c r="O933" i="7"/>
  <c r="P933" i="7"/>
  <c r="M933" i="7"/>
  <c r="N933" i="7"/>
  <c r="W925" i="7"/>
  <c r="X925" i="7"/>
  <c r="V925" i="7"/>
  <c r="U925" i="7"/>
  <c r="T925" i="7"/>
  <c r="S925" i="7"/>
  <c r="Q925" i="7"/>
  <c r="R925" i="7"/>
  <c r="P925" i="7"/>
  <c r="O925" i="7"/>
  <c r="M925" i="7"/>
  <c r="N925" i="7"/>
  <c r="W917" i="7"/>
  <c r="X917" i="7"/>
  <c r="V917" i="7"/>
  <c r="U917" i="7"/>
  <c r="T917" i="7"/>
  <c r="S917" i="7"/>
  <c r="Q917" i="7"/>
  <c r="R917" i="7"/>
  <c r="O917" i="7"/>
  <c r="P917" i="7"/>
  <c r="N917" i="7"/>
  <c r="M917" i="7"/>
  <c r="W909" i="7"/>
  <c r="X909" i="7"/>
  <c r="U909" i="7"/>
  <c r="V909" i="7"/>
  <c r="T909" i="7"/>
  <c r="S909" i="7"/>
  <c r="Q909" i="7"/>
  <c r="R909" i="7"/>
  <c r="O909" i="7"/>
  <c r="P909" i="7"/>
  <c r="N909" i="7"/>
  <c r="M909" i="7"/>
  <c r="X901" i="7"/>
  <c r="W901" i="7"/>
  <c r="V901" i="7"/>
  <c r="U901" i="7"/>
  <c r="T901" i="7"/>
  <c r="S901" i="7"/>
  <c r="Q901" i="7"/>
  <c r="R901" i="7"/>
  <c r="P901" i="7"/>
  <c r="O901" i="7"/>
  <c r="N901" i="7"/>
  <c r="M901" i="7"/>
  <c r="W893" i="7"/>
  <c r="X893" i="7"/>
  <c r="V893" i="7"/>
  <c r="U893" i="7"/>
  <c r="T893" i="7"/>
  <c r="S893" i="7"/>
  <c r="Q893" i="7"/>
  <c r="R893" i="7"/>
  <c r="O893" i="7"/>
  <c r="N893" i="7"/>
  <c r="P893" i="7"/>
  <c r="M893" i="7"/>
  <c r="X885" i="7"/>
  <c r="W885" i="7"/>
  <c r="V885" i="7"/>
  <c r="U885" i="7"/>
  <c r="T885" i="7"/>
  <c r="S885" i="7"/>
  <c r="Q885" i="7"/>
  <c r="R885" i="7"/>
  <c r="P885" i="7"/>
  <c r="O885" i="7"/>
  <c r="N885" i="7"/>
  <c r="M885" i="7"/>
  <c r="W877" i="7"/>
  <c r="X877" i="7"/>
  <c r="U877" i="7"/>
  <c r="V877" i="7"/>
  <c r="T877" i="7"/>
  <c r="S877" i="7"/>
  <c r="Q877" i="7"/>
  <c r="R877" i="7"/>
  <c r="O877" i="7"/>
  <c r="P877" i="7"/>
  <c r="N877" i="7"/>
  <c r="M877" i="7"/>
  <c r="W869" i="7"/>
  <c r="X869" i="7"/>
  <c r="U869" i="7"/>
  <c r="V869" i="7"/>
  <c r="T869" i="7"/>
  <c r="S869" i="7"/>
  <c r="Q869" i="7"/>
  <c r="R869" i="7"/>
  <c r="O869" i="7"/>
  <c r="P869" i="7"/>
  <c r="N869" i="7"/>
  <c r="M869" i="7"/>
  <c r="X861" i="7"/>
  <c r="W861" i="7"/>
  <c r="V861" i="7"/>
  <c r="U861" i="7"/>
  <c r="T861" i="7"/>
  <c r="S861" i="7"/>
  <c r="Q861" i="7"/>
  <c r="R861" i="7"/>
  <c r="P861" i="7"/>
  <c r="O861" i="7"/>
  <c r="N861" i="7"/>
  <c r="M861" i="7"/>
  <c r="W853" i="7"/>
  <c r="X853" i="7"/>
  <c r="V853" i="7"/>
  <c r="U853" i="7"/>
  <c r="T853" i="7"/>
  <c r="S853" i="7"/>
  <c r="Q853" i="7"/>
  <c r="R853" i="7"/>
  <c r="O853" i="7"/>
  <c r="P853" i="7"/>
  <c r="N853" i="7"/>
  <c r="M853" i="7"/>
  <c r="W845" i="7"/>
  <c r="X845" i="7"/>
  <c r="V845" i="7"/>
  <c r="U845" i="7"/>
  <c r="T845" i="7"/>
  <c r="S845" i="7"/>
  <c r="Q845" i="7"/>
  <c r="R845" i="7"/>
  <c r="O845" i="7"/>
  <c r="P845" i="7"/>
  <c r="N845" i="7"/>
  <c r="M845" i="7"/>
  <c r="X837" i="7"/>
  <c r="W837" i="7"/>
  <c r="U837" i="7"/>
  <c r="V837" i="7"/>
  <c r="T837" i="7"/>
  <c r="S837" i="7"/>
  <c r="Q837" i="7"/>
  <c r="R837" i="7"/>
  <c r="P837" i="7"/>
  <c r="O837" i="7"/>
  <c r="N837" i="7"/>
  <c r="M837" i="7"/>
  <c r="W829" i="7"/>
  <c r="X829" i="7"/>
  <c r="V829" i="7"/>
  <c r="U829" i="7"/>
  <c r="T829" i="7"/>
  <c r="S829" i="7"/>
  <c r="Q829" i="7"/>
  <c r="R829" i="7"/>
  <c r="O829" i="7"/>
  <c r="N829" i="7"/>
  <c r="P829" i="7"/>
  <c r="M829" i="7"/>
  <c r="X821" i="7"/>
  <c r="W821" i="7"/>
  <c r="V821" i="7"/>
  <c r="U821" i="7"/>
  <c r="T821" i="7"/>
  <c r="S821" i="7"/>
  <c r="Q821" i="7"/>
  <c r="R821" i="7"/>
  <c r="P821" i="7"/>
  <c r="O821" i="7"/>
  <c r="N821" i="7"/>
  <c r="M821" i="7"/>
  <c r="W813" i="7"/>
  <c r="X813" i="7"/>
  <c r="U813" i="7"/>
  <c r="V813" i="7"/>
  <c r="T813" i="7"/>
  <c r="S813" i="7"/>
  <c r="Q813" i="7"/>
  <c r="R813" i="7"/>
  <c r="O813" i="7"/>
  <c r="P813" i="7"/>
  <c r="N813" i="7"/>
  <c r="M813" i="7"/>
  <c r="W805" i="7"/>
  <c r="X805" i="7"/>
  <c r="V805" i="7"/>
  <c r="U805" i="7"/>
  <c r="T805" i="7"/>
  <c r="S805" i="7"/>
  <c r="Q805" i="7"/>
  <c r="R805" i="7"/>
  <c r="O805" i="7"/>
  <c r="P805" i="7"/>
  <c r="N805" i="7"/>
  <c r="M805" i="7"/>
  <c r="X797" i="7"/>
  <c r="W797" i="7"/>
  <c r="U797" i="7"/>
  <c r="V797" i="7"/>
  <c r="T797" i="7"/>
  <c r="S797" i="7"/>
  <c r="Q797" i="7"/>
  <c r="R797" i="7"/>
  <c r="P797" i="7"/>
  <c r="O797" i="7"/>
  <c r="N797" i="7"/>
  <c r="M797" i="7"/>
  <c r="W789" i="7"/>
  <c r="X789" i="7"/>
  <c r="V789" i="7"/>
  <c r="U789" i="7"/>
  <c r="T789" i="7"/>
  <c r="S789" i="7"/>
  <c r="Q789" i="7"/>
  <c r="R789" i="7"/>
  <c r="O789" i="7"/>
  <c r="P789" i="7"/>
  <c r="N789" i="7"/>
  <c r="M789" i="7"/>
  <c r="W781" i="7"/>
  <c r="X781" i="7"/>
  <c r="U781" i="7"/>
  <c r="V781" i="7"/>
  <c r="T781" i="7"/>
  <c r="S781" i="7"/>
  <c r="Q781" i="7"/>
  <c r="R781" i="7"/>
  <c r="O781" i="7"/>
  <c r="P781" i="7"/>
  <c r="N781" i="7"/>
  <c r="M781" i="7"/>
  <c r="X773" i="7"/>
  <c r="W773" i="7"/>
  <c r="V773" i="7"/>
  <c r="U773" i="7"/>
  <c r="T773" i="7"/>
  <c r="S773" i="7"/>
  <c r="Q773" i="7"/>
  <c r="R773" i="7"/>
  <c r="P773" i="7"/>
  <c r="O773" i="7"/>
  <c r="N773" i="7"/>
  <c r="M773" i="7"/>
  <c r="W765" i="7"/>
  <c r="X765" i="7"/>
  <c r="V765" i="7"/>
  <c r="U765" i="7"/>
  <c r="T765" i="7"/>
  <c r="S765" i="7"/>
  <c r="Q765" i="7"/>
  <c r="R765" i="7"/>
  <c r="O765" i="7"/>
  <c r="N765" i="7"/>
  <c r="P765" i="7"/>
  <c r="M765" i="7"/>
  <c r="X757" i="7"/>
  <c r="W757" i="7"/>
  <c r="V757" i="7"/>
  <c r="U757" i="7"/>
  <c r="T757" i="7"/>
  <c r="S757" i="7"/>
  <c r="Q757" i="7"/>
  <c r="R757" i="7"/>
  <c r="P757" i="7"/>
  <c r="O757" i="7"/>
  <c r="N757" i="7"/>
  <c r="M757" i="7"/>
  <c r="W749" i="7"/>
  <c r="X749" i="7"/>
  <c r="U749" i="7"/>
  <c r="V749" i="7"/>
  <c r="T749" i="7"/>
  <c r="S749" i="7"/>
  <c r="Q749" i="7"/>
  <c r="R749" i="7"/>
  <c r="O749" i="7"/>
  <c r="P749" i="7"/>
  <c r="N749" i="7"/>
  <c r="M749" i="7"/>
  <c r="W741" i="7"/>
  <c r="X741" i="7"/>
  <c r="U741" i="7"/>
  <c r="V741" i="7"/>
  <c r="T741" i="7"/>
  <c r="S741" i="7"/>
  <c r="Q741" i="7"/>
  <c r="R741" i="7"/>
  <c r="O741" i="7"/>
  <c r="P741" i="7"/>
  <c r="N741" i="7"/>
  <c r="M741" i="7"/>
  <c r="X733" i="7"/>
  <c r="W733" i="7"/>
  <c r="U733" i="7"/>
  <c r="T733" i="7"/>
  <c r="V733" i="7"/>
  <c r="S733" i="7"/>
  <c r="Q733" i="7"/>
  <c r="R733" i="7"/>
  <c r="P733" i="7"/>
  <c r="O733" i="7"/>
  <c r="N733" i="7"/>
  <c r="M733" i="7"/>
  <c r="W725" i="7"/>
  <c r="X725" i="7"/>
  <c r="V725" i="7"/>
  <c r="U725" i="7"/>
  <c r="T725" i="7"/>
  <c r="S725" i="7"/>
  <c r="Q725" i="7"/>
  <c r="O725" i="7"/>
  <c r="P725" i="7"/>
  <c r="R725" i="7"/>
  <c r="N725" i="7"/>
  <c r="M725" i="7"/>
  <c r="X717" i="7"/>
  <c r="W717" i="7"/>
  <c r="V717" i="7"/>
  <c r="U717" i="7"/>
  <c r="T717" i="7"/>
  <c r="S717" i="7"/>
  <c r="Q717" i="7"/>
  <c r="R717" i="7"/>
  <c r="O717" i="7"/>
  <c r="P717" i="7"/>
  <c r="N717" i="7"/>
  <c r="M717" i="7"/>
  <c r="W709" i="7"/>
  <c r="X709" i="7"/>
  <c r="U709" i="7"/>
  <c r="V709" i="7"/>
  <c r="T709" i="7"/>
  <c r="S709" i="7"/>
  <c r="Q709" i="7"/>
  <c r="R709" i="7"/>
  <c r="P709" i="7"/>
  <c r="O709" i="7"/>
  <c r="N709" i="7"/>
  <c r="M709" i="7"/>
  <c r="W701" i="7"/>
  <c r="X701" i="7"/>
  <c r="U701" i="7"/>
  <c r="V701" i="7"/>
  <c r="T701" i="7"/>
  <c r="S701" i="7"/>
  <c r="Q701" i="7"/>
  <c r="R701" i="7"/>
  <c r="O701" i="7"/>
  <c r="N701" i="7"/>
  <c r="P701" i="7"/>
  <c r="M701" i="7"/>
  <c r="X693" i="7"/>
  <c r="W693" i="7"/>
  <c r="V693" i="7"/>
  <c r="U693" i="7"/>
  <c r="T693" i="7"/>
  <c r="S693" i="7"/>
  <c r="Q693" i="7"/>
  <c r="R693" i="7"/>
  <c r="P693" i="7"/>
  <c r="O693" i="7"/>
  <c r="N693" i="7"/>
  <c r="M693" i="7"/>
  <c r="W685" i="7"/>
  <c r="X685" i="7"/>
  <c r="V685" i="7"/>
  <c r="U685" i="7"/>
  <c r="T685" i="7"/>
  <c r="S685" i="7"/>
  <c r="Q685" i="7"/>
  <c r="R685" i="7"/>
  <c r="O685" i="7"/>
  <c r="P685" i="7"/>
  <c r="N685" i="7"/>
  <c r="M685" i="7"/>
  <c r="W677" i="7"/>
  <c r="X677" i="7"/>
  <c r="U677" i="7"/>
  <c r="V677" i="7"/>
  <c r="T677" i="7"/>
  <c r="S677" i="7"/>
  <c r="Q677" i="7"/>
  <c r="R677" i="7"/>
  <c r="O677" i="7"/>
  <c r="P677" i="7"/>
  <c r="N677" i="7"/>
  <c r="M677" i="7"/>
  <c r="W669" i="7"/>
  <c r="X669" i="7"/>
  <c r="V669" i="7"/>
  <c r="U669" i="7"/>
  <c r="T669" i="7"/>
  <c r="S669" i="7"/>
  <c r="Q669" i="7"/>
  <c r="R669" i="7"/>
  <c r="P669" i="7"/>
  <c r="O669" i="7"/>
  <c r="N669" i="7"/>
  <c r="M669" i="7"/>
  <c r="X661" i="7"/>
  <c r="W661" i="7"/>
  <c r="U661" i="7"/>
  <c r="V661" i="7"/>
  <c r="T661" i="7"/>
  <c r="S661" i="7"/>
  <c r="Q661" i="7"/>
  <c r="O661" i="7"/>
  <c r="R661" i="7"/>
  <c r="P661" i="7"/>
  <c r="N661" i="7"/>
  <c r="M661" i="7"/>
  <c r="X653" i="7"/>
  <c r="W653" i="7"/>
  <c r="V653" i="7"/>
  <c r="U653" i="7"/>
  <c r="T653" i="7"/>
  <c r="S653" i="7"/>
  <c r="Q653" i="7"/>
  <c r="R653" i="7"/>
  <c r="O653" i="7"/>
  <c r="P653" i="7"/>
  <c r="N653" i="7"/>
  <c r="M653" i="7"/>
  <c r="X645" i="7"/>
  <c r="W645" i="7"/>
  <c r="U645" i="7"/>
  <c r="V645" i="7"/>
  <c r="T645" i="7"/>
  <c r="S645" i="7"/>
  <c r="Q645" i="7"/>
  <c r="R645" i="7"/>
  <c r="P645" i="7"/>
  <c r="O645" i="7"/>
  <c r="N645" i="7"/>
  <c r="M645" i="7"/>
  <c r="X637" i="7"/>
  <c r="W637" i="7"/>
  <c r="V637" i="7"/>
  <c r="U637" i="7"/>
  <c r="T637" i="7"/>
  <c r="S637" i="7"/>
  <c r="Q637" i="7"/>
  <c r="R637" i="7"/>
  <c r="O637" i="7"/>
  <c r="P637" i="7"/>
  <c r="N637" i="7"/>
  <c r="M637" i="7"/>
  <c r="X629" i="7"/>
  <c r="W629" i="7"/>
  <c r="U629" i="7"/>
  <c r="V629" i="7"/>
  <c r="T629" i="7"/>
  <c r="S629" i="7"/>
  <c r="Q629" i="7"/>
  <c r="R629" i="7"/>
  <c r="P629" i="7"/>
  <c r="O629" i="7"/>
  <c r="N629" i="7"/>
  <c r="M629" i="7"/>
  <c r="X621" i="7"/>
  <c r="W621" i="7"/>
  <c r="V621" i="7"/>
  <c r="U621" i="7"/>
  <c r="T621" i="7"/>
  <c r="S621" i="7"/>
  <c r="Q621" i="7"/>
  <c r="R621" i="7"/>
  <c r="O621" i="7"/>
  <c r="P621" i="7"/>
  <c r="N621" i="7"/>
  <c r="M621" i="7"/>
  <c r="X613" i="7"/>
  <c r="W613" i="7"/>
  <c r="V613" i="7"/>
  <c r="U613" i="7"/>
  <c r="T613" i="7"/>
  <c r="S613" i="7"/>
  <c r="Q613" i="7"/>
  <c r="R613" i="7"/>
  <c r="P613" i="7"/>
  <c r="O613" i="7"/>
  <c r="N613" i="7"/>
  <c r="M613" i="7"/>
  <c r="X605" i="7"/>
  <c r="W605" i="7"/>
  <c r="V605" i="7"/>
  <c r="U605" i="7"/>
  <c r="T605" i="7"/>
  <c r="S605" i="7"/>
  <c r="Q605" i="7"/>
  <c r="R605" i="7"/>
  <c r="P605" i="7"/>
  <c r="O605" i="7"/>
  <c r="N605" i="7"/>
  <c r="M605" i="7"/>
  <c r="X597" i="7"/>
  <c r="W597" i="7"/>
  <c r="V597" i="7"/>
  <c r="U597" i="7"/>
  <c r="T597" i="7"/>
  <c r="S597" i="7"/>
  <c r="Q597" i="7"/>
  <c r="P597" i="7"/>
  <c r="O597" i="7"/>
  <c r="N597" i="7"/>
  <c r="R597" i="7"/>
  <c r="M597" i="7"/>
  <c r="X589" i="7"/>
  <c r="W589" i="7"/>
  <c r="V589" i="7"/>
  <c r="U589" i="7"/>
  <c r="T589" i="7"/>
  <c r="S589" i="7"/>
  <c r="Q589" i="7"/>
  <c r="P589" i="7"/>
  <c r="R589" i="7"/>
  <c r="O589" i="7"/>
  <c r="N589" i="7"/>
  <c r="M589" i="7"/>
  <c r="X581" i="7"/>
  <c r="W581" i="7"/>
  <c r="U581" i="7"/>
  <c r="V581" i="7"/>
  <c r="T581" i="7"/>
  <c r="S581" i="7"/>
  <c r="Q581" i="7"/>
  <c r="R581" i="7"/>
  <c r="P581" i="7"/>
  <c r="O581" i="7"/>
  <c r="N581" i="7"/>
  <c r="M581" i="7"/>
  <c r="X573" i="7"/>
  <c r="W573" i="7"/>
  <c r="V573" i="7"/>
  <c r="U573" i="7"/>
  <c r="T573" i="7"/>
  <c r="S573" i="7"/>
  <c r="Q573" i="7"/>
  <c r="R573" i="7"/>
  <c r="P573" i="7"/>
  <c r="O573" i="7"/>
  <c r="N573" i="7"/>
  <c r="M573" i="7"/>
  <c r="X565" i="7"/>
  <c r="W565" i="7"/>
  <c r="U565" i="7"/>
  <c r="V565" i="7"/>
  <c r="T565" i="7"/>
  <c r="S565" i="7"/>
  <c r="Q565" i="7"/>
  <c r="R565" i="7"/>
  <c r="P565" i="7"/>
  <c r="O565" i="7"/>
  <c r="N565" i="7"/>
  <c r="M565" i="7"/>
  <c r="X557" i="7"/>
  <c r="W557" i="7"/>
  <c r="V557" i="7"/>
  <c r="U557" i="7"/>
  <c r="T557" i="7"/>
  <c r="S557" i="7"/>
  <c r="Q557" i="7"/>
  <c r="R557" i="7"/>
  <c r="P557" i="7"/>
  <c r="O557" i="7"/>
  <c r="N557" i="7"/>
  <c r="M557" i="7"/>
  <c r="X549" i="7"/>
  <c r="W549" i="7"/>
  <c r="U549" i="7"/>
  <c r="V549" i="7"/>
  <c r="T549" i="7"/>
  <c r="S549" i="7"/>
  <c r="Q549" i="7"/>
  <c r="R549" i="7"/>
  <c r="P549" i="7"/>
  <c r="O549" i="7"/>
  <c r="N549" i="7"/>
  <c r="M549" i="7"/>
  <c r="X541" i="7"/>
  <c r="W541" i="7"/>
  <c r="V541" i="7"/>
  <c r="U541" i="7"/>
  <c r="T541" i="7"/>
  <c r="S541" i="7"/>
  <c r="Q541" i="7"/>
  <c r="R541" i="7"/>
  <c r="P541" i="7"/>
  <c r="O541" i="7"/>
  <c r="N541" i="7"/>
  <c r="M541" i="7"/>
  <c r="X533" i="7"/>
  <c r="W533" i="7"/>
  <c r="V533" i="7"/>
  <c r="U533" i="7"/>
  <c r="T533" i="7"/>
  <c r="S533" i="7"/>
  <c r="Q533" i="7"/>
  <c r="P533" i="7"/>
  <c r="O533" i="7"/>
  <c r="R533" i="7"/>
  <c r="N533" i="7"/>
  <c r="M533" i="7"/>
  <c r="X525" i="7"/>
  <c r="W525" i="7"/>
  <c r="V525" i="7"/>
  <c r="U525" i="7"/>
  <c r="T525" i="7"/>
  <c r="S525" i="7"/>
  <c r="Q525" i="7"/>
  <c r="P525" i="7"/>
  <c r="R525" i="7"/>
  <c r="O525" i="7"/>
  <c r="N525" i="7"/>
  <c r="M525" i="7"/>
  <c r="X517" i="7"/>
  <c r="W517" i="7"/>
  <c r="U517" i="7"/>
  <c r="V517" i="7"/>
  <c r="T517" i="7"/>
  <c r="S517" i="7"/>
  <c r="Q517" i="7"/>
  <c r="R517" i="7"/>
  <c r="P517" i="7"/>
  <c r="O517" i="7"/>
  <c r="N517" i="7"/>
  <c r="M517" i="7"/>
  <c r="X509" i="7"/>
  <c r="W509" i="7"/>
  <c r="V509" i="7"/>
  <c r="U509" i="7"/>
  <c r="T509" i="7"/>
  <c r="S509" i="7"/>
  <c r="R509" i="7"/>
  <c r="Q509" i="7"/>
  <c r="P509" i="7"/>
  <c r="O509" i="7"/>
  <c r="N509" i="7"/>
  <c r="M509" i="7"/>
  <c r="X501" i="7"/>
  <c r="W501" i="7"/>
  <c r="U501" i="7"/>
  <c r="V501" i="7"/>
  <c r="T501" i="7"/>
  <c r="S501" i="7"/>
  <c r="R501" i="7"/>
  <c r="Q501" i="7"/>
  <c r="P501" i="7"/>
  <c r="O501" i="7"/>
  <c r="N501" i="7"/>
  <c r="M501" i="7"/>
  <c r="X493" i="7"/>
  <c r="W493" i="7"/>
  <c r="V493" i="7"/>
  <c r="U493" i="7"/>
  <c r="T493" i="7"/>
  <c r="S493" i="7"/>
  <c r="R493" i="7"/>
  <c r="Q493" i="7"/>
  <c r="P493" i="7"/>
  <c r="O493" i="7"/>
  <c r="N493" i="7"/>
  <c r="M493" i="7"/>
  <c r="X485" i="7"/>
  <c r="W485" i="7"/>
  <c r="U485" i="7"/>
  <c r="V485" i="7"/>
  <c r="T485" i="7"/>
  <c r="S485" i="7"/>
  <c r="Q485" i="7"/>
  <c r="R485" i="7"/>
  <c r="P485" i="7"/>
  <c r="O485" i="7"/>
  <c r="N485" i="7"/>
  <c r="M485" i="7"/>
  <c r="X477" i="7"/>
  <c r="W477" i="7"/>
  <c r="V477" i="7"/>
  <c r="U477" i="7"/>
  <c r="T477" i="7"/>
  <c r="S477" i="7"/>
  <c r="R477" i="7"/>
  <c r="Q477" i="7"/>
  <c r="P477" i="7"/>
  <c r="O477" i="7"/>
  <c r="N477" i="7"/>
  <c r="M477" i="7"/>
  <c r="X469" i="7"/>
  <c r="W469" i="7"/>
  <c r="V469" i="7"/>
  <c r="U469" i="7"/>
  <c r="T469" i="7"/>
  <c r="S469" i="7"/>
  <c r="R469" i="7"/>
  <c r="Q469" i="7"/>
  <c r="P469" i="7"/>
  <c r="N469" i="7"/>
  <c r="O469" i="7"/>
  <c r="M469" i="7"/>
  <c r="X461" i="7"/>
  <c r="W461" i="7"/>
  <c r="V461" i="7"/>
  <c r="U461" i="7"/>
  <c r="T461" i="7"/>
  <c r="S461" i="7"/>
  <c r="R461" i="7"/>
  <c r="Q461" i="7"/>
  <c r="P461" i="7"/>
  <c r="O461" i="7"/>
  <c r="N461" i="7"/>
  <c r="M461" i="7"/>
  <c r="X453" i="7"/>
  <c r="W453" i="7"/>
  <c r="U453" i="7"/>
  <c r="V453" i="7"/>
  <c r="T453" i="7"/>
  <c r="S453" i="7"/>
  <c r="Q453" i="7"/>
  <c r="P453" i="7"/>
  <c r="R453" i="7"/>
  <c r="N453" i="7"/>
  <c r="O453" i="7"/>
  <c r="M453" i="7"/>
  <c r="X445" i="7"/>
  <c r="W445" i="7"/>
  <c r="V445" i="7"/>
  <c r="U445" i="7"/>
  <c r="T445" i="7"/>
  <c r="S445" i="7"/>
  <c r="R445" i="7"/>
  <c r="Q445" i="7"/>
  <c r="P445" i="7"/>
  <c r="O445" i="7"/>
  <c r="N445" i="7"/>
  <c r="M445" i="7"/>
  <c r="X437" i="7"/>
  <c r="W437" i="7"/>
  <c r="V437" i="7"/>
  <c r="U437" i="7"/>
  <c r="T437" i="7"/>
  <c r="S437" i="7"/>
  <c r="R437" i="7"/>
  <c r="Q437" i="7"/>
  <c r="P437" i="7"/>
  <c r="N437" i="7"/>
  <c r="O437" i="7"/>
  <c r="M437" i="7"/>
  <c r="X429" i="7"/>
  <c r="W429" i="7"/>
  <c r="V429" i="7"/>
  <c r="U429" i="7"/>
  <c r="T429" i="7"/>
  <c r="S429" i="7"/>
  <c r="R429" i="7"/>
  <c r="Q429" i="7"/>
  <c r="P429" i="7"/>
  <c r="O429" i="7"/>
  <c r="N429" i="7"/>
  <c r="M429" i="7"/>
  <c r="X421" i="7"/>
  <c r="W421" i="7"/>
  <c r="U421" i="7"/>
  <c r="V421" i="7"/>
  <c r="T421" i="7"/>
  <c r="S421" i="7"/>
  <c r="Q421" i="7"/>
  <c r="R421" i="7"/>
  <c r="P421" i="7"/>
  <c r="N421" i="7"/>
  <c r="O421" i="7"/>
  <c r="M421" i="7"/>
  <c r="X413" i="7"/>
  <c r="W413" i="7"/>
  <c r="V413" i="7"/>
  <c r="U413" i="7"/>
  <c r="T413" i="7"/>
  <c r="S413" i="7"/>
  <c r="R413" i="7"/>
  <c r="Q413" i="7"/>
  <c r="P413" i="7"/>
  <c r="O413" i="7"/>
  <c r="N413" i="7"/>
  <c r="M413" i="7"/>
  <c r="X405" i="7"/>
  <c r="W405" i="7"/>
  <c r="V405" i="7"/>
  <c r="U405" i="7"/>
  <c r="T405" i="7"/>
  <c r="S405" i="7"/>
  <c r="R405" i="7"/>
  <c r="Q405" i="7"/>
  <c r="P405" i="7"/>
  <c r="O405" i="7"/>
  <c r="N405" i="7"/>
  <c r="M405" i="7"/>
  <c r="X397" i="7"/>
  <c r="W397" i="7"/>
  <c r="V397" i="7"/>
  <c r="U397" i="7"/>
  <c r="T397" i="7"/>
  <c r="S397" i="7"/>
  <c r="R397" i="7"/>
  <c r="Q397" i="7"/>
  <c r="P397" i="7"/>
  <c r="O397" i="7"/>
  <c r="N397" i="7"/>
  <c r="M397" i="7"/>
  <c r="X389" i="7"/>
  <c r="W389" i="7"/>
  <c r="U389" i="7"/>
  <c r="V389" i="7"/>
  <c r="T389" i="7"/>
  <c r="S389" i="7"/>
  <c r="Q389" i="7"/>
  <c r="R389" i="7"/>
  <c r="P389" i="7"/>
  <c r="N389" i="7"/>
  <c r="O389" i="7"/>
  <c r="M389" i="7"/>
  <c r="X381" i="7"/>
  <c r="W381" i="7"/>
  <c r="V381" i="7"/>
  <c r="U381" i="7"/>
  <c r="T381" i="7"/>
  <c r="S381" i="7"/>
  <c r="R381" i="7"/>
  <c r="Q381" i="7"/>
  <c r="P381" i="7"/>
  <c r="O381" i="7"/>
  <c r="N381" i="7"/>
  <c r="M381" i="7"/>
  <c r="X373" i="7"/>
  <c r="W373" i="7"/>
  <c r="V373" i="7"/>
  <c r="U373" i="7"/>
  <c r="T373" i="7"/>
  <c r="R373" i="7"/>
  <c r="Q373" i="7"/>
  <c r="S373" i="7"/>
  <c r="P373" i="7"/>
  <c r="N373" i="7"/>
  <c r="O373" i="7"/>
  <c r="M373" i="7"/>
  <c r="X365" i="7"/>
  <c r="W365" i="7"/>
  <c r="V365" i="7"/>
  <c r="U365" i="7"/>
  <c r="T365" i="7"/>
  <c r="S365" i="7"/>
  <c r="Q365" i="7"/>
  <c r="P365" i="7"/>
  <c r="O365" i="7"/>
  <c r="R365" i="7"/>
  <c r="N365" i="7"/>
  <c r="M365" i="7"/>
  <c r="X357" i="7"/>
  <c r="W357" i="7"/>
  <c r="U357" i="7"/>
  <c r="V357" i="7"/>
  <c r="T357" i="7"/>
  <c r="S357" i="7"/>
  <c r="R357" i="7"/>
  <c r="Q357" i="7"/>
  <c r="P357" i="7"/>
  <c r="N357" i="7"/>
  <c r="O357" i="7"/>
  <c r="M357" i="7"/>
  <c r="X349" i="7"/>
  <c r="W349" i="7"/>
  <c r="V349" i="7"/>
  <c r="U349" i="7"/>
  <c r="T349" i="7"/>
  <c r="S349" i="7"/>
  <c r="R349" i="7"/>
  <c r="Q349" i="7"/>
  <c r="P349" i="7"/>
  <c r="O349" i="7"/>
  <c r="N349" i="7"/>
  <c r="M349" i="7"/>
  <c r="X341" i="7"/>
  <c r="W341" i="7"/>
  <c r="V341" i="7"/>
  <c r="U341" i="7"/>
  <c r="T341" i="7"/>
  <c r="R341" i="7"/>
  <c r="S341" i="7"/>
  <c r="Q341" i="7"/>
  <c r="P341" i="7"/>
  <c r="N341" i="7"/>
  <c r="O341" i="7"/>
  <c r="M341" i="7"/>
  <c r="X333" i="7"/>
  <c r="W333" i="7"/>
  <c r="V333" i="7"/>
  <c r="U333" i="7"/>
  <c r="T333" i="7"/>
  <c r="S333" i="7"/>
  <c r="R333" i="7"/>
  <c r="Q333" i="7"/>
  <c r="P333" i="7"/>
  <c r="O333" i="7"/>
  <c r="N333" i="7"/>
  <c r="M333" i="7"/>
  <c r="X325" i="7"/>
  <c r="W325" i="7"/>
  <c r="U325" i="7"/>
  <c r="V325" i="7"/>
  <c r="T325" i="7"/>
  <c r="S325" i="7"/>
  <c r="R325" i="7"/>
  <c r="Q325" i="7"/>
  <c r="P325" i="7"/>
  <c r="N325" i="7"/>
  <c r="O325" i="7"/>
  <c r="M325" i="7"/>
  <c r="X317" i="7"/>
  <c r="W317" i="7"/>
  <c r="V317" i="7"/>
  <c r="U317" i="7"/>
  <c r="T317" i="7"/>
  <c r="S317" i="7"/>
  <c r="R317" i="7"/>
  <c r="Q317" i="7"/>
  <c r="P317" i="7"/>
  <c r="O317" i="7"/>
  <c r="N317" i="7"/>
  <c r="M317" i="7"/>
  <c r="X309" i="7"/>
  <c r="W309" i="7"/>
  <c r="U309" i="7"/>
  <c r="V309" i="7"/>
  <c r="T309" i="7"/>
  <c r="R309" i="7"/>
  <c r="S309" i="7"/>
  <c r="Q309" i="7"/>
  <c r="P309" i="7"/>
  <c r="N309" i="7"/>
  <c r="O309" i="7"/>
  <c r="M309" i="7"/>
  <c r="X301" i="7"/>
  <c r="W301" i="7"/>
  <c r="V301" i="7"/>
  <c r="U301" i="7"/>
  <c r="T301" i="7"/>
  <c r="S301" i="7"/>
  <c r="Q301" i="7"/>
  <c r="R301" i="7"/>
  <c r="P301" i="7"/>
  <c r="O301" i="7"/>
  <c r="N301" i="7"/>
  <c r="M301" i="7"/>
  <c r="X293" i="7"/>
  <c r="W293" i="7"/>
  <c r="U293" i="7"/>
  <c r="V293" i="7"/>
  <c r="T293" i="7"/>
  <c r="S293" i="7"/>
  <c r="R293" i="7"/>
  <c r="Q293" i="7"/>
  <c r="P293" i="7"/>
  <c r="N293" i="7"/>
  <c r="O293" i="7"/>
  <c r="M293" i="7"/>
  <c r="X285" i="7"/>
  <c r="W285" i="7"/>
  <c r="V285" i="7"/>
  <c r="U285" i="7"/>
  <c r="T285" i="7"/>
  <c r="S285" i="7"/>
  <c r="R285" i="7"/>
  <c r="Q285" i="7"/>
  <c r="P285" i="7"/>
  <c r="O285" i="7"/>
  <c r="N285" i="7"/>
  <c r="M285" i="7"/>
  <c r="X277" i="7"/>
  <c r="W277" i="7"/>
  <c r="V277" i="7"/>
  <c r="U277" i="7"/>
  <c r="T277" i="7"/>
  <c r="R277" i="7"/>
  <c r="S277" i="7"/>
  <c r="Q277" i="7"/>
  <c r="P277" i="7"/>
  <c r="O277" i="7"/>
  <c r="N277" i="7"/>
  <c r="M277" i="7"/>
  <c r="X269" i="7"/>
  <c r="W269" i="7"/>
  <c r="V269" i="7"/>
  <c r="U269" i="7"/>
  <c r="T269" i="7"/>
  <c r="S269" i="7"/>
  <c r="R269" i="7"/>
  <c r="Q269" i="7"/>
  <c r="P269" i="7"/>
  <c r="O269" i="7"/>
  <c r="N269" i="7"/>
  <c r="M269" i="7"/>
  <c r="X261" i="7"/>
  <c r="W261" i="7"/>
  <c r="U261" i="7"/>
  <c r="V261" i="7"/>
  <c r="T261" i="7"/>
  <c r="S261" i="7"/>
  <c r="R261" i="7"/>
  <c r="Q261" i="7"/>
  <c r="P261" i="7"/>
  <c r="N261" i="7"/>
  <c r="M261" i="7"/>
  <c r="O261" i="7"/>
  <c r="X253" i="7"/>
  <c r="W253" i="7"/>
  <c r="V253" i="7"/>
  <c r="U253" i="7"/>
  <c r="T253" i="7"/>
  <c r="S253" i="7"/>
  <c r="R253" i="7"/>
  <c r="Q253" i="7"/>
  <c r="P253" i="7"/>
  <c r="O253" i="7"/>
  <c r="N253" i="7"/>
  <c r="M253" i="7"/>
  <c r="X245" i="7"/>
  <c r="W245" i="7"/>
  <c r="U245" i="7"/>
  <c r="T245" i="7"/>
  <c r="V245" i="7"/>
  <c r="S245" i="7"/>
  <c r="R245" i="7"/>
  <c r="Q245" i="7"/>
  <c r="P245" i="7"/>
  <c r="N245" i="7"/>
  <c r="O245" i="7"/>
  <c r="M245" i="7"/>
  <c r="X237" i="7"/>
  <c r="W237" i="7"/>
  <c r="V237" i="7"/>
  <c r="U237" i="7"/>
  <c r="T237" i="7"/>
  <c r="S237" i="7"/>
  <c r="Q237" i="7"/>
  <c r="R237" i="7"/>
  <c r="P237" i="7"/>
  <c r="O237" i="7"/>
  <c r="N237" i="7"/>
  <c r="M237" i="7"/>
  <c r="X229" i="7"/>
  <c r="W229" i="7"/>
  <c r="U229" i="7"/>
  <c r="V229" i="7"/>
  <c r="T229" i="7"/>
  <c r="S229" i="7"/>
  <c r="R229" i="7"/>
  <c r="Q229" i="7"/>
  <c r="O229" i="7"/>
  <c r="P229" i="7"/>
  <c r="N229" i="7"/>
  <c r="M229" i="7"/>
  <c r="X221" i="7"/>
  <c r="W221" i="7"/>
  <c r="V221" i="7"/>
  <c r="U221" i="7"/>
  <c r="T221" i="7"/>
  <c r="S221" i="7"/>
  <c r="R221" i="7"/>
  <c r="Q221" i="7"/>
  <c r="O221" i="7"/>
  <c r="P221" i="7"/>
  <c r="N221" i="7"/>
  <c r="M221" i="7"/>
  <c r="X213" i="7"/>
  <c r="W213" i="7"/>
  <c r="V213" i="7"/>
  <c r="U213" i="7"/>
  <c r="T213" i="7"/>
  <c r="R213" i="7"/>
  <c r="S213" i="7"/>
  <c r="Q213" i="7"/>
  <c r="O213" i="7"/>
  <c r="P213" i="7"/>
  <c r="N213" i="7"/>
  <c r="M213" i="7"/>
  <c r="X205" i="7"/>
  <c r="W205" i="7"/>
  <c r="V205" i="7"/>
  <c r="U205" i="7"/>
  <c r="T205" i="7"/>
  <c r="S205" i="7"/>
  <c r="R205" i="7"/>
  <c r="Q205" i="7"/>
  <c r="O205" i="7"/>
  <c r="P205" i="7"/>
  <c r="N205" i="7"/>
  <c r="M205" i="7"/>
  <c r="X197" i="7"/>
  <c r="W197" i="7"/>
  <c r="V197" i="7"/>
  <c r="U197" i="7"/>
  <c r="T197" i="7"/>
  <c r="S197" i="7"/>
  <c r="R197" i="7"/>
  <c r="Q197" i="7"/>
  <c r="O197" i="7"/>
  <c r="P197" i="7"/>
  <c r="N197" i="7"/>
  <c r="M197" i="7"/>
  <c r="X189" i="7"/>
  <c r="W189" i="7"/>
  <c r="V189" i="7"/>
  <c r="U189" i="7"/>
  <c r="T189" i="7"/>
  <c r="S189" i="7"/>
  <c r="R189" i="7"/>
  <c r="Q189" i="7"/>
  <c r="O189" i="7"/>
  <c r="P189" i="7"/>
  <c r="N189" i="7"/>
  <c r="M189" i="7"/>
  <c r="X181" i="7"/>
  <c r="W181" i="7"/>
  <c r="U181" i="7"/>
  <c r="V181" i="7"/>
  <c r="S181" i="7"/>
  <c r="T181" i="7"/>
  <c r="R181" i="7"/>
  <c r="Q181" i="7"/>
  <c r="O181" i="7"/>
  <c r="P181" i="7"/>
  <c r="N181" i="7"/>
  <c r="M181" i="7"/>
  <c r="X173" i="7"/>
  <c r="W173" i="7"/>
  <c r="V173" i="7"/>
  <c r="U173" i="7"/>
  <c r="T173" i="7"/>
  <c r="S173" i="7"/>
  <c r="Q173" i="7"/>
  <c r="R173" i="7"/>
  <c r="O173" i="7"/>
  <c r="P173" i="7"/>
  <c r="N173" i="7"/>
  <c r="M173" i="7"/>
  <c r="X165" i="7"/>
  <c r="W165" i="7"/>
  <c r="V165" i="7"/>
  <c r="U165" i="7"/>
  <c r="T165" i="7"/>
  <c r="R165" i="7"/>
  <c r="S165" i="7"/>
  <c r="Q165" i="7"/>
  <c r="O165" i="7"/>
  <c r="P165" i="7"/>
  <c r="N165" i="7"/>
  <c r="M165" i="7"/>
  <c r="X157" i="7"/>
  <c r="W157" i="7"/>
  <c r="V157" i="7"/>
  <c r="U157" i="7"/>
  <c r="T157" i="7"/>
  <c r="S157" i="7"/>
  <c r="R157" i="7"/>
  <c r="Q157" i="7"/>
  <c r="O157" i="7"/>
  <c r="P157" i="7"/>
  <c r="N157" i="7"/>
  <c r="M157" i="7"/>
  <c r="X149" i="7"/>
  <c r="W149" i="7"/>
  <c r="V149" i="7"/>
  <c r="U149" i="7"/>
  <c r="T149" i="7"/>
  <c r="R149" i="7"/>
  <c r="S149" i="7"/>
  <c r="Q149" i="7"/>
  <c r="O149" i="7"/>
  <c r="P149" i="7"/>
  <c r="N149" i="7"/>
  <c r="M149" i="7"/>
  <c r="X141" i="7"/>
  <c r="W141" i="7"/>
  <c r="V141" i="7"/>
  <c r="U141" i="7"/>
  <c r="T141" i="7"/>
  <c r="S141" i="7"/>
  <c r="R141" i="7"/>
  <c r="Q141" i="7"/>
  <c r="O141" i="7"/>
  <c r="P141" i="7"/>
  <c r="N141" i="7"/>
  <c r="M141" i="7"/>
  <c r="X133" i="7"/>
  <c r="W133" i="7"/>
  <c r="V133" i="7"/>
  <c r="U133" i="7"/>
  <c r="T133" i="7"/>
  <c r="S133" i="7"/>
  <c r="R133" i="7"/>
  <c r="Q133" i="7"/>
  <c r="O133" i="7"/>
  <c r="P133" i="7"/>
  <c r="N133" i="7"/>
  <c r="M133" i="7"/>
  <c r="X125" i="7"/>
  <c r="W125" i="7"/>
  <c r="V125" i="7"/>
  <c r="U125" i="7"/>
  <c r="T125" i="7"/>
  <c r="S125" i="7"/>
  <c r="R125" i="7"/>
  <c r="Q125" i="7"/>
  <c r="O125" i="7"/>
  <c r="P125" i="7"/>
  <c r="N125" i="7"/>
  <c r="M125" i="7"/>
  <c r="X117" i="7"/>
  <c r="W117" i="7"/>
  <c r="U117" i="7"/>
  <c r="V117" i="7"/>
  <c r="S117" i="7"/>
  <c r="T117" i="7"/>
  <c r="R117" i="7"/>
  <c r="Q117" i="7"/>
  <c r="O117" i="7"/>
  <c r="P117" i="7"/>
  <c r="N117" i="7"/>
  <c r="M117" i="7"/>
  <c r="X109" i="7"/>
  <c r="W109" i="7"/>
  <c r="V109" i="7"/>
  <c r="U109" i="7"/>
  <c r="T109" i="7"/>
  <c r="S109" i="7"/>
  <c r="Q109" i="7"/>
  <c r="R109" i="7"/>
  <c r="O109" i="7"/>
  <c r="P109" i="7"/>
  <c r="N109" i="7"/>
  <c r="M109" i="7"/>
  <c r="X101" i="7"/>
  <c r="W101" i="7"/>
  <c r="U101" i="7"/>
  <c r="V101" i="7"/>
  <c r="T101" i="7"/>
  <c r="R101" i="7"/>
  <c r="S101" i="7"/>
  <c r="Q101" i="7"/>
  <c r="O101" i="7"/>
  <c r="P101" i="7"/>
  <c r="N101" i="7"/>
  <c r="M101" i="7"/>
  <c r="X93" i="7"/>
  <c r="W93" i="7"/>
  <c r="V93" i="7"/>
  <c r="U93" i="7"/>
  <c r="T93" i="7"/>
  <c r="S93" i="7"/>
  <c r="R93" i="7"/>
  <c r="Q93" i="7"/>
  <c r="O93" i="7"/>
  <c r="P93" i="7"/>
  <c r="N93" i="7"/>
  <c r="M93" i="7"/>
  <c r="X85" i="7"/>
  <c r="W85" i="7"/>
  <c r="U85" i="7"/>
  <c r="V85" i="7"/>
  <c r="T85" i="7"/>
  <c r="R85" i="7"/>
  <c r="S85" i="7"/>
  <c r="Q85" i="7"/>
  <c r="O85" i="7"/>
  <c r="P85" i="7"/>
  <c r="N85" i="7"/>
  <c r="M85" i="7"/>
  <c r="X77" i="7"/>
  <c r="W77" i="7"/>
  <c r="V77" i="7"/>
  <c r="U77" i="7"/>
  <c r="T77" i="7"/>
  <c r="S77" i="7"/>
  <c r="R77" i="7"/>
  <c r="Q77" i="7"/>
  <c r="O77" i="7"/>
  <c r="P77" i="7"/>
  <c r="N77" i="7"/>
  <c r="M77" i="7"/>
  <c r="X69" i="7"/>
  <c r="W69" i="7"/>
  <c r="U69" i="7"/>
  <c r="V69" i="7"/>
  <c r="S69" i="7"/>
  <c r="T69" i="7"/>
  <c r="R69" i="7"/>
  <c r="Q69" i="7"/>
  <c r="O69" i="7"/>
  <c r="P69" i="7"/>
  <c r="N69" i="7"/>
  <c r="M69" i="7"/>
  <c r="X61" i="7"/>
  <c r="W61" i="7"/>
  <c r="U61" i="7"/>
  <c r="V61" i="7"/>
  <c r="T61" i="7"/>
  <c r="S61" i="7"/>
  <c r="R61" i="7"/>
  <c r="Q61" i="7"/>
  <c r="O61" i="7"/>
  <c r="P61" i="7"/>
  <c r="N61" i="7"/>
  <c r="M61" i="7"/>
  <c r="X53" i="7"/>
  <c r="W53" i="7"/>
  <c r="U53" i="7"/>
  <c r="V53" i="7"/>
  <c r="S53" i="7"/>
  <c r="T53" i="7"/>
  <c r="R53" i="7"/>
  <c r="Q53" i="7"/>
  <c r="O53" i="7"/>
  <c r="P53" i="7"/>
  <c r="N53" i="7"/>
  <c r="M53" i="7"/>
  <c r="X45" i="7"/>
  <c r="W45" i="7"/>
  <c r="U45" i="7"/>
  <c r="V45" i="7"/>
  <c r="T45" i="7"/>
  <c r="S45" i="7"/>
  <c r="Q45" i="7"/>
  <c r="O45" i="7"/>
  <c r="P45" i="7"/>
  <c r="R45" i="7"/>
  <c r="N45" i="7"/>
  <c r="M45" i="7"/>
  <c r="X37" i="7"/>
  <c r="W37" i="7"/>
  <c r="U37" i="7"/>
  <c r="V37" i="7"/>
  <c r="T37" i="7"/>
  <c r="R37" i="7"/>
  <c r="Q37" i="7"/>
  <c r="O37" i="7"/>
  <c r="P37" i="7"/>
  <c r="S37" i="7"/>
  <c r="N37" i="7"/>
  <c r="M37" i="7"/>
  <c r="X29" i="7"/>
  <c r="W29" i="7"/>
  <c r="V29" i="7"/>
  <c r="U29" i="7"/>
  <c r="T29" i="7"/>
  <c r="S29" i="7"/>
  <c r="R29" i="7"/>
  <c r="Q29" i="7"/>
  <c r="O29" i="7"/>
  <c r="P29" i="7"/>
  <c r="N29" i="7"/>
  <c r="M29" i="7"/>
  <c r="X21" i="7"/>
  <c r="W21" i="7"/>
  <c r="U21" i="7"/>
  <c r="V21" i="7"/>
  <c r="T21" i="7"/>
  <c r="R21" i="7"/>
  <c r="S21" i="7"/>
  <c r="Q21" i="7"/>
  <c r="P21" i="7"/>
  <c r="O21" i="7"/>
  <c r="N21" i="7"/>
  <c r="M21" i="7"/>
  <c r="X13" i="7"/>
  <c r="W13" i="7"/>
  <c r="V13" i="7"/>
  <c r="U13" i="7"/>
  <c r="T13" i="7"/>
  <c r="S13" i="7"/>
  <c r="R13" i="7"/>
  <c r="Q13" i="7"/>
  <c r="P13" i="7"/>
  <c r="O13" i="7"/>
  <c r="N13" i="7"/>
  <c r="M13" i="7"/>
  <c r="X5" i="7"/>
  <c r="W5" i="7"/>
  <c r="U5" i="7"/>
  <c r="T5" i="7"/>
  <c r="V5" i="7"/>
  <c r="S5" i="7"/>
  <c r="R5" i="7"/>
  <c r="Q5" i="7"/>
  <c r="P5" i="7"/>
  <c r="O5" i="7"/>
  <c r="N5" i="7"/>
  <c r="M5" i="7"/>
  <c r="X1162" i="7"/>
  <c r="W1162" i="7"/>
  <c r="V1162" i="7"/>
  <c r="U1162" i="7"/>
  <c r="T1162" i="7"/>
  <c r="S1162" i="7"/>
  <c r="R1162" i="7"/>
  <c r="P1162" i="7"/>
  <c r="Q1162" i="7"/>
  <c r="O1162" i="7"/>
  <c r="M1162" i="7"/>
  <c r="N1162" i="7"/>
  <c r="K1196" i="7"/>
  <c r="L1196" i="7"/>
  <c r="K1188" i="7"/>
  <c r="L1188" i="7"/>
  <c r="K1180" i="7"/>
  <c r="L1180" i="7"/>
  <c r="K1172" i="7"/>
  <c r="L1172" i="7"/>
  <c r="K1164" i="7"/>
  <c r="L1164" i="7"/>
  <c r="K1156" i="7"/>
  <c r="L1156" i="7"/>
  <c r="K1148" i="7"/>
  <c r="L1148" i="7"/>
  <c r="K1140" i="7"/>
  <c r="L1140" i="7"/>
  <c r="K1132" i="7"/>
  <c r="L1132" i="7"/>
  <c r="K1124" i="7"/>
  <c r="L1124" i="7"/>
  <c r="K1116" i="7"/>
  <c r="L1116" i="7"/>
  <c r="K1108" i="7"/>
  <c r="L1108" i="7"/>
  <c r="K1100" i="7"/>
  <c r="L1100" i="7"/>
  <c r="K1092" i="7"/>
  <c r="L1092" i="7"/>
  <c r="K1084" i="7"/>
  <c r="L1084" i="7"/>
  <c r="K1076" i="7"/>
  <c r="L1076" i="7"/>
  <c r="K1068" i="7"/>
  <c r="L1068" i="7"/>
  <c r="K1060" i="7"/>
  <c r="L1060" i="7"/>
  <c r="K1052" i="7"/>
  <c r="L1052" i="7"/>
  <c r="K1044" i="7"/>
  <c r="L1044" i="7"/>
  <c r="K1036" i="7"/>
  <c r="L1036" i="7"/>
  <c r="K1028" i="7"/>
  <c r="L1028" i="7"/>
  <c r="K1020" i="7"/>
  <c r="L1020" i="7"/>
  <c r="K1012" i="7"/>
  <c r="L1012" i="7"/>
  <c r="K1004" i="7"/>
  <c r="L1004" i="7"/>
  <c r="K996" i="7"/>
  <c r="L996" i="7"/>
  <c r="K988" i="7"/>
  <c r="L988" i="7"/>
  <c r="K980" i="7"/>
  <c r="L980" i="7"/>
  <c r="K972" i="7"/>
  <c r="L972" i="7"/>
  <c r="K964" i="7"/>
  <c r="L964" i="7"/>
  <c r="K956" i="7"/>
  <c r="L956" i="7"/>
  <c r="K948" i="7"/>
  <c r="L948" i="7"/>
  <c r="K940" i="7"/>
  <c r="L940" i="7"/>
  <c r="K932" i="7"/>
  <c r="L932" i="7"/>
  <c r="K924" i="7"/>
  <c r="L924" i="7"/>
  <c r="K916" i="7"/>
  <c r="L916" i="7"/>
  <c r="K908" i="7"/>
  <c r="L908" i="7"/>
  <c r="K900" i="7"/>
  <c r="L900" i="7"/>
  <c r="K892" i="7"/>
  <c r="L892" i="7"/>
  <c r="K884" i="7"/>
  <c r="L884" i="7"/>
  <c r="K876" i="7"/>
  <c r="L876" i="7"/>
  <c r="K868" i="7"/>
  <c r="L868" i="7"/>
  <c r="K860" i="7"/>
  <c r="L860" i="7"/>
  <c r="K852" i="7"/>
  <c r="L852" i="7"/>
  <c r="K844" i="7"/>
  <c r="L844" i="7"/>
  <c r="K836" i="7"/>
  <c r="L836" i="7"/>
  <c r="K828" i="7"/>
  <c r="L828" i="7"/>
  <c r="K820" i="7"/>
  <c r="L820" i="7"/>
  <c r="K812" i="7"/>
  <c r="L812" i="7"/>
  <c r="K804" i="7"/>
  <c r="L804" i="7"/>
  <c r="K796" i="7"/>
  <c r="L796" i="7"/>
  <c r="K788" i="7"/>
  <c r="L788" i="7"/>
  <c r="K780" i="7"/>
  <c r="L780" i="7"/>
  <c r="K772" i="7"/>
  <c r="L772" i="7"/>
  <c r="K764" i="7"/>
  <c r="L764" i="7"/>
  <c r="K756" i="7"/>
  <c r="L756" i="7"/>
  <c r="K748" i="7"/>
  <c r="L748" i="7"/>
  <c r="K740" i="7"/>
  <c r="L740" i="7"/>
  <c r="K732" i="7"/>
  <c r="L732" i="7"/>
  <c r="K724" i="7"/>
  <c r="L724" i="7"/>
  <c r="K716" i="7"/>
  <c r="L716" i="7"/>
  <c r="K708" i="7"/>
  <c r="L708" i="7"/>
  <c r="K700" i="7"/>
  <c r="L700" i="7"/>
  <c r="K692" i="7"/>
  <c r="L692" i="7"/>
  <c r="K684" i="7"/>
  <c r="L684" i="7"/>
  <c r="K676" i="7"/>
  <c r="L676" i="7"/>
  <c r="K668" i="7"/>
  <c r="L668" i="7"/>
  <c r="K660" i="7"/>
  <c r="L660" i="7"/>
  <c r="K652" i="7"/>
  <c r="L652" i="7"/>
  <c r="K644" i="7"/>
  <c r="L644" i="7"/>
  <c r="K636" i="7"/>
  <c r="L636" i="7"/>
  <c r="K628" i="7"/>
  <c r="L628" i="7"/>
  <c r="K620" i="7"/>
  <c r="L620" i="7"/>
  <c r="K612" i="7"/>
  <c r="L612" i="7"/>
  <c r="K604" i="7"/>
  <c r="L604" i="7"/>
  <c r="L596" i="7"/>
  <c r="K596" i="7"/>
  <c r="L588" i="7"/>
  <c r="K588" i="7"/>
  <c r="L580" i="7"/>
  <c r="K580" i="7"/>
  <c r="L572" i="7"/>
  <c r="K572" i="7"/>
  <c r="L564" i="7"/>
  <c r="K564" i="7"/>
  <c r="L556" i="7"/>
  <c r="K556" i="7"/>
  <c r="L548" i="7"/>
  <c r="K548" i="7"/>
  <c r="L540" i="7"/>
  <c r="K540" i="7"/>
  <c r="L532" i="7"/>
  <c r="K532" i="7"/>
  <c r="L524" i="7"/>
  <c r="K524" i="7"/>
  <c r="L516" i="7"/>
  <c r="K516" i="7"/>
  <c r="L508" i="7"/>
  <c r="K508" i="7"/>
  <c r="L500" i="7"/>
  <c r="K500" i="7"/>
  <c r="L492" i="7"/>
  <c r="K492" i="7"/>
  <c r="L484" i="7"/>
  <c r="K484" i="7"/>
  <c r="L476" i="7"/>
  <c r="K476" i="7"/>
  <c r="L468" i="7"/>
  <c r="K468" i="7"/>
  <c r="L460" i="7"/>
  <c r="K460" i="7"/>
  <c r="L452" i="7"/>
  <c r="K452" i="7"/>
  <c r="L444" i="7"/>
  <c r="K444" i="7"/>
  <c r="L436" i="7"/>
  <c r="K436" i="7"/>
  <c r="L428" i="7"/>
  <c r="K428" i="7"/>
  <c r="L420" i="7"/>
  <c r="K420" i="7"/>
  <c r="L412" i="7"/>
  <c r="K412" i="7"/>
  <c r="L404" i="7"/>
  <c r="K404" i="7"/>
  <c r="L396" i="7"/>
  <c r="K396" i="7"/>
  <c r="L388" i="7"/>
  <c r="K388" i="7"/>
  <c r="L380" i="7"/>
  <c r="K380" i="7"/>
  <c r="L372" i="7"/>
  <c r="K372" i="7"/>
  <c r="L364" i="7"/>
  <c r="K364" i="7"/>
  <c r="L356" i="7"/>
  <c r="K356" i="7"/>
  <c r="L348" i="7"/>
  <c r="K348" i="7"/>
  <c r="L340" i="7"/>
  <c r="K340" i="7"/>
  <c r="L332" i="7"/>
  <c r="K332" i="7"/>
  <c r="L324" i="7"/>
  <c r="K324" i="7"/>
  <c r="L316" i="7"/>
  <c r="K316" i="7"/>
  <c r="L308" i="7"/>
  <c r="K308" i="7"/>
  <c r="L300" i="7"/>
  <c r="K300" i="7"/>
  <c r="L292" i="7"/>
  <c r="K292" i="7"/>
  <c r="L284" i="7"/>
  <c r="K284" i="7"/>
  <c r="L276" i="7"/>
  <c r="K276" i="7"/>
  <c r="L268" i="7"/>
  <c r="K268" i="7"/>
  <c r="L260" i="7"/>
  <c r="K260" i="7"/>
  <c r="L252" i="7"/>
  <c r="K252" i="7"/>
  <c r="L244" i="7"/>
  <c r="K244" i="7"/>
  <c r="L236" i="7"/>
  <c r="K236" i="7"/>
  <c r="L228" i="7"/>
  <c r="K228" i="7"/>
  <c r="L220" i="7"/>
  <c r="K220" i="7"/>
  <c r="L212" i="7"/>
  <c r="K212" i="7"/>
  <c r="L204" i="7"/>
  <c r="K204" i="7"/>
  <c r="L196" i="7"/>
  <c r="K196" i="7"/>
  <c r="L188" i="7"/>
  <c r="K188" i="7"/>
  <c r="L180" i="7"/>
  <c r="K180" i="7"/>
  <c r="L172" i="7"/>
  <c r="K172" i="7"/>
  <c r="L164" i="7"/>
  <c r="K164" i="7"/>
  <c r="L156" i="7"/>
  <c r="K156" i="7"/>
  <c r="L148" i="7"/>
  <c r="K148" i="7"/>
  <c r="L140" i="7"/>
  <c r="K140" i="7"/>
  <c r="L132" i="7"/>
  <c r="K132" i="7"/>
  <c r="L124" i="7"/>
  <c r="K124" i="7"/>
  <c r="L116" i="7"/>
  <c r="K116" i="7"/>
  <c r="L108" i="7"/>
  <c r="K108" i="7"/>
  <c r="L100" i="7"/>
  <c r="K100" i="7"/>
  <c r="L92" i="7"/>
  <c r="K92" i="7"/>
  <c r="L84" i="7"/>
  <c r="K84" i="7"/>
  <c r="L76" i="7"/>
  <c r="K76" i="7"/>
  <c r="L68" i="7"/>
  <c r="K68" i="7"/>
  <c r="L60" i="7"/>
  <c r="K60" i="7"/>
  <c r="L52" i="7"/>
  <c r="K52" i="7"/>
  <c r="L44" i="7"/>
  <c r="K44" i="7"/>
  <c r="L36" i="7"/>
  <c r="K36" i="7"/>
  <c r="L28" i="7"/>
  <c r="K28" i="7"/>
  <c r="L20" i="7"/>
  <c r="K20" i="7"/>
  <c r="K12" i="7"/>
  <c r="L12" i="7" s="1"/>
  <c r="K1201" i="7"/>
  <c r="L1201" i="7"/>
  <c r="K1193" i="7"/>
  <c r="L1193" i="7"/>
  <c r="K1185" i="7"/>
  <c r="L1185" i="7"/>
  <c r="K1177" i="7"/>
  <c r="L1177" i="7"/>
  <c r="K1169" i="7"/>
  <c r="L1169" i="7"/>
  <c r="K1161" i="7"/>
  <c r="L1161" i="7"/>
  <c r="K1153" i="7"/>
  <c r="L1153" i="7"/>
  <c r="K1145" i="7"/>
  <c r="L1145" i="7"/>
  <c r="K1137" i="7"/>
  <c r="L1137" i="7"/>
  <c r="K1129" i="7"/>
  <c r="L1129" i="7"/>
  <c r="K1121" i="7"/>
  <c r="L1121" i="7"/>
  <c r="K1113" i="7"/>
  <c r="L1113" i="7"/>
  <c r="K1105" i="7"/>
  <c r="L1105" i="7"/>
  <c r="K1097" i="7"/>
  <c r="L1097" i="7"/>
  <c r="K1089" i="7"/>
  <c r="L1089" i="7"/>
  <c r="K1081" i="7"/>
  <c r="L1081" i="7"/>
  <c r="K1073" i="7"/>
  <c r="L1073" i="7"/>
  <c r="K1065" i="7"/>
  <c r="L1065" i="7"/>
  <c r="K1057" i="7"/>
  <c r="L1057" i="7"/>
  <c r="K1049" i="7"/>
  <c r="L1049" i="7"/>
  <c r="K1041" i="7"/>
  <c r="L1041" i="7"/>
  <c r="K1033" i="7"/>
  <c r="L1033" i="7"/>
  <c r="K1025" i="7"/>
  <c r="L1025" i="7"/>
  <c r="K1017" i="7"/>
  <c r="L1017" i="7"/>
  <c r="K1009" i="7"/>
  <c r="L1009" i="7"/>
  <c r="K1001" i="7"/>
  <c r="L1001" i="7"/>
  <c r="K993" i="7"/>
  <c r="L993" i="7"/>
  <c r="K985" i="7"/>
  <c r="L985" i="7"/>
  <c r="K977" i="7"/>
  <c r="L977" i="7"/>
  <c r="K969" i="7"/>
  <c r="L969" i="7"/>
  <c r="K961" i="7"/>
  <c r="L961" i="7"/>
  <c r="K953" i="7"/>
  <c r="L953" i="7"/>
  <c r="K945" i="7"/>
  <c r="L945" i="7"/>
  <c r="K937" i="7"/>
  <c r="L937" i="7"/>
  <c r="K929" i="7"/>
  <c r="L929" i="7"/>
  <c r="K921" i="7"/>
  <c r="L921" i="7"/>
  <c r="K913" i="7"/>
  <c r="L913" i="7"/>
  <c r="K905" i="7"/>
  <c r="L905" i="7"/>
  <c r="K897" i="7"/>
  <c r="L897" i="7"/>
  <c r="K889" i="7"/>
  <c r="L889" i="7"/>
  <c r="K881" i="7"/>
  <c r="L881" i="7"/>
  <c r="K873" i="7"/>
  <c r="L873" i="7"/>
  <c r="K865" i="7"/>
  <c r="L865" i="7"/>
  <c r="K857" i="7"/>
  <c r="L857" i="7"/>
  <c r="K849" i="7"/>
  <c r="L849" i="7"/>
  <c r="K841" i="7"/>
  <c r="L841" i="7"/>
  <c r="K833" i="7"/>
  <c r="L833" i="7"/>
  <c r="K825" i="7"/>
  <c r="L825" i="7"/>
  <c r="K817" i="7"/>
  <c r="L817" i="7"/>
  <c r="K809" i="7"/>
  <c r="L809" i="7"/>
  <c r="K801" i="7"/>
  <c r="L801" i="7"/>
  <c r="K793" i="7"/>
  <c r="L793" i="7"/>
  <c r="K785" i="7"/>
  <c r="L785" i="7"/>
  <c r="K777" i="7"/>
  <c r="L777" i="7"/>
  <c r="K769" i="7"/>
  <c r="L769" i="7"/>
  <c r="K761" i="7"/>
  <c r="L761" i="7"/>
  <c r="K753" i="7"/>
  <c r="L753" i="7"/>
  <c r="K745" i="7"/>
  <c r="L745" i="7"/>
  <c r="K737" i="7"/>
  <c r="L737" i="7"/>
  <c r="K729" i="7"/>
  <c r="L729" i="7"/>
  <c r="K721" i="7"/>
  <c r="L721" i="7"/>
  <c r="L713" i="7"/>
  <c r="K713" i="7"/>
  <c r="L705" i="7"/>
  <c r="K705" i="7"/>
  <c r="L697" i="7"/>
  <c r="K697" i="7"/>
  <c r="L689" i="7"/>
  <c r="K689" i="7"/>
  <c r="L681" i="7"/>
  <c r="K681" i="7"/>
  <c r="L673" i="7"/>
  <c r="K673" i="7"/>
  <c r="L665" i="7"/>
  <c r="K665" i="7"/>
  <c r="L657" i="7"/>
  <c r="K657" i="7"/>
  <c r="L649" i="7"/>
  <c r="K649" i="7"/>
  <c r="L641" i="7"/>
  <c r="K641" i="7"/>
  <c r="L633" i="7"/>
  <c r="K633" i="7"/>
  <c r="L625" i="7"/>
  <c r="K625" i="7"/>
  <c r="L617" i="7"/>
  <c r="K617" i="7"/>
  <c r="L609" i="7"/>
  <c r="K609" i="7"/>
  <c r="L601" i="7"/>
  <c r="K601" i="7"/>
  <c r="L593" i="7"/>
  <c r="K593" i="7"/>
  <c r="K585" i="7"/>
  <c r="L585" i="7"/>
  <c r="L577" i="7"/>
  <c r="K577" i="7"/>
  <c r="K569" i="7"/>
  <c r="L569" i="7"/>
  <c r="L561" i="7"/>
  <c r="K561" i="7"/>
  <c r="K553" i="7"/>
  <c r="L553" i="7"/>
  <c r="L545" i="7"/>
  <c r="K545" i="7"/>
  <c r="K537" i="7"/>
  <c r="L537" i="7"/>
  <c r="L529" i="7"/>
  <c r="K529" i="7"/>
  <c r="K521" i="7"/>
  <c r="L521" i="7"/>
  <c r="L513" i="7"/>
  <c r="K513" i="7"/>
  <c r="L505" i="7"/>
  <c r="K505" i="7"/>
  <c r="L497" i="7"/>
  <c r="K497" i="7"/>
  <c r="L489" i="7"/>
  <c r="K489" i="7"/>
  <c r="L481" i="7"/>
  <c r="K481" i="7"/>
  <c r="L473" i="7"/>
  <c r="K473" i="7"/>
  <c r="L465" i="7"/>
  <c r="K465" i="7"/>
  <c r="L457" i="7"/>
  <c r="K457" i="7"/>
  <c r="L449" i="7"/>
  <c r="K449" i="7"/>
  <c r="L441" i="7"/>
  <c r="K441" i="7"/>
  <c r="L433" i="7"/>
  <c r="K433" i="7"/>
  <c r="L425" i="7"/>
  <c r="K425" i="7"/>
  <c r="L417" i="7"/>
  <c r="K417" i="7"/>
  <c r="L409" i="7"/>
  <c r="K409" i="7"/>
  <c r="L401" i="7"/>
  <c r="K401" i="7"/>
  <c r="L393" i="7"/>
  <c r="K393" i="7"/>
  <c r="L385" i="7"/>
  <c r="K385" i="7"/>
  <c r="L377" i="7"/>
  <c r="K377" i="7"/>
  <c r="L369" i="7"/>
  <c r="K369" i="7"/>
  <c r="L361" i="7"/>
  <c r="K361" i="7"/>
  <c r="L353" i="7"/>
  <c r="K353" i="7"/>
  <c r="K345" i="7"/>
  <c r="L345" i="7"/>
  <c r="K337" i="7"/>
  <c r="L337" i="7"/>
  <c r="K329" i="7"/>
  <c r="L329" i="7"/>
  <c r="K321" i="7"/>
  <c r="L321" i="7"/>
  <c r="K313" i="7"/>
  <c r="L313" i="7"/>
  <c r="K305" i="7"/>
  <c r="L305" i="7"/>
  <c r="K297" i="7"/>
  <c r="L297" i="7"/>
  <c r="K289" i="7"/>
  <c r="L289" i="7"/>
  <c r="K281" i="7"/>
  <c r="L281" i="7"/>
  <c r="K273" i="7"/>
  <c r="L273" i="7"/>
  <c r="K265" i="7"/>
  <c r="L265" i="7"/>
  <c r="K257" i="7"/>
  <c r="L257" i="7"/>
  <c r="K249" i="7"/>
  <c r="L249" i="7"/>
  <c r="K241" i="7"/>
  <c r="L241" i="7"/>
  <c r="K233" i="7"/>
  <c r="L233" i="7"/>
  <c r="K225" i="7"/>
  <c r="L225" i="7"/>
  <c r="K217" i="7"/>
  <c r="L217" i="7"/>
  <c r="K209" i="7"/>
  <c r="L209" i="7"/>
  <c r="K201" i="7"/>
  <c r="L201" i="7"/>
  <c r="K193" i="7"/>
  <c r="L193" i="7"/>
  <c r="K185" i="7"/>
  <c r="L185" i="7"/>
  <c r="K177" i="7"/>
  <c r="L177" i="7"/>
  <c r="K169" i="7"/>
  <c r="L169" i="7"/>
  <c r="K161" i="7"/>
  <c r="L161" i="7"/>
  <c r="K153" i="7"/>
  <c r="L153" i="7"/>
  <c r="K145" i="7"/>
  <c r="L145" i="7"/>
  <c r="K137" i="7"/>
  <c r="L137" i="7"/>
  <c r="K129" i="7"/>
  <c r="L129" i="7"/>
  <c r="K121" i="7"/>
  <c r="L121" i="7"/>
  <c r="K113" i="7"/>
  <c r="L113" i="7"/>
  <c r="K105" i="7"/>
  <c r="L105" i="7"/>
  <c r="K97" i="7"/>
  <c r="L97" i="7"/>
  <c r="K89" i="7"/>
  <c r="L89" i="7"/>
  <c r="K81" i="7"/>
  <c r="L81" i="7"/>
  <c r="K73" i="7"/>
  <c r="L73" i="7"/>
  <c r="K65" i="7"/>
  <c r="L65" i="7"/>
  <c r="K57" i="7"/>
  <c r="L57" i="7"/>
  <c r="K49" i="7"/>
  <c r="L49" i="7"/>
  <c r="K41" i="7"/>
  <c r="L41" i="7"/>
  <c r="K33" i="7"/>
  <c r="L33" i="7"/>
  <c r="K25" i="7"/>
  <c r="L25" i="7"/>
  <c r="K17" i="7"/>
  <c r="L17" i="7" s="1"/>
  <c r="K9" i="7"/>
  <c r="L9" i="7" s="1"/>
  <c r="L1198" i="7"/>
  <c r="K1198" i="7"/>
  <c r="L1190" i="7"/>
  <c r="K1190" i="7"/>
  <c r="K1182" i="7"/>
  <c r="L1182" i="7"/>
  <c r="L1174" i="7"/>
  <c r="K1174" i="7"/>
  <c r="K1166" i="7"/>
  <c r="L1166" i="7"/>
  <c r="K1158" i="7"/>
  <c r="L1158" i="7"/>
  <c r="K1150" i="7"/>
  <c r="L1150" i="7"/>
  <c r="L1142" i="7"/>
  <c r="K1142" i="7"/>
  <c r="K1134" i="7"/>
  <c r="L1134" i="7"/>
  <c r="K1126" i="7"/>
  <c r="L1126" i="7"/>
  <c r="K1118" i="7"/>
  <c r="L1118" i="7"/>
  <c r="K1110" i="7"/>
  <c r="L1110" i="7"/>
  <c r="K1102" i="7"/>
  <c r="L1102" i="7"/>
  <c r="K1094" i="7"/>
  <c r="L1094" i="7"/>
  <c r="K1086" i="7"/>
  <c r="L1086" i="7"/>
  <c r="L1078" i="7"/>
  <c r="K1078" i="7"/>
  <c r="K1070" i="7"/>
  <c r="L1070" i="7"/>
  <c r="K1062" i="7"/>
  <c r="L1062" i="7"/>
  <c r="K1054" i="7"/>
  <c r="L1054" i="7"/>
  <c r="K1046" i="7"/>
  <c r="L1046" i="7"/>
  <c r="K1038" i="7"/>
  <c r="L1038" i="7"/>
  <c r="K1030" i="7"/>
  <c r="L1030" i="7"/>
  <c r="K1022" i="7"/>
  <c r="L1022" i="7"/>
  <c r="L1014" i="7"/>
  <c r="K1014" i="7"/>
  <c r="K1006" i="7"/>
  <c r="L1006" i="7"/>
  <c r="K998" i="7"/>
  <c r="L998" i="7"/>
  <c r="K990" i="7"/>
  <c r="L990" i="7"/>
  <c r="K982" i="7"/>
  <c r="L982" i="7"/>
  <c r="K974" i="7"/>
  <c r="L974" i="7"/>
  <c r="K966" i="7"/>
  <c r="L966" i="7"/>
  <c r="K958" i="7"/>
  <c r="L958" i="7"/>
  <c r="K950" i="7"/>
  <c r="L950" i="7"/>
  <c r="K942" i="7"/>
  <c r="L942" i="7"/>
  <c r="K934" i="7"/>
  <c r="L934" i="7"/>
  <c r="K926" i="7"/>
  <c r="L926" i="7"/>
  <c r="K918" i="7"/>
  <c r="L918" i="7"/>
  <c r="K910" i="7"/>
  <c r="L910" i="7"/>
  <c r="K902" i="7"/>
  <c r="L902" i="7"/>
  <c r="K894" i="7"/>
  <c r="L894" i="7"/>
  <c r="K886" i="7"/>
  <c r="L886" i="7"/>
  <c r="K878" i="7"/>
  <c r="L878" i="7"/>
  <c r="K870" i="7"/>
  <c r="L870" i="7"/>
  <c r="K862" i="7"/>
  <c r="L862" i="7"/>
  <c r="K854" i="7"/>
  <c r="L854" i="7"/>
  <c r="K846" i="7"/>
  <c r="L846" i="7"/>
  <c r="K838" i="7"/>
  <c r="L838" i="7"/>
  <c r="K830" i="7"/>
  <c r="L830" i="7"/>
  <c r="K822" i="7"/>
  <c r="L822" i="7"/>
  <c r="K814" i="7"/>
  <c r="L814" i="7"/>
  <c r="K806" i="7"/>
  <c r="L806" i="7"/>
  <c r="K798" i="7"/>
  <c r="L798" i="7"/>
  <c r="K790" i="7"/>
  <c r="L790" i="7"/>
  <c r="K782" i="7"/>
  <c r="L782" i="7"/>
  <c r="K774" i="7"/>
  <c r="L774" i="7"/>
  <c r="K766" i="7"/>
  <c r="L766" i="7"/>
  <c r="K758" i="7"/>
  <c r="L758" i="7"/>
  <c r="L750" i="7"/>
  <c r="K750" i="7"/>
  <c r="L742" i="7"/>
  <c r="K742" i="7"/>
  <c r="L734" i="7"/>
  <c r="K734" i="7"/>
  <c r="L726" i="7"/>
  <c r="K726" i="7"/>
  <c r="L718" i="7"/>
  <c r="K718" i="7"/>
  <c r="K710" i="7"/>
  <c r="L710" i="7"/>
  <c r="L702" i="7"/>
  <c r="K702" i="7"/>
  <c r="L694" i="7"/>
  <c r="K694" i="7"/>
  <c r="L686" i="7"/>
  <c r="K686" i="7"/>
  <c r="L678" i="7"/>
  <c r="K678" i="7"/>
  <c r="L670" i="7"/>
  <c r="K670" i="7"/>
  <c r="L662" i="7"/>
  <c r="K662" i="7"/>
  <c r="L654" i="7"/>
  <c r="K654" i="7"/>
  <c r="L646" i="7"/>
  <c r="K646" i="7"/>
  <c r="L638" i="7"/>
  <c r="K638" i="7"/>
  <c r="L630" i="7"/>
  <c r="K630" i="7"/>
  <c r="L622" i="7"/>
  <c r="K622" i="7"/>
  <c r="L614" i="7"/>
  <c r="K614" i="7"/>
  <c r="L606" i="7"/>
  <c r="K606" i="7"/>
  <c r="L598" i="7"/>
  <c r="K598" i="7"/>
  <c r="K590" i="7"/>
  <c r="L590" i="7"/>
  <c r="L582" i="7"/>
  <c r="K582" i="7"/>
  <c r="K574" i="7"/>
  <c r="L574" i="7"/>
  <c r="L566" i="7"/>
  <c r="K566" i="7"/>
  <c r="K558" i="7"/>
  <c r="L558" i="7"/>
  <c r="L550" i="7"/>
  <c r="K550" i="7"/>
  <c r="K542" i="7"/>
  <c r="L542" i="7"/>
  <c r="L534" i="7"/>
  <c r="K534" i="7"/>
  <c r="K526" i="7"/>
  <c r="L526" i="7"/>
  <c r="L518" i="7"/>
  <c r="K518" i="7"/>
  <c r="K510" i="7"/>
  <c r="L510" i="7"/>
  <c r="K502" i="7"/>
  <c r="L502" i="7"/>
  <c r="K494" i="7"/>
  <c r="L494" i="7"/>
  <c r="K486" i="7"/>
  <c r="L486" i="7"/>
  <c r="K478" i="7"/>
  <c r="L478" i="7"/>
  <c r="K470" i="7"/>
  <c r="L470" i="7"/>
  <c r="K462" i="7"/>
  <c r="L462" i="7"/>
  <c r="K454" i="7"/>
  <c r="L454" i="7"/>
  <c r="K446" i="7"/>
  <c r="L446" i="7"/>
  <c r="K438" i="7"/>
  <c r="L438" i="7"/>
  <c r="K430" i="7"/>
  <c r="L430" i="7"/>
  <c r="K422" i="7"/>
  <c r="L422" i="7"/>
  <c r="K414" i="7"/>
  <c r="L414" i="7"/>
  <c r="K406" i="7"/>
  <c r="L406" i="7"/>
  <c r="K398" i="7"/>
  <c r="L398" i="7"/>
  <c r="K390" i="7"/>
  <c r="L390" i="7"/>
  <c r="K382" i="7"/>
  <c r="L382" i="7"/>
  <c r="K374" i="7"/>
  <c r="L374" i="7"/>
  <c r="K366" i="7"/>
  <c r="L366" i="7"/>
  <c r="K358" i="7"/>
  <c r="L358" i="7"/>
  <c r="K350" i="7"/>
  <c r="L350" i="7"/>
  <c r="K342" i="7"/>
  <c r="L342" i="7"/>
  <c r="K334" i="7"/>
  <c r="L334" i="7"/>
  <c r="K326" i="7"/>
  <c r="L326" i="7"/>
  <c r="K318" i="7"/>
  <c r="L318" i="7"/>
  <c r="K310" i="7"/>
  <c r="L310" i="7"/>
  <c r="K302" i="7"/>
  <c r="L302" i="7"/>
  <c r="K294" i="7"/>
  <c r="L294" i="7"/>
  <c r="K286" i="7"/>
  <c r="L286" i="7"/>
  <c r="K278" i="7"/>
  <c r="L278" i="7"/>
  <c r="K270" i="7"/>
  <c r="L270" i="7"/>
  <c r="K262" i="7"/>
  <c r="L262" i="7"/>
  <c r="K254" i="7"/>
  <c r="L254" i="7"/>
  <c r="K246" i="7"/>
  <c r="L246" i="7"/>
  <c r="K238" i="7"/>
  <c r="L238" i="7"/>
  <c r="K230" i="7"/>
  <c r="L230" i="7"/>
  <c r="K222" i="7"/>
  <c r="L222" i="7"/>
  <c r="K214" i="7"/>
  <c r="L214" i="7"/>
  <c r="K206" i="7"/>
  <c r="L206" i="7"/>
  <c r="K198" i="7"/>
  <c r="L198" i="7"/>
  <c r="K190" i="7"/>
  <c r="L190" i="7"/>
  <c r="K182" i="7"/>
  <c r="L182" i="7"/>
  <c r="K174" i="7"/>
  <c r="L174" i="7"/>
  <c r="K166" i="7"/>
  <c r="L166" i="7"/>
  <c r="K158" i="7"/>
  <c r="L158" i="7"/>
  <c r="K150" i="7"/>
  <c r="L150" i="7"/>
  <c r="K142" i="7"/>
  <c r="L142" i="7"/>
  <c r="K134" i="7"/>
  <c r="L134" i="7"/>
  <c r="K126" i="7"/>
  <c r="L126" i="7"/>
  <c r="K118" i="7"/>
  <c r="L118" i="7"/>
  <c r="K110" i="7"/>
  <c r="L110" i="7"/>
  <c r="K102" i="7"/>
  <c r="L102" i="7"/>
  <c r="K94" i="7"/>
  <c r="L94" i="7"/>
  <c r="K86" i="7"/>
  <c r="L86" i="7"/>
  <c r="K78" i="7"/>
  <c r="L78" i="7"/>
  <c r="K70" i="7"/>
  <c r="L70" i="7"/>
  <c r="K62" i="7"/>
  <c r="L62" i="7"/>
  <c r="K54" i="7"/>
  <c r="L54" i="7"/>
  <c r="K46" i="7"/>
  <c r="L46" i="7"/>
  <c r="K38" i="7"/>
  <c r="L38" i="7"/>
  <c r="K30" i="7"/>
  <c r="L30" i="7"/>
  <c r="K22" i="7"/>
  <c r="L22" i="7"/>
  <c r="K4" i="7"/>
  <c r="L4" i="7" s="1"/>
  <c r="L1195" i="7"/>
  <c r="K1195" i="7"/>
  <c r="L1187" i="7"/>
  <c r="K1187" i="7"/>
  <c r="L1179" i="7"/>
  <c r="K1179" i="7"/>
  <c r="L1171" i="7"/>
  <c r="K1171" i="7"/>
  <c r="L1163" i="7"/>
  <c r="K1163" i="7"/>
  <c r="L1155" i="7"/>
  <c r="K1155" i="7"/>
  <c r="L1147" i="7"/>
  <c r="K1147" i="7"/>
  <c r="L1139" i="7"/>
  <c r="K1139" i="7"/>
  <c r="L1131" i="7"/>
  <c r="K1131" i="7"/>
  <c r="L1123" i="7"/>
  <c r="K1123" i="7"/>
  <c r="L1115" i="7"/>
  <c r="K1115" i="7"/>
  <c r="L1107" i="7"/>
  <c r="K1107" i="7"/>
  <c r="L1099" i="7"/>
  <c r="K1099" i="7"/>
  <c r="L1091" i="7"/>
  <c r="K1091" i="7"/>
  <c r="L1083" i="7"/>
  <c r="K1083" i="7"/>
  <c r="L1075" i="7"/>
  <c r="K1075" i="7"/>
  <c r="L1067" i="7"/>
  <c r="K1067" i="7"/>
  <c r="L1059" i="7"/>
  <c r="K1059" i="7"/>
  <c r="L1051" i="7"/>
  <c r="K1051" i="7"/>
  <c r="L1043" i="7"/>
  <c r="K1043" i="7"/>
  <c r="L1035" i="7"/>
  <c r="K1035" i="7"/>
  <c r="L1027" i="7"/>
  <c r="K1027" i="7"/>
  <c r="L1019" i="7"/>
  <c r="K1019" i="7"/>
  <c r="L1011" i="7"/>
  <c r="K1011" i="7"/>
  <c r="L1003" i="7"/>
  <c r="K1003" i="7"/>
  <c r="L995" i="7"/>
  <c r="K995" i="7"/>
  <c r="L987" i="7"/>
  <c r="K987" i="7"/>
  <c r="L979" i="7"/>
  <c r="K979" i="7"/>
  <c r="L971" i="7"/>
  <c r="K971" i="7"/>
  <c r="L963" i="7"/>
  <c r="K963" i="7"/>
  <c r="L955" i="7"/>
  <c r="K955" i="7"/>
  <c r="L947" i="7"/>
  <c r="K947" i="7"/>
  <c r="L939" i="7"/>
  <c r="K939" i="7"/>
  <c r="L931" i="7"/>
  <c r="K931" i="7"/>
  <c r="L923" i="7"/>
  <c r="K923" i="7"/>
  <c r="L915" i="7"/>
  <c r="K915" i="7"/>
  <c r="L907" i="7"/>
  <c r="K907" i="7"/>
  <c r="L899" i="7"/>
  <c r="K899" i="7"/>
  <c r="L891" i="7"/>
  <c r="K891" i="7"/>
  <c r="L883" i="7"/>
  <c r="K883" i="7"/>
  <c r="L875" i="7"/>
  <c r="K875" i="7"/>
  <c r="L867" i="7"/>
  <c r="K867" i="7"/>
  <c r="L859" i="7"/>
  <c r="K859" i="7"/>
  <c r="L851" i="7"/>
  <c r="K851" i="7"/>
  <c r="L843" i="7"/>
  <c r="K843" i="7"/>
  <c r="L835" i="7"/>
  <c r="K835" i="7"/>
  <c r="L827" i="7"/>
  <c r="K827" i="7"/>
  <c r="L819" i="7"/>
  <c r="K819" i="7"/>
  <c r="L811" i="7"/>
  <c r="K811" i="7"/>
  <c r="L803" i="7"/>
  <c r="K803" i="7"/>
  <c r="L795" i="7"/>
  <c r="K795" i="7"/>
  <c r="L787" i="7"/>
  <c r="K787" i="7"/>
  <c r="L779" i="7"/>
  <c r="K779" i="7"/>
  <c r="L771" i="7"/>
  <c r="K771" i="7"/>
  <c r="L763" i="7"/>
  <c r="K763" i="7"/>
  <c r="L755" i="7"/>
  <c r="K755" i="7"/>
  <c r="L747" i="7"/>
  <c r="K747" i="7"/>
  <c r="L739" i="7"/>
  <c r="K739" i="7"/>
  <c r="L731" i="7"/>
  <c r="K731" i="7"/>
  <c r="L723" i="7"/>
  <c r="K723" i="7"/>
  <c r="K715" i="7"/>
  <c r="L715" i="7"/>
  <c r="L707" i="7"/>
  <c r="K707" i="7"/>
  <c r="L699" i="7"/>
  <c r="K699" i="7"/>
  <c r="K691" i="7"/>
  <c r="L691" i="7"/>
  <c r="K683" i="7"/>
  <c r="L683" i="7"/>
  <c r="L675" i="7"/>
  <c r="K675" i="7"/>
  <c r="L667" i="7"/>
  <c r="K667" i="7"/>
  <c r="K659" i="7"/>
  <c r="L659" i="7"/>
  <c r="K651" i="7"/>
  <c r="L651" i="7"/>
  <c r="L643" i="7"/>
  <c r="K643" i="7"/>
  <c r="L635" i="7"/>
  <c r="K635" i="7"/>
  <c r="K627" i="7"/>
  <c r="L627" i="7"/>
  <c r="K619" i="7"/>
  <c r="L619" i="7"/>
  <c r="L611" i="7"/>
  <c r="K611" i="7"/>
  <c r="L603" i="7"/>
  <c r="K603" i="7"/>
  <c r="K595" i="7"/>
  <c r="L595" i="7"/>
  <c r="K587" i="7"/>
  <c r="L587" i="7"/>
  <c r="K579" i="7"/>
  <c r="L579" i="7"/>
  <c r="K571" i="7"/>
  <c r="L571" i="7"/>
  <c r="K563" i="7"/>
  <c r="L563" i="7"/>
  <c r="K555" i="7"/>
  <c r="L555" i="7"/>
  <c r="K547" i="7"/>
  <c r="L547" i="7"/>
  <c r="K539" i="7"/>
  <c r="L539" i="7"/>
  <c r="K531" i="7"/>
  <c r="L531" i="7"/>
  <c r="K523" i="7"/>
  <c r="L523" i="7"/>
  <c r="K515" i="7"/>
  <c r="L515" i="7"/>
  <c r="K507" i="7"/>
  <c r="L507" i="7"/>
  <c r="K499" i="7"/>
  <c r="L499" i="7"/>
  <c r="K491" i="7"/>
  <c r="L491" i="7"/>
  <c r="K483" i="7"/>
  <c r="L483" i="7"/>
  <c r="K475" i="7"/>
  <c r="L475" i="7"/>
  <c r="K467" i="7"/>
  <c r="L467" i="7"/>
  <c r="K459" i="7"/>
  <c r="L459" i="7"/>
  <c r="K451" i="7"/>
  <c r="L451" i="7"/>
  <c r="K443" i="7"/>
  <c r="L443" i="7"/>
  <c r="K435" i="7"/>
  <c r="L435" i="7"/>
  <c r="K427" i="7"/>
  <c r="L427" i="7"/>
  <c r="K419" i="7"/>
  <c r="L419" i="7"/>
  <c r="K411" i="7"/>
  <c r="L411" i="7"/>
  <c r="K403" i="7"/>
  <c r="L403" i="7"/>
  <c r="K395" i="7"/>
  <c r="L395" i="7"/>
  <c r="K387" i="7"/>
  <c r="L387" i="7"/>
  <c r="K379" i="7"/>
  <c r="L379" i="7"/>
  <c r="K371" i="7"/>
  <c r="L371" i="7"/>
  <c r="K363" i="7"/>
  <c r="L363" i="7"/>
  <c r="K355" i="7"/>
  <c r="L355" i="7"/>
  <c r="K347" i="7"/>
  <c r="L347" i="7"/>
  <c r="K339" i="7"/>
  <c r="L339" i="7"/>
  <c r="K331" i="7"/>
  <c r="L331" i="7"/>
  <c r="K323" i="7"/>
  <c r="L323" i="7"/>
  <c r="K315" i="7"/>
  <c r="L315" i="7"/>
  <c r="K307" i="7"/>
  <c r="L307" i="7"/>
  <c r="K299" i="7"/>
  <c r="L299" i="7"/>
  <c r="K291" i="7"/>
  <c r="L291" i="7"/>
  <c r="K283" i="7"/>
  <c r="L283" i="7"/>
  <c r="K275" i="7"/>
  <c r="L275" i="7"/>
  <c r="K267" i="7"/>
  <c r="L267" i="7"/>
  <c r="K259" i="7"/>
  <c r="L259" i="7"/>
  <c r="K251" i="7"/>
  <c r="L251" i="7"/>
  <c r="K243" i="7"/>
  <c r="L243" i="7"/>
  <c r="K235" i="7"/>
  <c r="L235" i="7"/>
  <c r="K227" i="7"/>
  <c r="L227" i="7"/>
  <c r="K219" i="7"/>
  <c r="L219" i="7"/>
  <c r="K211" i="7"/>
  <c r="L211" i="7"/>
  <c r="K203" i="7"/>
  <c r="L203" i="7"/>
  <c r="K195" i="7"/>
  <c r="L195" i="7"/>
  <c r="K187" i="7"/>
  <c r="L187" i="7"/>
  <c r="K179" i="7"/>
  <c r="L179" i="7"/>
  <c r="K171" i="7"/>
  <c r="L171" i="7"/>
  <c r="K163" i="7"/>
  <c r="L163" i="7"/>
  <c r="K155" i="7"/>
  <c r="L155" i="7"/>
  <c r="K147" i="7"/>
  <c r="L147" i="7"/>
  <c r="K139" i="7"/>
  <c r="L139" i="7"/>
  <c r="K131" i="7"/>
  <c r="L131" i="7"/>
  <c r="K123" i="7"/>
  <c r="L123" i="7"/>
  <c r="K115" i="7"/>
  <c r="L115" i="7"/>
  <c r="K107" i="7"/>
  <c r="L107" i="7"/>
  <c r="K99" i="7"/>
  <c r="L99" i="7"/>
  <c r="K91" i="7"/>
  <c r="L91" i="7"/>
  <c r="K83" i="7"/>
  <c r="L83" i="7"/>
  <c r="K75" i="7"/>
  <c r="L75" i="7"/>
  <c r="K67" i="7"/>
  <c r="L67" i="7"/>
  <c r="K59" i="7"/>
  <c r="L59" i="7"/>
  <c r="K51" i="7"/>
  <c r="L51" i="7"/>
  <c r="K43" i="7"/>
  <c r="L43" i="7"/>
  <c r="K35" i="7"/>
  <c r="L35" i="7"/>
  <c r="K27" i="7"/>
  <c r="L27" i="7"/>
  <c r="K19" i="7"/>
  <c r="L19" i="7"/>
  <c r="K11" i="7"/>
  <c r="L11" i="7" s="1"/>
  <c r="K1200" i="7"/>
  <c r="L1200" i="7"/>
  <c r="K1192" i="7"/>
  <c r="L1192" i="7"/>
  <c r="K1184" i="7"/>
  <c r="L1184" i="7"/>
  <c r="K1176" i="7"/>
  <c r="L1176" i="7"/>
  <c r="K1168" i="7"/>
  <c r="L1168" i="7"/>
  <c r="K1160" i="7"/>
  <c r="L1160" i="7"/>
  <c r="K1152" i="7"/>
  <c r="L1152" i="7"/>
  <c r="K1144" i="7"/>
  <c r="L1144" i="7"/>
  <c r="K1136" i="7"/>
  <c r="L1136" i="7"/>
  <c r="K1128" i="7"/>
  <c r="L1128" i="7"/>
  <c r="K1120" i="7"/>
  <c r="L1120" i="7"/>
  <c r="K1112" i="7"/>
  <c r="L1112" i="7"/>
  <c r="K1104" i="7"/>
  <c r="L1104" i="7"/>
  <c r="K1096" i="7"/>
  <c r="L1096" i="7"/>
  <c r="K1088" i="7"/>
  <c r="L1088" i="7"/>
  <c r="K1080" i="7"/>
  <c r="L1080" i="7"/>
  <c r="K1072" i="7"/>
  <c r="L1072" i="7"/>
  <c r="K1064" i="7"/>
  <c r="L1064" i="7"/>
  <c r="K1056" i="7"/>
  <c r="L1056" i="7"/>
  <c r="K1048" i="7"/>
  <c r="L1048" i="7"/>
  <c r="K1040" i="7"/>
  <c r="L1040" i="7"/>
  <c r="K1032" i="7"/>
  <c r="L1032" i="7"/>
  <c r="K1024" i="7"/>
  <c r="L1024" i="7"/>
  <c r="K1016" i="7"/>
  <c r="L1016" i="7"/>
  <c r="K1008" i="7"/>
  <c r="L1008" i="7"/>
  <c r="K1000" i="7"/>
  <c r="L1000" i="7"/>
  <c r="K992" i="7"/>
  <c r="L992" i="7"/>
  <c r="K984" i="7"/>
  <c r="L984" i="7"/>
  <c r="K976" i="7"/>
  <c r="L976" i="7"/>
  <c r="K968" i="7"/>
  <c r="L968" i="7"/>
  <c r="K960" i="7"/>
  <c r="L960" i="7"/>
  <c r="K952" i="7"/>
  <c r="L952" i="7"/>
  <c r="K944" i="7"/>
  <c r="L944" i="7"/>
  <c r="K936" i="7"/>
  <c r="L936" i="7"/>
  <c r="K928" i="7"/>
  <c r="L928" i="7"/>
  <c r="K920" i="7"/>
  <c r="L920" i="7"/>
  <c r="K912" i="7"/>
  <c r="L912" i="7"/>
  <c r="K904" i="7"/>
  <c r="L904" i="7"/>
  <c r="K896" i="7"/>
  <c r="L896" i="7"/>
  <c r="K888" i="7"/>
  <c r="L888" i="7"/>
  <c r="K880" i="7"/>
  <c r="L880" i="7"/>
  <c r="K872" i="7"/>
  <c r="L872" i="7"/>
  <c r="K864" i="7"/>
  <c r="L864" i="7"/>
  <c r="K856" i="7"/>
  <c r="L856" i="7"/>
  <c r="K848" i="7"/>
  <c r="L848" i="7"/>
  <c r="K840" i="7"/>
  <c r="L840" i="7"/>
  <c r="K832" i="7"/>
  <c r="L832" i="7"/>
  <c r="K824" i="7"/>
  <c r="L824" i="7"/>
  <c r="K816" i="7"/>
  <c r="L816" i="7"/>
  <c r="K808" i="7"/>
  <c r="L808" i="7"/>
  <c r="K800" i="7"/>
  <c r="L800" i="7"/>
  <c r="K792" i="7"/>
  <c r="L792" i="7"/>
  <c r="K784" i="7"/>
  <c r="L784" i="7"/>
  <c r="K776" i="7"/>
  <c r="L776" i="7"/>
  <c r="K768" i="7"/>
  <c r="L768" i="7"/>
  <c r="K760" i="7"/>
  <c r="L760" i="7"/>
  <c r="K752" i="7"/>
  <c r="L752" i="7"/>
  <c r="K744" i="7"/>
  <c r="L744" i="7"/>
  <c r="K736" i="7"/>
  <c r="L736" i="7"/>
  <c r="K728" i="7"/>
  <c r="L728" i="7"/>
  <c r="K720" i="7"/>
  <c r="L720" i="7"/>
  <c r="K712" i="7"/>
  <c r="L712" i="7"/>
  <c r="K704" i="7"/>
  <c r="L704" i="7"/>
  <c r="K696" i="7"/>
  <c r="L696" i="7"/>
  <c r="K688" i="7"/>
  <c r="L688" i="7"/>
  <c r="K680" i="7"/>
  <c r="L680" i="7"/>
  <c r="K672" i="7"/>
  <c r="L672" i="7"/>
  <c r="K664" i="7"/>
  <c r="L664" i="7"/>
  <c r="K656" i="7"/>
  <c r="L656" i="7"/>
  <c r="K648" i="7"/>
  <c r="L648" i="7"/>
  <c r="K640" i="7"/>
  <c r="L640" i="7"/>
  <c r="K632" i="7"/>
  <c r="L632" i="7"/>
  <c r="K624" i="7"/>
  <c r="L624" i="7"/>
  <c r="K616" i="7"/>
  <c r="L616" i="7"/>
  <c r="K608" i="7"/>
  <c r="L608" i="7"/>
  <c r="K600" i="7"/>
  <c r="L600" i="7"/>
  <c r="L592" i="7"/>
  <c r="K592" i="7"/>
  <c r="L584" i="7"/>
  <c r="K584" i="7"/>
  <c r="L576" i="7"/>
  <c r="K576" i="7"/>
  <c r="L568" i="7"/>
  <c r="K568" i="7"/>
  <c r="L560" i="7"/>
  <c r="K560" i="7"/>
  <c r="L552" i="7"/>
  <c r="K552" i="7"/>
  <c r="L544" i="7"/>
  <c r="K544" i="7"/>
  <c r="L536" i="7"/>
  <c r="K536" i="7"/>
  <c r="L528" i="7"/>
  <c r="K528" i="7"/>
  <c r="L520" i="7"/>
  <c r="K520" i="7"/>
  <c r="L512" i="7"/>
  <c r="K512" i="7"/>
  <c r="L504" i="7"/>
  <c r="K504" i="7"/>
  <c r="L496" i="7"/>
  <c r="K496" i="7"/>
  <c r="L488" i="7"/>
  <c r="K488" i="7"/>
  <c r="L480" i="7"/>
  <c r="K480" i="7"/>
  <c r="L472" i="7"/>
  <c r="K472" i="7"/>
  <c r="L464" i="7"/>
  <c r="K464" i="7"/>
  <c r="L456" i="7"/>
  <c r="K456" i="7"/>
  <c r="L448" i="7"/>
  <c r="K448" i="7"/>
  <c r="L440" i="7"/>
  <c r="K440" i="7"/>
  <c r="L432" i="7"/>
  <c r="K432" i="7"/>
  <c r="L424" i="7"/>
  <c r="K424" i="7"/>
  <c r="L416" i="7"/>
  <c r="K416" i="7"/>
  <c r="L408" i="7"/>
  <c r="K408" i="7"/>
  <c r="L400" i="7"/>
  <c r="K400" i="7"/>
  <c r="L392" i="7"/>
  <c r="K392" i="7"/>
  <c r="L384" i="7"/>
  <c r="K384" i="7"/>
  <c r="L376" i="7"/>
  <c r="K376" i="7"/>
  <c r="L368" i="7"/>
  <c r="K368" i="7"/>
  <c r="L360" i="7"/>
  <c r="K360" i="7"/>
  <c r="L352" i="7"/>
  <c r="K352" i="7"/>
  <c r="K344" i="7"/>
  <c r="L344" i="7"/>
  <c r="K336" i="7"/>
  <c r="L336" i="7"/>
  <c r="K328" i="7"/>
  <c r="L328" i="7"/>
  <c r="K320" i="7"/>
  <c r="L320" i="7"/>
  <c r="K312" i="7"/>
  <c r="L312" i="7"/>
  <c r="K304" i="7"/>
  <c r="L304" i="7"/>
  <c r="K296" i="7"/>
  <c r="L296" i="7"/>
  <c r="K288" i="7"/>
  <c r="L288" i="7"/>
  <c r="K280" i="7"/>
  <c r="L280" i="7"/>
  <c r="K272" i="7"/>
  <c r="L272" i="7"/>
  <c r="K264" i="7"/>
  <c r="L264" i="7"/>
  <c r="K256" i="7"/>
  <c r="L256" i="7"/>
  <c r="K248" i="7"/>
  <c r="L248" i="7"/>
  <c r="K240" i="7"/>
  <c r="L240" i="7"/>
  <c r="K232" i="7"/>
  <c r="L232" i="7"/>
  <c r="K224" i="7"/>
  <c r="L224" i="7"/>
  <c r="K216" i="7"/>
  <c r="L216" i="7"/>
  <c r="K208" i="7"/>
  <c r="L208" i="7"/>
  <c r="K200" i="7"/>
  <c r="L200" i="7"/>
  <c r="K192" i="7"/>
  <c r="L192" i="7"/>
  <c r="K184" i="7"/>
  <c r="L184" i="7"/>
  <c r="K176" i="7"/>
  <c r="L176" i="7"/>
  <c r="K168" i="7"/>
  <c r="L168" i="7"/>
  <c r="K160" i="7"/>
  <c r="L160" i="7"/>
  <c r="K152" i="7"/>
  <c r="L152" i="7"/>
  <c r="K144" i="7"/>
  <c r="L144" i="7"/>
  <c r="K136" i="7"/>
  <c r="L136" i="7"/>
  <c r="K128" i="7"/>
  <c r="L128" i="7"/>
  <c r="K120" i="7"/>
  <c r="L120" i="7"/>
  <c r="K112" i="7"/>
  <c r="L112" i="7"/>
  <c r="K104" i="7"/>
  <c r="L104" i="7"/>
  <c r="K96" i="7"/>
  <c r="L96" i="7"/>
  <c r="K88" i="7"/>
  <c r="L88" i="7"/>
  <c r="K80" i="7"/>
  <c r="L80" i="7"/>
  <c r="K72" i="7"/>
  <c r="L72" i="7"/>
  <c r="K64" i="7"/>
  <c r="L64" i="7"/>
  <c r="K56" i="7"/>
  <c r="L56" i="7"/>
  <c r="K48" i="7"/>
  <c r="L48" i="7"/>
  <c r="K40" i="7"/>
  <c r="L40" i="7"/>
  <c r="K32" i="7"/>
  <c r="L32" i="7"/>
  <c r="K24" i="7"/>
  <c r="L24" i="7"/>
  <c r="K1197" i="7"/>
  <c r="L1197" i="7"/>
  <c r="K1189" i="7"/>
  <c r="L1189" i="7"/>
  <c r="K1181" i="7"/>
  <c r="L1181" i="7"/>
  <c r="K1173" i="7"/>
  <c r="L1173" i="7"/>
  <c r="K1165" i="7"/>
  <c r="L1165" i="7"/>
  <c r="K1157" i="7"/>
  <c r="L1157" i="7"/>
  <c r="K1149" i="7"/>
  <c r="L1149" i="7"/>
  <c r="K1141" i="7"/>
  <c r="L1141" i="7"/>
  <c r="K1133" i="7"/>
  <c r="L1133" i="7"/>
  <c r="K1125" i="7"/>
  <c r="L1125" i="7"/>
  <c r="K1117" i="7"/>
  <c r="L1117" i="7"/>
  <c r="K1109" i="7"/>
  <c r="L1109" i="7"/>
  <c r="K1101" i="7"/>
  <c r="L1101" i="7"/>
  <c r="K1093" i="7"/>
  <c r="L1093" i="7"/>
  <c r="K1085" i="7"/>
  <c r="L1085" i="7"/>
  <c r="K1077" i="7"/>
  <c r="L1077" i="7"/>
  <c r="K1069" i="7"/>
  <c r="L1069" i="7"/>
  <c r="K1061" i="7"/>
  <c r="L1061" i="7"/>
  <c r="K1053" i="7"/>
  <c r="L1053" i="7"/>
  <c r="K1045" i="7"/>
  <c r="L1045" i="7"/>
  <c r="K1037" i="7"/>
  <c r="L1037" i="7"/>
  <c r="K1029" i="7"/>
  <c r="L1029" i="7"/>
  <c r="K1021" i="7"/>
  <c r="L1021" i="7"/>
  <c r="K1013" i="7"/>
  <c r="L1013" i="7"/>
  <c r="K1005" i="7"/>
  <c r="L1005" i="7"/>
  <c r="K997" i="7"/>
  <c r="L997" i="7"/>
  <c r="K989" i="7"/>
  <c r="L989" i="7"/>
  <c r="K981" i="7"/>
  <c r="L981" i="7"/>
  <c r="K973" i="7"/>
  <c r="L973" i="7"/>
  <c r="K965" i="7"/>
  <c r="L965" i="7"/>
  <c r="K957" i="7"/>
  <c r="L957" i="7"/>
  <c r="K949" i="7"/>
  <c r="L949" i="7"/>
  <c r="K941" i="7"/>
  <c r="L941" i="7"/>
  <c r="K933" i="7"/>
  <c r="L933" i="7"/>
  <c r="K925" i="7"/>
  <c r="L925" i="7"/>
  <c r="K917" i="7"/>
  <c r="L917" i="7"/>
  <c r="K909" i="7"/>
  <c r="L909" i="7"/>
  <c r="K901" i="7"/>
  <c r="L901" i="7"/>
  <c r="K893" i="7"/>
  <c r="L893" i="7"/>
  <c r="K885" i="7"/>
  <c r="L885" i="7"/>
  <c r="K877" i="7"/>
  <c r="L877" i="7"/>
  <c r="K869" i="7"/>
  <c r="L869" i="7"/>
  <c r="K861" i="7"/>
  <c r="L861" i="7"/>
  <c r="K853" i="7"/>
  <c r="L853" i="7"/>
  <c r="K845" i="7"/>
  <c r="L845" i="7"/>
  <c r="K837" i="7"/>
  <c r="L837" i="7"/>
  <c r="K829" i="7"/>
  <c r="L829" i="7"/>
  <c r="K821" i="7"/>
  <c r="L821" i="7"/>
  <c r="K813" i="7"/>
  <c r="L813" i="7"/>
  <c r="K805" i="7"/>
  <c r="L805" i="7"/>
  <c r="K797" i="7"/>
  <c r="L797" i="7"/>
  <c r="K789" i="7"/>
  <c r="L789" i="7"/>
  <c r="K781" i="7"/>
  <c r="L781" i="7"/>
  <c r="K773" i="7"/>
  <c r="L773" i="7"/>
  <c r="K765" i="7"/>
  <c r="L765" i="7"/>
  <c r="K757" i="7"/>
  <c r="L757" i="7"/>
  <c r="K749" i="7"/>
  <c r="L749" i="7"/>
  <c r="K741" i="7"/>
  <c r="L741" i="7"/>
  <c r="K733" i="7"/>
  <c r="L733" i="7"/>
  <c r="K725" i="7"/>
  <c r="L725" i="7"/>
  <c r="L717" i="7"/>
  <c r="K717" i="7"/>
  <c r="L709" i="7"/>
  <c r="K709" i="7"/>
  <c r="L701" i="7"/>
  <c r="K701" i="7"/>
  <c r="L693" i="7"/>
  <c r="K693" i="7"/>
  <c r="L685" i="7"/>
  <c r="K685" i="7"/>
  <c r="L677" i="7"/>
  <c r="K677" i="7"/>
  <c r="L669" i="7"/>
  <c r="K669" i="7"/>
  <c r="L661" i="7"/>
  <c r="K661" i="7"/>
  <c r="L653" i="7"/>
  <c r="K653" i="7"/>
  <c r="L645" i="7"/>
  <c r="K645" i="7"/>
  <c r="L637" i="7"/>
  <c r="K637" i="7"/>
  <c r="L629" i="7"/>
  <c r="K629" i="7"/>
  <c r="L621" i="7"/>
  <c r="K621" i="7"/>
  <c r="L613" i="7"/>
  <c r="K613" i="7"/>
  <c r="L605" i="7"/>
  <c r="K605" i="7"/>
  <c r="L597" i="7"/>
  <c r="K597" i="7"/>
  <c r="K589" i="7"/>
  <c r="L589" i="7"/>
  <c r="L581" i="7"/>
  <c r="K581" i="7"/>
  <c r="L573" i="7"/>
  <c r="K573" i="7"/>
  <c r="L565" i="7"/>
  <c r="K565" i="7"/>
  <c r="K557" i="7"/>
  <c r="L557" i="7"/>
  <c r="L549" i="7"/>
  <c r="K549" i="7"/>
  <c r="K541" i="7"/>
  <c r="L541" i="7"/>
  <c r="L533" i="7"/>
  <c r="K533" i="7"/>
  <c r="L525" i="7"/>
  <c r="K525" i="7"/>
  <c r="L517" i="7"/>
  <c r="K517" i="7"/>
  <c r="L509" i="7"/>
  <c r="K509" i="7"/>
  <c r="L501" i="7"/>
  <c r="K501" i="7"/>
  <c r="L493" i="7"/>
  <c r="K493" i="7"/>
  <c r="L485" i="7"/>
  <c r="K485" i="7"/>
  <c r="L477" i="7"/>
  <c r="K477" i="7"/>
  <c r="L469" i="7"/>
  <c r="K469" i="7"/>
  <c r="L461" i="7"/>
  <c r="K461" i="7"/>
  <c r="L453" i="7"/>
  <c r="K453" i="7"/>
  <c r="L445" i="7"/>
  <c r="K445" i="7"/>
  <c r="L437" i="7"/>
  <c r="K437" i="7"/>
  <c r="L429" i="7"/>
  <c r="K429" i="7"/>
  <c r="L421" i="7"/>
  <c r="K421" i="7"/>
  <c r="L413" i="7"/>
  <c r="K413" i="7"/>
  <c r="L405" i="7"/>
  <c r="K405" i="7"/>
  <c r="L397" i="7"/>
  <c r="K397" i="7"/>
  <c r="L389" i="7"/>
  <c r="K389" i="7"/>
  <c r="L381" i="7"/>
  <c r="K381" i="7"/>
  <c r="L373" i="7"/>
  <c r="K373" i="7"/>
  <c r="L365" i="7"/>
  <c r="K365" i="7"/>
  <c r="L357" i="7"/>
  <c r="K357" i="7"/>
  <c r="L349" i="7"/>
  <c r="K349" i="7"/>
  <c r="K341" i="7"/>
  <c r="L341" i="7"/>
  <c r="K333" i="7"/>
  <c r="L333" i="7"/>
  <c r="K325" i="7"/>
  <c r="L325" i="7"/>
  <c r="K317" i="7"/>
  <c r="L317" i="7"/>
  <c r="K309" i="7"/>
  <c r="L309" i="7"/>
  <c r="K301" i="7"/>
  <c r="L301" i="7"/>
  <c r="K293" i="7"/>
  <c r="L293" i="7"/>
  <c r="K285" i="7"/>
  <c r="L285" i="7"/>
  <c r="K277" i="7"/>
  <c r="L277" i="7"/>
  <c r="K269" i="7"/>
  <c r="L269" i="7"/>
  <c r="K261" i="7"/>
  <c r="L261" i="7"/>
  <c r="K253" i="7"/>
  <c r="L253" i="7"/>
  <c r="K245" i="7"/>
  <c r="L245" i="7"/>
  <c r="K237" i="7"/>
  <c r="L237" i="7"/>
  <c r="K229" i="7"/>
  <c r="L229" i="7"/>
  <c r="K221" i="7"/>
  <c r="L221" i="7"/>
  <c r="K213" i="7"/>
  <c r="L213" i="7"/>
  <c r="K205" i="7"/>
  <c r="L205" i="7"/>
  <c r="K197" i="7"/>
  <c r="L197" i="7"/>
  <c r="K189" i="7"/>
  <c r="L189" i="7"/>
  <c r="K181" i="7"/>
  <c r="L181" i="7"/>
  <c r="K173" i="7"/>
  <c r="L173" i="7"/>
  <c r="K165" i="7"/>
  <c r="L165" i="7"/>
  <c r="K157" i="7"/>
  <c r="L157" i="7"/>
  <c r="K149" i="7"/>
  <c r="L149" i="7"/>
  <c r="K141" i="7"/>
  <c r="L141" i="7"/>
  <c r="K133" i="7"/>
  <c r="L133" i="7"/>
  <c r="K125" i="7"/>
  <c r="L125" i="7"/>
  <c r="K117" i="7"/>
  <c r="L117" i="7"/>
  <c r="K109" i="7"/>
  <c r="L109" i="7"/>
  <c r="K101" i="7"/>
  <c r="L101" i="7"/>
  <c r="K93" i="7"/>
  <c r="L93" i="7"/>
  <c r="K85" i="7"/>
  <c r="L85" i="7"/>
  <c r="K77" i="7"/>
  <c r="L77" i="7"/>
  <c r="K69" i="7"/>
  <c r="L69" i="7"/>
  <c r="K61" i="7"/>
  <c r="L61" i="7"/>
  <c r="K53" i="7"/>
  <c r="L53" i="7"/>
  <c r="K45" i="7"/>
  <c r="L45" i="7"/>
  <c r="K37" i="7"/>
  <c r="L37" i="7"/>
  <c r="K29" i="7"/>
  <c r="L29" i="7"/>
  <c r="K21" i="7"/>
  <c r="L21" i="7"/>
  <c r="L1202" i="7"/>
  <c r="K1202" i="7"/>
  <c r="L1194" i="7"/>
  <c r="K1194" i="7"/>
  <c r="L1186" i="7"/>
  <c r="K1186" i="7"/>
  <c r="K1178" i="7"/>
  <c r="L1178" i="7"/>
  <c r="L1170" i="7"/>
  <c r="K1170" i="7"/>
  <c r="L1162" i="7"/>
  <c r="K1162" i="7"/>
  <c r="K1154" i="7"/>
  <c r="L1154" i="7"/>
  <c r="K1146" i="7"/>
  <c r="L1146" i="7"/>
  <c r="L1138" i="7"/>
  <c r="K1138" i="7"/>
  <c r="L1130" i="7"/>
  <c r="K1130" i="7"/>
  <c r="K1122" i="7"/>
  <c r="L1122" i="7"/>
  <c r="K1114" i="7"/>
  <c r="L1114" i="7"/>
  <c r="L1106" i="7"/>
  <c r="K1106" i="7"/>
  <c r="L1098" i="7"/>
  <c r="K1098" i="7"/>
  <c r="K1090" i="7"/>
  <c r="L1090" i="7"/>
  <c r="K1082" i="7"/>
  <c r="L1082" i="7"/>
  <c r="L1074" i="7"/>
  <c r="K1074" i="7"/>
  <c r="L1066" i="7"/>
  <c r="K1066" i="7"/>
  <c r="K1058" i="7"/>
  <c r="L1058" i="7"/>
  <c r="K1050" i="7"/>
  <c r="L1050" i="7"/>
  <c r="L1042" i="7"/>
  <c r="K1042" i="7"/>
  <c r="L1034" i="7"/>
  <c r="K1034" i="7"/>
  <c r="K1026" i="7"/>
  <c r="L1026" i="7"/>
  <c r="K1018" i="7"/>
  <c r="L1018" i="7"/>
  <c r="L1010" i="7"/>
  <c r="K1010" i="7"/>
  <c r="L1002" i="7"/>
  <c r="K1002" i="7"/>
  <c r="K994" i="7"/>
  <c r="L994" i="7"/>
  <c r="K986" i="7"/>
  <c r="L986" i="7"/>
  <c r="L978" i="7"/>
  <c r="K978" i="7"/>
  <c r="L970" i="7"/>
  <c r="K970" i="7"/>
  <c r="K962" i="7"/>
  <c r="L962" i="7"/>
  <c r="K954" i="7"/>
  <c r="L954" i="7"/>
  <c r="L946" i="7"/>
  <c r="K946" i="7"/>
  <c r="L938" i="7"/>
  <c r="K938" i="7"/>
  <c r="L930" i="7"/>
  <c r="K930" i="7"/>
  <c r="K922" i="7"/>
  <c r="L922" i="7"/>
  <c r="L914" i="7"/>
  <c r="K914" i="7"/>
  <c r="L906" i="7"/>
  <c r="K906" i="7"/>
  <c r="K898" i="7"/>
  <c r="L898" i="7"/>
  <c r="K890" i="7"/>
  <c r="L890" i="7"/>
  <c r="L882" i="7"/>
  <c r="K882" i="7"/>
  <c r="L874" i="7"/>
  <c r="K874" i="7"/>
  <c r="L866" i="7"/>
  <c r="K866" i="7"/>
  <c r="K858" i="7"/>
  <c r="L858" i="7"/>
  <c r="L850" i="7"/>
  <c r="K850" i="7"/>
  <c r="L842" i="7"/>
  <c r="K842" i="7"/>
  <c r="K834" i="7"/>
  <c r="L834" i="7"/>
  <c r="K826" i="7"/>
  <c r="L826" i="7"/>
  <c r="L818" i="7"/>
  <c r="K818" i="7"/>
  <c r="L810" i="7"/>
  <c r="K810" i="7"/>
  <c r="K802" i="7"/>
  <c r="L802" i="7"/>
  <c r="K794" i="7"/>
  <c r="L794" i="7"/>
  <c r="L786" i="7"/>
  <c r="K786" i="7"/>
  <c r="L778" i="7"/>
  <c r="K778" i="7"/>
  <c r="L770" i="7"/>
  <c r="K770" i="7"/>
  <c r="K762" i="7"/>
  <c r="L762" i="7"/>
  <c r="L754" i="7"/>
  <c r="K754" i="7"/>
  <c r="L746" i="7"/>
  <c r="K746" i="7"/>
  <c r="L738" i="7"/>
  <c r="K738" i="7"/>
  <c r="L730" i="7"/>
  <c r="K730" i="7"/>
  <c r="L722" i="7"/>
  <c r="K722" i="7"/>
  <c r="L714" i="7"/>
  <c r="K714" i="7"/>
  <c r="K706" i="7"/>
  <c r="L706" i="7"/>
  <c r="L698" i="7"/>
  <c r="K698" i="7"/>
  <c r="L690" i="7"/>
  <c r="K690" i="7"/>
  <c r="L682" i="7"/>
  <c r="K682" i="7"/>
  <c r="L674" i="7"/>
  <c r="K674" i="7"/>
  <c r="L666" i="7"/>
  <c r="K666" i="7"/>
  <c r="L658" i="7"/>
  <c r="K658" i="7"/>
  <c r="L650" i="7"/>
  <c r="K650" i="7"/>
  <c r="L642" i="7"/>
  <c r="K642" i="7"/>
  <c r="L634" i="7"/>
  <c r="K634" i="7"/>
  <c r="L626" i="7"/>
  <c r="K626" i="7"/>
  <c r="L618" i="7"/>
  <c r="K618" i="7"/>
  <c r="L610" i="7"/>
  <c r="K610" i="7"/>
  <c r="L602" i="7"/>
  <c r="K602" i="7"/>
  <c r="K594" i="7"/>
  <c r="L594" i="7"/>
  <c r="L586" i="7"/>
  <c r="K586" i="7"/>
  <c r="K578" i="7"/>
  <c r="L578" i="7"/>
  <c r="L570" i="7"/>
  <c r="K570" i="7"/>
  <c r="L562" i="7"/>
  <c r="K562" i="7"/>
  <c r="L554" i="7"/>
  <c r="K554" i="7"/>
  <c r="K546" i="7"/>
  <c r="L546" i="7"/>
  <c r="L538" i="7"/>
  <c r="K538" i="7"/>
  <c r="L530" i="7"/>
  <c r="K530" i="7"/>
  <c r="L522" i="7"/>
  <c r="K522" i="7"/>
  <c r="K514" i="7"/>
  <c r="L514" i="7"/>
  <c r="K506" i="7"/>
  <c r="L506" i="7"/>
  <c r="K498" i="7"/>
  <c r="L498" i="7"/>
  <c r="K490" i="7"/>
  <c r="L490" i="7"/>
  <c r="K482" i="7"/>
  <c r="L482" i="7"/>
  <c r="K474" i="7"/>
  <c r="L474" i="7"/>
  <c r="K466" i="7"/>
  <c r="L466" i="7"/>
  <c r="K458" i="7"/>
  <c r="L458" i="7"/>
  <c r="K450" i="7"/>
  <c r="L450" i="7"/>
  <c r="K442" i="7"/>
  <c r="L442" i="7"/>
  <c r="K434" i="7"/>
  <c r="L434" i="7"/>
  <c r="K426" i="7"/>
  <c r="L426" i="7"/>
  <c r="K418" i="7"/>
  <c r="L418" i="7"/>
  <c r="K410" i="7"/>
  <c r="L410" i="7"/>
  <c r="K402" i="7"/>
  <c r="L402" i="7"/>
  <c r="K394" i="7"/>
  <c r="L394" i="7"/>
  <c r="K386" i="7"/>
  <c r="L386" i="7"/>
  <c r="K378" i="7"/>
  <c r="L378" i="7"/>
  <c r="K370" i="7"/>
  <c r="L370" i="7"/>
  <c r="K362" i="7"/>
  <c r="L362" i="7"/>
  <c r="K354" i="7"/>
  <c r="L354" i="7"/>
  <c r="K346" i="7"/>
  <c r="L346" i="7"/>
  <c r="K338" i="7"/>
  <c r="L338" i="7"/>
  <c r="K330" i="7"/>
  <c r="L330" i="7"/>
  <c r="K322" i="7"/>
  <c r="L322" i="7"/>
  <c r="K314" i="7"/>
  <c r="L314" i="7"/>
  <c r="K306" i="7"/>
  <c r="L306" i="7"/>
  <c r="K298" i="7"/>
  <c r="L298" i="7"/>
  <c r="K290" i="7"/>
  <c r="L290" i="7"/>
  <c r="K282" i="7"/>
  <c r="L282" i="7"/>
  <c r="K274" i="7"/>
  <c r="L274" i="7"/>
  <c r="K266" i="7"/>
  <c r="L266" i="7"/>
  <c r="K258" i="7"/>
  <c r="L258" i="7"/>
  <c r="K250" i="7"/>
  <c r="L250" i="7"/>
  <c r="K242" i="7"/>
  <c r="L242" i="7"/>
  <c r="K234" i="7"/>
  <c r="L234" i="7"/>
  <c r="K226" i="7"/>
  <c r="L226" i="7"/>
  <c r="K218" i="7"/>
  <c r="L218" i="7"/>
  <c r="K210" i="7"/>
  <c r="L210" i="7"/>
  <c r="K202" i="7"/>
  <c r="L202" i="7"/>
  <c r="K194" i="7"/>
  <c r="L194" i="7"/>
  <c r="K186" i="7"/>
  <c r="L186" i="7"/>
  <c r="K178" i="7"/>
  <c r="L178" i="7"/>
  <c r="K170" i="7"/>
  <c r="L170" i="7"/>
  <c r="K162" i="7"/>
  <c r="L162" i="7"/>
  <c r="K154" i="7"/>
  <c r="L154" i="7"/>
  <c r="K146" i="7"/>
  <c r="L146" i="7"/>
  <c r="K138" i="7"/>
  <c r="L138" i="7"/>
  <c r="K130" i="7"/>
  <c r="L130" i="7"/>
  <c r="K122" i="7"/>
  <c r="L122" i="7"/>
  <c r="K114" i="7"/>
  <c r="L114" i="7"/>
  <c r="K106" i="7"/>
  <c r="L106" i="7"/>
  <c r="K98" i="7"/>
  <c r="L98" i="7"/>
  <c r="K90" i="7"/>
  <c r="L90" i="7"/>
  <c r="K82" i="7"/>
  <c r="L82" i="7"/>
  <c r="K74" i="7"/>
  <c r="L74" i="7"/>
  <c r="K66" i="7"/>
  <c r="L66" i="7"/>
  <c r="K58" i="7"/>
  <c r="L58" i="7"/>
  <c r="K50" i="7"/>
  <c r="L50" i="7"/>
  <c r="K42" i="7"/>
  <c r="L42" i="7"/>
  <c r="K34" i="7"/>
  <c r="L34" i="7"/>
  <c r="K26" i="7"/>
  <c r="L26" i="7"/>
  <c r="K18" i="7"/>
  <c r="L18" i="7"/>
  <c r="L1199" i="7"/>
  <c r="K1199" i="7"/>
  <c r="L1191" i="7"/>
  <c r="K1191" i="7"/>
  <c r="L1183" i="7"/>
  <c r="K1183" i="7"/>
  <c r="L1175" i="7"/>
  <c r="K1175" i="7"/>
  <c r="L1167" i="7"/>
  <c r="K1167" i="7"/>
  <c r="L1159" i="7"/>
  <c r="K1159" i="7"/>
  <c r="L1151" i="7"/>
  <c r="K1151" i="7"/>
  <c r="L1143" i="7"/>
  <c r="K1143" i="7"/>
  <c r="L1135" i="7"/>
  <c r="K1135" i="7"/>
  <c r="L1127" i="7"/>
  <c r="K1127" i="7"/>
  <c r="L1119" i="7"/>
  <c r="K1119" i="7"/>
  <c r="L1111" i="7"/>
  <c r="K1111" i="7"/>
  <c r="L1103" i="7"/>
  <c r="K1103" i="7"/>
  <c r="L1095" i="7"/>
  <c r="K1095" i="7"/>
  <c r="L1087" i="7"/>
  <c r="K1087" i="7"/>
  <c r="L1079" i="7"/>
  <c r="K1079" i="7"/>
  <c r="L1071" i="7"/>
  <c r="K1071" i="7"/>
  <c r="L1063" i="7"/>
  <c r="K1063" i="7"/>
  <c r="L1055" i="7"/>
  <c r="K1055" i="7"/>
  <c r="L1047" i="7"/>
  <c r="K1047" i="7"/>
  <c r="L1039" i="7"/>
  <c r="K1039" i="7"/>
  <c r="L1031" i="7"/>
  <c r="K1031" i="7"/>
  <c r="L1023" i="7"/>
  <c r="K1023" i="7"/>
  <c r="L1015" i="7"/>
  <c r="K1015" i="7"/>
  <c r="L1007" i="7"/>
  <c r="K1007" i="7"/>
  <c r="L999" i="7"/>
  <c r="K999" i="7"/>
  <c r="L991" i="7"/>
  <c r="K991" i="7"/>
  <c r="L983" i="7"/>
  <c r="K983" i="7"/>
  <c r="L975" i="7"/>
  <c r="K975" i="7"/>
  <c r="L967" i="7"/>
  <c r="K967" i="7"/>
  <c r="L959" i="7"/>
  <c r="K959" i="7"/>
  <c r="L951" i="7"/>
  <c r="K951" i="7"/>
  <c r="L943" i="7"/>
  <c r="K943" i="7"/>
  <c r="L935" i="7"/>
  <c r="K935" i="7"/>
  <c r="L927" i="7"/>
  <c r="K927" i="7"/>
  <c r="L919" i="7"/>
  <c r="K919" i="7"/>
  <c r="L911" i="7"/>
  <c r="K911" i="7"/>
  <c r="L903" i="7"/>
  <c r="K903" i="7"/>
  <c r="L895" i="7"/>
  <c r="K895" i="7"/>
  <c r="L887" i="7"/>
  <c r="K887" i="7"/>
  <c r="L879" i="7"/>
  <c r="K879" i="7"/>
  <c r="L871" i="7"/>
  <c r="K871" i="7"/>
  <c r="L863" i="7"/>
  <c r="K863" i="7"/>
  <c r="L855" i="7"/>
  <c r="K855" i="7"/>
  <c r="L847" i="7"/>
  <c r="K847" i="7"/>
  <c r="L839" i="7"/>
  <c r="K839" i="7"/>
  <c r="L831" i="7"/>
  <c r="K831" i="7"/>
  <c r="L823" i="7"/>
  <c r="K823" i="7"/>
  <c r="L815" i="7"/>
  <c r="K815" i="7"/>
  <c r="L807" i="7"/>
  <c r="K807" i="7"/>
  <c r="L799" i="7"/>
  <c r="K799" i="7"/>
  <c r="L791" i="7"/>
  <c r="K791" i="7"/>
  <c r="L783" i="7"/>
  <c r="K783" i="7"/>
  <c r="L775" i="7"/>
  <c r="K775" i="7"/>
  <c r="L767" i="7"/>
  <c r="K767" i="7"/>
  <c r="L759" i="7"/>
  <c r="K759" i="7"/>
  <c r="L751" i="7"/>
  <c r="K751" i="7"/>
  <c r="L743" i="7"/>
  <c r="K743" i="7"/>
  <c r="L735" i="7"/>
  <c r="K735" i="7"/>
  <c r="L727" i="7"/>
  <c r="K727" i="7"/>
  <c r="L719" i="7"/>
  <c r="K719" i="7"/>
  <c r="K711" i="7"/>
  <c r="L711" i="7"/>
  <c r="L703" i="7"/>
  <c r="K703" i="7"/>
  <c r="L695" i="7"/>
  <c r="K695" i="7"/>
  <c r="K687" i="7"/>
  <c r="L687" i="7"/>
  <c r="K679" i="7"/>
  <c r="L679" i="7"/>
  <c r="L671" i="7"/>
  <c r="K671" i="7"/>
  <c r="L663" i="7"/>
  <c r="K663" i="7"/>
  <c r="K655" i="7"/>
  <c r="L655" i="7"/>
  <c r="K647" i="7"/>
  <c r="L647" i="7"/>
  <c r="L639" i="7"/>
  <c r="K639" i="7"/>
  <c r="K631" i="7"/>
  <c r="L631" i="7"/>
  <c r="K623" i="7"/>
  <c r="L623" i="7"/>
  <c r="K615" i="7"/>
  <c r="L615" i="7"/>
  <c r="L607" i="7"/>
  <c r="K607" i="7"/>
  <c r="K599" i="7"/>
  <c r="L599" i="7"/>
  <c r="K591" i="7"/>
  <c r="L591" i="7"/>
  <c r="K583" i="7"/>
  <c r="L583" i="7"/>
  <c r="K575" i="7"/>
  <c r="L575" i="7"/>
  <c r="K567" i="7"/>
  <c r="L567" i="7"/>
  <c r="K559" i="7"/>
  <c r="L559" i="7"/>
  <c r="K551" i="7"/>
  <c r="L551" i="7"/>
  <c r="K543" i="7"/>
  <c r="L543" i="7"/>
  <c r="K535" i="7"/>
  <c r="L535" i="7"/>
  <c r="K527" i="7"/>
  <c r="L527" i="7"/>
  <c r="K519" i="7"/>
  <c r="L519" i="7"/>
  <c r="K511" i="7"/>
  <c r="L511" i="7"/>
  <c r="K503" i="7"/>
  <c r="L503" i="7"/>
  <c r="K495" i="7"/>
  <c r="L495" i="7"/>
  <c r="K487" i="7"/>
  <c r="L487" i="7"/>
  <c r="K479" i="7"/>
  <c r="L479" i="7"/>
  <c r="K471" i="7"/>
  <c r="L471" i="7"/>
  <c r="K463" i="7"/>
  <c r="L463" i="7"/>
  <c r="K455" i="7"/>
  <c r="L455" i="7"/>
  <c r="K447" i="7"/>
  <c r="L447" i="7"/>
  <c r="K439" i="7"/>
  <c r="L439" i="7"/>
  <c r="K431" i="7"/>
  <c r="L431" i="7"/>
  <c r="K423" i="7"/>
  <c r="L423" i="7"/>
  <c r="K415" i="7"/>
  <c r="L415" i="7"/>
  <c r="K407" i="7"/>
  <c r="L407" i="7"/>
  <c r="K399" i="7"/>
  <c r="L399" i="7"/>
  <c r="K391" i="7"/>
  <c r="L391" i="7"/>
  <c r="K383" i="7"/>
  <c r="L383" i="7"/>
  <c r="K375" i="7"/>
  <c r="L375" i="7"/>
  <c r="K367" i="7"/>
  <c r="L367" i="7"/>
  <c r="K359" i="7"/>
  <c r="L359" i="7"/>
  <c r="K351" i="7"/>
  <c r="L351" i="7"/>
  <c r="L343" i="7"/>
  <c r="K343" i="7"/>
  <c r="K335" i="7"/>
  <c r="L335" i="7"/>
  <c r="L327" i="7"/>
  <c r="K327" i="7"/>
  <c r="K319" i="7"/>
  <c r="L319" i="7"/>
  <c r="L311" i="7"/>
  <c r="K311" i="7"/>
  <c r="K303" i="7"/>
  <c r="L303" i="7"/>
  <c r="L295" i="7"/>
  <c r="K295" i="7"/>
  <c r="K287" i="7"/>
  <c r="L287" i="7"/>
  <c r="L279" i="7"/>
  <c r="K279" i="7"/>
  <c r="K271" i="7"/>
  <c r="L271" i="7"/>
  <c r="L263" i="7"/>
  <c r="K263" i="7"/>
  <c r="K255" i="7"/>
  <c r="L255" i="7"/>
  <c r="L247" i="7"/>
  <c r="K247" i="7"/>
  <c r="K239" i="7"/>
  <c r="L239" i="7"/>
  <c r="L231" i="7"/>
  <c r="K231" i="7"/>
  <c r="K223" i="7"/>
  <c r="L223" i="7"/>
  <c r="L215" i="7"/>
  <c r="K215" i="7"/>
  <c r="K207" i="7"/>
  <c r="L207" i="7"/>
  <c r="L199" i="7"/>
  <c r="K199" i="7"/>
  <c r="K191" i="7"/>
  <c r="L191" i="7"/>
  <c r="K183" i="7"/>
  <c r="L183" i="7"/>
  <c r="K175" i="7"/>
  <c r="L175" i="7"/>
  <c r="K167" i="7"/>
  <c r="L167" i="7"/>
  <c r="K159" i="7"/>
  <c r="L159" i="7"/>
  <c r="K151" i="7"/>
  <c r="L151" i="7"/>
  <c r="K143" i="7"/>
  <c r="L143" i="7"/>
  <c r="K135" i="7"/>
  <c r="L135" i="7"/>
  <c r="K127" i="7"/>
  <c r="L127" i="7"/>
  <c r="K119" i="7"/>
  <c r="L119" i="7"/>
  <c r="K111" i="7"/>
  <c r="L111" i="7"/>
  <c r="K103" i="7"/>
  <c r="L103" i="7"/>
  <c r="K95" i="7"/>
  <c r="L95" i="7"/>
  <c r="K87" i="7"/>
  <c r="L87" i="7"/>
  <c r="K79" i="7"/>
  <c r="L79" i="7"/>
  <c r="K71" i="7"/>
  <c r="L71" i="7"/>
  <c r="K63" i="7"/>
  <c r="L63" i="7"/>
  <c r="K55" i="7"/>
  <c r="L55" i="7"/>
  <c r="K47" i="7"/>
  <c r="L47" i="7"/>
  <c r="K39" i="7"/>
  <c r="L39" i="7"/>
  <c r="K31" i="7"/>
  <c r="L31" i="7"/>
  <c r="K23" i="7"/>
  <c r="L23" i="7"/>
  <c r="K15" i="7"/>
  <c r="L15" i="7" s="1"/>
  <c r="K7" i="7"/>
  <c r="L7" i="7" s="1"/>
  <c r="AB11" i="1"/>
  <c r="E16" i="5"/>
  <c r="K16" i="7" l="1"/>
  <c r="L16" i="7" s="1"/>
  <c r="K6" i="7"/>
  <c r="L6" i="7" s="1"/>
  <c r="K5" i="7"/>
  <c r="L5" i="7" s="1"/>
  <c r="K13" i="7"/>
  <c r="L13" i="7" s="1"/>
  <c r="K8" i="7"/>
  <c r="L8" i="7" s="1"/>
  <c r="K3" i="7"/>
  <c r="K14" i="7"/>
  <c r="K10" i="7"/>
  <c r="L10" i="7" s="1"/>
  <c r="L3" i="7" l="1"/>
  <c r="I16" i="5"/>
  <c r="L14" i="7"/>
  <c r="I17" i="5" s="1"/>
  <c r="I20" i="5" l="1"/>
  <c r="AK11" i="1" s="1"/>
  <c r="AH11" i="1"/>
</calcChain>
</file>

<file path=xl/sharedStrings.xml><?xml version="1.0" encoding="utf-8"?>
<sst xmlns="http://schemas.openxmlformats.org/spreadsheetml/2006/main" count="435" uniqueCount="151">
  <si>
    <t>Class</t>
  </si>
  <si>
    <t>8th</t>
  </si>
  <si>
    <t>7th</t>
  </si>
  <si>
    <t>6th</t>
  </si>
  <si>
    <t>5th</t>
  </si>
  <si>
    <t>4th</t>
  </si>
  <si>
    <t>UKG</t>
  </si>
  <si>
    <t>LKG</t>
  </si>
  <si>
    <t>NC</t>
  </si>
  <si>
    <t>PG</t>
  </si>
  <si>
    <t>Qualification</t>
  </si>
  <si>
    <t>Doctorate</t>
  </si>
  <si>
    <t>Post Graduate</t>
  </si>
  <si>
    <t>Graduate</t>
  </si>
  <si>
    <t>10th</t>
  </si>
  <si>
    <t>12th</t>
  </si>
  <si>
    <t>11th</t>
  </si>
  <si>
    <t>9th</t>
  </si>
  <si>
    <t>3rd</t>
  </si>
  <si>
    <t>2nd</t>
  </si>
  <si>
    <t>1st</t>
  </si>
  <si>
    <t>Occupation</t>
  </si>
  <si>
    <t>Privete Job</t>
  </si>
  <si>
    <t>Government Job</t>
  </si>
  <si>
    <t>Businessman</t>
  </si>
  <si>
    <t>Farmer</t>
  </si>
  <si>
    <t>Labourer</t>
  </si>
  <si>
    <t>Self Employed</t>
  </si>
  <si>
    <t>Unemployed</t>
  </si>
  <si>
    <t>Trader</t>
  </si>
  <si>
    <t>Shopkeeper</t>
  </si>
  <si>
    <t>Category</t>
  </si>
  <si>
    <t>General</t>
  </si>
  <si>
    <t>OBC</t>
  </si>
  <si>
    <t>SC</t>
  </si>
  <si>
    <t>ST</t>
  </si>
  <si>
    <t>Religion</t>
  </si>
  <si>
    <t>Hinduism</t>
  </si>
  <si>
    <t>Sikhism</t>
  </si>
  <si>
    <t>Islam</t>
  </si>
  <si>
    <t>Christianity</t>
  </si>
  <si>
    <t>Buddhism</t>
  </si>
  <si>
    <t>Jainism</t>
  </si>
  <si>
    <t>Name</t>
  </si>
  <si>
    <t>Gender</t>
  </si>
  <si>
    <t>Date of Birth</t>
  </si>
  <si>
    <t>Cast</t>
  </si>
  <si>
    <t>Father's Name</t>
  </si>
  <si>
    <t>Father's Education</t>
  </si>
  <si>
    <t>Father's Occupation</t>
  </si>
  <si>
    <t>Father's Income</t>
  </si>
  <si>
    <t>Father's Contact No</t>
  </si>
  <si>
    <t>Mother's Name</t>
  </si>
  <si>
    <t>Mother's Education</t>
  </si>
  <si>
    <t>Mother's Occupation</t>
  </si>
  <si>
    <t>Mother's Income</t>
  </si>
  <si>
    <t>Mother's Contact No</t>
  </si>
  <si>
    <t>Guardian Name</t>
  </si>
  <si>
    <t>Guardian Contact No</t>
  </si>
  <si>
    <t>Name as Aadhaar</t>
  </si>
  <si>
    <t>Aadhaar No</t>
  </si>
  <si>
    <t>Current Address</t>
  </si>
  <si>
    <t>Parmanent Address</t>
  </si>
  <si>
    <t>Admission Date</t>
  </si>
  <si>
    <t>Admission Class</t>
  </si>
  <si>
    <t>Previous Class</t>
  </si>
  <si>
    <t>Previous School</t>
  </si>
  <si>
    <t>Previous School UDISE No</t>
  </si>
  <si>
    <t>TC No</t>
  </si>
  <si>
    <t>PEN No</t>
  </si>
  <si>
    <t>Photo</t>
  </si>
  <si>
    <t>Father's Aadhaar</t>
  </si>
  <si>
    <t>Student's Aadhaar</t>
  </si>
  <si>
    <t>Mother's Aadhaar</t>
  </si>
  <si>
    <t>Result</t>
  </si>
  <si>
    <t>TC</t>
  </si>
  <si>
    <t>Affidavit</t>
  </si>
  <si>
    <t>Other Document</t>
  </si>
  <si>
    <t>:</t>
  </si>
  <si>
    <t>Admission Fee</t>
  </si>
  <si>
    <t>Academic Fee</t>
  </si>
  <si>
    <t>Transpoart Fee</t>
  </si>
  <si>
    <t>Total Fee</t>
  </si>
  <si>
    <t>Address</t>
  </si>
  <si>
    <t>Academic Details</t>
  </si>
  <si>
    <t>Fee Details</t>
  </si>
  <si>
    <t>Documents</t>
  </si>
  <si>
    <t>Guardian' Detail</t>
  </si>
  <si>
    <t>Mother' Details</t>
  </si>
  <si>
    <t>Father's Details</t>
  </si>
  <si>
    <t>Student's Detail</t>
  </si>
  <si>
    <t>Reg No</t>
  </si>
  <si>
    <t>Male</t>
  </si>
  <si>
    <t>Female</t>
  </si>
  <si>
    <t>Transgender</t>
  </si>
  <si>
    <t>Home Maker</t>
  </si>
  <si>
    <t>Start Date</t>
  </si>
  <si>
    <t>End Date</t>
  </si>
  <si>
    <t>N P Public School</t>
  </si>
  <si>
    <t>Admission &amp; Student Entry Panel</t>
  </si>
  <si>
    <t>Udise No. 09130305223</t>
  </si>
  <si>
    <t>N.P. Public School</t>
  </si>
  <si>
    <t>Reg. No. 3397-99</t>
  </si>
  <si>
    <t>Contact 9084963803</t>
  </si>
  <si>
    <t>A Premier Instution For Your Child's Bright Future</t>
  </si>
  <si>
    <t>In Front of Monday Market, Brahmanpuri, Purdil Nagar 204214</t>
  </si>
  <si>
    <t>Admission Form</t>
  </si>
  <si>
    <t>Reg. No.</t>
  </si>
  <si>
    <t>Categary</t>
  </si>
  <si>
    <t>Acadimic Fee</t>
  </si>
  <si>
    <t>Remaning</t>
  </si>
  <si>
    <t>UDISE No Prev School</t>
  </si>
  <si>
    <t>Prev School Name</t>
  </si>
  <si>
    <t>Paramenent Address</t>
  </si>
  <si>
    <r>
      <t xml:space="preserve">                   मैं ........................................................................................ यह घोषणा करता / करती हूं कि इस प्रवेश पंजीकरण फ़ॉर्म में दी गई समस्त जानकारी मेरे ज्ञान और विश्वास के अनुसार पूर्णतः सत्य, सही और सटीक है। यदि किसी प्रकार की सूचना असत्य पाई जाती है तो विद्यालय द्वारा की जाने वाली किसी भी कार्यवाही और जुर्माने के लिए मैं स्वयं उत्तरदाई रहूंगा / रहूंगी।
                   मैं अपने पुत्र / पुत्री .............................................................................................................. को कक्षा ................................. में स्वेच्छा से प्रवेश दिला रहा / रही हूं और विद्यालय प्रबंधन को यह विश्वास दिलाता / दिलाती हूं कि जब तक मैं और मेरा पुत्र / पुत्री </t>
    </r>
    <r>
      <rPr>
        <b/>
        <sz val="11"/>
        <color theme="1"/>
        <rFont val="Calibri"/>
        <family val="2"/>
        <scheme val="minor"/>
      </rPr>
      <t>NPPS</t>
    </r>
    <r>
      <rPr>
        <sz val="10"/>
        <color theme="1"/>
        <rFont val="Calibri"/>
        <family val="2"/>
        <scheme val="minor"/>
      </rPr>
      <t xml:space="preserve"> परिवार के सदस्य रहते हैं तब तक हम विद्यालय की गरिमा बनाए रखने के लिए प्रत्येक नियम व शर्तों का पालन करते हुए हमेशा विद्यालय परिवार की सहयोगी रहेंगे।
                  मैंने विद्यालय के सभी नियमों, विनियमों एवं शर्तों को पढ़ लिया है। मैं उनसे पूर्णतः सहमत हूं और उनका पालन करने का वचन देता / देती हूं।</t>
    </r>
  </si>
  <si>
    <t>Date</t>
  </si>
  <si>
    <t>Place</t>
  </si>
  <si>
    <t>Principal Sign</t>
  </si>
  <si>
    <t>Parente's Sign</t>
  </si>
  <si>
    <t>Admission Form Print</t>
  </si>
  <si>
    <t>Student Details</t>
  </si>
  <si>
    <t>Fee Structure</t>
  </si>
  <si>
    <t>Fee Deposits</t>
  </si>
  <si>
    <t>Contact No</t>
  </si>
  <si>
    <t>Last Year Due</t>
  </si>
  <si>
    <t>Total Fee Paid</t>
  </si>
  <si>
    <t>Outstanding Fee</t>
  </si>
  <si>
    <t>Apr</t>
  </si>
  <si>
    <t>May</t>
  </si>
  <si>
    <t>Jun</t>
  </si>
  <si>
    <t>Jul</t>
  </si>
  <si>
    <t>Aug</t>
  </si>
  <si>
    <t>Sep</t>
  </si>
  <si>
    <t>Oct</t>
  </si>
  <si>
    <t>Nov</t>
  </si>
  <si>
    <t>Dec</t>
  </si>
  <si>
    <t>Jan</t>
  </si>
  <si>
    <t>Feb</t>
  </si>
  <si>
    <t>Mar</t>
  </si>
  <si>
    <t>Amount</t>
  </si>
  <si>
    <t>Fee Receipt</t>
  </si>
  <si>
    <t>Fee Paid</t>
  </si>
  <si>
    <t>Fee Outstand</t>
  </si>
  <si>
    <t>Pay</t>
  </si>
  <si>
    <t>Sign</t>
  </si>
  <si>
    <t>S No</t>
  </si>
  <si>
    <t>Contact</t>
  </si>
  <si>
    <t>Fee Entry Panel</t>
  </si>
  <si>
    <t>Month</t>
  </si>
  <si>
    <t>Current Class</t>
  </si>
  <si>
    <t>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</si>
</sst>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numFmt numFmtId="165" formatCode="mmm"/>
    <numFmt numFmtId="166" formatCode="dd\-mm\-yyyy"/>
    <numFmt numFmtId="167" formatCode="dd/mmm/yyyy"/>
  </numFmts>
  <fonts count="28" x14ac:knownFonts="1">
    <font>
      <sz val="11"/>
      <color theme="1"/>
      <name val="Calibri"/>
      <family val="2"/>
      <scheme val="minor"/>
    </font>
    <font>
      <b/>
      <sz val="11"/>
      <color theme="1"/>
      <name val="Calibri"/>
      <family val="2"/>
      <scheme val="minor"/>
    </font>
    <font>
      <sz val="8"/>
      <name val="Calibri"/>
      <family val="2"/>
      <scheme val="minor"/>
    </font>
    <font>
      <b/>
      <sz val="12"/>
      <color theme="1"/>
      <name val="Calibri"/>
      <family val="2"/>
      <scheme val="minor"/>
    </font>
    <font>
      <b/>
      <sz val="11"/>
      <color theme="0"/>
      <name val="Calibri"/>
      <family val="2"/>
      <scheme val="minor"/>
    </font>
    <font>
      <b/>
      <sz val="48"/>
      <color theme="9" tint="-0.499984740745262"/>
      <name val="Calibri"/>
      <family val="2"/>
      <scheme val="minor"/>
    </font>
    <font>
      <b/>
      <sz val="20"/>
      <color theme="9" tint="-0.249977111117893"/>
      <name val="Calibri"/>
      <family val="2"/>
      <scheme val="minor"/>
    </font>
    <font>
      <sz val="11"/>
      <color rgb="FFFF0000"/>
      <name val="Calibri"/>
      <family val="2"/>
      <scheme val="minor"/>
    </font>
    <font>
      <sz val="9"/>
      <color theme="1"/>
      <name val="Calibri"/>
      <family val="2"/>
      <scheme val="minor"/>
    </font>
    <font>
      <b/>
      <sz val="9"/>
      <color theme="1"/>
      <name val="Calibri"/>
      <family val="2"/>
      <scheme val="minor"/>
    </font>
    <font>
      <b/>
      <sz val="48"/>
      <color theme="1"/>
      <name val="Calibri"/>
      <family val="2"/>
      <scheme val="minor"/>
    </font>
    <font>
      <b/>
      <sz val="18"/>
      <color theme="1"/>
      <name val="Calibri"/>
      <family val="2"/>
      <scheme val="minor"/>
    </font>
    <font>
      <sz val="12"/>
      <color theme="1"/>
      <name val="Calibri"/>
      <family val="2"/>
      <scheme val="minor"/>
    </font>
    <font>
      <b/>
      <sz val="36"/>
      <color theme="1"/>
      <name val="Calibri"/>
      <family val="2"/>
      <scheme val="minor"/>
    </font>
    <font>
      <sz val="10"/>
      <color theme="1"/>
      <name val="Calibri"/>
      <family val="2"/>
      <scheme val="minor"/>
    </font>
    <font>
      <b/>
      <sz val="48"/>
      <color rgb="FFFF0000"/>
      <name val="Calibri"/>
      <family val="2"/>
      <scheme val="minor"/>
    </font>
    <font>
      <b/>
      <sz val="20"/>
      <color rgb="FFFF0000"/>
      <name val="Calibri"/>
      <family val="2"/>
      <scheme val="minor"/>
    </font>
    <font>
      <b/>
      <sz val="20"/>
      <color theme="9" tint="-0.499984740745262"/>
      <name val="Calibri"/>
      <family val="2"/>
      <scheme val="minor"/>
    </font>
    <font>
      <b/>
      <sz val="24"/>
      <color rgb="FF333399"/>
      <name val="Calibri"/>
      <family val="2"/>
    </font>
    <font>
      <b/>
      <sz val="24"/>
      <color rgb="FF000080"/>
      <name val="Calibri"/>
      <family val="2"/>
    </font>
    <font>
      <b/>
      <sz val="12"/>
      <color theme="1"/>
      <name val="Calibri"/>
      <family val="2"/>
    </font>
    <font>
      <b/>
      <sz val="10"/>
      <color theme="1"/>
      <name val="Arial"/>
      <family val="2"/>
    </font>
    <font>
      <sz val="10"/>
      <color theme="1"/>
      <name val="Arial"/>
      <family val="2"/>
    </font>
    <font>
      <b/>
      <sz val="32"/>
      <color rgb="FF274E13"/>
      <name val="Arial"/>
      <family val="2"/>
    </font>
    <font>
      <b/>
      <sz val="11"/>
      <color rgb="FF0C343D"/>
      <name val="Arial"/>
      <family val="2"/>
    </font>
    <font>
      <sz val="8"/>
      <color theme="1"/>
      <name val="Arial"/>
      <family val="2"/>
    </font>
    <font>
      <b/>
      <sz val="13"/>
      <color theme="1"/>
      <name val="Arial"/>
      <family val="2"/>
    </font>
    <font>
      <sz val="11"/>
      <color rgb="FF0070C0"/>
      <name val="Calibri"/>
      <family val="2"/>
      <scheme val="minor"/>
    </font>
  </fonts>
  <fills count="23">
    <fill>
      <patternFill patternType="none"/>
    </fill>
    <fill>
      <patternFill patternType="gray125"/>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C9DAF8"/>
        <bgColor indexed="64"/>
      </patternFill>
    </fill>
    <fill>
      <patternFill patternType="solid">
        <fgColor theme="0"/>
        <bgColor indexed="64"/>
      </patternFill>
    </fill>
    <fill>
      <patternFill patternType="solid">
        <fgColor rgb="FFFFF2CC"/>
        <bgColor indexed="64"/>
      </patternFill>
    </fill>
    <fill>
      <patternFill patternType="solid">
        <fgColor rgb="FFFFFFFF"/>
        <bgColor indexed="64"/>
      </patternFill>
    </fill>
    <fill>
      <patternFill patternType="solid">
        <fgColor theme="7" tint="0.79998168889431442"/>
        <bgColor indexed="64"/>
      </patternFill>
    </fill>
    <fill>
      <patternFill patternType="solid">
        <fgColor theme="8" tint="-0.499984740745262"/>
        <bgColor indexed="64"/>
      </patternFill>
    </fill>
    <fill>
      <patternFill patternType="solid">
        <fgColor theme="1"/>
        <bgColor indexed="64"/>
      </patternFill>
    </fill>
    <fill>
      <patternFill patternType="solid">
        <fgColor rgb="FFF9CB9C"/>
        <bgColor indexed="64"/>
      </patternFill>
    </fill>
    <fill>
      <patternFill patternType="solid">
        <fgColor rgb="FFB6D7A8"/>
        <bgColor indexed="64"/>
      </patternFill>
    </fill>
    <fill>
      <patternFill patternType="solid">
        <fgColor rgb="FFA4C2F4"/>
        <bgColor indexed="64"/>
      </patternFill>
    </fill>
    <fill>
      <patternFill patternType="solid">
        <fgColor rgb="FFE6B8AF"/>
        <bgColor indexed="64"/>
      </patternFill>
    </fill>
    <fill>
      <patternFill patternType="solid">
        <fgColor rgb="FF1C4587"/>
        <bgColor indexed="64"/>
      </patternFill>
    </fill>
    <fill>
      <patternFill patternType="solid">
        <fgColor rgb="FF073763"/>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ck">
        <color rgb="FFFFFFFF"/>
      </left>
      <right/>
      <top style="thick">
        <color rgb="FFFFFFFF"/>
      </top>
      <bottom/>
      <diagonal/>
    </border>
    <border>
      <left/>
      <right/>
      <top/>
      <bottom style="medium">
        <color rgb="FF000000"/>
      </bottom>
      <diagonal/>
    </border>
    <border>
      <left/>
      <right style="medium">
        <color rgb="FF000000"/>
      </right>
      <top/>
      <bottom/>
      <diagonal/>
    </border>
    <border>
      <left/>
      <right style="medium">
        <color rgb="FF000000"/>
      </right>
      <top/>
      <bottom style="medium">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thick">
        <color rgb="FFFFFFFF"/>
      </left>
      <right/>
      <top/>
      <bottom/>
      <diagonal/>
    </border>
    <border>
      <left style="thick">
        <color rgb="FFFFFFFF"/>
      </left>
      <right/>
      <top/>
      <bottom style="thick">
        <color rgb="FFFFFFFF"/>
      </bottom>
      <diagonal/>
    </border>
    <border>
      <left/>
      <right/>
      <top style="thick">
        <color rgb="FFFFFFFF"/>
      </top>
      <bottom/>
      <diagonal/>
    </border>
    <border>
      <left/>
      <right/>
      <top style="thin">
        <color indexed="64"/>
      </top>
      <bottom style="thin">
        <color indexed="64"/>
      </bottom>
      <diagonal/>
    </border>
    <border>
      <left/>
      <right style="medium">
        <color rgb="FFCCCCCC"/>
      </right>
      <top/>
      <bottom/>
      <diagonal/>
    </border>
    <border>
      <left/>
      <right/>
      <top style="medium">
        <color rgb="FF000000"/>
      </top>
      <bottom/>
      <diagonal/>
    </border>
    <border>
      <left/>
      <right style="medium">
        <color indexed="64"/>
      </right>
      <top/>
      <bottom/>
      <diagonal/>
    </border>
    <border>
      <left style="medium">
        <color indexed="64"/>
      </left>
      <right/>
      <top style="medium">
        <color rgb="FF000000"/>
      </top>
      <bottom/>
      <diagonal/>
    </border>
    <border>
      <left style="medium">
        <color indexed="64"/>
      </left>
      <right/>
      <top/>
      <bottom/>
      <diagonal/>
    </border>
    <border>
      <left style="medium">
        <color indexed="64"/>
      </left>
      <right/>
      <top/>
      <bottom style="medium">
        <color rgb="FF000000"/>
      </bottom>
      <diagonal/>
    </border>
  </borders>
  <cellStyleXfs count="1">
    <xf numFmtId="0" fontId="0" fillId="0" borderId="0"/>
  </cellStyleXfs>
  <cellXfs count="183">
    <xf numFmtId="0" fontId="0" fillId="0" borderId="0" xfId="0"/>
    <xf numFmtId="0" fontId="1" fillId="0" borderId="0" xfId="0" applyFont="1"/>
    <xf numFmtId="0" fontId="1" fillId="0" borderId="8" xfId="0" applyFont="1" applyBorder="1" applyAlignment="1">
      <alignment vertical="center"/>
    </xf>
    <xf numFmtId="0" fontId="7" fillId="0" borderId="0" xfId="0" applyFont="1" applyAlignment="1">
      <alignment vertical="center"/>
    </xf>
    <xf numFmtId="0" fontId="15" fillId="0" borderId="0" xfId="0" applyFont="1" applyAlignment="1">
      <alignment vertical="center"/>
    </xf>
    <xf numFmtId="0" fontId="16" fillId="0" borderId="0" xfId="0" applyFont="1" applyAlignment="1">
      <alignment vertical="center"/>
    </xf>
    <xf numFmtId="0" fontId="4" fillId="15" borderId="2" xfId="0" applyFont="1" applyFill="1" applyBorder="1" applyAlignment="1">
      <alignment vertical="center"/>
    </xf>
    <xf numFmtId="0" fontId="4" fillId="15" borderId="3" xfId="0" applyFont="1" applyFill="1" applyBorder="1" applyAlignment="1">
      <alignment vertical="center"/>
    </xf>
    <xf numFmtId="0" fontId="4" fillId="15" borderId="5" xfId="0" applyFont="1" applyFill="1" applyBorder="1" applyAlignment="1">
      <alignment vertical="center"/>
    </xf>
    <xf numFmtId="0" fontId="4" fillId="15" borderId="0" xfId="0" applyFont="1" applyFill="1" applyAlignment="1">
      <alignment vertical="center"/>
    </xf>
    <xf numFmtId="0" fontId="4" fillId="15" borderId="7" xfId="0" applyFont="1" applyFill="1" applyBorder="1" applyAlignment="1">
      <alignment vertical="center"/>
    </xf>
    <xf numFmtId="0" fontId="4" fillId="15" borderId="8" xfId="0" applyFont="1" applyFill="1" applyBorder="1" applyAlignment="1">
      <alignment vertical="center"/>
    </xf>
    <xf numFmtId="0" fontId="7" fillId="16" borderId="0" xfId="0" applyFont="1" applyFill="1" applyAlignment="1">
      <alignment vertical="center"/>
    </xf>
    <xf numFmtId="0" fontId="15" fillId="16" borderId="0" xfId="0" applyFont="1" applyFill="1" applyAlignment="1">
      <alignment vertical="center"/>
    </xf>
    <xf numFmtId="0" fontId="16" fillId="16" borderId="0" xfId="0" applyFont="1" applyFill="1" applyAlignment="1">
      <alignment vertical="center"/>
    </xf>
    <xf numFmtId="0" fontId="8" fillId="16" borderId="10" xfId="0" applyFont="1" applyFill="1" applyBorder="1" applyAlignment="1">
      <alignment vertical="center" wrapText="1"/>
    </xf>
    <xf numFmtId="0" fontId="0" fillId="16" borderId="0" xfId="0" applyFill="1"/>
    <xf numFmtId="0" fontId="8" fillId="16" borderId="0" xfId="0" applyFont="1" applyFill="1" applyAlignment="1">
      <alignment vertical="center" wrapText="1"/>
    </xf>
    <xf numFmtId="0" fontId="8" fillId="16" borderId="0" xfId="0" applyFont="1" applyFill="1" applyAlignment="1">
      <alignment vertical="center"/>
    </xf>
    <xf numFmtId="0" fontId="14" fillId="0" borderId="5" xfId="0" applyFont="1" applyBorder="1" applyAlignment="1">
      <alignment horizontal="left" vertical="top" wrapText="1"/>
    </xf>
    <xf numFmtId="0" fontId="14" fillId="0" borderId="6" xfId="0" applyFont="1" applyBorder="1" applyAlignment="1">
      <alignment horizontal="left" vertical="top" wrapText="1"/>
    </xf>
    <xf numFmtId="0" fontId="8" fillId="0" borderId="5" xfId="0" applyFont="1" applyBorder="1" applyAlignment="1">
      <alignment vertical="center"/>
    </xf>
    <xf numFmtId="0" fontId="8" fillId="0" borderId="6" xfId="0" applyFont="1" applyBorder="1" applyAlignment="1">
      <alignment vertical="center"/>
    </xf>
    <xf numFmtId="0" fontId="8" fillId="0" borderId="7" xfId="0" applyFont="1" applyBorder="1" applyAlignment="1">
      <alignment vertical="center"/>
    </xf>
    <xf numFmtId="0" fontId="8" fillId="0" borderId="9" xfId="0" applyFont="1" applyBorder="1" applyAlignment="1">
      <alignment vertical="center"/>
    </xf>
    <xf numFmtId="0" fontId="1" fillId="9" borderId="0" xfId="0" applyFont="1" applyFill="1" applyAlignment="1">
      <alignment vertical="center"/>
    </xf>
    <xf numFmtId="0" fontId="0" fillId="9" borderId="0" xfId="0" applyFill="1"/>
    <xf numFmtId="0" fontId="0" fillId="9" borderId="4" xfId="0" applyFill="1" applyBorder="1" applyAlignment="1" applyProtection="1">
      <alignment vertical="center"/>
      <protection locked="0"/>
    </xf>
    <xf numFmtId="0" fontId="0" fillId="9" borderId="6" xfId="0" applyFill="1" applyBorder="1" applyAlignment="1" applyProtection="1">
      <alignment vertical="center"/>
      <protection locked="0"/>
    </xf>
    <xf numFmtId="0" fontId="0" fillId="9" borderId="9" xfId="0" applyFill="1" applyBorder="1" applyAlignment="1" applyProtection="1">
      <alignment vertical="center"/>
      <protection locked="0"/>
    </xf>
    <xf numFmtId="0" fontId="0" fillId="0" borderId="0" xfId="0" applyAlignment="1">
      <alignment horizontal="center" vertical="center"/>
    </xf>
    <xf numFmtId="0" fontId="22" fillId="0" borderId="0" xfId="0" applyFont="1" applyAlignment="1">
      <alignment vertical="center" wrapText="1"/>
    </xf>
    <xf numFmtId="0" fontId="22" fillId="21" borderId="0" xfId="0" applyFont="1" applyFill="1" applyAlignment="1">
      <alignment vertical="center" wrapText="1"/>
    </xf>
    <xf numFmtId="0" fontId="22" fillId="22" borderId="0" xfId="0" applyFont="1" applyFill="1" applyAlignment="1">
      <alignment vertical="center" wrapText="1"/>
    </xf>
    <xf numFmtId="0" fontId="22" fillId="0" borderId="11" xfId="0" applyFont="1" applyBorder="1" applyAlignment="1">
      <alignment vertical="center" wrapText="1"/>
    </xf>
    <xf numFmtId="0" fontId="22" fillId="12" borderId="0" xfId="0" applyFont="1" applyFill="1" applyAlignment="1">
      <alignment vertical="center" wrapText="1"/>
    </xf>
    <xf numFmtId="0" fontId="22" fillId="12" borderId="12" xfId="0" applyFont="1" applyFill="1" applyBorder="1" applyAlignment="1">
      <alignment vertical="center" wrapText="1"/>
    </xf>
    <xf numFmtId="0" fontId="21" fillId="12" borderId="0" xfId="0" applyFont="1" applyFill="1" applyAlignment="1">
      <alignment vertical="center" wrapText="1"/>
    </xf>
    <xf numFmtId="0" fontId="22" fillId="12" borderId="0" xfId="0" applyFont="1" applyFill="1" applyAlignment="1">
      <alignment horizontal="left" vertical="center" wrapText="1"/>
    </xf>
    <xf numFmtId="0" fontId="22" fillId="12" borderId="11" xfId="0" applyFont="1" applyFill="1" applyBorder="1" applyAlignment="1">
      <alignment vertical="center" wrapText="1"/>
    </xf>
    <xf numFmtId="0" fontId="22" fillId="12" borderId="13" xfId="0" applyFont="1" applyFill="1" applyBorder="1" applyAlignment="1">
      <alignment vertical="center" wrapText="1"/>
    </xf>
    <xf numFmtId="0" fontId="8" fillId="16" borderId="19" xfId="0" applyFont="1" applyFill="1" applyBorder="1" applyAlignment="1">
      <alignment vertical="center" wrapText="1"/>
    </xf>
    <xf numFmtId="0" fontId="8" fillId="16" borderId="20" xfId="0" applyFont="1" applyFill="1" applyBorder="1" applyAlignment="1">
      <alignment vertical="center" wrapText="1"/>
    </xf>
    <xf numFmtId="0" fontId="8" fillId="16" borderId="21" xfId="0" applyFont="1" applyFill="1" applyBorder="1" applyAlignment="1">
      <alignment vertical="center" wrapText="1"/>
    </xf>
    <xf numFmtId="0" fontId="8" fillId="10" borderId="0" xfId="0" applyFont="1" applyFill="1" applyAlignment="1">
      <alignment vertical="center" wrapText="1"/>
    </xf>
    <xf numFmtId="0" fontId="8" fillId="11" borderId="0" xfId="0" applyFont="1" applyFill="1" applyAlignment="1">
      <alignment vertical="center" wrapText="1"/>
    </xf>
    <xf numFmtId="0" fontId="8" fillId="10" borderId="2" xfId="0" applyFont="1" applyFill="1" applyBorder="1" applyAlignment="1">
      <alignment vertical="center" wrapText="1"/>
    </xf>
    <xf numFmtId="0" fontId="8" fillId="10" borderId="3" xfId="0" applyFont="1" applyFill="1" applyBorder="1" applyAlignment="1">
      <alignment vertical="center" wrapText="1"/>
    </xf>
    <xf numFmtId="0" fontId="8" fillId="10" borderId="4" xfId="0" applyFont="1" applyFill="1" applyBorder="1" applyAlignment="1">
      <alignment vertical="center" wrapText="1"/>
    </xf>
    <xf numFmtId="0" fontId="8" fillId="10" borderId="5" xfId="0" applyFont="1" applyFill="1" applyBorder="1" applyAlignment="1">
      <alignment vertical="center" wrapText="1"/>
    </xf>
    <xf numFmtId="0" fontId="8" fillId="10" borderId="6" xfId="0" applyFont="1" applyFill="1" applyBorder="1" applyAlignment="1">
      <alignment vertical="center" wrapText="1"/>
    </xf>
    <xf numFmtId="0" fontId="8" fillId="10" borderId="7" xfId="0" applyFont="1" applyFill="1" applyBorder="1" applyAlignment="1">
      <alignment vertical="center" wrapText="1"/>
    </xf>
    <xf numFmtId="0" fontId="8" fillId="10" borderId="8" xfId="0" applyFont="1" applyFill="1" applyBorder="1" applyAlignment="1">
      <alignment vertical="center" wrapText="1"/>
    </xf>
    <xf numFmtId="0" fontId="8" fillId="10" borderId="9" xfId="0" applyFont="1" applyFill="1" applyBorder="1" applyAlignment="1">
      <alignment vertical="center" wrapText="1"/>
    </xf>
    <xf numFmtId="0" fontId="8" fillId="0" borderId="0" xfId="0" applyFont="1" applyAlignment="1">
      <alignment vertical="center" wrapText="1"/>
    </xf>
    <xf numFmtId="0" fontId="8" fillId="12" borderId="0" xfId="0" applyFont="1" applyFill="1" applyAlignment="1">
      <alignment vertical="center" wrapText="1"/>
    </xf>
    <xf numFmtId="0" fontId="9" fillId="12" borderId="0" xfId="0" applyFont="1" applyFill="1" applyAlignment="1">
      <alignment vertical="center" wrapText="1"/>
    </xf>
    <xf numFmtId="0" fontId="8" fillId="0" borderId="0" xfId="0" applyFont="1" applyAlignment="1">
      <alignment vertical="center"/>
    </xf>
    <xf numFmtId="0" fontId="1" fillId="0" borderId="0" xfId="0" applyFont="1" applyAlignment="1">
      <alignment horizontal="left" vertical="top" wrapText="1"/>
    </xf>
    <xf numFmtId="0" fontId="1" fillId="0" borderId="0" xfId="0" applyFont="1" applyAlignment="1">
      <alignment vertical="center"/>
    </xf>
    <xf numFmtId="0" fontId="8" fillId="12" borderId="2" xfId="0" applyFont="1" applyFill="1" applyBorder="1" applyAlignment="1">
      <alignment vertical="center" wrapText="1"/>
    </xf>
    <xf numFmtId="0" fontId="8" fillId="12" borderId="3" xfId="0" applyFont="1" applyFill="1" applyBorder="1" applyAlignment="1">
      <alignment vertical="center" wrapText="1"/>
    </xf>
    <xf numFmtId="0" fontId="8" fillId="12" borderId="4" xfId="0" applyFont="1" applyFill="1" applyBorder="1" applyAlignment="1">
      <alignment vertical="center" wrapText="1"/>
    </xf>
    <xf numFmtId="0" fontId="8" fillId="12" borderId="5" xfId="0" applyFont="1" applyFill="1" applyBorder="1" applyAlignment="1">
      <alignment vertical="center" wrapText="1"/>
    </xf>
    <xf numFmtId="0" fontId="8" fillId="12" borderId="6" xfId="0" applyFont="1" applyFill="1" applyBorder="1" applyAlignment="1">
      <alignment vertical="center" wrapText="1"/>
    </xf>
    <xf numFmtId="0" fontId="8" fillId="12" borderId="7" xfId="0" applyFont="1" applyFill="1" applyBorder="1" applyAlignment="1">
      <alignment vertical="center" wrapText="1"/>
    </xf>
    <xf numFmtId="0" fontId="8" fillId="12" borderId="8" xfId="0" applyFont="1" applyFill="1" applyBorder="1" applyAlignment="1">
      <alignment vertical="center" wrapText="1"/>
    </xf>
    <xf numFmtId="0" fontId="8" fillId="12" borderId="9" xfId="0" applyFont="1" applyFill="1" applyBorder="1" applyAlignment="1">
      <alignment vertical="center" wrapText="1"/>
    </xf>
    <xf numFmtId="0" fontId="8" fillId="14" borderId="6" xfId="0" applyFont="1" applyFill="1" applyBorder="1" applyAlignment="1">
      <alignment vertical="center"/>
    </xf>
    <xf numFmtId="0" fontId="0" fillId="0" borderId="1" xfId="0" applyBorder="1" applyProtection="1">
      <protection locked="0"/>
    </xf>
    <xf numFmtId="0" fontId="1" fillId="9" borderId="0" xfId="0" applyFont="1" applyFill="1"/>
    <xf numFmtId="0" fontId="7" fillId="9" borderId="0" xfId="0" applyFont="1" applyFill="1" applyAlignment="1">
      <alignment vertical="center"/>
    </xf>
    <xf numFmtId="0" fontId="22" fillId="12" borderId="0" xfId="0" quotePrefix="1" applyFont="1" applyFill="1" applyAlignment="1">
      <alignment horizontal="left" vertical="center" wrapText="1"/>
    </xf>
    <xf numFmtId="18" fontId="7" fillId="0" borderId="0" xfId="0" applyNumberFormat="1" applyFont="1" applyAlignment="1">
      <alignment vertical="center"/>
    </xf>
    <xf numFmtId="14" fontId="7" fillId="0" borderId="0" xfId="0" applyNumberFormat="1" applyFont="1" applyAlignment="1">
      <alignment vertical="center"/>
    </xf>
    <xf numFmtId="1" fontId="0" fillId="9" borderId="9" xfId="0" quotePrefix="1" applyNumberFormat="1" applyFill="1" applyBorder="1" applyAlignment="1" applyProtection="1">
      <alignment vertical="center"/>
      <protection locked="0"/>
    </xf>
    <xf numFmtId="164" fontId="0" fillId="9" borderId="6" xfId="0" applyNumberFormat="1" applyFill="1" applyBorder="1" applyAlignment="1" applyProtection="1">
      <alignment vertical="center"/>
      <protection locked="0"/>
    </xf>
    <xf numFmtId="14" fontId="0" fillId="0" borderId="0" xfId="0" applyNumberFormat="1"/>
    <xf numFmtId="0" fontId="3" fillId="8" borderId="1" xfId="0" applyFont="1" applyFill="1" applyBorder="1"/>
    <xf numFmtId="0" fontId="3" fillId="8" borderId="1" xfId="0" applyFont="1" applyFill="1" applyBorder="1" applyAlignment="1">
      <alignment vertical="center"/>
    </xf>
    <xf numFmtId="0" fontId="0" fillId="0" borderId="1" xfId="0" applyBorder="1"/>
    <xf numFmtId="0" fontId="0" fillId="0" borderId="1" xfId="0" applyBorder="1" applyAlignment="1">
      <alignment vertical="center"/>
    </xf>
    <xf numFmtId="0" fontId="1" fillId="0" borderId="1" xfId="0" applyFont="1" applyBorder="1"/>
    <xf numFmtId="164" fontId="1" fillId="9" borderId="4" xfId="0" applyNumberFormat="1" applyFont="1" applyFill="1" applyBorder="1" applyAlignment="1">
      <alignment vertical="center"/>
    </xf>
    <xf numFmtId="0" fontId="0" fillId="0" borderId="0" xfId="0" applyProtection="1">
      <protection locked="0"/>
    </xf>
    <xf numFmtId="165" fontId="22" fillId="12" borderId="0" xfId="0" applyNumberFormat="1" applyFont="1" applyFill="1" applyAlignment="1">
      <alignment horizontal="left" vertical="center" wrapText="1"/>
    </xf>
    <xf numFmtId="165" fontId="0" fillId="0" borderId="1" xfId="0" applyNumberFormat="1" applyBorder="1"/>
    <xf numFmtId="166" fontId="0" fillId="0" borderId="1" xfId="0" applyNumberFormat="1" applyBorder="1"/>
    <xf numFmtId="164" fontId="0" fillId="0" borderId="1" xfId="0" applyNumberFormat="1" applyBorder="1" applyAlignment="1">
      <alignment vertical="center"/>
    </xf>
    <xf numFmtId="167" fontId="1" fillId="0" borderId="0" xfId="0" applyNumberFormat="1" applyFont="1"/>
    <xf numFmtId="167" fontId="0" fillId="0" borderId="0" xfId="0" applyNumberFormat="1" applyProtection="1">
      <protection locked="0"/>
    </xf>
    <xf numFmtId="164" fontId="1" fillId="0" borderId="0" xfId="0" applyNumberFormat="1" applyFont="1"/>
    <xf numFmtId="164" fontId="0" fillId="0" borderId="0" xfId="0" applyNumberFormat="1"/>
    <xf numFmtId="165" fontId="1" fillId="0" borderId="0" xfId="0" applyNumberFormat="1" applyFont="1"/>
    <xf numFmtId="165" fontId="0" fillId="0" borderId="0" xfId="0" applyNumberFormat="1"/>
    <xf numFmtId="0" fontId="22" fillId="12" borderId="24" xfId="0" applyFont="1" applyFill="1" applyBorder="1" applyAlignment="1">
      <alignment vertical="center" wrapText="1"/>
    </xf>
    <xf numFmtId="0" fontId="22" fillId="0" borderId="25" xfId="0" applyFont="1" applyBorder="1" applyAlignment="1">
      <alignment vertical="center" wrapText="1"/>
    </xf>
    <xf numFmtId="0" fontId="22" fillId="12" borderId="26" xfId="0" applyFont="1" applyFill="1" applyBorder="1" applyAlignment="1">
      <alignment vertical="center" wrapText="1"/>
    </xf>
    <xf numFmtId="0" fontId="22" fillId="12" borderId="27" xfId="0" applyFont="1" applyFill="1" applyBorder="1" applyAlignment="1">
      <alignment vertical="center" wrapText="1"/>
    </xf>
    <xf numFmtId="0" fontId="22" fillId="12" borderId="28" xfId="0" applyFont="1" applyFill="1" applyBorder="1" applyAlignment="1">
      <alignment vertical="center" wrapText="1"/>
    </xf>
    <xf numFmtId="1" fontId="0" fillId="9" borderId="4" xfId="0" applyNumberFormat="1" applyFill="1" applyBorder="1" applyAlignment="1" applyProtection="1">
      <alignment vertical="center"/>
      <protection locked="0"/>
    </xf>
    <xf numFmtId="1" fontId="0" fillId="9" borderId="6" xfId="0" applyNumberFormat="1" applyFill="1" applyBorder="1" applyAlignment="1" applyProtection="1">
      <alignment vertical="center"/>
      <protection locked="0"/>
    </xf>
    <xf numFmtId="1" fontId="1" fillId="9" borderId="9" xfId="0" applyNumberFormat="1" applyFont="1" applyFill="1" applyBorder="1" applyAlignment="1">
      <alignment vertical="center"/>
    </xf>
    <xf numFmtId="1" fontId="0" fillId="0" borderId="1" xfId="0" applyNumberFormat="1" applyBorder="1"/>
    <xf numFmtId="164" fontId="22" fillId="12" borderId="0" xfId="0" applyNumberFormat="1" applyFont="1" applyFill="1" applyAlignment="1">
      <alignment horizontal="left" vertical="center" wrapText="1"/>
    </xf>
    <xf numFmtId="0" fontId="1" fillId="0" borderId="0" xfId="0" applyFont="1" applyAlignment="1">
      <alignment horizontal="center"/>
    </xf>
    <xf numFmtId="0" fontId="27" fillId="0" borderId="0" xfId="0" applyFont="1" applyAlignment="1">
      <alignment horizontal="center"/>
    </xf>
    <xf numFmtId="0" fontId="0" fillId="0" borderId="0" xfId="0" applyAlignment="1">
      <alignment horizontal="center"/>
    </xf>
    <xf numFmtId="0" fontId="5" fillId="9" borderId="0" xfId="0" applyFont="1" applyFill="1" applyAlignment="1">
      <alignment horizontal="center" vertical="center"/>
    </xf>
    <xf numFmtId="0" fontId="17" fillId="9" borderId="0" xfId="0" applyFont="1" applyFill="1" applyAlignment="1">
      <alignment horizontal="center" vertical="center"/>
    </xf>
    <xf numFmtId="0" fontId="6" fillId="9" borderId="0" xfId="0" applyFont="1" applyFill="1" applyAlignment="1">
      <alignment horizontal="center" vertical="center"/>
    </xf>
    <xf numFmtId="0" fontId="8" fillId="13" borderId="14" xfId="0" applyFont="1" applyFill="1" applyBorder="1" applyAlignment="1">
      <alignment horizontal="left" vertical="center" wrapText="1"/>
    </xf>
    <xf numFmtId="0" fontId="8" fillId="13" borderId="22" xfId="0" applyFont="1" applyFill="1" applyBorder="1" applyAlignment="1">
      <alignment horizontal="left" vertical="center" wrapText="1"/>
    </xf>
    <xf numFmtId="0" fontId="8" fillId="13" borderId="15" xfId="0" applyFont="1" applyFill="1" applyBorder="1" applyAlignment="1">
      <alignment horizontal="left" vertical="center" wrapText="1"/>
    </xf>
    <xf numFmtId="0" fontId="14" fillId="0" borderId="2" xfId="0" applyFont="1" applyBorder="1" applyAlignment="1">
      <alignment horizontal="left" vertical="top" wrapText="1"/>
    </xf>
    <xf numFmtId="0" fontId="14" fillId="0" borderId="3" xfId="0" applyFont="1" applyBorder="1" applyAlignment="1">
      <alignment horizontal="left" vertical="top" wrapText="1"/>
    </xf>
    <xf numFmtId="0" fontId="14" fillId="0" borderId="4" xfId="0" applyFont="1" applyBorder="1" applyAlignment="1">
      <alignment horizontal="left" vertical="top" wrapText="1"/>
    </xf>
    <xf numFmtId="0" fontId="14" fillId="0" borderId="5" xfId="0" applyFont="1" applyBorder="1" applyAlignment="1">
      <alignment horizontal="left" vertical="top" wrapText="1"/>
    </xf>
    <xf numFmtId="0" fontId="14" fillId="0" borderId="0" xfId="0" applyFont="1" applyAlignment="1">
      <alignment horizontal="left" vertical="top" wrapText="1"/>
    </xf>
    <xf numFmtId="0" fontId="14" fillId="0" borderId="6" xfId="0" applyFont="1" applyBorder="1" applyAlignment="1">
      <alignment horizontal="left" vertical="top" wrapText="1"/>
    </xf>
    <xf numFmtId="164" fontId="8" fillId="13" borderId="14" xfId="0" applyNumberFormat="1" applyFont="1" applyFill="1" applyBorder="1" applyAlignment="1">
      <alignment horizontal="left" vertical="center" wrapText="1"/>
    </xf>
    <xf numFmtId="164" fontId="8" fillId="13" borderId="22" xfId="0" applyNumberFormat="1" applyFont="1" applyFill="1" applyBorder="1" applyAlignment="1">
      <alignment horizontal="left" vertical="center" wrapText="1"/>
    </xf>
    <xf numFmtId="164" fontId="8" fillId="13" borderId="15" xfId="0" applyNumberFormat="1" applyFont="1" applyFill="1" applyBorder="1" applyAlignment="1">
      <alignment horizontal="left" vertical="center" wrapText="1"/>
    </xf>
    <xf numFmtId="1" fontId="8" fillId="13" borderId="14" xfId="0" applyNumberFormat="1" applyFont="1" applyFill="1" applyBorder="1" applyAlignment="1">
      <alignment horizontal="left" vertical="center" wrapText="1"/>
    </xf>
    <xf numFmtId="1" fontId="8" fillId="13" borderId="22" xfId="0" applyNumberFormat="1" applyFont="1" applyFill="1" applyBorder="1" applyAlignment="1">
      <alignment horizontal="left" vertical="center" wrapText="1"/>
    </xf>
    <xf numFmtId="1" fontId="8" fillId="13" borderId="15" xfId="0" applyNumberFormat="1" applyFont="1" applyFill="1" applyBorder="1" applyAlignment="1">
      <alignment horizontal="left" vertical="center" wrapText="1"/>
    </xf>
    <xf numFmtId="0" fontId="0" fillId="0" borderId="14"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9" fillId="10" borderId="0" xfId="0" applyFont="1" applyFill="1" applyAlignment="1">
      <alignment vertical="center" wrapText="1"/>
    </xf>
    <xf numFmtId="0" fontId="10" fillId="10" borderId="0" xfId="0" applyFont="1" applyFill="1" applyAlignment="1">
      <alignment horizontal="center" vertical="center" wrapText="1"/>
    </xf>
    <xf numFmtId="0" fontId="8" fillId="0" borderId="2" xfId="0" applyFont="1" applyBorder="1" applyAlignment="1">
      <alignment vertical="center" wrapText="1"/>
    </xf>
    <xf numFmtId="0" fontId="8" fillId="0" borderId="4" xfId="0" applyFont="1" applyBorder="1" applyAlignment="1">
      <alignment vertical="center" wrapText="1"/>
    </xf>
    <xf numFmtId="0" fontId="8" fillId="0" borderId="5" xfId="0" applyFont="1" applyBorder="1" applyAlignment="1">
      <alignment vertical="center" wrapText="1"/>
    </xf>
    <xf numFmtId="0" fontId="8" fillId="0" borderId="6" xfId="0" applyFont="1" applyBorder="1" applyAlignment="1">
      <alignment vertical="center" wrapText="1"/>
    </xf>
    <xf numFmtId="0" fontId="8" fillId="0" borderId="7" xfId="0" applyFont="1" applyBorder="1" applyAlignment="1">
      <alignment vertical="center" wrapText="1"/>
    </xf>
    <xf numFmtId="0" fontId="8" fillId="0" borderId="9" xfId="0" applyFont="1" applyBorder="1" applyAlignment="1">
      <alignment vertical="center" wrapText="1"/>
    </xf>
    <xf numFmtId="0" fontId="11" fillId="10" borderId="0" xfId="0" applyFont="1" applyFill="1" applyAlignment="1">
      <alignment horizontal="center" vertical="center" wrapText="1"/>
    </xf>
    <xf numFmtId="0" fontId="12" fillId="10" borderId="0" xfId="0" applyFont="1" applyFill="1" applyAlignment="1">
      <alignment horizontal="center" vertical="center" wrapText="1"/>
    </xf>
    <xf numFmtId="0" fontId="13" fillId="10" borderId="2" xfId="0" applyFont="1" applyFill="1" applyBorder="1" applyAlignment="1">
      <alignment horizontal="center" vertical="center" wrapText="1"/>
    </xf>
    <xf numFmtId="0" fontId="13" fillId="10" borderId="3" xfId="0" applyFont="1" applyFill="1" applyBorder="1" applyAlignment="1">
      <alignment horizontal="center" vertical="center" wrapText="1"/>
    </xf>
    <xf numFmtId="0" fontId="13" fillId="10" borderId="4" xfId="0" applyFont="1" applyFill="1" applyBorder="1" applyAlignment="1">
      <alignment horizontal="center" vertical="center" wrapText="1"/>
    </xf>
    <xf numFmtId="0" fontId="13" fillId="10" borderId="5"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6" xfId="0" applyFont="1" applyFill="1" applyBorder="1" applyAlignment="1">
      <alignment horizontal="center" vertical="center" wrapText="1"/>
    </xf>
    <xf numFmtId="0" fontId="13" fillId="10" borderId="7" xfId="0" applyFont="1" applyFill="1" applyBorder="1" applyAlignment="1">
      <alignment horizontal="center" vertical="center" wrapText="1"/>
    </xf>
    <xf numFmtId="0" fontId="13" fillId="10" borderId="8" xfId="0" applyFont="1" applyFill="1" applyBorder="1" applyAlignment="1">
      <alignment horizontal="center" vertical="center" wrapText="1"/>
    </xf>
    <xf numFmtId="0" fontId="13" fillId="10" borderId="9" xfId="0" applyFont="1" applyFill="1" applyBorder="1" applyAlignment="1">
      <alignment horizontal="center" vertical="center" wrapText="1"/>
    </xf>
    <xf numFmtId="0" fontId="22" fillId="11" borderId="0" xfId="0" applyFont="1" applyFill="1" applyAlignment="1">
      <alignment vertical="center" wrapText="1"/>
    </xf>
    <xf numFmtId="0" fontId="23" fillId="10" borderId="0" xfId="0" applyFont="1" applyFill="1" applyAlignment="1">
      <alignment horizontal="center" vertical="center" wrapText="1"/>
    </xf>
    <xf numFmtId="0" fontId="24" fillId="10" borderId="0" xfId="0" applyFont="1" applyFill="1" applyAlignment="1">
      <alignment horizontal="center" vertical="center" wrapText="1"/>
    </xf>
    <xf numFmtId="0" fontId="25" fillId="10" borderId="0" xfId="0" applyFont="1" applyFill="1" applyAlignment="1">
      <alignment horizontal="center" vertical="center" wrapText="1"/>
    </xf>
    <xf numFmtId="0" fontId="26" fillId="10" borderId="0" xfId="0" applyFont="1" applyFill="1" applyAlignment="1">
      <alignment horizontal="center" vertical="center" wrapText="1"/>
    </xf>
    <xf numFmtId="0" fontId="3" fillId="4" borderId="0" xfId="0" applyFont="1" applyFill="1" applyAlignment="1">
      <alignment horizontal="center"/>
    </xf>
    <xf numFmtId="0" fontId="3" fillId="2" borderId="0" xfId="0" applyFont="1" applyFill="1" applyAlignment="1">
      <alignment horizontal="center"/>
    </xf>
    <xf numFmtId="0" fontId="3" fillId="3" borderId="0" xfId="0" applyFont="1" applyFill="1" applyAlignment="1">
      <alignment horizontal="center"/>
    </xf>
    <xf numFmtId="0" fontId="3" fillId="5" borderId="0" xfId="0" applyFont="1" applyFill="1" applyAlignment="1">
      <alignment horizontal="center"/>
    </xf>
    <xf numFmtId="0" fontId="3" fillId="6" borderId="0" xfId="0" applyFont="1" applyFill="1" applyAlignment="1">
      <alignment horizontal="center"/>
    </xf>
    <xf numFmtId="0" fontId="3" fillId="7" borderId="0" xfId="0" applyFont="1" applyFill="1" applyAlignment="1">
      <alignment horizontal="center"/>
    </xf>
    <xf numFmtId="0" fontId="20" fillId="18" borderId="16" xfId="0" applyFont="1" applyFill="1" applyBorder="1" applyAlignment="1">
      <alignment horizontal="center" vertical="center" wrapText="1"/>
    </xf>
    <xf numFmtId="0" fontId="20" fillId="18" borderId="17" xfId="0" applyFont="1" applyFill="1" applyBorder="1" applyAlignment="1">
      <alignment horizontal="center" vertical="center" wrapText="1"/>
    </xf>
    <xf numFmtId="0" fontId="20" fillId="17" borderId="0" xfId="0" applyFont="1" applyFill="1" applyAlignment="1">
      <alignment horizontal="center" vertical="center" wrapText="1"/>
    </xf>
    <xf numFmtId="0" fontId="20" fillId="17" borderId="23" xfId="0" applyFont="1" applyFill="1" applyBorder="1" applyAlignment="1">
      <alignment horizontal="center" vertical="center" wrapText="1"/>
    </xf>
    <xf numFmtId="0" fontId="20" fillId="17" borderId="16" xfId="0" applyFont="1" applyFill="1" applyBorder="1" applyAlignment="1">
      <alignment horizontal="center" vertical="center" wrapText="1"/>
    </xf>
    <xf numFmtId="0" fontId="20" fillId="17" borderId="17" xfId="0" applyFont="1" applyFill="1" applyBorder="1" applyAlignment="1">
      <alignment horizontal="center" vertical="center" wrapText="1"/>
    </xf>
    <xf numFmtId="0" fontId="20" fillId="17" borderId="18" xfId="0" applyFont="1" applyFill="1" applyBorder="1" applyAlignment="1">
      <alignment horizontal="center" vertical="center" wrapText="1"/>
    </xf>
    <xf numFmtId="0" fontId="20" fillId="18" borderId="18" xfId="0" applyFont="1" applyFill="1" applyBorder="1" applyAlignment="1">
      <alignment horizontal="center" vertical="center" wrapText="1"/>
    </xf>
    <xf numFmtId="0" fontId="21" fillId="19" borderId="16" xfId="0" applyFont="1" applyFill="1" applyBorder="1" applyAlignment="1">
      <alignment horizontal="center" vertical="center" wrapText="1"/>
    </xf>
    <xf numFmtId="0" fontId="21" fillId="19" borderId="18" xfId="0" applyFont="1" applyFill="1" applyBorder="1" applyAlignment="1">
      <alignment horizontal="center" vertical="center" wrapText="1"/>
    </xf>
    <xf numFmtId="0" fontId="21" fillId="20" borderId="16" xfId="0" applyFont="1" applyFill="1" applyBorder="1" applyAlignment="1">
      <alignment horizontal="center" vertical="center" wrapText="1"/>
    </xf>
    <xf numFmtId="0" fontId="21" fillId="20" borderId="17" xfId="0" applyFont="1" applyFill="1" applyBorder="1" applyAlignment="1">
      <alignment horizontal="center" vertical="center" wrapText="1"/>
    </xf>
    <xf numFmtId="0" fontId="21" fillId="20" borderId="18" xfId="0" applyFont="1" applyFill="1" applyBorder="1" applyAlignment="1">
      <alignment horizontal="center" vertical="center" wrapText="1"/>
    </xf>
    <xf numFmtId="0" fontId="20" fillId="18" borderId="1" xfId="0" applyFont="1" applyFill="1" applyBorder="1" applyAlignment="1">
      <alignment horizontal="center" vertical="center" wrapText="1"/>
    </xf>
    <xf numFmtId="0" fontId="3" fillId="2" borderId="1" xfId="0" applyFont="1" applyFill="1" applyBorder="1" applyAlignment="1">
      <alignment horizontal="center" vertical="center"/>
    </xf>
    <xf numFmtId="0" fontId="3" fillId="4" borderId="1" xfId="0" applyFont="1" applyFill="1" applyBorder="1" applyAlignment="1">
      <alignment horizontal="center" vertical="center"/>
    </xf>
    <xf numFmtId="0" fontId="3" fillId="6" borderId="1" xfId="0" applyFont="1" applyFill="1" applyBorder="1" applyAlignment="1">
      <alignment horizontal="center" vertical="center"/>
    </xf>
    <xf numFmtId="0" fontId="3" fillId="3" borderId="1" xfId="0" applyFont="1" applyFill="1" applyBorder="1" applyAlignment="1">
      <alignment horizontal="center" vertical="center"/>
    </xf>
    <xf numFmtId="0" fontId="3" fillId="5" borderId="1" xfId="0" applyFont="1" applyFill="1" applyBorder="1" applyAlignment="1">
      <alignment horizontal="center" vertical="center"/>
    </xf>
    <xf numFmtId="0" fontId="3" fillId="7" borderId="1" xfId="0" applyFont="1" applyFill="1" applyBorder="1" applyAlignment="1">
      <alignment horizontal="center" vertical="center"/>
    </xf>
    <xf numFmtId="0" fontId="20" fillId="17" borderId="8" xfId="0" applyFont="1" applyFill="1" applyBorder="1" applyAlignment="1">
      <alignment horizontal="center" vertical="center" wrapText="1"/>
    </xf>
    <xf numFmtId="0" fontId="20" fillId="17" borderId="9" xfId="0" applyFont="1" applyFill="1" applyBorder="1" applyAlignment="1">
      <alignment horizontal="center" vertical="center" wrapText="1"/>
    </xf>
    <xf numFmtId="0" fontId="3" fillId="2" borderId="14" xfId="0" applyFont="1" applyFill="1" applyBorder="1" applyAlignment="1">
      <alignment horizontal="center" vertical="center"/>
    </xf>
    <xf numFmtId="0" fontId="3" fillId="2" borderId="22" xfId="0" applyFont="1" applyFill="1" applyBorder="1" applyAlignment="1">
      <alignment horizontal="center" vertical="center"/>
    </xf>
    <xf numFmtId="0" fontId="3" fillId="2" borderId="15" xfId="0" applyFont="1" applyFill="1" applyBorder="1" applyAlignment="1">
      <alignment horizontal="center" vertical="center"/>
    </xf>
  </cellXfs>
  <cellStyles count="1">
    <cellStyle name="Normal" xfId="0" builtinId="0"/>
  </cellStyles>
  <dxfs count="1">
    <dxf>
      <fill>
        <patternFill>
          <bgColor rgb="FFFFC7CE"/>
        </patternFill>
      </fill>
    </dxf>
  </dxfs>
  <tableStyles count="0" defaultTableStyle="TableStyleMedium2" defaultPivotStyle="PivotStyleLight16"/>
  <colors>
    <mruColors>
      <color rgb="FFFF323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228600</xdr:colOff>
          <xdr:row>7</xdr:row>
          <xdr:rowOff>15240</xdr:rowOff>
        </xdr:from>
        <xdr:to>
          <xdr:col>14</xdr:col>
          <xdr:colOff>563880</xdr:colOff>
          <xdr:row>9</xdr:row>
          <xdr:rowOff>160020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IN" sz="2400" b="1" i="0" u="none" strike="noStrike" baseline="0">
                  <a:solidFill>
                    <a:srgbClr val="000080"/>
                  </a:solidFill>
                  <a:latin typeface="Calibri"/>
                  <a:ea typeface="Calibri"/>
                  <a:cs typeface="Calibri"/>
                </a:rPr>
                <a:t>Submit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91017</xdr:colOff>
      <xdr:row>6</xdr:row>
      <xdr:rowOff>132397</xdr:rowOff>
    </xdr:from>
    <xdr:to>
      <xdr:col>4</xdr:col>
      <xdr:colOff>5292</xdr:colOff>
      <xdr:row>10</xdr:row>
      <xdr:rowOff>177803</xdr:rowOff>
    </xdr:to>
    <xdr:pic>
      <xdr:nvPicPr>
        <xdr:cNvPr id="2" name="Picture 1">
          <a:extLst>
            <a:ext uri="{FF2B5EF4-FFF2-40B4-BE49-F238E27FC236}">
              <a16:creationId xmlns:a16="http://schemas.microsoft.com/office/drawing/2014/main" id="{C73F05D2-E684-4D59-B6A9-F9476B470F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7217" y="1336357"/>
          <a:ext cx="1232535" cy="10512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19</xdr:col>
          <xdr:colOff>403860</xdr:colOff>
          <xdr:row>8</xdr:row>
          <xdr:rowOff>106680</xdr:rowOff>
        </xdr:from>
        <xdr:to>
          <xdr:col>22</xdr:col>
          <xdr:colOff>198120</xdr:colOff>
          <xdr:row>10</xdr:row>
          <xdr:rowOff>121920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IN" sz="2400" b="1" i="0" u="none" strike="noStrike" baseline="0">
                  <a:solidFill>
                    <a:srgbClr val="333399"/>
                  </a:solidFill>
                  <a:latin typeface="Calibri"/>
                  <a:ea typeface="Calibri"/>
                  <a:cs typeface="Calibri"/>
                </a:rPr>
                <a:t>Print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31347</xdr:colOff>
      <xdr:row>2</xdr:row>
      <xdr:rowOff>63500</xdr:rowOff>
    </xdr:from>
    <xdr:to>
      <xdr:col>2</xdr:col>
      <xdr:colOff>1063060</xdr:colOff>
      <xdr:row>5</xdr:row>
      <xdr:rowOff>101599</xdr:rowOff>
    </xdr:to>
    <xdr:pic>
      <xdr:nvPicPr>
        <xdr:cNvPr id="2" name="Picture 1">
          <a:extLst>
            <a:ext uri="{FF2B5EF4-FFF2-40B4-BE49-F238E27FC236}">
              <a16:creationId xmlns:a16="http://schemas.microsoft.com/office/drawing/2014/main" id="{E645DD43-DD39-4A73-8F7B-5087B9D910B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147" y="266700"/>
          <a:ext cx="1031713" cy="9143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16</xdr:col>
          <xdr:colOff>129540</xdr:colOff>
          <xdr:row>13</xdr:row>
          <xdr:rowOff>0</xdr:rowOff>
        </xdr:from>
        <xdr:to>
          <xdr:col>19</xdr:col>
          <xdr:colOff>518160</xdr:colOff>
          <xdr:row>16</xdr:row>
          <xdr:rowOff>22860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IN" sz="2400" b="1" i="0" u="none" strike="noStrike" baseline="0">
                  <a:solidFill>
                    <a:srgbClr val="000080"/>
                  </a:solidFill>
                  <a:latin typeface="Calibri"/>
                  <a:ea typeface="Calibri"/>
                  <a:cs typeface="Calibri"/>
                </a:rPr>
                <a:t>Deposit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99060</xdr:colOff>
          <xdr:row>13</xdr:row>
          <xdr:rowOff>22860</xdr:rowOff>
        </xdr:from>
        <xdr:to>
          <xdr:col>15</xdr:col>
          <xdr:colOff>487680</xdr:colOff>
          <xdr:row>16</xdr:row>
          <xdr:rowOff>38100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IN" sz="2400" b="1" i="0" u="none" strike="noStrike" baseline="0">
                  <a:solidFill>
                    <a:srgbClr val="000080"/>
                  </a:solidFill>
                  <a:latin typeface="Calibri"/>
                  <a:ea typeface="Calibri"/>
                  <a:cs typeface="Calibri"/>
                </a:rPr>
                <a:t>Print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4EAA4C-57C5-422A-BEF1-69A96DE2C283}">
  <sheetPr codeName="Sheet1">
    <tabColor theme="9" tint="0.39997558519241921"/>
  </sheetPr>
  <dimension ref="A1:S46"/>
  <sheetViews>
    <sheetView showGridLines="0" showRowColHeaders="0" zoomScaleNormal="100" workbookViewId="0">
      <selection activeCell="D2" sqref="D2"/>
    </sheetView>
  </sheetViews>
  <sheetFormatPr defaultColWidth="2.88671875" defaultRowHeight="14.4" zeroHeight="1" x14ac:dyDescent="0.3"/>
  <cols>
    <col min="1" max="1" width="1.5546875" style="3" customWidth="1"/>
    <col min="2" max="2" width="22.77734375" style="3" customWidth="1"/>
    <col min="3" max="3" width="1.5546875" style="3" bestFit="1" customWidth="1"/>
    <col min="4" max="4" width="40.77734375" style="3" customWidth="1"/>
    <col min="5" max="5" width="1.5546875" style="3" customWidth="1"/>
    <col min="6" max="6" width="22.77734375" style="3" customWidth="1"/>
    <col min="7" max="7" width="1.5546875" style="3" customWidth="1"/>
    <col min="8" max="8" width="40.77734375" style="3" customWidth="1"/>
    <col min="9" max="9" width="1.5546875" style="3" customWidth="1"/>
    <col min="10" max="17" width="8.88671875" style="3" customWidth="1"/>
    <col min="18" max="18" width="1.5546875" style="3" customWidth="1"/>
    <col min="19" max="19" width="1.5546875" style="3" hidden="1" customWidth="1"/>
    <col min="20" max="16383" width="0" style="3" hidden="1" customWidth="1"/>
    <col min="16384" max="16384" width="1.5546875" style="3" customWidth="1"/>
  </cols>
  <sheetData>
    <row r="1" spans="1:19" ht="10.050000000000001" customHeight="1" x14ac:dyDescent="0.3">
      <c r="A1" s="12"/>
      <c r="B1" s="12"/>
      <c r="C1" s="12"/>
      <c r="D1" s="12"/>
      <c r="E1" s="12"/>
      <c r="F1" s="12"/>
      <c r="G1" s="12"/>
      <c r="H1" s="12"/>
      <c r="I1" s="12"/>
      <c r="J1" s="12"/>
      <c r="K1" s="12"/>
      <c r="L1" s="12"/>
      <c r="M1" s="12"/>
      <c r="N1" s="12"/>
      <c r="O1" s="12"/>
      <c r="P1" s="12"/>
      <c r="Q1" s="12"/>
      <c r="R1" s="12"/>
    </row>
    <row r="2" spans="1:19" ht="18" customHeight="1" x14ac:dyDescent="0.3">
      <c r="A2" s="12"/>
      <c r="B2" s="6" t="s">
        <v>43</v>
      </c>
      <c r="C2" s="7" t="s">
        <v>78</v>
      </c>
      <c r="D2" s="27"/>
      <c r="F2" s="6" t="s">
        <v>63</v>
      </c>
      <c r="G2" s="7" t="s">
        <v>78</v>
      </c>
      <c r="H2" s="83">
        <f ca="1">TODAY()</f>
        <v>45988</v>
      </c>
      <c r="J2" s="108" t="s">
        <v>98</v>
      </c>
      <c r="K2" s="108"/>
      <c r="L2" s="108"/>
      <c r="M2" s="108"/>
      <c r="N2" s="108"/>
      <c r="O2" s="108"/>
      <c r="P2" s="108"/>
      <c r="Q2" s="108"/>
      <c r="R2" s="13"/>
      <c r="S2" s="4"/>
    </row>
    <row r="3" spans="1:19" ht="18" customHeight="1" x14ac:dyDescent="0.3">
      <c r="A3" s="12"/>
      <c r="B3" s="8" t="s">
        <v>44</v>
      </c>
      <c r="C3" s="9" t="s">
        <v>78</v>
      </c>
      <c r="D3" s="28"/>
      <c r="F3" s="8" t="s">
        <v>149</v>
      </c>
      <c r="G3" s="9" t="s">
        <v>78</v>
      </c>
      <c r="H3" s="28"/>
      <c r="J3" s="108"/>
      <c r="K3" s="108"/>
      <c r="L3" s="108"/>
      <c r="M3" s="108"/>
      <c r="N3" s="108"/>
      <c r="O3" s="108"/>
      <c r="P3" s="108"/>
      <c r="Q3" s="108"/>
      <c r="R3" s="13"/>
      <c r="S3" s="4"/>
    </row>
    <row r="4" spans="1:19" ht="18" customHeight="1" x14ac:dyDescent="0.3">
      <c r="A4" s="12"/>
      <c r="B4" s="8" t="s">
        <v>45</v>
      </c>
      <c r="C4" s="9" t="s">
        <v>78</v>
      </c>
      <c r="D4" s="76"/>
      <c r="F4" s="8" t="s">
        <v>64</v>
      </c>
      <c r="G4" s="9" t="s">
        <v>78</v>
      </c>
      <c r="H4" s="28"/>
      <c r="J4" s="108"/>
      <c r="K4" s="108"/>
      <c r="L4" s="108"/>
      <c r="M4" s="108"/>
      <c r="N4" s="108"/>
      <c r="O4" s="108"/>
      <c r="P4" s="108"/>
      <c r="Q4" s="108"/>
      <c r="R4" s="13"/>
      <c r="S4" s="4"/>
    </row>
    <row r="5" spans="1:19" ht="18" customHeight="1" x14ac:dyDescent="0.3">
      <c r="A5" s="12"/>
      <c r="B5" s="8" t="s">
        <v>36</v>
      </c>
      <c r="C5" s="9" t="s">
        <v>78</v>
      </c>
      <c r="D5" s="28"/>
      <c r="F5" s="8" t="s">
        <v>65</v>
      </c>
      <c r="G5" s="9" t="s">
        <v>78</v>
      </c>
      <c r="H5" s="28"/>
      <c r="J5" s="109" t="s">
        <v>99</v>
      </c>
      <c r="K5" s="109"/>
      <c r="L5" s="109"/>
      <c r="M5" s="109"/>
      <c r="N5" s="109"/>
      <c r="O5" s="109"/>
      <c r="P5" s="109"/>
      <c r="Q5" s="109"/>
      <c r="R5" s="14"/>
      <c r="S5" s="5"/>
    </row>
    <row r="6" spans="1:19" ht="18" customHeight="1" x14ac:dyDescent="0.3">
      <c r="A6" s="12"/>
      <c r="B6" s="8" t="s">
        <v>31</v>
      </c>
      <c r="C6" s="9" t="s">
        <v>78</v>
      </c>
      <c r="D6" s="28"/>
      <c r="F6" s="8" t="s">
        <v>66</v>
      </c>
      <c r="G6" s="9" t="s">
        <v>78</v>
      </c>
      <c r="H6" s="28"/>
      <c r="J6" s="109"/>
      <c r="K6" s="109"/>
      <c r="L6" s="109"/>
      <c r="M6" s="109"/>
      <c r="N6" s="109"/>
      <c r="O6" s="109"/>
      <c r="P6" s="109"/>
      <c r="Q6" s="109"/>
      <c r="R6" s="14"/>
      <c r="S6" s="5"/>
    </row>
    <row r="7" spans="1:19" ht="18" customHeight="1" x14ac:dyDescent="0.3">
      <c r="A7" s="12"/>
      <c r="B7" s="8" t="s">
        <v>46</v>
      </c>
      <c r="C7" s="9" t="s">
        <v>78</v>
      </c>
      <c r="D7" s="28"/>
      <c r="F7" s="8" t="s">
        <v>67</v>
      </c>
      <c r="G7" s="9" t="s">
        <v>78</v>
      </c>
      <c r="H7" s="28"/>
      <c r="R7" s="12"/>
    </row>
    <row r="8" spans="1:19" ht="18" customHeight="1" x14ac:dyDescent="0.3">
      <c r="A8" s="12"/>
      <c r="B8" s="8" t="s">
        <v>59</v>
      </c>
      <c r="C8" s="9" t="s">
        <v>78</v>
      </c>
      <c r="D8" s="28"/>
      <c r="F8" s="8" t="s">
        <v>68</v>
      </c>
      <c r="G8" s="9" t="s">
        <v>78</v>
      </c>
      <c r="H8" s="28"/>
      <c r="L8"/>
      <c r="M8"/>
      <c r="N8"/>
      <c r="O8"/>
      <c r="R8" s="12"/>
    </row>
    <row r="9" spans="1:19" ht="18" customHeight="1" x14ac:dyDescent="0.3">
      <c r="A9" s="12"/>
      <c r="B9" s="10" t="s">
        <v>60</v>
      </c>
      <c r="C9" s="11" t="s">
        <v>78</v>
      </c>
      <c r="D9" s="75"/>
      <c r="F9" s="10" t="s">
        <v>69</v>
      </c>
      <c r="G9" s="11" t="s">
        <v>78</v>
      </c>
      <c r="H9" s="29"/>
      <c r="L9"/>
      <c r="M9"/>
      <c r="N9"/>
      <c r="O9"/>
      <c r="R9" s="12"/>
    </row>
    <row r="10" spans="1:19" ht="18" customHeight="1" x14ac:dyDescent="0.3">
      <c r="A10" s="12"/>
      <c r="B10" s="6" t="s">
        <v>47</v>
      </c>
      <c r="C10" s="7" t="s">
        <v>78</v>
      </c>
      <c r="D10" s="27"/>
      <c r="F10" s="6" t="s">
        <v>124</v>
      </c>
      <c r="G10" s="7" t="s">
        <v>78</v>
      </c>
      <c r="H10" s="100"/>
      <c r="L10"/>
      <c r="M10"/>
      <c r="N10"/>
      <c r="O10"/>
      <c r="R10" s="12"/>
    </row>
    <row r="11" spans="1:19" ht="18" customHeight="1" x14ac:dyDescent="0.3">
      <c r="A11" s="12"/>
      <c r="B11" s="8" t="s">
        <v>48</v>
      </c>
      <c r="C11" s="9" t="s">
        <v>78</v>
      </c>
      <c r="D11" s="28"/>
      <c r="F11" s="8" t="s">
        <v>79</v>
      </c>
      <c r="G11" s="9" t="s">
        <v>78</v>
      </c>
      <c r="H11" s="101"/>
      <c r="R11" s="12"/>
    </row>
    <row r="12" spans="1:19" ht="18" customHeight="1" x14ac:dyDescent="0.3">
      <c r="A12" s="12"/>
      <c r="B12" s="8" t="s">
        <v>49</v>
      </c>
      <c r="C12" s="9" t="s">
        <v>78</v>
      </c>
      <c r="D12" s="28"/>
      <c r="F12" s="8" t="s">
        <v>80</v>
      </c>
      <c r="G12" s="9" t="s">
        <v>78</v>
      </c>
      <c r="H12" s="101"/>
      <c r="R12" s="12"/>
    </row>
    <row r="13" spans="1:19" ht="18" customHeight="1" x14ac:dyDescent="0.3">
      <c r="A13" s="12"/>
      <c r="B13" s="8" t="s">
        <v>50</v>
      </c>
      <c r="C13" s="9" t="s">
        <v>78</v>
      </c>
      <c r="D13" s="28"/>
      <c r="F13" s="8" t="s">
        <v>81</v>
      </c>
      <c r="G13" s="9" t="s">
        <v>78</v>
      </c>
      <c r="H13" s="101"/>
      <c r="R13" s="12"/>
    </row>
    <row r="14" spans="1:19" ht="18" customHeight="1" x14ac:dyDescent="0.3">
      <c r="A14" s="12"/>
      <c r="B14" s="10" t="s">
        <v>51</v>
      </c>
      <c r="C14" s="11" t="s">
        <v>78</v>
      </c>
      <c r="D14" s="29"/>
      <c r="F14" s="10" t="s">
        <v>82</v>
      </c>
      <c r="G14" s="11" t="s">
        <v>78</v>
      </c>
      <c r="H14" s="102" t="str">
        <f>IFERROR(IF($H$12="","",$H$10+$H$11+$H$12+$H$13),"--")</f>
        <v/>
      </c>
      <c r="K14" s="73"/>
      <c r="R14" s="12"/>
    </row>
    <row r="15" spans="1:19" ht="18" customHeight="1" x14ac:dyDescent="0.3">
      <c r="A15" s="12"/>
      <c r="B15" s="6" t="s">
        <v>52</v>
      </c>
      <c r="C15" s="7" t="s">
        <v>78</v>
      </c>
      <c r="D15" s="27"/>
      <c r="F15" s="6" t="s">
        <v>70</v>
      </c>
      <c r="G15" s="7" t="s">
        <v>78</v>
      </c>
      <c r="H15" s="27"/>
      <c r="J15" s="74"/>
      <c r="R15" s="12"/>
    </row>
    <row r="16" spans="1:19" ht="18" customHeight="1" x14ac:dyDescent="0.3">
      <c r="A16" s="12"/>
      <c r="B16" s="8" t="s">
        <v>53</v>
      </c>
      <c r="C16" s="9" t="s">
        <v>78</v>
      </c>
      <c r="D16" s="28"/>
      <c r="F16" s="8" t="s">
        <v>72</v>
      </c>
      <c r="G16" s="9" t="s">
        <v>78</v>
      </c>
      <c r="H16" s="28"/>
      <c r="R16" s="12"/>
    </row>
    <row r="17" spans="1:18" ht="18" customHeight="1" x14ac:dyDescent="0.3">
      <c r="A17" s="12"/>
      <c r="B17" s="8" t="s">
        <v>54</v>
      </c>
      <c r="C17" s="9" t="s">
        <v>78</v>
      </c>
      <c r="D17" s="28"/>
      <c r="F17" s="8" t="s">
        <v>71</v>
      </c>
      <c r="G17" s="9" t="s">
        <v>78</v>
      </c>
      <c r="H17" s="28"/>
      <c r="R17" s="12"/>
    </row>
    <row r="18" spans="1:18" ht="18" customHeight="1" x14ac:dyDescent="0.3">
      <c r="A18" s="12"/>
      <c r="B18" s="8" t="s">
        <v>55</v>
      </c>
      <c r="C18" s="9" t="s">
        <v>78</v>
      </c>
      <c r="D18" s="28"/>
      <c r="F18" s="8" t="s">
        <v>73</v>
      </c>
      <c r="G18" s="9" t="s">
        <v>78</v>
      </c>
      <c r="H18" s="28"/>
      <c r="R18" s="12"/>
    </row>
    <row r="19" spans="1:18" ht="18" customHeight="1" x14ac:dyDescent="0.3">
      <c r="A19" s="12"/>
      <c r="B19" s="10" t="s">
        <v>56</v>
      </c>
      <c r="C19" s="11" t="s">
        <v>78</v>
      </c>
      <c r="D19" s="29"/>
      <c r="F19" s="8" t="s">
        <v>74</v>
      </c>
      <c r="G19" s="9" t="s">
        <v>78</v>
      </c>
      <c r="H19" s="28"/>
      <c r="R19" s="12"/>
    </row>
    <row r="20" spans="1:18" ht="18" customHeight="1" x14ac:dyDescent="0.3">
      <c r="A20" s="12"/>
      <c r="B20" s="6" t="s">
        <v>57</v>
      </c>
      <c r="C20" s="7" t="s">
        <v>78</v>
      </c>
      <c r="D20" s="27"/>
      <c r="F20" s="8" t="s">
        <v>75</v>
      </c>
      <c r="G20" s="9" t="s">
        <v>78</v>
      </c>
      <c r="H20" s="28"/>
      <c r="R20" s="12"/>
    </row>
    <row r="21" spans="1:18" ht="18" customHeight="1" x14ac:dyDescent="0.3">
      <c r="A21" s="12"/>
      <c r="B21" s="10" t="s">
        <v>58</v>
      </c>
      <c r="C21" s="11" t="s">
        <v>78</v>
      </c>
      <c r="D21" s="29"/>
      <c r="F21" s="8" t="s">
        <v>76</v>
      </c>
      <c r="G21" s="9" t="s">
        <v>78</v>
      </c>
      <c r="H21" s="28"/>
      <c r="R21" s="12"/>
    </row>
    <row r="22" spans="1:18" ht="18" customHeight="1" x14ac:dyDescent="0.3">
      <c r="A22" s="12"/>
      <c r="B22" s="6" t="s">
        <v>61</v>
      </c>
      <c r="C22" s="7" t="s">
        <v>78</v>
      </c>
      <c r="D22" s="27"/>
      <c r="F22" s="10" t="s">
        <v>77</v>
      </c>
      <c r="G22" s="11" t="s">
        <v>78</v>
      </c>
      <c r="H22" s="29"/>
      <c r="R22" s="12"/>
    </row>
    <row r="23" spans="1:18" ht="18" customHeight="1" x14ac:dyDescent="0.3">
      <c r="A23" s="12"/>
      <c r="B23" s="10" t="s">
        <v>62</v>
      </c>
      <c r="C23" s="11" t="s">
        <v>78</v>
      </c>
      <c r="D23" s="29"/>
      <c r="R23" s="12"/>
    </row>
    <row r="24" spans="1:18" ht="10.050000000000001" customHeight="1" x14ac:dyDescent="0.3">
      <c r="A24" s="12"/>
      <c r="B24" s="12"/>
      <c r="C24" s="12"/>
      <c r="D24" s="12"/>
      <c r="E24" s="12"/>
      <c r="F24" s="12"/>
      <c r="G24" s="12"/>
      <c r="H24" s="12"/>
      <c r="I24" s="12"/>
      <c r="J24" s="12"/>
      <c r="K24" s="12"/>
      <c r="L24" s="12"/>
      <c r="M24" s="12"/>
      <c r="N24" s="12"/>
      <c r="O24" s="12"/>
      <c r="P24" s="12"/>
      <c r="Q24" s="12"/>
      <c r="R24" s="12"/>
    </row>
    <row r="25" spans="1:18" ht="18" hidden="1" customHeight="1" x14ac:dyDescent="0.3"/>
    <row r="26" spans="1:18" ht="18" hidden="1" customHeight="1" x14ac:dyDescent="0.3"/>
    <row r="27" spans="1:18" ht="18" hidden="1" customHeight="1" x14ac:dyDescent="0.3"/>
    <row r="28" spans="1:18" ht="18" hidden="1" customHeight="1" x14ac:dyDescent="0.3"/>
    <row r="29" spans="1:18" ht="18" hidden="1" customHeight="1" x14ac:dyDescent="0.3"/>
    <row r="30" spans="1:18" ht="18" hidden="1" customHeight="1" x14ac:dyDescent="0.3"/>
    <row r="31" spans="1:18" ht="18" hidden="1" customHeight="1" x14ac:dyDescent="0.3"/>
    <row r="32" spans="1:18" ht="18" hidden="1" customHeight="1" x14ac:dyDescent="0.3"/>
    <row r="33" s="3" customFormat="1" ht="18" hidden="1" customHeight="1" x14ac:dyDescent="0.3"/>
    <row r="34" s="3" customFormat="1" ht="18" hidden="1" customHeight="1" x14ac:dyDescent="0.3"/>
    <row r="35" s="3" customFormat="1" ht="18" hidden="1" customHeight="1" x14ac:dyDescent="0.3"/>
    <row r="36" s="3" customFormat="1" ht="18" hidden="1" customHeight="1" x14ac:dyDescent="0.3"/>
    <row r="37" s="3" customFormat="1" ht="18" hidden="1" customHeight="1" x14ac:dyDescent="0.3"/>
    <row r="38" s="3" customFormat="1" ht="18" hidden="1" customHeight="1" x14ac:dyDescent="0.3"/>
    <row r="39" s="3" customFormat="1" ht="18" hidden="1" customHeight="1" x14ac:dyDescent="0.3"/>
    <row r="40" s="3" customFormat="1" ht="18" hidden="1" customHeight="1" x14ac:dyDescent="0.3"/>
    <row r="41" s="3" customFormat="1" hidden="1" x14ac:dyDescent="0.3"/>
    <row r="42" s="3" customFormat="1" hidden="1" x14ac:dyDescent="0.3"/>
    <row r="43" s="3" customFormat="1" hidden="1" x14ac:dyDescent="0.3"/>
    <row r="44" s="3" customFormat="1" hidden="1" x14ac:dyDescent="0.3"/>
    <row r="45" s="3" customFormat="1" hidden="1" x14ac:dyDescent="0.3"/>
    <row r="46" s="3" customFormat="1" hidden="1" x14ac:dyDescent="0.3"/>
  </sheetData>
  <sheetProtection algorithmName="SHA-512" hashValue="8wz2ay8bBBJTiLTJ9x7MTaWDj+iz41yFpINdakGSaVoMYA7f1/XD5Y2ktEFMWt3CXYpkWehaxxplBW1mspr+AA==" saltValue="rWbIUKo/56bT0c87Jbr2ng==" spinCount="100000" sheet="1" selectLockedCells="1"/>
  <mergeCells count="2">
    <mergeCell ref="J2:Q4"/>
    <mergeCell ref="J5:Q6"/>
  </mergeCells>
  <conditionalFormatting sqref="D2:D23 H2:H22">
    <cfRule type="cellIs" dxfId="0" priority="1" operator="equal">
      <formula>""</formula>
    </cfRule>
  </conditionalFormatting>
  <pageMargins left="0.7" right="0.7" top="0.75" bottom="0.75" header="0.3" footer="0.3"/>
  <ignoredErrors>
    <ignoredError sqref="H2"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Submit">
                <anchor moveWithCells="1" sizeWithCells="1">
                  <from>
                    <xdr:col>11</xdr:col>
                    <xdr:colOff>228600</xdr:colOff>
                    <xdr:row>7</xdr:row>
                    <xdr:rowOff>15240</xdr:rowOff>
                  </from>
                  <to>
                    <xdr:col>14</xdr:col>
                    <xdr:colOff>563880</xdr:colOff>
                    <xdr:row>9</xdr:row>
                    <xdr:rowOff>160020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ErrorMessage="1" errorTitle="Gender" xr:uid="{A7E5FA19-559F-4D69-8287-1793E143610B}">
          <x14:formula1>
            <xm:f>Caluclation!$K$2:$K$4</xm:f>
          </x14:formula1>
          <xm:sqref>D3</xm:sqref>
        </x14:dataValidation>
        <x14:dataValidation type="list" allowBlank="1" showErrorMessage="1" errorTitle="Religion" xr:uid="{1074F02E-E5D9-4412-9201-46A7B7C4588E}">
          <x14:formula1>
            <xm:f>Caluclation!$I$2:$I$7</xm:f>
          </x14:formula1>
          <xm:sqref>D5</xm:sqref>
        </x14:dataValidation>
        <x14:dataValidation type="list" allowBlank="1" showErrorMessage="1" errorTitle="Category" xr:uid="{9A6E9C9E-37F5-47FE-8F6E-4540994D7274}">
          <x14:formula1>
            <xm:f>Caluclation!$G$2:$G$5</xm:f>
          </x14:formula1>
          <xm:sqref>D6</xm:sqref>
        </x14:dataValidation>
        <x14:dataValidation type="list" allowBlank="1" showErrorMessage="1" errorTitle="Education" xr:uid="{34D34DE1-4570-4C3B-A335-9006DF429F16}">
          <x14:formula1>
            <xm:f>Caluclation!$C$2:$C$8</xm:f>
          </x14:formula1>
          <xm:sqref>D11 D16</xm:sqref>
        </x14:dataValidation>
        <x14:dataValidation type="list" allowBlank="1" showErrorMessage="1" errorTitle="Occupation" xr:uid="{72C0D8D6-8B37-418F-9BF7-3398DC61F905}">
          <x14:formula1>
            <xm:f>Caluclation!$E$2:$E$11</xm:f>
          </x14:formula1>
          <xm:sqref>D17 D12</xm:sqref>
        </x14:dataValidation>
        <x14:dataValidation type="list" allowBlank="1" showErrorMessage="1" errorTitle="Previous Class" xr:uid="{0C86D590-517C-4B94-8C71-CD6CFD772075}">
          <x14:formula1>
            <xm:f>Caluclation!$A$2:$A$17</xm:f>
          </x14:formula1>
          <xm:sqref>H5</xm:sqref>
        </x14:dataValidation>
        <x14:dataValidation type="list" allowBlank="1" showErrorMessage="1" errorTitle="Admission Class" xr:uid="{8FD033E9-9F08-4BDB-BBE5-9B9B44BEC33A}">
          <x14:formula1>
            <xm:f>Caluclation!$A$2:$A$17</xm:f>
          </x14:formula1>
          <xm:sqref>H3:H4</xm:sqref>
        </x14:dataValidation>
        <x14:dataValidation type="date" allowBlank="1" xr:uid="{804865EA-3F18-4012-8385-D62156332064}">
          <x14:formula1>
            <xm:f>Caluclation!N1</xm:f>
          </x14:formula1>
          <x14:formula2>
            <xm:f>Caluclation!O1</xm:f>
          </x14:formula2>
          <xm:sqref>H10:H11</xm:sqref>
        </x14:dataValidation>
        <x14:dataValidation type="date" allowBlank="1" xr:uid="{5AB60D5D-2707-4FFA-A90C-C222E861A104}">
          <x14:formula1>
            <xm:f>Caluclation!N2</xm:f>
          </x14:formula1>
          <x14:formula2>
            <xm:f>Caluclation!O2</xm:f>
          </x14:formula2>
          <xm:sqref>H2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287E5-3674-4EBB-B295-03B1245CDBE1}">
  <sheetPr codeName="Sheet2">
    <tabColor theme="9" tint="0.39997558519241921"/>
    <pageSetUpPr fitToPage="1"/>
  </sheetPr>
  <dimension ref="A1:X82"/>
  <sheetViews>
    <sheetView showGridLines="0" showRowColHeaders="0" zoomScaleNormal="100" workbookViewId="0">
      <selection activeCell="R10" sqref="R10:S10"/>
    </sheetView>
  </sheetViews>
  <sheetFormatPr defaultColWidth="8.88671875" defaultRowHeight="13.95" customHeight="1" zeroHeight="1" x14ac:dyDescent="0.3"/>
  <cols>
    <col min="1" max="2" width="1.21875" customWidth="1"/>
    <col min="3" max="3" width="16.6640625" customWidth="1"/>
    <col min="4" max="4" width="1.21875" customWidth="1"/>
    <col min="5" max="7" width="14.6640625" customWidth="1"/>
    <col min="8" max="8" width="1.21875" customWidth="1"/>
    <col min="9" max="9" width="16.6640625" customWidth="1"/>
    <col min="10" max="10" width="1.21875" customWidth="1"/>
    <col min="11" max="13" width="14.6640625" customWidth="1"/>
    <col min="14" max="15" width="1.21875" customWidth="1"/>
    <col min="24" max="24" width="0.88671875" customWidth="1"/>
    <col min="25" max="16383" width="0" hidden="1" customWidth="1"/>
    <col min="16384" max="16384" width="0.88671875" customWidth="1"/>
  </cols>
  <sheetData>
    <row r="1" spans="1:24" ht="7.95" customHeight="1" thickTop="1" x14ac:dyDescent="0.3">
      <c r="A1" s="15"/>
      <c r="B1" s="43"/>
      <c r="C1" s="43"/>
      <c r="D1" s="43"/>
      <c r="E1" s="43"/>
      <c r="F1" s="43"/>
      <c r="G1" s="43"/>
      <c r="H1" s="43"/>
      <c r="I1" s="43"/>
      <c r="J1" s="43"/>
      <c r="K1" s="43"/>
      <c r="L1" s="43"/>
      <c r="M1" s="43"/>
      <c r="N1" s="43"/>
      <c r="O1" s="16"/>
      <c r="P1" s="16"/>
      <c r="Q1" s="16"/>
      <c r="R1" s="16"/>
      <c r="S1" s="16"/>
      <c r="T1" s="16"/>
      <c r="U1" s="16"/>
      <c r="V1" s="16"/>
      <c r="W1" s="16"/>
      <c r="X1" s="16"/>
    </row>
    <row r="2" spans="1:24" ht="7.95" customHeight="1" x14ac:dyDescent="0.3">
      <c r="A2" s="41"/>
      <c r="B2" s="46"/>
      <c r="C2" s="47"/>
      <c r="D2" s="47"/>
      <c r="E2" s="47"/>
      <c r="F2" s="47"/>
      <c r="G2" s="47"/>
      <c r="H2" s="47"/>
      <c r="I2" s="47"/>
      <c r="J2" s="47"/>
      <c r="K2" s="47"/>
      <c r="L2" s="47"/>
      <c r="M2" s="47"/>
      <c r="N2" s="48"/>
      <c r="X2" s="16"/>
    </row>
    <row r="3" spans="1:24" ht="19.95" customHeight="1" x14ac:dyDescent="0.3">
      <c r="A3" s="41"/>
      <c r="B3" s="49"/>
      <c r="C3" s="128" t="s">
        <v>100</v>
      </c>
      <c r="D3" s="128"/>
      <c r="E3" s="129" t="s">
        <v>101</v>
      </c>
      <c r="F3" s="129"/>
      <c r="G3" s="129"/>
      <c r="H3" s="129"/>
      <c r="I3" s="129"/>
      <c r="J3" s="129"/>
      <c r="K3" s="129"/>
      <c r="L3" s="130"/>
      <c r="M3" s="131"/>
      <c r="N3" s="50"/>
      <c r="P3" s="108" t="s">
        <v>98</v>
      </c>
      <c r="Q3" s="108"/>
      <c r="R3" s="108"/>
      <c r="S3" s="108"/>
      <c r="T3" s="108"/>
      <c r="U3" s="108"/>
      <c r="V3" s="108"/>
      <c r="W3" s="108"/>
      <c r="X3" s="16"/>
    </row>
    <row r="4" spans="1:24" ht="19.95" customHeight="1" x14ac:dyDescent="0.3">
      <c r="A4" s="41"/>
      <c r="B4" s="49"/>
      <c r="C4" s="128" t="s">
        <v>102</v>
      </c>
      <c r="D4" s="128"/>
      <c r="E4" s="129"/>
      <c r="F4" s="129"/>
      <c r="G4" s="129"/>
      <c r="H4" s="129"/>
      <c r="I4" s="129"/>
      <c r="J4" s="129"/>
      <c r="K4" s="129"/>
      <c r="L4" s="132"/>
      <c r="M4" s="133"/>
      <c r="N4" s="50"/>
      <c r="P4" s="108"/>
      <c r="Q4" s="108"/>
      <c r="R4" s="108"/>
      <c r="S4" s="108"/>
      <c r="T4" s="108"/>
      <c r="U4" s="108"/>
      <c r="V4" s="108"/>
      <c r="W4" s="108"/>
      <c r="X4" s="16"/>
    </row>
    <row r="5" spans="1:24" ht="19.95" customHeight="1" x14ac:dyDescent="0.3">
      <c r="A5" s="41"/>
      <c r="B5" s="49"/>
      <c r="C5" s="128" t="s">
        <v>103</v>
      </c>
      <c r="D5" s="128"/>
      <c r="E5" s="129"/>
      <c r="F5" s="129"/>
      <c r="G5" s="129"/>
      <c r="H5" s="129"/>
      <c r="I5" s="129"/>
      <c r="J5" s="129"/>
      <c r="K5" s="129"/>
      <c r="L5" s="132"/>
      <c r="M5" s="133"/>
      <c r="N5" s="50"/>
      <c r="P5" s="108"/>
      <c r="Q5" s="108"/>
      <c r="R5" s="108"/>
      <c r="S5" s="108"/>
      <c r="T5" s="108"/>
      <c r="U5" s="108"/>
      <c r="V5" s="108"/>
      <c r="W5" s="108"/>
      <c r="X5" s="16"/>
    </row>
    <row r="6" spans="1:24" ht="19.95" customHeight="1" x14ac:dyDescent="0.3">
      <c r="A6" s="41"/>
      <c r="B6" s="49"/>
      <c r="C6" s="44"/>
      <c r="D6" s="44"/>
      <c r="E6" s="136" t="s">
        <v>104</v>
      </c>
      <c r="F6" s="136"/>
      <c r="G6" s="136"/>
      <c r="H6" s="136"/>
      <c r="I6" s="136"/>
      <c r="J6" s="136"/>
      <c r="K6" s="136"/>
      <c r="L6" s="132"/>
      <c r="M6" s="133"/>
      <c r="N6" s="50"/>
      <c r="P6" s="110" t="s">
        <v>119</v>
      </c>
      <c r="Q6" s="110"/>
      <c r="R6" s="110"/>
      <c r="S6" s="110"/>
      <c r="T6" s="110"/>
      <c r="U6" s="110"/>
      <c r="V6" s="110"/>
      <c r="W6" s="110"/>
      <c r="X6" s="16"/>
    </row>
    <row r="7" spans="1:24" ht="19.95" customHeight="1" x14ac:dyDescent="0.3">
      <c r="A7" s="41"/>
      <c r="B7" s="49"/>
      <c r="C7" s="45"/>
      <c r="D7" s="45"/>
      <c r="E7" s="137" t="s">
        <v>105</v>
      </c>
      <c r="F7" s="137"/>
      <c r="G7" s="137"/>
      <c r="H7" s="137"/>
      <c r="I7" s="137"/>
      <c r="J7" s="137"/>
      <c r="K7" s="137"/>
      <c r="L7" s="132"/>
      <c r="M7" s="133"/>
      <c r="N7" s="50"/>
      <c r="P7" s="110"/>
      <c r="Q7" s="110"/>
      <c r="R7" s="110"/>
      <c r="S7" s="110"/>
      <c r="T7" s="110"/>
      <c r="U7" s="110"/>
      <c r="V7" s="110"/>
      <c r="W7" s="110"/>
      <c r="X7" s="16"/>
    </row>
    <row r="8" spans="1:24" ht="19.95" customHeight="1" x14ac:dyDescent="0.3">
      <c r="A8" s="41"/>
      <c r="B8" s="49"/>
      <c r="C8" s="45"/>
      <c r="D8" s="45"/>
      <c r="E8" s="44"/>
      <c r="F8" s="44"/>
      <c r="G8" s="44"/>
      <c r="H8" s="44"/>
      <c r="I8" s="44"/>
      <c r="J8" s="44"/>
      <c r="K8" s="44"/>
      <c r="L8" s="132"/>
      <c r="M8" s="133"/>
      <c r="N8" s="50"/>
      <c r="X8" s="16"/>
    </row>
    <row r="9" spans="1:24" ht="19.95" customHeight="1" x14ac:dyDescent="0.3">
      <c r="A9" s="41"/>
      <c r="B9" s="49"/>
      <c r="C9" s="45"/>
      <c r="D9" s="45"/>
      <c r="E9" s="44"/>
      <c r="F9" s="138" t="s">
        <v>106</v>
      </c>
      <c r="G9" s="139"/>
      <c r="H9" s="139"/>
      <c r="I9" s="139"/>
      <c r="J9" s="140"/>
      <c r="K9" s="44"/>
      <c r="L9" s="132"/>
      <c r="M9" s="133"/>
      <c r="N9" s="50"/>
      <c r="P9" s="26"/>
      <c r="Q9" s="26"/>
      <c r="R9" s="26"/>
      <c r="S9" s="26"/>
      <c r="T9" s="26"/>
      <c r="U9" s="26"/>
      <c r="V9" s="26"/>
      <c r="W9" s="26"/>
      <c r="X9" s="16"/>
    </row>
    <row r="10" spans="1:24" ht="19.95" customHeight="1" x14ac:dyDescent="0.3">
      <c r="A10" s="41"/>
      <c r="B10" s="49"/>
      <c r="C10" s="45"/>
      <c r="D10" s="45"/>
      <c r="E10" s="44"/>
      <c r="F10" s="141"/>
      <c r="G10" s="142"/>
      <c r="H10" s="142"/>
      <c r="I10" s="142"/>
      <c r="J10" s="143"/>
      <c r="K10" s="44"/>
      <c r="L10" s="132"/>
      <c r="M10" s="133"/>
      <c r="N10" s="50"/>
      <c r="P10" s="25" t="s">
        <v>107</v>
      </c>
      <c r="Q10" s="25" t="s">
        <v>78</v>
      </c>
      <c r="R10" s="126"/>
      <c r="S10" s="127"/>
      <c r="T10" s="26"/>
      <c r="U10" s="26"/>
      <c r="V10" s="26"/>
      <c r="W10" s="26"/>
      <c r="X10" s="16"/>
    </row>
    <row r="11" spans="1:24" ht="19.95" customHeight="1" x14ac:dyDescent="0.3">
      <c r="A11" s="41"/>
      <c r="B11" s="49"/>
      <c r="C11" s="45"/>
      <c r="D11" s="45"/>
      <c r="E11" s="44"/>
      <c r="F11" s="144"/>
      <c r="G11" s="145"/>
      <c r="H11" s="145"/>
      <c r="I11" s="145"/>
      <c r="J11" s="146"/>
      <c r="K11" s="44"/>
      <c r="L11" s="134"/>
      <c r="M11" s="135"/>
      <c r="N11" s="50"/>
      <c r="P11" s="26"/>
      <c r="Q11" s="26"/>
      <c r="R11" s="26"/>
      <c r="S11" s="26"/>
      <c r="T11" s="26"/>
      <c r="U11" s="26"/>
      <c r="V11" s="26"/>
      <c r="W11" s="26"/>
      <c r="X11" s="16"/>
    </row>
    <row r="12" spans="1:24" ht="7.95" customHeight="1" thickBot="1" x14ac:dyDescent="0.35">
      <c r="A12" s="42"/>
      <c r="B12" s="51"/>
      <c r="C12" s="52"/>
      <c r="D12" s="52"/>
      <c r="E12" s="52"/>
      <c r="F12" s="52"/>
      <c r="G12" s="52"/>
      <c r="H12" s="52"/>
      <c r="I12" s="52"/>
      <c r="J12" s="52"/>
      <c r="K12" s="52"/>
      <c r="L12" s="52"/>
      <c r="M12" s="52"/>
      <c r="N12" s="53"/>
      <c r="P12" s="26"/>
      <c r="Q12" s="26"/>
      <c r="R12" s="26"/>
      <c r="S12" s="26"/>
      <c r="T12" s="26"/>
      <c r="U12" s="26"/>
      <c r="V12" s="26"/>
      <c r="W12" s="26"/>
      <c r="X12" s="16"/>
    </row>
    <row r="13" spans="1:24" ht="7.95" customHeight="1" thickTop="1" x14ac:dyDescent="0.3">
      <c r="A13" s="17"/>
      <c r="B13" s="54"/>
      <c r="C13" s="54"/>
      <c r="D13" s="54"/>
      <c r="E13" s="54"/>
      <c r="F13" s="54"/>
      <c r="G13" s="54"/>
      <c r="H13" s="54"/>
      <c r="I13" s="54"/>
      <c r="J13" s="54"/>
      <c r="K13" s="54"/>
      <c r="L13" s="54"/>
      <c r="M13" s="54"/>
      <c r="N13" s="54"/>
      <c r="X13" s="16"/>
    </row>
    <row r="14" spans="1:24" ht="7.95" customHeight="1" x14ac:dyDescent="0.3">
      <c r="A14" s="17"/>
      <c r="B14" s="60"/>
      <c r="C14" s="61"/>
      <c r="D14" s="61"/>
      <c r="E14" s="61"/>
      <c r="F14" s="61"/>
      <c r="G14" s="61"/>
      <c r="H14" s="61"/>
      <c r="I14" s="61"/>
      <c r="J14" s="61"/>
      <c r="K14" s="61"/>
      <c r="L14" s="61"/>
      <c r="M14" s="61"/>
      <c r="N14" s="62"/>
      <c r="X14" s="16"/>
    </row>
    <row r="15" spans="1:24" ht="19.95" customHeight="1" x14ac:dyDescent="0.3">
      <c r="A15" s="17"/>
      <c r="B15" s="63"/>
      <c r="C15" s="56" t="s">
        <v>107</v>
      </c>
      <c r="D15" s="56" t="s">
        <v>78</v>
      </c>
      <c r="E15" s="111" t="str">
        <f>IF($R$10="","",$R$10)</f>
        <v/>
      </c>
      <c r="F15" s="112"/>
      <c r="G15" s="113"/>
      <c r="H15" s="55"/>
      <c r="I15" s="55"/>
      <c r="J15" s="55"/>
      <c r="K15" s="55"/>
      <c r="L15" s="55"/>
      <c r="M15" s="55"/>
      <c r="N15" s="64"/>
      <c r="X15" s="16"/>
    </row>
    <row r="16" spans="1:24" ht="7.95" customHeight="1" x14ac:dyDescent="0.3">
      <c r="A16" s="17"/>
      <c r="B16" s="65"/>
      <c r="C16" s="66"/>
      <c r="D16" s="66"/>
      <c r="E16" s="66"/>
      <c r="F16" s="66"/>
      <c r="G16" s="66"/>
      <c r="H16" s="66"/>
      <c r="I16" s="66"/>
      <c r="J16" s="66"/>
      <c r="K16" s="66"/>
      <c r="L16" s="66"/>
      <c r="M16" s="66"/>
      <c r="N16" s="67"/>
      <c r="X16" s="16"/>
    </row>
    <row r="17" spans="1:24" ht="7.95" customHeight="1" x14ac:dyDescent="0.3">
      <c r="A17" s="17"/>
      <c r="B17" s="54"/>
      <c r="C17" s="54"/>
      <c r="D17" s="54"/>
      <c r="E17" s="54"/>
      <c r="F17" s="54"/>
      <c r="G17" s="54"/>
      <c r="H17" s="54"/>
      <c r="I17" s="54"/>
      <c r="J17" s="54"/>
      <c r="K17" s="54"/>
      <c r="L17" s="54"/>
      <c r="M17" s="54"/>
      <c r="N17" s="54"/>
      <c r="X17" s="16"/>
    </row>
    <row r="18" spans="1:24" ht="7.95" customHeight="1" x14ac:dyDescent="0.3">
      <c r="A18" s="17"/>
      <c r="B18" s="60"/>
      <c r="C18" s="61"/>
      <c r="D18" s="61"/>
      <c r="E18" s="61"/>
      <c r="F18" s="61"/>
      <c r="G18" s="61"/>
      <c r="H18" s="61"/>
      <c r="I18" s="61"/>
      <c r="J18" s="61"/>
      <c r="K18" s="61"/>
      <c r="L18" s="61"/>
      <c r="M18" s="61"/>
      <c r="N18" s="62"/>
      <c r="X18" s="16"/>
    </row>
    <row r="19" spans="1:24" ht="19.95" customHeight="1" x14ac:dyDescent="0.3">
      <c r="A19" s="17"/>
      <c r="B19" s="63"/>
      <c r="C19" s="56" t="s">
        <v>43</v>
      </c>
      <c r="D19" s="56" t="s">
        <v>78</v>
      </c>
      <c r="E19" s="111" t="str">
        <f>IF($R$10="","",VLOOKUP($R$10,'Student Data'!$A$2:$AR$1209,2,0))</f>
        <v/>
      </c>
      <c r="F19" s="112"/>
      <c r="G19" s="113"/>
      <c r="H19" s="55"/>
      <c r="I19" s="56" t="s">
        <v>36</v>
      </c>
      <c r="J19" s="56" t="s">
        <v>78</v>
      </c>
      <c r="K19" s="111" t="str">
        <f>IF($R$10="","",VLOOKUP($R$10,'Student Data'!$A$2:$AR$1209,5,0))</f>
        <v/>
      </c>
      <c r="L19" s="112"/>
      <c r="M19" s="113"/>
      <c r="N19" s="64"/>
      <c r="X19" s="16"/>
    </row>
    <row r="20" spans="1:24" ht="7.95" customHeight="1" x14ac:dyDescent="0.3">
      <c r="A20" s="17"/>
      <c r="B20" s="63"/>
      <c r="C20" s="55"/>
      <c r="D20" s="55"/>
      <c r="E20" s="55"/>
      <c r="F20" s="55"/>
      <c r="G20" s="55"/>
      <c r="H20" s="55"/>
      <c r="I20" s="55"/>
      <c r="J20" s="55"/>
      <c r="K20" s="55"/>
      <c r="L20" s="55"/>
      <c r="M20" s="55"/>
      <c r="N20" s="64"/>
      <c r="X20" s="16"/>
    </row>
    <row r="21" spans="1:24" ht="19.95" customHeight="1" x14ac:dyDescent="0.3">
      <c r="A21" s="17"/>
      <c r="B21" s="63"/>
      <c r="C21" s="56" t="s">
        <v>44</v>
      </c>
      <c r="D21" s="56" t="s">
        <v>78</v>
      </c>
      <c r="E21" s="111" t="str">
        <f>IF($R$10="","",VLOOKUP($R$10,'Student Data'!$A$2:$AR$1209,3,0))</f>
        <v/>
      </c>
      <c r="F21" s="112"/>
      <c r="G21" s="113"/>
      <c r="H21" s="55"/>
      <c r="I21" s="56" t="s">
        <v>108</v>
      </c>
      <c r="J21" s="56" t="s">
        <v>78</v>
      </c>
      <c r="K21" s="111" t="str">
        <f>IF($R$10="","",VLOOKUP($R$10,'Student Data'!$A$2:$AR$1209,6,0))</f>
        <v/>
      </c>
      <c r="L21" s="112"/>
      <c r="M21" s="113"/>
      <c r="N21" s="64"/>
      <c r="X21" s="16"/>
    </row>
    <row r="22" spans="1:24" ht="7.95" customHeight="1" x14ac:dyDescent="0.3">
      <c r="A22" s="17"/>
      <c r="B22" s="63"/>
      <c r="C22" s="55"/>
      <c r="D22" s="55"/>
      <c r="E22" s="55"/>
      <c r="F22" s="55"/>
      <c r="G22" s="55"/>
      <c r="H22" s="55"/>
      <c r="I22" s="55"/>
      <c r="J22" s="55"/>
      <c r="K22" s="55"/>
      <c r="L22" s="55"/>
      <c r="M22" s="55"/>
      <c r="N22" s="64"/>
      <c r="X22" s="16"/>
    </row>
    <row r="23" spans="1:24" ht="19.95" customHeight="1" x14ac:dyDescent="0.3">
      <c r="A23" s="17"/>
      <c r="B23" s="63"/>
      <c r="C23" s="56" t="s">
        <v>45</v>
      </c>
      <c r="D23" s="56" t="s">
        <v>78</v>
      </c>
      <c r="E23" s="120" t="str">
        <f>IF($R$10="","",VLOOKUP($R$10,'Student Data'!$A$2:$AR$1209,4,0))</f>
        <v/>
      </c>
      <c r="F23" s="121"/>
      <c r="G23" s="122"/>
      <c r="H23" s="55"/>
      <c r="I23" s="56" t="s">
        <v>46</v>
      </c>
      <c r="J23" s="56" t="s">
        <v>78</v>
      </c>
      <c r="K23" s="111" t="str">
        <f>IF($R$10="","",VLOOKUP($R$10,'Student Data'!$A$2:$AR$1209,7,0))</f>
        <v/>
      </c>
      <c r="L23" s="112"/>
      <c r="M23" s="113"/>
      <c r="N23" s="64"/>
      <c r="X23" s="16"/>
    </row>
    <row r="24" spans="1:24" ht="7.95" customHeight="1" x14ac:dyDescent="0.3">
      <c r="A24" s="17"/>
      <c r="B24" s="63"/>
      <c r="C24" s="55"/>
      <c r="D24" s="55"/>
      <c r="E24" s="55"/>
      <c r="F24" s="55"/>
      <c r="G24" s="55"/>
      <c r="H24" s="55"/>
      <c r="I24" s="55"/>
      <c r="J24" s="55"/>
      <c r="K24" s="55"/>
      <c r="L24" s="55"/>
      <c r="M24" s="55"/>
      <c r="N24" s="64"/>
      <c r="X24" s="16"/>
    </row>
    <row r="25" spans="1:24" ht="19.95" customHeight="1" x14ac:dyDescent="0.3">
      <c r="A25" s="17"/>
      <c r="B25" s="63"/>
      <c r="C25" s="56" t="s">
        <v>59</v>
      </c>
      <c r="D25" s="56" t="s">
        <v>78</v>
      </c>
      <c r="E25" s="111" t="str">
        <f>IF($R$10="","",VLOOKUP($R$10,'Student Data'!$A$2:$AR$1209,8,0))</f>
        <v/>
      </c>
      <c r="F25" s="112"/>
      <c r="G25" s="113"/>
      <c r="H25" s="55"/>
      <c r="I25" s="56" t="s">
        <v>60</v>
      </c>
      <c r="J25" s="56" t="s">
        <v>78</v>
      </c>
      <c r="K25" s="123" t="str">
        <f>IF($R$10="","",VLOOKUP($R$10,'Student Data'!$A$2:$AR$1209,9,0))</f>
        <v/>
      </c>
      <c r="L25" s="124"/>
      <c r="M25" s="125"/>
      <c r="N25" s="64"/>
      <c r="X25" s="16"/>
    </row>
    <row r="26" spans="1:24" ht="7.95" customHeight="1" x14ac:dyDescent="0.3">
      <c r="A26" s="17"/>
      <c r="B26" s="65"/>
      <c r="C26" s="66"/>
      <c r="D26" s="66"/>
      <c r="E26" s="66"/>
      <c r="F26" s="66"/>
      <c r="G26" s="66"/>
      <c r="H26" s="66"/>
      <c r="I26" s="66"/>
      <c r="J26" s="66"/>
      <c r="K26" s="66"/>
      <c r="L26" s="66"/>
      <c r="M26" s="66"/>
      <c r="N26" s="67"/>
      <c r="X26" s="16"/>
    </row>
    <row r="27" spans="1:24" ht="7.95" customHeight="1" x14ac:dyDescent="0.3">
      <c r="A27" s="17"/>
      <c r="B27" s="54"/>
      <c r="C27" s="54"/>
      <c r="D27" s="54"/>
      <c r="E27" s="54"/>
      <c r="F27" s="54"/>
      <c r="G27" s="54"/>
      <c r="H27" s="54"/>
      <c r="I27" s="54"/>
      <c r="J27" s="54"/>
      <c r="K27" s="54"/>
      <c r="L27" s="54"/>
      <c r="M27" s="54"/>
      <c r="N27" s="54"/>
      <c r="X27" s="16"/>
    </row>
    <row r="28" spans="1:24" ht="7.95" customHeight="1" x14ac:dyDescent="0.3">
      <c r="A28" s="17"/>
      <c r="B28" s="60"/>
      <c r="C28" s="61"/>
      <c r="D28" s="61"/>
      <c r="E28" s="61"/>
      <c r="F28" s="61"/>
      <c r="G28" s="61"/>
      <c r="H28" s="61"/>
      <c r="I28" s="61"/>
      <c r="J28" s="61"/>
      <c r="K28" s="61"/>
      <c r="L28" s="61"/>
      <c r="M28" s="61"/>
      <c r="N28" s="62"/>
      <c r="X28" s="16"/>
    </row>
    <row r="29" spans="1:24" ht="19.95" customHeight="1" x14ac:dyDescent="0.3">
      <c r="A29" s="17"/>
      <c r="B29" s="63"/>
      <c r="C29" s="56" t="s">
        <v>47</v>
      </c>
      <c r="D29" s="56" t="s">
        <v>78</v>
      </c>
      <c r="E29" s="111" t="str">
        <f>IF($R$10="","",VLOOKUP($R$10,'Student Data'!$A$2:$AR$1209,10,0))</f>
        <v/>
      </c>
      <c r="F29" s="112"/>
      <c r="G29" s="113"/>
      <c r="H29" s="55"/>
      <c r="I29" s="56" t="s">
        <v>52</v>
      </c>
      <c r="J29" s="56" t="s">
        <v>78</v>
      </c>
      <c r="K29" s="111" t="str">
        <f>IF($R$10="","",VLOOKUP($R$10,'Student Data'!$A$2:$AR$1209,15,0))</f>
        <v/>
      </c>
      <c r="L29" s="112"/>
      <c r="M29" s="113"/>
      <c r="N29" s="64"/>
      <c r="X29" s="16"/>
    </row>
    <row r="30" spans="1:24" ht="7.95" customHeight="1" x14ac:dyDescent="0.3">
      <c r="A30" s="17"/>
      <c r="B30" s="63"/>
      <c r="C30" s="55"/>
      <c r="D30" s="55"/>
      <c r="E30" s="55"/>
      <c r="F30" s="55"/>
      <c r="G30" s="55"/>
      <c r="H30" s="55"/>
      <c r="I30" s="55"/>
      <c r="J30" s="55"/>
      <c r="K30" s="55"/>
      <c r="L30" s="55"/>
      <c r="M30" s="55"/>
      <c r="N30" s="64"/>
      <c r="X30" s="16"/>
    </row>
    <row r="31" spans="1:24" ht="19.95" customHeight="1" x14ac:dyDescent="0.3">
      <c r="A31" s="17"/>
      <c r="B31" s="63"/>
      <c r="C31" s="56" t="s">
        <v>48</v>
      </c>
      <c r="D31" s="56" t="s">
        <v>78</v>
      </c>
      <c r="E31" s="111" t="str">
        <f>IF($R$10="","",VLOOKUP($R$10,'Student Data'!$A$2:$AR$1209,11,0))</f>
        <v/>
      </c>
      <c r="F31" s="112"/>
      <c r="G31" s="113"/>
      <c r="H31" s="55"/>
      <c r="I31" s="56" t="s">
        <v>53</v>
      </c>
      <c r="J31" s="56" t="s">
        <v>78</v>
      </c>
      <c r="K31" s="111" t="str">
        <f>IF($R$10="","",VLOOKUP($R$10,'Student Data'!$A$2:$AR$1209,16,0))</f>
        <v/>
      </c>
      <c r="L31" s="112"/>
      <c r="M31" s="113"/>
      <c r="N31" s="64"/>
      <c r="X31" s="16"/>
    </row>
    <row r="32" spans="1:24" ht="7.95" customHeight="1" x14ac:dyDescent="0.3">
      <c r="A32" s="17"/>
      <c r="B32" s="63"/>
      <c r="C32" s="55"/>
      <c r="D32" s="55"/>
      <c r="E32" s="55"/>
      <c r="F32" s="55"/>
      <c r="G32" s="55"/>
      <c r="H32" s="55"/>
      <c r="I32" s="55"/>
      <c r="J32" s="55"/>
      <c r="K32" s="55"/>
      <c r="L32" s="55"/>
      <c r="M32" s="55"/>
      <c r="N32" s="64"/>
      <c r="X32" s="16"/>
    </row>
    <row r="33" spans="1:24" ht="19.95" customHeight="1" x14ac:dyDescent="0.3">
      <c r="A33" s="17"/>
      <c r="B33" s="63"/>
      <c r="C33" s="56" t="s">
        <v>49</v>
      </c>
      <c r="D33" s="56" t="s">
        <v>78</v>
      </c>
      <c r="E33" s="111" t="str">
        <f>IF($R$10="","",VLOOKUP($R$10,'Student Data'!$A$2:$AR$1209,12,0))</f>
        <v/>
      </c>
      <c r="F33" s="112"/>
      <c r="G33" s="113"/>
      <c r="H33" s="55"/>
      <c r="I33" s="56" t="s">
        <v>54</v>
      </c>
      <c r="J33" s="56" t="s">
        <v>78</v>
      </c>
      <c r="K33" s="111" t="str">
        <f>IF($R$10="","",VLOOKUP($R$10,'Student Data'!$A$2:$AR$1209,17,0))</f>
        <v/>
      </c>
      <c r="L33" s="112"/>
      <c r="M33" s="113"/>
      <c r="N33" s="64"/>
      <c r="X33" s="16"/>
    </row>
    <row r="34" spans="1:24" ht="7.95" customHeight="1" x14ac:dyDescent="0.3">
      <c r="A34" s="17"/>
      <c r="B34" s="63"/>
      <c r="C34" s="55"/>
      <c r="D34" s="55"/>
      <c r="E34" s="55"/>
      <c r="F34" s="55"/>
      <c r="G34" s="55"/>
      <c r="H34" s="55"/>
      <c r="I34" s="55"/>
      <c r="J34" s="55"/>
      <c r="K34" s="55"/>
      <c r="L34" s="55"/>
      <c r="M34" s="55"/>
      <c r="N34" s="64"/>
      <c r="X34" s="16"/>
    </row>
    <row r="35" spans="1:24" ht="19.95" customHeight="1" x14ac:dyDescent="0.3">
      <c r="A35" s="17"/>
      <c r="B35" s="63"/>
      <c r="C35" s="56" t="s">
        <v>50</v>
      </c>
      <c r="D35" s="56" t="s">
        <v>78</v>
      </c>
      <c r="E35" s="111" t="str">
        <f>IF($R$10="","",VLOOKUP($R$10,'Student Data'!$A$2:$AR$1209,13,0))</f>
        <v/>
      </c>
      <c r="F35" s="112"/>
      <c r="G35" s="113"/>
      <c r="H35" s="55"/>
      <c r="I35" s="56" t="s">
        <v>55</v>
      </c>
      <c r="J35" s="56" t="s">
        <v>78</v>
      </c>
      <c r="K35" s="111" t="str">
        <f>IF($R$10="","",VLOOKUP($R$10,'Student Data'!$A$2:$AR$1209,18,0))</f>
        <v/>
      </c>
      <c r="L35" s="112"/>
      <c r="M35" s="113"/>
      <c r="N35" s="64"/>
      <c r="X35" s="16"/>
    </row>
    <row r="36" spans="1:24" ht="7.95" customHeight="1" x14ac:dyDescent="0.3">
      <c r="A36" s="17"/>
      <c r="B36" s="63"/>
      <c r="C36" s="55"/>
      <c r="D36" s="55"/>
      <c r="E36" s="55"/>
      <c r="F36" s="55"/>
      <c r="G36" s="55"/>
      <c r="H36" s="55"/>
      <c r="I36" s="55"/>
      <c r="J36" s="55"/>
      <c r="K36" s="55"/>
      <c r="L36" s="55"/>
      <c r="M36" s="55"/>
      <c r="N36" s="64"/>
      <c r="X36" s="16"/>
    </row>
    <row r="37" spans="1:24" ht="19.95" customHeight="1" x14ac:dyDescent="0.3">
      <c r="A37" s="17"/>
      <c r="B37" s="63"/>
      <c r="C37" s="56" t="s">
        <v>51</v>
      </c>
      <c r="D37" s="56" t="s">
        <v>78</v>
      </c>
      <c r="E37" s="111" t="str">
        <f>IF($R$10="","",VLOOKUP($R$10,'Student Data'!$A$2:$AR$1209,14,0))</f>
        <v/>
      </c>
      <c r="F37" s="112"/>
      <c r="G37" s="113"/>
      <c r="H37" s="55"/>
      <c r="I37" s="56" t="s">
        <v>56</v>
      </c>
      <c r="J37" s="56" t="s">
        <v>78</v>
      </c>
      <c r="K37" s="111" t="str">
        <f>IF($R$10="","",VLOOKUP($R$10,'Student Data'!$A$2:$AR$1209,19,0))</f>
        <v/>
      </c>
      <c r="L37" s="112"/>
      <c r="M37" s="113"/>
      <c r="N37" s="64"/>
      <c r="X37" s="16"/>
    </row>
    <row r="38" spans="1:24" ht="7.95" customHeight="1" x14ac:dyDescent="0.3">
      <c r="A38" s="17"/>
      <c r="B38" s="63"/>
      <c r="C38" s="55"/>
      <c r="D38" s="55"/>
      <c r="E38" s="55"/>
      <c r="F38" s="55"/>
      <c r="G38" s="55"/>
      <c r="H38" s="55"/>
      <c r="I38" s="55"/>
      <c r="J38" s="55"/>
      <c r="K38" s="55"/>
      <c r="L38" s="55"/>
      <c r="M38" s="55"/>
      <c r="N38" s="64"/>
      <c r="X38" s="16"/>
    </row>
    <row r="39" spans="1:24" ht="19.95" customHeight="1" x14ac:dyDescent="0.3">
      <c r="A39" s="17"/>
      <c r="B39" s="63"/>
      <c r="C39" s="56" t="s">
        <v>57</v>
      </c>
      <c r="D39" s="56" t="s">
        <v>78</v>
      </c>
      <c r="E39" s="111" t="str">
        <f>IF($R$10="","",VLOOKUP($R$10,'Student Data'!$A$2:$AR$1209,20,0))</f>
        <v/>
      </c>
      <c r="F39" s="112"/>
      <c r="G39" s="113"/>
      <c r="H39" s="55"/>
      <c r="I39" s="56" t="s">
        <v>58</v>
      </c>
      <c r="J39" s="56" t="s">
        <v>78</v>
      </c>
      <c r="K39" s="111" t="str">
        <f>IF($R$10="","",VLOOKUP($R$10,'Student Data'!$A$2:$AR$1209,21,0))</f>
        <v/>
      </c>
      <c r="L39" s="112"/>
      <c r="M39" s="113"/>
      <c r="N39" s="64"/>
      <c r="X39" s="16"/>
    </row>
    <row r="40" spans="1:24" ht="7.95" customHeight="1" x14ac:dyDescent="0.3">
      <c r="A40" s="17"/>
      <c r="B40" s="65"/>
      <c r="C40" s="66"/>
      <c r="D40" s="66"/>
      <c r="E40" s="66"/>
      <c r="F40" s="66"/>
      <c r="G40" s="66"/>
      <c r="H40" s="66"/>
      <c r="I40" s="66"/>
      <c r="J40" s="66"/>
      <c r="K40" s="66"/>
      <c r="L40" s="66"/>
      <c r="M40" s="66"/>
      <c r="N40" s="67"/>
      <c r="X40" s="16"/>
    </row>
    <row r="41" spans="1:24" ht="7.95" customHeight="1" x14ac:dyDescent="0.3">
      <c r="A41" s="17"/>
      <c r="B41" s="57"/>
      <c r="C41" s="57"/>
      <c r="D41" s="57"/>
      <c r="E41" s="57"/>
      <c r="F41" s="57"/>
      <c r="G41" s="57"/>
      <c r="H41" s="57"/>
      <c r="I41" s="57"/>
      <c r="J41" s="57"/>
      <c r="K41" s="57"/>
      <c r="L41" s="57"/>
      <c r="M41" s="57"/>
      <c r="N41" s="57"/>
      <c r="X41" s="16"/>
    </row>
    <row r="42" spans="1:24" ht="7.95" customHeight="1" x14ac:dyDescent="0.3">
      <c r="A42" s="17"/>
      <c r="B42" s="60"/>
      <c r="C42" s="61"/>
      <c r="D42" s="61"/>
      <c r="E42" s="61"/>
      <c r="F42" s="61"/>
      <c r="G42" s="61"/>
      <c r="H42" s="61"/>
      <c r="I42" s="61"/>
      <c r="J42" s="61"/>
      <c r="K42" s="61"/>
      <c r="L42" s="61"/>
      <c r="M42" s="61"/>
      <c r="N42" s="62"/>
      <c r="X42" s="16"/>
    </row>
    <row r="43" spans="1:24" ht="19.95" customHeight="1" x14ac:dyDescent="0.3">
      <c r="A43" s="17"/>
      <c r="B43" s="63"/>
      <c r="C43" s="56" t="s">
        <v>79</v>
      </c>
      <c r="D43" s="56" t="s">
        <v>78</v>
      </c>
      <c r="E43" s="111" t="str">
        <f>IF($R$10="","",VLOOKUP($R$10,'Student Data'!$A$2:$AR$1209,31,0))</f>
        <v/>
      </c>
      <c r="F43" s="112"/>
      <c r="G43" s="113"/>
      <c r="H43" s="55"/>
      <c r="I43" s="56" t="s">
        <v>81</v>
      </c>
      <c r="J43" s="56" t="s">
        <v>78</v>
      </c>
      <c r="K43" s="111" t="str">
        <f>IF($R$10="","",VLOOKUP($R$10,'Student Data'!$A$2:$AR$1209,33,0))</f>
        <v/>
      </c>
      <c r="L43" s="112"/>
      <c r="M43" s="113"/>
      <c r="N43" s="64"/>
      <c r="X43" s="16"/>
    </row>
    <row r="44" spans="1:24" ht="7.95" customHeight="1" x14ac:dyDescent="0.3">
      <c r="A44" s="17"/>
      <c r="B44" s="63"/>
      <c r="C44" s="55"/>
      <c r="D44" s="55"/>
      <c r="E44" s="55"/>
      <c r="F44" s="55"/>
      <c r="G44" s="55"/>
      <c r="H44" s="55"/>
      <c r="I44" s="55"/>
      <c r="J44" s="55"/>
      <c r="K44" s="55"/>
      <c r="L44" s="55"/>
      <c r="M44" s="55"/>
      <c r="N44" s="64"/>
      <c r="X44" s="16"/>
    </row>
    <row r="45" spans="1:24" ht="19.95" customHeight="1" x14ac:dyDescent="0.3">
      <c r="A45" s="17"/>
      <c r="B45" s="63"/>
      <c r="C45" s="56" t="s">
        <v>109</v>
      </c>
      <c r="D45" s="56" t="s">
        <v>78</v>
      </c>
      <c r="E45" s="111" t="str">
        <f>IF($R$10="","",VLOOKUP($R$10,'Student Data'!$A$2:$AR$1209,32,0))</f>
        <v/>
      </c>
      <c r="F45" s="112"/>
      <c r="G45" s="113"/>
      <c r="H45" s="55"/>
      <c r="I45" s="56" t="s">
        <v>82</v>
      </c>
      <c r="J45" s="56" t="s">
        <v>78</v>
      </c>
      <c r="K45" s="111" t="str">
        <f>IF($R$10="","",VLOOKUP($R$10,'Student Data'!$A$2:$AR$1209,34,0))</f>
        <v/>
      </c>
      <c r="L45" s="112"/>
      <c r="M45" s="113"/>
      <c r="N45" s="64"/>
      <c r="X45" s="16"/>
    </row>
    <row r="46" spans="1:24" ht="7.95" customHeight="1" x14ac:dyDescent="0.3">
      <c r="A46" s="17"/>
      <c r="B46" s="65"/>
      <c r="C46" s="66"/>
      <c r="D46" s="66"/>
      <c r="E46" s="66"/>
      <c r="F46" s="66"/>
      <c r="G46" s="66"/>
      <c r="H46" s="66"/>
      <c r="I46" s="66"/>
      <c r="J46" s="66"/>
      <c r="K46" s="66"/>
      <c r="L46" s="66"/>
      <c r="M46" s="66"/>
      <c r="N46" s="67"/>
      <c r="X46" s="16"/>
    </row>
    <row r="47" spans="1:24" ht="7.95" customHeight="1" x14ac:dyDescent="0.3">
      <c r="A47" s="18"/>
      <c r="B47" s="57"/>
      <c r="C47" s="57"/>
      <c r="D47" s="57"/>
      <c r="E47" s="57"/>
      <c r="F47" s="57"/>
      <c r="G47" s="57"/>
      <c r="H47" s="57"/>
      <c r="I47" s="57"/>
      <c r="J47" s="57"/>
      <c r="K47" s="57"/>
      <c r="L47" s="57"/>
      <c r="M47" s="57"/>
      <c r="N47" s="57"/>
      <c r="X47" s="16"/>
    </row>
    <row r="48" spans="1:24" ht="7.95" customHeight="1" x14ac:dyDescent="0.3">
      <c r="A48" s="18"/>
      <c r="B48" s="60"/>
      <c r="C48" s="61"/>
      <c r="D48" s="61"/>
      <c r="E48" s="61"/>
      <c r="F48" s="61"/>
      <c r="G48" s="61"/>
      <c r="H48" s="61"/>
      <c r="I48" s="61"/>
      <c r="J48" s="61"/>
      <c r="K48" s="61"/>
      <c r="L48" s="61"/>
      <c r="M48" s="61"/>
      <c r="N48" s="62"/>
      <c r="X48" s="16"/>
    </row>
    <row r="49" spans="1:24" ht="19.95" customHeight="1" x14ac:dyDescent="0.3">
      <c r="A49" s="18"/>
      <c r="B49" s="63"/>
      <c r="C49" s="56" t="s">
        <v>63</v>
      </c>
      <c r="D49" s="56" t="s">
        <v>78</v>
      </c>
      <c r="E49" s="120" t="str">
        <f>IF($R$10="","",VLOOKUP($R$10,'Student Data'!$A$2:$AR$1209,24,0))</f>
        <v/>
      </c>
      <c r="F49" s="121"/>
      <c r="G49" s="122"/>
      <c r="H49" s="55"/>
      <c r="I49" s="56" t="s">
        <v>64</v>
      </c>
      <c r="J49" s="56" t="s">
        <v>78</v>
      </c>
      <c r="K49" s="111" t="str">
        <f>IF($R$10="","",VLOOKUP($R$10,'Student Data'!$A$2:$AR$1209,25,0))</f>
        <v/>
      </c>
      <c r="L49" s="112"/>
      <c r="M49" s="113"/>
      <c r="N49" s="64"/>
      <c r="X49" s="16"/>
    </row>
    <row r="50" spans="1:24" ht="7.95" customHeight="1" x14ac:dyDescent="0.3">
      <c r="A50" s="18"/>
      <c r="B50" s="63"/>
      <c r="C50" s="55"/>
      <c r="D50" s="55"/>
      <c r="E50" s="55"/>
      <c r="F50" s="55"/>
      <c r="G50" s="55"/>
      <c r="H50" s="55"/>
      <c r="I50" s="55"/>
      <c r="J50" s="55"/>
      <c r="K50" s="55"/>
      <c r="L50" s="55"/>
      <c r="M50" s="55"/>
      <c r="N50" s="64"/>
      <c r="X50" s="16"/>
    </row>
    <row r="51" spans="1:24" ht="19.95" customHeight="1" x14ac:dyDescent="0.3">
      <c r="A51" s="18"/>
      <c r="B51" s="63"/>
      <c r="C51" s="56" t="s">
        <v>69</v>
      </c>
      <c r="D51" s="56" t="s">
        <v>78</v>
      </c>
      <c r="E51" s="111" t="str">
        <f>IF($R$10="","",VLOOKUP($R$10,'Student Data'!$A$2:$AR$1209,30,0))</f>
        <v/>
      </c>
      <c r="F51" s="112"/>
      <c r="G51" s="113"/>
      <c r="H51" s="55"/>
      <c r="I51" s="56" t="s">
        <v>65</v>
      </c>
      <c r="J51" s="56" t="s">
        <v>78</v>
      </c>
      <c r="K51" s="111" t="str">
        <f>IF($R$10="","",VLOOKUP($R$10,'Student Data'!$A$2:$AR$1209,26,0))</f>
        <v/>
      </c>
      <c r="L51" s="112"/>
      <c r="M51" s="113"/>
      <c r="N51" s="64"/>
      <c r="X51" s="16"/>
    </row>
    <row r="52" spans="1:24" ht="7.95" customHeight="1" x14ac:dyDescent="0.3">
      <c r="A52" s="18"/>
      <c r="B52" s="63"/>
      <c r="C52" s="55"/>
      <c r="D52" s="55"/>
      <c r="E52" s="55"/>
      <c r="F52" s="55"/>
      <c r="G52" s="55"/>
      <c r="H52" s="55"/>
      <c r="I52" s="55"/>
      <c r="J52" s="55"/>
      <c r="K52" s="55"/>
      <c r="L52" s="55"/>
      <c r="M52" s="55"/>
      <c r="N52" s="64"/>
      <c r="X52" s="16"/>
    </row>
    <row r="53" spans="1:24" ht="19.95" customHeight="1" x14ac:dyDescent="0.3">
      <c r="A53" s="18"/>
      <c r="B53" s="63"/>
      <c r="C53" s="56" t="s">
        <v>68</v>
      </c>
      <c r="D53" s="56" t="s">
        <v>78</v>
      </c>
      <c r="E53" s="111" t="str">
        <f>IF($R$10="","",VLOOKUP($R$10,'Student Data'!$A$2:$AR$1209,29,0))</f>
        <v/>
      </c>
      <c r="F53" s="112"/>
      <c r="G53" s="113"/>
      <c r="H53" s="55"/>
      <c r="I53" s="56" t="s">
        <v>111</v>
      </c>
      <c r="J53" s="56" t="s">
        <v>78</v>
      </c>
      <c r="K53" s="111" t="str">
        <f>IF($R$10="","",VLOOKUP($R$10,'Student Data'!$A$2:$AR$1209,28,0))</f>
        <v/>
      </c>
      <c r="L53" s="112"/>
      <c r="M53" s="113"/>
      <c r="N53" s="64"/>
      <c r="X53" s="16"/>
    </row>
    <row r="54" spans="1:24" ht="7.95" customHeight="1" x14ac:dyDescent="0.3">
      <c r="A54" s="18"/>
      <c r="B54" s="63"/>
      <c r="C54" s="55"/>
      <c r="D54" s="55"/>
      <c r="E54" s="55"/>
      <c r="F54" s="55"/>
      <c r="G54" s="55"/>
      <c r="H54" s="55"/>
      <c r="I54" s="55"/>
      <c r="J54" s="55"/>
      <c r="K54" s="55"/>
      <c r="L54" s="55"/>
      <c r="M54" s="55"/>
      <c r="N54" s="64"/>
      <c r="X54" s="16"/>
    </row>
    <row r="55" spans="1:24" ht="19.95" customHeight="1" x14ac:dyDescent="0.3">
      <c r="A55" s="18"/>
      <c r="B55" s="63"/>
      <c r="C55" s="56" t="s">
        <v>112</v>
      </c>
      <c r="D55" s="56" t="s">
        <v>78</v>
      </c>
      <c r="E55" s="111" t="str">
        <f>IF($R$10="","",VLOOKUP($R$10,'Student Data'!$A$2:$AR$1209,27,0))</f>
        <v/>
      </c>
      <c r="F55" s="112"/>
      <c r="G55" s="112"/>
      <c r="H55" s="112"/>
      <c r="I55" s="112"/>
      <c r="J55" s="112"/>
      <c r="K55" s="112"/>
      <c r="L55" s="112"/>
      <c r="M55" s="113"/>
      <c r="N55" s="64"/>
      <c r="X55" s="16"/>
    </row>
    <row r="56" spans="1:24" ht="7.95" customHeight="1" x14ac:dyDescent="0.3">
      <c r="A56" s="18"/>
      <c r="B56" s="65"/>
      <c r="C56" s="66"/>
      <c r="D56" s="66"/>
      <c r="E56" s="66"/>
      <c r="F56" s="66"/>
      <c r="G56" s="66"/>
      <c r="H56" s="66"/>
      <c r="I56" s="66"/>
      <c r="J56" s="66"/>
      <c r="K56" s="66"/>
      <c r="L56" s="66"/>
      <c r="M56" s="66"/>
      <c r="N56" s="67"/>
      <c r="X56" s="16"/>
    </row>
    <row r="57" spans="1:24" ht="7.95" customHeight="1" x14ac:dyDescent="0.3">
      <c r="A57" s="18"/>
      <c r="B57" s="57"/>
      <c r="C57" s="57"/>
      <c r="D57" s="57"/>
      <c r="E57" s="57"/>
      <c r="F57" s="57"/>
      <c r="G57" s="57"/>
      <c r="H57" s="57"/>
      <c r="I57" s="57"/>
      <c r="J57" s="57"/>
      <c r="K57" s="57"/>
      <c r="L57" s="57"/>
      <c r="M57" s="57"/>
      <c r="N57" s="57"/>
      <c r="X57" s="16"/>
    </row>
    <row r="58" spans="1:24" ht="7.95" customHeight="1" x14ac:dyDescent="0.3">
      <c r="A58" s="17"/>
      <c r="B58" s="60"/>
      <c r="C58" s="61"/>
      <c r="D58" s="61"/>
      <c r="E58" s="61"/>
      <c r="F58" s="61"/>
      <c r="G58" s="61"/>
      <c r="H58" s="61"/>
      <c r="I58" s="61"/>
      <c r="J58" s="61"/>
      <c r="K58" s="61"/>
      <c r="L58" s="61"/>
      <c r="M58" s="61"/>
      <c r="N58" s="62"/>
      <c r="X58" s="16"/>
    </row>
    <row r="59" spans="1:24" ht="19.95" customHeight="1" x14ac:dyDescent="0.3">
      <c r="A59" s="17"/>
      <c r="B59" s="63"/>
      <c r="C59" s="56" t="s">
        <v>61</v>
      </c>
      <c r="D59" s="56" t="s">
        <v>78</v>
      </c>
      <c r="E59" s="111" t="str">
        <f>IF($R$10="","",VLOOKUP($R$10,'Student Data'!$A$2:$AR$1209,22,0))</f>
        <v/>
      </c>
      <c r="F59" s="112"/>
      <c r="G59" s="112"/>
      <c r="H59" s="112"/>
      <c r="I59" s="112"/>
      <c r="J59" s="112"/>
      <c r="K59" s="112"/>
      <c r="L59" s="112"/>
      <c r="M59" s="113"/>
      <c r="N59" s="64"/>
      <c r="X59" s="16"/>
    </row>
    <row r="60" spans="1:24" ht="7.95" customHeight="1" x14ac:dyDescent="0.3">
      <c r="A60" s="17"/>
      <c r="B60" s="63"/>
      <c r="C60" s="55"/>
      <c r="D60" s="55"/>
      <c r="E60" s="55"/>
      <c r="F60" s="55"/>
      <c r="G60" s="55"/>
      <c r="H60" s="55"/>
      <c r="I60" s="55"/>
      <c r="J60" s="55"/>
      <c r="K60" s="55"/>
      <c r="L60" s="55"/>
      <c r="M60" s="55"/>
      <c r="N60" s="68"/>
      <c r="X60" s="16"/>
    </row>
    <row r="61" spans="1:24" ht="19.95" customHeight="1" x14ac:dyDescent="0.3">
      <c r="A61" s="17"/>
      <c r="B61" s="63"/>
      <c r="C61" s="56" t="s">
        <v>113</v>
      </c>
      <c r="D61" s="56" t="s">
        <v>78</v>
      </c>
      <c r="E61" s="111" t="str">
        <f>IF($R$10="","",VLOOKUP($R$10,'Student Data'!$A$2:$AR$1209,23,0))</f>
        <v/>
      </c>
      <c r="F61" s="112"/>
      <c r="G61" s="112"/>
      <c r="H61" s="112"/>
      <c r="I61" s="112"/>
      <c r="J61" s="112"/>
      <c r="K61" s="112"/>
      <c r="L61" s="112"/>
      <c r="M61" s="113"/>
      <c r="N61" s="64"/>
      <c r="X61" s="16"/>
    </row>
    <row r="62" spans="1:24" ht="7.95" customHeight="1" x14ac:dyDescent="0.3">
      <c r="A62" s="17"/>
      <c r="B62" s="65"/>
      <c r="C62" s="66"/>
      <c r="D62" s="66"/>
      <c r="E62" s="66"/>
      <c r="F62" s="66"/>
      <c r="G62" s="66"/>
      <c r="H62" s="66"/>
      <c r="I62" s="66"/>
      <c r="J62" s="66"/>
      <c r="K62" s="66"/>
      <c r="L62" s="66"/>
      <c r="M62" s="66"/>
      <c r="N62" s="67"/>
      <c r="X62" s="16"/>
    </row>
    <row r="63" spans="1:24" ht="7.95" customHeight="1" x14ac:dyDescent="0.3">
      <c r="A63" s="17"/>
      <c r="B63" s="54"/>
      <c r="C63" s="54"/>
      <c r="D63" s="54"/>
      <c r="E63" s="54"/>
      <c r="F63" s="54"/>
      <c r="G63" s="54"/>
      <c r="H63" s="54"/>
      <c r="I63" s="54"/>
      <c r="J63" s="54"/>
      <c r="K63" s="54"/>
      <c r="L63" s="54"/>
      <c r="M63" s="54"/>
      <c r="N63" s="54"/>
      <c r="X63" s="16"/>
    </row>
    <row r="64" spans="1:24" ht="14.55" customHeight="1" x14ac:dyDescent="0.3">
      <c r="A64" s="18"/>
      <c r="B64" s="114" t="s">
        <v>114</v>
      </c>
      <c r="C64" s="115"/>
      <c r="D64" s="115"/>
      <c r="E64" s="115"/>
      <c r="F64" s="115"/>
      <c r="G64" s="115"/>
      <c r="H64" s="115"/>
      <c r="I64" s="115"/>
      <c r="J64" s="115"/>
      <c r="K64" s="115"/>
      <c r="L64" s="115"/>
      <c r="M64" s="115"/>
      <c r="N64" s="116"/>
      <c r="X64" s="16"/>
    </row>
    <row r="65" spans="1:24" ht="12" customHeight="1" x14ac:dyDescent="0.3">
      <c r="A65" s="18"/>
      <c r="B65" s="117"/>
      <c r="C65" s="118"/>
      <c r="D65" s="118"/>
      <c r="E65" s="118"/>
      <c r="F65" s="118"/>
      <c r="G65" s="118"/>
      <c r="H65" s="118"/>
      <c r="I65" s="118"/>
      <c r="J65" s="118"/>
      <c r="K65" s="118"/>
      <c r="L65" s="118"/>
      <c r="M65" s="118"/>
      <c r="N65" s="119"/>
      <c r="X65" s="16"/>
    </row>
    <row r="66" spans="1:24" ht="12" customHeight="1" x14ac:dyDescent="0.3">
      <c r="A66" s="18"/>
      <c r="B66" s="117"/>
      <c r="C66" s="118"/>
      <c r="D66" s="118"/>
      <c r="E66" s="118"/>
      <c r="F66" s="118"/>
      <c r="G66" s="118"/>
      <c r="H66" s="118"/>
      <c r="I66" s="118"/>
      <c r="J66" s="118"/>
      <c r="K66" s="118"/>
      <c r="L66" s="118"/>
      <c r="M66" s="118"/>
      <c r="N66" s="119"/>
      <c r="X66" s="16"/>
    </row>
    <row r="67" spans="1:24" ht="12" customHeight="1" x14ac:dyDescent="0.3">
      <c r="A67" s="18"/>
      <c r="B67" s="117"/>
      <c r="C67" s="118"/>
      <c r="D67" s="118"/>
      <c r="E67" s="118"/>
      <c r="F67" s="118"/>
      <c r="G67" s="118"/>
      <c r="H67" s="118"/>
      <c r="I67" s="118"/>
      <c r="J67" s="118"/>
      <c r="K67" s="118"/>
      <c r="L67" s="118"/>
      <c r="M67" s="118"/>
      <c r="N67" s="119"/>
      <c r="X67" s="16"/>
    </row>
    <row r="68" spans="1:24" ht="12" customHeight="1" x14ac:dyDescent="0.3">
      <c r="A68" s="18"/>
      <c r="B68" s="117"/>
      <c r="C68" s="118"/>
      <c r="D68" s="118"/>
      <c r="E68" s="118"/>
      <c r="F68" s="118"/>
      <c r="G68" s="118"/>
      <c r="H68" s="118"/>
      <c r="I68" s="118"/>
      <c r="J68" s="118"/>
      <c r="K68" s="118"/>
      <c r="L68" s="118"/>
      <c r="M68" s="118"/>
      <c r="N68" s="119"/>
      <c r="X68" s="16"/>
    </row>
    <row r="69" spans="1:24" ht="12" customHeight="1" x14ac:dyDescent="0.3">
      <c r="A69" s="18"/>
      <c r="B69" s="117"/>
      <c r="C69" s="118"/>
      <c r="D69" s="118"/>
      <c r="E69" s="118"/>
      <c r="F69" s="118"/>
      <c r="G69" s="118"/>
      <c r="H69" s="118"/>
      <c r="I69" s="118"/>
      <c r="J69" s="118"/>
      <c r="K69" s="118"/>
      <c r="L69" s="118"/>
      <c r="M69" s="118"/>
      <c r="N69" s="119"/>
      <c r="X69" s="16"/>
    </row>
    <row r="70" spans="1:24" ht="12" customHeight="1" x14ac:dyDescent="0.3">
      <c r="A70" s="18"/>
      <c r="B70" s="117"/>
      <c r="C70" s="118"/>
      <c r="D70" s="118"/>
      <c r="E70" s="118"/>
      <c r="F70" s="118"/>
      <c r="G70" s="118"/>
      <c r="H70" s="118"/>
      <c r="I70" s="118"/>
      <c r="J70" s="118"/>
      <c r="K70" s="118"/>
      <c r="L70" s="118"/>
      <c r="M70" s="118"/>
      <c r="N70" s="119"/>
      <c r="X70" s="16"/>
    </row>
    <row r="71" spans="1:24" ht="12" customHeight="1" x14ac:dyDescent="0.3">
      <c r="A71" s="18"/>
      <c r="B71" s="117"/>
      <c r="C71" s="118"/>
      <c r="D71" s="118"/>
      <c r="E71" s="118"/>
      <c r="F71" s="118"/>
      <c r="G71" s="118"/>
      <c r="H71" s="118"/>
      <c r="I71" s="118"/>
      <c r="J71" s="118"/>
      <c r="K71" s="118"/>
      <c r="L71" s="118"/>
      <c r="M71" s="118"/>
      <c r="N71" s="119"/>
      <c r="X71" s="16"/>
    </row>
    <row r="72" spans="1:24" ht="12" customHeight="1" x14ac:dyDescent="0.3">
      <c r="A72" s="18"/>
      <c r="B72" s="19"/>
      <c r="C72" s="58" t="s">
        <v>115</v>
      </c>
      <c r="D72" s="58" t="s">
        <v>78</v>
      </c>
      <c r="E72" s="58"/>
      <c r="F72" s="58"/>
      <c r="G72" s="58"/>
      <c r="H72" s="58"/>
      <c r="I72" s="58"/>
      <c r="J72" s="58"/>
      <c r="K72" s="58"/>
      <c r="L72" s="58"/>
      <c r="M72" s="58"/>
      <c r="N72" s="20"/>
      <c r="X72" s="16"/>
    </row>
    <row r="73" spans="1:24" ht="12" customHeight="1" x14ac:dyDescent="0.3">
      <c r="A73" s="18"/>
      <c r="B73" s="19"/>
      <c r="C73" s="58" t="s">
        <v>116</v>
      </c>
      <c r="D73" s="58" t="s">
        <v>78</v>
      </c>
      <c r="E73" s="58"/>
      <c r="F73" s="58"/>
      <c r="G73" s="58"/>
      <c r="H73" s="58"/>
      <c r="I73" s="57"/>
      <c r="J73" s="57"/>
      <c r="K73" s="58"/>
      <c r="L73" s="58"/>
      <c r="M73" s="58"/>
      <c r="N73" s="20"/>
      <c r="X73" s="16"/>
    </row>
    <row r="74" spans="1:24" ht="14.4" x14ac:dyDescent="0.3">
      <c r="A74" s="18"/>
      <c r="B74" s="21"/>
      <c r="C74" s="59"/>
      <c r="D74" s="59"/>
      <c r="E74" s="59"/>
      <c r="F74" s="59"/>
      <c r="G74" s="59"/>
      <c r="H74" s="59"/>
      <c r="I74" s="59" t="s">
        <v>117</v>
      </c>
      <c r="J74" s="59" t="s">
        <v>78</v>
      </c>
      <c r="K74" s="59"/>
      <c r="L74" s="59"/>
      <c r="M74" s="59"/>
      <c r="N74" s="22"/>
      <c r="X74" s="16"/>
    </row>
    <row r="75" spans="1:24" ht="14.4" x14ac:dyDescent="0.3">
      <c r="A75" s="18"/>
      <c r="B75" s="21"/>
      <c r="C75" s="59" t="s">
        <v>118</v>
      </c>
      <c r="D75" s="59" t="s">
        <v>78</v>
      </c>
      <c r="E75" s="59"/>
      <c r="F75" s="59"/>
      <c r="G75" s="59"/>
      <c r="H75" s="59"/>
      <c r="I75" s="59"/>
      <c r="J75" s="59"/>
      <c r="K75" s="59"/>
      <c r="L75" s="59"/>
      <c r="M75" s="59"/>
      <c r="N75" s="22"/>
      <c r="X75" s="16"/>
    </row>
    <row r="76" spans="1:24" ht="14.4" x14ac:dyDescent="0.3">
      <c r="A76" s="18"/>
      <c r="B76" s="23"/>
      <c r="C76" s="2"/>
      <c r="D76" s="2"/>
      <c r="E76" s="2"/>
      <c r="F76" s="2"/>
      <c r="G76" s="2"/>
      <c r="H76" s="2"/>
      <c r="I76" s="2"/>
      <c r="J76" s="2"/>
      <c r="K76" s="2"/>
      <c r="L76" s="2"/>
      <c r="M76" s="2"/>
      <c r="N76" s="24"/>
      <c r="X76" s="16"/>
    </row>
    <row r="77" spans="1:24" ht="14.4" x14ac:dyDescent="0.3">
      <c r="A77" s="18"/>
      <c r="B77" s="57"/>
      <c r="C77" s="59"/>
      <c r="D77" s="59"/>
      <c r="E77" s="59"/>
      <c r="F77" s="59"/>
      <c r="G77" s="59"/>
      <c r="H77" s="59"/>
      <c r="I77" s="59"/>
      <c r="J77" s="59"/>
      <c r="K77" s="59"/>
      <c r="L77" s="59"/>
      <c r="M77" s="59"/>
      <c r="N77" s="57"/>
      <c r="X77" s="16"/>
    </row>
    <row r="78" spans="1:24" ht="14.4" x14ac:dyDescent="0.3">
      <c r="A78" s="18"/>
      <c r="B78" s="57"/>
      <c r="C78" s="57"/>
      <c r="D78" s="57"/>
      <c r="E78" s="57"/>
      <c r="F78" s="57"/>
      <c r="G78" s="57"/>
      <c r="H78" s="57"/>
      <c r="I78" s="57"/>
      <c r="J78" s="57"/>
      <c r="K78" s="57"/>
      <c r="L78" s="57"/>
      <c r="M78" s="57"/>
      <c r="N78" s="57"/>
      <c r="X78" s="16"/>
    </row>
    <row r="79" spans="1:24" ht="10.050000000000001" customHeight="1" x14ac:dyDescent="0.3">
      <c r="A79" s="18"/>
      <c r="B79" s="18"/>
      <c r="C79" s="18"/>
      <c r="D79" s="18"/>
      <c r="E79" s="18"/>
      <c r="F79" s="18"/>
      <c r="G79" s="18"/>
      <c r="H79" s="18"/>
      <c r="I79" s="18"/>
      <c r="J79" s="18"/>
      <c r="K79" s="18"/>
      <c r="L79" s="18"/>
      <c r="M79" s="18"/>
      <c r="N79" s="18"/>
      <c r="O79" s="16"/>
      <c r="P79" s="16"/>
      <c r="Q79" s="16"/>
      <c r="R79" s="16"/>
      <c r="S79" s="16"/>
      <c r="T79" s="16"/>
      <c r="U79" s="16"/>
      <c r="V79" s="16"/>
      <c r="W79" s="16"/>
      <c r="X79" s="16"/>
    </row>
    <row r="80" spans="1:24" ht="13.95" customHeight="1" x14ac:dyDescent="0.3"/>
    <row r="81" ht="14.4" hidden="1" x14ac:dyDescent="0.3"/>
    <row r="82" ht="13.95" customHeight="1" x14ac:dyDescent="0.3"/>
  </sheetData>
  <sheetProtection algorithmName="SHA-512" hashValue="oQI8e5DJBkRCEVqPYLkTFs530/fHjKVnlI62qG4/gpXHxY23P854FfZErlb8hSRr+SuUR0mZQ/l0WRBl02bg4A==" saltValue="4Q2g67u52wlHK4Z+glvOWQ==" spinCount="100000" sheet="1" selectLockedCells="1"/>
  <mergeCells count="46">
    <mergeCell ref="R10:S10"/>
    <mergeCell ref="E23:G23"/>
    <mergeCell ref="K23:M23"/>
    <mergeCell ref="C3:D3"/>
    <mergeCell ref="E3:K5"/>
    <mergeCell ref="L3:M11"/>
    <mergeCell ref="C4:D4"/>
    <mergeCell ref="C5:D5"/>
    <mergeCell ref="E6:K6"/>
    <mergeCell ref="E7:K7"/>
    <mergeCell ref="F9:J11"/>
    <mergeCell ref="E15:G15"/>
    <mergeCell ref="E19:G19"/>
    <mergeCell ref="K19:M19"/>
    <mergeCell ref="E21:G21"/>
    <mergeCell ref="K21:M21"/>
    <mergeCell ref="E25:G25"/>
    <mergeCell ref="K25:M25"/>
    <mergeCell ref="E29:G29"/>
    <mergeCell ref="K29:M29"/>
    <mergeCell ref="E31:G31"/>
    <mergeCell ref="K31:M31"/>
    <mergeCell ref="E59:M59"/>
    <mergeCell ref="E61:M61"/>
    <mergeCell ref="B64:N71"/>
    <mergeCell ref="K43:M43"/>
    <mergeCell ref="E49:G49"/>
    <mergeCell ref="K49:M49"/>
    <mergeCell ref="E51:G51"/>
    <mergeCell ref="K51:M51"/>
    <mergeCell ref="P3:W5"/>
    <mergeCell ref="P6:W7"/>
    <mergeCell ref="E53:G53"/>
    <mergeCell ref="K53:M53"/>
    <mergeCell ref="E55:M55"/>
    <mergeCell ref="E39:G39"/>
    <mergeCell ref="K39:M39"/>
    <mergeCell ref="E43:G43"/>
    <mergeCell ref="K45:M45"/>
    <mergeCell ref="E45:G45"/>
    <mergeCell ref="E33:G33"/>
    <mergeCell ref="K33:M33"/>
    <mergeCell ref="E35:G35"/>
    <mergeCell ref="K35:M35"/>
    <mergeCell ref="E37:G37"/>
    <mergeCell ref="K37:M37"/>
  </mergeCells>
  <pageMargins left="0.11811023622047245" right="0.11811023622047245" top="0.11811023622047245" bottom="0.11811023622047245" header="0" footer="0"/>
  <pageSetup paperSize="9" scale="79" fitToHeight="0"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Printform">
                <anchor moveWithCells="1" sizeWithCells="1">
                  <from>
                    <xdr:col>19</xdr:col>
                    <xdr:colOff>403860</xdr:colOff>
                    <xdr:row>8</xdr:row>
                    <xdr:rowOff>106680</xdr:rowOff>
                  </from>
                  <to>
                    <xdr:col>22</xdr:col>
                    <xdr:colOff>198120</xdr:colOff>
                    <xdr:row>10</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A6FD2-6374-4667-B07F-BA6F6EAA1B4E}">
  <sheetPr codeName="Sheet5">
    <tabColor theme="9" tint="0.39997558519241921"/>
    <pageSetUpPr fitToPage="1"/>
  </sheetPr>
  <dimension ref="A1:AB26"/>
  <sheetViews>
    <sheetView showGridLines="0" tabSelected="1" zoomScaleNormal="100" workbookViewId="0">
      <selection activeCell="O10" sqref="O10"/>
    </sheetView>
  </sheetViews>
  <sheetFormatPr defaultRowHeight="14.4" x14ac:dyDescent="0.3"/>
  <cols>
    <col min="1" max="2" width="1.21875" customWidth="1"/>
    <col min="3" max="3" width="15.6640625" customWidth="1"/>
    <col min="4" max="4" width="1.21875" customWidth="1"/>
    <col min="5" max="5" width="22.6640625" customWidth="1"/>
    <col min="6" max="6" width="1.21875" customWidth="1"/>
    <col min="7" max="7" width="15.6640625" customWidth="1"/>
    <col min="8" max="8" width="1.21875" customWidth="1"/>
    <col min="9" max="9" width="18.6640625" customWidth="1"/>
    <col min="10" max="11" width="1.21875" customWidth="1"/>
    <col min="22" max="22" width="7.88671875" bestFit="1" customWidth="1"/>
    <col min="23" max="23" width="5.77734375" bestFit="1" customWidth="1"/>
    <col min="24" max="24" width="8.44140625" bestFit="1" customWidth="1"/>
    <col min="25" max="25" width="14.6640625" bestFit="1" customWidth="1"/>
    <col min="26" max="26" width="4.77734375" bestFit="1" customWidth="1"/>
    <col min="27" max="27" width="7.6640625" bestFit="1" customWidth="1"/>
    <col min="28" max="29" width="9.109375" bestFit="1" customWidth="1"/>
  </cols>
  <sheetData>
    <row r="1" spans="1:20" ht="7.95" customHeight="1" x14ac:dyDescent="0.3">
      <c r="A1" s="31"/>
      <c r="B1" s="31"/>
      <c r="C1" s="31"/>
      <c r="D1" s="31"/>
      <c r="E1" s="31"/>
      <c r="F1" s="31"/>
      <c r="G1" s="31"/>
      <c r="H1" s="31"/>
      <c r="I1" s="31"/>
      <c r="J1" s="31"/>
      <c r="K1" s="31"/>
    </row>
    <row r="2" spans="1:20" ht="7.95" customHeight="1" x14ac:dyDescent="0.3">
      <c r="A2" s="31"/>
      <c r="B2" s="32"/>
      <c r="C2" s="32"/>
      <c r="D2" s="32"/>
      <c r="E2" s="32"/>
      <c r="F2" s="32"/>
      <c r="G2" s="32"/>
      <c r="H2" s="32"/>
      <c r="I2" s="32"/>
      <c r="J2" s="32"/>
      <c r="K2" s="31"/>
    </row>
    <row r="3" spans="1:20" ht="40.200000000000003" x14ac:dyDescent="0.3">
      <c r="A3" s="31"/>
      <c r="B3" s="32"/>
      <c r="C3" s="147"/>
      <c r="D3" s="33"/>
      <c r="E3" s="148" t="s">
        <v>101</v>
      </c>
      <c r="F3" s="148"/>
      <c r="G3" s="148"/>
      <c r="H3" s="148"/>
      <c r="I3" s="148"/>
      <c r="J3" s="32"/>
      <c r="K3" s="31"/>
      <c r="M3" s="108" t="s">
        <v>98</v>
      </c>
      <c r="N3" s="108"/>
      <c r="O3" s="108"/>
      <c r="P3" s="108"/>
      <c r="Q3" s="108"/>
      <c r="R3" s="108"/>
      <c r="S3" s="108"/>
      <c r="T3" s="108"/>
    </row>
    <row r="4" spans="1:20" x14ac:dyDescent="0.3">
      <c r="A4" s="31"/>
      <c r="B4" s="32"/>
      <c r="C4" s="147"/>
      <c r="D4" s="33"/>
      <c r="E4" s="149" t="s">
        <v>104</v>
      </c>
      <c r="F4" s="149"/>
      <c r="G4" s="149"/>
      <c r="H4" s="149"/>
      <c r="I4" s="149"/>
      <c r="J4" s="32"/>
      <c r="K4" s="31"/>
      <c r="M4" s="108"/>
      <c r="N4" s="108"/>
      <c r="O4" s="108"/>
      <c r="P4" s="108"/>
      <c r="Q4" s="108"/>
      <c r="R4" s="108"/>
      <c r="S4" s="108"/>
      <c r="T4" s="108"/>
    </row>
    <row r="5" spans="1:20" x14ac:dyDescent="0.3">
      <c r="A5" s="31"/>
      <c r="B5" s="32"/>
      <c r="C5" s="147"/>
      <c r="D5" s="33"/>
      <c r="E5" s="150" t="s">
        <v>105</v>
      </c>
      <c r="F5" s="150"/>
      <c r="G5" s="150"/>
      <c r="H5" s="150"/>
      <c r="I5" s="150"/>
      <c r="J5" s="32"/>
      <c r="K5" s="31"/>
      <c r="M5" s="108"/>
      <c r="N5" s="108"/>
      <c r="O5" s="108"/>
      <c r="P5" s="108"/>
      <c r="Q5" s="108"/>
      <c r="R5" s="108"/>
      <c r="S5" s="108"/>
      <c r="T5" s="108"/>
    </row>
    <row r="6" spans="1:20" ht="16.8" x14ac:dyDescent="0.3">
      <c r="A6" s="31"/>
      <c r="B6" s="32"/>
      <c r="C6" s="147"/>
      <c r="D6" s="33"/>
      <c r="E6" s="151" t="s">
        <v>140</v>
      </c>
      <c r="F6" s="151"/>
      <c r="G6" s="151"/>
      <c r="H6" s="151"/>
      <c r="I6" s="151"/>
      <c r="J6" s="32"/>
      <c r="K6" s="31"/>
      <c r="M6" s="109" t="s">
        <v>147</v>
      </c>
      <c r="N6" s="109"/>
      <c r="O6" s="109"/>
      <c r="P6" s="109"/>
      <c r="Q6" s="109"/>
      <c r="R6" s="109"/>
      <c r="S6" s="109"/>
      <c r="T6" s="109"/>
    </row>
    <row r="7" spans="1:20" ht="7.95" customHeight="1" x14ac:dyDescent="0.3">
      <c r="A7" s="31"/>
      <c r="B7" s="32"/>
      <c r="C7" s="32"/>
      <c r="D7" s="32"/>
      <c r="E7" s="32"/>
      <c r="F7" s="32"/>
      <c r="G7" s="32"/>
      <c r="H7" s="32"/>
      <c r="I7" s="32"/>
      <c r="J7" s="32"/>
      <c r="K7" s="31"/>
      <c r="M7" s="109"/>
      <c r="N7" s="109"/>
      <c r="O7" s="109"/>
      <c r="P7" s="109"/>
      <c r="Q7" s="109"/>
      <c r="R7" s="109"/>
      <c r="S7" s="109"/>
      <c r="T7" s="109"/>
    </row>
    <row r="8" spans="1:20" ht="7.95" customHeight="1" thickBot="1" x14ac:dyDescent="0.35">
      <c r="A8" s="31"/>
      <c r="B8" s="34"/>
      <c r="C8" s="34"/>
      <c r="D8" s="34"/>
      <c r="E8" s="34"/>
      <c r="F8" s="34"/>
      <c r="G8" s="34"/>
      <c r="H8" s="34"/>
      <c r="I8" s="34"/>
      <c r="J8" s="34"/>
      <c r="K8" s="31"/>
      <c r="M8" s="3"/>
      <c r="N8" s="3"/>
      <c r="O8" s="3"/>
      <c r="P8" s="3"/>
      <c r="Q8" s="3"/>
      <c r="R8" s="3"/>
      <c r="S8" s="3"/>
      <c r="T8" s="3"/>
    </row>
    <row r="9" spans="1:20" ht="7.95" customHeight="1" x14ac:dyDescent="0.3">
      <c r="A9" s="31"/>
      <c r="B9" s="97"/>
      <c r="C9" s="95"/>
      <c r="D9" s="35"/>
      <c r="E9" s="35"/>
      <c r="F9" s="35"/>
      <c r="G9" s="35"/>
      <c r="H9" s="35"/>
      <c r="I9" s="35"/>
      <c r="J9" s="36"/>
      <c r="K9" s="31"/>
      <c r="M9" s="3"/>
      <c r="N9" s="3"/>
      <c r="S9" s="3"/>
      <c r="T9" s="3"/>
    </row>
    <row r="10" spans="1:20" x14ac:dyDescent="0.3">
      <c r="A10" s="96"/>
      <c r="B10" s="98"/>
      <c r="C10" s="37" t="s">
        <v>107</v>
      </c>
      <c r="D10" s="37" t="s">
        <v>78</v>
      </c>
      <c r="E10" s="38" t="str">
        <f>IF($O$10="","",$O$10)</f>
        <v/>
      </c>
      <c r="F10" s="35"/>
      <c r="G10" s="37" t="s">
        <v>115</v>
      </c>
      <c r="H10" s="37" t="s">
        <v>78</v>
      </c>
      <c r="I10" s="104">
        <f ca="1">TODAY()</f>
        <v>45988</v>
      </c>
      <c r="J10" s="36"/>
      <c r="K10" s="31"/>
      <c r="M10" s="70" t="s">
        <v>107</v>
      </c>
      <c r="N10" s="70" t="s">
        <v>78</v>
      </c>
      <c r="O10" s="69"/>
      <c r="P10" s="26"/>
      <c r="Q10" s="26"/>
      <c r="R10" s="26"/>
      <c r="S10" s="71"/>
      <c r="T10" s="71"/>
    </row>
    <row r="11" spans="1:20" x14ac:dyDescent="0.3">
      <c r="A11" s="96"/>
      <c r="B11" s="98"/>
      <c r="C11" s="37" t="s">
        <v>43</v>
      </c>
      <c r="D11" s="37" t="s">
        <v>78</v>
      </c>
      <c r="E11" s="38" t="str">
        <f>IFERROR(IF($O$10="","",VLOOKUP($O$10,'Student Data'!$A$2:$AR$1048576,2,0)),"")</f>
        <v/>
      </c>
      <c r="F11" s="35"/>
      <c r="G11" s="37" t="s">
        <v>0</v>
      </c>
      <c r="H11" s="37" t="s">
        <v>78</v>
      </c>
      <c r="I11" s="38" t="str">
        <f>IFERROR(IF($O$10="","",VLOOKUP($O$10,'Student Data'!$A$2:$AR$1048576,25,0)),"")</f>
        <v/>
      </c>
      <c r="J11" s="36"/>
      <c r="K11" s="31"/>
      <c r="M11" s="26"/>
      <c r="N11" s="26"/>
      <c r="O11" s="26"/>
      <c r="P11" s="26"/>
      <c r="Q11" s="26"/>
      <c r="R11" s="26"/>
      <c r="S11" s="71"/>
      <c r="T11" s="71"/>
    </row>
    <row r="12" spans="1:20" x14ac:dyDescent="0.3">
      <c r="A12" s="96"/>
      <c r="B12" s="98"/>
      <c r="C12" s="37" t="s">
        <v>47</v>
      </c>
      <c r="D12" s="37" t="s">
        <v>78</v>
      </c>
      <c r="E12" s="38" t="str">
        <f>IFERROR(IF($O$10="","",VLOOKUP($O$10,'Student Data'!$A$2:$AR$1048576,10,0)),"")</f>
        <v/>
      </c>
      <c r="F12" s="35"/>
      <c r="G12" s="37" t="s">
        <v>146</v>
      </c>
      <c r="H12" s="37" t="s">
        <v>78</v>
      </c>
      <c r="I12" s="38" t="str">
        <f>IFERROR(IF($O$10="","",VLOOKUP($O$10,'Student Data'!$A$2:$AR$1048576,14,0)),"")</f>
        <v/>
      </c>
      <c r="J12" s="36"/>
      <c r="K12" s="31"/>
      <c r="M12" s="70" t="s">
        <v>143</v>
      </c>
      <c r="N12" s="70" t="s">
        <v>78</v>
      </c>
      <c r="O12" s="69"/>
      <c r="P12" s="26"/>
      <c r="Q12" s="26"/>
      <c r="R12" s="26"/>
      <c r="S12" s="26"/>
      <c r="T12" s="26"/>
    </row>
    <row r="13" spans="1:20" ht="7.95" customHeight="1" thickBot="1" x14ac:dyDescent="0.35">
      <c r="A13" s="96"/>
      <c r="B13" s="99"/>
      <c r="C13" s="39"/>
      <c r="D13" s="39"/>
      <c r="E13" s="39"/>
      <c r="F13" s="39"/>
      <c r="G13" s="39"/>
      <c r="H13" s="39"/>
      <c r="I13" s="39"/>
      <c r="J13" s="40"/>
      <c r="K13" s="31"/>
    </row>
    <row r="14" spans="1:20" ht="7.95" customHeight="1" thickBot="1" x14ac:dyDescent="0.35">
      <c r="A14" s="31"/>
      <c r="B14" s="34"/>
      <c r="C14" s="34"/>
      <c r="D14" s="34"/>
      <c r="E14" s="34"/>
      <c r="F14" s="34"/>
      <c r="G14" s="34"/>
      <c r="H14" s="34"/>
      <c r="I14" s="34"/>
      <c r="J14" s="34"/>
      <c r="K14" s="31"/>
    </row>
    <row r="15" spans="1:20" ht="7.95" customHeight="1" x14ac:dyDescent="0.3">
      <c r="A15" s="96"/>
      <c r="B15" s="97"/>
      <c r="C15" s="95"/>
      <c r="D15" s="35"/>
      <c r="E15" s="35"/>
      <c r="F15" s="35"/>
      <c r="G15" s="35"/>
      <c r="H15" s="35"/>
      <c r="I15" s="35"/>
      <c r="J15" s="36"/>
      <c r="K15" s="31"/>
    </row>
    <row r="16" spans="1:20" x14ac:dyDescent="0.3">
      <c r="A16" s="96"/>
      <c r="B16" s="98"/>
      <c r="C16" s="37" t="s">
        <v>124</v>
      </c>
      <c r="D16" s="37" t="s">
        <v>78</v>
      </c>
      <c r="E16" s="38" t="str">
        <f>IFERROR(IF($O$10="","",VLOOKUP($O$10,Accounts!$A$2:$X$1048576,6,0)),"Not Applicable")</f>
        <v/>
      </c>
      <c r="F16" s="35"/>
      <c r="G16" s="37" t="s">
        <v>141</v>
      </c>
      <c r="H16" s="37" t="s">
        <v>78</v>
      </c>
      <c r="I16" s="38" t="str">
        <f>IFERROR(IF($O$10="","",VLOOKUP($O$10,Accounts!$A$2:$X$1048576,11,0)),"")</f>
        <v/>
      </c>
      <c r="J16" s="36"/>
      <c r="K16" s="31"/>
    </row>
    <row r="17" spans="1:28" x14ac:dyDescent="0.3">
      <c r="A17" s="96"/>
      <c r="B17" s="98"/>
      <c r="C17" s="37" t="s">
        <v>79</v>
      </c>
      <c r="D17" s="37" t="s">
        <v>78</v>
      </c>
      <c r="E17" s="38" t="str">
        <f>IFERROR(IF($O$10="","",VLOOKUP($O$10,'Student Data'!$A$2:$AR$1048576,33,0)),"")</f>
        <v/>
      </c>
      <c r="F17" s="35"/>
      <c r="G17" s="37" t="s">
        <v>142</v>
      </c>
      <c r="H17" s="37" t="s">
        <v>78</v>
      </c>
      <c r="I17" s="38" t="str">
        <f>IFERROR(IF($O$10="","",VLOOKUP($O$10,Accounts!$A$2:$X$1048576,12,0)),"")</f>
        <v/>
      </c>
      <c r="J17" s="36"/>
      <c r="K17" s="31"/>
      <c r="V17" s="1"/>
      <c r="W17" s="1"/>
      <c r="X17" s="1"/>
      <c r="Y17" s="1"/>
      <c r="Z17" s="91"/>
      <c r="AA17" s="1"/>
      <c r="AB17" s="1"/>
    </row>
    <row r="18" spans="1:28" x14ac:dyDescent="0.3">
      <c r="A18" s="96"/>
      <c r="B18" s="98"/>
      <c r="C18" s="37" t="s">
        <v>109</v>
      </c>
      <c r="D18" s="37" t="s">
        <v>78</v>
      </c>
      <c r="E18" s="38" t="str">
        <f>IFERROR(IF($O$10="","",VLOOKUP($O$10,'Student Data'!$A$2:$AR$1048576,34,0)),"")</f>
        <v/>
      </c>
      <c r="F18" s="38"/>
      <c r="G18" s="38"/>
      <c r="H18" s="38"/>
      <c r="I18" s="38"/>
      <c r="J18" s="36"/>
      <c r="K18" s="31"/>
    </row>
    <row r="19" spans="1:28" x14ac:dyDescent="0.3">
      <c r="A19" s="96"/>
      <c r="B19" s="98"/>
      <c r="C19" s="37" t="s">
        <v>81</v>
      </c>
      <c r="D19" s="37" t="s">
        <v>78</v>
      </c>
      <c r="E19" s="38" t="str">
        <f>IFERROR(IF($O$10="","",VLOOKUP($O$10,'Student Data'!$A$2:$AR$1048576,35,0)),"")</f>
        <v/>
      </c>
      <c r="F19" s="35"/>
      <c r="G19" s="37" t="s">
        <v>143</v>
      </c>
      <c r="H19" s="37" t="s">
        <v>78</v>
      </c>
      <c r="I19" s="72" t="str">
        <f>IF($O$12="","",$O$12)</f>
        <v/>
      </c>
      <c r="J19" s="36"/>
      <c r="K19" s="31"/>
    </row>
    <row r="20" spans="1:28" x14ac:dyDescent="0.3">
      <c r="A20" s="96"/>
      <c r="B20" s="98"/>
      <c r="C20" s="37" t="s">
        <v>82</v>
      </c>
      <c r="D20" s="37" t="s">
        <v>78</v>
      </c>
      <c r="E20" s="38" t="str">
        <f>IFERROR(IF($O$10="","",VLOOKUP($O$10,'Student Data'!$A$2:$AR$1048576,36,0)),"")</f>
        <v/>
      </c>
      <c r="F20" s="35"/>
      <c r="G20" s="37" t="s">
        <v>110</v>
      </c>
      <c r="H20" s="37" t="s">
        <v>78</v>
      </c>
      <c r="I20" s="38" t="str">
        <f>IFERROR(IF($O$12="","",$I$17-$I$19),"")</f>
        <v/>
      </c>
      <c r="J20" s="36"/>
      <c r="K20" s="31"/>
    </row>
    <row r="21" spans="1:28" ht="7.95" customHeight="1" thickBot="1" x14ac:dyDescent="0.35">
      <c r="A21" s="96"/>
      <c r="B21" s="99"/>
      <c r="C21" s="39"/>
      <c r="D21" s="39"/>
      <c r="E21" s="39"/>
      <c r="F21" s="39"/>
      <c r="G21" s="39"/>
      <c r="H21" s="39"/>
      <c r="I21" s="39"/>
      <c r="J21" s="40"/>
      <c r="K21" s="31"/>
    </row>
    <row r="22" spans="1:28" ht="7.95" customHeight="1" thickBot="1" x14ac:dyDescent="0.35">
      <c r="A22" s="31"/>
      <c r="B22" s="34"/>
      <c r="C22" s="34"/>
      <c r="D22" s="34"/>
      <c r="E22" s="34"/>
      <c r="F22" s="34"/>
      <c r="G22" s="34"/>
      <c r="H22" s="34"/>
      <c r="I22" s="34"/>
      <c r="J22" s="34"/>
      <c r="K22" s="31"/>
    </row>
    <row r="23" spans="1:28" ht="7.95" customHeight="1" x14ac:dyDescent="0.3">
      <c r="A23" s="96"/>
      <c r="B23" s="97"/>
      <c r="C23" s="35"/>
      <c r="D23" s="35"/>
      <c r="E23" s="35"/>
      <c r="F23" s="35"/>
      <c r="G23" s="35"/>
      <c r="H23" s="35"/>
      <c r="I23" s="35"/>
      <c r="J23" s="36"/>
      <c r="K23" s="31"/>
    </row>
    <row r="24" spans="1:28" x14ac:dyDescent="0.3">
      <c r="A24" s="96"/>
      <c r="B24" s="98"/>
      <c r="C24" s="37" t="s">
        <v>148</v>
      </c>
      <c r="D24" s="37" t="s">
        <v>78</v>
      </c>
      <c r="E24" s="85" t="str">
        <f ca="1">TEXT(I10, "mmm")</f>
        <v>Nov</v>
      </c>
      <c r="F24" s="35"/>
      <c r="G24" s="37" t="s">
        <v>144</v>
      </c>
      <c r="H24" s="37" t="s">
        <v>78</v>
      </c>
      <c r="I24" s="38"/>
      <c r="J24" s="36"/>
      <c r="K24" s="31"/>
    </row>
    <row r="25" spans="1:28" ht="7.95" customHeight="1" thickBot="1" x14ac:dyDescent="0.35">
      <c r="A25" s="96"/>
      <c r="B25" s="99"/>
      <c r="C25" s="39"/>
      <c r="D25" s="39"/>
      <c r="E25" s="39"/>
      <c r="F25" s="39"/>
      <c r="G25" s="39"/>
      <c r="H25" s="39"/>
      <c r="I25" s="39"/>
      <c r="J25" s="40"/>
      <c r="K25" s="31"/>
    </row>
    <row r="26" spans="1:28" x14ac:dyDescent="0.3">
      <c r="A26" s="31"/>
      <c r="B26" s="31"/>
      <c r="C26" s="31"/>
      <c r="D26" s="31"/>
      <c r="E26" s="31"/>
      <c r="F26" s="31"/>
      <c r="G26" s="31"/>
      <c r="H26" s="31"/>
      <c r="I26" s="31"/>
      <c r="J26" s="31"/>
      <c r="K26" s="31"/>
    </row>
  </sheetData>
  <sheetProtection algorithmName="SHA-512" hashValue="dpoc2l+R5wVcX7EQydlRxdFlolSkT4cyAIyWyJDI6bsp1iLH6QJXD30TdmAN4Eat7OfJTPv55lrW8nft/GNouQ==" saltValue="pNfcWr/4cpP3RT1/KyLd8A==" spinCount="100000" sheet="1" selectLockedCells="1"/>
  <mergeCells count="7">
    <mergeCell ref="M3:T5"/>
    <mergeCell ref="M6:T7"/>
    <mergeCell ref="C3:C6"/>
    <mergeCell ref="E3:I3"/>
    <mergeCell ref="E4:I4"/>
    <mergeCell ref="E5:I5"/>
    <mergeCell ref="E6:I6"/>
  </mergeCells>
  <pageMargins left="0.11811023622047244" right="0.11811023622047244" top="0.11811023622047244" bottom="0.11811023622047244" header="0" footer="0"/>
  <pageSetup paperSize="9" fitToHeight="0" orientation="portrait" horizontalDpi="0" verticalDpi="0" r:id="rId1"/>
  <ignoredErrors>
    <ignoredError sqref="E19"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Deposit">
                <anchor moveWithCells="1" sizeWithCells="1">
                  <from>
                    <xdr:col>16</xdr:col>
                    <xdr:colOff>129540</xdr:colOff>
                    <xdr:row>13</xdr:row>
                    <xdr:rowOff>0</xdr:rowOff>
                  </from>
                  <to>
                    <xdr:col>19</xdr:col>
                    <xdr:colOff>518160</xdr:colOff>
                    <xdr:row>16</xdr:row>
                    <xdr:rowOff>22860</xdr:rowOff>
                  </to>
                </anchor>
              </controlPr>
            </control>
          </mc:Choice>
        </mc:AlternateContent>
        <mc:AlternateContent xmlns:mc="http://schemas.openxmlformats.org/markup-compatibility/2006">
          <mc:Choice Requires="x14">
            <control shapeId="4098" r:id="rId5" name="Button 2">
              <controlPr defaultSize="0" print="0" autoFill="0" autoPict="0" macro="[0]!PrintReceipt">
                <anchor moveWithCells="1" sizeWithCells="1">
                  <from>
                    <xdr:col>12</xdr:col>
                    <xdr:colOff>99060</xdr:colOff>
                    <xdr:row>13</xdr:row>
                    <xdr:rowOff>22860</xdr:rowOff>
                  </from>
                  <to>
                    <xdr:col>15</xdr:col>
                    <xdr:colOff>487680</xdr:colOff>
                    <xdr:row>16</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20571-CB45-4400-B7DF-00CE2893BB2B}">
  <sheetPr codeName="Sheet3">
    <tabColor rgb="FFFFFF00"/>
  </sheetPr>
  <dimension ref="A1:AU2"/>
  <sheetViews>
    <sheetView zoomScaleNormal="100" workbookViewId="0">
      <selection activeCell="A3" sqref="A3"/>
    </sheetView>
  </sheetViews>
  <sheetFormatPr defaultColWidth="0" defaultRowHeight="14.4" x14ac:dyDescent="0.3"/>
  <cols>
    <col min="1" max="1" width="6.6640625" style="84" bestFit="1" customWidth="1"/>
    <col min="2" max="3" width="20.77734375" style="84" customWidth="1"/>
    <col min="4" max="4" width="20.77734375" style="90" customWidth="1"/>
    <col min="5" max="23" width="20.77734375" style="84" customWidth="1"/>
    <col min="24" max="25" width="20.77734375" style="90" customWidth="1"/>
    <col min="26" max="44" width="20.77734375" style="84" customWidth="1"/>
    <col min="45" max="45" width="8.77734375" customWidth="1"/>
    <col min="46" max="47" width="0" hidden="1" customWidth="1"/>
    <col min="48" max="16384" width="8.77734375" hidden="1"/>
  </cols>
  <sheetData>
    <row r="1" spans="1:44" ht="15.6" x14ac:dyDescent="0.3">
      <c r="A1" s="153" t="s">
        <v>90</v>
      </c>
      <c r="B1" s="153"/>
      <c r="C1" s="153"/>
      <c r="D1" s="153"/>
      <c r="E1" s="153"/>
      <c r="F1" s="153"/>
      <c r="G1" s="153"/>
      <c r="H1" s="153"/>
      <c r="I1" s="153"/>
      <c r="J1" s="154" t="s">
        <v>89</v>
      </c>
      <c r="K1" s="154"/>
      <c r="L1" s="154"/>
      <c r="M1" s="154"/>
      <c r="N1" s="154"/>
      <c r="O1" s="152" t="s">
        <v>88</v>
      </c>
      <c r="P1" s="152"/>
      <c r="Q1" s="152"/>
      <c r="R1" s="152"/>
      <c r="S1" s="152"/>
      <c r="T1" s="155" t="s">
        <v>87</v>
      </c>
      <c r="U1" s="155"/>
      <c r="V1" s="156" t="s">
        <v>83</v>
      </c>
      <c r="W1" s="156"/>
      <c r="X1" s="157" t="s">
        <v>84</v>
      </c>
      <c r="Y1" s="157"/>
      <c r="Z1" s="157"/>
      <c r="AA1" s="157"/>
      <c r="AB1" s="157"/>
      <c r="AC1" s="157"/>
      <c r="AD1" s="157"/>
      <c r="AE1" s="157"/>
      <c r="AF1" s="153" t="s">
        <v>85</v>
      </c>
      <c r="AG1" s="153"/>
      <c r="AH1" s="153"/>
      <c r="AI1" s="153"/>
      <c r="AJ1" s="153"/>
      <c r="AK1" s="152" t="s">
        <v>86</v>
      </c>
      <c r="AL1" s="152"/>
      <c r="AM1" s="152"/>
      <c r="AN1" s="152"/>
      <c r="AO1" s="152"/>
      <c r="AP1" s="152"/>
      <c r="AQ1" s="152"/>
      <c r="AR1" s="152"/>
    </row>
    <row r="2" spans="1:44" x14ac:dyDescent="0.3">
      <c r="A2" s="1" t="s">
        <v>91</v>
      </c>
      <c r="B2" s="1" t="s">
        <v>43</v>
      </c>
      <c r="C2" s="1" t="s">
        <v>44</v>
      </c>
      <c r="D2" s="89" t="s">
        <v>45</v>
      </c>
      <c r="E2" s="1" t="s">
        <v>36</v>
      </c>
      <c r="F2" s="1" t="s">
        <v>31</v>
      </c>
      <c r="G2" s="1" t="s">
        <v>46</v>
      </c>
      <c r="H2" s="1" t="s">
        <v>59</v>
      </c>
      <c r="I2" s="1" t="s">
        <v>60</v>
      </c>
      <c r="J2" s="1" t="s">
        <v>47</v>
      </c>
      <c r="K2" s="1" t="s">
        <v>48</v>
      </c>
      <c r="L2" s="1" t="s">
        <v>49</v>
      </c>
      <c r="M2" s="1" t="s">
        <v>50</v>
      </c>
      <c r="N2" s="1" t="s">
        <v>51</v>
      </c>
      <c r="O2" s="1" t="s">
        <v>52</v>
      </c>
      <c r="P2" s="1" t="s">
        <v>53</v>
      </c>
      <c r="Q2" s="1" t="s">
        <v>54</v>
      </c>
      <c r="R2" s="1" t="s">
        <v>55</v>
      </c>
      <c r="S2" s="1" t="s">
        <v>56</v>
      </c>
      <c r="T2" s="1" t="s">
        <v>57</v>
      </c>
      <c r="U2" s="1" t="s">
        <v>58</v>
      </c>
      <c r="V2" s="1" t="s">
        <v>61</v>
      </c>
      <c r="W2" s="1" t="s">
        <v>62</v>
      </c>
      <c r="X2" s="89" t="s">
        <v>63</v>
      </c>
      <c r="Y2" s="89" t="s">
        <v>149</v>
      </c>
      <c r="Z2" s="1" t="s">
        <v>64</v>
      </c>
      <c r="AA2" s="1" t="s">
        <v>65</v>
      </c>
      <c r="AB2" s="1" t="s">
        <v>66</v>
      </c>
      <c r="AC2" s="1" t="s">
        <v>67</v>
      </c>
      <c r="AD2" s="1" t="s">
        <v>68</v>
      </c>
      <c r="AE2" s="1" t="s">
        <v>69</v>
      </c>
      <c r="AF2" s="1" t="s">
        <v>124</v>
      </c>
      <c r="AG2" s="1" t="s">
        <v>79</v>
      </c>
      <c r="AH2" s="1" t="s">
        <v>80</v>
      </c>
      <c r="AI2" s="1" t="s">
        <v>81</v>
      </c>
      <c r="AJ2" s="1" t="s">
        <v>82</v>
      </c>
      <c r="AK2" s="1" t="s">
        <v>70</v>
      </c>
      <c r="AL2" s="1" t="s">
        <v>72</v>
      </c>
      <c r="AM2" s="1" t="s">
        <v>71</v>
      </c>
      <c r="AN2" s="1" t="s">
        <v>73</v>
      </c>
      <c r="AO2" s="1" t="s">
        <v>74</v>
      </c>
      <c r="AP2" s="1" t="s">
        <v>75</v>
      </c>
      <c r="AQ2" s="1" t="s">
        <v>76</v>
      </c>
      <c r="AR2" s="1" t="s">
        <v>77</v>
      </c>
    </row>
  </sheetData>
  <mergeCells count="8">
    <mergeCell ref="AK1:AR1"/>
    <mergeCell ref="A1:I1"/>
    <mergeCell ref="J1:N1"/>
    <mergeCell ref="O1:S1"/>
    <mergeCell ref="T1:U1"/>
    <mergeCell ref="V1:W1"/>
    <mergeCell ref="X1:AE1"/>
    <mergeCell ref="AF1:AJ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D7E982-C317-4747-9A26-249D7EF22ADB}">
  <sheetPr codeName="Sheet6">
    <tabColor theme="8" tint="-0.499984740745262"/>
  </sheetPr>
  <dimension ref="A1:Z2"/>
  <sheetViews>
    <sheetView workbookViewId="0">
      <selection activeCell="A2" sqref="A2"/>
    </sheetView>
  </sheetViews>
  <sheetFormatPr defaultColWidth="0" defaultRowHeight="14.4" x14ac:dyDescent="0.3"/>
  <cols>
    <col min="1" max="1" width="4.5546875" bestFit="1" customWidth="1"/>
    <col min="2" max="2" width="6.6640625" bestFit="1" customWidth="1"/>
    <col min="3" max="3" width="9.88671875" style="94" customWidth="1"/>
    <col min="4" max="9" width="15.6640625" customWidth="1"/>
    <col min="10" max="10" width="15.6640625" style="92" customWidth="1"/>
    <col min="11" max="12" width="15.6640625" customWidth="1"/>
    <col min="13" max="26" width="0" hidden="1" customWidth="1"/>
    <col min="27" max="16384" width="8.77734375" hidden="1"/>
  </cols>
  <sheetData>
    <row r="1" spans="1:26" s="30" customFormat="1" ht="16.05" customHeight="1" thickBot="1" x14ac:dyDescent="0.35">
      <c r="A1" s="160" t="s">
        <v>120</v>
      </c>
      <c r="B1" s="160"/>
      <c r="C1" s="160"/>
      <c r="D1" s="160"/>
      <c r="E1" s="160"/>
      <c r="F1" s="160"/>
      <c r="G1" s="161"/>
      <c r="H1" s="158" t="s">
        <v>85</v>
      </c>
      <c r="I1" s="159"/>
      <c r="J1" s="159"/>
      <c r="K1" s="159"/>
      <c r="L1" s="159"/>
      <c r="M1"/>
      <c r="N1"/>
      <c r="O1"/>
      <c r="P1"/>
      <c r="Q1"/>
      <c r="R1"/>
      <c r="S1"/>
      <c r="T1"/>
      <c r="U1"/>
      <c r="V1"/>
      <c r="W1"/>
      <c r="X1"/>
      <c r="Y1"/>
      <c r="Z1"/>
    </row>
    <row r="2" spans="1:26" x14ac:dyDescent="0.3">
      <c r="A2" s="1" t="s">
        <v>145</v>
      </c>
      <c r="B2" s="1" t="s">
        <v>91</v>
      </c>
      <c r="C2" s="93" t="s">
        <v>148</v>
      </c>
      <c r="D2" s="1" t="s">
        <v>0</v>
      </c>
      <c r="E2" s="1" t="s">
        <v>43</v>
      </c>
      <c r="F2" s="1" t="s">
        <v>47</v>
      </c>
      <c r="G2" s="1" t="s">
        <v>123</v>
      </c>
      <c r="H2" s="1" t="s">
        <v>82</v>
      </c>
      <c r="I2" s="1" t="s">
        <v>126</v>
      </c>
      <c r="J2" s="91" t="s">
        <v>115</v>
      </c>
      <c r="K2" s="1" t="s">
        <v>139</v>
      </c>
      <c r="L2" s="1" t="s">
        <v>110</v>
      </c>
    </row>
  </sheetData>
  <mergeCells count="2">
    <mergeCell ref="H1:L1"/>
    <mergeCell ref="A1:G1"/>
  </mergeCells>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D6B67-B91B-43E4-B790-23F54CDC1BA7}">
  <sheetPr codeName="Sheet7">
    <tabColor theme="8" tint="-0.499984740745262"/>
  </sheetPr>
  <dimension ref="A1:XFD1202"/>
  <sheetViews>
    <sheetView workbookViewId="0">
      <pane xSplit="5" ySplit="2" topLeftCell="F3" activePane="bottomRight" state="frozen"/>
      <selection pane="topRight" activeCell="F1" sqref="F1"/>
      <selection pane="bottomLeft" activeCell="A3" sqref="A3"/>
      <selection pane="bottomRight" activeCell="A2" sqref="A2"/>
    </sheetView>
  </sheetViews>
  <sheetFormatPr defaultColWidth="0" defaultRowHeight="14.4" zeroHeight="1" x14ac:dyDescent="0.3"/>
  <cols>
    <col min="1" max="1" width="6.6640625" style="107" bestFit="1" customWidth="1"/>
    <col min="2" max="2" width="5" bestFit="1" customWidth="1"/>
    <col min="3" max="3" width="15.6640625" customWidth="1"/>
    <col min="4" max="4" width="17.33203125" bestFit="1" customWidth="1"/>
    <col min="5" max="5" width="11.77734375" bestFit="1" customWidth="1"/>
    <col min="6" max="6" width="12.21875" bestFit="1" customWidth="1"/>
    <col min="7" max="7" width="12.88671875" bestFit="1" customWidth="1"/>
    <col min="8" max="8" width="11.6640625" bestFit="1" customWidth="1"/>
    <col min="9" max="9" width="13.5546875" bestFit="1" customWidth="1"/>
    <col min="10" max="10" width="8.44140625" bestFit="1" customWidth="1"/>
    <col min="11" max="11" width="12.5546875" bestFit="1" customWidth="1"/>
    <col min="12" max="12" width="14.6640625" bestFit="1" customWidth="1"/>
    <col min="13" max="24" width="15.6640625" customWidth="1"/>
    <col min="25" max="16384" width="8.77734375" hidden="1"/>
  </cols>
  <sheetData>
    <row r="1" spans="1:16384" s="30" customFormat="1" ht="16.05" customHeight="1" thickBot="1" x14ac:dyDescent="0.35">
      <c r="A1" s="162" t="s">
        <v>120</v>
      </c>
      <c r="B1" s="163"/>
      <c r="C1" s="163"/>
      <c r="D1" s="163"/>
      <c r="E1" s="164"/>
      <c r="F1" s="158" t="s">
        <v>121</v>
      </c>
      <c r="G1" s="159"/>
      <c r="H1" s="159"/>
      <c r="I1" s="159"/>
      <c r="J1" s="165"/>
      <c r="K1" s="166" t="s">
        <v>85</v>
      </c>
      <c r="L1" s="167"/>
      <c r="M1" s="168" t="s">
        <v>122</v>
      </c>
      <c r="N1" s="169"/>
      <c r="O1" s="169"/>
      <c r="P1" s="169"/>
      <c r="Q1" s="169"/>
      <c r="R1" s="169"/>
      <c r="S1" s="169"/>
      <c r="T1" s="169"/>
      <c r="U1" s="169"/>
      <c r="V1" s="169"/>
      <c r="W1" s="169"/>
      <c r="X1" s="170"/>
    </row>
    <row r="2" spans="1:16384" s="1" customFormat="1" x14ac:dyDescent="0.3">
      <c r="A2" s="105" t="s">
        <v>91</v>
      </c>
      <c r="B2" s="1" t="s">
        <v>0</v>
      </c>
      <c r="C2" s="1" t="s">
        <v>43</v>
      </c>
      <c r="D2" s="1" t="s">
        <v>47</v>
      </c>
      <c r="E2" s="1" t="s">
        <v>123</v>
      </c>
      <c r="F2" s="1" t="s">
        <v>124</v>
      </c>
      <c r="G2" s="1" t="s">
        <v>79</v>
      </c>
      <c r="H2" s="1" t="s">
        <v>109</v>
      </c>
      <c r="I2" s="1" t="s">
        <v>81</v>
      </c>
      <c r="J2" s="1" t="s">
        <v>82</v>
      </c>
      <c r="K2" s="1" t="s">
        <v>125</v>
      </c>
      <c r="L2" s="1" t="s">
        <v>126</v>
      </c>
      <c r="M2" s="1" t="s">
        <v>127</v>
      </c>
      <c r="N2" s="1" t="s">
        <v>128</v>
      </c>
      <c r="O2" s="1" t="s">
        <v>129</v>
      </c>
      <c r="P2" s="1" t="s">
        <v>130</v>
      </c>
      <c r="Q2" s="1" t="s">
        <v>131</v>
      </c>
      <c r="R2" s="1" t="s">
        <v>132</v>
      </c>
      <c r="S2" s="1" t="s">
        <v>133</v>
      </c>
      <c r="T2" s="1" t="s">
        <v>134</v>
      </c>
      <c r="U2" s="1" t="s">
        <v>135</v>
      </c>
      <c r="V2" s="1" t="s">
        <v>136</v>
      </c>
      <c r="W2" s="1" t="s">
        <v>137</v>
      </c>
      <c r="X2" s="1" t="s">
        <v>138</v>
      </c>
    </row>
    <row r="3" spans="1:16384" x14ac:dyDescent="0.3">
      <c r="A3" s="106">
        <v>1</v>
      </c>
      <c r="B3" t="str">
        <f>IFERROR(VLOOKUP($A3, Ledger!$B$2:$L$8, 3, 0),"")</f>
        <v/>
      </c>
      <c r="C3" t="str">
        <f>IFERROR(VLOOKUP($A3, Ledger!$B$2:$L$8, 4, 0),"")</f>
        <v/>
      </c>
      <c r="D3" t="str">
        <f>IFERROR(VLOOKUP($A3, Ledger!$B$2:$L$8, 5, 0),"")</f>
        <v/>
      </c>
      <c r="E3" t="str">
        <f>IFERROR(VLOOKUP($A3, Ledger!$B$2:$L$8, 6, 0),"")</f>
        <v/>
      </c>
      <c r="F3" t="str">
        <f>IFERROR(VLOOKUP($A3,'Student Data'!$A$2:$AR$6,32,0),"")</f>
        <v/>
      </c>
      <c r="G3" t="str">
        <f>IFERROR(VLOOKUP($A3,'Student Data'!$A$2:$AR$6,33,0),"")</f>
        <v/>
      </c>
      <c r="H3" t="str">
        <f>IFERROR(VLOOKUP($A3,'Student Data'!$A$2:$AR$6,34,0),"")</f>
        <v/>
      </c>
      <c r="I3" t="str">
        <f>IFERROR(VLOOKUP($A3,'Student Data'!$A$2:$AR$6,35,0),"")</f>
        <v/>
      </c>
      <c r="J3" t="str">
        <f>IFERROR(VLOOKUP($A3,'Student Data'!$A$2:$AR$6,36,0),"")</f>
        <v/>
      </c>
      <c r="K3" t="str">
        <f>IFERROR(IF(C3="","",SUM(M3:X3)),"0")</f>
        <v/>
      </c>
      <c r="L3" t="str">
        <f>IFERROR(IF(C3="","",J3-K3),"0")</f>
        <v/>
      </c>
      <c r="M3" t="str">
        <f>IFERROR(IF($C3="","",SUMIFS(Ledger!$K$2:$K$4, Ledger!$B$2:$B$4, $A3, Ledger!$C$2:$C$4, M$2)),"****")</f>
        <v/>
      </c>
      <c r="N3" t="str">
        <f>IFERROR(IF($C3="","",SUMIFS(Ledger!$K$2:$K$4, Ledger!$B$2:$B$4, $A3, Ledger!$C$2:$C$4, N$2)),"****")</f>
        <v/>
      </c>
      <c r="O3" t="str">
        <f>IFERROR(IF($C3="","",SUMIFS(Ledger!$K$2:$K$4, Ledger!$B$2:$B$4, $A3, Ledger!$C$2:$C$4, O$2)),"****")</f>
        <v/>
      </c>
      <c r="P3" t="str">
        <f>IFERROR(IF($C3="","",SUMIFS(Ledger!$K$2:$K$4, Ledger!$B$2:$B$4, $A3, Ledger!$C$2:$C$4, P$2)),"****")</f>
        <v/>
      </c>
      <c r="Q3" t="str">
        <f>IFERROR(IF($C3="","",SUMIFS(Ledger!$K$2:$K$4, Ledger!$B$2:$B$4, $A3, Ledger!$C$2:$C$4, Q$2)),"****")</f>
        <v/>
      </c>
      <c r="R3" t="str">
        <f>IFERROR(IF($C3="","",SUMIFS(Ledger!$K$2:$K$4, Ledger!$B$2:$B$4, $A3, Ledger!$C$2:$C$4, R$2)),"****")</f>
        <v/>
      </c>
      <c r="S3" t="str">
        <f>IFERROR(IF($C3="","",SUMIFS(Ledger!$K$2:$K$4, Ledger!$B$2:$B$4, $A3, Ledger!$C$2:$C$4, S$2)),"****")</f>
        <v/>
      </c>
      <c r="T3" t="str">
        <f>IFERROR(IF($C3="","",SUMIFS(Ledger!$K$2:$K$4, Ledger!$B$2:$B$4, $A3, Ledger!$C$2:$C$4, T$2)),"****")</f>
        <v/>
      </c>
      <c r="U3" t="str">
        <f>IFERROR(IF($C3="","",SUMIFS(Ledger!$K$2:$K$4, Ledger!$B$2:$B$4, $A3, Ledger!$C$2:$C$4, U$2)),"****")</f>
        <v/>
      </c>
      <c r="V3" t="str">
        <f>IFERROR(IF($C3="","",SUMIFS(Ledger!$K$2:$K$4, Ledger!$B$2:$B$4, $A3, Ledger!$C$2:$C$4, V$2)),"****")</f>
        <v/>
      </c>
      <c r="W3" t="str">
        <f>IFERROR(IF($C3="","",SUMIFS(Ledger!$K$2:$K$4, Ledger!$B$2:$B$4, $A3, Ledger!$C$2:$C$4, W$2)),"****")</f>
        <v/>
      </c>
      <c r="X3" t="str">
        <f>IFERROR(IF($C3="","",SUMIFS(Ledger!$K$2:$K$4, Ledger!$B$2:$B$4, $A3, Ledger!$C$2:$C$4, X$2)),"****")</f>
        <v/>
      </c>
      <c r="Y3" t="str">
        <f>IFERROR(IF($C3="","",SUMIFS(Ledger!$K$2:$K$4, Ledger!$B$2:$B$4, $A3, Ledger!$C$2:$C$4, Y$2)),"****")</f>
        <v/>
      </c>
      <c r="Z3" t="str">
        <f>IFERROR(IF($C3="","",SUMIFS(Ledger!$K$2:$K$4, Ledger!$B$2:$B$4, $A3, Ledger!$C$2:$C$4, Z$2)),"****")</f>
        <v/>
      </c>
      <c r="AA3" t="str">
        <f>IFERROR(IF($C3="","",SUMIFS(Ledger!$K$2:$K$4, Ledger!$B$2:$B$4, $A3, Ledger!$C$2:$C$4, AA$2)),"****")</f>
        <v/>
      </c>
      <c r="AB3" t="str">
        <f>IFERROR(IF($C3="","",SUMIFS(Ledger!$K$2:$K$4, Ledger!$B$2:$B$4, $A3, Ledger!$C$2:$C$4, AB$2)),"****")</f>
        <v/>
      </c>
      <c r="AC3" t="str">
        <f>IFERROR(IF($C3="","",SUMIFS(Ledger!$K$2:$K$4, Ledger!$B$2:$B$4, $A3, Ledger!$C$2:$C$4, AC$2)),"****")</f>
        <v/>
      </c>
      <c r="AD3" t="str">
        <f>IFERROR(IF($C3="","",SUMIFS(Ledger!$K$2:$K$4, Ledger!$B$2:$B$4, $A3, Ledger!$C$2:$C$4, AD$2)),"****")</f>
        <v/>
      </c>
      <c r="AE3" t="str">
        <f>IFERROR(IF($C3="","",SUMIFS(Ledger!$K$2:$K$4, Ledger!$B$2:$B$4, $A3, Ledger!$C$2:$C$4, AE$2)),"****")</f>
        <v/>
      </c>
      <c r="AF3" t="str">
        <f>IFERROR(IF($C3="","",SUMIFS(Ledger!$K$2:$K$4, Ledger!$B$2:$B$4, $A3, Ledger!$C$2:$C$4, AF$2)),"****")</f>
        <v/>
      </c>
      <c r="AG3" t="str">
        <f>IFERROR(IF($C3="","",SUMIFS(Ledger!$K$2:$K$4, Ledger!$B$2:$B$4, $A3, Ledger!$C$2:$C$4, AG$2)),"****")</f>
        <v/>
      </c>
      <c r="AH3" t="str">
        <f>IFERROR(IF($C3="","",SUMIFS(Ledger!$K$2:$K$4, Ledger!$B$2:$B$4, $A3, Ledger!$C$2:$C$4, AH$2)),"****")</f>
        <v/>
      </c>
      <c r="AI3" t="str">
        <f>IFERROR(IF($C3="","",SUMIFS(Ledger!$K$2:$K$4, Ledger!$B$2:$B$4, $A3, Ledger!$C$2:$C$4, AI$2)),"****")</f>
        <v/>
      </c>
      <c r="AJ3" t="str">
        <f>IFERROR(IF($C3="","",SUMIFS(Ledger!$K$2:$K$4, Ledger!$B$2:$B$4, $A3, Ledger!$C$2:$C$4, AJ$2)),"****")</f>
        <v/>
      </c>
      <c r="AK3" t="str">
        <f>IFERROR(IF($C3="","",SUMIFS(Ledger!$K$2:$K$4, Ledger!$B$2:$B$4, $A3, Ledger!$C$2:$C$4, AK$2)),"****")</f>
        <v/>
      </c>
      <c r="AL3" t="str">
        <f>IFERROR(IF($C3="","",SUMIFS(Ledger!$K$2:$K$4, Ledger!$B$2:$B$4, $A3, Ledger!$C$2:$C$4, AL$2)),"****")</f>
        <v/>
      </c>
      <c r="AM3" t="str">
        <f>IFERROR(IF($C3="","",SUMIFS(Ledger!$K$2:$K$4, Ledger!$B$2:$B$4, $A3, Ledger!$C$2:$C$4, AM$2)),"****")</f>
        <v/>
      </c>
      <c r="AN3" t="str">
        <f>IFERROR(IF($C3="","",SUMIFS(Ledger!$K$2:$K$4, Ledger!$B$2:$B$4, $A3, Ledger!$C$2:$C$4, AN$2)),"****")</f>
        <v/>
      </c>
      <c r="AO3" t="str">
        <f>IFERROR(IF($C3="","",SUMIFS(Ledger!$K$2:$K$4, Ledger!$B$2:$B$4, $A3, Ledger!$C$2:$C$4, AO$2)),"****")</f>
        <v/>
      </c>
      <c r="AP3" t="str">
        <f>IFERROR(IF($C3="","",SUMIFS(Ledger!$K$2:$K$4, Ledger!$B$2:$B$4, $A3, Ledger!$C$2:$C$4, AP$2)),"****")</f>
        <v/>
      </c>
      <c r="AQ3" t="str">
        <f>IFERROR(IF($C3="","",SUMIFS(Ledger!$K$2:$K$4, Ledger!$B$2:$B$4, $A3, Ledger!$C$2:$C$4, AQ$2)),"****")</f>
        <v/>
      </c>
      <c r="AR3" t="str">
        <f>IFERROR(IF($C3="","",SUMIFS(Ledger!$K$2:$K$4, Ledger!$B$2:$B$4, $A3, Ledger!$C$2:$C$4, AR$2)),"****")</f>
        <v/>
      </c>
      <c r="AS3" t="str">
        <f>IFERROR(IF($C3="","",SUMIFS(Ledger!$K$2:$K$4, Ledger!$B$2:$B$4, $A3, Ledger!$C$2:$C$4, AS$2)),"****")</f>
        <v/>
      </c>
      <c r="AT3" t="str">
        <f>IFERROR(IF($C3="","",SUMIFS(Ledger!$K$2:$K$4, Ledger!$B$2:$B$4, $A3, Ledger!$C$2:$C$4, AT$2)),"****")</f>
        <v/>
      </c>
      <c r="AU3" t="str">
        <f>IFERROR(IF($C3="","",SUMIFS(Ledger!$K$2:$K$4, Ledger!$B$2:$B$4, $A3, Ledger!$C$2:$C$4, AU$2)),"****")</f>
        <v/>
      </c>
      <c r="AV3" t="str">
        <f>IFERROR(IF($C3="","",SUMIFS(Ledger!$K$2:$K$4, Ledger!$B$2:$B$4, $A3, Ledger!$C$2:$C$4, AV$2)),"****")</f>
        <v/>
      </c>
      <c r="AW3" t="str">
        <f>IFERROR(IF($C3="","",SUMIFS(Ledger!$K$2:$K$4, Ledger!$B$2:$B$4, $A3, Ledger!$C$2:$C$4, AW$2)),"****")</f>
        <v/>
      </c>
      <c r="AX3" t="str">
        <f>IFERROR(IF($C3="","",SUMIFS(Ledger!$K$2:$K$4, Ledger!$B$2:$B$4, $A3, Ledger!$C$2:$C$4, AX$2)),"****")</f>
        <v/>
      </c>
      <c r="AY3" t="str">
        <f>IFERROR(IF($C3="","",SUMIFS(Ledger!$K$2:$K$4, Ledger!$B$2:$B$4, $A3, Ledger!$C$2:$C$4, AY$2)),"****")</f>
        <v/>
      </c>
      <c r="AZ3" t="str">
        <f>IFERROR(IF($C3="","",SUMIFS(Ledger!$K$2:$K$4, Ledger!$B$2:$B$4, $A3, Ledger!$C$2:$C$4, AZ$2)),"****")</f>
        <v/>
      </c>
      <c r="BA3" t="str">
        <f>IFERROR(IF($C3="","",SUMIFS(Ledger!$K$2:$K$4, Ledger!$B$2:$B$4, $A3, Ledger!$C$2:$C$4, BA$2)),"****")</f>
        <v/>
      </c>
      <c r="BB3" t="str">
        <f>IFERROR(IF($C3="","",SUMIFS(Ledger!$K$2:$K$4, Ledger!$B$2:$B$4, $A3, Ledger!$C$2:$C$4, BB$2)),"****")</f>
        <v/>
      </c>
      <c r="BC3" t="str">
        <f>IFERROR(IF($C3="","",SUMIFS(Ledger!$K$2:$K$4, Ledger!$B$2:$B$4, $A3, Ledger!$C$2:$C$4, BC$2)),"****")</f>
        <v/>
      </c>
      <c r="BD3" t="str">
        <f>IFERROR(IF($C3="","",SUMIFS(Ledger!$K$2:$K$4, Ledger!$B$2:$B$4, $A3, Ledger!$C$2:$C$4, BD$2)),"****")</f>
        <v/>
      </c>
      <c r="BE3" t="str">
        <f>IFERROR(IF($C3="","",SUMIFS(Ledger!$K$2:$K$4, Ledger!$B$2:$B$4, $A3, Ledger!$C$2:$C$4, BE$2)),"****")</f>
        <v/>
      </c>
      <c r="BF3" t="str">
        <f>IFERROR(IF($C3="","",SUMIFS(Ledger!$K$2:$K$4, Ledger!$B$2:$B$4, $A3, Ledger!$C$2:$C$4, BF$2)),"****")</f>
        <v/>
      </c>
      <c r="BG3" t="str">
        <f>IFERROR(IF($C3="","",SUMIFS(Ledger!$K$2:$K$4, Ledger!$B$2:$B$4, $A3, Ledger!$C$2:$C$4, BG$2)),"****")</f>
        <v/>
      </c>
      <c r="BH3" t="str">
        <f>IFERROR(IF($C3="","",SUMIFS(Ledger!$K$2:$K$4, Ledger!$B$2:$B$4, $A3, Ledger!$C$2:$C$4, BH$2)),"****")</f>
        <v/>
      </c>
      <c r="BI3" t="str">
        <f>IFERROR(IF($C3="","",SUMIFS(Ledger!$K$2:$K$4, Ledger!$B$2:$B$4, $A3, Ledger!$C$2:$C$4, BI$2)),"****")</f>
        <v/>
      </c>
      <c r="BJ3" t="str">
        <f>IFERROR(IF($C3="","",SUMIFS(Ledger!$K$2:$K$4, Ledger!$B$2:$B$4, $A3, Ledger!$C$2:$C$4, BJ$2)),"****")</f>
        <v/>
      </c>
      <c r="BK3" t="str">
        <f>IFERROR(IF($C3="","",SUMIFS(Ledger!$K$2:$K$4, Ledger!$B$2:$B$4, $A3, Ledger!$C$2:$C$4, BK$2)),"****")</f>
        <v/>
      </c>
      <c r="BL3" t="str">
        <f>IFERROR(IF($C3="","",SUMIFS(Ledger!$K$2:$K$4, Ledger!$B$2:$B$4, $A3, Ledger!$C$2:$C$4, BL$2)),"****")</f>
        <v/>
      </c>
      <c r="BM3" t="str">
        <f>IFERROR(IF($C3="","",SUMIFS(Ledger!$K$2:$K$4, Ledger!$B$2:$B$4, $A3, Ledger!$C$2:$C$4, BM$2)),"****")</f>
        <v/>
      </c>
      <c r="BN3" t="str">
        <f>IFERROR(IF($C3="","",SUMIFS(Ledger!$K$2:$K$4, Ledger!$B$2:$B$4, $A3, Ledger!$C$2:$C$4, BN$2)),"****")</f>
        <v/>
      </c>
      <c r="BO3" t="str">
        <f>IFERROR(IF($C3="","",SUMIFS(Ledger!$K$2:$K$4, Ledger!$B$2:$B$4, $A3, Ledger!$C$2:$C$4, BO$2)),"****")</f>
        <v/>
      </c>
      <c r="BP3" t="str">
        <f>IFERROR(IF($C3="","",SUMIFS(Ledger!$K$2:$K$4, Ledger!$B$2:$B$4, $A3, Ledger!$C$2:$C$4, BP$2)),"****")</f>
        <v/>
      </c>
      <c r="BQ3" t="str">
        <f>IFERROR(IF($C3="","",SUMIFS(Ledger!$K$2:$K$4, Ledger!$B$2:$B$4, $A3, Ledger!$C$2:$C$4, BQ$2)),"****")</f>
        <v/>
      </c>
      <c r="BR3" t="str">
        <f>IFERROR(IF($C3="","",SUMIFS(Ledger!$K$2:$K$4, Ledger!$B$2:$B$4, $A3, Ledger!$C$2:$C$4, BR$2)),"****")</f>
        <v/>
      </c>
      <c r="BS3" t="str">
        <f>IFERROR(IF($C3="","",SUMIFS(Ledger!$K$2:$K$4, Ledger!$B$2:$B$4, $A3, Ledger!$C$2:$C$4, BS$2)),"****")</f>
        <v/>
      </c>
      <c r="BT3" t="str">
        <f>IFERROR(IF($C3="","",SUMIFS(Ledger!$K$2:$K$4, Ledger!$B$2:$B$4, $A3, Ledger!$C$2:$C$4, BT$2)),"****")</f>
        <v/>
      </c>
      <c r="BU3" t="str">
        <f>IFERROR(IF($C3="","",SUMIFS(Ledger!$K$2:$K$4, Ledger!$B$2:$B$4, $A3, Ledger!$C$2:$C$4, BU$2)),"****")</f>
        <v/>
      </c>
      <c r="BV3" t="str">
        <f>IFERROR(IF($C3="","",SUMIFS(Ledger!$K$2:$K$4, Ledger!$B$2:$B$4, $A3, Ledger!$C$2:$C$4, BV$2)),"****")</f>
        <v/>
      </c>
      <c r="BW3" t="str">
        <f>IFERROR(IF($C3="","",SUMIFS(Ledger!$K$2:$K$4, Ledger!$B$2:$B$4, $A3, Ledger!$C$2:$C$4, BW$2)),"****")</f>
        <v/>
      </c>
      <c r="BX3" t="str">
        <f>IFERROR(IF($C3="","",SUMIFS(Ledger!$K$2:$K$4, Ledger!$B$2:$B$4, $A3, Ledger!$C$2:$C$4, BX$2)),"****")</f>
        <v/>
      </c>
      <c r="BY3" t="str">
        <f>IFERROR(IF($C3="","",SUMIFS(Ledger!$K$2:$K$4, Ledger!$B$2:$B$4, $A3, Ledger!$C$2:$C$4, BY$2)),"****")</f>
        <v/>
      </c>
      <c r="BZ3" t="str">
        <f>IFERROR(IF($C3="","",SUMIFS(Ledger!$K$2:$K$4, Ledger!$B$2:$B$4, $A3, Ledger!$C$2:$C$4, BZ$2)),"****")</f>
        <v/>
      </c>
      <c r="CA3" t="str">
        <f>IFERROR(IF($C3="","",SUMIFS(Ledger!$K$2:$K$4, Ledger!$B$2:$B$4, $A3, Ledger!$C$2:$C$4, CA$2)),"****")</f>
        <v/>
      </c>
      <c r="CB3" t="str">
        <f>IFERROR(IF($C3="","",SUMIFS(Ledger!$K$2:$K$4, Ledger!$B$2:$B$4, $A3, Ledger!$C$2:$C$4, CB$2)),"****")</f>
        <v/>
      </c>
      <c r="CC3" t="str">
        <f>IFERROR(IF($C3="","",SUMIFS(Ledger!$K$2:$K$4, Ledger!$B$2:$B$4, $A3, Ledger!$C$2:$C$4, CC$2)),"****")</f>
        <v/>
      </c>
      <c r="CD3" t="str">
        <f>IFERROR(IF($C3="","",SUMIFS(Ledger!$K$2:$K$4, Ledger!$B$2:$B$4, $A3, Ledger!$C$2:$C$4, CD$2)),"****")</f>
        <v/>
      </c>
      <c r="CE3" t="str">
        <f>IFERROR(IF($C3="","",SUMIFS(Ledger!$K$2:$K$4, Ledger!$B$2:$B$4, $A3, Ledger!$C$2:$C$4, CE$2)),"****")</f>
        <v/>
      </c>
      <c r="CF3" t="str">
        <f>IFERROR(IF($C3="","",SUMIFS(Ledger!$K$2:$K$4, Ledger!$B$2:$B$4, $A3, Ledger!$C$2:$C$4, CF$2)),"****")</f>
        <v/>
      </c>
      <c r="CG3" t="str">
        <f>IFERROR(IF($C3="","",SUMIFS(Ledger!$K$2:$K$4, Ledger!$B$2:$B$4, $A3, Ledger!$C$2:$C$4, CG$2)),"****")</f>
        <v/>
      </c>
      <c r="CH3" t="str">
        <f>IFERROR(IF($C3="","",SUMIFS(Ledger!$K$2:$K$4, Ledger!$B$2:$B$4, $A3, Ledger!$C$2:$C$4, CH$2)),"****")</f>
        <v/>
      </c>
      <c r="CI3" t="str">
        <f>IFERROR(IF($C3="","",SUMIFS(Ledger!$K$2:$K$4, Ledger!$B$2:$B$4, $A3, Ledger!$C$2:$C$4, CI$2)),"****")</f>
        <v/>
      </c>
      <c r="CJ3" t="str">
        <f>IFERROR(IF($C3="","",SUMIFS(Ledger!$K$2:$K$4, Ledger!$B$2:$B$4, $A3, Ledger!$C$2:$C$4, CJ$2)),"****")</f>
        <v/>
      </c>
      <c r="CK3" t="str">
        <f>IFERROR(IF($C3="","",SUMIFS(Ledger!$K$2:$K$4, Ledger!$B$2:$B$4, $A3, Ledger!$C$2:$C$4, CK$2)),"****")</f>
        <v/>
      </c>
      <c r="CL3" t="str">
        <f>IFERROR(IF($C3="","",SUMIFS(Ledger!$K$2:$K$4, Ledger!$B$2:$B$4, $A3, Ledger!$C$2:$C$4, CL$2)),"****")</f>
        <v/>
      </c>
      <c r="CM3" t="str">
        <f>IFERROR(IF($C3="","",SUMIFS(Ledger!$K$2:$K$4, Ledger!$B$2:$B$4, $A3, Ledger!$C$2:$C$4, CM$2)),"****")</f>
        <v/>
      </c>
      <c r="CN3" t="str">
        <f>IFERROR(IF($C3="","",SUMIFS(Ledger!$K$2:$K$4, Ledger!$B$2:$B$4, $A3, Ledger!$C$2:$C$4, CN$2)),"****")</f>
        <v/>
      </c>
      <c r="CO3" t="str">
        <f>IFERROR(IF($C3="","",SUMIFS(Ledger!$K$2:$K$4, Ledger!$B$2:$B$4, $A3, Ledger!$C$2:$C$4, CO$2)),"****")</f>
        <v/>
      </c>
      <c r="CP3" t="str">
        <f>IFERROR(IF($C3="","",SUMIFS(Ledger!$K$2:$K$4, Ledger!$B$2:$B$4, $A3, Ledger!$C$2:$C$4, CP$2)),"****")</f>
        <v/>
      </c>
      <c r="CQ3" t="str">
        <f>IFERROR(IF($C3="","",SUMIFS(Ledger!$K$2:$K$4, Ledger!$B$2:$B$4, $A3, Ledger!$C$2:$C$4, CQ$2)),"****")</f>
        <v/>
      </c>
      <c r="CR3" t="str">
        <f>IFERROR(IF($C3="","",SUMIFS(Ledger!$K$2:$K$4, Ledger!$B$2:$B$4, $A3, Ledger!$C$2:$C$4, CR$2)),"****")</f>
        <v/>
      </c>
      <c r="CS3" t="str">
        <f>IFERROR(IF($C3="","",SUMIFS(Ledger!$K$2:$K$4, Ledger!$B$2:$B$4, $A3, Ledger!$C$2:$C$4, CS$2)),"****")</f>
        <v/>
      </c>
      <c r="CT3" t="str">
        <f>IFERROR(IF($C3="","",SUMIFS(Ledger!$K$2:$K$4, Ledger!$B$2:$B$4, $A3, Ledger!$C$2:$C$4, CT$2)),"****")</f>
        <v/>
      </c>
      <c r="CU3" t="str">
        <f>IFERROR(IF($C3="","",SUMIFS(Ledger!$K$2:$K$4, Ledger!$B$2:$B$4, $A3, Ledger!$C$2:$C$4, CU$2)),"****")</f>
        <v/>
      </c>
      <c r="CV3" t="str">
        <f>IFERROR(IF($C3="","",SUMIFS(Ledger!$K$2:$K$4, Ledger!$B$2:$B$4, $A3, Ledger!$C$2:$C$4, CV$2)),"****")</f>
        <v/>
      </c>
      <c r="CW3" t="str">
        <f>IFERROR(IF($C3="","",SUMIFS(Ledger!$K$2:$K$4, Ledger!$B$2:$B$4, $A3, Ledger!$C$2:$C$4, CW$2)),"****")</f>
        <v/>
      </c>
      <c r="CX3" t="str">
        <f>IFERROR(IF($C3="","",SUMIFS(Ledger!$K$2:$K$4, Ledger!$B$2:$B$4, $A3, Ledger!$C$2:$C$4, CX$2)),"****")</f>
        <v/>
      </c>
      <c r="CY3" t="str">
        <f>IFERROR(IF($C3="","",SUMIFS(Ledger!$K$2:$K$4, Ledger!$B$2:$B$4, $A3, Ledger!$C$2:$C$4, CY$2)),"****")</f>
        <v/>
      </c>
      <c r="CZ3" t="str">
        <f>IFERROR(IF($C3="","",SUMIFS(Ledger!$K$2:$K$4, Ledger!$B$2:$B$4, $A3, Ledger!$C$2:$C$4, CZ$2)),"****")</f>
        <v/>
      </c>
      <c r="DA3" t="str">
        <f>IFERROR(IF($C3="","",SUMIFS(Ledger!$K$2:$K$4, Ledger!$B$2:$B$4, $A3, Ledger!$C$2:$C$4, DA$2)),"****")</f>
        <v/>
      </c>
      <c r="DB3" t="str">
        <f>IFERROR(IF($C3="","",SUMIFS(Ledger!$K$2:$K$4, Ledger!$B$2:$B$4, $A3, Ledger!$C$2:$C$4, DB$2)),"****")</f>
        <v/>
      </c>
      <c r="DC3" t="str">
        <f>IFERROR(IF($C3="","",SUMIFS(Ledger!$K$2:$K$4, Ledger!$B$2:$B$4, $A3, Ledger!$C$2:$C$4, DC$2)),"****")</f>
        <v/>
      </c>
      <c r="DD3" t="str">
        <f>IFERROR(IF($C3="","",SUMIFS(Ledger!$K$2:$K$4, Ledger!$B$2:$B$4, $A3, Ledger!$C$2:$C$4, DD$2)),"****")</f>
        <v/>
      </c>
      <c r="DE3" t="str">
        <f>IFERROR(IF($C3="","",SUMIFS(Ledger!$K$2:$K$4, Ledger!$B$2:$B$4, $A3, Ledger!$C$2:$C$4, DE$2)),"****")</f>
        <v/>
      </c>
      <c r="DF3" t="str">
        <f>IFERROR(IF($C3="","",SUMIFS(Ledger!$K$2:$K$4, Ledger!$B$2:$B$4, $A3, Ledger!$C$2:$C$4, DF$2)),"****")</f>
        <v/>
      </c>
      <c r="DG3" t="str">
        <f>IFERROR(IF($C3="","",SUMIFS(Ledger!$K$2:$K$4, Ledger!$B$2:$B$4, $A3, Ledger!$C$2:$C$4, DG$2)),"****")</f>
        <v/>
      </c>
      <c r="DH3" t="str">
        <f>IFERROR(IF($C3="","",SUMIFS(Ledger!$K$2:$K$4, Ledger!$B$2:$B$4, $A3, Ledger!$C$2:$C$4, DH$2)),"****")</f>
        <v/>
      </c>
      <c r="DI3" t="str">
        <f>IFERROR(IF($C3="","",SUMIFS(Ledger!$K$2:$K$4, Ledger!$B$2:$B$4, $A3, Ledger!$C$2:$C$4, DI$2)),"****")</f>
        <v/>
      </c>
      <c r="DJ3" t="str">
        <f>IFERROR(IF($C3="","",SUMIFS(Ledger!$K$2:$K$4, Ledger!$B$2:$B$4, $A3, Ledger!$C$2:$C$4, DJ$2)),"****")</f>
        <v/>
      </c>
      <c r="DK3" t="str">
        <f>IFERROR(IF($C3="","",SUMIFS(Ledger!$K$2:$K$4, Ledger!$B$2:$B$4, $A3, Ledger!$C$2:$C$4, DK$2)),"****")</f>
        <v/>
      </c>
      <c r="DL3" t="str">
        <f>IFERROR(IF($C3="","",SUMIFS(Ledger!$K$2:$K$4, Ledger!$B$2:$B$4, $A3, Ledger!$C$2:$C$4, DL$2)),"****")</f>
        <v/>
      </c>
      <c r="DM3" t="str">
        <f>IFERROR(IF($C3="","",SUMIFS(Ledger!$K$2:$K$4, Ledger!$B$2:$B$4, $A3, Ledger!$C$2:$C$4, DM$2)),"****")</f>
        <v/>
      </c>
      <c r="DN3" t="str">
        <f>IFERROR(IF($C3="","",SUMIFS(Ledger!$K$2:$K$4, Ledger!$B$2:$B$4, $A3, Ledger!$C$2:$C$4, DN$2)),"****")</f>
        <v/>
      </c>
      <c r="DO3" t="str">
        <f>IFERROR(IF($C3="","",SUMIFS(Ledger!$K$2:$K$4, Ledger!$B$2:$B$4, $A3, Ledger!$C$2:$C$4, DO$2)),"****")</f>
        <v/>
      </c>
      <c r="DP3" t="str">
        <f>IFERROR(IF($C3="","",SUMIFS(Ledger!$K$2:$K$4, Ledger!$B$2:$B$4, $A3, Ledger!$C$2:$C$4, DP$2)),"****")</f>
        <v/>
      </c>
      <c r="DQ3" t="str">
        <f>IFERROR(IF($C3="","",SUMIFS(Ledger!$K$2:$K$4, Ledger!$B$2:$B$4, $A3, Ledger!$C$2:$C$4, DQ$2)),"****")</f>
        <v/>
      </c>
      <c r="DR3" t="str">
        <f>IFERROR(IF($C3="","",SUMIFS(Ledger!$K$2:$K$4, Ledger!$B$2:$B$4, $A3, Ledger!$C$2:$C$4, DR$2)),"****")</f>
        <v/>
      </c>
      <c r="DS3" t="str">
        <f>IFERROR(IF($C3="","",SUMIFS(Ledger!$K$2:$K$4, Ledger!$B$2:$B$4, $A3, Ledger!$C$2:$C$4, DS$2)),"****")</f>
        <v/>
      </c>
      <c r="DT3" t="str">
        <f>IFERROR(IF($C3="","",SUMIFS(Ledger!$K$2:$K$4, Ledger!$B$2:$B$4, $A3, Ledger!$C$2:$C$4, DT$2)),"****")</f>
        <v/>
      </c>
      <c r="DU3" t="str">
        <f>IFERROR(IF($C3="","",SUMIFS(Ledger!$K$2:$K$4, Ledger!$B$2:$B$4, $A3, Ledger!$C$2:$C$4, DU$2)),"****")</f>
        <v/>
      </c>
      <c r="DV3" t="str">
        <f>IFERROR(IF($C3="","",SUMIFS(Ledger!$K$2:$K$4, Ledger!$B$2:$B$4, $A3, Ledger!$C$2:$C$4, DV$2)),"****")</f>
        <v/>
      </c>
      <c r="DW3" t="str">
        <f>IFERROR(IF($C3="","",SUMIFS(Ledger!$K$2:$K$4, Ledger!$B$2:$B$4, $A3, Ledger!$C$2:$C$4, DW$2)),"****")</f>
        <v/>
      </c>
      <c r="DX3" t="str">
        <f>IFERROR(IF($C3="","",SUMIFS(Ledger!$K$2:$K$4, Ledger!$B$2:$B$4, $A3, Ledger!$C$2:$C$4, DX$2)),"****")</f>
        <v/>
      </c>
      <c r="DY3" t="str">
        <f>IFERROR(IF($C3="","",SUMIFS(Ledger!$K$2:$K$4, Ledger!$B$2:$B$4, $A3, Ledger!$C$2:$C$4, DY$2)),"****")</f>
        <v/>
      </c>
      <c r="DZ3" t="str">
        <f>IFERROR(IF($C3="","",SUMIFS(Ledger!$K$2:$K$4, Ledger!$B$2:$B$4, $A3, Ledger!$C$2:$C$4, DZ$2)),"****")</f>
        <v/>
      </c>
      <c r="EA3" t="str">
        <f>IFERROR(IF($C3="","",SUMIFS(Ledger!$K$2:$K$4, Ledger!$B$2:$B$4, $A3, Ledger!$C$2:$C$4, EA$2)),"****")</f>
        <v/>
      </c>
      <c r="EB3" t="str">
        <f>IFERROR(IF($C3="","",SUMIFS(Ledger!$K$2:$K$4, Ledger!$B$2:$B$4, $A3, Ledger!$C$2:$C$4, EB$2)),"****")</f>
        <v/>
      </c>
      <c r="EC3" t="str">
        <f>IFERROR(IF($C3="","",SUMIFS(Ledger!$K$2:$K$4, Ledger!$B$2:$B$4, $A3, Ledger!$C$2:$C$4, EC$2)),"****")</f>
        <v/>
      </c>
      <c r="ED3" t="str">
        <f>IFERROR(IF($C3="","",SUMIFS(Ledger!$K$2:$K$4, Ledger!$B$2:$B$4, $A3, Ledger!$C$2:$C$4, ED$2)),"****")</f>
        <v/>
      </c>
      <c r="EE3" t="str">
        <f>IFERROR(IF($C3="","",SUMIFS(Ledger!$K$2:$K$4, Ledger!$B$2:$B$4, $A3, Ledger!$C$2:$C$4, EE$2)),"****")</f>
        <v/>
      </c>
      <c r="EF3" t="str">
        <f>IFERROR(IF($C3="","",SUMIFS(Ledger!$K$2:$K$4, Ledger!$B$2:$B$4, $A3, Ledger!$C$2:$C$4, EF$2)),"****")</f>
        <v/>
      </c>
      <c r="EG3" t="str">
        <f>IFERROR(IF($C3="","",SUMIFS(Ledger!$K$2:$K$4, Ledger!$B$2:$B$4, $A3, Ledger!$C$2:$C$4, EG$2)),"****")</f>
        <v/>
      </c>
      <c r="EH3" t="str">
        <f>IFERROR(IF($C3="","",SUMIFS(Ledger!$K$2:$K$4, Ledger!$B$2:$B$4, $A3, Ledger!$C$2:$C$4, EH$2)),"****")</f>
        <v/>
      </c>
      <c r="EI3" t="str">
        <f>IFERROR(IF($C3="","",SUMIFS(Ledger!$K$2:$K$4, Ledger!$B$2:$B$4, $A3, Ledger!$C$2:$C$4, EI$2)),"****")</f>
        <v/>
      </c>
      <c r="EJ3" t="str">
        <f>IFERROR(IF($C3="","",SUMIFS(Ledger!$K$2:$K$4, Ledger!$B$2:$B$4, $A3, Ledger!$C$2:$C$4, EJ$2)),"****")</f>
        <v/>
      </c>
      <c r="EK3" t="str">
        <f>IFERROR(IF($C3="","",SUMIFS(Ledger!$K$2:$K$4, Ledger!$B$2:$B$4, $A3, Ledger!$C$2:$C$4, EK$2)),"****")</f>
        <v/>
      </c>
      <c r="EL3" t="str">
        <f>IFERROR(IF($C3="","",SUMIFS(Ledger!$K$2:$K$4, Ledger!$B$2:$B$4, $A3, Ledger!$C$2:$C$4, EL$2)),"****")</f>
        <v/>
      </c>
      <c r="EM3" t="str">
        <f>IFERROR(IF($C3="","",SUMIFS(Ledger!$K$2:$K$4, Ledger!$B$2:$B$4, $A3, Ledger!$C$2:$C$4, EM$2)),"****")</f>
        <v/>
      </c>
      <c r="EN3" t="str">
        <f>IFERROR(IF($C3="","",SUMIFS(Ledger!$K$2:$K$4, Ledger!$B$2:$B$4, $A3, Ledger!$C$2:$C$4, EN$2)),"****")</f>
        <v/>
      </c>
      <c r="EO3" t="str">
        <f>IFERROR(IF($C3="","",SUMIFS(Ledger!$K$2:$K$4, Ledger!$B$2:$B$4, $A3, Ledger!$C$2:$C$4, EO$2)),"****")</f>
        <v/>
      </c>
      <c r="EP3" t="str">
        <f>IFERROR(IF($C3="","",SUMIFS(Ledger!$K$2:$K$4, Ledger!$B$2:$B$4, $A3, Ledger!$C$2:$C$4, EP$2)),"****")</f>
        <v/>
      </c>
      <c r="EQ3" t="str">
        <f>IFERROR(IF($C3="","",SUMIFS(Ledger!$K$2:$K$4, Ledger!$B$2:$B$4, $A3, Ledger!$C$2:$C$4, EQ$2)),"****")</f>
        <v/>
      </c>
      <c r="ER3" t="str">
        <f>IFERROR(IF($C3="","",SUMIFS(Ledger!$K$2:$K$4, Ledger!$B$2:$B$4, $A3, Ledger!$C$2:$C$4, ER$2)),"****")</f>
        <v/>
      </c>
      <c r="ES3" t="str">
        <f>IFERROR(IF($C3="","",SUMIFS(Ledger!$K$2:$K$4, Ledger!$B$2:$B$4, $A3, Ledger!$C$2:$C$4, ES$2)),"****")</f>
        <v/>
      </c>
      <c r="ET3" t="str">
        <f>IFERROR(IF($C3="","",SUMIFS(Ledger!$K$2:$K$4, Ledger!$B$2:$B$4, $A3, Ledger!$C$2:$C$4, ET$2)),"****")</f>
        <v/>
      </c>
      <c r="EU3" t="str">
        <f>IFERROR(IF($C3="","",SUMIFS(Ledger!$K$2:$K$4, Ledger!$B$2:$B$4, $A3, Ledger!$C$2:$C$4, EU$2)),"****")</f>
        <v/>
      </c>
      <c r="EV3" t="str">
        <f>IFERROR(IF($C3="","",SUMIFS(Ledger!$K$2:$K$4, Ledger!$B$2:$B$4, $A3, Ledger!$C$2:$C$4, EV$2)),"****")</f>
        <v/>
      </c>
      <c r="EW3" t="str">
        <f>IFERROR(IF($C3="","",SUMIFS(Ledger!$K$2:$K$4, Ledger!$B$2:$B$4, $A3, Ledger!$C$2:$C$4, EW$2)),"****")</f>
        <v/>
      </c>
      <c r="EX3" t="str">
        <f>IFERROR(IF($C3="","",SUMIFS(Ledger!$K$2:$K$4, Ledger!$B$2:$B$4, $A3, Ledger!$C$2:$C$4, EX$2)),"****")</f>
        <v/>
      </c>
      <c r="EY3" t="str">
        <f>IFERROR(IF($C3="","",SUMIFS(Ledger!$K$2:$K$4, Ledger!$B$2:$B$4, $A3, Ledger!$C$2:$C$4, EY$2)),"****")</f>
        <v/>
      </c>
      <c r="EZ3" t="str">
        <f>IFERROR(IF($C3="","",SUMIFS(Ledger!$K$2:$K$4, Ledger!$B$2:$B$4, $A3, Ledger!$C$2:$C$4, EZ$2)),"****")</f>
        <v/>
      </c>
      <c r="FA3" t="str">
        <f>IFERROR(IF($C3="","",SUMIFS(Ledger!$K$2:$K$4, Ledger!$B$2:$B$4, $A3, Ledger!$C$2:$C$4, FA$2)),"****")</f>
        <v/>
      </c>
      <c r="FB3" t="str">
        <f>IFERROR(IF($C3="","",SUMIFS(Ledger!$K$2:$K$4, Ledger!$B$2:$B$4, $A3, Ledger!$C$2:$C$4, FB$2)),"****")</f>
        <v/>
      </c>
      <c r="FC3" t="str">
        <f>IFERROR(IF($C3="","",SUMIFS(Ledger!$K$2:$K$4, Ledger!$B$2:$B$4, $A3, Ledger!$C$2:$C$4, FC$2)),"****")</f>
        <v/>
      </c>
      <c r="FD3" t="str">
        <f>IFERROR(IF($C3="","",SUMIFS(Ledger!$K$2:$K$4, Ledger!$B$2:$B$4, $A3, Ledger!$C$2:$C$4, FD$2)),"****")</f>
        <v/>
      </c>
      <c r="FE3" t="str">
        <f>IFERROR(IF($C3="","",SUMIFS(Ledger!$K$2:$K$4, Ledger!$B$2:$B$4, $A3, Ledger!$C$2:$C$4, FE$2)),"****")</f>
        <v/>
      </c>
      <c r="FF3" t="str">
        <f>IFERROR(IF($C3="","",SUMIFS(Ledger!$K$2:$K$4, Ledger!$B$2:$B$4, $A3, Ledger!$C$2:$C$4, FF$2)),"****")</f>
        <v/>
      </c>
      <c r="FG3" t="str">
        <f>IFERROR(IF($C3="","",SUMIFS(Ledger!$K$2:$K$4, Ledger!$B$2:$B$4, $A3, Ledger!$C$2:$C$4, FG$2)),"****")</f>
        <v/>
      </c>
      <c r="FH3" t="str">
        <f>IFERROR(IF($C3="","",SUMIFS(Ledger!$K$2:$K$4, Ledger!$B$2:$B$4, $A3, Ledger!$C$2:$C$4, FH$2)),"****")</f>
        <v/>
      </c>
      <c r="FI3" t="str">
        <f>IFERROR(IF($C3="","",SUMIFS(Ledger!$K$2:$K$4, Ledger!$B$2:$B$4, $A3, Ledger!$C$2:$C$4, FI$2)),"****")</f>
        <v/>
      </c>
      <c r="FJ3" t="str">
        <f>IFERROR(IF($C3="","",SUMIFS(Ledger!$K$2:$K$4, Ledger!$B$2:$B$4, $A3, Ledger!$C$2:$C$4, FJ$2)),"****")</f>
        <v/>
      </c>
      <c r="FK3" t="str">
        <f>IFERROR(IF($C3="","",SUMIFS(Ledger!$K$2:$K$4, Ledger!$B$2:$B$4, $A3, Ledger!$C$2:$C$4, FK$2)),"****")</f>
        <v/>
      </c>
      <c r="FL3" t="str">
        <f>IFERROR(IF($C3="","",SUMIFS(Ledger!$K$2:$K$4, Ledger!$B$2:$B$4, $A3, Ledger!$C$2:$C$4, FL$2)),"****")</f>
        <v/>
      </c>
      <c r="FM3" t="str">
        <f>IFERROR(IF($C3="","",SUMIFS(Ledger!$K$2:$K$4, Ledger!$B$2:$B$4, $A3, Ledger!$C$2:$C$4, FM$2)),"****")</f>
        <v/>
      </c>
      <c r="FN3" t="str">
        <f>IFERROR(IF($C3="","",SUMIFS(Ledger!$K$2:$K$4, Ledger!$B$2:$B$4, $A3, Ledger!$C$2:$C$4, FN$2)),"****")</f>
        <v/>
      </c>
      <c r="FO3" t="str">
        <f>IFERROR(IF($C3="","",SUMIFS(Ledger!$K$2:$K$4, Ledger!$B$2:$B$4, $A3, Ledger!$C$2:$C$4, FO$2)),"****")</f>
        <v/>
      </c>
      <c r="FP3" t="str">
        <f>IFERROR(IF($C3="","",SUMIFS(Ledger!$K$2:$K$4, Ledger!$B$2:$B$4, $A3, Ledger!$C$2:$C$4, FP$2)),"****")</f>
        <v/>
      </c>
      <c r="FQ3" t="str">
        <f>IFERROR(IF($C3="","",SUMIFS(Ledger!$K$2:$K$4, Ledger!$B$2:$B$4, $A3, Ledger!$C$2:$C$4, FQ$2)),"****")</f>
        <v/>
      </c>
      <c r="FR3" t="str">
        <f>IFERROR(IF($C3="","",SUMIFS(Ledger!$K$2:$K$4, Ledger!$B$2:$B$4, $A3, Ledger!$C$2:$C$4, FR$2)),"****")</f>
        <v/>
      </c>
      <c r="FS3" t="str">
        <f>IFERROR(IF($C3="","",SUMIFS(Ledger!$K$2:$K$4, Ledger!$B$2:$B$4, $A3, Ledger!$C$2:$C$4, FS$2)),"****")</f>
        <v/>
      </c>
      <c r="FT3" t="str">
        <f>IFERROR(IF($C3="","",SUMIFS(Ledger!$K$2:$K$4, Ledger!$B$2:$B$4, $A3, Ledger!$C$2:$C$4, FT$2)),"****")</f>
        <v/>
      </c>
      <c r="FU3" t="str">
        <f>IFERROR(IF($C3="","",SUMIFS(Ledger!$K$2:$K$4, Ledger!$B$2:$B$4, $A3, Ledger!$C$2:$C$4, FU$2)),"****")</f>
        <v/>
      </c>
      <c r="FV3" t="str">
        <f>IFERROR(IF($C3="","",SUMIFS(Ledger!$K$2:$K$4, Ledger!$B$2:$B$4, $A3, Ledger!$C$2:$C$4, FV$2)),"****")</f>
        <v/>
      </c>
      <c r="FW3" t="str">
        <f>IFERROR(IF($C3="","",SUMIFS(Ledger!$K$2:$K$4, Ledger!$B$2:$B$4, $A3, Ledger!$C$2:$C$4, FW$2)),"****")</f>
        <v/>
      </c>
      <c r="FX3" t="str">
        <f>IFERROR(IF($C3="","",SUMIFS(Ledger!$K$2:$K$4, Ledger!$B$2:$B$4, $A3, Ledger!$C$2:$C$4, FX$2)),"****")</f>
        <v/>
      </c>
      <c r="FY3" t="str">
        <f>IFERROR(IF($C3="","",SUMIFS(Ledger!$K$2:$K$4, Ledger!$B$2:$B$4, $A3, Ledger!$C$2:$C$4, FY$2)),"****")</f>
        <v/>
      </c>
      <c r="FZ3" t="str">
        <f>IFERROR(IF($C3="","",SUMIFS(Ledger!$K$2:$K$4, Ledger!$B$2:$B$4, $A3, Ledger!$C$2:$C$4, FZ$2)),"****")</f>
        <v/>
      </c>
      <c r="GA3" t="str">
        <f>IFERROR(IF($C3="","",SUMIFS(Ledger!$K$2:$K$4, Ledger!$B$2:$B$4, $A3, Ledger!$C$2:$C$4, GA$2)),"****")</f>
        <v/>
      </c>
      <c r="GB3" t="str">
        <f>IFERROR(IF($C3="","",SUMIFS(Ledger!$K$2:$K$4, Ledger!$B$2:$B$4, $A3, Ledger!$C$2:$C$4, GB$2)),"****")</f>
        <v/>
      </c>
      <c r="GC3" t="str">
        <f>IFERROR(IF($C3="","",SUMIFS(Ledger!$K$2:$K$4, Ledger!$B$2:$B$4, $A3, Ledger!$C$2:$C$4, GC$2)),"****")</f>
        <v/>
      </c>
      <c r="GD3" t="str">
        <f>IFERROR(IF($C3="","",SUMIFS(Ledger!$K$2:$K$4, Ledger!$B$2:$B$4, $A3, Ledger!$C$2:$C$4, GD$2)),"****")</f>
        <v/>
      </c>
      <c r="GE3" t="str">
        <f>IFERROR(IF($C3="","",SUMIFS(Ledger!$K$2:$K$4, Ledger!$B$2:$B$4, $A3, Ledger!$C$2:$C$4, GE$2)),"****")</f>
        <v/>
      </c>
      <c r="GF3" t="str">
        <f>IFERROR(IF($C3="","",SUMIFS(Ledger!$K$2:$K$4, Ledger!$B$2:$B$4, $A3, Ledger!$C$2:$C$4, GF$2)),"****")</f>
        <v/>
      </c>
      <c r="GG3" t="str">
        <f>IFERROR(IF($C3="","",SUMIFS(Ledger!$K$2:$K$4, Ledger!$B$2:$B$4, $A3, Ledger!$C$2:$C$4, GG$2)),"****")</f>
        <v/>
      </c>
      <c r="GH3" t="str">
        <f>IFERROR(IF($C3="","",SUMIFS(Ledger!$K$2:$K$4, Ledger!$B$2:$B$4, $A3, Ledger!$C$2:$C$4, GH$2)),"****")</f>
        <v/>
      </c>
      <c r="GI3" t="str">
        <f>IFERROR(IF($C3="","",SUMIFS(Ledger!$K$2:$K$4, Ledger!$B$2:$B$4, $A3, Ledger!$C$2:$C$4, GI$2)),"****")</f>
        <v/>
      </c>
      <c r="GJ3" t="str">
        <f>IFERROR(IF($C3="","",SUMIFS(Ledger!$K$2:$K$4, Ledger!$B$2:$B$4, $A3, Ledger!$C$2:$C$4, GJ$2)),"****")</f>
        <v/>
      </c>
      <c r="GK3" t="str">
        <f>IFERROR(IF($C3="","",SUMIFS(Ledger!$K$2:$K$4, Ledger!$B$2:$B$4, $A3, Ledger!$C$2:$C$4, GK$2)),"****")</f>
        <v/>
      </c>
      <c r="GL3" t="str">
        <f>IFERROR(IF($C3="","",SUMIFS(Ledger!$K$2:$K$4, Ledger!$B$2:$B$4, $A3, Ledger!$C$2:$C$4, GL$2)),"****")</f>
        <v/>
      </c>
      <c r="GM3" t="str">
        <f>IFERROR(IF($C3="","",SUMIFS(Ledger!$K$2:$K$4, Ledger!$B$2:$B$4, $A3, Ledger!$C$2:$C$4, GM$2)),"****")</f>
        <v/>
      </c>
      <c r="GN3" t="str">
        <f>IFERROR(IF($C3="","",SUMIFS(Ledger!$K$2:$K$4, Ledger!$B$2:$B$4, $A3, Ledger!$C$2:$C$4, GN$2)),"****")</f>
        <v/>
      </c>
      <c r="GO3" t="str">
        <f>IFERROR(IF($C3="","",SUMIFS(Ledger!$K$2:$K$4, Ledger!$B$2:$B$4, $A3, Ledger!$C$2:$C$4, GO$2)),"****")</f>
        <v/>
      </c>
      <c r="GP3" t="str">
        <f>IFERROR(IF($C3="","",SUMIFS(Ledger!$K$2:$K$4, Ledger!$B$2:$B$4, $A3, Ledger!$C$2:$C$4, GP$2)),"****")</f>
        <v/>
      </c>
      <c r="GQ3" t="str">
        <f>IFERROR(IF($C3="","",SUMIFS(Ledger!$K$2:$K$4, Ledger!$B$2:$B$4, $A3, Ledger!$C$2:$C$4, GQ$2)),"****")</f>
        <v/>
      </c>
      <c r="GR3" t="str">
        <f>IFERROR(IF($C3="","",SUMIFS(Ledger!$K$2:$K$4, Ledger!$B$2:$B$4, $A3, Ledger!$C$2:$C$4, GR$2)),"****")</f>
        <v/>
      </c>
      <c r="GS3" t="str">
        <f>IFERROR(IF($C3="","",SUMIFS(Ledger!$K$2:$K$4, Ledger!$B$2:$B$4, $A3, Ledger!$C$2:$C$4, GS$2)),"****")</f>
        <v/>
      </c>
      <c r="GT3" t="str">
        <f>IFERROR(IF($C3="","",SUMIFS(Ledger!$K$2:$K$4, Ledger!$B$2:$B$4, $A3, Ledger!$C$2:$C$4, GT$2)),"****")</f>
        <v/>
      </c>
      <c r="GU3" t="str">
        <f>IFERROR(IF($C3="","",SUMIFS(Ledger!$K$2:$K$4, Ledger!$B$2:$B$4, $A3, Ledger!$C$2:$C$4, GU$2)),"****")</f>
        <v/>
      </c>
      <c r="GV3" t="str">
        <f>IFERROR(IF($C3="","",SUMIFS(Ledger!$K$2:$K$4, Ledger!$B$2:$B$4, $A3, Ledger!$C$2:$C$4, GV$2)),"****")</f>
        <v/>
      </c>
      <c r="GW3" t="str">
        <f>IFERROR(IF($C3="","",SUMIFS(Ledger!$K$2:$K$4, Ledger!$B$2:$B$4, $A3, Ledger!$C$2:$C$4, GW$2)),"****")</f>
        <v/>
      </c>
      <c r="GX3" t="str">
        <f>IFERROR(IF($C3="","",SUMIFS(Ledger!$K$2:$K$4, Ledger!$B$2:$B$4, $A3, Ledger!$C$2:$C$4, GX$2)),"****")</f>
        <v/>
      </c>
      <c r="GY3" t="str">
        <f>IFERROR(IF($C3="","",SUMIFS(Ledger!$K$2:$K$4, Ledger!$B$2:$B$4, $A3, Ledger!$C$2:$C$4, GY$2)),"****")</f>
        <v/>
      </c>
      <c r="GZ3" t="str">
        <f>IFERROR(IF($C3="","",SUMIFS(Ledger!$K$2:$K$4, Ledger!$B$2:$B$4, $A3, Ledger!$C$2:$C$4, GZ$2)),"****")</f>
        <v/>
      </c>
      <c r="HA3" t="str">
        <f>IFERROR(IF($C3="","",SUMIFS(Ledger!$K$2:$K$4, Ledger!$B$2:$B$4, $A3, Ledger!$C$2:$C$4, HA$2)),"****")</f>
        <v/>
      </c>
      <c r="HB3" t="str">
        <f>IFERROR(IF($C3="","",SUMIFS(Ledger!$K$2:$K$4, Ledger!$B$2:$B$4, $A3, Ledger!$C$2:$C$4, HB$2)),"****")</f>
        <v/>
      </c>
      <c r="HC3" t="str">
        <f>IFERROR(IF($C3="","",SUMIFS(Ledger!$K$2:$K$4, Ledger!$B$2:$B$4, $A3, Ledger!$C$2:$C$4, HC$2)),"****")</f>
        <v/>
      </c>
      <c r="HD3" t="str">
        <f>IFERROR(IF($C3="","",SUMIFS(Ledger!$K$2:$K$4, Ledger!$B$2:$B$4, $A3, Ledger!$C$2:$C$4, HD$2)),"****")</f>
        <v/>
      </c>
      <c r="HE3" t="str">
        <f>IFERROR(IF($C3="","",SUMIFS(Ledger!$K$2:$K$4, Ledger!$B$2:$B$4, $A3, Ledger!$C$2:$C$4, HE$2)),"****")</f>
        <v/>
      </c>
      <c r="HF3" t="str">
        <f>IFERROR(IF($C3="","",SUMIFS(Ledger!$K$2:$K$4, Ledger!$B$2:$B$4, $A3, Ledger!$C$2:$C$4, HF$2)),"****")</f>
        <v/>
      </c>
      <c r="HG3" t="str">
        <f>IFERROR(IF($C3="","",SUMIFS(Ledger!$K$2:$K$4, Ledger!$B$2:$B$4, $A3, Ledger!$C$2:$C$4, HG$2)),"****")</f>
        <v/>
      </c>
      <c r="HH3" t="str">
        <f>IFERROR(IF($C3="","",SUMIFS(Ledger!$K$2:$K$4, Ledger!$B$2:$B$4, $A3, Ledger!$C$2:$C$4, HH$2)),"****")</f>
        <v/>
      </c>
      <c r="HI3" t="str">
        <f>IFERROR(IF($C3="","",SUMIFS(Ledger!$K$2:$K$4, Ledger!$B$2:$B$4, $A3, Ledger!$C$2:$C$4, HI$2)),"****")</f>
        <v/>
      </c>
      <c r="HJ3" t="str">
        <f>IFERROR(IF($C3="","",SUMIFS(Ledger!$K$2:$K$4, Ledger!$B$2:$B$4, $A3, Ledger!$C$2:$C$4, HJ$2)),"****")</f>
        <v/>
      </c>
      <c r="HK3" t="str">
        <f>IFERROR(IF($C3="","",SUMIFS(Ledger!$K$2:$K$4, Ledger!$B$2:$B$4, $A3, Ledger!$C$2:$C$4, HK$2)),"****")</f>
        <v/>
      </c>
      <c r="HL3" t="str">
        <f>IFERROR(IF($C3="","",SUMIFS(Ledger!$K$2:$K$4, Ledger!$B$2:$B$4, $A3, Ledger!$C$2:$C$4, HL$2)),"****")</f>
        <v/>
      </c>
      <c r="HM3" t="str">
        <f>IFERROR(IF($C3="","",SUMIFS(Ledger!$K$2:$K$4, Ledger!$B$2:$B$4, $A3, Ledger!$C$2:$C$4, HM$2)),"****")</f>
        <v/>
      </c>
      <c r="HN3" t="str">
        <f>IFERROR(IF($C3="","",SUMIFS(Ledger!$K$2:$K$4, Ledger!$B$2:$B$4, $A3, Ledger!$C$2:$C$4, HN$2)),"****")</f>
        <v/>
      </c>
      <c r="HO3" t="str">
        <f>IFERROR(IF($C3="","",SUMIFS(Ledger!$K$2:$K$4, Ledger!$B$2:$B$4, $A3, Ledger!$C$2:$C$4, HO$2)),"****")</f>
        <v/>
      </c>
      <c r="HP3" t="str">
        <f>IFERROR(IF($C3="","",SUMIFS(Ledger!$K$2:$K$4, Ledger!$B$2:$B$4, $A3, Ledger!$C$2:$C$4, HP$2)),"****")</f>
        <v/>
      </c>
      <c r="HQ3" t="str">
        <f>IFERROR(IF($C3="","",SUMIFS(Ledger!$K$2:$K$4, Ledger!$B$2:$B$4, $A3, Ledger!$C$2:$C$4, HQ$2)),"****")</f>
        <v/>
      </c>
      <c r="HR3" t="str">
        <f>IFERROR(IF($C3="","",SUMIFS(Ledger!$K$2:$K$4, Ledger!$B$2:$B$4, $A3, Ledger!$C$2:$C$4, HR$2)),"****")</f>
        <v/>
      </c>
      <c r="HS3" t="str">
        <f>IFERROR(IF($C3="","",SUMIFS(Ledger!$K$2:$K$4, Ledger!$B$2:$B$4, $A3, Ledger!$C$2:$C$4, HS$2)),"****")</f>
        <v/>
      </c>
      <c r="HT3" t="str">
        <f>IFERROR(IF($C3="","",SUMIFS(Ledger!$K$2:$K$4, Ledger!$B$2:$B$4, $A3, Ledger!$C$2:$C$4, HT$2)),"****")</f>
        <v/>
      </c>
      <c r="HU3" t="str">
        <f>IFERROR(IF($C3="","",SUMIFS(Ledger!$K$2:$K$4, Ledger!$B$2:$B$4, $A3, Ledger!$C$2:$C$4, HU$2)),"****")</f>
        <v/>
      </c>
      <c r="HV3" t="str">
        <f>IFERROR(IF($C3="","",SUMIFS(Ledger!$K$2:$K$4, Ledger!$B$2:$B$4, $A3, Ledger!$C$2:$C$4, HV$2)),"****")</f>
        <v/>
      </c>
      <c r="HW3" t="str">
        <f>IFERROR(IF($C3="","",SUMIFS(Ledger!$K$2:$K$4, Ledger!$B$2:$B$4, $A3, Ledger!$C$2:$C$4, HW$2)),"****")</f>
        <v/>
      </c>
      <c r="HX3" t="str">
        <f>IFERROR(IF($C3="","",SUMIFS(Ledger!$K$2:$K$4, Ledger!$B$2:$B$4, $A3, Ledger!$C$2:$C$4, HX$2)),"****")</f>
        <v/>
      </c>
      <c r="HY3" t="str">
        <f>IFERROR(IF($C3="","",SUMIFS(Ledger!$K$2:$K$4, Ledger!$B$2:$B$4, $A3, Ledger!$C$2:$C$4, HY$2)),"****")</f>
        <v/>
      </c>
      <c r="HZ3" t="str">
        <f>IFERROR(IF($C3="","",SUMIFS(Ledger!$K$2:$K$4, Ledger!$B$2:$B$4, $A3, Ledger!$C$2:$C$4, HZ$2)),"****")</f>
        <v/>
      </c>
      <c r="IA3" t="str">
        <f>IFERROR(IF($C3="","",SUMIFS(Ledger!$K$2:$K$4, Ledger!$B$2:$B$4, $A3, Ledger!$C$2:$C$4, IA$2)),"****")</f>
        <v/>
      </c>
      <c r="IB3" t="str">
        <f>IFERROR(IF($C3="","",SUMIFS(Ledger!$K$2:$K$4, Ledger!$B$2:$B$4, $A3, Ledger!$C$2:$C$4, IB$2)),"****")</f>
        <v/>
      </c>
      <c r="IC3" t="str">
        <f>IFERROR(IF($C3="","",SUMIFS(Ledger!$K$2:$K$4, Ledger!$B$2:$B$4, $A3, Ledger!$C$2:$C$4, IC$2)),"****")</f>
        <v/>
      </c>
      <c r="ID3" t="str">
        <f>IFERROR(IF($C3="","",SUMIFS(Ledger!$K$2:$K$4, Ledger!$B$2:$B$4, $A3, Ledger!$C$2:$C$4, ID$2)),"****")</f>
        <v/>
      </c>
      <c r="IE3" t="str">
        <f>IFERROR(IF($C3="","",SUMIFS(Ledger!$K$2:$K$4, Ledger!$B$2:$B$4, $A3, Ledger!$C$2:$C$4, IE$2)),"****")</f>
        <v/>
      </c>
      <c r="IF3" t="str">
        <f>IFERROR(IF($C3="","",SUMIFS(Ledger!$K$2:$K$4, Ledger!$B$2:$B$4, $A3, Ledger!$C$2:$C$4, IF$2)),"****")</f>
        <v/>
      </c>
      <c r="IG3" t="str">
        <f>IFERROR(IF($C3="","",SUMIFS(Ledger!$K$2:$K$4, Ledger!$B$2:$B$4, $A3, Ledger!$C$2:$C$4, IG$2)),"****")</f>
        <v/>
      </c>
      <c r="IH3" t="str">
        <f>IFERROR(IF($C3="","",SUMIFS(Ledger!$K$2:$K$4, Ledger!$B$2:$B$4, $A3, Ledger!$C$2:$C$4, IH$2)),"****")</f>
        <v/>
      </c>
      <c r="II3" t="str">
        <f>IFERROR(IF($C3="","",SUMIFS(Ledger!$K$2:$K$4, Ledger!$B$2:$B$4, $A3, Ledger!$C$2:$C$4, II$2)),"****")</f>
        <v/>
      </c>
      <c r="IJ3" t="str">
        <f>IFERROR(IF($C3="","",SUMIFS(Ledger!$K$2:$K$4, Ledger!$B$2:$B$4, $A3, Ledger!$C$2:$C$4, IJ$2)),"****")</f>
        <v/>
      </c>
      <c r="IK3" t="str">
        <f>IFERROR(IF($C3="","",SUMIFS(Ledger!$K$2:$K$4, Ledger!$B$2:$B$4, $A3, Ledger!$C$2:$C$4, IK$2)),"****")</f>
        <v/>
      </c>
      <c r="IL3" t="str">
        <f>IFERROR(IF($C3="","",SUMIFS(Ledger!$K$2:$K$4, Ledger!$B$2:$B$4, $A3, Ledger!$C$2:$C$4, IL$2)),"****")</f>
        <v/>
      </c>
      <c r="IM3" t="str">
        <f>IFERROR(IF($C3="","",SUMIFS(Ledger!$K$2:$K$4, Ledger!$B$2:$B$4, $A3, Ledger!$C$2:$C$4, IM$2)),"****")</f>
        <v/>
      </c>
      <c r="IN3" t="str">
        <f>IFERROR(IF($C3="","",SUMIFS(Ledger!$K$2:$K$4, Ledger!$B$2:$B$4, $A3, Ledger!$C$2:$C$4, IN$2)),"****")</f>
        <v/>
      </c>
      <c r="IO3" t="str">
        <f>IFERROR(IF($C3="","",SUMIFS(Ledger!$K$2:$K$4, Ledger!$B$2:$B$4, $A3, Ledger!$C$2:$C$4, IO$2)),"****")</f>
        <v/>
      </c>
      <c r="IP3" t="str">
        <f>IFERROR(IF($C3="","",SUMIFS(Ledger!$K$2:$K$4, Ledger!$B$2:$B$4, $A3, Ledger!$C$2:$C$4, IP$2)),"****")</f>
        <v/>
      </c>
      <c r="IQ3" t="str">
        <f>IFERROR(IF($C3="","",SUMIFS(Ledger!$K$2:$K$4, Ledger!$B$2:$B$4, $A3, Ledger!$C$2:$C$4, IQ$2)),"****")</f>
        <v/>
      </c>
      <c r="IR3" t="str">
        <f>IFERROR(IF($C3="","",SUMIFS(Ledger!$K$2:$K$4, Ledger!$B$2:$B$4, $A3, Ledger!$C$2:$C$4, IR$2)),"****")</f>
        <v/>
      </c>
      <c r="IS3" t="str">
        <f>IFERROR(IF($C3="","",SUMIFS(Ledger!$K$2:$K$4, Ledger!$B$2:$B$4, $A3, Ledger!$C$2:$C$4, IS$2)),"****")</f>
        <v/>
      </c>
      <c r="IT3" t="str">
        <f>IFERROR(IF($C3="","",SUMIFS(Ledger!$K$2:$K$4, Ledger!$B$2:$B$4, $A3, Ledger!$C$2:$C$4, IT$2)),"****")</f>
        <v/>
      </c>
      <c r="IU3" t="str">
        <f>IFERROR(IF($C3="","",SUMIFS(Ledger!$K$2:$K$4, Ledger!$B$2:$B$4, $A3, Ledger!$C$2:$C$4, IU$2)),"****")</f>
        <v/>
      </c>
      <c r="IV3" t="str">
        <f>IFERROR(IF($C3="","",SUMIFS(Ledger!$K$2:$K$4, Ledger!$B$2:$B$4, $A3, Ledger!$C$2:$C$4, IV$2)),"****")</f>
        <v/>
      </c>
      <c r="IW3" t="str">
        <f>IFERROR(IF($C3="","",SUMIFS(Ledger!$K$2:$K$4, Ledger!$B$2:$B$4, $A3, Ledger!$C$2:$C$4, IW$2)),"****")</f>
        <v/>
      </c>
      <c r="IX3" t="str">
        <f>IFERROR(IF($C3="","",SUMIFS(Ledger!$K$2:$K$4, Ledger!$B$2:$B$4, $A3, Ledger!$C$2:$C$4, IX$2)),"****")</f>
        <v/>
      </c>
      <c r="IY3" t="str">
        <f>IFERROR(IF($C3="","",SUMIFS(Ledger!$K$2:$K$4, Ledger!$B$2:$B$4, $A3, Ledger!$C$2:$C$4, IY$2)),"****")</f>
        <v/>
      </c>
      <c r="IZ3" t="str">
        <f>IFERROR(IF($C3="","",SUMIFS(Ledger!$K$2:$K$4, Ledger!$B$2:$B$4, $A3, Ledger!$C$2:$C$4, IZ$2)),"****")</f>
        <v/>
      </c>
      <c r="JA3" t="str">
        <f>IFERROR(IF($C3="","",SUMIFS(Ledger!$K$2:$K$4, Ledger!$B$2:$B$4, $A3, Ledger!$C$2:$C$4, JA$2)),"****")</f>
        <v/>
      </c>
      <c r="JB3" t="str">
        <f>IFERROR(IF($C3="","",SUMIFS(Ledger!$K$2:$K$4, Ledger!$B$2:$B$4, $A3, Ledger!$C$2:$C$4, JB$2)),"****")</f>
        <v/>
      </c>
      <c r="JC3" t="str">
        <f>IFERROR(IF($C3="","",SUMIFS(Ledger!$K$2:$K$4, Ledger!$B$2:$B$4, $A3, Ledger!$C$2:$C$4, JC$2)),"****")</f>
        <v/>
      </c>
      <c r="JD3" t="str">
        <f>IFERROR(IF($C3="","",SUMIFS(Ledger!$K$2:$K$4, Ledger!$B$2:$B$4, $A3, Ledger!$C$2:$C$4, JD$2)),"****")</f>
        <v/>
      </c>
      <c r="JE3" t="str">
        <f>IFERROR(IF($C3="","",SUMIFS(Ledger!$K$2:$K$4, Ledger!$B$2:$B$4, $A3, Ledger!$C$2:$C$4, JE$2)),"****")</f>
        <v/>
      </c>
      <c r="JF3" t="str">
        <f>IFERROR(IF($C3="","",SUMIFS(Ledger!$K$2:$K$4, Ledger!$B$2:$B$4, $A3, Ledger!$C$2:$C$4, JF$2)),"****")</f>
        <v/>
      </c>
      <c r="JG3" t="str">
        <f>IFERROR(IF($C3="","",SUMIFS(Ledger!$K$2:$K$4, Ledger!$B$2:$B$4, $A3, Ledger!$C$2:$C$4, JG$2)),"****")</f>
        <v/>
      </c>
      <c r="JH3" t="str">
        <f>IFERROR(IF($C3="","",SUMIFS(Ledger!$K$2:$K$4, Ledger!$B$2:$B$4, $A3, Ledger!$C$2:$C$4, JH$2)),"****")</f>
        <v/>
      </c>
      <c r="JI3" t="str">
        <f>IFERROR(IF($C3="","",SUMIFS(Ledger!$K$2:$K$4, Ledger!$B$2:$B$4, $A3, Ledger!$C$2:$C$4, JI$2)),"****")</f>
        <v/>
      </c>
      <c r="JJ3" t="str">
        <f>IFERROR(IF($C3="","",SUMIFS(Ledger!$K$2:$K$4, Ledger!$B$2:$B$4, $A3, Ledger!$C$2:$C$4, JJ$2)),"****")</f>
        <v/>
      </c>
      <c r="JK3" t="str">
        <f>IFERROR(IF($C3="","",SUMIFS(Ledger!$K$2:$K$4, Ledger!$B$2:$B$4, $A3, Ledger!$C$2:$C$4, JK$2)),"****")</f>
        <v/>
      </c>
      <c r="JL3" t="str">
        <f>IFERROR(IF($C3="","",SUMIFS(Ledger!$K$2:$K$4, Ledger!$B$2:$B$4, $A3, Ledger!$C$2:$C$4, JL$2)),"****")</f>
        <v/>
      </c>
      <c r="JM3" t="str">
        <f>IFERROR(IF($C3="","",SUMIFS(Ledger!$K$2:$K$4, Ledger!$B$2:$B$4, $A3, Ledger!$C$2:$C$4, JM$2)),"****")</f>
        <v/>
      </c>
      <c r="JN3" t="str">
        <f>IFERROR(IF($C3="","",SUMIFS(Ledger!$K$2:$K$4, Ledger!$B$2:$B$4, $A3, Ledger!$C$2:$C$4, JN$2)),"****")</f>
        <v/>
      </c>
      <c r="JO3" t="str">
        <f>IFERROR(IF($C3="","",SUMIFS(Ledger!$K$2:$K$4, Ledger!$B$2:$B$4, $A3, Ledger!$C$2:$C$4, JO$2)),"****")</f>
        <v/>
      </c>
      <c r="JP3" t="str">
        <f>IFERROR(IF($C3="","",SUMIFS(Ledger!$K$2:$K$4, Ledger!$B$2:$B$4, $A3, Ledger!$C$2:$C$4, JP$2)),"****")</f>
        <v/>
      </c>
      <c r="JQ3" t="str">
        <f>IFERROR(IF($C3="","",SUMIFS(Ledger!$K$2:$K$4, Ledger!$B$2:$B$4, $A3, Ledger!$C$2:$C$4, JQ$2)),"****")</f>
        <v/>
      </c>
      <c r="JR3" t="str">
        <f>IFERROR(IF($C3="","",SUMIFS(Ledger!$K$2:$K$4, Ledger!$B$2:$B$4, $A3, Ledger!$C$2:$C$4, JR$2)),"****")</f>
        <v/>
      </c>
      <c r="JS3" t="str">
        <f>IFERROR(IF($C3="","",SUMIFS(Ledger!$K$2:$K$4, Ledger!$B$2:$B$4, $A3, Ledger!$C$2:$C$4, JS$2)),"****")</f>
        <v/>
      </c>
      <c r="JT3" t="str">
        <f>IFERROR(IF($C3="","",SUMIFS(Ledger!$K$2:$K$4, Ledger!$B$2:$B$4, $A3, Ledger!$C$2:$C$4, JT$2)),"****")</f>
        <v/>
      </c>
      <c r="JU3" t="str">
        <f>IFERROR(IF($C3="","",SUMIFS(Ledger!$K$2:$K$4, Ledger!$B$2:$B$4, $A3, Ledger!$C$2:$C$4, JU$2)),"****")</f>
        <v/>
      </c>
      <c r="JV3" t="str">
        <f>IFERROR(IF($C3="","",SUMIFS(Ledger!$K$2:$K$4, Ledger!$B$2:$B$4, $A3, Ledger!$C$2:$C$4, JV$2)),"****")</f>
        <v/>
      </c>
      <c r="JW3" t="str">
        <f>IFERROR(IF($C3="","",SUMIFS(Ledger!$K$2:$K$4, Ledger!$B$2:$B$4, $A3, Ledger!$C$2:$C$4, JW$2)),"****")</f>
        <v/>
      </c>
      <c r="JX3" t="str">
        <f>IFERROR(IF($C3="","",SUMIFS(Ledger!$K$2:$K$4, Ledger!$B$2:$B$4, $A3, Ledger!$C$2:$C$4, JX$2)),"****")</f>
        <v/>
      </c>
      <c r="JY3" t="str">
        <f>IFERROR(IF($C3="","",SUMIFS(Ledger!$K$2:$K$4, Ledger!$B$2:$B$4, $A3, Ledger!$C$2:$C$4, JY$2)),"****")</f>
        <v/>
      </c>
      <c r="JZ3" t="str">
        <f>IFERROR(IF($C3="","",SUMIFS(Ledger!$K$2:$K$4, Ledger!$B$2:$B$4, $A3, Ledger!$C$2:$C$4, JZ$2)),"****")</f>
        <v/>
      </c>
      <c r="KA3" t="str">
        <f>IFERROR(IF($C3="","",SUMIFS(Ledger!$K$2:$K$4, Ledger!$B$2:$B$4, $A3, Ledger!$C$2:$C$4, KA$2)),"****")</f>
        <v/>
      </c>
      <c r="KB3" t="str">
        <f>IFERROR(IF($C3="","",SUMIFS(Ledger!$K$2:$K$4, Ledger!$B$2:$B$4, $A3, Ledger!$C$2:$C$4, KB$2)),"****")</f>
        <v/>
      </c>
      <c r="KC3" t="str">
        <f>IFERROR(IF($C3="","",SUMIFS(Ledger!$K$2:$K$4, Ledger!$B$2:$B$4, $A3, Ledger!$C$2:$C$4, KC$2)),"****")</f>
        <v/>
      </c>
      <c r="KD3" t="str">
        <f>IFERROR(IF($C3="","",SUMIFS(Ledger!$K$2:$K$4, Ledger!$B$2:$B$4, $A3, Ledger!$C$2:$C$4, KD$2)),"****")</f>
        <v/>
      </c>
      <c r="KE3" t="str">
        <f>IFERROR(IF($C3="","",SUMIFS(Ledger!$K$2:$K$4, Ledger!$B$2:$B$4, $A3, Ledger!$C$2:$C$4, KE$2)),"****")</f>
        <v/>
      </c>
      <c r="KF3" t="str">
        <f>IFERROR(IF($C3="","",SUMIFS(Ledger!$K$2:$K$4, Ledger!$B$2:$B$4, $A3, Ledger!$C$2:$C$4, KF$2)),"****")</f>
        <v/>
      </c>
      <c r="KG3" t="str">
        <f>IFERROR(IF($C3="","",SUMIFS(Ledger!$K$2:$K$4, Ledger!$B$2:$B$4, $A3, Ledger!$C$2:$C$4, KG$2)),"****")</f>
        <v/>
      </c>
      <c r="KH3" t="str">
        <f>IFERROR(IF($C3="","",SUMIFS(Ledger!$K$2:$K$4, Ledger!$B$2:$B$4, $A3, Ledger!$C$2:$C$4, KH$2)),"****")</f>
        <v/>
      </c>
      <c r="KI3" t="str">
        <f>IFERROR(IF($C3="","",SUMIFS(Ledger!$K$2:$K$4, Ledger!$B$2:$B$4, $A3, Ledger!$C$2:$C$4, KI$2)),"****")</f>
        <v/>
      </c>
      <c r="KJ3" t="str">
        <f>IFERROR(IF($C3="","",SUMIFS(Ledger!$K$2:$K$4, Ledger!$B$2:$B$4, $A3, Ledger!$C$2:$C$4, KJ$2)),"****")</f>
        <v/>
      </c>
      <c r="KK3" t="str">
        <f>IFERROR(IF($C3="","",SUMIFS(Ledger!$K$2:$K$4, Ledger!$B$2:$B$4, $A3, Ledger!$C$2:$C$4, KK$2)),"****")</f>
        <v/>
      </c>
      <c r="KL3" t="str">
        <f>IFERROR(IF($C3="","",SUMIFS(Ledger!$K$2:$K$4, Ledger!$B$2:$B$4, $A3, Ledger!$C$2:$C$4, KL$2)),"****")</f>
        <v/>
      </c>
      <c r="KM3" t="str">
        <f>IFERROR(IF($C3="","",SUMIFS(Ledger!$K$2:$K$4, Ledger!$B$2:$B$4, $A3, Ledger!$C$2:$C$4, KM$2)),"****")</f>
        <v/>
      </c>
      <c r="KN3" t="str">
        <f>IFERROR(IF($C3="","",SUMIFS(Ledger!$K$2:$K$4, Ledger!$B$2:$B$4, $A3, Ledger!$C$2:$C$4, KN$2)),"****")</f>
        <v/>
      </c>
      <c r="KO3" t="str">
        <f>IFERROR(IF($C3="","",SUMIFS(Ledger!$K$2:$K$4, Ledger!$B$2:$B$4, $A3, Ledger!$C$2:$C$4, KO$2)),"****")</f>
        <v/>
      </c>
      <c r="KP3" t="str">
        <f>IFERROR(IF($C3="","",SUMIFS(Ledger!$K$2:$K$4, Ledger!$B$2:$B$4, $A3, Ledger!$C$2:$C$4, KP$2)),"****")</f>
        <v/>
      </c>
      <c r="KQ3" t="str">
        <f>IFERROR(IF($C3="","",SUMIFS(Ledger!$K$2:$K$4, Ledger!$B$2:$B$4, $A3, Ledger!$C$2:$C$4, KQ$2)),"****")</f>
        <v/>
      </c>
      <c r="KR3" t="str">
        <f>IFERROR(IF($C3="","",SUMIFS(Ledger!$K$2:$K$4, Ledger!$B$2:$B$4, $A3, Ledger!$C$2:$C$4, KR$2)),"****")</f>
        <v/>
      </c>
      <c r="KS3" t="str">
        <f>IFERROR(IF($C3="","",SUMIFS(Ledger!$K$2:$K$4, Ledger!$B$2:$B$4, $A3, Ledger!$C$2:$C$4, KS$2)),"****")</f>
        <v/>
      </c>
      <c r="KT3" t="str">
        <f>IFERROR(IF($C3="","",SUMIFS(Ledger!$K$2:$K$4, Ledger!$B$2:$B$4, $A3, Ledger!$C$2:$C$4, KT$2)),"****")</f>
        <v/>
      </c>
      <c r="KU3" t="str">
        <f>IFERROR(IF($C3="","",SUMIFS(Ledger!$K$2:$K$4, Ledger!$B$2:$B$4, $A3, Ledger!$C$2:$C$4, KU$2)),"****")</f>
        <v/>
      </c>
      <c r="KV3" t="str">
        <f>IFERROR(IF($C3="","",SUMIFS(Ledger!$K$2:$K$4, Ledger!$B$2:$B$4, $A3, Ledger!$C$2:$C$4, KV$2)),"****")</f>
        <v/>
      </c>
      <c r="KW3" t="str">
        <f>IFERROR(IF($C3="","",SUMIFS(Ledger!$K$2:$K$4, Ledger!$B$2:$B$4, $A3, Ledger!$C$2:$C$4, KW$2)),"****")</f>
        <v/>
      </c>
      <c r="KX3" t="str">
        <f>IFERROR(IF($C3="","",SUMIFS(Ledger!$K$2:$K$4, Ledger!$B$2:$B$4, $A3, Ledger!$C$2:$C$4, KX$2)),"****")</f>
        <v/>
      </c>
      <c r="KY3" t="str">
        <f>IFERROR(IF($C3="","",SUMIFS(Ledger!$K$2:$K$4, Ledger!$B$2:$B$4, $A3, Ledger!$C$2:$C$4, KY$2)),"****")</f>
        <v/>
      </c>
      <c r="KZ3" t="str">
        <f>IFERROR(IF($C3="","",SUMIFS(Ledger!$K$2:$K$4, Ledger!$B$2:$B$4, $A3, Ledger!$C$2:$C$4, KZ$2)),"****")</f>
        <v/>
      </c>
      <c r="LA3" t="str">
        <f>IFERROR(IF($C3="","",SUMIFS(Ledger!$K$2:$K$4, Ledger!$B$2:$B$4, $A3, Ledger!$C$2:$C$4, LA$2)),"****")</f>
        <v/>
      </c>
      <c r="LB3" t="str">
        <f>IFERROR(IF($C3="","",SUMIFS(Ledger!$K$2:$K$4, Ledger!$B$2:$B$4, $A3, Ledger!$C$2:$C$4, LB$2)),"****")</f>
        <v/>
      </c>
      <c r="LC3" t="str">
        <f>IFERROR(IF($C3="","",SUMIFS(Ledger!$K$2:$K$4, Ledger!$B$2:$B$4, $A3, Ledger!$C$2:$C$4, LC$2)),"****")</f>
        <v/>
      </c>
      <c r="LD3" t="str">
        <f>IFERROR(IF($C3="","",SUMIFS(Ledger!$K$2:$K$4, Ledger!$B$2:$B$4, $A3, Ledger!$C$2:$C$4, LD$2)),"****")</f>
        <v/>
      </c>
      <c r="LE3" t="str">
        <f>IFERROR(IF($C3="","",SUMIFS(Ledger!$K$2:$K$4, Ledger!$B$2:$B$4, $A3, Ledger!$C$2:$C$4, LE$2)),"****")</f>
        <v/>
      </c>
      <c r="LF3" t="str">
        <f>IFERROR(IF($C3="","",SUMIFS(Ledger!$K$2:$K$4, Ledger!$B$2:$B$4, $A3, Ledger!$C$2:$C$4, LF$2)),"****")</f>
        <v/>
      </c>
      <c r="LG3" t="str">
        <f>IFERROR(IF($C3="","",SUMIFS(Ledger!$K$2:$K$4, Ledger!$B$2:$B$4, $A3, Ledger!$C$2:$C$4, LG$2)),"****")</f>
        <v/>
      </c>
      <c r="LH3" t="str">
        <f>IFERROR(IF($C3="","",SUMIFS(Ledger!$K$2:$K$4, Ledger!$B$2:$B$4, $A3, Ledger!$C$2:$C$4, LH$2)),"****")</f>
        <v/>
      </c>
      <c r="LI3" t="str">
        <f>IFERROR(IF($C3="","",SUMIFS(Ledger!$K$2:$K$4, Ledger!$B$2:$B$4, $A3, Ledger!$C$2:$C$4, LI$2)),"****")</f>
        <v/>
      </c>
      <c r="LJ3" t="str">
        <f>IFERROR(IF($C3="","",SUMIFS(Ledger!$K$2:$K$4, Ledger!$B$2:$B$4, $A3, Ledger!$C$2:$C$4, LJ$2)),"****")</f>
        <v/>
      </c>
      <c r="LK3" t="str">
        <f>IFERROR(IF($C3="","",SUMIFS(Ledger!$K$2:$K$4, Ledger!$B$2:$B$4, $A3, Ledger!$C$2:$C$4, LK$2)),"****")</f>
        <v/>
      </c>
      <c r="LL3" t="str">
        <f>IFERROR(IF($C3="","",SUMIFS(Ledger!$K$2:$K$4, Ledger!$B$2:$B$4, $A3, Ledger!$C$2:$C$4, LL$2)),"****")</f>
        <v/>
      </c>
      <c r="LM3" t="str">
        <f>IFERROR(IF($C3="","",SUMIFS(Ledger!$K$2:$K$4, Ledger!$B$2:$B$4, $A3, Ledger!$C$2:$C$4, LM$2)),"****")</f>
        <v/>
      </c>
      <c r="LN3" t="str">
        <f>IFERROR(IF($C3="","",SUMIFS(Ledger!$K$2:$K$4, Ledger!$B$2:$B$4, $A3, Ledger!$C$2:$C$4, LN$2)),"****")</f>
        <v/>
      </c>
      <c r="LO3" t="str">
        <f>IFERROR(IF($C3="","",SUMIFS(Ledger!$K$2:$K$4, Ledger!$B$2:$B$4, $A3, Ledger!$C$2:$C$4, LO$2)),"****")</f>
        <v/>
      </c>
      <c r="LP3" t="str">
        <f>IFERROR(IF($C3="","",SUMIFS(Ledger!$K$2:$K$4, Ledger!$B$2:$B$4, $A3, Ledger!$C$2:$C$4, LP$2)),"****")</f>
        <v/>
      </c>
      <c r="LQ3" t="str">
        <f>IFERROR(IF($C3="","",SUMIFS(Ledger!$K$2:$K$4, Ledger!$B$2:$B$4, $A3, Ledger!$C$2:$C$4, LQ$2)),"****")</f>
        <v/>
      </c>
      <c r="LR3" t="str">
        <f>IFERROR(IF($C3="","",SUMIFS(Ledger!$K$2:$K$4, Ledger!$B$2:$B$4, $A3, Ledger!$C$2:$C$4, LR$2)),"****")</f>
        <v/>
      </c>
      <c r="LS3" t="str">
        <f>IFERROR(IF($C3="","",SUMIFS(Ledger!$K$2:$K$4, Ledger!$B$2:$B$4, $A3, Ledger!$C$2:$C$4, LS$2)),"****")</f>
        <v/>
      </c>
      <c r="LT3" t="str">
        <f>IFERROR(IF($C3="","",SUMIFS(Ledger!$K$2:$K$4, Ledger!$B$2:$B$4, $A3, Ledger!$C$2:$C$4, LT$2)),"****")</f>
        <v/>
      </c>
      <c r="LU3" t="str">
        <f>IFERROR(IF($C3="","",SUMIFS(Ledger!$K$2:$K$4, Ledger!$B$2:$B$4, $A3, Ledger!$C$2:$C$4, LU$2)),"****")</f>
        <v/>
      </c>
      <c r="LV3" t="str">
        <f>IFERROR(IF($C3="","",SUMIFS(Ledger!$K$2:$K$4, Ledger!$B$2:$B$4, $A3, Ledger!$C$2:$C$4, LV$2)),"****")</f>
        <v/>
      </c>
      <c r="LW3" t="str">
        <f>IFERROR(IF($C3="","",SUMIFS(Ledger!$K$2:$K$4, Ledger!$B$2:$B$4, $A3, Ledger!$C$2:$C$4, LW$2)),"****")</f>
        <v/>
      </c>
      <c r="LX3" t="str">
        <f>IFERROR(IF($C3="","",SUMIFS(Ledger!$K$2:$K$4, Ledger!$B$2:$B$4, $A3, Ledger!$C$2:$C$4, LX$2)),"****")</f>
        <v/>
      </c>
      <c r="LY3" t="str">
        <f>IFERROR(IF($C3="","",SUMIFS(Ledger!$K$2:$K$4, Ledger!$B$2:$B$4, $A3, Ledger!$C$2:$C$4, LY$2)),"****")</f>
        <v/>
      </c>
      <c r="LZ3" t="str">
        <f>IFERROR(IF($C3="","",SUMIFS(Ledger!$K$2:$K$4, Ledger!$B$2:$B$4, $A3, Ledger!$C$2:$C$4, LZ$2)),"****")</f>
        <v/>
      </c>
      <c r="MA3" t="str">
        <f>IFERROR(IF($C3="","",SUMIFS(Ledger!$K$2:$K$4, Ledger!$B$2:$B$4, $A3, Ledger!$C$2:$C$4, MA$2)),"****")</f>
        <v/>
      </c>
      <c r="MB3" t="str">
        <f>IFERROR(IF($C3="","",SUMIFS(Ledger!$K$2:$K$4, Ledger!$B$2:$B$4, $A3, Ledger!$C$2:$C$4, MB$2)),"****")</f>
        <v/>
      </c>
      <c r="MC3" t="str">
        <f>IFERROR(IF($C3="","",SUMIFS(Ledger!$K$2:$K$4, Ledger!$B$2:$B$4, $A3, Ledger!$C$2:$C$4, MC$2)),"****")</f>
        <v/>
      </c>
      <c r="MD3" t="str">
        <f>IFERROR(IF($C3="","",SUMIFS(Ledger!$K$2:$K$4, Ledger!$B$2:$B$4, $A3, Ledger!$C$2:$C$4, MD$2)),"****")</f>
        <v/>
      </c>
      <c r="ME3" t="str">
        <f>IFERROR(IF($C3="","",SUMIFS(Ledger!$K$2:$K$4, Ledger!$B$2:$B$4, $A3, Ledger!$C$2:$C$4, ME$2)),"****")</f>
        <v/>
      </c>
      <c r="MF3" t="str">
        <f>IFERROR(IF($C3="","",SUMIFS(Ledger!$K$2:$K$4, Ledger!$B$2:$B$4, $A3, Ledger!$C$2:$C$4, MF$2)),"****")</f>
        <v/>
      </c>
      <c r="MG3" t="str">
        <f>IFERROR(IF($C3="","",SUMIFS(Ledger!$K$2:$K$4, Ledger!$B$2:$B$4, $A3, Ledger!$C$2:$C$4, MG$2)),"****")</f>
        <v/>
      </c>
      <c r="MH3" t="str">
        <f>IFERROR(IF($C3="","",SUMIFS(Ledger!$K$2:$K$4, Ledger!$B$2:$B$4, $A3, Ledger!$C$2:$C$4, MH$2)),"****")</f>
        <v/>
      </c>
      <c r="MI3" t="str">
        <f>IFERROR(IF($C3="","",SUMIFS(Ledger!$K$2:$K$4, Ledger!$B$2:$B$4, $A3, Ledger!$C$2:$C$4, MI$2)),"****")</f>
        <v/>
      </c>
      <c r="MJ3" t="str">
        <f>IFERROR(IF($C3="","",SUMIFS(Ledger!$K$2:$K$4, Ledger!$B$2:$B$4, $A3, Ledger!$C$2:$C$4, MJ$2)),"****")</f>
        <v/>
      </c>
      <c r="MK3" t="str">
        <f>IFERROR(IF($C3="","",SUMIFS(Ledger!$K$2:$K$4, Ledger!$B$2:$B$4, $A3, Ledger!$C$2:$C$4, MK$2)),"****")</f>
        <v/>
      </c>
      <c r="ML3" t="str">
        <f>IFERROR(IF($C3="","",SUMIFS(Ledger!$K$2:$K$4, Ledger!$B$2:$B$4, $A3, Ledger!$C$2:$C$4, ML$2)),"****")</f>
        <v/>
      </c>
      <c r="MM3" t="str">
        <f>IFERROR(IF($C3="","",SUMIFS(Ledger!$K$2:$K$4, Ledger!$B$2:$B$4, $A3, Ledger!$C$2:$C$4, MM$2)),"****")</f>
        <v/>
      </c>
      <c r="MN3" t="str">
        <f>IFERROR(IF($C3="","",SUMIFS(Ledger!$K$2:$K$4, Ledger!$B$2:$B$4, $A3, Ledger!$C$2:$C$4, MN$2)),"****")</f>
        <v/>
      </c>
      <c r="MO3" t="str">
        <f>IFERROR(IF($C3="","",SUMIFS(Ledger!$K$2:$K$4, Ledger!$B$2:$B$4, $A3, Ledger!$C$2:$C$4, MO$2)),"****")</f>
        <v/>
      </c>
      <c r="MP3" t="str">
        <f>IFERROR(IF($C3="","",SUMIFS(Ledger!$K$2:$K$4, Ledger!$B$2:$B$4, $A3, Ledger!$C$2:$C$4, MP$2)),"****")</f>
        <v/>
      </c>
      <c r="MQ3" t="str">
        <f>IFERROR(IF($C3="","",SUMIFS(Ledger!$K$2:$K$4, Ledger!$B$2:$B$4, $A3, Ledger!$C$2:$C$4, MQ$2)),"****")</f>
        <v/>
      </c>
      <c r="MR3" t="str">
        <f>IFERROR(IF($C3="","",SUMIFS(Ledger!$K$2:$K$4, Ledger!$B$2:$B$4, $A3, Ledger!$C$2:$C$4, MR$2)),"****")</f>
        <v/>
      </c>
      <c r="MS3" t="str">
        <f>IFERROR(IF($C3="","",SUMIFS(Ledger!$K$2:$K$4, Ledger!$B$2:$B$4, $A3, Ledger!$C$2:$C$4, MS$2)),"****")</f>
        <v/>
      </c>
      <c r="MT3" t="str">
        <f>IFERROR(IF($C3="","",SUMIFS(Ledger!$K$2:$K$4, Ledger!$B$2:$B$4, $A3, Ledger!$C$2:$C$4, MT$2)),"****")</f>
        <v/>
      </c>
      <c r="MU3" t="str">
        <f>IFERROR(IF($C3="","",SUMIFS(Ledger!$K$2:$K$4, Ledger!$B$2:$B$4, $A3, Ledger!$C$2:$C$4, MU$2)),"****")</f>
        <v/>
      </c>
      <c r="MV3" t="str">
        <f>IFERROR(IF($C3="","",SUMIFS(Ledger!$K$2:$K$4, Ledger!$B$2:$B$4, $A3, Ledger!$C$2:$C$4, MV$2)),"****")</f>
        <v/>
      </c>
      <c r="MW3" t="str">
        <f>IFERROR(IF($C3="","",SUMIFS(Ledger!$K$2:$K$4, Ledger!$B$2:$B$4, $A3, Ledger!$C$2:$C$4, MW$2)),"****")</f>
        <v/>
      </c>
      <c r="MX3" t="str">
        <f>IFERROR(IF($C3="","",SUMIFS(Ledger!$K$2:$K$4, Ledger!$B$2:$B$4, $A3, Ledger!$C$2:$C$4, MX$2)),"****")</f>
        <v/>
      </c>
      <c r="MY3" t="str">
        <f>IFERROR(IF($C3="","",SUMIFS(Ledger!$K$2:$K$4, Ledger!$B$2:$B$4, $A3, Ledger!$C$2:$C$4, MY$2)),"****")</f>
        <v/>
      </c>
      <c r="MZ3" t="str">
        <f>IFERROR(IF($C3="","",SUMIFS(Ledger!$K$2:$K$4, Ledger!$B$2:$B$4, $A3, Ledger!$C$2:$C$4, MZ$2)),"****")</f>
        <v/>
      </c>
      <c r="NA3" t="str">
        <f>IFERROR(IF($C3="","",SUMIFS(Ledger!$K$2:$K$4, Ledger!$B$2:$B$4, $A3, Ledger!$C$2:$C$4, NA$2)),"****")</f>
        <v/>
      </c>
      <c r="NB3" t="str">
        <f>IFERROR(IF($C3="","",SUMIFS(Ledger!$K$2:$K$4, Ledger!$B$2:$B$4, $A3, Ledger!$C$2:$C$4, NB$2)),"****")</f>
        <v/>
      </c>
      <c r="NC3" t="str">
        <f>IFERROR(IF($C3="","",SUMIFS(Ledger!$K$2:$K$4, Ledger!$B$2:$B$4, $A3, Ledger!$C$2:$C$4, NC$2)),"****")</f>
        <v/>
      </c>
      <c r="ND3" t="str">
        <f>IFERROR(IF($C3="","",SUMIFS(Ledger!$K$2:$K$4, Ledger!$B$2:$B$4, $A3, Ledger!$C$2:$C$4, ND$2)),"****")</f>
        <v/>
      </c>
      <c r="NE3" t="str">
        <f>IFERROR(IF($C3="","",SUMIFS(Ledger!$K$2:$K$4, Ledger!$B$2:$B$4, $A3, Ledger!$C$2:$C$4, NE$2)),"****")</f>
        <v/>
      </c>
      <c r="NF3" t="str">
        <f>IFERROR(IF($C3="","",SUMIFS(Ledger!$K$2:$K$4, Ledger!$B$2:$B$4, $A3, Ledger!$C$2:$C$4, NF$2)),"****")</f>
        <v/>
      </c>
      <c r="NG3" t="str">
        <f>IFERROR(IF($C3="","",SUMIFS(Ledger!$K$2:$K$4, Ledger!$B$2:$B$4, $A3, Ledger!$C$2:$C$4, NG$2)),"****")</f>
        <v/>
      </c>
      <c r="NH3" t="str">
        <f>IFERROR(IF($C3="","",SUMIFS(Ledger!$K$2:$K$4, Ledger!$B$2:$B$4, $A3, Ledger!$C$2:$C$4, NH$2)),"****")</f>
        <v/>
      </c>
      <c r="NI3" t="str">
        <f>IFERROR(IF($C3="","",SUMIFS(Ledger!$K$2:$K$4, Ledger!$B$2:$B$4, $A3, Ledger!$C$2:$C$4, NI$2)),"****")</f>
        <v/>
      </c>
      <c r="NJ3" t="str">
        <f>IFERROR(IF($C3="","",SUMIFS(Ledger!$K$2:$K$4, Ledger!$B$2:$B$4, $A3, Ledger!$C$2:$C$4, NJ$2)),"****")</f>
        <v/>
      </c>
      <c r="NK3" t="str">
        <f>IFERROR(IF($C3="","",SUMIFS(Ledger!$K$2:$K$4, Ledger!$B$2:$B$4, $A3, Ledger!$C$2:$C$4, NK$2)),"****")</f>
        <v/>
      </c>
      <c r="NL3" t="str">
        <f>IFERROR(IF($C3="","",SUMIFS(Ledger!$K$2:$K$4, Ledger!$B$2:$B$4, $A3, Ledger!$C$2:$C$4, NL$2)),"****")</f>
        <v/>
      </c>
      <c r="NM3" t="str">
        <f>IFERROR(IF($C3="","",SUMIFS(Ledger!$K$2:$K$4, Ledger!$B$2:$B$4, $A3, Ledger!$C$2:$C$4, NM$2)),"****")</f>
        <v/>
      </c>
      <c r="NN3" t="str">
        <f>IFERROR(IF($C3="","",SUMIFS(Ledger!$K$2:$K$4, Ledger!$B$2:$B$4, $A3, Ledger!$C$2:$C$4, NN$2)),"****")</f>
        <v/>
      </c>
      <c r="NO3" t="str">
        <f>IFERROR(IF($C3="","",SUMIFS(Ledger!$K$2:$K$4, Ledger!$B$2:$B$4, $A3, Ledger!$C$2:$C$4, NO$2)),"****")</f>
        <v/>
      </c>
      <c r="NP3" t="str">
        <f>IFERROR(IF($C3="","",SUMIFS(Ledger!$K$2:$K$4, Ledger!$B$2:$B$4, $A3, Ledger!$C$2:$C$4, NP$2)),"****")</f>
        <v/>
      </c>
      <c r="NQ3" t="str">
        <f>IFERROR(IF($C3="","",SUMIFS(Ledger!$K$2:$K$4, Ledger!$B$2:$B$4, $A3, Ledger!$C$2:$C$4, NQ$2)),"****")</f>
        <v/>
      </c>
      <c r="NR3" t="str">
        <f>IFERROR(IF($C3="","",SUMIFS(Ledger!$K$2:$K$4, Ledger!$B$2:$B$4, $A3, Ledger!$C$2:$C$4, NR$2)),"****")</f>
        <v/>
      </c>
      <c r="NS3" t="str">
        <f>IFERROR(IF($C3="","",SUMIFS(Ledger!$K$2:$K$4, Ledger!$B$2:$B$4, $A3, Ledger!$C$2:$C$4, NS$2)),"****")</f>
        <v/>
      </c>
      <c r="NT3" t="str">
        <f>IFERROR(IF($C3="","",SUMIFS(Ledger!$K$2:$K$4, Ledger!$B$2:$B$4, $A3, Ledger!$C$2:$C$4, NT$2)),"****")</f>
        <v/>
      </c>
      <c r="NU3" t="str">
        <f>IFERROR(IF($C3="","",SUMIFS(Ledger!$K$2:$K$4, Ledger!$B$2:$B$4, $A3, Ledger!$C$2:$C$4, NU$2)),"****")</f>
        <v/>
      </c>
      <c r="NV3" t="str">
        <f>IFERROR(IF($C3="","",SUMIFS(Ledger!$K$2:$K$4, Ledger!$B$2:$B$4, $A3, Ledger!$C$2:$C$4, NV$2)),"****")</f>
        <v/>
      </c>
      <c r="NW3" t="str">
        <f>IFERROR(IF($C3="","",SUMIFS(Ledger!$K$2:$K$4, Ledger!$B$2:$B$4, $A3, Ledger!$C$2:$C$4, NW$2)),"****")</f>
        <v/>
      </c>
      <c r="NX3" t="str">
        <f>IFERROR(IF($C3="","",SUMIFS(Ledger!$K$2:$K$4, Ledger!$B$2:$B$4, $A3, Ledger!$C$2:$C$4, NX$2)),"****")</f>
        <v/>
      </c>
      <c r="NY3" t="str">
        <f>IFERROR(IF($C3="","",SUMIFS(Ledger!$K$2:$K$4, Ledger!$B$2:$B$4, $A3, Ledger!$C$2:$C$4, NY$2)),"****")</f>
        <v/>
      </c>
      <c r="NZ3" t="str">
        <f>IFERROR(IF($C3="","",SUMIFS(Ledger!$K$2:$K$4, Ledger!$B$2:$B$4, $A3, Ledger!$C$2:$C$4, NZ$2)),"****")</f>
        <v/>
      </c>
      <c r="OA3" t="str">
        <f>IFERROR(IF($C3="","",SUMIFS(Ledger!$K$2:$K$4, Ledger!$B$2:$B$4, $A3, Ledger!$C$2:$C$4, OA$2)),"****")</f>
        <v/>
      </c>
      <c r="OB3" t="str">
        <f>IFERROR(IF($C3="","",SUMIFS(Ledger!$K$2:$K$4, Ledger!$B$2:$B$4, $A3, Ledger!$C$2:$C$4, OB$2)),"****")</f>
        <v/>
      </c>
      <c r="OC3" t="str">
        <f>IFERROR(IF($C3="","",SUMIFS(Ledger!$K$2:$K$4, Ledger!$B$2:$B$4, $A3, Ledger!$C$2:$C$4, OC$2)),"****")</f>
        <v/>
      </c>
      <c r="OD3" t="str">
        <f>IFERROR(IF($C3="","",SUMIFS(Ledger!$K$2:$K$4, Ledger!$B$2:$B$4, $A3, Ledger!$C$2:$C$4, OD$2)),"****")</f>
        <v/>
      </c>
      <c r="OE3" t="str">
        <f>IFERROR(IF($C3="","",SUMIFS(Ledger!$K$2:$K$4, Ledger!$B$2:$B$4, $A3, Ledger!$C$2:$C$4, OE$2)),"****")</f>
        <v/>
      </c>
      <c r="OF3" t="str">
        <f>IFERROR(IF($C3="","",SUMIFS(Ledger!$K$2:$K$4, Ledger!$B$2:$B$4, $A3, Ledger!$C$2:$C$4, OF$2)),"****")</f>
        <v/>
      </c>
      <c r="OG3" t="str">
        <f>IFERROR(IF($C3="","",SUMIFS(Ledger!$K$2:$K$4, Ledger!$B$2:$B$4, $A3, Ledger!$C$2:$C$4, OG$2)),"****")</f>
        <v/>
      </c>
      <c r="OH3" t="str">
        <f>IFERROR(IF($C3="","",SUMIFS(Ledger!$K$2:$K$4, Ledger!$B$2:$B$4, $A3, Ledger!$C$2:$C$4, OH$2)),"****")</f>
        <v/>
      </c>
      <c r="OI3" t="str">
        <f>IFERROR(IF($C3="","",SUMIFS(Ledger!$K$2:$K$4, Ledger!$B$2:$B$4, $A3, Ledger!$C$2:$C$4, OI$2)),"****")</f>
        <v/>
      </c>
      <c r="OJ3" t="str">
        <f>IFERROR(IF($C3="","",SUMIFS(Ledger!$K$2:$K$4, Ledger!$B$2:$B$4, $A3, Ledger!$C$2:$C$4, OJ$2)),"****")</f>
        <v/>
      </c>
      <c r="OK3" t="str">
        <f>IFERROR(IF($C3="","",SUMIFS(Ledger!$K$2:$K$4, Ledger!$B$2:$B$4, $A3, Ledger!$C$2:$C$4, OK$2)),"****")</f>
        <v/>
      </c>
      <c r="OL3" t="str">
        <f>IFERROR(IF($C3="","",SUMIFS(Ledger!$K$2:$K$4, Ledger!$B$2:$B$4, $A3, Ledger!$C$2:$C$4, OL$2)),"****")</f>
        <v/>
      </c>
      <c r="OM3" t="str">
        <f>IFERROR(IF($C3="","",SUMIFS(Ledger!$K$2:$K$4, Ledger!$B$2:$B$4, $A3, Ledger!$C$2:$C$4, OM$2)),"****")</f>
        <v/>
      </c>
      <c r="ON3" t="str">
        <f>IFERROR(IF($C3="","",SUMIFS(Ledger!$K$2:$K$4, Ledger!$B$2:$B$4, $A3, Ledger!$C$2:$C$4, ON$2)),"****")</f>
        <v/>
      </c>
      <c r="OO3" t="str">
        <f>IFERROR(IF($C3="","",SUMIFS(Ledger!$K$2:$K$4, Ledger!$B$2:$B$4, $A3, Ledger!$C$2:$C$4, OO$2)),"****")</f>
        <v/>
      </c>
      <c r="OP3" t="str">
        <f>IFERROR(IF($C3="","",SUMIFS(Ledger!$K$2:$K$4, Ledger!$B$2:$B$4, $A3, Ledger!$C$2:$C$4, OP$2)),"****")</f>
        <v/>
      </c>
      <c r="OQ3" t="str">
        <f>IFERROR(IF($C3="","",SUMIFS(Ledger!$K$2:$K$4, Ledger!$B$2:$B$4, $A3, Ledger!$C$2:$C$4, OQ$2)),"****")</f>
        <v/>
      </c>
      <c r="OR3" t="str">
        <f>IFERROR(IF($C3="","",SUMIFS(Ledger!$K$2:$K$4, Ledger!$B$2:$B$4, $A3, Ledger!$C$2:$C$4, OR$2)),"****")</f>
        <v/>
      </c>
      <c r="OS3" t="str">
        <f>IFERROR(IF($C3="","",SUMIFS(Ledger!$K$2:$K$4, Ledger!$B$2:$B$4, $A3, Ledger!$C$2:$C$4, OS$2)),"****")</f>
        <v/>
      </c>
      <c r="OT3" t="str">
        <f>IFERROR(IF($C3="","",SUMIFS(Ledger!$K$2:$K$4, Ledger!$B$2:$B$4, $A3, Ledger!$C$2:$C$4, OT$2)),"****")</f>
        <v/>
      </c>
      <c r="OU3" t="str">
        <f>IFERROR(IF($C3="","",SUMIFS(Ledger!$K$2:$K$4, Ledger!$B$2:$B$4, $A3, Ledger!$C$2:$C$4, OU$2)),"****")</f>
        <v/>
      </c>
      <c r="OV3" t="str">
        <f>IFERROR(IF($C3="","",SUMIFS(Ledger!$K$2:$K$4, Ledger!$B$2:$B$4, $A3, Ledger!$C$2:$C$4, OV$2)),"****")</f>
        <v/>
      </c>
      <c r="OW3" t="str">
        <f>IFERROR(IF($C3="","",SUMIFS(Ledger!$K$2:$K$4, Ledger!$B$2:$B$4, $A3, Ledger!$C$2:$C$4, OW$2)),"****")</f>
        <v/>
      </c>
      <c r="OX3" t="str">
        <f>IFERROR(IF($C3="","",SUMIFS(Ledger!$K$2:$K$4, Ledger!$B$2:$B$4, $A3, Ledger!$C$2:$C$4, OX$2)),"****")</f>
        <v/>
      </c>
      <c r="OY3" t="str">
        <f>IFERROR(IF($C3="","",SUMIFS(Ledger!$K$2:$K$4, Ledger!$B$2:$B$4, $A3, Ledger!$C$2:$C$4, OY$2)),"****")</f>
        <v/>
      </c>
      <c r="OZ3" t="str">
        <f>IFERROR(IF($C3="","",SUMIFS(Ledger!$K$2:$K$4, Ledger!$B$2:$B$4, $A3, Ledger!$C$2:$C$4, OZ$2)),"****")</f>
        <v/>
      </c>
      <c r="PA3" t="str">
        <f>IFERROR(IF($C3="","",SUMIFS(Ledger!$K$2:$K$4, Ledger!$B$2:$B$4, $A3, Ledger!$C$2:$C$4, PA$2)),"****")</f>
        <v/>
      </c>
      <c r="PB3" t="str">
        <f>IFERROR(IF($C3="","",SUMIFS(Ledger!$K$2:$K$4, Ledger!$B$2:$B$4, $A3, Ledger!$C$2:$C$4, PB$2)),"****")</f>
        <v/>
      </c>
      <c r="PC3" t="str">
        <f>IFERROR(IF($C3="","",SUMIFS(Ledger!$K$2:$K$4, Ledger!$B$2:$B$4, $A3, Ledger!$C$2:$C$4, PC$2)),"****")</f>
        <v/>
      </c>
      <c r="PD3" t="str">
        <f>IFERROR(IF($C3="","",SUMIFS(Ledger!$K$2:$K$4, Ledger!$B$2:$B$4, $A3, Ledger!$C$2:$C$4, PD$2)),"****")</f>
        <v/>
      </c>
      <c r="PE3" t="str">
        <f>IFERROR(IF($C3="","",SUMIFS(Ledger!$K$2:$K$4, Ledger!$B$2:$B$4, $A3, Ledger!$C$2:$C$4, PE$2)),"****")</f>
        <v/>
      </c>
      <c r="PF3" t="str">
        <f>IFERROR(IF($C3="","",SUMIFS(Ledger!$K$2:$K$4, Ledger!$B$2:$B$4, $A3, Ledger!$C$2:$C$4, PF$2)),"****")</f>
        <v/>
      </c>
      <c r="PG3" t="str">
        <f>IFERROR(IF($C3="","",SUMIFS(Ledger!$K$2:$K$4, Ledger!$B$2:$B$4, $A3, Ledger!$C$2:$C$4, PG$2)),"****")</f>
        <v/>
      </c>
      <c r="PH3" t="str">
        <f>IFERROR(IF($C3="","",SUMIFS(Ledger!$K$2:$K$4, Ledger!$B$2:$B$4, $A3, Ledger!$C$2:$C$4, PH$2)),"****")</f>
        <v/>
      </c>
      <c r="PI3" t="str">
        <f>IFERROR(IF($C3="","",SUMIFS(Ledger!$K$2:$K$4, Ledger!$B$2:$B$4, $A3, Ledger!$C$2:$C$4, PI$2)),"****")</f>
        <v/>
      </c>
      <c r="PJ3" t="str">
        <f>IFERROR(IF($C3="","",SUMIFS(Ledger!$K$2:$K$4, Ledger!$B$2:$B$4, $A3, Ledger!$C$2:$C$4, PJ$2)),"****")</f>
        <v/>
      </c>
      <c r="PK3" t="str">
        <f>IFERROR(IF($C3="","",SUMIFS(Ledger!$K$2:$K$4, Ledger!$B$2:$B$4, $A3, Ledger!$C$2:$C$4, PK$2)),"****")</f>
        <v/>
      </c>
      <c r="PL3" t="str">
        <f>IFERROR(IF($C3="","",SUMIFS(Ledger!$K$2:$K$4, Ledger!$B$2:$B$4, $A3, Ledger!$C$2:$C$4, PL$2)),"****")</f>
        <v/>
      </c>
      <c r="PM3" t="str">
        <f>IFERROR(IF($C3="","",SUMIFS(Ledger!$K$2:$K$4, Ledger!$B$2:$B$4, $A3, Ledger!$C$2:$C$4, PM$2)),"****")</f>
        <v/>
      </c>
      <c r="PN3" t="str">
        <f>IFERROR(IF($C3="","",SUMIFS(Ledger!$K$2:$K$4, Ledger!$B$2:$B$4, $A3, Ledger!$C$2:$C$4, PN$2)),"****")</f>
        <v/>
      </c>
      <c r="PO3" t="str">
        <f>IFERROR(IF($C3="","",SUMIFS(Ledger!$K$2:$K$4, Ledger!$B$2:$B$4, $A3, Ledger!$C$2:$C$4, PO$2)),"****")</f>
        <v/>
      </c>
      <c r="PP3" t="str">
        <f>IFERROR(IF($C3="","",SUMIFS(Ledger!$K$2:$K$4, Ledger!$B$2:$B$4, $A3, Ledger!$C$2:$C$4, PP$2)),"****")</f>
        <v/>
      </c>
      <c r="PQ3" t="str">
        <f>IFERROR(IF($C3="","",SUMIFS(Ledger!$K$2:$K$4, Ledger!$B$2:$B$4, $A3, Ledger!$C$2:$C$4, PQ$2)),"****")</f>
        <v/>
      </c>
      <c r="PR3" t="str">
        <f>IFERROR(IF($C3="","",SUMIFS(Ledger!$K$2:$K$4, Ledger!$B$2:$B$4, $A3, Ledger!$C$2:$C$4, PR$2)),"****")</f>
        <v/>
      </c>
      <c r="PS3" t="str">
        <f>IFERROR(IF($C3="","",SUMIFS(Ledger!$K$2:$K$4, Ledger!$B$2:$B$4, $A3, Ledger!$C$2:$C$4, PS$2)),"****")</f>
        <v/>
      </c>
      <c r="PT3" t="str">
        <f>IFERROR(IF($C3="","",SUMIFS(Ledger!$K$2:$K$4, Ledger!$B$2:$B$4, $A3, Ledger!$C$2:$C$4, PT$2)),"****")</f>
        <v/>
      </c>
      <c r="PU3" t="str">
        <f>IFERROR(IF($C3="","",SUMIFS(Ledger!$K$2:$K$4, Ledger!$B$2:$B$4, $A3, Ledger!$C$2:$C$4, PU$2)),"****")</f>
        <v/>
      </c>
      <c r="PV3" t="str">
        <f>IFERROR(IF($C3="","",SUMIFS(Ledger!$K$2:$K$4, Ledger!$B$2:$B$4, $A3, Ledger!$C$2:$C$4, PV$2)),"****")</f>
        <v/>
      </c>
      <c r="PW3" t="str">
        <f>IFERROR(IF($C3="","",SUMIFS(Ledger!$K$2:$K$4, Ledger!$B$2:$B$4, $A3, Ledger!$C$2:$C$4, PW$2)),"****")</f>
        <v/>
      </c>
      <c r="PX3" t="str">
        <f>IFERROR(IF($C3="","",SUMIFS(Ledger!$K$2:$K$4, Ledger!$B$2:$B$4, $A3, Ledger!$C$2:$C$4, PX$2)),"****")</f>
        <v/>
      </c>
      <c r="PY3" t="str">
        <f>IFERROR(IF($C3="","",SUMIFS(Ledger!$K$2:$K$4, Ledger!$B$2:$B$4, $A3, Ledger!$C$2:$C$4, PY$2)),"****")</f>
        <v/>
      </c>
      <c r="PZ3" t="str">
        <f>IFERROR(IF($C3="","",SUMIFS(Ledger!$K$2:$K$4, Ledger!$B$2:$B$4, $A3, Ledger!$C$2:$C$4, PZ$2)),"****")</f>
        <v/>
      </c>
      <c r="QA3" t="str">
        <f>IFERROR(IF($C3="","",SUMIFS(Ledger!$K$2:$K$4, Ledger!$B$2:$B$4, $A3, Ledger!$C$2:$C$4, QA$2)),"****")</f>
        <v/>
      </c>
      <c r="QB3" t="str">
        <f>IFERROR(IF($C3="","",SUMIFS(Ledger!$K$2:$K$4, Ledger!$B$2:$B$4, $A3, Ledger!$C$2:$C$4, QB$2)),"****")</f>
        <v/>
      </c>
      <c r="QC3" t="str">
        <f>IFERROR(IF($C3="","",SUMIFS(Ledger!$K$2:$K$4, Ledger!$B$2:$B$4, $A3, Ledger!$C$2:$C$4, QC$2)),"****")</f>
        <v/>
      </c>
      <c r="QD3" t="str">
        <f>IFERROR(IF($C3="","",SUMIFS(Ledger!$K$2:$K$4, Ledger!$B$2:$B$4, $A3, Ledger!$C$2:$C$4, QD$2)),"****")</f>
        <v/>
      </c>
      <c r="QE3" t="str">
        <f>IFERROR(IF($C3="","",SUMIFS(Ledger!$K$2:$K$4, Ledger!$B$2:$B$4, $A3, Ledger!$C$2:$C$4, QE$2)),"****")</f>
        <v/>
      </c>
      <c r="QF3" t="str">
        <f>IFERROR(IF($C3="","",SUMIFS(Ledger!$K$2:$K$4, Ledger!$B$2:$B$4, $A3, Ledger!$C$2:$C$4, QF$2)),"****")</f>
        <v/>
      </c>
      <c r="QG3" t="str">
        <f>IFERROR(IF($C3="","",SUMIFS(Ledger!$K$2:$K$4, Ledger!$B$2:$B$4, $A3, Ledger!$C$2:$C$4, QG$2)),"****")</f>
        <v/>
      </c>
      <c r="QH3" t="str">
        <f>IFERROR(IF($C3="","",SUMIFS(Ledger!$K$2:$K$4, Ledger!$B$2:$B$4, $A3, Ledger!$C$2:$C$4, QH$2)),"****")</f>
        <v/>
      </c>
      <c r="QI3" t="str">
        <f>IFERROR(IF($C3="","",SUMIFS(Ledger!$K$2:$K$4, Ledger!$B$2:$B$4, $A3, Ledger!$C$2:$C$4, QI$2)),"****")</f>
        <v/>
      </c>
      <c r="QJ3" t="str">
        <f>IFERROR(IF($C3="","",SUMIFS(Ledger!$K$2:$K$4, Ledger!$B$2:$B$4, $A3, Ledger!$C$2:$C$4, QJ$2)),"****")</f>
        <v/>
      </c>
      <c r="QK3" t="str">
        <f>IFERROR(IF($C3="","",SUMIFS(Ledger!$K$2:$K$4, Ledger!$B$2:$B$4, $A3, Ledger!$C$2:$C$4, QK$2)),"****")</f>
        <v/>
      </c>
      <c r="QL3" t="str">
        <f>IFERROR(IF($C3="","",SUMIFS(Ledger!$K$2:$K$4, Ledger!$B$2:$B$4, $A3, Ledger!$C$2:$C$4, QL$2)),"****")</f>
        <v/>
      </c>
      <c r="QM3" t="str">
        <f>IFERROR(IF($C3="","",SUMIFS(Ledger!$K$2:$K$4, Ledger!$B$2:$B$4, $A3, Ledger!$C$2:$C$4, QM$2)),"****")</f>
        <v/>
      </c>
      <c r="QN3" t="str">
        <f>IFERROR(IF($C3="","",SUMIFS(Ledger!$K$2:$K$4, Ledger!$B$2:$B$4, $A3, Ledger!$C$2:$C$4, QN$2)),"****")</f>
        <v/>
      </c>
      <c r="QO3" t="str">
        <f>IFERROR(IF($C3="","",SUMIFS(Ledger!$K$2:$K$4, Ledger!$B$2:$B$4, $A3, Ledger!$C$2:$C$4, QO$2)),"****")</f>
        <v/>
      </c>
      <c r="QP3" t="str">
        <f>IFERROR(IF($C3="","",SUMIFS(Ledger!$K$2:$K$4, Ledger!$B$2:$B$4, $A3, Ledger!$C$2:$C$4, QP$2)),"****")</f>
        <v/>
      </c>
      <c r="QQ3" t="str">
        <f>IFERROR(IF($C3="","",SUMIFS(Ledger!$K$2:$K$4, Ledger!$B$2:$B$4, $A3, Ledger!$C$2:$C$4, QQ$2)),"****")</f>
        <v/>
      </c>
      <c r="QR3" t="str">
        <f>IFERROR(IF($C3="","",SUMIFS(Ledger!$K$2:$K$4, Ledger!$B$2:$B$4, $A3, Ledger!$C$2:$C$4, QR$2)),"****")</f>
        <v/>
      </c>
      <c r="QS3" t="str">
        <f>IFERROR(IF($C3="","",SUMIFS(Ledger!$K$2:$K$4, Ledger!$B$2:$B$4, $A3, Ledger!$C$2:$C$4, QS$2)),"****")</f>
        <v/>
      </c>
      <c r="QT3" t="str">
        <f>IFERROR(IF($C3="","",SUMIFS(Ledger!$K$2:$K$4, Ledger!$B$2:$B$4, $A3, Ledger!$C$2:$C$4, QT$2)),"****")</f>
        <v/>
      </c>
      <c r="QU3" t="str">
        <f>IFERROR(IF($C3="","",SUMIFS(Ledger!$K$2:$K$4, Ledger!$B$2:$B$4, $A3, Ledger!$C$2:$C$4, QU$2)),"****")</f>
        <v/>
      </c>
      <c r="QV3" t="str">
        <f>IFERROR(IF($C3="","",SUMIFS(Ledger!$K$2:$K$4, Ledger!$B$2:$B$4, $A3, Ledger!$C$2:$C$4, QV$2)),"****")</f>
        <v/>
      </c>
      <c r="QW3" t="str">
        <f>IFERROR(IF($C3="","",SUMIFS(Ledger!$K$2:$K$4, Ledger!$B$2:$B$4, $A3, Ledger!$C$2:$C$4, QW$2)),"****")</f>
        <v/>
      </c>
      <c r="QX3" t="str">
        <f>IFERROR(IF($C3="","",SUMIFS(Ledger!$K$2:$K$4, Ledger!$B$2:$B$4, $A3, Ledger!$C$2:$C$4, QX$2)),"****")</f>
        <v/>
      </c>
      <c r="QY3" t="str">
        <f>IFERROR(IF($C3="","",SUMIFS(Ledger!$K$2:$K$4, Ledger!$B$2:$B$4, $A3, Ledger!$C$2:$C$4, QY$2)),"****")</f>
        <v/>
      </c>
      <c r="QZ3" t="str">
        <f>IFERROR(IF($C3="","",SUMIFS(Ledger!$K$2:$K$4, Ledger!$B$2:$B$4, $A3, Ledger!$C$2:$C$4, QZ$2)),"****")</f>
        <v/>
      </c>
      <c r="RA3" t="str">
        <f>IFERROR(IF($C3="","",SUMIFS(Ledger!$K$2:$K$4, Ledger!$B$2:$B$4, $A3, Ledger!$C$2:$C$4, RA$2)),"****")</f>
        <v/>
      </c>
      <c r="RB3" t="str">
        <f>IFERROR(IF($C3="","",SUMIFS(Ledger!$K$2:$K$4, Ledger!$B$2:$B$4, $A3, Ledger!$C$2:$C$4, RB$2)),"****")</f>
        <v/>
      </c>
      <c r="RC3" t="str">
        <f>IFERROR(IF($C3="","",SUMIFS(Ledger!$K$2:$K$4, Ledger!$B$2:$B$4, $A3, Ledger!$C$2:$C$4, RC$2)),"****")</f>
        <v/>
      </c>
      <c r="RD3" t="str">
        <f>IFERROR(IF($C3="","",SUMIFS(Ledger!$K$2:$K$4, Ledger!$B$2:$B$4, $A3, Ledger!$C$2:$C$4, RD$2)),"****")</f>
        <v/>
      </c>
      <c r="RE3" t="str">
        <f>IFERROR(IF($C3="","",SUMIFS(Ledger!$K$2:$K$4, Ledger!$B$2:$B$4, $A3, Ledger!$C$2:$C$4, RE$2)),"****")</f>
        <v/>
      </c>
      <c r="RF3" t="str">
        <f>IFERROR(IF($C3="","",SUMIFS(Ledger!$K$2:$K$4, Ledger!$B$2:$B$4, $A3, Ledger!$C$2:$C$4, RF$2)),"****")</f>
        <v/>
      </c>
      <c r="RG3" t="str">
        <f>IFERROR(IF($C3="","",SUMIFS(Ledger!$K$2:$K$4, Ledger!$B$2:$B$4, $A3, Ledger!$C$2:$C$4, RG$2)),"****")</f>
        <v/>
      </c>
      <c r="RH3" t="str">
        <f>IFERROR(IF($C3="","",SUMIFS(Ledger!$K$2:$K$4, Ledger!$B$2:$B$4, $A3, Ledger!$C$2:$C$4, RH$2)),"****")</f>
        <v/>
      </c>
      <c r="RI3" t="str">
        <f>IFERROR(IF($C3="","",SUMIFS(Ledger!$K$2:$K$4, Ledger!$B$2:$B$4, $A3, Ledger!$C$2:$C$4, RI$2)),"****")</f>
        <v/>
      </c>
      <c r="RJ3" t="str">
        <f>IFERROR(IF($C3="","",SUMIFS(Ledger!$K$2:$K$4, Ledger!$B$2:$B$4, $A3, Ledger!$C$2:$C$4, RJ$2)),"****")</f>
        <v/>
      </c>
      <c r="RK3" t="str">
        <f>IFERROR(IF($C3="","",SUMIFS(Ledger!$K$2:$K$4, Ledger!$B$2:$B$4, $A3, Ledger!$C$2:$C$4, RK$2)),"****")</f>
        <v/>
      </c>
      <c r="RL3" t="str">
        <f>IFERROR(IF($C3="","",SUMIFS(Ledger!$K$2:$K$4, Ledger!$B$2:$B$4, $A3, Ledger!$C$2:$C$4, RL$2)),"****")</f>
        <v/>
      </c>
      <c r="RM3" t="str">
        <f>IFERROR(IF($C3="","",SUMIFS(Ledger!$K$2:$K$4, Ledger!$B$2:$B$4, $A3, Ledger!$C$2:$C$4, RM$2)),"****")</f>
        <v/>
      </c>
      <c r="RN3" t="str">
        <f>IFERROR(IF($C3="","",SUMIFS(Ledger!$K$2:$K$4, Ledger!$B$2:$B$4, $A3, Ledger!$C$2:$C$4, RN$2)),"****")</f>
        <v/>
      </c>
      <c r="RO3" t="str">
        <f>IFERROR(IF($C3="","",SUMIFS(Ledger!$K$2:$K$4, Ledger!$B$2:$B$4, $A3, Ledger!$C$2:$C$4, RO$2)),"****")</f>
        <v/>
      </c>
      <c r="RP3" t="str">
        <f>IFERROR(IF($C3="","",SUMIFS(Ledger!$K$2:$K$4, Ledger!$B$2:$B$4, $A3, Ledger!$C$2:$C$4, RP$2)),"****")</f>
        <v/>
      </c>
      <c r="RQ3" t="str">
        <f>IFERROR(IF($C3="","",SUMIFS(Ledger!$K$2:$K$4, Ledger!$B$2:$B$4, $A3, Ledger!$C$2:$C$4, RQ$2)),"****")</f>
        <v/>
      </c>
      <c r="RR3" t="str">
        <f>IFERROR(IF($C3="","",SUMIFS(Ledger!$K$2:$K$4, Ledger!$B$2:$B$4, $A3, Ledger!$C$2:$C$4, RR$2)),"****")</f>
        <v/>
      </c>
      <c r="RS3" t="str">
        <f>IFERROR(IF($C3="","",SUMIFS(Ledger!$K$2:$K$4, Ledger!$B$2:$B$4, $A3, Ledger!$C$2:$C$4, RS$2)),"****")</f>
        <v/>
      </c>
      <c r="RT3" t="str">
        <f>IFERROR(IF($C3="","",SUMIFS(Ledger!$K$2:$K$4, Ledger!$B$2:$B$4, $A3, Ledger!$C$2:$C$4, RT$2)),"****")</f>
        <v/>
      </c>
      <c r="RU3" t="str">
        <f>IFERROR(IF($C3="","",SUMIFS(Ledger!$K$2:$K$4, Ledger!$B$2:$B$4, $A3, Ledger!$C$2:$C$4, RU$2)),"****")</f>
        <v/>
      </c>
      <c r="RV3" t="str">
        <f>IFERROR(IF($C3="","",SUMIFS(Ledger!$K$2:$K$4, Ledger!$B$2:$B$4, $A3, Ledger!$C$2:$C$4, RV$2)),"****")</f>
        <v/>
      </c>
      <c r="RW3" t="str">
        <f>IFERROR(IF($C3="","",SUMIFS(Ledger!$K$2:$K$4, Ledger!$B$2:$B$4, $A3, Ledger!$C$2:$C$4, RW$2)),"****")</f>
        <v/>
      </c>
      <c r="RX3" t="str">
        <f>IFERROR(IF($C3="","",SUMIFS(Ledger!$K$2:$K$4, Ledger!$B$2:$B$4, $A3, Ledger!$C$2:$C$4, RX$2)),"****")</f>
        <v/>
      </c>
      <c r="RY3" t="str">
        <f>IFERROR(IF($C3="","",SUMIFS(Ledger!$K$2:$K$4, Ledger!$B$2:$B$4, $A3, Ledger!$C$2:$C$4, RY$2)),"****")</f>
        <v/>
      </c>
      <c r="RZ3" t="str">
        <f>IFERROR(IF($C3="","",SUMIFS(Ledger!$K$2:$K$4, Ledger!$B$2:$B$4, $A3, Ledger!$C$2:$C$4, RZ$2)),"****")</f>
        <v/>
      </c>
      <c r="SA3" t="str">
        <f>IFERROR(IF($C3="","",SUMIFS(Ledger!$K$2:$K$4, Ledger!$B$2:$B$4, $A3, Ledger!$C$2:$C$4, SA$2)),"****")</f>
        <v/>
      </c>
      <c r="SB3" t="str">
        <f>IFERROR(IF($C3="","",SUMIFS(Ledger!$K$2:$K$4, Ledger!$B$2:$B$4, $A3, Ledger!$C$2:$C$4, SB$2)),"****")</f>
        <v/>
      </c>
      <c r="SC3" t="str">
        <f>IFERROR(IF($C3="","",SUMIFS(Ledger!$K$2:$K$4, Ledger!$B$2:$B$4, $A3, Ledger!$C$2:$C$4, SC$2)),"****")</f>
        <v/>
      </c>
      <c r="SD3" t="str">
        <f>IFERROR(IF($C3="","",SUMIFS(Ledger!$K$2:$K$4, Ledger!$B$2:$B$4, $A3, Ledger!$C$2:$C$4, SD$2)),"****")</f>
        <v/>
      </c>
      <c r="SE3" t="str">
        <f>IFERROR(IF($C3="","",SUMIFS(Ledger!$K$2:$K$4, Ledger!$B$2:$B$4, $A3, Ledger!$C$2:$C$4, SE$2)),"****")</f>
        <v/>
      </c>
      <c r="SF3" t="str">
        <f>IFERROR(IF($C3="","",SUMIFS(Ledger!$K$2:$K$4, Ledger!$B$2:$B$4, $A3, Ledger!$C$2:$C$4, SF$2)),"****")</f>
        <v/>
      </c>
      <c r="SG3" t="str">
        <f>IFERROR(IF($C3="","",SUMIFS(Ledger!$K$2:$K$4, Ledger!$B$2:$B$4, $A3, Ledger!$C$2:$C$4, SG$2)),"****")</f>
        <v/>
      </c>
      <c r="SH3" t="str">
        <f>IFERROR(IF($C3="","",SUMIFS(Ledger!$K$2:$K$4, Ledger!$B$2:$B$4, $A3, Ledger!$C$2:$C$4, SH$2)),"****")</f>
        <v/>
      </c>
      <c r="SI3" t="str">
        <f>IFERROR(IF($C3="","",SUMIFS(Ledger!$K$2:$K$4, Ledger!$B$2:$B$4, $A3, Ledger!$C$2:$C$4, SI$2)),"****")</f>
        <v/>
      </c>
      <c r="SJ3" t="str">
        <f>IFERROR(IF($C3="","",SUMIFS(Ledger!$K$2:$K$4, Ledger!$B$2:$B$4, $A3, Ledger!$C$2:$C$4, SJ$2)),"****")</f>
        <v/>
      </c>
      <c r="SK3" t="str">
        <f>IFERROR(IF($C3="","",SUMIFS(Ledger!$K$2:$K$4, Ledger!$B$2:$B$4, $A3, Ledger!$C$2:$C$4, SK$2)),"****")</f>
        <v/>
      </c>
      <c r="SL3" t="str">
        <f>IFERROR(IF($C3="","",SUMIFS(Ledger!$K$2:$K$4, Ledger!$B$2:$B$4, $A3, Ledger!$C$2:$C$4, SL$2)),"****")</f>
        <v/>
      </c>
      <c r="SM3" t="str">
        <f>IFERROR(IF($C3="","",SUMIFS(Ledger!$K$2:$K$4, Ledger!$B$2:$B$4, $A3, Ledger!$C$2:$C$4, SM$2)),"****")</f>
        <v/>
      </c>
      <c r="SN3" t="str">
        <f>IFERROR(IF($C3="","",SUMIFS(Ledger!$K$2:$K$4, Ledger!$B$2:$B$4, $A3, Ledger!$C$2:$C$4, SN$2)),"****")</f>
        <v/>
      </c>
      <c r="SO3" t="str">
        <f>IFERROR(IF($C3="","",SUMIFS(Ledger!$K$2:$K$4, Ledger!$B$2:$B$4, $A3, Ledger!$C$2:$C$4, SO$2)),"****")</f>
        <v/>
      </c>
      <c r="SP3" t="str">
        <f>IFERROR(IF($C3="","",SUMIFS(Ledger!$K$2:$K$4, Ledger!$B$2:$B$4, $A3, Ledger!$C$2:$C$4, SP$2)),"****")</f>
        <v/>
      </c>
      <c r="SQ3" t="str">
        <f>IFERROR(IF($C3="","",SUMIFS(Ledger!$K$2:$K$4, Ledger!$B$2:$B$4, $A3, Ledger!$C$2:$C$4, SQ$2)),"****")</f>
        <v/>
      </c>
      <c r="SR3" t="str">
        <f>IFERROR(IF($C3="","",SUMIFS(Ledger!$K$2:$K$4, Ledger!$B$2:$B$4, $A3, Ledger!$C$2:$C$4, SR$2)),"****")</f>
        <v/>
      </c>
      <c r="SS3" t="str">
        <f>IFERROR(IF($C3="","",SUMIFS(Ledger!$K$2:$K$4, Ledger!$B$2:$B$4, $A3, Ledger!$C$2:$C$4, SS$2)),"****")</f>
        <v/>
      </c>
      <c r="ST3" t="str">
        <f>IFERROR(IF($C3="","",SUMIFS(Ledger!$K$2:$K$4, Ledger!$B$2:$B$4, $A3, Ledger!$C$2:$C$4, ST$2)),"****")</f>
        <v/>
      </c>
      <c r="SU3" t="str">
        <f>IFERROR(IF($C3="","",SUMIFS(Ledger!$K$2:$K$4, Ledger!$B$2:$B$4, $A3, Ledger!$C$2:$C$4, SU$2)),"****")</f>
        <v/>
      </c>
      <c r="SV3" t="str">
        <f>IFERROR(IF($C3="","",SUMIFS(Ledger!$K$2:$K$4, Ledger!$B$2:$B$4, $A3, Ledger!$C$2:$C$4, SV$2)),"****")</f>
        <v/>
      </c>
      <c r="SW3" t="str">
        <f>IFERROR(IF($C3="","",SUMIFS(Ledger!$K$2:$K$4, Ledger!$B$2:$B$4, $A3, Ledger!$C$2:$C$4, SW$2)),"****")</f>
        <v/>
      </c>
      <c r="SX3" t="str">
        <f>IFERROR(IF($C3="","",SUMIFS(Ledger!$K$2:$K$4, Ledger!$B$2:$B$4, $A3, Ledger!$C$2:$C$4, SX$2)),"****")</f>
        <v/>
      </c>
      <c r="SY3" t="str">
        <f>IFERROR(IF($C3="","",SUMIFS(Ledger!$K$2:$K$4, Ledger!$B$2:$B$4, $A3, Ledger!$C$2:$C$4, SY$2)),"****")</f>
        <v/>
      </c>
      <c r="SZ3" t="str">
        <f>IFERROR(IF($C3="","",SUMIFS(Ledger!$K$2:$K$4, Ledger!$B$2:$B$4, $A3, Ledger!$C$2:$C$4, SZ$2)),"****")</f>
        <v/>
      </c>
      <c r="TA3" t="str">
        <f>IFERROR(IF($C3="","",SUMIFS(Ledger!$K$2:$K$4, Ledger!$B$2:$B$4, $A3, Ledger!$C$2:$C$4, TA$2)),"****")</f>
        <v/>
      </c>
      <c r="TB3" t="str">
        <f>IFERROR(IF($C3="","",SUMIFS(Ledger!$K$2:$K$4, Ledger!$B$2:$B$4, $A3, Ledger!$C$2:$C$4, TB$2)),"****")</f>
        <v/>
      </c>
      <c r="TC3" t="str">
        <f>IFERROR(IF($C3="","",SUMIFS(Ledger!$K$2:$K$4, Ledger!$B$2:$B$4, $A3, Ledger!$C$2:$C$4, TC$2)),"****")</f>
        <v/>
      </c>
      <c r="TD3" t="str">
        <f>IFERROR(IF($C3="","",SUMIFS(Ledger!$K$2:$K$4, Ledger!$B$2:$B$4, $A3, Ledger!$C$2:$C$4, TD$2)),"****")</f>
        <v/>
      </c>
      <c r="TE3" t="str">
        <f>IFERROR(IF($C3="","",SUMIFS(Ledger!$K$2:$K$4, Ledger!$B$2:$B$4, $A3, Ledger!$C$2:$C$4, TE$2)),"****")</f>
        <v/>
      </c>
      <c r="TF3" t="str">
        <f>IFERROR(IF($C3="","",SUMIFS(Ledger!$K$2:$K$4, Ledger!$B$2:$B$4, $A3, Ledger!$C$2:$C$4, TF$2)),"****")</f>
        <v/>
      </c>
      <c r="TG3" t="str">
        <f>IFERROR(IF($C3="","",SUMIFS(Ledger!$K$2:$K$4, Ledger!$B$2:$B$4, $A3, Ledger!$C$2:$C$4, TG$2)),"****")</f>
        <v/>
      </c>
      <c r="TH3" t="str">
        <f>IFERROR(IF($C3="","",SUMIFS(Ledger!$K$2:$K$4, Ledger!$B$2:$B$4, $A3, Ledger!$C$2:$C$4, TH$2)),"****")</f>
        <v/>
      </c>
      <c r="TI3" t="str">
        <f>IFERROR(IF($C3="","",SUMIFS(Ledger!$K$2:$K$4, Ledger!$B$2:$B$4, $A3, Ledger!$C$2:$C$4, TI$2)),"****")</f>
        <v/>
      </c>
      <c r="TJ3" t="str">
        <f>IFERROR(IF($C3="","",SUMIFS(Ledger!$K$2:$K$4, Ledger!$B$2:$B$4, $A3, Ledger!$C$2:$C$4, TJ$2)),"****")</f>
        <v/>
      </c>
      <c r="TK3" t="str">
        <f>IFERROR(IF($C3="","",SUMIFS(Ledger!$K$2:$K$4, Ledger!$B$2:$B$4, $A3, Ledger!$C$2:$C$4, TK$2)),"****")</f>
        <v/>
      </c>
      <c r="TL3" t="str">
        <f>IFERROR(IF($C3="","",SUMIFS(Ledger!$K$2:$K$4, Ledger!$B$2:$B$4, $A3, Ledger!$C$2:$C$4, TL$2)),"****")</f>
        <v/>
      </c>
      <c r="TM3" t="str">
        <f>IFERROR(IF($C3="","",SUMIFS(Ledger!$K$2:$K$4, Ledger!$B$2:$B$4, $A3, Ledger!$C$2:$C$4, TM$2)),"****")</f>
        <v/>
      </c>
      <c r="TN3" t="str">
        <f>IFERROR(IF($C3="","",SUMIFS(Ledger!$K$2:$K$4, Ledger!$B$2:$B$4, $A3, Ledger!$C$2:$C$4, TN$2)),"****")</f>
        <v/>
      </c>
      <c r="TO3" t="str">
        <f>IFERROR(IF($C3="","",SUMIFS(Ledger!$K$2:$K$4, Ledger!$B$2:$B$4, $A3, Ledger!$C$2:$C$4, TO$2)),"****")</f>
        <v/>
      </c>
      <c r="TP3" t="str">
        <f>IFERROR(IF($C3="","",SUMIFS(Ledger!$K$2:$K$4, Ledger!$B$2:$B$4, $A3, Ledger!$C$2:$C$4, TP$2)),"****")</f>
        <v/>
      </c>
      <c r="TQ3" t="str">
        <f>IFERROR(IF($C3="","",SUMIFS(Ledger!$K$2:$K$4, Ledger!$B$2:$B$4, $A3, Ledger!$C$2:$C$4, TQ$2)),"****")</f>
        <v/>
      </c>
      <c r="TR3" t="str">
        <f>IFERROR(IF($C3="","",SUMIFS(Ledger!$K$2:$K$4, Ledger!$B$2:$B$4, $A3, Ledger!$C$2:$C$4, TR$2)),"****")</f>
        <v/>
      </c>
      <c r="TS3" t="str">
        <f>IFERROR(IF($C3="","",SUMIFS(Ledger!$K$2:$K$4, Ledger!$B$2:$B$4, $A3, Ledger!$C$2:$C$4, TS$2)),"****")</f>
        <v/>
      </c>
      <c r="TT3" t="str">
        <f>IFERROR(IF($C3="","",SUMIFS(Ledger!$K$2:$K$4, Ledger!$B$2:$B$4, $A3, Ledger!$C$2:$C$4, TT$2)),"****")</f>
        <v/>
      </c>
      <c r="TU3" t="str">
        <f>IFERROR(IF($C3="","",SUMIFS(Ledger!$K$2:$K$4, Ledger!$B$2:$B$4, $A3, Ledger!$C$2:$C$4, TU$2)),"****")</f>
        <v/>
      </c>
      <c r="TV3" t="str">
        <f>IFERROR(IF($C3="","",SUMIFS(Ledger!$K$2:$K$4, Ledger!$B$2:$B$4, $A3, Ledger!$C$2:$C$4, TV$2)),"****")</f>
        <v/>
      </c>
      <c r="TW3" t="str">
        <f>IFERROR(IF($C3="","",SUMIFS(Ledger!$K$2:$K$4, Ledger!$B$2:$B$4, $A3, Ledger!$C$2:$C$4, TW$2)),"****")</f>
        <v/>
      </c>
      <c r="TX3" t="str">
        <f>IFERROR(IF($C3="","",SUMIFS(Ledger!$K$2:$K$4, Ledger!$B$2:$B$4, $A3, Ledger!$C$2:$C$4, TX$2)),"****")</f>
        <v/>
      </c>
      <c r="TY3" t="str">
        <f>IFERROR(IF($C3="","",SUMIFS(Ledger!$K$2:$K$4, Ledger!$B$2:$B$4, $A3, Ledger!$C$2:$C$4, TY$2)),"****")</f>
        <v/>
      </c>
      <c r="TZ3" t="str">
        <f>IFERROR(IF($C3="","",SUMIFS(Ledger!$K$2:$K$4, Ledger!$B$2:$B$4, $A3, Ledger!$C$2:$C$4, TZ$2)),"****")</f>
        <v/>
      </c>
      <c r="UA3" t="str">
        <f>IFERROR(IF($C3="","",SUMIFS(Ledger!$K$2:$K$4, Ledger!$B$2:$B$4, $A3, Ledger!$C$2:$C$4, UA$2)),"****")</f>
        <v/>
      </c>
      <c r="UB3" t="str">
        <f>IFERROR(IF($C3="","",SUMIFS(Ledger!$K$2:$K$4, Ledger!$B$2:$B$4, $A3, Ledger!$C$2:$C$4, UB$2)),"****")</f>
        <v/>
      </c>
      <c r="UC3" t="str">
        <f>IFERROR(IF($C3="","",SUMIFS(Ledger!$K$2:$K$4, Ledger!$B$2:$B$4, $A3, Ledger!$C$2:$C$4, UC$2)),"****")</f>
        <v/>
      </c>
      <c r="UD3" t="str">
        <f>IFERROR(IF($C3="","",SUMIFS(Ledger!$K$2:$K$4, Ledger!$B$2:$B$4, $A3, Ledger!$C$2:$C$4, UD$2)),"****")</f>
        <v/>
      </c>
      <c r="UE3" t="str">
        <f>IFERROR(IF($C3="","",SUMIFS(Ledger!$K$2:$K$4, Ledger!$B$2:$B$4, $A3, Ledger!$C$2:$C$4, UE$2)),"****")</f>
        <v/>
      </c>
      <c r="UF3" t="str">
        <f>IFERROR(IF($C3="","",SUMIFS(Ledger!$K$2:$K$4, Ledger!$B$2:$B$4, $A3, Ledger!$C$2:$C$4, UF$2)),"****")</f>
        <v/>
      </c>
      <c r="UG3" t="str">
        <f>IFERROR(IF($C3="","",SUMIFS(Ledger!$K$2:$K$4, Ledger!$B$2:$B$4, $A3, Ledger!$C$2:$C$4, UG$2)),"****")</f>
        <v/>
      </c>
      <c r="UH3" t="str">
        <f>IFERROR(IF($C3="","",SUMIFS(Ledger!$K$2:$K$4, Ledger!$B$2:$B$4, $A3, Ledger!$C$2:$C$4, UH$2)),"****")</f>
        <v/>
      </c>
      <c r="UI3" t="str">
        <f>IFERROR(IF($C3="","",SUMIFS(Ledger!$K$2:$K$4, Ledger!$B$2:$B$4, $A3, Ledger!$C$2:$C$4, UI$2)),"****")</f>
        <v/>
      </c>
      <c r="UJ3" t="str">
        <f>IFERROR(IF($C3="","",SUMIFS(Ledger!$K$2:$K$4, Ledger!$B$2:$B$4, $A3, Ledger!$C$2:$C$4, UJ$2)),"****")</f>
        <v/>
      </c>
      <c r="UK3" t="str">
        <f>IFERROR(IF($C3="","",SUMIFS(Ledger!$K$2:$K$4, Ledger!$B$2:$B$4, $A3, Ledger!$C$2:$C$4, UK$2)),"****")</f>
        <v/>
      </c>
      <c r="UL3" t="str">
        <f>IFERROR(IF($C3="","",SUMIFS(Ledger!$K$2:$K$4, Ledger!$B$2:$B$4, $A3, Ledger!$C$2:$C$4, UL$2)),"****")</f>
        <v/>
      </c>
      <c r="UM3" t="str">
        <f>IFERROR(IF($C3="","",SUMIFS(Ledger!$K$2:$K$4, Ledger!$B$2:$B$4, $A3, Ledger!$C$2:$C$4, UM$2)),"****")</f>
        <v/>
      </c>
      <c r="UN3" t="str">
        <f>IFERROR(IF($C3="","",SUMIFS(Ledger!$K$2:$K$4, Ledger!$B$2:$B$4, $A3, Ledger!$C$2:$C$4, UN$2)),"****")</f>
        <v/>
      </c>
      <c r="UO3" t="str">
        <f>IFERROR(IF($C3="","",SUMIFS(Ledger!$K$2:$K$4, Ledger!$B$2:$B$4, $A3, Ledger!$C$2:$C$4, UO$2)),"****")</f>
        <v/>
      </c>
      <c r="UP3" t="str">
        <f>IFERROR(IF($C3="","",SUMIFS(Ledger!$K$2:$K$4, Ledger!$B$2:$B$4, $A3, Ledger!$C$2:$C$4, UP$2)),"****")</f>
        <v/>
      </c>
      <c r="UQ3" t="str">
        <f>IFERROR(IF($C3="","",SUMIFS(Ledger!$K$2:$K$4, Ledger!$B$2:$B$4, $A3, Ledger!$C$2:$C$4, UQ$2)),"****")</f>
        <v/>
      </c>
      <c r="UR3" t="str">
        <f>IFERROR(IF($C3="","",SUMIFS(Ledger!$K$2:$K$4, Ledger!$B$2:$B$4, $A3, Ledger!$C$2:$C$4, UR$2)),"****")</f>
        <v/>
      </c>
      <c r="US3" t="str">
        <f>IFERROR(IF($C3="","",SUMIFS(Ledger!$K$2:$K$4, Ledger!$B$2:$B$4, $A3, Ledger!$C$2:$C$4, US$2)),"****")</f>
        <v/>
      </c>
      <c r="UT3" t="str">
        <f>IFERROR(IF($C3="","",SUMIFS(Ledger!$K$2:$K$4, Ledger!$B$2:$B$4, $A3, Ledger!$C$2:$C$4, UT$2)),"****")</f>
        <v/>
      </c>
      <c r="UU3" t="str">
        <f>IFERROR(IF($C3="","",SUMIFS(Ledger!$K$2:$K$4, Ledger!$B$2:$B$4, $A3, Ledger!$C$2:$C$4, UU$2)),"****")</f>
        <v/>
      </c>
      <c r="UV3" t="str">
        <f>IFERROR(IF($C3="","",SUMIFS(Ledger!$K$2:$K$4, Ledger!$B$2:$B$4, $A3, Ledger!$C$2:$C$4, UV$2)),"****")</f>
        <v/>
      </c>
      <c r="UW3" t="str">
        <f>IFERROR(IF($C3="","",SUMIFS(Ledger!$K$2:$K$4, Ledger!$B$2:$B$4, $A3, Ledger!$C$2:$C$4, UW$2)),"****")</f>
        <v/>
      </c>
      <c r="UX3" t="str">
        <f>IFERROR(IF($C3="","",SUMIFS(Ledger!$K$2:$K$4, Ledger!$B$2:$B$4, $A3, Ledger!$C$2:$C$4, UX$2)),"****")</f>
        <v/>
      </c>
      <c r="UY3" t="str">
        <f>IFERROR(IF($C3="","",SUMIFS(Ledger!$K$2:$K$4, Ledger!$B$2:$B$4, $A3, Ledger!$C$2:$C$4, UY$2)),"****")</f>
        <v/>
      </c>
      <c r="UZ3" t="str">
        <f>IFERROR(IF($C3="","",SUMIFS(Ledger!$K$2:$K$4, Ledger!$B$2:$B$4, $A3, Ledger!$C$2:$C$4, UZ$2)),"****")</f>
        <v/>
      </c>
      <c r="VA3" t="str">
        <f>IFERROR(IF($C3="","",SUMIFS(Ledger!$K$2:$K$4, Ledger!$B$2:$B$4, $A3, Ledger!$C$2:$C$4, VA$2)),"****")</f>
        <v/>
      </c>
      <c r="VB3" t="str">
        <f>IFERROR(IF($C3="","",SUMIFS(Ledger!$K$2:$K$4, Ledger!$B$2:$B$4, $A3, Ledger!$C$2:$C$4, VB$2)),"****")</f>
        <v/>
      </c>
      <c r="VC3" t="str">
        <f>IFERROR(IF($C3="","",SUMIFS(Ledger!$K$2:$K$4, Ledger!$B$2:$B$4, $A3, Ledger!$C$2:$C$4, VC$2)),"****")</f>
        <v/>
      </c>
      <c r="VD3" t="str">
        <f>IFERROR(IF($C3="","",SUMIFS(Ledger!$K$2:$K$4, Ledger!$B$2:$B$4, $A3, Ledger!$C$2:$C$4, VD$2)),"****")</f>
        <v/>
      </c>
      <c r="VE3" t="str">
        <f>IFERROR(IF($C3="","",SUMIFS(Ledger!$K$2:$K$4, Ledger!$B$2:$B$4, $A3, Ledger!$C$2:$C$4, VE$2)),"****")</f>
        <v/>
      </c>
      <c r="VF3" t="str">
        <f>IFERROR(IF($C3="","",SUMIFS(Ledger!$K$2:$K$4, Ledger!$B$2:$B$4, $A3, Ledger!$C$2:$C$4, VF$2)),"****")</f>
        <v/>
      </c>
      <c r="VG3" t="str">
        <f>IFERROR(IF($C3="","",SUMIFS(Ledger!$K$2:$K$4, Ledger!$B$2:$B$4, $A3, Ledger!$C$2:$C$4, VG$2)),"****")</f>
        <v/>
      </c>
      <c r="VH3" t="str">
        <f>IFERROR(IF($C3="","",SUMIFS(Ledger!$K$2:$K$4, Ledger!$B$2:$B$4, $A3, Ledger!$C$2:$C$4, VH$2)),"****")</f>
        <v/>
      </c>
      <c r="VI3" t="str">
        <f>IFERROR(IF($C3="","",SUMIFS(Ledger!$K$2:$K$4, Ledger!$B$2:$B$4, $A3, Ledger!$C$2:$C$4, VI$2)),"****")</f>
        <v/>
      </c>
      <c r="VJ3" t="str">
        <f>IFERROR(IF($C3="","",SUMIFS(Ledger!$K$2:$K$4, Ledger!$B$2:$B$4, $A3, Ledger!$C$2:$C$4, VJ$2)),"****")</f>
        <v/>
      </c>
      <c r="VK3" t="str">
        <f>IFERROR(IF($C3="","",SUMIFS(Ledger!$K$2:$K$4, Ledger!$B$2:$B$4, $A3, Ledger!$C$2:$C$4, VK$2)),"****")</f>
        <v/>
      </c>
      <c r="VL3" t="str">
        <f>IFERROR(IF($C3="","",SUMIFS(Ledger!$K$2:$K$4, Ledger!$B$2:$B$4, $A3, Ledger!$C$2:$C$4, VL$2)),"****")</f>
        <v/>
      </c>
      <c r="VM3" t="str">
        <f>IFERROR(IF($C3="","",SUMIFS(Ledger!$K$2:$K$4, Ledger!$B$2:$B$4, $A3, Ledger!$C$2:$C$4, VM$2)),"****")</f>
        <v/>
      </c>
      <c r="VN3" t="str">
        <f>IFERROR(IF($C3="","",SUMIFS(Ledger!$K$2:$K$4, Ledger!$B$2:$B$4, $A3, Ledger!$C$2:$C$4, VN$2)),"****")</f>
        <v/>
      </c>
      <c r="VO3" t="str">
        <f>IFERROR(IF($C3="","",SUMIFS(Ledger!$K$2:$K$4, Ledger!$B$2:$B$4, $A3, Ledger!$C$2:$C$4, VO$2)),"****")</f>
        <v/>
      </c>
      <c r="VP3" t="str">
        <f>IFERROR(IF($C3="","",SUMIFS(Ledger!$K$2:$K$4, Ledger!$B$2:$B$4, $A3, Ledger!$C$2:$C$4, VP$2)),"****")</f>
        <v/>
      </c>
      <c r="VQ3" t="str">
        <f>IFERROR(IF($C3="","",SUMIFS(Ledger!$K$2:$K$4, Ledger!$B$2:$B$4, $A3, Ledger!$C$2:$C$4, VQ$2)),"****")</f>
        <v/>
      </c>
      <c r="VR3" t="str">
        <f>IFERROR(IF($C3="","",SUMIFS(Ledger!$K$2:$K$4, Ledger!$B$2:$B$4, $A3, Ledger!$C$2:$C$4, VR$2)),"****")</f>
        <v/>
      </c>
      <c r="VS3" t="str">
        <f>IFERROR(IF($C3="","",SUMIFS(Ledger!$K$2:$K$4, Ledger!$B$2:$B$4, $A3, Ledger!$C$2:$C$4, VS$2)),"****")</f>
        <v/>
      </c>
      <c r="VT3" t="str">
        <f>IFERROR(IF($C3="","",SUMIFS(Ledger!$K$2:$K$4, Ledger!$B$2:$B$4, $A3, Ledger!$C$2:$C$4, VT$2)),"****")</f>
        <v/>
      </c>
      <c r="VU3" t="str">
        <f>IFERROR(IF($C3="","",SUMIFS(Ledger!$K$2:$K$4, Ledger!$B$2:$B$4, $A3, Ledger!$C$2:$C$4, VU$2)),"****")</f>
        <v/>
      </c>
      <c r="VV3" t="str">
        <f>IFERROR(IF($C3="","",SUMIFS(Ledger!$K$2:$K$4, Ledger!$B$2:$B$4, $A3, Ledger!$C$2:$C$4, VV$2)),"****")</f>
        <v/>
      </c>
      <c r="VW3" t="str">
        <f>IFERROR(IF($C3="","",SUMIFS(Ledger!$K$2:$K$4, Ledger!$B$2:$B$4, $A3, Ledger!$C$2:$C$4, VW$2)),"****")</f>
        <v/>
      </c>
      <c r="VX3" t="str">
        <f>IFERROR(IF($C3="","",SUMIFS(Ledger!$K$2:$K$4, Ledger!$B$2:$B$4, $A3, Ledger!$C$2:$C$4, VX$2)),"****")</f>
        <v/>
      </c>
      <c r="VY3" t="str">
        <f>IFERROR(IF($C3="","",SUMIFS(Ledger!$K$2:$K$4, Ledger!$B$2:$B$4, $A3, Ledger!$C$2:$C$4, VY$2)),"****")</f>
        <v/>
      </c>
      <c r="VZ3" t="str">
        <f>IFERROR(IF($C3="","",SUMIFS(Ledger!$K$2:$K$4, Ledger!$B$2:$B$4, $A3, Ledger!$C$2:$C$4, VZ$2)),"****")</f>
        <v/>
      </c>
      <c r="WA3" t="str">
        <f>IFERROR(IF($C3="","",SUMIFS(Ledger!$K$2:$K$4, Ledger!$B$2:$B$4, $A3, Ledger!$C$2:$C$4, WA$2)),"****")</f>
        <v/>
      </c>
      <c r="WB3" t="str">
        <f>IFERROR(IF($C3="","",SUMIFS(Ledger!$K$2:$K$4, Ledger!$B$2:$B$4, $A3, Ledger!$C$2:$C$4, WB$2)),"****")</f>
        <v/>
      </c>
      <c r="WC3" t="str">
        <f>IFERROR(IF($C3="","",SUMIFS(Ledger!$K$2:$K$4, Ledger!$B$2:$B$4, $A3, Ledger!$C$2:$C$4, WC$2)),"****")</f>
        <v/>
      </c>
      <c r="WD3" t="str">
        <f>IFERROR(IF($C3="","",SUMIFS(Ledger!$K$2:$K$4, Ledger!$B$2:$B$4, $A3, Ledger!$C$2:$C$4, WD$2)),"****")</f>
        <v/>
      </c>
      <c r="WE3" t="str">
        <f>IFERROR(IF($C3="","",SUMIFS(Ledger!$K$2:$K$4, Ledger!$B$2:$B$4, $A3, Ledger!$C$2:$C$4, WE$2)),"****")</f>
        <v/>
      </c>
      <c r="WF3" t="str">
        <f>IFERROR(IF($C3="","",SUMIFS(Ledger!$K$2:$K$4, Ledger!$B$2:$B$4, $A3, Ledger!$C$2:$C$4, WF$2)),"****")</f>
        <v/>
      </c>
      <c r="WG3" t="str">
        <f>IFERROR(IF($C3="","",SUMIFS(Ledger!$K$2:$K$4, Ledger!$B$2:$B$4, $A3, Ledger!$C$2:$C$4, WG$2)),"****")</f>
        <v/>
      </c>
      <c r="WH3" t="str">
        <f>IFERROR(IF($C3="","",SUMIFS(Ledger!$K$2:$K$4, Ledger!$B$2:$B$4, $A3, Ledger!$C$2:$C$4, WH$2)),"****")</f>
        <v/>
      </c>
      <c r="WI3" t="str">
        <f>IFERROR(IF($C3="","",SUMIFS(Ledger!$K$2:$K$4, Ledger!$B$2:$B$4, $A3, Ledger!$C$2:$C$4, WI$2)),"****")</f>
        <v/>
      </c>
      <c r="WJ3" t="str">
        <f>IFERROR(IF($C3="","",SUMIFS(Ledger!$K$2:$K$4, Ledger!$B$2:$B$4, $A3, Ledger!$C$2:$C$4, WJ$2)),"****")</f>
        <v/>
      </c>
      <c r="WK3" t="str">
        <f>IFERROR(IF($C3="","",SUMIFS(Ledger!$K$2:$K$4, Ledger!$B$2:$B$4, $A3, Ledger!$C$2:$C$4, WK$2)),"****")</f>
        <v/>
      </c>
      <c r="WL3" t="str">
        <f>IFERROR(IF($C3="","",SUMIFS(Ledger!$K$2:$K$4, Ledger!$B$2:$B$4, $A3, Ledger!$C$2:$C$4, WL$2)),"****")</f>
        <v/>
      </c>
      <c r="WM3" t="str">
        <f>IFERROR(IF($C3="","",SUMIFS(Ledger!$K$2:$K$4, Ledger!$B$2:$B$4, $A3, Ledger!$C$2:$C$4, WM$2)),"****")</f>
        <v/>
      </c>
      <c r="WN3" t="str">
        <f>IFERROR(IF($C3="","",SUMIFS(Ledger!$K$2:$K$4, Ledger!$B$2:$B$4, $A3, Ledger!$C$2:$C$4, WN$2)),"****")</f>
        <v/>
      </c>
      <c r="WO3" t="str">
        <f>IFERROR(IF($C3="","",SUMIFS(Ledger!$K$2:$K$4, Ledger!$B$2:$B$4, $A3, Ledger!$C$2:$C$4, WO$2)),"****")</f>
        <v/>
      </c>
      <c r="WP3" t="str">
        <f>IFERROR(IF($C3="","",SUMIFS(Ledger!$K$2:$K$4, Ledger!$B$2:$B$4, $A3, Ledger!$C$2:$C$4, WP$2)),"****")</f>
        <v/>
      </c>
      <c r="WQ3" t="str">
        <f>IFERROR(IF($C3="","",SUMIFS(Ledger!$K$2:$K$4, Ledger!$B$2:$B$4, $A3, Ledger!$C$2:$C$4, WQ$2)),"****")</f>
        <v/>
      </c>
      <c r="WR3" t="str">
        <f>IFERROR(IF($C3="","",SUMIFS(Ledger!$K$2:$K$4, Ledger!$B$2:$B$4, $A3, Ledger!$C$2:$C$4, WR$2)),"****")</f>
        <v/>
      </c>
      <c r="WS3" t="str">
        <f>IFERROR(IF($C3="","",SUMIFS(Ledger!$K$2:$K$4, Ledger!$B$2:$B$4, $A3, Ledger!$C$2:$C$4, WS$2)),"****")</f>
        <v/>
      </c>
      <c r="WT3" t="str">
        <f>IFERROR(IF($C3="","",SUMIFS(Ledger!$K$2:$K$4, Ledger!$B$2:$B$4, $A3, Ledger!$C$2:$C$4, WT$2)),"****")</f>
        <v/>
      </c>
      <c r="WU3" t="str">
        <f>IFERROR(IF($C3="","",SUMIFS(Ledger!$K$2:$K$4, Ledger!$B$2:$B$4, $A3, Ledger!$C$2:$C$4, WU$2)),"****")</f>
        <v/>
      </c>
      <c r="WV3" t="str">
        <f>IFERROR(IF($C3="","",SUMIFS(Ledger!$K$2:$K$4, Ledger!$B$2:$B$4, $A3, Ledger!$C$2:$C$4, WV$2)),"****")</f>
        <v/>
      </c>
      <c r="WW3" t="str">
        <f>IFERROR(IF($C3="","",SUMIFS(Ledger!$K$2:$K$4, Ledger!$B$2:$B$4, $A3, Ledger!$C$2:$C$4, WW$2)),"****")</f>
        <v/>
      </c>
      <c r="WX3" t="str">
        <f>IFERROR(IF($C3="","",SUMIFS(Ledger!$K$2:$K$4, Ledger!$B$2:$B$4, $A3, Ledger!$C$2:$C$4, WX$2)),"****")</f>
        <v/>
      </c>
      <c r="WY3" t="str">
        <f>IFERROR(IF($C3="","",SUMIFS(Ledger!$K$2:$K$4, Ledger!$B$2:$B$4, $A3, Ledger!$C$2:$C$4, WY$2)),"****")</f>
        <v/>
      </c>
      <c r="WZ3" t="str">
        <f>IFERROR(IF($C3="","",SUMIFS(Ledger!$K$2:$K$4, Ledger!$B$2:$B$4, $A3, Ledger!$C$2:$C$4, WZ$2)),"****")</f>
        <v/>
      </c>
      <c r="XA3" t="str">
        <f>IFERROR(IF($C3="","",SUMIFS(Ledger!$K$2:$K$4, Ledger!$B$2:$B$4, $A3, Ledger!$C$2:$C$4, XA$2)),"****")</f>
        <v/>
      </c>
      <c r="XB3" t="str">
        <f>IFERROR(IF($C3="","",SUMIFS(Ledger!$K$2:$K$4, Ledger!$B$2:$B$4, $A3, Ledger!$C$2:$C$4, XB$2)),"****")</f>
        <v/>
      </c>
      <c r="XC3" t="str">
        <f>IFERROR(IF($C3="","",SUMIFS(Ledger!$K$2:$K$4, Ledger!$B$2:$B$4, $A3, Ledger!$C$2:$C$4, XC$2)),"****")</f>
        <v/>
      </c>
      <c r="XD3" t="str">
        <f>IFERROR(IF($C3="","",SUMIFS(Ledger!$K$2:$K$4, Ledger!$B$2:$B$4, $A3, Ledger!$C$2:$C$4, XD$2)),"****")</f>
        <v/>
      </c>
      <c r="XE3" t="str">
        <f>IFERROR(IF($C3="","",SUMIFS(Ledger!$K$2:$K$4, Ledger!$B$2:$B$4, $A3, Ledger!$C$2:$C$4, XE$2)),"****")</f>
        <v/>
      </c>
      <c r="XF3" t="str">
        <f>IFERROR(IF($C3="","",SUMIFS(Ledger!$K$2:$K$4, Ledger!$B$2:$B$4, $A3, Ledger!$C$2:$C$4, XF$2)),"****")</f>
        <v/>
      </c>
      <c r="XG3" t="str">
        <f>IFERROR(IF($C3="","",SUMIFS(Ledger!$K$2:$K$4, Ledger!$B$2:$B$4, $A3, Ledger!$C$2:$C$4, XG$2)),"****")</f>
        <v/>
      </c>
      <c r="XH3" t="str">
        <f>IFERROR(IF($C3="","",SUMIFS(Ledger!$K$2:$K$4, Ledger!$B$2:$B$4, $A3, Ledger!$C$2:$C$4, XH$2)),"****")</f>
        <v/>
      </c>
      <c r="XI3" t="str">
        <f>IFERROR(IF($C3="","",SUMIFS(Ledger!$K$2:$K$4, Ledger!$B$2:$B$4, $A3, Ledger!$C$2:$C$4, XI$2)),"****")</f>
        <v/>
      </c>
      <c r="XJ3" t="str">
        <f>IFERROR(IF($C3="","",SUMIFS(Ledger!$K$2:$K$4, Ledger!$B$2:$B$4, $A3, Ledger!$C$2:$C$4, XJ$2)),"****")</f>
        <v/>
      </c>
      <c r="XK3" t="str">
        <f>IFERROR(IF($C3="","",SUMIFS(Ledger!$K$2:$K$4, Ledger!$B$2:$B$4, $A3, Ledger!$C$2:$C$4, XK$2)),"****")</f>
        <v/>
      </c>
      <c r="XL3" t="str">
        <f>IFERROR(IF($C3="","",SUMIFS(Ledger!$K$2:$K$4, Ledger!$B$2:$B$4, $A3, Ledger!$C$2:$C$4, XL$2)),"****")</f>
        <v/>
      </c>
      <c r="XM3" t="str">
        <f>IFERROR(IF($C3="","",SUMIFS(Ledger!$K$2:$K$4, Ledger!$B$2:$B$4, $A3, Ledger!$C$2:$C$4, XM$2)),"****")</f>
        <v/>
      </c>
      <c r="XN3" t="str">
        <f>IFERROR(IF($C3="","",SUMIFS(Ledger!$K$2:$K$4, Ledger!$B$2:$B$4, $A3, Ledger!$C$2:$C$4, XN$2)),"****")</f>
        <v/>
      </c>
      <c r="XO3" t="str">
        <f>IFERROR(IF($C3="","",SUMIFS(Ledger!$K$2:$K$4, Ledger!$B$2:$B$4, $A3, Ledger!$C$2:$C$4, XO$2)),"****")</f>
        <v/>
      </c>
      <c r="XP3" t="str">
        <f>IFERROR(IF($C3="","",SUMIFS(Ledger!$K$2:$K$4, Ledger!$B$2:$B$4, $A3, Ledger!$C$2:$C$4, XP$2)),"****")</f>
        <v/>
      </c>
      <c r="XQ3" t="str">
        <f>IFERROR(IF($C3="","",SUMIFS(Ledger!$K$2:$K$4, Ledger!$B$2:$B$4, $A3, Ledger!$C$2:$C$4, XQ$2)),"****")</f>
        <v/>
      </c>
      <c r="XR3" t="str">
        <f>IFERROR(IF($C3="","",SUMIFS(Ledger!$K$2:$K$4, Ledger!$B$2:$B$4, $A3, Ledger!$C$2:$C$4, XR$2)),"****")</f>
        <v/>
      </c>
      <c r="XS3" t="str">
        <f>IFERROR(IF($C3="","",SUMIFS(Ledger!$K$2:$K$4, Ledger!$B$2:$B$4, $A3, Ledger!$C$2:$C$4, XS$2)),"****")</f>
        <v/>
      </c>
      <c r="XT3" t="str">
        <f>IFERROR(IF($C3="","",SUMIFS(Ledger!$K$2:$K$4, Ledger!$B$2:$B$4, $A3, Ledger!$C$2:$C$4, XT$2)),"****")</f>
        <v/>
      </c>
      <c r="XU3" t="str">
        <f>IFERROR(IF($C3="","",SUMIFS(Ledger!$K$2:$K$4, Ledger!$B$2:$B$4, $A3, Ledger!$C$2:$C$4, XU$2)),"****")</f>
        <v/>
      </c>
      <c r="XV3" t="str">
        <f>IFERROR(IF($C3="","",SUMIFS(Ledger!$K$2:$K$4, Ledger!$B$2:$B$4, $A3, Ledger!$C$2:$C$4, XV$2)),"****")</f>
        <v/>
      </c>
      <c r="XW3" t="str">
        <f>IFERROR(IF($C3="","",SUMIFS(Ledger!$K$2:$K$4, Ledger!$B$2:$B$4, $A3, Ledger!$C$2:$C$4, XW$2)),"****")</f>
        <v/>
      </c>
      <c r="XX3" t="str">
        <f>IFERROR(IF($C3="","",SUMIFS(Ledger!$K$2:$K$4, Ledger!$B$2:$B$4, $A3, Ledger!$C$2:$C$4, XX$2)),"****")</f>
        <v/>
      </c>
      <c r="XY3" t="str">
        <f>IFERROR(IF($C3="","",SUMIFS(Ledger!$K$2:$K$4, Ledger!$B$2:$B$4, $A3, Ledger!$C$2:$C$4, XY$2)),"****")</f>
        <v/>
      </c>
      <c r="XZ3" t="str">
        <f>IFERROR(IF($C3="","",SUMIFS(Ledger!$K$2:$K$4, Ledger!$B$2:$B$4, $A3, Ledger!$C$2:$C$4, XZ$2)),"****")</f>
        <v/>
      </c>
      <c r="YA3" t="str">
        <f>IFERROR(IF($C3="","",SUMIFS(Ledger!$K$2:$K$4, Ledger!$B$2:$B$4, $A3, Ledger!$C$2:$C$4, YA$2)),"****")</f>
        <v/>
      </c>
      <c r="YB3" t="str">
        <f>IFERROR(IF($C3="","",SUMIFS(Ledger!$K$2:$K$4, Ledger!$B$2:$B$4, $A3, Ledger!$C$2:$C$4, YB$2)),"****")</f>
        <v/>
      </c>
      <c r="YC3" t="str">
        <f>IFERROR(IF($C3="","",SUMIFS(Ledger!$K$2:$K$4, Ledger!$B$2:$B$4, $A3, Ledger!$C$2:$C$4, YC$2)),"****")</f>
        <v/>
      </c>
      <c r="YD3" t="str">
        <f>IFERROR(IF($C3="","",SUMIFS(Ledger!$K$2:$K$4, Ledger!$B$2:$B$4, $A3, Ledger!$C$2:$C$4, YD$2)),"****")</f>
        <v/>
      </c>
      <c r="YE3" t="str">
        <f>IFERROR(IF($C3="","",SUMIFS(Ledger!$K$2:$K$4, Ledger!$B$2:$B$4, $A3, Ledger!$C$2:$C$4, YE$2)),"****")</f>
        <v/>
      </c>
      <c r="YF3" t="str">
        <f>IFERROR(IF($C3="","",SUMIFS(Ledger!$K$2:$K$4, Ledger!$B$2:$B$4, $A3, Ledger!$C$2:$C$4, YF$2)),"****")</f>
        <v/>
      </c>
      <c r="YG3" t="str">
        <f>IFERROR(IF($C3="","",SUMIFS(Ledger!$K$2:$K$4, Ledger!$B$2:$B$4, $A3, Ledger!$C$2:$C$4, YG$2)),"****")</f>
        <v/>
      </c>
      <c r="YH3" t="str">
        <f>IFERROR(IF($C3="","",SUMIFS(Ledger!$K$2:$K$4, Ledger!$B$2:$B$4, $A3, Ledger!$C$2:$C$4, YH$2)),"****")</f>
        <v/>
      </c>
      <c r="YI3" t="str">
        <f>IFERROR(IF($C3="","",SUMIFS(Ledger!$K$2:$K$4, Ledger!$B$2:$B$4, $A3, Ledger!$C$2:$C$4, YI$2)),"****")</f>
        <v/>
      </c>
      <c r="YJ3" t="str">
        <f>IFERROR(IF($C3="","",SUMIFS(Ledger!$K$2:$K$4, Ledger!$B$2:$B$4, $A3, Ledger!$C$2:$C$4, YJ$2)),"****")</f>
        <v/>
      </c>
      <c r="YK3" t="str">
        <f>IFERROR(IF($C3="","",SUMIFS(Ledger!$K$2:$K$4, Ledger!$B$2:$B$4, $A3, Ledger!$C$2:$C$4, YK$2)),"****")</f>
        <v/>
      </c>
      <c r="YL3" t="str">
        <f>IFERROR(IF($C3="","",SUMIFS(Ledger!$K$2:$K$4, Ledger!$B$2:$B$4, $A3, Ledger!$C$2:$C$4, YL$2)),"****")</f>
        <v/>
      </c>
      <c r="YM3" t="str">
        <f>IFERROR(IF($C3="","",SUMIFS(Ledger!$K$2:$K$4, Ledger!$B$2:$B$4, $A3, Ledger!$C$2:$C$4, YM$2)),"****")</f>
        <v/>
      </c>
      <c r="YN3" t="str">
        <f>IFERROR(IF($C3="","",SUMIFS(Ledger!$K$2:$K$4, Ledger!$B$2:$B$4, $A3, Ledger!$C$2:$C$4, YN$2)),"****")</f>
        <v/>
      </c>
      <c r="YO3" t="str">
        <f>IFERROR(IF($C3="","",SUMIFS(Ledger!$K$2:$K$4, Ledger!$B$2:$B$4, $A3, Ledger!$C$2:$C$4, YO$2)),"****")</f>
        <v/>
      </c>
      <c r="YP3" t="str">
        <f>IFERROR(IF($C3="","",SUMIFS(Ledger!$K$2:$K$4, Ledger!$B$2:$B$4, $A3, Ledger!$C$2:$C$4, YP$2)),"****")</f>
        <v/>
      </c>
      <c r="YQ3" t="str">
        <f>IFERROR(IF($C3="","",SUMIFS(Ledger!$K$2:$K$4, Ledger!$B$2:$B$4, $A3, Ledger!$C$2:$C$4, YQ$2)),"****")</f>
        <v/>
      </c>
      <c r="YR3" t="str">
        <f>IFERROR(IF($C3="","",SUMIFS(Ledger!$K$2:$K$4, Ledger!$B$2:$B$4, $A3, Ledger!$C$2:$C$4, YR$2)),"****")</f>
        <v/>
      </c>
      <c r="YS3" t="str">
        <f>IFERROR(IF($C3="","",SUMIFS(Ledger!$K$2:$K$4, Ledger!$B$2:$B$4, $A3, Ledger!$C$2:$C$4, YS$2)),"****")</f>
        <v/>
      </c>
      <c r="YT3" t="str">
        <f>IFERROR(IF($C3="","",SUMIFS(Ledger!$K$2:$K$4, Ledger!$B$2:$B$4, $A3, Ledger!$C$2:$C$4, YT$2)),"****")</f>
        <v/>
      </c>
      <c r="YU3" t="str">
        <f>IFERROR(IF($C3="","",SUMIFS(Ledger!$K$2:$K$4, Ledger!$B$2:$B$4, $A3, Ledger!$C$2:$C$4, YU$2)),"****")</f>
        <v/>
      </c>
      <c r="YV3" t="str">
        <f>IFERROR(IF($C3="","",SUMIFS(Ledger!$K$2:$K$4, Ledger!$B$2:$B$4, $A3, Ledger!$C$2:$C$4, YV$2)),"****")</f>
        <v/>
      </c>
      <c r="YW3" t="str">
        <f>IFERROR(IF($C3="","",SUMIFS(Ledger!$K$2:$K$4, Ledger!$B$2:$B$4, $A3, Ledger!$C$2:$C$4, YW$2)),"****")</f>
        <v/>
      </c>
      <c r="YX3" t="str">
        <f>IFERROR(IF($C3="","",SUMIFS(Ledger!$K$2:$K$4, Ledger!$B$2:$B$4, $A3, Ledger!$C$2:$C$4, YX$2)),"****")</f>
        <v/>
      </c>
      <c r="YY3" t="str">
        <f>IFERROR(IF($C3="","",SUMIFS(Ledger!$K$2:$K$4, Ledger!$B$2:$B$4, $A3, Ledger!$C$2:$C$4, YY$2)),"****")</f>
        <v/>
      </c>
      <c r="YZ3" t="str">
        <f>IFERROR(IF($C3="","",SUMIFS(Ledger!$K$2:$K$4, Ledger!$B$2:$B$4, $A3, Ledger!$C$2:$C$4, YZ$2)),"****")</f>
        <v/>
      </c>
      <c r="ZA3" t="str">
        <f>IFERROR(IF($C3="","",SUMIFS(Ledger!$K$2:$K$4, Ledger!$B$2:$B$4, $A3, Ledger!$C$2:$C$4, ZA$2)),"****")</f>
        <v/>
      </c>
      <c r="ZB3" t="str">
        <f>IFERROR(IF($C3="","",SUMIFS(Ledger!$K$2:$K$4, Ledger!$B$2:$B$4, $A3, Ledger!$C$2:$C$4, ZB$2)),"****")</f>
        <v/>
      </c>
      <c r="ZC3" t="str">
        <f>IFERROR(IF($C3="","",SUMIFS(Ledger!$K$2:$K$4, Ledger!$B$2:$B$4, $A3, Ledger!$C$2:$C$4, ZC$2)),"****")</f>
        <v/>
      </c>
      <c r="ZD3" t="str">
        <f>IFERROR(IF($C3="","",SUMIFS(Ledger!$K$2:$K$4, Ledger!$B$2:$B$4, $A3, Ledger!$C$2:$C$4, ZD$2)),"****")</f>
        <v/>
      </c>
      <c r="ZE3" t="str">
        <f>IFERROR(IF($C3="","",SUMIFS(Ledger!$K$2:$K$4, Ledger!$B$2:$B$4, $A3, Ledger!$C$2:$C$4, ZE$2)),"****")</f>
        <v/>
      </c>
      <c r="ZF3" t="str">
        <f>IFERROR(IF($C3="","",SUMIFS(Ledger!$K$2:$K$4, Ledger!$B$2:$B$4, $A3, Ledger!$C$2:$C$4, ZF$2)),"****")</f>
        <v/>
      </c>
      <c r="ZG3" t="str">
        <f>IFERROR(IF($C3="","",SUMIFS(Ledger!$K$2:$K$4, Ledger!$B$2:$B$4, $A3, Ledger!$C$2:$C$4, ZG$2)),"****")</f>
        <v/>
      </c>
      <c r="ZH3" t="str">
        <f>IFERROR(IF($C3="","",SUMIFS(Ledger!$K$2:$K$4, Ledger!$B$2:$B$4, $A3, Ledger!$C$2:$C$4, ZH$2)),"****")</f>
        <v/>
      </c>
      <c r="ZI3" t="str">
        <f>IFERROR(IF($C3="","",SUMIFS(Ledger!$K$2:$K$4, Ledger!$B$2:$B$4, $A3, Ledger!$C$2:$C$4, ZI$2)),"****")</f>
        <v/>
      </c>
      <c r="ZJ3" t="str">
        <f>IFERROR(IF($C3="","",SUMIFS(Ledger!$K$2:$K$4, Ledger!$B$2:$B$4, $A3, Ledger!$C$2:$C$4, ZJ$2)),"****")</f>
        <v/>
      </c>
      <c r="ZK3" t="str">
        <f>IFERROR(IF($C3="","",SUMIFS(Ledger!$K$2:$K$4, Ledger!$B$2:$B$4, $A3, Ledger!$C$2:$C$4, ZK$2)),"****")</f>
        <v/>
      </c>
      <c r="ZL3" t="str">
        <f>IFERROR(IF($C3="","",SUMIFS(Ledger!$K$2:$K$4, Ledger!$B$2:$B$4, $A3, Ledger!$C$2:$C$4, ZL$2)),"****")</f>
        <v/>
      </c>
      <c r="ZM3" t="str">
        <f>IFERROR(IF($C3="","",SUMIFS(Ledger!$K$2:$K$4, Ledger!$B$2:$B$4, $A3, Ledger!$C$2:$C$4, ZM$2)),"****")</f>
        <v/>
      </c>
      <c r="ZN3" t="str">
        <f>IFERROR(IF($C3="","",SUMIFS(Ledger!$K$2:$K$4, Ledger!$B$2:$B$4, $A3, Ledger!$C$2:$C$4, ZN$2)),"****")</f>
        <v/>
      </c>
      <c r="ZO3" t="str">
        <f>IFERROR(IF($C3="","",SUMIFS(Ledger!$K$2:$K$4, Ledger!$B$2:$B$4, $A3, Ledger!$C$2:$C$4, ZO$2)),"****")</f>
        <v/>
      </c>
      <c r="ZP3" t="str">
        <f>IFERROR(IF($C3="","",SUMIFS(Ledger!$K$2:$K$4, Ledger!$B$2:$B$4, $A3, Ledger!$C$2:$C$4, ZP$2)),"****")</f>
        <v/>
      </c>
      <c r="ZQ3" t="str">
        <f>IFERROR(IF($C3="","",SUMIFS(Ledger!$K$2:$K$4, Ledger!$B$2:$B$4, $A3, Ledger!$C$2:$C$4, ZQ$2)),"****")</f>
        <v/>
      </c>
      <c r="ZR3" t="str">
        <f>IFERROR(IF($C3="","",SUMIFS(Ledger!$K$2:$K$4, Ledger!$B$2:$B$4, $A3, Ledger!$C$2:$C$4, ZR$2)),"****")</f>
        <v/>
      </c>
      <c r="ZS3" t="str">
        <f>IFERROR(IF($C3="","",SUMIFS(Ledger!$K$2:$K$4, Ledger!$B$2:$B$4, $A3, Ledger!$C$2:$C$4, ZS$2)),"****")</f>
        <v/>
      </c>
      <c r="ZT3" t="str">
        <f>IFERROR(IF($C3="","",SUMIFS(Ledger!$K$2:$K$4, Ledger!$B$2:$B$4, $A3, Ledger!$C$2:$C$4, ZT$2)),"****")</f>
        <v/>
      </c>
      <c r="ZU3" t="str">
        <f>IFERROR(IF($C3="","",SUMIFS(Ledger!$K$2:$K$4, Ledger!$B$2:$B$4, $A3, Ledger!$C$2:$C$4, ZU$2)),"****")</f>
        <v/>
      </c>
      <c r="ZV3" t="str">
        <f>IFERROR(IF($C3="","",SUMIFS(Ledger!$K$2:$K$4, Ledger!$B$2:$B$4, $A3, Ledger!$C$2:$C$4, ZV$2)),"****")</f>
        <v/>
      </c>
      <c r="ZW3" t="str">
        <f>IFERROR(IF($C3="","",SUMIFS(Ledger!$K$2:$K$4, Ledger!$B$2:$B$4, $A3, Ledger!$C$2:$C$4, ZW$2)),"****")</f>
        <v/>
      </c>
      <c r="ZX3" t="str">
        <f>IFERROR(IF($C3="","",SUMIFS(Ledger!$K$2:$K$4, Ledger!$B$2:$B$4, $A3, Ledger!$C$2:$C$4, ZX$2)),"****")</f>
        <v/>
      </c>
      <c r="ZY3" t="str">
        <f>IFERROR(IF($C3="","",SUMIFS(Ledger!$K$2:$K$4, Ledger!$B$2:$B$4, $A3, Ledger!$C$2:$C$4, ZY$2)),"****")</f>
        <v/>
      </c>
      <c r="ZZ3" t="str">
        <f>IFERROR(IF($C3="","",SUMIFS(Ledger!$K$2:$K$4, Ledger!$B$2:$B$4, $A3, Ledger!$C$2:$C$4, ZZ$2)),"****")</f>
        <v/>
      </c>
      <c r="AAA3" t="str">
        <f>IFERROR(IF($C3="","",SUMIFS(Ledger!$K$2:$K$4, Ledger!$B$2:$B$4, $A3, Ledger!$C$2:$C$4, AAA$2)),"****")</f>
        <v/>
      </c>
      <c r="AAB3" t="str">
        <f>IFERROR(IF($C3="","",SUMIFS(Ledger!$K$2:$K$4, Ledger!$B$2:$B$4, $A3, Ledger!$C$2:$C$4, AAB$2)),"****")</f>
        <v/>
      </c>
      <c r="AAC3" t="str">
        <f>IFERROR(IF($C3="","",SUMIFS(Ledger!$K$2:$K$4, Ledger!$B$2:$B$4, $A3, Ledger!$C$2:$C$4, AAC$2)),"****")</f>
        <v/>
      </c>
      <c r="AAD3" t="str">
        <f>IFERROR(IF($C3="","",SUMIFS(Ledger!$K$2:$K$4, Ledger!$B$2:$B$4, $A3, Ledger!$C$2:$C$4, AAD$2)),"****")</f>
        <v/>
      </c>
      <c r="AAE3" t="str">
        <f>IFERROR(IF($C3="","",SUMIFS(Ledger!$K$2:$K$4, Ledger!$B$2:$B$4, $A3, Ledger!$C$2:$C$4, AAE$2)),"****")</f>
        <v/>
      </c>
      <c r="AAF3" t="str">
        <f>IFERROR(IF($C3="","",SUMIFS(Ledger!$K$2:$K$4, Ledger!$B$2:$B$4, $A3, Ledger!$C$2:$C$4, AAF$2)),"****")</f>
        <v/>
      </c>
      <c r="AAG3" t="str">
        <f>IFERROR(IF($C3="","",SUMIFS(Ledger!$K$2:$K$4, Ledger!$B$2:$B$4, $A3, Ledger!$C$2:$C$4, AAG$2)),"****")</f>
        <v/>
      </c>
      <c r="AAH3" t="str">
        <f>IFERROR(IF($C3="","",SUMIFS(Ledger!$K$2:$K$4, Ledger!$B$2:$B$4, $A3, Ledger!$C$2:$C$4, AAH$2)),"****")</f>
        <v/>
      </c>
      <c r="AAI3" t="str">
        <f>IFERROR(IF($C3="","",SUMIFS(Ledger!$K$2:$K$4, Ledger!$B$2:$B$4, $A3, Ledger!$C$2:$C$4, AAI$2)),"****")</f>
        <v/>
      </c>
      <c r="AAJ3" t="str">
        <f>IFERROR(IF($C3="","",SUMIFS(Ledger!$K$2:$K$4, Ledger!$B$2:$B$4, $A3, Ledger!$C$2:$C$4, AAJ$2)),"****")</f>
        <v/>
      </c>
      <c r="AAK3" t="str">
        <f>IFERROR(IF($C3="","",SUMIFS(Ledger!$K$2:$K$4, Ledger!$B$2:$B$4, $A3, Ledger!$C$2:$C$4, AAK$2)),"****")</f>
        <v/>
      </c>
      <c r="AAL3" t="str">
        <f>IFERROR(IF($C3="","",SUMIFS(Ledger!$K$2:$K$4, Ledger!$B$2:$B$4, $A3, Ledger!$C$2:$C$4, AAL$2)),"****")</f>
        <v/>
      </c>
      <c r="AAM3" t="str">
        <f>IFERROR(IF($C3="","",SUMIFS(Ledger!$K$2:$K$4, Ledger!$B$2:$B$4, $A3, Ledger!$C$2:$C$4, AAM$2)),"****")</f>
        <v/>
      </c>
      <c r="AAN3" t="str">
        <f>IFERROR(IF($C3="","",SUMIFS(Ledger!$K$2:$K$4, Ledger!$B$2:$B$4, $A3, Ledger!$C$2:$C$4, AAN$2)),"****")</f>
        <v/>
      </c>
      <c r="AAO3" t="str">
        <f>IFERROR(IF($C3="","",SUMIFS(Ledger!$K$2:$K$4, Ledger!$B$2:$B$4, $A3, Ledger!$C$2:$C$4, AAO$2)),"****")</f>
        <v/>
      </c>
      <c r="AAP3" t="str">
        <f>IFERROR(IF($C3="","",SUMIFS(Ledger!$K$2:$K$4, Ledger!$B$2:$B$4, $A3, Ledger!$C$2:$C$4, AAP$2)),"****")</f>
        <v/>
      </c>
      <c r="AAQ3" t="str">
        <f>IFERROR(IF($C3="","",SUMIFS(Ledger!$K$2:$K$4, Ledger!$B$2:$B$4, $A3, Ledger!$C$2:$C$4, AAQ$2)),"****")</f>
        <v/>
      </c>
      <c r="AAR3" t="str">
        <f>IFERROR(IF($C3="","",SUMIFS(Ledger!$K$2:$K$4, Ledger!$B$2:$B$4, $A3, Ledger!$C$2:$C$4, AAR$2)),"****")</f>
        <v/>
      </c>
      <c r="AAS3" t="str">
        <f>IFERROR(IF($C3="","",SUMIFS(Ledger!$K$2:$K$4, Ledger!$B$2:$B$4, $A3, Ledger!$C$2:$C$4, AAS$2)),"****")</f>
        <v/>
      </c>
      <c r="AAT3" t="str">
        <f>IFERROR(IF($C3="","",SUMIFS(Ledger!$K$2:$K$4, Ledger!$B$2:$B$4, $A3, Ledger!$C$2:$C$4, AAT$2)),"****")</f>
        <v/>
      </c>
      <c r="AAU3" t="str">
        <f>IFERROR(IF($C3="","",SUMIFS(Ledger!$K$2:$K$4, Ledger!$B$2:$B$4, $A3, Ledger!$C$2:$C$4, AAU$2)),"****")</f>
        <v/>
      </c>
      <c r="AAV3" t="str">
        <f>IFERROR(IF($C3="","",SUMIFS(Ledger!$K$2:$K$4, Ledger!$B$2:$B$4, $A3, Ledger!$C$2:$C$4, AAV$2)),"****")</f>
        <v/>
      </c>
      <c r="AAW3" t="str">
        <f>IFERROR(IF($C3="","",SUMIFS(Ledger!$K$2:$K$4, Ledger!$B$2:$B$4, $A3, Ledger!$C$2:$C$4, AAW$2)),"****")</f>
        <v/>
      </c>
      <c r="AAX3" t="str">
        <f>IFERROR(IF($C3="","",SUMIFS(Ledger!$K$2:$K$4, Ledger!$B$2:$B$4, $A3, Ledger!$C$2:$C$4, AAX$2)),"****")</f>
        <v/>
      </c>
      <c r="AAY3" t="str">
        <f>IFERROR(IF($C3="","",SUMIFS(Ledger!$K$2:$K$4, Ledger!$B$2:$B$4, $A3, Ledger!$C$2:$C$4, AAY$2)),"****")</f>
        <v/>
      </c>
      <c r="AAZ3" t="str">
        <f>IFERROR(IF($C3="","",SUMIFS(Ledger!$K$2:$K$4, Ledger!$B$2:$B$4, $A3, Ledger!$C$2:$C$4, AAZ$2)),"****")</f>
        <v/>
      </c>
      <c r="ABA3" t="str">
        <f>IFERROR(IF($C3="","",SUMIFS(Ledger!$K$2:$K$4, Ledger!$B$2:$B$4, $A3, Ledger!$C$2:$C$4, ABA$2)),"****")</f>
        <v/>
      </c>
      <c r="ABB3" t="str">
        <f>IFERROR(IF($C3="","",SUMIFS(Ledger!$K$2:$K$4, Ledger!$B$2:$B$4, $A3, Ledger!$C$2:$C$4, ABB$2)),"****")</f>
        <v/>
      </c>
      <c r="ABC3" t="str">
        <f>IFERROR(IF($C3="","",SUMIFS(Ledger!$K$2:$K$4, Ledger!$B$2:$B$4, $A3, Ledger!$C$2:$C$4, ABC$2)),"****")</f>
        <v/>
      </c>
      <c r="ABD3" t="str">
        <f>IFERROR(IF($C3="","",SUMIFS(Ledger!$K$2:$K$4, Ledger!$B$2:$B$4, $A3, Ledger!$C$2:$C$4, ABD$2)),"****")</f>
        <v/>
      </c>
      <c r="ABE3" t="str">
        <f>IFERROR(IF($C3="","",SUMIFS(Ledger!$K$2:$K$4, Ledger!$B$2:$B$4, $A3, Ledger!$C$2:$C$4, ABE$2)),"****")</f>
        <v/>
      </c>
      <c r="ABF3" t="str">
        <f>IFERROR(IF($C3="","",SUMIFS(Ledger!$K$2:$K$4, Ledger!$B$2:$B$4, $A3, Ledger!$C$2:$C$4, ABF$2)),"****")</f>
        <v/>
      </c>
      <c r="ABG3" t="str">
        <f>IFERROR(IF($C3="","",SUMIFS(Ledger!$K$2:$K$4, Ledger!$B$2:$B$4, $A3, Ledger!$C$2:$C$4, ABG$2)),"****")</f>
        <v/>
      </c>
      <c r="ABH3" t="str">
        <f>IFERROR(IF($C3="","",SUMIFS(Ledger!$K$2:$K$4, Ledger!$B$2:$B$4, $A3, Ledger!$C$2:$C$4, ABH$2)),"****")</f>
        <v/>
      </c>
      <c r="ABI3" t="str">
        <f>IFERROR(IF($C3="","",SUMIFS(Ledger!$K$2:$K$4, Ledger!$B$2:$B$4, $A3, Ledger!$C$2:$C$4, ABI$2)),"****")</f>
        <v/>
      </c>
      <c r="ABJ3" t="str">
        <f>IFERROR(IF($C3="","",SUMIFS(Ledger!$K$2:$K$4, Ledger!$B$2:$B$4, $A3, Ledger!$C$2:$C$4, ABJ$2)),"****")</f>
        <v/>
      </c>
      <c r="ABK3" t="str">
        <f>IFERROR(IF($C3="","",SUMIFS(Ledger!$K$2:$K$4, Ledger!$B$2:$B$4, $A3, Ledger!$C$2:$C$4, ABK$2)),"****")</f>
        <v/>
      </c>
      <c r="ABL3" t="str">
        <f>IFERROR(IF($C3="","",SUMIFS(Ledger!$K$2:$K$4, Ledger!$B$2:$B$4, $A3, Ledger!$C$2:$C$4, ABL$2)),"****")</f>
        <v/>
      </c>
      <c r="ABM3" t="str">
        <f>IFERROR(IF($C3="","",SUMIFS(Ledger!$K$2:$K$4, Ledger!$B$2:$B$4, $A3, Ledger!$C$2:$C$4, ABM$2)),"****")</f>
        <v/>
      </c>
      <c r="ABN3" t="str">
        <f>IFERROR(IF($C3="","",SUMIFS(Ledger!$K$2:$K$4, Ledger!$B$2:$B$4, $A3, Ledger!$C$2:$C$4, ABN$2)),"****")</f>
        <v/>
      </c>
      <c r="ABO3" t="str">
        <f>IFERROR(IF($C3="","",SUMIFS(Ledger!$K$2:$K$4, Ledger!$B$2:$B$4, $A3, Ledger!$C$2:$C$4, ABO$2)),"****")</f>
        <v/>
      </c>
      <c r="ABP3" t="str">
        <f>IFERROR(IF($C3="","",SUMIFS(Ledger!$K$2:$K$4, Ledger!$B$2:$B$4, $A3, Ledger!$C$2:$C$4, ABP$2)),"****")</f>
        <v/>
      </c>
      <c r="ABQ3" t="str">
        <f>IFERROR(IF($C3="","",SUMIFS(Ledger!$K$2:$K$4, Ledger!$B$2:$B$4, $A3, Ledger!$C$2:$C$4, ABQ$2)),"****")</f>
        <v/>
      </c>
      <c r="ABR3" t="str">
        <f>IFERROR(IF($C3="","",SUMIFS(Ledger!$K$2:$K$4, Ledger!$B$2:$B$4, $A3, Ledger!$C$2:$C$4, ABR$2)),"****")</f>
        <v/>
      </c>
      <c r="ABS3" t="str">
        <f>IFERROR(IF($C3="","",SUMIFS(Ledger!$K$2:$K$4, Ledger!$B$2:$B$4, $A3, Ledger!$C$2:$C$4, ABS$2)),"****")</f>
        <v/>
      </c>
      <c r="ABT3" t="str">
        <f>IFERROR(IF($C3="","",SUMIFS(Ledger!$K$2:$K$4, Ledger!$B$2:$B$4, $A3, Ledger!$C$2:$C$4, ABT$2)),"****")</f>
        <v/>
      </c>
      <c r="ABU3" t="str">
        <f>IFERROR(IF($C3="","",SUMIFS(Ledger!$K$2:$K$4, Ledger!$B$2:$B$4, $A3, Ledger!$C$2:$C$4, ABU$2)),"****")</f>
        <v/>
      </c>
      <c r="ABV3" t="str">
        <f>IFERROR(IF($C3="","",SUMIFS(Ledger!$K$2:$K$4, Ledger!$B$2:$B$4, $A3, Ledger!$C$2:$C$4, ABV$2)),"****")</f>
        <v/>
      </c>
      <c r="ABW3" t="str">
        <f>IFERROR(IF($C3="","",SUMIFS(Ledger!$K$2:$K$4, Ledger!$B$2:$B$4, $A3, Ledger!$C$2:$C$4, ABW$2)),"****")</f>
        <v/>
      </c>
      <c r="ABX3" t="str">
        <f>IFERROR(IF($C3="","",SUMIFS(Ledger!$K$2:$K$4, Ledger!$B$2:$B$4, $A3, Ledger!$C$2:$C$4, ABX$2)),"****")</f>
        <v/>
      </c>
      <c r="ABY3" t="str">
        <f>IFERROR(IF($C3="","",SUMIFS(Ledger!$K$2:$K$4, Ledger!$B$2:$B$4, $A3, Ledger!$C$2:$C$4, ABY$2)),"****")</f>
        <v/>
      </c>
      <c r="ABZ3" t="str">
        <f>IFERROR(IF($C3="","",SUMIFS(Ledger!$K$2:$K$4, Ledger!$B$2:$B$4, $A3, Ledger!$C$2:$C$4, ABZ$2)),"****")</f>
        <v/>
      </c>
      <c r="ACA3" t="str">
        <f>IFERROR(IF($C3="","",SUMIFS(Ledger!$K$2:$K$4, Ledger!$B$2:$B$4, $A3, Ledger!$C$2:$C$4, ACA$2)),"****")</f>
        <v/>
      </c>
      <c r="ACB3" t="str">
        <f>IFERROR(IF($C3="","",SUMIFS(Ledger!$K$2:$K$4, Ledger!$B$2:$B$4, $A3, Ledger!$C$2:$C$4, ACB$2)),"****")</f>
        <v/>
      </c>
      <c r="ACC3" t="str">
        <f>IFERROR(IF($C3="","",SUMIFS(Ledger!$K$2:$K$4, Ledger!$B$2:$B$4, $A3, Ledger!$C$2:$C$4, ACC$2)),"****")</f>
        <v/>
      </c>
      <c r="ACD3" t="str">
        <f>IFERROR(IF($C3="","",SUMIFS(Ledger!$K$2:$K$4, Ledger!$B$2:$B$4, $A3, Ledger!$C$2:$C$4, ACD$2)),"****")</f>
        <v/>
      </c>
      <c r="ACE3" t="str">
        <f>IFERROR(IF($C3="","",SUMIFS(Ledger!$K$2:$K$4, Ledger!$B$2:$B$4, $A3, Ledger!$C$2:$C$4, ACE$2)),"****")</f>
        <v/>
      </c>
      <c r="ACF3" t="str">
        <f>IFERROR(IF($C3="","",SUMIFS(Ledger!$K$2:$K$4, Ledger!$B$2:$B$4, $A3, Ledger!$C$2:$C$4, ACF$2)),"****")</f>
        <v/>
      </c>
      <c r="ACG3" t="str">
        <f>IFERROR(IF($C3="","",SUMIFS(Ledger!$K$2:$K$4, Ledger!$B$2:$B$4, $A3, Ledger!$C$2:$C$4, ACG$2)),"****")</f>
        <v/>
      </c>
      <c r="ACH3" t="str">
        <f>IFERROR(IF($C3="","",SUMIFS(Ledger!$K$2:$K$4, Ledger!$B$2:$B$4, $A3, Ledger!$C$2:$C$4, ACH$2)),"****")</f>
        <v/>
      </c>
      <c r="ACI3" t="str">
        <f>IFERROR(IF($C3="","",SUMIFS(Ledger!$K$2:$K$4, Ledger!$B$2:$B$4, $A3, Ledger!$C$2:$C$4, ACI$2)),"****")</f>
        <v/>
      </c>
      <c r="ACJ3" t="str">
        <f>IFERROR(IF($C3="","",SUMIFS(Ledger!$K$2:$K$4, Ledger!$B$2:$B$4, $A3, Ledger!$C$2:$C$4, ACJ$2)),"****")</f>
        <v/>
      </c>
      <c r="ACK3" t="str">
        <f>IFERROR(IF($C3="","",SUMIFS(Ledger!$K$2:$K$4, Ledger!$B$2:$B$4, $A3, Ledger!$C$2:$C$4, ACK$2)),"****")</f>
        <v/>
      </c>
      <c r="ACL3" t="str">
        <f>IFERROR(IF($C3="","",SUMIFS(Ledger!$K$2:$K$4, Ledger!$B$2:$B$4, $A3, Ledger!$C$2:$C$4, ACL$2)),"****")</f>
        <v/>
      </c>
      <c r="ACM3" t="str">
        <f>IFERROR(IF($C3="","",SUMIFS(Ledger!$K$2:$K$4, Ledger!$B$2:$B$4, $A3, Ledger!$C$2:$C$4, ACM$2)),"****")</f>
        <v/>
      </c>
      <c r="ACN3" t="str">
        <f>IFERROR(IF($C3="","",SUMIFS(Ledger!$K$2:$K$4, Ledger!$B$2:$B$4, $A3, Ledger!$C$2:$C$4, ACN$2)),"****")</f>
        <v/>
      </c>
      <c r="ACO3" t="str">
        <f>IFERROR(IF($C3="","",SUMIFS(Ledger!$K$2:$K$4, Ledger!$B$2:$B$4, $A3, Ledger!$C$2:$C$4, ACO$2)),"****")</f>
        <v/>
      </c>
      <c r="ACP3" t="str">
        <f>IFERROR(IF($C3="","",SUMIFS(Ledger!$K$2:$K$4, Ledger!$B$2:$B$4, $A3, Ledger!$C$2:$C$4, ACP$2)),"****")</f>
        <v/>
      </c>
      <c r="ACQ3" t="str">
        <f>IFERROR(IF($C3="","",SUMIFS(Ledger!$K$2:$K$4, Ledger!$B$2:$B$4, $A3, Ledger!$C$2:$C$4, ACQ$2)),"****")</f>
        <v/>
      </c>
      <c r="ACR3" t="str">
        <f>IFERROR(IF($C3="","",SUMIFS(Ledger!$K$2:$K$4, Ledger!$B$2:$B$4, $A3, Ledger!$C$2:$C$4, ACR$2)),"****")</f>
        <v/>
      </c>
      <c r="ACS3" t="str">
        <f>IFERROR(IF($C3="","",SUMIFS(Ledger!$K$2:$K$4, Ledger!$B$2:$B$4, $A3, Ledger!$C$2:$C$4, ACS$2)),"****")</f>
        <v/>
      </c>
      <c r="ACT3" t="str">
        <f>IFERROR(IF($C3="","",SUMIFS(Ledger!$K$2:$K$4, Ledger!$B$2:$B$4, $A3, Ledger!$C$2:$C$4, ACT$2)),"****")</f>
        <v/>
      </c>
      <c r="ACU3" t="str">
        <f>IFERROR(IF($C3="","",SUMIFS(Ledger!$K$2:$K$4, Ledger!$B$2:$B$4, $A3, Ledger!$C$2:$C$4, ACU$2)),"****")</f>
        <v/>
      </c>
      <c r="ACV3" t="str">
        <f>IFERROR(IF($C3="","",SUMIFS(Ledger!$K$2:$K$4, Ledger!$B$2:$B$4, $A3, Ledger!$C$2:$C$4, ACV$2)),"****")</f>
        <v/>
      </c>
      <c r="ACW3" t="str">
        <f>IFERROR(IF($C3="","",SUMIFS(Ledger!$K$2:$K$4, Ledger!$B$2:$B$4, $A3, Ledger!$C$2:$C$4, ACW$2)),"****")</f>
        <v/>
      </c>
      <c r="ACX3" t="str">
        <f>IFERROR(IF($C3="","",SUMIFS(Ledger!$K$2:$K$4, Ledger!$B$2:$B$4, $A3, Ledger!$C$2:$C$4, ACX$2)),"****")</f>
        <v/>
      </c>
      <c r="ACY3" t="str">
        <f>IFERROR(IF($C3="","",SUMIFS(Ledger!$K$2:$K$4, Ledger!$B$2:$B$4, $A3, Ledger!$C$2:$C$4, ACY$2)),"****")</f>
        <v/>
      </c>
      <c r="ACZ3" t="str">
        <f>IFERROR(IF($C3="","",SUMIFS(Ledger!$K$2:$K$4, Ledger!$B$2:$B$4, $A3, Ledger!$C$2:$C$4, ACZ$2)),"****")</f>
        <v/>
      </c>
      <c r="ADA3" t="str">
        <f>IFERROR(IF($C3="","",SUMIFS(Ledger!$K$2:$K$4, Ledger!$B$2:$B$4, $A3, Ledger!$C$2:$C$4, ADA$2)),"****")</f>
        <v/>
      </c>
      <c r="ADB3" t="str">
        <f>IFERROR(IF($C3="","",SUMIFS(Ledger!$K$2:$K$4, Ledger!$B$2:$B$4, $A3, Ledger!$C$2:$C$4, ADB$2)),"****")</f>
        <v/>
      </c>
      <c r="ADC3" t="str">
        <f>IFERROR(IF($C3="","",SUMIFS(Ledger!$K$2:$K$4, Ledger!$B$2:$B$4, $A3, Ledger!$C$2:$C$4, ADC$2)),"****")</f>
        <v/>
      </c>
      <c r="ADD3" t="str">
        <f>IFERROR(IF($C3="","",SUMIFS(Ledger!$K$2:$K$4, Ledger!$B$2:$B$4, $A3, Ledger!$C$2:$C$4, ADD$2)),"****")</f>
        <v/>
      </c>
      <c r="ADE3" t="str">
        <f>IFERROR(IF($C3="","",SUMIFS(Ledger!$K$2:$K$4, Ledger!$B$2:$B$4, $A3, Ledger!$C$2:$C$4, ADE$2)),"****")</f>
        <v/>
      </c>
      <c r="ADF3" t="str">
        <f>IFERROR(IF($C3="","",SUMIFS(Ledger!$K$2:$K$4, Ledger!$B$2:$B$4, $A3, Ledger!$C$2:$C$4, ADF$2)),"****")</f>
        <v/>
      </c>
      <c r="ADG3" t="str">
        <f>IFERROR(IF($C3="","",SUMIFS(Ledger!$K$2:$K$4, Ledger!$B$2:$B$4, $A3, Ledger!$C$2:$C$4, ADG$2)),"****")</f>
        <v/>
      </c>
      <c r="ADH3" t="str">
        <f>IFERROR(IF($C3="","",SUMIFS(Ledger!$K$2:$K$4, Ledger!$B$2:$B$4, $A3, Ledger!$C$2:$C$4, ADH$2)),"****")</f>
        <v/>
      </c>
      <c r="ADI3" t="str">
        <f>IFERROR(IF($C3="","",SUMIFS(Ledger!$K$2:$K$4, Ledger!$B$2:$B$4, $A3, Ledger!$C$2:$C$4, ADI$2)),"****")</f>
        <v/>
      </c>
      <c r="ADJ3" t="str">
        <f>IFERROR(IF($C3="","",SUMIFS(Ledger!$K$2:$K$4, Ledger!$B$2:$B$4, $A3, Ledger!$C$2:$C$4, ADJ$2)),"****")</f>
        <v/>
      </c>
      <c r="ADK3" t="str">
        <f>IFERROR(IF($C3="","",SUMIFS(Ledger!$K$2:$K$4, Ledger!$B$2:$B$4, $A3, Ledger!$C$2:$C$4, ADK$2)),"****")</f>
        <v/>
      </c>
      <c r="ADL3" t="str">
        <f>IFERROR(IF($C3="","",SUMIFS(Ledger!$K$2:$K$4, Ledger!$B$2:$B$4, $A3, Ledger!$C$2:$C$4, ADL$2)),"****")</f>
        <v/>
      </c>
      <c r="ADM3" t="str">
        <f>IFERROR(IF($C3="","",SUMIFS(Ledger!$K$2:$K$4, Ledger!$B$2:$B$4, $A3, Ledger!$C$2:$C$4, ADM$2)),"****")</f>
        <v/>
      </c>
      <c r="ADN3" t="str">
        <f>IFERROR(IF($C3="","",SUMIFS(Ledger!$K$2:$K$4, Ledger!$B$2:$B$4, $A3, Ledger!$C$2:$C$4, ADN$2)),"****")</f>
        <v/>
      </c>
      <c r="ADO3" t="str">
        <f>IFERROR(IF($C3="","",SUMIFS(Ledger!$K$2:$K$4, Ledger!$B$2:$B$4, $A3, Ledger!$C$2:$C$4, ADO$2)),"****")</f>
        <v/>
      </c>
      <c r="ADP3" t="str">
        <f>IFERROR(IF($C3="","",SUMIFS(Ledger!$K$2:$K$4, Ledger!$B$2:$B$4, $A3, Ledger!$C$2:$C$4, ADP$2)),"****")</f>
        <v/>
      </c>
      <c r="ADQ3" t="str">
        <f>IFERROR(IF($C3="","",SUMIFS(Ledger!$K$2:$K$4, Ledger!$B$2:$B$4, $A3, Ledger!$C$2:$C$4, ADQ$2)),"****")</f>
        <v/>
      </c>
      <c r="ADR3" t="str">
        <f>IFERROR(IF($C3="","",SUMIFS(Ledger!$K$2:$K$4, Ledger!$B$2:$B$4, $A3, Ledger!$C$2:$C$4, ADR$2)),"****")</f>
        <v/>
      </c>
      <c r="ADS3" t="str">
        <f>IFERROR(IF($C3="","",SUMIFS(Ledger!$K$2:$K$4, Ledger!$B$2:$B$4, $A3, Ledger!$C$2:$C$4, ADS$2)),"****")</f>
        <v/>
      </c>
      <c r="ADT3" t="str">
        <f>IFERROR(IF($C3="","",SUMIFS(Ledger!$K$2:$K$4, Ledger!$B$2:$B$4, $A3, Ledger!$C$2:$C$4, ADT$2)),"****")</f>
        <v/>
      </c>
      <c r="ADU3" t="str">
        <f>IFERROR(IF($C3="","",SUMIFS(Ledger!$K$2:$K$4, Ledger!$B$2:$B$4, $A3, Ledger!$C$2:$C$4, ADU$2)),"****")</f>
        <v/>
      </c>
      <c r="ADV3" t="str">
        <f>IFERROR(IF($C3="","",SUMIFS(Ledger!$K$2:$K$4, Ledger!$B$2:$B$4, $A3, Ledger!$C$2:$C$4, ADV$2)),"****")</f>
        <v/>
      </c>
      <c r="ADW3" t="str">
        <f>IFERROR(IF($C3="","",SUMIFS(Ledger!$K$2:$K$4, Ledger!$B$2:$B$4, $A3, Ledger!$C$2:$C$4, ADW$2)),"****")</f>
        <v/>
      </c>
      <c r="ADX3" t="str">
        <f>IFERROR(IF($C3="","",SUMIFS(Ledger!$K$2:$K$4, Ledger!$B$2:$B$4, $A3, Ledger!$C$2:$C$4, ADX$2)),"****")</f>
        <v/>
      </c>
      <c r="ADY3" t="str">
        <f>IFERROR(IF($C3="","",SUMIFS(Ledger!$K$2:$K$4, Ledger!$B$2:$B$4, $A3, Ledger!$C$2:$C$4, ADY$2)),"****")</f>
        <v/>
      </c>
      <c r="ADZ3" t="str">
        <f>IFERROR(IF($C3="","",SUMIFS(Ledger!$K$2:$K$4, Ledger!$B$2:$B$4, $A3, Ledger!$C$2:$C$4, ADZ$2)),"****")</f>
        <v/>
      </c>
      <c r="AEA3" t="str">
        <f>IFERROR(IF($C3="","",SUMIFS(Ledger!$K$2:$K$4, Ledger!$B$2:$B$4, $A3, Ledger!$C$2:$C$4, AEA$2)),"****")</f>
        <v/>
      </c>
      <c r="AEB3" t="str">
        <f>IFERROR(IF($C3="","",SUMIFS(Ledger!$K$2:$K$4, Ledger!$B$2:$B$4, $A3, Ledger!$C$2:$C$4, AEB$2)),"****")</f>
        <v/>
      </c>
      <c r="AEC3" t="str">
        <f>IFERROR(IF($C3="","",SUMIFS(Ledger!$K$2:$K$4, Ledger!$B$2:$B$4, $A3, Ledger!$C$2:$C$4, AEC$2)),"****")</f>
        <v/>
      </c>
      <c r="AED3" t="str">
        <f>IFERROR(IF($C3="","",SUMIFS(Ledger!$K$2:$K$4, Ledger!$B$2:$B$4, $A3, Ledger!$C$2:$C$4, AED$2)),"****")</f>
        <v/>
      </c>
      <c r="AEE3" t="str">
        <f>IFERROR(IF($C3="","",SUMIFS(Ledger!$K$2:$K$4, Ledger!$B$2:$B$4, $A3, Ledger!$C$2:$C$4, AEE$2)),"****")</f>
        <v/>
      </c>
      <c r="AEF3" t="str">
        <f>IFERROR(IF($C3="","",SUMIFS(Ledger!$K$2:$K$4, Ledger!$B$2:$B$4, $A3, Ledger!$C$2:$C$4, AEF$2)),"****")</f>
        <v/>
      </c>
      <c r="AEG3" t="str">
        <f>IFERROR(IF($C3="","",SUMIFS(Ledger!$K$2:$K$4, Ledger!$B$2:$B$4, $A3, Ledger!$C$2:$C$4, AEG$2)),"****")</f>
        <v/>
      </c>
      <c r="AEH3" t="str">
        <f>IFERROR(IF($C3="","",SUMIFS(Ledger!$K$2:$K$4, Ledger!$B$2:$B$4, $A3, Ledger!$C$2:$C$4, AEH$2)),"****")</f>
        <v/>
      </c>
      <c r="AEI3" t="str">
        <f>IFERROR(IF($C3="","",SUMIFS(Ledger!$K$2:$K$4, Ledger!$B$2:$B$4, $A3, Ledger!$C$2:$C$4, AEI$2)),"****")</f>
        <v/>
      </c>
      <c r="AEJ3" t="str">
        <f>IFERROR(IF($C3="","",SUMIFS(Ledger!$K$2:$K$4, Ledger!$B$2:$B$4, $A3, Ledger!$C$2:$C$4, AEJ$2)),"****")</f>
        <v/>
      </c>
      <c r="AEK3" t="str">
        <f>IFERROR(IF($C3="","",SUMIFS(Ledger!$K$2:$K$4, Ledger!$B$2:$B$4, $A3, Ledger!$C$2:$C$4, AEK$2)),"****")</f>
        <v/>
      </c>
      <c r="AEL3" t="str">
        <f>IFERROR(IF($C3="","",SUMIFS(Ledger!$K$2:$K$4, Ledger!$B$2:$B$4, $A3, Ledger!$C$2:$C$4, AEL$2)),"****")</f>
        <v/>
      </c>
      <c r="AEM3" t="str">
        <f>IFERROR(IF($C3="","",SUMIFS(Ledger!$K$2:$K$4, Ledger!$B$2:$B$4, $A3, Ledger!$C$2:$C$4, AEM$2)),"****")</f>
        <v/>
      </c>
      <c r="AEN3" t="str">
        <f>IFERROR(IF($C3="","",SUMIFS(Ledger!$K$2:$K$4, Ledger!$B$2:$B$4, $A3, Ledger!$C$2:$C$4, AEN$2)),"****")</f>
        <v/>
      </c>
      <c r="AEO3" t="str">
        <f>IFERROR(IF($C3="","",SUMIFS(Ledger!$K$2:$K$4, Ledger!$B$2:$B$4, $A3, Ledger!$C$2:$C$4, AEO$2)),"****")</f>
        <v/>
      </c>
      <c r="AEP3" t="str">
        <f>IFERROR(IF($C3="","",SUMIFS(Ledger!$K$2:$K$4, Ledger!$B$2:$B$4, $A3, Ledger!$C$2:$C$4, AEP$2)),"****")</f>
        <v/>
      </c>
      <c r="AEQ3" t="str">
        <f>IFERROR(IF($C3="","",SUMIFS(Ledger!$K$2:$K$4, Ledger!$B$2:$B$4, $A3, Ledger!$C$2:$C$4, AEQ$2)),"****")</f>
        <v/>
      </c>
      <c r="AER3" t="str">
        <f>IFERROR(IF($C3="","",SUMIFS(Ledger!$K$2:$K$4, Ledger!$B$2:$B$4, $A3, Ledger!$C$2:$C$4, AER$2)),"****")</f>
        <v/>
      </c>
      <c r="AES3" t="str">
        <f>IFERROR(IF($C3="","",SUMIFS(Ledger!$K$2:$K$4, Ledger!$B$2:$B$4, $A3, Ledger!$C$2:$C$4, AES$2)),"****")</f>
        <v/>
      </c>
      <c r="AET3" t="str">
        <f>IFERROR(IF($C3="","",SUMIFS(Ledger!$K$2:$K$4, Ledger!$B$2:$B$4, $A3, Ledger!$C$2:$C$4, AET$2)),"****")</f>
        <v/>
      </c>
      <c r="AEU3" t="str">
        <f>IFERROR(IF($C3="","",SUMIFS(Ledger!$K$2:$K$4, Ledger!$B$2:$B$4, $A3, Ledger!$C$2:$C$4, AEU$2)),"****")</f>
        <v/>
      </c>
      <c r="AEV3" t="str">
        <f>IFERROR(IF($C3="","",SUMIFS(Ledger!$K$2:$K$4, Ledger!$B$2:$B$4, $A3, Ledger!$C$2:$C$4, AEV$2)),"****")</f>
        <v/>
      </c>
      <c r="AEW3" t="str">
        <f>IFERROR(IF($C3="","",SUMIFS(Ledger!$K$2:$K$4, Ledger!$B$2:$B$4, $A3, Ledger!$C$2:$C$4, AEW$2)),"****")</f>
        <v/>
      </c>
      <c r="AEX3" t="str">
        <f>IFERROR(IF($C3="","",SUMIFS(Ledger!$K$2:$K$4, Ledger!$B$2:$B$4, $A3, Ledger!$C$2:$C$4, AEX$2)),"****")</f>
        <v/>
      </c>
      <c r="AEY3" t="str">
        <f>IFERROR(IF($C3="","",SUMIFS(Ledger!$K$2:$K$4, Ledger!$B$2:$B$4, $A3, Ledger!$C$2:$C$4, AEY$2)),"****")</f>
        <v/>
      </c>
      <c r="AEZ3" t="str">
        <f>IFERROR(IF($C3="","",SUMIFS(Ledger!$K$2:$K$4, Ledger!$B$2:$B$4, $A3, Ledger!$C$2:$C$4, AEZ$2)),"****")</f>
        <v/>
      </c>
      <c r="AFA3" t="str">
        <f>IFERROR(IF($C3="","",SUMIFS(Ledger!$K$2:$K$4, Ledger!$B$2:$B$4, $A3, Ledger!$C$2:$C$4, AFA$2)),"****")</f>
        <v/>
      </c>
      <c r="AFB3" t="str">
        <f>IFERROR(IF($C3="","",SUMIFS(Ledger!$K$2:$K$4, Ledger!$B$2:$B$4, $A3, Ledger!$C$2:$C$4, AFB$2)),"****")</f>
        <v/>
      </c>
      <c r="AFC3" t="str">
        <f>IFERROR(IF($C3="","",SUMIFS(Ledger!$K$2:$K$4, Ledger!$B$2:$B$4, $A3, Ledger!$C$2:$C$4, AFC$2)),"****")</f>
        <v/>
      </c>
      <c r="AFD3" t="str">
        <f>IFERROR(IF($C3="","",SUMIFS(Ledger!$K$2:$K$4, Ledger!$B$2:$B$4, $A3, Ledger!$C$2:$C$4, AFD$2)),"****")</f>
        <v/>
      </c>
      <c r="AFE3" t="str">
        <f>IFERROR(IF($C3="","",SUMIFS(Ledger!$K$2:$K$4, Ledger!$B$2:$B$4, $A3, Ledger!$C$2:$C$4, AFE$2)),"****")</f>
        <v/>
      </c>
      <c r="AFF3" t="str">
        <f>IFERROR(IF($C3="","",SUMIFS(Ledger!$K$2:$K$4, Ledger!$B$2:$B$4, $A3, Ledger!$C$2:$C$4, AFF$2)),"****")</f>
        <v/>
      </c>
      <c r="AFG3" t="str">
        <f>IFERROR(IF($C3="","",SUMIFS(Ledger!$K$2:$K$4, Ledger!$B$2:$B$4, $A3, Ledger!$C$2:$C$4, AFG$2)),"****")</f>
        <v/>
      </c>
      <c r="AFH3" t="str">
        <f>IFERROR(IF($C3="","",SUMIFS(Ledger!$K$2:$K$4, Ledger!$B$2:$B$4, $A3, Ledger!$C$2:$C$4, AFH$2)),"****")</f>
        <v/>
      </c>
      <c r="AFI3" t="str">
        <f>IFERROR(IF($C3="","",SUMIFS(Ledger!$K$2:$K$4, Ledger!$B$2:$B$4, $A3, Ledger!$C$2:$C$4, AFI$2)),"****")</f>
        <v/>
      </c>
      <c r="AFJ3" t="str">
        <f>IFERROR(IF($C3="","",SUMIFS(Ledger!$K$2:$K$4, Ledger!$B$2:$B$4, $A3, Ledger!$C$2:$C$4, AFJ$2)),"****")</f>
        <v/>
      </c>
      <c r="AFK3" t="str">
        <f>IFERROR(IF($C3="","",SUMIFS(Ledger!$K$2:$K$4, Ledger!$B$2:$B$4, $A3, Ledger!$C$2:$C$4, AFK$2)),"****")</f>
        <v/>
      </c>
      <c r="AFL3" t="str">
        <f>IFERROR(IF($C3="","",SUMIFS(Ledger!$K$2:$K$4, Ledger!$B$2:$B$4, $A3, Ledger!$C$2:$C$4, AFL$2)),"****")</f>
        <v/>
      </c>
      <c r="AFM3" t="str">
        <f>IFERROR(IF($C3="","",SUMIFS(Ledger!$K$2:$K$4, Ledger!$B$2:$B$4, $A3, Ledger!$C$2:$C$4, AFM$2)),"****")</f>
        <v/>
      </c>
      <c r="AFN3" t="str">
        <f>IFERROR(IF($C3="","",SUMIFS(Ledger!$K$2:$K$4, Ledger!$B$2:$B$4, $A3, Ledger!$C$2:$C$4, AFN$2)),"****")</f>
        <v/>
      </c>
      <c r="AFO3" t="str">
        <f>IFERROR(IF($C3="","",SUMIFS(Ledger!$K$2:$K$4, Ledger!$B$2:$B$4, $A3, Ledger!$C$2:$C$4, AFO$2)),"****")</f>
        <v/>
      </c>
      <c r="AFP3" t="str">
        <f>IFERROR(IF($C3="","",SUMIFS(Ledger!$K$2:$K$4, Ledger!$B$2:$B$4, $A3, Ledger!$C$2:$C$4, AFP$2)),"****")</f>
        <v/>
      </c>
      <c r="AFQ3" t="str">
        <f>IFERROR(IF($C3="","",SUMIFS(Ledger!$K$2:$K$4, Ledger!$B$2:$B$4, $A3, Ledger!$C$2:$C$4, AFQ$2)),"****")</f>
        <v/>
      </c>
      <c r="AFR3" t="str">
        <f>IFERROR(IF($C3="","",SUMIFS(Ledger!$K$2:$K$4, Ledger!$B$2:$B$4, $A3, Ledger!$C$2:$C$4, AFR$2)),"****")</f>
        <v/>
      </c>
      <c r="AFS3" t="str">
        <f>IFERROR(IF($C3="","",SUMIFS(Ledger!$K$2:$K$4, Ledger!$B$2:$B$4, $A3, Ledger!$C$2:$C$4, AFS$2)),"****")</f>
        <v/>
      </c>
      <c r="AFT3" t="str">
        <f>IFERROR(IF($C3="","",SUMIFS(Ledger!$K$2:$K$4, Ledger!$B$2:$B$4, $A3, Ledger!$C$2:$C$4, AFT$2)),"****")</f>
        <v/>
      </c>
      <c r="AFU3" t="str">
        <f>IFERROR(IF($C3="","",SUMIFS(Ledger!$K$2:$K$4, Ledger!$B$2:$B$4, $A3, Ledger!$C$2:$C$4, AFU$2)),"****")</f>
        <v/>
      </c>
      <c r="AFV3" t="str">
        <f>IFERROR(IF($C3="","",SUMIFS(Ledger!$K$2:$K$4, Ledger!$B$2:$B$4, $A3, Ledger!$C$2:$C$4, AFV$2)),"****")</f>
        <v/>
      </c>
      <c r="AFW3" t="str">
        <f>IFERROR(IF($C3="","",SUMIFS(Ledger!$K$2:$K$4, Ledger!$B$2:$B$4, $A3, Ledger!$C$2:$C$4, AFW$2)),"****")</f>
        <v/>
      </c>
      <c r="AFX3" t="str">
        <f>IFERROR(IF($C3="","",SUMIFS(Ledger!$K$2:$K$4, Ledger!$B$2:$B$4, $A3, Ledger!$C$2:$C$4, AFX$2)),"****")</f>
        <v/>
      </c>
      <c r="AFY3" t="str">
        <f>IFERROR(IF($C3="","",SUMIFS(Ledger!$K$2:$K$4, Ledger!$B$2:$B$4, $A3, Ledger!$C$2:$C$4, AFY$2)),"****")</f>
        <v/>
      </c>
      <c r="AFZ3" t="str">
        <f>IFERROR(IF($C3="","",SUMIFS(Ledger!$K$2:$K$4, Ledger!$B$2:$B$4, $A3, Ledger!$C$2:$C$4, AFZ$2)),"****")</f>
        <v/>
      </c>
      <c r="AGA3" t="str">
        <f>IFERROR(IF($C3="","",SUMIFS(Ledger!$K$2:$K$4, Ledger!$B$2:$B$4, $A3, Ledger!$C$2:$C$4, AGA$2)),"****")</f>
        <v/>
      </c>
      <c r="AGB3" t="str">
        <f>IFERROR(IF($C3="","",SUMIFS(Ledger!$K$2:$K$4, Ledger!$B$2:$B$4, $A3, Ledger!$C$2:$C$4, AGB$2)),"****")</f>
        <v/>
      </c>
      <c r="AGC3" t="str">
        <f>IFERROR(IF($C3="","",SUMIFS(Ledger!$K$2:$K$4, Ledger!$B$2:$B$4, $A3, Ledger!$C$2:$C$4, AGC$2)),"****")</f>
        <v/>
      </c>
      <c r="AGD3" t="str">
        <f>IFERROR(IF($C3="","",SUMIFS(Ledger!$K$2:$K$4, Ledger!$B$2:$B$4, $A3, Ledger!$C$2:$C$4, AGD$2)),"****")</f>
        <v/>
      </c>
      <c r="AGE3" t="str">
        <f>IFERROR(IF($C3="","",SUMIFS(Ledger!$K$2:$K$4, Ledger!$B$2:$B$4, $A3, Ledger!$C$2:$C$4, AGE$2)),"****")</f>
        <v/>
      </c>
      <c r="AGF3" t="str">
        <f>IFERROR(IF($C3="","",SUMIFS(Ledger!$K$2:$K$4, Ledger!$B$2:$B$4, $A3, Ledger!$C$2:$C$4, AGF$2)),"****")</f>
        <v/>
      </c>
      <c r="AGG3" t="str">
        <f>IFERROR(IF($C3="","",SUMIFS(Ledger!$K$2:$K$4, Ledger!$B$2:$B$4, $A3, Ledger!$C$2:$C$4, AGG$2)),"****")</f>
        <v/>
      </c>
      <c r="AGH3" t="str">
        <f>IFERROR(IF($C3="","",SUMIFS(Ledger!$K$2:$K$4, Ledger!$B$2:$B$4, $A3, Ledger!$C$2:$C$4, AGH$2)),"****")</f>
        <v/>
      </c>
      <c r="AGI3" t="str">
        <f>IFERROR(IF($C3="","",SUMIFS(Ledger!$K$2:$K$4, Ledger!$B$2:$B$4, $A3, Ledger!$C$2:$C$4, AGI$2)),"****")</f>
        <v/>
      </c>
      <c r="AGJ3" t="str">
        <f>IFERROR(IF($C3="","",SUMIFS(Ledger!$K$2:$K$4, Ledger!$B$2:$B$4, $A3, Ledger!$C$2:$C$4, AGJ$2)),"****")</f>
        <v/>
      </c>
      <c r="AGK3" t="str">
        <f>IFERROR(IF($C3="","",SUMIFS(Ledger!$K$2:$K$4, Ledger!$B$2:$B$4, $A3, Ledger!$C$2:$C$4, AGK$2)),"****")</f>
        <v/>
      </c>
      <c r="AGL3" t="str">
        <f>IFERROR(IF($C3="","",SUMIFS(Ledger!$K$2:$K$4, Ledger!$B$2:$B$4, $A3, Ledger!$C$2:$C$4, AGL$2)),"****")</f>
        <v/>
      </c>
      <c r="AGM3" t="str">
        <f>IFERROR(IF($C3="","",SUMIFS(Ledger!$K$2:$K$4, Ledger!$B$2:$B$4, $A3, Ledger!$C$2:$C$4, AGM$2)),"****")</f>
        <v/>
      </c>
      <c r="AGN3" t="str">
        <f>IFERROR(IF($C3="","",SUMIFS(Ledger!$K$2:$K$4, Ledger!$B$2:$B$4, $A3, Ledger!$C$2:$C$4, AGN$2)),"****")</f>
        <v/>
      </c>
      <c r="AGO3" t="str">
        <f>IFERROR(IF($C3="","",SUMIFS(Ledger!$K$2:$K$4, Ledger!$B$2:$B$4, $A3, Ledger!$C$2:$C$4, AGO$2)),"****")</f>
        <v/>
      </c>
      <c r="AGP3" t="str">
        <f>IFERROR(IF($C3="","",SUMIFS(Ledger!$K$2:$K$4, Ledger!$B$2:$B$4, $A3, Ledger!$C$2:$C$4, AGP$2)),"****")</f>
        <v/>
      </c>
      <c r="AGQ3" t="str">
        <f>IFERROR(IF($C3="","",SUMIFS(Ledger!$K$2:$K$4, Ledger!$B$2:$B$4, $A3, Ledger!$C$2:$C$4, AGQ$2)),"****")</f>
        <v/>
      </c>
      <c r="AGR3" t="str">
        <f>IFERROR(IF($C3="","",SUMIFS(Ledger!$K$2:$K$4, Ledger!$B$2:$B$4, $A3, Ledger!$C$2:$C$4, AGR$2)),"****")</f>
        <v/>
      </c>
      <c r="AGS3" t="str">
        <f>IFERROR(IF($C3="","",SUMIFS(Ledger!$K$2:$K$4, Ledger!$B$2:$B$4, $A3, Ledger!$C$2:$C$4, AGS$2)),"****")</f>
        <v/>
      </c>
      <c r="AGT3" t="str">
        <f>IFERROR(IF($C3="","",SUMIFS(Ledger!$K$2:$K$4, Ledger!$B$2:$B$4, $A3, Ledger!$C$2:$C$4, AGT$2)),"****")</f>
        <v/>
      </c>
      <c r="AGU3" t="str">
        <f>IFERROR(IF($C3="","",SUMIFS(Ledger!$K$2:$K$4, Ledger!$B$2:$B$4, $A3, Ledger!$C$2:$C$4, AGU$2)),"****")</f>
        <v/>
      </c>
      <c r="AGV3" t="str">
        <f>IFERROR(IF($C3="","",SUMIFS(Ledger!$K$2:$K$4, Ledger!$B$2:$B$4, $A3, Ledger!$C$2:$C$4, AGV$2)),"****")</f>
        <v/>
      </c>
      <c r="AGW3" t="str">
        <f>IFERROR(IF($C3="","",SUMIFS(Ledger!$K$2:$K$4, Ledger!$B$2:$B$4, $A3, Ledger!$C$2:$C$4, AGW$2)),"****")</f>
        <v/>
      </c>
      <c r="AGX3" t="str">
        <f>IFERROR(IF($C3="","",SUMIFS(Ledger!$K$2:$K$4, Ledger!$B$2:$B$4, $A3, Ledger!$C$2:$C$4, AGX$2)),"****")</f>
        <v/>
      </c>
      <c r="AGY3" t="str">
        <f>IFERROR(IF($C3="","",SUMIFS(Ledger!$K$2:$K$4, Ledger!$B$2:$B$4, $A3, Ledger!$C$2:$C$4, AGY$2)),"****")</f>
        <v/>
      </c>
      <c r="AGZ3" t="str">
        <f>IFERROR(IF($C3="","",SUMIFS(Ledger!$K$2:$K$4, Ledger!$B$2:$B$4, $A3, Ledger!$C$2:$C$4, AGZ$2)),"****")</f>
        <v/>
      </c>
      <c r="AHA3" t="str">
        <f>IFERROR(IF($C3="","",SUMIFS(Ledger!$K$2:$K$4, Ledger!$B$2:$B$4, $A3, Ledger!$C$2:$C$4, AHA$2)),"****")</f>
        <v/>
      </c>
      <c r="AHB3" t="str">
        <f>IFERROR(IF($C3="","",SUMIFS(Ledger!$K$2:$K$4, Ledger!$B$2:$B$4, $A3, Ledger!$C$2:$C$4, AHB$2)),"****")</f>
        <v/>
      </c>
      <c r="AHC3" t="str">
        <f>IFERROR(IF($C3="","",SUMIFS(Ledger!$K$2:$K$4, Ledger!$B$2:$B$4, $A3, Ledger!$C$2:$C$4, AHC$2)),"****")</f>
        <v/>
      </c>
      <c r="AHD3" t="str">
        <f>IFERROR(IF($C3="","",SUMIFS(Ledger!$K$2:$K$4, Ledger!$B$2:$B$4, $A3, Ledger!$C$2:$C$4, AHD$2)),"****")</f>
        <v/>
      </c>
      <c r="AHE3" t="str">
        <f>IFERROR(IF($C3="","",SUMIFS(Ledger!$K$2:$K$4, Ledger!$B$2:$B$4, $A3, Ledger!$C$2:$C$4, AHE$2)),"****")</f>
        <v/>
      </c>
      <c r="AHF3" t="str">
        <f>IFERROR(IF($C3="","",SUMIFS(Ledger!$K$2:$K$4, Ledger!$B$2:$B$4, $A3, Ledger!$C$2:$C$4, AHF$2)),"****")</f>
        <v/>
      </c>
      <c r="AHG3" t="str">
        <f>IFERROR(IF($C3="","",SUMIFS(Ledger!$K$2:$K$4, Ledger!$B$2:$B$4, $A3, Ledger!$C$2:$C$4, AHG$2)),"****")</f>
        <v/>
      </c>
      <c r="AHH3" t="str">
        <f>IFERROR(IF($C3="","",SUMIFS(Ledger!$K$2:$K$4, Ledger!$B$2:$B$4, $A3, Ledger!$C$2:$C$4, AHH$2)),"****")</f>
        <v/>
      </c>
      <c r="AHI3" t="str">
        <f>IFERROR(IF($C3="","",SUMIFS(Ledger!$K$2:$K$4, Ledger!$B$2:$B$4, $A3, Ledger!$C$2:$C$4, AHI$2)),"****")</f>
        <v/>
      </c>
      <c r="AHJ3" t="str">
        <f>IFERROR(IF($C3="","",SUMIFS(Ledger!$K$2:$K$4, Ledger!$B$2:$B$4, $A3, Ledger!$C$2:$C$4, AHJ$2)),"****")</f>
        <v/>
      </c>
      <c r="AHK3" t="str">
        <f>IFERROR(IF($C3="","",SUMIFS(Ledger!$K$2:$K$4, Ledger!$B$2:$B$4, $A3, Ledger!$C$2:$C$4, AHK$2)),"****")</f>
        <v/>
      </c>
      <c r="AHL3" t="str">
        <f>IFERROR(IF($C3="","",SUMIFS(Ledger!$K$2:$K$4, Ledger!$B$2:$B$4, $A3, Ledger!$C$2:$C$4, AHL$2)),"****")</f>
        <v/>
      </c>
      <c r="AHM3" t="str">
        <f>IFERROR(IF($C3="","",SUMIFS(Ledger!$K$2:$K$4, Ledger!$B$2:$B$4, $A3, Ledger!$C$2:$C$4, AHM$2)),"****")</f>
        <v/>
      </c>
      <c r="AHN3" t="str">
        <f>IFERROR(IF($C3="","",SUMIFS(Ledger!$K$2:$K$4, Ledger!$B$2:$B$4, $A3, Ledger!$C$2:$C$4, AHN$2)),"****")</f>
        <v/>
      </c>
      <c r="AHO3" t="str">
        <f>IFERROR(IF($C3="","",SUMIFS(Ledger!$K$2:$K$4, Ledger!$B$2:$B$4, $A3, Ledger!$C$2:$C$4, AHO$2)),"****")</f>
        <v/>
      </c>
      <c r="AHP3" t="str">
        <f>IFERROR(IF($C3="","",SUMIFS(Ledger!$K$2:$K$4, Ledger!$B$2:$B$4, $A3, Ledger!$C$2:$C$4, AHP$2)),"****")</f>
        <v/>
      </c>
      <c r="AHQ3" t="str">
        <f>IFERROR(IF($C3="","",SUMIFS(Ledger!$K$2:$K$4, Ledger!$B$2:$B$4, $A3, Ledger!$C$2:$C$4, AHQ$2)),"****")</f>
        <v/>
      </c>
      <c r="AHR3" t="str">
        <f>IFERROR(IF($C3="","",SUMIFS(Ledger!$K$2:$K$4, Ledger!$B$2:$B$4, $A3, Ledger!$C$2:$C$4, AHR$2)),"****")</f>
        <v/>
      </c>
      <c r="AHS3" t="str">
        <f>IFERROR(IF($C3="","",SUMIFS(Ledger!$K$2:$K$4, Ledger!$B$2:$B$4, $A3, Ledger!$C$2:$C$4, AHS$2)),"****")</f>
        <v/>
      </c>
      <c r="AHT3" t="str">
        <f>IFERROR(IF($C3="","",SUMIFS(Ledger!$K$2:$K$4, Ledger!$B$2:$B$4, $A3, Ledger!$C$2:$C$4, AHT$2)),"****")</f>
        <v/>
      </c>
      <c r="AHU3" t="str">
        <f>IFERROR(IF($C3="","",SUMIFS(Ledger!$K$2:$K$4, Ledger!$B$2:$B$4, $A3, Ledger!$C$2:$C$4, AHU$2)),"****")</f>
        <v/>
      </c>
      <c r="AHV3" t="str">
        <f>IFERROR(IF($C3="","",SUMIFS(Ledger!$K$2:$K$4, Ledger!$B$2:$B$4, $A3, Ledger!$C$2:$C$4, AHV$2)),"****")</f>
        <v/>
      </c>
      <c r="AHW3" t="str">
        <f>IFERROR(IF($C3="","",SUMIFS(Ledger!$K$2:$K$4, Ledger!$B$2:$B$4, $A3, Ledger!$C$2:$C$4, AHW$2)),"****")</f>
        <v/>
      </c>
      <c r="AHX3" t="str">
        <f>IFERROR(IF($C3="","",SUMIFS(Ledger!$K$2:$K$4, Ledger!$B$2:$B$4, $A3, Ledger!$C$2:$C$4, AHX$2)),"****")</f>
        <v/>
      </c>
      <c r="AHY3" t="str">
        <f>IFERROR(IF($C3="","",SUMIFS(Ledger!$K$2:$K$4, Ledger!$B$2:$B$4, $A3, Ledger!$C$2:$C$4, AHY$2)),"****")</f>
        <v/>
      </c>
      <c r="AHZ3" t="str">
        <f>IFERROR(IF($C3="","",SUMIFS(Ledger!$K$2:$K$4, Ledger!$B$2:$B$4, $A3, Ledger!$C$2:$C$4, AHZ$2)),"****")</f>
        <v/>
      </c>
      <c r="AIA3" t="str">
        <f>IFERROR(IF($C3="","",SUMIFS(Ledger!$K$2:$K$4, Ledger!$B$2:$B$4, $A3, Ledger!$C$2:$C$4, AIA$2)),"****")</f>
        <v/>
      </c>
      <c r="AIB3" t="str">
        <f>IFERROR(IF($C3="","",SUMIFS(Ledger!$K$2:$K$4, Ledger!$B$2:$B$4, $A3, Ledger!$C$2:$C$4, AIB$2)),"****")</f>
        <v/>
      </c>
      <c r="AIC3" t="str">
        <f>IFERROR(IF($C3="","",SUMIFS(Ledger!$K$2:$K$4, Ledger!$B$2:$B$4, $A3, Ledger!$C$2:$C$4, AIC$2)),"****")</f>
        <v/>
      </c>
      <c r="AID3" t="str">
        <f>IFERROR(IF($C3="","",SUMIFS(Ledger!$K$2:$K$4, Ledger!$B$2:$B$4, $A3, Ledger!$C$2:$C$4, AID$2)),"****")</f>
        <v/>
      </c>
      <c r="AIE3" t="str">
        <f>IFERROR(IF($C3="","",SUMIFS(Ledger!$K$2:$K$4, Ledger!$B$2:$B$4, $A3, Ledger!$C$2:$C$4, AIE$2)),"****")</f>
        <v/>
      </c>
      <c r="AIF3" t="str">
        <f>IFERROR(IF($C3="","",SUMIFS(Ledger!$K$2:$K$4, Ledger!$B$2:$B$4, $A3, Ledger!$C$2:$C$4, AIF$2)),"****")</f>
        <v/>
      </c>
      <c r="AIG3" t="str">
        <f>IFERROR(IF($C3="","",SUMIFS(Ledger!$K$2:$K$4, Ledger!$B$2:$B$4, $A3, Ledger!$C$2:$C$4, AIG$2)),"****")</f>
        <v/>
      </c>
      <c r="AIH3" t="str">
        <f>IFERROR(IF($C3="","",SUMIFS(Ledger!$K$2:$K$4, Ledger!$B$2:$B$4, $A3, Ledger!$C$2:$C$4, AIH$2)),"****")</f>
        <v/>
      </c>
      <c r="AII3" t="str">
        <f>IFERROR(IF($C3="","",SUMIFS(Ledger!$K$2:$K$4, Ledger!$B$2:$B$4, $A3, Ledger!$C$2:$C$4, AII$2)),"****")</f>
        <v/>
      </c>
      <c r="AIJ3" t="str">
        <f>IFERROR(IF($C3="","",SUMIFS(Ledger!$K$2:$K$4, Ledger!$B$2:$B$4, $A3, Ledger!$C$2:$C$4, AIJ$2)),"****")</f>
        <v/>
      </c>
      <c r="AIK3" t="str">
        <f>IFERROR(IF($C3="","",SUMIFS(Ledger!$K$2:$K$4, Ledger!$B$2:$B$4, $A3, Ledger!$C$2:$C$4, AIK$2)),"****")</f>
        <v/>
      </c>
      <c r="AIL3" t="str">
        <f>IFERROR(IF($C3="","",SUMIFS(Ledger!$K$2:$K$4, Ledger!$B$2:$B$4, $A3, Ledger!$C$2:$C$4, AIL$2)),"****")</f>
        <v/>
      </c>
      <c r="AIM3" t="str">
        <f>IFERROR(IF($C3="","",SUMIFS(Ledger!$K$2:$K$4, Ledger!$B$2:$B$4, $A3, Ledger!$C$2:$C$4, AIM$2)),"****")</f>
        <v/>
      </c>
      <c r="AIN3" t="str">
        <f>IFERROR(IF($C3="","",SUMIFS(Ledger!$K$2:$K$4, Ledger!$B$2:$B$4, $A3, Ledger!$C$2:$C$4, AIN$2)),"****")</f>
        <v/>
      </c>
      <c r="AIO3" t="str">
        <f>IFERROR(IF($C3="","",SUMIFS(Ledger!$K$2:$K$4, Ledger!$B$2:$B$4, $A3, Ledger!$C$2:$C$4, AIO$2)),"****")</f>
        <v/>
      </c>
      <c r="AIP3" t="str">
        <f>IFERROR(IF($C3="","",SUMIFS(Ledger!$K$2:$K$4, Ledger!$B$2:$B$4, $A3, Ledger!$C$2:$C$4, AIP$2)),"****")</f>
        <v/>
      </c>
      <c r="AIQ3" t="str">
        <f>IFERROR(IF($C3="","",SUMIFS(Ledger!$K$2:$K$4, Ledger!$B$2:$B$4, $A3, Ledger!$C$2:$C$4, AIQ$2)),"****")</f>
        <v/>
      </c>
      <c r="AIR3" t="str">
        <f>IFERROR(IF($C3="","",SUMIFS(Ledger!$K$2:$K$4, Ledger!$B$2:$B$4, $A3, Ledger!$C$2:$C$4, AIR$2)),"****")</f>
        <v/>
      </c>
      <c r="AIS3" t="str">
        <f>IFERROR(IF($C3="","",SUMIFS(Ledger!$K$2:$K$4, Ledger!$B$2:$B$4, $A3, Ledger!$C$2:$C$4, AIS$2)),"****")</f>
        <v/>
      </c>
      <c r="AIT3" t="str">
        <f>IFERROR(IF($C3="","",SUMIFS(Ledger!$K$2:$K$4, Ledger!$B$2:$B$4, $A3, Ledger!$C$2:$C$4, AIT$2)),"****")</f>
        <v/>
      </c>
      <c r="AIU3" t="str">
        <f>IFERROR(IF($C3="","",SUMIFS(Ledger!$K$2:$K$4, Ledger!$B$2:$B$4, $A3, Ledger!$C$2:$C$4, AIU$2)),"****")</f>
        <v/>
      </c>
      <c r="AIV3" t="str">
        <f>IFERROR(IF($C3="","",SUMIFS(Ledger!$K$2:$K$4, Ledger!$B$2:$B$4, $A3, Ledger!$C$2:$C$4, AIV$2)),"****")</f>
        <v/>
      </c>
      <c r="AIW3" t="str">
        <f>IFERROR(IF($C3="","",SUMIFS(Ledger!$K$2:$K$4, Ledger!$B$2:$B$4, $A3, Ledger!$C$2:$C$4, AIW$2)),"****")</f>
        <v/>
      </c>
      <c r="AIX3" t="str">
        <f>IFERROR(IF($C3="","",SUMIFS(Ledger!$K$2:$K$4, Ledger!$B$2:$B$4, $A3, Ledger!$C$2:$C$4, AIX$2)),"****")</f>
        <v/>
      </c>
      <c r="AIY3" t="str">
        <f>IFERROR(IF($C3="","",SUMIFS(Ledger!$K$2:$K$4, Ledger!$B$2:$B$4, $A3, Ledger!$C$2:$C$4, AIY$2)),"****")</f>
        <v/>
      </c>
      <c r="AIZ3" t="str">
        <f>IFERROR(IF($C3="","",SUMIFS(Ledger!$K$2:$K$4, Ledger!$B$2:$B$4, $A3, Ledger!$C$2:$C$4, AIZ$2)),"****")</f>
        <v/>
      </c>
      <c r="AJA3" t="str">
        <f>IFERROR(IF($C3="","",SUMIFS(Ledger!$K$2:$K$4, Ledger!$B$2:$B$4, $A3, Ledger!$C$2:$C$4, AJA$2)),"****")</f>
        <v/>
      </c>
      <c r="AJB3" t="str">
        <f>IFERROR(IF($C3="","",SUMIFS(Ledger!$K$2:$K$4, Ledger!$B$2:$B$4, $A3, Ledger!$C$2:$C$4, AJB$2)),"****")</f>
        <v/>
      </c>
      <c r="AJC3" t="str">
        <f>IFERROR(IF($C3="","",SUMIFS(Ledger!$K$2:$K$4, Ledger!$B$2:$B$4, $A3, Ledger!$C$2:$C$4, AJC$2)),"****")</f>
        <v/>
      </c>
      <c r="AJD3" t="str">
        <f>IFERROR(IF($C3="","",SUMIFS(Ledger!$K$2:$K$4, Ledger!$B$2:$B$4, $A3, Ledger!$C$2:$C$4, AJD$2)),"****")</f>
        <v/>
      </c>
      <c r="AJE3" t="str">
        <f>IFERROR(IF($C3="","",SUMIFS(Ledger!$K$2:$K$4, Ledger!$B$2:$B$4, $A3, Ledger!$C$2:$C$4, AJE$2)),"****")</f>
        <v/>
      </c>
      <c r="AJF3" t="str">
        <f>IFERROR(IF($C3="","",SUMIFS(Ledger!$K$2:$K$4, Ledger!$B$2:$B$4, $A3, Ledger!$C$2:$C$4, AJF$2)),"****")</f>
        <v/>
      </c>
      <c r="AJG3" t="str">
        <f>IFERROR(IF($C3="","",SUMIFS(Ledger!$K$2:$K$4, Ledger!$B$2:$B$4, $A3, Ledger!$C$2:$C$4, AJG$2)),"****")</f>
        <v/>
      </c>
      <c r="AJH3" t="str">
        <f>IFERROR(IF($C3="","",SUMIFS(Ledger!$K$2:$K$4, Ledger!$B$2:$B$4, $A3, Ledger!$C$2:$C$4, AJH$2)),"****")</f>
        <v/>
      </c>
      <c r="AJI3" t="str">
        <f>IFERROR(IF($C3="","",SUMIFS(Ledger!$K$2:$K$4, Ledger!$B$2:$B$4, $A3, Ledger!$C$2:$C$4, AJI$2)),"****")</f>
        <v/>
      </c>
      <c r="AJJ3" t="str">
        <f>IFERROR(IF($C3="","",SUMIFS(Ledger!$K$2:$K$4, Ledger!$B$2:$B$4, $A3, Ledger!$C$2:$C$4, AJJ$2)),"****")</f>
        <v/>
      </c>
      <c r="AJK3" t="str">
        <f>IFERROR(IF($C3="","",SUMIFS(Ledger!$K$2:$K$4, Ledger!$B$2:$B$4, $A3, Ledger!$C$2:$C$4, AJK$2)),"****")</f>
        <v/>
      </c>
      <c r="AJL3" t="str">
        <f>IFERROR(IF($C3="","",SUMIFS(Ledger!$K$2:$K$4, Ledger!$B$2:$B$4, $A3, Ledger!$C$2:$C$4, AJL$2)),"****")</f>
        <v/>
      </c>
      <c r="AJM3" t="str">
        <f>IFERROR(IF($C3="","",SUMIFS(Ledger!$K$2:$K$4, Ledger!$B$2:$B$4, $A3, Ledger!$C$2:$C$4, AJM$2)),"****")</f>
        <v/>
      </c>
      <c r="AJN3" t="str">
        <f>IFERROR(IF($C3="","",SUMIFS(Ledger!$K$2:$K$4, Ledger!$B$2:$B$4, $A3, Ledger!$C$2:$C$4, AJN$2)),"****")</f>
        <v/>
      </c>
      <c r="AJO3" t="str">
        <f>IFERROR(IF($C3="","",SUMIFS(Ledger!$K$2:$K$4, Ledger!$B$2:$B$4, $A3, Ledger!$C$2:$C$4, AJO$2)),"****")</f>
        <v/>
      </c>
      <c r="AJP3" t="str">
        <f>IFERROR(IF($C3="","",SUMIFS(Ledger!$K$2:$K$4, Ledger!$B$2:$B$4, $A3, Ledger!$C$2:$C$4, AJP$2)),"****")</f>
        <v/>
      </c>
      <c r="AJQ3" t="str">
        <f>IFERROR(IF($C3="","",SUMIFS(Ledger!$K$2:$K$4, Ledger!$B$2:$B$4, $A3, Ledger!$C$2:$C$4, AJQ$2)),"****")</f>
        <v/>
      </c>
      <c r="AJR3" t="str">
        <f>IFERROR(IF($C3="","",SUMIFS(Ledger!$K$2:$K$4, Ledger!$B$2:$B$4, $A3, Ledger!$C$2:$C$4, AJR$2)),"****")</f>
        <v/>
      </c>
      <c r="AJS3" t="str">
        <f>IFERROR(IF($C3="","",SUMIFS(Ledger!$K$2:$K$4, Ledger!$B$2:$B$4, $A3, Ledger!$C$2:$C$4, AJS$2)),"****")</f>
        <v/>
      </c>
      <c r="AJT3" t="str">
        <f>IFERROR(IF($C3="","",SUMIFS(Ledger!$K$2:$K$4, Ledger!$B$2:$B$4, $A3, Ledger!$C$2:$C$4, AJT$2)),"****")</f>
        <v/>
      </c>
      <c r="AJU3" t="str">
        <f>IFERROR(IF($C3="","",SUMIFS(Ledger!$K$2:$K$4, Ledger!$B$2:$B$4, $A3, Ledger!$C$2:$C$4, AJU$2)),"****")</f>
        <v/>
      </c>
      <c r="AJV3" t="str">
        <f>IFERROR(IF($C3="","",SUMIFS(Ledger!$K$2:$K$4, Ledger!$B$2:$B$4, $A3, Ledger!$C$2:$C$4, AJV$2)),"****")</f>
        <v/>
      </c>
      <c r="AJW3" t="str">
        <f>IFERROR(IF($C3="","",SUMIFS(Ledger!$K$2:$K$4, Ledger!$B$2:$B$4, $A3, Ledger!$C$2:$C$4, AJW$2)),"****")</f>
        <v/>
      </c>
      <c r="AJX3" t="str">
        <f>IFERROR(IF($C3="","",SUMIFS(Ledger!$K$2:$K$4, Ledger!$B$2:$B$4, $A3, Ledger!$C$2:$C$4, AJX$2)),"****")</f>
        <v/>
      </c>
      <c r="AJY3" t="str">
        <f>IFERROR(IF($C3="","",SUMIFS(Ledger!$K$2:$K$4, Ledger!$B$2:$B$4, $A3, Ledger!$C$2:$C$4, AJY$2)),"****")</f>
        <v/>
      </c>
      <c r="AJZ3" t="str">
        <f>IFERROR(IF($C3="","",SUMIFS(Ledger!$K$2:$K$4, Ledger!$B$2:$B$4, $A3, Ledger!$C$2:$C$4, AJZ$2)),"****")</f>
        <v/>
      </c>
      <c r="AKA3" t="str">
        <f>IFERROR(IF($C3="","",SUMIFS(Ledger!$K$2:$K$4, Ledger!$B$2:$B$4, $A3, Ledger!$C$2:$C$4, AKA$2)),"****")</f>
        <v/>
      </c>
      <c r="AKB3" t="str">
        <f>IFERROR(IF($C3="","",SUMIFS(Ledger!$K$2:$K$4, Ledger!$B$2:$B$4, $A3, Ledger!$C$2:$C$4, AKB$2)),"****")</f>
        <v/>
      </c>
      <c r="AKC3" t="str">
        <f>IFERROR(IF($C3="","",SUMIFS(Ledger!$K$2:$K$4, Ledger!$B$2:$B$4, $A3, Ledger!$C$2:$C$4, AKC$2)),"****")</f>
        <v/>
      </c>
      <c r="AKD3" t="str">
        <f>IFERROR(IF($C3="","",SUMIFS(Ledger!$K$2:$K$4, Ledger!$B$2:$B$4, $A3, Ledger!$C$2:$C$4, AKD$2)),"****")</f>
        <v/>
      </c>
      <c r="AKE3" t="str">
        <f>IFERROR(IF($C3="","",SUMIFS(Ledger!$K$2:$K$4, Ledger!$B$2:$B$4, $A3, Ledger!$C$2:$C$4, AKE$2)),"****")</f>
        <v/>
      </c>
      <c r="AKF3" t="str">
        <f>IFERROR(IF($C3="","",SUMIFS(Ledger!$K$2:$K$4, Ledger!$B$2:$B$4, $A3, Ledger!$C$2:$C$4, AKF$2)),"****")</f>
        <v/>
      </c>
      <c r="AKG3" t="str">
        <f>IFERROR(IF($C3="","",SUMIFS(Ledger!$K$2:$K$4, Ledger!$B$2:$B$4, $A3, Ledger!$C$2:$C$4, AKG$2)),"****")</f>
        <v/>
      </c>
      <c r="AKH3" t="str">
        <f>IFERROR(IF($C3="","",SUMIFS(Ledger!$K$2:$K$4, Ledger!$B$2:$B$4, $A3, Ledger!$C$2:$C$4, AKH$2)),"****")</f>
        <v/>
      </c>
      <c r="AKI3" t="str">
        <f>IFERROR(IF($C3="","",SUMIFS(Ledger!$K$2:$K$4, Ledger!$B$2:$B$4, $A3, Ledger!$C$2:$C$4, AKI$2)),"****")</f>
        <v/>
      </c>
      <c r="AKJ3" t="str">
        <f>IFERROR(IF($C3="","",SUMIFS(Ledger!$K$2:$K$4, Ledger!$B$2:$B$4, $A3, Ledger!$C$2:$C$4, AKJ$2)),"****")</f>
        <v/>
      </c>
      <c r="AKK3" t="str">
        <f>IFERROR(IF($C3="","",SUMIFS(Ledger!$K$2:$K$4, Ledger!$B$2:$B$4, $A3, Ledger!$C$2:$C$4, AKK$2)),"****")</f>
        <v/>
      </c>
      <c r="AKL3" t="str">
        <f>IFERROR(IF($C3="","",SUMIFS(Ledger!$K$2:$K$4, Ledger!$B$2:$B$4, $A3, Ledger!$C$2:$C$4, AKL$2)),"****")</f>
        <v/>
      </c>
      <c r="AKM3" t="str">
        <f>IFERROR(IF($C3="","",SUMIFS(Ledger!$K$2:$K$4, Ledger!$B$2:$B$4, $A3, Ledger!$C$2:$C$4, AKM$2)),"****")</f>
        <v/>
      </c>
      <c r="AKN3" t="str">
        <f>IFERROR(IF($C3="","",SUMIFS(Ledger!$K$2:$K$4, Ledger!$B$2:$B$4, $A3, Ledger!$C$2:$C$4, AKN$2)),"****")</f>
        <v/>
      </c>
      <c r="AKO3" t="str">
        <f>IFERROR(IF($C3="","",SUMIFS(Ledger!$K$2:$K$4, Ledger!$B$2:$B$4, $A3, Ledger!$C$2:$C$4, AKO$2)),"****")</f>
        <v/>
      </c>
      <c r="AKP3" t="str">
        <f>IFERROR(IF($C3="","",SUMIFS(Ledger!$K$2:$K$4, Ledger!$B$2:$B$4, $A3, Ledger!$C$2:$C$4, AKP$2)),"****")</f>
        <v/>
      </c>
      <c r="AKQ3" t="str">
        <f>IFERROR(IF($C3="","",SUMIFS(Ledger!$K$2:$K$4, Ledger!$B$2:$B$4, $A3, Ledger!$C$2:$C$4, AKQ$2)),"****")</f>
        <v/>
      </c>
      <c r="AKR3" t="str">
        <f>IFERROR(IF($C3="","",SUMIFS(Ledger!$K$2:$K$4, Ledger!$B$2:$B$4, $A3, Ledger!$C$2:$C$4, AKR$2)),"****")</f>
        <v/>
      </c>
      <c r="AKS3" t="str">
        <f>IFERROR(IF($C3="","",SUMIFS(Ledger!$K$2:$K$4, Ledger!$B$2:$B$4, $A3, Ledger!$C$2:$C$4, AKS$2)),"****")</f>
        <v/>
      </c>
      <c r="AKT3" t="str">
        <f>IFERROR(IF($C3="","",SUMIFS(Ledger!$K$2:$K$4, Ledger!$B$2:$B$4, $A3, Ledger!$C$2:$C$4, AKT$2)),"****")</f>
        <v/>
      </c>
      <c r="AKU3" t="str">
        <f>IFERROR(IF($C3="","",SUMIFS(Ledger!$K$2:$K$4, Ledger!$B$2:$B$4, $A3, Ledger!$C$2:$C$4, AKU$2)),"****")</f>
        <v/>
      </c>
      <c r="AKV3" t="str">
        <f>IFERROR(IF($C3="","",SUMIFS(Ledger!$K$2:$K$4, Ledger!$B$2:$B$4, $A3, Ledger!$C$2:$C$4, AKV$2)),"****")</f>
        <v/>
      </c>
      <c r="AKW3" t="str">
        <f>IFERROR(IF($C3="","",SUMIFS(Ledger!$K$2:$K$4, Ledger!$B$2:$B$4, $A3, Ledger!$C$2:$C$4, AKW$2)),"****")</f>
        <v/>
      </c>
      <c r="AKX3" t="str">
        <f>IFERROR(IF($C3="","",SUMIFS(Ledger!$K$2:$K$4, Ledger!$B$2:$B$4, $A3, Ledger!$C$2:$C$4, AKX$2)),"****")</f>
        <v/>
      </c>
      <c r="AKY3" t="str">
        <f>IFERROR(IF($C3="","",SUMIFS(Ledger!$K$2:$K$4, Ledger!$B$2:$B$4, $A3, Ledger!$C$2:$C$4, AKY$2)),"****")</f>
        <v/>
      </c>
      <c r="AKZ3" t="str">
        <f>IFERROR(IF($C3="","",SUMIFS(Ledger!$K$2:$K$4, Ledger!$B$2:$B$4, $A3, Ledger!$C$2:$C$4, AKZ$2)),"****")</f>
        <v/>
      </c>
      <c r="ALA3" t="str">
        <f>IFERROR(IF($C3="","",SUMIFS(Ledger!$K$2:$K$4, Ledger!$B$2:$B$4, $A3, Ledger!$C$2:$C$4, ALA$2)),"****")</f>
        <v/>
      </c>
      <c r="ALB3" t="str">
        <f>IFERROR(IF($C3="","",SUMIFS(Ledger!$K$2:$K$4, Ledger!$B$2:$B$4, $A3, Ledger!$C$2:$C$4, ALB$2)),"****")</f>
        <v/>
      </c>
      <c r="ALC3" t="str">
        <f>IFERROR(IF($C3="","",SUMIFS(Ledger!$K$2:$K$4, Ledger!$B$2:$B$4, $A3, Ledger!$C$2:$C$4, ALC$2)),"****")</f>
        <v/>
      </c>
      <c r="ALD3" t="str">
        <f>IFERROR(IF($C3="","",SUMIFS(Ledger!$K$2:$K$4, Ledger!$B$2:$B$4, $A3, Ledger!$C$2:$C$4, ALD$2)),"****")</f>
        <v/>
      </c>
      <c r="ALE3" t="str">
        <f>IFERROR(IF($C3="","",SUMIFS(Ledger!$K$2:$K$4, Ledger!$B$2:$B$4, $A3, Ledger!$C$2:$C$4, ALE$2)),"****")</f>
        <v/>
      </c>
      <c r="ALF3" t="str">
        <f>IFERROR(IF($C3="","",SUMIFS(Ledger!$K$2:$K$4, Ledger!$B$2:$B$4, $A3, Ledger!$C$2:$C$4, ALF$2)),"****")</f>
        <v/>
      </c>
      <c r="ALG3" t="str">
        <f>IFERROR(IF($C3="","",SUMIFS(Ledger!$K$2:$K$4, Ledger!$B$2:$B$4, $A3, Ledger!$C$2:$C$4, ALG$2)),"****")</f>
        <v/>
      </c>
      <c r="ALH3" t="str">
        <f>IFERROR(IF($C3="","",SUMIFS(Ledger!$K$2:$K$4, Ledger!$B$2:$B$4, $A3, Ledger!$C$2:$C$4, ALH$2)),"****")</f>
        <v/>
      </c>
      <c r="ALI3" t="str">
        <f>IFERROR(IF($C3="","",SUMIFS(Ledger!$K$2:$K$4, Ledger!$B$2:$B$4, $A3, Ledger!$C$2:$C$4, ALI$2)),"****")</f>
        <v/>
      </c>
      <c r="ALJ3" t="str">
        <f>IFERROR(IF($C3="","",SUMIFS(Ledger!$K$2:$K$4, Ledger!$B$2:$B$4, $A3, Ledger!$C$2:$C$4, ALJ$2)),"****")</f>
        <v/>
      </c>
      <c r="ALK3" t="str">
        <f>IFERROR(IF($C3="","",SUMIFS(Ledger!$K$2:$K$4, Ledger!$B$2:$B$4, $A3, Ledger!$C$2:$C$4, ALK$2)),"****")</f>
        <v/>
      </c>
      <c r="ALL3" t="str">
        <f>IFERROR(IF($C3="","",SUMIFS(Ledger!$K$2:$K$4, Ledger!$B$2:$B$4, $A3, Ledger!$C$2:$C$4, ALL$2)),"****")</f>
        <v/>
      </c>
      <c r="ALM3" t="str">
        <f>IFERROR(IF($C3="","",SUMIFS(Ledger!$K$2:$K$4, Ledger!$B$2:$B$4, $A3, Ledger!$C$2:$C$4, ALM$2)),"****")</f>
        <v/>
      </c>
      <c r="ALN3" t="str">
        <f>IFERROR(IF($C3="","",SUMIFS(Ledger!$K$2:$K$4, Ledger!$B$2:$B$4, $A3, Ledger!$C$2:$C$4, ALN$2)),"****")</f>
        <v/>
      </c>
      <c r="ALO3" t="str">
        <f>IFERROR(IF($C3="","",SUMIFS(Ledger!$K$2:$K$4, Ledger!$B$2:$B$4, $A3, Ledger!$C$2:$C$4, ALO$2)),"****")</f>
        <v/>
      </c>
      <c r="ALP3" t="str">
        <f>IFERROR(IF($C3="","",SUMIFS(Ledger!$K$2:$K$4, Ledger!$B$2:$B$4, $A3, Ledger!$C$2:$C$4, ALP$2)),"****")</f>
        <v/>
      </c>
      <c r="ALQ3" t="str">
        <f>IFERROR(IF($C3="","",SUMIFS(Ledger!$K$2:$K$4, Ledger!$B$2:$B$4, $A3, Ledger!$C$2:$C$4, ALQ$2)),"****")</f>
        <v/>
      </c>
      <c r="ALR3" t="str">
        <f>IFERROR(IF($C3="","",SUMIFS(Ledger!$K$2:$K$4, Ledger!$B$2:$B$4, $A3, Ledger!$C$2:$C$4, ALR$2)),"****")</f>
        <v/>
      </c>
      <c r="ALS3" t="str">
        <f>IFERROR(IF($C3="","",SUMIFS(Ledger!$K$2:$K$4, Ledger!$B$2:$B$4, $A3, Ledger!$C$2:$C$4, ALS$2)),"****")</f>
        <v/>
      </c>
      <c r="ALT3" t="str">
        <f>IFERROR(IF($C3="","",SUMIFS(Ledger!$K$2:$K$4, Ledger!$B$2:$B$4, $A3, Ledger!$C$2:$C$4, ALT$2)),"****")</f>
        <v/>
      </c>
      <c r="ALU3" t="str">
        <f>IFERROR(IF($C3="","",SUMIFS(Ledger!$K$2:$K$4, Ledger!$B$2:$B$4, $A3, Ledger!$C$2:$C$4, ALU$2)),"****")</f>
        <v/>
      </c>
      <c r="ALV3" t="str">
        <f>IFERROR(IF($C3="","",SUMIFS(Ledger!$K$2:$K$4, Ledger!$B$2:$B$4, $A3, Ledger!$C$2:$C$4, ALV$2)),"****")</f>
        <v/>
      </c>
      <c r="ALW3" t="str">
        <f>IFERROR(IF($C3="","",SUMIFS(Ledger!$K$2:$K$4, Ledger!$B$2:$B$4, $A3, Ledger!$C$2:$C$4, ALW$2)),"****")</f>
        <v/>
      </c>
      <c r="ALX3" t="str">
        <f>IFERROR(IF($C3="","",SUMIFS(Ledger!$K$2:$K$4, Ledger!$B$2:$B$4, $A3, Ledger!$C$2:$C$4, ALX$2)),"****")</f>
        <v/>
      </c>
      <c r="ALY3" t="str">
        <f>IFERROR(IF($C3="","",SUMIFS(Ledger!$K$2:$K$4, Ledger!$B$2:$B$4, $A3, Ledger!$C$2:$C$4, ALY$2)),"****")</f>
        <v/>
      </c>
      <c r="ALZ3" t="str">
        <f>IFERROR(IF($C3="","",SUMIFS(Ledger!$K$2:$K$4, Ledger!$B$2:$B$4, $A3, Ledger!$C$2:$C$4, ALZ$2)),"****")</f>
        <v/>
      </c>
      <c r="AMA3" t="str">
        <f>IFERROR(IF($C3="","",SUMIFS(Ledger!$K$2:$K$4, Ledger!$B$2:$B$4, $A3, Ledger!$C$2:$C$4, AMA$2)),"****")</f>
        <v/>
      </c>
      <c r="AMB3" t="str">
        <f>IFERROR(IF($C3="","",SUMIFS(Ledger!$K$2:$K$4, Ledger!$B$2:$B$4, $A3, Ledger!$C$2:$C$4, AMB$2)),"****")</f>
        <v/>
      </c>
      <c r="AMC3" t="str">
        <f>IFERROR(IF($C3="","",SUMIFS(Ledger!$K$2:$K$4, Ledger!$B$2:$B$4, $A3, Ledger!$C$2:$C$4, AMC$2)),"****")</f>
        <v/>
      </c>
      <c r="AMD3" t="str">
        <f>IFERROR(IF($C3="","",SUMIFS(Ledger!$K$2:$K$4, Ledger!$B$2:$B$4, $A3, Ledger!$C$2:$C$4, AMD$2)),"****")</f>
        <v/>
      </c>
      <c r="AME3" t="str">
        <f>IFERROR(IF($C3="","",SUMIFS(Ledger!$K$2:$K$4, Ledger!$B$2:$B$4, $A3, Ledger!$C$2:$C$4, AME$2)),"****")</f>
        <v/>
      </c>
      <c r="AMF3" t="str">
        <f>IFERROR(IF($C3="","",SUMIFS(Ledger!$K$2:$K$4, Ledger!$B$2:$B$4, $A3, Ledger!$C$2:$C$4, AMF$2)),"****")</f>
        <v/>
      </c>
      <c r="AMG3" t="str">
        <f>IFERROR(IF($C3="","",SUMIFS(Ledger!$K$2:$K$4, Ledger!$B$2:$B$4, $A3, Ledger!$C$2:$C$4, AMG$2)),"****")</f>
        <v/>
      </c>
      <c r="AMH3" t="str">
        <f>IFERROR(IF($C3="","",SUMIFS(Ledger!$K$2:$K$4, Ledger!$B$2:$B$4, $A3, Ledger!$C$2:$C$4, AMH$2)),"****")</f>
        <v/>
      </c>
      <c r="AMI3" t="str">
        <f>IFERROR(IF($C3="","",SUMIFS(Ledger!$K$2:$K$4, Ledger!$B$2:$B$4, $A3, Ledger!$C$2:$C$4, AMI$2)),"****")</f>
        <v/>
      </c>
      <c r="AMJ3" t="str">
        <f>IFERROR(IF($C3="","",SUMIFS(Ledger!$K$2:$K$4, Ledger!$B$2:$B$4, $A3, Ledger!$C$2:$C$4, AMJ$2)),"****")</f>
        <v/>
      </c>
      <c r="AMK3" t="str">
        <f>IFERROR(IF($C3="","",SUMIFS(Ledger!$K$2:$K$4, Ledger!$B$2:$B$4, $A3, Ledger!$C$2:$C$4, AMK$2)),"****")</f>
        <v/>
      </c>
      <c r="AML3" t="str">
        <f>IFERROR(IF($C3="","",SUMIFS(Ledger!$K$2:$K$4, Ledger!$B$2:$B$4, $A3, Ledger!$C$2:$C$4, AML$2)),"****")</f>
        <v/>
      </c>
      <c r="AMM3" t="str">
        <f>IFERROR(IF($C3="","",SUMIFS(Ledger!$K$2:$K$4, Ledger!$B$2:$B$4, $A3, Ledger!$C$2:$C$4, AMM$2)),"****")</f>
        <v/>
      </c>
      <c r="AMN3" t="str">
        <f>IFERROR(IF($C3="","",SUMIFS(Ledger!$K$2:$K$4, Ledger!$B$2:$B$4, $A3, Ledger!$C$2:$C$4, AMN$2)),"****")</f>
        <v/>
      </c>
      <c r="AMO3" t="str">
        <f>IFERROR(IF($C3="","",SUMIFS(Ledger!$K$2:$K$4, Ledger!$B$2:$B$4, $A3, Ledger!$C$2:$C$4, AMO$2)),"****")</f>
        <v/>
      </c>
      <c r="AMP3" t="str">
        <f>IFERROR(IF($C3="","",SUMIFS(Ledger!$K$2:$K$4, Ledger!$B$2:$B$4, $A3, Ledger!$C$2:$C$4, AMP$2)),"****")</f>
        <v/>
      </c>
      <c r="AMQ3" t="str">
        <f>IFERROR(IF($C3="","",SUMIFS(Ledger!$K$2:$K$4, Ledger!$B$2:$B$4, $A3, Ledger!$C$2:$C$4, AMQ$2)),"****")</f>
        <v/>
      </c>
      <c r="AMR3" t="str">
        <f>IFERROR(IF($C3="","",SUMIFS(Ledger!$K$2:$K$4, Ledger!$B$2:$B$4, $A3, Ledger!$C$2:$C$4, AMR$2)),"****")</f>
        <v/>
      </c>
      <c r="AMS3" t="str">
        <f>IFERROR(IF($C3="","",SUMIFS(Ledger!$K$2:$K$4, Ledger!$B$2:$B$4, $A3, Ledger!$C$2:$C$4, AMS$2)),"****")</f>
        <v/>
      </c>
      <c r="AMT3" t="str">
        <f>IFERROR(IF($C3="","",SUMIFS(Ledger!$K$2:$K$4, Ledger!$B$2:$B$4, $A3, Ledger!$C$2:$C$4, AMT$2)),"****")</f>
        <v/>
      </c>
      <c r="AMU3" t="str">
        <f>IFERROR(IF($C3="","",SUMIFS(Ledger!$K$2:$K$4, Ledger!$B$2:$B$4, $A3, Ledger!$C$2:$C$4, AMU$2)),"****")</f>
        <v/>
      </c>
      <c r="AMV3" t="str">
        <f>IFERROR(IF($C3="","",SUMIFS(Ledger!$K$2:$K$4, Ledger!$B$2:$B$4, $A3, Ledger!$C$2:$C$4, AMV$2)),"****")</f>
        <v/>
      </c>
      <c r="AMW3" t="str">
        <f>IFERROR(IF($C3="","",SUMIFS(Ledger!$K$2:$K$4, Ledger!$B$2:$B$4, $A3, Ledger!$C$2:$C$4, AMW$2)),"****")</f>
        <v/>
      </c>
      <c r="AMX3" t="str">
        <f>IFERROR(IF($C3="","",SUMIFS(Ledger!$K$2:$K$4, Ledger!$B$2:$B$4, $A3, Ledger!$C$2:$C$4, AMX$2)),"****")</f>
        <v/>
      </c>
      <c r="AMY3" t="str">
        <f>IFERROR(IF($C3="","",SUMIFS(Ledger!$K$2:$K$4, Ledger!$B$2:$B$4, $A3, Ledger!$C$2:$C$4, AMY$2)),"****")</f>
        <v/>
      </c>
      <c r="AMZ3" t="str">
        <f>IFERROR(IF($C3="","",SUMIFS(Ledger!$K$2:$K$4, Ledger!$B$2:$B$4, $A3, Ledger!$C$2:$C$4, AMZ$2)),"****")</f>
        <v/>
      </c>
      <c r="ANA3" t="str">
        <f>IFERROR(IF($C3="","",SUMIFS(Ledger!$K$2:$K$4, Ledger!$B$2:$B$4, $A3, Ledger!$C$2:$C$4, ANA$2)),"****")</f>
        <v/>
      </c>
      <c r="ANB3" t="str">
        <f>IFERROR(IF($C3="","",SUMIFS(Ledger!$K$2:$K$4, Ledger!$B$2:$B$4, $A3, Ledger!$C$2:$C$4, ANB$2)),"****")</f>
        <v/>
      </c>
      <c r="ANC3" t="str">
        <f>IFERROR(IF($C3="","",SUMIFS(Ledger!$K$2:$K$4, Ledger!$B$2:$B$4, $A3, Ledger!$C$2:$C$4, ANC$2)),"****")</f>
        <v/>
      </c>
      <c r="AND3" t="str">
        <f>IFERROR(IF($C3="","",SUMIFS(Ledger!$K$2:$K$4, Ledger!$B$2:$B$4, $A3, Ledger!$C$2:$C$4, AND$2)),"****")</f>
        <v/>
      </c>
      <c r="ANE3" t="str">
        <f>IFERROR(IF($C3="","",SUMIFS(Ledger!$K$2:$K$4, Ledger!$B$2:$B$4, $A3, Ledger!$C$2:$C$4, ANE$2)),"****")</f>
        <v/>
      </c>
      <c r="ANF3" t="str">
        <f>IFERROR(IF($C3="","",SUMIFS(Ledger!$K$2:$K$4, Ledger!$B$2:$B$4, $A3, Ledger!$C$2:$C$4, ANF$2)),"****")</f>
        <v/>
      </c>
      <c r="ANG3" t="str">
        <f>IFERROR(IF($C3="","",SUMIFS(Ledger!$K$2:$K$4, Ledger!$B$2:$B$4, $A3, Ledger!$C$2:$C$4, ANG$2)),"****")</f>
        <v/>
      </c>
      <c r="ANH3" t="str">
        <f>IFERROR(IF($C3="","",SUMIFS(Ledger!$K$2:$K$4, Ledger!$B$2:$B$4, $A3, Ledger!$C$2:$C$4, ANH$2)),"****")</f>
        <v/>
      </c>
      <c r="ANI3" t="str">
        <f>IFERROR(IF($C3="","",SUMIFS(Ledger!$K$2:$K$4, Ledger!$B$2:$B$4, $A3, Ledger!$C$2:$C$4, ANI$2)),"****")</f>
        <v/>
      </c>
      <c r="ANJ3" t="str">
        <f>IFERROR(IF($C3="","",SUMIFS(Ledger!$K$2:$K$4, Ledger!$B$2:$B$4, $A3, Ledger!$C$2:$C$4, ANJ$2)),"****")</f>
        <v/>
      </c>
      <c r="ANK3" t="str">
        <f>IFERROR(IF($C3="","",SUMIFS(Ledger!$K$2:$K$4, Ledger!$B$2:$B$4, $A3, Ledger!$C$2:$C$4, ANK$2)),"****")</f>
        <v/>
      </c>
      <c r="ANL3" t="str">
        <f>IFERROR(IF($C3="","",SUMIFS(Ledger!$K$2:$K$4, Ledger!$B$2:$B$4, $A3, Ledger!$C$2:$C$4, ANL$2)),"****")</f>
        <v/>
      </c>
      <c r="ANM3" t="str">
        <f>IFERROR(IF($C3="","",SUMIFS(Ledger!$K$2:$K$4, Ledger!$B$2:$B$4, $A3, Ledger!$C$2:$C$4, ANM$2)),"****")</f>
        <v/>
      </c>
      <c r="ANN3" t="str">
        <f>IFERROR(IF($C3="","",SUMIFS(Ledger!$K$2:$K$4, Ledger!$B$2:$B$4, $A3, Ledger!$C$2:$C$4, ANN$2)),"****")</f>
        <v/>
      </c>
      <c r="ANO3" t="str">
        <f>IFERROR(IF($C3="","",SUMIFS(Ledger!$K$2:$K$4, Ledger!$B$2:$B$4, $A3, Ledger!$C$2:$C$4, ANO$2)),"****")</f>
        <v/>
      </c>
      <c r="ANP3" t="str">
        <f>IFERROR(IF($C3="","",SUMIFS(Ledger!$K$2:$K$4, Ledger!$B$2:$B$4, $A3, Ledger!$C$2:$C$4, ANP$2)),"****")</f>
        <v/>
      </c>
      <c r="ANQ3" t="str">
        <f>IFERROR(IF($C3="","",SUMIFS(Ledger!$K$2:$K$4, Ledger!$B$2:$B$4, $A3, Ledger!$C$2:$C$4, ANQ$2)),"****")</f>
        <v/>
      </c>
      <c r="ANR3" t="str">
        <f>IFERROR(IF($C3="","",SUMIFS(Ledger!$K$2:$K$4, Ledger!$B$2:$B$4, $A3, Ledger!$C$2:$C$4, ANR$2)),"****")</f>
        <v/>
      </c>
      <c r="ANS3" t="str">
        <f>IFERROR(IF($C3="","",SUMIFS(Ledger!$K$2:$K$4, Ledger!$B$2:$B$4, $A3, Ledger!$C$2:$C$4, ANS$2)),"****")</f>
        <v/>
      </c>
      <c r="ANT3" t="str">
        <f>IFERROR(IF($C3="","",SUMIFS(Ledger!$K$2:$K$4, Ledger!$B$2:$B$4, $A3, Ledger!$C$2:$C$4, ANT$2)),"****")</f>
        <v/>
      </c>
      <c r="ANU3" t="str">
        <f>IFERROR(IF($C3="","",SUMIFS(Ledger!$K$2:$K$4, Ledger!$B$2:$B$4, $A3, Ledger!$C$2:$C$4, ANU$2)),"****")</f>
        <v/>
      </c>
      <c r="ANV3" t="str">
        <f>IFERROR(IF($C3="","",SUMIFS(Ledger!$K$2:$K$4, Ledger!$B$2:$B$4, $A3, Ledger!$C$2:$C$4, ANV$2)),"****")</f>
        <v/>
      </c>
      <c r="ANW3" t="str">
        <f>IFERROR(IF($C3="","",SUMIFS(Ledger!$K$2:$K$4, Ledger!$B$2:$B$4, $A3, Ledger!$C$2:$C$4, ANW$2)),"****")</f>
        <v/>
      </c>
      <c r="ANX3" t="str">
        <f>IFERROR(IF($C3="","",SUMIFS(Ledger!$K$2:$K$4, Ledger!$B$2:$B$4, $A3, Ledger!$C$2:$C$4, ANX$2)),"****")</f>
        <v/>
      </c>
      <c r="ANY3" t="str">
        <f>IFERROR(IF($C3="","",SUMIFS(Ledger!$K$2:$K$4, Ledger!$B$2:$B$4, $A3, Ledger!$C$2:$C$4, ANY$2)),"****")</f>
        <v/>
      </c>
      <c r="ANZ3" t="str">
        <f>IFERROR(IF($C3="","",SUMIFS(Ledger!$K$2:$K$4, Ledger!$B$2:$B$4, $A3, Ledger!$C$2:$C$4, ANZ$2)),"****")</f>
        <v/>
      </c>
      <c r="AOA3" t="str">
        <f>IFERROR(IF($C3="","",SUMIFS(Ledger!$K$2:$K$4, Ledger!$B$2:$B$4, $A3, Ledger!$C$2:$C$4, AOA$2)),"****")</f>
        <v/>
      </c>
      <c r="AOB3" t="str">
        <f>IFERROR(IF($C3="","",SUMIFS(Ledger!$K$2:$K$4, Ledger!$B$2:$B$4, $A3, Ledger!$C$2:$C$4, AOB$2)),"****")</f>
        <v/>
      </c>
      <c r="AOC3" t="str">
        <f>IFERROR(IF($C3="","",SUMIFS(Ledger!$K$2:$K$4, Ledger!$B$2:$B$4, $A3, Ledger!$C$2:$C$4, AOC$2)),"****")</f>
        <v/>
      </c>
      <c r="AOD3" t="str">
        <f>IFERROR(IF($C3="","",SUMIFS(Ledger!$K$2:$K$4, Ledger!$B$2:$B$4, $A3, Ledger!$C$2:$C$4, AOD$2)),"****")</f>
        <v/>
      </c>
      <c r="AOE3" t="str">
        <f>IFERROR(IF($C3="","",SUMIFS(Ledger!$K$2:$K$4, Ledger!$B$2:$B$4, $A3, Ledger!$C$2:$C$4, AOE$2)),"****")</f>
        <v/>
      </c>
      <c r="AOF3" t="str">
        <f>IFERROR(IF($C3="","",SUMIFS(Ledger!$K$2:$K$4, Ledger!$B$2:$B$4, $A3, Ledger!$C$2:$C$4, AOF$2)),"****")</f>
        <v/>
      </c>
      <c r="AOG3" t="str">
        <f>IFERROR(IF($C3="","",SUMIFS(Ledger!$K$2:$K$4, Ledger!$B$2:$B$4, $A3, Ledger!$C$2:$C$4, AOG$2)),"****")</f>
        <v/>
      </c>
      <c r="AOH3" t="str">
        <f>IFERROR(IF($C3="","",SUMIFS(Ledger!$K$2:$K$4, Ledger!$B$2:$B$4, $A3, Ledger!$C$2:$C$4, AOH$2)),"****")</f>
        <v/>
      </c>
      <c r="AOI3" t="str">
        <f>IFERROR(IF($C3="","",SUMIFS(Ledger!$K$2:$K$4, Ledger!$B$2:$B$4, $A3, Ledger!$C$2:$C$4, AOI$2)),"****")</f>
        <v/>
      </c>
      <c r="AOJ3" t="str">
        <f>IFERROR(IF($C3="","",SUMIFS(Ledger!$K$2:$K$4, Ledger!$B$2:$B$4, $A3, Ledger!$C$2:$C$4, AOJ$2)),"****")</f>
        <v/>
      </c>
      <c r="AOK3" t="str">
        <f>IFERROR(IF($C3="","",SUMIFS(Ledger!$K$2:$K$4, Ledger!$B$2:$B$4, $A3, Ledger!$C$2:$C$4, AOK$2)),"****")</f>
        <v/>
      </c>
      <c r="AOL3" t="str">
        <f>IFERROR(IF($C3="","",SUMIFS(Ledger!$K$2:$K$4, Ledger!$B$2:$B$4, $A3, Ledger!$C$2:$C$4, AOL$2)),"****")</f>
        <v/>
      </c>
      <c r="AOM3" t="str">
        <f>IFERROR(IF($C3="","",SUMIFS(Ledger!$K$2:$K$4, Ledger!$B$2:$B$4, $A3, Ledger!$C$2:$C$4, AOM$2)),"****")</f>
        <v/>
      </c>
      <c r="AON3" t="str">
        <f>IFERROR(IF($C3="","",SUMIFS(Ledger!$K$2:$K$4, Ledger!$B$2:$B$4, $A3, Ledger!$C$2:$C$4, AON$2)),"****")</f>
        <v/>
      </c>
      <c r="AOO3" t="str">
        <f>IFERROR(IF($C3="","",SUMIFS(Ledger!$K$2:$K$4, Ledger!$B$2:$B$4, $A3, Ledger!$C$2:$C$4, AOO$2)),"****")</f>
        <v/>
      </c>
      <c r="AOP3" t="str">
        <f>IFERROR(IF($C3="","",SUMIFS(Ledger!$K$2:$K$4, Ledger!$B$2:$B$4, $A3, Ledger!$C$2:$C$4, AOP$2)),"****")</f>
        <v/>
      </c>
      <c r="AOQ3" t="str">
        <f>IFERROR(IF($C3="","",SUMIFS(Ledger!$K$2:$K$4, Ledger!$B$2:$B$4, $A3, Ledger!$C$2:$C$4, AOQ$2)),"****")</f>
        <v/>
      </c>
      <c r="AOR3" t="str">
        <f>IFERROR(IF($C3="","",SUMIFS(Ledger!$K$2:$K$4, Ledger!$B$2:$B$4, $A3, Ledger!$C$2:$C$4, AOR$2)),"****")</f>
        <v/>
      </c>
      <c r="AOS3" t="str">
        <f>IFERROR(IF($C3="","",SUMIFS(Ledger!$K$2:$K$4, Ledger!$B$2:$B$4, $A3, Ledger!$C$2:$C$4, AOS$2)),"****")</f>
        <v/>
      </c>
      <c r="AOT3" t="str">
        <f>IFERROR(IF($C3="","",SUMIFS(Ledger!$K$2:$K$4, Ledger!$B$2:$B$4, $A3, Ledger!$C$2:$C$4, AOT$2)),"****")</f>
        <v/>
      </c>
      <c r="AOU3" t="str">
        <f>IFERROR(IF($C3="","",SUMIFS(Ledger!$K$2:$K$4, Ledger!$B$2:$B$4, $A3, Ledger!$C$2:$C$4, AOU$2)),"****")</f>
        <v/>
      </c>
      <c r="AOV3" t="str">
        <f>IFERROR(IF($C3="","",SUMIFS(Ledger!$K$2:$K$4, Ledger!$B$2:$B$4, $A3, Ledger!$C$2:$C$4, AOV$2)),"****")</f>
        <v/>
      </c>
      <c r="AOW3" t="str">
        <f>IFERROR(IF($C3="","",SUMIFS(Ledger!$K$2:$K$4, Ledger!$B$2:$B$4, $A3, Ledger!$C$2:$C$4, AOW$2)),"****")</f>
        <v/>
      </c>
      <c r="AOX3" t="str">
        <f>IFERROR(IF($C3="","",SUMIFS(Ledger!$K$2:$K$4, Ledger!$B$2:$B$4, $A3, Ledger!$C$2:$C$4, AOX$2)),"****")</f>
        <v/>
      </c>
      <c r="AOY3" t="str">
        <f>IFERROR(IF($C3="","",SUMIFS(Ledger!$K$2:$K$4, Ledger!$B$2:$B$4, $A3, Ledger!$C$2:$C$4, AOY$2)),"****")</f>
        <v/>
      </c>
      <c r="AOZ3" t="str">
        <f>IFERROR(IF($C3="","",SUMIFS(Ledger!$K$2:$K$4, Ledger!$B$2:$B$4, $A3, Ledger!$C$2:$C$4, AOZ$2)),"****")</f>
        <v/>
      </c>
      <c r="APA3" t="str">
        <f>IFERROR(IF($C3="","",SUMIFS(Ledger!$K$2:$K$4, Ledger!$B$2:$B$4, $A3, Ledger!$C$2:$C$4, APA$2)),"****")</f>
        <v/>
      </c>
      <c r="APB3" t="str">
        <f>IFERROR(IF($C3="","",SUMIFS(Ledger!$K$2:$K$4, Ledger!$B$2:$B$4, $A3, Ledger!$C$2:$C$4, APB$2)),"****")</f>
        <v/>
      </c>
      <c r="APC3" t="str">
        <f>IFERROR(IF($C3="","",SUMIFS(Ledger!$K$2:$K$4, Ledger!$B$2:$B$4, $A3, Ledger!$C$2:$C$4, APC$2)),"****")</f>
        <v/>
      </c>
      <c r="APD3" t="str">
        <f>IFERROR(IF($C3="","",SUMIFS(Ledger!$K$2:$K$4, Ledger!$B$2:$B$4, $A3, Ledger!$C$2:$C$4, APD$2)),"****")</f>
        <v/>
      </c>
      <c r="APE3" t="str">
        <f>IFERROR(IF($C3="","",SUMIFS(Ledger!$K$2:$K$4, Ledger!$B$2:$B$4, $A3, Ledger!$C$2:$C$4, APE$2)),"****")</f>
        <v/>
      </c>
      <c r="APF3" t="str">
        <f>IFERROR(IF($C3="","",SUMIFS(Ledger!$K$2:$K$4, Ledger!$B$2:$B$4, $A3, Ledger!$C$2:$C$4, APF$2)),"****")</f>
        <v/>
      </c>
      <c r="APG3" t="str">
        <f>IFERROR(IF($C3="","",SUMIFS(Ledger!$K$2:$K$4, Ledger!$B$2:$B$4, $A3, Ledger!$C$2:$C$4, APG$2)),"****")</f>
        <v/>
      </c>
      <c r="APH3" t="str">
        <f>IFERROR(IF($C3="","",SUMIFS(Ledger!$K$2:$K$4, Ledger!$B$2:$B$4, $A3, Ledger!$C$2:$C$4, APH$2)),"****")</f>
        <v/>
      </c>
      <c r="API3" t="str">
        <f>IFERROR(IF($C3="","",SUMIFS(Ledger!$K$2:$K$4, Ledger!$B$2:$B$4, $A3, Ledger!$C$2:$C$4, API$2)),"****")</f>
        <v/>
      </c>
      <c r="APJ3" t="str">
        <f>IFERROR(IF($C3="","",SUMIFS(Ledger!$K$2:$K$4, Ledger!$B$2:$B$4, $A3, Ledger!$C$2:$C$4, APJ$2)),"****")</f>
        <v/>
      </c>
      <c r="APK3" t="str">
        <f>IFERROR(IF($C3="","",SUMIFS(Ledger!$K$2:$K$4, Ledger!$B$2:$B$4, $A3, Ledger!$C$2:$C$4, APK$2)),"****")</f>
        <v/>
      </c>
      <c r="APL3" t="str">
        <f>IFERROR(IF($C3="","",SUMIFS(Ledger!$K$2:$K$4, Ledger!$B$2:$B$4, $A3, Ledger!$C$2:$C$4, APL$2)),"****")</f>
        <v/>
      </c>
      <c r="APM3" t="str">
        <f>IFERROR(IF($C3="","",SUMIFS(Ledger!$K$2:$K$4, Ledger!$B$2:$B$4, $A3, Ledger!$C$2:$C$4, APM$2)),"****")</f>
        <v/>
      </c>
      <c r="APN3" t="str">
        <f>IFERROR(IF($C3="","",SUMIFS(Ledger!$K$2:$K$4, Ledger!$B$2:$B$4, $A3, Ledger!$C$2:$C$4, APN$2)),"****")</f>
        <v/>
      </c>
      <c r="APO3" t="str">
        <f>IFERROR(IF($C3="","",SUMIFS(Ledger!$K$2:$K$4, Ledger!$B$2:$B$4, $A3, Ledger!$C$2:$C$4, APO$2)),"****")</f>
        <v/>
      </c>
      <c r="APP3" t="str">
        <f>IFERROR(IF($C3="","",SUMIFS(Ledger!$K$2:$K$4, Ledger!$B$2:$B$4, $A3, Ledger!$C$2:$C$4, APP$2)),"****")</f>
        <v/>
      </c>
      <c r="APQ3" t="str">
        <f>IFERROR(IF($C3="","",SUMIFS(Ledger!$K$2:$K$4, Ledger!$B$2:$B$4, $A3, Ledger!$C$2:$C$4, APQ$2)),"****")</f>
        <v/>
      </c>
      <c r="APR3" t="str">
        <f>IFERROR(IF($C3="","",SUMIFS(Ledger!$K$2:$K$4, Ledger!$B$2:$B$4, $A3, Ledger!$C$2:$C$4, APR$2)),"****")</f>
        <v/>
      </c>
      <c r="APS3" t="str">
        <f>IFERROR(IF($C3="","",SUMIFS(Ledger!$K$2:$K$4, Ledger!$B$2:$B$4, $A3, Ledger!$C$2:$C$4, APS$2)),"****")</f>
        <v/>
      </c>
      <c r="APT3" t="str">
        <f>IFERROR(IF($C3="","",SUMIFS(Ledger!$K$2:$K$4, Ledger!$B$2:$B$4, $A3, Ledger!$C$2:$C$4, APT$2)),"****")</f>
        <v/>
      </c>
      <c r="APU3" t="str">
        <f>IFERROR(IF($C3="","",SUMIFS(Ledger!$K$2:$K$4, Ledger!$B$2:$B$4, $A3, Ledger!$C$2:$C$4, APU$2)),"****")</f>
        <v/>
      </c>
      <c r="APV3" t="str">
        <f>IFERROR(IF($C3="","",SUMIFS(Ledger!$K$2:$K$4, Ledger!$B$2:$B$4, $A3, Ledger!$C$2:$C$4, APV$2)),"****")</f>
        <v/>
      </c>
      <c r="APW3" t="str">
        <f>IFERROR(IF($C3="","",SUMIFS(Ledger!$K$2:$K$4, Ledger!$B$2:$B$4, $A3, Ledger!$C$2:$C$4, APW$2)),"****")</f>
        <v/>
      </c>
      <c r="APX3" t="str">
        <f>IFERROR(IF($C3="","",SUMIFS(Ledger!$K$2:$K$4, Ledger!$B$2:$B$4, $A3, Ledger!$C$2:$C$4, APX$2)),"****")</f>
        <v/>
      </c>
      <c r="APY3" t="str">
        <f>IFERROR(IF($C3="","",SUMIFS(Ledger!$K$2:$K$4, Ledger!$B$2:$B$4, $A3, Ledger!$C$2:$C$4, APY$2)),"****")</f>
        <v/>
      </c>
      <c r="APZ3" t="str">
        <f>IFERROR(IF($C3="","",SUMIFS(Ledger!$K$2:$K$4, Ledger!$B$2:$B$4, $A3, Ledger!$C$2:$C$4, APZ$2)),"****")</f>
        <v/>
      </c>
      <c r="AQA3" t="str">
        <f>IFERROR(IF($C3="","",SUMIFS(Ledger!$K$2:$K$4, Ledger!$B$2:$B$4, $A3, Ledger!$C$2:$C$4, AQA$2)),"****")</f>
        <v/>
      </c>
      <c r="AQB3" t="str">
        <f>IFERROR(IF($C3="","",SUMIFS(Ledger!$K$2:$K$4, Ledger!$B$2:$B$4, $A3, Ledger!$C$2:$C$4, AQB$2)),"****")</f>
        <v/>
      </c>
      <c r="AQC3" t="str">
        <f>IFERROR(IF($C3="","",SUMIFS(Ledger!$K$2:$K$4, Ledger!$B$2:$B$4, $A3, Ledger!$C$2:$C$4, AQC$2)),"****")</f>
        <v/>
      </c>
      <c r="AQD3" t="str">
        <f>IFERROR(IF($C3="","",SUMIFS(Ledger!$K$2:$K$4, Ledger!$B$2:$B$4, $A3, Ledger!$C$2:$C$4, AQD$2)),"****")</f>
        <v/>
      </c>
      <c r="AQE3" t="str">
        <f>IFERROR(IF($C3="","",SUMIFS(Ledger!$K$2:$K$4, Ledger!$B$2:$B$4, $A3, Ledger!$C$2:$C$4, AQE$2)),"****")</f>
        <v/>
      </c>
      <c r="AQF3" t="str">
        <f>IFERROR(IF($C3="","",SUMIFS(Ledger!$K$2:$K$4, Ledger!$B$2:$B$4, $A3, Ledger!$C$2:$C$4, AQF$2)),"****")</f>
        <v/>
      </c>
      <c r="AQG3" t="str">
        <f>IFERROR(IF($C3="","",SUMIFS(Ledger!$K$2:$K$4, Ledger!$B$2:$B$4, $A3, Ledger!$C$2:$C$4, AQG$2)),"****")</f>
        <v/>
      </c>
      <c r="AQH3" t="str">
        <f>IFERROR(IF($C3="","",SUMIFS(Ledger!$K$2:$K$4, Ledger!$B$2:$B$4, $A3, Ledger!$C$2:$C$4, AQH$2)),"****")</f>
        <v/>
      </c>
      <c r="AQI3" t="str">
        <f>IFERROR(IF($C3="","",SUMIFS(Ledger!$K$2:$K$4, Ledger!$B$2:$B$4, $A3, Ledger!$C$2:$C$4, AQI$2)),"****")</f>
        <v/>
      </c>
      <c r="AQJ3" t="str">
        <f>IFERROR(IF($C3="","",SUMIFS(Ledger!$K$2:$K$4, Ledger!$B$2:$B$4, $A3, Ledger!$C$2:$C$4, AQJ$2)),"****")</f>
        <v/>
      </c>
      <c r="AQK3" t="str">
        <f>IFERROR(IF($C3="","",SUMIFS(Ledger!$K$2:$K$4, Ledger!$B$2:$B$4, $A3, Ledger!$C$2:$C$4, AQK$2)),"****")</f>
        <v/>
      </c>
      <c r="AQL3" t="str">
        <f>IFERROR(IF($C3="","",SUMIFS(Ledger!$K$2:$K$4, Ledger!$B$2:$B$4, $A3, Ledger!$C$2:$C$4, AQL$2)),"****")</f>
        <v/>
      </c>
      <c r="AQM3" t="str">
        <f>IFERROR(IF($C3="","",SUMIFS(Ledger!$K$2:$K$4, Ledger!$B$2:$B$4, $A3, Ledger!$C$2:$C$4, AQM$2)),"****")</f>
        <v/>
      </c>
      <c r="AQN3" t="str">
        <f>IFERROR(IF($C3="","",SUMIFS(Ledger!$K$2:$K$4, Ledger!$B$2:$B$4, $A3, Ledger!$C$2:$C$4, AQN$2)),"****")</f>
        <v/>
      </c>
      <c r="AQO3" t="str">
        <f>IFERROR(IF($C3="","",SUMIFS(Ledger!$K$2:$K$4, Ledger!$B$2:$B$4, $A3, Ledger!$C$2:$C$4, AQO$2)),"****")</f>
        <v/>
      </c>
      <c r="AQP3" t="str">
        <f>IFERROR(IF($C3="","",SUMIFS(Ledger!$K$2:$K$4, Ledger!$B$2:$B$4, $A3, Ledger!$C$2:$C$4, AQP$2)),"****")</f>
        <v/>
      </c>
      <c r="AQQ3" t="str">
        <f>IFERROR(IF($C3="","",SUMIFS(Ledger!$K$2:$K$4, Ledger!$B$2:$B$4, $A3, Ledger!$C$2:$C$4, AQQ$2)),"****")</f>
        <v/>
      </c>
      <c r="AQR3" t="str">
        <f>IFERROR(IF($C3="","",SUMIFS(Ledger!$K$2:$K$4, Ledger!$B$2:$B$4, $A3, Ledger!$C$2:$C$4, AQR$2)),"****")</f>
        <v/>
      </c>
      <c r="AQS3" t="str">
        <f>IFERROR(IF($C3="","",SUMIFS(Ledger!$K$2:$K$4, Ledger!$B$2:$B$4, $A3, Ledger!$C$2:$C$4, AQS$2)),"****")</f>
        <v/>
      </c>
      <c r="AQT3" t="str">
        <f>IFERROR(IF($C3="","",SUMIFS(Ledger!$K$2:$K$4, Ledger!$B$2:$B$4, $A3, Ledger!$C$2:$C$4, AQT$2)),"****")</f>
        <v/>
      </c>
      <c r="AQU3" t="str">
        <f>IFERROR(IF($C3="","",SUMIFS(Ledger!$K$2:$K$4, Ledger!$B$2:$B$4, $A3, Ledger!$C$2:$C$4, AQU$2)),"****")</f>
        <v/>
      </c>
      <c r="AQV3" t="str">
        <f>IFERROR(IF($C3="","",SUMIFS(Ledger!$K$2:$K$4, Ledger!$B$2:$B$4, $A3, Ledger!$C$2:$C$4, AQV$2)),"****")</f>
        <v/>
      </c>
      <c r="AQW3" t="str">
        <f>IFERROR(IF($C3="","",SUMIFS(Ledger!$K$2:$K$4, Ledger!$B$2:$B$4, $A3, Ledger!$C$2:$C$4, AQW$2)),"****")</f>
        <v/>
      </c>
      <c r="AQX3" t="str">
        <f>IFERROR(IF($C3="","",SUMIFS(Ledger!$K$2:$K$4, Ledger!$B$2:$B$4, $A3, Ledger!$C$2:$C$4, AQX$2)),"****")</f>
        <v/>
      </c>
      <c r="AQY3" t="str">
        <f>IFERROR(IF($C3="","",SUMIFS(Ledger!$K$2:$K$4, Ledger!$B$2:$B$4, $A3, Ledger!$C$2:$C$4, AQY$2)),"****")</f>
        <v/>
      </c>
      <c r="AQZ3" t="str">
        <f>IFERROR(IF($C3="","",SUMIFS(Ledger!$K$2:$K$4, Ledger!$B$2:$B$4, $A3, Ledger!$C$2:$C$4, AQZ$2)),"****")</f>
        <v/>
      </c>
      <c r="ARA3" t="str">
        <f>IFERROR(IF($C3="","",SUMIFS(Ledger!$K$2:$K$4, Ledger!$B$2:$B$4, $A3, Ledger!$C$2:$C$4, ARA$2)),"****")</f>
        <v/>
      </c>
      <c r="ARB3" t="str">
        <f>IFERROR(IF($C3="","",SUMIFS(Ledger!$K$2:$K$4, Ledger!$B$2:$B$4, $A3, Ledger!$C$2:$C$4, ARB$2)),"****")</f>
        <v/>
      </c>
      <c r="ARC3" t="str">
        <f>IFERROR(IF($C3="","",SUMIFS(Ledger!$K$2:$K$4, Ledger!$B$2:$B$4, $A3, Ledger!$C$2:$C$4, ARC$2)),"****")</f>
        <v/>
      </c>
      <c r="ARD3" t="str">
        <f>IFERROR(IF($C3="","",SUMIFS(Ledger!$K$2:$K$4, Ledger!$B$2:$B$4, $A3, Ledger!$C$2:$C$4, ARD$2)),"****")</f>
        <v/>
      </c>
      <c r="ARE3" t="str">
        <f>IFERROR(IF($C3="","",SUMIFS(Ledger!$K$2:$K$4, Ledger!$B$2:$B$4, $A3, Ledger!$C$2:$C$4, ARE$2)),"****")</f>
        <v/>
      </c>
      <c r="ARF3" t="str">
        <f>IFERROR(IF($C3="","",SUMIFS(Ledger!$K$2:$K$4, Ledger!$B$2:$B$4, $A3, Ledger!$C$2:$C$4, ARF$2)),"****")</f>
        <v/>
      </c>
      <c r="ARG3" t="str">
        <f>IFERROR(IF($C3="","",SUMIFS(Ledger!$K$2:$K$4, Ledger!$B$2:$B$4, $A3, Ledger!$C$2:$C$4, ARG$2)),"****")</f>
        <v/>
      </c>
      <c r="ARH3" t="str">
        <f>IFERROR(IF($C3="","",SUMIFS(Ledger!$K$2:$K$4, Ledger!$B$2:$B$4, $A3, Ledger!$C$2:$C$4, ARH$2)),"****")</f>
        <v/>
      </c>
      <c r="ARI3" t="str">
        <f>IFERROR(IF($C3="","",SUMIFS(Ledger!$K$2:$K$4, Ledger!$B$2:$B$4, $A3, Ledger!$C$2:$C$4, ARI$2)),"****")</f>
        <v/>
      </c>
      <c r="ARJ3" t="str">
        <f>IFERROR(IF($C3="","",SUMIFS(Ledger!$K$2:$K$4, Ledger!$B$2:$B$4, $A3, Ledger!$C$2:$C$4, ARJ$2)),"****")</f>
        <v/>
      </c>
      <c r="ARK3" t="str">
        <f>IFERROR(IF($C3="","",SUMIFS(Ledger!$K$2:$K$4, Ledger!$B$2:$B$4, $A3, Ledger!$C$2:$C$4, ARK$2)),"****")</f>
        <v/>
      </c>
      <c r="ARL3" t="str">
        <f>IFERROR(IF($C3="","",SUMIFS(Ledger!$K$2:$K$4, Ledger!$B$2:$B$4, $A3, Ledger!$C$2:$C$4, ARL$2)),"****")</f>
        <v/>
      </c>
      <c r="ARM3" t="str">
        <f>IFERROR(IF($C3="","",SUMIFS(Ledger!$K$2:$K$4, Ledger!$B$2:$B$4, $A3, Ledger!$C$2:$C$4, ARM$2)),"****")</f>
        <v/>
      </c>
      <c r="ARN3" t="str">
        <f>IFERROR(IF($C3="","",SUMIFS(Ledger!$K$2:$K$4, Ledger!$B$2:$B$4, $A3, Ledger!$C$2:$C$4, ARN$2)),"****")</f>
        <v/>
      </c>
      <c r="ARO3" t="str">
        <f>IFERROR(IF($C3="","",SUMIFS(Ledger!$K$2:$K$4, Ledger!$B$2:$B$4, $A3, Ledger!$C$2:$C$4, ARO$2)),"****")</f>
        <v/>
      </c>
      <c r="ARP3" t="str">
        <f>IFERROR(IF($C3="","",SUMIFS(Ledger!$K$2:$K$4, Ledger!$B$2:$B$4, $A3, Ledger!$C$2:$C$4, ARP$2)),"****")</f>
        <v/>
      </c>
      <c r="ARQ3" t="str">
        <f>IFERROR(IF($C3="","",SUMIFS(Ledger!$K$2:$K$4, Ledger!$B$2:$B$4, $A3, Ledger!$C$2:$C$4, ARQ$2)),"****")</f>
        <v/>
      </c>
      <c r="ARR3" t="str">
        <f>IFERROR(IF($C3="","",SUMIFS(Ledger!$K$2:$K$4, Ledger!$B$2:$B$4, $A3, Ledger!$C$2:$C$4, ARR$2)),"****")</f>
        <v/>
      </c>
      <c r="ARS3" t="str">
        <f>IFERROR(IF($C3="","",SUMIFS(Ledger!$K$2:$K$4, Ledger!$B$2:$B$4, $A3, Ledger!$C$2:$C$4, ARS$2)),"****")</f>
        <v/>
      </c>
      <c r="ART3" t="str">
        <f>IFERROR(IF($C3="","",SUMIFS(Ledger!$K$2:$K$4, Ledger!$B$2:$B$4, $A3, Ledger!$C$2:$C$4, ART$2)),"****")</f>
        <v/>
      </c>
      <c r="ARU3" t="str">
        <f>IFERROR(IF($C3="","",SUMIFS(Ledger!$K$2:$K$4, Ledger!$B$2:$B$4, $A3, Ledger!$C$2:$C$4, ARU$2)),"****")</f>
        <v/>
      </c>
      <c r="ARV3" t="str">
        <f>IFERROR(IF($C3="","",SUMIFS(Ledger!$K$2:$K$4, Ledger!$B$2:$B$4, $A3, Ledger!$C$2:$C$4, ARV$2)),"****")</f>
        <v/>
      </c>
      <c r="ARW3" t="str">
        <f>IFERROR(IF($C3="","",SUMIFS(Ledger!$K$2:$K$4, Ledger!$B$2:$B$4, $A3, Ledger!$C$2:$C$4, ARW$2)),"****")</f>
        <v/>
      </c>
      <c r="ARX3" t="str">
        <f>IFERROR(IF($C3="","",SUMIFS(Ledger!$K$2:$K$4, Ledger!$B$2:$B$4, $A3, Ledger!$C$2:$C$4, ARX$2)),"****")</f>
        <v/>
      </c>
      <c r="ARY3" t="str">
        <f>IFERROR(IF($C3="","",SUMIFS(Ledger!$K$2:$K$4, Ledger!$B$2:$B$4, $A3, Ledger!$C$2:$C$4, ARY$2)),"****")</f>
        <v/>
      </c>
      <c r="ARZ3" t="str">
        <f>IFERROR(IF($C3="","",SUMIFS(Ledger!$K$2:$K$4, Ledger!$B$2:$B$4, $A3, Ledger!$C$2:$C$4, ARZ$2)),"****")</f>
        <v/>
      </c>
      <c r="ASA3" t="str">
        <f>IFERROR(IF($C3="","",SUMIFS(Ledger!$K$2:$K$4, Ledger!$B$2:$B$4, $A3, Ledger!$C$2:$C$4, ASA$2)),"****")</f>
        <v/>
      </c>
      <c r="ASB3" t="str">
        <f>IFERROR(IF($C3="","",SUMIFS(Ledger!$K$2:$K$4, Ledger!$B$2:$B$4, $A3, Ledger!$C$2:$C$4, ASB$2)),"****")</f>
        <v/>
      </c>
      <c r="ASC3" t="str">
        <f>IFERROR(IF($C3="","",SUMIFS(Ledger!$K$2:$K$4, Ledger!$B$2:$B$4, $A3, Ledger!$C$2:$C$4, ASC$2)),"****")</f>
        <v/>
      </c>
      <c r="ASD3" t="str">
        <f>IFERROR(IF($C3="","",SUMIFS(Ledger!$K$2:$K$4, Ledger!$B$2:$B$4, $A3, Ledger!$C$2:$C$4, ASD$2)),"****")</f>
        <v/>
      </c>
      <c r="ASE3" t="str">
        <f>IFERROR(IF($C3="","",SUMIFS(Ledger!$K$2:$K$4, Ledger!$B$2:$B$4, $A3, Ledger!$C$2:$C$4, ASE$2)),"****")</f>
        <v/>
      </c>
      <c r="ASF3" t="str">
        <f>IFERROR(IF($C3="","",SUMIFS(Ledger!$K$2:$K$4, Ledger!$B$2:$B$4, $A3, Ledger!$C$2:$C$4, ASF$2)),"****")</f>
        <v/>
      </c>
      <c r="ASG3" t="str">
        <f>IFERROR(IF($C3="","",SUMIFS(Ledger!$K$2:$K$4, Ledger!$B$2:$B$4, $A3, Ledger!$C$2:$C$4, ASG$2)),"****")</f>
        <v/>
      </c>
      <c r="ASH3" t="str">
        <f>IFERROR(IF($C3="","",SUMIFS(Ledger!$K$2:$K$4, Ledger!$B$2:$B$4, $A3, Ledger!$C$2:$C$4, ASH$2)),"****")</f>
        <v/>
      </c>
      <c r="ASI3" t="str">
        <f>IFERROR(IF($C3="","",SUMIFS(Ledger!$K$2:$K$4, Ledger!$B$2:$B$4, $A3, Ledger!$C$2:$C$4, ASI$2)),"****")</f>
        <v/>
      </c>
      <c r="ASJ3" t="str">
        <f>IFERROR(IF($C3="","",SUMIFS(Ledger!$K$2:$K$4, Ledger!$B$2:$B$4, $A3, Ledger!$C$2:$C$4, ASJ$2)),"****")</f>
        <v/>
      </c>
      <c r="ASK3" t="str">
        <f>IFERROR(IF($C3="","",SUMIFS(Ledger!$K$2:$K$4, Ledger!$B$2:$B$4, $A3, Ledger!$C$2:$C$4, ASK$2)),"****")</f>
        <v/>
      </c>
      <c r="ASL3" t="str">
        <f>IFERROR(IF($C3="","",SUMIFS(Ledger!$K$2:$K$4, Ledger!$B$2:$B$4, $A3, Ledger!$C$2:$C$4, ASL$2)),"****")</f>
        <v/>
      </c>
      <c r="ASM3" t="str">
        <f>IFERROR(IF($C3="","",SUMIFS(Ledger!$K$2:$K$4, Ledger!$B$2:$B$4, $A3, Ledger!$C$2:$C$4, ASM$2)),"****")</f>
        <v/>
      </c>
      <c r="ASN3" t="str">
        <f>IFERROR(IF($C3="","",SUMIFS(Ledger!$K$2:$K$4, Ledger!$B$2:$B$4, $A3, Ledger!$C$2:$C$4, ASN$2)),"****")</f>
        <v/>
      </c>
      <c r="ASO3" t="str">
        <f>IFERROR(IF($C3="","",SUMIFS(Ledger!$K$2:$K$4, Ledger!$B$2:$B$4, $A3, Ledger!$C$2:$C$4, ASO$2)),"****")</f>
        <v/>
      </c>
      <c r="ASP3" t="str">
        <f>IFERROR(IF($C3="","",SUMIFS(Ledger!$K$2:$K$4, Ledger!$B$2:$B$4, $A3, Ledger!$C$2:$C$4, ASP$2)),"****")</f>
        <v/>
      </c>
      <c r="ASQ3" t="str">
        <f>IFERROR(IF($C3="","",SUMIFS(Ledger!$K$2:$K$4, Ledger!$B$2:$B$4, $A3, Ledger!$C$2:$C$4, ASQ$2)),"****")</f>
        <v/>
      </c>
      <c r="ASR3" t="str">
        <f>IFERROR(IF($C3="","",SUMIFS(Ledger!$K$2:$K$4, Ledger!$B$2:$B$4, $A3, Ledger!$C$2:$C$4, ASR$2)),"****")</f>
        <v/>
      </c>
      <c r="ASS3" t="str">
        <f>IFERROR(IF($C3="","",SUMIFS(Ledger!$K$2:$K$4, Ledger!$B$2:$B$4, $A3, Ledger!$C$2:$C$4, ASS$2)),"****")</f>
        <v/>
      </c>
      <c r="AST3" t="str">
        <f>IFERROR(IF($C3="","",SUMIFS(Ledger!$K$2:$K$4, Ledger!$B$2:$B$4, $A3, Ledger!$C$2:$C$4, AST$2)),"****")</f>
        <v/>
      </c>
      <c r="ASU3" t="str">
        <f>IFERROR(IF($C3="","",SUMIFS(Ledger!$K$2:$K$4, Ledger!$B$2:$B$4, $A3, Ledger!$C$2:$C$4, ASU$2)),"****")</f>
        <v/>
      </c>
      <c r="ASV3" t="str">
        <f>IFERROR(IF($C3="","",SUMIFS(Ledger!$K$2:$K$4, Ledger!$B$2:$B$4, $A3, Ledger!$C$2:$C$4, ASV$2)),"****")</f>
        <v/>
      </c>
      <c r="ASW3" t="str">
        <f>IFERROR(IF($C3="","",SUMIFS(Ledger!$K$2:$K$4, Ledger!$B$2:$B$4, $A3, Ledger!$C$2:$C$4, ASW$2)),"****")</f>
        <v/>
      </c>
      <c r="ASX3" t="str">
        <f>IFERROR(IF($C3="","",SUMIFS(Ledger!$K$2:$K$4, Ledger!$B$2:$B$4, $A3, Ledger!$C$2:$C$4, ASX$2)),"****")</f>
        <v/>
      </c>
      <c r="ASY3" t="str">
        <f>IFERROR(IF($C3="","",SUMIFS(Ledger!$K$2:$K$4, Ledger!$B$2:$B$4, $A3, Ledger!$C$2:$C$4, ASY$2)),"****")</f>
        <v/>
      </c>
      <c r="ASZ3" t="str">
        <f>IFERROR(IF($C3="","",SUMIFS(Ledger!$K$2:$K$4, Ledger!$B$2:$B$4, $A3, Ledger!$C$2:$C$4, ASZ$2)),"****")</f>
        <v/>
      </c>
      <c r="ATA3" t="str">
        <f>IFERROR(IF($C3="","",SUMIFS(Ledger!$K$2:$K$4, Ledger!$B$2:$B$4, $A3, Ledger!$C$2:$C$4, ATA$2)),"****")</f>
        <v/>
      </c>
      <c r="ATB3" t="str">
        <f>IFERROR(IF($C3="","",SUMIFS(Ledger!$K$2:$K$4, Ledger!$B$2:$B$4, $A3, Ledger!$C$2:$C$4, ATB$2)),"****")</f>
        <v/>
      </c>
      <c r="ATC3" t="str">
        <f>IFERROR(IF($C3="","",SUMIFS(Ledger!$K$2:$K$4, Ledger!$B$2:$B$4, $A3, Ledger!$C$2:$C$4, ATC$2)),"****")</f>
        <v/>
      </c>
      <c r="ATD3" t="str">
        <f>IFERROR(IF($C3="","",SUMIFS(Ledger!$K$2:$K$4, Ledger!$B$2:$B$4, $A3, Ledger!$C$2:$C$4, ATD$2)),"****")</f>
        <v/>
      </c>
      <c r="ATE3" t="str">
        <f>IFERROR(IF($C3="","",SUMIFS(Ledger!$K$2:$K$4, Ledger!$B$2:$B$4, $A3, Ledger!$C$2:$C$4, ATE$2)),"****")</f>
        <v/>
      </c>
      <c r="ATF3" t="str">
        <f>IFERROR(IF($C3="","",SUMIFS(Ledger!$K$2:$K$4, Ledger!$B$2:$B$4, $A3, Ledger!$C$2:$C$4, ATF$2)),"****")</f>
        <v/>
      </c>
      <c r="ATG3" t="str">
        <f>IFERROR(IF($C3="","",SUMIFS(Ledger!$K$2:$K$4, Ledger!$B$2:$B$4, $A3, Ledger!$C$2:$C$4, ATG$2)),"****")</f>
        <v/>
      </c>
      <c r="ATH3" t="str">
        <f>IFERROR(IF($C3="","",SUMIFS(Ledger!$K$2:$K$4, Ledger!$B$2:$B$4, $A3, Ledger!$C$2:$C$4, ATH$2)),"****")</f>
        <v/>
      </c>
      <c r="ATI3" t="str">
        <f>IFERROR(IF($C3="","",SUMIFS(Ledger!$K$2:$K$4, Ledger!$B$2:$B$4, $A3, Ledger!$C$2:$C$4, ATI$2)),"****")</f>
        <v/>
      </c>
      <c r="ATJ3" t="str">
        <f>IFERROR(IF($C3="","",SUMIFS(Ledger!$K$2:$K$4, Ledger!$B$2:$B$4, $A3, Ledger!$C$2:$C$4, ATJ$2)),"****")</f>
        <v/>
      </c>
      <c r="ATK3" t="str">
        <f>IFERROR(IF($C3="","",SUMIFS(Ledger!$K$2:$K$4, Ledger!$B$2:$B$4, $A3, Ledger!$C$2:$C$4, ATK$2)),"****")</f>
        <v/>
      </c>
      <c r="ATL3" t="str">
        <f>IFERROR(IF($C3="","",SUMIFS(Ledger!$K$2:$K$4, Ledger!$B$2:$B$4, $A3, Ledger!$C$2:$C$4, ATL$2)),"****")</f>
        <v/>
      </c>
      <c r="ATM3" t="str">
        <f>IFERROR(IF($C3="","",SUMIFS(Ledger!$K$2:$K$4, Ledger!$B$2:$B$4, $A3, Ledger!$C$2:$C$4, ATM$2)),"****")</f>
        <v/>
      </c>
      <c r="ATN3" t="str">
        <f>IFERROR(IF($C3="","",SUMIFS(Ledger!$K$2:$K$4, Ledger!$B$2:$B$4, $A3, Ledger!$C$2:$C$4, ATN$2)),"****")</f>
        <v/>
      </c>
      <c r="ATO3" t="str">
        <f>IFERROR(IF($C3="","",SUMIFS(Ledger!$K$2:$K$4, Ledger!$B$2:$B$4, $A3, Ledger!$C$2:$C$4, ATO$2)),"****")</f>
        <v/>
      </c>
      <c r="ATP3" t="str">
        <f>IFERROR(IF($C3="","",SUMIFS(Ledger!$K$2:$K$4, Ledger!$B$2:$B$4, $A3, Ledger!$C$2:$C$4, ATP$2)),"****")</f>
        <v/>
      </c>
      <c r="ATQ3" t="str">
        <f>IFERROR(IF($C3="","",SUMIFS(Ledger!$K$2:$K$4, Ledger!$B$2:$B$4, $A3, Ledger!$C$2:$C$4, ATQ$2)),"****")</f>
        <v/>
      </c>
      <c r="ATR3" t="str">
        <f>IFERROR(IF($C3="","",SUMIFS(Ledger!$K$2:$K$4, Ledger!$B$2:$B$4, $A3, Ledger!$C$2:$C$4, ATR$2)),"****")</f>
        <v/>
      </c>
      <c r="ATS3" t="str">
        <f>IFERROR(IF($C3="","",SUMIFS(Ledger!$K$2:$K$4, Ledger!$B$2:$B$4, $A3, Ledger!$C$2:$C$4, ATS$2)),"****")</f>
        <v/>
      </c>
      <c r="ATT3" t="str">
        <f>IFERROR(IF($C3="","",SUMIFS(Ledger!$K$2:$K$4, Ledger!$B$2:$B$4, $A3, Ledger!$C$2:$C$4, ATT$2)),"****")</f>
        <v/>
      </c>
      <c r="ATU3" t="str">
        <f>IFERROR(IF($C3="","",SUMIFS(Ledger!$K$2:$K$4, Ledger!$B$2:$B$4, $A3, Ledger!$C$2:$C$4, ATU$2)),"****")</f>
        <v/>
      </c>
      <c r="ATV3" t="str">
        <f>IFERROR(IF($C3="","",SUMIFS(Ledger!$K$2:$K$4, Ledger!$B$2:$B$4, $A3, Ledger!$C$2:$C$4, ATV$2)),"****")</f>
        <v/>
      </c>
      <c r="ATW3" t="str">
        <f>IFERROR(IF($C3="","",SUMIFS(Ledger!$K$2:$K$4, Ledger!$B$2:$B$4, $A3, Ledger!$C$2:$C$4, ATW$2)),"****")</f>
        <v/>
      </c>
      <c r="ATX3" t="str">
        <f>IFERROR(IF($C3="","",SUMIFS(Ledger!$K$2:$K$4, Ledger!$B$2:$B$4, $A3, Ledger!$C$2:$C$4, ATX$2)),"****")</f>
        <v/>
      </c>
      <c r="ATY3" t="str">
        <f>IFERROR(IF($C3="","",SUMIFS(Ledger!$K$2:$K$4, Ledger!$B$2:$B$4, $A3, Ledger!$C$2:$C$4, ATY$2)),"****")</f>
        <v/>
      </c>
      <c r="ATZ3" t="str">
        <f>IFERROR(IF($C3="","",SUMIFS(Ledger!$K$2:$K$4, Ledger!$B$2:$B$4, $A3, Ledger!$C$2:$C$4, ATZ$2)),"****")</f>
        <v/>
      </c>
      <c r="AUA3" t="str">
        <f>IFERROR(IF($C3="","",SUMIFS(Ledger!$K$2:$K$4, Ledger!$B$2:$B$4, $A3, Ledger!$C$2:$C$4, AUA$2)),"****")</f>
        <v/>
      </c>
      <c r="AUB3" t="str">
        <f>IFERROR(IF($C3="","",SUMIFS(Ledger!$K$2:$K$4, Ledger!$B$2:$B$4, $A3, Ledger!$C$2:$C$4, AUB$2)),"****")</f>
        <v/>
      </c>
      <c r="AUC3" t="str">
        <f>IFERROR(IF($C3="","",SUMIFS(Ledger!$K$2:$K$4, Ledger!$B$2:$B$4, $A3, Ledger!$C$2:$C$4, AUC$2)),"****")</f>
        <v/>
      </c>
      <c r="AUD3" t="str">
        <f>IFERROR(IF($C3="","",SUMIFS(Ledger!$K$2:$K$4, Ledger!$B$2:$B$4, $A3, Ledger!$C$2:$C$4, AUD$2)),"****")</f>
        <v/>
      </c>
      <c r="AUE3" t="str">
        <f>IFERROR(IF($C3="","",SUMIFS(Ledger!$K$2:$K$4, Ledger!$B$2:$B$4, $A3, Ledger!$C$2:$C$4, AUE$2)),"****")</f>
        <v/>
      </c>
      <c r="AUF3" t="str">
        <f>IFERROR(IF($C3="","",SUMIFS(Ledger!$K$2:$K$4, Ledger!$B$2:$B$4, $A3, Ledger!$C$2:$C$4, AUF$2)),"****")</f>
        <v/>
      </c>
      <c r="AUG3" t="str">
        <f>IFERROR(IF($C3="","",SUMIFS(Ledger!$K$2:$K$4, Ledger!$B$2:$B$4, $A3, Ledger!$C$2:$C$4, AUG$2)),"****")</f>
        <v/>
      </c>
      <c r="AUH3" t="str">
        <f>IFERROR(IF($C3="","",SUMIFS(Ledger!$K$2:$K$4, Ledger!$B$2:$B$4, $A3, Ledger!$C$2:$C$4, AUH$2)),"****")</f>
        <v/>
      </c>
      <c r="AUI3" t="str">
        <f>IFERROR(IF($C3="","",SUMIFS(Ledger!$K$2:$K$4, Ledger!$B$2:$B$4, $A3, Ledger!$C$2:$C$4, AUI$2)),"****")</f>
        <v/>
      </c>
      <c r="AUJ3" t="str">
        <f>IFERROR(IF($C3="","",SUMIFS(Ledger!$K$2:$K$4, Ledger!$B$2:$B$4, $A3, Ledger!$C$2:$C$4, AUJ$2)),"****")</f>
        <v/>
      </c>
      <c r="AUK3" t="str">
        <f>IFERROR(IF($C3="","",SUMIFS(Ledger!$K$2:$K$4, Ledger!$B$2:$B$4, $A3, Ledger!$C$2:$C$4, AUK$2)),"****")</f>
        <v/>
      </c>
      <c r="AUL3" t="str">
        <f>IFERROR(IF($C3="","",SUMIFS(Ledger!$K$2:$K$4, Ledger!$B$2:$B$4, $A3, Ledger!$C$2:$C$4, AUL$2)),"****")</f>
        <v/>
      </c>
      <c r="AUM3" t="str">
        <f>IFERROR(IF($C3="","",SUMIFS(Ledger!$K$2:$K$4, Ledger!$B$2:$B$4, $A3, Ledger!$C$2:$C$4, AUM$2)),"****")</f>
        <v/>
      </c>
      <c r="AUN3" t="str">
        <f>IFERROR(IF($C3="","",SUMIFS(Ledger!$K$2:$K$4, Ledger!$B$2:$B$4, $A3, Ledger!$C$2:$C$4, AUN$2)),"****")</f>
        <v/>
      </c>
      <c r="AUO3" t="str">
        <f>IFERROR(IF($C3="","",SUMIFS(Ledger!$K$2:$K$4, Ledger!$B$2:$B$4, $A3, Ledger!$C$2:$C$4, AUO$2)),"****")</f>
        <v/>
      </c>
      <c r="AUP3" t="str">
        <f>IFERROR(IF($C3="","",SUMIFS(Ledger!$K$2:$K$4, Ledger!$B$2:$B$4, $A3, Ledger!$C$2:$C$4, AUP$2)),"****")</f>
        <v/>
      </c>
      <c r="AUQ3" t="str">
        <f>IFERROR(IF($C3="","",SUMIFS(Ledger!$K$2:$K$4, Ledger!$B$2:$B$4, $A3, Ledger!$C$2:$C$4, AUQ$2)),"****")</f>
        <v/>
      </c>
      <c r="AUR3" t="str">
        <f>IFERROR(IF($C3="","",SUMIFS(Ledger!$K$2:$K$4, Ledger!$B$2:$B$4, $A3, Ledger!$C$2:$C$4, AUR$2)),"****")</f>
        <v/>
      </c>
      <c r="AUS3" t="str">
        <f>IFERROR(IF($C3="","",SUMIFS(Ledger!$K$2:$K$4, Ledger!$B$2:$B$4, $A3, Ledger!$C$2:$C$4, AUS$2)),"****")</f>
        <v/>
      </c>
      <c r="AUT3" t="str">
        <f>IFERROR(IF($C3="","",SUMIFS(Ledger!$K$2:$K$4, Ledger!$B$2:$B$4, $A3, Ledger!$C$2:$C$4, AUT$2)),"****")</f>
        <v/>
      </c>
      <c r="AUU3" t="str">
        <f>IFERROR(IF($C3="","",SUMIFS(Ledger!$K$2:$K$4, Ledger!$B$2:$B$4, $A3, Ledger!$C$2:$C$4, AUU$2)),"****")</f>
        <v/>
      </c>
      <c r="AUV3" t="str">
        <f>IFERROR(IF($C3="","",SUMIFS(Ledger!$K$2:$K$4, Ledger!$B$2:$B$4, $A3, Ledger!$C$2:$C$4, AUV$2)),"****")</f>
        <v/>
      </c>
      <c r="AUW3" t="str">
        <f>IFERROR(IF($C3="","",SUMIFS(Ledger!$K$2:$K$4, Ledger!$B$2:$B$4, $A3, Ledger!$C$2:$C$4, AUW$2)),"****")</f>
        <v/>
      </c>
      <c r="AUX3" t="str">
        <f>IFERROR(IF($C3="","",SUMIFS(Ledger!$K$2:$K$4, Ledger!$B$2:$B$4, $A3, Ledger!$C$2:$C$4, AUX$2)),"****")</f>
        <v/>
      </c>
      <c r="AUY3" t="str">
        <f>IFERROR(IF($C3="","",SUMIFS(Ledger!$K$2:$K$4, Ledger!$B$2:$B$4, $A3, Ledger!$C$2:$C$4, AUY$2)),"****")</f>
        <v/>
      </c>
      <c r="AUZ3" t="str">
        <f>IFERROR(IF($C3="","",SUMIFS(Ledger!$K$2:$K$4, Ledger!$B$2:$B$4, $A3, Ledger!$C$2:$C$4, AUZ$2)),"****")</f>
        <v/>
      </c>
      <c r="AVA3" t="str">
        <f>IFERROR(IF($C3="","",SUMIFS(Ledger!$K$2:$K$4, Ledger!$B$2:$B$4, $A3, Ledger!$C$2:$C$4, AVA$2)),"****")</f>
        <v/>
      </c>
      <c r="AVB3" t="str">
        <f>IFERROR(IF($C3="","",SUMIFS(Ledger!$K$2:$K$4, Ledger!$B$2:$B$4, $A3, Ledger!$C$2:$C$4, AVB$2)),"****")</f>
        <v/>
      </c>
      <c r="AVC3" t="str">
        <f>IFERROR(IF($C3="","",SUMIFS(Ledger!$K$2:$K$4, Ledger!$B$2:$B$4, $A3, Ledger!$C$2:$C$4, AVC$2)),"****")</f>
        <v/>
      </c>
      <c r="AVD3" t="str">
        <f>IFERROR(IF($C3="","",SUMIFS(Ledger!$K$2:$K$4, Ledger!$B$2:$B$4, $A3, Ledger!$C$2:$C$4, AVD$2)),"****")</f>
        <v/>
      </c>
      <c r="AVE3" t="str">
        <f>IFERROR(IF($C3="","",SUMIFS(Ledger!$K$2:$K$4, Ledger!$B$2:$B$4, $A3, Ledger!$C$2:$C$4, AVE$2)),"****")</f>
        <v/>
      </c>
      <c r="AVF3" t="str">
        <f>IFERROR(IF($C3="","",SUMIFS(Ledger!$K$2:$K$4, Ledger!$B$2:$B$4, $A3, Ledger!$C$2:$C$4, AVF$2)),"****")</f>
        <v/>
      </c>
      <c r="AVG3" t="str">
        <f>IFERROR(IF($C3="","",SUMIFS(Ledger!$K$2:$K$4, Ledger!$B$2:$B$4, $A3, Ledger!$C$2:$C$4, AVG$2)),"****")</f>
        <v/>
      </c>
      <c r="AVH3" t="str">
        <f>IFERROR(IF($C3="","",SUMIFS(Ledger!$K$2:$K$4, Ledger!$B$2:$B$4, $A3, Ledger!$C$2:$C$4, AVH$2)),"****")</f>
        <v/>
      </c>
      <c r="AVI3" t="str">
        <f>IFERROR(IF($C3="","",SUMIFS(Ledger!$K$2:$K$4, Ledger!$B$2:$B$4, $A3, Ledger!$C$2:$C$4, AVI$2)),"****")</f>
        <v/>
      </c>
      <c r="AVJ3" t="str">
        <f>IFERROR(IF($C3="","",SUMIFS(Ledger!$K$2:$K$4, Ledger!$B$2:$B$4, $A3, Ledger!$C$2:$C$4, AVJ$2)),"****")</f>
        <v/>
      </c>
      <c r="AVK3" t="str">
        <f>IFERROR(IF($C3="","",SUMIFS(Ledger!$K$2:$K$4, Ledger!$B$2:$B$4, $A3, Ledger!$C$2:$C$4, AVK$2)),"****")</f>
        <v/>
      </c>
      <c r="AVL3" t="str">
        <f>IFERROR(IF($C3="","",SUMIFS(Ledger!$K$2:$K$4, Ledger!$B$2:$B$4, $A3, Ledger!$C$2:$C$4, AVL$2)),"****")</f>
        <v/>
      </c>
      <c r="AVM3" t="str">
        <f>IFERROR(IF($C3="","",SUMIFS(Ledger!$K$2:$K$4, Ledger!$B$2:$B$4, $A3, Ledger!$C$2:$C$4, AVM$2)),"****")</f>
        <v/>
      </c>
      <c r="AVN3" t="str">
        <f>IFERROR(IF($C3="","",SUMIFS(Ledger!$K$2:$K$4, Ledger!$B$2:$B$4, $A3, Ledger!$C$2:$C$4, AVN$2)),"****")</f>
        <v/>
      </c>
      <c r="AVO3" t="str">
        <f>IFERROR(IF($C3="","",SUMIFS(Ledger!$K$2:$K$4, Ledger!$B$2:$B$4, $A3, Ledger!$C$2:$C$4, AVO$2)),"****")</f>
        <v/>
      </c>
      <c r="AVP3" t="str">
        <f>IFERROR(IF($C3="","",SUMIFS(Ledger!$K$2:$K$4, Ledger!$B$2:$B$4, $A3, Ledger!$C$2:$C$4, AVP$2)),"****")</f>
        <v/>
      </c>
      <c r="AVQ3" t="str">
        <f>IFERROR(IF($C3="","",SUMIFS(Ledger!$K$2:$K$4, Ledger!$B$2:$B$4, $A3, Ledger!$C$2:$C$4, AVQ$2)),"****")</f>
        <v/>
      </c>
      <c r="AVR3" t="str">
        <f>IFERROR(IF($C3="","",SUMIFS(Ledger!$K$2:$K$4, Ledger!$B$2:$B$4, $A3, Ledger!$C$2:$C$4, AVR$2)),"****")</f>
        <v/>
      </c>
      <c r="AVS3" t="str">
        <f>IFERROR(IF($C3="","",SUMIFS(Ledger!$K$2:$K$4, Ledger!$B$2:$B$4, $A3, Ledger!$C$2:$C$4, AVS$2)),"****")</f>
        <v/>
      </c>
      <c r="AVT3" t="str">
        <f>IFERROR(IF($C3="","",SUMIFS(Ledger!$K$2:$K$4, Ledger!$B$2:$B$4, $A3, Ledger!$C$2:$C$4, AVT$2)),"****")</f>
        <v/>
      </c>
      <c r="AVU3" t="str">
        <f>IFERROR(IF($C3="","",SUMIFS(Ledger!$K$2:$K$4, Ledger!$B$2:$B$4, $A3, Ledger!$C$2:$C$4, AVU$2)),"****")</f>
        <v/>
      </c>
      <c r="AVV3" t="str">
        <f>IFERROR(IF($C3="","",SUMIFS(Ledger!$K$2:$K$4, Ledger!$B$2:$B$4, $A3, Ledger!$C$2:$C$4, AVV$2)),"****")</f>
        <v/>
      </c>
      <c r="AVW3" t="str">
        <f>IFERROR(IF($C3="","",SUMIFS(Ledger!$K$2:$K$4, Ledger!$B$2:$B$4, $A3, Ledger!$C$2:$C$4, AVW$2)),"****")</f>
        <v/>
      </c>
      <c r="AVX3" t="str">
        <f>IFERROR(IF($C3="","",SUMIFS(Ledger!$K$2:$K$4, Ledger!$B$2:$B$4, $A3, Ledger!$C$2:$C$4, AVX$2)),"****")</f>
        <v/>
      </c>
      <c r="AVY3" t="str">
        <f>IFERROR(IF($C3="","",SUMIFS(Ledger!$K$2:$K$4, Ledger!$B$2:$B$4, $A3, Ledger!$C$2:$C$4, AVY$2)),"****")</f>
        <v/>
      </c>
      <c r="AVZ3" t="str">
        <f>IFERROR(IF($C3="","",SUMIFS(Ledger!$K$2:$K$4, Ledger!$B$2:$B$4, $A3, Ledger!$C$2:$C$4, AVZ$2)),"****")</f>
        <v/>
      </c>
      <c r="AWA3" t="str">
        <f>IFERROR(IF($C3="","",SUMIFS(Ledger!$K$2:$K$4, Ledger!$B$2:$B$4, $A3, Ledger!$C$2:$C$4, AWA$2)),"****")</f>
        <v/>
      </c>
      <c r="AWB3" t="str">
        <f>IFERROR(IF($C3="","",SUMIFS(Ledger!$K$2:$K$4, Ledger!$B$2:$B$4, $A3, Ledger!$C$2:$C$4, AWB$2)),"****")</f>
        <v/>
      </c>
      <c r="AWC3" t="str">
        <f>IFERROR(IF($C3="","",SUMIFS(Ledger!$K$2:$K$4, Ledger!$B$2:$B$4, $A3, Ledger!$C$2:$C$4, AWC$2)),"****")</f>
        <v/>
      </c>
      <c r="AWD3" t="str">
        <f>IFERROR(IF($C3="","",SUMIFS(Ledger!$K$2:$K$4, Ledger!$B$2:$B$4, $A3, Ledger!$C$2:$C$4, AWD$2)),"****")</f>
        <v/>
      </c>
      <c r="AWE3" t="str">
        <f>IFERROR(IF($C3="","",SUMIFS(Ledger!$K$2:$K$4, Ledger!$B$2:$B$4, $A3, Ledger!$C$2:$C$4, AWE$2)),"****")</f>
        <v/>
      </c>
      <c r="AWF3" t="str">
        <f>IFERROR(IF($C3="","",SUMIFS(Ledger!$K$2:$K$4, Ledger!$B$2:$B$4, $A3, Ledger!$C$2:$C$4, AWF$2)),"****")</f>
        <v/>
      </c>
      <c r="AWG3" t="str">
        <f>IFERROR(IF($C3="","",SUMIFS(Ledger!$K$2:$K$4, Ledger!$B$2:$B$4, $A3, Ledger!$C$2:$C$4, AWG$2)),"****")</f>
        <v/>
      </c>
      <c r="AWH3" t="str">
        <f>IFERROR(IF($C3="","",SUMIFS(Ledger!$K$2:$K$4, Ledger!$B$2:$B$4, $A3, Ledger!$C$2:$C$4, AWH$2)),"****")</f>
        <v/>
      </c>
      <c r="AWI3" t="str">
        <f>IFERROR(IF($C3="","",SUMIFS(Ledger!$K$2:$K$4, Ledger!$B$2:$B$4, $A3, Ledger!$C$2:$C$4, AWI$2)),"****")</f>
        <v/>
      </c>
      <c r="AWJ3" t="str">
        <f>IFERROR(IF($C3="","",SUMIFS(Ledger!$K$2:$K$4, Ledger!$B$2:$B$4, $A3, Ledger!$C$2:$C$4, AWJ$2)),"****")</f>
        <v/>
      </c>
      <c r="AWK3" t="str">
        <f>IFERROR(IF($C3="","",SUMIFS(Ledger!$K$2:$K$4, Ledger!$B$2:$B$4, $A3, Ledger!$C$2:$C$4, AWK$2)),"****")</f>
        <v/>
      </c>
      <c r="AWL3" t="str">
        <f>IFERROR(IF($C3="","",SUMIFS(Ledger!$K$2:$K$4, Ledger!$B$2:$B$4, $A3, Ledger!$C$2:$C$4, AWL$2)),"****")</f>
        <v/>
      </c>
      <c r="AWM3" t="str">
        <f>IFERROR(IF($C3="","",SUMIFS(Ledger!$K$2:$K$4, Ledger!$B$2:$B$4, $A3, Ledger!$C$2:$C$4, AWM$2)),"****")</f>
        <v/>
      </c>
      <c r="AWN3" t="str">
        <f>IFERROR(IF($C3="","",SUMIFS(Ledger!$K$2:$K$4, Ledger!$B$2:$B$4, $A3, Ledger!$C$2:$C$4, AWN$2)),"****")</f>
        <v/>
      </c>
      <c r="AWO3" t="str">
        <f>IFERROR(IF($C3="","",SUMIFS(Ledger!$K$2:$K$4, Ledger!$B$2:$B$4, $A3, Ledger!$C$2:$C$4, AWO$2)),"****")</f>
        <v/>
      </c>
      <c r="AWP3" t="str">
        <f>IFERROR(IF($C3="","",SUMIFS(Ledger!$K$2:$K$4, Ledger!$B$2:$B$4, $A3, Ledger!$C$2:$C$4, AWP$2)),"****")</f>
        <v/>
      </c>
      <c r="AWQ3" t="str">
        <f>IFERROR(IF($C3="","",SUMIFS(Ledger!$K$2:$K$4, Ledger!$B$2:$B$4, $A3, Ledger!$C$2:$C$4, AWQ$2)),"****")</f>
        <v/>
      </c>
      <c r="AWR3" t="str">
        <f>IFERROR(IF($C3="","",SUMIFS(Ledger!$K$2:$K$4, Ledger!$B$2:$B$4, $A3, Ledger!$C$2:$C$4, AWR$2)),"****")</f>
        <v/>
      </c>
      <c r="AWS3" t="str">
        <f>IFERROR(IF($C3="","",SUMIFS(Ledger!$K$2:$K$4, Ledger!$B$2:$B$4, $A3, Ledger!$C$2:$C$4, AWS$2)),"****")</f>
        <v/>
      </c>
      <c r="AWT3" t="str">
        <f>IFERROR(IF($C3="","",SUMIFS(Ledger!$K$2:$K$4, Ledger!$B$2:$B$4, $A3, Ledger!$C$2:$C$4, AWT$2)),"****")</f>
        <v/>
      </c>
      <c r="AWU3" t="str">
        <f>IFERROR(IF($C3="","",SUMIFS(Ledger!$K$2:$K$4, Ledger!$B$2:$B$4, $A3, Ledger!$C$2:$C$4, AWU$2)),"****")</f>
        <v/>
      </c>
      <c r="AWV3" t="str">
        <f>IFERROR(IF($C3="","",SUMIFS(Ledger!$K$2:$K$4, Ledger!$B$2:$B$4, $A3, Ledger!$C$2:$C$4, AWV$2)),"****")</f>
        <v/>
      </c>
      <c r="AWW3" t="str">
        <f>IFERROR(IF($C3="","",SUMIFS(Ledger!$K$2:$K$4, Ledger!$B$2:$B$4, $A3, Ledger!$C$2:$C$4, AWW$2)),"****")</f>
        <v/>
      </c>
      <c r="AWX3" t="str">
        <f>IFERROR(IF($C3="","",SUMIFS(Ledger!$K$2:$K$4, Ledger!$B$2:$B$4, $A3, Ledger!$C$2:$C$4, AWX$2)),"****")</f>
        <v/>
      </c>
      <c r="AWY3" t="str">
        <f>IFERROR(IF($C3="","",SUMIFS(Ledger!$K$2:$K$4, Ledger!$B$2:$B$4, $A3, Ledger!$C$2:$C$4, AWY$2)),"****")</f>
        <v/>
      </c>
      <c r="AWZ3" t="str">
        <f>IFERROR(IF($C3="","",SUMIFS(Ledger!$K$2:$K$4, Ledger!$B$2:$B$4, $A3, Ledger!$C$2:$C$4, AWZ$2)),"****")</f>
        <v/>
      </c>
      <c r="AXA3" t="str">
        <f>IFERROR(IF($C3="","",SUMIFS(Ledger!$K$2:$K$4, Ledger!$B$2:$B$4, $A3, Ledger!$C$2:$C$4, AXA$2)),"****")</f>
        <v/>
      </c>
      <c r="AXB3" t="str">
        <f>IFERROR(IF($C3="","",SUMIFS(Ledger!$K$2:$K$4, Ledger!$B$2:$B$4, $A3, Ledger!$C$2:$C$4, AXB$2)),"****")</f>
        <v/>
      </c>
      <c r="AXC3" t="str">
        <f>IFERROR(IF($C3="","",SUMIFS(Ledger!$K$2:$K$4, Ledger!$B$2:$B$4, $A3, Ledger!$C$2:$C$4, AXC$2)),"****")</f>
        <v/>
      </c>
      <c r="AXD3" t="str">
        <f>IFERROR(IF($C3="","",SUMIFS(Ledger!$K$2:$K$4, Ledger!$B$2:$B$4, $A3, Ledger!$C$2:$C$4, AXD$2)),"****")</f>
        <v/>
      </c>
      <c r="AXE3" t="str">
        <f>IFERROR(IF($C3="","",SUMIFS(Ledger!$K$2:$K$4, Ledger!$B$2:$B$4, $A3, Ledger!$C$2:$C$4, AXE$2)),"****")</f>
        <v/>
      </c>
      <c r="AXF3" t="str">
        <f>IFERROR(IF($C3="","",SUMIFS(Ledger!$K$2:$K$4, Ledger!$B$2:$B$4, $A3, Ledger!$C$2:$C$4, AXF$2)),"****")</f>
        <v/>
      </c>
      <c r="AXG3" t="str">
        <f>IFERROR(IF($C3="","",SUMIFS(Ledger!$K$2:$K$4, Ledger!$B$2:$B$4, $A3, Ledger!$C$2:$C$4, AXG$2)),"****")</f>
        <v/>
      </c>
      <c r="AXH3" t="str">
        <f>IFERROR(IF($C3="","",SUMIFS(Ledger!$K$2:$K$4, Ledger!$B$2:$B$4, $A3, Ledger!$C$2:$C$4, AXH$2)),"****")</f>
        <v/>
      </c>
      <c r="AXI3" t="str">
        <f>IFERROR(IF($C3="","",SUMIFS(Ledger!$K$2:$K$4, Ledger!$B$2:$B$4, $A3, Ledger!$C$2:$C$4, AXI$2)),"****")</f>
        <v/>
      </c>
      <c r="AXJ3" t="str">
        <f>IFERROR(IF($C3="","",SUMIFS(Ledger!$K$2:$K$4, Ledger!$B$2:$B$4, $A3, Ledger!$C$2:$C$4, AXJ$2)),"****")</f>
        <v/>
      </c>
      <c r="AXK3" t="str">
        <f>IFERROR(IF($C3="","",SUMIFS(Ledger!$K$2:$K$4, Ledger!$B$2:$B$4, $A3, Ledger!$C$2:$C$4, AXK$2)),"****")</f>
        <v/>
      </c>
      <c r="AXL3" t="str">
        <f>IFERROR(IF($C3="","",SUMIFS(Ledger!$K$2:$K$4, Ledger!$B$2:$B$4, $A3, Ledger!$C$2:$C$4, AXL$2)),"****")</f>
        <v/>
      </c>
      <c r="AXM3" t="str">
        <f>IFERROR(IF($C3="","",SUMIFS(Ledger!$K$2:$K$4, Ledger!$B$2:$B$4, $A3, Ledger!$C$2:$C$4, AXM$2)),"****")</f>
        <v/>
      </c>
      <c r="AXN3" t="str">
        <f>IFERROR(IF($C3="","",SUMIFS(Ledger!$K$2:$K$4, Ledger!$B$2:$B$4, $A3, Ledger!$C$2:$C$4, AXN$2)),"****")</f>
        <v/>
      </c>
      <c r="AXO3" t="str">
        <f>IFERROR(IF($C3="","",SUMIFS(Ledger!$K$2:$K$4, Ledger!$B$2:$B$4, $A3, Ledger!$C$2:$C$4, AXO$2)),"****")</f>
        <v/>
      </c>
      <c r="AXP3" t="str">
        <f>IFERROR(IF($C3="","",SUMIFS(Ledger!$K$2:$K$4, Ledger!$B$2:$B$4, $A3, Ledger!$C$2:$C$4, AXP$2)),"****")</f>
        <v/>
      </c>
      <c r="AXQ3" t="str">
        <f>IFERROR(IF($C3="","",SUMIFS(Ledger!$K$2:$K$4, Ledger!$B$2:$B$4, $A3, Ledger!$C$2:$C$4, AXQ$2)),"****")</f>
        <v/>
      </c>
      <c r="AXR3" t="str">
        <f>IFERROR(IF($C3="","",SUMIFS(Ledger!$K$2:$K$4, Ledger!$B$2:$B$4, $A3, Ledger!$C$2:$C$4, AXR$2)),"****")</f>
        <v/>
      </c>
      <c r="AXS3" t="str">
        <f>IFERROR(IF($C3="","",SUMIFS(Ledger!$K$2:$K$4, Ledger!$B$2:$B$4, $A3, Ledger!$C$2:$C$4, AXS$2)),"****")</f>
        <v/>
      </c>
      <c r="AXT3" t="str">
        <f>IFERROR(IF($C3="","",SUMIFS(Ledger!$K$2:$K$4, Ledger!$B$2:$B$4, $A3, Ledger!$C$2:$C$4, AXT$2)),"****")</f>
        <v/>
      </c>
      <c r="AXU3" t="str">
        <f>IFERROR(IF($C3="","",SUMIFS(Ledger!$K$2:$K$4, Ledger!$B$2:$B$4, $A3, Ledger!$C$2:$C$4, AXU$2)),"****")</f>
        <v/>
      </c>
      <c r="AXV3" t="str">
        <f>IFERROR(IF($C3="","",SUMIFS(Ledger!$K$2:$K$4, Ledger!$B$2:$B$4, $A3, Ledger!$C$2:$C$4, AXV$2)),"****")</f>
        <v/>
      </c>
      <c r="AXW3" t="str">
        <f>IFERROR(IF($C3="","",SUMIFS(Ledger!$K$2:$K$4, Ledger!$B$2:$B$4, $A3, Ledger!$C$2:$C$4, AXW$2)),"****")</f>
        <v/>
      </c>
      <c r="AXX3" t="str">
        <f>IFERROR(IF($C3="","",SUMIFS(Ledger!$K$2:$K$4, Ledger!$B$2:$B$4, $A3, Ledger!$C$2:$C$4, AXX$2)),"****")</f>
        <v/>
      </c>
      <c r="AXY3" t="str">
        <f>IFERROR(IF($C3="","",SUMIFS(Ledger!$K$2:$K$4, Ledger!$B$2:$B$4, $A3, Ledger!$C$2:$C$4, AXY$2)),"****")</f>
        <v/>
      </c>
      <c r="AXZ3" t="str">
        <f>IFERROR(IF($C3="","",SUMIFS(Ledger!$K$2:$K$4, Ledger!$B$2:$B$4, $A3, Ledger!$C$2:$C$4, AXZ$2)),"****")</f>
        <v/>
      </c>
      <c r="AYA3" t="str">
        <f>IFERROR(IF($C3="","",SUMIFS(Ledger!$K$2:$K$4, Ledger!$B$2:$B$4, $A3, Ledger!$C$2:$C$4, AYA$2)),"****")</f>
        <v/>
      </c>
      <c r="AYB3" t="str">
        <f>IFERROR(IF($C3="","",SUMIFS(Ledger!$K$2:$K$4, Ledger!$B$2:$B$4, $A3, Ledger!$C$2:$C$4, AYB$2)),"****")</f>
        <v/>
      </c>
      <c r="AYC3" t="str">
        <f>IFERROR(IF($C3="","",SUMIFS(Ledger!$K$2:$K$4, Ledger!$B$2:$B$4, $A3, Ledger!$C$2:$C$4, AYC$2)),"****")</f>
        <v/>
      </c>
      <c r="AYD3" t="str">
        <f>IFERROR(IF($C3="","",SUMIFS(Ledger!$K$2:$K$4, Ledger!$B$2:$B$4, $A3, Ledger!$C$2:$C$4, AYD$2)),"****")</f>
        <v/>
      </c>
      <c r="AYE3" t="str">
        <f>IFERROR(IF($C3="","",SUMIFS(Ledger!$K$2:$K$4, Ledger!$B$2:$B$4, $A3, Ledger!$C$2:$C$4, AYE$2)),"****")</f>
        <v/>
      </c>
      <c r="AYF3" t="str">
        <f>IFERROR(IF($C3="","",SUMIFS(Ledger!$K$2:$K$4, Ledger!$B$2:$B$4, $A3, Ledger!$C$2:$C$4, AYF$2)),"****")</f>
        <v/>
      </c>
      <c r="AYG3" t="str">
        <f>IFERROR(IF($C3="","",SUMIFS(Ledger!$K$2:$K$4, Ledger!$B$2:$B$4, $A3, Ledger!$C$2:$C$4, AYG$2)),"****")</f>
        <v/>
      </c>
      <c r="AYH3" t="str">
        <f>IFERROR(IF($C3="","",SUMIFS(Ledger!$K$2:$K$4, Ledger!$B$2:$B$4, $A3, Ledger!$C$2:$C$4, AYH$2)),"****")</f>
        <v/>
      </c>
      <c r="AYI3" t="str">
        <f>IFERROR(IF($C3="","",SUMIFS(Ledger!$K$2:$K$4, Ledger!$B$2:$B$4, $A3, Ledger!$C$2:$C$4, AYI$2)),"****")</f>
        <v/>
      </c>
      <c r="AYJ3" t="str">
        <f>IFERROR(IF($C3="","",SUMIFS(Ledger!$K$2:$K$4, Ledger!$B$2:$B$4, $A3, Ledger!$C$2:$C$4, AYJ$2)),"****")</f>
        <v/>
      </c>
      <c r="AYK3" t="str">
        <f>IFERROR(IF($C3="","",SUMIFS(Ledger!$K$2:$K$4, Ledger!$B$2:$B$4, $A3, Ledger!$C$2:$C$4, AYK$2)),"****")</f>
        <v/>
      </c>
      <c r="AYL3" t="str">
        <f>IFERROR(IF($C3="","",SUMIFS(Ledger!$K$2:$K$4, Ledger!$B$2:$B$4, $A3, Ledger!$C$2:$C$4, AYL$2)),"****")</f>
        <v/>
      </c>
      <c r="AYM3" t="str">
        <f>IFERROR(IF($C3="","",SUMIFS(Ledger!$K$2:$K$4, Ledger!$B$2:$B$4, $A3, Ledger!$C$2:$C$4, AYM$2)),"****")</f>
        <v/>
      </c>
      <c r="AYN3" t="str">
        <f>IFERROR(IF($C3="","",SUMIFS(Ledger!$K$2:$K$4, Ledger!$B$2:$B$4, $A3, Ledger!$C$2:$C$4, AYN$2)),"****")</f>
        <v/>
      </c>
      <c r="AYO3" t="str">
        <f>IFERROR(IF($C3="","",SUMIFS(Ledger!$K$2:$K$4, Ledger!$B$2:$B$4, $A3, Ledger!$C$2:$C$4, AYO$2)),"****")</f>
        <v/>
      </c>
      <c r="AYP3" t="str">
        <f>IFERROR(IF($C3="","",SUMIFS(Ledger!$K$2:$K$4, Ledger!$B$2:$B$4, $A3, Ledger!$C$2:$C$4, AYP$2)),"****")</f>
        <v/>
      </c>
      <c r="AYQ3" t="str">
        <f>IFERROR(IF($C3="","",SUMIFS(Ledger!$K$2:$K$4, Ledger!$B$2:$B$4, $A3, Ledger!$C$2:$C$4, AYQ$2)),"****")</f>
        <v/>
      </c>
      <c r="AYR3" t="str">
        <f>IFERROR(IF($C3="","",SUMIFS(Ledger!$K$2:$K$4, Ledger!$B$2:$B$4, $A3, Ledger!$C$2:$C$4, AYR$2)),"****")</f>
        <v/>
      </c>
      <c r="AYS3" t="str">
        <f>IFERROR(IF($C3="","",SUMIFS(Ledger!$K$2:$K$4, Ledger!$B$2:$B$4, $A3, Ledger!$C$2:$C$4, AYS$2)),"****")</f>
        <v/>
      </c>
      <c r="AYT3" t="str">
        <f>IFERROR(IF($C3="","",SUMIFS(Ledger!$K$2:$K$4, Ledger!$B$2:$B$4, $A3, Ledger!$C$2:$C$4, AYT$2)),"****")</f>
        <v/>
      </c>
      <c r="AYU3" t="str">
        <f>IFERROR(IF($C3="","",SUMIFS(Ledger!$K$2:$K$4, Ledger!$B$2:$B$4, $A3, Ledger!$C$2:$C$4, AYU$2)),"****")</f>
        <v/>
      </c>
      <c r="AYV3" t="str">
        <f>IFERROR(IF($C3="","",SUMIFS(Ledger!$K$2:$K$4, Ledger!$B$2:$B$4, $A3, Ledger!$C$2:$C$4, AYV$2)),"****")</f>
        <v/>
      </c>
      <c r="AYW3" t="str">
        <f>IFERROR(IF($C3="","",SUMIFS(Ledger!$K$2:$K$4, Ledger!$B$2:$B$4, $A3, Ledger!$C$2:$C$4, AYW$2)),"****")</f>
        <v/>
      </c>
      <c r="AYX3" t="str">
        <f>IFERROR(IF($C3="","",SUMIFS(Ledger!$K$2:$K$4, Ledger!$B$2:$B$4, $A3, Ledger!$C$2:$C$4, AYX$2)),"****")</f>
        <v/>
      </c>
      <c r="AYY3" t="str">
        <f>IFERROR(IF($C3="","",SUMIFS(Ledger!$K$2:$K$4, Ledger!$B$2:$B$4, $A3, Ledger!$C$2:$C$4, AYY$2)),"****")</f>
        <v/>
      </c>
      <c r="AYZ3" t="str">
        <f>IFERROR(IF($C3="","",SUMIFS(Ledger!$K$2:$K$4, Ledger!$B$2:$B$4, $A3, Ledger!$C$2:$C$4, AYZ$2)),"****")</f>
        <v/>
      </c>
      <c r="AZA3" t="str">
        <f>IFERROR(IF($C3="","",SUMIFS(Ledger!$K$2:$K$4, Ledger!$B$2:$B$4, $A3, Ledger!$C$2:$C$4, AZA$2)),"****")</f>
        <v/>
      </c>
      <c r="AZB3" t="str">
        <f>IFERROR(IF($C3="","",SUMIFS(Ledger!$K$2:$K$4, Ledger!$B$2:$B$4, $A3, Ledger!$C$2:$C$4, AZB$2)),"****")</f>
        <v/>
      </c>
      <c r="AZC3" t="str">
        <f>IFERROR(IF($C3="","",SUMIFS(Ledger!$K$2:$K$4, Ledger!$B$2:$B$4, $A3, Ledger!$C$2:$C$4, AZC$2)),"****")</f>
        <v/>
      </c>
      <c r="AZD3" t="str">
        <f>IFERROR(IF($C3="","",SUMIFS(Ledger!$K$2:$K$4, Ledger!$B$2:$B$4, $A3, Ledger!$C$2:$C$4, AZD$2)),"****")</f>
        <v/>
      </c>
      <c r="AZE3" t="str">
        <f>IFERROR(IF($C3="","",SUMIFS(Ledger!$K$2:$K$4, Ledger!$B$2:$B$4, $A3, Ledger!$C$2:$C$4, AZE$2)),"****")</f>
        <v/>
      </c>
      <c r="AZF3" t="str">
        <f>IFERROR(IF($C3="","",SUMIFS(Ledger!$K$2:$K$4, Ledger!$B$2:$B$4, $A3, Ledger!$C$2:$C$4, AZF$2)),"****")</f>
        <v/>
      </c>
      <c r="AZG3" t="str">
        <f>IFERROR(IF($C3="","",SUMIFS(Ledger!$K$2:$K$4, Ledger!$B$2:$B$4, $A3, Ledger!$C$2:$C$4, AZG$2)),"****")</f>
        <v/>
      </c>
      <c r="AZH3" t="str">
        <f>IFERROR(IF($C3="","",SUMIFS(Ledger!$K$2:$K$4, Ledger!$B$2:$B$4, $A3, Ledger!$C$2:$C$4, AZH$2)),"****")</f>
        <v/>
      </c>
      <c r="AZI3" t="str">
        <f>IFERROR(IF($C3="","",SUMIFS(Ledger!$K$2:$K$4, Ledger!$B$2:$B$4, $A3, Ledger!$C$2:$C$4, AZI$2)),"****")</f>
        <v/>
      </c>
      <c r="AZJ3" t="str">
        <f>IFERROR(IF($C3="","",SUMIFS(Ledger!$K$2:$K$4, Ledger!$B$2:$B$4, $A3, Ledger!$C$2:$C$4, AZJ$2)),"****")</f>
        <v/>
      </c>
      <c r="AZK3" t="str">
        <f>IFERROR(IF($C3="","",SUMIFS(Ledger!$K$2:$K$4, Ledger!$B$2:$B$4, $A3, Ledger!$C$2:$C$4, AZK$2)),"****")</f>
        <v/>
      </c>
      <c r="AZL3" t="str">
        <f>IFERROR(IF($C3="","",SUMIFS(Ledger!$K$2:$K$4, Ledger!$B$2:$B$4, $A3, Ledger!$C$2:$C$4, AZL$2)),"****")</f>
        <v/>
      </c>
      <c r="AZM3" t="str">
        <f>IFERROR(IF($C3="","",SUMIFS(Ledger!$K$2:$K$4, Ledger!$B$2:$B$4, $A3, Ledger!$C$2:$C$4, AZM$2)),"****")</f>
        <v/>
      </c>
      <c r="AZN3" t="str">
        <f>IFERROR(IF($C3="","",SUMIFS(Ledger!$K$2:$K$4, Ledger!$B$2:$B$4, $A3, Ledger!$C$2:$C$4, AZN$2)),"****")</f>
        <v/>
      </c>
      <c r="AZO3" t="str">
        <f>IFERROR(IF($C3="","",SUMIFS(Ledger!$K$2:$K$4, Ledger!$B$2:$B$4, $A3, Ledger!$C$2:$C$4, AZO$2)),"****")</f>
        <v/>
      </c>
      <c r="AZP3" t="str">
        <f>IFERROR(IF($C3="","",SUMIFS(Ledger!$K$2:$K$4, Ledger!$B$2:$B$4, $A3, Ledger!$C$2:$C$4, AZP$2)),"****")</f>
        <v/>
      </c>
      <c r="AZQ3" t="str">
        <f>IFERROR(IF($C3="","",SUMIFS(Ledger!$K$2:$K$4, Ledger!$B$2:$B$4, $A3, Ledger!$C$2:$C$4, AZQ$2)),"****")</f>
        <v/>
      </c>
      <c r="AZR3" t="str">
        <f>IFERROR(IF($C3="","",SUMIFS(Ledger!$K$2:$K$4, Ledger!$B$2:$B$4, $A3, Ledger!$C$2:$C$4, AZR$2)),"****")</f>
        <v/>
      </c>
      <c r="AZS3" t="str">
        <f>IFERROR(IF($C3="","",SUMIFS(Ledger!$K$2:$K$4, Ledger!$B$2:$B$4, $A3, Ledger!$C$2:$C$4, AZS$2)),"****")</f>
        <v/>
      </c>
      <c r="AZT3" t="str">
        <f>IFERROR(IF($C3="","",SUMIFS(Ledger!$K$2:$K$4, Ledger!$B$2:$B$4, $A3, Ledger!$C$2:$C$4, AZT$2)),"****")</f>
        <v/>
      </c>
      <c r="AZU3" t="str">
        <f>IFERROR(IF($C3="","",SUMIFS(Ledger!$K$2:$K$4, Ledger!$B$2:$B$4, $A3, Ledger!$C$2:$C$4, AZU$2)),"****")</f>
        <v/>
      </c>
      <c r="AZV3" t="str">
        <f>IFERROR(IF($C3="","",SUMIFS(Ledger!$K$2:$K$4, Ledger!$B$2:$B$4, $A3, Ledger!$C$2:$C$4, AZV$2)),"****")</f>
        <v/>
      </c>
      <c r="AZW3" t="str">
        <f>IFERROR(IF($C3="","",SUMIFS(Ledger!$K$2:$K$4, Ledger!$B$2:$B$4, $A3, Ledger!$C$2:$C$4, AZW$2)),"****")</f>
        <v/>
      </c>
      <c r="AZX3" t="str">
        <f>IFERROR(IF($C3="","",SUMIFS(Ledger!$K$2:$K$4, Ledger!$B$2:$B$4, $A3, Ledger!$C$2:$C$4, AZX$2)),"****")</f>
        <v/>
      </c>
      <c r="AZY3" t="str">
        <f>IFERROR(IF($C3="","",SUMIFS(Ledger!$K$2:$K$4, Ledger!$B$2:$B$4, $A3, Ledger!$C$2:$C$4, AZY$2)),"****")</f>
        <v/>
      </c>
      <c r="AZZ3" t="str">
        <f>IFERROR(IF($C3="","",SUMIFS(Ledger!$K$2:$K$4, Ledger!$B$2:$B$4, $A3, Ledger!$C$2:$C$4, AZZ$2)),"****")</f>
        <v/>
      </c>
      <c r="BAA3" t="str">
        <f>IFERROR(IF($C3="","",SUMIFS(Ledger!$K$2:$K$4, Ledger!$B$2:$B$4, $A3, Ledger!$C$2:$C$4, BAA$2)),"****")</f>
        <v/>
      </c>
      <c r="BAB3" t="str">
        <f>IFERROR(IF($C3="","",SUMIFS(Ledger!$K$2:$K$4, Ledger!$B$2:$B$4, $A3, Ledger!$C$2:$C$4, BAB$2)),"****")</f>
        <v/>
      </c>
      <c r="BAC3" t="str">
        <f>IFERROR(IF($C3="","",SUMIFS(Ledger!$K$2:$K$4, Ledger!$B$2:$B$4, $A3, Ledger!$C$2:$C$4, BAC$2)),"****")</f>
        <v/>
      </c>
      <c r="BAD3" t="str">
        <f>IFERROR(IF($C3="","",SUMIFS(Ledger!$K$2:$K$4, Ledger!$B$2:$B$4, $A3, Ledger!$C$2:$C$4, BAD$2)),"****")</f>
        <v/>
      </c>
      <c r="BAE3" t="str">
        <f>IFERROR(IF($C3="","",SUMIFS(Ledger!$K$2:$K$4, Ledger!$B$2:$B$4, $A3, Ledger!$C$2:$C$4, BAE$2)),"****")</f>
        <v/>
      </c>
      <c r="BAF3" t="str">
        <f>IFERROR(IF($C3="","",SUMIFS(Ledger!$K$2:$K$4, Ledger!$B$2:$B$4, $A3, Ledger!$C$2:$C$4, BAF$2)),"****")</f>
        <v/>
      </c>
      <c r="BAG3" t="str">
        <f>IFERROR(IF($C3="","",SUMIFS(Ledger!$K$2:$K$4, Ledger!$B$2:$B$4, $A3, Ledger!$C$2:$C$4, BAG$2)),"****")</f>
        <v/>
      </c>
      <c r="BAH3" t="str">
        <f>IFERROR(IF($C3="","",SUMIFS(Ledger!$K$2:$K$4, Ledger!$B$2:$B$4, $A3, Ledger!$C$2:$C$4, BAH$2)),"****")</f>
        <v/>
      </c>
      <c r="BAI3" t="str">
        <f>IFERROR(IF($C3="","",SUMIFS(Ledger!$K$2:$K$4, Ledger!$B$2:$B$4, $A3, Ledger!$C$2:$C$4, BAI$2)),"****")</f>
        <v/>
      </c>
      <c r="BAJ3" t="str">
        <f>IFERROR(IF($C3="","",SUMIFS(Ledger!$K$2:$K$4, Ledger!$B$2:$B$4, $A3, Ledger!$C$2:$C$4, BAJ$2)),"****")</f>
        <v/>
      </c>
      <c r="BAK3" t="str">
        <f>IFERROR(IF($C3="","",SUMIFS(Ledger!$K$2:$K$4, Ledger!$B$2:$B$4, $A3, Ledger!$C$2:$C$4, BAK$2)),"****")</f>
        <v/>
      </c>
      <c r="BAL3" t="str">
        <f>IFERROR(IF($C3="","",SUMIFS(Ledger!$K$2:$K$4, Ledger!$B$2:$B$4, $A3, Ledger!$C$2:$C$4, BAL$2)),"****")</f>
        <v/>
      </c>
      <c r="BAM3" t="str">
        <f>IFERROR(IF($C3="","",SUMIFS(Ledger!$K$2:$K$4, Ledger!$B$2:$B$4, $A3, Ledger!$C$2:$C$4, BAM$2)),"****")</f>
        <v/>
      </c>
      <c r="BAN3" t="str">
        <f>IFERROR(IF($C3="","",SUMIFS(Ledger!$K$2:$K$4, Ledger!$B$2:$B$4, $A3, Ledger!$C$2:$C$4, BAN$2)),"****")</f>
        <v/>
      </c>
      <c r="BAO3" t="str">
        <f>IFERROR(IF($C3="","",SUMIFS(Ledger!$K$2:$K$4, Ledger!$B$2:$B$4, $A3, Ledger!$C$2:$C$4, BAO$2)),"****")</f>
        <v/>
      </c>
      <c r="BAP3" t="str">
        <f>IFERROR(IF($C3="","",SUMIFS(Ledger!$K$2:$K$4, Ledger!$B$2:$B$4, $A3, Ledger!$C$2:$C$4, BAP$2)),"****")</f>
        <v/>
      </c>
      <c r="BAQ3" t="str">
        <f>IFERROR(IF($C3="","",SUMIFS(Ledger!$K$2:$K$4, Ledger!$B$2:$B$4, $A3, Ledger!$C$2:$C$4, BAQ$2)),"****")</f>
        <v/>
      </c>
      <c r="BAR3" t="str">
        <f>IFERROR(IF($C3="","",SUMIFS(Ledger!$K$2:$K$4, Ledger!$B$2:$B$4, $A3, Ledger!$C$2:$C$4, BAR$2)),"****")</f>
        <v/>
      </c>
      <c r="BAS3" t="str">
        <f>IFERROR(IF($C3="","",SUMIFS(Ledger!$K$2:$K$4, Ledger!$B$2:$B$4, $A3, Ledger!$C$2:$C$4, BAS$2)),"****")</f>
        <v/>
      </c>
      <c r="BAT3" t="str">
        <f>IFERROR(IF($C3="","",SUMIFS(Ledger!$K$2:$K$4, Ledger!$B$2:$B$4, $A3, Ledger!$C$2:$C$4, BAT$2)),"****")</f>
        <v/>
      </c>
      <c r="BAU3" t="str">
        <f>IFERROR(IF($C3="","",SUMIFS(Ledger!$K$2:$K$4, Ledger!$B$2:$B$4, $A3, Ledger!$C$2:$C$4, BAU$2)),"****")</f>
        <v/>
      </c>
      <c r="BAV3" t="str">
        <f>IFERROR(IF($C3="","",SUMIFS(Ledger!$K$2:$K$4, Ledger!$B$2:$B$4, $A3, Ledger!$C$2:$C$4, BAV$2)),"****")</f>
        <v/>
      </c>
      <c r="BAW3" t="str">
        <f>IFERROR(IF($C3="","",SUMIFS(Ledger!$K$2:$K$4, Ledger!$B$2:$B$4, $A3, Ledger!$C$2:$C$4, BAW$2)),"****")</f>
        <v/>
      </c>
      <c r="BAX3" t="str">
        <f>IFERROR(IF($C3="","",SUMIFS(Ledger!$K$2:$K$4, Ledger!$B$2:$B$4, $A3, Ledger!$C$2:$C$4, BAX$2)),"****")</f>
        <v/>
      </c>
      <c r="BAY3" t="str">
        <f>IFERROR(IF($C3="","",SUMIFS(Ledger!$K$2:$K$4, Ledger!$B$2:$B$4, $A3, Ledger!$C$2:$C$4, BAY$2)),"****")</f>
        <v/>
      </c>
      <c r="BAZ3" t="str">
        <f>IFERROR(IF($C3="","",SUMIFS(Ledger!$K$2:$K$4, Ledger!$B$2:$B$4, $A3, Ledger!$C$2:$C$4, BAZ$2)),"****")</f>
        <v/>
      </c>
      <c r="BBA3" t="str">
        <f>IFERROR(IF($C3="","",SUMIFS(Ledger!$K$2:$K$4, Ledger!$B$2:$B$4, $A3, Ledger!$C$2:$C$4, BBA$2)),"****")</f>
        <v/>
      </c>
      <c r="BBB3" t="str">
        <f>IFERROR(IF($C3="","",SUMIFS(Ledger!$K$2:$K$4, Ledger!$B$2:$B$4, $A3, Ledger!$C$2:$C$4, BBB$2)),"****")</f>
        <v/>
      </c>
      <c r="BBC3" t="str">
        <f>IFERROR(IF($C3="","",SUMIFS(Ledger!$K$2:$K$4, Ledger!$B$2:$B$4, $A3, Ledger!$C$2:$C$4, BBC$2)),"****")</f>
        <v/>
      </c>
      <c r="BBD3" t="str">
        <f>IFERROR(IF($C3="","",SUMIFS(Ledger!$K$2:$K$4, Ledger!$B$2:$B$4, $A3, Ledger!$C$2:$C$4, BBD$2)),"****")</f>
        <v/>
      </c>
      <c r="BBE3" t="str">
        <f>IFERROR(IF($C3="","",SUMIFS(Ledger!$K$2:$K$4, Ledger!$B$2:$B$4, $A3, Ledger!$C$2:$C$4, BBE$2)),"****")</f>
        <v/>
      </c>
      <c r="BBF3" t="str">
        <f>IFERROR(IF($C3="","",SUMIFS(Ledger!$K$2:$K$4, Ledger!$B$2:$B$4, $A3, Ledger!$C$2:$C$4, BBF$2)),"****")</f>
        <v/>
      </c>
      <c r="BBG3" t="str">
        <f>IFERROR(IF($C3="","",SUMIFS(Ledger!$K$2:$K$4, Ledger!$B$2:$B$4, $A3, Ledger!$C$2:$C$4, BBG$2)),"****")</f>
        <v/>
      </c>
      <c r="BBH3" t="str">
        <f>IFERROR(IF($C3="","",SUMIFS(Ledger!$K$2:$K$4, Ledger!$B$2:$B$4, $A3, Ledger!$C$2:$C$4, BBH$2)),"****")</f>
        <v/>
      </c>
      <c r="BBI3" t="str">
        <f>IFERROR(IF($C3="","",SUMIFS(Ledger!$K$2:$K$4, Ledger!$B$2:$B$4, $A3, Ledger!$C$2:$C$4, BBI$2)),"****")</f>
        <v/>
      </c>
      <c r="BBJ3" t="str">
        <f>IFERROR(IF($C3="","",SUMIFS(Ledger!$K$2:$K$4, Ledger!$B$2:$B$4, $A3, Ledger!$C$2:$C$4, BBJ$2)),"****")</f>
        <v/>
      </c>
      <c r="BBK3" t="str">
        <f>IFERROR(IF($C3="","",SUMIFS(Ledger!$K$2:$K$4, Ledger!$B$2:$B$4, $A3, Ledger!$C$2:$C$4, BBK$2)),"****")</f>
        <v/>
      </c>
      <c r="BBL3" t="str">
        <f>IFERROR(IF($C3="","",SUMIFS(Ledger!$K$2:$K$4, Ledger!$B$2:$B$4, $A3, Ledger!$C$2:$C$4, BBL$2)),"****")</f>
        <v/>
      </c>
      <c r="BBM3" t="str">
        <f>IFERROR(IF($C3="","",SUMIFS(Ledger!$K$2:$K$4, Ledger!$B$2:$B$4, $A3, Ledger!$C$2:$C$4, BBM$2)),"****")</f>
        <v/>
      </c>
      <c r="BBN3" t="str">
        <f>IFERROR(IF($C3="","",SUMIFS(Ledger!$K$2:$K$4, Ledger!$B$2:$B$4, $A3, Ledger!$C$2:$C$4, BBN$2)),"****")</f>
        <v/>
      </c>
      <c r="BBO3" t="str">
        <f>IFERROR(IF($C3="","",SUMIFS(Ledger!$K$2:$K$4, Ledger!$B$2:$B$4, $A3, Ledger!$C$2:$C$4, BBO$2)),"****")</f>
        <v/>
      </c>
      <c r="BBP3" t="str">
        <f>IFERROR(IF($C3="","",SUMIFS(Ledger!$K$2:$K$4, Ledger!$B$2:$B$4, $A3, Ledger!$C$2:$C$4, BBP$2)),"****")</f>
        <v/>
      </c>
      <c r="BBQ3" t="str">
        <f>IFERROR(IF($C3="","",SUMIFS(Ledger!$K$2:$K$4, Ledger!$B$2:$B$4, $A3, Ledger!$C$2:$C$4, BBQ$2)),"****")</f>
        <v/>
      </c>
      <c r="BBR3" t="str">
        <f>IFERROR(IF($C3="","",SUMIFS(Ledger!$K$2:$K$4, Ledger!$B$2:$B$4, $A3, Ledger!$C$2:$C$4, BBR$2)),"****")</f>
        <v/>
      </c>
      <c r="BBS3" t="str">
        <f>IFERROR(IF($C3="","",SUMIFS(Ledger!$K$2:$K$4, Ledger!$B$2:$B$4, $A3, Ledger!$C$2:$C$4, BBS$2)),"****")</f>
        <v/>
      </c>
      <c r="BBT3" t="str">
        <f>IFERROR(IF($C3="","",SUMIFS(Ledger!$K$2:$K$4, Ledger!$B$2:$B$4, $A3, Ledger!$C$2:$C$4, BBT$2)),"****")</f>
        <v/>
      </c>
      <c r="BBU3" t="str">
        <f>IFERROR(IF($C3="","",SUMIFS(Ledger!$K$2:$K$4, Ledger!$B$2:$B$4, $A3, Ledger!$C$2:$C$4, BBU$2)),"****")</f>
        <v/>
      </c>
      <c r="BBV3" t="str">
        <f>IFERROR(IF($C3="","",SUMIFS(Ledger!$K$2:$K$4, Ledger!$B$2:$B$4, $A3, Ledger!$C$2:$C$4, BBV$2)),"****")</f>
        <v/>
      </c>
      <c r="BBW3" t="str">
        <f>IFERROR(IF($C3="","",SUMIFS(Ledger!$K$2:$K$4, Ledger!$B$2:$B$4, $A3, Ledger!$C$2:$C$4, BBW$2)),"****")</f>
        <v/>
      </c>
      <c r="BBX3" t="str">
        <f>IFERROR(IF($C3="","",SUMIFS(Ledger!$K$2:$K$4, Ledger!$B$2:$B$4, $A3, Ledger!$C$2:$C$4, BBX$2)),"****")</f>
        <v/>
      </c>
      <c r="BBY3" t="str">
        <f>IFERROR(IF($C3="","",SUMIFS(Ledger!$K$2:$K$4, Ledger!$B$2:$B$4, $A3, Ledger!$C$2:$C$4, BBY$2)),"****")</f>
        <v/>
      </c>
      <c r="BBZ3" t="str">
        <f>IFERROR(IF($C3="","",SUMIFS(Ledger!$K$2:$K$4, Ledger!$B$2:$B$4, $A3, Ledger!$C$2:$C$4, BBZ$2)),"****")</f>
        <v/>
      </c>
      <c r="BCA3" t="str">
        <f>IFERROR(IF($C3="","",SUMIFS(Ledger!$K$2:$K$4, Ledger!$B$2:$B$4, $A3, Ledger!$C$2:$C$4, BCA$2)),"****")</f>
        <v/>
      </c>
      <c r="BCB3" t="str">
        <f>IFERROR(IF($C3="","",SUMIFS(Ledger!$K$2:$K$4, Ledger!$B$2:$B$4, $A3, Ledger!$C$2:$C$4, BCB$2)),"****")</f>
        <v/>
      </c>
      <c r="BCC3" t="str">
        <f>IFERROR(IF($C3="","",SUMIFS(Ledger!$K$2:$K$4, Ledger!$B$2:$B$4, $A3, Ledger!$C$2:$C$4, BCC$2)),"****")</f>
        <v/>
      </c>
      <c r="BCD3" t="str">
        <f>IFERROR(IF($C3="","",SUMIFS(Ledger!$K$2:$K$4, Ledger!$B$2:$B$4, $A3, Ledger!$C$2:$C$4, BCD$2)),"****")</f>
        <v/>
      </c>
      <c r="BCE3" t="str">
        <f>IFERROR(IF($C3="","",SUMIFS(Ledger!$K$2:$K$4, Ledger!$B$2:$B$4, $A3, Ledger!$C$2:$C$4, BCE$2)),"****")</f>
        <v/>
      </c>
      <c r="BCF3" t="str">
        <f>IFERROR(IF($C3="","",SUMIFS(Ledger!$K$2:$K$4, Ledger!$B$2:$B$4, $A3, Ledger!$C$2:$C$4, BCF$2)),"****")</f>
        <v/>
      </c>
      <c r="BCG3" t="str">
        <f>IFERROR(IF($C3="","",SUMIFS(Ledger!$K$2:$K$4, Ledger!$B$2:$B$4, $A3, Ledger!$C$2:$C$4, BCG$2)),"****")</f>
        <v/>
      </c>
      <c r="BCH3" t="str">
        <f>IFERROR(IF($C3="","",SUMIFS(Ledger!$K$2:$K$4, Ledger!$B$2:$B$4, $A3, Ledger!$C$2:$C$4, BCH$2)),"****")</f>
        <v/>
      </c>
      <c r="BCI3" t="str">
        <f>IFERROR(IF($C3="","",SUMIFS(Ledger!$K$2:$K$4, Ledger!$B$2:$B$4, $A3, Ledger!$C$2:$C$4, BCI$2)),"****")</f>
        <v/>
      </c>
      <c r="BCJ3" t="str">
        <f>IFERROR(IF($C3="","",SUMIFS(Ledger!$K$2:$K$4, Ledger!$B$2:$B$4, $A3, Ledger!$C$2:$C$4, BCJ$2)),"****")</f>
        <v/>
      </c>
      <c r="BCK3" t="str">
        <f>IFERROR(IF($C3="","",SUMIFS(Ledger!$K$2:$K$4, Ledger!$B$2:$B$4, $A3, Ledger!$C$2:$C$4, BCK$2)),"****")</f>
        <v/>
      </c>
      <c r="BCL3" t="str">
        <f>IFERROR(IF($C3="","",SUMIFS(Ledger!$K$2:$K$4, Ledger!$B$2:$B$4, $A3, Ledger!$C$2:$C$4, BCL$2)),"****")</f>
        <v/>
      </c>
      <c r="BCM3" t="str">
        <f>IFERROR(IF($C3="","",SUMIFS(Ledger!$K$2:$K$4, Ledger!$B$2:$B$4, $A3, Ledger!$C$2:$C$4, BCM$2)),"****")</f>
        <v/>
      </c>
      <c r="BCN3" t="str">
        <f>IFERROR(IF($C3="","",SUMIFS(Ledger!$K$2:$K$4, Ledger!$B$2:$B$4, $A3, Ledger!$C$2:$C$4, BCN$2)),"****")</f>
        <v/>
      </c>
      <c r="BCO3" t="str">
        <f>IFERROR(IF($C3="","",SUMIFS(Ledger!$K$2:$K$4, Ledger!$B$2:$B$4, $A3, Ledger!$C$2:$C$4, BCO$2)),"****")</f>
        <v/>
      </c>
      <c r="BCP3" t="str">
        <f>IFERROR(IF($C3="","",SUMIFS(Ledger!$K$2:$K$4, Ledger!$B$2:$B$4, $A3, Ledger!$C$2:$C$4, BCP$2)),"****")</f>
        <v/>
      </c>
      <c r="BCQ3" t="str">
        <f>IFERROR(IF($C3="","",SUMIFS(Ledger!$K$2:$K$4, Ledger!$B$2:$B$4, $A3, Ledger!$C$2:$C$4, BCQ$2)),"****")</f>
        <v/>
      </c>
      <c r="BCR3" t="str">
        <f>IFERROR(IF($C3="","",SUMIFS(Ledger!$K$2:$K$4, Ledger!$B$2:$B$4, $A3, Ledger!$C$2:$C$4, BCR$2)),"****")</f>
        <v/>
      </c>
      <c r="BCS3" t="str">
        <f>IFERROR(IF($C3="","",SUMIFS(Ledger!$K$2:$K$4, Ledger!$B$2:$B$4, $A3, Ledger!$C$2:$C$4, BCS$2)),"****")</f>
        <v/>
      </c>
      <c r="BCT3" t="str">
        <f>IFERROR(IF($C3="","",SUMIFS(Ledger!$K$2:$K$4, Ledger!$B$2:$B$4, $A3, Ledger!$C$2:$C$4, BCT$2)),"****")</f>
        <v/>
      </c>
      <c r="BCU3" t="str">
        <f>IFERROR(IF($C3="","",SUMIFS(Ledger!$K$2:$K$4, Ledger!$B$2:$B$4, $A3, Ledger!$C$2:$C$4, BCU$2)),"****")</f>
        <v/>
      </c>
      <c r="BCV3" t="str">
        <f>IFERROR(IF($C3="","",SUMIFS(Ledger!$K$2:$K$4, Ledger!$B$2:$B$4, $A3, Ledger!$C$2:$C$4, BCV$2)),"****")</f>
        <v/>
      </c>
      <c r="BCW3" t="str">
        <f>IFERROR(IF($C3="","",SUMIFS(Ledger!$K$2:$K$4, Ledger!$B$2:$B$4, $A3, Ledger!$C$2:$C$4, BCW$2)),"****")</f>
        <v/>
      </c>
      <c r="BCX3" t="str">
        <f>IFERROR(IF($C3="","",SUMIFS(Ledger!$K$2:$K$4, Ledger!$B$2:$B$4, $A3, Ledger!$C$2:$C$4, BCX$2)),"****")</f>
        <v/>
      </c>
      <c r="BCY3" t="str">
        <f>IFERROR(IF($C3="","",SUMIFS(Ledger!$K$2:$K$4, Ledger!$B$2:$B$4, $A3, Ledger!$C$2:$C$4, BCY$2)),"****")</f>
        <v/>
      </c>
      <c r="BCZ3" t="str">
        <f>IFERROR(IF($C3="","",SUMIFS(Ledger!$K$2:$K$4, Ledger!$B$2:$B$4, $A3, Ledger!$C$2:$C$4, BCZ$2)),"****")</f>
        <v/>
      </c>
      <c r="BDA3" t="str">
        <f>IFERROR(IF($C3="","",SUMIFS(Ledger!$K$2:$K$4, Ledger!$B$2:$B$4, $A3, Ledger!$C$2:$C$4, BDA$2)),"****")</f>
        <v/>
      </c>
      <c r="BDB3" t="str">
        <f>IFERROR(IF($C3="","",SUMIFS(Ledger!$K$2:$K$4, Ledger!$B$2:$B$4, $A3, Ledger!$C$2:$C$4, BDB$2)),"****")</f>
        <v/>
      </c>
      <c r="BDC3" t="str">
        <f>IFERROR(IF($C3="","",SUMIFS(Ledger!$K$2:$K$4, Ledger!$B$2:$B$4, $A3, Ledger!$C$2:$C$4, BDC$2)),"****")</f>
        <v/>
      </c>
      <c r="BDD3" t="str">
        <f>IFERROR(IF($C3="","",SUMIFS(Ledger!$K$2:$K$4, Ledger!$B$2:$B$4, $A3, Ledger!$C$2:$C$4, BDD$2)),"****")</f>
        <v/>
      </c>
      <c r="BDE3" t="str">
        <f>IFERROR(IF($C3="","",SUMIFS(Ledger!$K$2:$K$4, Ledger!$B$2:$B$4, $A3, Ledger!$C$2:$C$4, BDE$2)),"****")</f>
        <v/>
      </c>
      <c r="BDF3" t="str">
        <f>IFERROR(IF($C3="","",SUMIFS(Ledger!$K$2:$K$4, Ledger!$B$2:$B$4, $A3, Ledger!$C$2:$C$4, BDF$2)),"****")</f>
        <v/>
      </c>
      <c r="BDG3" t="str">
        <f>IFERROR(IF($C3="","",SUMIFS(Ledger!$K$2:$K$4, Ledger!$B$2:$B$4, $A3, Ledger!$C$2:$C$4, BDG$2)),"****")</f>
        <v/>
      </c>
      <c r="BDH3" t="str">
        <f>IFERROR(IF($C3="","",SUMIFS(Ledger!$K$2:$K$4, Ledger!$B$2:$B$4, $A3, Ledger!$C$2:$C$4, BDH$2)),"****")</f>
        <v/>
      </c>
      <c r="BDI3" t="str">
        <f>IFERROR(IF($C3="","",SUMIFS(Ledger!$K$2:$K$4, Ledger!$B$2:$B$4, $A3, Ledger!$C$2:$C$4, BDI$2)),"****")</f>
        <v/>
      </c>
      <c r="BDJ3" t="str">
        <f>IFERROR(IF($C3="","",SUMIFS(Ledger!$K$2:$K$4, Ledger!$B$2:$B$4, $A3, Ledger!$C$2:$C$4, BDJ$2)),"****")</f>
        <v/>
      </c>
      <c r="BDK3" t="str">
        <f>IFERROR(IF($C3="","",SUMIFS(Ledger!$K$2:$K$4, Ledger!$B$2:$B$4, $A3, Ledger!$C$2:$C$4, BDK$2)),"****")</f>
        <v/>
      </c>
      <c r="BDL3" t="str">
        <f>IFERROR(IF($C3="","",SUMIFS(Ledger!$K$2:$K$4, Ledger!$B$2:$B$4, $A3, Ledger!$C$2:$C$4, BDL$2)),"****")</f>
        <v/>
      </c>
      <c r="BDM3" t="str">
        <f>IFERROR(IF($C3="","",SUMIFS(Ledger!$K$2:$K$4, Ledger!$B$2:$B$4, $A3, Ledger!$C$2:$C$4, BDM$2)),"****")</f>
        <v/>
      </c>
      <c r="BDN3" t="str">
        <f>IFERROR(IF($C3="","",SUMIFS(Ledger!$K$2:$K$4, Ledger!$B$2:$B$4, $A3, Ledger!$C$2:$C$4, BDN$2)),"****")</f>
        <v/>
      </c>
      <c r="BDO3" t="str">
        <f>IFERROR(IF($C3="","",SUMIFS(Ledger!$K$2:$K$4, Ledger!$B$2:$B$4, $A3, Ledger!$C$2:$C$4, BDO$2)),"****")</f>
        <v/>
      </c>
      <c r="BDP3" t="str">
        <f>IFERROR(IF($C3="","",SUMIFS(Ledger!$K$2:$K$4, Ledger!$B$2:$B$4, $A3, Ledger!$C$2:$C$4, BDP$2)),"****")</f>
        <v/>
      </c>
      <c r="BDQ3" t="str">
        <f>IFERROR(IF($C3="","",SUMIFS(Ledger!$K$2:$K$4, Ledger!$B$2:$B$4, $A3, Ledger!$C$2:$C$4, BDQ$2)),"****")</f>
        <v/>
      </c>
      <c r="BDR3" t="str">
        <f>IFERROR(IF($C3="","",SUMIFS(Ledger!$K$2:$K$4, Ledger!$B$2:$B$4, $A3, Ledger!$C$2:$C$4, BDR$2)),"****")</f>
        <v/>
      </c>
      <c r="BDS3" t="str">
        <f>IFERROR(IF($C3="","",SUMIFS(Ledger!$K$2:$K$4, Ledger!$B$2:$B$4, $A3, Ledger!$C$2:$C$4, BDS$2)),"****")</f>
        <v/>
      </c>
      <c r="BDT3" t="str">
        <f>IFERROR(IF($C3="","",SUMIFS(Ledger!$K$2:$K$4, Ledger!$B$2:$B$4, $A3, Ledger!$C$2:$C$4, BDT$2)),"****")</f>
        <v/>
      </c>
      <c r="BDU3" t="str">
        <f>IFERROR(IF($C3="","",SUMIFS(Ledger!$K$2:$K$4, Ledger!$B$2:$B$4, $A3, Ledger!$C$2:$C$4, BDU$2)),"****")</f>
        <v/>
      </c>
      <c r="BDV3" t="str">
        <f>IFERROR(IF($C3="","",SUMIFS(Ledger!$K$2:$K$4, Ledger!$B$2:$B$4, $A3, Ledger!$C$2:$C$4, BDV$2)),"****")</f>
        <v/>
      </c>
      <c r="BDW3" t="str">
        <f>IFERROR(IF($C3="","",SUMIFS(Ledger!$K$2:$K$4, Ledger!$B$2:$B$4, $A3, Ledger!$C$2:$C$4, BDW$2)),"****")</f>
        <v/>
      </c>
      <c r="BDX3" t="str">
        <f>IFERROR(IF($C3="","",SUMIFS(Ledger!$K$2:$K$4, Ledger!$B$2:$B$4, $A3, Ledger!$C$2:$C$4, BDX$2)),"****")</f>
        <v/>
      </c>
      <c r="BDY3" t="str">
        <f>IFERROR(IF($C3="","",SUMIFS(Ledger!$K$2:$K$4, Ledger!$B$2:$B$4, $A3, Ledger!$C$2:$C$4, BDY$2)),"****")</f>
        <v/>
      </c>
      <c r="BDZ3" t="str">
        <f>IFERROR(IF($C3="","",SUMIFS(Ledger!$K$2:$K$4, Ledger!$B$2:$B$4, $A3, Ledger!$C$2:$C$4, BDZ$2)),"****")</f>
        <v/>
      </c>
      <c r="BEA3" t="str">
        <f>IFERROR(IF($C3="","",SUMIFS(Ledger!$K$2:$K$4, Ledger!$B$2:$B$4, $A3, Ledger!$C$2:$C$4, BEA$2)),"****")</f>
        <v/>
      </c>
      <c r="BEB3" t="str">
        <f>IFERROR(IF($C3="","",SUMIFS(Ledger!$K$2:$K$4, Ledger!$B$2:$B$4, $A3, Ledger!$C$2:$C$4, BEB$2)),"****")</f>
        <v/>
      </c>
      <c r="BEC3" t="str">
        <f>IFERROR(IF($C3="","",SUMIFS(Ledger!$K$2:$K$4, Ledger!$B$2:$B$4, $A3, Ledger!$C$2:$C$4, BEC$2)),"****")</f>
        <v/>
      </c>
      <c r="BED3" t="str">
        <f>IFERROR(IF($C3="","",SUMIFS(Ledger!$K$2:$K$4, Ledger!$B$2:$B$4, $A3, Ledger!$C$2:$C$4, BED$2)),"****")</f>
        <v/>
      </c>
      <c r="BEE3" t="str">
        <f>IFERROR(IF($C3="","",SUMIFS(Ledger!$K$2:$K$4, Ledger!$B$2:$B$4, $A3, Ledger!$C$2:$C$4, BEE$2)),"****")</f>
        <v/>
      </c>
      <c r="BEF3" t="str">
        <f>IFERROR(IF($C3="","",SUMIFS(Ledger!$K$2:$K$4, Ledger!$B$2:$B$4, $A3, Ledger!$C$2:$C$4, BEF$2)),"****")</f>
        <v/>
      </c>
      <c r="BEG3" t="str">
        <f>IFERROR(IF($C3="","",SUMIFS(Ledger!$K$2:$K$4, Ledger!$B$2:$B$4, $A3, Ledger!$C$2:$C$4, BEG$2)),"****")</f>
        <v/>
      </c>
      <c r="BEH3" t="str">
        <f>IFERROR(IF($C3="","",SUMIFS(Ledger!$K$2:$K$4, Ledger!$B$2:$B$4, $A3, Ledger!$C$2:$C$4, BEH$2)),"****")</f>
        <v/>
      </c>
      <c r="BEI3" t="str">
        <f>IFERROR(IF($C3="","",SUMIFS(Ledger!$K$2:$K$4, Ledger!$B$2:$B$4, $A3, Ledger!$C$2:$C$4, BEI$2)),"****")</f>
        <v/>
      </c>
      <c r="BEJ3" t="str">
        <f>IFERROR(IF($C3="","",SUMIFS(Ledger!$K$2:$K$4, Ledger!$B$2:$B$4, $A3, Ledger!$C$2:$C$4, BEJ$2)),"****")</f>
        <v/>
      </c>
      <c r="BEK3" t="str">
        <f>IFERROR(IF($C3="","",SUMIFS(Ledger!$K$2:$K$4, Ledger!$B$2:$B$4, $A3, Ledger!$C$2:$C$4, BEK$2)),"****")</f>
        <v/>
      </c>
      <c r="BEL3" t="str">
        <f>IFERROR(IF($C3="","",SUMIFS(Ledger!$K$2:$K$4, Ledger!$B$2:$B$4, $A3, Ledger!$C$2:$C$4, BEL$2)),"****")</f>
        <v/>
      </c>
      <c r="BEM3" t="str">
        <f>IFERROR(IF($C3="","",SUMIFS(Ledger!$K$2:$K$4, Ledger!$B$2:$B$4, $A3, Ledger!$C$2:$C$4, BEM$2)),"****")</f>
        <v/>
      </c>
      <c r="BEN3" t="str">
        <f>IFERROR(IF($C3="","",SUMIFS(Ledger!$K$2:$K$4, Ledger!$B$2:$B$4, $A3, Ledger!$C$2:$C$4, BEN$2)),"****")</f>
        <v/>
      </c>
      <c r="BEO3" t="str">
        <f>IFERROR(IF($C3="","",SUMIFS(Ledger!$K$2:$K$4, Ledger!$B$2:$B$4, $A3, Ledger!$C$2:$C$4, BEO$2)),"****")</f>
        <v/>
      </c>
      <c r="BEP3" t="str">
        <f>IFERROR(IF($C3="","",SUMIFS(Ledger!$K$2:$K$4, Ledger!$B$2:$B$4, $A3, Ledger!$C$2:$C$4, BEP$2)),"****")</f>
        <v/>
      </c>
      <c r="BEQ3" t="str">
        <f>IFERROR(IF($C3="","",SUMIFS(Ledger!$K$2:$K$4, Ledger!$B$2:$B$4, $A3, Ledger!$C$2:$C$4, BEQ$2)),"****")</f>
        <v/>
      </c>
      <c r="BER3" t="str">
        <f>IFERROR(IF($C3="","",SUMIFS(Ledger!$K$2:$K$4, Ledger!$B$2:$B$4, $A3, Ledger!$C$2:$C$4, BER$2)),"****")</f>
        <v/>
      </c>
      <c r="BES3" t="str">
        <f>IFERROR(IF($C3="","",SUMIFS(Ledger!$K$2:$K$4, Ledger!$B$2:$B$4, $A3, Ledger!$C$2:$C$4, BES$2)),"****")</f>
        <v/>
      </c>
      <c r="BET3" t="str">
        <f>IFERROR(IF($C3="","",SUMIFS(Ledger!$K$2:$K$4, Ledger!$B$2:$B$4, $A3, Ledger!$C$2:$C$4, BET$2)),"****")</f>
        <v/>
      </c>
      <c r="BEU3" t="str">
        <f>IFERROR(IF($C3="","",SUMIFS(Ledger!$K$2:$K$4, Ledger!$B$2:$B$4, $A3, Ledger!$C$2:$C$4, BEU$2)),"****")</f>
        <v/>
      </c>
      <c r="BEV3" t="str">
        <f>IFERROR(IF($C3="","",SUMIFS(Ledger!$K$2:$K$4, Ledger!$B$2:$B$4, $A3, Ledger!$C$2:$C$4, BEV$2)),"****")</f>
        <v/>
      </c>
      <c r="BEW3" t="str">
        <f>IFERROR(IF($C3="","",SUMIFS(Ledger!$K$2:$K$4, Ledger!$B$2:$B$4, $A3, Ledger!$C$2:$C$4, BEW$2)),"****")</f>
        <v/>
      </c>
      <c r="BEX3" t="str">
        <f>IFERROR(IF($C3="","",SUMIFS(Ledger!$K$2:$K$4, Ledger!$B$2:$B$4, $A3, Ledger!$C$2:$C$4, BEX$2)),"****")</f>
        <v/>
      </c>
      <c r="BEY3" t="str">
        <f>IFERROR(IF($C3="","",SUMIFS(Ledger!$K$2:$K$4, Ledger!$B$2:$B$4, $A3, Ledger!$C$2:$C$4, BEY$2)),"****")</f>
        <v/>
      </c>
      <c r="BEZ3" t="str">
        <f>IFERROR(IF($C3="","",SUMIFS(Ledger!$K$2:$K$4, Ledger!$B$2:$B$4, $A3, Ledger!$C$2:$C$4, BEZ$2)),"****")</f>
        <v/>
      </c>
      <c r="BFA3" t="str">
        <f>IFERROR(IF($C3="","",SUMIFS(Ledger!$K$2:$K$4, Ledger!$B$2:$B$4, $A3, Ledger!$C$2:$C$4, BFA$2)),"****")</f>
        <v/>
      </c>
      <c r="BFB3" t="str">
        <f>IFERROR(IF($C3="","",SUMIFS(Ledger!$K$2:$K$4, Ledger!$B$2:$B$4, $A3, Ledger!$C$2:$C$4, BFB$2)),"****")</f>
        <v/>
      </c>
      <c r="BFC3" t="str">
        <f>IFERROR(IF($C3="","",SUMIFS(Ledger!$K$2:$K$4, Ledger!$B$2:$B$4, $A3, Ledger!$C$2:$C$4, BFC$2)),"****")</f>
        <v/>
      </c>
      <c r="BFD3" t="str">
        <f>IFERROR(IF($C3="","",SUMIFS(Ledger!$K$2:$K$4, Ledger!$B$2:$B$4, $A3, Ledger!$C$2:$C$4, BFD$2)),"****")</f>
        <v/>
      </c>
      <c r="BFE3" t="str">
        <f>IFERROR(IF($C3="","",SUMIFS(Ledger!$K$2:$K$4, Ledger!$B$2:$B$4, $A3, Ledger!$C$2:$C$4, BFE$2)),"****")</f>
        <v/>
      </c>
      <c r="BFF3" t="str">
        <f>IFERROR(IF($C3="","",SUMIFS(Ledger!$K$2:$K$4, Ledger!$B$2:$B$4, $A3, Ledger!$C$2:$C$4, BFF$2)),"****")</f>
        <v/>
      </c>
      <c r="BFG3" t="str">
        <f>IFERROR(IF($C3="","",SUMIFS(Ledger!$K$2:$K$4, Ledger!$B$2:$B$4, $A3, Ledger!$C$2:$C$4, BFG$2)),"****")</f>
        <v/>
      </c>
      <c r="BFH3" t="str">
        <f>IFERROR(IF($C3="","",SUMIFS(Ledger!$K$2:$K$4, Ledger!$B$2:$B$4, $A3, Ledger!$C$2:$C$4, BFH$2)),"****")</f>
        <v/>
      </c>
      <c r="BFI3" t="str">
        <f>IFERROR(IF($C3="","",SUMIFS(Ledger!$K$2:$K$4, Ledger!$B$2:$B$4, $A3, Ledger!$C$2:$C$4, BFI$2)),"****")</f>
        <v/>
      </c>
      <c r="BFJ3" t="str">
        <f>IFERROR(IF($C3="","",SUMIFS(Ledger!$K$2:$K$4, Ledger!$B$2:$B$4, $A3, Ledger!$C$2:$C$4, BFJ$2)),"****")</f>
        <v/>
      </c>
      <c r="BFK3" t="str">
        <f>IFERROR(IF($C3="","",SUMIFS(Ledger!$K$2:$K$4, Ledger!$B$2:$B$4, $A3, Ledger!$C$2:$C$4, BFK$2)),"****")</f>
        <v/>
      </c>
      <c r="BFL3" t="str">
        <f>IFERROR(IF($C3="","",SUMIFS(Ledger!$K$2:$K$4, Ledger!$B$2:$B$4, $A3, Ledger!$C$2:$C$4, BFL$2)),"****")</f>
        <v/>
      </c>
      <c r="BFM3" t="str">
        <f>IFERROR(IF($C3="","",SUMIFS(Ledger!$K$2:$K$4, Ledger!$B$2:$B$4, $A3, Ledger!$C$2:$C$4, BFM$2)),"****")</f>
        <v/>
      </c>
      <c r="BFN3" t="str">
        <f>IFERROR(IF($C3="","",SUMIFS(Ledger!$K$2:$K$4, Ledger!$B$2:$B$4, $A3, Ledger!$C$2:$C$4, BFN$2)),"****")</f>
        <v/>
      </c>
      <c r="BFO3" t="str">
        <f>IFERROR(IF($C3="","",SUMIFS(Ledger!$K$2:$K$4, Ledger!$B$2:$B$4, $A3, Ledger!$C$2:$C$4, BFO$2)),"****")</f>
        <v/>
      </c>
      <c r="BFP3" t="str">
        <f>IFERROR(IF($C3="","",SUMIFS(Ledger!$K$2:$K$4, Ledger!$B$2:$B$4, $A3, Ledger!$C$2:$C$4, BFP$2)),"****")</f>
        <v/>
      </c>
      <c r="BFQ3" t="str">
        <f>IFERROR(IF($C3="","",SUMIFS(Ledger!$K$2:$K$4, Ledger!$B$2:$B$4, $A3, Ledger!$C$2:$C$4, BFQ$2)),"****")</f>
        <v/>
      </c>
      <c r="BFR3" t="str">
        <f>IFERROR(IF($C3="","",SUMIFS(Ledger!$K$2:$K$4, Ledger!$B$2:$B$4, $A3, Ledger!$C$2:$C$4, BFR$2)),"****")</f>
        <v/>
      </c>
      <c r="BFS3" t="str">
        <f>IFERROR(IF($C3="","",SUMIFS(Ledger!$K$2:$K$4, Ledger!$B$2:$B$4, $A3, Ledger!$C$2:$C$4, BFS$2)),"****")</f>
        <v/>
      </c>
      <c r="BFT3" t="str">
        <f>IFERROR(IF($C3="","",SUMIFS(Ledger!$K$2:$K$4, Ledger!$B$2:$B$4, $A3, Ledger!$C$2:$C$4, BFT$2)),"****")</f>
        <v/>
      </c>
      <c r="BFU3" t="str">
        <f>IFERROR(IF($C3="","",SUMIFS(Ledger!$K$2:$K$4, Ledger!$B$2:$B$4, $A3, Ledger!$C$2:$C$4, BFU$2)),"****")</f>
        <v/>
      </c>
      <c r="BFV3" t="str">
        <f>IFERROR(IF($C3="","",SUMIFS(Ledger!$K$2:$K$4, Ledger!$B$2:$B$4, $A3, Ledger!$C$2:$C$4, BFV$2)),"****")</f>
        <v/>
      </c>
      <c r="BFW3" t="str">
        <f>IFERROR(IF($C3="","",SUMIFS(Ledger!$K$2:$K$4, Ledger!$B$2:$B$4, $A3, Ledger!$C$2:$C$4, BFW$2)),"****")</f>
        <v/>
      </c>
      <c r="BFX3" t="str">
        <f>IFERROR(IF($C3="","",SUMIFS(Ledger!$K$2:$K$4, Ledger!$B$2:$B$4, $A3, Ledger!$C$2:$C$4, BFX$2)),"****")</f>
        <v/>
      </c>
      <c r="BFY3" t="str">
        <f>IFERROR(IF($C3="","",SUMIFS(Ledger!$K$2:$K$4, Ledger!$B$2:$B$4, $A3, Ledger!$C$2:$C$4, BFY$2)),"****")</f>
        <v/>
      </c>
      <c r="BFZ3" t="str">
        <f>IFERROR(IF($C3="","",SUMIFS(Ledger!$K$2:$K$4, Ledger!$B$2:$B$4, $A3, Ledger!$C$2:$C$4, BFZ$2)),"****")</f>
        <v/>
      </c>
      <c r="BGA3" t="str">
        <f>IFERROR(IF($C3="","",SUMIFS(Ledger!$K$2:$K$4, Ledger!$B$2:$B$4, $A3, Ledger!$C$2:$C$4, BGA$2)),"****")</f>
        <v/>
      </c>
      <c r="BGB3" t="str">
        <f>IFERROR(IF($C3="","",SUMIFS(Ledger!$K$2:$K$4, Ledger!$B$2:$B$4, $A3, Ledger!$C$2:$C$4, BGB$2)),"****")</f>
        <v/>
      </c>
      <c r="BGC3" t="str">
        <f>IFERROR(IF($C3="","",SUMIFS(Ledger!$K$2:$K$4, Ledger!$B$2:$B$4, $A3, Ledger!$C$2:$C$4, BGC$2)),"****")</f>
        <v/>
      </c>
      <c r="BGD3" t="str">
        <f>IFERROR(IF($C3="","",SUMIFS(Ledger!$K$2:$K$4, Ledger!$B$2:$B$4, $A3, Ledger!$C$2:$C$4, BGD$2)),"****")</f>
        <v/>
      </c>
      <c r="BGE3" t="str">
        <f>IFERROR(IF($C3="","",SUMIFS(Ledger!$K$2:$K$4, Ledger!$B$2:$B$4, $A3, Ledger!$C$2:$C$4, BGE$2)),"****")</f>
        <v/>
      </c>
      <c r="BGF3" t="str">
        <f>IFERROR(IF($C3="","",SUMIFS(Ledger!$K$2:$K$4, Ledger!$B$2:$B$4, $A3, Ledger!$C$2:$C$4, BGF$2)),"****")</f>
        <v/>
      </c>
      <c r="BGG3" t="str">
        <f>IFERROR(IF($C3="","",SUMIFS(Ledger!$K$2:$K$4, Ledger!$B$2:$B$4, $A3, Ledger!$C$2:$C$4, BGG$2)),"****")</f>
        <v/>
      </c>
      <c r="BGH3" t="str">
        <f>IFERROR(IF($C3="","",SUMIFS(Ledger!$K$2:$K$4, Ledger!$B$2:$B$4, $A3, Ledger!$C$2:$C$4, BGH$2)),"****")</f>
        <v/>
      </c>
      <c r="BGI3" t="str">
        <f>IFERROR(IF($C3="","",SUMIFS(Ledger!$K$2:$K$4, Ledger!$B$2:$B$4, $A3, Ledger!$C$2:$C$4, BGI$2)),"****")</f>
        <v/>
      </c>
      <c r="BGJ3" t="str">
        <f>IFERROR(IF($C3="","",SUMIFS(Ledger!$K$2:$K$4, Ledger!$B$2:$B$4, $A3, Ledger!$C$2:$C$4, BGJ$2)),"****")</f>
        <v/>
      </c>
      <c r="BGK3" t="str">
        <f>IFERROR(IF($C3="","",SUMIFS(Ledger!$K$2:$K$4, Ledger!$B$2:$B$4, $A3, Ledger!$C$2:$C$4, BGK$2)),"****")</f>
        <v/>
      </c>
      <c r="BGL3" t="str">
        <f>IFERROR(IF($C3="","",SUMIFS(Ledger!$K$2:$K$4, Ledger!$B$2:$B$4, $A3, Ledger!$C$2:$C$4, BGL$2)),"****")</f>
        <v/>
      </c>
      <c r="BGM3" t="str">
        <f>IFERROR(IF($C3="","",SUMIFS(Ledger!$K$2:$K$4, Ledger!$B$2:$B$4, $A3, Ledger!$C$2:$C$4, BGM$2)),"****")</f>
        <v/>
      </c>
      <c r="BGN3" t="str">
        <f>IFERROR(IF($C3="","",SUMIFS(Ledger!$K$2:$K$4, Ledger!$B$2:$B$4, $A3, Ledger!$C$2:$C$4, BGN$2)),"****")</f>
        <v/>
      </c>
      <c r="BGO3" t="str">
        <f>IFERROR(IF($C3="","",SUMIFS(Ledger!$K$2:$K$4, Ledger!$B$2:$B$4, $A3, Ledger!$C$2:$C$4, BGO$2)),"****")</f>
        <v/>
      </c>
      <c r="BGP3" t="str">
        <f>IFERROR(IF($C3="","",SUMIFS(Ledger!$K$2:$K$4, Ledger!$B$2:$B$4, $A3, Ledger!$C$2:$C$4, BGP$2)),"****")</f>
        <v/>
      </c>
      <c r="BGQ3" t="str">
        <f>IFERROR(IF($C3="","",SUMIFS(Ledger!$K$2:$K$4, Ledger!$B$2:$B$4, $A3, Ledger!$C$2:$C$4, BGQ$2)),"****")</f>
        <v/>
      </c>
      <c r="BGR3" t="str">
        <f>IFERROR(IF($C3="","",SUMIFS(Ledger!$K$2:$K$4, Ledger!$B$2:$B$4, $A3, Ledger!$C$2:$C$4, BGR$2)),"****")</f>
        <v/>
      </c>
      <c r="BGS3" t="str">
        <f>IFERROR(IF($C3="","",SUMIFS(Ledger!$K$2:$K$4, Ledger!$B$2:$B$4, $A3, Ledger!$C$2:$C$4, BGS$2)),"****")</f>
        <v/>
      </c>
      <c r="BGT3" t="str">
        <f>IFERROR(IF($C3="","",SUMIFS(Ledger!$K$2:$K$4, Ledger!$B$2:$B$4, $A3, Ledger!$C$2:$C$4, BGT$2)),"****")</f>
        <v/>
      </c>
      <c r="BGU3" t="str">
        <f>IFERROR(IF($C3="","",SUMIFS(Ledger!$K$2:$K$4, Ledger!$B$2:$B$4, $A3, Ledger!$C$2:$C$4, BGU$2)),"****")</f>
        <v/>
      </c>
      <c r="BGV3" t="str">
        <f>IFERROR(IF($C3="","",SUMIFS(Ledger!$K$2:$K$4, Ledger!$B$2:$B$4, $A3, Ledger!$C$2:$C$4, BGV$2)),"****")</f>
        <v/>
      </c>
      <c r="BGW3" t="str">
        <f>IFERROR(IF($C3="","",SUMIFS(Ledger!$K$2:$K$4, Ledger!$B$2:$B$4, $A3, Ledger!$C$2:$C$4, BGW$2)),"****")</f>
        <v/>
      </c>
      <c r="BGX3" t="str">
        <f>IFERROR(IF($C3="","",SUMIFS(Ledger!$K$2:$K$4, Ledger!$B$2:$B$4, $A3, Ledger!$C$2:$C$4, BGX$2)),"****")</f>
        <v/>
      </c>
      <c r="BGY3" t="str">
        <f>IFERROR(IF($C3="","",SUMIFS(Ledger!$K$2:$K$4, Ledger!$B$2:$B$4, $A3, Ledger!$C$2:$C$4, BGY$2)),"****")</f>
        <v/>
      </c>
      <c r="BGZ3" t="str">
        <f>IFERROR(IF($C3="","",SUMIFS(Ledger!$K$2:$K$4, Ledger!$B$2:$B$4, $A3, Ledger!$C$2:$C$4, BGZ$2)),"****")</f>
        <v/>
      </c>
      <c r="BHA3" t="str">
        <f>IFERROR(IF($C3="","",SUMIFS(Ledger!$K$2:$K$4, Ledger!$B$2:$B$4, $A3, Ledger!$C$2:$C$4, BHA$2)),"****")</f>
        <v/>
      </c>
      <c r="BHB3" t="str">
        <f>IFERROR(IF($C3="","",SUMIFS(Ledger!$K$2:$K$4, Ledger!$B$2:$B$4, $A3, Ledger!$C$2:$C$4, BHB$2)),"****")</f>
        <v/>
      </c>
      <c r="BHC3" t="str">
        <f>IFERROR(IF($C3="","",SUMIFS(Ledger!$K$2:$K$4, Ledger!$B$2:$B$4, $A3, Ledger!$C$2:$C$4, BHC$2)),"****")</f>
        <v/>
      </c>
      <c r="BHD3" t="str">
        <f>IFERROR(IF($C3="","",SUMIFS(Ledger!$K$2:$K$4, Ledger!$B$2:$B$4, $A3, Ledger!$C$2:$C$4, BHD$2)),"****")</f>
        <v/>
      </c>
      <c r="BHE3" t="str">
        <f>IFERROR(IF($C3="","",SUMIFS(Ledger!$K$2:$K$4, Ledger!$B$2:$B$4, $A3, Ledger!$C$2:$C$4, BHE$2)),"****")</f>
        <v/>
      </c>
      <c r="BHF3" t="str">
        <f>IFERROR(IF($C3="","",SUMIFS(Ledger!$K$2:$K$4, Ledger!$B$2:$B$4, $A3, Ledger!$C$2:$C$4, BHF$2)),"****")</f>
        <v/>
      </c>
      <c r="BHG3" t="str">
        <f>IFERROR(IF($C3="","",SUMIFS(Ledger!$K$2:$K$4, Ledger!$B$2:$B$4, $A3, Ledger!$C$2:$C$4, BHG$2)),"****")</f>
        <v/>
      </c>
      <c r="BHH3" t="str">
        <f>IFERROR(IF($C3="","",SUMIFS(Ledger!$K$2:$K$4, Ledger!$B$2:$B$4, $A3, Ledger!$C$2:$C$4, BHH$2)),"****")</f>
        <v/>
      </c>
      <c r="BHI3" t="str">
        <f>IFERROR(IF($C3="","",SUMIFS(Ledger!$K$2:$K$4, Ledger!$B$2:$B$4, $A3, Ledger!$C$2:$C$4, BHI$2)),"****")</f>
        <v/>
      </c>
      <c r="BHJ3" t="str">
        <f>IFERROR(IF($C3="","",SUMIFS(Ledger!$K$2:$K$4, Ledger!$B$2:$B$4, $A3, Ledger!$C$2:$C$4, BHJ$2)),"****")</f>
        <v/>
      </c>
      <c r="BHK3" t="str">
        <f>IFERROR(IF($C3="","",SUMIFS(Ledger!$K$2:$K$4, Ledger!$B$2:$B$4, $A3, Ledger!$C$2:$C$4, BHK$2)),"****")</f>
        <v/>
      </c>
      <c r="BHL3" t="str">
        <f>IFERROR(IF($C3="","",SUMIFS(Ledger!$K$2:$K$4, Ledger!$B$2:$B$4, $A3, Ledger!$C$2:$C$4, BHL$2)),"****")</f>
        <v/>
      </c>
      <c r="BHM3" t="str">
        <f>IFERROR(IF($C3="","",SUMIFS(Ledger!$K$2:$K$4, Ledger!$B$2:$B$4, $A3, Ledger!$C$2:$C$4, BHM$2)),"****")</f>
        <v/>
      </c>
      <c r="BHN3" t="str">
        <f>IFERROR(IF($C3="","",SUMIFS(Ledger!$K$2:$K$4, Ledger!$B$2:$B$4, $A3, Ledger!$C$2:$C$4, BHN$2)),"****")</f>
        <v/>
      </c>
      <c r="BHO3" t="str">
        <f>IFERROR(IF($C3="","",SUMIFS(Ledger!$K$2:$K$4, Ledger!$B$2:$B$4, $A3, Ledger!$C$2:$C$4, BHO$2)),"****")</f>
        <v/>
      </c>
      <c r="BHP3" t="str">
        <f>IFERROR(IF($C3="","",SUMIFS(Ledger!$K$2:$K$4, Ledger!$B$2:$B$4, $A3, Ledger!$C$2:$C$4, BHP$2)),"****")</f>
        <v/>
      </c>
      <c r="BHQ3" t="str">
        <f>IFERROR(IF($C3="","",SUMIFS(Ledger!$K$2:$K$4, Ledger!$B$2:$B$4, $A3, Ledger!$C$2:$C$4, BHQ$2)),"****")</f>
        <v/>
      </c>
      <c r="BHR3" t="str">
        <f>IFERROR(IF($C3="","",SUMIFS(Ledger!$K$2:$K$4, Ledger!$B$2:$B$4, $A3, Ledger!$C$2:$C$4, BHR$2)),"****")</f>
        <v/>
      </c>
      <c r="BHS3" t="str">
        <f>IFERROR(IF($C3="","",SUMIFS(Ledger!$K$2:$K$4, Ledger!$B$2:$B$4, $A3, Ledger!$C$2:$C$4, BHS$2)),"****")</f>
        <v/>
      </c>
      <c r="BHT3" t="str">
        <f>IFERROR(IF($C3="","",SUMIFS(Ledger!$K$2:$K$4, Ledger!$B$2:$B$4, $A3, Ledger!$C$2:$C$4, BHT$2)),"****")</f>
        <v/>
      </c>
      <c r="BHU3" t="str">
        <f>IFERROR(IF($C3="","",SUMIFS(Ledger!$K$2:$K$4, Ledger!$B$2:$B$4, $A3, Ledger!$C$2:$C$4, BHU$2)),"****")</f>
        <v/>
      </c>
      <c r="BHV3" t="str">
        <f>IFERROR(IF($C3="","",SUMIFS(Ledger!$K$2:$K$4, Ledger!$B$2:$B$4, $A3, Ledger!$C$2:$C$4, BHV$2)),"****")</f>
        <v/>
      </c>
      <c r="BHW3" t="str">
        <f>IFERROR(IF($C3="","",SUMIFS(Ledger!$K$2:$K$4, Ledger!$B$2:$B$4, $A3, Ledger!$C$2:$C$4, BHW$2)),"****")</f>
        <v/>
      </c>
      <c r="BHX3" t="str">
        <f>IFERROR(IF($C3="","",SUMIFS(Ledger!$K$2:$K$4, Ledger!$B$2:$B$4, $A3, Ledger!$C$2:$C$4, BHX$2)),"****")</f>
        <v/>
      </c>
      <c r="BHY3" t="str">
        <f>IFERROR(IF($C3="","",SUMIFS(Ledger!$K$2:$K$4, Ledger!$B$2:$B$4, $A3, Ledger!$C$2:$C$4, BHY$2)),"****")</f>
        <v/>
      </c>
      <c r="BHZ3" t="str">
        <f>IFERROR(IF($C3="","",SUMIFS(Ledger!$K$2:$K$4, Ledger!$B$2:$B$4, $A3, Ledger!$C$2:$C$4, BHZ$2)),"****")</f>
        <v/>
      </c>
      <c r="BIA3" t="str">
        <f>IFERROR(IF($C3="","",SUMIFS(Ledger!$K$2:$K$4, Ledger!$B$2:$B$4, $A3, Ledger!$C$2:$C$4, BIA$2)),"****")</f>
        <v/>
      </c>
      <c r="BIB3" t="str">
        <f>IFERROR(IF($C3="","",SUMIFS(Ledger!$K$2:$K$4, Ledger!$B$2:$B$4, $A3, Ledger!$C$2:$C$4, BIB$2)),"****")</f>
        <v/>
      </c>
      <c r="BIC3" t="str">
        <f>IFERROR(IF($C3="","",SUMIFS(Ledger!$K$2:$K$4, Ledger!$B$2:$B$4, $A3, Ledger!$C$2:$C$4, BIC$2)),"****")</f>
        <v/>
      </c>
      <c r="BID3" t="str">
        <f>IFERROR(IF($C3="","",SUMIFS(Ledger!$K$2:$K$4, Ledger!$B$2:$B$4, $A3, Ledger!$C$2:$C$4, BID$2)),"****")</f>
        <v/>
      </c>
      <c r="BIE3" t="str">
        <f>IFERROR(IF($C3="","",SUMIFS(Ledger!$K$2:$K$4, Ledger!$B$2:$B$4, $A3, Ledger!$C$2:$C$4, BIE$2)),"****")</f>
        <v/>
      </c>
      <c r="BIF3" t="str">
        <f>IFERROR(IF($C3="","",SUMIFS(Ledger!$K$2:$K$4, Ledger!$B$2:$B$4, $A3, Ledger!$C$2:$C$4, BIF$2)),"****")</f>
        <v/>
      </c>
      <c r="BIG3" t="str">
        <f>IFERROR(IF($C3="","",SUMIFS(Ledger!$K$2:$K$4, Ledger!$B$2:$B$4, $A3, Ledger!$C$2:$C$4, BIG$2)),"****")</f>
        <v/>
      </c>
      <c r="BIH3" t="str">
        <f>IFERROR(IF($C3="","",SUMIFS(Ledger!$K$2:$K$4, Ledger!$B$2:$B$4, $A3, Ledger!$C$2:$C$4, BIH$2)),"****")</f>
        <v/>
      </c>
      <c r="BII3" t="str">
        <f>IFERROR(IF($C3="","",SUMIFS(Ledger!$K$2:$K$4, Ledger!$B$2:$B$4, $A3, Ledger!$C$2:$C$4, BII$2)),"****")</f>
        <v/>
      </c>
      <c r="BIJ3" t="str">
        <f>IFERROR(IF($C3="","",SUMIFS(Ledger!$K$2:$K$4, Ledger!$B$2:$B$4, $A3, Ledger!$C$2:$C$4, BIJ$2)),"****")</f>
        <v/>
      </c>
      <c r="BIK3" t="str">
        <f>IFERROR(IF($C3="","",SUMIFS(Ledger!$K$2:$K$4, Ledger!$B$2:$B$4, $A3, Ledger!$C$2:$C$4, BIK$2)),"****")</f>
        <v/>
      </c>
      <c r="BIL3" t="str">
        <f>IFERROR(IF($C3="","",SUMIFS(Ledger!$K$2:$K$4, Ledger!$B$2:$B$4, $A3, Ledger!$C$2:$C$4, BIL$2)),"****")</f>
        <v/>
      </c>
      <c r="BIM3" t="str">
        <f>IFERROR(IF($C3="","",SUMIFS(Ledger!$K$2:$K$4, Ledger!$B$2:$B$4, $A3, Ledger!$C$2:$C$4, BIM$2)),"****")</f>
        <v/>
      </c>
      <c r="BIN3" t="str">
        <f>IFERROR(IF($C3="","",SUMIFS(Ledger!$K$2:$K$4, Ledger!$B$2:$B$4, $A3, Ledger!$C$2:$C$4, BIN$2)),"****")</f>
        <v/>
      </c>
      <c r="BIO3" t="str">
        <f>IFERROR(IF($C3="","",SUMIFS(Ledger!$K$2:$K$4, Ledger!$B$2:$B$4, $A3, Ledger!$C$2:$C$4, BIO$2)),"****")</f>
        <v/>
      </c>
      <c r="BIP3" t="str">
        <f>IFERROR(IF($C3="","",SUMIFS(Ledger!$K$2:$K$4, Ledger!$B$2:$B$4, $A3, Ledger!$C$2:$C$4, BIP$2)),"****")</f>
        <v/>
      </c>
      <c r="BIQ3" t="str">
        <f>IFERROR(IF($C3="","",SUMIFS(Ledger!$K$2:$K$4, Ledger!$B$2:$B$4, $A3, Ledger!$C$2:$C$4, BIQ$2)),"****")</f>
        <v/>
      </c>
      <c r="BIR3" t="str">
        <f>IFERROR(IF($C3="","",SUMIFS(Ledger!$K$2:$K$4, Ledger!$B$2:$B$4, $A3, Ledger!$C$2:$C$4, BIR$2)),"****")</f>
        <v/>
      </c>
      <c r="BIS3" t="str">
        <f>IFERROR(IF($C3="","",SUMIFS(Ledger!$K$2:$K$4, Ledger!$B$2:$B$4, $A3, Ledger!$C$2:$C$4, BIS$2)),"****")</f>
        <v/>
      </c>
      <c r="BIT3" t="str">
        <f>IFERROR(IF($C3="","",SUMIFS(Ledger!$K$2:$K$4, Ledger!$B$2:$B$4, $A3, Ledger!$C$2:$C$4, BIT$2)),"****")</f>
        <v/>
      </c>
      <c r="BIU3" t="str">
        <f>IFERROR(IF($C3="","",SUMIFS(Ledger!$K$2:$K$4, Ledger!$B$2:$B$4, $A3, Ledger!$C$2:$C$4, BIU$2)),"****")</f>
        <v/>
      </c>
      <c r="BIV3" t="str">
        <f>IFERROR(IF($C3="","",SUMIFS(Ledger!$K$2:$K$4, Ledger!$B$2:$B$4, $A3, Ledger!$C$2:$C$4, BIV$2)),"****")</f>
        <v/>
      </c>
      <c r="BIW3" t="str">
        <f>IFERROR(IF($C3="","",SUMIFS(Ledger!$K$2:$K$4, Ledger!$B$2:$B$4, $A3, Ledger!$C$2:$C$4, BIW$2)),"****")</f>
        <v/>
      </c>
      <c r="BIX3" t="str">
        <f>IFERROR(IF($C3="","",SUMIFS(Ledger!$K$2:$K$4, Ledger!$B$2:$B$4, $A3, Ledger!$C$2:$C$4, BIX$2)),"****")</f>
        <v/>
      </c>
      <c r="BIY3" t="str">
        <f>IFERROR(IF($C3="","",SUMIFS(Ledger!$K$2:$K$4, Ledger!$B$2:$B$4, $A3, Ledger!$C$2:$C$4, BIY$2)),"****")</f>
        <v/>
      </c>
      <c r="BIZ3" t="str">
        <f>IFERROR(IF($C3="","",SUMIFS(Ledger!$K$2:$K$4, Ledger!$B$2:$B$4, $A3, Ledger!$C$2:$C$4, BIZ$2)),"****")</f>
        <v/>
      </c>
      <c r="BJA3" t="str">
        <f>IFERROR(IF($C3="","",SUMIFS(Ledger!$K$2:$K$4, Ledger!$B$2:$B$4, $A3, Ledger!$C$2:$C$4, BJA$2)),"****")</f>
        <v/>
      </c>
      <c r="BJB3" t="str">
        <f>IFERROR(IF($C3="","",SUMIFS(Ledger!$K$2:$K$4, Ledger!$B$2:$B$4, $A3, Ledger!$C$2:$C$4, BJB$2)),"****")</f>
        <v/>
      </c>
      <c r="BJC3" t="str">
        <f>IFERROR(IF($C3="","",SUMIFS(Ledger!$K$2:$K$4, Ledger!$B$2:$B$4, $A3, Ledger!$C$2:$C$4, BJC$2)),"****")</f>
        <v/>
      </c>
      <c r="BJD3" t="str">
        <f>IFERROR(IF($C3="","",SUMIFS(Ledger!$K$2:$K$4, Ledger!$B$2:$B$4, $A3, Ledger!$C$2:$C$4, BJD$2)),"****")</f>
        <v/>
      </c>
      <c r="BJE3" t="str">
        <f>IFERROR(IF($C3="","",SUMIFS(Ledger!$K$2:$K$4, Ledger!$B$2:$B$4, $A3, Ledger!$C$2:$C$4, BJE$2)),"****")</f>
        <v/>
      </c>
      <c r="BJF3" t="str">
        <f>IFERROR(IF($C3="","",SUMIFS(Ledger!$K$2:$K$4, Ledger!$B$2:$B$4, $A3, Ledger!$C$2:$C$4, BJF$2)),"****")</f>
        <v/>
      </c>
      <c r="BJG3" t="str">
        <f>IFERROR(IF($C3="","",SUMIFS(Ledger!$K$2:$K$4, Ledger!$B$2:$B$4, $A3, Ledger!$C$2:$C$4, BJG$2)),"****")</f>
        <v/>
      </c>
      <c r="BJH3" t="str">
        <f>IFERROR(IF($C3="","",SUMIFS(Ledger!$K$2:$K$4, Ledger!$B$2:$B$4, $A3, Ledger!$C$2:$C$4, BJH$2)),"****")</f>
        <v/>
      </c>
      <c r="BJI3" t="str">
        <f>IFERROR(IF($C3="","",SUMIFS(Ledger!$K$2:$K$4, Ledger!$B$2:$B$4, $A3, Ledger!$C$2:$C$4, BJI$2)),"****")</f>
        <v/>
      </c>
      <c r="BJJ3" t="str">
        <f>IFERROR(IF($C3="","",SUMIFS(Ledger!$K$2:$K$4, Ledger!$B$2:$B$4, $A3, Ledger!$C$2:$C$4, BJJ$2)),"****")</f>
        <v/>
      </c>
      <c r="BJK3" t="str">
        <f>IFERROR(IF($C3="","",SUMIFS(Ledger!$K$2:$K$4, Ledger!$B$2:$B$4, $A3, Ledger!$C$2:$C$4, BJK$2)),"****")</f>
        <v/>
      </c>
      <c r="BJL3" t="str">
        <f>IFERROR(IF($C3="","",SUMIFS(Ledger!$K$2:$K$4, Ledger!$B$2:$B$4, $A3, Ledger!$C$2:$C$4, BJL$2)),"****")</f>
        <v/>
      </c>
      <c r="BJM3" t="str">
        <f>IFERROR(IF($C3="","",SUMIFS(Ledger!$K$2:$K$4, Ledger!$B$2:$B$4, $A3, Ledger!$C$2:$C$4, BJM$2)),"****")</f>
        <v/>
      </c>
      <c r="BJN3" t="str">
        <f>IFERROR(IF($C3="","",SUMIFS(Ledger!$K$2:$K$4, Ledger!$B$2:$B$4, $A3, Ledger!$C$2:$C$4, BJN$2)),"****")</f>
        <v/>
      </c>
      <c r="BJO3" t="str">
        <f>IFERROR(IF($C3="","",SUMIFS(Ledger!$K$2:$K$4, Ledger!$B$2:$B$4, $A3, Ledger!$C$2:$C$4, BJO$2)),"****")</f>
        <v/>
      </c>
      <c r="BJP3" t="str">
        <f>IFERROR(IF($C3="","",SUMIFS(Ledger!$K$2:$K$4, Ledger!$B$2:$B$4, $A3, Ledger!$C$2:$C$4, BJP$2)),"****")</f>
        <v/>
      </c>
      <c r="BJQ3" t="str">
        <f>IFERROR(IF($C3="","",SUMIFS(Ledger!$K$2:$K$4, Ledger!$B$2:$B$4, $A3, Ledger!$C$2:$C$4, BJQ$2)),"****")</f>
        <v/>
      </c>
      <c r="BJR3" t="str">
        <f>IFERROR(IF($C3="","",SUMIFS(Ledger!$K$2:$K$4, Ledger!$B$2:$B$4, $A3, Ledger!$C$2:$C$4, BJR$2)),"****")</f>
        <v/>
      </c>
      <c r="BJS3" t="str">
        <f>IFERROR(IF($C3="","",SUMIFS(Ledger!$K$2:$K$4, Ledger!$B$2:$B$4, $A3, Ledger!$C$2:$C$4, BJS$2)),"****")</f>
        <v/>
      </c>
      <c r="BJT3" t="str">
        <f>IFERROR(IF($C3="","",SUMIFS(Ledger!$K$2:$K$4, Ledger!$B$2:$B$4, $A3, Ledger!$C$2:$C$4, BJT$2)),"****")</f>
        <v/>
      </c>
      <c r="BJU3" t="str">
        <f>IFERROR(IF($C3="","",SUMIFS(Ledger!$K$2:$K$4, Ledger!$B$2:$B$4, $A3, Ledger!$C$2:$C$4, BJU$2)),"****")</f>
        <v/>
      </c>
      <c r="BJV3" t="str">
        <f>IFERROR(IF($C3="","",SUMIFS(Ledger!$K$2:$K$4, Ledger!$B$2:$B$4, $A3, Ledger!$C$2:$C$4, BJV$2)),"****")</f>
        <v/>
      </c>
      <c r="BJW3" t="str">
        <f>IFERROR(IF($C3="","",SUMIFS(Ledger!$K$2:$K$4, Ledger!$B$2:$B$4, $A3, Ledger!$C$2:$C$4, BJW$2)),"****")</f>
        <v/>
      </c>
      <c r="BJX3" t="str">
        <f>IFERROR(IF($C3="","",SUMIFS(Ledger!$K$2:$K$4, Ledger!$B$2:$B$4, $A3, Ledger!$C$2:$C$4, BJX$2)),"****")</f>
        <v/>
      </c>
      <c r="BJY3" t="str">
        <f>IFERROR(IF($C3="","",SUMIFS(Ledger!$K$2:$K$4, Ledger!$B$2:$B$4, $A3, Ledger!$C$2:$C$4, BJY$2)),"****")</f>
        <v/>
      </c>
      <c r="BJZ3" t="str">
        <f>IFERROR(IF($C3="","",SUMIFS(Ledger!$K$2:$K$4, Ledger!$B$2:$B$4, $A3, Ledger!$C$2:$C$4, BJZ$2)),"****")</f>
        <v/>
      </c>
      <c r="BKA3" t="str">
        <f>IFERROR(IF($C3="","",SUMIFS(Ledger!$K$2:$K$4, Ledger!$B$2:$B$4, $A3, Ledger!$C$2:$C$4, BKA$2)),"****")</f>
        <v/>
      </c>
      <c r="BKB3" t="str">
        <f>IFERROR(IF($C3="","",SUMIFS(Ledger!$K$2:$K$4, Ledger!$B$2:$B$4, $A3, Ledger!$C$2:$C$4, BKB$2)),"****")</f>
        <v/>
      </c>
      <c r="BKC3" t="str">
        <f>IFERROR(IF($C3="","",SUMIFS(Ledger!$K$2:$K$4, Ledger!$B$2:$B$4, $A3, Ledger!$C$2:$C$4, BKC$2)),"****")</f>
        <v/>
      </c>
      <c r="BKD3" t="str">
        <f>IFERROR(IF($C3="","",SUMIFS(Ledger!$K$2:$K$4, Ledger!$B$2:$B$4, $A3, Ledger!$C$2:$C$4, BKD$2)),"****")</f>
        <v/>
      </c>
      <c r="BKE3" t="str">
        <f>IFERROR(IF($C3="","",SUMIFS(Ledger!$K$2:$K$4, Ledger!$B$2:$B$4, $A3, Ledger!$C$2:$C$4, BKE$2)),"****")</f>
        <v/>
      </c>
      <c r="BKF3" t="str">
        <f>IFERROR(IF($C3="","",SUMIFS(Ledger!$K$2:$K$4, Ledger!$B$2:$B$4, $A3, Ledger!$C$2:$C$4, BKF$2)),"****")</f>
        <v/>
      </c>
      <c r="BKG3" t="str">
        <f>IFERROR(IF($C3="","",SUMIFS(Ledger!$K$2:$K$4, Ledger!$B$2:$B$4, $A3, Ledger!$C$2:$C$4, BKG$2)),"****")</f>
        <v/>
      </c>
      <c r="BKH3" t="str">
        <f>IFERROR(IF($C3="","",SUMIFS(Ledger!$K$2:$K$4, Ledger!$B$2:$B$4, $A3, Ledger!$C$2:$C$4, BKH$2)),"****")</f>
        <v/>
      </c>
      <c r="BKI3" t="str">
        <f>IFERROR(IF($C3="","",SUMIFS(Ledger!$K$2:$K$4, Ledger!$B$2:$B$4, $A3, Ledger!$C$2:$C$4, BKI$2)),"****")</f>
        <v/>
      </c>
      <c r="BKJ3" t="str">
        <f>IFERROR(IF($C3="","",SUMIFS(Ledger!$K$2:$K$4, Ledger!$B$2:$B$4, $A3, Ledger!$C$2:$C$4, BKJ$2)),"****")</f>
        <v/>
      </c>
      <c r="BKK3" t="str">
        <f>IFERROR(IF($C3="","",SUMIFS(Ledger!$K$2:$K$4, Ledger!$B$2:$B$4, $A3, Ledger!$C$2:$C$4, BKK$2)),"****")</f>
        <v/>
      </c>
      <c r="BKL3" t="str">
        <f>IFERROR(IF($C3="","",SUMIFS(Ledger!$K$2:$K$4, Ledger!$B$2:$B$4, $A3, Ledger!$C$2:$C$4, BKL$2)),"****")</f>
        <v/>
      </c>
      <c r="BKM3" t="str">
        <f>IFERROR(IF($C3="","",SUMIFS(Ledger!$K$2:$K$4, Ledger!$B$2:$B$4, $A3, Ledger!$C$2:$C$4, BKM$2)),"****")</f>
        <v/>
      </c>
      <c r="BKN3" t="str">
        <f>IFERROR(IF($C3="","",SUMIFS(Ledger!$K$2:$K$4, Ledger!$B$2:$B$4, $A3, Ledger!$C$2:$C$4, BKN$2)),"****")</f>
        <v/>
      </c>
      <c r="BKO3" t="str">
        <f>IFERROR(IF($C3="","",SUMIFS(Ledger!$K$2:$K$4, Ledger!$B$2:$B$4, $A3, Ledger!$C$2:$C$4, BKO$2)),"****")</f>
        <v/>
      </c>
      <c r="BKP3" t="str">
        <f>IFERROR(IF($C3="","",SUMIFS(Ledger!$K$2:$K$4, Ledger!$B$2:$B$4, $A3, Ledger!$C$2:$C$4, BKP$2)),"****")</f>
        <v/>
      </c>
      <c r="BKQ3" t="str">
        <f>IFERROR(IF($C3="","",SUMIFS(Ledger!$K$2:$K$4, Ledger!$B$2:$B$4, $A3, Ledger!$C$2:$C$4, BKQ$2)),"****")</f>
        <v/>
      </c>
      <c r="BKR3" t="str">
        <f>IFERROR(IF($C3="","",SUMIFS(Ledger!$K$2:$K$4, Ledger!$B$2:$B$4, $A3, Ledger!$C$2:$C$4, BKR$2)),"****")</f>
        <v/>
      </c>
      <c r="BKS3" t="str">
        <f>IFERROR(IF($C3="","",SUMIFS(Ledger!$K$2:$K$4, Ledger!$B$2:$B$4, $A3, Ledger!$C$2:$C$4, BKS$2)),"****")</f>
        <v/>
      </c>
      <c r="BKT3" t="str">
        <f>IFERROR(IF($C3="","",SUMIFS(Ledger!$K$2:$K$4, Ledger!$B$2:$B$4, $A3, Ledger!$C$2:$C$4, BKT$2)),"****")</f>
        <v/>
      </c>
      <c r="BKU3" t="str">
        <f>IFERROR(IF($C3="","",SUMIFS(Ledger!$K$2:$K$4, Ledger!$B$2:$B$4, $A3, Ledger!$C$2:$C$4, BKU$2)),"****")</f>
        <v/>
      </c>
      <c r="BKV3" t="str">
        <f>IFERROR(IF($C3="","",SUMIFS(Ledger!$K$2:$K$4, Ledger!$B$2:$B$4, $A3, Ledger!$C$2:$C$4, BKV$2)),"****")</f>
        <v/>
      </c>
      <c r="BKW3" t="str">
        <f>IFERROR(IF($C3="","",SUMIFS(Ledger!$K$2:$K$4, Ledger!$B$2:$B$4, $A3, Ledger!$C$2:$C$4, BKW$2)),"****")</f>
        <v/>
      </c>
      <c r="BKX3" t="str">
        <f>IFERROR(IF($C3="","",SUMIFS(Ledger!$K$2:$K$4, Ledger!$B$2:$B$4, $A3, Ledger!$C$2:$C$4, BKX$2)),"****")</f>
        <v/>
      </c>
      <c r="BKY3" t="str">
        <f>IFERROR(IF($C3="","",SUMIFS(Ledger!$K$2:$K$4, Ledger!$B$2:$B$4, $A3, Ledger!$C$2:$C$4, BKY$2)),"****")</f>
        <v/>
      </c>
      <c r="BKZ3" t="str">
        <f>IFERROR(IF($C3="","",SUMIFS(Ledger!$K$2:$K$4, Ledger!$B$2:$B$4, $A3, Ledger!$C$2:$C$4, BKZ$2)),"****")</f>
        <v/>
      </c>
      <c r="BLA3" t="str">
        <f>IFERROR(IF($C3="","",SUMIFS(Ledger!$K$2:$K$4, Ledger!$B$2:$B$4, $A3, Ledger!$C$2:$C$4, BLA$2)),"****")</f>
        <v/>
      </c>
      <c r="BLB3" t="str">
        <f>IFERROR(IF($C3="","",SUMIFS(Ledger!$K$2:$K$4, Ledger!$B$2:$B$4, $A3, Ledger!$C$2:$C$4, BLB$2)),"****")</f>
        <v/>
      </c>
      <c r="BLC3" t="str">
        <f>IFERROR(IF($C3="","",SUMIFS(Ledger!$K$2:$K$4, Ledger!$B$2:$B$4, $A3, Ledger!$C$2:$C$4, BLC$2)),"****")</f>
        <v/>
      </c>
      <c r="BLD3" t="str">
        <f>IFERROR(IF($C3="","",SUMIFS(Ledger!$K$2:$K$4, Ledger!$B$2:$B$4, $A3, Ledger!$C$2:$C$4, BLD$2)),"****")</f>
        <v/>
      </c>
      <c r="BLE3" t="str">
        <f>IFERROR(IF($C3="","",SUMIFS(Ledger!$K$2:$K$4, Ledger!$B$2:$B$4, $A3, Ledger!$C$2:$C$4, BLE$2)),"****")</f>
        <v/>
      </c>
      <c r="BLF3" t="str">
        <f>IFERROR(IF($C3="","",SUMIFS(Ledger!$K$2:$K$4, Ledger!$B$2:$B$4, $A3, Ledger!$C$2:$C$4, BLF$2)),"****")</f>
        <v/>
      </c>
      <c r="BLG3" t="str">
        <f>IFERROR(IF($C3="","",SUMIFS(Ledger!$K$2:$K$4, Ledger!$B$2:$B$4, $A3, Ledger!$C$2:$C$4, BLG$2)),"****")</f>
        <v/>
      </c>
      <c r="BLH3" t="str">
        <f>IFERROR(IF($C3="","",SUMIFS(Ledger!$K$2:$K$4, Ledger!$B$2:$B$4, $A3, Ledger!$C$2:$C$4, BLH$2)),"****")</f>
        <v/>
      </c>
      <c r="BLI3" t="str">
        <f>IFERROR(IF($C3="","",SUMIFS(Ledger!$K$2:$K$4, Ledger!$B$2:$B$4, $A3, Ledger!$C$2:$C$4, BLI$2)),"****")</f>
        <v/>
      </c>
      <c r="BLJ3" t="str">
        <f>IFERROR(IF($C3="","",SUMIFS(Ledger!$K$2:$K$4, Ledger!$B$2:$B$4, $A3, Ledger!$C$2:$C$4, BLJ$2)),"****")</f>
        <v/>
      </c>
      <c r="BLK3" t="str">
        <f>IFERROR(IF($C3="","",SUMIFS(Ledger!$K$2:$K$4, Ledger!$B$2:$B$4, $A3, Ledger!$C$2:$C$4, BLK$2)),"****")</f>
        <v/>
      </c>
      <c r="BLL3" t="str">
        <f>IFERROR(IF($C3="","",SUMIFS(Ledger!$K$2:$K$4, Ledger!$B$2:$B$4, $A3, Ledger!$C$2:$C$4, BLL$2)),"****")</f>
        <v/>
      </c>
      <c r="BLM3" t="str">
        <f>IFERROR(IF($C3="","",SUMIFS(Ledger!$K$2:$K$4, Ledger!$B$2:$B$4, $A3, Ledger!$C$2:$C$4, BLM$2)),"****")</f>
        <v/>
      </c>
      <c r="BLN3" t="str">
        <f>IFERROR(IF($C3="","",SUMIFS(Ledger!$K$2:$K$4, Ledger!$B$2:$B$4, $A3, Ledger!$C$2:$C$4, BLN$2)),"****")</f>
        <v/>
      </c>
      <c r="BLO3" t="str">
        <f>IFERROR(IF($C3="","",SUMIFS(Ledger!$K$2:$K$4, Ledger!$B$2:$B$4, $A3, Ledger!$C$2:$C$4, BLO$2)),"****")</f>
        <v/>
      </c>
      <c r="BLP3" t="str">
        <f>IFERROR(IF($C3="","",SUMIFS(Ledger!$K$2:$K$4, Ledger!$B$2:$B$4, $A3, Ledger!$C$2:$C$4, BLP$2)),"****")</f>
        <v/>
      </c>
      <c r="BLQ3" t="str">
        <f>IFERROR(IF($C3="","",SUMIFS(Ledger!$K$2:$K$4, Ledger!$B$2:$B$4, $A3, Ledger!$C$2:$C$4, BLQ$2)),"****")</f>
        <v/>
      </c>
      <c r="BLR3" t="str">
        <f>IFERROR(IF($C3="","",SUMIFS(Ledger!$K$2:$K$4, Ledger!$B$2:$B$4, $A3, Ledger!$C$2:$C$4, BLR$2)),"****")</f>
        <v/>
      </c>
      <c r="BLS3" t="str">
        <f>IFERROR(IF($C3="","",SUMIFS(Ledger!$K$2:$K$4, Ledger!$B$2:$B$4, $A3, Ledger!$C$2:$C$4, BLS$2)),"****")</f>
        <v/>
      </c>
      <c r="BLT3" t="str">
        <f>IFERROR(IF($C3="","",SUMIFS(Ledger!$K$2:$K$4, Ledger!$B$2:$B$4, $A3, Ledger!$C$2:$C$4, BLT$2)),"****")</f>
        <v/>
      </c>
      <c r="BLU3" t="str">
        <f>IFERROR(IF($C3="","",SUMIFS(Ledger!$K$2:$K$4, Ledger!$B$2:$B$4, $A3, Ledger!$C$2:$C$4, BLU$2)),"****")</f>
        <v/>
      </c>
      <c r="BLV3" t="str">
        <f>IFERROR(IF($C3="","",SUMIFS(Ledger!$K$2:$K$4, Ledger!$B$2:$B$4, $A3, Ledger!$C$2:$C$4, BLV$2)),"****")</f>
        <v/>
      </c>
      <c r="BLW3" t="str">
        <f>IFERROR(IF($C3="","",SUMIFS(Ledger!$K$2:$K$4, Ledger!$B$2:$B$4, $A3, Ledger!$C$2:$C$4, BLW$2)),"****")</f>
        <v/>
      </c>
      <c r="BLX3" t="str">
        <f>IFERROR(IF($C3="","",SUMIFS(Ledger!$K$2:$K$4, Ledger!$B$2:$B$4, $A3, Ledger!$C$2:$C$4, BLX$2)),"****")</f>
        <v/>
      </c>
      <c r="BLY3" t="str">
        <f>IFERROR(IF($C3="","",SUMIFS(Ledger!$K$2:$K$4, Ledger!$B$2:$B$4, $A3, Ledger!$C$2:$C$4, BLY$2)),"****")</f>
        <v/>
      </c>
      <c r="BLZ3" t="str">
        <f>IFERROR(IF($C3="","",SUMIFS(Ledger!$K$2:$K$4, Ledger!$B$2:$B$4, $A3, Ledger!$C$2:$C$4, BLZ$2)),"****")</f>
        <v/>
      </c>
      <c r="BMA3" t="str">
        <f>IFERROR(IF($C3="","",SUMIFS(Ledger!$K$2:$K$4, Ledger!$B$2:$B$4, $A3, Ledger!$C$2:$C$4, BMA$2)),"****")</f>
        <v/>
      </c>
      <c r="BMB3" t="str">
        <f>IFERROR(IF($C3="","",SUMIFS(Ledger!$K$2:$K$4, Ledger!$B$2:$B$4, $A3, Ledger!$C$2:$C$4, BMB$2)),"****")</f>
        <v/>
      </c>
      <c r="BMC3" t="str">
        <f>IFERROR(IF($C3="","",SUMIFS(Ledger!$K$2:$K$4, Ledger!$B$2:$B$4, $A3, Ledger!$C$2:$C$4, BMC$2)),"****")</f>
        <v/>
      </c>
      <c r="BMD3" t="str">
        <f>IFERROR(IF($C3="","",SUMIFS(Ledger!$K$2:$K$4, Ledger!$B$2:$B$4, $A3, Ledger!$C$2:$C$4, BMD$2)),"****")</f>
        <v/>
      </c>
      <c r="BME3" t="str">
        <f>IFERROR(IF($C3="","",SUMIFS(Ledger!$K$2:$K$4, Ledger!$B$2:$B$4, $A3, Ledger!$C$2:$C$4, BME$2)),"****")</f>
        <v/>
      </c>
      <c r="BMF3" t="str">
        <f>IFERROR(IF($C3="","",SUMIFS(Ledger!$K$2:$K$4, Ledger!$B$2:$B$4, $A3, Ledger!$C$2:$C$4, BMF$2)),"****")</f>
        <v/>
      </c>
      <c r="BMG3" t="str">
        <f>IFERROR(IF($C3="","",SUMIFS(Ledger!$K$2:$K$4, Ledger!$B$2:$B$4, $A3, Ledger!$C$2:$C$4, BMG$2)),"****")</f>
        <v/>
      </c>
      <c r="BMH3" t="str">
        <f>IFERROR(IF($C3="","",SUMIFS(Ledger!$K$2:$K$4, Ledger!$B$2:$B$4, $A3, Ledger!$C$2:$C$4, BMH$2)),"****")</f>
        <v/>
      </c>
      <c r="BMI3" t="str">
        <f>IFERROR(IF($C3="","",SUMIFS(Ledger!$K$2:$K$4, Ledger!$B$2:$B$4, $A3, Ledger!$C$2:$C$4, BMI$2)),"****")</f>
        <v/>
      </c>
      <c r="BMJ3" t="str">
        <f>IFERROR(IF($C3="","",SUMIFS(Ledger!$K$2:$K$4, Ledger!$B$2:$B$4, $A3, Ledger!$C$2:$C$4, BMJ$2)),"****")</f>
        <v/>
      </c>
      <c r="BMK3" t="str">
        <f>IFERROR(IF($C3="","",SUMIFS(Ledger!$K$2:$K$4, Ledger!$B$2:$B$4, $A3, Ledger!$C$2:$C$4, BMK$2)),"****")</f>
        <v/>
      </c>
      <c r="BML3" t="str">
        <f>IFERROR(IF($C3="","",SUMIFS(Ledger!$K$2:$K$4, Ledger!$B$2:$B$4, $A3, Ledger!$C$2:$C$4, BML$2)),"****")</f>
        <v/>
      </c>
      <c r="BMM3" t="str">
        <f>IFERROR(IF($C3="","",SUMIFS(Ledger!$K$2:$K$4, Ledger!$B$2:$B$4, $A3, Ledger!$C$2:$C$4, BMM$2)),"****")</f>
        <v/>
      </c>
      <c r="BMN3" t="str">
        <f>IFERROR(IF($C3="","",SUMIFS(Ledger!$K$2:$K$4, Ledger!$B$2:$B$4, $A3, Ledger!$C$2:$C$4, BMN$2)),"****")</f>
        <v/>
      </c>
      <c r="BMO3" t="str">
        <f>IFERROR(IF($C3="","",SUMIFS(Ledger!$K$2:$K$4, Ledger!$B$2:$B$4, $A3, Ledger!$C$2:$C$4, BMO$2)),"****")</f>
        <v/>
      </c>
      <c r="BMP3" t="str">
        <f>IFERROR(IF($C3="","",SUMIFS(Ledger!$K$2:$K$4, Ledger!$B$2:$B$4, $A3, Ledger!$C$2:$C$4, BMP$2)),"****")</f>
        <v/>
      </c>
      <c r="BMQ3" t="str">
        <f>IFERROR(IF($C3="","",SUMIFS(Ledger!$K$2:$K$4, Ledger!$B$2:$B$4, $A3, Ledger!$C$2:$C$4, BMQ$2)),"****")</f>
        <v/>
      </c>
      <c r="BMR3" t="str">
        <f>IFERROR(IF($C3="","",SUMIFS(Ledger!$K$2:$K$4, Ledger!$B$2:$B$4, $A3, Ledger!$C$2:$C$4, BMR$2)),"****")</f>
        <v/>
      </c>
      <c r="BMS3" t="str">
        <f>IFERROR(IF($C3="","",SUMIFS(Ledger!$K$2:$K$4, Ledger!$B$2:$B$4, $A3, Ledger!$C$2:$C$4, BMS$2)),"****")</f>
        <v/>
      </c>
      <c r="BMT3" t="str">
        <f>IFERROR(IF($C3="","",SUMIFS(Ledger!$K$2:$K$4, Ledger!$B$2:$B$4, $A3, Ledger!$C$2:$C$4, BMT$2)),"****")</f>
        <v/>
      </c>
      <c r="BMU3" t="str">
        <f>IFERROR(IF($C3="","",SUMIFS(Ledger!$K$2:$K$4, Ledger!$B$2:$B$4, $A3, Ledger!$C$2:$C$4, BMU$2)),"****")</f>
        <v/>
      </c>
      <c r="BMV3" t="str">
        <f>IFERROR(IF($C3="","",SUMIFS(Ledger!$K$2:$K$4, Ledger!$B$2:$B$4, $A3, Ledger!$C$2:$C$4, BMV$2)),"****")</f>
        <v/>
      </c>
      <c r="BMW3" t="str">
        <f>IFERROR(IF($C3="","",SUMIFS(Ledger!$K$2:$K$4, Ledger!$B$2:$B$4, $A3, Ledger!$C$2:$C$4, BMW$2)),"****")</f>
        <v/>
      </c>
      <c r="BMX3" t="str">
        <f>IFERROR(IF($C3="","",SUMIFS(Ledger!$K$2:$K$4, Ledger!$B$2:$B$4, $A3, Ledger!$C$2:$C$4, BMX$2)),"****")</f>
        <v/>
      </c>
      <c r="BMY3" t="str">
        <f>IFERROR(IF($C3="","",SUMIFS(Ledger!$K$2:$K$4, Ledger!$B$2:$B$4, $A3, Ledger!$C$2:$C$4, BMY$2)),"****")</f>
        <v/>
      </c>
      <c r="BMZ3" t="str">
        <f>IFERROR(IF($C3="","",SUMIFS(Ledger!$K$2:$K$4, Ledger!$B$2:$B$4, $A3, Ledger!$C$2:$C$4, BMZ$2)),"****")</f>
        <v/>
      </c>
      <c r="BNA3" t="str">
        <f>IFERROR(IF($C3="","",SUMIFS(Ledger!$K$2:$K$4, Ledger!$B$2:$B$4, $A3, Ledger!$C$2:$C$4, BNA$2)),"****")</f>
        <v/>
      </c>
      <c r="BNB3" t="str">
        <f>IFERROR(IF($C3="","",SUMIFS(Ledger!$K$2:$K$4, Ledger!$B$2:$B$4, $A3, Ledger!$C$2:$C$4, BNB$2)),"****")</f>
        <v/>
      </c>
      <c r="BNC3" t="str">
        <f>IFERROR(IF($C3="","",SUMIFS(Ledger!$K$2:$K$4, Ledger!$B$2:$B$4, $A3, Ledger!$C$2:$C$4, BNC$2)),"****")</f>
        <v/>
      </c>
      <c r="BND3" t="str">
        <f>IFERROR(IF($C3="","",SUMIFS(Ledger!$K$2:$K$4, Ledger!$B$2:$B$4, $A3, Ledger!$C$2:$C$4, BND$2)),"****")</f>
        <v/>
      </c>
      <c r="BNE3" t="str">
        <f>IFERROR(IF($C3="","",SUMIFS(Ledger!$K$2:$K$4, Ledger!$B$2:$B$4, $A3, Ledger!$C$2:$C$4, BNE$2)),"****")</f>
        <v/>
      </c>
      <c r="BNF3" t="str">
        <f>IFERROR(IF($C3="","",SUMIFS(Ledger!$K$2:$K$4, Ledger!$B$2:$B$4, $A3, Ledger!$C$2:$C$4, BNF$2)),"****")</f>
        <v/>
      </c>
      <c r="BNG3" t="str">
        <f>IFERROR(IF($C3="","",SUMIFS(Ledger!$K$2:$K$4, Ledger!$B$2:$B$4, $A3, Ledger!$C$2:$C$4, BNG$2)),"****")</f>
        <v/>
      </c>
      <c r="BNH3" t="str">
        <f>IFERROR(IF($C3="","",SUMIFS(Ledger!$K$2:$K$4, Ledger!$B$2:$B$4, $A3, Ledger!$C$2:$C$4, BNH$2)),"****")</f>
        <v/>
      </c>
      <c r="BNI3" t="str">
        <f>IFERROR(IF($C3="","",SUMIFS(Ledger!$K$2:$K$4, Ledger!$B$2:$B$4, $A3, Ledger!$C$2:$C$4, BNI$2)),"****")</f>
        <v/>
      </c>
      <c r="BNJ3" t="str">
        <f>IFERROR(IF($C3="","",SUMIFS(Ledger!$K$2:$K$4, Ledger!$B$2:$B$4, $A3, Ledger!$C$2:$C$4, BNJ$2)),"****")</f>
        <v/>
      </c>
      <c r="BNK3" t="str">
        <f>IFERROR(IF($C3="","",SUMIFS(Ledger!$K$2:$K$4, Ledger!$B$2:$B$4, $A3, Ledger!$C$2:$C$4, BNK$2)),"****")</f>
        <v/>
      </c>
      <c r="BNL3" t="str">
        <f>IFERROR(IF($C3="","",SUMIFS(Ledger!$K$2:$K$4, Ledger!$B$2:$B$4, $A3, Ledger!$C$2:$C$4, BNL$2)),"****")</f>
        <v/>
      </c>
      <c r="BNM3" t="str">
        <f>IFERROR(IF($C3="","",SUMIFS(Ledger!$K$2:$K$4, Ledger!$B$2:$B$4, $A3, Ledger!$C$2:$C$4, BNM$2)),"****")</f>
        <v/>
      </c>
      <c r="BNN3" t="str">
        <f>IFERROR(IF($C3="","",SUMIFS(Ledger!$K$2:$K$4, Ledger!$B$2:$B$4, $A3, Ledger!$C$2:$C$4, BNN$2)),"****")</f>
        <v/>
      </c>
      <c r="BNO3" t="str">
        <f>IFERROR(IF($C3="","",SUMIFS(Ledger!$K$2:$K$4, Ledger!$B$2:$B$4, $A3, Ledger!$C$2:$C$4, BNO$2)),"****")</f>
        <v/>
      </c>
      <c r="BNP3" t="str">
        <f>IFERROR(IF($C3="","",SUMIFS(Ledger!$K$2:$K$4, Ledger!$B$2:$B$4, $A3, Ledger!$C$2:$C$4, BNP$2)),"****")</f>
        <v/>
      </c>
      <c r="BNQ3" t="str">
        <f>IFERROR(IF($C3="","",SUMIFS(Ledger!$K$2:$K$4, Ledger!$B$2:$B$4, $A3, Ledger!$C$2:$C$4, BNQ$2)),"****")</f>
        <v/>
      </c>
      <c r="BNR3" t="str">
        <f>IFERROR(IF($C3="","",SUMIFS(Ledger!$K$2:$K$4, Ledger!$B$2:$B$4, $A3, Ledger!$C$2:$C$4, BNR$2)),"****")</f>
        <v/>
      </c>
      <c r="BNS3" t="str">
        <f>IFERROR(IF($C3="","",SUMIFS(Ledger!$K$2:$K$4, Ledger!$B$2:$B$4, $A3, Ledger!$C$2:$C$4, BNS$2)),"****")</f>
        <v/>
      </c>
      <c r="BNT3" t="str">
        <f>IFERROR(IF($C3="","",SUMIFS(Ledger!$K$2:$K$4, Ledger!$B$2:$B$4, $A3, Ledger!$C$2:$C$4, BNT$2)),"****")</f>
        <v/>
      </c>
      <c r="BNU3" t="str">
        <f>IFERROR(IF($C3="","",SUMIFS(Ledger!$K$2:$K$4, Ledger!$B$2:$B$4, $A3, Ledger!$C$2:$C$4, BNU$2)),"****")</f>
        <v/>
      </c>
      <c r="BNV3" t="str">
        <f>IFERROR(IF($C3="","",SUMIFS(Ledger!$K$2:$K$4, Ledger!$B$2:$B$4, $A3, Ledger!$C$2:$C$4, BNV$2)),"****")</f>
        <v/>
      </c>
      <c r="BNW3" t="str">
        <f>IFERROR(IF($C3="","",SUMIFS(Ledger!$K$2:$K$4, Ledger!$B$2:$B$4, $A3, Ledger!$C$2:$C$4, BNW$2)),"****")</f>
        <v/>
      </c>
      <c r="BNX3" t="str">
        <f>IFERROR(IF($C3="","",SUMIFS(Ledger!$K$2:$K$4, Ledger!$B$2:$B$4, $A3, Ledger!$C$2:$C$4, BNX$2)),"****")</f>
        <v/>
      </c>
      <c r="BNY3" t="str">
        <f>IFERROR(IF($C3="","",SUMIFS(Ledger!$K$2:$K$4, Ledger!$B$2:$B$4, $A3, Ledger!$C$2:$C$4, BNY$2)),"****")</f>
        <v/>
      </c>
      <c r="BNZ3" t="str">
        <f>IFERROR(IF($C3="","",SUMIFS(Ledger!$K$2:$K$4, Ledger!$B$2:$B$4, $A3, Ledger!$C$2:$C$4, BNZ$2)),"****")</f>
        <v/>
      </c>
      <c r="BOA3" t="str">
        <f>IFERROR(IF($C3="","",SUMIFS(Ledger!$K$2:$K$4, Ledger!$B$2:$B$4, $A3, Ledger!$C$2:$C$4, BOA$2)),"****")</f>
        <v/>
      </c>
      <c r="BOB3" t="str">
        <f>IFERROR(IF($C3="","",SUMIFS(Ledger!$K$2:$K$4, Ledger!$B$2:$B$4, $A3, Ledger!$C$2:$C$4, BOB$2)),"****")</f>
        <v/>
      </c>
      <c r="BOC3" t="str">
        <f>IFERROR(IF($C3="","",SUMIFS(Ledger!$K$2:$K$4, Ledger!$B$2:$B$4, $A3, Ledger!$C$2:$C$4, BOC$2)),"****")</f>
        <v/>
      </c>
      <c r="BOD3" t="str">
        <f>IFERROR(IF($C3="","",SUMIFS(Ledger!$K$2:$K$4, Ledger!$B$2:$B$4, $A3, Ledger!$C$2:$C$4, BOD$2)),"****")</f>
        <v/>
      </c>
      <c r="BOE3" t="str">
        <f>IFERROR(IF($C3="","",SUMIFS(Ledger!$K$2:$K$4, Ledger!$B$2:$B$4, $A3, Ledger!$C$2:$C$4, BOE$2)),"****")</f>
        <v/>
      </c>
      <c r="BOF3" t="str">
        <f>IFERROR(IF($C3="","",SUMIFS(Ledger!$K$2:$K$4, Ledger!$B$2:$B$4, $A3, Ledger!$C$2:$C$4, BOF$2)),"****")</f>
        <v/>
      </c>
      <c r="BOG3" t="str">
        <f>IFERROR(IF($C3="","",SUMIFS(Ledger!$K$2:$K$4, Ledger!$B$2:$B$4, $A3, Ledger!$C$2:$C$4, BOG$2)),"****")</f>
        <v/>
      </c>
      <c r="BOH3" t="str">
        <f>IFERROR(IF($C3="","",SUMIFS(Ledger!$K$2:$K$4, Ledger!$B$2:$B$4, $A3, Ledger!$C$2:$C$4, BOH$2)),"****")</f>
        <v/>
      </c>
      <c r="BOI3" t="str">
        <f>IFERROR(IF($C3="","",SUMIFS(Ledger!$K$2:$K$4, Ledger!$B$2:$B$4, $A3, Ledger!$C$2:$C$4, BOI$2)),"****")</f>
        <v/>
      </c>
      <c r="BOJ3" t="str">
        <f>IFERROR(IF($C3="","",SUMIFS(Ledger!$K$2:$K$4, Ledger!$B$2:$B$4, $A3, Ledger!$C$2:$C$4, BOJ$2)),"****")</f>
        <v/>
      </c>
      <c r="BOK3" t="str">
        <f>IFERROR(IF($C3="","",SUMIFS(Ledger!$K$2:$K$4, Ledger!$B$2:$B$4, $A3, Ledger!$C$2:$C$4, BOK$2)),"****")</f>
        <v/>
      </c>
      <c r="BOL3" t="str">
        <f>IFERROR(IF($C3="","",SUMIFS(Ledger!$K$2:$K$4, Ledger!$B$2:$B$4, $A3, Ledger!$C$2:$C$4, BOL$2)),"****")</f>
        <v/>
      </c>
      <c r="BOM3" t="str">
        <f>IFERROR(IF($C3="","",SUMIFS(Ledger!$K$2:$K$4, Ledger!$B$2:$B$4, $A3, Ledger!$C$2:$C$4, BOM$2)),"****")</f>
        <v/>
      </c>
      <c r="BON3" t="str">
        <f>IFERROR(IF($C3="","",SUMIFS(Ledger!$K$2:$K$4, Ledger!$B$2:$B$4, $A3, Ledger!$C$2:$C$4, BON$2)),"****")</f>
        <v/>
      </c>
      <c r="BOO3" t="str">
        <f>IFERROR(IF($C3="","",SUMIFS(Ledger!$K$2:$K$4, Ledger!$B$2:$B$4, $A3, Ledger!$C$2:$C$4, BOO$2)),"****")</f>
        <v/>
      </c>
      <c r="BOP3" t="str">
        <f>IFERROR(IF($C3="","",SUMIFS(Ledger!$K$2:$K$4, Ledger!$B$2:$B$4, $A3, Ledger!$C$2:$C$4, BOP$2)),"****")</f>
        <v/>
      </c>
      <c r="BOQ3" t="str">
        <f>IFERROR(IF($C3="","",SUMIFS(Ledger!$K$2:$K$4, Ledger!$B$2:$B$4, $A3, Ledger!$C$2:$C$4, BOQ$2)),"****")</f>
        <v/>
      </c>
      <c r="BOR3" t="str">
        <f>IFERROR(IF($C3="","",SUMIFS(Ledger!$K$2:$K$4, Ledger!$B$2:$B$4, $A3, Ledger!$C$2:$C$4, BOR$2)),"****")</f>
        <v/>
      </c>
      <c r="BOS3" t="str">
        <f>IFERROR(IF($C3="","",SUMIFS(Ledger!$K$2:$K$4, Ledger!$B$2:$B$4, $A3, Ledger!$C$2:$C$4, BOS$2)),"****")</f>
        <v/>
      </c>
      <c r="BOT3" t="str">
        <f>IFERROR(IF($C3="","",SUMIFS(Ledger!$K$2:$K$4, Ledger!$B$2:$B$4, $A3, Ledger!$C$2:$C$4, BOT$2)),"****")</f>
        <v/>
      </c>
      <c r="BOU3" t="str">
        <f>IFERROR(IF($C3="","",SUMIFS(Ledger!$K$2:$K$4, Ledger!$B$2:$B$4, $A3, Ledger!$C$2:$C$4, BOU$2)),"****")</f>
        <v/>
      </c>
      <c r="BOV3" t="str">
        <f>IFERROR(IF($C3="","",SUMIFS(Ledger!$K$2:$K$4, Ledger!$B$2:$B$4, $A3, Ledger!$C$2:$C$4, BOV$2)),"****")</f>
        <v/>
      </c>
      <c r="BOW3" t="str">
        <f>IFERROR(IF($C3="","",SUMIFS(Ledger!$K$2:$K$4, Ledger!$B$2:$B$4, $A3, Ledger!$C$2:$C$4, BOW$2)),"****")</f>
        <v/>
      </c>
      <c r="BOX3" t="str">
        <f>IFERROR(IF($C3="","",SUMIFS(Ledger!$K$2:$K$4, Ledger!$B$2:$B$4, $A3, Ledger!$C$2:$C$4, BOX$2)),"****")</f>
        <v/>
      </c>
      <c r="BOY3" t="str">
        <f>IFERROR(IF($C3="","",SUMIFS(Ledger!$K$2:$K$4, Ledger!$B$2:$B$4, $A3, Ledger!$C$2:$C$4, BOY$2)),"****")</f>
        <v/>
      </c>
      <c r="BOZ3" t="str">
        <f>IFERROR(IF($C3="","",SUMIFS(Ledger!$K$2:$K$4, Ledger!$B$2:$B$4, $A3, Ledger!$C$2:$C$4, BOZ$2)),"****")</f>
        <v/>
      </c>
      <c r="BPA3" t="str">
        <f>IFERROR(IF($C3="","",SUMIFS(Ledger!$K$2:$K$4, Ledger!$B$2:$B$4, $A3, Ledger!$C$2:$C$4, BPA$2)),"****")</f>
        <v/>
      </c>
      <c r="BPB3" t="str">
        <f>IFERROR(IF($C3="","",SUMIFS(Ledger!$K$2:$K$4, Ledger!$B$2:$B$4, $A3, Ledger!$C$2:$C$4, BPB$2)),"****")</f>
        <v/>
      </c>
      <c r="BPC3" t="str">
        <f>IFERROR(IF($C3="","",SUMIFS(Ledger!$K$2:$K$4, Ledger!$B$2:$B$4, $A3, Ledger!$C$2:$C$4, BPC$2)),"****")</f>
        <v/>
      </c>
      <c r="BPD3" t="str">
        <f>IFERROR(IF($C3="","",SUMIFS(Ledger!$K$2:$K$4, Ledger!$B$2:$B$4, $A3, Ledger!$C$2:$C$4, BPD$2)),"****")</f>
        <v/>
      </c>
      <c r="BPE3" t="str">
        <f>IFERROR(IF($C3="","",SUMIFS(Ledger!$K$2:$K$4, Ledger!$B$2:$B$4, $A3, Ledger!$C$2:$C$4, BPE$2)),"****")</f>
        <v/>
      </c>
      <c r="BPF3" t="str">
        <f>IFERROR(IF($C3="","",SUMIFS(Ledger!$K$2:$K$4, Ledger!$B$2:$B$4, $A3, Ledger!$C$2:$C$4, BPF$2)),"****")</f>
        <v/>
      </c>
      <c r="BPG3" t="str">
        <f>IFERROR(IF($C3="","",SUMIFS(Ledger!$K$2:$K$4, Ledger!$B$2:$B$4, $A3, Ledger!$C$2:$C$4, BPG$2)),"****")</f>
        <v/>
      </c>
      <c r="BPH3" t="str">
        <f>IFERROR(IF($C3="","",SUMIFS(Ledger!$K$2:$K$4, Ledger!$B$2:$B$4, $A3, Ledger!$C$2:$C$4, BPH$2)),"****")</f>
        <v/>
      </c>
      <c r="BPI3" t="str">
        <f>IFERROR(IF($C3="","",SUMIFS(Ledger!$K$2:$K$4, Ledger!$B$2:$B$4, $A3, Ledger!$C$2:$C$4, BPI$2)),"****")</f>
        <v/>
      </c>
      <c r="BPJ3" t="str">
        <f>IFERROR(IF($C3="","",SUMIFS(Ledger!$K$2:$K$4, Ledger!$B$2:$B$4, $A3, Ledger!$C$2:$C$4, BPJ$2)),"****")</f>
        <v/>
      </c>
      <c r="BPK3" t="str">
        <f>IFERROR(IF($C3="","",SUMIFS(Ledger!$K$2:$K$4, Ledger!$B$2:$B$4, $A3, Ledger!$C$2:$C$4, BPK$2)),"****")</f>
        <v/>
      </c>
      <c r="BPL3" t="str">
        <f>IFERROR(IF($C3="","",SUMIFS(Ledger!$K$2:$K$4, Ledger!$B$2:$B$4, $A3, Ledger!$C$2:$C$4, BPL$2)),"****")</f>
        <v/>
      </c>
      <c r="BPM3" t="str">
        <f>IFERROR(IF($C3="","",SUMIFS(Ledger!$K$2:$K$4, Ledger!$B$2:$B$4, $A3, Ledger!$C$2:$C$4, BPM$2)),"****")</f>
        <v/>
      </c>
      <c r="BPN3" t="str">
        <f>IFERROR(IF($C3="","",SUMIFS(Ledger!$K$2:$K$4, Ledger!$B$2:$B$4, $A3, Ledger!$C$2:$C$4, BPN$2)),"****")</f>
        <v/>
      </c>
      <c r="BPO3" t="str">
        <f>IFERROR(IF($C3="","",SUMIFS(Ledger!$K$2:$K$4, Ledger!$B$2:$B$4, $A3, Ledger!$C$2:$C$4, BPO$2)),"****")</f>
        <v/>
      </c>
      <c r="BPP3" t="str">
        <f>IFERROR(IF($C3="","",SUMIFS(Ledger!$K$2:$K$4, Ledger!$B$2:$B$4, $A3, Ledger!$C$2:$C$4, BPP$2)),"****")</f>
        <v/>
      </c>
      <c r="BPQ3" t="str">
        <f>IFERROR(IF($C3="","",SUMIFS(Ledger!$K$2:$K$4, Ledger!$B$2:$B$4, $A3, Ledger!$C$2:$C$4, BPQ$2)),"****")</f>
        <v/>
      </c>
      <c r="BPR3" t="str">
        <f>IFERROR(IF($C3="","",SUMIFS(Ledger!$K$2:$K$4, Ledger!$B$2:$B$4, $A3, Ledger!$C$2:$C$4, BPR$2)),"****")</f>
        <v/>
      </c>
      <c r="BPS3" t="str">
        <f>IFERROR(IF($C3="","",SUMIFS(Ledger!$K$2:$K$4, Ledger!$B$2:$B$4, $A3, Ledger!$C$2:$C$4, BPS$2)),"****")</f>
        <v/>
      </c>
      <c r="BPT3" t="str">
        <f>IFERROR(IF($C3="","",SUMIFS(Ledger!$K$2:$K$4, Ledger!$B$2:$B$4, $A3, Ledger!$C$2:$C$4, BPT$2)),"****")</f>
        <v/>
      </c>
      <c r="BPU3" t="str">
        <f>IFERROR(IF($C3="","",SUMIFS(Ledger!$K$2:$K$4, Ledger!$B$2:$B$4, $A3, Ledger!$C$2:$C$4, BPU$2)),"****")</f>
        <v/>
      </c>
      <c r="BPV3" t="str">
        <f>IFERROR(IF($C3="","",SUMIFS(Ledger!$K$2:$K$4, Ledger!$B$2:$B$4, $A3, Ledger!$C$2:$C$4, BPV$2)),"****")</f>
        <v/>
      </c>
      <c r="BPW3" t="str">
        <f>IFERROR(IF($C3="","",SUMIFS(Ledger!$K$2:$K$4, Ledger!$B$2:$B$4, $A3, Ledger!$C$2:$C$4, BPW$2)),"****")</f>
        <v/>
      </c>
      <c r="BPX3" t="str">
        <f>IFERROR(IF($C3="","",SUMIFS(Ledger!$K$2:$K$4, Ledger!$B$2:$B$4, $A3, Ledger!$C$2:$C$4, BPX$2)),"****")</f>
        <v/>
      </c>
      <c r="BPY3" t="str">
        <f>IFERROR(IF($C3="","",SUMIFS(Ledger!$K$2:$K$4, Ledger!$B$2:$B$4, $A3, Ledger!$C$2:$C$4, BPY$2)),"****")</f>
        <v/>
      </c>
      <c r="BPZ3" t="str">
        <f>IFERROR(IF($C3="","",SUMIFS(Ledger!$K$2:$K$4, Ledger!$B$2:$B$4, $A3, Ledger!$C$2:$C$4, BPZ$2)),"****")</f>
        <v/>
      </c>
      <c r="BQA3" t="str">
        <f>IFERROR(IF($C3="","",SUMIFS(Ledger!$K$2:$K$4, Ledger!$B$2:$B$4, $A3, Ledger!$C$2:$C$4, BQA$2)),"****")</f>
        <v/>
      </c>
      <c r="BQB3" t="str">
        <f>IFERROR(IF($C3="","",SUMIFS(Ledger!$K$2:$K$4, Ledger!$B$2:$B$4, $A3, Ledger!$C$2:$C$4, BQB$2)),"****")</f>
        <v/>
      </c>
      <c r="BQC3" t="str">
        <f>IFERROR(IF($C3="","",SUMIFS(Ledger!$K$2:$K$4, Ledger!$B$2:$B$4, $A3, Ledger!$C$2:$C$4, BQC$2)),"****")</f>
        <v/>
      </c>
      <c r="BQD3" t="str">
        <f>IFERROR(IF($C3="","",SUMIFS(Ledger!$K$2:$K$4, Ledger!$B$2:$B$4, $A3, Ledger!$C$2:$C$4, BQD$2)),"****")</f>
        <v/>
      </c>
      <c r="BQE3" t="str">
        <f>IFERROR(IF($C3="","",SUMIFS(Ledger!$K$2:$K$4, Ledger!$B$2:$B$4, $A3, Ledger!$C$2:$C$4, BQE$2)),"****")</f>
        <v/>
      </c>
      <c r="BQF3" t="str">
        <f>IFERROR(IF($C3="","",SUMIFS(Ledger!$K$2:$K$4, Ledger!$B$2:$B$4, $A3, Ledger!$C$2:$C$4, BQF$2)),"****")</f>
        <v/>
      </c>
      <c r="BQG3" t="str">
        <f>IFERROR(IF($C3="","",SUMIFS(Ledger!$K$2:$K$4, Ledger!$B$2:$B$4, $A3, Ledger!$C$2:$C$4, BQG$2)),"****")</f>
        <v/>
      </c>
      <c r="BQH3" t="str">
        <f>IFERROR(IF($C3="","",SUMIFS(Ledger!$K$2:$K$4, Ledger!$B$2:$B$4, $A3, Ledger!$C$2:$C$4, BQH$2)),"****")</f>
        <v/>
      </c>
      <c r="BQI3" t="str">
        <f>IFERROR(IF($C3="","",SUMIFS(Ledger!$K$2:$K$4, Ledger!$B$2:$B$4, $A3, Ledger!$C$2:$C$4, BQI$2)),"****")</f>
        <v/>
      </c>
      <c r="BQJ3" t="str">
        <f>IFERROR(IF($C3="","",SUMIFS(Ledger!$K$2:$K$4, Ledger!$B$2:$B$4, $A3, Ledger!$C$2:$C$4, BQJ$2)),"****")</f>
        <v/>
      </c>
      <c r="BQK3" t="str">
        <f>IFERROR(IF($C3="","",SUMIFS(Ledger!$K$2:$K$4, Ledger!$B$2:$B$4, $A3, Ledger!$C$2:$C$4, BQK$2)),"****")</f>
        <v/>
      </c>
      <c r="BQL3" t="str">
        <f>IFERROR(IF($C3="","",SUMIFS(Ledger!$K$2:$K$4, Ledger!$B$2:$B$4, $A3, Ledger!$C$2:$C$4, BQL$2)),"****")</f>
        <v/>
      </c>
      <c r="BQM3" t="str">
        <f>IFERROR(IF($C3="","",SUMIFS(Ledger!$K$2:$K$4, Ledger!$B$2:$B$4, $A3, Ledger!$C$2:$C$4, BQM$2)),"****")</f>
        <v/>
      </c>
      <c r="BQN3" t="str">
        <f>IFERROR(IF($C3="","",SUMIFS(Ledger!$K$2:$K$4, Ledger!$B$2:$B$4, $A3, Ledger!$C$2:$C$4, BQN$2)),"****")</f>
        <v/>
      </c>
      <c r="BQO3" t="str">
        <f>IFERROR(IF($C3="","",SUMIFS(Ledger!$K$2:$K$4, Ledger!$B$2:$B$4, $A3, Ledger!$C$2:$C$4, BQO$2)),"****")</f>
        <v/>
      </c>
      <c r="BQP3" t="str">
        <f>IFERROR(IF($C3="","",SUMIFS(Ledger!$K$2:$K$4, Ledger!$B$2:$B$4, $A3, Ledger!$C$2:$C$4, BQP$2)),"****")</f>
        <v/>
      </c>
      <c r="BQQ3" t="str">
        <f>IFERROR(IF($C3="","",SUMIFS(Ledger!$K$2:$K$4, Ledger!$B$2:$B$4, $A3, Ledger!$C$2:$C$4, BQQ$2)),"****")</f>
        <v/>
      </c>
      <c r="BQR3" t="str">
        <f>IFERROR(IF($C3="","",SUMIFS(Ledger!$K$2:$K$4, Ledger!$B$2:$B$4, $A3, Ledger!$C$2:$C$4, BQR$2)),"****")</f>
        <v/>
      </c>
      <c r="BQS3" t="str">
        <f>IFERROR(IF($C3="","",SUMIFS(Ledger!$K$2:$K$4, Ledger!$B$2:$B$4, $A3, Ledger!$C$2:$C$4, BQS$2)),"****")</f>
        <v/>
      </c>
      <c r="BQT3" t="str">
        <f>IFERROR(IF($C3="","",SUMIFS(Ledger!$K$2:$K$4, Ledger!$B$2:$B$4, $A3, Ledger!$C$2:$C$4, BQT$2)),"****")</f>
        <v/>
      </c>
      <c r="BQU3" t="str">
        <f>IFERROR(IF($C3="","",SUMIFS(Ledger!$K$2:$K$4, Ledger!$B$2:$B$4, $A3, Ledger!$C$2:$C$4, BQU$2)),"****")</f>
        <v/>
      </c>
      <c r="BQV3" t="str">
        <f>IFERROR(IF($C3="","",SUMIFS(Ledger!$K$2:$K$4, Ledger!$B$2:$B$4, $A3, Ledger!$C$2:$C$4, BQV$2)),"****")</f>
        <v/>
      </c>
      <c r="BQW3" t="str">
        <f>IFERROR(IF($C3="","",SUMIFS(Ledger!$K$2:$K$4, Ledger!$B$2:$B$4, $A3, Ledger!$C$2:$C$4, BQW$2)),"****")</f>
        <v/>
      </c>
      <c r="BQX3" t="str">
        <f>IFERROR(IF($C3="","",SUMIFS(Ledger!$K$2:$K$4, Ledger!$B$2:$B$4, $A3, Ledger!$C$2:$C$4, BQX$2)),"****")</f>
        <v/>
      </c>
      <c r="BQY3" t="str">
        <f>IFERROR(IF($C3="","",SUMIFS(Ledger!$K$2:$K$4, Ledger!$B$2:$B$4, $A3, Ledger!$C$2:$C$4, BQY$2)),"****")</f>
        <v/>
      </c>
      <c r="BQZ3" t="str">
        <f>IFERROR(IF($C3="","",SUMIFS(Ledger!$K$2:$K$4, Ledger!$B$2:$B$4, $A3, Ledger!$C$2:$C$4, BQZ$2)),"****")</f>
        <v/>
      </c>
      <c r="BRA3" t="str">
        <f>IFERROR(IF($C3="","",SUMIFS(Ledger!$K$2:$K$4, Ledger!$B$2:$B$4, $A3, Ledger!$C$2:$C$4, BRA$2)),"****")</f>
        <v/>
      </c>
      <c r="BRB3" t="str">
        <f>IFERROR(IF($C3="","",SUMIFS(Ledger!$K$2:$K$4, Ledger!$B$2:$B$4, $A3, Ledger!$C$2:$C$4, BRB$2)),"****")</f>
        <v/>
      </c>
      <c r="BRC3" t="str">
        <f>IFERROR(IF($C3="","",SUMIFS(Ledger!$K$2:$K$4, Ledger!$B$2:$B$4, $A3, Ledger!$C$2:$C$4, BRC$2)),"****")</f>
        <v/>
      </c>
      <c r="BRD3" t="str">
        <f>IFERROR(IF($C3="","",SUMIFS(Ledger!$K$2:$K$4, Ledger!$B$2:$B$4, $A3, Ledger!$C$2:$C$4, BRD$2)),"****")</f>
        <v/>
      </c>
      <c r="BRE3" t="str">
        <f>IFERROR(IF($C3="","",SUMIFS(Ledger!$K$2:$K$4, Ledger!$B$2:$B$4, $A3, Ledger!$C$2:$C$4, BRE$2)),"****")</f>
        <v/>
      </c>
      <c r="BRF3" t="str">
        <f>IFERROR(IF($C3="","",SUMIFS(Ledger!$K$2:$K$4, Ledger!$B$2:$B$4, $A3, Ledger!$C$2:$C$4, BRF$2)),"****")</f>
        <v/>
      </c>
      <c r="BRG3" t="str">
        <f>IFERROR(IF($C3="","",SUMIFS(Ledger!$K$2:$K$4, Ledger!$B$2:$B$4, $A3, Ledger!$C$2:$C$4, BRG$2)),"****")</f>
        <v/>
      </c>
      <c r="BRH3" t="str">
        <f>IFERROR(IF($C3="","",SUMIFS(Ledger!$K$2:$K$4, Ledger!$B$2:$B$4, $A3, Ledger!$C$2:$C$4, BRH$2)),"****")</f>
        <v/>
      </c>
      <c r="BRI3" t="str">
        <f>IFERROR(IF($C3="","",SUMIFS(Ledger!$K$2:$K$4, Ledger!$B$2:$B$4, $A3, Ledger!$C$2:$C$4, BRI$2)),"****")</f>
        <v/>
      </c>
      <c r="BRJ3" t="str">
        <f>IFERROR(IF($C3="","",SUMIFS(Ledger!$K$2:$K$4, Ledger!$B$2:$B$4, $A3, Ledger!$C$2:$C$4, BRJ$2)),"****")</f>
        <v/>
      </c>
      <c r="BRK3" t="str">
        <f>IFERROR(IF($C3="","",SUMIFS(Ledger!$K$2:$K$4, Ledger!$B$2:$B$4, $A3, Ledger!$C$2:$C$4, BRK$2)),"****")</f>
        <v/>
      </c>
      <c r="BRL3" t="str">
        <f>IFERROR(IF($C3="","",SUMIFS(Ledger!$K$2:$K$4, Ledger!$B$2:$B$4, $A3, Ledger!$C$2:$C$4, BRL$2)),"****")</f>
        <v/>
      </c>
      <c r="BRM3" t="str">
        <f>IFERROR(IF($C3="","",SUMIFS(Ledger!$K$2:$K$4, Ledger!$B$2:$B$4, $A3, Ledger!$C$2:$C$4, BRM$2)),"****")</f>
        <v/>
      </c>
      <c r="BRN3" t="str">
        <f>IFERROR(IF($C3="","",SUMIFS(Ledger!$K$2:$K$4, Ledger!$B$2:$B$4, $A3, Ledger!$C$2:$C$4, BRN$2)),"****")</f>
        <v/>
      </c>
      <c r="BRO3" t="str">
        <f>IFERROR(IF($C3="","",SUMIFS(Ledger!$K$2:$K$4, Ledger!$B$2:$B$4, $A3, Ledger!$C$2:$C$4, BRO$2)),"****")</f>
        <v/>
      </c>
      <c r="BRP3" t="str">
        <f>IFERROR(IF($C3="","",SUMIFS(Ledger!$K$2:$K$4, Ledger!$B$2:$B$4, $A3, Ledger!$C$2:$C$4, BRP$2)),"****")</f>
        <v/>
      </c>
      <c r="BRQ3" t="str">
        <f>IFERROR(IF($C3="","",SUMIFS(Ledger!$K$2:$K$4, Ledger!$B$2:$B$4, $A3, Ledger!$C$2:$C$4, BRQ$2)),"****")</f>
        <v/>
      </c>
      <c r="BRR3" t="str">
        <f>IFERROR(IF($C3="","",SUMIFS(Ledger!$K$2:$K$4, Ledger!$B$2:$B$4, $A3, Ledger!$C$2:$C$4, BRR$2)),"****")</f>
        <v/>
      </c>
      <c r="BRS3" t="str">
        <f>IFERROR(IF($C3="","",SUMIFS(Ledger!$K$2:$K$4, Ledger!$B$2:$B$4, $A3, Ledger!$C$2:$C$4, BRS$2)),"****")</f>
        <v/>
      </c>
      <c r="BRT3" t="str">
        <f>IFERROR(IF($C3="","",SUMIFS(Ledger!$K$2:$K$4, Ledger!$B$2:$B$4, $A3, Ledger!$C$2:$C$4, BRT$2)),"****")</f>
        <v/>
      </c>
      <c r="BRU3" t="str">
        <f>IFERROR(IF($C3="","",SUMIFS(Ledger!$K$2:$K$4, Ledger!$B$2:$B$4, $A3, Ledger!$C$2:$C$4, BRU$2)),"****")</f>
        <v/>
      </c>
      <c r="BRV3" t="str">
        <f>IFERROR(IF($C3="","",SUMIFS(Ledger!$K$2:$K$4, Ledger!$B$2:$B$4, $A3, Ledger!$C$2:$C$4, BRV$2)),"****")</f>
        <v/>
      </c>
      <c r="BRW3" t="str">
        <f>IFERROR(IF($C3="","",SUMIFS(Ledger!$K$2:$K$4, Ledger!$B$2:$B$4, $A3, Ledger!$C$2:$C$4, BRW$2)),"****")</f>
        <v/>
      </c>
      <c r="BRX3" t="str">
        <f>IFERROR(IF($C3="","",SUMIFS(Ledger!$K$2:$K$4, Ledger!$B$2:$B$4, $A3, Ledger!$C$2:$C$4, BRX$2)),"****")</f>
        <v/>
      </c>
      <c r="BRY3" t="str">
        <f>IFERROR(IF($C3="","",SUMIFS(Ledger!$K$2:$K$4, Ledger!$B$2:$B$4, $A3, Ledger!$C$2:$C$4, BRY$2)),"****")</f>
        <v/>
      </c>
      <c r="BRZ3" t="str">
        <f>IFERROR(IF($C3="","",SUMIFS(Ledger!$K$2:$K$4, Ledger!$B$2:$B$4, $A3, Ledger!$C$2:$C$4, BRZ$2)),"****")</f>
        <v/>
      </c>
      <c r="BSA3" t="str">
        <f>IFERROR(IF($C3="","",SUMIFS(Ledger!$K$2:$K$4, Ledger!$B$2:$B$4, $A3, Ledger!$C$2:$C$4, BSA$2)),"****")</f>
        <v/>
      </c>
      <c r="BSB3" t="str">
        <f>IFERROR(IF($C3="","",SUMIFS(Ledger!$K$2:$K$4, Ledger!$B$2:$B$4, $A3, Ledger!$C$2:$C$4, BSB$2)),"****")</f>
        <v/>
      </c>
      <c r="BSC3" t="str">
        <f>IFERROR(IF($C3="","",SUMIFS(Ledger!$K$2:$K$4, Ledger!$B$2:$B$4, $A3, Ledger!$C$2:$C$4, BSC$2)),"****")</f>
        <v/>
      </c>
      <c r="BSD3" t="str">
        <f>IFERROR(IF($C3="","",SUMIFS(Ledger!$K$2:$K$4, Ledger!$B$2:$B$4, $A3, Ledger!$C$2:$C$4, BSD$2)),"****")</f>
        <v/>
      </c>
      <c r="BSE3" t="str">
        <f>IFERROR(IF($C3="","",SUMIFS(Ledger!$K$2:$K$4, Ledger!$B$2:$B$4, $A3, Ledger!$C$2:$C$4, BSE$2)),"****")</f>
        <v/>
      </c>
      <c r="BSF3" t="str">
        <f>IFERROR(IF($C3="","",SUMIFS(Ledger!$K$2:$K$4, Ledger!$B$2:$B$4, $A3, Ledger!$C$2:$C$4, BSF$2)),"****")</f>
        <v/>
      </c>
      <c r="BSG3" t="str">
        <f>IFERROR(IF($C3="","",SUMIFS(Ledger!$K$2:$K$4, Ledger!$B$2:$B$4, $A3, Ledger!$C$2:$C$4, BSG$2)),"****")</f>
        <v/>
      </c>
      <c r="BSH3" t="str">
        <f>IFERROR(IF($C3="","",SUMIFS(Ledger!$K$2:$K$4, Ledger!$B$2:$B$4, $A3, Ledger!$C$2:$C$4, BSH$2)),"****")</f>
        <v/>
      </c>
      <c r="BSI3" t="str">
        <f>IFERROR(IF($C3="","",SUMIFS(Ledger!$K$2:$K$4, Ledger!$B$2:$B$4, $A3, Ledger!$C$2:$C$4, BSI$2)),"****")</f>
        <v/>
      </c>
      <c r="BSJ3" t="str">
        <f>IFERROR(IF($C3="","",SUMIFS(Ledger!$K$2:$K$4, Ledger!$B$2:$B$4, $A3, Ledger!$C$2:$C$4, BSJ$2)),"****")</f>
        <v/>
      </c>
      <c r="BSK3" t="str">
        <f>IFERROR(IF($C3="","",SUMIFS(Ledger!$K$2:$K$4, Ledger!$B$2:$B$4, $A3, Ledger!$C$2:$C$4, BSK$2)),"****")</f>
        <v/>
      </c>
      <c r="BSL3" t="str">
        <f>IFERROR(IF($C3="","",SUMIFS(Ledger!$K$2:$K$4, Ledger!$B$2:$B$4, $A3, Ledger!$C$2:$C$4, BSL$2)),"****")</f>
        <v/>
      </c>
      <c r="BSM3" t="str">
        <f>IFERROR(IF($C3="","",SUMIFS(Ledger!$K$2:$K$4, Ledger!$B$2:$B$4, $A3, Ledger!$C$2:$C$4, BSM$2)),"****")</f>
        <v/>
      </c>
      <c r="BSN3" t="str">
        <f>IFERROR(IF($C3="","",SUMIFS(Ledger!$K$2:$K$4, Ledger!$B$2:$B$4, $A3, Ledger!$C$2:$C$4, BSN$2)),"****")</f>
        <v/>
      </c>
      <c r="BSO3" t="str">
        <f>IFERROR(IF($C3="","",SUMIFS(Ledger!$K$2:$K$4, Ledger!$B$2:$B$4, $A3, Ledger!$C$2:$C$4, BSO$2)),"****")</f>
        <v/>
      </c>
      <c r="BSP3" t="str">
        <f>IFERROR(IF($C3="","",SUMIFS(Ledger!$K$2:$K$4, Ledger!$B$2:$B$4, $A3, Ledger!$C$2:$C$4, BSP$2)),"****")</f>
        <v/>
      </c>
      <c r="BSQ3" t="str">
        <f>IFERROR(IF($C3="","",SUMIFS(Ledger!$K$2:$K$4, Ledger!$B$2:$B$4, $A3, Ledger!$C$2:$C$4, BSQ$2)),"****")</f>
        <v/>
      </c>
      <c r="BSR3" t="str">
        <f>IFERROR(IF($C3="","",SUMIFS(Ledger!$K$2:$K$4, Ledger!$B$2:$B$4, $A3, Ledger!$C$2:$C$4, BSR$2)),"****")</f>
        <v/>
      </c>
      <c r="BSS3" t="str">
        <f>IFERROR(IF($C3="","",SUMIFS(Ledger!$K$2:$K$4, Ledger!$B$2:$B$4, $A3, Ledger!$C$2:$C$4, BSS$2)),"****")</f>
        <v/>
      </c>
      <c r="BST3" t="str">
        <f>IFERROR(IF($C3="","",SUMIFS(Ledger!$K$2:$K$4, Ledger!$B$2:$B$4, $A3, Ledger!$C$2:$C$4, BST$2)),"****")</f>
        <v/>
      </c>
      <c r="BSU3" t="str">
        <f>IFERROR(IF($C3="","",SUMIFS(Ledger!$K$2:$K$4, Ledger!$B$2:$B$4, $A3, Ledger!$C$2:$C$4, BSU$2)),"****")</f>
        <v/>
      </c>
      <c r="BSV3" t="str">
        <f>IFERROR(IF($C3="","",SUMIFS(Ledger!$K$2:$K$4, Ledger!$B$2:$B$4, $A3, Ledger!$C$2:$C$4, BSV$2)),"****")</f>
        <v/>
      </c>
      <c r="BSW3" t="str">
        <f>IFERROR(IF($C3="","",SUMIFS(Ledger!$K$2:$K$4, Ledger!$B$2:$B$4, $A3, Ledger!$C$2:$C$4, BSW$2)),"****")</f>
        <v/>
      </c>
      <c r="BSX3" t="str">
        <f>IFERROR(IF($C3="","",SUMIFS(Ledger!$K$2:$K$4, Ledger!$B$2:$B$4, $A3, Ledger!$C$2:$C$4, BSX$2)),"****")</f>
        <v/>
      </c>
      <c r="BSY3" t="str">
        <f>IFERROR(IF($C3="","",SUMIFS(Ledger!$K$2:$K$4, Ledger!$B$2:$B$4, $A3, Ledger!$C$2:$C$4, BSY$2)),"****")</f>
        <v/>
      </c>
      <c r="BSZ3" t="str">
        <f>IFERROR(IF($C3="","",SUMIFS(Ledger!$K$2:$K$4, Ledger!$B$2:$B$4, $A3, Ledger!$C$2:$C$4, BSZ$2)),"****")</f>
        <v/>
      </c>
      <c r="BTA3" t="str">
        <f>IFERROR(IF($C3="","",SUMIFS(Ledger!$K$2:$K$4, Ledger!$B$2:$B$4, $A3, Ledger!$C$2:$C$4, BTA$2)),"****")</f>
        <v/>
      </c>
      <c r="BTB3" t="str">
        <f>IFERROR(IF($C3="","",SUMIFS(Ledger!$K$2:$K$4, Ledger!$B$2:$B$4, $A3, Ledger!$C$2:$C$4, BTB$2)),"****")</f>
        <v/>
      </c>
      <c r="BTC3" t="str">
        <f>IFERROR(IF($C3="","",SUMIFS(Ledger!$K$2:$K$4, Ledger!$B$2:$B$4, $A3, Ledger!$C$2:$C$4, BTC$2)),"****")</f>
        <v/>
      </c>
      <c r="BTD3" t="str">
        <f>IFERROR(IF($C3="","",SUMIFS(Ledger!$K$2:$K$4, Ledger!$B$2:$B$4, $A3, Ledger!$C$2:$C$4, BTD$2)),"****")</f>
        <v/>
      </c>
      <c r="BTE3" t="str">
        <f>IFERROR(IF($C3="","",SUMIFS(Ledger!$K$2:$K$4, Ledger!$B$2:$B$4, $A3, Ledger!$C$2:$C$4, BTE$2)),"****")</f>
        <v/>
      </c>
      <c r="BTF3" t="str">
        <f>IFERROR(IF($C3="","",SUMIFS(Ledger!$K$2:$K$4, Ledger!$B$2:$B$4, $A3, Ledger!$C$2:$C$4, BTF$2)),"****")</f>
        <v/>
      </c>
      <c r="BTG3" t="str">
        <f>IFERROR(IF($C3="","",SUMIFS(Ledger!$K$2:$K$4, Ledger!$B$2:$B$4, $A3, Ledger!$C$2:$C$4, BTG$2)),"****")</f>
        <v/>
      </c>
      <c r="BTH3" t="str">
        <f>IFERROR(IF($C3="","",SUMIFS(Ledger!$K$2:$K$4, Ledger!$B$2:$B$4, $A3, Ledger!$C$2:$C$4, BTH$2)),"****")</f>
        <v/>
      </c>
      <c r="BTI3" t="str">
        <f>IFERROR(IF($C3="","",SUMIFS(Ledger!$K$2:$K$4, Ledger!$B$2:$B$4, $A3, Ledger!$C$2:$C$4, BTI$2)),"****")</f>
        <v/>
      </c>
      <c r="BTJ3" t="str">
        <f>IFERROR(IF($C3="","",SUMIFS(Ledger!$K$2:$K$4, Ledger!$B$2:$B$4, $A3, Ledger!$C$2:$C$4, BTJ$2)),"****")</f>
        <v/>
      </c>
      <c r="BTK3" t="str">
        <f>IFERROR(IF($C3="","",SUMIFS(Ledger!$K$2:$K$4, Ledger!$B$2:$B$4, $A3, Ledger!$C$2:$C$4, BTK$2)),"****")</f>
        <v/>
      </c>
      <c r="BTL3" t="str">
        <f>IFERROR(IF($C3="","",SUMIFS(Ledger!$K$2:$K$4, Ledger!$B$2:$B$4, $A3, Ledger!$C$2:$C$4, BTL$2)),"****")</f>
        <v/>
      </c>
      <c r="BTM3" t="str">
        <f>IFERROR(IF($C3="","",SUMIFS(Ledger!$K$2:$K$4, Ledger!$B$2:$B$4, $A3, Ledger!$C$2:$C$4, BTM$2)),"****")</f>
        <v/>
      </c>
      <c r="BTN3" t="str">
        <f>IFERROR(IF($C3="","",SUMIFS(Ledger!$K$2:$K$4, Ledger!$B$2:$B$4, $A3, Ledger!$C$2:$C$4, BTN$2)),"****")</f>
        <v/>
      </c>
      <c r="BTO3" t="str">
        <f>IFERROR(IF($C3="","",SUMIFS(Ledger!$K$2:$K$4, Ledger!$B$2:$B$4, $A3, Ledger!$C$2:$C$4, BTO$2)),"****")</f>
        <v/>
      </c>
      <c r="BTP3" t="str">
        <f>IFERROR(IF($C3="","",SUMIFS(Ledger!$K$2:$K$4, Ledger!$B$2:$B$4, $A3, Ledger!$C$2:$C$4, BTP$2)),"****")</f>
        <v/>
      </c>
      <c r="BTQ3" t="str">
        <f>IFERROR(IF($C3="","",SUMIFS(Ledger!$K$2:$K$4, Ledger!$B$2:$B$4, $A3, Ledger!$C$2:$C$4, BTQ$2)),"****")</f>
        <v/>
      </c>
      <c r="BTR3" t="str">
        <f>IFERROR(IF($C3="","",SUMIFS(Ledger!$K$2:$K$4, Ledger!$B$2:$B$4, $A3, Ledger!$C$2:$C$4, BTR$2)),"****")</f>
        <v/>
      </c>
      <c r="BTS3" t="str">
        <f>IFERROR(IF($C3="","",SUMIFS(Ledger!$K$2:$K$4, Ledger!$B$2:$B$4, $A3, Ledger!$C$2:$C$4, BTS$2)),"****")</f>
        <v/>
      </c>
      <c r="BTT3" t="str">
        <f>IFERROR(IF($C3="","",SUMIFS(Ledger!$K$2:$K$4, Ledger!$B$2:$B$4, $A3, Ledger!$C$2:$C$4, BTT$2)),"****")</f>
        <v/>
      </c>
      <c r="BTU3" t="str">
        <f>IFERROR(IF($C3="","",SUMIFS(Ledger!$K$2:$K$4, Ledger!$B$2:$B$4, $A3, Ledger!$C$2:$C$4, BTU$2)),"****")</f>
        <v/>
      </c>
      <c r="BTV3" t="str">
        <f>IFERROR(IF($C3="","",SUMIFS(Ledger!$K$2:$K$4, Ledger!$B$2:$B$4, $A3, Ledger!$C$2:$C$4, BTV$2)),"****")</f>
        <v/>
      </c>
      <c r="BTW3" t="str">
        <f>IFERROR(IF($C3="","",SUMIFS(Ledger!$K$2:$K$4, Ledger!$B$2:$B$4, $A3, Ledger!$C$2:$C$4, BTW$2)),"****")</f>
        <v/>
      </c>
      <c r="BTX3" t="str">
        <f>IFERROR(IF($C3="","",SUMIFS(Ledger!$K$2:$K$4, Ledger!$B$2:$B$4, $A3, Ledger!$C$2:$C$4, BTX$2)),"****")</f>
        <v/>
      </c>
      <c r="BTY3" t="str">
        <f>IFERROR(IF($C3="","",SUMIFS(Ledger!$K$2:$K$4, Ledger!$B$2:$B$4, $A3, Ledger!$C$2:$C$4, BTY$2)),"****")</f>
        <v/>
      </c>
      <c r="BTZ3" t="str">
        <f>IFERROR(IF($C3="","",SUMIFS(Ledger!$K$2:$K$4, Ledger!$B$2:$B$4, $A3, Ledger!$C$2:$C$4, BTZ$2)),"****")</f>
        <v/>
      </c>
      <c r="BUA3" t="str">
        <f>IFERROR(IF($C3="","",SUMIFS(Ledger!$K$2:$K$4, Ledger!$B$2:$B$4, $A3, Ledger!$C$2:$C$4, BUA$2)),"****")</f>
        <v/>
      </c>
      <c r="BUB3" t="str">
        <f>IFERROR(IF($C3="","",SUMIFS(Ledger!$K$2:$K$4, Ledger!$B$2:$B$4, $A3, Ledger!$C$2:$C$4, BUB$2)),"****")</f>
        <v/>
      </c>
      <c r="BUC3" t="str">
        <f>IFERROR(IF($C3="","",SUMIFS(Ledger!$K$2:$K$4, Ledger!$B$2:$B$4, $A3, Ledger!$C$2:$C$4, BUC$2)),"****")</f>
        <v/>
      </c>
      <c r="BUD3" t="str">
        <f>IFERROR(IF($C3="","",SUMIFS(Ledger!$K$2:$K$4, Ledger!$B$2:$B$4, $A3, Ledger!$C$2:$C$4, BUD$2)),"****")</f>
        <v/>
      </c>
      <c r="BUE3" t="str">
        <f>IFERROR(IF($C3="","",SUMIFS(Ledger!$K$2:$K$4, Ledger!$B$2:$B$4, $A3, Ledger!$C$2:$C$4, BUE$2)),"****")</f>
        <v/>
      </c>
      <c r="BUF3" t="str">
        <f>IFERROR(IF($C3="","",SUMIFS(Ledger!$K$2:$K$4, Ledger!$B$2:$B$4, $A3, Ledger!$C$2:$C$4, BUF$2)),"****")</f>
        <v/>
      </c>
      <c r="BUG3" t="str">
        <f>IFERROR(IF($C3="","",SUMIFS(Ledger!$K$2:$K$4, Ledger!$B$2:$B$4, $A3, Ledger!$C$2:$C$4, BUG$2)),"****")</f>
        <v/>
      </c>
      <c r="BUH3" t="str">
        <f>IFERROR(IF($C3="","",SUMIFS(Ledger!$K$2:$K$4, Ledger!$B$2:$B$4, $A3, Ledger!$C$2:$C$4, BUH$2)),"****")</f>
        <v/>
      </c>
      <c r="BUI3" t="str">
        <f>IFERROR(IF($C3="","",SUMIFS(Ledger!$K$2:$K$4, Ledger!$B$2:$B$4, $A3, Ledger!$C$2:$C$4, BUI$2)),"****")</f>
        <v/>
      </c>
      <c r="BUJ3" t="str">
        <f>IFERROR(IF($C3="","",SUMIFS(Ledger!$K$2:$K$4, Ledger!$B$2:$B$4, $A3, Ledger!$C$2:$C$4, BUJ$2)),"****")</f>
        <v/>
      </c>
      <c r="BUK3" t="str">
        <f>IFERROR(IF($C3="","",SUMIFS(Ledger!$K$2:$K$4, Ledger!$B$2:$B$4, $A3, Ledger!$C$2:$C$4, BUK$2)),"****")</f>
        <v/>
      </c>
      <c r="BUL3" t="str">
        <f>IFERROR(IF($C3="","",SUMIFS(Ledger!$K$2:$K$4, Ledger!$B$2:$B$4, $A3, Ledger!$C$2:$C$4, BUL$2)),"****")</f>
        <v/>
      </c>
      <c r="BUM3" t="str">
        <f>IFERROR(IF($C3="","",SUMIFS(Ledger!$K$2:$K$4, Ledger!$B$2:$B$4, $A3, Ledger!$C$2:$C$4, BUM$2)),"****")</f>
        <v/>
      </c>
      <c r="BUN3" t="str">
        <f>IFERROR(IF($C3="","",SUMIFS(Ledger!$K$2:$K$4, Ledger!$B$2:$B$4, $A3, Ledger!$C$2:$C$4, BUN$2)),"****")</f>
        <v/>
      </c>
      <c r="BUO3" t="str">
        <f>IFERROR(IF($C3="","",SUMIFS(Ledger!$K$2:$K$4, Ledger!$B$2:$B$4, $A3, Ledger!$C$2:$C$4, BUO$2)),"****")</f>
        <v/>
      </c>
      <c r="BUP3" t="str">
        <f>IFERROR(IF($C3="","",SUMIFS(Ledger!$K$2:$K$4, Ledger!$B$2:$B$4, $A3, Ledger!$C$2:$C$4, BUP$2)),"****")</f>
        <v/>
      </c>
      <c r="BUQ3" t="str">
        <f>IFERROR(IF($C3="","",SUMIFS(Ledger!$K$2:$K$4, Ledger!$B$2:$B$4, $A3, Ledger!$C$2:$C$4, BUQ$2)),"****")</f>
        <v/>
      </c>
      <c r="BUR3" t="str">
        <f>IFERROR(IF($C3="","",SUMIFS(Ledger!$K$2:$K$4, Ledger!$B$2:$B$4, $A3, Ledger!$C$2:$C$4, BUR$2)),"****")</f>
        <v/>
      </c>
      <c r="BUS3" t="str">
        <f>IFERROR(IF($C3="","",SUMIFS(Ledger!$K$2:$K$4, Ledger!$B$2:$B$4, $A3, Ledger!$C$2:$C$4, BUS$2)),"****")</f>
        <v/>
      </c>
      <c r="BUT3" t="str">
        <f>IFERROR(IF($C3="","",SUMIFS(Ledger!$K$2:$K$4, Ledger!$B$2:$B$4, $A3, Ledger!$C$2:$C$4, BUT$2)),"****")</f>
        <v/>
      </c>
      <c r="BUU3" t="str">
        <f>IFERROR(IF($C3="","",SUMIFS(Ledger!$K$2:$K$4, Ledger!$B$2:$B$4, $A3, Ledger!$C$2:$C$4, BUU$2)),"****")</f>
        <v/>
      </c>
      <c r="BUV3" t="str">
        <f>IFERROR(IF($C3="","",SUMIFS(Ledger!$K$2:$K$4, Ledger!$B$2:$B$4, $A3, Ledger!$C$2:$C$4, BUV$2)),"****")</f>
        <v/>
      </c>
      <c r="BUW3" t="str">
        <f>IFERROR(IF($C3="","",SUMIFS(Ledger!$K$2:$K$4, Ledger!$B$2:$B$4, $A3, Ledger!$C$2:$C$4, BUW$2)),"****")</f>
        <v/>
      </c>
      <c r="BUX3" t="str">
        <f>IFERROR(IF($C3="","",SUMIFS(Ledger!$K$2:$K$4, Ledger!$B$2:$B$4, $A3, Ledger!$C$2:$C$4, BUX$2)),"****")</f>
        <v/>
      </c>
      <c r="BUY3" t="str">
        <f>IFERROR(IF($C3="","",SUMIFS(Ledger!$K$2:$K$4, Ledger!$B$2:$B$4, $A3, Ledger!$C$2:$C$4, BUY$2)),"****")</f>
        <v/>
      </c>
      <c r="BUZ3" t="str">
        <f>IFERROR(IF($C3="","",SUMIFS(Ledger!$K$2:$K$4, Ledger!$B$2:$B$4, $A3, Ledger!$C$2:$C$4, BUZ$2)),"****")</f>
        <v/>
      </c>
      <c r="BVA3" t="str">
        <f>IFERROR(IF($C3="","",SUMIFS(Ledger!$K$2:$K$4, Ledger!$B$2:$B$4, $A3, Ledger!$C$2:$C$4, BVA$2)),"****")</f>
        <v/>
      </c>
      <c r="BVB3" t="str">
        <f>IFERROR(IF($C3="","",SUMIFS(Ledger!$K$2:$K$4, Ledger!$B$2:$B$4, $A3, Ledger!$C$2:$C$4, BVB$2)),"****")</f>
        <v/>
      </c>
      <c r="BVC3" t="str">
        <f>IFERROR(IF($C3="","",SUMIFS(Ledger!$K$2:$K$4, Ledger!$B$2:$B$4, $A3, Ledger!$C$2:$C$4, BVC$2)),"****")</f>
        <v/>
      </c>
      <c r="BVD3" t="str">
        <f>IFERROR(IF($C3="","",SUMIFS(Ledger!$K$2:$K$4, Ledger!$B$2:$B$4, $A3, Ledger!$C$2:$C$4, BVD$2)),"****")</f>
        <v/>
      </c>
      <c r="BVE3" t="str">
        <f>IFERROR(IF($C3="","",SUMIFS(Ledger!$K$2:$K$4, Ledger!$B$2:$B$4, $A3, Ledger!$C$2:$C$4, BVE$2)),"****")</f>
        <v/>
      </c>
      <c r="BVF3" t="str">
        <f>IFERROR(IF($C3="","",SUMIFS(Ledger!$K$2:$K$4, Ledger!$B$2:$B$4, $A3, Ledger!$C$2:$C$4, BVF$2)),"****")</f>
        <v/>
      </c>
      <c r="BVG3" t="str">
        <f>IFERROR(IF($C3="","",SUMIFS(Ledger!$K$2:$K$4, Ledger!$B$2:$B$4, $A3, Ledger!$C$2:$C$4, BVG$2)),"****")</f>
        <v/>
      </c>
      <c r="BVH3" t="str">
        <f>IFERROR(IF($C3="","",SUMIFS(Ledger!$K$2:$K$4, Ledger!$B$2:$B$4, $A3, Ledger!$C$2:$C$4, BVH$2)),"****")</f>
        <v/>
      </c>
      <c r="BVI3" t="str">
        <f>IFERROR(IF($C3="","",SUMIFS(Ledger!$K$2:$K$4, Ledger!$B$2:$B$4, $A3, Ledger!$C$2:$C$4, BVI$2)),"****")</f>
        <v/>
      </c>
      <c r="BVJ3" t="str">
        <f>IFERROR(IF($C3="","",SUMIFS(Ledger!$K$2:$K$4, Ledger!$B$2:$B$4, $A3, Ledger!$C$2:$C$4, BVJ$2)),"****")</f>
        <v/>
      </c>
      <c r="BVK3" t="str">
        <f>IFERROR(IF($C3="","",SUMIFS(Ledger!$K$2:$K$4, Ledger!$B$2:$B$4, $A3, Ledger!$C$2:$C$4, BVK$2)),"****")</f>
        <v/>
      </c>
      <c r="BVL3" t="str">
        <f>IFERROR(IF($C3="","",SUMIFS(Ledger!$K$2:$K$4, Ledger!$B$2:$B$4, $A3, Ledger!$C$2:$C$4, BVL$2)),"****")</f>
        <v/>
      </c>
      <c r="BVM3" t="str">
        <f>IFERROR(IF($C3="","",SUMIFS(Ledger!$K$2:$K$4, Ledger!$B$2:$B$4, $A3, Ledger!$C$2:$C$4, BVM$2)),"****")</f>
        <v/>
      </c>
      <c r="BVN3" t="str">
        <f>IFERROR(IF($C3="","",SUMIFS(Ledger!$K$2:$K$4, Ledger!$B$2:$B$4, $A3, Ledger!$C$2:$C$4, BVN$2)),"****")</f>
        <v/>
      </c>
      <c r="BVO3" t="str">
        <f>IFERROR(IF($C3="","",SUMIFS(Ledger!$K$2:$K$4, Ledger!$B$2:$B$4, $A3, Ledger!$C$2:$C$4, BVO$2)),"****")</f>
        <v/>
      </c>
      <c r="BVP3" t="str">
        <f>IFERROR(IF($C3="","",SUMIFS(Ledger!$K$2:$K$4, Ledger!$B$2:$B$4, $A3, Ledger!$C$2:$C$4, BVP$2)),"****")</f>
        <v/>
      </c>
      <c r="BVQ3" t="str">
        <f>IFERROR(IF($C3="","",SUMIFS(Ledger!$K$2:$K$4, Ledger!$B$2:$B$4, $A3, Ledger!$C$2:$C$4, BVQ$2)),"****")</f>
        <v/>
      </c>
      <c r="BVR3" t="str">
        <f>IFERROR(IF($C3="","",SUMIFS(Ledger!$K$2:$K$4, Ledger!$B$2:$B$4, $A3, Ledger!$C$2:$C$4, BVR$2)),"****")</f>
        <v/>
      </c>
      <c r="BVS3" t="str">
        <f>IFERROR(IF($C3="","",SUMIFS(Ledger!$K$2:$K$4, Ledger!$B$2:$B$4, $A3, Ledger!$C$2:$C$4, BVS$2)),"****")</f>
        <v/>
      </c>
      <c r="BVT3" t="str">
        <f>IFERROR(IF($C3="","",SUMIFS(Ledger!$K$2:$K$4, Ledger!$B$2:$B$4, $A3, Ledger!$C$2:$C$4, BVT$2)),"****")</f>
        <v/>
      </c>
      <c r="BVU3" t="str">
        <f>IFERROR(IF($C3="","",SUMIFS(Ledger!$K$2:$K$4, Ledger!$B$2:$B$4, $A3, Ledger!$C$2:$C$4, BVU$2)),"****")</f>
        <v/>
      </c>
      <c r="BVV3" t="str">
        <f>IFERROR(IF($C3="","",SUMIFS(Ledger!$K$2:$K$4, Ledger!$B$2:$B$4, $A3, Ledger!$C$2:$C$4, BVV$2)),"****")</f>
        <v/>
      </c>
      <c r="BVW3" t="str">
        <f>IFERROR(IF($C3="","",SUMIFS(Ledger!$K$2:$K$4, Ledger!$B$2:$B$4, $A3, Ledger!$C$2:$C$4, BVW$2)),"****")</f>
        <v/>
      </c>
      <c r="BVX3" t="str">
        <f>IFERROR(IF($C3="","",SUMIFS(Ledger!$K$2:$K$4, Ledger!$B$2:$B$4, $A3, Ledger!$C$2:$C$4, BVX$2)),"****")</f>
        <v/>
      </c>
      <c r="BVY3" t="str">
        <f>IFERROR(IF($C3="","",SUMIFS(Ledger!$K$2:$K$4, Ledger!$B$2:$B$4, $A3, Ledger!$C$2:$C$4, BVY$2)),"****")</f>
        <v/>
      </c>
      <c r="BVZ3" t="str">
        <f>IFERROR(IF($C3="","",SUMIFS(Ledger!$K$2:$K$4, Ledger!$B$2:$B$4, $A3, Ledger!$C$2:$C$4, BVZ$2)),"****")</f>
        <v/>
      </c>
      <c r="BWA3" t="str">
        <f>IFERROR(IF($C3="","",SUMIFS(Ledger!$K$2:$K$4, Ledger!$B$2:$B$4, $A3, Ledger!$C$2:$C$4, BWA$2)),"****")</f>
        <v/>
      </c>
      <c r="BWB3" t="str">
        <f>IFERROR(IF($C3="","",SUMIFS(Ledger!$K$2:$K$4, Ledger!$B$2:$B$4, $A3, Ledger!$C$2:$C$4, BWB$2)),"****")</f>
        <v/>
      </c>
      <c r="BWC3" t="str">
        <f>IFERROR(IF($C3="","",SUMIFS(Ledger!$K$2:$K$4, Ledger!$B$2:$B$4, $A3, Ledger!$C$2:$C$4, BWC$2)),"****")</f>
        <v/>
      </c>
      <c r="BWD3" t="str">
        <f>IFERROR(IF($C3="","",SUMIFS(Ledger!$K$2:$K$4, Ledger!$B$2:$B$4, $A3, Ledger!$C$2:$C$4, BWD$2)),"****")</f>
        <v/>
      </c>
      <c r="BWE3" t="str">
        <f>IFERROR(IF($C3="","",SUMIFS(Ledger!$K$2:$K$4, Ledger!$B$2:$B$4, $A3, Ledger!$C$2:$C$4, BWE$2)),"****")</f>
        <v/>
      </c>
      <c r="BWF3" t="str">
        <f>IFERROR(IF($C3="","",SUMIFS(Ledger!$K$2:$K$4, Ledger!$B$2:$B$4, $A3, Ledger!$C$2:$C$4, BWF$2)),"****")</f>
        <v/>
      </c>
      <c r="BWG3" t="str">
        <f>IFERROR(IF($C3="","",SUMIFS(Ledger!$K$2:$K$4, Ledger!$B$2:$B$4, $A3, Ledger!$C$2:$C$4, BWG$2)),"****")</f>
        <v/>
      </c>
      <c r="BWH3" t="str">
        <f>IFERROR(IF($C3="","",SUMIFS(Ledger!$K$2:$K$4, Ledger!$B$2:$B$4, $A3, Ledger!$C$2:$C$4, BWH$2)),"****")</f>
        <v/>
      </c>
      <c r="BWI3" t="str">
        <f>IFERROR(IF($C3="","",SUMIFS(Ledger!$K$2:$K$4, Ledger!$B$2:$B$4, $A3, Ledger!$C$2:$C$4, BWI$2)),"****")</f>
        <v/>
      </c>
      <c r="BWJ3" t="str">
        <f>IFERROR(IF($C3="","",SUMIFS(Ledger!$K$2:$K$4, Ledger!$B$2:$B$4, $A3, Ledger!$C$2:$C$4, BWJ$2)),"****")</f>
        <v/>
      </c>
      <c r="BWK3" t="str">
        <f>IFERROR(IF($C3="","",SUMIFS(Ledger!$K$2:$K$4, Ledger!$B$2:$B$4, $A3, Ledger!$C$2:$C$4, BWK$2)),"****")</f>
        <v/>
      </c>
      <c r="BWL3" t="str">
        <f>IFERROR(IF($C3="","",SUMIFS(Ledger!$K$2:$K$4, Ledger!$B$2:$B$4, $A3, Ledger!$C$2:$C$4, BWL$2)),"****")</f>
        <v/>
      </c>
      <c r="BWM3" t="str">
        <f>IFERROR(IF($C3="","",SUMIFS(Ledger!$K$2:$K$4, Ledger!$B$2:$B$4, $A3, Ledger!$C$2:$C$4, BWM$2)),"****")</f>
        <v/>
      </c>
      <c r="BWN3" t="str">
        <f>IFERROR(IF($C3="","",SUMIFS(Ledger!$K$2:$K$4, Ledger!$B$2:$B$4, $A3, Ledger!$C$2:$C$4, BWN$2)),"****")</f>
        <v/>
      </c>
      <c r="BWO3" t="str">
        <f>IFERROR(IF($C3="","",SUMIFS(Ledger!$K$2:$K$4, Ledger!$B$2:$B$4, $A3, Ledger!$C$2:$C$4, BWO$2)),"****")</f>
        <v/>
      </c>
      <c r="BWP3" t="str">
        <f>IFERROR(IF($C3="","",SUMIFS(Ledger!$K$2:$K$4, Ledger!$B$2:$B$4, $A3, Ledger!$C$2:$C$4, BWP$2)),"****")</f>
        <v/>
      </c>
      <c r="BWQ3" t="str">
        <f>IFERROR(IF($C3="","",SUMIFS(Ledger!$K$2:$K$4, Ledger!$B$2:$B$4, $A3, Ledger!$C$2:$C$4, BWQ$2)),"****")</f>
        <v/>
      </c>
      <c r="BWR3" t="str">
        <f>IFERROR(IF($C3="","",SUMIFS(Ledger!$K$2:$K$4, Ledger!$B$2:$B$4, $A3, Ledger!$C$2:$C$4, BWR$2)),"****")</f>
        <v/>
      </c>
      <c r="BWS3" t="str">
        <f>IFERROR(IF($C3="","",SUMIFS(Ledger!$K$2:$K$4, Ledger!$B$2:$B$4, $A3, Ledger!$C$2:$C$4, BWS$2)),"****")</f>
        <v/>
      </c>
      <c r="BWT3" t="str">
        <f>IFERROR(IF($C3="","",SUMIFS(Ledger!$K$2:$K$4, Ledger!$B$2:$B$4, $A3, Ledger!$C$2:$C$4, BWT$2)),"****")</f>
        <v/>
      </c>
      <c r="BWU3" t="str">
        <f>IFERROR(IF($C3="","",SUMIFS(Ledger!$K$2:$K$4, Ledger!$B$2:$B$4, $A3, Ledger!$C$2:$C$4, BWU$2)),"****")</f>
        <v/>
      </c>
      <c r="BWV3" t="str">
        <f>IFERROR(IF($C3="","",SUMIFS(Ledger!$K$2:$K$4, Ledger!$B$2:$B$4, $A3, Ledger!$C$2:$C$4, BWV$2)),"****")</f>
        <v/>
      </c>
      <c r="BWW3" t="str">
        <f>IFERROR(IF($C3="","",SUMIFS(Ledger!$K$2:$K$4, Ledger!$B$2:$B$4, $A3, Ledger!$C$2:$C$4, BWW$2)),"****")</f>
        <v/>
      </c>
      <c r="BWX3" t="str">
        <f>IFERROR(IF($C3="","",SUMIFS(Ledger!$K$2:$K$4, Ledger!$B$2:$B$4, $A3, Ledger!$C$2:$C$4, BWX$2)),"****")</f>
        <v/>
      </c>
      <c r="BWY3" t="str">
        <f>IFERROR(IF($C3="","",SUMIFS(Ledger!$K$2:$K$4, Ledger!$B$2:$B$4, $A3, Ledger!$C$2:$C$4, BWY$2)),"****")</f>
        <v/>
      </c>
      <c r="BWZ3" t="str">
        <f>IFERROR(IF($C3="","",SUMIFS(Ledger!$K$2:$K$4, Ledger!$B$2:$B$4, $A3, Ledger!$C$2:$C$4, BWZ$2)),"****")</f>
        <v/>
      </c>
      <c r="BXA3" t="str">
        <f>IFERROR(IF($C3="","",SUMIFS(Ledger!$K$2:$K$4, Ledger!$B$2:$B$4, $A3, Ledger!$C$2:$C$4, BXA$2)),"****")</f>
        <v/>
      </c>
      <c r="BXB3" t="str">
        <f>IFERROR(IF($C3="","",SUMIFS(Ledger!$K$2:$K$4, Ledger!$B$2:$B$4, $A3, Ledger!$C$2:$C$4, BXB$2)),"****")</f>
        <v/>
      </c>
      <c r="BXC3" t="str">
        <f>IFERROR(IF($C3="","",SUMIFS(Ledger!$K$2:$K$4, Ledger!$B$2:$B$4, $A3, Ledger!$C$2:$C$4, BXC$2)),"****")</f>
        <v/>
      </c>
      <c r="BXD3" t="str">
        <f>IFERROR(IF($C3="","",SUMIFS(Ledger!$K$2:$K$4, Ledger!$B$2:$B$4, $A3, Ledger!$C$2:$C$4, BXD$2)),"****")</f>
        <v/>
      </c>
      <c r="BXE3" t="str">
        <f>IFERROR(IF($C3="","",SUMIFS(Ledger!$K$2:$K$4, Ledger!$B$2:$B$4, $A3, Ledger!$C$2:$C$4, BXE$2)),"****")</f>
        <v/>
      </c>
      <c r="BXF3" t="str">
        <f>IFERROR(IF($C3="","",SUMIFS(Ledger!$K$2:$K$4, Ledger!$B$2:$B$4, $A3, Ledger!$C$2:$C$4, BXF$2)),"****")</f>
        <v/>
      </c>
      <c r="BXG3" t="str">
        <f>IFERROR(IF($C3="","",SUMIFS(Ledger!$K$2:$K$4, Ledger!$B$2:$B$4, $A3, Ledger!$C$2:$C$4, BXG$2)),"****")</f>
        <v/>
      </c>
      <c r="BXH3" t="str">
        <f>IFERROR(IF($C3="","",SUMIFS(Ledger!$K$2:$K$4, Ledger!$B$2:$B$4, $A3, Ledger!$C$2:$C$4, BXH$2)),"****")</f>
        <v/>
      </c>
      <c r="BXI3" t="str">
        <f>IFERROR(IF($C3="","",SUMIFS(Ledger!$K$2:$K$4, Ledger!$B$2:$B$4, $A3, Ledger!$C$2:$C$4, BXI$2)),"****")</f>
        <v/>
      </c>
      <c r="BXJ3" t="str">
        <f>IFERROR(IF($C3="","",SUMIFS(Ledger!$K$2:$K$4, Ledger!$B$2:$B$4, $A3, Ledger!$C$2:$C$4, BXJ$2)),"****")</f>
        <v/>
      </c>
      <c r="BXK3" t="str">
        <f>IFERROR(IF($C3="","",SUMIFS(Ledger!$K$2:$K$4, Ledger!$B$2:$B$4, $A3, Ledger!$C$2:$C$4, BXK$2)),"****")</f>
        <v/>
      </c>
      <c r="BXL3" t="str">
        <f>IFERROR(IF($C3="","",SUMIFS(Ledger!$K$2:$K$4, Ledger!$B$2:$B$4, $A3, Ledger!$C$2:$C$4, BXL$2)),"****")</f>
        <v/>
      </c>
      <c r="BXM3" t="str">
        <f>IFERROR(IF($C3="","",SUMIFS(Ledger!$K$2:$K$4, Ledger!$B$2:$B$4, $A3, Ledger!$C$2:$C$4, BXM$2)),"****")</f>
        <v/>
      </c>
      <c r="BXN3" t="str">
        <f>IFERROR(IF($C3="","",SUMIFS(Ledger!$K$2:$K$4, Ledger!$B$2:$B$4, $A3, Ledger!$C$2:$C$4, BXN$2)),"****")</f>
        <v/>
      </c>
      <c r="BXO3" t="str">
        <f>IFERROR(IF($C3="","",SUMIFS(Ledger!$K$2:$K$4, Ledger!$B$2:$B$4, $A3, Ledger!$C$2:$C$4, BXO$2)),"****")</f>
        <v/>
      </c>
      <c r="BXP3" t="str">
        <f>IFERROR(IF($C3="","",SUMIFS(Ledger!$K$2:$K$4, Ledger!$B$2:$B$4, $A3, Ledger!$C$2:$C$4, BXP$2)),"****")</f>
        <v/>
      </c>
      <c r="BXQ3" t="str">
        <f>IFERROR(IF($C3="","",SUMIFS(Ledger!$K$2:$K$4, Ledger!$B$2:$B$4, $A3, Ledger!$C$2:$C$4, BXQ$2)),"****")</f>
        <v/>
      </c>
      <c r="BXR3" t="str">
        <f>IFERROR(IF($C3="","",SUMIFS(Ledger!$K$2:$K$4, Ledger!$B$2:$B$4, $A3, Ledger!$C$2:$C$4, BXR$2)),"****")</f>
        <v/>
      </c>
      <c r="BXS3" t="str">
        <f>IFERROR(IF($C3="","",SUMIFS(Ledger!$K$2:$K$4, Ledger!$B$2:$B$4, $A3, Ledger!$C$2:$C$4, BXS$2)),"****")</f>
        <v/>
      </c>
      <c r="BXT3" t="str">
        <f>IFERROR(IF($C3="","",SUMIFS(Ledger!$K$2:$K$4, Ledger!$B$2:$B$4, $A3, Ledger!$C$2:$C$4, BXT$2)),"****")</f>
        <v/>
      </c>
      <c r="BXU3" t="str">
        <f>IFERROR(IF($C3="","",SUMIFS(Ledger!$K$2:$K$4, Ledger!$B$2:$B$4, $A3, Ledger!$C$2:$C$4, BXU$2)),"****")</f>
        <v/>
      </c>
      <c r="BXV3" t="str">
        <f>IFERROR(IF($C3="","",SUMIFS(Ledger!$K$2:$K$4, Ledger!$B$2:$B$4, $A3, Ledger!$C$2:$C$4, BXV$2)),"****")</f>
        <v/>
      </c>
      <c r="BXW3" t="str">
        <f>IFERROR(IF($C3="","",SUMIFS(Ledger!$K$2:$K$4, Ledger!$B$2:$B$4, $A3, Ledger!$C$2:$C$4, BXW$2)),"****")</f>
        <v/>
      </c>
      <c r="BXX3" t="str">
        <f>IFERROR(IF($C3="","",SUMIFS(Ledger!$K$2:$K$4, Ledger!$B$2:$B$4, $A3, Ledger!$C$2:$C$4, BXX$2)),"****")</f>
        <v/>
      </c>
      <c r="BXY3" t="str">
        <f>IFERROR(IF($C3="","",SUMIFS(Ledger!$K$2:$K$4, Ledger!$B$2:$B$4, $A3, Ledger!$C$2:$C$4, BXY$2)),"****")</f>
        <v/>
      </c>
      <c r="BXZ3" t="str">
        <f>IFERROR(IF($C3="","",SUMIFS(Ledger!$K$2:$K$4, Ledger!$B$2:$B$4, $A3, Ledger!$C$2:$C$4, BXZ$2)),"****")</f>
        <v/>
      </c>
      <c r="BYA3" t="str">
        <f>IFERROR(IF($C3="","",SUMIFS(Ledger!$K$2:$K$4, Ledger!$B$2:$B$4, $A3, Ledger!$C$2:$C$4, BYA$2)),"****")</f>
        <v/>
      </c>
      <c r="BYB3" t="str">
        <f>IFERROR(IF($C3="","",SUMIFS(Ledger!$K$2:$K$4, Ledger!$B$2:$B$4, $A3, Ledger!$C$2:$C$4, BYB$2)),"****")</f>
        <v/>
      </c>
      <c r="BYC3" t="str">
        <f>IFERROR(IF($C3="","",SUMIFS(Ledger!$K$2:$K$4, Ledger!$B$2:$B$4, $A3, Ledger!$C$2:$C$4, BYC$2)),"****")</f>
        <v/>
      </c>
      <c r="BYD3" t="str">
        <f>IFERROR(IF($C3="","",SUMIFS(Ledger!$K$2:$K$4, Ledger!$B$2:$B$4, $A3, Ledger!$C$2:$C$4, BYD$2)),"****")</f>
        <v/>
      </c>
      <c r="BYE3" t="str">
        <f>IFERROR(IF($C3="","",SUMIFS(Ledger!$K$2:$K$4, Ledger!$B$2:$B$4, $A3, Ledger!$C$2:$C$4, BYE$2)),"****")</f>
        <v/>
      </c>
      <c r="BYF3" t="str">
        <f>IFERROR(IF($C3="","",SUMIFS(Ledger!$K$2:$K$4, Ledger!$B$2:$B$4, $A3, Ledger!$C$2:$C$4, BYF$2)),"****")</f>
        <v/>
      </c>
      <c r="BYG3" t="str">
        <f>IFERROR(IF($C3="","",SUMIFS(Ledger!$K$2:$K$4, Ledger!$B$2:$B$4, $A3, Ledger!$C$2:$C$4, BYG$2)),"****")</f>
        <v/>
      </c>
      <c r="BYH3" t="str">
        <f>IFERROR(IF($C3="","",SUMIFS(Ledger!$K$2:$K$4, Ledger!$B$2:$B$4, $A3, Ledger!$C$2:$C$4, BYH$2)),"****")</f>
        <v/>
      </c>
      <c r="BYI3" t="str">
        <f>IFERROR(IF($C3="","",SUMIFS(Ledger!$K$2:$K$4, Ledger!$B$2:$B$4, $A3, Ledger!$C$2:$C$4, BYI$2)),"****")</f>
        <v/>
      </c>
      <c r="BYJ3" t="str">
        <f>IFERROR(IF($C3="","",SUMIFS(Ledger!$K$2:$K$4, Ledger!$B$2:$B$4, $A3, Ledger!$C$2:$C$4, BYJ$2)),"****")</f>
        <v/>
      </c>
      <c r="BYK3" t="str">
        <f>IFERROR(IF($C3="","",SUMIFS(Ledger!$K$2:$K$4, Ledger!$B$2:$B$4, $A3, Ledger!$C$2:$C$4, BYK$2)),"****")</f>
        <v/>
      </c>
      <c r="BYL3" t="str">
        <f>IFERROR(IF($C3="","",SUMIFS(Ledger!$K$2:$K$4, Ledger!$B$2:$B$4, $A3, Ledger!$C$2:$C$4, BYL$2)),"****")</f>
        <v/>
      </c>
      <c r="BYM3" t="str">
        <f>IFERROR(IF($C3="","",SUMIFS(Ledger!$K$2:$K$4, Ledger!$B$2:$B$4, $A3, Ledger!$C$2:$C$4, BYM$2)),"****")</f>
        <v/>
      </c>
      <c r="BYN3" t="str">
        <f>IFERROR(IF($C3="","",SUMIFS(Ledger!$K$2:$K$4, Ledger!$B$2:$B$4, $A3, Ledger!$C$2:$C$4, BYN$2)),"****")</f>
        <v/>
      </c>
      <c r="BYO3" t="str">
        <f>IFERROR(IF($C3="","",SUMIFS(Ledger!$K$2:$K$4, Ledger!$B$2:$B$4, $A3, Ledger!$C$2:$C$4, BYO$2)),"****")</f>
        <v/>
      </c>
      <c r="BYP3" t="str">
        <f>IFERROR(IF($C3="","",SUMIFS(Ledger!$K$2:$K$4, Ledger!$B$2:$B$4, $A3, Ledger!$C$2:$C$4, BYP$2)),"****")</f>
        <v/>
      </c>
      <c r="BYQ3" t="str">
        <f>IFERROR(IF($C3="","",SUMIFS(Ledger!$K$2:$K$4, Ledger!$B$2:$B$4, $A3, Ledger!$C$2:$C$4, BYQ$2)),"****")</f>
        <v/>
      </c>
      <c r="BYR3" t="str">
        <f>IFERROR(IF($C3="","",SUMIFS(Ledger!$K$2:$K$4, Ledger!$B$2:$B$4, $A3, Ledger!$C$2:$C$4, BYR$2)),"****")</f>
        <v/>
      </c>
      <c r="BYS3" t="str">
        <f>IFERROR(IF($C3="","",SUMIFS(Ledger!$K$2:$K$4, Ledger!$B$2:$B$4, $A3, Ledger!$C$2:$C$4, BYS$2)),"****")</f>
        <v/>
      </c>
      <c r="BYT3" t="str">
        <f>IFERROR(IF($C3="","",SUMIFS(Ledger!$K$2:$K$4, Ledger!$B$2:$B$4, $A3, Ledger!$C$2:$C$4, BYT$2)),"****")</f>
        <v/>
      </c>
      <c r="BYU3" t="str">
        <f>IFERROR(IF($C3="","",SUMIFS(Ledger!$K$2:$K$4, Ledger!$B$2:$B$4, $A3, Ledger!$C$2:$C$4, BYU$2)),"****")</f>
        <v/>
      </c>
      <c r="BYV3" t="str">
        <f>IFERROR(IF($C3="","",SUMIFS(Ledger!$K$2:$K$4, Ledger!$B$2:$B$4, $A3, Ledger!$C$2:$C$4, BYV$2)),"****")</f>
        <v/>
      </c>
      <c r="BYW3" t="str">
        <f>IFERROR(IF($C3="","",SUMIFS(Ledger!$K$2:$K$4, Ledger!$B$2:$B$4, $A3, Ledger!$C$2:$C$4, BYW$2)),"****")</f>
        <v/>
      </c>
      <c r="BYX3" t="str">
        <f>IFERROR(IF($C3="","",SUMIFS(Ledger!$K$2:$K$4, Ledger!$B$2:$B$4, $A3, Ledger!$C$2:$C$4, BYX$2)),"****")</f>
        <v/>
      </c>
      <c r="BYY3" t="str">
        <f>IFERROR(IF($C3="","",SUMIFS(Ledger!$K$2:$K$4, Ledger!$B$2:$B$4, $A3, Ledger!$C$2:$C$4, BYY$2)),"****")</f>
        <v/>
      </c>
      <c r="BYZ3" t="str">
        <f>IFERROR(IF($C3="","",SUMIFS(Ledger!$K$2:$K$4, Ledger!$B$2:$B$4, $A3, Ledger!$C$2:$C$4, BYZ$2)),"****")</f>
        <v/>
      </c>
      <c r="BZA3" t="str">
        <f>IFERROR(IF($C3="","",SUMIFS(Ledger!$K$2:$K$4, Ledger!$B$2:$B$4, $A3, Ledger!$C$2:$C$4, BZA$2)),"****")</f>
        <v/>
      </c>
      <c r="BZB3" t="str">
        <f>IFERROR(IF($C3="","",SUMIFS(Ledger!$K$2:$K$4, Ledger!$B$2:$B$4, $A3, Ledger!$C$2:$C$4, BZB$2)),"****")</f>
        <v/>
      </c>
      <c r="BZC3" t="str">
        <f>IFERROR(IF($C3="","",SUMIFS(Ledger!$K$2:$K$4, Ledger!$B$2:$B$4, $A3, Ledger!$C$2:$C$4, BZC$2)),"****")</f>
        <v/>
      </c>
      <c r="BZD3" t="str">
        <f>IFERROR(IF($C3="","",SUMIFS(Ledger!$K$2:$K$4, Ledger!$B$2:$B$4, $A3, Ledger!$C$2:$C$4, BZD$2)),"****")</f>
        <v/>
      </c>
      <c r="BZE3" t="str">
        <f>IFERROR(IF($C3="","",SUMIFS(Ledger!$K$2:$K$4, Ledger!$B$2:$B$4, $A3, Ledger!$C$2:$C$4, BZE$2)),"****")</f>
        <v/>
      </c>
      <c r="BZF3" t="str">
        <f>IFERROR(IF($C3="","",SUMIFS(Ledger!$K$2:$K$4, Ledger!$B$2:$B$4, $A3, Ledger!$C$2:$C$4, BZF$2)),"****")</f>
        <v/>
      </c>
      <c r="BZG3" t="str">
        <f>IFERROR(IF($C3="","",SUMIFS(Ledger!$K$2:$K$4, Ledger!$B$2:$B$4, $A3, Ledger!$C$2:$C$4, BZG$2)),"****")</f>
        <v/>
      </c>
      <c r="BZH3" t="str">
        <f>IFERROR(IF($C3="","",SUMIFS(Ledger!$K$2:$K$4, Ledger!$B$2:$B$4, $A3, Ledger!$C$2:$C$4, BZH$2)),"****")</f>
        <v/>
      </c>
      <c r="BZI3" t="str">
        <f>IFERROR(IF($C3="","",SUMIFS(Ledger!$K$2:$K$4, Ledger!$B$2:$B$4, $A3, Ledger!$C$2:$C$4, BZI$2)),"****")</f>
        <v/>
      </c>
      <c r="BZJ3" t="str">
        <f>IFERROR(IF($C3="","",SUMIFS(Ledger!$K$2:$K$4, Ledger!$B$2:$B$4, $A3, Ledger!$C$2:$C$4, BZJ$2)),"****")</f>
        <v/>
      </c>
      <c r="BZK3" t="str">
        <f>IFERROR(IF($C3="","",SUMIFS(Ledger!$K$2:$K$4, Ledger!$B$2:$B$4, $A3, Ledger!$C$2:$C$4, BZK$2)),"****")</f>
        <v/>
      </c>
      <c r="BZL3" t="str">
        <f>IFERROR(IF($C3="","",SUMIFS(Ledger!$K$2:$K$4, Ledger!$B$2:$B$4, $A3, Ledger!$C$2:$C$4, BZL$2)),"****")</f>
        <v/>
      </c>
      <c r="BZM3" t="str">
        <f>IFERROR(IF($C3="","",SUMIFS(Ledger!$K$2:$K$4, Ledger!$B$2:$B$4, $A3, Ledger!$C$2:$C$4, BZM$2)),"****")</f>
        <v/>
      </c>
      <c r="BZN3" t="str">
        <f>IFERROR(IF($C3="","",SUMIFS(Ledger!$K$2:$K$4, Ledger!$B$2:$B$4, $A3, Ledger!$C$2:$C$4, BZN$2)),"****")</f>
        <v/>
      </c>
      <c r="BZO3" t="str">
        <f>IFERROR(IF($C3="","",SUMIFS(Ledger!$K$2:$K$4, Ledger!$B$2:$B$4, $A3, Ledger!$C$2:$C$4, BZO$2)),"****")</f>
        <v/>
      </c>
      <c r="BZP3" t="str">
        <f>IFERROR(IF($C3="","",SUMIFS(Ledger!$K$2:$K$4, Ledger!$B$2:$B$4, $A3, Ledger!$C$2:$C$4, BZP$2)),"****")</f>
        <v/>
      </c>
      <c r="BZQ3" t="str">
        <f>IFERROR(IF($C3="","",SUMIFS(Ledger!$K$2:$K$4, Ledger!$B$2:$B$4, $A3, Ledger!$C$2:$C$4, BZQ$2)),"****")</f>
        <v/>
      </c>
      <c r="BZR3" t="str">
        <f>IFERROR(IF($C3="","",SUMIFS(Ledger!$K$2:$K$4, Ledger!$B$2:$B$4, $A3, Ledger!$C$2:$C$4, BZR$2)),"****")</f>
        <v/>
      </c>
      <c r="BZS3" t="str">
        <f>IFERROR(IF($C3="","",SUMIFS(Ledger!$K$2:$K$4, Ledger!$B$2:$B$4, $A3, Ledger!$C$2:$C$4, BZS$2)),"****")</f>
        <v/>
      </c>
      <c r="BZT3" t="str">
        <f>IFERROR(IF($C3="","",SUMIFS(Ledger!$K$2:$K$4, Ledger!$B$2:$B$4, $A3, Ledger!$C$2:$C$4, BZT$2)),"****")</f>
        <v/>
      </c>
      <c r="BZU3" t="str">
        <f>IFERROR(IF($C3="","",SUMIFS(Ledger!$K$2:$K$4, Ledger!$B$2:$B$4, $A3, Ledger!$C$2:$C$4, BZU$2)),"****")</f>
        <v/>
      </c>
      <c r="BZV3" t="str">
        <f>IFERROR(IF($C3="","",SUMIFS(Ledger!$K$2:$K$4, Ledger!$B$2:$B$4, $A3, Ledger!$C$2:$C$4, BZV$2)),"****")</f>
        <v/>
      </c>
      <c r="BZW3" t="str">
        <f>IFERROR(IF($C3="","",SUMIFS(Ledger!$K$2:$K$4, Ledger!$B$2:$B$4, $A3, Ledger!$C$2:$C$4, BZW$2)),"****")</f>
        <v/>
      </c>
      <c r="BZX3" t="str">
        <f>IFERROR(IF($C3="","",SUMIFS(Ledger!$K$2:$K$4, Ledger!$B$2:$B$4, $A3, Ledger!$C$2:$C$4, BZX$2)),"****")</f>
        <v/>
      </c>
      <c r="BZY3" t="str">
        <f>IFERROR(IF($C3="","",SUMIFS(Ledger!$K$2:$K$4, Ledger!$B$2:$B$4, $A3, Ledger!$C$2:$C$4, BZY$2)),"****")</f>
        <v/>
      </c>
      <c r="BZZ3" t="str">
        <f>IFERROR(IF($C3="","",SUMIFS(Ledger!$K$2:$K$4, Ledger!$B$2:$B$4, $A3, Ledger!$C$2:$C$4, BZZ$2)),"****")</f>
        <v/>
      </c>
      <c r="CAA3" t="str">
        <f>IFERROR(IF($C3="","",SUMIFS(Ledger!$K$2:$K$4, Ledger!$B$2:$B$4, $A3, Ledger!$C$2:$C$4, CAA$2)),"****")</f>
        <v/>
      </c>
      <c r="CAB3" t="str">
        <f>IFERROR(IF($C3="","",SUMIFS(Ledger!$K$2:$K$4, Ledger!$B$2:$B$4, $A3, Ledger!$C$2:$C$4, CAB$2)),"****")</f>
        <v/>
      </c>
      <c r="CAC3" t="str">
        <f>IFERROR(IF($C3="","",SUMIFS(Ledger!$K$2:$K$4, Ledger!$B$2:$B$4, $A3, Ledger!$C$2:$C$4, CAC$2)),"****")</f>
        <v/>
      </c>
      <c r="CAD3" t="str">
        <f>IFERROR(IF($C3="","",SUMIFS(Ledger!$K$2:$K$4, Ledger!$B$2:$B$4, $A3, Ledger!$C$2:$C$4, CAD$2)),"****")</f>
        <v/>
      </c>
      <c r="CAE3" t="str">
        <f>IFERROR(IF($C3="","",SUMIFS(Ledger!$K$2:$K$4, Ledger!$B$2:$B$4, $A3, Ledger!$C$2:$C$4, CAE$2)),"****")</f>
        <v/>
      </c>
      <c r="CAF3" t="str">
        <f>IFERROR(IF($C3="","",SUMIFS(Ledger!$K$2:$K$4, Ledger!$B$2:$B$4, $A3, Ledger!$C$2:$C$4, CAF$2)),"****")</f>
        <v/>
      </c>
      <c r="CAG3" t="str">
        <f>IFERROR(IF($C3="","",SUMIFS(Ledger!$K$2:$K$4, Ledger!$B$2:$B$4, $A3, Ledger!$C$2:$C$4, CAG$2)),"****")</f>
        <v/>
      </c>
      <c r="CAH3" t="str">
        <f>IFERROR(IF($C3="","",SUMIFS(Ledger!$K$2:$K$4, Ledger!$B$2:$B$4, $A3, Ledger!$C$2:$C$4, CAH$2)),"****")</f>
        <v/>
      </c>
      <c r="CAI3" t="str">
        <f>IFERROR(IF($C3="","",SUMIFS(Ledger!$K$2:$K$4, Ledger!$B$2:$B$4, $A3, Ledger!$C$2:$C$4, CAI$2)),"****")</f>
        <v/>
      </c>
      <c r="CAJ3" t="str">
        <f>IFERROR(IF($C3="","",SUMIFS(Ledger!$K$2:$K$4, Ledger!$B$2:$B$4, $A3, Ledger!$C$2:$C$4, CAJ$2)),"****")</f>
        <v/>
      </c>
      <c r="CAK3" t="str">
        <f>IFERROR(IF($C3="","",SUMIFS(Ledger!$K$2:$K$4, Ledger!$B$2:$B$4, $A3, Ledger!$C$2:$C$4, CAK$2)),"****")</f>
        <v/>
      </c>
      <c r="CAL3" t="str">
        <f>IFERROR(IF($C3="","",SUMIFS(Ledger!$K$2:$K$4, Ledger!$B$2:$B$4, $A3, Ledger!$C$2:$C$4, CAL$2)),"****")</f>
        <v/>
      </c>
      <c r="CAM3" t="str">
        <f>IFERROR(IF($C3="","",SUMIFS(Ledger!$K$2:$K$4, Ledger!$B$2:$B$4, $A3, Ledger!$C$2:$C$4, CAM$2)),"****")</f>
        <v/>
      </c>
      <c r="CAN3" t="str">
        <f>IFERROR(IF($C3="","",SUMIFS(Ledger!$K$2:$K$4, Ledger!$B$2:$B$4, $A3, Ledger!$C$2:$C$4, CAN$2)),"****")</f>
        <v/>
      </c>
      <c r="CAO3" t="str">
        <f>IFERROR(IF($C3="","",SUMIFS(Ledger!$K$2:$K$4, Ledger!$B$2:$B$4, $A3, Ledger!$C$2:$C$4, CAO$2)),"****")</f>
        <v/>
      </c>
      <c r="CAP3" t="str">
        <f>IFERROR(IF($C3="","",SUMIFS(Ledger!$K$2:$K$4, Ledger!$B$2:$B$4, $A3, Ledger!$C$2:$C$4, CAP$2)),"****")</f>
        <v/>
      </c>
      <c r="CAQ3" t="str">
        <f>IFERROR(IF($C3="","",SUMIFS(Ledger!$K$2:$K$4, Ledger!$B$2:$B$4, $A3, Ledger!$C$2:$C$4, CAQ$2)),"****")</f>
        <v/>
      </c>
      <c r="CAR3" t="str">
        <f>IFERROR(IF($C3="","",SUMIFS(Ledger!$K$2:$K$4, Ledger!$B$2:$B$4, $A3, Ledger!$C$2:$C$4, CAR$2)),"****")</f>
        <v/>
      </c>
      <c r="CAS3" t="str">
        <f>IFERROR(IF($C3="","",SUMIFS(Ledger!$K$2:$K$4, Ledger!$B$2:$B$4, $A3, Ledger!$C$2:$C$4, CAS$2)),"****")</f>
        <v/>
      </c>
      <c r="CAT3" t="str">
        <f>IFERROR(IF($C3="","",SUMIFS(Ledger!$K$2:$K$4, Ledger!$B$2:$B$4, $A3, Ledger!$C$2:$C$4, CAT$2)),"****")</f>
        <v/>
      </c>
      <c r="CAU3" t="str">
        <f>IFERROR(IF($C3="","",SUMIFS(Ledger!$K$2:$K$4, Ledger!$B$2:$B$4, $A3, Ledger!$C$2:$C$4, CAU$2)),"****")</f>
        <v/>
      </c>
      <c r="CAV3" t="str">
        <f>IFERROR(IF($C3="","",SUMIFS(Ledger!$K$2:$K$4, Ledger!$B$2:$B$4, $A3, Ledger!$C$2:$C$4, CAV$2)),"****")</f>
        <v/>
      </c>
      <c r="CAW3" t="str">
        <f>IFERROR(IF($C3="","",SUMIFS(Ledger!$K$2:$K$4, Ledger!$B$2:$B$4, $A3, Ledger!$C$2:$C$4, CAW$2)),"****")</f>
        <v/>
      </c>
      <c r="CAX3" t="str">
        <f>IFERROR(IF($C3="","",SUMIFS(Ledger!$K$2:$K$4, Ledger!$B$2:$B$4, $A3, Ledger!$C$2:$C$4, CAX$2)),"****")</f>
        <v/>
      </c>
      <c r="CAY3" t="str">
        <f>IFERROR(IF($C3="","",SUMIFS(Ledger!$K$2:$K$4, Ledger!$B$2:$B$4, $A3, Ledger!$C$2:$C$4, CAY$2)),"****")</f>
        <v/>
      </c>
      <c r="CAZ3" t="str">
        <f>IFERROR(IF($C3="","",SUMIFS(Ledger!$K$2:$K$4, Ledger!$B$2:$B$4, $A3, Ledger!$C$2:$C$4, CAZ$2)),"****")</f>
        <v/>
      </c>
      <c r="CBA3" t="str">
        <f>IFERROR(IF($C3="","",SUMIFS(Ledger!$K$2:$K$4, Ledger!$B$2:$B$4, $A3, Ledger!$C$2:$C$4, CBA$2)),"****")</f>
        <v/>
      </c>
      <c r="CBB3" t="str">
        <f>IFERROR(IF($C3="","",SUMIFS(Ledger!$K$2:$K$4, Ledger!$B$2:$B$4, $A3, Ledger!$C$2:$C$4, CBB$2)),"****")</f>
        <v/>
      </c>
      <c r="CBC3" t="str">
        <f>IFERROR(IF($C3="","",SUMIFS(Ledger!$K$2:$K$4, Ledger!$B$2:$B$4, $A3, Ledger!$C$2:$C$4, CBC$2)),"****")</f>
        <v/>
      </c>
      <c r="CBD3" t="str">
        <f>IFERROR(IF($C3="","",SUMIFS(Ledger!$K$2:$K$4, Ledger!$B$2:$B$4, $A3, Ledger!$C$2:$C$4, CBD$2)),"****")</f>
        <v/>
      </c>
      <c r="CBE3" t="str">
        <f>IFERROR(IF($C3="","",SUMIFS(Ledger!$K$2:$K$4, Ledger!$B$2:$B$4, $A3, Ledger!$C$2:$C$4, CBE$2)),"****")</f>
        <v/>
      </c>
      <c r="CBF3" t="str">
        <f>IFERROR(IF($C3="","",SUMIFS(Ledger!$K$2:$K$4, Ledger!$B$2:$B$4, $A3, Ledger!$C$2:$C$4, CBF$2)),"****")</f>
        <v/>
      </c>
      <c r="CBG3" t="str">
        <f>IFERROR(IF($C3="","",SUMIFS(Ledger!$K$2:$K$4, Ledger!$B$2:$B$4, $A3, Ledger!$C$2:$C$4, CBG$2)),"****")</f>
        <v/>
      </c>
      <c r="CBH3" t="str">
        <f>IFERROR(IF($C3="","",SUMIFS(Ledger!$K$2:$K$4, Ledger!$B$2:$B$4, $A3, Ledger!$C$2:$C$4, CBH$2)),"****")</f>
        <v/>
      </c>
      <c r="CBI3" t="str">
        <f>IFERROR(IF($C3="","",SUMIFS(Ledger!$K$2:$K$4, Ledger!$B$2:$B$4, $A3, Ledger!$C$2:$C$4, CBI$2)),"****")</f>
        <v/>
      </c>
      <c r="CBJ3" t="str">
        <f>IFERROR(IF($C3="","",SUMIFS(Ledger!$K$2:$K$4, Ledger!$B$2:$B$4, $A3, Ledger!$C$2:$C$4, CBJ$2)),"****")</f>
        <v/>
      </c>
      <c r="CBK3" t="str">
        <f>IFERROR(IF($C3="","",SUMIFS(Ledger!$K$2:$K$4, Ledger!$B$2:$B$4, $A3, Ledger!$C$2:$C$4, CBK$2)),"****")</f>
        <v/>
      </c>
      <c r="CBL3" t="str">
        <f>IFERROR(IF($C3="","",SUMIFS(Ledger!$K$2:$K$4, Ledger!$B$2:$B$4, $A3, Ledger!$C$2:$C$4, CBL$2)),"****")</f>
        <v/>
      </c>
      <c r="CBM3" t="str">
        <f>IFERROR(IF($C3="","",SUMIFS(Ledger!$K$2:$K$4, Ledger!$B$2:$B$4, $A3, Ledger!$C$2:$C$4, CBM$2)),"****")</f>
        <v/>
      </c>
      <c r="CBN3" t="str">
        <f>IFERROR(IF($C3="","",SUMIFS(Ledger!$K$2:$K$4, Ledger!$B$2:$B$4, $A3, Ledger!$C$2:$C$4, CBN$2)),"****")</f>
        <v/>
      </c>
      <c r="CBO3" t="str">
        <f>IFERROR(IF($C3="","",SUMIFS(Ledger!$K$2:$K$4, Ledger!$B$2:$B$4, $A3, Ledger!$C$2:$C$4, CBO$2)),"****")</f>
        <v/>
      </c>
      <c r="CBP3" t="str">
        <f>IFERROR(IF($C3="","",SUMIFS(Ledger!$K$2:$K$4, Ledger!$B$2:$B$4, $A3, Ledger!$C$2:$C$4, CBP$2)),"****")</f>
        <v/>
      </c>
      <c r="CBQ3" t="str">
        <f>IFERROR(IF($C3="","",SUMIFS(Ledger!$K$2:$K$4, Ledger!$B$2:$B$4, $A3, Ledger!$C$2:$C$4, CBQ$2)),"****")</f>
        <v/>
      </c>
      <c r="CBR3" t="str">
        <f>IFERROR(IF($C3="","",SUMIFS(Ledger!$K$2:$K$4, Ledger!$B$2:$B$4, $A3, Ledger!$C$2:$C$4, CBR$2)),"****")</f>
        <v/>
      </c>
      <c r="CBS3" t="str">
        <f>IFERROR(IF($C3="","",SUMIFS(Ledger!$K$2:$K$4, Ledger!$B$2:$B$4, $A3, Ledger!$C$2:$C$4, CBS$2)),"****")</f>
        <v/>
      </c>
      <c r="CBT3" t="str">
        <f>IFERROR(IF($C3="","",SUMIFS(Ledger!$K$2:$K$4, Ledger!$B$2:$B$4, $A3, Ledger!$C$2:$C$4, CBT$2)),"****")</f>
        <v/>
      </c>
      <c r="CBU3" t="str">
        <f>IFERROR(IF($C3="","",SUMIFS(Ledger!$K$2:$K$4, Ledger!$B$2:$B$4, $A3, Ledger!$C$2:$C$4, CBU$2)),"****")</f>
        <v/>
      </c>
      <c r="CBV3" t="str">
        <f>IFERROR(IF($C3="","",SUMIFS(Ledger!$K$2:$K$4, Ledger!$B$2:$B$4, $A3, Ledger!$C$2:$C$4, CBV$2)),"****")</f>
        <v/>
      </c>
      <c r="CBW3" t="str">
        <f>IFERROR(IF($C3="","",SUMIFS(Ledger!$K$2:$K$4, Ledger!$B$2:$B$4, $A3, Ledger!$C$2:$C$4, CBW$2)),"****")</f>
        <v/>
      </c>
      <c r="CBX3" t="str">
        <f>IFERROR(IF($C3="","",SUMIFS(Ledger!$K$2:$K$4, Ledger!$B$2:$B$4, $A3, Ledger!$C$2:$C$4, CBX$2)),"****")</f>
        <v/>
      </c>
      <c r="CBY3" t="str">
        <f>IFERROR(IF($C3="","",SUMIFS(Ledger!$K$2:$K$4, Ledger!$B$2:$B$4, $A3, Ledger!$C$2:$C$4, CBY$2)),"****")</f>
        <v/>
      </c>
      <c r="CBZ3" t="str">
        <f>IFERROR(IF($C3="","",SUMIFS(Ledger!$K$2:$K$4, Ledger!$B$2:$B$4, $A3, Ledger!$C$2:$C$4, CBZ$2)),"****")</f>
        <v/>
      </c>
      <c r="CCA3" t="str">
        <f>IFERROR(IF($C3="","",SUMIFS(Ledger!$K$2:$K$4, Ledger!$B$2:$B$4, $A3, Ledger!$C$2:$C$4, CCA$2)),"****")</f>
        <v/>
      </c>
      <c r="CCB3" t="str">
        <f>IFERROR(IF($C3="","",SUMIFS(Ledger!$K$2:$K$4, Ledger!$B$2:$B$4, $A3, Ledger!$C$2:$C$4, CCB$2)),"****")</f>
        <v/>
      </c>
      <c r="CCC3" t="str">
        <f>IFERROR(IF($C3="","",SUMIFS(Ledger!$K$2:$K$4, Ledger!$B$2:$B$4, $A3, Ledger!$C$2:$C$4, CCC$2)),"****")</f>
        <v/>
      </c>
      <c r="CCD3" t="str">
        <f>IFERROR(IF($C3="","",SUMIFS(Ledger!$K$2:$K$4, Ledger!$B$2:$B$4, $A3, Ledger!$C$2:$C$4, CCD$2)),"****")</f>
        <v/>
      </c>
      <c r="CCE3" t="str">
        <f>IFERROR(IF($C3="","",SUMIFS(Ledger!$K$2:$K$4, Ledger!$B$2:$B$4, $A3, Ledger!$C$2:$C$4, CCE$2)),"****")</f>
        <v/>
      </c>
      <c r="CCF3" t="str">
        <f>IFERROR(IF($C3="","",SUMIFS(Ledger!$K$2:$K$4, Ledger!$B$2:$B$4, $A3, Ledger!$C$2:$C$4, CCF$2)),"****")</f>
        <v/>
      </c>
      <c r="CCG3" t="str">
        <f>IFERROR(IF($C3="","",SUMIFS(Ledger!$K$2:$K$4, Ledger!$B$2:$B$4, $A3, Ledger!$C$2:$C$4, CCG$2)),"****")</f>
        <v/>
      </c>
      <c r="CCH3" t="str">
        <f>IFERROR(IF($C3="","",SUMIFS(Ledger!$K$2:$K$4, Ledger!$B$2:$B$4, $A3, Ledger!$C$2:$C$4, CCH$2)),"****")</f>
        <v/>
      </c>
      <c r="CCI3" t="str">
        <f>IFERROR(IF($C3="","",SUMIFS(Ledger!$K$2:$K$4, Ledger!$B$2:$B$4, $A3, Ledger!$C$2:$C$4, CCI$2)),"****")</f>
        <v/>
      </c>
      <c r="CCJ3" t="str">
        <f>IFERROR(IF($C3="","",SUMIFS(Ledger!$K$2:$K$4, Ledger!$B$2:$B$4, $A3, Ledger!$C$2:$C$4, CCJ$2)),"****")</f>
        <v/>
      </c>
      <c r="CCK3" t="str">
        <f>IFERROR(IF($C3="","",SUMIFS(Ledger!$K$2:$K$4, Ledger!$B$2:$B$4, $A3, Ledger!$C$2:$C$4, CCK$2)),"****")</f>
        <v/>
      </c>
      <c r="CCL3" t="str">
        <f>IFERROR(IF($C3="","",SUMIFS(Ledger!$K$2:$K$4, Ledger!$B$2:$B$4, $A3, Ledger!$C$2:$C$4, CCL$2)),"****")</f>
        <v/>
      </c>
      <c r="CCM3" t="str">
        <f>IFERROR(IF($C3="","",SUMIFS(Ledger!$K$2:$K$4, Ledger!$B$2:$B$4, $A3, Ledger!$C$2:$C$4, CCM$2)),"****")</f>
        <v/>
      </c>
      <c r="CCN3" t="str">
        <f>IFERROR(IF($C3="","",SUMIFS(Ledger!$K$2:$K$4, Ledger!$B$2:$B$4, $A3, Ledger!$C$2:$C$4, CCN$2)),"****")</f>
        <v/>
      </c>
      <c r="CCO3" t="str">
        <f>IFERROR(IF($C3="","",SUMIFS(Ledger!$K$2:$K$4, Ledger!$B$2:$B$4, $A3, Ledger!$C$2:$C$4, CCO$2)),"****")</f>
        <v/>
      </c>
      <c r="CCP3" t="str">
        <f>IFERROR(IF($C3="","",SUMIFS(Ledger!$K$2:$K$4, Ledger!$B$2:$B$4, $A3, Ledger!$C$2:$C$4, CCP$2)),"****")</f>
        <v/>
      </c>
      <c r="CCQ3" t="str">
        <f>IFERROR(IF($C3="","",SUMIFS(Ledger!$K$2:$K$4, Ledger!$B$2:$B$4, $A3, Ledger!$C$2:$C$4, CCQ$2)),"****")</f>
        <v/>
      </c>
      <c r="CCR3" t="str">
        <f>IFERROR(IF($C3="","",SUMIFS(Ledger!$K$2:$K$4, Ledger!$B$2:$B$4, $A3, Ledger!$C$2:$C$4, CCR$2)),"****")</f>
        <v/>
      </c>
      <c r="CCS3" t="str">
        <f>IFERROR(IF($C3="","",SUMIFS(Ledger!$K$2:$K$4, Ledger!$B$2:$B$4, $A3, Ledger!$C$2:$C$4, CCS$2)),"****")</f>
        <v/>
      </c>
      <c r="CCT3" t="str">
        <f>IFERROR(IF($C3="","",SUMIFS(Ledger!$K$2:$K$4, Ledger!$B$2:$B$4, $A3, Ledger!$C$2:$C$4, CCT$2)),"****")</f>
        <v/>
      </c>
      <c r="CCU3" t="str">
        <f>IFERROR(IF($C3="","",SUMIFS(Ledger!$K$2:$K$4, Ledger!$B$2:$B$4, $A3, Ledger!$C$2:$C$4, CCU$2)),"****")</f>
        <v/>
      </c>
      <c r="CCV3" t="str">
        <f>IFERROR(IF($C3="","",SUMIFS(Ledger!$K$2:$K$4, Ledger!$B$2:$B$4, $A3, Ledger!$C$2:$C$4, CCV$2)),"****")</f>
        <v/>
      </c>
      <c r="CCW3" t="str">
        <f>IFERROR(IF($C3="","",SUMIFS(Ledger!$K$2:$K$4, Ledger!$B$2:$B$4, $A3, Ledger!$C$2:$C$4, CCW$2)),"****")</f>
        <v/>
      </c>
      <c r="CCX3" t="str">
        <f>IFERROR(IF($C3="","",SUMIFS(Ledger!$K$2:$K$4, Ledger!$B$2:$B$4, $A3, Ledger!$C$2:$C$4, CCX$2)),"****")</f>
        <v/>
      </c>
      <c r="CCY3" t="str">
        <f>IFERROR(IF($C3="","",SUMIFS(Ledger!$K$2:$K$4, Ledger!$B$2:$B$4, $A3, Ledger!$C$2:$C$4, CCY$2)),"****")</f>
        <v/>
      </c>
      <c r="CCZ3" t="str">
        <f>IFERROR(IF($C3="","",SUMIFS(Ledger!$K$2:$K$4, Ledger!$B$2:$B$4, $A3, Ledger!$C$2:$C$4, CCZ$2)),"****")</f>
        <v/>
      </c>
      <c r="CDA3" t="str">
        <f>IFERROR(IF($C3="","",SUMIFS(Ledger!$K$2:$K$4, Ledger!$B$2:$B$4, $A3, Ledger!$C$2:$C$4, CDA$2)),"****")</f>
        <v/>
      </c>
      <c r="CDB3" t="str">
        <f>IFERROR(IF($C3="","",SUMIFS(Ledger!$K$2:$K$4, Ledger!$B$2:$B$4, $A3, Ledger!$C$2:$C$4, CDB$2)),"****")</f>
        <v/>
      </c>
      <c r="CDC3" t="str">
        <f>IFERROR(IF($C3="","",SUMIFS(Ledger!$K$2:$K$4, Ledger!$B$2:$B$4, $A3, Ledger!$C$2:$C$4, CDC$2)),"****")</f>
        <v/>
      </c>
      <c r="CDD3" t="str">
        <f>IFERROR(IF($C3="","",SUMIFS(Ledger!$K$2:$K$4, Ledger!$B$2:$B$4, $A3, Ledger!$C$2:$C$4, CDD$2)),"****")</f>
        <v/>
      </c>
      <c r="CDE3" t="str">
        <f>IFERROR(IF($C3="","",SUMIFS(Ledger!$K$2:$K$4, Ledger!$B$2:$B$4, $A3, Ledger!$C$2:$C$4, CDE$2)),"****")</f>
        <v/>
      </c>
      <c r="CDF3" t="str">
        <f>IFERROR(IF($C3="","",SUMIFS(Ledger!$K$2:$K$4, Ledger!$B$2:$B$4, $A3, Ledger!$C$2:$C$4, CDF$2)),"****")</f>
        <v/>
      </c>
      <c r="CDG3" t="str">
        <f>IFERROR(IF($C3="","",SUMIFS(Ledger!$K$2:$K$4, Ledger!$B$2:$B$4, $A3, Ledger!$C$2:$C$4, CDG$2)),"****")</f>
        <v/>
      </c>
      <c r="CDH3" t="str">
        <f>IFERROR(IF($C3="","",SUMIFS(Ledger!$K$2:$K$4, Ledger!$B$2:$B$4, $A3, Ledger!$C$2:$C$4, CDH$2)),"****")</f>
        <v/>
      </c>
      <c r="CDI3" t="str">
        <f>IFERROR(IF($C3="","",SUMIFS(Ledger!$K$2:$K$4, Ledger!$B$2:$B$4, $A3, Ledger!$C$2:$C$4, CDI$2)),"****")</f>
        <v/>
      </c>
      <c r="CDJ3" t="str">
        <f>IFERROR(IF($C3="","",SUMIFS(Ledger!$K$2:$K$4, Ledger!$B$2:$B$4, $A3, Ledger!$C$2:$C$4, CDJ$2)),"****")</f>
        <v/>
      </c>
      <c r="CDK3" t="str">
        <f>IFERROR(IF($C3="","",SUMIFS(Ledger!$K$2:$K$4, Ledger!$B$2:$B$4, $A3, Ledger!$C$2:$C$4, CDK$2)),"****")</f>
        <v/>
      </c>
      <c r="CDL3" t="str">
        <f>IFERROR(IF($C3="","",SUMIFS(Ledger!$K$2:$K$4, Ledger!$B$2:$B$4, $A3, Ledger!$C$2:$C$4, CDL$2)),"****")</f>
        <v/>
      </c>
      <c r="CDM3" t="str">
        <f>IFERROR(IF($C3="","",SUMIFS(Ledger!$K$2:$K$4, Ledger!$B$2:$B$4, $A3, Ledger!$C$2:$C$4, CDM$2)),"****")</f>
        <v/>
      </c>
      <c r="CDN3" t="str">
        <f>IFERROR(IF($C3="","",SUMIFS(Ledger!$K$2:$K$4, Ledger!$B$2:$B$4, $A3, Ledger!$C$2:$C$4, CDN$2)),"****")</f>
        <v/>
      </c>
      <c r="CDO3" t="str">
        <f>IFERROR(IF($C3="","",SUMIFS(Ledger!$K$2:$K$4, Ledger!$B$2:$B$4, $A3, Ledger!$C$2:$C$4, CDO$2)),"****")</f>
        <v/>
      </c>
      <c r="CDP3" t="str">
        <f>IFERROR(IF($C3="","",SUMIFS(Ledger!$K$2:$K$4, Ledger!$B$2:$B$4, $A3, Ledger!$C$2:$C$4, CDP$2)),"****")</f>
        <v/>
      </c>
      <c r="CDQ3" t="str">
        <f>IFERROR(IF($C3="","",SUMIFS(Ledger!$K$2:$K$4, Ledger!$B$2:$B$4, $A3, Ledger!$C$2:$C$4, CDQ$2)),"****")</f>
        <v/>
      </c>
      <c r="CDR3" t="str">
        <f>IFERROR(IF($C3="","",SUMIFS(Ledger!$K$2:$K$4, Ledger!$B$2:$B$4, $A3, Ledger!$C$2:$C$4, CDR$2)),"****")</f>
        <v/>
      </c>
      <c r="CDS3" t="str">
        <f>IFERROR(IF($C3="","",SUMIFS(Ledger!$K$2:$K$4, Ledger!$B$2:$B$4, $A3, Ledger!$C$2:$C$4, CDS$2)),"****")</f>
        <v/>
      </c>
      <c r="CDT3" t="str">
        <f>IFERROR(IF($C3="","",SUMIFS(Ledger!$K$2:$K$4, Ledger!$B$2:$B$4, $A3, Ledger!$C$2:$C$4, CDT$2)),"****")</f>
        <v/>
      </c>
      <c r="CDU3" t="str">
        <f>IFERROR(IF($C3="","",SUMIFS(Ledger!$K$2:$K$4, Ledger!$B$2:$B$4, $A3, Ledger!$C$2:$C$4, CDU$2)),"****")</f>
        <v/>
      </c>
      <c r="CDV3" t="str">
        <f>IFERROR(IF($C3="","",SUMIFS(Ledger!$K$2:$K$4, Ledger!$B$2:$B$4, $A3, Ledger!$C$2:$C$4, CDV$2)),"****")</f>
        <v/>
      </c>
      <c r="CDW3" t="str">
        <f>IFERROR(IF($C3="","",SUMIFS(Ledger!$K$2:$K$4, Ledger!$B$2:$B$4, $A3, Ledger!$C$2:$C$4, CDW$2)),"****")</f>
        <v/>
      </c>
      <c r="CDX3" t="str">
        <f>IFERROR(IF($C3="","",SUMIFS(Ledger!$K$2:$K$4, Ledger!$B$2:$B$4, $A3, Ledger!$C$2:$C$4, CDX$2)),"****")</f>
        <v/>
      </c>
      <c r="CDY3" t="str">
        <f>IFERROR(IF($C3="","",SUMIFS(Ledger!$K$2:$K$4, Ledger!$B$2:$B$4, $A3, Ledger!$C$2:$C$4, CDY$2)),"****")</f>
        <v/>
      </c>
      <c r="CDZ3" t="str">
        <f>IFERROR(IF($C3="","",SUMIFS(Ledger!$K$2:$K$4, Ledger!$B$2:$B$4, $A3, Ledger!$C$2:$C$4, CDZ$2)),"****")</f>
        <v/>
      </c>
      <c r="CEA3" t="str">
        <f>IFERROR(IF($C3="","",SUMIFS(Ledger!$K$2:$K$4, Ledger!$B$2:$B$4, $A3, Ledger!$C$2:$C$4, CEA$2)),"****")</f>
        <v/>
      </c>
      <c r="CEB3" t="str">
        <f>IFERROR(IF($C3="","",SUMIFS(Ledger!$K$2:$K$4, Ledger!$B$2:$B$4, $A3, Ledger!$C$2:$C$4, CEB$2)),"****")</f>
        <v/>
      </c>
      <c r="CEC3" t="str">
        <f>IFERROR(IF($C3="","",SUMIFS(Ledger!$K$2:$K$4, Ledger!$B$2:$B$4, $A3, Ledger!$C$2:$C$4, CEC$2)),"****")</f>
        <v/>
      </c>
      <c r="CED3" t="str">
        <f>IFERROR(IF($C3="","",SUMIFS(Ledger!$K$2:$K$4, Ledger!$B$2:$B$4, $A3, Ledger!$C$2:$C$4, CED$2)),"****")</f>
        <v/>
      </c>
      <c r="CEE3" t="str">
        <f>IFERROR(IF($C3="","",SUMIFS(Ledger!$K$2:$K$4, Ledger!$B$2:$B$4, $A3, Ledger!$C$2:$C$4, CEE$2)),"****")</f>
        <v/>
      </c>
      <c r="CEF3" t="str">
        <f>IFERROR(IF($C3="","",SUMIFS(Ledger!$K$2:$K$4, Ledger!$B$2:$B$4, $A3, Ledger!$C$2:$C$4, CEF$2)),"****")</f>
        <v/>
      </c>
      <c r="CEG3" t="str">
        <f>IFERROR(IF($C3="","",SUMIFS(Ledger!$K$2:$K$4, Ledger!$B$2:$B$4, $A3, Ledger!$C$2:$C$4, CEG$2)),"****")</f>
        <v/>
      </c>
      <c r="CEH3" t="str">
        <f>IFERROR(IF($C3="","",SUMIFS(Ledger!$K$2:$K$4, Ledger!$B$2:$B$4, $A3, Ledger!$C$2:$C$4, CEH$2)),"****")</f>
        <v/>
      </c>
      <c r="CEI3" t="str">
        <f>IFERROR(IF($C3="","",SUMIFS(Ledger!$K$2:$K$4, Ledger!$B$2:$B$4, $A3, Ledger!$C$2:$C$4, CEI$2)),"****")</f>
        <v/>
      </c>
      <c r="CEJ3" t="str">
        <f>IFERROR(IF($C3="","",SUMIFS(Ledger!$K$2:$K$4, Ledger!$B$2:$B$4, $A3, Ledger!$C$2:$C$4, CEJ$2)),"****")</f>
        <v/>
      </c>
      <c r="CEK3" t="str">
        <f>IFERROR(IF($C3="","",SUMIFS(Ledger!$K$2:$K$4, Ledger!$B$2:$B$4, $A3, Ledger!$C$2:$C$4, CEK$2)),"****")</f>
        <v/>
      </c>
      <c r="CEL3" t="str">
        <f>IFERROR(IF($C3="","",SUMIFS(Ledger!$K$2:$K$4, Ledger!$B$2:$B$4, $A3, Ledger!$C$2:$C$4, CEL$2)),"****")</f>
        <v/>
      </c>
      <c r="CEM3" t="str">
        <f>IFERROR(IF($C3="","",SUMIFS(Ledger!$K$2:$K$4, Ledger!$B$2:$B$4, $A3, Ledger!$C$2:$C$4, CEM$2)),"****")</f>
        <v/>
      </c>
      <c r="CEN3" t="str">
        <f>IFERROR(IF($C3="","",SUMIFS(Ledger!$K$2:$K$4, Ledger!$B$2:$B$4, $A3, Ledger!$C$2:$C$4, CEN$2)),"****")</f>
        <v/>
      </c>
      <c r="CEO3" t="str">
        <f>IFERROR(IF($C3="","",SUMIFS(Ledger!$K$2:$K$4, Ledger!$B$2:$B$4, $A3, Ledger!$C$2:$C$4, CEO$2)),"****")</f>
        <v/>
      </c>
      <c r="CEP3" t="str">
        <f>IFERROR(IF($C3="","",SUMIFS(Ledger!$K$2:$K$4, Ledger!$B$2:$B$4, $A3, Ledger!$C$2:$C$4, CEP$2)),"****")</f>
        <v/>
      </c>
      <c r="CEQ3" t="str">
        <f>IFERROR(IF($C3="","",SUMIFS(Ledger!$K$2:$K$4, Ledger!$B$2:$B$4, $A3, Ledger!$C$2:$C$4, CEQ$2)),"****")</f>
        <v/>
      </c>
      <c r="CER3" t="str">
        <f>IFERROR(IF($C3="","",SUMIFS(Ledger!$K$2:$K$4, Ledger!$B$2:$B$4, $A3, Ledger!$C$2:$C$4, CER$2)),"****")</f>
        <v/>
      </c>
      <c r="CES3" t="str">
        <f>IFERROR(IF($C3="","",SUMIFS(Ledger!$K$2:$K$4, Ledger!$B$2:$B$4, $A3, Ledger!$C$2:$C$4, CES$2)),"****")</f>
        <v/>
      </c>
      <c r="CET3" t="str">
        <f>IFERROR(IF($C3="","",SUMIFS(Ledger!$K$2:$K$4, Ledger!$B$2:$B$4, $A3, Ledger!$C$2:$C$4, CET$2)),"****")</f>
        <v/>
      </c>
      <c r="CEU3" t="str">
        <f>IFERROR(IF($C3="","",SUMIFS(Ledger!$K$2:$K$4, Ledger!$B$2:$B$4, $A3, Ledger!$C$2:$C$4, CEU$2)),"****")</f>
        <v/>
      </c>
      <c r="CEV3" t="str">
        <f>IFERROR(IF($C3="","",SUMIFS(Ledger!$K$2:$K$4, Ledger!$B$2:$B$4, $A3, Ledger!$C$2:$C$4, CEV$2)),"****")</f>
        <v/>
      </c>
      <c r="CEW3" t="str">
        <f>IFERROR(IF($C3="","",SUMIFS(Ledger!$K$2:$K$4, Ledger!$B$2:$B$4, $A3, Ledger!$C$2:$C$4, CEW$2)),"****")</f>
        <v/>
      </c>
      <c r="CEX3" t="str">
        <f>IFERROR(IF($C3="","",SUMIFS(Ledger!$K$2:$K$4, Ledger!$B$2:$B$4, $A3, Ledger!$C$2:$C$4, CEX$2)),"****")</f>
        <v/>
      </c>
      <c r="CEY3" t="str">
        <f>IFERROR(IF($C3="","",SUMIFS(Ledger!$K$2:$K$4, Ledger!$B$2:$B$4, $A3, Ledger!$C$2:$C$4, CEY$2)),"****")</f>
        <v/>
      </c>
      <c r="CEZ3" t="str">
        <f>IFERROR(IF($C3="","",SUMIFS(Ledger!$K$2:$K$4, Ledger!$B$2:$B$4, $A3, Ledger!$C$2:$C$4, CEZ$2)),"****")</f>
        <v/>
      </c>
      <c r="CFA3" t="str">
        <f>IFERROR(IF($C3="","",SUMIFS(Ledger!$K$2:$K$4, Ledger!$B$2:$B$4, $A3, Ledger!$C$2:$C$4, CFA$2)),"****")</f>
        <v/>
      </c>
      <c r="CFB3" t="str">
        <f>IFERROR(IF($C3="","",SUMIFS(Ledger!$K$2:$K$4, Ledger!$B$2:$B$4, $A3, Ledger!$C$2:$C$4, CFB$2)),"****")</f>
        <v/>
      </c>
      <c r="CFC3" t="str">
        <f>IFERROR(IF($C3="","",SUMIFS(Ledger!$K$2:$K$4, Ledger!$B$2:$B$4, $A3, Ledger!$C$2:$C$4, CFC$2)),"****")</f>
        <v/>
      </c>
      <c r="CFD3" t="str">
        <f>IFERROR(IF($C3="","",SUMIFS(Ledger!$K$2:$K$4, Ledger!$B$2:$B$4, $A3, Ledger!$C$2:$C$4, CFD$2)),"****")</f>
        <v/>
      </c>
      <c r="CFE3" t="str">
        <f>IFERROR(IF($C3="","",SUMIFS(Ledger!$K$2:$K$4, Ledger!$B$2:$B$4, $A3, Ledger!$C$2:$C$4, CFE$2)),"****")</f>
        <v/>
      </c>
      <c r="CFF3" t="str">
        <f>IFERROR(IF($C3="","",SUMIFS(Ledger!$K$2:$K$4, Ledger!$B$2:$B$4, $A3, Ledger!$C$2:$C$4, CFF$2)),"****")</f>
        <v/>
      </c>
      <c r="CFG3" t="str">
        <f>IFERROR(IF($C3="","",SUMIFS(Ledger!$K$2:$K$4, Ledger!$B$2:$B$4, $A3, Ledger!$C$2:$C$4, CFG$2)),"****")</f>
        <v/>
      </c>
      <c r="CFH3" t="str">
        <f>IFERROR(IF($C3="","",SUMIFS(Ledger!$K$2:$K$4, Ledger!$B$2:$B$4, $A3, Ledger!$C$2:$C$4, CFH$2)),"****")</f>
        <v/>
      </c>
      <c r="CFI3" t="str">
        <f>IFERROR(IF($C3="","",SUMIFS(Ledger!$K$2:$K$4, Ledger!$B$2:$B$4, $A3, Ledger!$C$2:$C$4, CFI$2)),"****")</f>
        <v/>
      </c>
      <c r="CFJ3" t="str">
        <f>IFERROR(IF($C3="","",SUMIFS(Ledger!$K$2:$K$4, Ledger!$B$2:$B$4, $A3, Ledger!$C$2:$C$4, CFJ$2)),"****")</f>
        <v/>
      </c>
      <c r="CFK3" t="str">
        <f>IFERROR(IF($C3="","",SUMIFS(Ledger!$K$2:$K$4, Ledger!$B$2:$B$4, $A3, Ledger!$C$2:$C$4, CFK$2)),"****")</f>
        <v/>
      </c>
      <c r="CFL3" t="str">
        <f>IFERROR(IF($C3="","",SUMIFS(Ledger!$K$2:$K$4, Ledger!$B$2:$B$4, $A3, Ledger!$C$2:$C$4, CFL$2)),"****")</f>
        <v/>
      </c>
      <c r="CFM3" t="str">
        <f>IFERROR(IF($C3="","",SUMIFS(Ledger!$K$2:$K$4, Ledger!$B$2:$B$4, $A3, Ledger!$C$2:$C$4, CFM$2)),"****")</f>
        <v/>
      </c>
      <c r="CFN3" t="str">
        <f>IFERROR(IF($C3="","",SUMIFS(Ledger!$K$2:$K$4, Ledger!$B$2:$B$4, $A3, Ledger!$C$2:$C$4, CFN$2)),"****")</f>
        <v/>
      </c>
      <c r="CFO3" t="str">
        <f>IFERROR(IF($C3="","",SUMIFS(Ledger!$K$2:$K$4, Ledger!$B$2:$B$4, $A3, Ledger!$C$2:$C$4, CFO$2)),"****")</f>
        <v/>
      </c>
      <c r="CFP3" t="str">
        <f>IFERROR(IF($C3="","",SUMIFS(Ledger!$K$2:$K$4, Ledger!$B$2:$B$4, $A3, Ledger!$C$2:$C$4, CFP$2)),"****")</f>
        <v/>
      </c>
      <c r="CFQ3" t="str">
        <f>IFERROR(IF($C3="","",SUMIFS(Ledger!$K$2:$K$4, Ledger!$B$2:$B$4, $A3, Ledger!$C$2:$C$4, CFQ$2)),"****")</f>
        <v/>
      </c>
      <c r="CFR3" t="str">
        <f>IFERROR(IF($C3="","",SUMIFS(Ledger!$K$2:$K$4, Ledger!$B$2:$B$4, $A3, Ledger!$C$2:$C$4, CFR$2)),"****")</f>
        <v/>
      </c>
      <c r="CFS3" t="str">
        <f>IFERROR(IF($C3="","",SUMIFS(Ledger!$K$2:$K$4, Ledger!$B$2:$B$4, $A3, Ledger!$C$2:$C$4, CFS$2)),"****")</f>
        <v/>
      </c>
      <c r="CFT3" t="str">
        <f>IFERROR(IF($C3="","",SUMIFS(Ledger!$K$2:$K$4, Ledger!$B$2:$B$4, $A3, Ledger!$C$2:$C$4, CFT$2)),"****")</f>
        <v/>
      </c>
      <c r="CFU3" t="str">
        <f>IFERROR(IF($C3="","",SUMIFS(Ledger!$K$2:$K$4, Ledger!$B$2:$B$4, $A3, Ledger!$C$2:$C$4, CFU$2)),"****")</f>
        <v/>
      </c>
      <c r="CFV3" t="str">
        <f>IFERROR(IF($C3="","",SUMIFS(Ledger!$K$2:$K$4, Ledger!$B$2:$B$4, $A3, Ledger!$C$2:$C$4, CFV$2)),"****")</f>
        <v/>
      </c>
      <c r="CFW3" t="str">
        <f>IFERROR(IF($C3="","",SUMIFS(Ledger!$K$2:$K$4, Ledger!$B$2:$B$4, $A3, Ledger!$C$2:$C$4, CFW$2)),"****")</f>
        <v/>
      </c>
      <c r="CFX3" t="str">
        <f>IFERROR(IF($C3="","",SUMIFS(Ledger!$K$2:$K$4, Ledger!$B$2:$B$4, $A3, Ledger!$C$2:$C$4, CFX$2)),"****")</f>
        <v/>
      </c>
      <c r="CFY3" t="str">
        <f>IFERROR(IF($C3="","",SUMIFS(Ledger!$K$2:$K$4, Ledger!$B$2:$B$4, $A3, Ledger!$C$2:$C$4, CFY$2)),"****")</f>
        <v/>
      </c>
      <c r="CFZ3" t="str">
        <f>IFERROR(IF($C3="","",SUMIFS(Ledger!$K$2:$K$4, Ledger!$B$2:$B$4, $A3, Ledger!$C$2:$C$4, CFZ$2)),"****")</f>
        <v/>
      </c>
      <c r="CGA3" t="str">
        <f>IFERROR(IF($C3="","",SUMIFS(Ledger!$K$2:$K$4, Ledger!$B$2:$B$4, $A3, Ledger!$C$2:$C$4, CGA$2)),"****")</f>
        <v/>
      </c>
      <c r="CGB3" t="str">
        <f>IFERROR(IF($C3="","",SUMIFS(Ledger!$K$2:$K$4, Ledger!$B$2:$B$4, $A3, Ledger!$C$2:$C$4, CGB$2)),"****")</f>
        <v/>
      </c>
      <c r="CGC3" t="str">
        <f>IFERROR(IF($C3="","",SUMIFS(Ledger!$K$2:$K$4, Ledger!$B$2:$B$4, $A3, Ledger!$C$2:$C$4, CGC$2)),"****")</f>
        <v/>
      </c>
      <c r="CGD3" t="str">
        <f>IFERROR(IF($C3="","",SUMIFS(Ledger!$K$2:$K$4, Ledger!$B$2:$B$4, $A3, Ledger!$C$2:$C$4, CGD$2)),"****")</f>
        <v/>
      </c>
      <c r="CGE3" t="str">
        <f>IFERROR(IF($C3="","",SUMIFS(Ledger!$K$2:$K$4, Ledger!$B$2:$B$4, $A3, Ledger!$C$2:$C$4, CGE$2)),"****")</f>
        <v/>
      </c>
      <c r="CGF3" t="str">
        <f>IFERROR(IF($C3="","",SUMIFS(Ledger!$K$2:$K$4, Ledger!$B$2:$B$4, $A3, Ledger!$C$2:$C$4, CGF$2)),"****")</f>
        <v/>
      </c>
      <c r="CGG3" t="str">
        <f>IFERROR(IF($C3="","",SUMIFS(Ledger!$K$2:$K$4, Ledger!$B$2:$B$4, $A3, Ledger!$C$2:$C$4, CGG$2)),"****")</f>
        <v/>
      </c>
      <c r="CGH3" t="str">
        <f>IFERROR(IF($C3="","",SUMIFS(Ledger!$K$2:$K$4, Ledger!$B$2:$B$4, $A3, Ledger!$C$2:$C$4, CGH$2)),"****")</f>
        <v/>
      </c>
      <c r="CGI3" t="str">
        <f>IFERROR(IF($C3="","",SUMIFS(Ledger!$K$2:$K$4, Ledger!$B$2:$B$4, $A3, Ledger!$C$2:$C$4, CGI$2)),"****")</f>
        <v/>
      </c>
      <c r="CGJ3" t="str">
        <f>IFERROR(IF($C3="","",SUMIFS(Ledger!$K$2:$K$4, Ledger!$B$2:$B$4, $A3, Ledger!$C$2:$C$4, CGJ$2)),"****")</f>
        <v/>
      </c>
      <c r="CGK3" t="str">
        <f>IFERROR(IF($C3="","",SUMIFS(Ledger!$K$2:$K$4, Ledger!$B$2:$B$4, $A3, Ledger!$C$2:$C$4, CGK$2)),"****")</f>
        <v/>
      </c>
      <c r="CGL3" t="str">
        <f>IFERROR(IF($C3="","",SUMIFS(Ledger!$K$2:$K$4, Ledger!$B$2:$B$4, $A3, Ledger!$C$2:$C$4, CGL$2)),"****")</f>
        <v/>
      </c>
      <c r="CGM3" t="str">
        <f>IFERROR(IF($C3="","",SUMIFS(Ledger!$K$2:$K$4, Ledger!$B$2:$B$4, $A3, Ledger!$C$2:$C$4, CGM$2)),"****")</f>
        <v/>
      </c>
      <c r="CGN3" t="str">
        <f>IFERROR(IF($C3="","",SUMIFS(Ledger!$K$2:$K$4, Ledger!$B$2:$B$4, $A3, Ledger!$C$2:$C$4, CGN$2)),"****")</f>
        <v/>
      </c>
      <c r="CGO3" t="str">
        <f>IFERROR(IF($C3="","",SUMIFS(Ledger!$K$2:$K$4, Ledger!$B$2:$B$4, $A3, Ledger!$C$2:$C$4, CGO$2)),"****")</f>
        <v/>
      </c>
      <c r="CGP3" t="str">
        <f>IFERROR(IF($C3="","",SUMIFS(Ledger!$K$2:$K$4, Ledger!$B$2:$B$4, $A3, Ledger!$C$2:$C$4, CGP$2)),"****")</f>
        <v/>
      </c>
      <c r="CGQ3" t="str">
        <f>IFERROR(IF($C3="","",SUMIFS(Ledger!$K$2:$K$4, Ledger!$B$2:$B$4, $A3, Ledger!$C$2:$C$4, CGQ$2)),"****")</f>
        <v/>
      </c>
      <c r="CGR3" t="str">
        <f>IFERROR(IF($C3="","",SUMIFS(Ledger!$K$2:$K$4, Ledger!$B$2:$B$4, $A3, Ledger!$C$2:$C$4, CGR$2)),"****")</f>
        <v/>
      </c>
      <c r="CGS3" t="str">
        <f>IFERROR(IF($C3="","",SUMIFS(Ledger!$K$2:$K$4, Ledger!$B$2:$B$4, $A3, Ledger!$C$2:$C$4, CGS$2)),"****")</f>
        <v/>
      </c>
      <c r="CGT3" t="str">
        <f>IFERROR(IF($C3="","",SUMIFS(Ledger!$K$2:$K$4, Ledger!$B$2:$B$4, $A3, Ledger!$C$2:$C$4, CGT$2)),"****")</f>
        <v/>
      </c>
      <c r="CGU3" t="str">
        <f>IFERROR(IF($C3="","",SUMIFS(Ledger!$K$2:$K$4, Ledger!$B$2:$B$4, $A3, Ledger!$C$2:$C$4, CGU$2)),"****")</f>
        <v/>
      </c>
      <c r="CGV3" t="str">
        <f>IFERROR(IF($C3="","",SUMIFS(Ledger!$K$2:$K$4, Ledger!$B$2:$B$4, $A3, Ledger!$C$2:$C$4, CGV$2)),"****")</f>
        <v/>
      </c>
      <c r="CGW3" t="str">
        <f>IFERROR(IF($C3="","",SUMIFS(Ledger!$K$2:$K$4, Ledger!$B$2:$B$4, $A3, Ledger!$C$2:$C$4, CGW$2)),"****")</f>
        <v/>
      </c>
      <c r="CGX3" t="str">
        <f>IFERROR(IF($C3="","",SUMIFS(Ledger!$K$2:$K$4, Ledger!$B$2:$B$4, $A3, Ledger!$C$2:$C$4, CGX$2)),"****")</f>
        <v/>
      </c>
      <c r="CGY3" t="str">
        <f>IFERROR(IF($C3="","",SUMIFS(Ledger!$K$2:$K$4, Ledger!$B$2:$B$4, $A3, Ledger!$C$2:$C$4, CGY$2)),"****")</f>
        <v/>
      </c>
      <c r="CGZ3" t="str">
        <f>IFERROR(IF($C3="","",SUMIFS(Ledger!$K$2:$K$4, Ledger!$B$2:$B$4, $A3, Ledger!$C$2:$C$4, CGZ$2)),"****")</f>
        <v/>
      </c>
      <c r="CHA3" t="str">
        <f>IFERROR(IF($C3="","",SUMIFS(Ledger!$K$2:$K$4, Ledger!$B$2:$B$4, $A3, Ledger!$C$2:$C$4, CHA$2)),"****")</f>
        <v/>
      </c>
      <c r="CHB3" t="str">
        <f>IFERROR(IF($C3="","",SUMIFS(Ledger!$K$2:$K$4, Ledger!$B$2:$B$4, $A3, Ledger!$C$2:$C$4, CHB$2)),"****")</f>
        <v/>
      </c>
      <c r="CHC3" t="str">
        <f>IFERROR(IF($C3="","",SUMIFS(Ledger!$K$2:$K$4, Ledger!$B$2:$B$4, $A3, Ledger!$C$2:$C$4, CHC$2)),"****")</f>
        <v/>
      </c>
      <c r="CHD3" t="str">
        <f>IFERROR(IF($C3="","",SUMIFS(Ledger!$K$2:$K$4, Ledger!$B$2:$B$4, $A3, Ledger!$C$2:$C$4, CHD$2)),"****")</f>
        <v/>
      </c>
      <c r="CHE3" t="str">
        <f>IFERROR(IF($C3="","",SUMIFS(Ledger!$K$2:$K$4, Ledger!$B$2:$B$4, $A3, Ledger!$C$2:$C$4, CHE$2)),"****")</f>
        <v/>
      </c>
      <c r="CHF3" t="str">
        <f>IFERROR(IF($C3="","",SUMIFS(Ledger!$K$2:$K$4, Ledger!$B$2:$B$4, $A3, Ledger!$C$2:$C$4, CHF$2)),"****")</f>
        <v/>
      </c>
      <c r="CHG3" t="str">
        <f>IFERROR(IF($C3="","",SUMIFS(Ledger!$K$2:$K$4, Ledger!$B$2:$B$4, $A3, Ledger!$C$2:$C$4, CHG$2)),"****")</f>
        <v/>
      </c>
      <c r="CHH3" t="str">
        <f>IFERROR(IF($C3="","",SUMIFS(Ledger!$K$2:$K$4, Ledger!$B$2:$B$4, $A3, Ledger!$C$2:$C$4, CHH$2)),"****")</f>
        <v/>
      </c>
      <c r="CHI3" t="str">
        <f>IFERROR(IF($C3="","",SUMIFS(Ledger!$K$2:$K$4, Ledger!$B$2:$B$4, $A3, Ledger!$C$2:$C$4, CHI$2)),"****")</f>
        <v/>
      </c>
      <c r="CHJ3" t="str">
        <f>IFERROR(IF($C3="","",SUMIFS(Ledger!$K$2:$K$4, Ledger!$B$2:$B$4, $A3, Ledger!$C$2:$C$4, CHJ$2)),"****")</f>
        <v/>
      </c>
      <c r="CHK3" t="str">
        <f>IFERROR(IF($C3="","",SUMIFS(Ledger!$K$2:$K$4, Ledger!$B$2:$B$4, $A3, Ledger!$C$2:$C$4, CHK$2)),"****")</f>
        <v/>
      </c>
      <c r="CHL3" t="str">
        <f>IFERROR(IF($C3="","",SUMIFS(Ledger!$K$2:$K$4, Ledger!$B$2:$B$4, $A3, Ledger!$C$2:$C$4, CHL$2)),"****")</f>
        <v/>
      </c>
      <c r="CHM3" t="str">
        <f>IFERROR(IF($C3="","",SUMIFS(Ledger!$K$2:$K$4, Ledger!$B$2:$B$4, $A3, Ledger!$C$2:$C$4, CHM$2)),"****")</f>
        <v/>
      </c>
      <c r="CHN3" t="str">
        <f>IFERROR(IF($C3="","",SUMIFS(Ledger!$K$2:$K$4, Ledger!$B$2:$B$4, $A3, Ledger!$C$2:$C$4, CHN$2)),"****")</f>
        <v/>
      </c>
      <c r="CHO3" t="str">
        <f>IFERROR(IF($C3="","",SUMIFS(Ledger!$K$2:$K$4, Ledger!$B$2:$B$4, $A3, Ledger!$C$2:$C$4, CHO$2)),"****")</f>
        <v/>
      </c>
      <c r="CHP3" t="str">
        <f>IFERROR(IF($C3="","",SUMIFS(Ledger!$K$2:$K$4, Ledger!$B$2:$B$4, $A3, Ledger!$C$2:$C$4, CHP$2)),"****")</f>
        <v/>
      </c>
      <c r="CHQ3" t="str">
        <f>IFERROR(IF($C3="","",SUMIFS(Ledger!$K$2:$K$4, Ledger!$B$2:$B$4, $A3, Ledger!$C$2:$C$4, CHQ$2)),"****")</f>
        <v/>
      </c>
      <c r="CHR3" t="str">
        <f>IFERROR(IF($C3="","",SUMIFS(Ledger!$K$2:$K$4, Ledger!$B$2:$B$4, $A3, Ledger!$C$2:$C$4, CHR$2)),"****")</f>
        <v/>
      </c>
      <c r="CHS3" t="str">
        <f>IFERROR(IF($C3="","",SUMIFS(Ledger!$K$2:$K$4, Ledger!$B$2:$B$4, $A3, Ledger!$C$2:$C$4, CHS$2)),"****")</f>
        <v/>
      </c>
      <c r="CHT3" t="str">
        <f>IFERROR(IF($C3="","",SUMIFS(Ledger!$K$2:$K$4, Ledger!$B$2:$B$4, $A3, Ledger!$C$2:$C$4, CHT$2)),"****")</f>
        <v/>
      </c>
      <c r="CHU3" t="str">
        <f>IFERROR(IF($C3="","",SUMIFS(Ledger!$K$2:$K$4, Ledger!$B$2:$B$4, $A3, Ledger!$C$2:$C$4, CHU$2)),"****")</f>
        <v/>
      </c>
      <c r="CHV3" t="str">
        <f>IFERROR(IF($C3="","",SUMIFS(Ledger!$K$2:$K$4, Ledger!$B$2:$B$4, $A3, Ledger!$C$2:$C$4, CHV$2)),"****")</f>
        <v/>
      </c>
      <c r="CHW3" t="str">
        <f>IFERROR(IF($C3="","",SUMIFS(Ledger!$K$2:$K$4, Ledger!$B$2:$B$4, $A3, Ledger!$C$2:$C$4, CHW$2)),"****")</f>
        <v/>
      </c>
      <c r="CHX3" t="str">
        <f>IFERROR(IF($C3="","",SUMIFS(Ledger!$K$2:$K$4, Ledger!$B$2:$B$4, $A3, Ledger!$C$2:$C$4, CHX$2)),"****")</f>
        <v/>
      </c>
      <c r="CHY3" t="str">
        <f>IFERROR(IF($C3="","",SUMIFS(Ledger!$K$2:$K$4, Ledger!$B$2:$B$4, $A3, Ledger!$C$2:$C$4, CHY$2)),"****")</f>
        <v/>
      </c>
      <c r="CHZ3" t="str">
        <f>IFERROR(IF($C3="","",SUMIFS(Ledger!$K$2:$K$4, Ledger!$B$2:$B$4, $A3, Ledger!$C$2:$C$4, CHZ$2)),"****")</f>
        <v/>
      </c>
      <c r="CIA3" t="str">
        <f>IFERROR(IF($C3="","",SUMIFS(Ledger!$K$2:$K$4, Ledger!$B$2:$B$4, $A3, Ledger!$C$2:$C$4, CIA$2)),"****")</f>
        <v/>
      </c>
      <c r="CIB3" t="str">
        <f>IFERROR(IF($C3="","",SUMIFS(Ledger!$K$2:$K$4, Ledger!$B$2:$B$4, $A3, Ledger!$C$2:$C$4, CIB$2)),"****")</f>
        <v/>
      </c>
      <c r="CIC3" t="str">
        <f>IFERROR(IF($C3="","",SUMIFS(Ledger!$K$2:$K$4, Ledger!$B$2:$B$4, $A3, Ledger!$C$2:$C$4, CIC$2)),"****")</f>
        <v/>
      </c>
      <c r="CID3" t="str">
        <f>IFERROR(IF($C3="","",SUMIFS(Ledger!$K$2:$K$4, Ledger!$B$2:$B$4, $A3, Ledger!$C$2:$C$4, CID$2)),"****")</f>
        <v/>
      </c>
      <c r="CIE3" t="str">
        <f>IFERROR(IF($C3="","",SUMIFS(Ledger!$K$2:$K$4, Ledger!$B$2:$B$4, $A3, Ledger!$C$2:$C$4, CIE$2)),"****")</f>
        <v/>
      </c>
      <c r="CIF3" t="str">
        <f>IFERROR(IF($C3="","",SUMIFS(Ledger!$K$2:$K$4, Ledger!$B$2:$B$4, $A3, Ledger!$C$2:$C$4, CIF$2)),"****")</f>
        <v/>
      </c>
      <c r="CIG3" t="str">
        <f>IFERROR(IF($C3="","",SUMIFS(Ledger!$K$2:$K$4, Ledger!$B$2:$B$4, $A3, Ledger!$C$2:$C$4, CIG$2)),"****")</f>
        <v/>
      </c>
      <c r="CIH3" t="str">
        <f>IFERROR(IF($C3="","",SUMIFS(Ledger!$K$2:$K$4, Ledger!$B$2:$B$4, $A3, Ledger!$C$2:$C$4, CIH$2)),"****")</f>
        <v/>
      </c>
      <c r="CII3" t="str">
        <f>IFERROR(IF($C3="","",SUMIFS(Ledger!$K$2:$K$4, Ledger!$B$2:$B$4, $A3, Ledger!$C$2:$C$4, CII$2)),"****")</f>
        <v/>
      </c>
      <c r="CIJ3" t="str">
        <f>IFERROR(IF($C3="","",SUMIFS(Ledger!$K$2:$K$4, Ledger!$B$2:$B$4, $A3, Ledger!$C$2:$C$4, CIJ$2)),"****")</f>
        <v/>
      </c>
      <c r="CIK3" t="str">
        <f>IFERROR(IF($C3="","",SUMIFS(Ledger!$K$2:$K$4, Ledger!$B$2:$B$4, $A3, Ledger!$C$2:$C$4, CIK$2)),"****")</f>
        <v/>
      </c>
      <c r="CIL3" t="str">
        <f>IFERROR(IF($C3="","",SUMIFS(Ledger!$K$2:$K$4, Ledger!$B$2:$B$4, $A3, Ledger!$C$2:$C$4, CIL$2)),"****")</f>
        <v/>
      </c>
      <c r="CIM3" t="str">
        <f>IFERROR(IF($C3="","",SUMIFS(Ledger!$K$2:$K$4, Ledger!$B$2:$B$4, $A3, Ledger!$C$2:$C$4, CIM$2)),"****")</f>
        <v/>
      </c>
      <c r="CIN3" t="str">
        <f>IFERROR(IF($C3="","",SUMIFS(Ledger!$K$2:$K$4, Ledger!$B$2:$B$4, $A3, Ledger!$C$2:$C$4, CIN$2)),"****")</f>
        <v/>
      </c>
      <c r="CIO3" t="str">
        <f>IFERROR(IF($C3="","",SUMIFS(Ledger!$K$2:$K$4, Ledger!$B$2:$B$4, $A3, Ledger!$C$2:$C$4, CIO$2)),"****")</f>
        <v/>
      </c>
      <c r="CIP3" t="str">
        <f>IFERROR(IF($C3="","",SUMIFS(Ledger!$K$2:$K$4, Ledger!$B$2:$B$4, $A3, Ledger!$C$2:$C$4, CIP$2)),"****")</f>
        <v/>
      </c>
      <c r="CIQ3" t="str">
        <f>IFERROR(IF($C3="","",SUMIFS(Ledger!$K$2:$K$4, Ledger!$B$2:$B$4, $A3, Ledger!$C$2:$C$4, CIQ$2)),"****")</f>
        <v/>
      </c>
      <c r="CIR3" t="str">
        <f>IFERROR(IF($C3="","",SUMIFS(Ledger!$K$2:$K$4, Ledger!$B$2:$B$4, $A3, Ledger!$C$2:$C$4, CIR$2)),"****")</f>
        <v/>
      </c>
      <c r="CIS3" t="str">
        <f>IFERROR(IF($C3="","",SUMIFS(Ledger!$K$2:$K$4, Ledger!$B$2:$B$4, $A3, Ledger!$C$2:$C$4, CIS$2)),"****")</f>
        <v/>
      </c>
      <c r="CIT3" t="str">
        <f>IFERROR(IF($C3="","",SUMIFS(Ledger!$K$2:$K$4, Ledger!$B$2:$B$4, $A3, Ledger!$C$2:$C$4, CIT$2)),"****")</f>
        <v/>
      </c>
      <c r="CIU3" t="str">
        <f>IFERROR(IF($C3="","",SUMIFS(Ledger!$K$2:$K$4, Ledger!$B$2:$B$4, $A3, Ledger!$C$2:$C$4, CIU$2)),"****")</f>
        <v/>
      </c>
      <c r="CIV3" t="str">
        <f>IFERROR(IF($C3="","",SUMIFS(Ledger!$K$2:$K$4, Ledger!$B$2:$B$4, $A3, Ledger!$C$2:$C$4, CIV$2)),"****")</f>
        <v/>
      </c>
      <c r="CIW3" t="str">
        <f>IFERROR(IF($C3="","",SUMIFS(Ledger!$K$2:$K$4, Ledger!$B$2:$B$4, $A3, Ledger!$C$2:$C$4, CIW$2)),"****")</f>
        <v/>
      </c>
      <c r="CIX3" t="str">
        <f>IFERROR(IF($C3="","",SUMIFS(Ledger!$K$2:$K$4, Ledger!$B$2:$B$4, $A3, Ledger!$C$2:$C$4, CIX$2)),"****")</f>
        <v/>
      </c>
      <c r="CIY3" t="str">
        <f>IFERROR(IF($C3="","",SUMIFS(Ledger!$K$2:$K$4, Ledger!$B$2:$B$4, $A3, Ledger!$C$2:$C$4, CIY$2)),"****")</f>
        <v/>
      </c>
      <c r="CIZ3" t="str">
        <f>IFERROR(IF($C3="","",SUMIFS(Ledger!$K$2:$K$4, Ledger!$B$2:$B$4, $A3, Ledger!$C$2:$C$4, CIZ$2)),"****")</f>
        <v/>
      </c>
      <c r="CJA3" t="str">
        <f>IFERROR(IF($C3="","",SUMIFS(Ledger!$K$2:$K$4, Ledger!$B$2:$B$4, $A3, Ledger!$C$2:$C$4, CJA$2)),"****")</f>
        <v/>
      </c>
      <c r="CJB3" t="str">
        <f>IFERROR(IF($C3="","",SUMIFS(Ledger!$K$2:$K$4, Ledger!$B$2:$B$4, $A3, Ledger!$C$2:$C$4, CJB$2)),"****")</f>
        <v/>
      </c>
      <c r="CJC3" t="str">
        <f>IFERROR(IF($C3="","",SUMIFS(Ledger!$K$2:$K$4, Ledger!$B$2:$B$4, $A3, Ledger!$C$2:$C$4, CJC$2)),"****")</f>
        <v/>
      </c>
      <c r="CJD3" t="str">
        <f>IFERROR(IF($C3="","",SUMIFS(Ledger!$K$2:$K$4, Ledger!$B$2:$B$4, $A3, Ledger!$C$2:$C$4, CJD$2)),"****")</f>
        <v/>
      </c>
      <c r="CJE3" t="str">
        <f>IFERROR(IF($C3="","",SUMIFS(Ledger!$K$2:$K$4, Ledger!$B$2:$B$4, $A3, Ledger!$C$2:$C$4, CJE$2)),"****")</f>
        <v/>
      </c>
      <c r="CJF3" t="str">
        <f>IFERROR(IF($C3="","",SUMIFS(Ledger!$K$2:$K$4, Ledger!$B$2:$B$4, $A3, Ledger!$C$2:$C$4, CJF$2)),"****")</f>
        <v/>
      </c>
      <c r="CJG3" t="str">
        <f>IFERROR(IF($C3="","",SUMIFS(Ledger!$K$2:$K$4, Ledger!$B$2:$B$4, $A3, Ledger!$C$2:$C$4, CJG$2)),"****")</f>
        <v/>
      </c>
      <c r="CJH3" t="str">
        <f>IFERROR(IF($C3="","",SUMIFS(Ledger!$K$2:$K$4, Ledger!$B$2:$B$4, $A3, Ledger!$C$2:$C$4, CJH$2)),"****")</f>
        <v/>
      </c>
      <c r="CJI3" t="str">
        <f>IFERROR(IF($C3="","",SUMIFS(Ledger!$K$2:$K$4, Ledger!$B$2:$B$4, $A3, Ledger!$C$2:$C$4, CJI$2)),"****")</f>
        <v/>
      </c>
      <c r="CJJ3" t="str">
        <f>IFERROR(IF($C3="","",SUMIFS(Ledger!$K$2:$K$4, Ledger!$B$2:$B$4, $A3, Ledger!$C$2:$C$4, CJJ$2)),"****")</f>
        <v/>
      </c>
      <c r="CJK3" t="str">
        <f>IFERROR(IF($C3="","",SUMIFS(Ledger!$K$2:$K$4, Ledger!$B$2:$B$4, $A3, Ledger!$C$2:$C$4, CJK$2)),"****")</f>
        <v/>
      </c>
      <c r="CJL3" t="str">
        <f>IFERROR(IF($C3="","",SUMIFS(Ledger!$K$2:$K$4, Ledger!$B$2:$B$4, $A3, Ledger!$C$2:$C$4, CJL$2)),"****")</f>
        <v/>
      </c>
      <c r="CJM3" t="str">
        <f>IFERROR(IF($C3="","",SUMIFS(Ledger!$K$2:$K$4, Ledger!$B$2:$B$4, $A3, Ledger!$C$2:$C$4, CJM$2)),"****")</f>
        <v/>
      </c>
      <c r="CJN3" t="str">
        <f>IFERROR(IF($C3="","",SUMIFS(Ledger!$K$2:$K$4, Ledger!$B$2:$B$4, $A3, Ledger!$C$2:$C$4, CJN$2)),"****")</f>
        <v/>
      </c>
      <c r="CJO3" t="str">
        <f>IFERROR(IF($C3="","",SUMIFS(Ledger!$K$2:$K$4, Ledger!$B$2:$B$4, $A3, Ledger!$C$2:$C$4, CJO$2)),"****")</f>
        <v/>
      </c>
      <c r="CJP3" t="str">
        <f>IFERROR(IF($C3="","",SUMIFS(Ledger!$K$2:$K$4, Ledger!$B$2:$B$4, $A3, Ledger!$C$2:$C$4, CJP$2)),"****")</f>
        <v/>
      </c>
      <c r="CJQ3" t="str">
        <f>IFERROR(IF($C3="","",SUMIFS(Ledger!$K$2:$K$4, Ledger!$B$2:$B$4, $A3, Ledger!$C$2:$C$4, CJQ$2)),"****")</f>
        <v/>
      </c>
      <c r="CJR3" t="str">
        <f>IFERROR(IF($C3="","",SUMIFS(Ledger!$K$2:$K$4, Ledger!$B$2:$B$4, $A3, Ledger!$C$2:$C$4, CJR$2)),"****")</f>
        <v/>
      </c>
      <c r="CJS3" t="str">
        <f>IFERROR(IF($C3="","",SUMIFS(Ledger!$K$2:$K$4, Ledger!$B$2:$B$4, $A3, Ledger!$C$2:$C$4, CJS$2)),"****")</f>
        <v/>
      </c>
      <c r="CJT3" t="str">
        <f>IFERROR(IF($C3="","",SUMIFS(Ledger!$K$2:$K$4, Ledger!$B$2:$B$4, $A3, Ledger!$C$2:$C$4, CJT$2)),"****")</f>
        <v/>
      </c>
      <c r="CJU3" t="str">
        <f>IFERROR(IF($C3="","",SUMIFS(Ledger!$K$2:$K$4, Ledger!$B$2:$B$4, $A3, Ledger!$C$2:$C$4, CJU$2)),"****")</f>
        <v/>
      </c>
      <c r="CJV3" t="str">
        <f>IFERROR(IF($C3="","",SUMIFS(Ledger!$K$2:$K$4, Ledger!$B$2:$B$4, $A3, Ledger!$C$2:$C$4, CJV$2)),"****")</f>
        <v/>
      </c>
      <c r="CJW3" t="str">
        <f>IFERROR(IF($C3="","",SUMIFS(Ledger!$K$2:$K$4, Ledger!$B$2:$B$4, $A3, Ledger!$C$2:$C$4, CJW$2)),"****")</f>
        <v/>
      </c>
      <c r="CJX3" t="str">
        <f>IFERROR(IF($C3="","",SUMIFS(Ledger!$K$2:$K$4, Ledger!$B$2:$B$4, $A3, Ledger!$C$2:$C$4, CJX$2)),"****")</f>
        <v/>
      </c>
      <c r="CJY3" t="str">
        <f>IFERROR(IF($C3="","",SUMIFS(Ledger!$K$2:$K$4, Ledger!$B$2:$B$4, $A3, Ledger!$C$2:$C$4, CJY$2)),"****")</f>
        <v/>
      </c>
      <c r="CJZ3" t="str">
        <f>IFERROR(IF($C3="","",SUMIFS(Ledger!$K$2:$K$4, Ledger!$B$2:$B$4, $A3, Ledger!$C$2:$C$4, CJZ$2)),"****")</f>
        <v/>
      </c>
      <c r="CKA3" t="str">
        <f>IFERROR(IF($C3="","",SUMIFS(Ledger!$K$2:$K$4, Ledger!$B$2:$B$4, $A3, Ledger!$C$2:$C$4, CKA$2)),"****")</f>
        <v/>
      </c>
      <c r="CKB3" t="str">
        <f>IFERROR(IF($C3="","",SUMIFS(Ledger!$K$2:$K$4, Ledger!$B$2:$B$4, $A3, Ledger!$C$2:$C$4, CKB$2)),"****")</f>
        <v/>
      </c>
      <c r="CKC3" t="str">
        <f>IFERROR(IF($C3="","",SUMIFS(Ledger!$K$2:$K$4, Ledger!$B$2:$B$4, $A3, Ledger!$C$2:$C$4, CKC$2)),"****")</f>
        <v/>
      </c>
      <c r="CKD3" t="str">
        <f>IFERROR(IF($C3="","",SUMIFS(Ledger!$K$2:$K$4, Ledger!$B$2:$B$4, $A3, Ledger!$C$2:$C$4, CKD$2)),"****")</f>
        <v/>
      </c>
      <c r="CKE3" t="str">
        <f>IFERROR(IF($C3="","",SUMIFS(Ledger!$K$2:$K$4, Ledger!$B$2:$B$4, $A3, Ledger!$C$2:$C$4, CKE$2)),"****")</f>
        <v/>
      </c>
      <c r="CKF3" t="str">
        <f>IFERROR(IF($C3="","",SUMIFS(Ledger!$K$2:$K$4, Ledger!$B$2:$B$4, $A3, Ledger!$C$2:$C$4, CKF$2)),"****")</f>
        <v/>
      </c>
      <c r="CKG3" t="str">
        <f>IFERROR(IF($C3="","",SUMIFS(Ledger!$K$2:$K$4, Ledger!$B$2:$B$4, $A3, Ledger!$C$2:$C$4, CKG$2)),"****")</f>
        <v/>
      </c>
      <c r="CKH3" t="str">
        <f>IFERROR(IF($C3="","",SUMIFS(Ledger!$K$2:$K$4, Ledger!$B$2:$B$4, $A3, Ledger!$C$2:$C$4, CKH$2)),"****")</f>
        <v/>
      </c>
      <c r="CKI3" t="str">
        <f>IFERROR(IF($C3="","",SUMIFS(Ledger!$K$2:$K$4, Ledger!$B$2:$B$4, $A3, Ledger!$C$2:$C$4, CKI$2)),"****")</f>
        <v/>
      </c>
      <c r="CKJ3" t="str">
        <f>IFERROR(IF($C3="","",SUMIFS(Ledger!$K$2:$K$4, Ledger!$B$2:$B$4, $A3, Ledger!$C$2:$C$4, CKJ$2)),"****")</f>
        <v/>
      </c>
      <c r="CKK3" t="str">
        <f>IFERROR(IF($C3="","",SUMIFS(Ledger!$K$2:$K$4, Ledger!$B$2:$B$4, $A3, Ledger!$C$2:$C$4, CKK$2)),"****")</f>
        <v/>
      </c>
      <c r="CKL3" t="str">
        <f>IFERROR(IF($C3="","",SUMIFS(Ledger!$K$2:$K$4, Ledger!$B$2:$B$4, $A3, Ledger!$C$2:$C$4, CKL$2)),"****")</f>
        <v/>
      </c>
      <c r="CKM3" t="str">
        <f>IFERROR(IF($C3="","",SUMIFS(Ledger!$K$2:$K$4, Ledger!$B$2:$B$4, $A3, Ledger!$C$2:$C$4, CKM$2)),"****")</f>
        <v/>
      </c>
      <c r="CKN3" t="str">
        <f>IFERROR(IF($C3="","",SUMIFS(Ledger!$K$2:$K$4, Ledger!$B$2:$B$4, $A3, Ledger!$C$2:$C$4, CKN$2)),"****")</f>
        <v/>
      </c>
      <c r="CKO3" t="str">
        <f>IFERROR(IF($C3="","",SUMIFS(Ledger!$K$2:$K$4, Ledger!$B$2:$B$4, $A3, Ledger!$C$2:$C$4, CKO$2)),"****")</f>
        <v/>
      </c>
      <c r="CKP3" t="str">
        <f>IFERROR(IF($C3="","",SUMIFS(Ledger!$K$2:$K$4, Ledger!$B$2:$B$4, $A3, Ledger!$C$2:$C$4, CKP$2)),"****")</f>
        <v/>
      </c>
      <c r="CKQ3" t="str">
        <f>IFERROR(IF($C3="","",SUMIFS(Ledger!$K$2:$K$4, Ledger!$B$2:$B$4, $A3, Ledger!$C$2:$C$4, CKQ$2)),"****")</f>
        <v/>
      </c>
      <c r="CKR3" t="str">
        <f>IFERROR(IF($C3="","",SUMIFS(Ledger!$K$2:$K$4, Ledger!$B$2:$B$4, $A3, Ledger!$C$2:$C$4, CKR$2)),"****")</f>
        <v/>
      </c>
      <c r="CKS3" t="str">
        <f>IFERROR(IF($C3="","",SUMIFS(Ledger!$K$2:$K$4, Ledger!$B$2:$B$4, $A3, Ledger!$C$2:$C$4, CKS$2)),"****")</f>
        <v/>
      </c>
      <c r="CKT3" t="str">
        <f>IFERROR(IF($C3="","",SUMIFS(Ledger!$K$2:$K$4, Ledger!$B$2:$B$4, $A3, Ledger!$C$2:$C$4, CKT$2)),"****")</f>
        <v/>
      </c>
      <c r="CKU3" t="str">
        <f>IFERROR(IF($C3="","",SUMIFS(Ledger!$K$2:$K$4, Ledger!$B$2:$B$4, $A3, Ledger!$C$2:$C$4, CKU$2)),"****")</f>
        <v/>
      </c>
      <c r="CKV3" t="str">
        <f>IFERROR(IF($C3="","",SUMIFS(Ledger!$K$2:$K$4, Ledger!$B$2:$B$4, $A3, Ledger!$C$2:$C$4, CKV$2)),"****")</f>
        <v/>
      </c>
      <c r="CKW3" t="str">
        <f>IFERROR(IF($C3="","",SUMIFS(Ledger!$K$2:$K$4, Ledger!$B$2:$B$4, $A3, Ledger!$C$2:$C$4, CKW$2)),"****")</f>
        <v/>
      </c>
      <c r="CKX3" t="str">
        <f>IFERROR(IF($C3="","",SUMIFS(Ledger!$K$2:$K$4, Ledger!$B$2:$B$4, $A3, Ledger!$C$2:$C$4, CKX$2)),"****")</f>
        <v/>
      </c>
      <c r="CKY3" t="str">
        <f>IFERROR(IF($C3="","",SUMIFS(Ledger!$K$2:$K$4, Ledger!$B$2:$B$4, $A3, Ledger!$C$2:$C$4, CKY$2)),"****")</f>
        <v/>
      </c>
      <c r="CKZ3" t="str">
        <f>IFERROR(IF($C3="","",SUMIFS(Ledger!$K$2:$K$4, Ledger!$B$2:$B$4, $A3, Ledger!$C$2:$C$4, CKZ$2)),"****")</f>
        <v/>
      </c>
      <c r="CLA3" t="str">
        <f>IFERROR(IF($C3="","",SUMIFS(Ledger!$K$2:$K$4, Ledger!$B$2:$B$4, $A3, Ledger!$C$2:$C$4, CLA$2)),"****")</f>
        <v/>
      </c>
      <c r="CLB3" t="str">
        <f>IFERROR(IF($C3="","",SUMIFS(Ledger!$K$2:$K$4, Ledger!$B$2:$B$4, $A3, Ledger!$C$2:$C$4, CLB$2)),"****")</f>
        <v/>
      </c>
      <c r="CLC3" t="str">
        <f>IFERROR(IF($C3="","",SUMIFS(Ledger!$K$2:$K$4, Ledger!$B$2:$B$4, $A3, Ledger!$C$2:$C$4, CLC$2)),"****")</f>
        <v/>
      </c>
      <c r="CLD3" t="str">
        <f>IFERROR(IF($C3="","",SUMIFS(Ledger!$K$2:$K$4, Ledger!$B$2:$B$4, $A3, Ledger!$C$2:$C$4, CLD$2)),"****")</f>
        <v/>
      </c>
      <c r="CLE3" t="str">
        <f>IFERROR(IF($C3="","",SUMIFS(Ledger!$K$2:$K$4, Ledger!$B$2:$B$4, $A3, Ledger!$C$2:$C$4, CLE$2)),"****")</f>
        <v/>
      </c>
      <c r="CLF3" t="str">
        <f>IFERROR(IF($C3="","",SUMIFS(Ledger!$K$2:$K$4, Ledger!$B$2:$B$4, $A3, Ledger!$C$2:$C$4, CLF$2)),"****")</f>
        <v/>
      </c>
      <c r="CLG3" t="str">
        <f>IFERROR(IF($C3="","",SUMIFS(Ledger!$K$2:$K$4, Ledger!$B$2:$B$4, $A3, Ledger!$C$2:$C$4, CLG$2)),"****")</f>
        <v/>
      </c>
      <c r="CLH3" t="str">
        <f>IFERROR(IF($C3="","",SUMIFS(Ledger!$K$2:$K$4, Ledger!$B$2:$B$4, $A3, Ledger!$C$2:$C$4, CLH$2)),"****")</f>
        <v/>
      </c>
      <c r="CLI3" t="str">
        <f>IFERROR(IF($C3="","",SUMIFS(Ledger!$K$2:$K$4, Ledger!$B$2:$B$4, $A3, Ledger!$C$2:$C$4, CLI$2)),"****")</f>
        <v/>
      </c>
      <c r="CLJ3" t="str">
        <f>IFERROR(IF($C3="","",SUMIFS(Ledger!$K$2:$K$4, Ledger!$B$2:$B$4, $A3, Ledger!$C$2:$C$4, CLJ$2)),"****")</f>
        <v/>
      </c>
      <c r="CLK3" t="str">
        <f>IFERROR(IF($C3="","",SUMIFS(Ledger!$K$2:$K$4, Ledger!$B$2:$B$4, $A3, Ledger!$C$2:$C$4, CLK$2)),"****")</f>
        <v/>
      </c>
      <c r="CLL3" t="str">
        <f>IFERROR(IF($C3="","",SUMIFS(Ledger!$K$2:$K$4, Ledger!$B$2:$B$4, $A3, Ledger!$C$2:$C$4, CLL$2)),"****")</f>
        <v/>
      </c>
      <c r="CLM3" t="str">
        <f>IFERROR(IF($C3="","",SUMIFS(Ledger!$K$2:$K$4, Ledger!$B$2:$B$4, $A3, Ledger!$C$2:$C$4, CLM$2)),"****")</f>
        <v/>
      </c>
      <c r="CLN3" t="str">
        <f>IFERROR(IF($C3="","",SUMIFS(Ledger!$K$2:$K$4, Ledger!$B$2:$B$4, $A3, Ledger!$C$2:$C$4, CLN$2)),"****")</f>
        <v/>
      </c>
      <c r="CLO3" t="str">
        <f>IFERROR(IF($C3="","",SUMIFS(Ledger!$K$2:$K$4, Ledger!$B$2:$B$4, $A3, Ledger!$C$2:$C$4, CLO$2)),"****")</f>
        <v/>
      </c>
      <c r="CLP3" t="str">
        <f>IFERROR(IF($C3="","",SUMIFS(Ledger!$K$2:$K$4, Ledger!$B$2:$B$4, $A3, Ledger!$C$2:$C$4, CLP$2)),"****")</f>
        <v/>
      </c>
      <c r="CLQ3" t="str">
        <f>IFERROR(IF($C3="","",SUMIFS(Ledger!$K$2:$K$4, Ledger!$B$2:$B$4, $A3, Ledger!$C$2:$C$4, CLQ$2)),"****")</f>
        <v/>
      </c>
      <c r="CLR3" t="str">
        <f>IFERROR(IF($C3="","",SUMIFS(Ledger!$K$2:$K$4, Ledger!$B$2:$B$4, $A3, Ledger!$C$2:$C$4, CLR$2)),"****")</f>
        <v/>
      </c>
      <c r="CLS3" t="str">
        <f>IFERROR(IF($C3="","",SUMIFS(Ledger!$K$2:$K$4, Ledger!$B$2:$B$4, $A3, Ledger!$C$2:$C$4, CLS$2)),"****")</f>
        <v/>
      </c>
      <c r="CLT3" t="str">
        <f>IFERROR(IF($C3="","",SUMIFS(Ledger!$K$2:$K$4, Ledger!$B$2:$B$4, $A3, Ledger!$C$2:$C$4, CLT$2)),"****")</f>
        <v/>
      </c>
      <c r="CLU3" t="str">
        <f>IFERROR(IF($C3="","",SUMIFS(Ledger!$K$2:$K$4, Ledger!$B$2:$B$4, $A3, Ledger!$C$2:$C$4, CLU$2)),"****")</f>
        <v/>
      </c>
      <c r="CLV3" t="str">
        <f>IFERROR(IF($C3="","",SUMIFS(Ledger!$K$2:$K$4, Ledger!$B$2:$B$4, $A3, Ledger!$C$2:$C$4, CLV$2)),"****")</f>
        <v/>
      </c>
      <c r="CLW3" t="str">
        <f>IFERROR(IF($C3="","",SUMIFS(Ledger!$K$2:$K$4, Ledger!$B$2:$B$4, $A3, Ledger!$C$2:$C$4, CLW$2)),"****")</f>
        <v/>
      </c>
      <c r="CLX3" t="str">
        <f>IFERROR(IF($C3="","",SUMIFS(Ledger!$K$2:$K$4, Ledger!$B$2:$B$4, $A3, Ledger!$C$2:$C$4, CLX$2)),"****")</f>
        <v/>
      </c>
      <c r="CLY3" t="str">
        <f>IFERROR(IF($C3="","",SUMIFS(Ledger!$K$2:$K$4, Ledger!$B$2:$B$4, $A3, Ledger!$C$2:$C$4, CLY$2)),"****")</f>
        <v/>
      </c>
      <c r="CLZ3" t="str">
        <f>IFERROR(IF($C3="","",SUMIFS(Ledger!$K$2:$K$4, Ledger!$B$2:$B$4, $A3, Ledger!$C$2:$C$4, CLZ$2)),"****")</f>
        <v/>
      </c>
      <c r="CMA3" t="str">
        <f>IFERROR(IF($C3="","",SUMIFS(Ledger!$K$2:$K$4, Ledger!$B$2:$B$4, $A3, Ledger!$C$2:$C$4, CMA$2)),"****")</f>
        <v/>
      </c>
      <c r="CMB3" t="str">
        <f>IFERROR(IF($C3="","",SUMIFS(Ledger!$K$2:$K$4, Ledger!$B$2:$B$4, $A3, Ledger!$C$2:$C$4, CMB$2)),"****")</f>
        <v/>
      </c>
      <c r="CMC3" t="str">
        <f>IFERROR(IF($C3="","",SUMIFS(Ledger!$K$2:$K$4, Ledger!$B$2:$B$4, $A3, Ledger!$C$2:$C$4, CMC$2)),"****")</f>
        <v/>
      </c>
      <c r="CMD3" t="str">
        <f>IFERROR(IF($C3="","",SUMIFS(Ledger!$K$2:$K$4, Ledger!$B$2:$B$4, $A3, Ledger!$C$2:$C$4, CMD$2)),"****")</f>
        <v/>
      </c>
      <c r="CME3" t="str">
        <f>IFERROR(IF($C3="","",SUMIFS(Ledger!$K$2:$K$4, Ledger!$B$2:$B$4, $A3, Ledger!$C$2:$C$4, CME$2)),"****")</f>
        <v/>
      </c>
      <c r="CMF3" t="str">
        <f>IFERROR(IF($C3="","",SUMIFS(Ledger!$K$2:$K$4, Ledger!$B$2:$B$4, $A3, Ledger!$C$2:$C$4, CMF$2)),"****")</f>
        <v/>
      </c>
      <c r="CMG3" t="str">
        <f>IFERROR(IF($C3="","",SUMIFS(Ledger!$K$2:$K$4, Ledger!$B$2:$B$4, $A3, Ledger!$C$2:$C$4, CMG$2)),"****")</f>
        <v/>
      </c>
      <c r="CMH3" t="str">
        <f>IFERROR(IF($C3="","",SUMIFS(Ledger!$K$2:$K$4, Ledger!$B$2:$B$4, $A3, Ledger!$C$2:$C$4, CMH$2)),"****")</f>
        <v/>
      </c>
      <c r="CMI3" t="str">
        <f>IFERROR(IF($C3="","",SUMIFS(Ledger!$K$2:$K$4, Ledger!$B$2:$B$4, $A3, Ledger!$C$2:$C$4, CMI$2)),"****")</f>
        <v/>
      </c>
      <c r="CMJ3" t="str">
        <f>IFERROR(IF($C3="","",SUMIFS(Ledger!$K$2:$K$4, Ledger!$B$2:$B$4, $A3, Ledger!$C$2:$C$4, CMJ$2)),"****")</f>
        <v/>
      </c>
      <c r="CMK3" t="str">
        <f>IFERROR(IF($C3="","",SUMIFS(Ledger!$K$2:$K$4, Ledger!$B$2:$B$4, $A3, Ledger!$C$2:$C$4, CMK$2)),"****")</f>
        <v/>
      </c>
      <c r="CML3" t="str">
        <f>IFERROR(IF($C3="","",SUMIFS(Ledger!$K$2:$K$4, Ledger!$B$2:$B$4, $A3, Ledger!$C$2:$C$4, CML$2)),"****")</f>
        <v/>
      </c>
      <c r="CMM3" t="str">
        <f>IFERROR(IF($C3="","",SUMIFS(Ledger!$K$2:$K$4, Ledger!$B$2:$B$4, $A3, Ledger!$C$2:$C$4, CMM$2)),"****")</f>
        <v/>
      </c>
      <c r="CMN3" t="str">
        <f>IFERROR(IF($C3="","",SUMIFS(Ledger!$K$2:$K$4, Ledger!$B$2:$B$4, $A3, Ledger!$C$2:$C$4, CMN$2)),"****")</f>
        <v/>
      </c>
      <c r="CMO3" t="str">
        <f>IFERROR(IF($C3="","",SUMIFS(Ledger!$K$2:$K$4, Ledger!$B$2:$B$4, $A3, Ledger!$C$2:$C$4, CMO$2)),"****")</f>
        <v/>
      </c>
      <c r="CMP3" t="str">
        <f>IFERROR(IF($C3="","",SUMIFS(Ledger!$K$2:$K$4, Ledger!$B$2:$B$4, $A3, Ledger!$C$2:$C$4, CMP$2)),"****")</f>
        <v/>
      </c>
      <c r="CMQ3" t="str">
        <f>IFERROR(IF($C3="","",SUMIFS(Ledger!$K$2:$K$4, Ledger!$B$2:$B$4, $A3, Ledger!$C$2:$C$4, CMQ$2)),"****")</f>
        <v/>
      </c>
      <c r="CMR3" t="str">
        <f>IFERROR(IF($C3="","",SUMIFS(Ledger!$K$2:$K$4, Ledger!$B$2:$B$4, $A3, Ledger!$C$2:$C$4, CMR$2)),"****")</f>
        <v/>
      </c>
      <c r="CMS3" t="str">
        <f>IFERROR(IF($C3="","",SUMIFS(Ledger!$K$2:$K$4, Ledger!$B$2:$B$4, $A3, Ledger!$C$2:$C$4, CMS$2)),"****")</f>
        <v/>
      </c>
      <c r="CMT3" t="str">
        <f>IFERROR(IF($C3="","",SUMIFS(Ledger!$K$2:$K$4, Ledger!$B$2:$B$4, $A3, Ledger!$C$2:$C$4, CMT$2)),"****")</f>
        <v/>
      </c>
      <c r="CMU3" t="str">
        <f>IFERROR(IF($C3="","",SUMIFS(Ledger!$K$2:$K$4, Ledger!$B$2:$B$4, $A3, Ledger!$C$2:$C$4, CMU$2)),"****")</f>
        <v/>
      </c>
      <c r="CMV3" t="str">
        <f>IFERROR(IF($C3="","",SUMIFS(Ledger!$K$2:$K$4, Ledger!$B$2:$B$4, $A3, Ledger!$C$2:$C$4, CMV$2)),"****")</f>
        <v/>
      </c>
      <c r="CMW3" t="str">
        <f>IFERROR(IF($C3="","",SUMIFS(Ledger!$K$2:$K$4, Ledger!$B$2:$B$4, $A3, Ledger!$C$2:$C$4, CMW$2)),"****")</f>
        <v/>
      </c>
      <c r="CMX3" t="str">
        <f>IFERROR(IF($C3="","",SUMIFS(Ledger!$K$2:$K$4, Ledger!$B$2:$B$4, $A3, Ledger!$C$2:$C$4, CMX$2)),"****")</f>
        <v/>
      </c>
      <c r="CMY3" t="str">
        <f>IFERROR(IF($C3="","",SUMIFS(Ledger!$K$2:$K$4, Ledger!$B$2:$B$4, $A3, Ledger!$C$2:$C$4, CMY$2)),"****")</f>
        <v/>
      </c>
      <c r="CMZ3" t="str">
        <f>IFERROR(IF($C3="","",SUMIFS(Ledger!$K$2:$K$4, Ledger!$B$2:$B$4, $A3, Ledger!$C$2:$C$4, CMZ$2)),"****")</f>
        <v/>
      </c>
      <c r="CNA3" t="str">
        <f>IFERROR(IF($C3="","",SUMIFS(Ledger!$K$2:$K$4, Ledger!$B$2:$B$4, $A3, Ledger!$C$2:$C$4, CNA$2)),"****")</f>
        <v/>
      </c>
      <c r="CNB3" t="str">
        <f>IFERROR(IF($C3="","",SUMIFS(Ledger!$K$2:$K$4, Ledger!$B$2:$B$4, $A3, Ledger!$C$2:$C$4, CNB$2)),"****")</f>
        <v/>
      </c>
      <c r="CNC3" t="str">
        <f>IFERROR(IF($C3="","",SUMIFS(Ledger!$K$2:$K$4, Ledger!$B$2:$B$4, $A3, Ledger!$C$2:$C$4, CNC$2)),"****")</f>
        <v/>
      </c>
      <c r="CND3" t="str">
        <f>IFERROR(IF($C3="","",SUMIFS(Ledger!$K$2:$K$4, Ledger!$B$2:$B$4, $A3, Ledger!$C$2:$C$4, CND$2)),"****")</f>
        <v/>
      </c>
      <c r="CNE3" t="str">
        <f>IFERROR(IF($C3="","",SUMIFS(Ledger!$K$2:$K$4, Ledger!$B$2:$B$4, $A3, Ledger!$C$2:$C$4, CNE$2)),"****")</f>
        <v/>
      </c>
      <c r="CNF3" t="str">
        <f>IFERROR(IF($C3="","",SUMIFS(Ledger!$K$2:$K$4, Ledger!$B$2:$B$4, $A3, Ledger!$C$2:$C$4, CNF$2)),"****")</f>
        <v/>
      </c>
      <c r="CNG3" t="str">
        <f>IFERROR(IF($C3="","",SUMIFS(Ledger!$K$2:$K$4, Ledger!$B$2:$B$4, $A3, Ledger!$C$2:$C$4, CNG$2)),"****")</f>
        <v/>
      </c>
      <c r="CNH3" t="str">
        <f>IFERROR(IF($C3="","",SUMIFS(Ledger!$K$2:$K$4, Ledger!$B$2:$B$4, $A3, Ledger!$C$2:$C$4, CNH$2)),"****")</f>
        <v/>
      </c>
      <c r="CNI3" t="str">
        <f>IFERROR(IF($C3="","",SUMIFS(Ledger!$K$2:$K$4, Ledger!$B$2:$B$4, $A3, Ledger!$C$2:$C$4, CNI$2)),"****")</f>
        <v/>
      </c>
      <c r="CNJ3" t="str">
        <f>IFERROR(IF($C3="","",SUMIFS(Ledger!$K$2:$K$4, Ledger!$B$2:$B$4, $A3, Ledger!$C$2:$C$4, CNJ$2)),"****")</f>
        <v/>
      </c>
      <c r="CNK3" t="str">
        <f>IFERROR(IF($C3="","",SUMIFS(Ledger!$K$2:$K$4, Ledger!$B$2:$B$4, $A3, Ledger!$C$2:$C$4, CNK$2)),"****")</f>
        <v/>
      </c>
      <c r="CNL3" t="str">
        <f>IFERROR(IF($C3="","",SUMIFS(Ledger!$K$2:$K$4, Ledger!$B$2:$B$4, $A3, Ledger!$C$2:$C$4, CNL$2)),"****")</f>
        <v/>
      </c>
      <c r="CNM3" t="str">
        <f>IFERROR(IF($C3="","",SUMIFS(Ledger!$K$2:$K$4, Ledger!$B$2:$B$4, $A3, Ledger!$C$2:$C$4, CNM$2)),"****")</f>
        <v/>
      </c>
      <c r="CNN3" t="str">
        <f>IFERROR(IF($C3="","",SUMIFS(Ledger!$K$2:$K$4, Ledger!$B$2:$B$4, $A3, Ledger!$C$2:$C$4, CNN$2)),"****")</f>
        <v/>
      </c>
      <c r="CNO3" t="str">
        <f>IFERROR(IF($C3="","",SUMIFS(Ledger!$K$2:$K$4, Ledger!$B$2:$B$4, $A3, Ledger!$C$2:$C$4, CNO$2)),"****")</f>
        <v/>
      </c>
      <c r="CNP3" t="str">
        <f>IFERROR(IF($C3="","",SUMIFS(Ledger!$K$2:$K$4, Ledger!$B$2:$B$4, $A3, Ledger!$C$2:$C$4, CNP$2)),"****")</f>
        <v/>
      </c>
      <c r="CNQ3" t="str">
        <f>IFERROR(IF($C3="","",SUMIFS(Ledger!$K$2:$K$4, Ledger!$B$2:$B$4, $A3, Ledger!$C$2:$C$4, CNQ$2)),"****")</f>
        <v/>
      </c>
      <c r="CNR3" t="str">
        <f>IFERROR(IF($C3="","",SUMIFS(Ledger!$K$2:$K$4, Ledger!$B$2:$B$4, $A3, Ledger!$C$2:$C$4, CNR$2)),"****")</f>
        <v/>
      </c>
      <c r="CNS3" t="str">
        <f>IFERROR(IF($C3="","",SUMIFS(Ledger!$K$2:$K$4, Ledger!$B$2:$B$4, $A3, Ledger!$C$2:$C$4, CNS$2)),"****")</f>
        <v/>
      </c>
      <c r="CNT3" t="str">
        <f>IFERROR(IF($C3="","",SUMIFS(Ledger!$K$2:$K$4, Ledger!$B$2:$B$4, $A3, Ledger!$C$2:$C$4, CNT$2)),"****")</f>
        <v/>
      </c>
      <c r="CNU3" t="str">
        <f>IFERROR(IF($C3="","",SUMIFS(Ledger!$K$2:$K$4, Ledger!$B$2:$B$4, $A3, Ledger!$C$2:$C$4, CNU$2)),"****")</f>
        <v/>
      </c>
      <c r="CNV3" t="str">
        <f>IFERROR(IF($C3="","",SUMIFS(Ledger!$K$2:$K$4, Ledger!$B$2:$B$4, $A3, Ledger!$C$2:$C$4, CNV$2)),"****")</f>
        <v/>
      </c>
      <c r="CNW3" t="str">
        <f>IFERROR(IF($C3="","",SUMIFS(Ledger!$K$2:$K$4, Ledger!$B$2:$B$4, $A3, Ledger!$C$2:$C$4, CNW$2)),"****")</f>
        <v/>
      </c>
      <c r="CNX3" t="str">
        <f>IFERROR(IF($C3="","",SUMIFS(Ledger!$K$2:$K$4, Ledger!$B$2:$B$4, $A3, Ledger!$C$2:$C$4, CNX$2)),"****")</f>
        <v/>
      </c>
      <c r="CNY3" t="str">
        <f>IFERROR(IF($C3="","",SUMIFS(Ledger!$K$2:$K$4, Ledger!$B$2:$B$4, $A3, Ledger!$C$2:$C$4, CNY$2)),"****")</f>
        <v/>
      </c>
      <c r="CNZ3" t="str">
        <f>IFERROR(IF($C3="","",SUMIFS(Ledger!$K$2:$K$4, Ledger!$B$2:$B$4, $A3, Ledger!$C$2:$C$4, CNZ$2)),"****")</f>
        <v/>
      </c>
      <c r="COA3" t="str">
        <f>IFERROR(IF($C3="","",SUMIFS(Ledger!$K$2:$K$4, Ledger!$B$2:$B$4, $A3, Ledger!$C$2:$C$4, COA$2)),"****")</f>
        <v/>
      </c>
      <c r="COB3" t="str">
        <f>IFERROR(IF($C3="","",SUMIFS(Ledger!$K$2:$K$4, Ledger!$B$2:$B$4, $A3, Ledger!$C$2:$C$4, COB$2)),"****")</f>
        <v/>
      </c>
      <c r="COC3" t="str">
        <f>IFERROR(IF($C3="","",SUMIFS(Ledger!$K$2:$K$4, Ledger!$B$2:$B$4, $A3, Ledger!$C$2:$C$4, COC$2)),"****")</f>
        <v/>
      </c>
      <c r="COD3" t="str">
        <f>IFERROR(IF($C3="","",SUMIFS(Ledger!$K$2:$K$4, Ledger!$B$2:$B$4, $A3, Ledger!$C$2:$C$4, COD$2)),"****")</f>
        <v/>
      </c>
      <c r="COE3" t="str">
        <f>IFERROR(IF($C3="","",SUMIFS(Ledger!$K$2:$K$4, Ledger!$B$2:$B$4, $A3, Ledger!$C$2:$C$4, COE$2)),"****")</f>
        <v/>
      </c>
      <c r="COF3" t="str">
        <f>IFERROR(IF($C3="","",SUMIFS(Ledger!$K$2:$K$4, Ledger!$B$2:$B$4, $A3, Ledger!$C$2:$C$4, COF$2)),"****")</f>
        <v/>
      </c>
      <c r="COG3" t="str">
        <f>IFERROR(IF($C3="","",SUMIFS(Ledger!$K$2:$K$4, Ledger!$B$2:$B$4, $A3, Ledger!$C$2:$C$4, COG$2)),"****")</f>
        <v/>
      </c>
      <c r="COH3" t="str">
        <f>IFERROR(IF($C3="","",SUMIFS(Ledger!$K$2:$K$4, Ledger!$B$2:$B$4, $A3, Ledger!$C$2:$C$4, COH$2)),"****")</f>
        <v/>
      </c>
      <c r="COI3" t="str">
        <f>IFERROR(IF($C3="","",SUMIFS(Ledger!$K$2:$K$4, Ledger!$B$2:$B$4, $A3, Ledger!$C$2:$C$4, COI$2)),"****")</f>
        <v/>
      </c>
      <c r="COJ3" t="str">
        <f>IFERROR(IF($C3="","",SUMIFS(Ledger!$K$2:$K$4, Ledger!$B$2:$B$4, $A3, Ledger!$C$2:$C$4, COJ$2)),"****")</f>
        <v/>
      </c>
      <c r="COK3" t="str">
        <f>IFERROR(IF($C3="","",SUMIFS(Ledger!$K$2:$K$4, Ledger!$B$2:$B$4, $A3, Ledger!$C$2:$C$4, COK$2)),"****")</f>
        <v/>
      </c>
      <c r="COL3" t="str">
        <f>IFERROR(IF($C3="","",SUMIFS(Ledger!$K$2:$K$4, Ledger!$B$2:$B$4, $A3, Ledger!$C$2:$C$4, COL$2)),"****")</f>
        <v/>
      </c>
      <c r="COM3" t="str">
        <f>IFERROR(IF($C3="","",SUMIFS(Ledger!$K$2:$K$4, Ledger!$B$2:$B$4, $A3, Ledger!$C$2:$C$4, COM$2)),"****")</f>
        <v/>
      </c>
      <c r="CON3" t="str">
        <f>IFERROR(IF($C3="","",SUMIFS(Ledger!$K$2:$K$4, Ledger!$B$2:$B$4, $A3, Ledger!$C$2:$C$4, CON$2)),"****")</f>
        <v/>
      </c>
      <c r="COO3" t="str">
        <f>IFERROR(IF($C3="","",SUMIFS(Ledger!$K$2:$K$4, Ledger!$B$2:$B$4, $A3, Ledger!$C$2:$C$4, COO$2)),"****")</f>
        <v/>
      </c>
      <c r="COP3" t="str">
        <f>IFERROR(IF($C3="","",SUMIFS(Ledger!$K$2:$K$4, Ledger!$B$2:$B$4, $A3, Ledger!$C$2:$C$4, COP$2)),"****")</f>
        <v/>
      </c>
      <c r="COQ3" t="str">
        <f>IFERROR(IF($C3="","",SUMIFS(Ledger!$K$2:$K$4, Ledger!$B$2:$B$4, $A3, Ledger!$C$2:$C$4, COQ$2)),"****")</f>
        <v/>
      </c>
      <c r="COR3" t="str">
        <f>IFERROR(IF($C3="","",SUMIFS(Ledger!$K$2:$K$4, Ledger!$B$2:$B$4, $A3, Ledger!$C$2:$C$4, COR$2)),"****")</f>
        <v/>
      </c>
      <c r="COS3" t="str">
        <f>IFERROR(IF($C3="","",SUMIFS(Ledger!$K$2:$K$4, Ledger!$B$2:$B$4, $A3, Ledger!$C$2:$C$4, COS$2)),"****")</f>
        <v/>
      </c>
      <c r="COT3" t="str">
        <f>IFERROR(IF($C3="","",SUMIFS(Ledger!$K$2:$K$4, Ledger!$B$2:$B$4, $A3, Ledger!$C$2:$C$4, COT$2)),"****")</f>
        <v/>
      </c>
      <c r="COU3" t="str">
        <f>IFERROR(IF($C3="","",SUMIFS(Ledger!$K$2:$K$4, Ledger!$B$2:$B$4, $A3, Ledger!$C$2:$C$4, COU$2)),"****")</f>
        <v/>
      </c>
      <c r="COV3" t="str">
        <f>IFERROR(IF($C3="","",SUMIFS(Ledger!$K$2:$K$4, Ledger!$B$2:$B$4, $A3, Ledger!$C$2:$C$4, COV$2)),"****")</f>
        <v/>
      </c>
      <c r="COW3" t="str">
        <f>IFERROR(IF($C3="","",SUMIFS(Ledger!$K$2:$K$4, Ledger!$B$2:$B$4, $A3, Ledger!$C$2:$C$4, COW$2)),"****")</f>
        <v/>
      </c>
      <c r="COX3" t="str">
        <f>IFERROR(IF($C3="","",SUMIFS(Ledger!$K$2:$K$4, Ledger!$B$2:$B$4, $A3, Ledger!$C$2:$C$4, COX$2)),"****")</f>
        <v/>
      </c>
      <c r="COY3" t="str">
        <f>IFERROR(IF($C3="","",SUMIFS(Ledger!$K$2:$K$4, Ledger!$B$2:$B$4, $A3, Ledger!$C$2:$C$4, COY$2)),"****")</f>
        <v/>
      </c>
      <c r="COZ3" t="str">
        <f>IFERROR(IF($C3="","",SUMIFS(Ledger!$K$2:$K$4, Ledger!$B$2:$B$4, $A3, Ledger!$C$2:$C$4, COZ$2)),"****")</f>
        <v/>
      </c>
      <c r="CPA3" t="str">
        <f>IFERROR(IF($C3="","",SUMIFS(Ledger!$K$2:$K$4, Ledger!$B$2:$B$4, $A3, Ledger!$C$2:$C$4, CPA$2)),"****")</f>
        <v/>
      </c>
      <c r="CPB3" t="str">
        <f>IFERROR(IF($C3="","",SUMIFS(Ledger!$K$2:$K$4, Ledger!$B$2:$B$4, $A3, Ledger!$C$2:$C$4, CPB$2)),"****")</f>
        <v/>
      </c>
      <c r="CPC3" t="str">
        <f>IFERROR(IF($C3="","",SUMIFS(Ledger!$K$2:$K$4, Ledger!$B$2:$B$4, $A3, Ledger!$C$2:$C$4, CPC$2)),"****")</f>
        <v/>
      </c>
      <c r="CPD3" t="str">
        <f>IFERROR(IF($C3="","",SUMIFS(Ledger!$K$2:$K$4, Ledger!$B$2:$B$4, $A3, Ledger!$C$2:$C$4, CPD$2)),"****")</f>
        <v/>
      </c>
      <c r="CPE3" t="str">
        <f>IFERROR(IF($C3="","",SUMIFS(Ledger!$K$2:$K$4, Ledger!$B$2:$B$4, $A3, Ledger!$C$2:$C$4, CPE$2)),"****")</f>
        <v/>
      </c>
      <c r="CPF3" t="str">
        <f>IFERROR(IF($C3="","",SUMIFS(Ledger!$K$2:$K$4, Ledger!$B$2:$B$4, $A3, Ledger!$C$2:$C$4, CPF$2)),"****")</f>
        <v/>
      </c>
      <c r="CPG3" t="str">
        <f>IFERROR(IF($C3="","",SUMIFS(Ledger!$K$2:$K$4, Ledger!$B$2:$B$4, $A3, Ledger!$C$2:$C$4, CPG$2)),"****")</f>
        <v/>
      </c>
      <c r="CPH3" t="str">
        <f>IFERROR(IF($C3="","",SUMIFS(Ledger!$K$2:$K$4, Ledger!$B$2:$B$4, $A3, Ledger!$C$2:$C$4, CPH$2)),"****")</f>
        <v/>
      </c>
      <c r="CPI3" t="str">
        <f>IFERROR(IF($C3="","",SUMIFS(Ledger!$K$2:$K$4, Ledger!$B$2:$B$4, $A3, Ledger!$C$2:$C$4, CPI$2)),"****")</f>
        <v/>
      </c>
      <c r="CPJ3" t="str">
        <f>IFERROR(IF($C3="","",SUMIFS(Ledger!$K$2:$K$4, Ledger!$B$2:$B$4, $A3, Ledger!$C$2:$C$4, CPJ$2)),"****")</f>
        <v/>
      </c>
      <c r="CPK3" t="str">
        <f>IFERROR(IF($C3="","",SUMIFS(Ledger!$K$2:$K$4, Ledger!$B$2:$B$4, $A3, Ledger!$C$2:$C$4, CPK$2)),"****")</f>
        <v/>
      </c>
      <c r="CPL3" t="str">
        <f>IFERROR(IF($C3="","",SUMIFS(Ledger!$K$2:$K$4, Ledger!$B$2:$B$4, $A3, Ledger!$C$2:$C$4, CPL$2)),"****")</f>
        <v/>
      </c>
      <c r="CPM3" t="str">
        <f>IFERROR(IF($C3="","",SUMIFS(Ledger!$K$2:$K$4, Ledger!$B$2:$B$4, $A3, Ledger!$C$2:$C$4, CPM$2)),"****")</f>
        <v/>
      </c>
      <c r="CPN3" t="str">
        <f>IFERROR(IF($C3="","",SUMIFS(Ledger!$K$2:$K$4, Ledger!$B$2:$B$4, $A3, Ledger!$C$2:$C$4, CPN$2)),"****")</f>
        <v/>
      </c>
      <c r="CPO3" t="str">
        <f>IFERROR(IF($C3="","",SUMIFS(Ledger!$K$2:$K$4, Ledger!$B$2:$B$4, $A3, Ledger!$C$2:$C$4, CPO$2)),"****")</f>
        <v/>
      </c>
      <c r="CPP3" t="str">
        <f>IFERROR(IF($C3="","",SUMIFS(Ledger!$K$2:$K$4, Ledger!$B$2:$B$4, $A3, Ledger!$C$2:$C$4, CPP$2)),"****")</f>
        <v/>
      </c>
      <c r="CPQ3" t="str">
        <f>IFERROR(IF($C3="","",SUMIFS(Ledger!$K$2:$K$4, Ledger!$B$2:$B$4, $A3, Ledger!$C$2:$C$4, CPQ$2)),"****")</f>
        <v/>
      </c>
      <c r="CPR3" t="str">
        <f>IFERROR(IF($C3="","",SUMIFS(Ledger!$K$2:$K$4, Ledger!$B$2:$B$4, $A3, Ledger!$C$2:$C$4, CPR$2)),"****")</f>
        <v/>
      </c>
      <c r="CPS3" t="str">
        <f>IFERROR(IF($C3="","",SUMIFS(Ledger!$K$2:$K$4, Ledger!$B$2:$B$4, $A3, Ledger!$C$2:$C$4, CPS$2)),"****")</f>
        <v/>
      </c>
      <c r="CPT3" t="str">
        <f>IFERROR(IF($C3="","",SUMIFS(Ledger!$K$2:$K$4, Ledger!$B$2:$B$4, $A3, Ledger!$C$2:$C$4, CPT$2)),"****")</f>
        <v/>
      </c>
      <c r="CPU3" t="str">
        <f>IFERROR(IF($C3="","",SUMIFS(Ledger!$K$2:$K$4, Ledger!$B$2:$B$4, $A3, Ledger!$C$2:$C$4, CPU$2)),"****")</f>
        <v/>
      </c>
      <c r="CPV3" t="str">
        <f>IFERROR(IF($C3="","",SUMIFS(Ledger!$K$2:$K$4, Ledger!$B$2:$B$4, $A3, Ledger!$C$2:$C$4, CPV$2)),"****")</f>
        <v/>
      </c>
      <c r="CPW3" t="str">
        <f>IFERROR(IF($C3="","",SUMIFS(Ledger!$K$2:$K$4, Ledger!$B$2:$B$4, $A3, Ledger!$C$2:$C$4, CPW$2)),"****")</f>
        <v/>
      </c>
      <c r="CPX3" t="str">
        <f>IFERROR(IF($C3="","",SUMIFS(Ledger!$K$2:$K$4, Ledger!$B$2:$B$4, $A3, Ledger!$C$2:$C$4, CPX$2)),"****")</f>
        <v/>
      </c>
      <c r="CPY3" t="str">
        <f>IFERROR(IF($C3="","",SUMIFS(Ledger!$K$2:$K$4, Ledger!$B$2:$B$4, $A3, Ledger!$C$2:$C$4, CPY$2)),"****")</f>
        <v/>
      </c>
      <c r="CPZ3" t="str">
        <f>IFERROR(IF($C3="","",SUMIFS(Ledger!$K$2:$K$4, Ledger!$B$2:$B$4, $A3, Ledger!$C$2:$C$4, CPZ$2)),"****")</f>
        <v/>
      </c>
      <c r="CQA3" t="str">
        <f>IFERROR(IF($C3="","",SUMIFS(Ledger!$K$2:$K$4, Ledger!$B$2:$B$4, $A3, Ledger!$C$2:$C$4, CQA$2)),"****")</f>
        <v/>
      </c>
      <c r="CQB3" t="str">
        <f>IFERROR(IF($C3="","",SUMIFS(Ledger!$K$2:$K$4, Ledger!$B$2:$B$4, $A3, Ledger!$C$2:$C$4, CQB$2)),"****")</f>
        <v/>
      </c>
      <c r="CQC3" t="str">
        <f>IFERROR(IF($C3="","",SUMIFS(Ledger!$K$2:$K$4, Ledger!$B$2:$B$4, $A3, Ledger!$C$2:$C$4, CQC$2)),"****")</f>
        <v/>
      </c>
      <c r="CQD3" t="str">
        <f>IFERROR(IF($C3="","",SUMIFS(Ledger!$K$2:$K$4, Ledger!$B$2:$B$4, $A3, Ledger!$C$2:$C$4, CQD$2)),"****")</f>
        <v/>
      </c>
      <c r="CQE3" t="str">
        <f>IFERROR(IF($C3="","",SUMIFS(Ledger!$K$2:$K$4, Ledger!$B$2:$B$4, $A3, Ledger!$C$2:$C$4, CQE$2)),"****")</f>
        <v/>
      </c>
      <c r="CQF3" t="str">
        <f>IFERROR(IF($C3="","",SUMIFS(Ledger!$K$2:$K$4, Ledger!$B$2:$B$4, $A3, Ledger!$C$2:$C$4, CQF$2)),"****")</f>
        <v/>
      </c>
      <c r="CQG3" t="str">
        <f>IFERROR(IF($C3="","",SUMIFS(Ledger!$K$2:$K$4, Ledger!$B$2:$B$4, $A3, Ledger!$C$2:$C$4, CQG$2)),"****")</f>
        <v/>
      </c>
      <c r="CQH3" t="str">
        <f>IFERROR(IF($C3="","",SUMIFS(Ledger!$K$2:$K$4, Ledger!$B$2:$B$4, $A3, Ledger!$C$2:$C$4, CQH$2)),"****")</f>
        <v/>
      </c>
      <c r="CQI3" t="str">
        <f>IFERROR(IF($C3="","",SUMIFS(Ledger!$K$2:$K$4, Ledger!$B$2:$B$4, $A3, Ledger!$C$2:$C$4, CQI$2)),"****")</f>
        <v/>
      </c>
      <c r="CQJ3" t="str">
        <f>IFERROR(IF($C3="","",SUMIFS(Ledger!$K$2:$K$4, Ledger!$B$2:$B$4, $A3, Ledger!$C$2:$C$4, CQJ$2)),"****")</f>
        <v/>
      </c>
      <c r="CQK3" t="str">
        <f>IFERROR(IF($C3="","",SUMIFS(Ledger!$K$2:$K$4, Ledger!$B$2:$B$4, $A3, Ledger!$C$2:$C$4, CQK$2)),"****")</f>
        <v/>
      </c>
      <c r="CQL3" t="str">
        <f>IFERROR(IF($C3="","",SUMIFS(Ledger!$K$2:$K$4, Ledger!$B$2:$B$4, $A3, Ledger!$C$2:$C$4, CQL$2)),"****")</f>
        <v/>
      </c>
      <c r="CQM3" t="str">
        <f>IFERROR(IF($C3="","",SUMIFS(Ledger!$K$2:$K$4, Ledger!$B$2:$B$4, $A3, Ledger!$C$2:$C$4, CQM$2)),"****")</f>
        <v/>
      </c>
      <c r="CQN3" t="str">
        <f>IFERROR(IF($C3="","",SUMIFS(Ledger!$K$2:$K$4, Ledger!$B$2:$B$4, $A3, Ledger!$C$2:$C$4, CQN$2)),"****")</f>
        <v/>
      </c>
      <c r="CQO3" t="str">
        <f>IFERROR(IF($C3="","",SUMIFS(Ledger!$K$2:$K$4, Ledger!$B$2:$B$4, $A3, Ledger!$C$2:$C$4, CQO$2)),"****")</f>
        <v/>
      </c>
      <c r="CQP3" t="str">
        <f>IFERROR(IF($C3="","",SUMIFS(Ledger!$K$2:$K$4, Ledger!$B$2:$B$4, $A3, Ledger!$C$2:$C$4, CQP$2)),"****")</f>
        <v/>
      </c>
      <c r="CQQ3" t="str">
        <f>IFERROR(IF($C3="","",SUMIFS(Ledger!$K$2:$K$4, Ledger!$B$2:$B$4, $A3, Ledger!$C$2:$C$4, CQQ$2)),"****")</f>
        <v/>
      </c>
      <c r="CQR3" t="str">
        <f>IFERROR(IF($C3="","",SUMIFS(Ledger!$K$2:$K$4, Ledger!$B$2:$B$4, $A3, Ledger!$C$2:$C$4, CQR$2)),"****")</f>
        <v/>
      </c>
      <c r="CQS3" t="str">
        <f>IFERROR(IF($C3="","",SUMIFS(Ledger!$K$2:$K$4, Ledger!$B$2:$B$4, $A3, Ledger!$C$2:$C$4, CQS$2)),"****")</f>
        <v/>
      </c>
      <c r="CQT3" t="str">
        <f>IFERROR(IF($C3="","",SUMIFS(Ledger!$K$2:$K$4, Ledger!$B$2:$B$4, $A3, Ledger!$C$2:$C$4, CQT$2)),"****")</f>
        <v/>
      </c>
      <c r="CQU3" t="str">
        <f>IFERROR(IF($C3="","",SUMIFS(Ledger!$K$2:$K$4, Ledger!$B$2:$B$4, $A3, Ledger!$C$2:$C$4, CQU$2)),"****")</f>
        <v/>
      </c>
      <c r="CQV3" t="str">
        <f>IFERROR(IF($C3="","",SUMIFS(Ledger!$K$2:$K$4, Ledger!$B$2:$B$4, $A3, Ledger!$C$2:$C$4, CQV$2)),"****")</f>
        <v/>
      </c>
      <c r="CQW3" t="str">
        <f>IFERROR(IF($C3="","",SUMIFS(Ledger!$K$2:$K$4, Ledger!$B$2:$B$4, $A3, Ledger!$C$2:$C$4, CQW$2)),"****")</f>
        <v/>
      </c>
      <c r="CQX3" t="str">
        <f>IFERROR(IF($C3="","",SUMIFS(Ledger!$K$2:$K$4, Ledger!$B$2:$B$4, $A3, Ledger!$C$2:$C$4, CQX$2)),"****")</f>
        <v/>
      </c>
      <c r="CQY3" t="str">
        <f>IFERROR(IF($C3="","",SUMIFS(Ledger!$K$2:$K$4, Ledger!$B$2:$B$4, $A3, Ledger!$C$2:$C$4, CQY$2)),"****")</f>
        <v/>
      </c>
      <c r="CQZ3" t="str">
        <f>IFERROR(IF($C3="","",SUMIFS(Ledger!$K$2:$K$4, Ledger!$B$2:$B$4, $A3, Ledger!$C$2:$C$4, CQZ$2)),"****")</f>
        <v/>
      </c>
      <c r="CRA3" t="str">
        <f>IFERROR(IF($C3="","",SUMIFS(Ledger!$K$2:$K$4, Ledger!$B$2:$B$4, $A3, Ledger!$C$2:$C$4, CRA$2)),"****")</f>
        <v/>
      </c>
      <c r="CRB3" t="str">
        <f>IFERROR(IF($C3="","",SUMIFS(Ledger!$K$2:$K$4, Ledger!$B$2:$B$4, $A3, Ledger!$C$2:$C$4, CRB$2)),"****")</f>
        <v/>
      </c>
      <c r="CRC3" t="str">
        <f>IFERROR(IF($C3="","",SUMIFS(Ledger!$K$2:$K$4, Ledger!$B$2:$B$4, $A3, Ledger!$C$2:$C$4, CRC$2)),"****")</f>
        <v/>
      </c>
      <c r="CRD3" t="str">
        <f>IFERROR(IF($C3="","",SUMIFS(Ledger!$K$2:$K$4, Ledger!$B$2:$B$4, $A3, Ledger!$C$2:$C$4, CRD$2)),"****")</f>
        <v/>
      </c>
      <c r="CRE3" t="str">
        <f>IFERROR(IF($C3="","",SUMIFS(Ledger!$K$2:$K$4, Ledger!$B$2:$B$4, $A3, Ledger!$C$2:$C$4, CRE$2)),"****")</f>
        <v/>
      </c>
      <c r="CRF3" t="str">
        <f>IFERROR(IF($C3="","",SUMIFS(Ledger!$K$2:$K$4, Ledger!$B$2:$B$4, $A3, Ledger!$C$2:$C$4, CRF$2)),"****")</f>
        <v/>
      </c>
      <c r="CRG3" t="str">
        <f>IFERROR(IF($C3="","",SUMIFS(Ledger!$K$2:$K$4, Ledger!$B$2:$B$4, $A3, Ledger!$C$2:$C$4, CRG$2)),"****")</f>
        <v/>
      </c>
      <c r="CRH3" t="str">
        <f>IFERROR(IF($C3="","",SUMIFS(Ledger!$K$2:$K$4, Ledger!$B$2:$B$4, $A3, Ledger!$C$2:$C$4, CRH$2)),"****")</f>
        <v/>
      </c>
      <c r="CRI3" t="str">
        <f>IFERROR(IF($C3="","",SUMIFS(Ledger!$K$2:$K$4, Ledger!$B$2:$B$4, $A3, Ledger!$C$2:$C$4, CRI$2)),"****")</f>
        <v/>
      </c>
      <c r="CRJ3" t="str">
        <f>IFERROR(IF($C3="","",SUMIFS(Ledger!$K$2:$K$4, Ledger!$B$2:$B$4, $A3, Ledger!$C$2:$C$4, CRJ$2)),"****")</f>
        <v/>
      </c>
      <c r="CRK3" t="str">
        <f>IFERROR(IF($C3="","",SUMIFS(Ledger!$K$2:$K$4, Ledger!$B$2:$B$4, $A3, Ledger!$C$2:$C$4, CRK$2)),"****")</f>
        <v/>
      </c>
      <c r="CRL3" t="str">
        <f>IFERROR(IF($C3="","",SUMIFS(Ledger!$K$2:$K$4, Ledger!$B$2:$B$4, $A3, Ledger!$C$2:$C$4, CRL$2)),"****")</f>
        <v/>
      </c>
      <c r="CRM3" t="str">
        <f>IFERROR(IF($C3="","",SUMIFS(Ledger!$K$2:$K$4, Ledger!$B$2:$B$4, $A3, Ledger!$C$2:$C$4, CRM$2)),"****")</f>
        <v/>
      </c>
      <c r="CRN3" t="str">
        <f>IFERROR(IF($C3="","",SUMIFS(Ledger!$K$2:$K$4, Ledger!$B$2:$B$4, $A3, Ledger!$C$2:$C$4, CRN$2)),"****")</f>
        <v/>
      </c>
      <c r="CRO3" t="str">
        <f>IFERROR(IF($C3="","",SUMIFS(Ledger!$K$2:$K$4, Ledger!$B$2:$B$4, $A3, Ledger!$C$2:$C$4, CRO$2)),"****")</f>
        <v/>
      </c>
      <c r="CRP3" t="str">
        <f>IFERROR(IF($C3="","",SUMIFS(Ledger!$K$2:$K$4, Ledger!$B$2:$B$4, $A3, Ledger!$C$2:$C$4, CRP$2)),"****")</f>
        <v/>
      </c>
      <c r="CRQ3" t="str">
        <f>IFERROR(IF($C3="","",SUMIFS(Ledger!$K$2:$K$4, Ledger!$B$2:$B$4, $A3, Ledger!$C$2:$C$4, CRQ$2)),"****")</f>
        <v/>
      </c>
      <c r="CRR3" t="str">
        <f>IFERROR(IF($C3="","",SUMIFS(Ledger!$K$2:$K$4, Ledger!$B$2:$B$4, $A3, Ledger!$C$2:$C$4, CRR$2)),"****")</f>
        <v/>
      </c>
      <c r="CRS3" t="str">
        <f>IFERROR(IF($C3="","",SUMIFS(Ledger!$K$2:$K$4, Ledger!$B$2:$B$4, $A3, Ledger!$C$2:$C$4, CRS$2)),"****")</f>
        <v/>
      </c>
      <c r="CRT3" t="str">
        <f>IFERROR(IF($C3="","",SUMIFS(Ledger!$K$2:$K$4, Ledger!$B$2:$B$4, $A3, Ledger!$C$2:$C$4, CRT$2)),"****")</f>
        <v/>
      </c>
      <c r="CRU3" t="str">
        <f>IFERROR(IF($C3="","",SUMIFS(Ledger!$K$2:$K$4, Ledger!$B$2:$B$4, $A3, Ledger!$C$2:$C$4, CRU$2)),"****")</f>
        <v/>
      </c>
      <c r="CRV3" t="str">
        <f>IFERROR(IF($C3="","",SUMIFS(Ledger!$K$2:$K$4, Ledger!$B$2:$B$4, $A3, Ledger!$C$2:$C$4, CRV$2)),"****")</f>
        <v/>
      </c>
      <c r="CRW3" t="str">
        <f>IFERROR(IF($C3="","",SUMIFS(Ledger!$K$2:$K$4, Ledger!$B$2:$B$4, $A3, Ledger!$C$2:$C$4, CRW$2)),"****")</f>
        <v/>
      </c>
      <c r="CRX3" t="str">
        <f>IFERROR(IF($C3="","",SUMIFS(Ledger!$K$2:$K$4, Ledger!$B$2:$B$4, $A3, Ledger!$C$2:$C$4, CRX$2)),"****")</f>
        <v/>
      </c>
      <c r="CRY3" t="str">
        <f>IFERROR(IF($C3="","",SUMIFS(Ledger!$K$2:$K$4, Ledger!$B$2:$B$4, $A3, Ledger!$C$2:$C$4, CRY$2)),"****")</f>
        <v/>
      </c>
      <c r="CRZ3" t="str">
        <f>IFERROR(IF($C3="","",SUMIFS(Ledger!$K$2:$K$4, Ledger!$B$2:$B$4, $A3, Ledger!$C$2:$C$4, CRZ$2)),"****")</f>
        <v/>
      </c>
      <c r="CSA3" t="str">
        <f>IFERROR(IF($C3="","",SUMIFS(Ledger!$K$2:$K$4, Ledger!$B$2:$B$4, $A3, Ledger!$C$2:$C$4, CSA$2)),"****")</f>
        <v/>
      </c>
      <c r="CSB3" t="str">
        <f>IFERROR(IF($C3="","",SUMIFS(Ledger!$K$2:$K$4, Ledger!$B$2:$B$4, $A3, Ledger!$C$2:$C$4, CSB$2)),"****")</f>
        <v/>
      </c>
      <c r="CSC3" t="str">
        <f>IFERROR(IF($C3="","",SUMIFS(Ledger!$K$2:$K$4, Ledger!$B$2:$B$4, $A3, Ledger!$C$2:$C$4, CSC$2)),"****")</f>
        <v/>
      </c>
      <c r="CSD3" t="str">
        <f>IFERROR(IF($C3="","",SUMIFS(Ledger!$K$2:$K$4, Ledger!$B$2:$B$4, $A3, Ledger!$C$2:$C$4, CSD$2)),"****")</f>
        <v/>
      </c>
      <c r="CSE3" t="str">
        <f>IFERROR(IF($C3="","",SUMIFS(Ledger!$K$2:$K$4, Ledger!$B$2:$B$4, $A3, Ledger!$C$2:$C$4, CSE$2)),"****")</f>
        <v/>
      </c>
      <c r="CSF3" t="str">
        <f>IFERROR(IF($C3="","",SUMIFS(Ledger!$K$2:$K$4, Ledger!$B$2:$B$4, $A3, Ledger!$C$2:$C$4, CSF$2)),"****")</f>
        <v/>
      </c>
      <c r="CSG3" t="str">
        <f>IFERROR(IF($C3="","",SUMIFS(Ledger!$K$2:$K$4, Ledger!$B$2:$B$4, $A3, Ledger!$C$2:$C$4, CSG$2)),"****")</f>
        <v/>
      </c>
      <c r="CSH3" t="str">
        <f>IFERROR(IF($C3="","",SUMIFS(Ledger!$K$2:$K$4, Ledger!$B$2:$B$4, $A3, Ledger!$C$2:$C$4, CSH$2)),"****")</f>
        <v/>
      </c>
      <c r="CSI3" t="str">
        <f>IFERROR(IF($C3="","",SUMIFS(Ledger!$K$2:$K$4, Ledger!$B$2:$B$4, $A3, Ledger!$C$2:$C$4, CSI$2)),"****")</f>
        <v/>
      </c>
      <c r="CSJ3" t="str">
        <f>IFERROR(IF($C3="","",SUMIFS(Ledger!$K$2:$K$4, Ledger!$B$2:$B$4, $A3, Ledger!$C$2:$C$4, CSJ$2)),"****")</f>
        <v/>
      </c>
      <c r="CSK3" t="str">
        <f>IFERROR(IF($C3="","",SUMIFS(Ledger!$K$2:$K$4, Ledger!$B$2:$B$4, $A3, Ledger!$C$2:$C$4, CSK$2)),"****")</f>
        <v/>
      </c>
      <c r="CSL3" t="str">
        <f>IFERROR(IF($C3="","",SUMIFS(Ledger!$K$2:$K$4, Ledger!$B$2:$B$4, $A3, Ledger!$C$2:$C$4, CSL$2)),"****")</f>
        <v/>
      </c>
      <c r="CSM3" t="str">
        <f>IFERROR(IF($C3="","",SUMIFS(Ledger!$K$2:$K$4, Ledger!$B$2:$B$4, $A3, Ledger!$C$2:$C$4, CSM$2)),"****")</f>
        <v/>
      </c>
      <c r="CSN3" t="str">
        <f>IFERROR(IF($C3="","",SUMIFS(Ledger!$K$2:$K$4, Ledger!$B$2:$B$4, $A3, Ledger!$C$2:$C$4, CSN$2)),"****")</f>
        <v/>
      </c>
      <c r="CSO3" t="str">
        <f>IFERROR(IF($C3="","",SUMIFS(Ledger!$K$2:$K$4, Ledger!$B$2:$B$4, $A3, Ledger!$C$2:$C$4, CSO$2)),"****")</f>
        <v/>
      </c>
      <c r="CSP3" t="str">
        <f>IFERROR(IF($C3="","",SUMIFS(Ledger!$K$2:$K$4, Ledger!$B$2:$B$4, $A3, Ledger!$C$2:$C$4, CSP$2)),"****")</f>
        <v/>
      </c>
      <c r="CSQ3" t="str">
        <f>IFERROR(IF($C3="","",SUMIFS(Ledger!$K$2:$K$4, Ledger!$B$2:$B$4, $A3, Ledger!$C$2:$C$4, CSQ$2)),"****")</f>
        <v/>
      </c>
      <c r="CSR3" t="str">
        <f>IFERROR(IF($C3="","",SUMIFS(Ledger!$K$2:$K$4, Ledger!$B$2:$B$4, $A3, Ledger!$C$2:$C$4, CSR$2)),"****")</f>
        <v/>
      </c>
      <c r="CSS3" t="str">
        <f>IFERROR(IF($C3="","",SUMIFS(Ledger!$K$2:$K$4, Ledger!$B$2:$B$4, $A3, Ledger!$C$2:$C$4, CSS$2)),"****")</f>
        <v/>
      </c>
      <c r="CST3" t="str">
        <f>IFERROR(IF($C3="","",SUMIFS(Ledger!$K$2:$K$4, Ledger!$B$2:$B$4, $A3, Ledger!$C$2:$C$4, CST$2)),"****")</f>
        <v/>
      </c>
      <c r="CSU3" t="str">
        <f>IFERROR(IF($C3="","",SUMIFS(Ledger!$K$2:$K$4, Ledger!$B$2:$B$4, $A3, Ledger!$C$2:$C$4, CSU$2)),"****")</f>
        <v/>
      </c>
      <c r="CSV3" t="str">
        <f>IFERROR(IF($C3="","",SUMIFS(Ledger!$K$2:$K$4, Ledger!$B$2:$B$4, $A3, Ledger!$C$2:$C$4, CSV$2)),"****")</f>
        <v/>
      </c>
      <c r="CSW3" t="str">
        <f>IFERROR(IF($C3="","",SUMIFS(Ledger!$K$2:$K$4, Ledger!$B$2:$B$4, $A3, Ledger!$C$2:$C$4, CSW$2)),"****")</f>
        <v/>
      </c>
      <c r="CSX3" t="str">
        <f>IFERROR(IF($C3="","",SUMIFS(Ledger!$K$2:$K$4, Ledger!$B$2:$B$4, $A3, Ledger!$C$2:$C$4, CSX$2)),"****")</f>
        <v/>
      </c>
      <c r="CSY3" t="str">
        <f>IFERROR(IF($C3="","",SUMIFS(Ledger!$K$2:$K$4, Ledger!$B$2:$B$4, $A3, Ledger!$C$2:$C$4, CSY$2)),"****")</f>
        <v/>
      </c>
      <c r="CSZ3" t="str">
        <f>IFERROR(IF($C3="","",SUMIFS(Ledger!$K$2:$K$4, Ledger!$B$2:$B$4, $A3, Ledger!$C$2:$C$4, CSZ$2)),"****")</f>
        <v/>
      </c>
      <c r="CTA3" t="str">
        <f>IFERROR(IF($C3="","",SUMIFS(Ledger!$K$2:$K$4, Ledger!$B$2:$B$4, $A3, Ledger!$C$2:$C$4, CTA$2)),"****")</f>
        <v/>
      </c>
      <c r="CTB3" t="str">
        <f>IFERROR(IF($C3="","",SUMIFS(Ledger!$K$2:$K$4, Ledger!$B$2:$B$4, $A3, Ledger!$C$2:$C$4, CTB$2)),"****")</f>
        <v/>
      </c>
      <c r="CTC3" t="str">
        <f>IFERROR(IF($C3="","",SUMIFS(Ledger!$K$2:$K$4, Ledger!$B$2:$B$4, $A3, Ledger!$C$2:$C$4, CTC$2)),"****")</f>
        <v/>
      </c>
      <c r="CTD3" t="str">
        <f>IFERROR(IF($C3="","",SUMIFS(Ledger!$K$2:$K$4, Ledger!$B$2:$B$4, $A3, Ledger!$C$2:$C$4, CTD$2)),"****")</f>
        <v/>
      </c>
      <c r="CTE3" t="str">
        <f>IFERROR(IF($C3="","",SUMIFS(Ledger!$K$2:$K$4, Ledger!$B$2:$B$4, $A3, Ledger!$C$2:$C$4, CTE$2)),"****")</f>
        <v/>
      </c>
      <c r="CTF3" t="str">
        <f>IFERROR(IF($C3="","",SUMIFS(Ledger!$K$2:$K$4, Ledger!$B$2:$B$4, $A3, Ledger!$C$2:$C$4, CTF$2)),"****")</f>
        <v/>
      </c>
      <c r="CTG3" t="str">
        <f>IFERROR(IF($C3="","",SUMIFS(Ledger!$K$2:$K$4, Ledger!$B$2:$B$4, $A3, Ledger!$C$2:$C$4, CTG$2)),"****")</f>
        <v/>
      </c>
      <c r="CTH3" t="str">
        <f>IFERROR(IF($C3="","",SUMIFS(Ledger!$K$2:$K$4, Ledger!$B$2:$B$4, $A3, Ledger!$C$2:$C$4, CTH$2)),"****")</f>
        <v/>
      </c>
      <c r="CTI3" t="str">
        <f>IFERROR(IF($C3="","",SUMIFS(Ledger!$K$2:$K$4, Ledger!$B$2:$B$4, $A3, Ledger!$C$2:$C$4, CTI$2)),"****")</f>
        <v/>
      </c>
      <c r="CTJ3" t="str">
        <f>IFERROR(IF($C3="","",SUMIFS(Ledger!$K$2:$K$4, Ledger!$B$2:$B$4, $A3, Ledger!$C$2:$C$4, CTJ$2)),"****")</f>
        <v/>
      </c>
      <c r="CTK3" t="str">
        <f>IFERROR(IF($C3="","",SUMIFS(Ledger!$K$2:$K$4, Ledger!$B$2:$B$4, $A3, Ledger!$C$2:$C$4, CTK$2)),"****")</f>
        <v/>
      </c>
      <c r="CTL3" t="str">
        <f>IFERROR(IF($C3="","",SUMIFS(Ledger!$K$2:$K$4, Ledger!$B$2:$B$4, $A3, Ledger!$C$2:$C$4, CTL$2)),"****")</f>
        <v/>
      </c>
      <c r="CTM3" t="str">
        <f>IFERROR(IF($C3="","",SUMIFS(Ledger!$K$2:$K$4, Ledger!$B$2:$B$4, $A3, Ledger!$C$2:$C$4, CTM$2)),"****")</f>
        <v/>
      </c>
      <c r="CTN3" t="str">
        <f>IFERROR(IF($C3="","",SUMIFS(Ledger!$K$2:$K$4, Ledger!$B$2:$B$4, $A3, Ledger!$C$2:$C$4, CTN$2)),"****")</f>
        <v/>
      </c>
      <c r="CTO3" t="str">
        <f>IFERROR(IF($C3="","",SUMIFS(Ledger!$K$2:$K$4, Ledger!$B$2:$B$4, $A3, Ledger!$C$2:$C$4, CTO$2)),"****")</f>
        <v/>
      </c>
      <c r="CTP3" t="str">
        <f>IFERROR(IF($C3="","",SUMIFS(Ledger!$K$2:$K$4, Ledger!$B$2:$B$4, $A3, Ledger!$C$2:$C$4, CTP$2)),"****")</f>
        <v/>
      </c>
      <c r="CTQ3" t="str">
        <f>IFERROR(IF($C3="","",SUMIFS(Ledger!$K$2:$K$4, Ledger!$B$2:$B$4, $A3, Ledger!$C$2:$C$4, CTQ$2)),"****")</f>
        <v/>
      </c>
      <c r="CTR3" t="str">
        <f>IFERROR(IF($C3="","",SUMIFS(Ledger!$K$2:$K$4, Ledger!$B$2:$B$4, $A3, Ledger!$C$2:$C$4, CTR$2)),"****")</f>
        <v/>
      </c>
      <c r="CTS3" t="str">
        <f>IFERROR(IF($C3="","",SUMIFS(Ledger!$K$2:$K$4, Ledger!$B$2:$B$4, $A3, Ledger!$C$2:$C$4, CTS$2)),"****")</f>
        <v/>
      </c>
      <c r="CTT3" t="str">
        <f>IFERROR(IF($C3="","",SUMIFS(Ledger!$K$2:$K$4, Ledger!$B$2:$B$4, $A3, Ledger!$C$2:$C$4, CTT$2)),"****")</f>
        <v/>
      </c>
      <c r="CTU3" t="str">
        <f>IFERROR(IF($C3="","",SUMIFS(Ledger!$K$2:$K$4, Ledger!$B$2:$B$4, $A3, Ledger!$C$2:$C$4, CTU$2)),"****")</f>
        <v/>
      </c>
      <c r="CTV3" t="str">
        <f>IFERROR(IF($C3="","",SUMIFS(Ledger!$K$2:$K$4, Ledger!$B$2:$B$4, $A3, Ledger!$C$2:$C$4, CTV$2)),"****")</f>
        <v/>
      </c>
      <c r="CTW3" t="str">
        <f>IFERROR(IF($C3="","",SUMIFS(Ledger!$K$2:$K$4, Ledger!$B$2:$B$4, $A3, Ledger!$C$2:$C$4, CTW$2)),"****")</f>
        <v/>
      </c>
      <c r="CTX3" t="str">
        <f>IFERROR(IF($C3="","",SUMIFS(Ledger!$K$2:$K$4, Ledger!$B$2:$B$4, $A3, Ledger!$C$2:$C$4, CTX$2)),"****")</f>
        <v/>
      </c>
      <c r="CTY3" t="str">
        <f>IFERROR(IF($C3="","",SUMIFS(Ledger!$K$2:$K$4, Ledger!$B$2:$B$4, $A3, Ledger!$C$2:$C$4, CTY$2)),"****")</f>
        <v/>
      </c>
      <c r="CTZ3" t="str">
        <f>IFERROR(IF($C3="","",SUMIFS(Ledger!$K$2:$K$4, Ledger!$B$2:$B$4, $A3, Ledger!$C$2:$C$4, CTZ$2)),"****")</f>
        <v/>
      </c>
      <c r="CUA3" t="str">
        <f>IFERROR(IF($C3="","",SUMIFS(Ledger!$K$2:$K$4, Ledger!$B$2:$B$4, $A3, Ledger!$C$2:$C$4, CUA$2)),"****")</f>
        <v/>
      </c>
      <c r="CUB3" t="str">
        <f>IFERROR(IF($C3="","",SUMIFS(Ledger!$K$2:$K$4, Ledger!$B$2:$B$4, $A3, Ledger!$C$2:$C$4, CUB$2)),"****")</f>
        <v/>
      </c>
      <c r="CUC3" t="str">
        <f>IFERROR(IF($C3="","",SUMIFS(Ledger!$K$2:$K$4, Ledger!$B$2:$B$4, $A3, Ledger!$C$2:$C$4, CUC$2)),"****")</f>
        <v/>
      </c>
      <c r="CUD3" t="str">
        <f>IFERROR(IF($C3="","",SUMIFS(Ledger!$K$2:$K$4, Ledger!$B$2:$B$4, $A3, Ledger!$C$2:$C$4, CUD$2)),"****")</f>
        <v/>
      </c>
      <c r="CUE3" t="str">
        <f>IFERROR(IF($C3="","",SUMIFS(Ledger!$K$2:$K$4, Ledger!$B$2:$B$4, $A3, Ledger!$C$2:$C$4, CUE$2)),"****")</f>
        <v/>
      </c>
      <c r="CUF3" t="str">
        <f>IFERROR(IF($C3="","",SUMIFS(Ledger!$K$2:$K$4, Ledger!$B$2:$B$4, $A3, Ledger!$C$2:$C$4, CUF$2)),"****")</f>
        <v/>
      </c>
      <c r="CUG3" t="str">
        <f>IFERROR(IF($C3="","",SUMIFS(Ledger!$K$2:$K$4, Ledger!$B$2:$B$4, $A3, Ledger!$C$2:$C$4, CUG$2)),"****")</f>
        <v/>
      </c>
      <c r="CUH3" t="str">
        <f>IFERROR(IF($C3="","",SUMIFS(Ledger!$K$2:$K$4, Ledger!$B$2:$B$4, $A3, Ledger!$C$2:$C$4, CUH$2)),"****")</f>
        <v/>
      </c>
      <c r="CUI3" t="str">
        <f>IFERROR(IF($C3="","",SUMIFS(Ledger!$K$2:$K$4, Ledger!$B$2:$B$4, $A3, Ledger!$C$2:$C$4, CUI$2)),"****")</f>
        <v/>
      </c>
      <c r="CUJ3" t="str">
        <f>IFERROR(IF($C3="","",SUMIFS(Ledger!$K$2:$K$4, Ledger!$B$2:$B$4, $A3, Ledger!$C$2:$C$4, CUJ$2)),"****")</f>
        <v/>
      </c>
      <c r="CUK3" t="str">
        <f>IFERROR(IF($C3="","",SUMIFS(Ledger!$K$2:$K$4, Ledger!$B$2:$B$4, $A3, Ledger!$C$2:$C$4, CUK$2)),"****")</f>
        <v/>
      </c>
      <c r="CUL3" t="str">
        <f>IFERROR(IF($C3="","",SUMIFS(Ledger!$K$2:$K$4, Ledger!$B$2:$B$4, $A3, Ledger!$C$2:$C$4, CUL$2)),"****")</f>
        <v/>
      </c>
      <c r="CUM3" t="str">
        <f>IFERROR(IF($C3="","",SUMIFS(Ledger!$K$2:$K$4, Ledger!$B$2:$B$4, $A3, Ledger!$C$2:$C$4, CUM$2)),"****")</f>
        <v/>
      </c>
      <c r="CUN3" t="str">
        <f>IFERROR(IF($C3="","",SUMIFS(Ledger!$K$2:$K$4, Ledger!$B$2:$B$4, $A3, Ledger!$C$2:$C$4, CUN$2)),"****")</f>
        <v/>
      </c>
      <c r="CUO3" t="str">
        <f>IFERROR(IF($C3="","",SUMIFS(Ledger!$K$2:$K$4, Ledger!$B$2:$B$4, $A3, Ledger!$C$2:$C$4, CUO$2)),"****")</f>
        <v/>
      </c>
      <c r="CUP3" t="str">
        <f>IFERROR(IF($C3="","",SUMIFS(Ledger!$K$2:$K$4, Ledger!$B$2:$B$4, $A3, Ledger!$C$2:$C$4, CUP$2)),"****")</f>
        <v/>
      </c>
      <c r="CUQ3" t="str">
        <f>IFERROR(IF($C3="","",SUMIFS(Ledger!$K$2:$K$4, Ledger!$B$2:$B$4, $A3, Ledger!$C$2:$C$4, CUQ$2)),"****")</f>
        <v/>
      </c>
      <c r="CUR3" t="str">
        <f>IFERROR(IF($C3="","",SUMIFS(Ledger!$K$2:$K$4, Ledger!$B$2:$B$4, $A3, Ledger!$C$2:$C$4, CUR$2)),"****")</f>
        <v/>
      </c>
      <c r="CUS3" t="str">
        <f>IFERROR(IF($C3="","",SUMIFS(Ledger!$K$2:$K$4, Ledger!$B$2:$B$4, $A3, Ledger!$C$2:$C$4, CUS$2)),"****")</f>
        <v/>
      </c>
      <c r="CUT3" t="str">
        <f>IFERROR(IF($C3="","",SUMIFS(Ledger!$K$2:$K$4, Ledger!$B$2:$B$4, $A3, Ledger!$C$2:$C$4, CUT$2)),"****")</f>
        <v/>
      </c>
      <c r="CUU3" t="str">
        <f>IFERROR(IF($C3="","",SUMIFS(Ledger!$K$2:$K$4, Ledger!$B$2:$B$4, $A3, Ledger!$C$2:$C$4, CUU$2)),"****")</f>
        <v/>
      </c>
      <c r="CUV3" t="str">
        <f>IFERROR(IF($C3="","",SUMIFS(Ledger!$K$2:$K$4, Ledger!$B$2:$B$4, $A3, Ledger!$C$2:$C$4, CUV$2)),"****")</f>
        <v/>
      </c>
      <c r="CUW3" t="str">
        <f>IFERROR(IF($C3="","",SUMIFS(Ledger!$K$2:$K$4, Ledger!$B$2:$B$4, $A3, Ledger!$C$2:$C$4, CUW$2)),"****")</f>
        <v/>
      </c>
      <c r="CUX3" t="str">
        <f>IFERROR(IF($C3="","",SUMIFS(Ledger!$K$2:$K$4, Ledger!$B$2:$B$4, $A3, Ledger!$C$2:$C$4, CUX$2)),"****")</f>
        <v/>
      </c>
      <c r="CUY3" t="str">
        <f>IFERROR(IF($C3="","",SUMIFS(Ledger!$K$2:$K$4, Ledger!$B$2:$B$4, $A3, Ledger!$C$2:$C$4, CUY$2)),"****")</f>
        <v/>
      </c>
      <c r="CUZ3" t="str">
        <f>IFERROR(IF($C3="","",SUMIFS(Ledger!$K$2:$K$4, Ledger!$B$2:$B$4, $A3, Ledger!$C$2:$C$4, CUZ$2)),"****")</f>
        <v/>
      </c>
      <c r="CVA3" t="str">
        <f>IFERROR(IF($C3="","",SUMIFS(Ledger!$K$2:$K$4, Ledger!$B$2:$B$4, $A3, Ledger!$C$2:$C$4, CVA$2)),"****")</f>
        <v/>
      </c>
      <c r="CVB3" t="str">
        <f>IFERROR(IF($C3="","",SUMIFS(Ledger!$K$2:$K$4, Ledger!$B$2:$B$4, $A3, Ledger!$C$2:$C$4, CVB$2)),"****")</f>
        <v/>
      </c>
      <c r="CVC3" t="str">
        <f>IFERROR(IF($C3="","",SUMIFS(Ledger!$K$2:$K$4, Ledger!$B$2:$B$4, $A3, Ledger!$C$2:$C$4, CVC$2)),"****")</f>
        <v/>
      </c>
      <c r="CVD3" t="str">
        <f>IFERROR(IF($C3="","",SUMIFS(Ledger!$K$2:$K$4, Ledger!$B$2:$B$4, $A3, Ledger!$C$2:$C$4, CVD$2)),"****")</f>
        <v/>
      </c>
      <c r="CVE3" t="str">
        <f>IFERROR(IF($C3="","",SUMIFS(Ledger!$K$2:$K$4, Ledger!$B$2:$B$4, $A3, Ledger!$C$2:$C$4, CVE$2)),"****")</f>
        <v/>
      </c>
      <c r="CVF3" t="str">
        <f>IFERROR(IF($C3="","",SUMIFS(Ledger!$K$2:$K$4, Ledger!$B$2:$B$4, $A3, Ledger!$C$2:$C$4, CVF$2)),"****")</f>
        <v/>
      </c>
      <c r="CVG3" t="str">
        <f>IFERROR(IF($C3="","",SUMIFS(Ledger!$K$2:$K$4, Ledger!$B$2:$B$4, $A3, Ledger!$C$2:$C$4, CVG$2)),"****")</f>
        <v/>
      </c>
      <c r="CVH3" t="str">
        <f>IFERROR(IF($C3="","",SUMIFS(Ledger!$K$2:$K$4, Ledger!$B$2:$B$4, $A3, Ledger!$C$2:$C$4, CVH$2)),"****")</f>
        <v/>
      </c>
      <c r="CVI3" t="str">
        <f>IFERROR(IF($C3="","",SUMIFS(Ledger!$K$2:$K$4, Ledger!$B$2:$B$4, $A3, Ledger!$C$2:$C$4, CVI$2)),"****")</f>
        <v/>
      </c>
      <c r="CVJ3" t="str">
        <f>IFERROR(IF($C3="","",SUMIFS(Ledger!$K$2:$K$4, Ledger!$B$2:$B$4, $A3, Ledger!$C$2:$C$4, CVJ$2)),"****")</f>
        <v/>
      </c>
      <c r="CVK3" t="str">
        <f>IFERROR(IF($C3="","",SUMIFS(Ledger!$K$2:$K$4, Ledger!$B$2:$B$4, $A3, Ledger!$C$2:$C$4, CVK$2)),"****")</f>
        <v/>
      </c>
      <c r="CVL3" t="str">
        <f>IFERROR(IF($C3="","",SUMIFS(Ledger!$K$2:$K$4, Ledger!$B$2:$B$4, $A3, Ledger!$C$2:$C$4, CVL$2)),"****")</f>
        <v/>
      </c>
      <c r="CVM3" t="str">
        <f>IFERROR(IF($C3="","",SUMIFS(Ledger!$K$2:$K$4, Ledger!$B$2:$B$4, $A3, Ledger!$C$2:$C$4, CVM$2)),"****")</f>
        <v/>
      </c>
      <c r="CVN3" t="str">
        <f>IFERROR(IF($C3="","",SUMIFS(Ledger!$K$2:$K$4, Ledger!$B$2:$B$4, $A3, Ledger!$C$2:$C$4, CVN$2)),"****")</f>
        <v/>
      </c>
      <c r="CVO3" t="str">
        <f>IFERROR(IF($C3="","",SUMIFS(Ledger!$K$2:$K$4, Ledger!$B$2:$B$4, $A3, Ledger!$C$2:$C$4, CVO$2)),"****")</f>
        <v/>
      </c>
      <c r="CVP3" t="str">
        <f>IFERROR(IF($C3="","",SUMIFS(Ledger!$K$2:$K$4, Ledger!$B$2:$B$4, $A3, Ledger!$C$2:$C$4, CVP$2)),"****")</f>
        <v/>
      </c>
      <c r="CVQ3" t="str">
        <f>IFERROR(IF($C3="","",SUMIFS(Ledger!$K$2:$K$4, Ledger!$B$2:$B$4, $A3, Ledger!$C$2:$C$4, CVQ$2)),"****")</f>
        <v/>
      </c>
      <c r="CVR3" t="str">
        <f>IFERROR(IF($C3="","",SUMIFS(Ledger!$K$2:$K$4, Ledger!$B$2:$B$4, $A3, Ledger!$C$2:$C$4, CVR$2)),"****")</f>
        <v/>
      </c>
      <c r="CVS3" t="str">
        <f>IFERROR(IF($C3="","",SUMIFS(Ledger!$K$2:$K$4, Ledger!$B$2:$B$4, $A3, Ledger!$C$2:$C$4, CVS$2)),"****")</f>
        <v/>
      </c>
      <c r="CVT3" t="str">
        <f>IFERROR(IF($C3="","",SUMIFS(Ledger!$K$2:$K$4, Ledger!$B$2:$B$4, $A3, Ledger!$C$2:$C$4, CVT$2)),"****")</f>
        <v/>
      </c>
      <c r="CVU3" t="str">
        <f>IFERROR(IF($C3="","",SUMIFS(Ledger!$K$2:$K$4, Ledger!$B$2:$B$4, $A3, Ledger!$C$2:$C$4, CVU$2)),"****")</f>
        <v/>
      </c>
      <c r="CVV3" t="str">
        <f>IFERROR(IF($C3="","",SUMIFS(Ledger!$K$2:$K$4, Ledger!$B$2:$B$4, $A3, Ledger!$C$2:$C$4, CVV$2)),"****")</f>
        <v/>
      </c>
      <c r="CVW3" t="str">
        <f>IFERROR(IF($C3="","",SUMIFS(Ledger!$K$2:$K$4, Ledger!$B$2:$B$4, $A3, Ledger!$C$2:$C$4, CVW$2)),"****")</f>
        <v/>
      </c>
      <c r="CVX3" t="str">
        <f>IFERROR(IF($C3="","",SUMIFS(Ledger!$K$2:$K$4, Ledger!$B$2:$B$4, $A3, Ledger!$C$2:$C$4, CVX$2)),"****")</f>
        <v/>
      </c>
      <c r="CVY3" t="str">
        <f>IFERROR(IF($C3="","",SUMIFS(Ledger!$K$2:$K$4, Ledger!$B$2:$B$4, $A3, Ledger!$C$2:$C$4, CVY$2)),"****")</f>
        <v/>
      </c>
      <c r="CVZ3" t="str">
        <f>IFERROR(IF($C3="","",SUMIFS(Ledger!$K$2:$K$4, Ledger!$B$2:$B$4, $A3, Ledger!$C$2:$C$4, CVZ$2)),"****")</f>
        <v/>
      </c>
      <c r="CWA3" t="str">
        <f>IFERROR(IF($C3="","",SUMIFS(Ledger!$K$2:$K$4, Ledger!$B$2:$B$4, $A3, Ledger!$C$2:$C$4, CWA$2)),"****")</f>
        <v/>
      </c>
      <c r="CWB3" t="str">
        <f>IFERROR(IF($C3="","",SUMIFS(Ledger!$K$2:$K$4, Ledger!$B$2:$B$4, $A3, Ledger!$C$2:$C$4, CWB$2)),"****")</f>
        <v/>
      </c>
      <c r="CWC3" t="str">
        <f>IFERROR(IF($C3="","",SUMIFS(Ledger!$K$2:$K$4, Ledger!$B$2:$B$4, $A3, Ledger!$C$2:$C$4, CWC$2)),"****")</f>
        <v/>
      </c>
      <c r="CWD3" t="str">
        <f>IFERROR(IF($C3="","",SUMIFS(Ledger!$K$2:$K$4, Ledger!$B$2:$B$4, $A3, Ledger!$C$2:$C$4, CWD$2)),"****")</f>
        <v/>
      </c>
      <c r="CWE3" t="str">
        <f>IFERROR(IF($C3="","",SUMIFS(Ledger!$K$2:$K$4, Ledger!$B$2:$B$4, $A3, Ledger!$C$2:$C$4, CWE$2)),"****")</f>
        <v/>
      </c>
      <c r="CWF3" t="str">
        <f>IFERROR(IF($C3="","",SUMIFS(Ledger!$K$2:$K$4, Ledger!$B$2:$B$4, $A3, Ledger!$C$2:$C$4, CWF$2)),"****")</f>
        <v/>
      </c>
      <c r="CWG3" t="str">
        <f>IFERROR(IF($C3="","",SUMIFS(Ledger!$K$2:$K$4, Ledger!$B$2:$B$4, $A3, Ledger!$C$2:$C$4, CWG$2)),"****")</f>
        <v/>
      </c>
      <c r="CWH3" t="str">
        <f>IFERROR(IF($C3="","",SUMIFS(Ledger!$K$2:$K$4, Ledger!$B$2:$B$4, $A3, Ledger!$C$2:$C$4, CWH$2)),"****")</f>
        <v/>
      </c>
      <c r="CWI3" t="str">
        <f>IFERROR(IF($C3="","",SUMIFS(Ledger!$K$2:$K$4, Ledger!$B$2:$B$4, $A3, Ledger!$C$2:$C$4, CWI$2)),"****")</f>
        <v/>
      </c>
      <c r="CWJ3" t="str">
        <f>IFERROR(IF($C3="","",SUMIFS(Ledger!$K$2:$K$4, Ledger!$B$2:$B$4, $A3, Ledger!$C$2:$C$4, CWJ$2)),"****")</f>
        <v/>
      </c>
      <c r="CWK3" t="str">
        <f>IFERROR(IF($C3="","",SUMIFS(Ledger!$K$2:$K$4, Ledger!$B$2:$B$4, $A3, Ledger!$C$2:$C$4, CWK$2)),"****")</f>
        <v/>
      </c>
      <c r="CWL3" t="str">
        <f>IFERROR(IF($C3="","",SUMIFS(Ledger!$K$2:$K$4, Ledger!$B$2:$B$4, $A3, Ledger!$C$2:$C$4, CWL$2)),"****")</f>
        <v/>
      </c>
      <c r="CWM3" t="str">
        <f>IFERROR(IF($C3="","",SUMIFS(Ledger!$K$2:$K$4, Ledger!$B$2:$B$4, $A3, Ledger!$C$2:$C$4, CWM$2)),"****")</f>
        <v/>
      </c>
      <c r="CWN3" t="str">
        <f>IFERROR(IF($C3="","",SUMIFS(Ledger!$K$2:$K$4, Ledger!$B$2:$B$4, $A3, Ledger!$C$2:$C$4, CWN$2)),"****")</f>
        <v/>
      </c>
      <c r="CWO3" t="str">
        <f>IFERROR(IF($C3="","",SUMIFS(Ledger!$K$2:$K$4, Ledger!$B$2:$B$4, $A3, Ledger!$C$2:$C$4, CWO$2)),"****")</f>
        <v/>
      </c>
      <c r="CWP3" t="str">
        <f>IFERROR(IF($C3="","",SUMIFS(Ledger!$K$2:$K$4, Ledger!$B$2:$B$4, $A3, Ledger!$C$2:$C$4, CWP$2)),"****")</f>
        <v/>
      </c>
      <c r="CWQ3" t="str">
        <f>IFERROR(IF($C3="","",SUMIFS(Ledger!$K$2:$K$4, Ledger!$B$2:$B$4, $A3, Ledger!$C$2:$C$4, CWQ$2)),"****")</f>
        <v/>
      </c>
      <c r="CWR3" t="str">
        <f>IFERROR(IF($C3="","",SUMIFS(Ledger!$K$2:$K$4, Ledger!$B$2:$B$4, $A3, Ledger!$C$2:$C$4, CWR$2)),"****")</f>
        <v/>
      </c>
      <c r="CWS3" t="str">
        <f>IFERROR(IF($C3="","",SUMIFS(Ledger!$K$2:$K$4, Ledger!$B$2:$B$4, $A3, Ledger!$C$2:$C$4, CWS$2)),"****")</f>
        <v/>
      </c>
      <c r="CWT3" t="str">
        <f>IFERROR(IF($C3="","",SUMIFS(Ledger!$K$2:$K$4, Ledger!$B$2:$B$4, $A3, Ledger!$C$2:$C$4, CWT$2)),"****")</f>
        <v/>
      </c>
      <c r="CWU3" t="str">
        <f>IFERROR(IF($C3="","",SUMIFS(Ledger!$K$2:$K$4, Ledger!$B$2:$B$4, $A3, Ledger!$C$2:$C$4, CWU$2)),"****")</f>
        <v/>
      </c>
      <c r="CWV3" t="str">
        <f>IFERROR(IF($C3="","",SUMIFS(Ledger!$K$2:$K$4, Ledger!$B$2:$B$4, $A3, Ledger!$C$2:$C$4, CWV$2)),"****")</f>
        <v/>
      </c>
      <c r="CWW3" t="str">
        <f>IFERROR(IF($C3="","",SUMIFS(Ledger!$K$2:$K$4, Ledger!$B$2:$B$4, $A3, Ledger!$C$2:$C$4, CWW$2)),"****")</f>
        <v/>
      </c>
      <c r="CWX3" t="str">
        <f>IFERROR(IF($C3="","",SUMIFS(Ledger!$K$2:$K$4, Ledger!$B$2:$B$4, $A3, Ledger!$C$2:$C$4, CWX$2)),"****")</f>
        <v/>
      </c>
      <c r="CWY3" t="str">
        <f>IFERROR(IF($C3="","",SUMIFS(Ledger!$K$2:$K$4, Ledger!$B$2:$B$4, $A3, Ledger!$C$2:$C$4, CWY$2)),"****")</f>
        <v/>
      </c>
      <c r="CWZ3" t="str">
        <f>IFERROR(IF($C3="","",SUMIFS(Ledger!$K$2:$K$4, Ledger!$B$2:$B$4, $A3, Ledger!$C$2:$C$4, CWZ$2)),"****")</f>
        <v/>
      </c>
      <c r="CXA3" t="str">
        <f>IFERROR(IF($C3="","",SUMIFS(Ledger!$K$2:$K$4, Ledger!$B$2:$B$4, $A3, Ledger!$C$2:$C$4, CXA$2)),"****")</f>
        <v/>
      </c>
      <c r="CXB3" t="str">
        <f>IFERROR(IF($C3="","",SUMIFS(Ledger!$K$2:$K$4, Ledger!$B$2:$B$4, $A3, Ledger!$C$2:$C$4, CXB$2)),"****")</f>
        <v/>
      </c>
      <c r="CXC3" t="str">
        <f>IFERROR(IF($C3="","",SUMIFS(Ledger!$K$2:$K$4, Ledger!$B$2:$B$4, $A3, Ledger!$C$2:$C$4, CXC$2)),"****")</f>
        <v/>
      </c>
      <c r="CXD3" t="str">
        <f>IFERROR(IF($C3="","",SUMIFS(Ledger!$K$2:$K$4, Ledger!$B$2:$B$4, $A3, Ledger!$C$2:$C$4, CXD$2)),"****")</f>
        <v/>
      </c>
      <c r="CXE3" t="str">
        <f>IFERROR(IF($C3="","",SUMIFS(Ledger!$K$2:$K$4, Ledger!$B$2:$B$4, $A3, Ledger!$C$2:$C$4, CXE$2)),"****")</f>
        <v/>
      </c>
      <c r="CXF3" t="str">
        <f>IFERROR(IF($C3="","",SUMIFS(Ledger!$K$2:$K$4, Ledger!$B$2:$B$4, $A3, Ledger!$C$2:$C$4, CXF$2)),"****")</f>
        <v/>
      </c>
      <c r="CXG3" t="str">
        <f>IFERROR(IF($C3="","",SUMIFS(Ledger!$K$2:$K$4, Ledger!$B$2:$B$4, $A3, Ledger!$C$2:$C$4, CXG$2)),"****")</f>
        <v/>
      </c>
      <c r="CXH3" t="str">
        <f>IFERROR(IF($C3="","",SUMIFS(Ledger!$K$2:$K$4, Ledger!$B$2:$B$4, $A3, Ledger!$C$2:$C$4, CXH$2)),"****")</f>
        <v/>
      </c>
      <c r="CXI3" t="str">
        <f>IFERROR(IF($C3="","",SUMIFS(Ledger!$K$2:$K$4, Ledger!$B$2:$B$4, $A3, Ledger!$C$2:$C$4, CXI$2)),"****")</f>
        <v/>
      </c>
      <c r="CXJ3" t="str">
        <f>IFERROR(IF($C3="","",SUMIFS(Ledger!$K$2:$K$4, Ledger!$B$2:$B$4, $A3, Ledger!$C$2:$C$4, CXJ$2)),"****")</f>
        <v/>
      </c>
      <c r="CXK3" t="str">
        <f>IFERROR(IF($C3="","",SUMIFS(Ledger!$K$2:$K$4, Ledger!$B$2:$B$4, $A3, Ledger!$C$2:$C$4, CXK$2)),"****")</f>
        <v/>
      </c>
      <c r="CXL3" t="str">
        <f>IFERROR(IF($C3="","",SUMIFS(Ledger!$K$2:$K$4, Ledger!$B$2:$B$4, $A3, Ledger!$C$2:$C$4, CXL$2)),"****")</f>
        <v/>
      </c>
      <c r="CXM3" t="str">
        <f>IFERROR(IF($C3="","",SUMIFS(Ledger!$K$2:$K$4, Ledger!$B$2:$B$4, $A3, Ledger!$C$2:$C$4, CXM$2)),"****")</f>
        <v/>
      </c>
      <c r="CXN3" t="str">
        <f>IFERROR(IF($C3="","",SUMIFS(Ledger!$K$2:$K$4, Ledger!$B$2:$B$4, $A3, Ledger!$C$2:$C$4, CXN$2)),"****")</f>
        <v/>
      </c>
      <c r="CXO3" t="str">
        <f>IFERROR(IF($C3="","",SUMIFS(Ledger!$K$2:$K$4, Ledger!$B$2:$B$4, $A3, Ledger!$C$2:$C$4, CXO$2)),"****")</f>
        <v/>
      </c>
      <c r="CXP3" t="str">
        <f>IFERROR(IF($C3="","",SUMIFS(Ledger!$K$2:$K$4, Ledger!$B$2:$B$4, $A3, Ledger!$C$2:$C$4, CXP$2)),"****")</f>
        <v/>
      </c>
      <c r="CXQ3" t="str">
        <f>IFERROR(IF($C3="","",SUMIFS(Ledger!$K$2:$K$4, Ledger!$B$2:$B$4, $A3, Ledger!$C$2:$C$4, CXQ$2)),"****")</f>
        <v/>
      </c>
      <c r="CXR3" t="str">
        <f>IFERROR(IF($C3="","",SUMIFS(Ledger!$K$2:$K$4, Ledger!$B$2:$B$4, $A3, Ledger!$C$2:$C$4, CXR$2)),"****")</f>
        <v/>
      </c>
      <c r="CXS3" t="str">
        <f>IFERROR(IF($C3="","",SUMIFS(Ledger!$K$2:$K$4, Ledger!$B$2:$B$4, $A3, Ledger!$C$2:$C$4, CXS$2)),"****")</f>
        <v/>
      </c>
      <c r="CXT3" t="str">
        <f>IFERROR(IF($C3="","",SUMIFS(Ledger!$K$2:$K$4, Ledger!$B$2:$B$4, $A3, Ledger!$C$2:$C$4, CXT$2)),"****")</f>
        <v/>
      </c>
      <c r="CXU3" t="str">
        <f>IFERROR(IF($C3="","",SUMIFS(Ledger!$K$2:$K$4, Ledger!$B$2:$B$4, $A3, Ledger!$C$2:$C$4, CXU$2)),"****")</f>
        <v/>
      </c>
      <c r="CXV3" t="str">
        <f>IFERROR(IF($C3="","",SUMIFS(Ledger!$K$2:$K$4, Ledger!$B$2:$B$4, $A3, Ledger!$C$2:$C$4, CXV$2)),"****")</f>
        <v/>
      </c>
      <c r="CXW3" t="str">
        <f>IFERROR(IF($C3="","",SUMIFS(Ledger!$K$2:$K$4, Ledger!$B$2:$B$4, $A3, Ledger!$C$2:$C$4, CXW$2)),"****")</f>
        <v/>
      </c>
      <c r="CXX3" t="str">
        <f>IFERROR(IF($C3="","",SUMIFS(Ledger!$K$2:$K$4, Ledger!$B$2:$B$4, $A3, Ledger!$C$2:$C$4, CXX$2)),"****")</f>
        <v/>
      </c>
      <c r="CXY3" t="str">
        <f>IFERROR(IF($C3="","",SUMIFS(Ledger!$K$2:$K$4, Ledger!$B$2:$B$4, $A3, Ledger!$C$2:$C$4, CXY$2)),"****")</f>
        <v/>
      </c>
      <c r="CXZ3" t="str">
        <f>IFERROR(IF($C3="","",SUMIFS(Ledger!$K$2:$K$4, Ledger!$B$2:$B$4, $A3, Ledger!$C$2:$C$4, CXZ$2)),"****")</f>
        <v/>
      </c>
      <c r="CYA3" t="str">
        <f>IFERROR(IF($C3="","",SUMIFS(Ledger!$K$2:$K$4, Ledger!$B$2:$B$4, $A3, Ledger!$C$2:$C$4, CYA$2)),"****")</f>
        <v/>
      </c>
      <c r="CYB3" t="str">
        <f>IFERROR(IF($C3="","",SUMIFS(Ledger!$K$2:$K$4, Ledger!$B$2:$B$4, $A3, Ledger!$C$2:$C$4, CYB$2)),"****")</f>
        <v/>
      </c>
      <c r="CYC3" t="str">
        <f>IFERROR(IF($C3="","",SUMIFS(Ledger!$K$2:$K$4, Ledger!$B$2:$B$4, $A3, Ledger!$C$2:$C$4, CYC$2)),"****")</f>
        <v/>
      </c>
      <c r="CYD3" t="str">
        <f>IFERROR(IF($C3="","",SUMIFS(Ledger!$K$2:$K$4, Ledger!$B$2:$B$4, $A3, Ledger!$C$2:$C$4, CYD$2)),"****")</f>
        <v/>
      </c>
      <c r="CYE3" t="str">
        <f>IFERROR(IF($C3="","",SUMIFS(Ledger!$K$2:$K$4, Ledger!$B$2:$B$4, $A3, Ledger!$C$2:$C$4, CYE$2)),"****")</f>
        <v/>
      </c>
      <c r="CYF3" t="str">
        <f>IFERROR(IF($C3="","",SUMIFS(Ledger!$K$2:$K$4, Ledger!$B$2:$B$4, $A3, Ledger!$C$2:$C$4, CYF$2)),"****")</f>
        <v/>
      </c>
      <c r="CYG3" t="str">
        <f>IFERROR(IF($C3="","",SUMIFS(Ledger!$K$2:$K$4, Ledger!$B$2:$B$4, $A3, Ledger!$C$2:$C$4, CYG$2)),"****")</f>
        <v/>
      </c>
      <c r="CYH3" t="str">
        <f>IFERROR(IF($C3="","",SUMIFS(Ledger!$K$2:$K$4, Ledger!$B$2:$B$4, $A3, Ledger!$C$2:$C$4, CYH$2)),"****")</f>
        <v/>
      </c>
      <c r="CYI3" t="str">
        <f>IFERROR(IF($C3="","",SUMIFS(Ledger!$K$2:$K$4, Ledger!$B$2:$B$4, $A3, Ledger!$C$2:$C$4, CYI$2)),"****")</f>
        <v/>
      </c>
      <c r="CYJ3" t="str">
        <f>IFERROR(IF($C3="","",SUMIFS(Ledger!$K$2:$K$4, Ledger!$B$2:$B$4, $A3, Ledger!$C$2:$C$4, CYJ$2)),"****")</f>
        <v/>
      </c>
      <c r="CYK3" t="str">
        <f>IFERROR(IF($C3="","",SUMIFS(Ledger!$K$2:$K$4, Ledger!$B$2:$B$4, $A3, Ledger!$C$2:$C$4, CYK$2)),"****")</f>
        <v/>
      </c>
      <c r="CYL3" t="str">
        <f>IFERROR(IF($C3="","",SUMIFS(Ledger!$K$2:$K$4, Ledger!$B$2:$B$4, $A3, Ledger!$C$2:$C$4, CYL$2)),"****")</f>
        <v/>
      </c>
      <c r="CYM3" t="str">
        <f>IFERROR(IF($C3="","",SUMIFS(Ledger!$K$2:$K$4, Ledger!$B$2:$B$4, $A3, Ledger!$C$2:$C$4, CYM$2)),"****")</f>
        <v/>
      </c>
      <c r="CYN3" t="str">
        <f>IFERROR(IF($C3="","",SUMIFS(Ledger!$K$2:$K$4, Ledger!$B$2:$B$4, $A3, Ledger!$C$2:$C$4, CYN$2)),"****")</f>
        <v/>
      </c>
      <c r="CYO3" t="str">
        <f>IFERROR(IF($C3="","",SUMIFS(Ledger!$K$2:$K$4, Ledger!$B$2:$B$4, $A3, Ledger!$C$2:$C$4, CYO$2)),"****")</f>
        <v/>
      </c>
      <c r="CYP3" t="str">
        <f>IFERROR(IF($C3="","",SUMIFS(Ledger!$K$2:$K$4, Ledger!$B$2:$B$4, $A3, Ledger!$C$2:$C$4, CYP$2)),"****")</f>
        <v/>
      </c>
      <c r="CYQ3" t="str">
        <f>IFERROR(IF($C3="","",SUMIFS(Ledger!$K$2:$K$4, Ledger!$B$2:$B$4, $A3, Ledger!$C$2:$C$4, CYQ$2)),"****")</f>
        <v/>
      </c>
      <c r="CYR3" t="str">
        <f>IFERROR(IF($C3="","",SUMIFS(Ledger!$K$2:$K$4, Ledger!$B$2:$B$4, $A3, Ledger!$C$2:$C$4, CYR$2)),"****")</f>
        <v/>
      </c>
      <c r="CYS3" t="str">
        <f>IFERROR(IF($C3="","",SUMIFS(Ledger!$K$2:$K$4, Ledger!$B$2:$B$4, $A3, Ledger!$C$2:$C$4, CYS$2)),"****")</f>
        <v/>
      </c>
      <c r="CYT3" t="str">
        <f>IFERROR(IF($C3="","",SUMIFS(Ledger!$K$2:$K$4, Ledger!$B$2:$B$4, $A3, Ledger!$C$2:$C$4, CYT$2)),"****")</f>
        <v/>
      </c>
      <c r="CYU3" t="str">
        <f>IFERROR(IF($C3="","",SUMIFS(Ledger!$K$2:$K$4, Ledger!$B$2:$B$4, $A3, Ledger!$C$2:$C$4, CYU$2)),"****")</f>
        <v/>
      </c>
      <c r="CYV3" t="str">
        <f>IFERROR(IF($C3="","",SUMIFS(Ledger!$K$2:$K$4, Ledger!$B$2:$B$4, $A3, Ledger!$C$2:$C$4, CYV$2)),"****")</f>
        <v/>
      </c>
      <c r="CYW3" t="str">
        <f>IFERROR(IF($C3="","",SUMIFS(Ledger!$K$2:$K$4, Ledger!$B$2:$B$4, $A3, Ledger!$C$2:$C$4, CYW$2)),"****")</f>
        <v/>
      </c>
      <c r="CYX3" t="str">
        <f>IFERROR(IF($C3="","",SUMIFS(Ledger!$K$2:$K$4, Ledger!$B$2:$B$4, $A3, Ledger!$C$2:$C$4, CYX$2)),"****")</f>
        <v/>
      </c>
      <c r="CYY3" t="str">
        <f>IFERROR(IF($C3="","",SUMIFS(Ledger!$K$2:$K$4, Ledger!$B$2:$B$4, $A3, Ledger!$C$2:$C$4, CYY$2)),"****")</f>
        <v/>
      </c>
      <c r="CYZ3" t="str">
        <f>IFERROR(IF($C3="","",SUMIFS(Ledger!$K$2:$K$4, Ledger!$B$2:$B$4, $A3, Ledger!$C$2:$C$4, CYZ$2)),"****")</f>
        <v/>
      </c>
      <c r="CZA3" t="str">
        <f>IFERROR(IF($C3="","",SUMIFS(Ledger!$K$2:$K$4, Ledger!$B$2:$B$4, $A3, Ledger!$C$2:$C$4, CZA$2)),"****")</f>
        <v/>
      </c>
      <c r="CZB3" t="str">
        <f>IFERROR(IF($C3="","",SUMIFS(Ledger!$K$2:$K$4, Ledger!$B$2:$B$4, $A3, Ledger!$C$2:$C$4, CZB$2)),"****")</f>
        <v/>
      </c>
      <c r="CZC3" t="str">
        <f>IFERROR(IF($C3="","",SUMIFS(Ledger!$K$2:$K$4, Ledger!$B$2:$B$4, $A3, Ledger!$C$2:$C$4, CZC$2)),"****")</f>
        <v/>
      </c>
      <c r="CZD3" t="str">
        <f>IFERROR(IF($C3="","",SUMIFS(Ledger!$K$2:$K$4, Ledger!$B$2:$B$4, $A3, Ledger!$C$2:$C$4, CZD$2)),"****")</f>
        <v/>
      </c>
      <c r="CZE3" t="str">
        <f>IFERROR(IF($C3="","",SUMIFS(Ledger!$K$2:$K$4, Ledger!$B$2:$B$4, $A3, Ledger!$C$2:$C$4, CZE$2)),"****")</f>
        <v/>
      </c>
      <c r="CZF3" t="str">
        <f>IFERROR(IF($C3="","",SUMIFS(Ledger!$K$2:$K$4, Ledger!$B$2:$B$4, $A3, Ledger!$C$2:$C$4, CZF$2)),"****")</f>
        <v/>
      </c>
      <c r="CZG3" t="str">
        <f>IFERROR(IF($C3="","",SUMIFS(Ledger!$K$2:$K$4, Ledger!$B$2:$B$4, $A3, Ledger!$C$2:$C$4, CZG$2)),"****")</f>
        <v/>
      </c>
      <c r="CZH3" t="str">
        <f>IFERROR(IF($C3="","",SUMIFS(Ledger!$K$2:$K$4, Ledger!$B$2:$B$4, $A3, Ledger!$C$2:$C$4, CZH$2)),"****")</f>
        <v/>
      </c>
      <c r="CZI3" t="str">
        <f>IFERROR(IF($C3="","",SUMIFS(Ledger!$K$2:$K$4, Ledger!$B$2:$B$4, $A3, Ledger!$C$2:$C$4, CZI$2)),"****")</f>
        <v/>
      </c>
      <c r="CZJ3" t="str">
        <f>IFERROR(IF($C3="","",SUMIFS(Ledger!$K$2:$K$4, Ledger!$B$2:$B$4, $A3, Ledger!$C$2:$C$4, CZJ$2)),"****")</f>
        <v/>
      </c>
      <c r="CZK3" t="str">
        <f>IFERROR(IF($C3="","",SUMIFS(Ledger!$K$2:$K$4, Ledger!$B$2:$B$4, $A3, Ledger!$C$2:$C$4, CZK$2)),"****")</f>
        <v/>
      </c>
      <c r="CZL3" t="str">
        <f>IFERROR(IF($C3="","",SUMIFS(Ledger!$K$2:$K$4, Ledger!$B$2:$B$4, $A3, Ledger!$C$2:$C$4, CZL$2)),"****")</f>
        <v/>
      </c>
      <c r="CZM3" t="str">
        <f>IFERROR(IF($C3="","",SUMIFS(Ledger!$K$2:$K$4, Ledger!$B$2:$B$4, $A3, Ledger!$C$2:$C$4, CZM$2)),"****")</f>
        <v/>
      </c>
      <c r="CZN3" t="str">
        <f>IFERROR(IF($C3="","",SUMIFS(Ledger!$K$2:$K$4, Ledger!$B$2:$B$4, $A3, Ledger!$C$2:$C$4, CZN$2)),"****")</f>
        <v/>
      </c>
      <c r="CZO3" t="str">
        <f>IFERROR(IF($C3="","",SUMIFS(Ledger!$K$2:$K$4, Ledger!$B$2:$B$4, $A3, Ledger!$C$2:$C$4, CZO$2)),"****")</f>
        <v/>
      </c>
      <c r="CZP3" t="str">
        <f>IFERROR(IF($C3="","",SUMIFS(Ledger!$K$2:$K$4, Ledger!$B$2:$B$4, $A3, Ledger!$C$2:$C$4, CZP$2)),"****")</f>
        <v/>
      </c>
      <c r="CZQ3" t="str">
        <f>IFERROR(IF($C3="","",SUMIFS(Ledger!$K$2:$K$4, Ledger!$B$2:$B$4, $A3, Ledger!$C$2:$C$4, CZQ$2)),"****")</f>
        <v/>
      </c>
      <c r="CZR3" t="str">
        <f>IFERROR(IF($C3="","",SUMIFS(Ledger!$K$2:$K$4, Ledger!$B$2:$B$4, $A3, Ledger!$C$2:$C$4, CZR$2)),"****")</f>
        <v/>
      </c>
      <c r="CZS3" t="str">
        <f>IFERROR(IF($C3="","",SUMIFS(Ledger!$K$2:$K$4, Ledger!$B$2:$B$4, $A3, Ledger!$C$2:$C$4, CZS$2)),"****")</f>
        <v/>
      </c>
      <c r="CZT3" t="str">
        <f>IFERROR(IF($C3="","",SUMIFS(Ledger!$K$2:$K$4, Ledger!$B$2:$B$4, $A3, Ledger!$C$2:$C$4, CZT$2)),"****")</f>
        <v/>
      </c>
      <c r="CZU3" t="str">
        <f>IFERROR(IF($C3="","",SUMIFS(Ledger!$K$2:$K$4, Ledger!$B$2:$B$4, $A3, Ledger!$C$2:$C$4, CZU$2)),"****")</f>
        <v/>
      </c>
      <c r="CZV3" t="str">
        <f>IFERROR(IF($C3="","",SUMIFS(Ledger!$K$2:$K$4, Ledger!$B$2:$B$4, $A3, Ledger!$C$2:$C$4, CZV$2)),"****")</f>
        <v/>
      </c>
      <c r="CZW3" t="str">
        <f>IFERROR(IF($C3="","",SUMIFS(Ledger!$K$2:$K$4, Ledger!$B$2:$B$4, $A3, Ledger!$C$2:$C$4, CZW$2)),"****")</f>
        <v/>
      </c>
      <c r="CZX3" t="str">
        <f>IFERROR(IF($C3="","",SUMIFS(Ledger!$K$2:$K$4, Ledger!$B$2:$B$4, $A3, Ledger!$C$2:$C$4, CZX$2)),"****")</f>
        <v/>
      </c>
      <c r="CZY3" t="str">
        <f>IFERROR(IF($C3="","",SUMIFS(Ledger!$K$2:$K$4, Ledger!$B$2:$B$4, $A3, Ledger!$C$2:$C$4, CZY$2)),"****")</f>
        <v/>
      </c>
      <c r="CZZ3" t="str">
        <f>IFERROR(IF($C3="","",SUMIFS(Ledger!$K$2:$K$4, Ledger!$B$2:$B$4, $A3, Ledger!$C$2:$C$4, CZZ$2)),"****")</f>
        <v/>
      </c>
      <c r="DAA3" t="str">
        <f>IFERROR(IF($C3="","",SUMIFS(Ledger!$K$2:$K$4, Ledger!$B$2:$B$4, $A3, Ledger!$C$2:$C$4, DAA$2)),"****")</f>
        <v/>
      </c>
      <c r="DAB3" t="str">
        <f>IFERROR(IF($C3="","",SUMIFS(Ledger!$K$2:$K$4, Ledger!$B$2:$B$4, $A3, Ledger!$C$2:$C$4, DAB$2)),"****")</f>
        <v/>
      </c>
      <c r="DAC3" t="str">
        <f>IFERROR(IF($C3="","",SUMIFS(Ledger!$K$2:$K$4, Ledger!$B$2:$B$4, $A3, Ledger!$C$2:$C$4, DAC$2)),"****")</f>
        <v/>
      </c>
      <c r="DAD3" t="str">
        <f>IFERROR(IF($C3="","",SUMIFS(Ledger!$K$2:$K$4, Ledger!$B$2:$B$4, $A3, Ledger!$C$2:$C$4, DAD$2)),"****")</f>
        <v/>
      </c>
      <c r="DAE3" t="str">
        <f>IFERROR(IF($C3="","",SUMIFS(Ledger!$K$2:$K$4, Ledger!$B$2:$B$4, $A3, Ledger!$C$2:$C$4, DAE$2)),"****")</f>
        <v/>
      </c>
      <c r="DAF3" t="str">
        <f>IFERROR(IF($C3="","",SUMIFS(Ledger!$K$2:$K$4, Ledger!$B$2:$B$4, $A3, Ledger!$C$2:$C$4, DAF$2)),"****")</f>
        <v/>
      </c>
      <c r="DAG3" t="str">
        <f>IFERROR(IF($C3="","",SUMIFS(Ledger!$K$2:$K$4, Ledger!$B$2:$B$4, $A3, Ledger!$C$2:$C$4, DAG$2)),"****")</f>
        <v/>
      </c>
      <c r="DAH3" t="str">
        <f>IFERROR(IF($C3="","",SUMIFS(Ledger!$K$2:$K$4, Ledger!$B$2:$B$4, $A3, Ledger!$C$2:$C$4, DAH$2)),"****")</f>
        <v/>
      </c>
      <c r="DAI3" t="str">
        <f>IFERROR(IF($C3="","",SUMIFS(Ledger!$K$2:$K$4, Ledger!$B$2:$B$4, $A3, Ledger!$C$2:$C$4, DAI$2)),"****")</f>
        <v/>
      </c>
      <c r="DAJ3" t="str">
        <f>IFERROR(IF($C3="","",SUMIFS(Ledger!$K$2:$K$4, Ledger!$B$2:$B$4, $A3, Ledger!$C$2:$C$4, DAJ$2)),"****")</f>
        <v/>
      </c>
      <c r="DAK3" t="str">
        <f>IFERROR(IF($C3="","",SUMIFS(Ledger!$K$2:$K$4, Ledger!$B$2:$B$4, $A3, Ledger!$C$2:$C$4, DAK$2)),"****")</f>
        <v/>
      </c>
      <c r="DAL3" t="str">
        <f>IFERROR(IF($C3="","",SUMIFS(Ledger!$K$2:$K$4, Ledger!$B$2:$B$4, $A3, Ledger!$C$2:$C$4, DAL$2)),"****")</f>
        <v/>
      </c>
      <c r="DAM3" t="str">
        <f>IFERROR(IF($C3="","",SUMIFS(Ledger!$K$2:$K$4, Ledger!$B$2:$B$4, $A3, Ledger!$C$2:$C$4, DAM$2)),"****")</f>
        <v/>
      </c>
      <c r="DAN3" t="str">
        <f>IFERROR(IF($C3="","",SUMIFS(Ledger!$K$2:$K$4, Ledger!$B$2:$B$4, $A3, Ledger!$C$2:$C$4, DAN$2)),"****")</f>
        <v/>
      </c>
      <c r="DAO3" t="str">
        <f>IFERROR(IF($C3="","",SUMIFS(Ledger!$K$2:$K$4, Ledger!$B$2:$B$4, $A3, Ledger!$C$2:$C$4, DAO$2)),"****")</f>
        <v/>
      </c>
      <c r="DAP3" t="str">
        <f>IFERROR(IF($C3="","",SUMIFS(Ledger!$K$2:$K$4, Ledger!$B$2:$B$4, $A3, Ledger!$C$2:$C$4, DAP$2)),"****")</f>
        <v/>
      </c>
      <c r="DAQ3" t="str">
        <f>IFERROR(IF($C3="","",SUMIFS(Ledger!$K$2:$K$4, Ledger!$B$2:$B$4, $A3, Ledger!$C$2:$C$4, DAQ$2)),"****")</f>
        <v/>
      </c>
      <c r="DAR3" t="str">
        <f>IFERROR(IF($C3="","",SUMIFS(Ledger!$K$2:$K$4, Ledger!$B$2:$B$4, $A3, Ledger!$C$2:$C$4, DAR$2)),"****")</f>
        <v/>
      </c>
      <c r="DAS3" t="str">
        <f>IFERROR(IF($C3="","",SUMIFS(Ledger!$K$2:$K$4, Ledger!$B$2:$B$4, $A3, Ledger!$C$2:$C$4, DAS$2)),"****")</f>
        <v/>
      </c>
      <c r="DAT3" t="str">
        <f>IFERROR(IF($C3="","",SUMIFS(Ledger!$K$2:$K$4, Ledger!$B$2:$B$4, $A3, Ledger!$C$2:$C$4, DAT$2)),"****")</f>
        <v/>
      </c>
      <c r="DAU3" t="str">
        <f>IFERROR(IF($C3="","",SUMIFS(Ledger!$K$2:$K$4, Ledger!$B$2:$B$4, $A3, Ledger!$C$2:$C$4, DAU$2)),"****")</f>
        <v/>
      </c>
      <c r="DAV3" t="str">
        <f>IFERROR(IF($C3="","",SUMIFS(Ledger!$K$2:$K$4, Ledger!$B$2:$B$4, $A3, Ledger!$C$2:$C$4, DAV$2)),"****")</f>
        <v/>
      </c>
      <c r="DAW3" t="str">
        <f>IFERROR(IF($C3="","",SUMIFS(Ledger!$K$2:$K$4, Ledger!$B$2:$B$4, $A3, Ledger!$C$2:$C$4, DAW$2)),"****")</f>
        <v/>
      </c>
      <c r="DAX3" t="str">
        <f>IFERROR(IF($C3="","",SUMIFS(Ledger!$K$2:$K$4, Ledger!$B$2:$B$4, $A3, Ledger!$C$2:$C$4, DAX$2)),"****")</f>
        <v/>
      </c>
      <c r="DAY3" t="str">
        <f>IFERROR(IF($C3="","",SUMIFS(Ledger!$K$2:$K$4, Ledger!$B$2:$B$4, $A3, Ledger!$C$2:$C$4, DAY$2)),"****")</f>
        <v/>
      </c>
      <c r="DAZ3" t="str">
        <f>IFERROR(IF($C3="","",SUMIFS(Ledger!$K$2:$K$4, Ledger!$B$2:$B$4, $A3, Ledger!$C$2:$C$4, DAZ$2)),"****")</f>
        <v/>
      </c>
      <c r="DBA3" t="str">
        <f>IFERROR(IF($C3="","",SUMIFS(Ledger!$K$2:$K$4, Ledger!$B$2:$B$4, $A3, Ledger!$C$2:$C$4, DBA$2)),"****")</f>
        <v/>
      </c>
      <c r="DBB3" t="str">
        <f>IFERROR(IF($C3="","",SUMIFS(Ledger!$K$2:$K$4, Ledger!$B$2:$B$4, $A3, Ledger!$C$2:$C$4, DBB$2)),"****")</f>
        <v/>
      </c>
      <c r="DBC3" t="str">
        <f>IFERROR(IF($C3="","",SUMIFS(Ledger!$K$2:$K$4, Ledger!$B$2:$B$4, $A3, Ledger!$C$2:$C$4, DBC$2)),"****")</f>
        <v/>
      </c>
      <c r="DBD3" t="str">
        <f>IFERROR(IF($C3="","",SUMIFS(Ledger!$K$2:$K$4, Ledger!$B$2:$B$4, $A3, Ledger!$C$2:$C$4, DBD$2)),"****")</f>
        <v/>
      </c>
      <c r="DBE3" t="str">
        <f>IFERROR(IF($C3="","",SUMIFS(Ledger!$K$2:$K$4, Ledger!$B$2:$B$4, $A3, Ledger!$C$2:$C$4, DBE$2)),"****")</f>
        <v/>
      </c>
      <c r="DBF3" t="str">
        <f>IFERROR(IF($C3="","",SUMIFS(Ledger!$K$2:$K$4, Ledger!$B$2:$B$4, $A3, Ledger!$C$2:$C$4, DBF$2)),"****")</f>
        <v/>
      </c>
      <c r="DBG3" t="str">
        <f>IFERROR(IF($C3="","",SUMIFS(Ledger!$K$2:$K$4, Ledger!$B$2:$B$4, $A3, Ledger!$C$2:$C$4, DBG$2)),"****")</f>
        <v/>
      </c>
      <c r="DBH3" t="str">
        <f>IFERROR(IF($C3="","",SUMIFS(Ledger!$K$2:$K$4, Ledger!$B$2:$B$4, $A3, Ledger!$C$2:$C$4, DBH$2)),"****")</f>
        <v/>
      </c>
      <c r="DBI3" t="str">
        <f>IFERROR(IF($C3="","",SUMIFS(Ledger!$K$2:$K$4, Ledger!$B$2:$B$4, $A3, Ledger!$C$2:$C$4, DBI$2)),"****")</f>
        <v/>
      </c>
      <c r="DBJ3" t="str">
        <f>IFERROR(IF($C3="","",SUMIFS(Ledger!$K$2:$K$4, Ledger!$B$2:$B$4, $A3, Ledger!$C$2:$C$4, DBJ$2)),"****")</f>
        <v/>
      </c>
      <c r="DBK3" t="str">
        <f>IFERROR(IF($C3="","",SUMIFS(Ledger!$K$2:$K$4, Ledger!$B$2:$B$4, $A3, Ledger!$C$2:$C$4, DBK$2)),"****")</f>
        <v/>
      </c>
      <c r="DBL3" t="str">
        <f>IFERROR(IF($C3="","",SUMIFS(Ledger!$K$2:$K$4, Ledger!$B$2:$B$4, $A3, Ledger!$C$2:$C$4, DBL$2)),"****")</f>
        <v/>
      </c>
      <c r="DBM3" t="str">
        <f>IFERROR(IF($C3="","",SUMIFS(Ledger!$K$2:$K$4, Ledger!$B$2:$B$4, $A3, Ledger!$C$2:$C$4, DBM$2)),"****")</f>
        <v/>
      </c>
      <c r="DBN3" t="str">
        <f>IFERROR(IF($C3="","",SUMIFS(Ledger!$K$2:$K$4, Ledger!$B$2:$B$4, $A3, Ledger!$C$2:$C$4, DBN$2)),"****")</f>
        <v/>
      </c>
      <c r="DBO3" t="str">
        <f>IFERROR(IF($C3="","",SUMIFS(Ledger!$K$2:$K$4, Ledger!$B$2:$B$4, $A3, Ledger!$C$2:$C$4, DBO$2)),"****")</f>
        <v/>
      </c>
      <c r="DBP3" t="str">
        <f>IFERROR(IF($C3="","",SUMIFS(Ledger!$K$2:$K$4, Ledger!$B$2:$B$4, $A3, Ledger!$C$2:$C$4, DBP$2)),"****")</f>
        <v/>
      </c>
      <c r="DBQ3" t="str">
        <f>IFERROR(IF($C3="","",SUMIFS(Ledger!$K$2:$K$4, Ledger!$B$2:$B$4, $A3, Ledger!$C$2:$C$4, DBQ$2)),"****")</f>
        <v/>
      </c>
      <c r="DBR3" t="str">
        <f>IFERROR(IF($C3="","",SUMIFS(Ledger!$K$2:$K$4, Ledger!$B$2:$B$4, $A3, Ledger!$C$2:$C$4, DBR$2)),"****")</f>
        <v/>
      </c>
      <c r="DBS3" t="str">
        <f>IFERROR(IF($C3="","",SUMIFS(Ledger!$K$2:$K$4, Ledger!$B$2:$B$4, $A3, Ledger!$C$2:$C$4, DBS$2)),"****")</f>
        <v/>
      </c>
      <c r="DBT3" t="str">
        <f>IFERROR(IF($C3="","",SUMIFS(Ledger!$K$2:$K$4, Ledger!$B$2:$B$4, $A3, Ledger!$C$2:$C$4, DBT$2)),"****")</f>
        <v/>
      </c>
      <c r="DBU3" t="str">
        <f>IFERROR(IF($C3="","",SUMIFS(Ledger!$K$2:$K$4, Ledger!$B$2:$B$4, $A3, Ledger!$C$2:$C$4, DBU$2)),"****")</f>
        <v/>
      </c>
      <c r="DBV3" t="str">
        <f>IFERROR(IF($C3="","",SUMIFS(Ledger!$K$2:$K$4, Ledger!$B$2:$B$4, $A3, Ledger!$C$2:$C$4, DBV$2)),"****")</f>
        <v/>
      </c>
      <c r="DBW3" t="str">
        <f>IFERROR(IF($C3="","",SUMIFS(Ledger!$K$2:$K$4, Ledger!$B$2:$B$4, $A3, Ledger!$C$2:$C$4, DBW$2)),"****")</f>
        <v/>
      </c>
      <c r="DBX3" t="str">
        <f>IFERROR(IF($C3="","",SUMIFS(Ledger!$K$2:$K$4, Ledger!$B$2:$B$4, $A3, Ledger!$C$2:$C$4, DBX$2)),"****")</f>
        <v/>
      </c>
      <c r="DBY3" t="str">
        <f>IFERROR(IF($C3="","",SUMIFS(Ledger!$K$2:$K$4, Ledger!$B$2:$B$4, $A3, Ledger!$C$2:$C$4, DBY$2)),"****")</f>
        <v/>
      </c>
      <c r="DBZ3" t="str">
        <f>IFERROR(IF($C3="","",SUMIFS(Ledger!$K$2:$K$4, Ledger!$B$2:$B$4, $A3, Ledger!$C$2:$C$4, DBZ$2)),"****")</f>
        <v/>
      </c>
      <c r="DCA3" t="str">
        <f>IFERROR(IF($C3="","",SUMIFS(Ledger!$K$2:$K$4, Ledger!$B$2:$B$4, $A3, Ledger!$C$2:$C$4, DCA$2)),"****")</f>
        <v/>
      </c>
      <c r="DCB3" t="str">
        <f>IFERROR(IF($C3="","",SUMIFS(Ledger!$K$2:$K$4, Ledger!$B$2:$B$4, $A3, Ledger!$C$2:$C$4, DCB$2)),"****")</f>
        <v/>
      </c>
      <c r="DCC3" t="str">
        <f>IFERROR(IF($C3="","",SUMIFS(Ledger!$K$2:$K$4, Ledger!$B$2:$B$4, $A3, Ledger!$C$2:$C$4, DCC$2)),"****")</f>
        <v/>
      </c>
      <c r="DCD3" t="str">
        <f>IFERROR(IF($C3="","",SUMIFS(Ledger!$K$2:$K$4, Ledger!$B$2:$B$4, $A3, Ledger!$C$2:$C$4, DCD$2)),"****")</f>
        <v/>
      </c>
      <c r="DCE3" t="str">
        <f>IFERROR(IF($C3="","",SUMIFS(Ledger!$K$2:$K$4, Ledger!$B$2:$B$4, $A3, Ledger!$C$2:$C$4, DCE$2)),"****")</f>
        <v/>
      </c>
      <c r="DCF3" t="str">
        <f>IFERROR(IF($C3="","",SUMIFS(Ledger!$K$2:$K$4, Ledger!$B$2:$B$4, $A3, Ledger!$C$2:$C$4, DCF$2)),"****")</f>
        <v/>
      </c>
      <c r="DCG3" t="str">
        <f>IFERROR(IF($C3="","",SUMIFS(Ledger!$K$2:$K$4, Ledger!$B$2:$B$4, $A3, Ledger!$C$2:$C$4, DCG$2)),"****")</f>
        <v/>
      </c>
      <c r="DCH3" t="str">
        <f>IFERROR(IF($C3="","",SUMIFS(Ledger!$K$2:$K$4, Ledger!$B$2:$B$4, $A3, Ledger!$C$2:$C$4, DCH$2)),"****")</f>
        <v/>
      </c>
      <c r="DCI3" t="str">
        <f>IFERROR(IF($C3="","",SUMIFS(Ledger!$K$2:$K$4, Ledger!$B$2:$B$4, $A3, Ledger!$C$2:$C$4, DCI$2)),"****")</f>
        <v/>
      </c>
      <c r="DCJ3" t="str">
        <f>IFERROR(IF($C3="","",SUMIFS(Ledger!$K$2:$K$4, Ledger!$B$2:$B$4, $A3, Ledger!$C$2:$C$4, DCJ$2)),"****")</f>
        <v/>
      </c>
      <c r="DCK3" t="str">
        <f>IFERROR(IF($C3="","",SUMIFS(Ledger!$K$2:$K$4, Ledger!$B$2:$B$4, $A3, Ledger!$C$2:$C$4, DCK$2)),"****")</f>
        <v/>
      </c>
      <c r="DCL3" t="str">
        <f>IFERROR(IF($C3="","",SUMIFS(Ledger!$K$2:$K$4, Ledger!$B$2:$B$4, $A3, Ledger!$C$2:$C$4, DCL$2)),"****")</f>
        <v/>
      </c>
      <c r="DCM3" t="str">
        <f>IFERROR(IF($C3="","",SUMIFS(Ledger!$K$2:$K$4, Ledger!$B$2:$B$4, $A3, Ledger!$C$2:$C$4, DCM$2)),"****")</f>
        <v/>
      </c>
      <c r="DCN3" t="str">
        <f>IFERROR(IF($C3="","",SUMIFS(Ledger!$K$2:$K$4, Ledger!$B$2:$B$4, $A3, Ledger!$C$2:$C$4, DCN$2)),"****")</f>
        <v/>
      </c>
      <c r="DCO3" t="str">
        <f>IFERROR(IF($C3="","",SUMIFS(Ledger!$K$2:$K$4, Ledger!$B$2:$B$4, $A3, Ledger!$C$2:$C$4, DCO$2)),"****")</f>
        <v/>
      </c>
      <c r="DCP3" t="str">
        <f>IFERROR(IF($C3="","",SUMIFS(Ledger!$K$2:$K$4, Ledger!$B$2:$B$4, $A3, Ledger!$C$2:$C$4, DCP$2)),"****")</f>
        <v/>
      </c>
      <c r="DCQ3" t="str">
        <f>IFERROR(IF($C3="","",SUMIFS(Ledger!$K$2:$K$4, Ledger!$B$2:$B$4, $A3, Ledger!$C$2:$C$4, DCQ$2)),"****")</f>
        <v/>
      </c>
      <c r="DCR3" t="str">
        <f>IFERROR(IF($C3="","",SUMIFS(Ledger!$K$2:$K$4, Ledger!$B$2:$B$4, $A3, Ledger!$C$2:$C$4, DCR$2)),"****")</f>
        <v/>
      </c>
      <c r="DCS3" t="str">
        <f>IFERROR(IF($C3="","",SUMIFS(Ledger!$K$2:$K$4, Ledger!$B$2:$B$4, $A3, Ledger!$C$2:$C$4, DCS$2)),"****")</f>
        <v/>
      </c>
      <c r="DCT3" t="str">
        <f>IFERROR(IF($C3="","",SUMIFS(Ledger!$K$2:$K$4, Ledger!$B$2:$B$4, $A3, Ledger!$C$2:$C$4, DCT$2)),"****")</f>
        <v/>
      </c>
      <c r="DCU3" t="str">
        <f>IFERROR(IF($C3="","",SUMIFS(Ledger!$K$2:$K$4, Ledger!$B$2:$B$4, $A3, Ledger!$C$2:$C$4, DCU$2)),"****")</f>
        <v/>
      </c>
      <c r="DCV3" t="str">
        <f>IFERROR(IF($C3="","",SUMIFS(Ledger!$K$2:$K$4, Ledger!$B$2:$B$4, $A3, Ledger!$C$2:$C$4, DCV$2)),"****")</f>
        <v/>
      </c>
      <c r="DCW3" t="str">
        <f>IFERROR(IF($C3="","",SUMIFS(Ledger!$K$2:$K$4, Ledger!$B$2:$B$4, $A3, Ledger!$C$2:$C$4, DCW$2)),"****")</f>
        <v/>
      </c>
      <c r="DCX3" t="str">
        <f>IFERROR(IF($C3="","",SUMIFS(Ledger!$K$2:$K$4, Ledger!$B$2:$B$4, $A3, Ledger!$C$2:$C$4, DCX$2)),"****")</f>
        <v/>
      </c>
      <c r="DCY3" t="str">
        <f>IFERROR(IF($C3="","",SUMIFS(Ledger!$K$2:$K$4, Ledger!$B$2:$B$4, $A3, Ledger!$C$2:$C$4, DCY$2)),"****")</f>
        <v/>
      </c>
      <c r="DCZ3" t="str">
        <f>IFERROR(IF($C3="","",SUMIFS(Ledger!$K$2:$K$4, Ledger!$B$2:$B$4, $A3, Ledger!$C$2:$C$4, DCZ$2)),"****")</f>
        <v/>
      </c>
      <c r="DDA3" t="str">
        <f>IFERROR(IF($C3="","",SUMIFS(Ledger!$K$2:$K$4, Ledger!$B$2:$B$4, $A3, Ledger!$C$2:$C$4, DDA$2)),"****")</f>
        <v/>
      </c>
      <c r="DDB3" t="str">
        <f>IFERROR(IF($C3="","",SUMIFS(Ledger!$K$2:$K$4, Ledger!$B$2:$B$4, $A3, Ledger!$C$2:$C$4, DDB$2)),"****")</f>
        <v/>
      </c>
      <c r="DDC3" t="str">
        <f>IFERROR(IF($C3="","",SUMIFS(Ledger!$K$2:$K$4, Ledger!$B$2:$B$4, $A3, Ledger!$C$2:$C$4, DDC$2)),"****")</f>
        <v/>
      </c>
      <c r="DDD3" t="str">
        <f>IFERROR(IF($C3="","",SUMIFS(Ledger!$K$2:$K$4, Ledger!$B$2:$B$4, $A3, Ledger!$C$2:$C$4, DDD$2)),"****")</f>
        <v/>
      </c>
      <c r="DDE3" t="str">
        <f>IFERROR(IF($C3="","",SUMIFS(Ledger!$K$2:$K$4, Ledger!$B$2:$B$4, $A3, Ledger!$C$2:$C$4, DDE$2)),"****")</f>
        <v/>
      </c>
      <c r="DDF3" t="str">
        <f>IFERROR(IF($C3="","",SUMIFS(Ledger!$K$2:$K$4, Ledger!$B$2:$B$4, $A3, Ledger!$C$2:$C$4, DDF$2)),"****")</f>
        <v/>
      </c>
      <c r="DDG3" t="str">
        <f>IFERROR(IF($C3="","",SUMIFS(Ledger!$K$2:$K$4, Ledger!$B$2:$B$4, $A3, Ledger!$C$2:$C$4, DDG$2)),"****")</f>
        <v/>
      </c>
      <c r="DDH3" t="str">
        <f>IFERROR(IF($C3="","",SUMIFS(Ledger!$K$2:$K$4, Ledger!$B$2:$B$4, $A3, Ledger!$C$2:$C$4, DDH$2)),"****")</f>
        <v/>
      </c>
      <c r="DDI3" t="str">
        <f>IFERROR(IF($C3="","",SUMIFS(Ledger!$K$2:$K$4, Ledger!$B$2:$B$4, $A3, Ledger!$C$2:$C$4, DDI$2)),"****")</f>
        <v/>
      </c>
      <c r="DDJ3" t="str">
        <f>IFERROR(IF($C3="","",SUMIFS(Ledger!$K$2:$K$4, Ledger!$B$2:$B$4, $A3, Ledger!$C$2:$C$4, DDJ$2)),"****")</f>
        <v/>
      </c>
      <c r="DDK3" t="str">
        <f>IFERROR(IF($C3="","",SUMIFS(Ledger!$K$2:$K$4, Ledger!$B$2:$B$4, $A3, Ledger!$C$2:$C$4, DDK$2)),"****")</f>
        <v/>
      </c>
      <c r="DDL3" t="str">
        <f>IFERROR(IF($C3="","",SUMIFS(Ledger!$K$2:$K$4, Ledger!$B$2:$B$4, $A3, Ledger!$C$2:$C$4, DDL$2)),"****")</f>
        <v/>
      </c>
      <c r="DDM3" t="str">
        <f>IFERROR(IF($C3="","",SUMIFS(Ledger!$K$2:$K$4, Ledger!$B$2:$B$4, $A3, Ledger!$C$2:$C$4, DDM$2)),"****")</f>
        <v/>
      </c>
      <c r="DDN3" t="str">
        <f>IFERROR(IF($C3="","",SUMIFS(Ledger!$K$2:$K$4, Ledger!$B$2:$B$4, $A3, Ledger!$C$2:$C$4, DDN$2)),"****")</f>
        <v/>
      </c>
      <c r="DDO3" t="str">
        <f>IFERROR(IF($C3="","",SUMIFS(Ledger!$K$2:$K$4, Ledger!$B$2:$B$4, $A3, Ledger!$C$2:$C$4, DDO$2)),"****")</f>
        <v/>
      </c>
      <c r="DDP3" t="str">
        <f>IFERROR(IF($C3="","",SUMIFS(Ledger!$K$2:$K$4, Ledger!$B$2:$B$4, $A3, Ledger!$C$2:$C$4, DDP$2)),"****")</f>
        <v/>
      </c>
      <c r="DDQ3" t="str">
        <f>IFERROR(IF($C3="","",SUMIFS(Ledger!$K$2:$K$4, Ledger!$B$2:$B$4, $A3, Ledger!$C$2:$C$4, DDQ$2)),"****")</f>
        <v/>
      </c>
      <c r="DDR3" t="str">
        <f>IFERROR(IF($C3="","",SUMIFS(Ledger!$K$2:$K$4, Ledger!$B$2:$B$4, $A3, Ledger!$C$2:$C$4, DDR$2)),"****")</f>
        <v/>
      </c>
      <c r="DDS3" t="str">
        <f>IFERROR(IF($C3="","",SUMIFS(Ledger!$K$2:$K$4, Ledger!$B$2:$B$4, $A3, Ledger!$C$2:$C$4, DDS$2)),"****")</f>
        <v/>
      </c>
      <c r="DDT3" t="str">
        <f>IFERROR(IF($C3="","",SUMIFS(Ledger!$K$2:$K$4, Ledger!$B$2:$B$4, $A3, Ledger!$C$2:$C$4, DDT$2)),"****")</f>
        <v/>
      </c>
      <c r="DDU3" t="str">
        <f>IFERROR(IF($C3="","",SUMIFS(Ledger!$K$2:$K$4, Ledger!$B$2:$B$4, $A3, Ledger!$C$2:$C$4, DDU$2)),"****")</f>
        <v/>
      </c>
      <c r="DDV3" t="str">
        <f>IFERROR(IF($C3="","",SUMIFS(Ledger!$K$2:$K$4, Ledger!$B$2:$B$4, $A3, Ledger!$C$2:$C$4, DDV$2)),"****")</f>
        <v/>
      </c>
      <c r="DDW3" t="str">
        <f>IFERROR(IF($C3="","",SUMIFS(Ledger!$K$2:$K$4, Ledger!$B$2:$B$4, $A3, Ledger!$C$2:$C$4, DDW$2)),"****")</f>
        <v/>
      </c>
      <c r="DDX3" t="str">
        <f>IFERROR(IF($C3="","",SUMIFS(Ledger!$K$2:$K$4, Ledger!$B$2:$B$4, $A3, Ledger!$C$2:$C$4, DDX$2)),"****")</f>
        <v/>
      </c>
      <c r="DDY3" t="str">
        <f>IFERROR(IF($C3="","",SUMIFS(Ledger!$K$2:$K$4, Ledger!$B$2:$B$4, $A3, Ledger!$C$2:$C$4, DDY$2)),"****")</f>
        <v/>
      </c>
      <c r="DDZ3" t="str">
        <f>IFERROR(IF($C3="","",SUMIFS(Ledger!$K$2:$K$4, Ledger!$B$2:$B$4, $A3, Ledger!$C$2:$C$4, DDZ$2)),"****")</f>
        <v/>
      </c>
      <c r="DEA3" t="str">
        <f>IFERROR(IF($C3="","",SUMIFS(Ledger!$K$2:$K$4, Ledger!$B$2:$B$4, $A3, Ledger!$C$2:$C$4, DEA$2)),"****")</f>
        <v/>
      </c>
      <c r="DEB3" t="str">
        <f>IFERROR(IF($C3="","",SUMIFS(Ledger!$K$2:$K$4, Ledger!$B$2:$B$4, $A3, Ledger!$C$2:$C$4, DEB$2)),"****")</f>
        <v/>
      </c>
      <c r="DEC3" t="str">
        <f>IFERROR(IF($C3="","",SUMIFS(Ledger!$K$2:$K$4, Ledger!$B$2:$B$4, $A3, Ledger!$C$2:$C$4, DEC$2)),"****")</f>
        <v/>
      </c>
      <c r="DED3" t="str">
        <f>IFERROR(IF($C3="","",SUMIFS(Ledger!$K$2:$K$4, Ledger!$B$2:$B$4, $A3, Ledger!$C$2:$C$4, DED$2)),"****")</f>
        <v/>
      </c>
      <c r="DEE3" t="str">
        <f>IFERROR(IF($C3="","",SUMIFS(Ledger!$K$2:$K$4, Ledger!$B$2:$B$4, $A3, Ledger!$C$2:$C$4, DEE$2)),"****")</f>
        <v/>
      </c>
      <c r="DEF3" t="str">
        <f>IFERROR(IF($C3="","",SUMIFS(Ledger!$K$2:$K$4, Ledger!$B$2:$B$4, $A3, Ledger!$C$2:$C$4, DEF$2)),"****")</f>
        <v/>
      </c>
      <c r="DEG3" t="str">
        <f>IFERROR(IF($C3="","",SUMIFS(Ledger!$K$2:$K$4, Ledger!$B$2:$B$4, $A3, Ledger!$C$2:$C$4, DEG$2)),"****")</f>
        <v/>
      </c>
      <c r="DEH3" t="str">
        <f>IFERROR(IF($C3="","",SUMIFS(Ledger!$K$2:$K$4, Ledger!$B$2:$B$4, $A3, Ledger!$C$2:$C$4, DEH$2)),"****")</f>
        <v/>
      </c>
      <c r="DEI3" t="str">
        <f>IFERROR(IF($C3="","",SUMIFS(Ledger!$K$2:$K$4, Ledger!$B$2:$B$4, $A3, Ledger!$C$2:$C$4, DEI$2)),"****")</f>
        <v/>
      </c>
      <c r="DEJ3" t="str">
        <f>IFERROR(IF($C3="","",SUMIFS(Ledger!$K$2:$K$4, Ledger!$B$2:$B$4, $A3, Ledger!$C$2:$C$4, DEJ$2)),"****")</f>
        <v/>
      </c>
      <c r="DEK3" t="str">
        <f>IFERROR(IF($C3="","",SUMIFS(Ledger!$K$2:$K$4, Ledger!$B$2:$B$4, $A3, Ledger!$C$2:$C$4, DEK$2)),"****")</f>
        <v/>
      </c>
      <c r="DEL3" t="str">
        <f>IFERROR(IF($C3="","",SUMIFS(Ledger!$K$2:$K$4, Ledger!$B$2:$B$4, $A3, Ledger!$C$2:$C$4, DEL$2)),"****")</f>
        <v/>
      </c>
      <c r="DEM3" t="str">
        <f>IFERROR(IF($C3="","",SUMIFS(Ledger!$K$2:$K$4, Ledger!$B$2:$B$4, $A3, Ledger!$C$2:$C$4, DEM$2)),"****")</f>
        <v/>
      </c>
      <c r="DEN3" t="str">
        <f>IFERROR(IF($C3="","",SUMIFS(Ledger!$K$2:$K$4, Ledger!$B$2:$B$4, $A3, Ledger!$C$2:$C$4, DEN$2)),"****")</f>
        <v/>
      </c>
      <c r="DEO3" t="str">
        <f>IFERROR(IF($C3="","",SUMIFS(Ledger!$K$2:$K$4, Ledger!$B$2:$B$4, $A3, Ledger!$C$2:$C$4, DEO$2)),"****")</f>
        <v/>
      </c>
      <c r="DEP3" t="str">
        <f>IFERROR(IF($C3="","",SUMIFS(Ledger!$K$2:$K$4, Ledger!$B$2:$B$4, $A3, Ledger!$C$2:$C$4, DEP$2)),"****")</f>
        <v/>
      </c>
      <c r="DEQ3" t="str">
        <f>IFERROR(IF($C3="","",SUMIFS(Ledger!$K$2:$K$4, Ledger!$B$2:$B$4, $A3, Ledger!$C$2:$C$4, DEQ$2)),"****")</f>
        <v/>
      </c>
      <c r="DER3" t="str">
        <f>IFERROR(IF($C3="","",SUMIFS(Ledger!$K$2:$K$4, Ledger!$B$2:$B$4, $A3, Ledger!$C$2:$C$4, DER$2)),"****")</f>
        <v/>
      </c>
      <c r="DES3" t="str">
        <f>IFERROR(IF($C3="","",SUMIFS(Ledger!$K$2:$K$4, Ledger!$B$2:$B$4, $A3, Ledger!$C$2:$C$4, DES$2)),"****")</f>
        <v/>
      </c>
      <c r="DET3" t="str">
        <f>IFERROR(IF($C3="","",SUMIFS(Ledger!$K$2:$K$4, Ledger!$B$2:$B$4, $A3, Ledger!$C$2:$C$4, DET$2)),"****")</f>
        <v/>
      </c>
      <c r="DEU3" t="str">
        <f>IFERROR(IF($C3="","",SUMIFS(Ledger!$K$2:$K$4, Ledger!$B$2:$B$4, $A3, Ledger!$C$2:$C$4, DEU$2)),"****")</f>
        <v/>
      </c>
      <c r="DEV3" t="str">
        <f>IFERROR(IF($C3="","",SUMIFS(Ledger!$K$2:$K$4, Ledger!$B$2:$B$4, $A3, Ledger!$C$2:$C$4, DEV$2)),"****")</f>
        <v/>
      </c>
      <c r="DEW3" t="str">
        <f>IFERROR(IF($C3="","",SUMIFS(Ledger!$K$2:$K$4, Ledger!$B$2:$B$4, $A3, Ledger!$C$2:$C$4, DEW$2)),"****")</f>
        <v/>
      </c>
      <c r="DEX3" t="str">
        <f>IFERROR(IF($C3="","",SUMIFS(Ledger!$K$2:$K$4, Ledger!$B$2:$B$4, $A3, Ledger!$C$2:$C$4, DEX$2)),"****")</f>
        <v/>
      </c>
      <c r="DEY3" t="str">
        <f>IFERROR(IF($C3="","",SUMIFS(Ledger!$K$2:$K$4, Ledger!$B$2:$B$4, $A3, Ledger!$C$2:$C$4, DEY$2)),"****")</f>
        <v/>
      </c>
      <c r="DEZ3" t="str">
        <f>IFERROR(IF($C3="","",SUMIFS(Ledger!$K$2:$K$4, Ledger!$B$2:$B$4, $A3, Ledger!$C$2:$C$4, DEZ$2)),"****")</f>
        <v/>
      </c>
      <c r="DFA3" t="str">
        <f>IFERROR(IF($C3="","",SUMIFS(Ledger!$K$2:$K$4, Ledger!$B$2:$B$4, $A3, Ledger!$C$2:$C$4, DFA$2)),"****")</f>
        <v/>
      </c>
      <c r="DFB3" t="str">
        <f>IFERROR(IF($C3="","",SUMIFS(Ledger!$K$2:$K$4, Ledger!$B$2:$B$4, $A3, Ledger!$C$2:$C$4, DFB$2)),"****")</f>
        <v/>
      </c>
      <c r="DFC3" t="str">
        <f>IFERROR(IF($C3="","",SUMIFS(Ledger!$K$2:$K$4, Ledger!$B$2:$B$4, $A3, Ledger!$C$2:$C$4, DFC$2)),"****")</f>
        <v/>
      </c>
      <c r="DFD3" t="str">
        <f>IFERROR(IF($C3="","",SUMIFS(Ledger!$K$2:$K$4, Ledger!$B$2:$B$4, $A3, Ledger!$C$2:$C$4, DFD$2)),"****")</f>
        <v/>
      </c>
      <c r="DFE3" t="str">
        <f>IFERROR(IF($C3="","",SUMIFS(Ledger!$K$2:$K$4, Ledger!$B$2:$B$4, $A3, Ledger!$C$2:$C$4, DFE$2)),"****")</f>
        <v/>
      </c>
      <c r="DFF3" t="str">
        <f>IFERROR(IF($C3="","",SUMIFS(Ledger!$K$2:$K$4, Ledger!$B$2:$B$4, $A3, Ledger!$C$2:$C$4, DFF$2)),"****")</f>
        <v/>
      </c>
      <c r="DFG3" t="str">
        <f>IFERROR(IF($C3="","",SUMIFS(Ledger!$K$2:$K$4, Ledger!$B$2:$B$4, $A3, Ledger!$C$2:$C$4, DFG$2)),"****")</f>
        <v/>
      </c>
      <c r="DFH3" t="str">
        <f>IFERROR(IF($C3="","",SUMIFS(Ledger!$K$2:$K$4, Ledger!$B$2:$B$4, $A3, Ledger!$C$2:$C$4, DFH$2)),"****")</f>
        <v/>
      </c>
      <c r="DFI3" t="str">
        <f>IFERROR(IF($C3="","",SUMIFS(Ledger!$K$2:$K$4, Ledger!$B$2:$B$4, $A3, Ledger!$C$2:$C$4, DFI$2)),"****")</f>
        <v/>
      </c>
      <c r="DFJ3" t="str">
        <f>IFERROR(IF($C3="","",SUMIFS(Ledger!$K$2:$K$4, Ledger!$B$2:$B$4, $A3, Ledger!$C$2:$C$4, DFJ$2)),"****")</f>
        <v/>
      </c>
      <c r="DFK3" t="str">
        <f>IFERROR(IF($C3="","",SUMIFS(Ledger!$K$2:$K$4, Ledger!$B$2:$B$4, $A3, Ledger!$C$2:$C$4, DFK$2)),"****")</f>
        <v/>
      </c>
      <c r="DFL3" t="str">
        <f>IFERROR(IF($C3="","",SUMIFS(Ledger!$K$2:$K$4, Ledger!$B$2:$B$4, $A3, Ledger!$C$2:$C$4, DFL$2)),"****")</f>
        <v/>
      </c>
      <c r="DFM3" t="str">
        <f>IFERROR(IF($C3="","",SUMIFS(Ledger!$K$2:$K$4, Ledger!$B$2:$B$4, $A3, Ledger!$C$2:$C$4, DFM$2)),"****")</f>
        <v/>
      </c>
      <c r="DFN3" t="str">
        <f>IFERROR(IF($C3="","",SUMIFS(Ledger!$K$2:$K$4, Ledger!$B$2:$B$4, $A3, Ledger!$C$2:$C$4, DFN$2)),"****")</f>
        <v/>
      </c>
      <c r="DFO3" t="str">
        <f>IFERROR(IF($C3="","",SUMIFS(Ledger!$K$2:$K$4, Ledger!$B$2:$B$4, $A3, Ledger!$C$2:$C$4, DFO$2)),"****")</f>
        <v/>
      </c>
      <c r="DFP3" t="str">
        <f>IFERROR(IF($C3="","",SUMIFS(Ledger!$K$2:$K$4, Ledger!$B$2:$B$4, $A3, Ledger!$C$2:$C$4, DFP$2)),"****")</f>
        <v/>
      </c>
      <c r="DFQ3" t="str">
        <f>IFERROR(IF($C3="","",SUMIFS(Ledger!$K$2:$K$4, Ledger!$B$2:$B$4, $A3, Ledger!$C$2:$C$4, DFQ$2)),"****")</f>
        <v/>
      </c>
      <c r="DFR3" t="str">
        <f>IFERROR(IF($C3="","",SUMIFS(Ledger!$K$2:$K$4, Ledger!$B$2:$B$4, $A3, Ledger!$C$2:$C$4, DFR$2)),"****")</f>
        <v/>
      </c>
      <c r="DFS3" t="str">
        <f>IFERROR(IF($C3="","",SUMIFS(Ledger!$K$2:$K$4, Ledger!$B$2:$B$4, $A3, Ledger!$C$2:$C$4, DFS$2)),"****")</f>
        <v/>
      </c>
      <c r="DFT3" t="str">
        <f>IFERROR(IF($C3="","",SUMIFS(Ledger!$K$2:$K$4, Ledger!$B$2:$B$4, $A3, Ledger!$C$2:$C$4, DFT$2)),"****")</f>
        <v/>
      </c>
      <c r="DFU3" t="str">
        <f>IFERROR(IF($C3="","",SUMIFS(Ledger!$K$2:$K$4, Ledger!$B$2:$B$4, $A3, Ledger!$C$2:$C$4, DFU$2)),"****")</f>
        <v/>
      </c>
      <c r="DFV3" t="str">
        <f>IFERROR(IF($C3="","",SUMIFS(Ledger!$K$2:$K$4, Ledger!$B$2:$B$4, $A3, Ledger!$C$2:$C$4, DFV$2)),"****")</f>
        <v/>
      </c>
      <c r="DFW3" t="str">
        <f>IFERROR(IF($C3="","",SUMIFS(Ledger!$K$2:$K$4, Ledger!$B$2:$B$4, $A3, Ledger!$C$2:$C$4, DFW$2)),"****")</f>
        <v/>
      </c>
      <c r="DFX3" t="str">
        <f>IFERROR(IF($C3="","",SUMIFS(Ledger!$K$2:$K$4, Ledger!$B$2:$B$4, $A3, Ledger!$C$2:$C$4, DFX$2)),"****")</f>
        <v/>
      </c>
      <c r="DFY3" t="str">
        <f>IFERROR(IF($C3="","",SUMIFS(Ledger!$K$2:$K$4, Ledger!$B$2:$B$4, $A3, Ledger!$C$2:$C$4, DFY$2)),"****")</f>
        <v/>
      </c>
      <c r="DFZ3" t="str">
        <f>IFERROR(IF($C3="","",SUMIFS(Ledger!$K$2:$K$4, Ledger!$B$2:$B$4, $A3, Ledger!$C$2:$C$4, DFZ$2)),"****")</f>
        <v/>
      </c>
      <c r="DGA3" t="str">
        <f>IFERROR(IF($C3="","",SUMIFS(Ledger!$K$2:$K$4, Ledger!$B$2:$B$4, $A3, Ledger!$C$2:$C$4, DGA$2)),"****")</f>
        <v/>
      </c>
      <c r="DGB3" t="str">
        <f>IFERROR(IF($C3="","",SUMIFS(Ledger!$K$2:$K$4, Ledger!$B$2:$B$4, $A3, Ledger!$C$2:$C$4, DGB$2)),"****")</f>
        <v/>
      </c>
      <c r="DGC3" t="str">
        <f>IFERROR(IF($C3="","",SUMIFS(Ledger!$K$2:$K$4, Ledger!$B$2:$B$4, $A3, Ledger!$C$2:$C$4, DGC$2)),"****")</f>
        <v/>
      </c>
      <c r="DGD3" t="str">
        <f>IFERROR(IF($C3="","",SUMIFS(Ledger!$K$2:$K$4, Ledger!$B$2:$B$4, $A3, Ledger!$C$2:$C$4, DGD$2)),"****")</f>
        <v/>
      </c>
      <c r="DGE3" t="str">
        <f>IFERROR(IF($C3="","",SUMIFS(Ledger!$K$2:$K$4, Ledger!$B$2:$B$4, $A3, Ledger!$C$2:$C$4, DGE$2)),"****")</f>
        <v/>
      </c>
      <c r="DGF3" t="str">
        <f>IFERROR(IF($C3="","",SUMIFS(Ledger!$K$2:$K$4, Ledger!$B$2:$B$4, $A3, Ledger!$C$2:$C$4, DGF$2)),"****")</f>
        <v/>
      </c>
      <c r="DGG3" t="str">
        <f>IFERROR(IF($C3="","",SUMIFS(Ledger!$K$2:$K$4, Ledger!$B$2:$B$4, $A3, Ledger!$C$2:$C$4, DGG$2)),"****")</f>
        <v/>
      </c>
      <c r="DGH3" t="str">
        <f>IFERROR(IF($C3="","",SUMIFS(Ledger!$K$2:$K$4, Ledger!$B$2:$B$4, $A3, Ledger!$C$2:$C$4, DGH$2)),"****")</f>
        <v/>
      </c>
      <c r="DGI3" t="str">
        <f>IFERROR(IF($C3="","",SUMIFS(Ledger!$K$2:$K$4, Ledger!$B$2:$B$4, $A3, Ledger!$C$2:$C$4, DGI$2)),"****")</f>
        <v/>
      </c>
      <c r="DGJ3" t="str">
        <f>IFERROR(IF($C3="","",SUMIFS(Ledger!$K$2:$K$4, Ledger!$B$2:$B$4, $A3, Ledger!$C$2:$C$4, DGJ$2)),"****")</f>
        <v/>
      </c>
      <c r="DGK3" t="str">
        <f>IFERROR(IF($C3="","",SUMIFS(Ledger!$K$2:$K$4, Ledger!$B$2:$B$4, $A3, Ledger!$C$2:$C$4, DGK$2)),"****")</f>
        <v/>
      </c>
      <c r="DGL3" t="str">
        <f>IFERROR(IF($C3="","",SUMIFS(Ledger!$K$2:$K$4, Ledger!$B$2:$B$4, $A3, Ledger!$C$2:$C$4, DGL$2)),"****")</f>
        <v/>
      </c>
      <c r="DGM3" t="str">
        <f>IFERROR(IF($C3="","",SUMIFS(Ledger!$K$2:$K$4, Ledger!$B$2:$B$4, $A3, Ledger!$C$2:$C$4, DGM$2)),"****")</f>
        <v/>
      </c>
      <c r="DGN3" t="str">
        <f>IFERROR(IF($C3="","",SUMIFS(Ledger!$K$2:$K$4, Ledger!$B$2:$B$4, $A3, Ledger!$C$2:$C$4, DGN$2)),"****")</f>
        <v/>
      </c>
      <c r="DGO3" t="str">
        <f>IFERROR(IF($C3="","",SUMIFS(Ledger!$K$2:$K$4, Ledger!$B$2:$B$4, $A3, Ledger!$C$2:$C$4, DGO$2)),"****")</f>
        <v/>
      </c>
      <c r="DGP3" t="str">
        <f>IFERROR(IF($C3="","",SUMIFS(Ledger!$K$2:$K$4, Ledger!$B$2:$B$4, $A3, Ledger!$C$2:$C$4, DGP$2)),"****")</f>
        <v/>
      </c>
      <c r="DGQ3" t="str">
        <f>IFERROR(IF($C3="","",SUMIFS(Ledger!$K$2:$K$4, Ledger!$B$2:$B$4, $A3, Ledger!$C$2:$C$4, DGQ$2)),"****")</f>
        <v/>
      </c>
      <c r="DGR3" t="str">
        <f>IFERROR(IF($C3="","",SUMIFS(Ledger!$K$2:$K$4, Ledger!$B$2:$B$4, $A3, Ledger!$C$2:$C$4, DGR$2)),"****")</f>
        <v/>
      </c>
      <c r="DGS3" t="str">
        <f>IFERROR(IF($C3="","",SUMIFS(Ledger!$K$2:$K$4, Ledger!$B$2:$B$4, $A3, Ledger!$C$2:$C$4, DGS$2)),"****")</f>
        <v/>
      </c>
      <c r="DGT3" t="str">
        <f>IFERROR(IF($C3="","",SUMIFS(Ledger!$K$2:$K$4, Ledger!$B$2:$B$4, $A3, Ledger!$C$2:$C$4, DGT$2)),"****")</f>
        <v/>
      </c>
      <c r="DGU3" t="str">
        <f>IFERROR(IF($C3="","",SUMIFS(Ledger!$K$2:$K$4, Ledger!$B$2:$B$4, $A3, Ledger!$C$2:$C$4, DGU$2)),"****")</f>
        <v/>
      </c>
      <c r="DGV3" t="str">
        <f>IFERROR(IF($C3="","",SUMIFS(Ledger!$K$2:$K$4, Ledger!$B$2:$B$4, $A3, Ledger!$C$2:$C$4, DGV$2)),"****")</f>
        <v/>
      </c>
      <c r="DGW3" t="str">
        <f>IFERROR(IF($C3="","",SUMIFS(Ledger!$K$2:$K$4, Ledger!$B$2:$B$4, $A3, Ledger!$C$2:$C$4, DGW$2)),"****")</f>
        <v/>
      </c>
      <c r="DGX3" t="str">
        <f>IFERROR(IF($C3="","",SUMIFS(Ledger!$K$2:$K$4, Ledger!$B$2:$B$4, $A3, Ledger!$C$2:$C$4, DGX$2)),"****")</f>
        <v/>
      </c>
      <c r="DGY3" t="str">
        <f>IFERROR(IF($C3="","",SUMIFS(Ledger!$K$2:$K$4, Ledger!$B$2:$B$4, $A3, Ledger!$C$2:$C$4, DGY$2)),"****")</f>
        <v/>
      </c>
      <c r="DGZ3" t="str">
        <f>IFERROR(IF($C3="","",SUMIFS(Ledger!$K$2:$K$4, Ledger!$B$2:$B$4, $A3, Ledger!$C$2:$C$4, DGZ$2)),"****")</f>
        <v/>
      </c>
      <c r="DHA3" t="str">
        <f>IFERROR(IF($C3="","",SUMIFS(Ledger!$K$2:$K$4, Ledger!$B$2:$B$4, $A3, Ledger!$C$2:$C$4, DHA$2)),"****")</f>
        <v/>
      </c>
      <c r="DHB3" t="str">
        <f>IFERROR(IF($C3="","",SUMIFS(Ledger!$K$2:$K$4, Ledger!$B$2:$B$4, $A3, Ledger!$C$2:$C$4, DHB$2)),"****")</f>
        <v/>
      </c>
      <c r="DHC3" t="str">
        <f>IFERROR(IF($C3="","",SUMIFS(Ledger!$K$2:$K$4, Ledger!$B$2:$B$4, $A3, Ledger!$C$2:$C$4, DHC$2)),"****")</f>
        <v/>
      </c>
      <c r="DHD3" t="str">
        <f>IFERROR(IF($C3="","",SUMIFS(Ledger!$K$2:$K$4, Ledger!$B$2:$B$4, $A3, Ledger!$C$2:$C$4, DHD$2)),"****")</f>
        <v/>
      </c>
      <c r="DHE3" t="str">
        <f>IFERROR(IF($C3="","",SUMIFS(Ledger!$K$2:$K$4, Ledger!$B$2:$B$4, $A3, Ledger!$C$2:$C$4, DHE$2)),"****")</f>
        <v/>
      </c>
      <c r="DHF3" t="str">
        <f>IFERROR(IF($C3="","",SUMIFS(Ledger!$K$2:$K$4, Ledger!$B$2:$B$4, $A3, Ledger!$C$2:$C$4, DHF$2)),"****")</f>
        <v/>
      </c>
      <c r="DHG3" t="str">
        <f>IFERROR(IF($C3="","",SUMIFS(Ledger!$K$2:$K$4, Ledger!$B$2:$B$4, $A3, Ledger!$C$2:$C$4, DHG$2)),"****")</f>
        <v/>
      </c>
      <c r="DHH3" t="str">
        <f>IFERROR(IF($C3="","",SUMIFS(Ledger!$K$2:$K$4, Ledger!$B$2:$B$4, $A3, Ledger!$C$2:$C$4, DHH$2)),"****")</f>
        <v/>
      </c>
      <c r="DHI3" t="str">
        <f>IFERROR(IF($C3="","",SUMIFS(Ledger!$K$2:$K$4, Ledger!$B$2:$B$4, $A3, Ledger!$C$2:$C$4, DHI$2)),"****")</f>
        <v/>
      </c>
      <c r="DHJ3" t="str">
        <f>IFERROR(IF($C3="","",SUMIFS(Ledger!$K$2:$K$4, Ledger!$B$2:$B$4, $A3, Ledger!$C$2:$C$4, DHJ$2)),"****")</f>
        <v/>
      </c>
      <c r="DHK3" t="str">
        <f>IFERROR(IF($C3="","",SUMIFS(Ledger!$K$2:$K$4, Ledger!$B$2:$B$4, $A3, Ledger!$C$2:$C$4, DHK$2)),"****")</f>
        <v/>
      </c>
      <c r="DHL3" t="str">
        <f>IFERROR(IF($C3="","",SUMIFS(Ledger!$K$2:$K$4, Ledger!$B$2:$B$4, $A3, Ledger!$C$2:$C$4, DHL$2)),"****")</f>
        <v/>
      </c>
      <c r="DHM3" t="str">
        <f>IFERROR(IF($C3="","",SUMIFS(Ledger!$K$2:$K$4, Ledger!$B$2:$B$4, $A3, Ledger!$C$2:$C$4, DHM$2)),"****")</f>
        <v/>
      </c>
      <c r="DHN3" t="str">
        <f>IFERROR(IF($C3="","",SUMIFS(Ledger!$K$2:$K$4, Ledger!$B$2:$B$4, $A3, Ledger!$C$2:$C$4, DHN$2)),"****")</f>
        <v/>
      </c>
      <c r="DHO3" t="str">
        <f>IFERROR(IF($C3="","",SUMIFS(Ledger!$K$2:$K$4, Ledger!$B$2:$B$4, $A3, Ledger!$C$2:$C$4, DHO$2)),"****")</f>
        <v/>
      </c>
      <c r="DHP3" t="str">
        <f>IFERROR(IF($C3="","",SUMIFS(Ledger!$K$2:$K$4, Ledger!$B$2:$B$4, $A3, Ledger!$C$2:$C$4, DHP$2)),"****")</f>
        <v/>
      </c>
      <c r="DHQ3" t="str">
        <f>IFERROR(IF($C3="","",SUMIFS(Ledger!$K$2:$K$4, Ledger!$B$2:$B$4, $A3, Ledger!$C$2:$C$4, DHQ$2)),"****")</f>
        <v/>
      </c>
      <c r="DHR3" t="str">
        <f>IFERROR(IF($C3="","",SUMIFS(Ledger!$K$2:$K$4, Ledger!$B$2:$B$4, $A3, Ledger!$C$2:$C$4, DHR$2)),"****")</f>
        <v/>
      </c>
      <c r="DHS3" t="str">
        <f>IFERROR(IF($C3="","",SUMIFS(Ledger!$K$2:$K$4, Ledger!$B$2:$B$4, $A3, Ledger!$C$2:$C$4, DHS$2)),"****")</f>
        <v/>
      </c>
      <c r="DHT3" t="str">
        <f>IFERROR(IF($C3="","",SUMIFS(Ledger!$K$2:$K$4, Ledger!$B$2:$B$4, $A3, Ledger!$C$2:$C$4, DHT$2)),"****")</f>
        <v/>
      </c>
      <c r="DHU3" t="str">
        <f>IFERROR(IF($C3="","",SUMIFS(Ledger!$K$2:$K$4, Ledger!$B$2:$B$4, $A3, Ledger!$C$2:$C$4, DHU$2)),"****")</f>
        <v/>
      </c>
      <c r="DHV3" t="str">
        <f>IFERROR(IF($C3="","",SUMIFS(Ledger!$K$2:$K$4, Ledger!$B$2:$B$4, $A3, Ledger!$C$2:$C$4, DHV$2)),"****")</f>
        <v/>
      </c>
      <c r="DHW3" t="str">
        <f>IFERROR(IF($C3="","",SUMIFS(Ledger!$K$2:$K$4, Ledger!$B$2:$B$4, $A3, Ledger!$C$2:$C$4, DHW$2)),"****")</f>
        <v/>
      </c>
      <c r="DHX3" t="str">
        <f>IFERROR(IF($C3="","",SUMIFS(Ledger!$K$2:$K$4, Ledger!$B$2:$B$4, $A3, Ledger!$C$2:$C$4, DHX$2)),"****")</f>
        <v/>
      </c>
      <c r="DHY3" t="str">
        <f>IFERROR(IF($C3="","",SUMIFS(Ledger!$K$2:$K$4, Ledger!$B$2:$B$4, $A3, Ledger!$C$2:$C$4, DHY$2)),"****")</f>
        <v/>
      </c>
      <c r="DHZ3" t="str">
        <f>IFERROR(IF($C3="","",SUMIFS(Ledger!$K$2:$K$4, Ledger!$B$2:$B$4, $A3, Ledger!$C$2:$C$4, DHZ$2)),"****")</f>
        <v/>
      </c>
      <c r="DIA3" t="str">
        <f>IFERROR(IF($C3="","",SUMIFS(Ledger!$K$2:$K$4, Ledger!$B$2:$B$4, $A3, Ledger!$C$2:$C$4, DIA$2)),"****")</f>
        <v/>
      </c>
      <c r="DIB3" t="str">
        <f>IFERROR(IF($C3="","",SUMIFS(Ledger!$K$2:$K$4, Ledger!$B$2:$B$4, $A3, Ledger!$C$2:$C$4, DIB$2)),"****")</f>
        <v/>
      </c>
      <c r="DIC3" t="str">
        <f>IFERROR(IF($C3="","",SUMIFS(Ledger!$K$2:$K$4, Ledger!$B$2:$B$4, $A3, Ledger!$C$2:$C$4, DIC$2)),"****")</f>
        <v/>
      </c>
      <c r="DID3" t="str">
        <f>IFERROR(IF($C3="","",SUMIFS(Ledger!$K$2:$K$4, Ledger!$B$2:$B$4, $A3, Ledger!$C$2:$C$4, DID$2)),"****")</f>
        <v/>
      </c>
      <c r="DIE3" t="str">
        <f>IFERROR(IF($C3="","",SUMIFS(Ledger!$K$2:$K$4, Ledger!$B$2:$B$4, $A3, Ledger!$C$2:$C$4, DIE$2)),"****")</f>
        <v/>
      </c>
      <c r="DIF3" t="str">
        <f>IFERROR(IF($C3="","",SUMIFS(Ledger!$K$2:$K$4, Ledger!$B$2:$B$4, $A3, Ledger!$C$2:$C$4, DIF$2)),"****")</f>
        <v/>
      </c>
      <c r="DIG3" t="str">
        <f>IFERROR(IF($C3="","",SUMIFS(Ledger!$K$2:$K$4, Ledger!$B$2:$B$4, $A3, Ledger!$C$2:$C$4, DIG$2)),"****")</f>
        <v/>
      </c>
      <c r="DIH3" t="str">
        <f>IFERROR(IF($C3="","",SUMIFS(Ledger!$K$2:$K$4, Ledger!$B$2:$B$4, $A3, Ledger!$C$2:$C$4, DIH$2)),"****")</f>
        <v/>
      </c>
      <c r="DII3" t="str">
        <f>IFERROR(IF($C3="","",SUMIFS(Ledger!$K$2:$K$4, Ledger!$B$2:$B$4, $A3, Ledger!$C$2:$C$4, DII$2)),"****")</f>
        <v/>
      </c>
      <c r="DIJ3" t="str">
        <f>IFERROR(IF($C3="","",SUMIFS(Ledger!$K$2:$K$4, Ledger!$B$2:$B$4, $A3, Ledger!$C$2:$C$4, DIJ$2)),"****")</f>
        <v/>
      </c>
      <c r="DIK3" t="str">
        <f>IFERROR(IF($C3="","",SUMIFS(Ledger!$K$2:$K$4, Ledger!$B$2:$B$4, $A3, Ledger!$C$2:$C$4, DIK$2)),"****")</f>
        <v/>
      </c>
      <c r="DIL3" t="str">
        <f>IFERROR(IF($C3="","",SUMIFS(Ledger!$K$2:$K$4, Ledger!$B$2:$B$4, $A3, Ledger!$C$2:$C$4, DIL$2)),"****")</f>
        <v/>
      </c>
      <c r="DIM3" t="str">
        <f>IFERROR(IF($C3="","",SUMIFS(Ledger!$K$2:$K$4, Ledger!$B$2:$B$4, $A3, Ledger!$C$2:$C$4, DIM$2)),"****")</f>
        <v/>
      </c>
      <c r="DIN3" t="str">
        <f>IFERROR(IF($C3="","",SUMIFS(Ledger!$K$2:$K$4, Ledger!$B$2:$B$4, $A3, Ledger!$C$2:$C$4, DIN$2)),"****")</f>
        <v/>
      </c>
      <c r="DIO3" t="str">
        <f>IFERROR(IF($C3="","",SUMIFS(Ledger!$K$2:$K$4, Ledger!$B$2:$B$4, $A3, Ledger!$C$2:$C$4, DIO$2)),"****")</f>
        <v/>
      </c>
      <c r="DIP3" t="str">
        <f>IFERROR(IF($C3="","",SUMIFS(Ledger!$K$2:$K$4, Ledger!$B$2:$B$4, $A3, Ledger!$C$2:$C$4, DIP$2)),"****")</f>
        <v/>
      </c>
      <c r="DIQ3" t="str">
        <f>IFERROR(IF($C3="","",SUMIFS(Ledger!$K$2:$K$4, Ledger!$B$2:$B$4, $A3, Ledger!$C$2:$C$4, DIQ$2)),"****")</f>
        <v/>
      </c>
      <c r="DIR3" t="str">
        <f>IFERROR(IF($C3="","",SUMIFS(Ledger!$K$2:$K$4, Ledger!$B$2:$B$4, $A3, Ledger!$C$2:$C$4, DIR$2)),"****")</f>
        <v/>
      </c>
      <c r="DIS3" t="str">
        <f>IFERROR(IF($C3="","",SUMIFS(Ledger!$K$2:$K$4, Ledger!$B$2:$B$4, $A3, Ledger!$C$2:$C$4, DIS$2)),"****")</f>
        <v/>
      </c>
      <c r="DIT3" t="str">
        <f>IFERROR(IF($C3="","",SUMIFS(Ledger!$K$2:$K$4, Ledger!$B$2:$B$4, $A3, Ledger!$C$2:$C$4, DIT$2)),"****")</f>
        <v/>
      </c>
      <c r="DIU3" t="str">
        <f>IFERROR(IF($C3="","",SUMIFS(Ledger!$K$2:$K$4, Ledger!$B$2:$B$4, $A3, Ledger!$C$2:$C$4, DIU$2)),"****")</f>
        <v/>
      </c>
      <c r="DIV3" t="str">
        <f>IFERROR(IF($C3="","",SUMIFS(Ledger!$K$2:$K$4, Ledger!$B$2:$B$4, $A3, Ledger!$C$2:$C$4, DIV$2)),"****")</f>
        <v/>
      </c>
      <c r="DIW3" t="str">
        <f>IFERROR(IF($C3="","",SUMIFS(Ledger!$K$2:$K$4, Ledger!$B$2:$B$4, $A3, Ledger!$C$2:$C$4, DIW$2)),"****")</f>
        <v/>
      </c>
      <c r="DIX3" t="str">
        <f>IFERROR(IF($C3="","",SUMIFS(Ledger!$K$2:$K$4, Ledger!$B$2:$B$4, $A3, Ledger!$C$2:$C$4, DIX$2)),"****")</f>
        <v/>
      </c>
      <c r="DIY3" t="str">
        <f>IFERROR(IF($C3="","",SUMIFS(Ledger!$K$2:$K$4, Ledger!$B$2:$B$4, $A3, Ledger!$C$2:$C$4, DIY$2)),"****")</f>
        <v/>
      </c>
      <c r="DIZ3" t="str">
        <f>IFERROR(IF($C3="","",SUMIFS(Ledger!$K$2:$K$4, Ledger!$B$2:$B$4, $A3, Ledger!$C$2:$C$4, DIZ$2)),"****")</f>
        <v/>
      </c>
      <c r="DJA3" t="str">
        <f>IFERROR(IF($C3="","",SUMIFS(Ledger!$K$2:$K$4, Ledger!$B$2:$B$4, $A3, Ledger!$C$2:$C$4, DJA$2)),"****")</f>
        <v/>
      </c>
      <c r="DJB3" t="str">
        <f>IFERROR(IF($C3="","",SUMIFS(Ledger!$K$2:$K$4, Ledger!$B$2:$B$4, $A3, Ledger!$C$2:$C$4, DJB$2)),"****")</f>
        <v/>
      </c>
      <c r="DJC3" t="str">
        <f>IFERROR(IF($C3="","",SUMIFS(Ledger!$K$2:$K$4, Ledger!$B$2:$B$4, $A3, Ledger!$C$2:$C$4, DJC$2)),"****")</f>
        <v/>
      </c>
      <c r="DJD3" t="str">
        <f>IFERROR(IF($C3="","",SUMIFS(Ledger!$K$2:$K$4, Ledger!$B$2:$B$4, $A3, Ledger!$C$2:$C$4, DJD$2)),"****")</f>
        <v/>
      </c>
      <c r="DJE3" t="str">
        <f>IFERROR(IF($C3="","",SUMIFS(Ledger!$K$2:$K$4, Ledger!$B$2:$B$4, $A3, Ledger!$C$2:$C$4, DJE$2)),"****")</f>
        <v/>
      </c>
      <c r="DJF3" t="str">
        <f>IFERROR(IF($C3="","",SUMIFS(Ledger!$K$2:$K$4, Ledger!$B$2:$B$4, $A3, Ledger!$C$2:$C$4, DJF$2)),"****")</f>
        <v/>
      </c>
      <c r="DJG3" t="str">
        <f>IFERROR(IF($C3="","",SUMIFS(Ledger!$K$2:$K$4, Ledger!$B$2:$B$4, $A3, Ledger!$C$2:$C$4, DJG$2)),"****")</f>
        <v/>
      </c>
      <c r="DJH3" t="str">
        <f>IFERROR(IF($C3="","",SUMIFS(Ledger!$K$2:$K$4, Ledger!$B$2:$B$4, $A3, Ledger!$C$2:$C$4, DJH$2)),"****")</f>
        <v/>
      </c>
      <c r="DJI3" t="str">
        <f>IFERROR(IF($C3="","",SUMIFS(Ledger!$K$2:$K$4, Ledger!$B$2:$B$4, $A3, Ledger!$C$2:$C$4, DJI$2)),"****")</f>
        <v/>
      </c>
      <c r="DJJ3" t="str">
        <f>IFERROR(IF($C3="","",SUMIFS(Ledger!$K$2:$K$4, Ledger!$B$2:$B$4, $A3, Ledger!$C$2:$C$4, DJJ$2)),"****")</f>
        <v/>
      </c>
      <c r="DJK3" t="str">
        <f>IFERROR(IF($C3="","",SUMIFS(Ledger!$K$2:$K$4, Ledger!$B$2:$B$4, $A3, Ledger!$C$2:$C$4, DJK$2)),"****")</f>
        <v/>
      </c>
      <c r="DJL3" t="str">
        <f>IFERROR(IF($C3="","",SUMIFS(Ledger!$K$2:$K$4, Ledger!$B$2:$B$4, $A3, Ledger!$C$2:$C$4, DJL$2)),"****")</f>
        <v/>
      </c>
      <c r="DJM3" t="str">
        <f>IFERROR(IF($C3="","",SUMIFS(Ledger!$K$2:$K$4, Ledger!$B$2:$B$4, $A3, Ledger!$C$2:$C$4, DJM$2)),"****")</f>
        <v/>
      </c>
      <c r="DJN3" t="str">
        <f>IFERROR(IF($C3="","",SUMIFS(Ledger!$K$2:$K$4, Ledger!$B$2:$B$4, $A3, Ledger!$C$2:$C$4, DJN$2)),"****")</f>
        <v/>
      </c>
      <c r="DJO3" t="str">
        <f>IFERROR(IF($C3="","",SUMIFS(Ledger!$K$2:$K$4, Ledger!$B$2:$B$4, $A3, Ledger!$C$2:$C$4, DJO$2)),"****")</f>
        <v/>
      </c>
      <c r="DJP3" t="str">
        <f>IFERROR(IF($C3="","",SUMIFS(Ledger!$K$2:$K$4, Ledger!$B$2:$B$4, $A3, Ledger!$C$2:$C$4, DJP$2)),"****")</f>
        <v/>
      </c>
      <c r="DJQ3" t="str">
        <f>IFERROR(IF($C3="","",SUMIFS(Ledger!$K$2:$K$4, Ledger!$B$2:$B$4, $A3, Ledger!$C$2:$C$4, DJQ$2)),"****")</f>
        <v/>
      </c>
      <c r="DJR3" t="str">
        <f>IFERROR(IF($C3="","",SUMIFS(Ledger!$K$2:$K$4, Ledger!$B$2:$B$4, $A3, Ledger!$C$2:$C$4, DJR$2)),"****")</f>
        <v/>
      </c>
      <c r="DJS3" t="str">
        <f>IFERROR(IF($C3="","",SUMIFS(Ledger!$K$2:$K$4, Ledger!$B$2:$B$4, $A3, Ledger!$C$2:$C$4, DJS$2)),"****")</f>
        <v/>
      </c>
      <c r="DJT3" t="str">
        <f>IFERROR(IF($C3="","",SUMIFS(Ledger!$K$2:$K$4, Ledger!$B$2:$B$4, $A3, Ledger!$C$2:$C$4, DJT$2)),"****")</f>
        <v/>
      </c>
      <c r="DJU3" t="str">
        <f>IFERROR(IF($C3="","",SUMIFS(Ledger!$K$2:$K$4, Ledger!$B$2:$B$4, $A3, Ledger!$C$2:$C$4, DJU$2)),"****")</f>
        <v/>
      </c>
      <c r="DJV3" t="str">
        <f>IFERROR(IF($C3="","",SUMIFS(Ledger!$K$2:$K$4, Ledger!$B$2:$B$4, $A3, Ledger!$C$2:$C$4, DJV$2)),"****")</f>
        <v/>
      </c>
      <c r="DJW3" t="str">
        <f>IFERROR(IF($C3="","",SUMIFS(Ledger!$K$2:$K$4, Ledger!$B$2:$B$4, $A3, Ledger!$C$2:$C$4, DJW$2)),"****")</f>
        <v/>
      </c>
      <c r="DJX3" t="str">
        <f>IFERROR(IF($C3="","",SUMIFS(Ledger!$K$2:$K$4, Ledger!$B$2:$B$4, $A3, Ledger!$C$2:$C$4, DJX$2)),"****")</f>
        <v/>
      </c>
      <c r="DJY3" t="str">
        <f>IFERROR(IF($C3="","",SUMIFS(Ledger!$K$2:$K$4, Ledger!$B$2:$B$4, $A3, Ledger!$C$2:$C$4, DJY$2)),"****")</f>
        <v/>
      </c>
      <c r="DJZ3" t="str">
        <f>IFERROR(IF($C3="","",SUMIFS(Ledger!$K$2:$K$4, Ledger!$B$2:$B$4, $A3, Ledger!$C$2:$C$4, DJZ$2)),"****")</f>
        <v/>
      </c>
      <c r="DKA3" t="str">
        <f>IFERROR(IF($C3="","",SUMIFS(Ledger!$K$2:$K$4, Ledger!$B$2:$B$4, $A3, Ledger!$C$2:$C$4, DKA$2)),"****")</f>
        <v/>
      </c>
      <c r="DKB3" t="str">
        <f>IFERROR(IF($C3="","",SUMIFS(Ledger!$K$2:$K$4, Ledger!$B$2:$B$4, $A3, Ledger!$C$2:$C$4, DKB$2)),"****")</f>
        <v/>
      </c>
      <c r="DKC3" t="str">
        <f>IFERROR(IF($C3="","",SUMIFS(Ledger!$K$2:$K$4, Ledger!$B$2:$B$4, $A3, Ledger!$C$2:$C$4, DKC$2)),"****")</f>
        <v/>
      </c>
      <c r="DKD3" t="str">
        <f>IFERROR(IF($C3="","",SUMIFS(Ledger!$K$2:$K$4, Ledger!$B$2:$B$4, $A3, Ledger!$C$2:$C$4, DKD$2)),"****")</f>
        <v/>
      </c>
      <c r="DKE3" t="str">
        <f>IFERROR(IF($C3="","",SUMIFS(Ledger!$K$2:$K$4, Ledger!$B$2:$B$4, $A3, Ledger!$C$2:$C$4, DKE$2)),"****")</f>
        <v/>
      </c>
      <c r="DKF3" t="str">
        <f>IFERROR(IF($C3="","",SUMIFS(Ledger!$K$2:$K$4, Ledger!$B$2:$B$4, $A3, Ledger!$C$2:$C$4, DKF$2)),"****")</f>
        <v/>
      </c>
      <c r="DKG3" t="str">
        <f>IFERROR(IF($C3="","",SUMIFS(Ledger!$K$2:$K$4, Ledger!$B$2:$B$4, $A3, Ledger!$C$2:$C$4, DKG$2)),"****")</f>
        <v/>
      </c>
      <c r="DKH3" t="str">
        <f>IFERROR(IF($C3="","",SUMIFS(Ledger!$K$2:$K$4, Ledger!$B$2:$B$4, $A3, Ledger!$C$2:$C$4, DKH$2)),"****")</f>
        <v/>
      </c>
      <c r="DKI3" t="str">
        <f>IFERROR(IF($C3="","",SUMIFS(Ledger!$K$2:$K$4, Ledger!$B$2:$B$4, $A3, Ledger!$C$2:$C$4, DKI$2)),"****")</f>
        <v/>
      </c>
      <c r="DKJ3" t="str">
        <f>IFERROR(IF($C3="","",SUMIFS(Ledger!$K$2:$K$4, Ledger!$B$2:$B$4, $A3, Ledger!$C$2:$C$4, DKJ$2)),"****")</f>
        <v/>
      </c>
      <c r="DKK3" t="str">
        <f>IFERROR(IF($C3="","",SUMIFS(Ledger!$K$2:$K$4, Ledger!$B$2:$B$4, $A3, Ledger!$C$2:$C$4, DKK$2)),"****")</f>
        <v/>
      </c>
      <c r="DKL3" t="str">
        <f>IFERROR(IF($C3="","",SUMIFS(Ledger!$K$2:$K$4, Ledger!$B$2:$B$4, $A3, Ledger!$C$2:$C$4, DKL$2)),"****")</f>
        <v/>
      </c>
      <c r="DKM3" t="str">
        <f>IFERROR(IF($C3="","",SUMIFS(Ledger!$K$2:$K$4, Ledger!$B$2:$B$4, $A3, Ledger!$C$2:$C$4, DKM$2)),"****")</f>
        <v/>
      </c>
      <c r="DKN3" t="str">
        <f>IFERROR(IF($C3="","",SUMIFS(Ledger!$K$2:$K$4, Ledger!$B$2:$B$4, $A3, Ledger!$C$2:$C$4, DKN$2)),"****")</f>
        <v/>
      </c>
      <c r="DKO3" t="str">
        <f>IFERROR(IF($C3="","",SUMIFS(Ledger!$K$2:$K$4, Ledger!$B$2:$B$4, $A3, Ledger!$C$2:$C$4, DKO$2)),"****")</f>
        <v/>
      </c>
      <c r="DKP3" t="str">
        <f>IFERROR(IF($C3="","",SUMIFS(Ledger!$K$2:$K$4, Ledger!$B$2:$B$4, $A3, Ledger!$C$2:$C$4, DKP$2)),"****")</f>
        <v/>
      </c>
      <c r="DKQ3" t="str">
        <f>IFERROR(IF($C3="","",SUMIFS(Ledger!$K$2:$K$4, Ledger!$B$2:$B$4, $A3, Ledger!$C$2:$C$4, DKQ$2)),"****")</f>
        <v/>
      </c>
      <c r="DKR3" t="str">
        <f>IFERROR(IF($C3="","",SUMIFS(Ledger!$K$2:$K$4, Ledger!$B$2:$B$4, $A3, Ledger!$C$2:$C$4, DKR$2)),"****")</f>
        <v/>
      </c>
      <c r="DKS3" t="str">
        <f>IFERROR(IF($C3="","",SUMIFS(Ledger!$K$2:$K$4, Ledger!$B$2:$B$4, $A3, Ledger!$C$2:$C$4, DKS$2)),"****")</f>
        <v/>
      </c>
      <c r="DKT3" t="str">
        <f>IFERROR(IF($C3="","",SUMIFS(Ledger!$K$2:$K$4, Ledger!$B$2:$B$4, $A3, Ledger!$C$2:$C$4, DKT$2)),"****")</f>
        <v/>
      </c>
      <c r="DKU3" t="str">
        <f>IFERROR(IF($C3="","",SUMIFS(Ledger!$K$2:$K$4, Ledger!$B$2:$B$4, $A3, Ledger!$C$2:$C$4, DKU$2)),"****")</f>
        <v/>
      </c>
      <c r="DKV3" t="str">
        <f>IFERROR(IF($C3="","",SUMIFS(Ledger!$K$2:$K$4, Ledger!$B$2:$B$4, $A3, Ledger!$C$2:$C$4, DKV$2)),"****")</f>
        <v/>
      </c>
      <c r="DKW3" t="str">
        <f>IFERROR(IF($C3="","",SUMIFS(Ledger!$K$2:$K$4, Ledger!$B$2:$B$4, $A3, Ledger!$C$2:$C$4, DKW$2)),"****")</f>
        <v/>
      </c>
      <c r="DKX3" t="str">
        <f>IFERROR(IF($C3="","",SUMIFS(Ledger!$K$2:$K$4, Ledger!$B$2:$B$4, $A3, Ledger!$C$2:$C$4, DKX$2)),"****")</f>
        <v/>
      </c>
      <c r="DKY3" t="str">
        <f>IFERROR(IF($C3="","",SUMIFS(Ledger!$K$2:$K$4, Ledger!$B$2:$B$4, $A3, Ledger!$C$2:$C$4, DKY$2)),"****")</f>
        <v/>
      </c>
      <c r="DKZ3" t="str">
        <f>IFERROR(IF($C3="","",SUMIFS(Ledger!$K$2:$K$4, Ledger!$B$2:$B$4, $A3, Ledger!$C$2:$C$4, DKZ$2)),"****")</f>
        <v/>
      </c>
      <c r="DLA3" t="str">
        <f>IFERROR(IF($C3="","",SUMIFS(Ledger!$K$2:$K$4, Ledger!$B$2:$B$4, $A3, Ledger!$C$2:$C$4, DLA$2)),"****")</f>
        <v/>
      </c>
      <c r="DLB3" t="str">
        <f>IFERROR(IF($C3="","",SUMIFS(Ledger!$K$2:$K$4, Ledger!$B$2:$B$4, $A3, Ledger!$C$2:$C$4, DLB$2)),"****")</f>
        <v/>
      </c>
      <c r="DLC3" t="str">
        <f>IFERROR(IF($C3="","",SUMIFS(Ledger!$K$2:$K$4, Ledger!$B$2:$B$4, $A3, Ledger!$C$2:$C$4, DLC$2)),"****")</f>
        <v/>
      </c>
      <c r="DLD3" t="str">
        <f>IFERROR(IF($C3="","",SUMIFS(Ledger!$K$2:$K$4, Ledger!$B$2:$B$4, $A3, Ledger!$C$2:$C$4, DLD$2)),"****")</f>
        <v/>
      </c>
      <c r="DLE3" t="str">
        <f>IFERROR(IF($C3="","",SUMIFS(Ledger!$K$2:$K$4, Ledger!$B$2:$B$4, $A3, Ledger!$C$2:$C$4, DLE$2)),"****")</f>
        <v/>
      </c>
      <c r="DLF3" t="str">
        <f>IFERROR(IF($C3="","",SUMIFS(Ledger!$K$2:$K$4, Ledger!$B$2:$B$4, $A3, Ledger!$C$2:$C$4, DLF$2)),"****")</f>
        <v/>
      </c>
      <c r="DLG3" t="str">
        <f>IFERROR(IF($C3="","",SUMIFS(Ledger!$K$2:$K$4, Ledger!$B$2:$B$4, $A3, Ledger!$C$2:$C$4, DLG$2)),"****")</f>
        <v/>
      </c>
      <c r="DLH3" t="str">
        <f>IFERROR(IF($C3="","",SUMIFS(Ledger!$K$2:$K$4, Ledger!$B$2:$B$4, $A3, Ledger!$C$2:$C$4, DLH$2)),"****")</f>
        <v/>
      </c>
      <c r="DLI3" t="str">
        <f>IFERROR(IF($C3="","",SUMIFS(Ledger!$K$2:$K$4, Ledger!$B$2:$B$4, $A3, Ledger!$C$2:$C$4, DLI$2)),"****")</f>
        <v/>
      </c>
      <c r="DLJ3" t="str">
        <f>IFERROR(IF($C3="","",SUMIFS(Ledger!$K$2:$K$4, Ledger!$B$2:$B$4, $A3, Ledger!$C$2:$C$4, DLJ$2)),"****")</f>
        <v/>
      </c>
      <c r="DLK3" t="str">
        <f>IFERROR(IF($C3="","",SUMIFS(Ledger!$K$2:$K$4, Ledger!$B$2:$B$4, $A3, Ledger!$C$2:$C$4, DLK$2)),"****")</f>
        <v/>
      </c>
      <c r="DLL3" t="str">
        <f>IFERROR(IF($C3="","",SUMIFS(Ledger!$K$2:$K$4, Ledger!$B$2:$B$4, $A3, Ledger!$C$2:$C$4, DLL$2)),"****")</f>
        <v/>
      </c>
      <c r="DLM3" t="str">
        <f>IFERROR(IF($C3="","",SUMIFS(Ledger!$K$2:$K$4, Ledger!$B$2:$B$4, $A3, Ledger!$C$2:$C$4, DLM$2)),"****")</f>
        <v/>
      </c>
      <c r="DLN3" t="str">
        <f>IFERROR(IF($C3="","",SUMIFS(Ledger!$K$2:$K$4, Ledger!$B$2:$B$4, $A3, Ledger!$C$2:$C$4, DLN$2)),"****")</f>
        <v/>
      </c>
      <c r="DLO3" t="str">
        <f>IFERROR(IF($C3="","",SUMIFS(Ledger!$K$2:$K$4, Ledger!$B$2:$B$4, $A3, Ledger!$C$2:$C$4, DLO$2)),"****")</f>
        <v/>
      </c>
      <c r="DLP3" t="str">
        <f>IFERROR(IF($C3="","",SUMIFS(Ledger!$K$2:$K$4, Ledger!$B$2:$B$4, $A3, Ledger!$C$2:$C$4, DLP$2)),"****")</f>
        <v/>
      </c>
      <c r="DLQ3" t="str">
        <f>IFERROR(IF($C3="","",SUMIFS(Ledger!$K$2:$K$4, Ledger!$B$2:$B$4, $A3, Ledger!$C$2:$C$4, DLQ$2)),"****")</f>
        <v/>
      </c>
      <c r="DLR3" t="str">
        <f>IFERROR(IF($C3="","",SUMIFS(Ledger!$K$2:$K$4, Ledger!$B$2:$B$4, $A3, Ledger!$C$2:$C$4, DLR$2)),"****")</f>
        <v/>
      </c>
      <c r="DLS3" t="str">
        <f>IFERROR(IF($C3="","",SUMIFS(Ledger!$K$2:$K$4, Ledger!$B$2:$B$4, $A3, Ledger!$C$2:$C$4, DLS$2)),"****")</f>
        <v/>
      </c>
      <c r="DLT3" t="str">
        <f>IFERROR(IF($C3="","",SUMIFS(Ledger!$K$2:$K$4, Ledger!$B$2:$B$4, $A3, Ledger!$C$2:$C$4, DLT$2)),"****")</f>
        <v/>
      </c>
      <c r="DLU3" t="str">
        <f>IFERROR(IF($C3="","",SUMIFS(Ledger!$K$2:$K$4, Ledger!$B$2:$B$4, $A3, Ledger!$C$2:$C$4, DLU$2)),"****")</f>
        <v/>
      </c>
      <c r="DLV3" t="str">
        <f>IFERROR(IF($C3="","",SUMIFS(Ledger!$K$2:$K$4, Ledger!$B$2:$B$4, $A3, Ledger!$C$2:$C$4, DLV$2)),"****")</f>
        <v/>
      </c>
      <c r="DLW3" t="str">
        <f>IFERROR(IF($C3="","",SUMIFS(Ledger!$K$2:$K$4, Ledger!$B$2:$B$4, $A3, Ledger!$C$2:$C$4, DLW$2)),"****")</f>
        <v/>
      </c>
      <c r="DLX3" t="str">
        <f>IFERROR(IF($C3="","",SUMIFS(Ledger!$K$2:$K$4, Ledger!$B$2:$B$4, $A3, Ledger!$C$2:$C$4, DLX$2)),"****")</f>
        <v/>
      </c>
      <c r="DLY3" t="str">
        <f>IFERROR(IF($C3="","",SUMIFS(Ledger!$K$2:$K$4, Ledger!$B$2:$B$4, $A3, Ledger!$C$2:$C$4, DLY$2)),"****")</f>
        <v/>
      </c>
      <c r="DLZ3" t="str">
        <f>IFERROR(IF($C3="","",SUMIFS(Ledger!$K$2:$K$4, Ledger!$B$2:$B$4, $A3, Ledger!$C$2:$C$4, DLZ$2)),"****")</f>
        <v/>
      </c>
      <c r="DMA3" t="str">
        <f>IFERROR(IF($C3="","",SUMIFS(Ledger!$K$2:$K$4, Ledger!$B$2:$B$4, $A3, Ledger!$C$2:$C$4, DMA$2)),"****")</f>
        <v/>
      </c>
      <c r="DMB3" t="str">
        <f>IFERROR(IF($C3="","",SUMIFS(Ledger!$K$2:$K$4, Ledger!$B$2:$B$4, $A3, Ledger!$C$2:$C$4, DMB$2)),"****")</f>
        <v/>
      </c>
      <c r="DMC3" t="str">
        <f>IFERROR(IF($C3="","",SUMIFS(Ledger!$K$2:$K$4, Ledger!$B$2:$B$4, $A3, Ledger!$C$2:$C$4, DMC$2)),"****")</f>
        <v/>
      </c>
      <c r="DMD3" t="str">
        <f>IFERROR(IF($C3="","",SUMIFS(Ledger!$K$2:$K$4, Ledger!$B$2:$B$4, $A3, Ledger!$C$2:$C$4, DMD$2)),"****")</f>
        <v/>
      </c>
      <c r="DME3" t="str">
        <f>IFERROR(IF($C3="","",SUMIFS(Ledger!$K$2:$K$4, Ledger!$B$2:$B$4, $A3, Ledger!$C$2:$C$4, DME$2)),"****")</f>
        <v/>
      </c>
      <c r="DMF3" t="str">
        <f>IFERROR(IF($C3="","",SUMIFS(Ledger!$K$2:$K$4, Ledger!$B$2:$B$4, $A3, Ledger!$C$2:$C$4, DMF$2)),"****")</f>
        <v/>
      </c>
      <c r="DMG3" t="str">
        <f>IFERROR(IF($C3="","",SUMIFS(Ledger!$K$2:$K$4, Ledger!$B$2:$B$4, $A3, Ledger!$C$2:$C$4, DMG$2)),"****")</f>
        <v/>
      </c>
      <c r="DMH3" t="str">
        <f>IFERROR(IF($C3="","",SUMIFS(Ledger!$K$2:$K$4, Ledger!$B$2:$B$4, $A3, Ledger!$C$2:$C$4, DMH$2)),"****")</f>
        <v/>
      </c>
      <c r="DMI3" t="str">
        <f>IFERROR(IF($C3="","",SUMIFS(Ledger!$K$2:$K$4, Ledger!$B$2:$B$4, $A3, Ledger!$C$2:$C$4, DMI$2)),"****")</f>
        <v/>
      </c>
      <c r="DMJ3" t="str">
        <f>IFERROR(IF($C3="","",SUMIFS(Ledger!$K$2:$K$4, Ledger!$B$2:$B$4, $A3, Ledger!$C$2:$C$4, DMJ$2)),"****")</f>
        <v/>
      </c>
      <c r="DMK3" t="str">
        <f>IFERROR(IF($C3="","",SUMIFS(Ledger!$K$2:$K$4, Ledger!$B$2:$B$4, $A3, Ledger!$C$2:$C$4, DMK$2)),"****")</f>
        <v/>
      </c>
      <c r="DML3" t="str">
        <f>IFERROR(IF($C3="","",SUMIFS(Ledger!$K$2:$K$4, Ledger!$B$2:$B$4, $A3, Ledger!$C$2:$C$4, DML$2)),"****")</f>
        <v/>
      </c>
      <c r="DMM3" t="str">
        <f>IFERROR(IF($C3="","",SUMIFS(Ledger!$K$2:$K$4, Ledger!$B$2:$B$4, $A3, Ledger!$C$2:$C$4, DMM$2)),"****")</f>
        <v/>
      </c>
      <c r="DMN3" t="str">
        <f>IFERROR(IF($C3="","",SUMIFS(Ledger!$K$2:$K$4, Ledger!$B$2:$B$4, $A3, Ledger!$C$2:$C$4, DMN$2)),"****")</f>
        <v/>
      </c>
      <c r="DMO3" t="str">
        <f>IFERROR(IF($C3="","",SUMIFS(Ledger!$K$2:$K$4, Ledger!$B$2:$B$4, $A3, Ledger!$C$2:$C$4, DMO$2)),"****")</f>
        <v/>
      </c>
      <c r="DMP3" t="str">
        <f>IFERROR(IF($C3="","",SUMIFS(Ledger!$K$2:$K$4, Ledger!$B$2:$B$4, $A3, Ledger!$C$2:$C$4, DMP$2)),"****")</f>
        <v/>
      </c>
      <c r="DMQ3" t="str">
        <f>IFERROR(IF($C3="","",SUMIFS(Ledger!$K$2:$K$4, Ledger!$B$2:$B$4, $A3, Ledger!$C$2:$C$4, DMQ$2)),"****")</f>
        <v/>
      </c>
      <c r="DMR3" t="str">
        <f>IFERROR(IF($C3="","",SUMIFS(Ledger!$K$2:$K$4, Ledger!$B$2:$B$4, $A3, Ledger!$C$2:$C$4, DMR$2)),"****")</f>
        <v/>
      </c>
      <c r="DMS3" t="str">
        <f>IFERROR(IF($C3="","",SUMIFS(Ledger!$K$2:$K$4, Ledger!$B$2:$B$4, $A3, Ledger!$C$2:$C$4, DMS$2)),"****")</f>
        <v/>
      </c>
      <c r="DMT3" t="str">
        <f>IFERROR(IF($C3="","",SUMIFS(Ledger!$K$2:$K$4, Ledger!$B$2:$B$4, $A3, Ledger!$C$2:$C$4, DMT$2)),"****")</f>
        <v/>
      </c>
      <c r="DMU3" t="str">
        <f>IFERROR(IF($C3="","",SUMIFS(Ledger!$K$2:$K$4, Ledger!$B$2:$B$4, $A3, Ledger!$C$2:$C$4, DMU$2)),"****")</f>
        <v/>
      </c>
      <c r="DMV3" t="str">
        <f>IFERROR(IF($C3="","",SUMIFS(Ledger!$K$2:$K$4, Ledger!$B$2:$B$4, $A3, Ledger!$C$2:$C$4, DMV$2)),"****")</f>
        <v/>
      </c>
      <c r="DMW3" t="str">
        <f>IFERROR(IF($C3="","",SUMIFS(Ledger!$K$2:$K$4, Ledger!$B$2:$B$4, $A3, Ledger!$C$2:$C$4, DMW$2)),"****")</f>
        <v/>
      </c>
      <c r="DMX3" t="str">
        <f>IFERROR(IF($C3="","",SUMIFS(Ledger!$K$2:$K$4, Ledger!$B$2:$B$4, $A3, Ledger!$C$2:$C$4, DMX$2)),"****")</f>
        <v/>
      </c>
      <c r="DMY3" t="str">
        <f>IFERROR(IF($C3="","",SUMIFS(Ledger!$K$2:$K$4, Ledger!$B$2:$B$4, $A3, Ledger!$C$2:$C$4, DMY$2)),"****")</f>
        <v/>
      </c>
      <c r="DMZ3" t="str">
        <f>IFERROR(IF($C3="","",SUMIFS(Ledger!$K$2:$K$4, Ledger!$B$2:$B$4, $A3, Ledger!$C$2:$C$4, DMZ$2)),"****")</f>
        <v/>
      </c>
      <c r="DNA3" t="str">
        <f>IFERROR(IF($C3="","",SUMIFS(Ledger!$K$2:$K$4, Ledger!$B$2:$B$4, $A3, Ledger!$C$2:$C$4, DNA$2)),"****")</f>
        <v/>
      </c>
      <c r="DNB3" t="str">
        <f>IFERROR(IF($C3="","",SUMIFS(Ledger!$K$2:$K$4, Ledger!$B$2:$B$4, $A3, Ledger!$C$2:$C$4, DNB$2)),"****")</f>
        <v/>
      </c>
      <c r="DNC3" t="str">
        <f>IFERROR(IF($C3="","",SUMIFS(Ledger!$K$2:$K$4, Ledger!$B$2:$B$4, $A3, Ledger!$C$2:$C$4, DNC$2)),"****")</f>
        <v/>
      </c>
      <c r="DND3" t="str">
        <f>IFERROR(IF($C3="","",SUMIFS(Ledger!$K$2:$K$4, Ledger!$B$2:$B$4, $A3, Ledger!$C$2:$C$4, DND$2)),"****")</f>
        <v/>
      </c>
      <c r="DNE3" t="str">
        <f>IFERROR(IF($C3="","",SUMIFS(Ledger!$K$2:$K$4, Ledger!$B$2:$B$4, $A3, Ledger!$C$2:$C$4, DNE$2)),"****")</f>
        <v/>
      </c>
      <c r="DNF3" t="str">
        <f>IFERROR(IF($C3="","",SUMIFS(Ledger!$K$2:$K$4, Ledger!$B$2:$B$4, $A3, Ledger!$C$2:$C$4, DNF$2)),"****")</f>
        <v/>
      </c>
      <c r="DNG3" t="str">
        <f>IFERROR(IF($C3="","",SUMIFS(Ledger!$K$2:$K$4, Ledger!$B$2:$B$4, $A3, Ledger!$C$2:$C$4, DNG$2)),"****")</f>
        <v/>
      </c>
      <c r="DNH3" t="str">
        <f>IFERROR(IF($C3="","",SUMIFS(Ledger!$K$2:$K$4, Ledger!$B$2:$B$4, $A3, Ledger!$C$2:$C$4, DNH$2)),"****")</f>
        <v/>
      </c>
      <c r="DNI3" t="str">
        <f>IFERROR(IF($C3="","",SUMIFS(Ledger!$K$2:$K$4, Ledger!$B$2:$B$4, $A3, Ledger!$C$2:$C$4, DNI$2)),"****")</f>
        <v/>
      </c>
      <c r="DNJ3" t="str">
        <f>IFERROR(IF($C3="","",SUMIFS(Ledger!$K$2:$K$4, Ledger!$B$2:$B$4, $A3, Ledger!$C$2:$C$4, DNJ$2)),"****")</f>
        <v/>
      </c>
      <c r="DNK3" t="str">
        <f>IFERROR(IF($C3="","",SUMIFS(Ledger!$K$2:$K$4, Ledger!$B$2:$B$4, $A3, Ledger!$C$2:$C$4, DNK$2)),"****")</f>
        <v/>
      </c>
      <c r="DNL3" t="str">
        <f>IFERROR(IF($C3="","",SUMIFS(Ledger!$K$2:$K$4, Ledger!$B$2:$B$4, $A3, Ledger!$C$2:$C$4, DNL$2)),"****")</f>
        <v/>
      </c>
      <c r="DNM3" t="str">
        <f>IFERROR(IF($C3="","",SUMIFS(Ledger!$K$2:$K$4, Ledger!$B$2:$B$4, $A3, Ledger!$C$2:$C$4, DNM$2)),"****")</f>
        <v/>
      </c>
      <c r="DNN3" t="str">
        <f>IFERROR(IF($C3="","",SUMIFS(Ledger!$K$2:$K$4, Ledger!$B$2:$B$4, $A3, Ledger!$C$2:$C$4, DNN$2)),"****")</f>
        <v/>
      </c>
      <c r="DNO3" t="str">
        <f>IFERROR(IF($C3="","",SUMIFS(Ledger!$K$2:$K$4, Ledger!$B$2:$B$4, $A3, Ledger!$C$2:$C$4, DNO$2)),"****")</f>
        <v/>
      </c>
      <c r="DNP3" t="str">
        <f>IFERROR(IF($C3="","",SUMIFS(Ledger!$K$2:$K$4, Ledger!$B$2:$B$4, $A3, Ledger!$C$2:$C$4, DNP$2)),"****")</f>
        <v/>
      </c>
      <c r="DNQ3" t="str">
        <f>IFERROR(IF($C3="","",SUMIFS(Ledger!$K$2:$K$4, Ledger!$B$2:$B$4, $A3, Ledger!$C$2:$C$4, DNQ$2)),"****")</f>
        <v/>
      </c>
      <c r="DNR3" t="str">
        <f>IFERROR(IF($C3="","",SUMIFS(Ledger!$K$2:$K$4, Ledger!$B$2:$B$4, $A3, Ledger!$C$2:$C$4, DNR$2)),"****")</f>
        <v/>
      </c>
      <c r="DNS3" t="str">
        <f>IFERROR(IF($C3="","",SUMIFS(Ledger!$K$2:$K$4, Ledger!$B$2:$B$4, $A3, Ledger!$C$2:$C$4, DNS$2)),"****")</f>
        <v/>
      </c>
      <c r="DNT3" t="str">
        <f>IFERROR(IF($C3="","",SUMIFS(Ledger!$K$2:$K$4, Ledger!$B$2:$B$4, $A3, Ledger!$C$2:$C$4, DNT$2)),"****")</f>
        <v/>
      </c>
      <c r="DNU3" t="str">
        <f>IFERROR(IF($C3="","",SUMIFS(Ledger!$K$2:$K$4, Ledger!$B$2:$B$4, $A3, Ledger!$C$2:$C$4, DNU$2)),"****")</f>
        <v/>
      </c>
      <c r="DNV3" t="str">
        <f>IFERROR(IF($C3="","",SUMIFS(Ledger!$K$2:$K$4, Ledger!$B$2:$B$4, $A3, Ledger!$C$2:$C$4, DNV$2)),"****")</f>
        <v/>
      </c>
      <c r="DNW3" t="str">
        <f>IFERROR(IF($C3="","",SUMIFS(Ledger!$K$2:$K$4, Ledger!$B$2:$B$4, $A3, Ledger!$C$2:$C$4, DNW$2)),"****")</f>
        <v/>
      </c>
      <c r="DNX3" t="str">
        <f>IFERROR(IF($C3="","",SUMIFS(Ledger!$K$2:$K$4, Ledger!$B$2:$B$4, $A3, Ledger!$C$2:$C$4, DNX$2)),"****")</f>
        <v/>
      </c>
      <c r="DNY3" t="str">
        <f>IFERROR(IF($C3="","",SUMIFS(Ledger!$K$2:$K$4, Ledger!$B$2:$B$4, $A3, Ledger!$C$2:$C$4, DNY$2)),"****")</f>
        <v/>
      </c>
      <c r="DNZ3" t="str">
        <f>IFERROR(IF($C3="","",SUMIFS(Ledger!$K$2:$K$4, Ledger!$B$2:$B$4, $A3, Ledger!$C$2:$C$4, DNZ$2)),"****")</f>
        <v/>
      </c>
      <c r="DOA3" t="str">
        <f>IFERROR(IF($C3="","",SUMIFS(Ledger!$K$2:$K$4, Ledger!$B$2:$B$4, $A3, Ledger!$C$2:$C$4, DOA$2)),"****")</f>
        <v/>
      </c>
      <c r="DOB3" t="str">
        <f>IFERROR(IF($C3="","",SUMIFS(Ledger!$K$2:$K$4, Ledger!$B$2:$B$4, $A3, Ledger!$C$2:$C$4, DOB$2)),"****")</f>
        <v/>
      </c>
      <c r="DOC3" t="str">
        <f>IFERROR(IF($C3="","",SUMIFS(Ledger!$K$2:$K$4, Ledger!$B$2:$B$4, $A3, Ledger!$C$2:$C$4, DOC$2)),"****")</f>
        <v/>
      </c>
      <c r="DOD3" t="str">
        <f>IFERROR(IF($C3="","",SUMIFS(Ledger!$K$2:$K$4, Ledger!$B$2:$B$4, $A3, Ledger!$C$2:$C$4, DOD$2)),"****")</f>
        <v/>
      </c>
      <c r="DOE3" t="str">
        <f>IFERROR(IF($C3="","",SUMIFS(Ledger!$K$2:$K$4, Ledger!$B$2:$B$4, $A3, Ledger!$C$2:$C$4, DOE$2)),"****")</f>
        <v/>
      </c>
      <c r="DOF3" t="str">
        <f>IFERROR(IF($C3="","",SUMIFS(Ledger!$K$2:$K$4, Ledger!$B$2:$B$4, $A3, Ledger!$C$2:$C$4, DOF$2)),"****")</f>
        <v/>
      </c>
      <c r="DOG3" t="str">
        <f>IFERROR(IF($C3="","",SUMIFS(Ledger!$K$2:$K$4, Ledger!$B$2:$B$4, $A3, Ledger!$C$2:$C$4, DOG$2)),"****")</f>
        <v/>
      </c>
      <c r="DOH3" t="str">
        <f>IFERROR(IF($C3="","",SUMIFS(Ledger!$K$2:$K$4, Ledger!$B$2:$B$4, $A3, Ledger!$C$2:$C$4, DOH$2)),"****")</f>
        <v/>
      </c>
      <c r="DOI3" t="str">
        <f>IFERROR(IF($C3="","",SUMIFS(Ledger!$K$2:$K$4, Ledger!$B$2:$B$4, $A3, Ledger!$C$2:$C$4, DOI$2)),"****")</f>
        <v/>
      </c>
      <c r="DOJ3" t="str">
        <f>IFERROR(IF($C3="","",SUMIFS(Ledger!$K$2:$K$4, Ledger!$B$2:$B$4, $A3, Ledger!$C$2:$C$4, DOJ$2)),"****")</f>
        <v/>
      </c>
      <c r="DOK3" t="str">
        <f>IFERROR(IF($C3="","",SUMIFS(Ledger!$K$2:$K$4, Ledger!$B$2:$B$4, $A3, Ledger!$C$2:$C$4, DOK$2)),"****")</f>
        <v/>
      </c>
      <c r="DOL3" t="str">
        <f>IFERROR(IF($C3="","",SUMIFS(Ledger!$K$2:$K$4, Ledger!$B$2:$B$4, $A3, Ledger!$C$2:$C$4, DOL$2)),"****")</f>
        <v/>
      </c>
      <c r="DOM3" t="str">
        <f>IFERROR(IF($C3="","",SUMIFS(Ledger!$K$2:$K$4, Ledger!$B$2:$B$4, $A3, Ledger!$C$2:$C$4, DOM$2)),"****")</f>
        <v/>
      </c>
      <c r="DON3" t="str">
        <f>IFERROR(IF($C3="","",SUMIFS(Ledger!$K$2:$K$4, Ledger!$B$2:$B$4, $A3, Ledger!$C$2:$C$4, DON$2)),"****")</f>
        <v/>
      </c>
      <c r="DOO3" t="str">
        <f>IFERROR(IF($C3="","",SUMIFS(Ledger!$K$2:$K$4, Ledger!$B$2:$B$4, $A3, Ledger!$C$2:$C$4, DOO$2)),"****")</f>
        <v/>
      </c>
      <c r="DOP3" t="str">
        <f>IFERROR(IF($C3="","",SUMIFS(Ledger!$K$2:$K$4, Ledger!$B$2:$B$4, $A3, Ledger!$C$2:$C$4, DOP$2)),"****")</f>
        <v/>
      </c>
      <c r="DOQ3" t="str">
        <f>IFERROR(IF($C3="","",SUMIFS(Ledger!$K$2:$K$4, Ledger!$B$2:$B$4, $A3, Ledger!$C$2:$C$4, DOQ$2)),"****")</f>
        <v/>
      </c>
      <c r="DOR3" t="str">
        <f>IFERROR(IF($C3="","",SUMIFS(Ledger!$K$2:$K$4, Ledger!$B$2:$B$4, $A3, Ledger!$C$2:$C$4, DOR$2)),"****")</f>
        <v/>
      </c>
      <c r="DOS3" t="str">
        <f>IFERROR(IF($C3="","",SUMIFS(Ledger!$K$2:$K$4, Ledger!$B$2:$B$4, $A3, Ledger!$C$2:$C$4, DOS$2)),"****")</f>
        <v/>
      </c>
      <c r="DOT3" t="str">
        <f>IFERROR(IF($C3="","",SUMIFS(Ledger!$K$2:$K$4, Ledger!$B$2:$B$4, $A3, Ledger!$C$2:$C$4, DOT$2)),"****")</f>
        <v/>
      </c>
      <c r="DOU3" t="str">
        <f>IFERROR(IF($C3="","",SUMIFS(Ledger!$K$2:$K$4, Ledger!$B$2:$B$4, $A3, Ledger!$C$2:$C$4, DOU$2)),"****")</f>
        <v/>
      </c>
      <c r="DOV3" t="str">
        <f>IFERROR(IF($C3="","",SUMIFS(Ledger!$K$2:$K$4, Ledger!$B$2:$B$4, $A3, Ledger!$C$2:$C$4, DOV$2)),"****")</f>
        <v/>
      </c>
      <c r="DOW3" t="str">
        <f>IFERROR(IF($C3="","",SUMIFS(Ledger!$K$2:$K$4, Ledger!$B$2:$B$4, $A3, Ledger!$C$2:$C$4, DOW$2)),"****")</f>
        <v/>
      </c>
      <c r="DOX3" t="str">
        <f>IFERROR(IF($C3="","",SUMIFS(Ledger!$K$2:$K$4, Ledger!$B$2:$B$4, $A3, Ledger!$C$2:$C$4, DOX$2)),"****")</f>
        <v/>
      </c>
      <c r="DOY3" t="str">
        <f>IFERROR(IF($C3="","",SUMIFS(Ledger!$K$2:$K$4, Ledger!$B$2:$B$4, $A3, Ledger!$C$2:$C$4, DOY$2)),"****")</f>
        <v/>
      </c>
      <c r="DOZ3" t="str">
        <f>IFERROR(IF($C3="","",SUMIFS(Ledger!$K$2:$K$4, Ledger!$B$2:$B$4, $A3, Ledger!$C$2:$C$4, DOZ$2)),"****")</f>
        <v/>
      </c>
      <c r="DPA3" t="str">
        <f>IFERROR(IF($C3="","",SUMIFS(Ledger!$K$2:$K$4, Ledger!$B$2:$B$4, $A3, Ledger!$C$2:$C$4, DPA$2)),"****")</f>
        <v/>
      </c>
      <c r="DPB3" t="str">
        <f>IFERROR(IF($C3="","",SUMIFS(Ledger!$K$2:$K$4, Ledger!$B$2:$B$4, $A3, Ledger!$C$2:$C$4, DPB$2)),"****")</f>
        <v/>
      </c>
      <c r="DPC3" t="str">
        <f>IFERROR(IF($C3="","",SUMIFS(Ledger!$K$2:$K$4, Ledger!$B$2:$B$4, $A3, Ledger!$C$2:$C$4, DPC$2)),"****")</f>
        <v/>
      </c>
      <c r="DPD3" t="str">
        <f>IFERROR(IF($C3="","",SUMIFS(Ledger!$K$2:$K$4, Ledger!$B$2:$B$4, $A3, Ledger!$C$2:$C$4, DPD$2)),"****")</f>
        <v/>
      </c>
      <c r="DPE3" t="str">
        <f>IFERROR(IF($C3="","",SUMIFS(Ledger!$K$2:$K$4, Ledger!$B$2:$B$4, $A3, Ledger!$C$2:$C$4, DPE$2)),"****")</f>
        <v/>
      </c>
      <c r="DPF3" t="str">
        <f>IFERROR(IF($C3="","",SUMIFS(Ledger!$K$2:$K$4, Ledger!$B$2:$B$4, $A3, Ledger!$C$2:$C$4, DPF$2)),"****")</f>
        <v/>
      </c>
      <c r="DPG3" t="str">
        <f>IFERROR(IF($C3="","",SUMIFS(Ledger!$K$2:$K$4, Ledger!$B$2:$B$4, $A3, Ledger!$C$2:$C$4, DPG$2)),"****")</f>
        <v/>
      </c>
      <c r="DPH3" t="str">
        <f>IFERROR(IF($C3="","",SUMIFS(Ledger!$K$2:$K$4, Ledger!$B$2:$B$4, $A3, Ledger!$C$2:$C$4, DPH$2)),"****")</f>
        <v/>
      </c>
      <c r="DPI3" t="str">
        <f>IFERROR(IF($C3="","",SUMIFS(Ledger!$K$2:$K$4, Ledger!$B$2:$B$4, $A3, Ledger!$C$2:$C$4, DPI$2)),"****")</f>
        <v/>
      </c>
      <c r="DPJ3" t="str">
        <f>IFERROR(IF($C3="","",SUMIFS(Ledger!$K$2:$K$4, Ledger!$B$2:$B$4, $A3, Ledger!$C$2:$C$4, DPJ$2)),"****")</f>
        <v/>
      </c>
      <c r="DPK3" t="str">
        <f>IFERROR(IF($C3="","",SUMIFS(Ledger!$K$2:$K$4, Ledger!$B$2:$B$4, $A3, Ledger!$C$2:$C$4, DPK$2)),"****")</f>
        <v/>
      </c>
      <c r="DPL3" t="str">
        <f>IFERROR(IF($C3="","",SUMIFS(Ledger!$K$2:$K$4, Ledger!$B$2:$B$4, $A3, Ledger!$C$2:$C$4, DPL$2)),"****")</f>
        <v/>
      </c>
      <c r="DPM3" t="str">
        <f>IFERROR(IF($C3="","",SUMIFS(Ledger!$K$2:$K$4, Ledger!$B$2:$B$4, $A3, Ledger!$C$2:$C$4, DPM$2)),"****")</f>
        <v/>
      </c>
      <c r="DPN3" t="str">
        <f>IFERROR(IF($C3="","",SUMIFS(Ledger!$K$2:$K$4, Ledger!$B$2:$B$4, $A3, Ledger!$C$2:$C$4, DPN$2)),"****")</f>
        <v/>
      </c>
      <c r="DPO3" t="str">
        <f>IFERROR(IF($C3="","",SUMIFS(Ledger!$K$2:$K$4, Ledger!$B$2:$B$4, $A3, Ledger!$C$2:$C$4, DPO$2)),"****")</f>
        <v/>
      </c>
      <c r="DPP3" t="str">
        <f>IFERROR(IF($C3="","",SUMIFS(Ledger!$K$2:$K$4, Ledger!$B$2:$B$4, $A3, Ledger!$C$2:$C$4, DPP$2)),"****")</f>
        <v/>
      </c>
      <c r="DPQ3" t="str">
        <f>IFERROR(IF($C3="","",SUMIFS(Ledger!$K$2:$K$4, Ledger!$B$2:$B$4, $A3, Ledger!$C$2:$C$4, DPQ$2)),"****")</f>
        <v/>
      </c>
      <c r="DPR3" t="str">
        <f>IFERROR(IF($C3="","",SUMIFS(Ledger!$K$2:$K$4, Ledger!$B$2:$B$4, $A3, Ledger!$C$2:$C$4, DPR$2)),"****")</f>
        <v/>
      </c>
      <c r="DPS3" t="str">
        <f>IFERROR(IF($C3="","",SUMIFS(Ledger!$K$2:$K$4, Ledger!$B$2:$B$4, $A3, Ledger!$C$2:$C$4, DPS$2)),"****")</f>
        <v/>
      </c>
      <c r="DPT3" t="str">
        <f>IFERROR(IF($C3="","",SUMIFS(Ledger!$K$2:$K$4, Ledger!$B$2:$B$4, $A3, Ledger!$C$2:$C$4, DPT$2)),"****")</f>
        <v/>
      </c>
      <c r="DPU3" t="str">
        <f>IFERROR(IF($C3="","",SUMIFS(Ledger!$K$2:$K$4, Ledger!$B$2:$B$4, $A3, Ledger!$C$2:$C$4, DPU$2)),"****")</f>
        <v/>
      </c>
      <c r="DPV3" t="str">
        <f>IFERROR(IF($C3="","",SUMIFS(Ledger!$K$2:$K$4, Ledger!$B$2:$B$4, $A3, Ledger!$C$2:$C$4, DPV$2)),"****")</f>
        <v/>
      </c>
      <c r="DPW3" t="str">
        <f>IFERROR(IF($C3="","",SUMIFS(Ledger!$K$2:$K$4, Ledger!$B$2:$B$4, $A3, Ledger!$C$2:$C$4, DPW$2)),"****")</f>
        <v/>
      </c>
      <c r="DPX3" t="str">
        <f>IFERROR(IF($C3="","",SUMIFS(Ledger!$K$2:$K$4, Ledger!$B$2:$B$4, $A3, Ledger!$C$2:$C$4, DPX$2)),"****")</f>
        <v/>
      </c>
      <c r="DPY3" t="str">
        <f>IFERROR(IF($C3="","",SUMIFS(Ledger!$K$2:$K$4, Ledger!$B$2:$B$4, $A3, Ledger!$C$2:$C$4, DPY$2)),"****")</f>
        <v/>
      </c>
      <c r="DPZ3" t="str">
        <f>IFERROR(IF($C3="","",SUMIFS(Ledger!$K$2:$K$4, Ledger!$B$2:$B$4, $A3, Ledger!$C$2:$C$4, DPZ$2)),"****")</f>
        <v/>
      </c>
      <c r="DQA3" t="str">
        <f>IFERROR(IF($C3="","",SUMIFS(Ledger!$K$2:$K$4, Ledger!$B$2:$B$4, $A3, Ledger!$C$2:$C$4, DQA$2)),"****")</f>
        <v/>
      </c>
      <c r="DQB3" t="str">
        <f>IFERROR(IF($C3="","",SUMIFS(Ledger!$K$2:$K$4, Ledger!$B$2:$B$4, $A3, Ledger!$C$2:$C$4, DQB$2)),"****")</f>
        <v/>
      </c>
      <c r="DQC3" t="str">
        <f>IFERROR(IF($C3="","",SUMIFS(Ledger!$K$2:$K$4, Ledger!$B$2:$B$4, $A3, Ledger!$C$2:$C$4, DQC$2)),"****")</f>
        <v/>
      </c>
      <c r="DQD3" t="str">
        <f>IFERROR(IF($C3="","",SUMIFS(Ledger!$K$2:$K$4, Ledger!$B$2:$B$4, $A3, Ledger!$C$2:$C$4, DQD$2)),"****")</f>
        <v/>
      </c>
      <c r="DQE3" t="str">
        <f>IFERROR(IF($C3="","",SUMIFS(Ledger!$K$2:$K$4, Ledger!$B$2:$B$4, $A3, Ledger!$C$2:$C$4, DQE$2)),"****")</f>
        <v/>
      </c>
      <c r="DQF3" t="str">
        <f>IFERROR(IF($C3="","",SUMIFS(Ledger!$K$2:$K$4, Ledger!$B$2:$B$4, $A3, Ledger!$C$2:$C$4, DQF$2)),"****")</f>
        <v/>
      </c>
      <c r="DQG3" t="str">
        <f>IFERROR(IF($C3="","",SUMIFS(Ledger!$K$2:$K$4, Ledger!$B$2:$B$4, $A3, Ledger!$C$2:$C$4, DQG$2)),"****")</f>
        <v/>
      </c>
      <c r="DQH3" t="str">
        <f>IFERROR(IF($C3="","",SUMIFS(Ledger!$K$2:$K$4, Ledger!$B$2:$B$4, $A3, Ledger!$C$2:$C$4, DQH$2)),"****")</f>
        <v/>
      </c>
      <c r="DQI3" t="str">
        <f>IFERROR(IF($C3="","",SUMIFS(Ledger!$K$2:$K$4, Ledger!$B$2:$B$4, $A3, Ledger!$C$2:$C$4, DQI$2)),"****")</f>
        <v/>
      </c>
      <c r="DQJ3" t="str">
        <f>IFERROR(IF($C3="","",SUMIFS(Ledger!$K$2:$K$4, Ledger!$B$2:$B$4, $A3, Ledger!$C$2:$C$4, DQJ$2)),"****")</f>
        <v/>
      </c>
      <c r="DQK3" t="str">
        <f>IFERROR(IF($C3="","",SUMIFS(Ledger!$K$2:$K$4, Ledger!$B$2:$B$4, $A3, Ledger!$C$2:$C$4, DQK$2)),"****")</f>
        <v/>
      </c>
      <c r="DQL3" t="str">
        <f>IFERROR(IF($C3="","",SUMIFS(Ledger!$K$2:$K$4, Ledger!$B$2:$B$4, $A3, Ledger!$C$2:$C$4, DQL$2)),"****")</f>
        <v/>
      </c>
      <c r="DQM3" t="str">
        <f>IFERROR(IF($C3="","",SUMIFS(Ledger!$K$2:$K$4, Ledger!$B$2:$B$4, $A3, Ledger!$C$2:$C$4, DQM$2)),"****")</f>
        <v/>
      </c>
      <c r="DQN3" t="str">
        <f>IFERROR(IF($C3="","",SUMIFS(Ledger!$K$2:$K$4, Ledger!$B$2:$B$4, $A3, Ledger!$C$2:$C$4, DQN$2)),"****")</f>
        <v/>
      </c>
      <c r="DQO3" t="str">
        <f>IFERROR(IF($C3="","",SUMIFS(Ledger!$K$2:$K$4, Ledger!$B$2:$B$4, $A3, Ledger!$C$2:$C$4, DQO$2)),"****")</f>
        <v/>
      </c>
      <c r="DQP3" t="str">
        <f>IFERROR(IF($C3="","",SUMIFS(Ledger!$K$2:$K$4, Ledger!$B$2:$B$4, $A3, Ledger!$C$2:$C$4, DQP$2)),"****")</f>
        <v/>
      </c>
      <c r="DQQ3" t="str">
        <f>IFERROR(IF($C3="","",SUMIFS(Ledger!$K$2:$K$4, Ledger!$B$2:$B$4, $A3, Ledger!$C$2:$C$4, DQQ$2)),"****")</f>
        <v/>
      </c>
      <c r="DQR3" t="str">
        <f>IFERROR(IF($C3="","",SUMIFS(Ledger!$K$2:$K$4, Ledger!$B$2:$B$4, $A3, Ledger!$C$2:$C$4, DQR$2)),"****")</f>
        <v/>
      </c>
      <c r="DQS3" t="str">
        <f>IFERROR(IF($C3="","",SUMIFS(Ledger!$K$2:$K$4, Ledger!$B$2:$B$4, $A3, Ledger!$C$2:$C$4, DQS$2)),"****")</f>
        <v/>
      </c>
      <c r="DQT3" t="str">
        <f>IFERROR(IF($C3="","",SUMIFS(Ledger!$K$2:$K$4, Ledger!$B$2:$B$4, $A3, Ledger!$C$2:$C$4, DQT$2)),"****")</f>
        <v/>
      </c>
      <c r="DQU3" t="str">
        <f>IFERROR(IF($C3="","",SUMIFS(Ledger!$K$2:$K$4, Ledger!$B$2:$B$4, $A3, Ledger!$C$2:$C$4, DQU$2)),"****")</f>
        <v/>
      </c>
      <c r="DQV3" t="str">
        <f>IFERROR(IF($C3="","",SUMIFS(Ledger!$K$2:$K$4, Ledger!$B$2:$B$4, $A3, Ledger!$C$2:$C$4, DQV$2)),"****")</f>
        <v/>
      </c>
      <c r="DQW3" t="str">
        <f>IFERROR(IF($C3="","",SUMIFS(Ledger!$K$2:$K$4, Ledger!$B$2:$B$4, $A3, Ledger!$C$2:$C$4, DQW$2)),"****")</f>
        <v/>
      </c>
      <c r="DQX3" t="str">
        <f>IFERROR(IF($C3="","",SUMIFS(Ledger!$K$2:$K$4, Ledger!$B$2:$B$4, $A3, Ledger!$C$2:$C$4, DQX$2)),"****")</f>
        <v/>
      </c>
      <c r="DQY3" t="str">
        <f>IFERROR(IF($C3="","",SUMIFS(Ledger!$K$2:$K$4, Ledger!$B$2:$B$4, $A3, Ledger!$C$2:$C$4, DQY$2)),"****")</f>
        <v/>
      </c>
      <c r="DQZ3" t="str">
        <f>IFERROR(IF($C3="","",SUMIFS(Ledger!$K$2:$K$4, Ledger!$B$2:$B$4, $A3, Ledger!$C$2:$C$4, DQZ$2)),"****")</f>
        <v/>
      </c>
      <c r="DRA3" t="str">
        <f>IFERROR(IF($C3="","",SUMIFS(Ledger!$K$2:$K$4, Ledger!$B$2:$B$4, $A3, Ledger!$C$2:$C$4, DRA$2)),"****")</f>
        <v/>
      </c>
      <c r="DRB3" t="str">
        <f>IFERROR(IF($C3="","",SUMIFS(Ledger!$K$2:$K$4, Ledger!$B$2:$B$4, $A3, Ledger!$C$2:$C$4, DRB$2)),"****")</f>
        <v/>
      </c>
      <c r="DRC3" t="str">
        <f>IFERROR(IF($C3="","",SUMIFS(Ledger!$K$2:$K$4, Ledger!$B$2:$B$4, $A3, Ledger!$C$2:$C$4, DRC$2)),"****")</f>
        <v/>
      </c>
      <c r="DRD3" t="str">
        <f>IFERROR(IF($C3="","",SUMIFS(Ledger!$K$2:$K$4, Ledger!$B$2:$B$4, $A3, Ledger!$C$2:$C$4, DRD$2)),"****")</f>
        <v/>
      </c>
      <c r="DRE3" t="str">
        <f>IFERROR(IF($C3="","",SUMIFS(Ledger!$K$2:$K$4, Ledger!$B$2:$B$4, $A3, Ledger!$C$2:$C$4, DRE$2)),"****")</f>
        <v/>
      </c>
      <c r="DRF3" t="str">
        <f>IFERROR(IF($C3="","",SUMIFS(Ledger!$K$2:$K$4, Ledger!$B$2:$B$4, $A3, Ledger!$C$2:$C$4, DRF$2)),"****")</f>
        <v/>
      </c>
      <c r="DRG3" t="str">
        <f>IFERROR(IF($C3="","",SUMIFS(Ledger!$K$2:$K$4, Ledger!$B$2:$B$4, $A3, Ledger!$C$2:$C$4, DRG$2)),"****")</f>
        <v/>
      </c>
      <c r="DRH3" t="str">
        <f>IFERROR(IF($C3="","",SUMIFS(Ledger!$K$2:$K$4, Ledger!$B$2:$B$4, $A3, Ledger!$C$2:$C$4, DRH$2)),"****")</f>
        <v/>
      </c>
      <c r="DRI3" t="str">
        <f>IFERROR(IF($C3="","",SUMIFS(Ledger!$K$2:$K$4, Ledger!$B$2:$B$4, $A3, Ledger!$C$2:$C$4, DRI$2)),"****")</f>
        <v/>
      </c>
      <c r="DRJ3" t="str">
        <f>IFERROR(IF($C3="","",SUMIFS(Ledger!$K$2:$K$4, Ledger!$B$2:$B$4, $A3, Ledger!$C$2:$C$4, DRJ$2)),"****")</f>
        <v/>
      </c>
      <c r="DRK3" t="str">
        <f>IFERROR(IF($C3="","",SUMIFS(Ledger!$K$2:$K$4, Ledger!$B$2:$B$4, $A3, Ledger!$C$2:$C$4, DRK$2)),"****")</f>
        <v/>
      </c>
      <c r="DRL3" t="str">
        <f>IFERROR(IF($C3="","",SUMIFS(Ledger!$K$2:$K$4, Ledger!$B$2:$B$4, $A3, Ledger!$C$2:$C$4, DRL$2)),"****")</f>
        <v/>
      </c>
      <c r="DRM3" t="str">
        <f>IFERROR(IF($C3="","",SUMIFS(Ledger!$K$2:$K$4, Ledger!$B$2:$B$4, $A3, Ledger!$C$2:$C$4, DRM$2)),"****")</f>
        <v/>
      </c>
      <c r="DRN3" t="str">
        <f>IFERROR(IF($C3="","",SUMIFS(Ledger!$K$2:$K$4, Ledger!$B$2:$B$4, $A3, Ledger!$C$2:$C$4, DRN$2)),"****")</f>
        <v/>
      </c>
      <c r="DRO3" t="str">
        <f>IFERROR(IF($C3="","",SUMIFS(Ledger!$K$2:$K$4, Ledger!$B$2:$B$4, $A3, Ledger!$C$2:$C$4, DRO$2)),"****")</f>
        <v/>
      </c>
      <c r="DRP3" t="str">
        <f>IFERROR(IF($C3="","",SUMIFS(Ledger!$K$2:$K$4, Ledger!$B$2:$B$4, $A3, Ledger!$C$2:$C$4, DRP$2)),"****")</f>
        <v/>
      </c>
      <c r="DRQ3" t="str">
        <f>IFERROR(IF($C3="","",SUMIFS(Ledger!$K$2:$K$4, Ledger!$B$2:$B$4, $A3, Ledger!$C$2:$C$4, DRQ$2)),"****")</f>
        <v/>
      </c>
      <c r="DRR3" t="str">
        <f>IFERROR(IF($C3="","",SUMIFS(Ledger!$K$2:$K$4, Ledger!$B$2:$B$4, $A3, Ledger!$C$2:$C$4, DRR$2)),"****")</f>
        <v/>
      </c>
      <c r="DRS3" t="str">
        <f>IFERROR(IF($C3="","",SUMIFS(Ledger!$K$2:$K$4, Ledger!$B$2:$B$4, $A3, Ledger!$C$2:$C$4, DRS$2)),"****")</f>
        <v/>
      </c>
      <c r="DRT3" t="str">
        <f>IFERROR(IF($C3="","",SUMIFS(Ledger!$K$2:$K$4, Ledger!$B$2:$B$4, $A3, Ledger!$C$2:$C$4, DRT$2)),"****")</f>
        <v/>
      </c>
      <c r="DRU3" t="str">
        <f>IFERROR(IF($C3="","",SUMIFS(Ledger!$K$2:$K$4, Ledger!$B$2:$B$4, $A3, Ledger!$C$2:$C$4, DRU$2)),"****")</f>
        <v/>
      </c>
      <c r="DRV3" t="str">
        <f>IFERROR(IF($C3="","",SUMIFS(Ledger!$K$2:$K$4, Ledger!$B$2:$B$4, $A3, Ledger!$C$2:$C$4, DRV$2)),"****")</f>
        <v/>
      </c>
      <c r="DRW3" t="str">
        <f>IFERROR(IF($C3="","",SUMIFS(Ledger!$K$2:$K$4, Ledger!$B$2:$B$4, $A3, Ledger!$C$2:$C$4, DRW$2)),"****")</f>
        <v/>
      </c>
      <c r="DRX3" t="str">
        <f>IFERROR(IF($C3="","",SUMIFS(Ledger!$K$2:$K$4, Ledger!$B$2:$B$4, $A3, Ledger!$C$2:$C$4, DRX$2)),"****")</f>
        <v/>
      </c>
      <c r="DRY3" t="str">
        <f>IFERROR(IF($C3="","",SUMIFS(Ledger!$K$2:$K$4, Ledger!$B$2:$B$4, $A3, Ledger!$C$2:$C$4, DRY$2)),"****")</f>
        <v/>
      </c>
      <c r="DRZ3" t="str">
        <f>IFERROR(IF($C3="","",SUMIFS(Ledger!$K$2:$K$4, Ledger!$B$2:$B$4, $A3, Ledger!$C$2:$C$4, DRZ$2)),"****")</f>
        <v/>
      </c>
      <c r="DSA3" t="str">
        <f>IFERROR(IF($C3="","",SUMIFS(Ledger!$K$2:$K$4, Ledger!$B$2:$B$4, $A3, Ledger!$C$2:$C$4, DSA$2)),"****")</f>
        <v/>
      </c>
      <c r="DSB3" t="str">
        <f>IFERROR(IF($C3="","",SUMIFS(Ledger!$K$2:$K$4, Ledger!$B$2:$B$4, $A3, Ledger!$C$2:$C$4, DSB$2)),"****")</f>
        <v/>
      </c>
      <c r="DSC3" t="str">
        <f>IFERROR(IF($C3="","",SUMIFS(Ledger!$K$2:$K$4, Ledger!$B$2:$B$4, $A3, Ledger!$C$2:$C$4, DSC$2)),"****")</f>
        <v/>
      </c>
      <c r="DSD3" t="str">
        <f>IFERROR(IF($C3="","",SUMIFS(Ledger!$K$2:$K$4, Ledger!$B$2:$B$4, $A3, Ledger!$C$2:$C$4, DSD$2)),"****")</f>
        <v/>
      </c>
      <c r="DSE3" t="str">
        <f>IFERROR(IF($C3="","",SUMIFS(Ledger!$K$2:$K$4, Ledger!$B$2:$B$4, $A3, Ledger!$C$2:$C$4, DSE$2)),"****")</f>
        <v/>
      </c>
      <c r="DSF3" t="str">
        <f>IFERROR(IF($C3="","",SUMIFS(Ledger!$K$2:$K$4, Ledger!$B$2:$B$4, $A3, Ledger!$C$2:$C$4, DSF$2)),"****")</f>
        <v/>
      </c>
      <c r="DSG3" t="str">
        <f>IFERROR(IF($C3="","",SUMIFS(Ledger!$K$2:$K$4, Ledger!$B$2:$B$4, $A3, Ledger!$C$2:$C$4, DSG$2)),"****")</f>
        <v/>
      </c>
      <c r="DSH3" t="str">
        <f>IFERROR(IF($C3="","",SUMIFS(Ledger!$K$2:$K$4, Ledger!$B$2:$B$4, $A3, Ledger!$C$2:$C$4, DSH$2)),"****")</f>
        <v/>
      </c>
      <c r="DSI3" t="str">
        <f>IFERROR(IF($C3="","",SUMIFS(Ledger!$K$2:$K$4, Ledger!$B$2:$B$4, $A3, Ledger!$C$2:$C$4, DSI$2)),"****")</f>
        <v/>
      </c>
      <c r="DSJ3" t="str">
        <f>IFERROR(IF($C3="","",SUMIFS(Ledger!$K$2:$K$4, Ledger!$B$2:$B$4, $A3, Ledger!$C$2:$C$4, DSJ$2)),"****")</f>
        <v/>
      </c>
      <c r="DSK3" t="str">
        <f>IFERROR(IF($C3="","",SUMIFS(Ledger!$K$2:$K$4, Ledger!$B$2:$B$4, $A3, Ledger!$C$2:$C$4, DSK$2)),"****")</f>
        <v/>
      </c>
      <c r="DSL3" t="str">
        <f>IFERROR(IF($C3="","",SUMIFS(Ledger!$K$2:$K$4, Ledger!$B$2:$B$4, $A3, Ledger!$C$2:$C$4, DSL$2)),"****")</f>
        <v/>
      </c>
      <c r="DSM3" t="str">
        <f>IFERROR(IF($C3="","",SUMIFS(Ledger!$K$2:$K$4, Ledger!$B$2:$B$4, $A3, Ledger!$C$2:$C$4, DSM$2)),"****")</f>
        <v/>
      </c>
      <c r="DSN3" t="str">
        <f>IFERROR(IF($C3="","",SUMIFS(Ledger!$K$2:$K$4, Ledger!$B$2:$B$4, $A3, Ledger!$C$2:$C$4, DSN$2)),"****")</f>
        <v/>
      </c>
      <c r="DSO3" t="str">
        <f>IFERROR(IF($C3="","",SUMIFS(Ledger!$K$2:$K$4, Ledger!$B$2:$B$4, $A3, Ledger!$C$2:$C$4, DSO$2)),"****")</f>
        <v/>
      </c>
      <c r="DSP3" t="str">
        <f>IFERROR(IF($C3="","",SUMIFS(Ledger!$K$2:$K$4, Ledger!$B$2:$B$4, $A3, Ledger!$C$2:$C$4, DSP$2)),"****")</f>
        <v/>
      </c>
      <c r="DSQ3" t="str">
        <f>IFERROR(IF($C3="","",SUMIFS(Ledger!$K$2:$K$4, Ledger!$B$2:$B$4, $A3, Ledger!$C$2:$C$4, DSQ$2)),"****")</f>
        <v/>
      </c>
      <c r="DSR3" t="str">
        <f>IFERROR(IF($C3="","",SUMIFS(Ledger!$K$2:$K$4, Ledger!$B$2:$B$4, $A3, Ledger!$C$2:$C$4, DSR$2)),"****")</f>
        <v/>
      </c>
      <c r="DSS3" t="str">
        <f>IFERROR(IF($C3="","",SUMIFS(Ledger!$K$2:$K$4, Ledger!$B$2:$B$4, $A3, Ledger!$C$2:$C$4, DSS$2)),"****")</f>
        <v/>
      </c>
      <c r="DST3" t="str">
        <f>IFERROR(IF($C3="","",SUMIFS(Ledger!$K$2:$K$4, Ledger!$B$2:$B$4, $A3, Ledger!$C$2:$C$4, DST$2)),"****")</f>
        <v/>
      </c>
      <c r="DSU3" t="str">
        <f>IFERROR(IF($C3="","",SUMIFS(Ledger!$K$2:$K$4, Ledger!$B$2:$B$4, $A3, Ledger!$C$2:$C$4, DSU$2)),"****")</f>
        <v/>
      </c>
      <c r="DSV3" t="str">
        <f>IFERROR(IF($C3="","",SUMIFS(Ledger!$K$2:$K$4, Ledger!$B$2:$B$4, $A3, Ledger!$C$2:$C$4, DSV$2)),"****")</f>
        <v/>
      </c>
      <c r="DSW3" t="str">
        <f>IFERROR(IF($C3="","",SUMIFS(Ledger!$K$2:$K$4, Ledger!$B$2:$B$4, $A3, Ledger!$C$2:$C$4, DSW$2)),"****")</f>
        <v/>
      </c>
      <c r="DSX3" t="str">
        <f>IFERROR(IF($C3="","",SUMIFS(Ledger!$K$2:$K$4, Ledger!$B$2:$B$4, $A3, Ledger!$C$2:$C$4, DSX$2)),"****")</f>
        <v/>
      </c>
      <c r="DSY3" t="str">
        <f>IFERROR(IF($C3="","",SUMIFS(Ledger!$K$2:$K$4, Ledger!$B$2:$B$4, $A3, Ledger!$C$2:$C$4, DSY$2)),"****")</f>
        <v/>
      </c>
      <c r="DSZ3" t="str">
        <f>IFERROR(IF($C3="","",SUMIFS(Ledger!$K$2:$K$4, Ledger!$B$2:$B$4, $A3, Ledger!$C$2:$C$4, DSZ$2)),"****")</f>
        <v/>
      </c>
      <c r="DTA3" t="str">
        <f>IFERROR(IF($C3="","",SUMIFS(Ledger!$K$2:$K$4, Ledger!$B$2:$B$4, $A3, Ledger!$C$2:$C$4, DTA$2)),"****")</f>
        <v/>
      </c>
      <c r="DTB3" t="str">
        <f>IFERROR(IF($C3="","",SUMIFS(Ledger!$K$2:$K$4, Ledger!$B$2:$B$4, $A3, Ledger!$C$2:$C$4, DTB$2)),"****")</f>
        <v/>
      </c>
      <c r="DTC3" t="str">
        <f>IFERROR(IF($C3="","",SUMIFS(Ledger!$K$2:$K$4, Ledger!$B$2:$B$4, $A3, Ledger!$C$2:$C$4, DTC$2)),"****")</f>
        <v/>
      </c>
      <c r="DTD3" t="str">
        <f>IFERROR(IF($C3="","",SUMIFS(Ledger!$K$2:$K$4, Ledger!$B$2:$B$4, $A3, Ledger!$C$2:$C$4, DTD$2)),"****")</f>
        <v/>
      </c>
      <c r="DTE3" t="str">
        <f>IFERROR(IF($C3="","",SUMIFS(Ledger!$K$2:$K$4, Ledger!$B$2:$B$4, $A3, Ledger!$C$2:$C$4, DTE$2)),"****")</f>
        <v/>
      </c>
      <c r="DTF3" t="str">
        <f>IFERROR(IF($C3="","",SUMIFS(Ledger!$K$2:$K$4, Ledger!$B$2:$B$4, $A3, Ledger!$C$2:$C$4, DTF$2)),"****")</f>
        <v/>
      </c>
      <c r="DTG3" t="str">
        <f>IFERROR(IF($C3="","",SUMIFS(Ledger!$K$2:$K$4, Ledger!$B$2:$B$4, $A3, Ledger!$C$2:$C$4, DTG$2)),"****")</f>
        <v/>
      </c>
      <c r="DTH3" t="str">
        <f>IFERROR(IF($C3="","",SUMIFS(Ledger!$K$2:$K$4, Ledger!$B$2:$B$4, $A3, Ledger!$C$2:$C$4, DTH$2)),"****")</f>
        <v/>
      </c>
      <c r="DTI3" t="str">
        <f>IFERROR(IF($C3="","",SUMIFS(Ledger!$K$2:$K$4, Ledger!$B$2:$B$4, $A3, Ledger!$C$2:$C$4, DTI$2)),"****")</f>
        <v/>
      </c>
      <c r="DTJ3" t="str">
        <f>IFERROR(IF($C3="","",SUMIFS(Ledger!$K$2:$K$4, Ledger!$B$2:$B$4, $A3, Ledger!$C$2:$C$4, DTJ$2)),"****")</f>
        <v/>
      </c>
      <c r="DTK3" t="str">
        <f>IFERROR(IF($C3="","",SUMIFS(Ledger!$K$2:$K$4, Ledger!$B$2:$B$4, $A3, Ledger!$C$2:$C$4, DTK$2)),"****")</f>
        <v/>
      </c>
      <c r="DTL3" t="str">
        <f>IFERROR(IF($C3="","",SUMIFS(Ledger!$K$2:$K$4, Ledger!$B$2:$B$4, $A3, Ledger!$C$2:$C$4, DTL$2)),"****")</f>
        <v/>
      </c>
      <c r="DTM3" t="str">
        <f>IFERROR(IF($C3="","",SUMIFS(Ledger!$K$2:$K$4, Ledger!$B$2:$B$4, $A3, Ledger!$C$2:$C$4, DTM$2)),"****")</f>
        <v/>
      </c>
      <c r="DTN3" t="str">
        <f>IFERROR(IF($C3="","",SUMIFS(Ledger!$K$2:$K$4, Ledger!$B$2:$B$4, $A3, Ledger!$C$2:$C$4, DTN$2)),"****")</f>
        <v/>
      </c>
      <c r="DTO3" t="str">
        <f>IFERROR(IF($C3="","",SUMIFS(Ledger!$K$2:$K$4, Ledger!$B$2:$B$4, $A3, Ledger!$C$2:$C$4, DTO$2)),"****")</f>
        <v/>
      </c>
      <c r="DTP3" t="str">
        <f>IFERROR(IF($C3="","",SUMIFS(Ledger!$K$2:$K$4, Ledger!$B$2:$B$4, $A3, Ledger!$C$2:$C$4, DTP$2)),"****")</f>
        <v/>
      </c>
      <c r="DTQ3" t="str">
        <f>IFERROR(IF($C3="","",SUMIFS(Ledger!$K$2:$K$4, Ledger!$B$2:$B$4, $A3, Ledger!$C$2:$C$4, DTQ$2)),"****")</f>
        <v/>
      </c>
      <c r="DTR3" t="str">
        <f>IFERROR(IF($C3="","",SUMIFS(Ledger!$K$2:$K$4, Ledger!$B$2:$B$4, $A3, Ledger!$C$2:$C$4, DTR$2)),"****")</f>
        <v/>
      </c>
      <c r="DTS3" t="str">
        <f>IFERROR(IF($C3="","",SUMIFS(Ledger!$K$2:$K$4, Ledger!$B$2:$B$4, $A3, Ledger!$C$2:$C$4, DTS$2)),"****")</f>
        <v/>
      </c>
      <c r="DTT3" t="str">
        <f>IFERROR(IF($C3="","",SUMIFS(Ledger!$K$2:$K$4, Ledger!$B$2:$B$4, $A3, Ledger!$C$2:$C$4, DTT$2)),"****")</f>
        <v/>
      </c>
      <c r="DTU3" t="str">
        <f>IFERROR(IF($C3="","",SUMIFS(Ledger!$K$2:$K$4, Ledger!$B$2:$B$4, $A3, Ledger!$C$2:$C$4, DTU$2)),"****")</f>
        <v/>
      </c>
      <c r="DTV3" t="str">
        <f>IFERROR(IF($C3="","",SUMIFS(Ledger!$K$2:$K$4, Ledger!$B$2:$B$4, $A3, Ledger!$C$2:$C$4, DTV$2)),"****")</f>
        <v/>
      </c>
      <c r="DTW3" t="str">
        <f>IFERROR(IF($C3="","",SUMIFS(Ledger!$K$2:$K$4, Ledger!$B$2:$B$4, $A3, Ledger!$C$2:$C$4, DTW$2)),"****")</f>
        <v/>
      </c>
      <c r="DTX3" t="str">
        <f>IFERROR(IF($C3="","",SUMIFS(Ledger!$K$2:$K$4, Ledger!$B$2:$B$4, $A3, Ledger!$C$2:$C$4, DTX$2)),"****")</f>
        <v/>
      </c>
      <c r="DTY3" t="str">
        <f>IFERROR(IF($C3="","",SUMIFS(Ledger!$K$2:$K$4, Ledger!$B$2:$B$4, $A3, Ledger!$C$2:$C$4, DTY$2)),"****")</f>
        <v/>
      </c>
      <c r="DTZ3" t="str">
        <f>IFERROR(IF($C3="","",SUMIFS(Ledger!$K$2:$K$4, Ledger!$B$2:$B$4, $A3, Ledger!$C$2:$C$4, DTZ$2)),"****")</f>
        <v/>
      </c>
      <c r="DUA3" t="str">
        <f>IFERROR(IF($C3="","",SUMIFS(Ledger!$K$2:$K$4, Ledger!$B$2:$B$4, $A3, Ledger!$C$2:$C$4, DUA$2)),"****")</f>
        <v/>
      </c>
      <c r="DUB3" t="str">
        <f>IFERROR(IF($C3="","",SUMIFS(Ledger!$K$2:$K$4, Ledger!$B$2:$B$4, $A3, Ledger!$C$2:$C$4, DUB$2)),"****")</f>
        <v/>
      </c>
      <c r="DUC3" t="str">
        <f>IFERROR(IF($C3="","",SUMIFS(Ledger!$K$2:$K$4, Ledger!$B$2:$B$4, $A3, Ledger!$C$2:$C$4, DUC$2)),"****")</f>
        <v/>
      </c>
      <c r="DUD3" t="str">
        <f>IFERROR(IF($C3="","",SUMIFS(Ledger!$K$2:$K$4, Ledger!$B$2:$B$4, $A3, Ledger!$C$2:$C$4, DUD$2)),"****")</f>
        <v/>
      </c>
      <c r="DUE3" t="str">
        <f>IFERROR(IF($C3="","",SUMIFS(Ledger!$K$2:$K$4, Ledger!$B$2:$B$4, $A3, Ledger!$C$2:$C$4, DUE$2)),"****")</f>
        <v/>
      </c>
      <c r="DUF3" t="str">
        <f>IFERROR(IF($C3="","",SUMIFS(Ledger!$K$2:$K$4, Ledger!$B$2:$B$4, $A3, Ledger!$C$2:$C$4, DUF$2)),"****")</f>
        <v/>
      </c>
      <c r="DUG3" t="str">
        <f>IFERROR(IF($C3="","",SUMIFS(Ledger!$K$2:$K$4, Ledger!$B$2:$B$4, $A3, Ledger!$C$2:$C$4, DUG$2)),"****")</f>
        <v/>
      </c>
      <c r="DUH3" t="str">
        <f>IFERROR(IF($C3="","",SUMIFS(Ledger!$K$2:$K$4, Ledger!$B$2:$B$4, $A3, Ledger!$C$2:$C$4, DUH$2)),"****")</f>
        <v/>
      </c>
      <c r="DUI3" t="str">
        <f>IFERROR(IF($C3="","",SUMIFS(Ledger!$K$2:$K$4, Ledger!$B$2:$B$4, $A3, Ledger!$C$2:$C$4, DUI$2)),"****")</f>
        <v/>
      </c>
      <c r="DUJ3" t="str">
        <f>IFERROR(IF($C3="","",SUMIFS(Ledger!$K$2:$K$4, Ledger!$B$2:$B$4, $A3, Ledger!$C$2:$C$4, DUJ$2)),"****")</f>
        <v/>
      </c>
      <c r="DUK3" t="str">
        <f>IFERROR(IF($C3="","",SUMIFS(Ledger!$K$2:$K$4, Ledger!$B$2:$B$4, $A3, Ledger!$C$2:$C$4, DUK$2)),"****")</f>
        <v/>
      </c>
      <c r="DUL3" t="str">
        <f>IFERROR(IF($C3="","",SUMIFS(Ledger!$K$2:$K$4, Ledger!$B$2:$B$4, $A3, Ledger!$C$2:$C$4, DUL$2)),"****")</f>
        <v/>
      </c>
      <c r="DUM3" t="str">
        <f>IFERROR(IF($C3="","",SUMIFS(Ledger!$K$2:$K$4, Ledger!$B$2:$B$4, $A3, Ledger!$C$2:$C$4, DUM$2)),"****")</f>
        <v/>
      </c>
      <c r="DUN3" t="str">
        <f>IFERROR(IF($C3="","",SUMIFS(Ledger!$K$2:$K$4, Ledger!$B$2:$B$4, $A3, Ledger!$C$2:$C$4, DUN$2)),"****")</f>
        <v/>
      </c>
      <c r="DUO3" t="str">
        <f>IFERROR(IF($C3="","",SUMIFS(Ledger!$K$2:$K$4, Ledger!$B$2:$B$4, $A3, Ledger!$C$2:$C$4, DUO$2)),"****")</f>
        <v/>
      </c>
      <c r="DUP3" t="str">
        <f>IFERROR(IF($C3="","",SUMIFS(Ledger!$K$2:$K$4, Ledger!$B$2:$B$4, $A3, Ledger!$C$2:$C$4, DUP$2)),"****")</f>
        <v/>
      </c>
      <c r="DUQ3" t="str">
        <f>IFERROR(IF($C3="","",SUMIFS(Ledger!$K$2:$K$4, Ledger!$B$2:$B$4, $A3, Ledger!$C$2:$C$4, DUQ$2)),"****")</f>
        <v/>
      </c>
      <c r="DUR3" t="str">
        <f>IFERROR(IF($C3="","",SUMIFS(Ledger!$K$2:$K$4, Ledger!$B$2:$B$4, $A3, Ledger!$C$2:$C$4, DUR$2)),"****")</f>
        <v/>
      </c>
      <c r="DUS3" t="str">
        <f>IFERROR(IF($C3="","",SUMIFS(Ledger!$K$2:$K$4, Ledger!$B$2:$B$4, $A3, Ledger!$C$2:$C$4, DUS$2)),"****")</f>
        <v/>
      </c>
      <c r="DUT3" t="str">
        <f>IFERROR(IF($C3="","",SUMIFS(Ledger!$K$2:$K$4, Ledger!$B$2:$B$4, $A3, Ledger!$C$2:$C$4, DUT$2)),"****")</f>
        <v/>
      </c>
      <c r="DUU3" t="str">
        <f>IFERROR(IF($C3="","",SUMIFS(Ledger!$K$2:$K$4, Ledger!$B$2:$B$4, $A3, Ledger!$C$2:$C$4, DUU$2)),"****")</f>
        <v/>
      </c>
      <c r="DUV3" t="str">
        <f>IFERROR(IF($C3="","",SUMIFS(Ledger!$K$2:$K$4, Ledger!$B$2:$B$4, $A3, Ledger!$C$2:$C$4, DUV$2)),"****")</f>
        <v/>
      </c>
      <c r="DUW3" t="str">
        <f>IFERROR(IF($C3="","",SUMIFS(Ledger!$K$2:$K$4, Ledger!$B$2:$B$4, $A3, Ledger!$C$2:$C$4, DUW$2)),"****")</f>
        <v/>
      </c>
      <c r="DUX3" t="str">
        <f>IFERROR(IF($C3="","",SUMIFS(Ledger!$K$2:$K$4, Ledger!$B$2:$B$4, $A3, Ledger!$C$2:$C$4, DUX$2)),"****")</f>
        <v/>
      </c>
      <c r="DUY3" t="str">
        <f>IFERROR(IF($C3="","",SUMIFS(Ledger!$K$2:$K$4, Ledger!$B$2:$B$4, $A3, Ledger!$C$2:$C$4, DUY$2)),"****")</f>
        <v/>
      </c>
      <c r="DUZ3" t="str">
        <f>IFERROR(IF($C3="","",SUMIFS(Ledger!$K$2:$K$4, Ledger!$B$2:$B$4, $A3, Ledger!$C$2:$C$4, DUZ$2)),"****")</f>
        <v/>
      </c>
      <c r="DVA3" t="str">
        <f>IFERROR(IF($C3="","",SUMIFS(Ledger!$K$2:$K$4, Ledger!$B$2:$B$4, $A3, Ledger!$C$2:$C$4, DVA$2)),"****")</f>
        <v/>
      </c>
      <c r="DVB3" t="str">
        <f>IFERROR(IF($C3="","",SUMIFS(Ledger!$K$2:$K$4, Ledger!$B$2:$B$4, $A3, Ledger!$C$2:$C$4, DVB$2)),"****")</f>
        <v/>
      </c>
      <c r="DVC3" t="str">
        <f>IFERROR(IF($C3="","",SUMIFS(Ledger!$K$2:$K$4, Ledger!$B$2:$B$4, $A3, Ledger!$C$2:$C$4, DVC$2)),"****")</f>
        <v/>
      </c>
      <c r="DVD3" t="str">
        <f>IFERROR(IF($C3="","",SUMIFS(Ledger!$K$2:$K$4, Ledger!$B$2:$B$4, $A3, Ledger!$C$2:$C$4, DVD$2)),"****")</f>
        <v/>
      </c>
      <c r="DVE3" t="str">
        <f>IFERROR(IF($C3="","",SUMIFS(Ledger!$K$2:$K$4, Ledger!$B$2:$B$4, $A3, Ledger!$C$2:$C$4, DVE$2)),"****")</f>
        <v/>
      </c>
      <c r="DVF3" t="str">
        <f>IFERROR(IF($C3="","",SUMIFS(Ledger!$K$2:$K$4, Ledger!$B$2:$B$4, $A3, Ledger!$C$2:$C$4, DVF$2)),"****")</f>
        <v/>
      </c>
      <c r="DVG3" t="str">
        <f>IFERROR(IF($C3="","",SUMIFS(Ledger!$K$2:$K$4, Ledger!$B$2:$B$4, $A3, Ledger!$C$2:$C$4, DVG$2)),"****")</f>
        <v/>
      </c>
      <c r="DVH3" t="str">
        <f>IFERROR(IF($C3="","",SUMIFS(Ledger!$K$2:$K$4, Ledger!$B$2:$B$4, $A3, Ledger!$C$2:$C$4, DVH$2)),"****")</f>
        <v/>
      </c>
      <c r="DVI3" t="str">
        <f>IFERROR(IF($C3="","",SUMIFS(Ledger!$K$2:$K$4, Ledger!$B$2:$B$4, $A3, Ledger!$C$2:$C$4, DVI$2)),"****")</f>
        <v/>
      </c>
      <c r="DVJ3" t="str">
        <f>IFERROR(IF($C3="","",SUMIFS(Ledger!$K$2:$K$4, Ledger!$B$2:$B$4, $A3, Ledger!$C$2:$C$4, DVJ$2)),"****")</f>
        <v/>
      </c>
      <c r="DVK3" t="str">
        <f>IFERROR(IF($C3="","",SUMIFS(Ledger!$K$2:$K$4, Ledger!$B$2:$B$4, $A3, Ledger!$C$2:$C$4, DVK$2)),"****")</f>
        <v/>
      </c>
      <c r="DVL3" t="str">
        <f>IFERROR(IF($C3="","",SUMIFS(Ledger!$K$2:$K$4, Ledger!$B$2:$B$4, $A3, Ledger!$C$2:$C$4, DVL$2)),"****")</f>
        <v/>
      </c>
      <c r="DVM3" t="str">
        <f>IFERROR(IF($C3="","",SUMIFS(Ledger!$K$2:$K$4, Ledger!$B$2:$B$4, $A3, Ledger!$C$2:$C$4, DVM$2)),"****")</f>
        <v/>
      </c>
      <c r="DVN3" t="str">
        <f>IFERROR(IF($C3="","",SUMIFS(Ledger!$K$2:$K$4, Ledger!$B$2:$B$4, $A3, Ledger!$C$2:$C$4, DVN$2)),"****")</f>
        <v/>
      </c>
      <c r="DVO3" t="str">
        <f>IFERROR(IF($C3="","",SUMIFS(Ledger!$K$2:$K$4, Ledger!$B$2:$B$4, $A3, Ledger!$C$2:$C$4, DVO$2)),"****")</f>
        <v/>
      </c>
      <c r="DVP3" t="str">
        <f>IFERROR(IF($C3="","",SUMIFS(Ledger!$K$2:$K$4, Ledger!$B$2:$B$4, $A3, Ledger!$C$2:$C$4, DVP$2)),"****")</f>
        <v/>
      </c>
      <c r="DVQ3" t="str">
        <f>IFERROR(IF($C3="","",SUMIFS(Ledger!$K$2:$K$4, Ledger!$B$2:$B$4, $A3, Ledger!$C$2:$C$4, DVQ$2)),"****")</f>
        <v/>
      </c>
      <c r="DVR3" t="str">
        <f>IFERROR(IF($C3="","",SUMIFS(Ledger!$K$2:$K$4, Ledger!$B$2:$B$4, $A3, Ledger!$C$2:$C$4, DVR$2)),"****")</f>
        <v/>
      </c>
      <c r="DVS3" t="str">
        <f>IFERROR(IF($C3="","",SUMIFS(Ledger!$K$2:$K$4, Ledger!$B$2:$B$4, $A3, Ledger!$C$2:$C$4, DVS$2)),"****")</f>
        <v/>
      </c>
      <c r="DVT3" t="str">
        <f>IFERROR(IF($C3="","",SUMIFS(Ledger!$K$2:$K$4, Ledger!$B$2:$B$4, $A3, Ledger!$C$2:$C$4, DVT$2)),"****")</f>
        <v/>
      </c>
      <c r="DVU3" t="str">
        <f>IFERROR(IF($C3="","",SUMIFS(Ledger!$K$2:$K$4, Ledger!$B$2:$B$4, $A3, Ledger!$C$2:$C$4, DVU$2)),"****")</f>
        <v/>
      </c>
      <c r="DVV3" t="str">
        <f>IFERROR(IF($C3="","",SUMIFS(Ledger!$K$2:$K$4, Ledger!$B$2:$B$4, $A3, Ledger!$C$2:$C$4, DVV$2)),"****")</f>
        <v/>
      </c>
      <c r="DVW3" t="str">
        <f>IFERROR(IF($C3="","",SUMIFS(Ledger!$K$2:$K$4, Ledger!$B$2:$B$4, $A3, Ledger!$C$2:$C$4, DVW$2)),"****")</f>
        <v/>
      </c>
      <c r="DVX3" t="str">
        <f>IFERROR(IF($C3="","",SUMIFS(Ledger!$K$2:$K$4, Ledger!$B$2:$B$4, $A3, Ledger!$C$2:$C$4, DVX$2)),"****")</f>
        <v/>
      </c>
      <c r="DVY3" t="str">
        <f>IFERROR(IF($C3="","",SUMIFS(Ledger!$K$2:$K$4, Ledger!$B$2:$B$4, $A3, Ledger!$C$2:$C$4, DVY$2)),"****")</f>
        <v/>
      </c>
      <c r="DVZ3" t="str">
        <f>IFERROR(IF($C3="","",SUMIFS(Ledger!$K$2:$K$4, Ledger!$B$2:$B$4, $A3, Ledger!$C$2:$C$4, DVZ$2)),"****")</f>
        <v/>
      </c>
      <c r="DWA3" t="str">
        <f>IFERROR(IF($C3="","",SUMIFS(Ledger!$K$2:$K$4, Ledger!$B$2:$B$4, $A3, Ledger!$C$2:$C$4, DWA$2)),"****")</f>
        <v/>
      </c>
      <c r="DWB3" t="str">
        <f>IFERROR(IF($C3="","",SUMIFS(Ledger!$K$2:$K$4, Ledger!$B$2:$B$4, $A3, Ledger!$C$2:$C$4, DWB$2)),"****")</f>
        <v/>
      </c>
      <c r="DWC3" t="str">
        <f>IFERROR(IF($C3="","",SUMIFS(Ledger!$K$2:$K$4, Ledger!$B$2:$B$4, $A3, Ledger!$C$2:$C$4, DWC$2)),"****")</f>
        <v/>
      </c>
      <c r="DWD3" t="str">
        <f>IFERROR(IF($C3="","",SUMIFS(Ledger!$K$2:$K$4, Ledger!$B$2:$B$4, $A3, Ledger!$C$2:$C$4, DWD$2)),"****")</f>
        <v/>
      </c>
      <c r="DWE3" t="str">
        <f>IFERROR(IF($C3="","",SUMIFS(Ledger!$K$2:$K$4, Ledger!$B$2:$B$4, $A3, Ledger!$C$2:$C$4, DWE$2)),"****")</f>
        <v/>
      </c>
      <c r="DWF3" t="str">
        <f>IFERROR(IF($C3="","",SUMIFS(Ledger!$K$2:$K$4, Ledger!$B$2:$B$4, $A3, Ledger!$C$2:$C$4, DWF$2)),"****")</f>
        <v/>
      </c>
      <c r="DWG3" t="str">
        <f>IFERROR(IF($C3="","",SUMIFS(Ledger!$K$2:$K$4, Ledger!$B$2:$B$4, $A3, Ledger!$C$2:$C$4, DWG$2)),"****")</f>
        <v/>
      </c>
      <c r="DWH3" t="str">
        <f>IFERROR(IF($C3="","",SUMIFS(Ledger!$K$2:$K$4, Ledger!$B$2:$B$4, $A3, Ledger!$C$2:$C$4, DWH$2)),"****")</f>
        <v/>
      </c>
      <c r="DWI3" t="str">
        <f>IFERROR(IF($C3="","",SUMIFS(Ledger!$K$2:$K$4, Ledger!$B$2:$B$4, $A3, Ledger!$C$2:$C$4, DWI$2)),"****")</f>
        <v/>
      </c>
      <c r="DWJ3" t="str">
        <f>IFERROR(IF($C3="","",SUMIFS(Ledger!$K$2:$K$4, Ledger!$B$2:$B$4, $A3, Ledger!$C$2:$C$4, DWJ$2)),"****")</f>
        <v/>
      </c>
      <c r="DWK3" t="str">
        <f>IFERROR(IF($C3="","",SUMIFS(Ledger!$K$2:$K$4, Ledger!$B$2:$B$4, $A3, Ledger!$C$2:$C$4, DWK$2)),"****")</f>
        <v/>
      </c>
      <c r="DWL3" t="str">
        <f>IFERROR(IF($C3="","",SUMIFS(Ledger!$K$2:$K$4, Ledger!$B$2:$B$4, $A3, Ledger!$C$2:$C$4, DWL$2)),"****")</f>
        <v/>
      </c>
      <c r="DWM3" t="str">
        <f>IFERROR(IF($C3="","",SUMIFS(Ledger!$K$2:$K$4, Ledger!$B$2:$B$4, $A3, Ledger!$C$2:$C$4, DWM$2)),"****")</f>
        <v/>
      </c>
      <c r="DWN3" t="str">
        <f>IFERROR(IF($C3="","",SUMIFS(Ledger!$K$2:$K$4, Ledger!$B$2:$B$4, $A3, Ledger!$C$2:$C$4, DWN$2)),"****")</f>
        <v/>
      </c>
      <c r="DWO3" t="str">
        <f>IFERROR(IF($C3="","",SUMIFS(Ledger!$K$2:$K$4, Ledger!$B$2:$B$4, $A3, Ledger!$C$2:$C$4, DWO$2)),"****")</f>
        <v/>
      </c>
      <c r="DWP3" t="str">
        <f>IFERROR(IF($C3="","",SUMIFS(Ledger!$K$2:$K$4, Ledger!$B$2:$B$4, $A3, Ledger!$C$2:$C$4, DWP$2)),"****")</f>
        <v/>
      </c>
      <c r="DWQ3" t="str">
        <f>IFERROR(IF($C3="","",SUMIFS(Ledger!$K$2:$K$4, Ledger!$B$2:$B$4, $A3, Ledger!$C$2:$C$4, DWQ$2)),"****")</f>
        <v/>
      </c>
      <c r="DWR3" t="str">
        <f>IFERROR(IF($C3="","",SUMIFS(Ledger!$K$2:$K$4, Ledger!$B$2:$B$4, $A3, Ledger!$C$2:$C$4, DWR$2)),"****")</f>
        <v/>
      </c>
      <c r="DWS3" t="str">
        <f>IFERROR(IF($C3="","",SUMIFS(Ledger!$K$2:$K$4, Ledger!$B$2:$B$4, $A3, Ledger!$C$2:$C$4, DWS$2)),"****")</f>
        <v/>
      </c>
      <c r="DWT3" t="str">
        <f>IFERROR(IF($C3="","",SUMIFS(Ledger!$K$2:$K$4, Ledger!$B$2:$B$4, $A3, Ledger!$C$2:$C$4, DWT$2)),"****")</f>
        <v/>
      </c>
      <c r="DWU3" t="str">
        <f>IFERROR(IF($C3="","",SUMIFS(Ledger!$K$2:$K$4, Ledger!$B$2:$B$4, $A3, Ledger!$C$2:$C$4, DWU$2)),"****")</f>
        <v/>
      </c>
      <c r="DWV3" t="str">
        <f>IFERROR(IF($C3="","",SUMIFS(Ledger!$K$2:$K$4, Ledger!$B$2:$B$4, $A3, Ledger!$C$2:$C$4, DWV$2)),"****")</f>
        <v/>
      </c>
      <c r="DWW3" t="str">
        <f>IFERROR(IF($C3="","",SUMIFS(Ledger!$K$2:$K$4, Ledger!$B$2:$B$4, $A3, Ledger!$C$2:$C$4, DWW$2)),"****")</f>
        <v/>
      </c>
      <c r="DWX3" t="str">
        <f>IFERROR(IF($C3="","",SUMIFS(Ledger!$K$2:$K$4, Ledger!$B$2:$B$4, $A3, Ledger!$C$2:$C$4, DWX$2)),"****")</f>
        <v/>
      </c>
      <c r="DWY3" t="str">
        <f>IFERROR(IF($C3="","",SUMIFS(Ledger!$K$2:$K$4, Ledger!$B$2:$B$4, $A3, Ledger!$C$2:$C$4, DWY$2)),"****")</f>
        <v/>
      </c>
      <c r="DWZ3" t="str">
        <f>IFERROR(IF($C3="","",SUMIFS(Ledger!$K$2:$K$4, Ledger!$B$2:$B$4, $A3, Ledger!$C$2:$C$4, DWZ$2)),"****")</f>
        <v/>
      </c>
      <c r="DXA3" t="str">
        <f>IFERROR(IF($C3="","",SUMIFS(Ledger!$K$2:$K$4, Ledger!$B$2:$B$4, $A3, Ledger!$C$2:$C$4, DXA$2)),"****")</f>
        <v/>
      </c>
      <c r="DXB3" t="str">
        <f>IFERROR(IF($C3="","",SUMIFS(Ledger!$K$2:$K$4, Ledger!$B$2:$B$4, $A3, Ledger!$C$2:$C$4, DXB$2)),"****")</f>
        <v/>
      </c>
      <c r="DXC3" t="str">
        <f>IFERROR(IF($C3="","",SUMIFS(Ledger!$K$2:$K$4, Ledger!$B$2:$B$4, $A3, Ledger!$C$2:$C$4, DXC$2)),"****")</f>
        <v/>
      </c>
      <c r="DXD3" t="str">
        <f>IFERROR(IF($C3="","",SUMIFS(Ledger!$K$2:$K$4, Ledger!$B$2:$B$4, $A3, Ledger!$C$2:$C$4, DXD$2)),"****")</f>
        <v/>
      </c>
      <c r="DXE3" t="str">
        <f>IFERROR(IF($C3="","",SUMIFS(Ledger!$K$2:$K$4, Ledger!$B$2:$B$4, $A3, Ledger!$C$2:$C$4, DXE$2)),"****")</f>
        <v/>
      </c>
      <c r="DXF3" t="str">
        <f>IFERROR(IF($C3="","",SUMIFS(Ledger!$K$2:$K$4, Ledger!$B$2:$B$4, $A3, Ledger!$C$2:$C$4, DXF$2)),"****")</f>
        <v/>
      </c>
      <c r="DXG3" t="str">
        <f>IFERROR(IF($C3="","",SUMIFS(Ledger!$K$2:$K$4, Ledger!$B$2:$B$4, $A3, Ledger!$C$2:$C$4, DXG$2)),"****")</f>
        <v/>
      </c>
      <c r="DXH3" t="str">
        <f>IFERROR(IF($C3="","",SUMIFS(Ledger!$K$2:$K$4, Ledger!$B$2:$B$4, $A3, Ledger!$C$2:$C$4, DXH$2)),"****")</f>
        <v/>
      </c>
      <c r="DXI3" t="str">
        <f>IFERROR(IF($C3="","",SUMIFS(Ledger!$K$2:$K$4, Ledger!$B$2:$B$4, $A3, Ledger!$C$2:$C$4, DXI$2)),"****")</f>
        <v/>
      </c>
      <c r="DXJ3" t="str">
        <f>IFERROR(IF($C3="","",SUMIFS(Ledger!$K$2:$K$4, Ledger!$B$2:$B$4, $A3, Ledger!$C$2:$C$4, DXJ$2)),"****")</f>
        <v/>
      </c>
      <c r="DXK3" t="str">
        <f>IFERROR(IF($C3="","",SUMIFS(Ledger!$K$2:$K$4, Ledger!$B$2:$B$4, $A3, Ledger!$C$2:$C$4, DXK$2)),"****")</f>
        <v/>
      </c>
      <c r="DXL3" t="str">
        <f>IFERROR(IF($C3="","",SUMIFS(Ledger!$K$2:$K$4, Ledger!$B$2:$B$4, $A3, Ledger!$C$2:$C$4, DXL$2)),"****")</f>
        <v/>
      </c>
      <c r="DXM3" t="str">
        <f>IFERROR(IF($C3="","",SUMIFS(Ledger!$K$2:$K$4, Ledger!$B$2:$B$4, $A3, Ledger!$C$2:$C$4, DXM$2)),"****")</f>
        <v/>
      </c>
      <c r="DXN3" t="str">
        <f>IFERROR(IF($C3="","",SUMIFS(Ledger!$K$2:$K$4, Ledger!$B$2:$B$4, $A3, Ledger!$C$2:$C$4, DXN$2)),"****")</f>
        <v/>
      </c>
      <c r="DXO3" t="str">
        <f>IFERROR(IF($C3="","",SUMIFS(Ledger!$K$2:$K$4, Ledger!$B$2:$B$4, $A3, Ledger!$C$2:$C$4, DXO$2)),"****")</f>
        <v/>
      </c>
      <c r="DXP3" t="str">
        <f>IFERROR(IF($C3="","",SUMIFS(Ledger!$K$2:$K$4, Ledger!$B$2:$B$4, $A3, Ledger!$C$2:$C$4, DXP$2)),"****")</f>
        <v/>
      </c>
      <c r="DXQ3" t="str">
        <f>IFERROR(IF($C3="","",SUMIFS(Ledger!$K$2:$K$4, Ledger!$B$2:$B$4, $A3, Ledger!$C$2:$C$4, DXQ$2)),"****")</f>
        <v/>
      </c>
      <c r="DXR3" t="str">
        <f>IFERROR(IF($C3="","",SUMIFS(Ledger!$K$2:$K$4, Ledger!$B$2:$B$4, $A3, Ledger!$C$2:$C$4, DXR$2)),"****")</f>
        <v/>
      </c>
      <c r="DXS3" t="str">
        <f>IFERROR(IF($C3="","",SUMIFS(Ledger!$K$2:$K$4, Ledger!$B$2:$B$4, $A3, Ledger!$C$2:$C$4, DXS$2)),"****")</f>
        <v/>
      </c>
      <c r="DXT3" t="str">
        <f>IFERROR(IF($C3="","",SUMIFS(Ledger!$K$2:$K$4, Ledger!$B$2:$B$4, $A3, Ledger!$C$2:$C$4, DXT$2)),"****")</f>
        <v/>
      </c>
      <c r="DXU3" t="str">
        <f>IFERROR(IF($C3="","",SUMIFS(Ledger!$K$2:$K$4, Ledger!$B$2:$B$4, $A3, Ledger!$C$2:$C$4, DXU$2)),"****")</f>
        <v/>
      </c>
      <c r="DXV3" t="str">
        <f>IFERROR(IF($C3="","",SUMIFS(Ledger!$K$2:$K$4, Ledger!$B$2:$B$4, $A3, Ledger!$C$2:$C$4, DXV$2)),"****")</f>
        <v/>
      </c>
      <c r="DXW3" t="str">
        <f>IFERROR(IF($C3="","",SUMIFS(Ledger!$K$2:$K$4, Ledger!$B$2:$B$4, $A3, Ledger!$C$2:$C$4, DXW$2)),"****")</f>
        <v/>
      </c>
      <c r="DXX3" t="str">
        <f>IFERROR(IF($C3="","",SUMIFS(Ledger!$K$2:$K$4, Ledger!$B$2:$B$4, $A3, Ledger!$C$2:$C$4, DXX$2)),"****")</f>
        <v/>
      </c>
      <c r="DXY3" t="str">
        <f>IFERROR(IF($C3="","",SUMIFS(Ledger!$K$2:$K$4, Ledger!$B$2:$B$4, $A3, Ledger!$C$2:$C$4, DXY$2)),"****")</f>
        <v/>
      </c>
      <c r="DXZ3" t="str">
        <f>IFERROR(IF($C3="","",SUMIFS(Ledger!$K$2:$K$4, Ledger!$B$2:$B$4, $A3, Ledger!$C$2:$C$4, DXZ$2)),"****")</f>
        <v/>
      </c>
      <c r="DYA3" t="str">
        <f>IFERROR(IF($C3="","",SUMIFS(Ledger!$K$2:$K$4, Ledger!$B$2:$B$4, $A3, Ledger!$C$2:$C$4, DYA$2)),"****")</f>
        <v/>
      </c>
      <c r="DYB3" t="str">
        <f>IFERROR(IF($C3="","",SUMIFS(Ledger!$K$2:$K$4, Ledger!$B$2:$B$4, $A3, Ledger!$C$2:$C$4, DYB$2)),"****")</f>
        <v/>
      </c>
      <c r="DYC3" t="str">
        <f>IFERROR(IF($C3="","",SUMIFS(Ledger!$K$2:$K$4, Ledger!$B$2:$B$4, $A3, Ledger!$C$2:$C$4, DYC$2)),"****")</f>
        <v/>
      </c>
      <c r="DYD3" t="str">
        <f>IFERROR(IF($C3="","",SUMIFS(Ledger!$K$2:$K$4, Ledger!$B$2:$B$4, $A3, Ledger!$C$2:$C$4, DYD$2)),"****")</f>
        <v/>
      </c>
      <c r="DYE3" t="str">
        <f>IFERROR(IF($C3="","",SUMIFS(Ledger!$K$2:$K$4, Ledger!$B$2:$B$4, $A3, Ledger!$C$2:$C$4, DYE$2)),"****")</f>
        <v/>
      </c>
      <c r="DYF3" t="str">
        <f>IFERROR(IF($C3="","",SUMIFS(Ledger!$K$2:$K$4, Ledger!$B$2:$B$4, $A3, Ledger!$C$2:$C$4, DYF$2)),"****")</f>
        <v/>
      </c>
      <c r="DYG3" t="str">
        <f>IFERROR(IF($C3="","",SUMIFS(Ledger!$K$2:$K$4, Ledger!$B$2:$B$4, $A3, Ledger!$C$2:$C$4, DYG$2)),"****")</f>
        <v/>
      </c>
      <c r="DYH3" t="str">
        <f>IFERROR(IF($C3="","",SUMIFS(Ledger!$K$2:$K$4, Ledger!$B$2:$B$4, $A3, Ledger!$C$2:$C$4, DYH$2)),"****")</f>
        <v/>
      </c>
      <c r="DYI3" t="str">
        <f>IFERROR(IF($C3="","",SUMIFS(Ledger!$K$2:$K$4, Ledger!$B$2:$B$4, $A3, Ledger!$C$2:$C$4, DYI$2)),"****")</f>
        <v/>
      </c>
      <c r="DYJ3" t="str">
        <f>IFERROR(IF($C3="","",SUMIFS(Ledger!$K$2:$K$4, Ledger!$B$2:$B$4, $A3, Ledger!$C$2:$C$4, DYJ$2)),"****")</f>
        <v/>
      </c>
      <c r="DYK3" t="str">
        <f>IFERROR(IF($C3="","",SUMIFS(Ledger!$K$2:$K$4, Ledger!$B$2:$B$4, $A3, Ledger!$C$2:$C$4, DYK$2)),"****")</f>
        <v/>
      </c>
      <c r="DYL3" t="str">
        <f>IFERROR(IF($C3="","",SUMIFS(Ledger!$K$2:$K$4, Ledger!$B$2:$B$4, $A3, Ledger!$C$2:$C$4, DYL$2)),"****")</f>
        <v/>
      </c>
      <c r="DYM3" t="str">
        <f>IFERROR(IF($C3="","",SUMIFS(Ledger!$K$2:$K$4, Ledger!$B$2:$B$4, $A3, Ledger!$C$2:$C$4, DYM$2)),"****")</f>
        <v/>
      </c>
      <c r="DYN3" t="str">
        <f>IFERROR(IF($C3="","",SUMIFS(Ledger!$K$2:$K$4, Ledger!$B$2:$B$4, $A3, Ledger!$C$2:$C$4, DYN$2)),"****")</f>
        <v/>
      </c>
      <c r="DYO3" t="str">
        <f>IFERROR(IF($C3="","",SUMIFS(Ledger!$K$2:$K$4, Ledger!$B$2:$B$4, $A3, Ledger!$C$2:$C$4, DYO$2)),"****")</f>
        <v/>
      </c>
      <c r="DYP3" t="str">
        <f>IFERROR(IF($C3="","",SUMIFS(Ledger!$K$2:$K$4, Ledger!$B$2:$B$4, $A3, Ledger!$C$2:$C$4, DYP$2)),"****")</f>
        <v/>
      </c>
      <c r="DYQ3" t="str">
        <f>IFERROR(IF($C3="","",SUMIFS(Ledger!$K$2:$K$4, Ledger!$B$2:$B$4, $A3, Ledger!$C$2:$C$4, DYQ$2)),"****")</f>
        <v/>
      </c>
      <c r="DYR3" t="str">
        <f>IFERROR(IF($C3="","",SUMIFS(Ledger!$K$2:$K$4, Ledger!$B$2:$B$4, $A3, Ledger!$C$2:$C$4, DYR$2)),"****")</f>
        <v/>
      </c>
      <c r="DYS3" t="str">
        <f>IFERROR(IF($C3="","",SUMIFS(Ledger!$K$2:$K$4, Ledger!$B$2:$B$4, $A3, Ledger!$C$2:$C$4, DYS$2)),"****")</f>
        <v/>
      </c>
      <c r="DYT3" t="str">
        <f>IFERROR(IF($C3="","",SUMIFS(Ledger!$K$2:$K$4, Ledger!$B$2:$B$4, $A3, Ledger!$C$2:$C$4, DYT$2)),"****")</f>
        <v/>
      </c>
      <c r="DYU3" t="str">
        <f>IFERROR(IF($C3="","",SUMIFS(Ledger!$K$2:$K$4, Ledger!$B$2:$B$4, $A3, Ledger!$C$2:$C$4, DYU$2)),"****")</f>
        <v/>
      </c>
      <c r="DYV3" t="str">
        <f>IFERROR(IF($C3="","",SUMIFS(Ledger!$K$2:$K$4, Ledger!$B$2:$B$4, $A3, Ledger!$C$2:$C$4, DYV$2)),"****")</f>
        <v/>
      </c>
      <c r="DYW3" t="str">
        <f>IFERROR(IF($C3="","",SUMIFS(Ledger!$K$2:$K$4, Ledger!$B$2:$B$4, $A3, Ledger!$C$2:$C$4, DYW$2)),"****")</f>
        <v/>
      </c>
      <c r="DYX3" t="str">
        <f>IFERROR(IF($C3="","",SUMIFS(Ledger!$K$2:$K$4, Ledger!$B$2:$B$4, $A3, Ledger!$C$2:$C$4, DYX$2)),"****")</f>
        <v/>
      </c>
      <c r="DYY3" t="str">
        <f>IFERROR(IF($C3="","",SUMIFS(Ledger!$K$2:$K$4, Ledger!$B$2:$B$4, $A3, Ledger!$C$2:$C$4, DYY$2)),"****")</f>
        <v/>
      </c>
      <c r="DYZ3" t="str">
        <f>IFERROR(IF($C3="","",SUMIFS(Ledger!$K$2:$K$4, Ledger!$B$2:$B$4, $A3, Ledger!$C$2:$C$4, DYZ$2)),"****")</f>
        <v/>
      </c>
      <c r="DZA3" t="str">
        <f>IFERROR(IF($C3="","",SUMIFS(Ledger!$K$2:$K$4, Ledger!$B$2:$B$4, $A3, Ledger!$C$2:$C$4, DZA$2)),"****")</f>
        <v/>
      </c>
      <c r="DZB3" t="str">
        <f>IFERROR(IF($C3="","",SUMIFS(Ledger!$K$2:$K$4, Ledger!$B$2:$B$4, $A3, Ledger!$C$2:$C$4, DZB$2)),"****")</f>
        <v/>
      </c>
      <c r="DZC3" t="str">
        <f>IFERROR(IF($C3="","",SUMIFS(Ledger!$K$2:$K$4, Ledger!$B$2:$B$4, $A3, Ledger!$C$2:$C$4, DZC$2)),"****")</f>
        <v/>
      </c>
      <c r="DZD3" t="str">
        <f>IFERROR(IF($C3="","",SUMIFS(Ledger!$K$2:$K$4, Ledger!$B$2:$B$4, $A3, Ledger!$C$2:$C$4, DZD$2)),"****")</f>
        <v/>
      </c>
      <c r="DZE3" t="str">
        <f>IFERROR(IF($C3="","",SUMIFS(Ledger!$K$2:$K$4, Ledger!$B$2:$B$4, $A3, Ledger!$C$2:$C$4, DZE$2)),"****")</f>
        <v/>
      </c>
      <c r="DZF3" t="str">
        <f>IFERROR(IF($C3="","",SUMIFS(Ledger!$K$2:$K$4, Ledger!$B$2:$B$4, $A3, Ledger!$C$2:$C$4, DZF$2)),"****")</f>
        <v/>
      </c>
      <c r="DZG3" t="str">
        <f>IFERROR(IF($C3="","",SUMIFS(Ledger!$K$2:$K$4, Ledger!$B$2:$B$4, $A3, Ledger!$C$2:$C$4, DZG$2)),"****")</f>
        <v/>
      </c>
      <c r="DZH3" t="str">
        <f>IFERROR(IF($C3="","",SUMIFS(Ledger!$K$2:$K$4, Ledger!$B$2:$B$4, $A3, Ledger!$C$2:$C$4, DZH$2)),"****")</f>
        <v/>
      </c>
      <c r="DZI3" t="str">
        <f>IFERROR(IF($C3="","",SUMIFS(Ledger!$K$2:$K$4, Ledger!$B$2:$B$4, $A3, Ledger!$C$2:$C$4, DZI$2)),"****")</f>
        <v/>
      </c>
      <c r="DZJ3" t="str">
        <f>IFERROR(IF($C3="","",SUMIFS(Ledger!$K$2:$K$4, Ledger!$B$2:$B$4, $A3, Ledger!$C$2:$C$4, DZJ$2)),"****")</f>
        <v/>
      </c>
      <c r="DZK3" t="str">
        <f>IFERROR(IF($C3="","",SUMIFS(Ledger!$K$2:$K$4, Ledger!$B$2:$B$4, $A3, Ledger!$C$2:$C$4, DZK$2)),"****")</f>
        <v/>
      </c>
      <c r="DZL3" t="str">
        <f>IFERROR(IF($C3="","",SUMIFS(Ledger!$K$2:$K$4, Ledger!$B$2:$B$4, $A3, Ledger!$C$2:$C$4, DZL$2)),"****")</f>
        <v/>
      </c>
      <c r="DZM3" t="str">
        <f>IFERROR(IF($C3="","",SUMIFS(Ledger!$K$2:$K$4, Ledger!$B$2:$B$4, $A3, Ledger!$C$2:$C$4, DZM$2)),"****")</f>
        <v/>
      </c>
      <c r="DZN3" t="str">
        <f>IFERROR(IF($C3="","",SUMIFS(Ledger!$K$2:$K$4, Ledger!$B$2:$B$4, $A3, Ledger!$C$2:$C$4, DZN$2)),"****")</f>
        <v/>
      </c>
      <c r="DZO3" t="str">
        <f>IFERROR(IF($C3="","",SUMIFS(Ledger!$K$2:$K$4, Ledger!$B$2:$B$4, $A3, Ledger!$C$2:$C$4, DZO$2)),"****")</f>
        <v/>
      </c>
      <c r="DZP3" t="str">
        <f>IFERROR(IF($C3="","",SUMIFS(Ledger!$K$2:$K$4, Ledger!$B$2:$B$4, $A3, Ledger!$C$2:$C$4, DZP$2)),"****")</f>
        <v/>
      </c>
      <c r="DZQ3" t="str">
        <f>IFERROR(IF($C3="","",SUMIFS(Ledger!$K$2:$K$4, Ledger!$B$2:$B$4, $A3, Ledger!$C$2:$C$4, DZQ$2)),"****")</f>
        <v/>
      </c>
      <c r="DZR3" t="str">
        <f>IFERROR(IF($C3="","",SUMIFS(Ledger!$K$2:$K$4, Ledger!$B$2:$B$4, $A3, Ledger!$C$2:$C$4, DZR$2)),"****")</f>
        <v/>
      </c>
      <c r="DZS3" t="str">
        <f>IFERROR(IF($C3="","",SUMIFS(Ledger!$K$2:$K$4, Ledger!$B$2:$B$4, $A3, Ledger!$C$2:$C$4, DZS$2)),"****")</f>
        <v/>
      </c>
      <c r="DZT3" t="str">
        <f>IFERROR(IF($C3="","",SUMIFS(Ledger!$K$2:$K$4, Ledger!$B$2:$B$4, $A3, Ledger!$C$2:$C$4, DZT$2)),"****")</f>
        <v/>
      </c>
      <c r="DZU3" t="str">
        <f>IFERROR(IF($C3="","",SUMIFS(Ledger!$K$2:$K$4, Ledger!$B$2:$B$4, $A3, Ledger!$C$2:$C$4, DZU$2)),"****")</f>
        <v/>
      </c>
      <c r="DZV3" t="str">
        <f>IFERROR(IF($C3="","",SUMIFS(Ledger!$K$2:$K$4, Ledger!$B$2:$B$4, $A3, Ledger!$C$2:$C$4, DZV$2)),"****")</f>
        <v/>
      </c>
      <c r="DZW3" t="str">
        <f>IFERROR(IF($C3="","",SUMIFS(Ledger!$K$2:$K$4, Ledger!$B$2:$B$4, $A3, Ledger!$C$2:$C$4, DZW$2)),"****")</f>
        <v/>
      </c>
      <c r="DZX3" t="str">
        <f>IFERROR(IF($C3="","",SUMIFS(Ledger!$K$2:$K$4, Ledger!$B$2:$B$4, $A3, Ledger!$C$2:$C$4, DZX$2)),"****")</f>
        <v/>
      </c>
      <c r="DZY3" t="str">
        <f>IFERROR(IF($C3="","",SUMIFS(Ledger!$K$2:$K$4, Ledger!$B$2:$B$4, $A3, Ledger!$C$2:$C$4, DZY$2)),"****")</f>
        <v/>
      </c>
      <c r="DZZ3" t="str">
        <f>IFERROR(IF($C3="","",SUMIFS(Ledger!$K$2:$K$4, Ledger!$B$2:$B$4, $A3, Ledger!$C$2:$C$4, DZZ$2)),"****")</f>
        <v/>
      </c>
      <c r="EAA3" t="str">
        <f>IFERROR(IF($C3="","",SUMIFS(Ledger!$K$2:$K$4, Ledger!$B$2:$B$4, $A3, Ledger!$C$2:$C$4, EAA$2)),"****")</f>
        <v/>
      </c>
      <c r="EAB3" t="str">
        <f>IFERROR(IF($C3="","",SUMIFS(Ledger!$K$2:$K$4, Ledger!$B$2:$B$4, $A3, Ledger!$C$2:$C$4, EAB$2)),"****")</f>
        <v/>
      </c>
      <c r="EAC3" t="str">
        <f>IFERROR(IF($C3="","",SUMIFS(Ledger!$K$2:$K$4, Ledger!$B$2:$B$4, $A3, Ledger!$C$2:$C$4, EAC$2)),"****")</f>
        <v/>
      </c>
      <c r="EAD3" t="str">
        <f>IFERROR(IF($C3="","",SUMIFS(Ledger!$K$2:$K$4, Ledger!$B$2:$B$4, $A3, Ledger!$C$2:$C$4, EAD$2)),"****")</f>
        <v/>
      </c>
      <c r="EAE3" t="str">
        <f>IFERROR(IF($C3="","",SUMIFS(Ledger!$K$2:$K$4, Ledger!$B$2:$B$4, $A3, Ledger!$C$2:$C$4, EAE$2)),"****")</f>
        <v/>
      </c>
      <c r="EAF3" t="str">
        <f>IFERROR(IF($C3="","",SUMIFS(Ledger!$K$2:$K$4, Ledger!$B$2:$B$4, $A3, Ledger!$C$2:$C$4, EAF$2)),"****")</f>
        <v/>
      </c>
      <c r="EAG3" t="str">
        <f>IFERROR(IF($C3="","",SUMIFS(Ledger!$K$2:$K$4, Ledger!$B$2:$B$4, $A3, Ledger!$C$2:$C$4, EAG$2)),"****")</f>
        <v/>
      </c>
      <c r="EAH3" t="str">
        <f>IFERROR(IF($C3="","",SUMIFS(Ledger!$K$2:$K$4, Ledger!$B$2:$B$4, $A3, Ledger!$C$2:$C$4, EAH$2)),"****")</f>
        <v/>
      </c>
      <c r="EAI3" t="str">
        <f>IFERROR(IF($C3="","",SUMIFS(Ledger!$K$2:$K$4, Ledger!$B$2:$B$4, $A3, Ledger!$C$2:$C$4, EAI$2)),"****")</f>
        <v/>
      </c>
      <c r="EAJ3" t="str">
        <f>IFERROR(IF($C3="","",SUMIFS(Ledger!$K$2:$K$4, Ledger!$B$2:$B$4, $A3, Ledger!$C$2:$C$4, EAJ$2)),"****")</f>
        <v/>
      </c>
      <c r="EAK3" t="str">
        <f>IFERROR(IF($C3="","",SUMIFS(Ledger!$K$2:$K$4, Ledger!$B$2:$B$4, $A3, Ledger!$C$2:$C$4, EAK$2)),"****")</f>
        <v/>
      </c>
      <c r="EAL3" t="str">
        <f>IFERROR(IF($C3="","",SUMIFS(Ledger!$K$2:$K$4, Ledger!$B$2:$B$4, $A3, Ledger!$C$2:$C$4, EAL$2)),"****")</f>
        <v/>
      </c>
      <c r="EAM3" t="str">
        <f>IFERROR(IF($C3="","",SUMIFS(Ledger!$K$2:$K$4, Ledger!$B$2:$B$4, $A3, Ledger!$C$2:$C$4, EAM$2)),"****")</f>
        <v/>
      </c>
      <c r="EAN3" t="str">
        <f>IFERROR(IF($C3="","",SUMIFS(Ledger!$K$2:$K$4, Ledger!$B$2:$B$4, $A3, Ledger!$C$2:$C$4, EAN$2)),"****")</f>
        <v/>
      </c>
      <c r="EAO3" t="str">
        <f>IFERROR(IF($C3="","",SUMIFS(Ledger!$K$2:$K$4, Ledger!$B$2:$B$4, $A3, Ledger!$C$2:$C$4, EAO$2)),"****")</f>
        <v/>
      </c>
      <c r="EAP3" t="str">
        <f>IFERROR(IF($C3="","",SUMIFS(Ledger!$K$2:$K$4, Ledger!$B$2:$B$4, $A3, Ledger!$C$2:$C$4, EAP$2)),"****")</f>
        <v/>
      </c>
      <c r="EAQ3" t="str">
        <f>IFERROR(IF($C3="","",SUMIFS(Ledger!$K$2:$K$4, Ledger!$B$2:$B$4, $A3, Ledger!$C$2:$C$4, EAQ$2)),"****")</f>
        <v/>
      </c>
      <c r="EAR3" t="str">
        <f>IFERROR(IF($C3="","",SUMIFS(Ledger!$K$2:$K$4, Ledger!$B$2:$B$4, $A3, Ledger!$C$2:$C$4, EAR$2)),"****")</f>
        <v/>
      </c>
      <c r="EAS3" t="str">
        <f>IFERROR(IF($C3="","",SUMIFS(Ledger!$K$2:$K$4, Ledger!$B$2:$B$4, $A3, Ledger!$C$2:$C$4, EAS$2)),"****")</f>
        <v/>
      </c>
      <c r="EAT3" t="str">
        <f>IFERROR(IF($C3="","",SUMIFS(Ledger!$K$2:$K$4, Ledger!$B$2:$B$4, $A3, Ledger!$C$2:$C$4, EAT$2)),"****")</f>
        <v/>
      </c>
      <c r="EAU3" t="str">
        <f>IFERROR(IF($C3="","",SUMIFS(Ledger!$K$2:$K$4, Ledger!$B$2:$B$4, $A3, Ledger!$C$2:$C$4, EAU$2)),"****")</f>
        <v/>
      </c>
      <c r="EAV3" t="str">
        <f>IFERROR(IF($C3="","",SUMIFS(Ledger!$K$2:$K$4, Ledger!$B$2:$B$4, $A3, Ledger!$C$2:$C$4, EAV$2)),"****")</f>
        <v/>
      </c>
      <c r="EAW3" t="str">
        <f>IFERROR(IF($C3="","",SUMIFS(Ledger!$K$2:$K$4, Ledger!$B$2:$B$4, $A3, Ledger!$C$2:$C$4, EAW$2)),"****")</f>
        <v/>
      </c>
      <c r="EAX3" t="str">
        <f>IFERROR(IF($C3="","",SUMIFS(Ledger!$K$2:$K$4, Ledger!$B$2:$B$4, $A3, Ledger!$C$2:$C$4, EAX$2)),"****")</f>
        <v/>
      </c>
      <c r="EAY3" t="str">
        <f>IFERROR(IF($C3="","",SUMIFS(Ledger!$K$2:$K$4, Ledger!$B$2:$B$4, $A3, Ledger!$C$2:$C$4, EAY$2)),"****")</f>
        <v/>
      </c>
      <c r="EAZ3" t="str">
        <f>IFERROR(IF($C3="","",SUMIFS(Ledger!$K$2:$K$4, Ledger!$B$2:$B$4, $A3, Ledger!$C$2:$C$4, EAZ$2)),"****")</f>
        <v/>
      </c>
      <c r="EBA3" t="str">
        <f>IFERROR(IF($C3="","",SUMIFS(Ledger!$K$2:$K$4, Ledger!$B$2:$B$4, $A3, Ledger!$C$2:$C$4, EBA$2)),"****")</f>
        <v/>
      </c>
      <c r="EBB3" t="str">
        <f>IFERROR(IF($C3="","",SUMIFS(Ledger!$K$2:$K$4, Ledger!$B$2:$B$4, $A3, Ledger!$C$2:$C$4, EBB$2)),"****")</f>
        <v/>
      </c>
      <c r="EBC3" t="str">
        <f>IFERROR(IF($C3="","",SUMIFS(Ledger!$K$2:$K$4, Ledger!$B$2:$B$4, $A3, Ledger!$C$2:$C$4, EBC$2)),"****")</f>
        <v/>
      </c>
      <c r="EBD3" t="str">
        <f>IFERROR(IF($C3="","",SUMIFS(Ledger!$K$2:$K$4, Ledger!$B$2:$B$4, $A3, Ledger!$C$2:$C$4, EBD$2)),"****")</f>
        <v/>
      </c>
      <c r="EBE3" t="str">
        <f>IFERROR(IF($C3="","",SUMIFS(Ledger!$K$2:$K$4, Ledger!$B$2:$B$4, $A3, Ledger!$C$2:$C$4, EBE$2)),"****")</f>
        <v/>
      </c>
      <c r="EBF3" t="str">
        <f>IFERROR(IF($C3="","",SUMIFS(Ledger!$K$2:$K$4, Ledger!$B$2:$B$4, $A3, Ledger!$C$2:$C$4, EBF$2)),"****")</f>
        <v/>
      </c>
      <c r="EBG3" t="str">
        <f>IFERROR(IF($C3="","",SUMIFS(Ledger!$K$2:$K$4, Ledger!$B$2:$B$4, $A3, Ledger!$C$2:$C$4, EBG$2)),"****")</f>
        <v/>
      </c>
      <c r="EBH3" t="str">
        <f>IFERROR(IF($C3="","",SUMIFS(Ledger!$K$2:$K$4, Ledger!$B$2:$B$4, $A3, Ledger!$C$2:$C$4, EBH$2)),"****")</f>
        <v/>
      </c>
      <c r="EBI3" t="str">
        <f>IFERROR(IF($C3="","",SUMIFS(Ledger!$K$2:$K$4, Ledger!$B$2:$B$4, $A3, Ledger!$C$2:$C$4, EBI$2)),"****")</f>
        <v/>
      </c>
      <c r="EBJ3" t="str">
        <f>IFERROR(IF($C3="","",SUMIFS(Ledger!$K$2:$K$4, Ledger!$B$2:$B$4, $A3, Ledger!$C$2:$C$4, EBJ$2)),"****")</f>
        <v/>
      </c>
      <c r="EBK3" t="str">
        <f>IFERROR(IF($C3="","",SUMIFS(Ledger!$K$2:$K$4, Ledger!$B$2:$B$4, $A3, Ledger!$C$2:$C$4, EBK$2)),"****")</f>
        <v/>
      </c>
      <c r="EBL3" t="str">
        <f>IFERROR(IF($C3="","",SUMIFS(Ledger!$K$2:$K$4, Ledger!$B$2:$B$4, $A3, Ledger!$C$2:$C$4, EBL$2)),"****")</f>
        <v/>
      </c>
      <c r="EBM3" t="str">
        <f>IFERROR(IF($C3="","",SUMIFS(Ledger!$K$2:$K$4, Ledger!$B$2:$B$4, $A3, Ledger!$C$2:$C$4, EBM$2)),"****")</f>
        <v/>
      </c>
      <c r="EBN3" t="str">
        <f>IFERROR(IF($C3="","",SUMIFS(Ledger!$K$2:$K$4, Ledger!$B$2:$B$4, $A3, Ledger!$C$2:$C$4, EBN$2)),"****")</f>
        <v/>
      </c>
      <c r="EBO3" t="str">
        <f>IFERROR(IF($C3="","",SUMIFS(Ledger!$K$2:$K$4, Ledger!$B$2:$B$4, $A3, Ledger!$C$2:$C$4, EBO$2)),"****")</f>
        <v/>
      </c>
      <c r="EBP3" t="str">
        <f>IFERROR(IF($C3="","",SUMIFS(Ledger!$K$2:$K$4, Ledger!$B$2:$B$4, $A3, Ledger!$C$2:$C$4, EBP$2)),"****")</f>
        <v/>
      </c>
      <c r="EBQ3" t="str">
        <f>IFERROR(IF($C3="","",SUMIFS(Ledger!$K$2:$K$4, Ledger!$B$2:$B$4, $A3, Ledger!$C$2:$C$4, EBQ$2)),"****")</f>
        <v/>
      </c>
      <c r="EBR3" t="str">
        <f>IFERROR(IF($C3="","",SUMIFS(Ledger!$K$2:$K$4, Ledger!$B$2:$B$4, $A3, Ledger!$C$2:$C$4, EBR$2)),"****")</f>
        <v/>
      </c>
      <c r="EBS3" t="str">
        <f>IFERROR(IF($C3="","",SUMIFS(Ledger!$K$2:$K$4, Ledger!$B$2:$B$4, $A3, Ledger!$C$2:$C$4, EBS$2)),"****")</f>
        <v/>
      </c>
      <c r="EBT3" t="str">
        <f>IFERROR(IF($C3="","",SUMIFS(Ledger!$K$2:$K$4, Ledger!$B$2:$B$4, $A3, Ledger!$C$2:$C$4, EBT$2)),"****")</f>
        <v/>
      </c>
      <c r="EBU3" t="str">
        <f>IFERROR(IF($C3="","",SUMIFS(Ledger!$K$2:$K$4, Ledger!$B$2:$B$4, $A3, Ledger!$C$2:$C$4, EBU$2)),"****")</f>
        <v/>
      </c>
      <c r="EBV3" t="str">
        <f>IFERROR(IF($C3="","",SUMIFS(Ledger!$K$2:$K$4, Ledger!$B$2:$B$4, $A3, Ledger!$C$2:$C$4, EBV$2)),"****")</f>
        <v/>
      </c>
      <c r="EBW3" t="str">
        <f>IFERROR(IF($C3="","",SUMIFS(Ledger!$K$2:$K$4, Ledger!$B$2:$B$4, $A3, Ledger!$C$2:$C$4, EBW$2)),"****")</f>
        <v/>
      </c>
      <c r="EBX3" t="str">
        <f>IFERROR(IF($C3="","",SUMIFS(Ledger!$K$2:$K$4, Ledger!$B$2:$B$4, $A3, Ledger!$C$2:$C$4, EBX$2)),"****")</f>
        <v/>
      </c>
      <c r="EBY3" t="str">
        <f>IFERROR(IF($C3="","",SUMIFS(Ledger!$K$2:$K$4, Ledger!$B$2:$B$4, $A3, Ledger!$C$2:$C$4, EBY$2)),"****")</f>
        <v/>
      </c>
      <c r="EBZ3" t="str">
        <f>IFERROR(IF($C3="","",SUMIFS(Ledger!$K$2:$K$4, Ledger!$B$2:$B$4, $A3, Ledger!$C$2:$C$4, EBZ$2)),"****")</f>
        <v/>
      </c>
      <c r="ECA3" t="str">
        <f>IFERROR(IF($C3="","",SUMIFS(Ledger!$K$2:$K$4, Ledger!$B$2:$B$4, $A3, Ledger!$C$2:$C$4, ECA$2)),"****")</f>
        <v/>
      </c>
      <c r="ECB3" t="str">
        <f>IFERROR(IF($C3="","",SUMIFS(Ledger!$K$2:$K$4, Ledger!$B$2:$B$4, $A3, Ledger!$C$2:$C$4, ECB$2)),"****")</f>
        <v/>
      </c>
      <c r="ECC3" t="str">
        <f>IFERROR(IF($C3="","",SUMIFS(Ledger!$K$2:$K$4, Ledger!$B$2:$B$4, $A3, Ledger!$C$2:$C$4, ECC$2)),"****")</f>
        <v/>
      </c>
      <c r="ECD3" t="str">
        <f>IFERROR(IF($C3="","",SUMIFS(Ledger!$K$2:$K$4, Ledger!$B$2:$B$4, $A3, Ledger!$C$2:$C$4, ECD$2)),"****")</f>
        <v/>
      </c>
      <c r="ECE3" t="str">
        <f>IFERROR(IF($C3="","",SUMIFS(Ledger!$K$2:$K$4, Ledger!$B$2:$B$4, $A3, Ledger!$C$2:$C$4, ECE$2)),"****")</f>
        <v/>
      </c>
      <c r="ECF3" t="str">
        <f>IFERROR(IF($C3="","",SUMIFS(Ledger!$K$2:$K$4, Ledger!$B$2:$B$4, $A3, Ledger!$C$2:$C$4, ECF$2)),"****")</f>
        <v/>
      </c>
      <c r="ECG3" t="str">
        <f>IFERROR(IF($C3="","",SUMIFS(Ledger!$K$2:$K$4, Ledger!$B$2:$B$4, $A3, Ledger!$C$2:$C$4, ECG$2)),"****")</f>
        <v/>
      </c>
      <c r="ECH3" t="str">
        <f>IFERROR(IF($C3="","",SUMIFS(Ledger!$K$2:$K$4, Ledger!$B$2:$B$4, $A3, Ledger!$C$2:$C$4, ECH$2)),"****")</f>
        <v/>
      </c>
      <c r="ECI3" t="str">
        <f>IFERROR(IF($C3="","",SUMIFS(Ledger!$K$2:$K$4, Ledger!$B$2:$B$4, $A3, Ledger!$C$2:$C$4, ECI$2)),"****")</f>
        <v/>
      </c>
      <c r="ECJ3" t="str">
        <f>IFERROR(IF($C3="","",SUMIFS(Ledger!$K$2:$K$4, Ledger!$B$2:$B$4, $A3, Ledger!$C$2:$C$4, ECJ$2)),"****")</f>
        <v/>
      </c>
      <c r="ECK3" t="str">
        <f>IFERROR(IF($C3="","",SUMIFS(Ledger!$K$2:$K$4, Ledger!$B$2:$B$4, $A3, Ledger!$C$2:$C$4, ECK$2)),"****")</f>
        <v/>
      </c>
      <c r="ECL3" t="str">
        <f>IFERROR(IF($C3="","",SUMIFS(Ledger!$K$2:$K$4, Ledger!$B$2:$B$4, $A3, Ledger!$C$2:$C$4, ECL$2)),"****")</f>
        <v/>
      </c>
      <c r="ECM3" t="str">
        <f>IFERROR(IF($C3="","",SUMIFS(Ledger!$K$2:$K$4, Ledger!$B$2:$B$4, $A3, Ledger!$C$2:$C$4, ECM$2)),"****")</f>
        <v/>
      </c>
      <c r="ECN3" t="str">
        <f>IFERROR(IF($C3="","",SUMIFS(Ledger!$K$2:$K$4, Ledger!$B$2:$B$4, $A3, Ledger!$C$2:$C$4, ECN$2)),"****")</f>
        <v/>
      </c>
      <c r="ECO3" t="str">
        <f>IFERROR(IF($C3="","",SUMIFS(Ledger!$K$2:$K$4, Ledger!$B$2:$B$4, $A3, Ledger!$C$2:$C$4, ECO$2)),"****")</f>
        <v/>
      </c>
      <c r="ECP3" t="str">
        <f>IFERROR(IF($C3="","",SUMIFS(Ledger!$K$2:$K$4, Ledger!$B$2:$B$4, $A3, Ledger!$C$2:$C$4, ECP$2)),"****")</f>
        <v/>
      </c>
      <c r="ECQ3" t="str">
        <f>IFERROR(IF($C3="","",SUMIFS(Ledger!$K$2:$K$4, Ledger!$B$2:$B$4, $A3, Ledger!$C$2:$C$4, ECQ$2)),"****")</f>
        <v/>
      </c>
      <c r="ECR3" t="str">
        <f>IFERROR(IF($C3="","",SUMIFS(Ledger!$K$2:$K$4, Ledger!$B$2:$B$4, $A3, Ledger!$C$2:$C$4, ECR$2)),"****")</f>
        <v/>
      </c>
      <c r="ECS3" t="str">
        <f>IFERROR(IF($C3="","",SUMIFS(Ledger!$K$2:$K$4, Ledger!$B$2:$B$4, $A3, Ledger!$C$2:$C$4, ECS$2)),"****")</f>
        <v/>
      </c>
      <c r="ECT3" t="str">
        <f>IFERROR(IF($C3="","",SUMIFS(Ledger!$K$2:$K$4, Ledger!$B$2:$B$4, $A3, Ledger!$C$2:$C$4, ECT$2)),"****")</f>
        <v/>
      </c>
      <c r="ECU3" t="str">
        <f>IFERROR(IF($C3="","",SUMIFS(Ledger!$K$2:$K$4, Ledger!$B$2:$B$4, $A3, Ledger!$C$2:$C$4, ECU$2)),"****")</f>
        <v/>
      </c>
      <c r="ECV3" t="str">
        <f>IFERROR(IF($C3="","",SUMIFS(Ledger!$K$2:$K$4, Ledger!$B$2:$B$4, $A3, Ledger!$C$2:$C$4, ECV$2)),"****")</f>
        <v/>
      </c>
      <c r="ECW3" t="str">
        <f>IFERROR(IF($C3="","",SUMIFS(Ledger!$K$2:$K$4, Ledger!$B$2:$B$4, $A3, Ledger!$C$2:$C$4, ECW$2)),"****")</f>
        <v/>
      </c>
      <c r="ECX3" t="str">
        <f>IFERROR(IF($C3="","",SUMIFS(Ledger!$K$2:$K$4, Ledger!$B$2:$B$4, $A3, Ledger!$C$2:$C$4, ECX$2)),"****")</f>
        <v/>
      </c>
      <c r="ECY3" t="str">
        <f>IFERROR(IF($C3="","",SUMIFS(Ledger!$K$2:$K$4, Ledger!$B$2:$B$4, $A3, Ledger!$C$2:$C$4, ECY$2)),"****")</f>
        <v/>
      </c>
      <c r="ECZ3" t="str">
        <f>IFERROR(IF($C3="","",SUMIFS(Ledger!$K$2:$K$4, Ledger!$B$2:$B$4, $A3, Ledger!$C$2:$C$4, ECZ$2)),"****")</f>
        <v/>
      </c>
      <c r="EDA3" t="str">
        <f>IFERROR(IF($C3="","",SUMIFS(Ledger!$K$2:$K$4, Ledger!$B$2:$B$4, $A3, Ledger!$C$2:$C$4, EDA$2)),"****")</f>
        <v/>
      </c>
      <c r="EDB3" t="str">
        <f>IFERROR(IF($C3="","",SUMIFS(Ledger!$K$2:$K$4, Ledger!$B$2:$B$4, $A3, Ledger!$C$2:$C$4, EDB$2)),"****")</f>
        <v/>
      </c>
      <c r="EDC3" t="str">
        <f>IFERROR(IF($C3="","",SUMIFS(Ledger!$K$2:$K$4, Ledger!$B$2:$B$4, $A3, Ledger!$C$2:$C$4, EDC$2)),"****")</f>
        <v/>
      </c>
      <c r="EDD3" t="str">
        <f>IFERROR(IF($C3="","",SUMIFS(Ledger!$K$2:$K$4, Ledger!$B$2:$B$4, $A3, Ledger!$C$2:$C$4, EDD$2)),"****")</f>
        <v/>
      </c>
      <c r="EDE3" t="str">
        <f>IFERROR(IF($C3="","",SUMIFS(Ledger!$K$2:$K$4, Ledger!$B$2:$B$4, $A3, Ledger!$C$2:$C$4, EDE$2)),"****")</f>
        <v/>
      </c>
      <c r="EDF3" t="str">
        <f>IFERROR(IF($C3="","",SUMIFS(Ledger!$K$2:$K$4, Ledger!$B$2:$B$4, $A3, Ledger!$C$2:$C$4, EDF$2)),"****")</f>
        <v/>
      </c>
      <c r="EDG3" t="str">
        <f>IFERROR(IF($C3="","",SUMIFS(Ledger!$K$2:$K$4, Ledger!$B$2:$B$4, $A3, Ledger!$C$2:$C$4, EDG$2)),"****")</f>
        <v/>
      </c>
      <c r="EDH3" t="str">
        <f>IFERROR(IF($C3="","",SUMIFS(Ledger!$K$2:$K$4, Ledger!$B$2:$B$4, $A3, Ledger!$C$2:$C$4, EDH$2)),"****")</f>
        <v/>
      </c>
      <c r="EDI3" t="str">
        <f>IFERROR(IF($C3="","",SUMIFS(Ledger!$K$2:$K$4, Ledger!$B$2:$B$4, $A3, Ledger!$C$2:$C$4, EDI$2)),"****")</f>
        <v/>
      </c>
      <c r="EDJ3" t="str">
        <f>IFERROR(IF($C3="","",SUMIFS(Ledger!$K$2:$K$4, Ledger!$B$2:$B$4, $A3, Ledger!$C$2:$C$4, EDJ$2)),"****")</f>
        <v/>
      </c>
      <c r="EDK3" t="str">
        <f>IFERROR(IF($C3="","",SUMIFS(Ledger!$K$2:$K$4, Ledger!$B$2:$B$4, $A3, Ledger!$C$2:$C$4, EDK$2)),"****")</f>
        <v/>
      </c>
      <c r="EDL3" t="str">
        <f>IFERROR(IF($C3="","",SUMIFS(Ledger!$K$2:$K$4, Ledger!$B$2:$B$4, $A3, Ledger!$C$2:$C$4, EDL$2)),"****")</f>
        <v/>
      </c>
      <c r="EDM3" t="str">
        <f>IFERROR(IF($C3="","",SUMIFS(Ledger!$K$2:$K$4, Ledger!$B$2:$B$4, $A3, Ledger!$C$2:$C$4, EDM$2)),"****")</f>
        <v/>
      </c>
      <c r="EDN3" t="str">
        <f>IFERROR(IF($C3="","",SUMIFS(Ledger!$K$2:$K$4, Ledger!$B$2:$B$4, $A3, Ledger!$C$2:$C$4, EDN$2)),"****")</f>
        <v/>
      </c>
      <c r="EDO3" t="str">
        <f>IFERROR(IF($C3="","",SUMIFS(Ledger!$K$2:$K$4, Ledger!$B$2:$B$4, $A3, Ledger!$C$2:$C$4, EDO$2)),"****")</f>
        <v/>
      </c>
      <c r="EDP3" t="str">
        <f>IFERROR(IF($C3="","",SUMIFS(Ledger!$K$2:$K$4, Ledger!$B$2:$B$4, $A3, Ledger!$C$2:$C$4, EDP$2)),"****")</f>
        <v/>
      </c>
      <c r="EDQ3" t="str">
        <f>IFERROR(IF($C3="","",SUMIFS(Ledger!$K$2:$K$4, Ledger!$B$2:$B$4, $A3, Ledger!$C$2:$C$4, EDQ$2)),"****")</f>
        <v/>
      </c>
      <c r="EDR3" t="str">
        <f>IFERROR(IF($C3="","",SUMIFS(Ledger!$K$2:$K$4, Ledger!$B$2:$B$4, $A3, Ledger!$C$2:$C$4, EDR$2)),"****")</f>
        <v/>
      </c>
      <c r="EDS3" t="str">
        <f>IFERROR(IF($C3="","",SUMIFS(Ledger!$K$2:$K$4, Ledger!$B$2:$B$4, $A3, Ledger!$C$2:$C$4, EDS$2)),"****")</f>
        <v/>
      </c>
      <c r="EDT3" t="str">
        <f>IFERROR(IF($C3="","",SUMIFS(Ledger!$K$2:$K$4, Ledger!$B$2:$B$4, $A3, Ledger!$C$2:$C$4, EDT$2)),"****")</f>
        <v/>
      </c>
      <c r="EDU3" t="str">
        <f>IFERROR(IF($C3="","",SUMIFS(Ledger!$K$2:$K$4, Ledger!$B$2:$B$4, $A3, Ledger!$C$2:$C$4, EDU$2)),"****")</f>
        <v/>
      </c>
      <c r="EDV3" t="str">
        <f>IFERROR(IF($C3="","",SUMIFS(Ledger!$K$2:$K$4, Ledger!$B$2:$B$4, $A3, Ledger!$C$2:$C$4, EDV$2)),"****")</f>
        <v/>
      </c>
      <c r="EDW3" t="str">
        <f>IFERROR(IF($C3="","",SUMIFS(Ledger!$K$2:$K$4, Ledger!$B$2:$B$4, $A3, Ledger!$C$2:$C$4, EDW$2)),"****")</f>
        <v/>
      </c>
      <c r="EDX3" t="str">
        <f>IFERROR(IF($C3="","",SUMIFS(Ledger!$K$2:$K$4, Ledger!$B$2:$B$4, $A3, Ledger!$C$2:$C$4, EDX$2)),"****")</f>
        <v/>
      </c>
      <c r="EDY3" t="str">
        <f>IFERROR(IF($C3="","",SUMIFS(Ledger!$K$2:$K$4, Ledger!$B$2:$B$4, $A3, Ledger!$C$2:$C$4, EDY$2)),"****")</f>
        <v/>
      </c>
      <c r="EDZ3" t="str">
        <f>IFERROR(IF($C3="","",SUMIFS(Ledger!$K$2:$K$4, Ledger!$B$2:$B$4, $A3, Ledger!$C$2:$C$4, EDZ$2)),"****")</f>
        <v/>
      </c>
      <c r="EEA3" t="str">
        <f>IFERROR(IF($C3="","",SUMIFS(Ledger!$K$2:$K$4, Ledger!$B$2:$B$4, $A3, Ledger!$C$2:$C$4, EEA$2)),"****")</f>
        <v/>
      </c>
      <c r="EEB3" t="str">
        <f>IFERROR(IF($C3="","",SUMIFS(Ledger!$K$2:$K$4, Ledger!$B$2:$B$4, $A3, Ledger!$C$2:$C$4, EEB$2)),"****")</f>
        <v/>
      </c>
      <c r="EEC3" t="str">
        <f>IFERROR(IF($C3="","",SUMIFS(Ledger!$K$2:$K$4, Ledger!$B$2:$B$4, $A3, Ledger!$C$2:$C$4, EEC$2)),"****")</f>
        <v/>
      </c>
      <c r="EED3" t="str">
        <f>IFERROR(IF($C3="","",SUMIFS(Ledger!$K$2:$K$4, Ledger!$B$2:$B$4, $A3, Ledger!$C$2:$C$4, EED$2)),"****")</f>
        <v/>
      </c>
      <c r="EEE3" t="str">
        <f>IFERROR(IF($C3="","",SUMIFS(Ledger!$K$2:$K$4, Ledger!$B$2:$B$4, $A3, Ledger!$C$2:$C$4, EEE$2)),"****")</f>
        <v/>
      </c>
      <c r="EEF3" t="str">
        <f>IFERROR(IF($C3="","",SUMIFS(Ledger!$K$2:$K$4, Ledger!$B$2:$B$4, $A3, Ledger!$C$2:$C$4, EEF$2)),"****")</f>
        <v/>
      </c>
      <c r="EEG3" t="str">
        <f>IFERROR(IF($C3="","",SUMIFS(Ledger!$K$2:$K$4, Ledger!$B$2:$B$4, $A3, Ledger!$C$2:$C$4, EEG$2)),"****")</f>
        <v/>
      </c>
      <c r="EEH3" t="str">
        <f>IFERROR(IF($C3="","",SUMIFS(Ledger!$K$2:$K$4, Ledger!$B$2:$B$4, $A3, Ledger!$C$2:$C$4, EEH$2)),"****")</f>
        <v/>
      </c>
      <c r="EEI3" t="str">
        <f>IFERROR(IF($C3="","",SUMIFS(Ledger!$K$2:$K$4, Ledger!$B$2:$B$4, $A3, Ledger!$C$2:$C$4, EEI$2)),"****")</f>
        <v/>
      </c>
      <c r="EEJ3" t="str">
        <f>IFERROR(IF($C3="","",SUMIFS(Ledger!$K$2:$K$4, Ledger!$B$2:$B$4, $A3, Ledger!$C$2:$C$4, EEJ$2)),"****")</f>
        <v/>
      </c>
      <c r="EEK3" t="str">
        <f>IFERROR(IF($C3="","",SUMIFS(Ledger!$K$2:$K$4, Ledger!$B$2:$B$4, $A3, Ledger!$C$2:$C$4, EEK$2)),"****")</f>
        <v/>
      </c>
      <c r="EEL3" t="str">
        <f>IFERROR(IF($C3="","",SUMIFS(Ledger!$K$2:$K$4, Ledger!$B$2:$B$4, $A3, Ledger!$C$2:$C$4, EEL$2)),"****")</f>
        <v/>
      </c>
      <c r="EEM3" t="str">
        <f>IFERROR(IF($C3="","",SUMIFS(Ledger!$K$2:$K$4, Ledger!$B$2:$B$4, $A3, Ledger!$C$2:$C$4, EEM$2)),"****")</f>
        <v/>
      </c>
      <c r="EEN3" t="str">
        <f>IFERROR(IF($C3="","",SUMIFS(Ledger!$K$2:$K$4, Ledger!$B$2:$B$4, $A3, Ledger!$C$2:$C$4, EEN$2)),"****")</f>
        <v/>
      </c>
      <c r="EEO3" t="str">
        <f>IFERROR(IF($C3="","",SUMIFS(Ledger!$K$2:$K$4, Ledger!$B$2:$B$4, $A3, Ledger!$C$2:$C$4, EEO$2)),"****")</f>
        <v/>
      </c>
      <c r="EEP3" t="str">
        <f>IFERROR(IF($C3="","",SUMIFS(Ledger!$K$2:$K$4, Ledger!$B$2:$B$4, $A3, Ledger!$C$2:$C$4, EEP$2)),"****")</f>
        <v/>
      </c>
      <c r="EEQ3" t="str">
        <f>IFERROR(IF($C3="","",SUMIFS(Ledger!$K$2:$K$4, Ledger!$B$2:$B$4, $A3, Ledger!$C$2:$C$4, EEQ$2)),"****")</f>
        <v/>
      </c>
      <c r="EER3" t="str">
        <f>IFERROR(IF($C3="","",SUMIFS(Ledger!$K$2:$K$4, Ledger!$B$2:$B$4, $A3, Ledger!$C$2:$C$4, EER$2)),"****")</f>
        <v/>
      </c>
      <c r="EES3" t="str">
        <f>IFERROR(IF($C3="","",SUMIFS(Ledger!$K$2:$K$4, Ledger!$B$2:$B$4, $A3, Ledger!$C$2:$C$4, EES$2)),"****")</f>
        <v/>
      </c>
      <c r="EET3" t="str">
        <f>IFERROR(IF($C3="","",SUMIFS(Ledger!$K$2:$K$4, Ledger!$B$2:$B$4, $A3, Ledger!$C$2:$C$4, EET$2)),"****")</f>
        <v/>
      </c>
      <c r="EEU3" t="str">
        <f>IFERROR(IF($C3="","",SUMIFS(Ledger!$K$2:$K$4, Ledger!$B$2:$B$4, $A3, Ledger!$C$2:$C$4, EEU$2)),"****")</f>
        <v/>
      </c>
      <c r="EEV3" t="str">
        <f>IFERROR(IF($C3="","",SUMIFS(Ledger!$K$2:$K$4, Ledger!$B$2:$B$4, $A3, Ledger!$C$2:$C$4, EEV$2)),"****")</f>
        <v/>
      </c>
      <c r="EEW3" t="str">
        <f>IFERROR(IF($C3="","",SUMIFS(Ledger!$K$2:$K$4, Ledger!$B$2:$B$4, $A3, Ledger!$C$2:$C$4, EEW$2)),"****")</f>
        <v/>
      </c>
      <c r="EEX3" t="str">
        <f>IFERROR(IF($C3="","",SUMIFS(Ledger!$K$2:$K$4, Ledger!$B$2:$B$4, $A3, Ledger!$C$2:$C$4, EEX$2)),"****")</f>
        <v/>
      </c>
      <c r="EEY3" t="str">
        <f>IFERROR(IF($C3="","",SUMIFS(Ledger!$K$2:$K$4, Ledger!$B$2:$B$4, $A3, Ledger!$C$2:$C$4, EEY$2)),"****")</f>
        <v/>
      </c>
      <c r="EEZ3" t="str">
        <f>IFERROR(IF($C3="","",SUMIFS(Ledger!$K$2:$K$4, Ledger!$B$2:$B$4, $A3, Ledger!$C$2:$C$4, EEZ$2)),"****")</f>
        <v/>
      </c>
      <c r="EFA3" t="str">
        <f>IFERROR(IF($C3="","",SUMIFS(Ledger!$K$2:$K$4, Ledger!$B$2:$B$4, $A3, Ledger!$C$2:$C$4, EFA$2)),"****")</f>
        <v/>
      </c>
      <c r="EFB3" t="str">
        <f>IFERROR(IF($C3="","",SUMIFS(Ledger!$K$2:$K$4, Ledger!$B$2:$B$4, $A3, Ledger!$C$2:$C$4, EFB$2)),"****")</f>
        <v/>
      </c>
      <c r="EFC3" t="str">
        <f>IFERROR(IF($C3="","",SUMIFS(Ledger!$K$2:$K$4, Ledger!$B$2:$B$4, $A3, Ledger!$C$2:$C$4, EFC$2)),"****")</f>
        <v/>
      </c>
      <c r="EFD3" t="str">
        <f>IFERROR(IF($C3="","",SUMIFS(Ledger!$K$2:$K$4, Ledger!$B$2:$B$4, $A3, Ledger!$C$2:$C$4, EFD$2)),"****")</f>
        <v/>
      </c>
      <c r="EFE3" t="str">
        <f>IFERROR(IF($C3="","",SUMIFS(Ledger!$K$2:$K$4, Ledger!$B$2:$B$4, $A3, Ledger!$C$2:$C$4, EFE$2)),"****")</f>
        <v/>
      </c>
      <c r="EFF3" t="str">
        <f>IFERROR(IF($C3="","",SUMIFS(Ledger!$K$2:$K$4, Ledger!$B$2:$B$4, $A3, Ledger!$C$2:$C$4, EFF$2)),"****")</f>
        <v/>
      </c>
      <c r="EFG3" t="str">
        <f>IFERROR(IF($C3="","",SUMIFS(Ledger!$K$2:$K$4, Ledger!$B$2:$B$4, $A3, Ledger!$C$2:$C$4, EFG$2)),"****")</f>
        <v/>
      </c>
      <c r="EFH3" t="str">
        <f>IFERROR(IF($C3="","",SUMIFS(Ledger!$K$2:$K$4, Ledger!$B$2:$B$4, $A3, Ledger!$C$2:$C$4, EFH$2)),"****")</f>
        <v/>
      </c>
      <c r="EFI3" t="str">
        <f>IFERROR(IF($C3="","",SUMIFS(Ledger!$K$2:$K$4, Ledger!$B$2:$B$4, $A3, Ledger!$C$2:$C$4, EFI$2)),"****")</f>
        <v/>
      </c>
      <c r="EFJ3" t="str">
        <f>IFERROR(IF($C3="","",SUMIFS(Ledger!$K$2:$K$4, Ledger!$B$2:$B$4, $A3, Ledger!$C$2:$C$4, EFJ$2)),"****")</f>
        <v/>
      </c>
      <c r="EFK3" t="str">
        <f>IFERROR(IF($C3="","",SUMIFS(Ledger!$K$2:$K$4, Ledger!$B$2:$B$4, $A3, Ledger!$C$2:$C$4, EFK$2)),"****")</f>
        <v/>
      </c>
      <c r="EFL3" t="str">
        <f>IFERROR(IF($C3="","",SUMIFS(Ledger!$K$2:$K$4, Ledger!$B$2:$B$4, $A3, Ledger!$C$2:$C$4, EFL$2)),"****")</f>
        <v/>
      </c>
      <c r="EFM3" t="str">
        <f>IFERROR(IF($C3="","",SUMIFS(Ledger!$K$2:$K$4, Ledger!$B$2:$B$4, $A3, Ledger!$C$2:$C$4, EFM$2)),"****")</f>
        <v/>
      </c>
      <c r="EFN3" t="str">
        <f>IFERROR(IF($C3="","",SUMIFS(Ledger!$K$2:$K$4, Ledger!$B$2:$B$4, $A3, Ledger!$C$2:$C$4, EFN$2)),"****")</f>
        <v/>
      </c>
      <c r="EFO3" t="str">
        <f>IFERROR(IF($C3="","",SUMIFS(Ledger!$K$2:$K$4, Ledger!$B$2:$B$4, $A3, Ledger!$C$2:$C$4, EFO$2)),"****")</f>
        <v/>
      </c>
      <c r="EFP3" t="str">
        <f>IFERROR(IF($C3="","",SUMIFS(Ledger!$K$2:$K$4, Ledger!$B$2:$B$4, $A3, Ledger!$C$2:$C$4, EFP$2)),"****")</f>
        <v/>
      </c>
      <c r="EFQ3" t="str">
        <f>IFERROR(IF($C3="","",SUMIFS(Ledger!$K$2:$K$4, Ledger!$B$2:$B$4, $A3, Ledger!$C$2:$C$4, EFQ$2)),"****")</f>
        <v/>
      </c>
      <c r="EFR3" t="str">
        <f>IFERROR(IF($C3="","",SUMIFS(Ledger!$K$2:$K$4, Ledger!$B$2:$B$4, $A3, Ledger!$C$2:$C$4, EFR$2)),"****")</f>
        <v/>
      </c>
      <c r="EFS3" t="str">
        <f>IFERROR(IF($C3="","",SUMIFS(Ledger!$K$2:$K$4, Ledger!$B$2:$B$4, $A3, Ledger!$C$2:$C$4, EFS$2)),"****")</f>
        <v/>
      </c>
      <c r="EFT3" t="str">
        <f>IFERROR(IF($C3="","",SUMIFS(Ledger!$K$2:$K$4, Ledger!$B$2:$B$4, $A3, Ledger!$C$2:$C$4, EFT$2)),"****")</f>
        <v/>
      </c>
      <c r="EFU3" t="str">
        <f>IFERROR(IF($C3="","",SUMIFS(Ledger!$K$2:$K$4, Ledger!$B$2:$B$4, $A3, Ledger!$C$2:$C$4, EFU$2)),"****")</f>
        <v/>
      </c>
      <c r="EFV3" t="str">
        <f>IFERROR(IF($C3="","",SUMIFS(Ledger!$K$2:$K$4, Ledger!$B$2:$B$4, $A3, Ledger!$C$2:$C$4, EFV$2)),"****")</f>
        <v/>
      </c>
      <c r="EFW3" t="str">
        <f>IFERROR(IF($C3="","",SUMIFS(Ledger!$K$2:$K$4, Ledger!$B$2:$B$4, $A3, Ledger!$C$2:$C$4, EFW$2)),"****")</f>
        <v/>
      </c>
      <c r="EFX3" t="str">
        <f>IFERROR(IF($C3="","",SUMIFS(Ledger!$K$2:$K$4, Ledger!$B$2:$B$4, $A3, Ledger!$C$2:$C$4, EFX$2)),"****")</f>
        <v/>
      </c>
      <c r="EFY3" t="str">
        <f>IFERROR(IF($C3="","",SUMIFS(Ledger!$K$2:$K$4, Ledger!$B$2:$B$4, $A3, Ledger!$C$2:$C$4, EFY$2)),"****")</f>
        <v/>
      </c>
      <c r="EFZ3" t="str">
        <f>IFERROR(IF($C3="","",SUMIFS(Ledger!$K$2:$K$4, Ledger!$B$2:$B$4, $A3, Ledger!$C$2:$C$4, EFZ$2)),"****")</f>
        <v/>
      </c>
      <c r="EGA3" t="str">
        <f>IFERROR(IF($C3="","",SUMIFS(Ledger!$K$2:$K$4, Ledger!$B$2:$B$4, $A3, Ledger!$C$2:$C$4, EGA$2)),"****")</f>
        <v/>
      </c>
      <c r="EGB3" t="str">
        <f>IFERROR(IF($C3="","",SUMIFS(Ledger!$K$2:$K$4, Ledger!$B$2:$B$4, $A3, Ledger!$C$2:$C$4, EGB$2)),"****")</f>
        <v/>
      </c>
      <c r="EGC3" t="str">
        <f>IFERROR(IF($C3="","",SUMIFS(Ledger!$K$2:$K$4, Ledger!$B$2:$B$4, $A3, Ledger!$C$2:$C$4, EGC$2)),"****")</f>
        <v/>
      </c>
      <c r="EGD3" t="str">
        <f>IFERROR(IF($C3="","",SUMIFS(Ledger!$K$2:$K$4, Ledger!$B$2:$B$4, $A3, Ledger!$C$2:$C$4, EGD$2)),"****")</f>
        <v/>
      </c>
      <c r="EGE3" t="str">
        <f>IFERROR(IF($C3="","",SUMIFS(Ledger!$K$2:$K$4, Ledger!$B$2:$B$4, $A3, Ledger!$C$2:$C$4, EGE$2)),"****")</f>
        <v/>
      </c>
      <c r="EGF3" t="str">
        <f>IFERROR(IF($C3="","",SUMIFS(Ledger!$K$2:$K$4, Ledger!$B$2:$B$4, $A3, Ledger!$C$2:$C$4, EGF$2)),"****")</f>
        <v/>
      </c>
      <c r="EGG3" t="str">
        <f>IFERROR(IF($C3="","",SUMIFS(Ledger!$K$2:$K$4, Ledger!$B$2:$B$4, $A3, Ledger!$C$2:$C$4, EGG$2)),"****")</f>
        <v/>
      </c>
      <c r="EGH3" t="str">
        <f>IFERROR(IF($C3="","",SUMIFS(Ledger!$K$2:$K$4, Ledger!$B$2:$B$4, $A3, Ledger!$C$2:$C$4, EGH$2)),"****")</f>
        <v/>
      </c>
      <c r="EGI3" t="str">
        <f>IFERROR(IF($C3="","",SUMIFS(Ledger!$K$2:$K$4, Ledger!$B$2:$B$4, $A3, Ledger!$C$2:$C$4, EGI$2)),"****")</f>
        <v/>
      </c>
      <c r="EGJ3" t="str">
        <f>IFERROR(IF($C3="","",SUMIFS(Ledger!$K$2:$K$4, Ledger!$B$2:$B$4, $A3, Ledger!$C$2:$C$4, EGJ$2)),"****")</f>
        <v/>
      </c>
      <c r="EGK3" t="str">
        <f>IFERROR(IF($C3="","",SUMIFS(Ledger!$K$2:$K$4, Ledger!$B$2:$B$4, $A3, Ledger!$C$2:$C$4, EGK$2)),"****")</f>
        <v/>
      </c>
      <c r="EGL3" t="str">
        <f>IFERROR(IF($C3="","",SUMIFS(Ledger!$K$2:$K$4, Ledger!$B$2:$B$4, $A3, Ledger!$C$2:$C$4, EGL$2)),"****")</f>
        <v/>
      </c>
      <c r="EGM3" t="str">
        <f>IFERROR(IF($C3="","",SUMIFS(Ledger!$K$2:$K$4, Ledger!$B$2:$B$4, $A3, Ledger!$C$2:$C$4, EGM$2)),"****")</f>
        <v/>
      </c>
      <c r="EGN3" t="str">
        <f>IFERROR(IF($C3="","",SUMIFS(Ledger!$K$2:$K$4, Ledger!$B$2:$B$4, $A3, Ledger!$C$2:$C$4, EGN$2)),"****")</f>
        <v/>
      </c>
      <c r="EGO3" t="str">
        <f>IFERROR(IF($C3="","",SUMIFS(Ledger!$K$2:$K$4, Ledger!$B$2:$B$4, $A3, Ledger!$C$2:$C$4, EGO$2)),"****")</f>
        <v/>
      </c>
      <c r="EGP3" t="str">
        <f>IFERROR(IF($C3="","",SUMIFS(Ledger!$K$2:$K$4, Ledger!$B$2:$B$4, $A3, Ledger!$C$2:$C$4, EGP$2)),"****")</f>
        <v/>
      </c>
      <c r="EGQ3" t="str">
        <f>IFERROR(IF($C3="","",SUMIFS(Ledger!$K$2:$K$4, Ledger!$B$2:$B$4, $A3, Ledger!$C$2:$C$4, EGQ$2)),"****")</f>
        <v/>
      </c>
      <c r="EGR3" t="str">
        <f>IFERROR(IF($C3="","",SUMIFS(Ledger!$K$2:$K$4, Ledger!$B$2:$B$4, $A3, Ledger!$C$2:$C$4, EGR$2)),"****")</f>
        <v/>
      </c>
      <c r="EGS3" t="str">
        <f>IFERROR(IF($C3="","",SUMIFS(Ledger!$K$2:$K$4, Ledger!$B$2:$B$4, $A3, Ledger!$C$2:$C$4, EGS$2)),"****")</f>
        <v/>
      </c>
      <c r="EGT3" t="str">
        <f>IFERROR(IF($C3="","",SUMIFS(Ledger!$K$2:$K$4, Ledger!$B$2:$B$4, $A3, Ledger!$C$2:$C$4, EGT$2)),"****")</f>
        <v/>
      </c>
      <c r="EGU3" t="str">
        <f>IFERROR(IF($C3="","",SUMIFS(Ledger!$K$2:$K$4, Ledger!$B$2:$B$4, $A3, Ledger!$C$2:$C$4, EGU$2)),"****")</f>
        <v/>
      </c>
      <c r="EGV3" t="str">
        <f>IFERROR(IF($C3="","",SUMIFS(Ledger!$K$2:$K$4, Ledger!$B$2:$B$4, $A3, Ledger!$C$2:$C$4, EGV$2)),"****")</f>
        <v/>
      </c>
      <c r="EGW3" t="str">
        <f>IFERROR(IF($C3="","",SUMIFS(Ledger!$K$2:$K$4, Ledger!$B$2:$B$4, $A3, Ledger!$C$2:$C$4, EGW$2)),"****")</f>
        <v/>
      </c>
      <c r="EGX3" t="str">
        <f>IFERROR(IF($C3="","",SUMIFS(Ledger!$K$2:$K$4, Ledger!$B$2:$B$4, $A3, Ledger!$C$2:$C$4, EGX$2)),"****")</f>
        <v/>
      </c>
      <c r="EGY3" t="str">
        <f>IFERROR(IF($C3="","",SUMIFS(Ledger!$K$2:$K$4, Ledger!$B$2:$B$4, $A3, Ledger!$C$2:$C$4, EGY$2)),"****")</f>
        <v/>
      </c>
      <c r="EGZ3" t="str">
        <f>IFERROR(IF($C3="","",SUMIFS(Ledger!$K$2:$K$4, Ledger!$B$2:$B$4, $A3, Ledger!$C$2:$C$4, EGZ$2)),"****")</f>
        <v/>
      </c>
      <c r="EHA3" t="str">
        <f>IFERROR(IF($C3="","",SUMIFS(Ledger!$K$2:$K$4, Ledger!$B$2:$B$4, $A3, Ledger!$C$2:$C$4, EHA$2)),"****")</f>
        <v/>
      </c>
      <c r="EHB3" t="str">
        <f>IFERROR(IF($C3="","",SUMIFS(Ledger!$K$2:$K$4, Ledger!$B$2:$B$4, $A3, Ledger!$C$2:$C$4, EHB$2)),"****")</f>
        <v/>
      </c>
      <c r="EHC3" t="str">
        <f>IFERROR(IF($C3="","",SUMIFS(Ledger!$K$2:$K$4, Ledger!$B$2:$B$4, $A3, Ledger!$C$2:$C$4, EHC$2)),"****")</f>
        <v/>
      </c>
      <c r="EHD3" t="str">
        <f>IFERROR(IF($C3="","",SUMIFS(Ledger!$K$2:$K$4, Ledger!$B$2:$B$4, $A3, Ledger!$C$2:$C$4, EHD$2)),"****")</f>
        <v/>
      </c>
      <c r="EHE3" t="str">
        <f>IFERROR(IF($C3="","",SUMIFS(Ledger!$K$2:$K$4, Ledger!$B$2:$B$4, $A3, Ledger!$C$2:$C$4, EHE$2)),"****")</f>
        <v/>
      </c>
      <c r="EHF3" t="str">
        <f>IFERROR(IF($C3="","",SUMIFS(Ledger!$K$2:$K$4, Ledger!$B$2:$B$4, $A3, Ledger!$C$2:$C$4, EHF$2)),"****")</f>
        <v/>
      </c>
      <c r="EHG3" t="str">
        <f>IFERROR(IF($C3="","",SUMIFS(Ledger!$K$2:$K$4, Ledger!$B$2:$B$4, $A3, Ledger!$C$2:$C$4, EHG$2)),"****")</f>
        <v/>
      </c>
      <c r="EHH3" t="str">
        <f>IFERROR(IF($C3="","",SUMIFS(Ledger!$K$2:$K$4, Ledger!$B$2:$B$4, $A3, Ledger!$C$2:$C$4, EHH$2)),"****")</f>
        <v/>
      </c>
      <c r="EHI3" t="str">
        <f>IFERROR(IF($C3="","",SUMIFS(Ledger!$K$2:$K$4, Ledger!$B$2:$B$4, $A3, Ledger!$C$2:$C$4, EHI$2)),"****")</f>
        <v/>
      </c>
      <c r="EHJ3" t="str">
        <f>IFERROR(IF($C3="","",SUMIFS(Ledger!$K$2:$K$4, Ledger!$B$2:$B$4, $A3, Ledger!$C$2:$C$4, EHJ$2)),"****")</f>
        <v/>
      </c>
      <c r="EHK3" t="str">
        <f>IFERROR(IF($C3="","",SUMIFS(Ledger!$K$2:$K$4, Ledger!$B$2:$B$4, $A3, Ledger!$C$2:$C$4, EHK$2)),"****")</f>
        <v/>
      </c>
      <c r="EHL3" t="str">
        <f>IFERROR(IF($C3="","",SUMIFS(Ledger!$K$2:$K$4, Ledger!$B$2:$B$4, $A3, Ledger!$C$2:$C$4, EHL$2)),"****")</f>
        <v/>
      </c>
      <c r="EHM3" t="str">
        <f>IFERROR(IF($C3="","",SUMIFS(Ledger!$K$2:$K$4, Ledger!$B$2:$B$4, $A3, Ledger!$C$2:$C$4, EHM$2)),"****")</f>
        <v/>
      </c>
      <c r="EHN3" t="str">
        <f>IFERROR(IF($C3="","",SUMIFS(Ledger!$K$2:$K$4, Ledger!$B$2:$B$4, $A3, Ledger!$C$2:$C$4, EHN$2)),"****")</f>
        <v/>
      </c>
      <c r="EHO3" t="str">
        <f>IFERROR(IF($C3="","",SUMIFS(Ledger!$K$2:$K$4, Ledger!$B$2:$B$4, $A3, Ledger!$C$2:$C$4, EHO$2)),"****")</f>
        <v/>
      </c>
      <c r="EHP3" t="str">
        <f>IFERROR(IF($C3="","",SUMIFS(Ledger!$K$2:$K$4, Ledger!$B$2:$B$4, $A3, Ledger!$C$2:$C$4, EHP$2)),"****")</f>
        <v/>
      </c>
      <c r="EHQ3" t="str">
        <f>IFERROR(IF($C3="","",SUMIFS(Ledger!$K$2:$K$4, Ledger!$B$2:$B$4, $A3, Ledger!$C$2:$C$4, EHQ$2)),"****")</f>
        <v/>
      </c>
      <c r="EHR3" t="str">
        <f>IFERROR(IF($C3="","",SUMIFS(Ledger!$K$2:$K$4, Ledger!$B$2:$B$4, $A3, Ledger!$C$2:$C$4, EHR$2)),"****")</f>
        <v/>
      </c>
      <c r="EHS3" t="str">
        <f>IFERROR(IF($C3="","",SUMIFS(Ledger!$K$2:$K$4, Ledger!$B$2:$B$4, $A3, Ledger!$C$2:$C$4, EHS$2)),"****")</f>
        <v/>
      </c>
      <c r="EHT3" t="str">
        <f>IFERROR(IF($C3="","",SUMIFS(Ledger!$K$2:$K$4, Ledger!$B$2:$B$4, $A3, Ledger!$C$2:$C$4, EHT$2)),"****")</f>
        <v/>
      </c>
      <c r="EHU3" t="str">
        <f>IFERROR(IF($C3="","",SUMIFS(Ledger!$K$2:$K$4, Ledger!$B$2:$B$4, $A3, Ledger!$C$2:$C$4, EHU$2)),"****")</f>
        <v/>
      </c>
      <c r="EHV3" t="str">
        <f>IFERROR(IF($C3="","",SUMIFS(Ledger!$K$2:$K$4, Ledger!$B$2:$B$4, $A3, Ledger!$C$2:$C$4, EHV$2)),"****")</f>
        <v/>
      </c>
      <c r="EHW3" t="str">
        <f>IFERROR(IF($C3="","",SUMIFS(Ledger!$K$2:$K$4, Ledger!$B$2:$B$4, $A3, Ledger!$C$2:$C$4, EHW$2)),"****")</f>
        <v/>
      </c>
      <c r="EHX3" t="str">
        <f>IFERROR(IF($C3="","",SUMIFS(Ledger!$K$2:$K$4, Ledger!$B$2:$B$4, $A3, Ledger!$C$2:$C$4, EHX$2)),"****")</f>
        <v/>
      </c>
      <c r="EHY3" t="str">
        <f>IFERROR(IF($C3="","",SUMIFS(Ledger!$K$2:$K$4, Ledger!$B$2:$B$4, $A3, Ledger!$C$2:$C$4, EHY$2)),"****")</f>
        <v/>
      </c>
      <c r="EHZ3" t="str">
        <f>IFERROR(IF($C3="","",SUMIFS(Ledger!$K$2:$K$4, Ledger!$B$2:$B$4, $A3, Ledger!$C$2:$C$4, EHZ$2)),"****")</f>
        <v/>
      </c>
      <c r="EIA3" t="str">
        <f>IFERROR(IF($C3="","",SUMIFS(Ledger!$K$2:$K$4, Ledger!$B$2:$B$4, $A3, Ledger!$C$2:$C$4, EIA$2)),"****")</f>
        <v/>
      </c>
      <c r="EIB3" t="str">
        <f>IFERROR(IF($C3="","",SUMIFS(Ledger!$K$2:$K$4, Ledger!$B$2:$B$4, $A3, Ledger!$C$2:$C$4, EIB$2)),"****")</f>
        <v/>
      </c>
      <c r="EIC3" t="str">
        <f>IFERROR(IF($C3="","",SUMIFS(Ledger!$K$2:$K$4, Ledger!$B$2:$B$4, $A3, Ledger!$C$2:$C$4, EIC$2)),"****")</f>
        <v/>
      </c>
      <c r="EID3" t="str">
        <f>IFERROR(IF($C3="","",SUMIFS(Ledger!$K$2:$K$4, Ledger!$B$2:$B$4, $A3, Ledger!$C$2:$C$4, EID$2)),"****")</f>
        <v/>
      </c>
      <c r="EIE3" t="str">
        <f>IFERROR(IF($C3="","",SUMIFS(Ledger!$K$2:$K$4, Ledger!$B$2:$B$4, $A3, Ledger!$C$2:$C$4, EIE$2)),"****")</f>
        <v/>
      </c>
      <c r="EIF3" t="str">
        <f>IFERROR(IF($C3="","",SUMIFS(Ledger!$K$2:$K$4, Ledger!$B$2:$B$4, $A3, Ledger!$C$2:$C$4, EIF$2)),"****")</f>
        <v/>
      </c>
      <c r="EIG3" t="str">
        <f>IFERROR(IF($C3="","",SUMIFS(Ledger!$K$2:$K$4, Ledger!$B$2:$B$4, $A3, Ledger!$C$2:$C$4, EIG$2)),"****")</f>
        <v/>
      </c>
      <c r="EIH3" t="str">
        <f>IFERROR(IF($C3="","",SUMIFS(Ledger!$K$2:$K$4, Ledger!$B$2:$B$4, $A3, Ledger!$C$2:$C$4, EIH$2)),"****")</f>
        <v/>
      </c>
      <c r="EII3" t="str">
        <f>IFERROR(IF($C3="","",SUMIFS(Ledger!$K$2:$K$4, Ledger!$B$2:$B$4, $A3, Ledger!$C$2:$C$4, EII$2)),"****")</f>
        <v/>
      </c>
      <c r="EIJ3" t="str">
        <f>IFERROR(IF($C3="","",SUMIFS(Ledger!$K$2:$K$4, Ledger!$B$2:$B$4, $A3, Ledger!$C$2:$C$4, EIJ$2)),"****")</f>
        <v/>
      </c>
      <c r="EIK3" t="str">
        <f>IFERROR(IF($C3="","",SUMIFS(Ledger!$K$2:$K$4, Ledger!$B$2:$B$4, $A3, Ledger!$C$2:$C$4, EIK$2)),"****")</f>
        <v/>
      </c>
      <c r="EIL3" t="str">
        <f>IFERROR(IF($C3="","",SUMIFS(Ledger!$K$2:$K$4, Ledger!$B$2:$B$4, $A3, Ledger!$C$2:$C$4, EIL$2)),"****")</f>
        <v/>
      </c>
      <c r="EIM3" t="str">
        <f>IFERROR(IF($C3="","",SUMIFS(Ledger!$K$2:$K$4, Ledger!$B$2:$B$4, $A3, Ledger!$C$2:$C$4, EIM$2)),"****")</f>
        <v/>
      </c>
      <c r="EIN3" t="str">
        <f>IFERROR(IF($C3="","",SUMIFS(Ledger!$K$2:$K$4, Ledger!$B$2:$B$4, $A3, Ledger!$C$2:$C$4, EIN$2)),"****")</f>
        <v/>
      </c>
      <c r="EIO3" t="str">
        <f>IFERROR(IF($C3="","",SUMIFS(Ledger!$K$2:$K$4, Ledger!$B$2:$B$4, $A3, Ledger!$C$2:$C$4, EIO$2)),"****")</f>
        <v/>
      </c>
      <c r="EIP3" t="str">
        <f>IFERROR(IF($C3="","",SUMIFS(Ledger!$K$2:$K$4, Ledger!$B$2:$B$4, $A3, Ledger!$C$2:$C$4, EIP$2)),"****")</f>
        <v/>
      </c>
      <c r="EIQ3" t="str">
        <f>IFERROR(IF($C3="","",SUMIFS(Ledger!$K$2:$K$4, Ledger!$B$2:$B$4, $A3, Ledger!$C$2:$C$4, EIQ$2)),"****")</f>
        <v/>
      </c>
      <c r="EIR3" t="str">
        <f>IFERROR(IF($C3="","",SUMIFS(Ledger!$K$2:$K$4, Ledger!$B$2:$B$4, $A3, Ledger!$C$2:$C$4, EIR$2)),"****")</f>
        <v/>
      </c>
      <c r="EIS3" t="str">
        <f>IFERROR(IF($C3="","",SUMIFS(Ledger!$K$2:$K$4, Ledger!$B$2:$B$4, $A3, Ledger!$C$2:$C$4, EIS$2)),"****")</f>
        <v/>
      </c>
      <c r="EIT3" t="str">
        <f>IFERROR(IF($C3="","",SUMIFS(Ledger!$K$2:$K$4, Ledger!$B$2:$B$4, $A3, Ledger!$C$2:$C$4, EIT$2)),"****")</f>
        <v/>
      </c>
      <c r="EIU3" t="str">
        <f>IFERROR(IF($C3="","",SUMIFS(Ledger!$K$2:$K$4, Ledger!$B$2:$B$4, $A3, Ledger!$C$2:$C$4, EIU$2)),"****")</f>
        <v/>
      </c>
      <c r="EIV3" t="str">
        <f>IFERROR(IF($C3="","",SUMIFS(Ledger!$K$2:$K$4, Ledger!$B$2:$B$4, $A3, Ledger!$C$2:$C$4, EIV$2)),"****")</f>
        <v/>
      </c>
      <c r="EIW3" t="str">
        <f>IFERROR(IF($C3="","",SUMIFS(Ledger!$K$2:$K$4, Ledger!$B$2:$B$4, $A3, Ledger!$C$2:$C$4, EIW$2)),"****")</f>
        <v/>
      </c>
      <c r="EIX3" t="str">
        <f>IFERROR(IF($C3="","",SUMIFS(Ledger!$K$2:$K$4, Ledger!$B$2:$B$4, $A3, Ledger!$C$2:$C$4, EIX$2)),"****")</f>
        <v/>
      </c>
      <c r="EIY3" t="str">
        <f>IFERROR(IF($C3="","",SUMIFS(Ledger!$K$2:$K$4, Ledger!$B$2:$B$4, $A3, Ledger!$C$2:$C$4, EIY$2)),"****")</f>
        <v/>
      </c>
      <c r="EIZ3" t="str">
        <f>IFERROR(IF($C3="","",SUMIFS(Ledger!$K$2:$K$4, Ledger!$B$2:$B$4, $A3, Ledger!$C$2:$C$4, EIZ$2)),"****")</f>
        <v/>
      </c>
      <c r="EJA3" t="str">
        <f>IFERROR(IF($C3="","",SUMIFS(Ledger!$K$2:$K$4, Ledger!$B$2:$B$4, $A3, Ledger!$C$2:$C$4, EJA$2)),"****")</f>
        <v/>
      </c>
      <c r="EJB3" t="str">
        <f>IFERROR(IF($C3="","",SUMIFS(Ledger!$K$2:$K$4, Ledger!$B$2:$B$4, $A3, Ledger!$C$2:$C$4, EJB$2)),"****")</f>
        <v/>
      </c>
      <c r="EJC3" t="str">
        <f>IFERROR(IF($C3="","",SUMIFS(Ledger!$K$2:$K$4, Ledger!$B$2:$B$4, $A3, Ledger!$C$2:$C$4, EJC$2)),"****")</f>
        <v/>
      </c>
      <c r="EJD3" t="str">
        <f>IFERROR(IF($C3="","",SUMIFS(Ledger!$K$2:$K$4, Ledger!$B$2:$B$4, $A3, Ledger!$C$2:$C$4, EJD$2)),"****")</f>
        <v/>
      </c>
      <c r="EJE3" t="str">
        <f>IFERROR(IF($C3="","",SUMIFS(Ledger!$K$2:$K$4, Ledger!$B$2:$B$4, $A3, Ledger!$C$2:$C$4, EJE$2)),"****")</f>
        <v/>
      </c>
      <c r="EJF3" t="str">
        <f>IFERROR(IF($C3="","",SUMIFS(Ledger!$K$2:$K$4, Ledger!$B$2:$B$4, $A3, Ledger!$C$2:$C$4, EJF$2)),"****")</f>
        <v/>
      </c>
      <c r="EJG3" t="str">
        <f>IFERROR(IF($C3="","",SUMIFS(Ledger!$K$2:$K$4, Ledger!$B$2:$B$4, $A3, Ledger!$C$2:$C$4, EJG$2)),"****")</f>
        <v/>
      </c>
      <c r="EJH3" t="str">
        <f>IFERROR(IF($C3="","",SUMIFS(Ledger!$K$2:$K$4, Ledger!$B$2:$B$4, $A3, Ledger!$C$2:$C$4, EJH$2)),"****")</f>
        <v/>
      </c>
      <c r="EJI3" t="str">
        <f>IFERROR(IF($C3="","",SUMIFS(Ledger!$K$2:$K$4, Ledger!$B$2:$B$4, $A3, Ledger!$C$2:$C$4, EJI$2)),"****")</f>
        <v/>
      </c>
      <c r="EJJ3" t="str">
        <f>IFERROR(IF($C3="","",SUMIFS(Ledger!$K$2:$K$4, Ledger!$B$2:$B$4, $A3, Ledger!$C$2:$C$4, EJJ$2)),"****")</f>
        <v/>
      </c>
      <c r="EJK3" t="str">
        <f>IFERROR(IF($C3="","",SUMIFS(Ledger!$K$2:$K$4, Ledger!$B$2:$B$4, $A3, Ledger!$C$2:$C$4, EJK$2)),"****")</f>
        <v/>
      </c>
      <c r="EJL3" t="str">
        <f>IFERROR(IF($C3="","",SUMIFS(Ledger!$K$2:$K$4, Ledger!$B$2:$B$4, $A3, Ledger!$C$2:$C$4, EJL$2)),"****")</f>
        <v/>
      </c>
      <c r="EJM3" t="str">
        <f>IFERROR(IF($C3="","",SUMIFS(Ledger!$K$2:$K$4, Ledger!$B$2:$B$4, $A3, Ledger!$C$2:$C$4, EJM$2)),"****")</f>
        <v/>
      </c>
      <c r="EJN3" t="str">
        <f>IFERROR(IF($C3="","",SUMIFS(Ledger!$K$2:$K$4, Ledger!$B$2:$B$4, $A3, Ledger!$C$2:$C$4, EJN$2)),"****")</f>
        <v/>
      </c>
      <c r="EJO3" t="str">
        <f>IFERROR(IF($C3="","",SUMIFS(Ledger!$K$2:$K$4, Ledger!$B$2:$B$4, $A3, Ledger!$C$2:$C$4, EJO$2)),"****")</f>
        <v/>
      </c>
      <c r="EJP3" t="str">
        <f>IFERROR(IF($C3="","",SUMIFS(Ledger!$K$2:$K$4, Ledger!$B$2:$B$4, $A3, Ledger!$C$2:$C$4, EJP$2)),"****")</f>
        <v/>
      </c>
      <c r="EJQ3" t="str">
        <f>IFERROR(IF($C3="","",SUMIFS(Ledger!$K$2:$K$4, Ledger!$B$2:$B$4, $A3, Ledger!$C$2:$C$4, EJQ$2)),"****")</f>
        <v/>
      </c>
      <c r="EJR3" t="str">
        <f>IFERROR(IF($C3="","",SUMIFS(Ledger!$K$2:$K$4, Ledger!$B$2:$B$4, $A3, Ledger!$C$2:$C$4, EJR$2)),"****")</f>
        <v/>
      </c>
      <c r="EJS3" t="str">
        <f>IFERROR(IF($C3="","",SUMIFS(Ledger!$K$2:$K$4, Ledger!$B$2:$B$4, $A3, Ledger!$C$2:$C$4, EJS$2)),"****")</f>
        <v/>
      </c>
      <c r="EJT3" t="str">
        <f>IFERROR(IF($C3="","",SUMIFS(Ledger!$K$2:$K$4, Ledger!$B$2:$B$4, $A3, Ledger!$C$2:$C$4, EJT$2)),"****")</f>
        <v/>
      </c>
      <c r="EJU3" t="str">
        <f>IFERROR(IF($C3="","",SUMIFS(Ledger!$K$2:$K$4, Ledger!$B$2:$B$4, $A3, Ledger!$C$2:$C$4, EJU$2)),"****")</f>
        <v/>
      </c>
      <c r="EJV3" t="str">
        <f>IFERROR(IF($C3="","",SUMIFS(Ledger!$K$2:$K$4, Ledger!$B$2:$B$4, $A3, Ledger!$C$2:$C$4, EJV$2)),"****")</f>
        <v/>
      </c>
      <c r="EJW3" t="str">
        <f>IFERROR(IF($C3="","",SUMIFS(Ledger!$K$2:$K$4, Ledger!$B$2:$B$4, $A3, Ledger!$C$2:$C$4, EJW$2)),"****")</f>
        <v/>
      </c>
      <c r="EJX3" t="str">
        <f>IFERROR(IF($C3="","",SUMIFS(Ledger!$K$2:$K$4, Ledger!$B$2:$B$4, $A3, Ledger!$C$2:$C$4, EJX$2)),"****")</f>
        <v/>
      </c>
      <c r="EJY3" t="str">
        <f>IFERROR(IF($C3="","",SUMIFS(Ledger!$K$2:$K$4, Ledger!$B$2:$B$4, $A3, Ledger!$C$2:$C$4, EJY$2)),"****")</f>
        <v/>
      </c>
      <c r="EJZ3" t="str">
        <f>IFERROR(IF($C3="","",SUMIFS(Ledger!$K$2:$K$4, Ledger!$B$2:$B$4, $A3, Ledger!$C$2:$C$4, EJZ$2)),"****")</f>
        <v/>
      </c>
      <c r="EKA3" t="str">
        <f>IFERROR(IF($C3="","",SUMIFS(Ledger!$K$2:$K$4, Ledger!$B$2:$B$4, $A3, Ledger!$C$2:$C$4, EKA$2)),"****")</f>
        <v/>
      </c>
      <c r="EKB3" t="str">
        <f>IFERROR(IF($C3="","",SUMIFS(Ledger!$K$2:$K$4, Ledger!$B$2:$B$4, $A3, Ledger!$C$2:$C$4, EKB$2)),"****")</f>
        <v/>
      </c>
      <c r="EKC3" t="str">
        <f>IFERROR(IF($C3="","",SUMIFS(Ledger!$K$2:$K$4, Ledger!$B$2:$B$4, $A3, Ledger!$C$2:$C$4, EKC$2)),"****")</f>
        <v/>
      </c>
      <c r="EKD3" t="str">
        <f>IFERROR(IF($C3="","",SUMIFS(Ledger!$K$2:$K$4, Ledger!$B$2:$B$4, $A3, Ledger!$C$2:$C$4, EKD$2)),"****")</f>
        <v/>
      </c>
      <c r="EKE3" t="str">
        <f>IFERROR(IF($C3="","",SUMIFS(Ledger!$K$2:$K$4, Ledger!$B$2:$B$4, $A3, Ledger!$C$2:$C$4, EKE$2)),"****")</f>
        <v/>
      </c>
      <c r="EKF3" t="str">
        <f>IFERROR(IF($C3="","",SUMIFS(Ledger!$K$2:$K$4, Ledger!$B$2:$B$4, $A3, Ledger!$C$2:$C$4, EKF$2)),"****")</f>
        <v/>
      </c>
      <c r="EKG3" t="str">
        <f>IFERROR(IF($C3="","",SUMIFS(Ledger!$K$2:$K$4, Ledger!$B$2:$B$4, $A3, Ledger!$C$2:$C$4, EKG$2)),"****")</f>
        <v/>
      </c>
      <c r="EKH3" t="str">
        <f>IFERROR(IF($C3="","",SUMIFS(Ledger!$K$2:$K$4, Ledger!$B$2:$B$4, $A3, Ledger!$C$2:$C$4, EKH$2)),"****")</f>
        <v/>
      </c>
      <c r="EKI3" t="str">
        <f>IFERROR(IF($C3="","",SUMIFS(Ledger!$K$2:$K$4, Ledger!$B$2:$B$4, $A3, Ledger!$C$2:$C$4, EKI$2)),"****")</f>
        <v/>
      </c>
      <c r="EKJ3" t="str">
        <f>IFERROR(IF($C3="","",SUMIFS(Ledger!$K$2:$K$4, Ledger!$B$2:$B$4, $A3, Ledger!$C$2:$C$4, EKJ$2)),"****")</f>
        <v/>
      </c>
      <c r="EKK3" t="str">
        <f>IFERROR(IF($C3="","",SUMIFS(Ledger!$K$2:$K$4, Ledger!$B$2:$B$4, $A3, Ledger!$C$2:$C$4, EKK$2)),"****")</f>
        <v/>
      </c>
      <c r="EKL3" t="str">
        <f>IFERROR(IF($C3="","",SUMIFS(Ledger!$K$2:$K$4, Ledger!$B$2:$B$4, $A3, Ledger!$C$2:$C$4, EKL$2)),"****")</f>
        <v/>
      </c>
      <c r="EKM3" t="str">
        <f>IFERROR(IF($C3="","",SUMIFS(Ledger!$K$2:$K$4, Ledger!$B$2:$B$4, $A3, Ledger!$C$2:$C$4, EKM$2)),"****")</f>
        <v/>
      </c>
      <c r="EKN3" t="str">
        <f>IFERROR(IF($C3="","",SUMIFS(Ledger!$K$2:$K$4, Ledger!$B$2:$B$4, $A3, Ledger!$C$2:$C$4, EKN$2)),"****")</f>
        <v/>
      </c>
      <c r="EKO3" t="str">
        <f>IFERROR(IF($C3="","",SUMIFS(Ledger!$K$2:$K$4, Ledger!$B$2:$B$4, $A3, Ledger!$C$2:$C$4, EKO$2)),"****")</f>
        <v/>
      </c>
      <c r="EKP3" t="str">
        <f>IFERROR(IF($C3="","",SUMIFS(Ledger!$K$2:$K$4, Ledger!$B$2:$B$4, $A3, Ledger!$C$2:$C$4, EKP$2)),"****")</f>
        <v/>
      </c>
      <c r="EKQ3" t="str">
        <f>IFERROR(IF($C3="","",SUMIFS(Ledger!$K$2:$K$4, Ledger!$B$2:$B$4, $A3, Ledger!$C$2:$C$4, EKQ$2)),"****")</f>
        <v/>
      </c>
      <c r="EKR3" t="str">
        <f>IFERROR(IF($C3="","",SUMIFS(Ledger!$K$2:$K$4, Ledger!$B$2:$B$4, $A3, Ledger!$C$2:$C$4, EKR$2)),"****")</f>
        <v/>
      </c>
      <c r="EKS3" t="str">
        <f>IFERROR(IF($C3="","",SUMIFS(Ledger!$K$2:$K$4, Ledger!$B$2:$B$4, $A3, Ledger!$C$2:$C$4, EKS$2)),"****")</f>
        <v/>
      </c>
      <c r="EKT3" t="str">
        <f>IFERROR(IF($C3="","",SUMIFS(Ledger!$K$2:$K$4, Ledger!$B$2:$B$4, $A3, Ledger!$C$2:$C$4, EKT$2)),"****")</f>
        <v/>
      </c>
      <c r="EKU3" t="str">
        <f>IFERROR(IF($C3="","",SUMIFS(Ledger!$K$2:$K$4, Ledger!$B$2:$B$4, $A3, Ledger!$C$2:$C$4, EKU$2)),"****")</f>
        <v/>
      </c>
      <c r="EKV3" t="str">
        <f>IFERROR(IF($C3="","",SUMIFS(Ledger!$K$2:$K$4, Ledger!$B$2:$B$4, $A3, Ledger!$C$2:$C$4, EKV$2)),"****")</f>
        <v/>
      </c>
      <c r="EKW3" t="str">
        <f>IFERROR(IF($C3="","",SUMIFS(Ledger!$K$2:$K$4, Ledger!$B$2:$B$4, $A3, Ledger!$C$2:$C$4, EKW$2)),"****")</f>
        <v/>
      </c>
      <c r="EKX3" t="str">
        <f>IFERROR(IF($C3="","",SUMIFS(Ledger!$K$2:$K$4, Ledger!$B$2:$B$4, $A3, Ledger!$C$2:$C$4, EKX$2)),"****")</f>
        <v/>
      </c>
      <c r="EKY3" t="str">
        <f>IFERROR(IF($C3="","",SUMIFS(Ledger!$K$2:$K$4, Ledger!$B$2:$B$4, $A3, Ledger!$C$2:$C$4, EKY$2)),"****")</f>
        <v/>
      </c>
      <c r="EKZ3" t="str">
        <f>IFERROR(IF($C3="","",SUMIFS(Ledger!$K$2:$K$4, Ledger!$B$2:$B$4, $A3, Ledger!$C$2:$C$4, EKZ$2)),"****")</f>
        <v/>
      </c>
      <c r="ELA3" t="str">
        <f>IFERROR(IF($C3="","",SUMIFS(Ledger!$K$2:$K$4, Ledger!$B$2:$B$4, $A3, Ledger!$C$2:$C$4, ELA$2)),"****")</f>
        <v/>
      </c>
      <c r="ELB3" t="str">
        <f>IFERROR(IF($C3="","",SUMIFS(Ledger!$K$2:$K$4, Ledger!$B$2:$B$4, $A3, Ledger!$C$2:$C$4, ELB$2)),"****")</f>
        <v/>
      </c>
      <c r="ELC3" t="str">
        <f>IFERROR(IF($C3="","",SUMIFS(Ledger!$K$2:$K$4, Ledger!$B$2:$B$4, $A3, Ledger!$C$2:$C$4, ELC$2)),"****")</f>
        <v/>
      </c>
      <c r="ELD3" t="str">
        <f>IFERROR(IF($C3="","",SUMIFS(Ledger!$K$2:$K$4, Ledger!$B$2:$B$4, $A3, Ledger!$C$2:$C$4, ELD$2)),"****")</f>
        <v/>
      </c>
      <c r="ELE3" t="str">
        <f>IFERROR(IF($C3="","",SUMIFS(Ledger!$K$2:$K$4, Ledger!$B$2:$B$4, $A3, Ledger!$C$2:$C$4, ELE$2)),"****")</f>
        <v/>
      </c>
      <c r="ELF3" t="str">
        <f>IFERROR(IF($C3="","",SUMIFS(Ledger!$K$2:$K$4, Ledger!$B$2:$B$4, $A3, Ledger!$C$2:$C$4, ELF$2)),"****")</f>
        <v/>
      </c>
      <c r="ELG3" t="str">
        <f>IFERROR(IF($C3="","",SUMIFS(Ledger!$K$2:$K$4, Ledger!$B$2:$B$4, $A3, Ledger!$C$2:$C$4, ELG$2)),"****")</f>
        <v/>
      </c>
      <c r="ELH3" t="str">
        <f>IFERROR(IF($C3="","",SUMIFS(Ledger!$K$2:$K$4, Ledger!$B$2:$B$4, $A3, Ledger!$C$2:$C$4, ELH$2)),"****")</f>
        <v/>
      </c>
      <c r="ELI3" t="str">
        <f>IFERROR(IF($C3="","",SUMIFS(Ledger!$K$2:$K$4, Ledger!$B$2:$B$4, $A3, Ledger!$C$2:$C$4, ELI$2)),"****")</f>
        <v/>
      </c>
      <c r="ELJ3" t="str">
        <f>IFERROR(IF($C3="","",SUMIFS(Ledger!$K$2:$K$4, Ledger!$B$2:$B$4, $A3, Ledger!$C$2:$C$4, ELJ$2)),"****")</f>
        <v/>
      </c>
      <c r="ELK3" t="str">
        <f>IFERROR(IF($C3="","",SUMIFS(Ledger!$K$2:$K$4, Ledger!$B$2:$B$4, $A3, Ledger!$C$2:$C$4, ELK$2)),"****")</f>
        <v/>
      </c>
      <c r="ELL3" t="str">
        <f>IFERROR(IF($C3="","",SUMIFS(Ledger!$K$2:$K$4, Ledger!$B$2:$B$4, $A3, Ledger!$C$2:$C$4, ELL$2)),"****")</f>
        <v/>
      </c>
      <c r="ELM3" t="str">
        <f>IFERROR(IF($C3="","",SUMIFS(Ledger!$K$2:$K$4, Ledger!$B$2:$B$4, $A3, Ledger!$C$2:$C$4, ELM$2)),"****")</f>
        <v/>
      </c>
      <c r="ELN3" t="str">
        <f>IFERROR(IF($C3="","",SUMIFS(Ledger!$K$2:$K$4, Ledger!$B$2:$B$4, $A3, Ledger!$C$2:$C$4, ELN$2)),"****")</f>
        <v/>
      </c>
      <c r="ELO3" t="str">
        <f>IFERROR(IF($C3="","",SUMIFS(Ledger!$K$2:$K$4, Ledger!$B$2:$B$4, $A3, Ledger!$C$2:$C$4, ELO$2)),"****")</f>
        <v/>
      </c>
      <c r="ELP3" t="str">
        <f>IFERROR(IF($C3="","",SUMIFS(Ledger!$K$2:$K$4, Ledger!$B$2:$B$4, $A3, Ledger!$C$2:$C$4, ELP$2)),"****")</f>
        <v/>
      </c>
      <c r="ELQ3" t="str">
        <f>IFERROR(IF($C3="","",SUMIFS(Ledger!$K$2:$K$4, Ledger!$B$2:$B$4, $A3, Ledger!$C$2:$C$4, ELQ$2)),"****")</f>
        <v/>
      </c>
      <c r="ELR3" t="str">
        <f>IFERROR(IF($C3="","",SUMIFS(Ledger!$K$2:$K$4, Ledger!$B$2:$B$4, $A3, Ledger!$C$2:$C$4, ELR$2)),"****")</f>
        <v/>
      </c>
      <c r="ELS3" t="str">
        <f>IFERROR(IF($C3="","",SUMIFS(Ledger!$K$2:$K$4, Ledger!$B$2:$B$4, $A3, Ledger!$C$2:$C$4, ELS$2)),"****")</f>
        <v/>
      </c>
      <c r="ELT3" t="str">
        <f>IFERROR(IF($C3="","",SUMIFS(Ledger!$K$2:$K$4, Ledger!$B$2:$B$4, $A3, Ledger!$C$2:$C$4, ELT$2)),"****")</f>
        <v/>
      </c>
      <c r="ELU3" t="str">
        <f>IFERROR(IF($C3="","",SUMIFS(Ledger!$K$2:$K$4, Ledger!$B$2:$B$4, $A3, Ledger!$C$2:$C$4, ELU$2)),"****")</f>
        <v/>
      </c>
      <c r="ELV3" t="str">
        <f>IFERROR(IF($C3="","",SUMIFS(Ledger!$K$2:$K$4, Ledger!$B$2:$B$4, $A3, Ledger!$C$2:$C$4, ELV$2)),"****")</f>
        <v/>
      </c>
      <c r="ELW3" t="str">
        <f>IFERROR(IF($C3="","",SUMIFS(Ledger!$K$2:$K$4, Ledger!$B$2:$B$4, $A3, Ledger!$C$2:$C$4, ELW$2)),"****")</f>
        <v/>
      </c>
      <c r="ELX3" t="str">
        <f>IFERROR(IF($C3="","",SUMIFS(Ledger!$K$2:$K$4, Ledger!$B$2:$B$4, $A3, Ledger!$C$2:$C$4, ELX$2)),"****")</f>
        <v/>
      </c>
      <c r="ELY3" t="str">
        <f>IFERROR(IF($C3="","",SUMIFS(Ledger!$K$2:$K$4, Ledger!$B$2:$B$4, $A3, Ledger!$C$2:$C$4, ELY$2)),"****")</f>
        <v/>
      </c>
      <c r="ELZ3" t="str">
        <f>IFERROR(IF($C3="","",SUMIFS(Ledger!$K$2:$K$4, Ledger!$B$2:$B$4, $A3, Ledger!$C$2:$C$4, ELZ$2)),"****")</f>
        <v/>
      </c>
      <c r="EMA3" t="str">
        <f>IFERROR(IF($C3="","",SUMIFS(Ledger!$K$2:$K$4, Ledger!$B$2:$B$4, $A3, Ledger!$C$2:$C$4, EMA$2)),"****")</f>
        <v/>
      </c>
      <c r="EMB3" t="str">
        <f>IFERROR(IF($C3="","",SUMIFS(Ledger!$K$2:$K$4, Ledger!$B$2:$B$4, $A3, Ledger!$C$2:$C$4, EMB$2)),"****")</f>
        <v/>
      </c>
      <c r="EMC3" t="str">
        <f>IFERROR(IF($C3="","",SUMIFS(Ledger!$K$2:$K$4, Ledger!$B$2:$B$4, $A3, Ledger!$C$2:$C$4, EMC$2)),"****")</f>
        <v/>
      </c>
      <c r="EMD3" t="str">
        <f>IFERROR(IF($C3="","",SUMIFS(Ledger!$K$2:$K$4, Ledger!$B$2:$B$4, $A3, Ledger!$C$2:$C$4, EMD$2)),"****")</f>
        <v/>
      </c>
      <c r="EME3" t="str">
        <f>IFERROR(IF($C3="","",SUMIFS(Ledger!$K$2:$K$4, Ledger!$B$2:$B$4, $A3, Ledger!$C$2:$C$4, EME$2)),"****")</f>
        <v/>
      </c>
      <c r="EMF3" t="str">
        <f>IFERROR(IF($C3="","",SUMIFS(Ledger!$K$2:$K$4, Ledger!$B$2:$B$4, $A3, Ledger!$C$2:$C$4, EMF$2)),"****")</f>
        <v/>
      </c>
      <c r="EMG3" t="str">
        <f>IFERROR(IF($C3="","",SUMIFS(Ledger!$K$2:$K$4, Ledger!$B$2:$B$4, $A3, Ledger!$C$2:$C$4, EMG$2)),"****")</f>
        <v/>
      </c>
      <c r="EMH3" t="str">
        <f>IFERROR(IF($C3="","",SUMIFS(Ledger!$K$2:$K$4, Ledger!$B$2:$B$4, $A3, Ledger!$C$2:$C$4, EMH$2)),"****")</f>
        <v/>
      </c>
      <c r="EMI3" t="str">
        <f>IFERROR(IF($C3="","",SUMIFS(Ledger!$K$2:$K$4, Ledger!$B$2:$B$4, $A3, Ledger!$C$2:$C$4, EMI$2)),"****")</f>
        <v/>
      </c>
      <c r="EMJ3" t="str">
        <f>IFERROR(IF($C3="","",SUMIFS(Ledger!$K$2:$K$4, Ledger!$B$2:$B$4, $A3, Ledger!$C$2:$C$4, EMJ$2)),"****")</f>
        <v/>
      </c>
      <c r="EMK3" t="str">
        <f>IFERROR(IF($C3="","",SUMIFS(Ledger!$K$2:$K$4, Ledger!$B$2:$B$4, $A3, Ledger!$C$2:$C$4, EMK$2)),"****")</f>
        <v/>
      </c>
      <c r="EML3" t="str">
        <f>IFERROR(IF($C3="","",SUMIFS(Ledger!$K$2:$K$4, Ledger!$B$2:$B$4, $A3, Ledger!$C$2:$C$4, EML$2)),"****")</f>
        <v/>
      </c>
      <c r="EMM3" t="str">
        <f>IFERROR(IF($C3="","",SUMIFS(Ledger!$K$2:$K$4, Ledger!$B$2:$B$4, $A3, Ledger!$C$2:$C$4, EMM$2)),"****")</f>
        <v/>
      </c>
      <c r="EMN3" t="str">
        <f>IFERROR(IF($C3="","",SUMIFS(Ledger!$K$2:$K$4, Ledger!$B$2:$B$4, $A3, Ledger!$C$2:$C$4, EMN$2)),"****")</f>
        <v/>
      </c>
      <c r="EMO3" t="str">
        <f>IFERROR(IF($C3="","",SUMIFS(Ledger!$K$2:$K$4, Ledger!$B$2:$B$4, $A3, Ledger!$C$2:$C$4, EMO$2)),"****")</f>
        <v/>
      </c>
      <c r="EMP3" t="str">
        <f>IFERROR(IF($C3="","",SUMIFS(Ledger!$K$2:$K$4, Ledger!$B$2:$B$4, $A3, Ledger!$C$2:$C$4, EMP$2)),"****")</f>
        <v/>
      </c>
      <c r="EMQ3" t="str">
        <f>IFERROR(IF($C3="","",SUMIFS(Ledger!$K$2:$K$4, Ledger!$B$2:$B$4, $A3, Ledger!$C$2:$C$4, EMQ$2)),"****")</f>
        <v/>
      </c>
      <c r="EMR3" t="str">
        <f>IFERROR(IF($C3="","",SUMIFS(Ledger!$K$2:$K$4, Ledger!$B$2:$B$4, $A3, Ledger!$C$2:$C$4, EMR$2)),"****")</f>
        <v/>
      </c>
      <c r="EMS3" t="str">
        <f>IFERROR(IF($C3="","",SUMIFS(Ledger!$K$2:$K$4, Ledger!$B$2:$B$4, $A3, Ledger!$C$2:$C$4, EMS$2)),"****")</f>
        <v/>
      </c>
      <c r="EMT3" t="str">
        <f>IFERROR(IF($C3="","",SUMIFS(Ledger!$K$2:$K$4, Ledger!$B$2:$B$4, $A3, Ledger!$C$2:$C$4, EMT$2)),"****")</f>
        <v/>
      </c>
      <c r="EMU3" t="str">
        <f>IFERROR(IF($C3="","",SUMIFS(Ledger!$K$2:$K$4, Ledger!$B$2:$B$4, $A3, Ledger!$C$2:$C$4, EMU$2)),"****")</f>
        <v/>
      </c>
      <c r="EMV3" t="str">
        <f>IFERROR(IF($C3="","",SUMIFS(Ledger!$K$2:$K$4, Ledger!$B$2:$B$4, $A3, Ledger!$C$2:$C$4, EMV$2)),"****")</f>
        <v/>
      </c>
      <c r="EMW3" t="str">
        <f>IFERROR(IF($C3="","",SUMIFS(Ledger!$K$2:$K$4, Ledger!$B$2:$B$4, $A3, Ledger!$C$2:$C$4, EMW$2)),"****")</f>
        <v/>
      </c>
      <c r="EMX3" t="str">
        <f>IFERROR(IF($C3="","",SUMIFS(Ledger!$K$2:$K$4, Ledger!$B$2:$B$4, $A3, Ledger!$C$2:$C$4, EMX$2)),"****")</f>
        <v/>
      </c>
      <c r="EMY3" t="str">
        <f>IFERROR(IF($C3="","",SUMIFS(Ledger!$K$2:$K$4, Ledger!$B$2:$B$4, $A3, Ledger!$C$2:$C$4, EMY$2)),"****")</f>
        <v/>
      </c>
      <c r="EMZ3" t="str">
        <f>IFERROR(IF($C3="","",SUMIFS(Ledger!$K$2:$K$4, Ledger!$B$2:$B$4, $A3, Ledger!$C$2:$C$4, EMZ$2)),"****")</f>
        <v/>
      </c>
      <c r="ENA3" t="str">
        <f>IFERROR(IF($C3="","",SUMIFS(Ledger!$K$2:$K$4, Ledger!$B$2:$B$4, $A3, Ledger!$C$2:$C$4, ENA$2)),"****")</f>
        <v/>
      </c>
      <c r="ENB3" t="str">
        <f>IFERROR(IF($C3="","",SUMIFS(Ledger!$K$2:$K$4, Ledger!$B$2:$B$4, $A3, Ledger!$C$2:$C$4, ENB$2)),"****")</f>
        <v/>
      </c>
      <c r="ENC3" t="str">
        <f>IFERROR(IF($C3="","",SUMIFS(Ledger!$K$2:$K$4, Ledger!$B$2:$B$4, $A3, Ledger!$C$2:$C$4, ENC$2)),"****")</f>
        <v/>
      </c>
      <c r="END3" t="str">
        <f>IFERROR(IF($C3="","",SUMIFS(Ledger!$K$2:$K$4, Ledger!$B$2:$B$4, $A3, Ledger!$C$2:$C$4, END$2)),"****")</f>
        <v/>
      </c>
      <c r="ENE3" t="str">
        <f>IFERROR(IF($C3="","",SUMIFS(Ledger!$K$2:$K$4, Ledger!$B$2:$B$4, $A3, Ledger!$C$2:$C$4, ENE$2)),"****")</f>
        <v/>
      </c>
      <c r="ENF3" t="str">
        <f>IFERROR(IF($C3="","",SUMIFS(Ledger!$K$2:$K$4, Ledger!$B$2:$B$4, $A3, Ledger!$C$2:$C$4, ENF$2)),"****")</f>
        <v/>
      </c>
      <c r="ENG3" t="str">
        <f>IFERROR(IF($C3="","",SUMIFS(Ledger!$K$2:$K$4, Ledger!$B$2:$B$4, $A3, Ledger!$C$2:$C$4, ENG$2)),"****")</f>
        <v/>
      </c>
      <c r="ENH3" t="str">
        <f>IFERROR(IF($C3="","",SUMIFS(Ledger!$K$2:$K$4, Ledger!$B$2:$B$4, $A3, Ledger!$C$2:$C$4, ENH$2)),"****")</f>
        <v/>
      </c>
      <c r="ENI3" t="str">
        <f>IFERROR(IF($C3="","",SUMIFS(Ledger!$K$2:$K$4, Ledger!$B$2:$B$4, $A3, Ledger!$C$2:$C$4, ENI$2)),"****")</f>
        <v/>
      </c>
      <c r="ENJ3" t="str">
        <f>IFERROR(IF($C3="","",SUMIFS(Ledger!$K$2:$K$4, Ledger!$B$2:$B$4, $A3, Ledger!$C$2:$C$4, ENJ$2)),"****")</f>
        <v/>
      </c>
      <c r="ENK3" t="str">
        <f>IFERROR(IF($C3="","",SUMIFS(Ledger!$K$2:$K$4, Ledger!$B$2:$B$4, $A3, Ledger!$C$2:$C$4, ENK$2)),"****")</f>
        <v/>
      </c>
      <c r="ENL3" t="str">
        <f>IFERROR(IF($C3="","",SUMIFS(Ledger!$K$2:$K$4, Ledger!$B$2:$B$4, $A3, Ledger!$C$2:$C$4, ENL$2)),"****")</f>
        <v/>
      </c>
      <c r="ENM3" t="str">
        <f>IFERROR(IF($C3="","",SUMIFS(Ledger!$K$2:$K$4, Ledger!$B$2:$B$4, $A3, Ledger!$C$2:$C$4, ENM$2)),"****")</f>
        <v/>
      </c>
      <c r="ENN3" t="str">
        <f>IFERROR(IF($C3="","",SUMIFS(Ledger!$K$2:$K$4, Ledger!$B$2:$B$4, $A3, Ledger!$C$2:$C$4, ENN$2)),"****")</f>
        <v/>
      </c>
      <c r="ENO3" t="str">
        <f>IFERROR(IF($C3="","",SUMIFS(Ledger!$K$2:$K$4, Ledger!$B$2:$B$4, $A3, Ledger!$C$2:$C$4, ENO$2)),"****")</f>
        <v/>
      </c>
      <c r="ENP3" t="str">
        <f>IFERROR(IF($C3="","",SUMIFS(Ledger!$K$2:$K$4, Ledger!$B$2:$B$4, $A3, Ledger!$C$2:$C$4, ENP$2)),"****")</f>
        <v/>
      </c>
      <c r="ENQ3" t="str">
        <f>IFERROR(IF($C3="","",SUMIFS(Ledger!$K$2:$K$4, Ledger!$B$2:$B$4, $A3, Ledger!$C$2:$C$4, ENQ$2)),"****")</f>
        <v/>
      </c>
      <c r="ENR3" t="str">
        <f>IFERROR(IF($C3="","",SUMIFS(Ledger!$K$2:$K$4, Ledger!$B$2:$B$4, $A3, Ledger!$C$2:$C$4, ENR$2)),"****")</f>
        <v/>
      </c>
      <c r="ENS3" t="str">
        <f>IFERROR(IF($C3="","",SUMIFS(Ledger!$K$2:$K$4, Ledger!$B$2:$B$4, $A3, Ledger!$C$2:$C$4, ENS$2)),"****")</f>
        <v/>
      </c>
      <c r="ENT3" t="str">
        <f>IFERROR(IF($C3="","",SUMIFS(Ledger!$K$2:$K$4, Ledger!$B$2:$B$4, $A3, Ledger!$C$2:$C$4, ENT$2)),"****")</f>
        <v/>
      </c>
      <c r="ENU3" t="str">
        <f>IFERROR(IF($C3="","",SUMIFS(Ledger!$K$2:$K$4, Ledger!$B$2:$B$4, $A3, Ledger!$C$2:$C$4, ENU$2)),"****")</f>
        <v/>
      </c>
      <c r="ENV3" t="str">
        <f>IFERROR(IF($C3="","",SUMIFS(Ledger!$K$2:$K$4, Ledger!$B$2:$B$4, $A3, Ledger!$C$2:$C$4, ENV$2)),"****")</f>
        <v/>
      </c>
      <c r="ENW3" t="str">
        <f>IFERROR(IF($C3="","",SUMIFS(Ledger!$K$2:$K$4, Ledger!$B$2:$B$4, $A3, Ledger!$C$2:$C$4, ENW$2)),"****")</f>
        <v/>
      </c>
      <c r="ENX3" t="str">
        <f>IFERROR(IF($C3="","",SUMIFS(Ledger!$K$2:$K$4, Ledger!$B$2:$B$4, $A3, Ledger!$C$2:$C$4, ENX$2)),"****")</f>
        <v/>
      </c>
      <c r="ENY3" t="str">
        <f>IFERROR(IF($C3="","",SUMIFS(Ledger!$K$2:$K$4, Ledger!$B$2:$B$4, $A3, Ledger!$C$2:$C$4, ENY$2)),"****")</f>
        <v/>
      </c>
      <c r="ENZ3" t="str">
        <f>IFERROR(IF($C3="","",SUMIFS(Ledger!$K$2:$K$4, Ledger!$B$2:$B$4, $A3, Ledger!$C$2:$C$4, ENZ$2)),"****")</f>
        <v/>
      </c>
      <c r="EOA3" t="str">
        <f>IFERROR(IF($C3="","",SUMIFS(Ledger!$K$2:$K$4, Ledger!$B$2:$B$4, $A3, Ledger!$C$2:$C$4, EOA$2)),"****")</f>
        <v/>
      </c>
      <c r="EOB3" t="str">
        <f>IFERROR(IF($C3="","",SUMIFS(Ledger!$K$2:$K$4, Ledger!$B$2:$B$4, $A3, Ledger!$C$2:$C$4, EOB$2)),"****")</f>
        <v/>
      </c>
      <c r="EOC3" t="str">
        <f>IFERROR(IF($C3="","",SUMIFS(Ledger!$K$2:$K$4, Ledger!$B$2:$B$4, $A3, Ledger!$C$2:$C$4, EOC$2)),"****")</f>
        <v/>
      </c>
      <c r="EOD3" t="str">
        <f>IFERROR(IF($C3="","",SUMIFS(Ledger!$K$2:$K$4, Ledger!$B$2:$B$4, $A3, Ledger!$C$2:$C$4, EOD$2)),"****")</f>
        <v/>
      </c>
      <c r="EOE3" t="str">
        <f>IFERROR(IF($C3="","",SUMIFS(Ledger!$K$2:$K$4, Ledger!$B$2:$B$4, $A3, Ledger!$C$2:$C$4, EOE$2)),"****")</f>
        <v/>
      </c>
      <c r="EOF3" t="str">
        <f>IFERROR(IF($C3="","",SUMIFS(Ledger!$K$2:$K$4, Ledger!$B$2:$B$4, $A3, Ledger!$C$2:$C$4, EOF$2)),"****")</f>
        <v/>
      </c>
      <c r="EOG3" t="str">
        <f>IFERROR(IF($C3="","",SUMIFS(Ledger!$K$2:$K$4, Ledger!$B$2:$B$4, $A3, Ledger!$C$2:$C$4, EOG$2)),"****")</f>
        <v/>
      </c>
      <c r="EOH3" t="str">
        <f>IFERROR(IF($C3="","",SUMIFS(Ledger!$K$2:$K$4, Ledger!$B$2:$B$4, $A3, Ledger!$C$2:$C$4, EOH$2)),"****")</f>
        <v/>
      </c>
      <c r="EOI3" t="str">
        <f>IFERROR(IF($C3="","",SUMIFS(Ledger!$K$2:$K$4, Ledger!$B$2:$B$4, $A3, Ledger!$C$2:$C$4, EOI$2)),"****")</f>
        <v/>
      </c>
      <c r="EOJ3" t="str">
        <f>IFERROR(IF($C3="","",SUMIFS(Ledger!$K$2:$K$4, Ledger!$B$2:$B$4, $A3, Ledger!$C$2:$C$4, EOJ$2)),"****")</f>
        <v/>
      </c>
      <c r="EOK3" t="str">
        <f>IFERROR(IF($C3="","",SUMIFS(Ledger!$K$2:$K$4, Ledger!$B$2:$B$4, $A3, Ledger!$C$2:$C$4, EOK$2)),"****")</f>
        <v/>
      </c>
      <c r="EOL3" t="str">
        <f>IFERROR(IF($C3="","",SUMIFS(Ledger!$K$2:$K$4, Ledger!$B$2:$B$4, $A3, Ledger!$C$2:$C$4, EOL$2)),"****")</f>
        <v/>
      </c>
      <c r="EOM3" t="str">
        <f>IFERROR(IF($C3="","",SUMIFS(Ledger!$K$2:$K$4, Ledger!$B$2:$B$4, $A3, Ledger!$C$2:$C$4, EOM$2)),"****")</f>
        <v/>
      </c>
      <c r="EON3" t="str">
        <f>IFERROR(IF($C3="","",SUMIFS(Ledger!$K$2:$K$4, Ledger!$B$2:$B$4, $A3, Ledger!$C$2:$C$4, EON$2)),"****")</f>
        <v/>
      </c>
      <c r="EOO3" t="str">
        <f>IFERROR(IF($C3="","",SUMIFS(Ledger!$K$2:$K$4, Ledger!$B$2:$B$4, $A3, Ledger!$C$2:$C$4, EOO$2)),"****")</f>
        <v/>
      </c>
      <c r="EOP3" t="str">
        <f>IFERROR(IF($C3="","",SUMIFS(Ledger!$K$2:$K$4, Ledger!$B$2:$B$4, $A3, Ledger!$C$2:$C$4, EOP$2)),"****")</f>
        <v/>
      </c>
      <c r="EOQ3" t="str">
        <f>IFERROR(IF($C3="","",SUMIFS(Ledger!$K$2:$K$4, Ledger!$B$2:$B$4, $A3, Ledger!$C$2:$C$4, EOQ$2)),"****")</f>
        <v/>
      </c>
      <c r="EOR3" t="str">
        <f>IFERROR(IF($C3="","",SUMIFS(Ledger!$K$2:$K$4, Ledger!$B$2:$B$4, $A3, Ledger!$C$2:$C$4, EOR$2)),"****")</f>
        <v/>
      </c>
      <c r="EOS3" t="str">
        <f>IFERROR(IF($C3="","",SUMIFS(Ledger!$K$2:$K$4, Ledger!$B$2:$B$4, $A3, Ledger!$C$2:$C$4, EOS$2)),"****")</f>
        <v/>
      </c>
      <c r="EOT3" t="str">
        <f>IFERROR(IF($C3="","",SUMIFS(Ledger!$K$2:$K$4, Ledger!$B$2:$B$4, $A3, Ledger!$C$2:$C$4, EOT$2)),"****")</f>
        <v/>
      </c>
      <c r="EOU3" t="str">
        <f>IFERROR(IF($C3="","",SUMIFS(Ledger!$K$2:$K$4, Ledger!$B$2:$B$4, $A3, Ledger!$C$2:$C$4, EOU$2)),"****")</f>
        <v/>
      </c>
      <c r="EOV3" t="str">
        <f>IFERROR(IF($C3="","",SUMIFS(Ledger!$K$2:$K$4, Ledger!$B$2:$B$4, $A3, Ledger!$C$2:$C$4, EOV$2)),"****")</f>
        <v/>
      </c>
      <c r="EOW3" t="str">
        <f>IFERROR(IF($C3="","",SUMIFS(Ledger!$K$2:$K$4, Ledger!$B$2:$B$4, $A3, Ledger!$C$2:$C$4, EOW$2)),"****")</f>
        <v/>
      </c>
      <c r="EOX3" t="str">
        <f>IFERROR(IF($C3="","",SUMIFS(Ledger!$K$2:$K$4, Ledger!$B$2:$B$4, $A3, Ledger!$C$2:$C$4, EOX$2)),"****")</f>
        <v/>
      </c>
      <c r="EOY3" t="str">
        <f>IFERROR(IF($C3="","",SUMIFS(Ledger!$K$2:$K$4, Ledger!$B$2:$B$4, $A3, Ledger!$C$2:$C$4, EOY$2)),"****")</f>
        <v/>
      </c>
      <c r="EOZ3" t="str">
        <f>IFERROR(IF($C3="","",SUMIFS(Ledger!$K$2:$K$4, Ledger!$B$2:$B$4, $A3, Ledger!$C$2:$C$4, EOZ$2)),"****")</f>
        <v/>
      </c>
      <c r="EPA3" t="str">
        <f>IFERROR(IF($C3="","",SUMIFS(Ledger!$K$2:$K$4, Ledger!$B$2:$B$4, $A3, Ledger!$C$2:$C$4, EPA$2)),"****")</f>
        <v/>
      </c>
      <c r="EPB3" t="str">
        <f>IFERROR(IF($C3="","",SUMIFS(Ledger!$K$2:$K$4, Ledger!$B$2:$B$4, $A3, Ledger!$C$2:$C$4, EPB$2)),"****")</f>
        <v/>
      </c>
      <c r="EPC3" t="str">
        <f>IFERROR(IF($C3="","",SUMIFS(Ledger!$K$2:$K$4, Ledger!$B$2:$B$4, $A3, Ledger!$C$2:$C$4, EPC$2)),"****")</f>
        <v/>
      </c>
      <c r="EPD3" t="str">
        <f>IFERROR(IF($C3="","",SUMIFS(Ledger!$K$2:$K$4, Ledger!$B$2:$B$4, $A3, Ledger!$C$2:$C$4, EPD$2)),"****")</f>
        <v/>
      </c>
      <c r="EPE3" t="str">
        <f>IFERROR(IF($C3="","",SUMIFS(Ledger!$K$2:$K$4, Ledger!$B$2:$B$4, $A3, Ledger!$C$2:$C$4, EPE$2)),"****")</f>
        <v/>
      </c>
      <c r="EPF3" t="str">
        <f>IFERROR(IF($C3="","",SUMIFS(Ledger!$K$2:$K$4, Ledger!$B$2:$B$4, $A3, Ledger!$C$2:$C$4, EPF$2)),"****")</f>
        <v/>
      </c>
      <c r="EPG3" t="str">
        <f>IFERROR(IF($C3="","",SUMIFS(Ledger!$K$2:$K$4, Ledger!$B$2:$B$4, $A3, Ledger!$C$2:$C$4, EPG$2)),"****")</f>
        <v/>
      </c>
      <c r="EPH3" t="str">
        <f>IFERROR(IF($C3="","",SUMIFS(Ledger!$K$2:$K$4, Ledger!$B$2:$B$4, $A3, Ledger!$C$2:$C$4, EPH$2)),"****")</f>
        <v/>
      </c>
      <c r="EPI3" t="str">
        <f>IFERROR(IF($C3="","",SUMIFS(Ledger!$K$2:$K$4, Ledger!$B$2:$B$4, $A3, Ledger!$C$2:$C$4, EPI$2)),"****")</f>
        <v/>
      </c>
      <c r="EPJ3" t="str">
        <f>IFERROR(IF($C3="","",SUMIFS(Ledger!$K$2:$K$4, Ledger!$B$2:$B$4, $A3, Ledger!$C$2:$C$4, EPJ$2)),"****")</f>
        <v/>
      </c>
      <c r="EPK3" t="str">
        <f>IFERROR(IF($C3="","",SUMIFS(Ledger!$K$2:$K$4, Ledger!$B$2:$B$4, $A3, Ledger!$C$2:$C$4, EPK$2)),"****")</f>
        <v/>
      </c>
      <c r="EPL3" t="str">
        <f>IFERROR(IF($C3="","",SUMIFS(Ledger!$K$2:$K$4, Ledger!$B$2:$B$4, $A3, Ledger!$C$2:$C$4, EPL$2)),"****")</f>
        <v/>
      </c>
      <c r="EPM3" t="str">
        <f>IFERROR(IF($C3="","",SUMIFS(Ledger!$K$2:$K$4, Ledger!$B$2:$B$4, $A3, Ledger!$C$2:$C$4, EPM$2)),"****")</f>
        <v/>
      </c>
      <c r="EPN3" t="str">
        <f>IFERROR(IF($C3="","",SUMIFS(Ledger!$K$2:$K$4, Ledger!$B$2:$B$4, $A3, Ledger!$C$2:$C$4, EPN$2)),"****")</f>
        <v/>
      </c>
      <c r="EPO3" t="str">
        <f>IFERROR(IF($C3="","",SUMIFS(Ledger!$K$2:$K$4, Ledger!$B$2:$B$4, $A3, Ledger!$C$2:$C$4, EPO$2)),"****")</f>
        <v/>
      </c>
      <c r="EPP3" t="str">
        <f>IFERROR(IF($C3="","",SUMIFS(Ledger!$K$2:$K$4, Ledger!$B$2:$B$4, $A3, Ledger!$C$2:$C$4, EPP$2)),"****")</f>
        <v/>
      </c>
      <c r="EPQ3" t="str">
        <f>IFERROR(IF($C3="","",SUMIFS(Ledger!$K$2:$K$4, Ledger!$B$2:$B$4, $A3, Ledger!$C$2:$C$4, EPQ$2)),"****")</f>
        <v/>
      </c>
      <c r="EPR3" t="str">
        <f>IFERROR(IF($C3="","",SUMIFS(Ledger!$K$2:$K$4, Ledger!$B$2:$B$4, $A3, Ledger!$C$2:$C$4, EPR$2)),"****")</f>
        <v/>
      </c>
      <c r="EPS3" t="str">
        <f>IFERROR(IF($C3="","",SUMIFS(Ledger!$K$2:$K$4, Ledger!$B$2:$B$4, $A3, Ledger!$C$2:$C$4, EPS$2)),"****")</f>
        <v/>
      </c>
      <c r="EPT3" t="str">
        <f>IFERROR(IF($C3="","",SUMIFS(Ledger!$K$2:$K$4, Ledger!$B$2:$B$4, $A3, Ledger!$C$2:$C$4, EPT$2)),"****")</f>
        <v/>
      </c>
      <c r="EPU3" t="str">
        <f>IFERROR(IF($C3="","",SUMIFS(Ledger!$K$2:$K$4, Ledger!$B$2:$B$4, $A3, Ledger!$C$2:$C$4, EPU$2)),"****")</f>
        <v/>
      </c>
      <c r="EPV3" t="str">
        <f>IFERROR(IF($C3="","",SUMIFS(Ledger!$K$2:$K$4, Ledger!$B$2:$B$4, $A3, Ledger!$C$2:$C$4, EPV$2)),"****")</f>
        <v/>
      </c>
      <c r="EPW3" t="str">
        <f>IFERROR(IF($C3="","",SUMIFS(Ledger!$K$2:$K$4, Ledger!$B$2:$B$4, $A3, Ledger!$C$2:$C$4, EPW$2)),"****")</f>
        <v/>
      </c>
      <c r="EPX3" t="str">
        <f>IFERROR(IF($C3="","",SUMIFS(Ledger!$K$2:$K$4, Ledger!$B$2:$B$4, $A3, Ledger!$C$2:$C$4, EPX$2)),"****")</f>
        <v/>
      </c>
      <c r="EPY3" t="str">
        <f>IFERROR(IF($C3="","",SUMIFS(Ledger!$K$2:$K$4, Ledger!$B$2:$B$4, $A3, Ledger!$C$2:$C$4, EPY$2)),"****")</f>
        <v/>
      </c>
      <c r="EPZ3" t="str">
        <f>IFERROR(IF($C3="","",SUMIFS(Ledger!$K$2:$K$4, Ledger!$B$2:$B$4, $A3, Ledger!$C$2:$C$4, EPZ$2)),"****")</f>
        <v/>
      </c>
      <c r="EQA3" t="str">
        <f>IFERROR(IF($C3="","",SUMIFS(Ledger!$K$2:$K$4, Ledger!$B$2:$B$4, $A3, Ledger!$C$2:$C$4, EQA$2)),"****")</f>
        <v/>
      </c>
      <c r="EQB3" t="str">
        <f>IFERROR(IF($C3="","",SUMIFS(Ledger!$K$2:$K$4, Ledger!$B$2:$B$4, $A3, Ledger!$C$2:$C$4, EQB$2)),"****")</f>
        <v/>
      </c>
      <c r="EQC3" t="str">
        <f>IFERROR(IF($C3="","",SUMIFS(Ledger!$K$2:$K$4, Ledger!$B$2:$B$4, $A3, Ledger!$C$2:$C$4, EQC$2)),"****")</f>
        <v/>
      </c>
      <c r="EQD3" t="str">
        <f>IFERROR(IF($C3="","",SUMIFS(Ledger!$K$2:$K$4, Ledger!$B$2:$B$4, $A3, Ledger!$C$2:$C$4, EQD$2)),"****")</f>
        <v/>
      </c>
      <c r="EQE3" t="str">
        <f>IFERROR(IF($C3="","",SUMIFS(Ledger!$K$2:$K$4, Ledger!$B$2:$B$4, $A3, Ledger!$C$2:$C$4, EQE$2)),"****")</f>
        <v/>
      </c>
      <c r="EQF3" t="str">
        <f>IFERROR(IF($C3="","",SUMIFS(Ledger!$K$2:$K$4, Ledger!$B$2:$B$4, $A3, Ledger!$C$2:$C$4, EQF$2)),"****")</f>
        <v/>
      </c>
      <c r="EQG3" t="str">
        <f>IFERROR(IF($C3="","",SUMIFS(Ledger!$K$2:$K$4, Ledger!$B$2:$B$4, $A3, Ledger!$C$2:$C$4, EQG$2)),"****")</f>
        <v/>
      </c>
      <c r="EQH3" t="str">
        <f>IFERROR(IF($C3="","",SUMIFS(Ledger!$K$2:$K$4, Ledger!$B$2:$B$4, $A3, Ledger!$C$2:$C$4, EQH$2)),"****")</f>
        <v/>
      </c>
      <c r="EQI3" t="str">
        <f>IFERROR(IF($C3="","",SUMIFS(Ledger!$K$2:$K$4, Ledger!$B$2:$B$4, $A3, Ledger!$C$2:$C$4, EQI$2)),"****")</f>
        <v/>
      </c>
      <c r="EQJ3" t="str">
        <f>IFERROR(IF($C3="","",SUMIFS(Ledger!$K$2:$K$4, Ledger!$B$2:$B$4, $A3, Ledger!$C$2:$C$4, EQJ$2)),"****")</f>
        <v/>
      </c>
      <c r="EQK3" t="str">
        <f>IFERROR(IF($C3="","",SUMIFS(Ledger!$K$2:$K$4, Ledger!$B$2:$B$4, $A3, Ledger!$C$2:$C$4, EQK$2)),"****")</f>
        <v/>
      </c>
      <c r="EQL3" t="str">
        <f>IFERROR(IF($C3="","",SUMIFS(Ledger!$K$2:$K$4, Ledger!$B$2:$B$4, $A3, Ledger!$C$2:$C$4, EQL$2)),"****")</f>
        <v/>
      </c>
      <c r="EQM3" t="str">
        <f>IFERROR(IF($C3="","",SUMIFS(Ledger!$K$2:$K$4, Ledger!$B$2:$B$4, $A3, Ledger!$C$2:$C$4, EQM$2)),"****")</f>
        <v/>
      </c>
      <c r="EQN3" t="str">
        <f>IFERROR(IF($C3="","",SUMIFS(Ledger!$K$2:$K$4, Ledger!$B$2:$B$4, $A3, Ledger!$C$2:$C$4, EQN$2)),"****")</f>
        <v/>
      </c>
      <c r="EQO3" t="str">
        <f>IFERROR(IF($C3="","",SUMIFS(Ledger!$K$2:$K$4, Ledger!$B$2:$B$4, $A3, Ledger!$C$2:$C$4, EQO$2)),"****")</f>
        <v/>
      </c>
      <c r="EQP3" t="str">
        <f>IFERROR(IF($C3="","",SUMIFS(Ledger!$K$2:$K$4, Ledger!$B$2:$B$4, $A3, Ledger!$C$2:$C$4, EQP$2)),"****")</f>
        <v/>
      </c>
      <c r="EQQ3" t="str">
        <f>IFERROR(IF($C3="","",SUMIFS(Ledger!$K$2:$K$4, Ledger!$B$2:$B$4, $A3, Ledger!$C$2:$C$4, EQQ$2)),"****")</f>
        <v/>
      </c>
      <c r="EQR3" t="str">
        <f>IFERROR(IF($C3="","",SUMIFS(Ledger!$K$2:$K$4, Ledger!$B$2:$B$4, $A3, Ledger!$C$2:$C$4, EQR$2)),"****")</f>
        <v/>
      </c>
      <c r="EQS3" t="str">
        <f>IFERROR(IF($C3="","",SUMIFS(Ledger!$K$2:$K$4, Ledger!$B$2:$B$4, $A3, Ledger!$C$2:$C$4, EQS$2)),"****")</f>
        <v/>
      </c>
      <c r="EQT3" t="str">
        <f>IFERROR(IF($C3="","",SUMIFS(Ledger!$K$2:$K$4, Ledger!$B$2:$B$4, $A3, Ledger!$C$2:$C$4, EQT$2)),"****")</f>
        <v/>
      </c>
      <c r="EQU3" t="str">
        <f>IFERROR(IF($C3="","",SUMIFS(Ledger!$K$2:$K$4, Ledger!$B$2:$B$4, $A3, Ledger!$C$2:$C$4, EQU$2)),"****")</f>
        <v/>
      </c>
      <c r="EQV3" t="str">
        <f>IFERROR(IF($C3="","",SUMIFS(Ledger!$K$2:$K$4, Ledger!$B$2:$B$4, $A3, Ledger!$C$2:$C$4, EQV$2)),"****")</f>
        <v/>
      </c>
      <c r="EQW3" t="str">
        <f>IFERROR(IF($C3="","",SUMIFS(Ledger!$K$2:$K$4, Ledger!$B$2:$B$4, $A3, Ledger!$C$2:$C$4, EQW$2)),"****")</f>
        <v/>
      </c>
      <c r="EQX3" t="str">
        <f>IFERROR(IF($C3="","",SUMIFS(Ledger!$K$2:$K$4, Ledger!$B$2:$B$4, $A3, Ledger!$C$2:$C$4, EQX$2)),"****")</f>
        <v/>
      </c>
      <c r="EQY3" t="str">
        <f>IFERROR(IF($C3="","",SUMIFS(Ledger!$K$2:$K$4, Ledger!$B$2:$B$4, $A3, Ledger!$C$2:$C$4, EQY$2)),"****")</f>
        <v/>
      </c>
      <c r="EQZ3" t="str">
        <f>IFERROR(IF($C3="","",SUMIFS(Ledger!$K$2:$K$4, Ledger!$B$2:$B$4, $A3, Ledger!$C$2:$C$4, EQZ$2)),"****")</f>
        <v/>
      </c>
      <c r="ERA3" t="str">
        <f>IFERROR(IF($C3="","",SUMIFS(Ledger!$K$2:$K$4, Ledger!$B$2:$B$4, $A3, Ledger!$C$2:$C$4, ERA$2)),"****")</f>
        <v/>
      </c>
      <c r="ERB3" t="str">
        <f>IFERROR(IF($C3="","",SUMIFS(Ledger!$K$2:$K$4, Ledger!$B$2:$B$4, $A3, Ledger!$C$2:$C$4, ERB$2)),"****")</f>
        <v/>
      </c>
      <c r="ERC3" t="str">
        <f>IFERROR(IF($C3="","",SUMIFS(Ledger!$K$2:$K$4, Ledger!$B$2:$B$4, $A3, Ledger!$C$2:$C$4, ERC$2)),"****")</f>
        <v/>
      </c>
      <c r="ERD3" t="str">
        <f>IFERROR(IF($C3="","",SUMIFS(Ledger!$K$2:$K$4, Ledger!$B$2:$B$4, $A3, Ledger!$C$2:$C$4, ERD$2)),"****")</f>
        <v/>
      </c>
      <c r="ERE3" t="str">
        <f>IFERROR(IF($C3="","",SUMIFS(Ledger!$K$2:$K$4, Ledger!$B$2:$B$4, $A3, Ledger!$C$2:$C$4, ERE$2)),"****")</f>
        <v/>
      </c>
      <c r="ERF3" t="str">
        <f>IFERROR(IF($C3="","",SUMIFS(Ledger!$K$2:$K$4, Ledger!$B$2:$B$4, $A3, Ledger!$C$2:$C$4, ERF$2)),"****")</f>
        <v/>
      </c>
      <c r="ERG3" t="str">
        <f>IFERROR(IF($C3="","",SUMIFS(Ledger!$K$2:$K$4, Ledger!$B$2:$B$4, $A3, Ledger!$C$2:$C$4, ERG$2)),"****")</f>
        <v/>
      </c>
      <c r="ERH3" t="str">
        <f>IFERROR(IF($C3="","",SUMIFS(Ledger!$K$2:$K$4, Ledger!$B$2:$B$4, $A3, Ledger!$C$2:$C$4, ERH$2)),"****")</f>
        <v/>
      </c>
      <c r="ERI3" t="str">
        <f>IFERROR(IF($C3="","",SUMIFS(Ledger!$K$2:$K$4, Ledger!$B$2:$B$4, $A3, Ledger!$C$2:$C$4, ERI$2)),"****")</f>
        <v/>
      </c>
      <c r="ERJ3" t="str">
        <f>IFERROR(IF($C3="","",SUMIFS(Ledger!$K$2:$K$4, Ledger!$B$2:$B$4, $A3, Ledger!$C$2:$C$4, ERJ$2)),"****")</f>
        <v/>
      </c>
      <c r="ERK3" t="str">
        <f>IFERROR(IF($C3="","",SUMIFS(Ledger!$K$2:$K$4, Ledger!$B$2:$B$4, $A3, Ledger!$C$2:$C$4, ERK$2)),"****")</f>
        <v/>
      </c>
      <c r="ERL3" t="str">
        <f>IFERROR(IF($C3="","",SUMIFS(Ledger!$K$2:$K$4, Ledger!$B$2:$B$4, $A3, Ledger!$C$2:$C$4, ERL$2)),"****")</f>
        <v/>
      </c>
      <c r="ERM3" t="str">
        <f>IFERROR(IF($C3="","",SUMIFS(Ledger!$K$2:$K$4, Ledger!$B$2:$B$4, $A3, Ledger!$C$2:$C$4, ERM$2)),"****")</f>
        <v/>
      </c>
      <c r="ERN3" t="str">
        <f>IFERROR(IF($C3="","",SUMIFS(Ledger!$K$2:$K$4, Ledger!$B$2:$B$4, $A3, Ledger!$C$2:$C$4, ERN$2)),"****")</f>
        <v/>
      </c>
      <c r="ERO3" t="str">
        <f>IFERROR(IF($C3="","",SUMIFS(Ledger!$K$2:$K$4, Ledger!$B$2:$B$4, $A3, Ledger!$C$2:$C$4, ERO$2)),"****")</f>
        <v/>
      </c>
      <c r="ERP3" t="str">
        <f>IFERROR(IF($C3="","",SUMIFS(Ledger!$K$2:$K$4, Ledger!$B$2:$B$4, $A3, Ledger!$C$2:$C$4, ERP$2)),"****")</f>
        <v/>
      </c>
      <c r="ERQ3" t="str">
        <f>IFERROR(IF($C3="","",SUMIFS(Ledger!$K$2:$K$4, Ledger!$B$2:$B$4, $A3, Ledger!$C$2:$C$4, ERQ$2)),"****")</f>
        <v/>
      </c>
      <c r="ERR3" t="str">
        <f>IFERROR(IF($C3="","",SUMIFS(Ledger!$K$2:$K$4, Ledger!$B$2:$B$4, $A3, Ledger!$C$2:$C$4, ERR$2)),"****")</f>
        <v/>
      </c>
      <c r="ERS3" t="str">
        <f>IFERROR(IF($C3="","",SUMIFS(Ledger!$K$2:$K$4, Ledger!$B$2:$B$4, $A3, Ledger!$C$2:$C$4, ERS$2)),"****")</f>
        <v/>
      </c>
      <c r="ERT3" t="str">
        <f>IFERROR(IF($C3="","",SUMIFS(Ledger!$K$2:$K$4, Ledger!$B$2:$B$4, $A3, Ledger!$C$2:$C$4, ERT$2)),"****")</f>
        <v/>
      </c>
      <c r="ERU3" t="str">
        <f>IFERROR(IF($C3="","",SUMIFS(Ledger!$K$2:$K$4, Ledger!$B$2:$B$4, $A3, Ledger!$C$2:$C$4, ERU$2)),"****")</f>
        <v/>
      </c>
      <c r="ERV3" t="str">
        <f>IFERROR(IF($C3="","",SUMIFS(Ledger!$K$2:$K$4, Ledger!$B$2:$B$4, $A3, Ledger!$C$2:$C$4, ERV$2)),"****")</f>
        <v/>
      </c>
      <c r="ERW3" t="str">
        <f>IFERROR(IF($C3="","",SUMIFS(Ledger!$K$2:$K$4, Ledger!$B$2:$B$4, $A3, Ledger!$C$2:$C$4, ERW$2)),"****")</f>
        <v/>
      </c>
      <c r="ERX3" t="str">
        <f>IFERROR(IF($C3="","",SUMIFS(Ledger!$K$2:$K$4, Ledger!$B$2:$B$4, $A3, Ledger!$C$2:$C$4, ERX$2)),"****")</f>
        <v/>
      </c>
      <c r="ERY3" t="str">
        <f>IFERROR(IF($C3="","",SUMIFS(Ledger!$K$2:$K$4, Ledger!$B$2:$B$4, $A3, Ledger!$C$2:$C$4, ERY$2)),"****")</f>
        <v/>
      </c>
      <c r="ERZ3" t="str">
        <f>IFERROR(IF($C3="","",SUMIFS(Ledger!$K$2:$K$4, Ledger!$B$2:$B$4, $A3, Ledger!$C$2:$C$4, ERZ$2)),"****")</f>
        <v/>
      </c>
      <c r="ESA3" t="str">
        <f>IFERROR(IF($C3="","",SUMIFS(Ledger!$K$2:$K$4, Ledger!$B$2:$B$4, $A3, Ledger!$C$2:$C$4, ESA$2)),"****")</f>
        <v/>
      </c>
      <c r="ESB3" t="str">
        <f>IFERROR(IF($C3="","",SUMIFS(Ledger!$K$2:$K$4, Ledger!$B$2:$B$4, $A3, Ledger!$C$2:$C$4, ESB$2)),"****")</f>
        <v/>
      </c>
      <c r="ESC3" t="str">
        <f>IFERROR(IF($C3="","",SUMIFS(Ledger!$K$2:$K$4, Ledger!$B$2:$B$4, $A3, Ledger!$C$2:$C$4, ESC$2)),"****")</f>
        <v/>
      </c>
      <c r="ESD3" t="str">
        <f>IFERROR(IF($C3="","",SUMIFS(Ledger!$K$2:$K$4, Ledger!$B$2:$B$4, $A3, Ledger!$C$2:$C$4, ESD$2)),"****")</f>
        <v/>
      </c>
      <c r="ESE3" t="str">
        <f>IFERROR(IF($C3="","",SUMIFS(Ledger!$K$2:$K$4, Ledger!$B$2:$B$4, $A3, Ledger!$C$2:$C$4, ESE$2)),"****")</f>
        <v/>
      </c>
      <c r="ESF3" t="str">
        <f>IFERROR(IF($C3="","",SUMIFS(Ledger!$K$2:$K$4, Ledger!$B$2:$B$4, $A3, Ledger!$C$2:$C$4, ESF$2)),"****")</f>
        <v/>
      </c>
      <c r="ESG3" t="str">
        <f>IFERROR(IF($C3="","",SUMIFS(Ledger!$K$2:$K$4, Ledger!$B$2:$B$4, $A3, Ledger!$C$2:$C$4, ESG$2)),"****")</f>
        <v/>
      </c>
      <c r="ESH3" t="str">
        <f>IFERROR(IF($C3="","",SUMIFS(Ledger!$K$2:$K$4, Ledger!$B$2:$B$4, $A3, Ledger!$C$2:$C$4, ESH$2)),"****")</f>
        <v/>
      </c>
      <c r="ESI3" t="str">
        <f>IFERROR(IF($C3="","",SUMIFS(Ledger!$K$2:$K$4, Ledger!$B$2:$B$4, $A3, Ledger!$C$2:$C$4, ESI$2)),"****")</f>
        <v/>
      </c>
      <c r="ESJ3" t="str">
        <f>IFERROR(IF($C3="","",SUMIFS(Ledger!$K$2:$K$4, Ledger!$B$2:$B$4, $A3, Ledger!$C$2:$C$4, ESJ$2)),"****")</f>
        <v/>
      </c>
      <c r="ESK3" t="str">
        <f>IFERROR(IF($C3="","",SUMIFS(Ledger!$K$2:$K$4, Ledger!$B$2:$B$4, $A3, Ledger!$C$2:$C$4, ESK$2)),"****")</f>
        <v/>
      </c>
      <c r="ESL3" t="str">
        <f>IFERROR(IF($C3="","",SUMIFS(Ledger!$K$2:$K$4, Ledger!$B$2:$B$4, $A3, Ledger!$C$2:$C$4, ESL$2)),"****")</f>
        <v/>
      </c>
      <c r="ESM3" t="str">
        <f>IFERROR(IF($C3="","",SUMIFS(Ledger!$K$2:$K$4, Ledger!$B$2:$B$4, $A3, Ledger!$C$2:$C$4, ESM$2)),"****")</f>
        <v/>
      </c>
      <c r="ESN3" t="str">
        <f>IFERROR(IF($C3="","",SUMIFS(Ledger!$K$2:$K$4, Ledger!$B$2:$B$4, $A3, Ledger!$C$2:$C$4, ESN$2)),"****")</f>
        <v/>
      </c>
      <c r="ESO3" t="str">
        <f>IFERROR(IF($C3="","",SUMIFS(Ledger!$K$2:$K$4, Ledger!$B$2:$B$4, $A3, Ledger!$C$2:$C$4, ESO$2)),"****")</f>
        <v/>
      </c>
      <c r="ESP3" t="str">
        <f>IFERROR(IF($C3="","",SUMIFS(Ledger!$K$2:$K$4, Ledger!$B$2:$B$4, $A3, Ledger!$C$2:$C$4, ESP$2)),"****")</f>
        <v/>
      </c>
      <c r="ESQ3" t="str">
        <f>IFERROR(IF($C3="","",SUMIFS(Ledger!$K$2:$K$4, Ledger!$B$2:$B$4, $A3, Ledger!$C$2:$C$4, ESQ$2)),"****")</f>
        <v/>
      </c>
      <c r="ESR3" t="str">
        <f>IFERROR(IF($C3="","",SUMIFS(Ledger!$K$2:$K$4, Ledger!$B$2:$B$4, $A3, Ledger!$C$2:$C$4, ESR$2)),"****")</f>
        <v/>
      </c>
      <c r="ESS3" t="str">
        <f>IFERROR(IF($C3="","",SUMIFS(Ledger!$K$2:$K$4, Ledger!$B$2:$B$4, $A3, Ledger!$C$2:$C$4, ESS$2)),"****")</f>
        <v/>
      </c>
      <c r="EST3" t="str">
        <f>IFERROR(IF($C3="","",SUMIFS(Ledger!$K$2:$K$4, Ledger!$B$2:$B$4, $A3, Ledger!$C$2:$C$4, EST$2)),"****")</f>
        <v/>
      </c>
      <c r="ESU3" t="str">
        <f>IFERROR(IF($C3="","",SUMIFS(Ledger!$K$2:$K$4, Ledger!$B$2:$B$4, $A3, Ledger!$C$2:$C$4, ESU$2)),"****")</f>
        <v/>
      </c>
      <c r="ESV3" t="str">
        <f>IFERROR(IF($C3="","",SUMIFS(Ledger!$K$2:$K$4, Ledger!$B$2:$B$4, $A3, Ledger!$C$2:$C$4, ESV$2)),"****")</f>
        <v/>
      </c>
      <c r="ESW3" t="str">
        <f>IFERROR(IF($C3="","",SUMIFS(Ledger!$K$2:$K$4, Ledger!$B$2:$B$4, $A3, Ledger!$C$2:$C$4, ESW$2)),"****")</f>
        <v/>
      </c>
      <c r="ESX3" t="str">
        <f>IFERROR(IF($C3="","",SUMIFS(Ledger!$K$2:$K$4, Ledger!$B$2:$B$4, $A3, Ledger!$C$2:$C$4, ESX$2)),"****")</f>
        <v/>
      </c>
      <c r="ESY3" t="str">
        <f>IFERROR(IF($C3="","",SUMIFS(Ledger!$K$2:$K$4, Ledger!$B$2:$B$4, $A3, Ledger!$C$2:$C$4, ESY$2)),"****")</f>
        <v/>
      </c>
      <c r="ESZ3" t="str">
        <f>IFERROR(IF($C3="","",SUMIFS(Ledger!$K$2:$K$4, Ledger!$B$2:$B$4, $A3, Ledger!$C$2:$C$4, ESZ$2)),"****")</f>
        <v/>
      </c>
      <c r="ETA3" t="str">
        <f>IFERROR(IF($C3="","",SUMIFS(Ledger!$K$2:$K$4, Ledger!$B$2:$B$4, $A3, Ledger!$C$2:$C$4, ETA$2)),"****")</f>
        <v/>
      </c>
      <c r="ETB3" t="str">
        <f>IFERROR(IF($C3="","",SUMIFS(Ledger!$K$2:$K$4, Ledger!$B$2:$B$4, $A3, Ledger!$C$2:$C$4, ETB$2)),"****")</f>
        <v/>
      </c>
      <c r="ETC3" t="str">
        <f>IFERROR(IF($C3="","",SUMIFS(Ledger!$K$2:$K$4, Ledger!$B$2:$B$4, $A3, Ledger!$C$2:$C$4, ETC$2)),"****")</f>
        <v/>
      </c>
      <c r="ETD3" t="str">
        <f>IFERROR(IF($C3="","",SUMIFS(Ledger!$K$2:$K$4, Ledger!$B$2:$B$4, $A3, Ledger!$C$2:$C$4, ETD$2)),"****")</f>
        <v/>
      </c>
      <c r="ETE3" t="str">
        <f>IFERROR(IF($C3="","",SUMIFS(Ledger!$K$2:$K$4, Ledger!$B$2:$B$4, $A3, Ledger!$C$2:$C$4, ETE$2)),"****")</f>
        <v/>
      </c>
      <c r="ETF3" t="str">
        <f>IFERROR(IF($C3="","",SUMIFS(Ledger!$K$2:$K$4, Ledger!$B$2:$B$4, $A3, Ledger!$C$2:$C$4, ETF$2)),"****")</f>
        <v/>
      </c>
      <c r="ETG3" t="str">
        <f>IFERROR(IF($C3="","",SUMIFS(Ledger!$K$2:$K$4, Ledger!$B$2:$B$4, $A3, Ledger!$C$2:$C$4, ETG$2)),"****")</f>
        <v/>
      </c>
      <c r="ETH3" t="str">
        <f>IFERROR(IF($C3="","",SUMIFS(Ledger!$K$2:$K$4, Ledger!$B$2:$B$4, $A3, Ledger!$C$2:$C$4, ETH$2)),"****")</f>
        <v/>
      </c>
      <c r="ETI3" t="str">
        <f>IFERROR(IF($C3="","",SUMIFS(Ledger!$K$2:$K$4, Ledger!$B$2:$B$4, $A3, Ledger!$C$2:$C$4, ETI$2)),"****")</f>
        <v/>
      </c>
      <c r="ETJ3" t="str">
        <f>IFERROR(IF($C3="","",SUMIFS(Ledger!$K$2:$K$4, Ledger!$B$2:$B$4, $A3, Ledger!$C$2:$C$4, ETJ$2)),"****")</f>
        <v/>
      </c>
      <c r="ETK3" t="str">
        <f>IFERROR(IF($C3="","",SUMIFS(Ledger!$K$2:$K$4, Ledger!$B$2:$B$4, $A3, Ledger!$C$2:$C$4, ETK$2)),"****")</f>
        <v/>
      </c>
      <c r="ETL3" t="str">
        <f>IFERROR(IF($C3="","",SUMIFS(Ledger!$K$2:$K$4, Ledger!$B$2:$B$4, $A3, Ledger!$C$2:$C$4, ETL$2)),"****")</f>
        <v/>
      </c>
      <c r="ETM3" t="str">
        <f>IFERROR(IF($C3="","",SUMIFS(Ledger!$K$2:$K$4, Ledger!$B$2:$B$4, $A3, Ledger!$C$2:$C$4, ETM$2)),"****")</f>
        <v/>
      </c>
      <c r="ETN3" t="str">
        <f>IFERROR(IF($C3="","",SUMIFS(Ledger!$K$2:$K$4, Ledger!$B$2:$B$4, $A3, Ledger!$C$2:$C$4, ETN$2)),"****")</f>
        <v/>
      </c>
      <c r="ETO3" t="str">
        <f>IFERROR(IF($C3="","",SUMIFS(Ledger!$K$2:$K$4, Ledger!$B$2:$B$4, $A3, Ledger!$C$2:$C$4, ETO$2)),"****")</f>
        <v/>
      </c>
      <c r="ETP3" t="str">
        <f>IFERROR(IF($C3="","",SUMIFS(Ledger!$K$2:$K$4, Ledger!$B$2:$B$4, $A3, Ledger!$C$2:$C$4, ETP$2)),"****")</f>
        <v/>
      </c>
      <c r="ETQ3" t="str">
        <f>IFERROR(IF($C3="","",SUMIFS(Ledger!$K$2:$K$4, Ledger!$B$2:$B$4, $A3, Ledger!$C$2:$C$4, ETQ$2)),"****")</f>
        <v/>
      </c>
      <c r="ETR3" t="str">
        <f>IFERROR(IF($C3="","",SUMIFS(Ledger!$K$2:$K$4, Ledger!$B$2:$B$4, $A3, Ledger!$C$2:$C$4, ETR$2)),"****")</f>
        <v/>
      </c>
      <c r="ETS3" t="str">
        <f>IFERROR(IF($C3="","",SUMIFS(Ledger!$K$2:$K$4, Ledger!$B$2:$B$4, $A3, Ledger!$C$2:$C$4, ETS$2)),"****")</f>
        <v/>
      </c>
      <c r="ETT3" t="str">
        <f>IFERROR(IF($C3="","",SUMIFS(Ledger!$K$2:$K$4, Ledger!$B$2:$B$4, $A3, Ledger!$C$2:$C$4, ETT$2)),"****")</f>
        <v/>
      </c>
      <c r="ETU3" t="str">
        <f>IFERROR(IF($C3="","",SUMIFS(Ledger!$K$2:$K$4, Ledger!$B$2:$B$4, $A3, Ledger!$C$2:$C$4, ETU$2)),"****")</f>
        <v/>
      </c>
      <c r="ETV3" t="str">
        <f>IFERROR(IF($C3="","",SUMIFS(Ledger!$K$2:$K$4, Ledger!$B$2:$B$4, $A3, Ledger!$C$2:$C$4, ETV$2)),"****")</f>
        <v/>
      </c>
      <c r="ETW3" t="str">
        <f>IFERROR(IF($C3="","",SUMIFS(Ledger!$K$2:$K$4, Ledger!$B$2:$B$4, $A3, Ledger!$C$2:$C$4, ETW$2)),"****")</f>
        <v/>
      </c>
      <c r="ETX3" t="str">
        <f>IFERROR(IF($C3="","",SUMIFS(Ledger!$K$2:$K$4, Ledger!$B$2:$B$4, $A3, Ledger!$C$2:$C$4, ETX$2)),"****")</f>
        <v/>
      </c>
      <c r="ETY3" t="str">
        <f>IFERROR(IF($C3="","",SUMIFS(Ledger!$K$2:$K$4, Ledger!$B$2:$B$4, $A3, Ledger!$C$2:$C$4, ETY$2)),"****")</f>
        <v/>
      </c>
      <c r="ETZ3" t="str">
        <f>IFERROR(IF($C3="","",SUMIFS(Ledger!$K$2:$K$4, Ledger!$B$2:$B$4, $A3, Ledger!$C$2:$C$4, ETZ$2)),"****")</f>
        <v/>
      </c>
      <c r="EUA3" t="str">
        <f>IFERROR(IF($C3="","",SUMIFS(Ledger!$K$2:$K$4, Ledger!$B$2:$B$4, $A3, Ledger!$C$2:$C$4, EUA$2)),"****")</f>
        <v/>
      </c>
      <c r="EUB3" t="str">
        <f>IFERROR(IF($C3="","",SUMIFS(Ledger!$K$2:$K$4, Ledger!$B$2:$B$4, $A3, Ledger!$C$2:$C$4, EUB$2)),"****")</f>
        <v/>
      </c>
      <c r="EUC3" t="str">
        <f>IFERROR(IF($C3="","",SUMIFS(Ledger!$K$2:$K$4, Ledger!$B$2:$B$4, $A3, Ledger!$C$2:$C$4, EUC$2)),"****")</f>
        <v/>
      </c>
      <c r="EUD3" t="str">
        <f>IFERROR(IF($C3="","",SUMIFS(Ledger!$K$2:$K$4, Ledger!$B$2:$B$4, $A3, Ledger!$C$2:$C$4, EUD$2)),"****")</f>
        <v/>
      </c>
      <c r="EUE3" t="str">
        <f>IFERROR(IF($C3="","",SUMIFS(Ledger!$K$2:$K$4, Ledger!$B$2:$B$4, $A3, Ledger!$C$2:$C$4, EUE$2)),"****")</f>
        <v/>
      </c>
      <c r="EUF3" t="str">
        <f>IFERROR(IF($C3="","",SUMIFS(Ledger!$K$2:$K$4, Ledger!$B$2:$B$4, $A3, Ledger!$C$2:$C$4, EUF$2)),"****")</f>
        <v/>
      </c>
      <c r="EUG3" t="str">
        <f>IFERROR(IF($C3="","",SUMIFS(Ledger!$K$2:$K$4, Ledger!$B$2:$B$4, $A3, Ledger!$C$2:$C$4, EUG$2)),"****")</f>
        <v/>
      </c>
      <c r="EUH3" t="str">
        <f>IFERROR(IF($C3="","",SUMIFS(Ledger!$K$2:$K$4, Ledger!$B$2:$B$4, $A3, Ledger!$C$2:$C$4, EUH$2)),"****")</f>
        <v/>
      </c>
      <c r="EUI3" t="str">
        <f>IFERROR(IF($C3="","",SUMIFS(Ledger!$K$2:$K$4, Ledger!$B$2:$B$4, $A3, Ledger!$C$2:$C$4, EUI$2)),"****")</f>
        <v/>
      </c>
      <c r="EUJ3" t="str">
        <f>IFERROR(IF($C3="","",SUMIFS(Ledger!$K$2:$K$4, Ledger!$B$2:$B$4, $A3, Ledger!$C$2:$C$4, EUJ$2)),"****")</f>
        <v/>
      </c>
      <c r="EUK3" t="str">
        <f>IFERROR(IF($C3="","",SUMIFS(Ledger!$K$2:$K$4, Ledger!$B$2:$B$4, $A3, Ledger!$C$2:$C$4, EUK$2)),"****")</f>
        <v/>
      </c>
      <c r="EUL3" t="str">
        <f>IFERROR(IF($C3="","",SUMIFS(Ledger!$K$2:$K$4, Ledger!$B$2:$B$4, $A3, Ledger!$C$2:$C$4, EUL$2)),"****")</f>
        <v/>
      </c>
      <c r="EUM3" t="str">
        <f>IFERROR(IF($C3="","",SUMIFS(Ledger!$K$2:$K$4, Ledger!$B$2:$B$4, $A3, Ledger!$C$2:$C$4, EUM$2)),"****")</f>
        <v/>
      </c>
      <c r="EUN3" t="str">
        <f>IFERROR(IF($C3="","",SUMIFS(Ledger!$K$2:$K$4, Ledger!$B$2:$B$4, $A3, Ledger!$C$2:$C$4, EUN$2)),"****")</f>
        <v/>
      </c>
      <c r="EUO3" t="str">
        <f>IFERROR(IF($C3="","",SUMIFS(Ledger!$K$2:$K$4, Ledger!$B$2:$B$4, $A3, Ledger!$C$2:$C$4, EUO$2)),"****")</f>
        <v/>
      </c>
      <c r="EUP3" t="str">
        <f>IFERROR(IF($C3="","",SUMIFS(Ledger!$K$2:$K$4, Ledger!$B$2:$B$4, $A3, Ledger!$C$2:$C$4, EUP$2)),"****")</f>
        <v/>
      </c>
      <c r="EUQ3" t="str">
        <f>IFERROR(IF($C3="","",SUMIFS(Ledger!$K$2:$K$4, Ledger!$B$2:$B$4, $A3, Ledger!$C$2:$C$4, EUQ$2)),"****")</f>
        <v/>
      </c>
      <c r="EUR3" t="str">
        <f>IFERROR(IF($C3="","",SUMIFS(Ledger!$K$2:$K$4, Ledger!$B$2:$B$4, $A3, Ledger!$C$2:$C$4, EUR$2)),"****")</f>
        <v/>
      </c>
      <c r="EUS3" t="str">
        <f>IFERROR(IF($C3="","",SUMIFS(Ledger!$K$2:$K$4, Ledger!$B$2:$B$4, $A3, Ledger!$C$2:$C$4, EUS$2)),"****")</f>
        <v/>
      </c>
      <c r="EUT3" t="str">
        <f>IFERROR(IF($C3="","",SUMIFS(Ledger!$K$2:$K$4, Ledger!$B$2:$B$4, $A3, Ledger!$C$2:$C$4, EUT$2)),"****")</f>
        <v/>
      </c>
      <c r="EUU3" t="str">
        <f>IFERROR(IF($C3="","",SUMIFS(Ledger!$K$2:$K$4, Ledger!$B$2:$B$4, $A3, Ledger!$C$2:$C$4, EUU$2)),"****")</f>
        <v/>
      </c>
      <c r="EUV3" t="str">
        <f>IFERROR(IF($C3="","",SUMIFS(Ledger!$K$2:$K$4, Ledger!$B$2:$B$4, $A3, Ledger!$C$2:$C$4, EUV$2)),"****")</f>
        <v/>
      </c>
      <c r="EUW3" t="str">
        <f>IFERROR(IF($C3="","",SUMIFS(Ledger!$K$2:$K$4, Ledger!$B$2:$B$4, $A3, Ledger!$C$2:$C$4, EUW$2)),"****")</f>
        <v/>
      </c>
      <c r="EUX3" t="str">
        <f>IFERROR(IF($C3="","",SUMIFS(Ledger!$K$2:$K$4, Ledger!$B$2:$B$4, $A3, Ledger!$C$2:$C$4, EUX$2)),"****")</f>
        <v/>
      </c>
      <c r="EUY3" t="str">
        <f>IFERROR(IF($C3="","",SUMIFS(Ledger!$K$2:$K$4, Ledger!$B$2:$B$4, $A3, Ledger!$C$2:$C$4, EUY$2)),"****")</f>
        <v/>
      </c>
      <c r="EUZ3" t="str">
        <f>IFERROR(IF($C3="","",SUMIFS(Ledger!$K$2:$K$4, Ledger!$B$2:$B$4, $A3, Ledger!$C$2:$C$4, EUZ$2)),"****")</f>
        <v/>
      </c>
      <c r="EVA3" t="str">
        <f>IFERROR(IF($C3="","",SUMIFS(Ledger!$K$2:$K$4, Ledger!$B$2:$B$4, $A3, Ledger!$C$2:$C$4, EVA$2)),"****")</f>
        <v/>
      </c>
      <c r="EVB3" t="str">
        <f>IFERROR(IF($C3="","",SUMIFS(Ledger!$K$2:$K$4, Ledger!$B$2:$B$4, $A3, Ledger!$C$2:$C$4, EVB$2)),"****")</f>
        <v/>
      </c>
      <c r="EVC3" t="str">
        <f>IFERROR(IF($C3="","",SUMIFS(Ledger!$K$2:$K$4, Ledger!$B$2:$B$4, $A3, Ledger!$C$2:$C$4, EVC$2)),"****")</f>
        <v/>
      </c>
      <c r="EVD3" t="str">
        <f>IFERROR(IF($C3="","",SUMIFS(Ledger!$K$2:$K$4, Ledger!$B$2:$B$4, $A3, Ledger!$C$2:$C$4, EVD$2)),"****")</f>
        <v/>
      </c>
      <c r="EVE3" t="str">
        <f>IFERROR(IF($C3="","",SUMIFS(Ledger!$K$2:$K$4, Ledger!$B$2:$B$4, $A3, Ledger!$C$2:$C$4, EVE$2)),"****")</f>
        <v/>
      </c>
      <c r="EVF3" t="str">
        <f>IFERROR(IF($C3="","",SUMIFS(Ledger!$K$2:$K$4, Ledger!$B$2:$B$4, $A3, Ledger!$C$2:$C$4, EVF$2)),"****")</f>
        <v/>
      </c>
      <c r="EVG3" t="str">
        <f>IFERROR(IF($C3="","",SUMIFS(Ledger!$K$2:$K$4, Ledger!$B$2:$B$4, $A3, Ledger!$C$2:$C$4, EVG$2)),"****")</f>
        <v/>
      </c>
      <c r="EVH3" t="str">
        <f>IFERROR(IF($C3="","",SUMIFS(Ledger!$K$2:$K$4, Ledger!$B$2:$B$4, $A3, Ledger!$C$2:$C$4, EVH$2)),"****")</f>
        <v/>
      </c>
      <c r="EVI3" t="str">
        <f>IFERROR(IF($C3="","",SUMIFS(Ledger!$K$2:$K$4, Ledger!$B$2:$B$4, $A3, Ledger!$C$2:$C$4, EVI$2)),"****")</f>
        <v/>
      </c>
      <c r="EVJ3" t="str">
        <f>IFERROR(IF($C3="","",SUMIFS(Ledger!$K$2:$K$4, Ledger!$B$2:$B$4, $A3, Ledger!$C$2:$C$4, EVJ$2)),"****")</f>
        <v/>
      </c>
      <c r="EVK3" t="str">
        <f>IFERROR(IF($C3="","",SUMIFS(Ledger!$K$2:$K$4, Ledger!$B$2:$B$4, $A3, Ledger!$C$2:$C$4, EVK$2)),"****")</f>
        <v/>
      </c>
      <c r="EVL3" t="str">
        <f>IFERROR(IF($C3="","",SUMIFS(Ledger!$K$2:$K$4, Ledger!$B$2:$B$4, $A3, Ledger!$C$2:$C$4, EVL$2)),"****")</f>
        <v/>
      </c>
      <c r="EVM3" t="str">
        <f>IFERROR(IF($C3="","",SUMIFS(Ledger!$K$2:$K$4, Ledger!$B$2:$B$4, $A3, Ledger!$C$2:$C$4, EVM$2)),"****")</f>
        <v/>
      </c>
      <c r="EVN3" t="str">
        <f>IFERROR(IF($C3="","",SUMIFS(Ledger!$K$2:$K$4, Ledger!$B$2:$B$4, $A3, Ledger!$C$2:$C$4, EVN$2)),"****")</f>
        <v/>
      </c>
      <c r="EVO3" t="str">
        <f>IFERROR(IF($C3="","",SUMIFS(Ledger!$K$2:$K$4, Ledger!$B$2:$B$4, $A3, Ledger!$C$2:$C$4, EVO$2)),"****")</f>
        <v/>
      </c>
      <c r="EVP3" t="str">
        <f>IFERROR(IF($C3="","",SUMIFS(Ledger!$K$2:$K$4, Ledger!$B$2:$B$4, $A3, Ledger!$C$2:$C$4, EVP$2)),"****")</f>
        <v/>
      </c>
      <c r="EVQ3" t="str">
        <f>IFERROR(IF($C3="","",SUMIFS(Ledger!$K$2:$K$4, Ledger!$B$2:$B$4, $A3, Ledger!$C$2:$C$4, EVQ$2)),"****")</f>
        <v/>
      </c>
      <c r="EVR3" t="str">
        <f>IFERROR(IF($C3="","",SUMIFS(Ledger!$K$2:$K$4, Ledger!$B$2:$B$4, $A3, Ledger!$C$2:$C$4, EVR$2)),"****")</f>
        <v/>
      </c>
      <c r="EVS3" t="str">
        <f>IFERROR(IF($C3="","",SUMIFS(Ledger!$K$2:$K$4, Ledger!$B$2:$B$4, $A3, Ledger!$C$2:$C$4, EVS$2)),"****")</f>
        <v/>
      </c>
      <c r="EVT3" t="str">
        <f>IFERROR(IF($C3="","",SUMIFS(Ledger!$K$2:$K$4, Ledger!$B$2:$B$4, $A3, Ledger!$C$2:$C$4, EVT$2)),"****")</f>
        <v/>
      </c>
      <c r="EVU3" t="str">
        <f>IFERROR(IF($C3="","",SUMIFS(Ledger!$K$2:$K$4, Ledger!$B$2:$B$4, $A3, Ledger!$C$2:$C$4, EVU$2)),"****")</f>
        <v/>
      </c>
      <c r="EVV3" t="str">
        <f>IFERROR(IF($C3="","",SUMIFS(Ledger!$K$2:$K$4, Ledger!$B$2:$B$4, $A3, Ledger!$C$2:$C$4, EVV$2)),"****")</f>
        <v/>
      </c>
      <c r="EVW3" t="str">
        <f>IFERROR(IF($C3="","",SUMIFS(Ledger!$K$2:$K$4, Ledger!$B$2:$B$4, $A3, Ledger!$C$2:$C$4, EVW$2)),"****")</f>
        <v/>
      </c>
      <c r="EVX3" t="str">
        <f>IFERROR(IF($C3="","",SUMIFS(Ledger!$K$2:$K$4, Ledger!$B$2:$B$4, $A3, Ledger!$C$2:$C$4, EVX$2)),"****")</f>
        <v/>
      </c>
      <c r="EVY3" t="str">
        <f>IFERROR(IF($C3="","",SUMIFS(Ledger!$K$2:$K$4, Ledger!$B$2:$B$4, $A3, Ledger!$C$2:$C$4, EVY$2)),"****")</f>
        <v/>
      </c>
      <c r="EVZ3" t="str">
        <f>IFERROR(IF($C3="","",SUMIFS(Ledger!$K$2:$K$4, Ledger!$B$2:$B$4, $A3, Ledger!$C$2:$C$4, EVZ$2)),"****")</f>
        <v/>
      </c>
      <c r="EWA3" t="str">
        <f>IFERROR(IF($C3="","",SUMIFS(Ledger!$K$2:$K$4, Ledger!$B$2:$B$4, $A3, Ledger!$C$2:$C$4, EWA$2)),"****")</f>
        <v/>
      </c>
      <c r="EWB3" t="str">
        <f>IFERROR(IF($C3="","",SUMIFS(Ledger!$K$2:$K$4, Ledger!$B$2:$B$4, $A3, Ledger!$C$2:$C$4, EWB$2)),"****")</f>
        <v/>
      </c>
      <c r="EWC3" t="str">
        <f>IFERROR(IF($C3="","",SUMIFS(Ledger!$K$2:$K$4, Ledger!$B$2:$B$4, $A3, Ledger!$C$2:$C$4, EWC$2)),"****")</f>
        <v/>
      </c>
      <c r="EWD3" t="str">
        <f>IFERROR(IF($C3="","",SUMIFS(Ledger!$K$2:$K$4, Ledger!$B$2:$B$4, $A3, Ledger!$C$2:$C$4, EWD$2)),"****")</f>
        <v/>
      </c>
      <c r="EWE3" t="str">
        <f>IFERROR(IF($C3="","",SUMIFS(Ledger!$K$2:$K$4, Ledger!$B$2:$B$4, $A3, Ledger!$C$2:$C$4, EWE$2)),"****")</f>
        <v/>
      </c>
      <c r="EWF3" t="str">
        <f>IFERROR(IF($C3="","",SUMIFS(Ledger!$K$2:$K$4, Ledger!$B$2:$B$4, $A3, Ledger!$C$2:$C$4, EWF$2)),"****")</f>
        <v/>
      </c>
      <c r="EWG3" t="str">
        <f>IFERROR(IF($C3="","",SUMIFS(Ledger!$K$2:$K$4, Ledger!$B$2:$B$4, $A3, Ledger!$C$2:$C$4, EWG$2)),"****")</f>
        <v/>
      </c>
      <c r="EWH3" t="str">
        <f>IFERROR(IF($C3="","",SUMIFS(Ledger!$K$2:$K$4, Ledger!$B$2:$B$4, $A3, Ledger!$C$2:$C$4, EWH$2)),"****")</f>
        <v/>
      </c>
      <c r="EWI3" t="str">
        <f>IFERROR(IF($C3="","",SUMIFS(Ledger!$K$2:$K$4, Ledger!$B$2:$B$4, $A3, Ledger!$C$2:$C$4, EWI$2)),"****")</f>
        <v/>
      </c>
      <c r="EWJ3" t="str">
        <f>IFERROR(IF($C3="","",SUMIFS(Ledger!$K$2:$K$4, Ledger!$B$2:$B$4, $A3, Ledger!$C$2:$C$4, EWJ$2)),"****")</f>
        <v/>
      </c>
      <c r="EWK3" t="str">
        <f>IFERROR(IF($C3="","",SUMIFS(Ledger!$K$2:$K$4, Ledger!$B$2:$B$4, $A3, Ledger!$C$2:$C$4, EWK$2)),"****")</f>
        <v/>
      </c>
      <c r="EWL3" t="str">
        <f>IFERROR(IF($C3="","",SUMIFS(Ledger!$K$2:$K$4, Ledger!$B$2:$B$4, $A3, Ledger!$C$2:$C$4, EWL$2)),"****")</f>
        <v/>
      </c>
      <c r="EWM3" t="str">
        <f>IFERROR(IF($C3="","",SUMIFS(Ledger!$K$2:$K$4, Ledger!$B$2:$B$4, $A3, Ledger!$C$2:$C$4, EWM$2)),"****")</f>
        <v/>
      </c>
      <c r="EWN3" t="str">
        <f>IFERROR(IF($C3="","",SUMIFS(Ledger!$K$2:$K$4, Ledger!$B$2:$B$4, $A3, Ledger!$C$2:$C$4, EWN$2)),"****")</f>
        <v/>
      </c>
      <c r="EWO3" t="str">
        <f>IFERROR(IF($C3="","",SUMIFS(Ledger!$K$2:$K$4, Ledger!$B$2:$B$4, $A3, Ledger!$C$2:$C$4, EWO$2)),"****")</f>
        <v/>
      </c>
      <c r="EWP3" t="str">
        <f>IFERROR(IF($C3="","",SUMIFS(Ledger!$K$2:$K$4, Ledger!$B$2:$B$4, $A3, Ledger!$C$2:$C$4, EWP$2)),"****")</f>
        <v/>
      </c>
      <c r="EWQ3" t="str">
        <f>IFERROR(IF($C3="","",SUMIFS(Ledger!$K$2:$K$4, Ledger!$B$2:$B$4, $A3, Ledger!$C$2:$C$4, EWQ$2)),"****")</f>
        <v/>
      </c>
      <c r="EWR3" t="str">
        <f>IFERROR(IF($C3="","",SUMIFS(Ledger!$K$2:$K$4, Ledger!$B$2:$B$4, $A3, Ledger!$C$2:$C$4, EWR$2)),"****")</f>
        <v/>
      </c>
      <c r="EWS3" t="str">
        <f>IFERROR(IF($C3="","",SUMIFS(Ledger!$K$2:$K$4, Ledger!$B$2:$B$4, $A3, Ledger!$C$2:$C$4, EWS$2)),"****")</f>
        <v/>
      </c>
      <c r="EWT3" t="str">
        <f>IFERROR(IF($C3="","",SUMIFS(Ledger!$K$2:$K$4, Ledger!$B$2:$B$4, $A3, Ledger!$C$2:$C$4, EWT$2)),"****")</f>
        <v/>
      </c>
      <c r="EWU3" t="str">
        <f>IFERROR(IF($C3="","",SUMIFS(Ledger!$K$2:$K$4, Ledger!$B$2:$B$4, $A3, Ledger!$C$2:$C$4, EWU$2)),"****")</f>
        <v/>
      </c>
      <c r="EWV3" t="str">
        <f>IFERROR(IF($C3="","",SUMIFS(Ledger!$K$2:$K$4, Ledger!$B$2:$B$4, $A3, Ledger!$C$2:$C$4, EWV$2)),"****")</f>
        <v/>
      </c>
      <c r="EWW3" t="str">
        <f>IFERROR(IF($C3="","",SUMIFS(Ledger!$K$2:$K$4, Ledger!$B$2:$B$4, $A3, Ledger!$C$2:$C$4, EWW$2)),"****")</f>
        <v/>
      </c>
      <c r="EWX3" t="str">
        <f>IFERROR(IF($C3="","",SUMIFS(Ledger!$K$2:$K$4, Ledger!$B$2:$B$4, $A3, Ledger!$C$2:$C$4, EWX$2)),"****")</f>
        <v/>
      </c>
      <c r="EWY3" t="str">
        <f>IFERROR(IF($C3="","",SUMIFS(Ledger!$K$2:$K$4, Ledger!$B$2:$B$4, $A3, Ledger!$C$2:$C$4, EWY$2)),"****")</f>
        <v/>
      </c>
      <c r="EWZ3" t="str">
        <f>IFERROR(IF($C3="","",SUMIFS(Ledger!$K$2:$K$4, Ledger!$B$2:$B$4, $A3, Ledger!$C$2:$C$4, EWZ$2)),"****")</f>
        <v/>
      </c>
      <c r="EXA3" t="str">
        <f>IFERROR(IF($C3="","",SUMIFS(Ledger!$K$2:$K$4, Ledger!$B$2:$B$4, $A3, Ledger!$C$2:$C$4, EXA$2)),"****")</f>
        <v/>
      </c>
      <c r="EXB3" t="str">
        <f>IFERROR(IF($C3="","",SUMIFS(Ledger!$K$2:$K$4, Ledger!$B$2:$B$4, $A3, Ledger!$C$2:$C$4, EXB$2)),"****")</f>
        <v/>
      </c>
      <c r="EXC3" t="str">
        <f>IFERROR(IF($C3="","",SUMIFS(Ledger!$K$2:$K$4, Ledger!$B$2:$B$4, $A3, Ledger!$C$2:$C$4, EXC$2)),"****")</f>
        <v/>
      </c>
      <c r="EXD3" t="str">
        <f>IFERROR(IF($C3="","",SUMIFS(Ledger!$K$2:$K$4, Ledger!$B$2:$B$4, $A3, Ledger!$C$2:$C$4, EXD$2)),"****")</f>
        <v/>
      </c>
      <c r="EXE3" t="str">
        <f>IFERROR(IF($C3="","",SUMIFS(Ledger!$K$2:$K$4, Ledger!$B$2:$B$4, $A3, Ledger!$C$2:$C$4, EXE$2)),"****")</f>
        <v/>
      </c>
      <c r="EXF3" t="str">
        <f>IFERROR(IF($C3="","",SUMIFS(Ledger!$K$2:$K$4, Ledger!$B$2:$B$4, $A3, Ledger!$C$2:$C$4, EXF$2)),"****")</f>
        <v/>
      </c>
      <c r="EXG3" t="str">
        <f>IFERROR(IF($C3="","",SUMIFS(Ledger!$K$2:$K$4, Ledger!$B$2:$B$4, $A3, Ledger!$C$2:$C$4, EXG$2)),"****")</f>
        <v/>
      </c>
      <c r="EXH3" t="str">
        <f>IFERROR(IF($C3="","",SUMIFS(Ledger!$K$2:$K$4, Ledger!$B$2:$B$4, $A3, Ledger!$C$2:$C$4, EXH$2)),"****")</f>
        <v/>
      </c>
      <c r="EXI3" t="str">
        <f>IFERROR(IF($C3="","",SUMIFS(Ledger!$K$2:$K$4, Ledger!$B$2:$B$4, $A3, Ledger!$C$2:$C$4, EXI$2)),"****")</f>
        <v/>
      </c>
      <c r="EXJ3" t="str">
        <f>IFERROR(IF($C3="","",SUMIFS(Ledger!$K$2:$K$4, Ledger!$B$2:$B$4, $A3, Ledger!$C$2:$C$4, EXJ$2)),"****")</f>
        <v/>
      </c>
      <c r="EXK3" t="str">
        <f>IFERROR(IF($C3="","",SUMIFS(Ledger!$K$2:$K$4, Ledger!$B$2:$B$4, $A3, Ledger!$C$2:$C$4, EXK$2)),"****")</f>
        <v/>
      </c>
      <c r="EXL3" t="str">
        <f>IFERROR(IF($C3="","",SUMIFS(Ledger!$K$2:$K$4, Ledger!$B$2:$B$4, $A3, Ledger!$C$2:$C$4, EXL$2)),"****")</f>
        <v/>
      </c>
      <c r="EXM3" t="str">
        <f>IFERROR(IF($C3="","",SUMIFS(Ledger!$K$2:$K$4, Ledger!$B$2:$B$4, $A3, Ledger!$C$2:$C$4, EXM$2)),"****")</f>
        <v/>
      </c>
      <c r="EXN3" t="str">
        <f>IFERROR(IF($C3="","",SUMIFS(Ledger!$K$2:$K$4, Ledger!$B$2:$B$4, $A3, Ledger!$C$2:$C$4, EXN$2)),"****")</f>
        <v/>
      </c>
      <c r="EXO3" t="str">
        <f>IFERROR(IF($C3="","",SUMIFS(Ledger!$K$2:$K$4, Ledger!$B$2:$B$4, $A3, Ledger!$C$2:$C$4, EXO$2)),"****")</f>
        <v/>
      </c>
      <c r="EXP3" t="str">
        <f>IFERROR(IF($C3="","",SUMIFS(Ledger!$K$2:$K$4, Ledger!$B$2:$B$4, $A3, Ledger!$C$2:$C$4, EXP$2)),"****")</f>
        <v/>
      </c>
      <c r="EXQ3" t="str">
        <f>IFERROR(IF($C3="","",SUMIFS(Ledger!$K$2:$K$4, Ledger!$B$2:$B$4, $A3, Ledger!$C$2:$C$4, EXQ$2)),"****")</f>
        <v/>
      </c>
      <c r="EXR3" t="str">
        <f>IFERROR(IF($C3="","",SUMIFS(Ledger!$K$2:$K$4, Ledger!$B$2:$B$4, $A3, Ledger!$C$2:$C$4, EXR$2)),"****")</f>
        <v/>
      </c>
      <c r="EXS3" t="str">
        <f>IFERROR(IF($C3="","",SUMIFS(Ledger!$K$2:$K$4, Ledger!$B$2:$B$4, $A3, Ledger!$C$2:$C$4, EXS$2)),"****")</f>
        <v/>
      </c>
      <c r="EXT3" t="str">
        <f>IFERROR(IF($C3="","",SUMIFS(Ledger!$K$2:$K$4, Ledger!$B$2:$B$4, $A3, Ledger!$C$2:$C$4, EXT$2)),"****")</f>
        <v/>
      </c>
      <c r="EXU3" t="str">
        <f>IFERROR(IF($C3="","",SUMIFS(Ledger!$K$2:$K$4, Ledger!$B$2:$B$4, $A3, Ledger!$C$2:$C$4, EXU$2)),"****")</f>
        <v/>
      </c>
      <c r="EXV3" t="str">
        <f>IFERROR(IF($C3="","",SUMIFS(Ledger!$K$2:$K$4, Ledger!$B$2:$B$4, $A3, Ledger!$C$2:$C$4, EXV$2)),"****")</f>
        <v/>
      </c>
      <c r="EXW3" t="str">
        <f>IFERROR(IF($C3="","",SUMIFS(Ledger!$K$2:$K$4, Ledger!$B$2:$B$4, $A3, Ledger!$C$2:$C$4, EXW$2)),"****")</f>
        <v/>
      </c>
      <c r="EXX3" t="str">
        <f>IFERROR(IF($C3="","",SUMIFS(Ledger!$K$2:$K$4, Ledger!$B$2:$B$4, $A3, Ledger!$C$2:$C$4, EXX$2)),"****")</f>
        <v/>
      </c>
      <c r="EXY3" t="str">
        <f>IFERROR(IF($C3="","",SUMIFS(Ledger!$K$2:$K$4, Ledger!$B$2:$B$4, $A3, Ledger!$C$2:$C$4, EXY$2)),"****")</f>
        <v/>
      </c>
      <c r="EXZ3" t="str">
        <f>IFERROR(IF($C3="","",SUMIFS(Ledger!$K$2:$K$4, Ledger!$B$2:$B$4, $A3, Ledger!$C$2:$C$4, EXZ$2)),"****")</f>
        <v/>
      </c>
      <c r="EYA3" t="str">
        <f>IFERROR(IF($C3="","",SUMIFS(Ledger!$K$2:$K$4, Ledger!$B$2:$B$4, $A3, Ledger!$C$2:$C$4, EYA$2)),"****")</f>
        <v/>
      </c>
      <c r="EYB3" t="str">
        <f>IFERROR(IF($C3="","",SUMIFS(Ledger!$K$2:$K$4, Ledger!$B$2:$B$4, $A3, Ledger!$C$2:$C$4, EYB$2)),"****")</f>
        <v/>
      </c>
      <c r="EYC3" t="str">
        <f>IFERROR(IF($C3="","",SUMIFS(Ledger!$K$2:$K$4, Ledger!$B$2:$B$4, $A3, Ledger!$C$2:$C$4, EYC$2)),"****")</f>
        <v/>
      </c>
      <c r="EYD3" t="str">
        <f>IFERROR(IF($C3="","",SUMIFS(Ledger!$K$2:$K$4, Ledger!$B$2:$B$4, $A3, Ledger!$C$2:$C$4, EYD$2)),"****")</f>
        <v/>
      </c>
      <c r="EYE3" t="str">
        <f>IFERROR(IF($C3="","",SUMIFS(Ledger!$K$2:$K$4, Ledger!$B$2:$B$4, $A3, Ledger!$C$2:$C$4, EYE$2)),"****")</f>
        <v/>
      </c>
      <c r="EYF3" t="str">
        <f>IFERROR(IF($C3="","",SUMIFS(Ledger!$K$2:$K$4, Ledger!$B$2:$B$4, $A3, Ledger!$C$2:$C$4, EYF$2)),"****")</f>
        <v/>
      </c>
      <c r="EYG3" t="str">
        <f>IFERROR(IF($C3="","",SUMIFS(Ledger!$K$2:$K$4, Ledger!$B$2:$B$4, $A3, Ledger!$C$2:$C$4, EYG$2)),"****")</f>
        <v/>
      </c>
      <c r="EYH3" t="str">
        <f>IFERROR(IF($C3="","",SUMIFS(Ledger!$K$2:$K$4, Ledger!$B$2:$B$4, $A3, Ledger!$C$2:$C$4, EYH$2)),"****")</f>
        <v/>
      </c>
      <c r="EYI3" t="str">
        <f>IFERROR(IF($C3="","",SUMIFS(Ledger!$K$2:$K$4, Ledger!$B$2:$B$4, $A3, Ledger!$C$2:$C$4, EYI$2)),"****")</f>
        <v/>
      </c>
      <c r="EYJ3" t="str">
        <f>IFERROR(IF($C3="","",SUMIFS(Ledger!$K$2:$K$4, Ledger!$B$2:$B$4, $A3, Ledger!$C$2:$C$4, EYJ$2)),"****")</f>
        <v/>
      </c>
      <c r="EYK3" t="str">
        <f>IFERROR(IF($C3="","",SUMIFS(Ledger!$K$2:$K$4, Ledger!$B$2:$B$4, $A3, Ledger!$C$2:$C$4, EYK$2)),"****")</f>
        <v/>
      </c>
      <c r="EYL3" t="str">
        <f>IFERROR(IF($C3="","",SUMIFS(Ledger!$K$2:$K$4, Ledger!$B$2:$B$4, $A3, Ledger!$C$2:$C$4, EYL$2)),"****")</f>
        <v/>
      </c>
      <c r="EYM3" t="str">
        <f>IFERROR(IF($C3="","",SUMIFS(Ledger!$K$2:$K$4, Ledger!$B$2:$B$4, $A3, Ledger!$C$2:$C$4, EYM$2)),"****")</f>
        <v/>
      </c>
      <c r="EYN3" t="str">
        <f>IFERROR(IF($C3="","",SUMIFS(Ledger!$K$2:$K$4, Ledger!$B$2:$B$4, $A3, Ledger!$C$2:$C$4, EYN$2)),"****")</f>
        <v/>
      </c>
      <c r="EYO3" t="str">
        <f>IFERROR(IF($C3="","",SUMIFS(Ledger!$K$2:$K$4, Ledger!$B$2:$B$4, $A3, Ledger!$C$2:$C$4, EYO$2)),"****")</f>
        <v/>
      </c>
      <c r="EYP3" t="str">
        <f>IFERROR(IF($C3="","",SUMIFS(Ledger!$K$2:$K$4, Ledger!$B$2:$B$4, $A3, Ledger!$C$2:$C$4, EYP$2)),"****")</f>
        <v/>
      </c>
      <c r="EYQ3" t="str">
        <f>IFERROR(IF($C3="","",SUMIFS(Ledger!$K$2:$K$4, Ledger!$B$2:$B$4, $A3, Ledger!$C$2:$C$4, EYQ$2)),"****")</f>
        <v/>
      </c>
      <c r="EYR3" t="str">
        <f>IFERROR(IF($C3="","",SUMIFS(Ledger!$K$2:$K$4, Ledger!$B$2:$B$4, $A3, Ledger!$C$2:$C$4, EYR$2)),"****")</f>
        <v/>
      </c>
      <c r="EYS3" t="str">
        <f>IFERROR(IF($C3="","",SUMIFS(Ledger!$K$2:$K$4, Ledger!$B$2:$B$4, $A3, Ledger!$C$2:$C$4, EYS$2)),"****")</f>
        <v/>
      </c>
      <c r="EYT3" t="str">
        <f>IFERROR(IF($C3="","",SUMIFS(Ledger!$K$2:$K$4, Ledger!$B$2:$B$4, $A3, Ledger!$C$2:$C$4, EYT$2)),"****")</f>
        <v/>
      </c>
      <c r="EYU3" t="str">
        <f>IFERROR(IF($C3="","",SUMIFS(Ledger!$K$2:$K$4, Ledger!$B$2:$B$4, $A3, Ledger!$C$2:$C$4, EYU$2)),"****")</f>
        <v/>
      </c>
      <c r="EYV3" t="str">
        <f>IFERROR(IF($C3="","",SUMIFS(Ledger!$K$2:$K$4, Ledger!$B$2:$B$4, $A3, Ledger!$C$2:$C$4, EYV$2)),"****")</f>
        <v/>
      </c>
      <c r="EYW3" t="str">
        <f>IFERROR(IF($C3="","",SUMIFS(Ledger!$K$2:$K$4, Ledger!$B$2:$B$4, $A3, Ledger!$C$2:$C$4, EYW$2)),"****")</f>
        <v/>
      </c>
      <c r="EYX3" t="str">
        <f>IFERROR(IF($C3="","",SUMIFS(Ledger!$K$2:$K$4, Ledger!$B$2:$B$4, $A3, Ledger!$C$2:$C$4, EYX$2)),"****")</f>
        <v/>
      </c>
      <c r="EYY3" t="str">
        <f>IFERROR(IF($C3="","",SUMIFS(Ledger!$K$2:$K$4, Ledger!$B$2:$B$4, $A3, Ledger!$C$2:$C$4, EYY$2)),"****")</f>
        <v/>
      </c>
      <c r="EYZ3" t="str">
        <f>IFERROR(IF($C3="","",SUMIFS(Ledger!$K$2:$K$4, Ledger!$B$2:$B$4, $A3, Ledger!$C$2:$C$4, EYZ$2)),"****")</f>
        <v/>
      </c>
      <c r="EZA3" t="str">
        <f>IFERROR(IF($C3="","",SUMIFS(Ledger!$K$2:$K$4, Ledger!$B$2:$B$4, $A3, Ledger!$C$2:$C$4, EZA$2)),"****")</f>
        <v/>
      </c>
      <c r="EZB3" t="str">
        <f>IFERROR(IF($C3="","",SUMIFS(Ledger!$K$2:$K$4, Ledger!$B$2:$B$4, $A3, Ledger!$C$2:$C$4, EZB$2)),"****")</f>
        <v/>
      </c>
      <c r="EZC3" t="str">
        <f>IFERROR(IF($C3="","",SUMIFS(Ledger!$K$2:$K$4, Ledger!$B$2:$B$4, $A3, Ledger!$C$2:$C$4, EZC$2)),"****")</f>
        <v/>
      </c>
      <c r="EZD3" t="str">
        <f>IFERROR(IF($C3="","",SUMIFS(Ledger!$K$2:$K$4, Ledger!$B$2:$B$4, $A3, Ledger!$C$2:$C$4, EZD$2)),"****")</f>
        <v/>
      </c>
      <c r="EZE3" t="str">
        <f>IFERROR(IF($C3="","",SUMIFS(Ledger!$K$2:$K$4, Ledger!$B$2:$B$4, $A3, Ledger!$C$2:$C$4, EZE$2)),"****")</f>
        <v/>
      </c>
      <c r="EZF3" t="str">
        <f>IFERROR(IF($C3="","",SUMIFS(Ledger!$K$2:$K$4, Ledger!$B$2:$B$4, $A3, Ledger!$C$2:$C$4, EZF$2)),"****")</f>
        <v/>
      </c>
      <c r="EZG3" t="str">
        <f>IFERROR(IF($C3="","",SUMIFS(Ledger!$K$2:$K$4, Ledger!$B$2:$B$4, $A3, Ledger!$C$2:$C$4, EZG$2)),"****")</f>
        <v/>
      </c>
      <c r="EZH3" t="str">
        <f>IFERROR(IF($C3="","",SUMIFS(Ledger!$K$2:$K$4, Ledger!$B$2:$B$4, $A3, Ledger!$C$2:$C$4, EZH$2)),"****")</f>
        <v/>
      </c>
      <c r="EZI3" t="str">
        <f>IFERROR(IF($C3="","",SUMIFS(Ledger!$K$2:$K$4, Ledger!$B$2:$B$4, $A3, Ledger!$C$2:$C$4, EZI$2)),"****")</f>
        <v/>
      </c>
      <c r="EZJ3" t="str">
        <f>IFERROR(IF($C3="","",SUMIFS(Ledger!$K$2:$K$4, Ledger!$B$2:$B$4, $A3, Ledger!$C$2:$C$4, EZJ$2)),"****")</f>
        <v/>
      </c>
      <c r="EZK3" t="str">
        <f>IFERROR(IF($C3="","",SUMIFS(Ledger!$K$2:$K$4, Ledger!$B$2:$B$4, $A3, Ledger!$C$2:$C$4, EZK$2)),"****")</f>
        <v/>
      </c>
      <c r="EZL3" t="str">
        <f>IFERROR(IF($C3="","",SUMIFS(Ledger!$K$2:$K$4, Ledger!$B$2:$B$4, $A3, Ledger!$C$2:$C$4, EZL$2)),"****")</f>
        <v/>
      </c>
      <c r="EZM3" t="str">
        <f>IFERROR(IF($C3="","",SUMIFS(Ledger!$K$2:$K$4, Ledger!$B$2:$B$4, $A3, Ledger!$C$2:$C$4, EZM$2)),"****")</f>
        <v/>
      </c>
      <c r="EZN3" t="str">
        <f>IFERROR(IF($C3="","",SUMIFS(Ledger!$K$2:$K$4, Ledger!$B$2:$B$4, $A3, Ledger!$C$2:$C$4, EZN$2)),"****")</f>
        <v/>
      </c>
      <c r="EZO3" t="str">
        <f>IFERROR(IF($C3="","",SUMIFS(Ledger!$K$2:$K$4, Ledger!$B$2:$B$4, $A3, Ledger!$C$2:$C$4, EZO$2)),"****")</f>
        <v/>
      </c>
      <c r="EZP3" t="str">
        <f>IFERROR(IF($C3="","",SUMIFS(Ledger!$K$2:$K$4, Ledger!$B$2:$B$4, $A3, Ledger!$C$2:$C$4, EZP$2)),"****")</f>
        <v/>
      </c>
      <c r="EZQ3" t="str">
        <f>IFERROR(IF($C3="","",SUMIFS(Ledger!$K$2:$K$4, Ledger!$B$2:$B$4, $A3, Ledger!$C$2:$C$4, EZQ$2)),"****")</f>
        <v/>
      </c>
      <c r="EZR3" t="str">
        <f>IFERROR(IF($C3="","",SUMIFS(Ledger!$K$2:$K$4, Ledger!$B$2:$B$4, $A3, Ledger!$C$2:$C$4, EZR$2)),"****")</f>
        <v/>
      </c>
      <c r="EZS3" t="str">
        <f>IFERROR(IF($C3="","",SUMIFS(Ledger!$K$2:$K$4, Ledger!$B$2:$B$4, $A3, Ledger!$C$2:$C$4, EZS$2)),"****")</f>
        <v/>
      </c>
      <c r="EZT3" t="str">
        <f>IFERROR(IF($C3="","",SUMIFS(Ledger!$K$2:$K$4, Ledger!$B$2:$B$4, $A3, Ledger!$C$2:$C$4, EZT$2)),"****")</f>
        <v/>
      </c>
      <c r="EZU3" t="str">
        <f>IFERROR(IF($C3="","",SUMIFS(Ledger!$K$2:$K$4, Ledger!$B$2:$B$4, $A3, Ledger!$C$2:$C$4, EZU$2)),"****")</f>
        <v/>
      </c>
      <c r="EZV3" t="str">
        <f>IFERROR(IF($C3="","",SUMIFS(Ledger!$K$2:$K$4, Ledger!$B$2:$B$4, $A3, Ledger!$C$2:$C$4, EZV$2)),"****")</f>
        <v/>
      </c>
      <c r="EZW3" t="str">
        <f>IFERROR(IF($C3="","",SUMIFS(Ledger!$K$2:$K$4, Ledger!$B$2:$B$4, $A3, Ledger!$C$2:$C$4, EZW$2)),"****")</f>
        <v/>
      </c>
      <c r="EZX3" t="str">
        <f>IFERROR(IF($C3="","",SUMIFS(Ledger!$K$2:$K$4, Ledger!$B$2:$B$4, $A3, Ledger!$C$2:$C$4, EZX$2)),"****")</f>
        <v/>
      </c>
      <c r="EZY3" t="str">
        <f>IFERROR(IF($C3="","",SUMIFS(Ledger!$K$2:$K$4, Ledger!$B$2:$B$4, $A3, Ledger!$C$2:$C$4, EZY$2)),"****")</f>
        <v/>
      </c>
      <c r="EZZ3" t="str">
        <f>IFERROR(IF($C3="","",SUMIFS(Ledger!$K$2:$K$4, Ledger!$B$2:$B$4, $A3, Ledger!$C$2:$C$4, EZZ$2)),"****")</f>
        <v/>
      </c>
      <c r="FAA3" t="str">
        <f>IFERROR(IF($C3="","",SUMIFS(Ledger!$K$2:$K$4, Ledger!$B$2:$B$4, $A3, Ledger!$C$2:$C$4, FAA$2)),"****")</f>
        <v/>
      </c>
      <c r="FAB3" t="str">
        <f>IFERROR(IF($C3="","",SUMIFS(Ledger!$K$2:$K$4, Ledger!$B$2:$B$4, $A3, Ledger!$C$2:$C$4, FAB$2)),"****")</f>
        <v/>
      </c>
      <c r="FAC3" t="str">
        <f>IFERROR(IF($C3="","",SUMIFS(Ledger!$K$2:$K$4, Ledger!$B$2:$B$4, $A3, Ledger!$C$2:$C$4, FAC$2)),"****")</f>
        <v/>
      </c>
      <c r="FAD3" t="str">
        <f>IFERROR(IF($C3="","",SUMIFS(Ledger!$K$2:$K$4, Ledger!$B$2:$B$4, $A3, Ledger!$C$2:$C$4, FAD$2)),"****")</f>
        <v/>
      </c>
      <c r="FAE3" t="str">
        <f>IFERROR(IF($C3="","",SUMIFS(Ledger!$K$2:$K$4, Ledger!$B$2:$B$4, $A3, Ledger!$C$2:$C$4, FAE$2)),"****")</f>
        <v/>
      </c>
      <c r="FAF3" t="str">
        <f>IFERROR(IF($C3="","",SUMIFS(Ledger!$K$2:$K$4, Ledger!$B$2:$B$4, $A3, Ledger!$C$2:$C$4, FAF$2)),"****")</f>
        <v/>
      </c>
      <c r="FAG3" t="str">
        <f>IFERROR(IF($C3="","",SUMIFS(Ledger!$K$2:$K$4, Ledger!$B$2:$B$4, $A3, Ledger!$C$2:$C$4, FAG$2)),"****")</f>
        <v/>
      </c>
      <c r="FAH3" t="str">
        <f>IFERROR(IF($C3="","",SUMIFS(Ledger!$K$2:$K$4, Ledger!$B$2:$B$4, $A3, Ledger!$C$2:$C$4, FAH$2)),"****")</f>
        <v/>
      </c>
      <c r="FAI3" t="str">
        <f>IFERROR(IF($C3="","",SUMIFS(Ledger!$K$2:$K$4, Ledger!$B$2:$B$4, $A3, Ledger!$C$2:$C$4, FAI$2)),"****")</f>
        <v/>
      </c>
      <c r="FAJ3" t="str">
        <f>IFERROR(IF($C3="","",SUMIFS(Ledger!$K$2:$K$4, Ledger!$B$2:$B$4, $A3, Ledger!$C$2:$C$4, FAJ$2)),"****")</f>
        <v/>
      </c>
      <c r="FAK3" t="str">
        <f>IFERROR(IF($C3="","",SUMIFS(Ledger!$K$2:$K$4, Ledger!$B$2:$B$4, $A3, Ledger!$C$2:$C$4, FAK$2)),"****")</f>
        <v/>
      </c>
      <c r="FAL3" t="str">
        <f>IFERROR(IF($C3="","",SUMIFS(Ledger!$K$2:$K$4, Ledger!$B$2:$B$4, $A3, Ledger!$C$2:$C$4, FAL$2)),"****")</f>
        <v/>
      </c>
      <c r="FAM3" t="str">
        <f>IFERROR(IF($C3="","",SUMIFS(Ledger!$K$2:$K$4, Ledger!$B$2:$B$4, $A3, Ledger!$C$2:$C$4, FAM$2)),"****")</f>
        <v/>
      </c>
      <c r="FAN3" t="str">
        <f>IFERROR(IF($C3="","",SUMIFS(Ledger!$K$2:$K$4, Ledger!$B$2:$B$4, $A3, Ledger!$C$2:$C$4, FAN$2)),"****")</f>
        <v/>
      </c>
      <c r="FAO3" t="str">
        <f>IFERROR(IF($C3="","",SUMIFS(Ledger!$K$2:$K$4, Ledger!$B$2:$B$4, $A3, Ledger!$C$2:$C$4, FAO$2)),"****")</f>
        <v/>
      </c>
      <c r="FAP3" t="str">
        <f>IFERROR(IF($C3="","",SUMIFS(Ledger!$K$2:$K$4, Ledger!$B$2:$B$4, $A3, Ledger!$C$2:$C$4, FAP$2)),"****")</f>
        <v/>
      </c>
      <c r="FAQ3" t="str">
        <f>IFERROR(IF($C3="","",SUMIFS(Ledger!$K$2:$K$4, Ledger!$B$2:$B$4, $A3, Ledger!$C$2:$C$4, FAQ$2)),"****")</f>
        <v/>
      </c>
      <c r="FAR3" t="str">
        <f>IFERROR(IF($C3="","",SUMIFS(Ledger!$K$2:$K$4, Ledger!$B$2:$B$4, $A3, Ledger!$C$2:$C$4, FAR$2)),"****")</f>
        <v/>
      </c>
      <c r="FAS3" t="str">
        <f>IFERROR(IF($C3="","",SUMIFS(Ledger!$K$2:$K$4, Ledger!$B$2:$B$4, $A3, Ledger!$C$2:$C$4, FAS$2)),"****")</f>
        <v/>
      </c>
      <c r="FAT3" t="str">
        <f>IFERROR(IF($C3="","",SUMIFS(Ledger!$K$2:$K$4, Ledger!$B$2:$B$4, $A3, Ledger!$C$2:$C$4, FAT$2)),"****")</f>
        <v/>
      </c>
      <c r="FAU3" t="str">
        <f>IFERROR(IF($C3="","",SUMIFS(Ledger!$K$2:$K$4, Ledger!$B$2:$B$4, $A3, Ledger!$C$2:$C$4, FAU$2)),"****")</f>
        <v/>
      </c>
      <c r="FAV3" t="str">
        <f>IFERROR(IF($C3="","",SUMIFS(Ledger!$K$2:$K$4, Ledger!$B$2:$B$4, $A3, Ledger!$C$2:$C$4, FAV$2)),"****")</f>
        <v/>
      </c>
      <c r="FAW3" t="str">
        <f>IFERROR(IF($C3="","",SUMIFS(Ledger!$K$2:$K$4, Ledger!$B$2:$B$4, $A3, Ledger!$C$2:$C$4, FAW$2)),"****")</f>
        <v/>
      </c>
      <c r="FAX3" t="str">
        <f>IFERROR(IF($C3="","",SUMIFS(Ledger!$K$2:$K$4, Ledger!$B$2:$B$4, $A3, Ledger!$C$2:$C$4, FAX$2)),"****")</f>
        <v/>
      </c>
      <c r="FAY3" t="str">
        <f>IFERROR(IF($C3="","",SUMIFS(Ledger!$K$2:$K$4, Ledger!$B$2:$B$4, $A3, Ledger!$C$2:$C$4, FAY$2)),"****")</f>
        <v/>
      </c>
      <c r="FAZ3" t="str">
        <f>IFERROR(IF($C3="","",SUMIFS(Ledger!$K$2:$K$4, Ledger!$B$2:$B$4, $A3, Ledger!$C$2:$C$4, FAZ$2)),"****")</f>
        <v/>
      </c>
      <c r="FBA3" t="str">
        <f>IFERROR(IF($C3="","",SUMIFS(Ledger!$K$2:$K$4, Ledger!$B$2:$B$4, $A3, Ledger!$C$2:$C$4, FBA$2)),"****")</f>
        <v/>
      </c>
      <c r="FBB3" t="str">
        <f>IFERROR(IF($C3="","",SUMIFS(Ledger!$K$2:$K$4, Ledger!$B$2:$B$4, $A3, Ledger!$C$2:$C$4, FBB$2)),"****")</f>
        <v/>
      </c>
      <c r="FBC3" t="str">
        <f>IFERROR(IF($C3="","",SUMIFS(Ledger!$K$2:$K$4, Ledger!$B$2:$B$4, $A3, Ledger!$C$2:$C$4, FBC$2)),"****")</f>
        <v/>
      </c>
      <c r="FBD3" t="str">
        <f>IFERROR(IF($C3="","",SUMIFS(Ledger!$K$2:$K$4, Ledger!$B$2:$B$4, $A3, Ledger!$C$2:$C$4, FBD$2)),"****")</f>
        <v/>
      </c>
      <c r="FBE3" t="str">
        <f>IFERROR(IF($C3="","",SUMIFS(Ledger!$K$2:$K$4, Ledger!$B$2:$B$4, $A3, Ledger!$C$2:$C$4, FBE$2)),"****")</f>
        <v/>
      </c>
      <c r="FBF3" t="str">
        <f>IFERROR(IF($C3="","",SUMIFS(Ledger!$K$2:$K$4, Ledger!$B$2:$B$4, $A3, Ledger!$C$2:$C$4, FBF$2)),"****")</f>
        <v/>
      </c>
      <c r="FBG3" t="str">
        <f>IFERROR(IF($C3="","",SUMIFS(Ledger!$K$2:$K$4, Ledger!$B$2:$B$4, $A3, Ledger!$C$2:$C$4, FBG$2)),"****")</f>
        <v/>
      </c>
      <c r="FBH3" t="str">
        <f>IFERROR(IF($C3="","",SUMIFS(Ledger!$K$2:$K$4, Ledger!$B$2:$B$4, $A3, Ledger!$C$2:$C$4, FBH$2)),"****")</f>
        <v/>
      </c>
      <c r="FBI3" t="str">
        <f>IFERROR(IF($C3="","",SUMIFS(Ledger!$K$2:$K$4, Ledger!$B$2:$B$4, $A3, Ledger!$C$2:$C$4, FBI$2)),"****")</f>
        <v/>
      </c>
      <c r="FBJ3" t="str">
        <f>IFERROR(IF($C3="","",SUMIFS(Ledger!$K$2:$K$4, Ledger!$B$2:$B$4, $A3, Ledger!$C$2:$C$4, FBJ$2)),"****")</f>
        <v/>
      </c>
      <c r="FBK3" t="str">
        <f>IFERROR(IF($C3="","",SUMIFS(Ledger!$K$2:$K$4, Ledger!$B$2:$B$4, $A3, Ledger!$C$2:$C$4, FBK$2)),"****")</f>
        <v/>
      </c>
      <c r="FBL3" t="str">
        <f>IFERROR(IF($C3="","",SUMIFS(Ledger!$K$2:$K$4, Ledger!$B$2:$B$4, $A3, Ledger!$C$2:$C$4, FBL$2)),"****")</f>
        <v/>
      </c>
      <c r="FBM3" t="str">
        <f>IFERROR(IF($C3="","",SUMIFS(Ledger!$K$2:$K$4, Ledger!$B$2:$B$4, $A3, Ledger!$C$2:$C$4, FBM$2)),"****")</f>
        <v/>
      </c>
      <c r="FBN3" t="str">
        <f>IFERROR(IF($C3="","",SUMIFS(Ledger!$K$2:$K$4, Ledger!$B$2:$B$4, $A3, Ledger!$C$2:$C$4, FBN$2)),"****")</f>
        <v/>
      </c>
      <c r="FBO3" t="str">
        <f>IFERROR(IF($C3="","",SUMIFS(Ledger!$K$2:$K$4, Ledger!$B$2:$B$4, $A3, Ledger!$C$2:$C$4, FBO$2)),"****")</f>
        <v/>
      </c>
      <c r="FBP3" t="str">
        <f>IFERROR(IF($C3="","",SUMIFS(Ledger!$K$2:$K$4, Ledger!$B$2:$B$4, $A3, Ledger!$C$2:$C$4, FBP$2)),"****")</f>
        <v/>
      </c>
      <c r="FBQ3" t="str">
        <f>IFERROR(IF($C3="","",SUMIFS(Ledger!$K$2:$K$4, Ledger!$B$2:$B$4, $A3, Ledger!$C$2:$C$4, FBQ$2)),"****")</f>
        <v/>
      </c>
      <c r="FBR3" t="str">
        <f>IFERROR(IF($C3="","",SUMIFS(Ledger!$K$2:$K$4, Ledger!$B$2:$B$4, $A3, Ledger!$C$2:$C$4, FBR$2)),"****")</f>
        <v/>
      </c>
      <c r="FBS3" t="str">
        <f>IFERROR(IF($C3="","",SUMIFS(Ledger!$K$2:$K$4, Ledger!$B$2:$B$4, $A3, Ledger!$C$2:$C$4, FBS$2)),"****")</f>
        <v/>
      </c>
      <c r="FBT3" t="str">
        <f>IFERROR(IF($C3="","",SUMIFS(Ledger!$K$2:$K$4, Ledger!$B$2:$B$4, $A3, Ledger!$C$2:$C$4, FBT$2)),"****")</f>
        <v/>
      </c>
      <c r="FBU3" t="str">
        <f>IFERROR(IF($C3="","",SUMIFS(Ledger!$K$2:$K$4, Ledger!$B$2:$B$4, $A3, Ledger!$C$2:$C$4, FBU$2)),"****")</f>
        <v/>
      </c>
      <c r="FBV3" t="str">
        <f>IFERROR(IF($C3="","",SUMIFS(Ledger!$K$2:$K$4, Ledger!$B$2:$B$4, $A3, Ledger!$C$2:$C$4, FBV$2)),"****")</f>
        <v/>
      </c>
      <c r="FBW3" t="str">
        <f>IFERROR(IF($C3="","",SUMIFS(Ledger!$K$2:$K$4, Ledger!$B$2:$B$4, $A3, Ledger!$C$2:$C$4, FBW$2)),"****")</f>
        <v/>
      </c>
      <c r="FBX3" t="str">
        <f>IFERROR(IF($C3="","",SUMIFS(Ledger!$K$2:$K$4, Ledger!$B$2:$B$4, $A3, Ledger!$C$2:$C$4, FBX$2)),"****")</f>
        <v/>
      </c>
      <c r="FBY3" t="str">
        <f>IFERROR(IF($C3="","",SUMIFS(Ledger!$K$2:$K$4, Ledger!$B$2:$B$4, $A3, Ledger!$C$2:$C$4, FBY$2)),"****")</f>
        <v/>
      </c>
      <c r="FBZ3" t="str">
        <f>IFERROR(IF($C3="","",SUMIFS(Ledger!$K$2:$K$4, Ledger!$B$2:$B$4, $A3, Ledger!$C$2:$C$4, FBZ$2)),"****")</f>
        <v/>
      </c>
      <c r="FCA3" t="str">
        <f>IFERROR(IF($C3="","",SUMIFS(Ledger!$K$2:$K$4, Ledger!$B$2:$B$4, $A3, Ledger!$C$2:$C$4, FCA$2)),"****")</f>
        <v/>
      </c>
      <c r="FCB3" t="str">
        <f>IFERROR(IF($C3="","",SUMIFS(Ledger!$K$2:$K$4, Ledger!$B$2:$B$4, $A3, Ledger!$C$2:$C$4, FCB$2)),"****")</f>
        <v/>
      </c>
      <c r="FCC3" t="str">
        <f>IFERROR(IF($C3="","",SUMIFS(Ledger!$K$2:$K$4, Ledger!$B$2:$B$4, $A3, Ledger!$C$2:$C$4, FCC$2)),"****")</f>
        <v/>
      </c>
      <c r="FCD3" t="str">
        <f>IFERROR(IF($C3="","",SUMIFS(Ledger!$K$2:$K$4, Ledger!$B$2:$B$4, $A3, Ledger!$C$2:$C$4, FCD$2)),"****")</f>
        <v/>
      </c>
      <c r="FCE3" t="str">
        <f>IFERROR(IF($C3="","",SUMIFS(Ledger!$K$2:$K$4, Ledger!$B$2:$B$4, $A3, Ledger!$C$2:$C$4, FCE$2)),"****")</f>
        <v/>
      </c>
      <c r="FCF3" t="str">
        <f>IFERROR(IF($C3="","",SUMIFS(Ledger!$K$2:$K$4, Ledger!$B$2:$B$4, $A3, Ledger!$C$2:$C$4, FCF$2)),"****")</f>
        <v/>
      </c>
      <c r="FCG3" t="str">
        <f>IFERROR(IF($C3="","",SUMIFS(Ledger!$K$2:$K$4, Ledger!$B$2:$B$4, $A3, Ledger!$C$2:$C$4, FCG$2)),"****")</f>
        <v/>
      </c>
      <c r="FCH3" t="str">
        <f>IFERROR(IF($C3="","",SUMIFS(Ledger!$K$2:$K$4, Ledger!$B$2:$B$4, $A3, Ledger!$C$2:$C$4, FCH$2)),"****")</f>
        <v/>
      </c>
      <c r="FCI3" t="str">
        <f>IFERROR(IF($C3="","",SUMIFS(Ledger!$K$2:$K$4, Ledger!$B$2:$B$4, $A3, Ledger!$C$2:$C$4, FCI$2)),"****")</f>
        <v/>
      </c>
      <c r="FCJ3" t="str">
        <f>IFERROR(IF($C3="","",SUMIFS(Ledger!$K$2:$K$4, Ledger!$B$2:$B$4, $A3, Ledger!$C$2:$C$4, FCJ$2)),"****")</f>
        <v/>
      </c>
      <c r="FCK3" t="str">
        <f>IFERROR(IF($C3="","",SUMIFS(Ledger!$K$2:$K$4, Ledger!$B$2:$B$4, $A3, Ledger!$C$2:$C$4, FCK$2)),"****")</f>
        <v/>
      </c>
      <c r="FCL3" t="str">
        <f>IFERROR(IF($C3="","",SUMIFS(Ledger!$K$2:$K$4, Ledger!$B$2:$B$4, $A3, Ledger!$C$2:$C$4, FCL$2)),"****")</f>
        <v/>
      </c>
      <c r="FCM3" t="str">
        <f>IFERROR(IF($C3="","",SUMIFS(Ledger!$K$2:$K$4, Ledger!$B$2:$B$4, $A3, Ledger!$C$2:$C$4, FCM$2)),"****")</f>
        <v/>
      </c>
      <c r="FCN3" t="str">
        <f>IFERROR(IF($C3="","",SUMIFS(Ledger!$K$2:$K$4, Ledger!$B$2:$B$4, $A3, Ledger!$C$2:$C$4, FCN$2)),"****")</f>
        <v/>
      </c>
      <c r="FCO3" t="str">
        <f>IFERROR(IF($C3="","",SUMIFS(Ledger!$K$2:$K$4, Ledger!$B$2:$B$4, $A3, Ledger!$C$2:$C$4, FCO$2)),"****")</f>
        <v/>
      </c>
      <c r="FCP3" t="str">
        <f>IFERROR(IF($C3="","",SUMIFS(Ledger!$K$2:$K$4, Ledger!$B$2:$B$4, $A3, Ledger!$C$2:$C$4, FCP$2)),"****")</f>
        <v/>
      </c>
      <c r="FCQ3" t="str">
        <f>IFERROR(IF($C3="","",SUMIFS(Ledger!$K$2:$K$4, Ledger!$B$2:$B$4, $A3, Ledger!$C$2:$C$4, FCQ$2)),"****")</f>
        <v/>
      </c>
      <c r="FCR3" t="str">
        <f>IFERROR(IF($C3="","",SUMIFS(Ledger!$K$2:$K$4, Ledger!$B$2:$B$4, $A3, Ledger!$C$2:$C$4, FCR$2)),"****")</f>
        <v/>
      </c>
      <c r="FCS3" t="str">
        <f>IFERROR(IF($C3="","",SUMIFS(Ledger!$K$2:$K$4, Ledger!$B$2:$B$4, $A3, Ledger!$C$2:$C$4, FCS$2)),"****")</f>
        <v/>
      </c>
      <c r="FCT3" t="str">
        <f>IFERROR(IF($C3="","",SUMIFS(Ledger!$K$2:$K$4, Ledger!$B$2:$B$4, $A3, Ledger!$C$2:$C$4, FCT$2)),"****")</f>
        <v/>
      </c>
      <c r="FCU3" t="str">
        <f>IFERROR(IF($C3="","",SUMIFS(Ledger!$K$2:$K$4, Ledger!$B$2:$B$4, $A3, Ledger!$C$2:$C$4, FCU$2)),"****")</f>
        <v/>
      </c>
      <c r="FCV3" t="str">
        <f>IFERROR(IF($C3="","",SUMIFS(Ledger!$K$2:$K$4, Ledger!$B$2:$B$4, $A3, Ledger!$C$2:$C$4, FCV$2)),"****")</f>
        <v/>
      </c>
      <c r="FCW3" t="str">
        <f>IFERROR(IF($C3="","",SUMIFS(Ledger!$K$2:$K$4, Ledger!$B$2:$B$4, $A3, Ledger!$C$2:$C$4, FCW$2)),"****")</f>
        <v/>
      </c>
      <c r="FCX3" t="str">
        <f>IFERROR(IF($C3="","",SUMIFS(Ledger!$K$2:$K$4, Ledger!$B$2:$B$4, $A3, Ledger!$C$2:$C$4, FCX$2)),"****")</f>
        <v/>
      </c>
      <c r="FCY3" t="str">
        <f>IFERROR(IF($C3="","",SUMIFS(Ledger!$K$2:$K$4, Ledger!$B$2:$B$4, $A3, Ledger!$C$2:$C$4, FCY$2)),"****")</f>
        <v/>
      </c>
      <c r="FCZ3" t="str">
        <f>IFERROR(IF($C3="","",SUMIFS(Ledger!$K$2:$K$4, Ledger!$B$2:$B$4, $A3, Ledger!$C$2:$C$4, FCZ$2)),"****")</f>
        <v/>
      </c>
      <c r="FDA3" t="str">
        <f>IFERROR(IF($C3="","",SUMIFS(Ledger!$K$2:$K$4, Ledger!$B$2:$B$4, $A3, Ledger!$C$2:$C$4, FDA$2)),"****")</f>
        <v/>
      </c>
      <c r="FDB3" t="str">
        <f>IFERROR(IF($C3="","",SUMIFS(Ledger!$K$2:$K$4, Ledger!$B$2:$B$4, $A3, Ledger!$C$2:$C$4, FDB$2)),"****")</f>
        <v/>
      </c>
      <c r="FDC3" t="str">
        <f>IFERROR(IF($C3="","",SUMIFS(Ledger!$K$2:$K$4, Ledger!$B$2:$B$4, $A3, Ledger!$C$2:$C$4, FDC$2)),"****")</f>
        <v/>
      </c>
      <c r="FDD3" t="str">
        <f>IFERROR(IF($C3="","",SUMIFS(Ledger!$K$2:$K$4, Ledger!$B$2:$B$4, $A3, Ledger!$C$2:$C$4, FDD$2)),"****")</f>
        <v/>
      </c>
      <c r="FDE3" t="str">
        <f>IFERROR(IF($C3="","",SUMIFS(Ledger!$K$2:$K$4, Ledger!$B$2:$B$4, $A3, Ledger!$C$2:$C$4, FDE$2)),"****")</f>
        <v/>
      </c>
      <c r="FDF3" t="str">
        <f>IFERROR(IF($C3="","",SUMIFS(Ledger!$K$2:$K$4, Ledger!$B$2:$B$4, $A3, Ledger!$C$2:$C$4, FDF$2)),"****")</f>
        <v/>
      </c>
      <c r="FDG3" t="str">
        <f>IFERROR(IF($C3="","",SUMIFS(Ledger!$K$2:$K$4, Ledger!$B$2:$B$4, $A3, Ledger!$C$2:$C$4, FDG$2)),"****")</f>
        <v/>
      </c>
      <c r="FDH3" t="str">
        <f>IFERROR(IF($C3="","",SUMIFS(Ledger!$K$2:$K$4, Ledger!$B$2:$B$4, $A3, Ledger!$C$2:$C$4, FDH$2)),"****")</f>
        <v/>
      </c>
      <c r="FDI3" t="str">
        <f>IFERROR(IF($C3="","",SUMIFS(Ledger!$K$2:$K$4, Ledger!$B$2:$B$4, $A3, Ledger!$C$2:$C$4, FDI$2)),"****")</f>
        <v/>
      </c>
      <c r="FDJ3" t="str">
        <f>IFERROR(IF($C3="","",SUMIFS(Ledger!$K$2:$K$4, Ledger!$B$2:$B$4, $A3, Ledger!$C$2:$C$4, FDJ$2)),"****")</f>
        <v/>
      </c>
      <c r="FDK3" t="str">
        <f>IFERROR(IF($C3="","",SUMIFS(Ledger!$K$2:$K$4, Ledger!$B$2:$B$4, $A3, Ledger!$C$2:$C$4, FDK$2)),"****")</f>
        <v/>
      </c>
      <c r="FDL3" t="str">
        <f>IFERROR(IF($C3="","",SUMIFS(Ledger!$K$2:$K$4, Ledger!$B$2:$B$4, $A3, Ledger!$C$2:$C$4, FDL$2)),"****")</f>
        <v/>
      </c>
      <c r="FDM3" t="str">
        <f>IFERROR(IF($C3="","",SUMIFS(Ledger!$K$2:$K$4, Ledger!$B$2:$B$4, $A3, Ledger!$C$2:$C$4, FDM$2)),"****")</f>
        <v/>
      </c>
      <c r="FDN3" t="str">
        <f>IFERROR(IF($C3="","",SUMIFS(Ledger!$K$2:$K$4, Ledger!$B$2:$B$4, $A3, Ledger!$C$2:$C$4, FDN$2)),"****")</f>
        <v/>
      </c>
      <c r="FDO3" t="str">
        <f>IFERROR(IF($C3="","",SUMIFS(Ledger!$K$2:$K$4, Ledger!$B$2:$B$4, $A3, Ledger!$C$2:$C$4, FDO$2)),"****")</f>
        <v/>
      </c>
      <c r="FDP3" t="str">
        <f>IFERROR(IF($C3="","",SUMIFS(Ledger!$K$2:$K$4, Ledger!$B$2:$B$4, $A3, Ledger!$C$2:$C$4, FDP$2)),"****")</f>
        <v/>
      </c>
      <c r="FDQ3" t="str">
        <f>IFERROR(IF($C3="","",SUMIFS(Ledger!$K$2:$K$4, Ledger!$B$2:$B$4, $A3, Ledger!$C$2:$C$4, FDQ$2)),"****")</f>
        <v/>
      </c>
      <c r="FDR3" t="str">
        <f>IFERROR(IF($C3="","",SUMIFS(Ledger!$K$2:$K$4, Ledger!$B$2:$B$4, $A3, Ledger!$C$2:$C$4, FDR$2)),"****")</f>
        <v/>
      </c>
      <c r="FDS3" t="str">
        <f>IFERROR(IF($C3="","",SUMIFS(Ledger!$K$2:$K$4, Ledger!$B$2:$B$4, $A3, Ledger!$C$2:$C$4, FDS$2)),"****")</f>
        <v/>
      </c>
      <c r="FDT3" t="str">
        <f>IFERROR(IF($C3="","",SUMIFS(Ledger!$K$2:$K$4, Ledger!$B$2:$B$4, $A3, Ledger!$C$2:$C$4, FDT$2)),"****")</f>
        <v/>
      </c>
      <c r="FDU3" t="str">
        <f>IFERROR(IF($C3="","",SUMIFS(Ledger!$K$2:$K$4, Ledger!$B$2:$B$4, $A3, Ledger!$C$2:$C$4, FDU$2)),"****")</f>
        <v/>
      </c>
      <c r="FDV3" t="str">
        <f>IFERROR(IF($C3="","",SUMIFS(Ledger!$K$2:$K$4, Ledger!$B$2:$B$4, $A3, Ledger!$C$2:$C$4, FDV$2)),"****")</f>
        <v/>
      </c>
      <c r="FDW3" t="str">
        <f>IFERROR(IF($C3="","",SUMIFS(Ledger!$K$2:$K$4, Ledger!$B$2:$B$4, $A3, Ledger!$C$2:$C$4, FDW$2)),"****")</f>
        <v/>
      </c>
      <c r="FDX3" t="str">
        <f>IFERROR(IF($C3="","",SUMIFS(Ledger!$K$2:$K$4, Ledger!$B$2:$B$4, $A3, Ledger!$C$2:$C$4, FDX$2)),"****")</f>
        <v/>
      </c>
      <c r="FDY3" t="str">
        <f>IFERROR(IF($C3="","",SUMIFS(Ledger!$K$2:$K$4, Ledger!$B$2:$B$4, $A3, Ledger!$C$2:$C$4, FDY$2)),"****")</f>
        <v/>
      </c>
      <c r="FDZ3" t="str">
        <f>IFERROR(IF($C3="","",SUMIFS(Ledger!$K$2:$K$4, Ledger!$B$2:$B$4, $A3, Ledger!$C$2:$C$4, FDZ$2)),"****")</f>
        <v/>
      </c>
      <c r="FEA3" t="str">
        <f>IFERROR(IF($C3="","",SUMIFS(Ledger!$K$2:$K$4, Ledger!$B$2:$B$4, $A3, Ledger!$C$2:$C$4, FEA$2)),"****")</f>
        <v/>
      </c>
      <c r="FEB3" t="str">
        <f>IFERROR(IF($C3="","",SUMIFS(Ledger!$K$2:$K$4, Ledger!$B$2:$B$4, $A3, Ledger!$C$2:$C$4, FEB$2)),"****")</f>
        <v/>
      </c>
      <c r="FEC3" t="str">
        <f>IFERROR(IF($C3="","",SUMIFS(Ledger!$K$2:$K$4, Ledger!$B$2:$B$4, $A3, Ledger!$C$2:$C$4, FEC$2)),"****")</f>
        <v/>
      </c>
      <c r="FED3" t="str">
        <f>IFERROR(IF($C3="","",SUMIFS(Ledger!$K$2:$K$4, Ledger!$B$2:$B$4, $A3, Ledger!$C$2:$C$4, FED$2)),"****")</f>
        <v/>
      </c>
      <c r="FEE3" t="str">
        <f>IFERROR(IF($C3="","",SUMIFS(Ledger!$K$2:$K$4, Ledger!$B$2:$B$4, $A3, Ledger!$C$2:$C$4, FEE$2)),"****")</f>
        <v/>
      </c>
      <c r="FEF3" t="str">
        <f>IFERROR(IF($C3="","",SUMIFS(Ledger!$K$2:$K$4, Ledger!$B$2:$B$4, $A3, Ledger!$C$2:$C$4, FEF$2)),"****")</f>
        <v/>
      </c>
      <c r="FEG3" t="str">
        <f>IFERROR(IF($C3="","",SUMIFS(Ledger!$K$2:$K$4, Ledger!$B$2:$B$4, $A3, Ledger!$C$2:$C$4, FEG$2)),"****")</f>
        <v/>
      </c>
      <c r="FEH3" t="str">
        <f>IFERROR(IF($C3="","",SUMIFS(Ledger!$K$2:$K$4, Ledger!$B$2:$B$4, $A3, Ledger!$C$2:$C$4, FEH$2)),"****")</f>
        <v/>
      </c>
      <c r="FEI3" t="str">
        <f>IFERROR(IF($C3="","",SUMIFS(Ledger!$K$2:$K$4, Ledger!$B$2:$B$4, $A3, Ledger!$C$2:$C$4, FEI$2)),"****")</f>
        <v/>
      </c>
      <c r="FEJ3" t="str">
        <f>IFERROR(IF($C3="","",SUMIFS(Ledger!$K$2:$K$4, Ledger!$B$2:$B$4, $A3, Ledger!$C$2:$C$4, FEJ$2)),"****")</f>
        <v/>
      </c>
      <c r="FEK3" t="str">
        <f>IFERROR(IF($C3="","",SUMIFS(Ledger!$K$2:$K$4, Ledger!$B$2:$B$4, $A3, Ledger!$C$2:$C$4, FEK$2)),"****")</f>
        <v/>
      </c>
      <c r="FEL3" t="str">
        <f>IFERROR(IF($C3="","",SUMIFS(Ledger!$K$2:$K$4, Ledger!$B$2:$B$4, $A3, Ledger!$C$2:$C$4, FEL$2)),"****")</f>
        <v/>
      </c>
      <c r="FEM3" t="str">
        <f>IFERROR(IF($C3="","",SUMIFS(Ledger!$K$2:$K$4, Ledger!$B$2:$B$4, $A3, Ledger!$C$2:$C$4, FEM$2)),"****")</f>
        <v/>
      </c>
      <c r="FEN3" t="str">
        <f>IFERROR(IF($C3="","",SUMIFS(Ledger!$K$2:$K$4, Ledger!$B$2:$B$4, $A3, Ledger!$C$2:$C$4, FEN$2)),"****")</f>
        <v/>
      </c>
      <c r="FEO3" t="str">
        <f>IFERROR(IF($C3="","",SUMIFS(Ledger!$K$2:$K$4, Ledger!$B$2:$B$4, $A3, Ledger!$C$2:$C$4, FEO$2)),"****")</f>
        <v/>
      </c>
      <c r="FEP3" t="str">
        <f>IFERROR(IF($C3="","",SUMIFS(Ledger!$K$2:$K$4, Ledger!$B$2:$B$4, $A3, Ledger!$C$2:$C$4, FEP$2)),"****")</f>
        <v/>
      </c>
      <c r="FEQ3" t="str">
        <f>IFERROR(IF($C3="","",SUMIFS(Ledger!$K$2:$K$4, Ledger!$B$2:$B$4, $A3, Ledger!$C$2:$C$4, FEQ$2)),"****")</f>
        <v/>
      </c>
      <c r="FER3" t="str">
        <f>IFERROR(IF($C3="","",SUMIFS(Ledger!$K$2:$K$4, Ledger!$B$2:$B$4, $A3, Ledger!$C$2:$C$4, FER$2)),"****")</f>
        <v/>
      </c>
      <c r="FES3" t="str">
        <f>IFERROR(IF($C3="","",SUMIFS(Ledger!$K$2:$K$4, Ledger!$B$2:$B$4, $A3, Ledger!$C$2:$C$4, FES$2)),"****")</f>
        <v/>
      </c>
      <c r="FET3" t="str">
        <f>IFERROR(IF($C3="","",SUMIFS(Ledger!$K$2:$K$4, Ledger!$B$2:$B$4, $A3, Ledger!$C$2:$C$4, FET$2)),"****")</f>
        <v/>
      </c>
      <c r="FEU3" t="str">
        <f>IFERROR(IF($C3="","",SUMIFS(Ledger!$K$2:$K$4, Ledger!$B$2:$B$4, $A3, Ledger!$C$2:$C$4, FEU$2)),"****")</f>
        <v/>
      </c>
      <c r="FEV3" t="str">
        <f>IFERROR(IF($C3="","",SUMIFS(Ledger!$K$2:$K$4, Ledger!$B$2:$B$4, $A3, Ledger!$C$2:$C$4, FEV$2)),"****")</f>
        <v/>
      </c>
      <c r="FEW3" t="str">
        <f>IFERROR(IF($C3="","",SUMIFS(Ledger!$K$2:$K$4, Ledger!$B$2:$B$4, $A3, Ledger!$C$2:$C$4, FEW$2)),"****")</f>
        <v/>
      </c>
      <c r="FEX3" t="str">
        <f>IFERROR(IF($C3="","",SUMIFS(Ledger!$K$2:$K$4, Ledger!$B$2:$B$4, $A3, Ledger!$C$2:$C$4, FEX$2)),"****")</f>
        <v/>
      </c>
      <c r="FEY3" t="str">
        <f>IFERROR(IF($C3="","",SUMIFS(Ledger!$K$2:$K$4, Ledger!$B$2:$B$4, $A3, Ledger!$C$2:$C$4, FEY$2)),"****")</f>
        <v/>
      </c>
      <c r="FEZ3" t="str">
        <f>IFERROR(IF($C3="","",SUMIFS(Ledger!$K$2:$K$4, Ledger!$B$2:$B$4, $A3, Ledger!$C$2:$C$4, FEZ$2)),"****")</f>
        <v/>
      </c>
      <c r="FFA3" t="str">
        <f>IFERROR(IF($C3="","",SUMIFS(Ledger!$K$2:$K$4, Ledger!$B$2:$B$4, $A3, Ledger!$C$2:$C$4, FFA$2)),"****")</f>
        <v/>
      </c>
      <c r="FFB3" t="str">
        <f>IFERROR(IF($C3="","",SUMIFS(Ledger!$K$2:$K$4, Ledger!$B$2:$B$4, $A3, Ledger!$C$2:$C$4, FFB$2)),"****")</f>
        <v/>
      </c>
      <c r="FFC3" t="str">
        <f>IFERROR(IF($C3="","",SUMIFS(Ledger!$K$2:$K$4, Ledger!$B$2:$B$4, $A3, Ledger!$C$2:$C$4, FFC$2)),"****")</f>
        <v/>
      </c>
      <c r="FFD3" t="str">
        <f>IFERROR(IF($C3="","",SUMIFS(Ledger!$K$2:$K$4, Ledger!$B$2:$B$4, $A3, Ledger!$C$2:$C$4, FFD$2)),"****")</f>
        <v/>
      </c>
      <c r="FFE3" t="str">
        <f>IFERROR(IF($C3="","",SUMIFS(Ledger!$K$2:$K$4, Ledger!$B$2:$B$4, $A3, Ledger!$C$2:$C$4, FFE$2)),"****")</f>
        <v/>
      </c>
      <c r="FFF3" t="str">
        <f>IFERROR(IF($C3="","",SUMIFS(Ledger!$K$2:$K$4, Ledger!$B$2:$B$4, $A3, Ledger!$C$2:$C$4, FFF$2)),"****")</f>
        <v/>
      </c>
      <c r="FFG3" t="str">
        <f>IFERROR(IF($C3="","",SUMIFS(Ledger!$K$2:$K$4, Ledger!$B$2:$B$4, $A3, Ledger!$C$2:$C$4, FFG$2)),"****")</f>
        <v/>
      </c>
      <c r="FFH3" t="str">
        <f>IFERROR(IF($C3="","",SUMIFS(Ledger!$K$2:$K$4, Ledger!$B$2:$B$4, $A3, Ledger!$C$2:$C$4, FFH$2)),"****")</f>
        <v/>
      </c>
      <c r="FFI3" t="str">
        <f>IFERROR(IF($C3="","",SUMIFS(Ledger!$K$2:$K$4, Ledger!$B$2:$B$4, $A3, Ledger!$C$2:$C$4, FFI$2)),"****")</f>
        <v/>
      </c>
      <c r="FFJ3" t="str">
        <f>IFERROR(IF($C3="","",SUMIFS(Ledger!$K$2:$K$4, Ledger!$B$2:$B$4, $A3, Ledger!$C$2:$C$4, FFJ$2)),"****")</f>
        <v/>
      </c>
      <c r="FFK3" t="str">
        <f>IFERROR(IF($C3="","",SUMIFS(Ledger!$K$2:$K$4, Ledger!$B$2:$B$4, $A3, Ledger!$C$2:$C$4, FFK$2)),"****")</f>
        <v/>
      </c>
      <c r="FFL3" t="str">
        <f>IFERROR(IF($C3="","",SUMIFS(Ledger!$K$2:$K$4, Ledger!$B$2:$B$4, $A3, Ledger!$C$2:$C$4, FFL$2)),"****")</f>
        <v/>
      </c>
      <c r="FFM3" t="str">
        <f>IFERROR(IF($C3="","",SUMIFS(Ledger!$K$2:$K$4, Ledger!$B$2:$B$4, $A3, Ledger!$C$2:$C$4, FFM$2)),"****")</f>
        <v/>
      </c>
      <c r="FFN3" t="str">
        <f>IFERROR(IF($C3="","",SUMIFS(Ledger!$K$2:$K$4, Ledger!$B$2:$B$4, $A3, Ledger!$C$2:$C$4, FFN$2)),"****")</f>
        <v/>
      </c>
      <c r="FFO3" t="str">
        <f>IFERROR(IF($C3="","",SUMIFS(Ledger!$K$2:$K$4, Ledger!$B$2:$B$4, $A3, Ledger!$C$2:$C$4, FFO$2)),"****")</f>
        <v/>
      </c>
      <c r="FFP3" t="str">
        <f>IFERROR(IF($C3="","",SUMIFS(Ledger!$K$2:$K$4, Ledger!$B$2:$B$4, $A3, Ledger!$C$2:$C$4, FFP$2)),"****")</f>
        <v/>
      </c>
      <c r="FFQ3" t="str">
        <f>IFERROR(IF($C3="","",SUMIFS(Ledger!$K$2:$K$4, Ledger!$B$2:$B$4, $A3, Ledger!$C$2:$C$4, FFQ$2)),"****")</f>
        <v/>
      </c>
      <c r="FFR3" t="str">
        <f>IFERROR(IF($C3="","",SUMIFS(Ledger!$K$2:$K$4, Ledger!$B$2:$B$4, $A3, Ledger!$C$2:$C$4, FFR$2)),"****")</f>
        <v/>
      </c>
      <c r="FFS3" t="str">
        <f>IFERROR(IF($C3="","",SUMIFS(Ledger!$K$2:$K$4, Ledger!$B$2:$B$4, $A3, Ledger!$C$2:$C$4, FFS$2)),"****")</f>
        <v/>
      </c>
      <c r="FFT3" t="str">
        <f>IFERROR(IF($C3="","",SUMIFS(Ledger!$K$2:$K$4, Ledger!$B$2:$B$4, $A3, Ledger!$C$2:$C$4, FFT$2)),"****")</f>
        <v/>
      </c>
      <c r="FFU3" t="str">
        <f>IFERROR(IF($C3="","",SUMIFS(Ledger!$K$2:$K$4, Ledger!$B$2:$B$4, $A3, Ledger!$C$2:$C$4, FFU$2)),"****")</f>
        <v/>
      </c>
      <c r="FFV3" t="str">
        <f>IFERROR(IF($C3="","",SUMIFS(Ledger!$K$2:$K$4, Ledger!$B$2:$B$4, $A3, Ledger!$C$2:$C$4, FFV$2)),"****")</f>
        <v/>
      </c>
      <c r="FFW3" t="str">
        <f>IFERROR(IF($C3="","",SUMIFS(Ledger!$K$2:$K$4, Ledger!$B$2:$B$4, $A3, Ledger!$C$2:$C$4, FFW$2)),"****")</f>
        <v/>
      </c>
      <c r="FFX3" t="str">
        <f>IFERROR(IF($C3="","",SUMIFS(Ledger!$K$2:$K$4, Ledger!$B$2:$B$4, $A3, Ledger!$C$2:$C$4, FFX$2)),"****")</f>
        <v/>
      </c>
      <c r="FFY3" t="str">
        <f>IFERROR(IF($C3="","",SUMIFS(Ledger!$K$2:$K$4, Ledger!$B$2:$B$4, $A3, Ledger!$C$2:$C$4, FFY$2)),"****")</f>
        <v/>
      </c>
      <c r="FFZ3" t="str">
        <f>IFERROR(IF($C3="","",SUMIFS(Ledger!$K$2:$K$4, Ledger!$B$2:$B$4, $A3, Ledger!$C$2:$C$4, FFZ$2)),"****")</f>
        <v/>
      </c>
      <c r="FGA3" t="str">
        <f>IFERROR(IF($C3="","",SUMIFS(Ledger!$K$2:$K$4, Ledger!$B$2:$B$4, $A3, Ledger!$C$2:$C$4, FGA$2)),"****")</f>
        <v/>
      </c>
      <c r="FGB3" t="str">
        <f>IFERROR(IF($C3="","",SUMIFS(Ledger!$K$2:$K$4, Ledger!$B$2:$B$4, $A3, Ledger!$C$2:$C$4, FGB$2)),"****")</f>
        <v/>
      </c>
      <c r="FGC3" t="str">
        <f>IFERROR(IF($C3="","",SUMIFS(Ledger!$K$2:$K$4, Ledger!$B$2:$B$4, $A3, Ledger!$C$2:$C$4, FGC$2)),"****")</f>
        <v/>
      </c>
      <c r="FGD3" t="str">
        <f>IFERROR(IF($C3="","",SUMIFS(Ledger!$K$2:$K$4, Ledger!$B$2:$B$4, $A3, Ledger!$C$2:$C$4, FGD$2)),"****")</f>
        <v/>
      </c>
      <c r="FGE3" t="str">
        <f>IFERROR(IF($C3="","",SUMIFS(Ledger!$K$2:$K$4, Ledger!$B$2:$B$4, $A3, Ledger!$C$2:$C$4, FGE$2)),"****")</f>
        <v/>
      </c>
      <c r="FGF3" t="str">
        <f>IFERROR(IF($C3="","",SUMIFS(Ledger!$K$2:$K$4, Ledger!$B$2:$B$4, $A3, Ledger!$C$2:$C$4, FGF$2)),"****")</f>
        <v/>
      </c>
      <c r="FGG3" t="str">
        <f>IFERROR(IF($C3="","",SUMIFS(Ledger!$K$2:$K$4, Ledger!$B$2:$B$4, $A3, Ledger!$C$2:$C$4, FGG$2)),"****")</f>
        <v/>
      </c>
      <c r="FGH3" t="str">
        <f>IFERROR(IF($C3="","",SUMIFS(Ledger!$K$2:$K$4, Ledger!$B$2:$B$4, $A3, Ledger!$C$2:$C$4, FGH$2)),"****")</f>
        <v/>
      </c>
      <c r="FGI3" t="str">
        <f>IFERROR(IF($C3="","",SUMIFS(Ledger!$K$2:$K$4, Ledger!$B$2:$B$4, $A3, Ledger!$C$2:$C$4, FGI$2)),"****")</f>
        <v/>
      </c>
      <c r="FGJ3" t="str">
        <f>IFERROR(IF($C3="","",SUMIFS(Ledger!$K$2:$K$4, Ledger!$B$2:$B$4, $A3, Ledger!$C$2:$C$4, FGJ$2)),"****")</f>
        <v/>
      </c>
      <c r="FGK3" t="str">
        <f>IFERROR(IF($C3="","",SUMIFS(Ledger!$K$2:$K$4, Ledger!$B$2:$B$4, $A3, Ledger!$C$2:$C$4, FGK$2)),"****")</f>
        <v/>
      </c>
      <c r="FGL3" t="str">
        <f>IFERROR(IF($C3="","",SUMIFS(Ledger!$K$2:$K$4, Ledger!$B$2:$B$4, $A3, Ledger!$C$2:$C$4, FGL$2)),"****")</f>
        <v/>
      </c>
      <c r="FGM3" t="str">
        <f>IFERROR(IF($C3="","",SUMIFS(Ledger!$K$2:$K$4, Ledger!$B$2:$B$4, $A3, Ledger!$C$2:$C$4, FGM$2)),"****")</f>
        <v/>
      </c>
      <c r="FGN3" t="str">
        <f>IFERROR(IF($C3="","",SUMIFS(Ledger!$K$2:$K$4, Ledger!$B$2:$B$4, $A3, Ledger!$C$2:$C$4, FGN$2)),"****")</f>
        <v/>
      </c>
      <c r="FGO3" t="str">
        <f>IFERROR(IF($C3="","",SUMIFS(Ledger!$K$2:$K$4, Ledger!$B$2:$B$4, $A3, Ledger!$C$2:$C$4, FGO$2)),"****")</f>
        <v/>
      </c>
      <c r="FGP3" t="str">
        <f>IFERROR(IF($C3="","",SUMIFS(Ledger!$K$2:$K$4, Ledger!$B$2:$B$4, $A3, Ledger!$C$2:$C$4, FGP$2)),"****")</f>
        <v/>
      </c>
      <c r="FGQ3" t="str">
        <f>IFERROR(IF($C3="","",SUMIFS(Ledger!$K$2:$K$4, Ledger!$B$2:$B$4, $A3, Ledger!$C$2:$C$4, FGQ$2)),"****")</f>
        <v/>
      </c>
      <c r="FGR3" t="str">
        <f>IFERROR(IF($C3="","",SUMIFS(Ledger!$K$2:$K$4, Ledger!$B$2:$B$4, $A3, Ledger!$C$2:$C$4, FGR$2)),"****")</f>
        <v/>
      </c>
      <c r="FGS3" t="str">
        <f>IFERROR(IF($C3="","",SUMIFS(Ledger!$K$2:$K$4, Ledger!$B$2:$B$4, $A3, Ledger!$C$2:$C$4, FGS$2)),"****")</f>
        <v/>
      </c>
      <c r="FGT3" t="str">
        <f>IFERROR(IF($C3="","",SUMIFS(Ledger!$K$2:$K$4, Ledger!$B$2:$B$4, $A3, Ledger!$C$2:$C$4, FGT$2)),"****")</f>
        <v/>
      </c>
      <c r="FGU3" t="str">
        <f>IFERROR(IF($C3="","",SUMIFS(Ledger!$K$2:$K$4, Ledger!$B$2:$B$4, $A3, Ledger!$C$2:$C$4, FGU$2)),"****")</f>
        <v/>
      </c>
      <c r="FGV3" t="str">
        <f>IFERROR(IF($C3="","",SUMIFS(Ledger!$K$2:$K$4, Ledger!$B$2:$B$4, $A3, Ledger!$C$2:$C$4, FGV$2)),"****")</f>
        <v/>
      </c>
      <c r="FGW3" t="str">
        <f>IFERROR(IF($C3="","",SUMIFS(Ledger!$K$2:$K$4, Ledger!$B$2:$B$4, $A3, Ledger!$C$2:$C$4, FGW$2)),"****")</f>
        <v/>
      </c>
      <c r="FGX3" t="str">
        <f>IFERROR(IF($C3="","",SUMIFS(Ledger!$K$2:$K$4, Ledger!$B$2:$B$4, $A3, Ledger!$C$2:$C$4, FGX$2)),"****")</f>
        <v/>
      </c>
      <c r="FGY3" t="str">
        <f>IFERROR(IF($C3="","",SUMIFS(Ledger!$K$2:$K$4, Ledger!$B$2:$B$4, $A3, Ledger!$C$2:$C$4, FGY$2)),"****")</f>
        <v/>
      </c>
      <c r="FGZ3" t="str">
        <f>IFERROR(IF($C3="","",SUMIFS(Ledger!$K$2:$K$4, Ledger!$B$2:$B$4, $A3, Ledger!$C$2:$C$4, FGZ$2)),"****")</f>
        <v/>
      </c>
      <c r="FHA3" t="str">
        <f>IFERROR(IF($C3="","",SUMIFS(Ledger!$K$2:$K$4, Ledger!$B$2:$B$4, $A3, Ledger!$C$2:$C$4, FHA$2)),"****")</f>
        <v/>
      </c>
      <c r="FHB3" t="str">
        <f>IFERROR(IF($C3="","",SUMIFS(Ledger!$K$2:$K$4, Ledger!$B$2:$B$4, $A3, Ledger!$C$2:$C$4, FHB$2)),"****")</f>
        <v/>
      </c>
      <c r="FHC3" t="str">
        <f>IFERROR(IF($C3="","",SUMIFS(Ledger!$K$2:$K$4, Ledger!$B$2:$B$4, $A3, Ledger!$C$2:$C$4, FHC$2)),"****")</f>
        <v/>
      </c>
      <c r="FHD3" t="str">
        <f>IFERROR(IF($C3="","",SUMIFS(Ledger!$K$2:$K$4, Ledger!$B$2:$B$4, $A3, Ledger!$C$2:$C$4, FHD$2)),"****")</f>
        <v/>
      </c>
      <c r="FHE3" t="str">
        <f>IFERROR(IF($C3="","",SUMIFS(Ledger!$K$2:$K$4, Ledger!$B$2:$B$4, $A3, Ledger!$C$2:$C$4, FHE$2)),"****")</f>
        <v/>
      </c>
      <c r="FHF3" t="str">
        <f>IFERROR(IF($C3="","",SUMIFS(Ledger!$K$2:$K$4, Ledger!$B$2:$B$4, $A3, Ledger!$C$2:$C$4, FHF$2)),"****")</f>
        <v/>
      </c>
      <c r="FHG3" t="str">
        <f>IFERROR(IF($C3="","",SUMIFS(Ledger!$K$2:$K$4, Ledger!$B$2:$B$4, $A3, Ledger!$C$2:$C$4, FHG$2)),"****")</f>
        <v/>
      </c>
      <c r="FHH3" t="str">
        <f>IFERROR(IF($C3="","",SUMIFS(Ledger!$K$2:$K$4, Ledger!$B$2:$B$4, $A3, Ledger!$C$2:$C$4, FHH$2)),"****")</f>
        <v/>
      </c>
      <c r="FHI3" t="str">
        <f>IFERROR(IF($C3="","",SUMIFS(Ledger!$K$2:$K$4, Ledger!$B$2:$B$4, $A3, Ledger!$C$2:$C$4, FHI$2)),"****")</f>
        <v/>
      </c>
      <c r="FHJ3" t="str">
        <f>IFERROR(IF($C3="","",SUMIFS(Ledger!$K$2:$K$4, Ledger!$B$2:$B$4, $A3, Ledger!$C$2:$C$4, FHJ$2)),"****")</f>
        <v/>
      </c>
      <c r="FHK3" t="str">
        <f>IFERROR(IF($C3="","",SUMIFS(Ledger!$K$2:$K$4, Ledger!$B$2:$B$4, $A3, Ledger!$C$2:$C$4, FHK$2)),"****")</f>
        <v/>
      </c>
      <c r="FHL3" t="str">
        <f>IFERROR(IF($C3="","",SUMIFS(Ledger!$K$2:$K$4, Ledger!$B$2:$B$4, $A3, Ledger!$C$2:$C$4, FHL$2)),"****")</f>
        <v/>
      </c>
      <c r="FHM3" t="str">
        <f>IFERROR(IF($C3="","",SUMIFS(Ledger!$K$2:$K$4, Ledger!$B$2:$B$4, $A3, Ledger!$C$2:$C$4, FHM$2)),"****")</f>
        <v/>
      </c>
      <c r="FHN3" t="str">
        <f>IFERROR(IF($C3="","",SUMIFS(Ledger!$K$2:$K$4, Ledger!$B$2:$B$4, $A3, Ledger!$C$2:$C$4, FHN$2)),"****")</f>
        <v/>
      </c>
      <c r="FHO3" t="str">
        <f>IFERROR(IF($C3="","",SUMIFS(Ledger!$K$2:$K$4, Ledger!$B$2:$B$4, $A3, Ledger!$C$2:$C$4, FHO$2)),"****")</f>
        <v/>
      </c>
      <c r="FHP3" t="str">
        <f>IFERROR(IF($C3="","",SUMIFS(Ledger!$K$2:$K$4, Ledger!$B$2:$B$4, $A3, Ledger!$C$2:$C$4, FHP$2)),"****")</f>
        <v/>
      </c>
      <c r="FHQ3" t="str">
        <f>IFERROR(IF($C3="","",SUMIFS(Ledger!$K$2:$K$4, Ledger!$B$2:$B$4, $A3, Ledger!$C$2:$C$4, FHQ$2)),"****")</f>
        <v/>
      </c>
      <c r="FHR3" t="str">
        <f>IFERROR(IF($C3="","",SUMIFS(Ledger!$K$2:$K$4, Ledger!$B$2:$B$4, $A3, Ledger!$C$2:$C$4, FHR$2)),"****")</f>
        <v/>
      </c>
      <c r="FHS3" t="str">
        <f>IFERROR(IF($C3="","",SUMIFS(Ledger!$K$2:$K$4, Ledger!$B$2:$B$4, $A3, Ledger!$C$2:$C$4, FHS$2)),"****")</f>
        <v/>
      </c>
      <c r="FHT3" t="str">
        <f>IFERROR(IF($C3="","",SUMIFS(Ledger!$K$2:$K$4, Ledger!$B$2:$B$4, $A3, Ledger!$C$2:$C$4, FHT$2)),"****")</f>
        <v/>
      </c>
      <c r="FHU3" t="str">
        <f>IFERROR(IF($C3="","",SUMIFS(Ledger!$K$2:$K$4, Ledger!$B$2:$B$4, $A3, Ledger!$C$2:$C$4, FHU$2)),"****")</f>
        <v/>
      </c>
      <c r="FHV3" t="str">
        <f>IFERROR(IF($C3="","",SUMIFS(Ledger!$K$2:$K$4, Ledger!$B$2:$B$4, $A3, Ledger!$C$2:$C$4, FHV$2)),"****")</f>
        <v/>
      </c>
      <c r="FHW3" t="str">
        <f>IFERROR(IF($C3="","",SUMIFS(Ledger!$K$2:$K$4, Ledger!$B$2:$B$4, $A3, Ledger!$C$2:$C$4, FHW$2)),"****")</f>
        <v/>
      </c>
      <c r="FHX3" t="str">
        <f>IFERROR(IF($C3="","",SUMIFS(Ledger!$K$2:$K$4, Ledger!$B$2:$B$4, $A3, Ledger!$C$2:$C$4, FHX$2)),"****")</f>
        <v/>
      </c>
      <c r="FHY3" t="str">
        <f>IFERROR(IF($C3="","",SUMIFS(Ledger!$K$2:$K$4, Ledger!$B$2:$B$4, $A3, Ledger!$C$2:$C$4, FHY$2)),"****")</f>
        <v/>
      </c>
      <c r="FHZ3" t="str">
        <f>IFERROR(IF($C3="","",SUMIFS(Ledger!$K$2:$K$4, Ledger!$B$2:$B$4, $A3, Ledger!$C$2:$C$4, FHZ$2)),"****")</f>
        <v/>
      </c>
      <c r="FIA3" t="str">
        <f>IFERROR(IF($C3="","",SUMIFS(Ledger!$K$2:$K$4, Ledger!$B$2:$B$4, $A3, Ledger!$C$2:$C$4, FIA$2)),"****")</f>
        <v/>
      </c>
      <c r="FIB3" t="str">
        <f>IFERROR(IF($C3="","",SUMIFS(Ledger!$K$2:$K$4, Ledger!$B$2:$B$4, $A3, Ledger!$C$2:$C$4, FIB$2)),"****")</f>
        <v/>
      </c>
      <c r="FIC3" t="str">
        <f>IFERROR(IF($C3="","",SUMIFS(Ledger!$K$2:$K$4, Ledger!$B$2:$B$4, $A3, Ledger!$C$2:$C$4, FIC$2)),"****")</f>
        <v/>
      </c>
      <c r="FID3" t="str">
        <f>IFERROR(IF($C3="","",SUMIFS(Ledger!$K$2:$K$4, Ledger!$B$2:$B$4, $A3, Ledger!$C$2:$C$4, FID$2)),"****")</f>
        <v/>
      </c>
      <c r="FIE3" t="str">
        <f>IFERROR(IF($C3="","",SUMIFS(Ledger!$K$2:$K$4, Ledger!$B$2:$B$4, $A3, Ledger!$C$2:$C$4, FIE$2)),"****")</f>
        <v/>
      </c>
      <c r="FIF3" t="str">
        <f>IFERROR(IF($C3="","",SUMIFS(Ledger!$K$2:$K$4, Ledger!$B$2:$B$4, $A3, Ledger!$C$2:$C$4, FIF$2)),"****")</f>
        <v/>
      </c>
      <c r="FIG3" t="str">
        <f>IFERROR(IF($C3="","",SUMIFS(Ledger!$K$2:$K$4, Ledger!$B$2:$B$4, $A3, Ledger!$C$2:$C$4, FIG$2)),"****")</f>
        <v/>
      </c>
      <c r="FIH3" t="str">
        <f>IFERROR(IF($C3="","",SUMIFS(Ledger!$K$2:$K$4, Ledger!$B$2:$B$4, $A3, Ledger!$C$2:$C$4, FIH$2)),"****")</f>
        <v/>
      </c>
      <c r="FII3" t="str">
        <f>IFERROR(IF($C3="","",SUMIFS(Ledger!$K$2:$K$4, Ledger!$B$2:$B$4, $A3, Ledger!$C$2:$C$4, FII$2)),"****")</f>
        <v/>
      </c>
      <c r="FIJ3" t="str">
        <f>IFERROR(IF($C3="","",SUMIFS(Ledger!$K$2:$K$4, Ledger!$B$2:$B$4, $A3, Ledger!$C$2:$C$4, FIJ$2)),"****")</f>
        <v/>
      </c>
      <c r="FIK3" t="str">
        <f>IFERROR(IF($C3="","",SUMIFS(Ledger!$K$2:$K$4, Ledger!$B$2:$B$4, $A3, Ledger!$C$2:$C$4, FIK$2)),"****")</f>
        <v/>
      </c>
      <c r="FIL3" t="str">
        <f>IFERROR(IF($C3="","",SUMIFS(Ledger!$K$2:$K$4, Ledger!$B$2:$B$4, $A3, Ledger!$C$2:$C$4, FIL$2)),"****")</f>
        <v/>
      </c>
      <c r="FIM3" t="str">
        <f>IFERROR(IF($C3="","",SUMIFS(Ledger!$K$2:$K$4, Ledger!$B$2:$B$4, $A3, Ledger!$C$2:$C$4, FIM$2)),"****")</f>
        <v/>
      </c>
      <c r="FIN3" t="str">
        <f>IFERROR(IF($C3="","",SUMIFS(Ledger!$K$2:$K$4, Ledger!$B$2:$B$4, $A3, Ledger!$C$2:$C$4, FIN$2)),"****")</f>
        <v/>
      </c>
      <c r="FIO3" t="str">
        <f>IFERROR(IF($C3="","",SUMIFS(Ledger!$K$2:$K$4, Ledger!$B$2:$B$4, $A3, Ledger!$C$2:$C$4, FIO$2)),"****")</f>
        <v/>
      </c>
      <c r="FIP3" t="str">
        <f>IFERROR(IF($C3="","",SUMIFS(Ledger!$K$2:$K$4, Ledger!$B$2:$B$4, $A3, Ledger!$C$2:$C$4, FIP$2)),"****")</f>
        <v/>
      </c>
      <c r="FIQ3" t="str">
        <f>IFERROR(IF($C3="","",SUMIFS(Ledger!$K$2:$K$4, Ledger!$B$2:$B$4, $A3, Ledger!$C$2:$C$4, FIQ$2)),"****")</f>
        <v/>
      </c>
      <c r="FIR3" t="str">
        <f>IFERROR(IF($C3="","",SUMIFS(Ledger!$K$2:$K$4, Ledger!$B$2:$B$4, $A3, Ledger!$C$2:$C$4, FIR$2)),"****")</f>
        <v/>
      </c>
      <c r="FIS3" t="str">
        <f>IFERROR(IF($C3="","",SUMIFS(Ledger!$K$2:$K$4, Ledger!$B$2:$B$4, $A3, Ledger!$C$2:$C$4, FIS$2)),"****")</f>
        <v/>
      </c>
      <c r="FIT3" t="str">
        <f>IFERROR(IF($C3="","",SUMIFS(Ledger!$K$2:$K$4, Ledger!$B$2:$B$4, $A3, Ledger!$C$2:$C$4, FIT$2)),"****")</f>
        <v/>
      </c>
      <c r="FIU3" t="str">
        <f>IFERROR(IF($C3="","",SUMIFS(Ledger!$K$2:$K$4, Ledger!$B$2:$B$4, $A3, Ledger!$C$2:$C$4, FIU$2)),"****")</f>
        <v/>
      </c>
      <c r="FIV3" t="str">
        <f>IFERROR(IF($C3="","",SUMIFS(Ledger!$K$2:$K$4, Ledger!$B$2:$B$4, $A3, Ledger!$C$2:$C$4, FIV$2)),"****")</f>
        <v/>
      </c>
      <c r="FIW3" t="str">
        <f>IFERROR(IF($C3="","",SUMIFS(Ledger!$K$2:$K$4, Ledger!$B$2:$B$4, $A3, Ledger!$C$2:$C$4, FIW$2)),"****")</f>
        <v/>
      </c>
      <c r="FIX3" t="str">
        <f>IFERROR(IF($C3="","",SUMIFS(Ledger!$K$2:$K$4, Ledger!$B$2:$B$4, $A3, Ledger!$C$2:$C$4, FIX$2)),"****")</f>
        <v/>
      </c>
      <c r="FIY3" t="str">
        <f>IFERROR(IF($C3="","",SUMIFS(Ledger!$K$2:$K$4, Ledger!$B$2:$B$4, $A3, Ledger!$C$2:$C$4, FIY$2)),"****")</f>
        <v/>
      </c>
      <c r="FIZ3" t="str">
        <f>IFERROR(IF($C3="","",SUMIFS(Ledger!$K$2:$K$4, Ledger!$B$2:$B$4, $A3, Ledger!$C$2:$C$4, FIZ$2)),"****")</f>
        <v/>
      </c>
      <c r="FJA3" t="str">
        <f>IFERROR(IF($C3="","",SUMIFS(Ledger!$K$2:$K$4, Ledger!$B$2:$B$4, $A3, Ledger!$C$2:$C$4, FJA$2)),"****")</f>
        <v/>
      </c>
      <c r="FJB3" t="str">
        <f>IFERROR(IF($C3="","",SUMIFS(Ledger!$K$2:$K$4, Ledger!$B$2:$B$4, $A3, Ledger!$C$2:$C$4, FJB$2)),"****")</f>
        <v/>
      </c>
      <c r="FJC3" t="str">
        <f>IFERROR(IF($C3="","",SUMIFS(Ledger!$K$2:$K$4, Ledger!$B$2:$B$4, $A3, Ledger!$C$2:$C$4, FJC$2)),"****")</f>
        <v/>
      </c>
      <c r="FJD3" t="str">
        <f>IFERROR(IF($C3="","",SUMIFS(Ledger!$K$2:$K$4, Ledger!$B$2:$B$4, $A3, Ledger!$C$2:$C$4, FJD$2)),"****")</f>
        <v/>
      </c>
      <c r="FJE3" t="str">
        <f>IFERROR(IF($C3="","",SUMIFS(Ledger!$K$2:$K$4, Ledger!$B$2:$B$4, $A3, Ledger!$C$2:$C$4, FJE$2)),"****")</f>
        <v/>
      </c>
      <c r="FJF3" t="str">
        <f>IFERROR(IF($C3="","",SUMIFS(Ledger!$K$2:$K$4, Ledger!$B$2:$B$4, $A3, Ledger!$C$2:$C$4, FJF$2)),"****")</f>
        <v/>
      </c>
      <c r="FJG3" t="str">
        <f>IFERROR(IF($C3="","",SUMIFS(Ledger!$K$2:$K$4, Ledger!$B$2:$B$4, $A3, Ledger!$C$2:$C$4, FJG$2)),"****")</f>
        <v/>
      </c>
      <c r="FJH3" t="str">
        <f>IFERROR(IF($C3="","",SUMIFS(Ledger!$K$2:$K$4, Ledger!$B$2:$B$4, $A3, Ledger!$C$2:$C$4, FJH$2)),"****")</f>
        <v/>
      </c>
      <c r="FJI3" t="str">
        <f>IFERROR(IF($C3="","",SUMIFS(Ledger!$K$2:$K$4, Ledger!$B$2:$B$4, $A3, Ledger!$C$2:$C$4, FJI$2)),"****")</f>
        <v/>
      </c>
      <c r="FJJ3" t="str">
        <f>IFERROR(IF($C3="","",SUMIFS(Ledger!$K$2:$K$4, Ledger!$B$2:$B$4, $A3, Ledger!$C$2:$C$4, FJJ$2)),"****")</f>
        <v/>
      </c>
      <c r="FJK3" t="str">
        <f>IFERROR(IF($C3="","",SUMIFS(Ledger!$K$2:$K$4, Ledger!$B$2:$B$4, $A3, Ledger!$C$2:$C$4, FJK$2)),"****")</f>
        <v/>
      </c>
      <c r="FJL3" t="str">
        <f>IFERROR(IF($C3="","",SUMIFS(Ledger!$K$2:$K$4, Ledger!$B$2:$B$4, $A3, Ledger!$C$2:$C$4, FJL$2)),"****")</f>
        <v/>
      </c>
      <c r="FJM3" t="str">
        <f>IFERROR(IF($C3="","",SUMIFS(Ledger!$K$2:$K$4, Ledger!$B$2:$B$4, $A3, Ledger!$C$2:$C$4, FJM$2)),"****")</f>
        <v/>
      </c>
      <c r="FJN3" t="str">
        <f>IFERROR(IF($C3="","",SUMIFS(Ledger!$K$2:$K$4, Ledger!$B$2:$B$4, $A3, Ledger!$C$2:$C$4, FJN$2)),"****")</f>
        <v/>
      </c>
      <c r="FJO3" t="str">
        <f>IFERROR(IF($C3="","",SUMIFS(Ledger!$K$2:$K$4, Ledger!$B$2:$B$4, $A3, Ledger!$C$2:$C$4, FJO$2)),"****")</f>
        <v/>
      </c>
      <c r="FJP3" t="str">
        <f>IFERROR(IF($C3="","",SUMIFS(Ledger!$K$2:$K$4, Ledger!$B$2:$B$4, $A3, Ledger!$C$2:$C$4, FJP$2)),"****")</f>
        <v/>
      </c>
      <c r="FJQ3" t="str">
        <f>IFERROR(IF($C3="","",SUMIFS(Ledger!$K$2:$K$4, Ledger!$B$2:$B$4, $A3, Ledger!$C$2:$C$4, FJQ$2)),"****")</f>
        <v/>
      </c>
      <c r="FJR3" t="str">
        <f>IFERROR(IF($C3="","",SUMIFS(Ledger!$K$2:$K$4, Ledger!$B$2:$B$4, $A3, Ledger!$C$2:$C$4, FJR$2)),"****")</f>
        <v/>
      </c>
      <c r="FJS3" t="str">
        <f>IFERROR(IF($C3="","",SUMIFS(Ledger!$K$2:$K$4, Ledger!$B$2:$B$4, $A3, Ledger!$C$2:$C$4, FJS$2)),"****")</f>
        <v/>
      </c>
      <c r="FJT3" t="str">
        <f>IFERROR(IF($C3="","",SUMIFS(Ledger!$K$2:$K$4, Ledger!$B$2:$B$4, $A3, Ledger!$C$2:$C$4, FJT$2)),"****")</f>
        <v/>
      </c>
      <c r="FJU3" t="str">
        <f>IFERROR(IF($C3="","",SUMIFS(Ledger!$K$2:$K$4, Ledger!$B$2:$B$4, $A3, Ledger!$C$2:$C$4, FJU$2)),"****")</f>
        <v/>
      </c>
      <c r="FJV3" t="str">
        <f>IFERROR(IF($C3="","",SUMIFS(Ledger!$K$2:$K$4, Ledger!$B$2:$B$4, $A3, Ledger!$C$2:$C$4, FJV$2)),"****")</f>
        <v/>
      </c>
      <c r="FJW3" t="str">
        <f>IFERROR(IF($C3="","",SUMIFS(Ledger!$K$2:$K$4, Ledger!$B$2:$B$4, $A3, Ledger!$C$2:$C$4, FJW$2)),"****")</f>
        <v/>
      </c>
      <c r="FJX3" t="str">
        <f>IFERROR(IF($C3="","",SUMIFS(Ledger!$K$2:$K$4, Ledger!$B$2:$B$4, $A3, Ledger!$C$2:$C$4, FJX$2)),"****")</f>
        <v/>
      </c>
      <c r="FJY3" t="str">
        <f>IFERROR(IF($C3="","",SUMIFS(Ledger!$K$2:$K$4, Ledger!$B$2:$B$4, $A3, Ledger!$C$2:$C$4, FJY$2)),"****")</f>
        <v/>
      </c>
      <c r="FJZ3" t="str">
        <f>IFERROR(IF($C3="","",SUMIFS(Ledger!$K$2:$K$4, Ledger!$B$2:$B$4, $A3, Ledger!$C$2:$C$4, FJZ$2)),"****")</f>
        <v/>
      </c>
      <c r="FKA3" t="str">
        <f>IFERROR(IF($C3="","",SUMIFS(Ledger!$K$2:$K$4, Ledger!$B$2:$B$4, $A3, Ledger!$C$2:$C$4, FKA$2)),"****")</f>
        <v/>
      </c>
      <c r="FKB3" t="str">
        <f>IFERROR(IF($C3="","",SUMIFS(Ledger!$K$2:$K$4, Ledger!$B$2:$B$4, $A3, Ledger!$C$2:$C$4, FKB$2)),"****")</f>
        <v/>
      </c>
      <c r="FKC3" t="str">
        <f>IFERROR(IF($C3="","",SUMIFS(Ledger!$K$2:$K$4, Ledger!$B$2:$B$4, $A3, Ledger!$C$2:$C$4, FKC$2)),"****")</f>
        <v/>
      </c>
      <c r="FKD3" t="str">
        <f>IFERROR(IF($C3="","",SUMIFS(Ledger!$K$2:$K$4, Ledger!$B$2:$B$4, $A3, Ledger!$C$2:$C$4, FKD$2)),"****")</f>
        <v/>
      </c>
      <c r="FKE3" t="str">
        <f>IFERROR(IF($C3="","",SUMIFS(Ledger!$K$2:$K$4, Ledger!$B$2:$B$4, $A3, Ledger!$C$2:$C$4, FKE$2)),"****")</f>
        <v/>
      </c>
      <c r="FKF3" t="str">
        <f>IFERROR(IF($C3="","",SUMIFS(Ledger!$K$2:$K$4, Ledger!$B$2:$B$4, $A3, Ledger!$C$2:$C$4, FKF$2)),"****")</f>
        <v/>
      </c>
      <c r="FKG3" t="str">
        <f>IFERROR(IF($C3="","",SUMIFS(Ledger!$K$2:$K$4, Ledger!$B$2:$B$4, $A3, Ledger!$C$2:$C$4, FKG$2)),"****")</f>
        <v/>
      </c>
      <c r="FKH3" t="str">
        <f>IFERROR(IF($C3="","",SUMIFS(Ledger!$K$2:$K$4, Ledger!$B$2:$B$4, $A3, Ledger!$C$2:$C$4, FKH$2)),"****")</f>
        <v/>
      </c>
      <c r="FKI3" t="str">
        <f>IFERROR(IF($C3="","",SUMIFS(Ledger!$K$2:$K$4, Ledger!$B$2:$B$4, $A3, Ledger!$C$2:$C$4, FKI$2)),"****")</f>
        <v/>
      </c>
      <c r="FKJ3" t="str">
        <f>IFERROR(IF($C3="","",SUMIFS(Ledger!$K$2:$K$4, Ledger!$B$2:$B$4, $A3, Ledger!$C$2:$C$4, FKJ$2)),"****")</f>
        <v/>
      </c>
      <c r="FKK3" t="str">
        <f>IFERROR(IF($C3="","",SUMIFS(Ledger!$K$2:$K$4, Ledger!$B$2:$B$4, $A3, Ledger!$C$2:$C$4, FKK$2)),"****")</f>
        <v/>
      </c>
      <c r="FKL3" t="str">
        <f>IFERROR(IF($C3="","",SUMIFS(Ledger!$K$2:$K$4, Ledger!$B$2:$B$4, $A3, Ledger!$C$2:$C$4, FKL$2)),"****")</f>
        <v/>
      </c>
      <c r="FKM3" t="str">
        <f>IFERROR(IF($C3="","",SUMIFS(Ledger!$K$2:$K$4, Ledger!$B$2:$B$4, $A3, Ledger!$C$2:$C$4, FKM$2)),"****")</f>
        <v/>
      </c>
      <c r="FKN3" t="str">
        <f>IFERROR(IF($C3="","",SUMIFS(Ledger!$K$2:$K$4, Ledger!$B$2:$B$4, $A3, Ledger!$C$2:$C$4, FKN$2)),"****")</f>
        <v/>
      </c>
      <c r="FKO3" t="str">
        <f>IFERROR(IF($C3="","",SUMIFS(Ledger!$K$2:$K$4, Ledger!$B$2:$B$4, $A3, Ledger!$C$2:$C$4, FKO$2)),"****")</f>
        <v/>
      </c>
      <c r="FKP3" t="str">
        <f>IFERROR(IF($C3="","",SUMIFS(Ledger!$K$2:$K$4, Ledger!$B$2:$B$4, $A3, Ledger!$C$2:$C$4, FKP$2)),"****")</f>
        <v/>
      </c>
      <c r="FKQ3" t="str">
        <f>IFERROR(IF($C3="","",SUMIFS(Ledger!$K$2:$K$4, Ledger!$B$2:$B$4, $A3, Ledger!$C$2:$C$4, FKQ$2)),"****")</f>
        <v/>
      </c>
      <c r="FKR3" t="str">
        <f>IFERROR(IF($C3="","",SUMIFS(Ledger!$K$2:$K$4, Ledger!$B$2:$B$4, $A3, Ledger!$C$2:$C$4, FKR$2)),"****")</f>
        <v/>
      </c>
      <c r="FKS3" t="str">
        <f>IFERROR(IF($C3="","",SUMIFS(Ledger!$K$2:$K$4, Ledger!$B$2:$B$4, $A3, Ledger!$C$2:$C$4, FKS$2)),"****")</f>
        <v/>
      </c>
      <c r="FKT3" t="str">
        <f>IFERROR(IF($C3="","",SUMIFS(Ledger!$K$2:$K$4, Ledger!$B$2:$B$4, $A3, Ledger!$C$2:$C$4, FKT$2)),"****")</f>
        <v/>
      </c>
      <c r="FKU3" t="str">
        <f>IFERROR(IF($C3="","",SUMIFS(Ledger!$K$2:$K$4, Ledger!$B$2:$B$4, $A3, Ledger!$C$2:$C$4, FKU$2)),"****")</f>
        <v/>
      </c>
      <c r="FKV3" t="str">
        <f>IFERROR(IF($C3="","",SUMIFS(Ledger!$K$2:$K$4, Ledger!$B$2:$B$4, $A3, Ledger!$C$2:$C$4, FKV$2)),"****")</f>
        <v/>
      </c>
      <c r="FKW3" t="str">
        <f>IFERROR(IF($C3="","",SUMIFS(Ledger!$K$2:$K$4, Ledger!$B$2:$B$4, $A3, Ledger!$C$2:$C$4, FKW$2)),"****")</f>
        <v/>
      </c>
      <c r="FKX3" t="str">
        <f>IFERROR(IF($C3="","",SUMIFS(Ledger!$K$2:$K$4, Ledger!$B$2:$B$4, $A3, Ledger!$C$2:$C$4, FKX$2)),"****")</f>
        <v/>
      </c>
      <c r="FKY3" t="str">
        <f>IFERROR(IF($C3="","",SUMIFS(Ledger!$K$2:$K$4, Ledger!$B$2:$B$4, $A3, Ledger!$C$2:$C$4, FKY$2)),"****")</f>
        <v/>
      </c>
      <c r="FKZ3" t="str">
        <f>IFERROR(IF($C3="","",SUMIFS(Ledger!$K$2:$K$4, Ledger!$B$2:$B$4, $A3, Ledger!$C$2:$C$4, FKZ$2)),"****")</f>
        <v/>
      </c>
      <c r="FLA3" t="str">
        <f>IFERROR(IF($C3="","",SUMIFS(Ledger!$K$2:$K$4, Ledger!$B$2:$B$4, $A3, Ledger!$C$2:$C$4, FLA$2)),"****")</f>
        <v/>
      </c>
      <c r="FLB3" t="str">
        <f>IFERROR(IF($C3="","",SUMIFS(Ledger!$K$2:$K$4, Ledger!$B$2:$B$4, $A3, Ledger!$C$2:$C$4, FLB$2)),"****")</f>
        <v/>
      </c>
      <c r="FLC3" t="str">
        <f>IFERROR(IF($C3="","",SUMIFS(Ledger!$K$2:$K$4, Ledger!$B$2:$B$4, $A3, Ledger!$C$2:$C$4, FLC$2)),"****")</f>
        <v/>
      </c>
      <c r="FLD3" t="str">
        <f>IFERROR(IF($C3="","",SUMIFS(Ledger!$K$2:$K$4, Ledger!$B$2:$B$4, $A3, Ledger!$C$2:$C$4, FLD$2)),"****")</f>
        <v/>
      </c>
      <c r="FLE3" t="str">
        <f>IFERROR(IF($C3="","",SUMIFS(Ledger!$K$2:$K$4, Ledger!$B$2:$B$4, $A3, Ledger!$C$2:$C$4, FLE$2)),"****")</f>
        <v/>
      </c>
      <c r="FLF3" t="str">
        <f>IFERROR(IF($C3="","",SUMIFS(Ledger!$K$2:$K$4, Ledger!$B$2:$B$4, $A3, Ledger!$C$2:$C$4, FLF$2)),"****")</f>
        <v/>
      </c>
      <c r="FLG3" t="str">
        <f>IFERROR(IF($C3="","",SUMIFS(Ledger!$K$2:$K$4, Ledger!$B$2:$B$4, $A3, Ledger!$C$2:$C$4, FLG$2)),"****")</f>
        <v/>
      </c>
      <c r="FLH3" t="str">
        <f>IFERROR(IF($C3="","",SUMIFS(Ledger!$K$2:$K$4, Ledger!$B$2:$B$4, $A3, Ledger!$C$2:$C$4, FLH$2)),"****")</f>
        <v/>
      </c>
      <c r="FLI3" t="str">
        <f>IFERROR(IF($C3="","",SUMIFS(Ledger!$K$2:$K$4, Ledger!$B$2:$B$4, $A3, Ledger!$C$2:$C$4, FLI$2)),"****")</f>
        <v/>
      </c>
      <c r="FLJ3" t="str">
        <f>IFERROR(IF($C3="","",SUMIFS(Ledger!$K$2:$K$4, Ledger!$B$2:$B$4, $A3, Ledger!$C$2:$C$4, FLJ$2)),"****")</f>
        <v/>
      </c>
      <c r="FLK3" t="str">
        <f>IFERROR(IF($C3="","",SUMIFS(Ledger!$K$2:$K$4, Ledger!$B$2:$B$4, $A3, Ledger!$C$2:$C$4, FLK$2)),"****")</f>
        <v/>
      </c>
      <c r="FLL3" t="str">
        <f>IFERROR(IF($C3="","",SUMIFS(Ledger!$K$2:$K$4, Ledger!$B$2:$B$4, $A3, Ledger!$C$2:$C$4, FLL$2)),"****")</f>
        <v/>
      </c>
      <c r="FLM3" t="str">
        <f>IFERROR(IF($C3="","",SUMIFS(Ledger!$K$2:$K$4, Ledger!$B$2:$B$4, $A3, Ledger!$C$2:$C$4, FLM$2)),"****")</f>
        <v/>
      </c>
      <c r="FLN3" t="str">
        <f>IFERROR(IF($C3="","",SUMIFS(Ledger!$K$2:$K$4, Ledger!$B$2:$B$4, $A3, Ledger!$C$2:$C$4, FLN$2)),"****")</f>
        <v/>
      </c>
      <c r="FLO3" t="str">
        <f>IFERROR(IF($C3="","",SUMIFS(Ledger!$K$2:$K$4, Ledger!$B$2:$B$4, $A3, Ledger!$C$2:$C$4, FLO$2)),"****")</f>
        <v/>
      </c>
      <c r="FLP3" t="str">
        <f>IFERROR(IF($C3="","",SUMIFS(Ledger!$K$2:$K$4, Ledger!$B$2:$B$4, $A3, Ledger!$C$2:$C$4, FLP$2)),"****")</f>
        <v/>
      </c>
      <c r="FLQ3" t="str">
        <f>IFERROR(IF($C3="","",SUMIFS(Ledger!$K$2:$K$4, Ledger!$B$2:$B$4, $A3, Ledger!$C$2:$C$4, FLQ$2)),"****")</f>
        <v/>
      </c>
      <c r="FLR3" t="str">
        <f>IFERROR(IF($C3="","",SUMIFS(Ledger!$K$2:$K$4, Ledger!$B$2:$B$4, $A3, Ledger!$C$2:$C$4, FLR$2)),"****")</f>
        <v/>
      </c>
      <c r="FLS3" t="str">
        <f>IFERROR(IF($C3="","",SUMIFS(Ledger!$K$2:$K$4, Ledger!$B$2:$B$4, $A3, Ledger!$C$2:$C$4, FLS$2)),"****")</f>
        <v/>
      </c>
      <c r="FLT3" t="str">
        <f>IFERROR(IF($C3="","",SUMIFS(Ledger!$K$2:$K$4, Ledger!$B$2:$B$4, $A3, Ledger!$C$2:$C$4, FLT$2)),"****")</f>
        <v/>
      </c>
      <c r="FLU3" t="str">
        <f>IFERROR(IF($C3="","",SUMIFS(Ledger!$K$2:$K$4, Ledger!$B$2:$B$4, $A3, Ledger!$C$2:$C$4, FLU$2)),"****")</f>
        <v/>
      </c>
      <c r="FLV3" t="str">
        <f>IFERROR(IF($C3="","",SUMIFS(Ledger!$K$2:$K$4, Ledger!$B$2:$B$4, $A3, Ledger!$C$2:$C$4, FLV$2)),"****")</f>
        <v/>
      </c>
      <c r="FLW3" t="str">
        <f>IFERROR(IF($C3="","",SUMIFS(Ledger!$K$2:$K$4, Ledger!$B$2:$B$4, $A3, Ledger!$C$2:$C$4, FLW$2)),"****")</f>
        <v/>
      </c>
      <c r="FLX3" t="str">
        <f>IFERROR(IF($C3="","",SUMIFS(Ledger!$K$2:$K$4, Ledger!$B$2:$B$4, $A3, Ledger!$C$2:$C$4, FLX$2)),"****")</f>
        <v/>
      </c>
      <c r="FLY3" t="str">
        <f>IFERROR(IF($C3="","",SUMIFS(Ledger!$K$2:$K$4, Ledger!$B$2:$B$4, $A3, Ledger!$C$2:$C$4, FLY$2)),"****")</f>
        <v/>
      </c>
      <c r="FLZ3" t="str">
        <f>IFERROR(IF($C3="","",SUMIFS(Ledger!$K$2:$K$4, Ledger!$B$2:$B$4, $A3, Ledger!$C$2:$C$4, FLZ$2)),"****")</f>
        <v/>
      </c>
      <c r="FMA3" t="str">
        <f>IFERROR(IF($C3="","",SUMIFS(Ledger!$K$2:$K$4, Ledger!$B$2:$B$4, $A3, Ledger!$C$2:$C$4, FMA$2)),"****")</f>
        <v/>
      </c>
      <c r="FMB3" t="str">
        <f>IFERROR(IF($C3="","",SUMIFS(Ledger!$K$2:$K$4, Ledger!$B$2:$B$4, $A3, Ledger!$C$2:$C$4, FMB$2)),"****")</f>
        <v/>
      </c>
      <c r="FMC3" t="str">
        <f>IFERROR(IF($C3="","",SUMIFS(Ledger!$K$2:$K$4, Ledger!$B$2:$B$4, $A3, Ledger!$C$2:$C$4, FMC$2)),"****")</f>
        <v/>
      </c>
      <c r="FMD3" t="str">
        <f>IFERROR(IF($C3="","",SUMIFS(Ledger!$K$2:$K$4, Ledger!$B$2:$B$4, $A3, Ledger!$C$2:$C$4, FMD$2)),"****")</f>
        <v/>
      </c>
      <c r="FME3" t="str">
        <f>IFERROR(IF($C3="","",SUMIFS(Ledger!$K$2:$K$4, Ledger!$B$2:$B$4, $A3, Ledger!$C$2:$C$4, FME$2)),"****")</f>
        <v/>
      </c>
      <c r="FMF3" t="str">
        <f>IFERROR(IF($C3="","",SUMIFS(Ledger!$K$2:$K$4, Ledger!$B$2:$B$4, $A3, Ledger!$C$2:$C$4, FMF$2)),"****")</f>
        <v/>
      </c>
      <c r="FMG3" t="str">
        <f>IFERROR(IF($C3="","",SUMIFS(Ledger!$K$2:$K$4, Ledger!$B$2:$B$4, $A3, Ledger!$C$2:$C$4, FMG$2)),"****")</f>
        <v/>
      </c>
      <c r="FMH3" t="str">
        <f>IFERROR(IF($C3="","",SUMIFS(Ledger!$K$2:$K$4, Ledger!$B$2:$B$4, $A3, Ledger!$C$2:$C$4, FMH$2)),"****")</f>
        <v/>
      </c>
      <c r="FMI3" t="str">
        <f>IFERROR(IF($C3="","",SUMIFS(Ledger!$K$2:$K$4, Ledger!$B$2:$B$4, $A3, Ledger!$C$2:$C$4, FMI$2)),"****")</f>
        <v/>
      </c>
      <c r="FMJ3" t="str">
        <f>IFERROR(IF($C3="","",SUMIFS(Ledger!$K$2:$K$4, Ledger!$B$2:$B$4, $A3, Ledger!$C$2:$C$4, FMJ$2)),"****")</f>
        <v/>
      </c>
      <c r="FMK3" t="str">
        <f>IFERROR(IF($C3="","",SUMIFS(Ledger!$K$2:$K$4, Ledger!$B$2:$B$4, $A3, Ledger!$C$2:$C$4, FMK$2)),"****")</f>
        <v/>
      </c>
      <c r="FML3" t="str">
        <f>IFERROR(IF($C3="","",SUMIFS(Ledger!$K$2:$K$4, Ledger!$B$2:$B$4, $A3, Ledger!$C$2:$C$4, FML$2)),"****")</f>
        <v/>
      </c>
      <c r="FMM3" t="str">
        <f>IFERROR(IF($C3="","",SUMIFS(Ledger!$K$2:$K$4, Ledger!$B$2:$B$4, $A3, Ledger!$C$2:$C$4, FMM$2)),"****")</f>
        <v/>
      </c>
      <c r="FMN3" t="str">
        <f>IFERROR(IF($C3="","",SUMIFS(Ledger!$K$2:$K$4, Ledger!$B$2:$B$4, $A3, Ledger!$C$2:$C$4, FMN$2)),"****")</f>
        <v/>
      </c>
      <c r="FMO3" t="str">
        <f>IFERROR(IF($C3="","",SUMIFS(Ledger!$K$2:$K$4, Ledger!$B$2:$B$4, $A3, Ledger!$C$2:$C$4, FMO$2)),"****")</f>
        <v/>
      </c>
      <c r="FMP3" t="str">
        <f>IFERROR(IF($C3="","",SUMIFS(Ledger!$K$2:$K$4, Ledger!$B$2:$B$4, $A3, Ledger!$C$2:$C$4, FMP$2)),"****")</f>
        <v/>
      </c>
      <c r="FMQ3" t="str">
        <f>IFERROR(IF($C3="","",SUMIFS(Ledger!$K$2:$K$4, Ledger!$B$2:$B$4, $A3, Ledger!$C$2:$C$4, FMQ$2)),"****")</f>
        <v/>
      </c>
      <c r="FMR3" t="str">
        <f>IFERROR(IF($C3="","",SUMIFS(Ledger!$K$2:$K$4, Ledger!$B$2:$B$4, $A3, Ledger!$C$2:$C$4, FMR$2)),"****")</f>
        <v/>
      </c>
      <c r="FMS3" t="str">
        <f>IFERROR(IF($C3="","",SUMIFS(Ledger!$K$2:$K$4, Ledger!$B$2:$B$4, $A3, Ledger!$C$2:$C$4, FMS$2)),"****")</f>
        <v/>
      </c>
      <c r="FMT3" t="str">
        <f>IFERROR(IF($C3="","",SUMIFS(Ledger!$K$2:$K$4, Ledger!$B$2:$B$4, $A3, Ledger!$C$2:$C$4, FMT$2)),"****")</f>
        <v/>
      </c>
      <c r="FMU3" t="str">
        <f>IFERROR(IF($C3="","",SUMIFS(Ledger!$K$2:$K$4, Ledger!$B$2:$B$4, $A3, Ledger!$C$2:$C$4, FMU$2)),"****")</f>
        <v/>
      </c>
      <c r="FMV3" t="str">
        <f>IFERROR(IF($C3="","",SUMIFS(Ledger!$K$2:$K$4, Ledger!$B$2:$B$4, $A3, Ledger!$C$2:$C$4, FMV$2)),"****")</f>
        <v/>
      </c>
      <c r="FMW3" t="str">
        <f>IFERROR(IF($C3="","",SUMIFS(Ledger!$K$2:$K$4, Ledger!$B$2:$B$4, $A3, Ledger!$C$2:$C$4, FMW$2)),"****")</f>
        <v/>
      </c>
      <c r="FMX3" t="str">
        <f>IFERROR(IF($C3="","",SUMIFS(Ledger!$K$2:$K$4, Ledger!$B$2:$B$4, $A3, Ledger!$C$2:$C$4, FMX$2)),"****")</f>
        <v/>
      </c>
      <c r="FMY3" t="str">
        <f>IFERROR(IF($C3="","",SUMIFS(Ledger!$K$2:$K$4, Ledger!$B$2:$B$4, $A3, Ledger!$C$2:$C$4, FMY$2)),"****")</f>
        <v/>
      </c>
      <c r="FMZ3" t="str">
        <f>IFERROR(IF($C3="","",SUMIFS(Ledger!$K$2:$K$4, Ledger!$B$2:$B$4, $A3, Ledger!$C$2:$C$4, FMZ$2)),"****")</f>
        <v/>
      </c>
      <c r="FNA3" t="str">
        <f>IFERROR(IF($C3="","",SUMIFS(Ledger!$K$2:$K$4, Ledger!$B$2:$B$4, $A3, Ledger!$C$2:$C$4, FNA$2)),"****")</f>
        <v/>
      </c>
      <c r="FNB3" t="str">
        <f>IFERROR(IF($C3="","",SUMIFS(Ledger!$K$2:$K$4, Ledger!$B$2:$B$4, $A3, Ledger!$C$2:$C$4, FNB$2)),"****")</f>
        <v/>
      </c>
      <c r="FNC3" t="str">
        <f>IFERROR(IF($C3="","",SUMIFS(Ledger!$K$2:$K$4, Ledger!$B$2:$B$4, $A3, Ledger!$C$2:$C$4, FNC$2)),"****")</f>
        <v/>
      </c>
      <c r="FND3" t="str">
        <f>IFERROR(IF($C3="","",SUMIFS(Ledger!$K$2:$K$4, Ledger!$B$2:$B$4, $A3, Ledger!$C$2:$C$4, FND$2)),"****")</f>
        <v/>
      </c>
      <c r="FNE3" t="str">
        <f>IFERROR(IF($C3="","",SUMIFS(Ledger!$K$2:$K$4, Ledger!$B$2:$B$4, $A3, Ledger!$C$2:$C$4, FNE$2)),"****")</f>
        <v/>
      </c>
      <c r="FNF3" t="str">
        <f>IFERROR(IF($C3="","",SUMIFS(Ledger!$K$2:$K$4, Ledger!$B$2:$B$4, $A3, Ledger!$C$2:$C$4, FNF$2)),"****")</f>
        <v/>
      </c>
      <c r="FNG3" t="str">
        <f>IFERROR(IF($C3="","",SUMIFS(Ledger!$K$2:$K$4, Ledger!$B$2:$B$4, $A3, Ledger!$C$2:$C$4, FNG$2)),"****")</f>
        <v/>
      </c>
      <c r="FNH3" t="str">
        <f>IFERROR(IF($C3="","",SUMIFS(Ledger!$K$2:$K$4, Ledger!$B$2:$B$4, $A3, Ledger!$C$2:$C$4, FNH$2)),"****")</f>
        <v/>
      </c>
      <c r="FNI3" t="str">
        <f>IFERROR(IF($C3="","",SUMIFS(Ledger!$K$2:$K$4, Ledger!$B$2:$B$4, $A3, Ledger!$C$2:$C$4, FNI$2)),"****")</f>
        <v/>
      </c>
      <c r="FNJ3" t="str">
        <f>IFERROR(IF($C3="","",SUMIFS(Ledger!$K$2:$K$4, Ledger!$B$2:$B$4, $A3, Ledger!$C$2:$C$4, FNJ$2)),"****")</f>
        <v/>
      </c>
      <c r="FNK3" t="str">
        <f>IFERROR(IF($C3="","",SUMIFS(Ledger!$K$2:$K$4, Ledger!$B$2:$B$4, $A3, Ledger!$C$2:$C$4, FNK$2)),"****")</f>
        <v/>
      </c>
      <c r="FNL3" t="str">
        <f>IFERROR(IF($C3="","",SUMIFS(Ledger!$K$2:$K$4, Ledger!$B$2:$B$4, $A3, Ledger!$C$2:$C$4, FNL$2)),"****")</f>
        <v/>
      </c>
      <c r="FNM3" t="str">
        <f>IFERROR(IF($C3="","",SUMIFS(Ledger!$K$2:$K$4, Ledger!$B$2:$B$4, $A3, Ledger!$C$2:$C$4, FNM$2)),"****")</f>
        <v/>
      </c>
      <c r="FNN3" t="str">
        <f>IFERROR(IF($C3="","",SUMIFS(Ledger!$K$2:$K$4, Ledger!$B$2:$B$4, $A3, Ledger!$C$2:$C$4, FNN$2)),"****")</f>
        <v/>
      </c>
      <c r="FNO3" t="str">
        <f>IFERROR(IF($C3="","",SUMIFS(Ledger!$K$2:$K$4, Ledger!$B$2:$B$4, $A3, Ledger!$C$2:$C$4, FNO$2)),"****")</f>
        <v/>
      </c>
      <c r="FNP3" t="str">
        <f>IFERROR(IF($C3="","",SUMIFS(Ledger!$K$2:$K$4, Ledger!$B$2:$B$4, $A3, Ledger!$C$2:$C$4, FNP$2)),"****")</f>
        <v/>
      </c>
      <c r="FNQ3" t="str">
        <f>IFERROR(IF($C3="","",SUMIFS(Ledger!$K$2:$K$4, Ledger!$B$2:$B$4, $A3, Ledger!$C$2:$C$4, FNQ$2)),"****")</f>
        <v/>
      </c>
      <c r="FNR3" t="str">
        <f>IFERROR(IF($C3="","",SUMIFS(Ledger!$K$2:$K$4, Ledger!$B$2:$B$4, $A3, Ledger!$C$2:$C$4, FNR$2)),"****")</f>
        <v/>
      </c>
      <c r="FNS3" t="str">
        <f>IFERROR(IF($C3="","",SUMIFS(Ledger!$K$2:$K$4, Ledger!$B$2:$B$4, $A3, Ledger!$C$2:$C$4, FNS$2)),"****")</f>
        <v/>
      </c>
      <c r="FNT3" t="str">
        <f>IFERROR(IF($C3="","",SUMIFS(Ledger!$K$2:$K$4, Ledger!$B$2:$B$4, $A3, Ledger!$C$2:$C$4, FNT$2)),"****")</f>
        <v/>
      </c>
      <c r="FNU3" t="str">
        <f>IFERROR(IF($C3="","",SUMIFS(Ledger!$K$2:$K$4, Ledger!$B$2:$B$4, $A3, Ledger!$C$2:$C$4, FNU$2)),"****")</f>
        <v/>
      </c>
      <c r="FNV3" t="str">
        <f>IFERROR(IF($C3="","",SUMIFS(Ledger!$K$2:$K$4, Ledger!$B$2:$B$4, $A3, Ledger!$C$2:$C$4, FNV$2)),"****")</f>
        <v/>
      </c>
      <c r="FNW3" t="str">
        <f>IFERROR(IF($C3="","",SUMIFS(Ledger!$K$2:$K$4, Ledger!$B$2:$B$4, $A3, Ledger!$C$2:$C$4, FNW$2)),"****")</f>
        <v/>
      </c>
      <c r="FNX3" t="str">
        <f>IFERROR(IF($C3="","",SUMIFS(Ledger!$K$2:$K$4, Ledger!$B$2:$B$4, $A3, Ledger!$C$2:$C$4, FNX$2)),"****")</f>
        <v/>
      </c>
      <c r="FNY3" t="str">
        <f>IFERROR(IF($C3="","",SUMIFS(Ledger!$K$2:$K$4, Ledger!$B$2:$B$4, $A3, Ledger!$C$2:$C$4, FNY$2)),"****")</f>
        <v/>
      </c>
      <c r="FNZ3" t="str">
        <f>IFERROR(IF($C3="","",SUMIFS(Ledger!$K$2:$K$4, Ledger!$B$2:$B$4, $A3, Ledger!$C$2:$C$4, FNZ$2)),"****")</f>
        <v/>
      </c>
      <c r="FOA3" t="str">
        <f>IFERROR(IF($C3="","",SUMIFS(Ledger!$K$2:$K$4, Ledger!$B$2:$B$4, $A3, Ledger!$C$2:$C$4, FOA$2)),"****")</f>
        <v/>
      </c>
      <c r="FOB3" t="str">
        <f>IFERROR(IF($C3="","",SUMIFS(Ledger!$K$2:$K$4, Ledger!$B$2:$B$4, $A3, Ledger!$C$2:$C$4, FOB$2)),"****")</f>
        <v/>
      </c>
      <c r="FOC3" t="str">
        <f>IFERROR(IF($C3="","",SUMIFS(Ledger!$K$2:$K$4, Ledger!$B$2:$B$4, $A3, Ledger!$C$2:$C$4, FOC$2)),"****")</f>
        <v/>
      </c>
      <c r="FOD3" t="str">
        <f>IFERROR(IF($C3="","",SUMIFS(Ledger!$K$2:$K$4, Ledger!$B$2:$B$4, $A3, Ledger!$C$2:$C$4, FOD$2)),"****")</f>
        <v/>
      </c>
      <c r="FOE3" t="str">
        <f>IFERROR(IF($C3="","",SUMIFS(Ledger!$K$2:$K$4, Ledger!$B$2:$B$4, $A3, Ledger!$C$2:$C$4, FOE$2)),"****")</f>
        <v/>
      </c>
      <c r="FOF3" t="str">
        <f>IFERROR(IF($C3="","",SUMIFS(Ledger!$K$2:$K$4, Ledger!$B$2:$B$4, $A3, Ledger!$C$2:$C$4, FOF$2)),"****")</f>
        <v/>
      </c>
      <c r="FOG3" t="str">
        <f>IFERROR(IF($C3="","",SUMIFS(Ledger!$K$2:$K$4, Ledger!$B$2:$B$4, $A3, Ledger!$C$2:$C$4, FOG$2)),"****")</f>
        <v/>
      </c>
      <c r="FOH3" t="str">
        <f>IFERROR(IF($C3="","",SUMIFS(Ledger!$K$2:$K$4, Ledger!$B$2:$B$4, $A3, Ledger!$C$2:$C$4, FOH$2)),"****")</f>
        <v/>
      </c>
      <c r="FOI3" t="str">
        <f>IFERROR(IF($C3="","",SUMIFS(Ledger!$K$2:$K$4, Ledger!$B$2:$B$4, $A3, Ledger!$C$2:$C$4, FOI$2)),"****")</f>
        <v/>
      </c>
      <c r="FOJ3" t="str">
        <f>IFERROR(IF($C3="","",SUMIFS(Ledger!$K$2:$K$4, Ledger!$B$2:$B$4, $A3, Ledger!$C$2:$C$4, FOJ$2)),"****")</f>
        <v/>
      </c>
      <c r="FOK3" t="str">
        <f>IFERROR(IF($C3="","",SUMIFS(Ledger!$K$2:$K$4, Ledger!$B$2:$B$4, $A3, Ledger!$C$2:$C$4, FOK$2)),"****")</f>
        <v/>
      </c>
      <c r="FOL3" t="str">
        <f>IFERROR(IF($C3="","",SUMIFS(Ledger!$K$2:$K$4, Ledger!$B$2:$B$4, $A3, Ledger!$C$2:$C$4, FOL$2)),"****")</f>
        <v/>
      </c>
      <c r="FOM3" t="str">
        <f>IFERROR(IF($C3="","",SUMIFS(Ledger!$K$2:$K$4, Ledger!$B$2:$B$4, $A3, Ledger!$C$2:$C$4, FOM$2)),"****")</f>
        <v/>
      </c>
      <c r="FON3" t="str">
        <f>IFERROR(IF($C3="","",SUMIFS(Ledger!$K$2:$K$4, Ledger!$B$2:$B$4, $A3, Ledger!$C$2:$C$4, FON$2)),"****")</f>
        <v/>
      </c>
      <c r="FOO3" t="str">
        <f>IFERROR(IF($C3="","",SUMIFS(Ledger!$K$2:$K$4, Ledger!$B$2:$B$4, $A3, Ledger!$C$2:$C$4, FOO$2)),"****")</f>
        <v/>
      </c>
      <c r="FOP3" t="str">
        <f>IFERROR(IF($C3="","",SUMIFS(Ledger!$K$2:$K$4, Ledger!$B$2:$B$4, $A3, Ledger!$C$2:$C$4, FOP$2)),"****")</f>
        <v/>
      </c>
      <c r="FOQ3" t="str">
        <f>IFERROR(IF($C3="","",SUMIFS(Ledger!$K$2:$K$4, Ledger!$B$2:$B$4, $A3, Ledger!$C$2:$C$4, FOQ$2)),"****")</f>
        <v/>
      </c>
      <c r="FOR3" t="str">
        <f>IFERROR(IF($C3="","",SUMIFS(Ledger!$K$2:$K$4, Ledger!$B$2:$B$4, $A3, Ledger!$C$2:$C$4, FOR$2)),"****")</f>
        <v/>
      </c>
      <c r="FOS3" t="str">
        <f>IFERROR(IF($C3="","",SUMIFS(Ledger!$K$2:$K$4, Ledger!$B$2:$B$4, $A3, Ledger!$C$2:$C$4, FOS$2)),"****")</f>
        <v/>
      </c>
      <c r="FOT3" t="str">
        <f>IFERROR(IF($C3="","",SUMIFS(Ledger!$K$2:$K$4, Ledger!$B$2:$B$4, $A3, Ledger!$C$2:$C$4, FOT$2)),"****")</f>
        <v/>
      </c>
      <c r="FOU3" t="str">
        <f>IFERROR(IF($C3="","",SUMIFS(Ledger!$K$2:$K$4, Ledger!$B$2:$B$4, $A3, Ledger!$C$2:$C$4, FOU$2)),"****")</f>
        <v/>
      </c>
      <c r="FOV3" t="str">
        <f>IFERROR(IF($C3="","",SUMIFS(Ledger!$K$2:$K$4, Ledger!$B$2:$B$4, $A3, Ledger!$C$2:$C$4, FOV$2)),"****")</f>
        <v/>
      </c>
      <c r="FOW3" t="str">
        <f>IFERROR(IF($C3="","",SUMIFS(Ledger!$K$2:$K$4, Ledger!$B$2:$B$4, $A3, Ledger!$C$2:$C$4, FOW$2)),"****")</f>
        <v/>
      </c>
      <c r="FOX3" t="str">
        <f>IFERROR(IF($C3="","",SUMIFS(Ledger!$K$2:$K$4, Ledger!$B$2:$B$4, $A3, Ledger!$C$2:$C$4, FOX$2)),"****")</f>
        <v/>
      </c>
      <c r="FOY3" t="str">
        <f>IFERROR(IF($C3="","",SUMIFS(Ledger!$K$2:$K$4, Ledger!$B$2:$B$4, $A3, Ledger!$C$2:$C$4, FOY$2)),"****")</f>
        <v/>
      </c>
      <c r="FOZ3" t="str">
        <f>IFERROR(IF($C3="","",SUMIFS(Ledger!$K$2:$K$4, Ledger!$B$2:$B$4, $A3, Ledger!$C$2:$C$4, FOZ$2)),"****")</f>
        <v/>
      </c>
      <c r="FPA3" t="str">
        <f>IFERROR(IF($C3="","",SUMIFS(Ledger!$K$2:$K$4, Ledger!$B$2:$B$4, $A3, Ledger!$C$2:$C$4, FPA$2)),"****")</f>
        <v/>
      </c>
      <c r="FPB3" t="str">
        <f>IFERROR(IF($C3="","",SUMIFS(Ledger!$K$2:$K$4, Ledger!$B$2:$B$4, $A3, Ledger!$C$2:$C$4, FPB$2)),"****")</f>
        <v/>
      </c>
      <c r="FPC3" t="str">
        <f>IFERROR(IF($C3="","",SUMIFS(Ledger!$K$2:$K$4, Ledger!$B$2:$B$4, $A3, Ledger!$C$2:$C$4, FPC$2)),"****")</f>
        <v/>
      </c>
      <c r="FPD3" t="str">
        <f>IFERROR(IF($C3="","",SUMIFS(Ledger!$K$2:$K$4, Ledger!$B$2:$B$4, $A3, Ledger!$C$2:$C$4, FPD$2)),"****")</f>
        <v/>
      </c>
      <c r="FPE3" t="str">
        <f>IFERROR(IF($C3="","",SUMIFS(Ledger!$K$2:$K$4, Ledger!$B$2:$B$4, $A3, Ledger!$C$2:$C$4, FPE$2)),"****")</f>
        <v/>
      </c>
      <c r="FPF3" t="str">
        <f>IFERROR(IF($C3="","",SUMIFS(Ledger!$K$2:$K$4, Ledger!$B$2:$B$4, $A3, Ledger!$C$2:$C$4, FPF$2)),"****")</f>
        <v/>
      </c>
      <c r="FPG3" t="str">
        <f>IFERROR(IF($C3="","",SUMIFS(Ledger!$K$2:$K$4, Ledger!$B$2:$B$4, $A3, Ledger!$C$2:$C$4, FPG$2)),"****")</f>
        <v/>
      </c>
      <c r="FPH3" t="str">
        <f>IFERROR(IF($C3="","",SUMIFS(Ledger!$K$2:$K$4, Ledger!$B$2:$B$4, $A3, Ledger!$C$2:$C$4, FPH$2)),"****")</f>
        <v/>
      </c>
      <c r="FPI3" t="str">
        <f>IFERROR(IF($C3="","",SUMIFS(Ledger!$K$2:$K$4, Ledger!$B$2:$B$4, $A3, Ledger!$C$2:$C$4, FPI$2)),"****")</f>
        <v/>
      </c>
      <c r="FPJ3" t="str">
        <f>IFERROR(IF($C3="","",SUMIFS(Ledger!$K$2:$K$4, Ledger!$B$2:$B$4, $A3, Ledger!$C$2:$C$4, FPJ$2)),"****")</f>
        <v/>
      </c>
      <c r="FPK3" t="str">
        <f>IFERROR(IF($C3="","",SUMIFS(Ledger!$K$2:$K$4, Ledger!$B$2:$B$4, $A3, Ledger!$C$2:$C$4, FPK$2)),"****")</f>
        <v/>
      </c>
      <c r="FPL3" t="str">
        <f>IFERROR(IF($C3="","",SUMIFS(Ledger!$K$2:$K$4, Ledger!$B$2:$B$4, $A3, Ledger!$C$2:$C$4, FPL$2)),"****")</f>
        <v/>
      </c>
      <c r="FPM3" t="str">
        <f>IFERROR(IF($C3="","",SUMIFS(Ledger!$K$2:$K$4, Ledger!$B$2:$B$4, $A3, Ledger!$C$2:$C$4, FPM$2)),"****")</f>
        <v/>
      </c>
      <c r="FPN3" t="str">
        <f>IFERROR(IF($C3="","",SUMIFS(Ledger!$K$2:$K$4, Ledger!$B$2:$B$4, $A3, Ledger!$C$2:$C$4, FPN$2)),"****")</f>
        <v/>
      </c>
      <c r="FPO3" t="str">
        <f>IFERROR(IF($C3="","",SUMIFS(Ledger!$K$2:$K$4, Ledger!$B$2:$B$4, $A3, Ledger!$C$2:$C$4, FPO$2)),"****")</f>
        <v/>
      </c>
      <c r="FPP3" t="str">
        <f>IFERROR(IF($C3="","",SUMIFS(Ledger!$K$2:$K$4, Ledger!$B$2:$B$4, $A3, Ledger!$C$2:$C$4, FPP$2)),"****")</f>
        <v/>
      </c>
      <c r="FPQ3" t="str">
        <f>IFERROR(IF($C3="","",SUMIFS(Ledger!$K$2:$K$4, Ledger!$B$2:$B$4, $A3, Ledger!$C$2:$C$4, FPQ$2)),"****")</f>
        <v/>
      </c>
      <c r="FPR3" t="str">
        <f>IFERROR(IF($C3="","",SUMIFS(Ledger!$K$2:$K$4, Ledger!$B$2:$B$4, $A3, Ledger!$C$2:$C$4, FPR$2)),"****")</f>
        <v/>
      </c>
      <c r="FPS3" t="str">
        <f>IFERROR(IF($C3="","",SUMIFS(Ledger!$K$2:$K$4, Ledger!$B$2:$B$4, $A3, Ledger!$C$2:$C$4, FPS$2)),"****")</f>
        <v/>
      </c>
      <c r="FPT3" t="str">
        <f>IFERROR(IF($C3="","",SUMIFS(Ledger!$K$2:$K$4, Ledger!$B$2:$B$4, $A3, Ledger!$C$2:$C$4, FPT$2)),"****")</f>
        <v/>
      </c>
      <c r="FPU3" t="str">
        <f>IFERROR(IF($C3="","",SUMIFS(Ledger!$K$2:$K$4, Ledger!$B$2:$B$4, $A3, Ledger!$C$2:$C$4, FPU$2)),"****")</f>
        <v/>
      </c>
      <c r="FPV3" t="str">
        <f>IFERROR(IF($C3="","",SUMIFS(Ledger!$K$2:$K$4, Ledger!$B$2:$B$4, $A3, Ledger!$C$2:$C$4, FPV$2)),"****")</f>
        <v/>
      </c>
      <c r="FPW3" t="str">
        <f>IFERROR(IF($C3="","",SUMIFS(Ledger!$K$2:$K$4, Ledger!$B$2:$B$4, $A3, Ledger!$C$2:$C$4, FPW$2)),"****")</f>
        <v/>
      </c>
      <c r="FPX3" t="str">
        <f>IFERROR(IF($C3="","",SUMIFS(Ledger!$K$2:$K$4, Ledger!$B$2:$B$4, $A3, Ledger!$C$2:$C$4, FPX$2)),"****")</f>
        <v/>
      </c>
      <c r="FPY3" t="str">
        <f>IFERROR(IF($C3="","",SUMIFS(Ledger!$K$2:$K$4, Ledger!$B$2:$B$4, $A3, Ledger!$C$2:$C$4, FPY$2)),"****")</f>
        <v/>
      </c>
      <c r="FPZ3" t="str">
        <f>IFERROR(IF($C3="","",SUMIFS(Ledger!$K$2:$K$4, Ledger!$B$2:$B$4, $A3, Ledger!$C$2:$C$4, FPZ$2)),"****")</f>
        <v/>
      </c>
      <c r="FQA3" t="str">
        <f>IFERROR(IF($C3="","",SUMIFS(Ledger!$K$2:$K$4, Ledger!$B$2:$B$4, $A3, Ledger!$C$2:$C$4, FQA$2)),"****")</f>
        <v/>
      </c>
      <c r="FQB3" t="str">
        <f>IFERROR(IF($C3="","",SUMIFS(Ledger!$K$2:$K$4, Ledger!$B$2:$B$4, $A3, Ledger!$C$2:$C$4, FQB$2)),"****")</f>
        <v/>
      </c>
      <c r="FQC3" t="str">
        <f>IFERROR(IF($C3="","",SUMIFS(Ledger!$K$2:$K$4, Ledger!$B$2:$B$4, $A3, Ledger!$C$2:$C$4, FQC$2)),"****")</f>
        <v/>
      </c>
      <c r="FQD3" t="str">
        <f>IFERROR(IF($C3="","",SUMIFS(Ledger!$K$2:$K$4, Ledger!$B$2:$B$4, $A3, Ledger!$C$2:$C$4, FQD$2)),"****")</f>
        <v/>
      </c>
      <c r="FQE3" t="str">
        <f>IFERROR(IF($C3="","",SUMIFS(Ledger!$K$2:$K$4, Ledger!$B$2:$B$4, $A3, Ledger!$C$2:$C$4, FQE$2)),"****")</f>
        <v/>
      </c>
      <c r="FQF3" t="str">
        <f>IFERROR(IF($C3="","",SUMIFS(Ledger!$K$2:$K$4, Ledger!$B$2:$B$4, $A3, Ledger!$C$2:$C$4, FQF$2)),"****")</f>
        <v/>
      </c>
      <c r="FQG3" t="str">
        <f>IFERROR(IF($C3="","",SUMIFS(Ledger!$K$2:$K$4, Ledger!$B$2:$B$4, $A3, Ledger!$C$2:$C$4, FQG$2)),"****")</f>
        <v/>
      </c>
      <c r="FQH3" t="str">
        <f>IFERROR(IF($C3="","",SUMIFS(Ledger!$K$2:$K$4, Ledger!$B$2:$B$4, $A3, Ledger!$C$2:$C$4, FQH$2)),"****")</f>
        <v/>
      </c>
      <c r="FQI3" t="str">
        <f>IFERROR(IF($C3="","",SUMIFS(Ledger!$K$2:$K$4, Ledger!$B$2:$B$4, $A3, Ledger!$C$2:$C$4, FQI$2)),"****")</f>
        <v/>
      </c>
      <c r="FQJ3" t="str">
        <f>IFERROR(IF($C3="","",SUMIFS(Ledger!$K$2:$K$4, Ledger!$B$2:$B$4, $A3, Ledger!$C$2:$C$4, FQJ$2)),"****")</f>
        <v/>
      </c>
      <c r="FQK3" t="str">
        <f>IFERROR(IF($C3="","",SUMIFS(Ledger!$K$2:$K$4, Ledger!$B$2:$B$4, $A3, Ledger!$C$2:$C$4, FQK$2)),"****")</f>
        <v/>
      </c>
      <c r="FQL3" t="str">
        <f>IFERROR(IF($C3="","",SUMIFS(Ledger!$K$2:$K$4, Ledger!$B$2:$B$4, $A3, Ledger!$C$2:$C$4, FQL$2)),"****")</f>
        <v/>
      </c>
      <c r="FQM3" t="str">
        <f>IFERROR(IF($C3="","",SUMIFS(Ledger!$K$2:$K$4, Ledger!$B$2:$B$4, $A3, Ledger!$C$2:$C$4, FQM$2)),"****")</f>
        <v/>
      </c>
      <c r="FQN3" t="str">
        <f>IFERROR(IF($C3="","",SUMIFS(Ledger!$K$2:$K$4, Ledger!$B$2:$B$4, $A3, Ledger!$C$2:$C$4, FQN$2)),"****")</f>
        <v/>
      </c>
      <c r="FQO3" t="str">
        <f>IFERROR(IF($C3="","",SUMIFS(Ledger!$K$2:$K$4, Ledger!$B$2:$B$4, $A3, Ledger!$C$2:$C$4, FQO$2)),"****")</f>
        <v/>
      </c>
      <c r="FQP3" t="str">
        <f>IFERROR(IF($C3="","",SUMIFS(Ledger!$K$2:$K$4, Ledger!$B$2:$B$4, $A3, Ledger!$C$2:$C$4, FQP$2)),"****")</f>
        <v/>
      </c>
      <c r="FQQ3" t="str">
        <f>IFERROR(IF($C3="","",SUMIFS(Ledger!$K$2:$K$4, Ledger!$B$2:$B$4, $A3, Ledger!$C$2:$C$4, FQQ$2)),"****")</f>
        <v/>
      </c>
      <c r="FQR3" t="str">
        <f>IFERROR(IF($C3="","",SUMIFS(Ledger!$K$2:$K$4, Ledger!$B$2:$B$4, $A3, Ledger!$C$2:$C$4, FQR$2)),"****")</f>
        <v/>
      </c>
      <c r="FQS3" t="str">
        <f>IFERROR(IF($C3="","",SUMIFS(Ledger!$K$2:$K$4, Ledger!$B$2:$B$4, $A3, Ledger!$C$2:$C$4, FQS$2)),"****")</f>
        <v/>
      </c>
      <c r="FQT3" t="str">
        <f>IFERROR(IF($C3="","",SUMIFS(Ledger!$K$2:$K$4, Ledger!$B$2:$B$4, $A3, Ledger!$C$2:$C$4, FQT$2)),"****")</f>
        <v/>
      </c>
      <c r="FQU3" t="str">
        <f>IFERROR(IF($C3="","",SUMIFS(Ledger!$K$2:$K$4, Ledger!$B$2:$B$4, $A3, Ledger!$C$2:$C$4, FQU$2)),"****")</f>
        <v/>
      </c>
      <c r="FQV3" t="str">
        <f>IFERROR(IF($C3="","",SUMIFS(Ledger!$K$2:$K$4, Ledger!$B$2:$B$4, $A3, Ledger!$C$2:$C$4, FQV$2)),"****")</f>
        <v/>
      </c>
      <c r="FQW3" t="str">
        <f>IFERROR(IF($C3="","",SUMIFS(Ledger!$K$2:$K$4, Ledger!$B$2:$B$4, $A3, Ledger!$C$2:$C$4, FQW$2)),"****")</f>
        <v/>
      </c>
      <c r="FQX3" t="str">
        <f>IFERROR(IF($C3="","",SUMIFS(Ledger!$K$2:$K$4, Ledger!$B$2:$B$4, $A3, Ledger!$C$2:$C$4, FQX$2)),"****")</f>
        <v/>
      </c>
      <c r="FQY3" t="str">
        <f>IFERROR(IF($C3="","",SUMIFS(Ledger!$K$2:$K$4, Ledger!$B$2:$B$4, $A3, Ledger!$C$2:$C$4, FQY$2)),"****")</f>
        <v/>
      </c>
      <c r="FQZ3" t="str">
        <f>IFERROR(IF($C3="","",SUMIFS(Ledger!$K$2:$K$4, Ledger!$B$2:$B$4, $A3, Ledger!$C$2:$C$4, FQZ$2)),"****")</f>
        <v/>
      </c>
      <c r="FRA3" t="str">
        <f>IFERROR(IF($C3="","",SUMIFS(Ledger!$K$2:$K$4, Ledger!$B$2:$B$4, $A3, Ledger!$C$2:$C$4, FRA$2)),"****")</f>
        <v/>
      </c>
      <c r="FRB3" t="str">
        <f>IFERROR(IF($C3="","",SUMIFS(Ledger!$K$2:$K$4, Ledger!$B$2:$B$4, $A3, Ledger!$C$2:$C$4, FRB$2)),"****")</f>
        <v/>
      </c>
      <c r="FRC3" t="str">
        <f>IFERROR(IF($C3="","",SUMIFS(Ledger!$K$2:$K$4, Ledger!$B$2:$B$4, $A3, Ledger!$C$2:$C$4, FRC$2)),"****")</f>
        <v/>
      </c>
      <c r="FRD3" t="str">
        <f>IFERROR(IF($C3="","",SUMIFS(Ledger!$K$2:$K$4, Ledger!$B$2:$B$4, $A3, Ledger!$C$2:$C$4, FRD$2)),"****")</f>
        <v/>
      </c>
      <c r="FRE3" t="str">
        <f>IFERROR(IF($C3="","",SUMIFS(Ledger!$K$2:$K$4, Ledger!$B$2:$B$4, $A3, Ledger!$C$2:$C$4, FRE$2)),"****")</f>
        <v/>
      </c>
      <c r="FRF3" t="str">
        <f>IFERROR(IF($C3="","",SUMIFS(Ledger!$K$2:$K$4, Ledger!$B$2:$B$4, $A3, Ledger!$C$2:$C$4, FRF$2)),"****")</f>
        <v/>
      </c>
      <c r="FRG3" t="str">
        <f>IFERROR(IF($C3="","",SUMIFS(Ledger!$K$2:$K$4, Ledger!$B$2:$B$4, $A3, Ledger!$C$2:$C$4, FRG$2)),"****")</f>
        <v/>
      </c>
      <c r="FRH3" t="str">
        <f>IFERROR(IF($C3="","",SUMIFS(Ledger!$K$2:$K$4, Ledger!$B$2:$B$4, $A3, Ledger!$C$2:$C$4, FRH$2)),"****")</f>
        <v/>
      </c>
      <c r="FRI3" t="str">
        <f>IFERROR(IF($C3="","",SUMIFS(Ledger!$K$2:$K$4, Ledger!$B$2:$B$4, $A3, Ledger!$C$2:$C$4, FRI$2)),"****")</f>
        <v/>
      </c>
      <c r="FRJ3" t="str">
        <f>IFERROR(IF($C3="","",SUMIFS(Ledger!$K$2:$K$4, Ledger!$B$2:$B$4, $A3, Ledger!$C$2:$C$4, FRJ$2)),"****")</f>
        <v/>
      </c>
      <c r="FRK3" t="str">
        <f>IFERROR(IF($C3="","",SUMIFS(Ledger!$K$2:$K$4, Ledger!$B$2:$B$4, $A3, Ledger!$C$2:$C$4, FRK$2)),"****")</f>
        <v/>
      </c>
      <c r="FRL3" t="str">
        <f>IFERROR(IF($C3="","",SUMIFS(Ledger!$K$2:$K$4, Ledger!$B$2:$B$4, $A3, Ledger!$C$2:$C$4, FRL$2)),"****")</f>
        <v/>
      </c>
      <c r="FRM3" t="str">
        <f>IFERROR(IF($C3="","",SUMIFS(Ledger!$K$2:$K$4, Ledger!$B$2:$B$4, $A3, Ledger!$C$2:$C$4, FRM$2)),"****")</f>
        <v/>
      </c>
      <c r="FRN3" t="str">
        <f>IFERROR(IF($C3="","",SUMIFS(Ledger!$K$2:$K$4, Ledger!$B$2:$B$4, $A3, Ledger!$C$2:$C$4, FRN$2)),"****")</f>
        <v/>
      </c>
      <c r="FRO3" t="str">
        <f>IFERROR(IF($C3="","",SUMIFS(Ledger!$K$2:$K$4, Ledger!$B$2:$B$4, $A3, Ledger!$C$2:$C$4, FRO$2)),"****")</f>
        <v/>
      </c>
      <c r="FRP3" t="str">
        <f>IFERROR(IF($C3="","",SUMIFS(Ledger!$K$2:$K$4, Ledger!$B$2:$B$4, $A3, Ledger!$C$2:$C$4, FRP$2)),"****")</f>
        <v/>
      </c>
      <c r="FRQ3" t="str">
        <f>IFERROR(IF($C3="","",SUMIFS(Ledger!$K$2:$K$4, Ledger!$B$2:$B$4, $A3, Ledger!$C$2:$C$4, FRQ$2)),"****")</f>
        <v/>
      </c>
      <c r="FRR3" t="str">
        <f>IFERROR(IF($C3="","",SUMIFS(Ledger!$K$2:$K$4, Ledger!$B$2:$B$4, $A3, Ledger!$C$2:$C$4, FRR$2)),"****")</f>
        <v/>
      </c>
      <c r="FRS3" t="str">
        <f>IFERROR(IF($C3="","",SUMIFS(Ledger!$K$2:$K$4, Ledger!$B$2:$B$4, $A3, Ledger!$C$2:$C$4, FRS$2)),"****")</f>
        <v/>
      </c>
      <c r="FRT3" t="str">
        <f>IFERROR(IF($C3="","",SUMIFS(Ledger!$K$2:$K$4, Ledger!$B$2:$B$4, $A3, Ledger!$C$2:$C$4, FRT$2)),"****")</f>
        <v/>
      </c>
      <c r="FRU3" t="str">
        <f>IFERROR(IF($C3="","",SUMIFS(Ledger!$K$2:$K$4, Ledger!$B$2:$B$4, $A3, Ledger!$C$2:$C$4, FRU$2)),"****")</f>
        <v/>
      </c>
      <c r="FRV3" t="str">
        <f>IFERROR(IF($C3="","",SUMIFS(Ledger!$K$2:$K$4, Ledger!$B$2:$B$4, $A3, Ledger!$C$2:$C$4, FRV$2)),"****")</f>
        <v/>
      </c>
      <c r="FRW3" t="str">
        <f>IFERROR(IF($C3="","",SUMIFS(Ledger!$K$2:$K$4, Ledger!$B$2:$B$4, $A3, Ledger!$C$2:$C$4, FRW$2)),"****")</f>
        <v/>
      </c>
      <c r="FRX3" t="str">
        <f>IFERROR(IF($C3="","",SUMIFS(Ledger!$K$2:$K$4, Ledger!$B$2:$B$4, $A3, Ledger!$C$2:$C$4, FRX$2)),"****")</f>
        <v/>
      </c>
      <c r="FRY3" t="str">
        <f>IFERROR(IF($C3="","",SUMIFS(Ledger!$K$2:$K$4, Ledger!$B$2:$B$4, $A3, Ledger!$C$2:$C$4, FRY$2)),"****")</f>
        <v/>
      </c>
      <c r="FRZ3" t="str">
        <f>IFERROR(IF($C3="","",SUMIFS(Ledger!$K$2:$K$4, Ledger!$B$2:$B$4, $A3, Ledger!$C$2:$C$4, FRZ$2)),"****")</f>
        <v/>
      </c>
      <c r="FSA3" t="str">
        <f>IFERROR(IF($C3="","",SUMIFS(Ledger!$K$2:$K$4, Ledger!$B$2:$B$4, $A3, Ledger!$C$2:$C$4, FSA$2)),"****")</f>
        <v/>
      </c>
      <c r="FSB3" t="str">
        <f>IFERROR(IF($C3="","",SUMIFS(Ledger!$K$2:$K$4, Ledger!$B$2:$B$4, $A3, Ledger!$C$2:$C$4, FSB$2)),"****")</f>
        <v/>
      </c>
      <c r="FSC3" t="str">
        <f>IFERROR(IF($C3="","",SUMIFS(Ledger!$K$2:$K$4, Ledger!$B$2:$B$4, $A3, Ledger!$C$2:$C$4, FSC$2)),"****")</f>
        <v/>
      </c>
      <c r="FSD3" t="str">
        <f>IFERROR(IF($C3="","",SUMIFS(Ledger!$K$2:$K$4, Ledger!$B$2:$B$4, $A3, Ledger!$C$2:$C$4, FSD$2)),"****")</f>
        <v/>
      </c>
      <c r="FSE3" t="str">
        <f>IFERROR(IF($C3="","",SUMIFS(Ledger!$K$2:$K$4, Ledger!$B$2:$B$4, $A3, Ledger!$C$2:$C$4, FSE$2)),"****")</f>
        <v/>
      </c>
      <c r="FSF3" t="str">
        <f>IFERROR(IF($C3="","",SUMIFS(Ledger!$K$2:$K$4, Ledger!$B$2:$B$4, $A3, Ledger!$C$2:$C$4, FSF$2)),"****")</f>
        <v/>
      </c>
      <c r="FSG3" t="str">
        <f>IFERROR(IF($C3="","",SUMIFS(Ledger!$K$2:$K$4, Ledger!$B$2:$B$4, $A3, Ledger!$C$2:$C$4, FSG$2)),"****")</f>
        <v/>
      </c>
      <c r="FSH3" t="str">
        <f>IFERROR(IF($C3="","",SUMIFS(Ledger!$K$2:$K$4, Ledger!$B$2:$B$4, $A3, Ledger!$C$2:$C$4, FSH$2)),"****")</f>
        <v/>
      </c>
      <c r="FSI3" t="str">
        <f>IFERROR(IF($C3="","",SUMIFS(Ledger!$K$2:$K$4, Ledger!$B$2:$B$4, $A3, Ledger!$C$2:$C$4, FSI$2)),"****")</f>
        <v/>
      </c>
      <c r="FSJ3" t="str">
        <f>IFERROR(IF($C3="","",SUMIFS(Ledger!$K$2:$K$4, Ledger!$B$2:$B$4, $A3, Ledger!$C$2:$C$4, FSJ$2)),"****")</f>
        <v/>
      </c>
      <c r="FSK3" t="str">
        <f>IFERROR(IF($C3="","",SUMIFS(Ledger!$K$2:$K$4, Ledger!$B$2:$B$4, $A3, Ledger!$C$2:$C$4, FSK$2)),"****")</f>
        <v/>
      </c>
      <c r="FSL3" t="str">
        <f>IFERROR(IF($C3="","",SUMIFS(Ledger!$K$2:$K$4, Ledger!$B$2:$B$4, $A3, Ledger!$C$2:$C$4, FSL$2)),"****")</f>
        <v/>
      </c>
      <c r="FSM3" t="str">
        <f>IFERROR(IF($C3="","",SUMIFS(Ledger!$K$2:$K$4, Ledger!$B$2:$B$4, $A3, Ledger!$C$2:$C$4, FSM$2)),"****")</f>
        <v/>
      </c>
      <c r="FSN3" t="str">
        <f>IFERROR(IF($C3="","",SUMIFS(Ledger!$K$2:$K$4, Ledger!$B$2:$B$4, $A3, Ledger!$C$2:$C$4, FSN$2)),"****")</f>
        <v/>
      </c>
      <c r="FSO3" t="str">
        <f>IFERROR(IF($C3="","",SUMIFS(Ledger!$K$2:$K$4, Ledger!$B$2:$B$4, $A3, Ledger!$C$2:$C$4, FSO$2)),"****")</f>
        <v/>
      </c>
      <c r="FSP3" t="str">
        <f>IFERROR(IF($C3="","",SUMIFS(Ledger!$K$2:$K$4, Ledger!$B$2:$B$4, $A3, Ledger!$C$2:$C$4, FSP$2)),"****")</f>
        <v/>
      </c>
      <c r="FSQ3" t="str">
        <f>IFERROR(IF($C3="","",SUMIFS(Ledger!$K$2:$K$4, Ledger!$B$2:$B$4, $A3, Ledger!$C$2:$C$4, FSQ$2)),"****")</f>
        <v/>
      </c>
      <c r="FSR3" t="str">
        <f>IFERROR(IF($C3="","",SUMIFS(Ledger!$K$2:$K$4, Ledger!$B$2:$B$4, $A3, Ledger!$C$2:$C$4, FSR$2)),"****")</f>
        <v/>
      </c>
      <c r="FSS3" t="str">
        <f>IFERROR(IF($C3="","",SUMIFS(Ledger!$K$2:$K$4, Ledger!$B$2:$B$4, $A3, Ledger!$C$2:$C$4, FSS$2)),"****")</f>
        <v/>
      </c>
      <c r="FST3" t="str">
        <f>IFERROR(IF($C3="","",SUMIFS(Ledger!$K$2:$K$4, Ledger!$B$2:$B$4, $A3, Ledger!$C$2:$C$4, FST$2)),"****")</f>
        <v/>
      </c>
      <c r="FSU3" t="str">
        <f>IFERROR(IF($C3="","",SUMIFS(Ledger!$K$2:$K$4, Ledger!$B$2:$B$4, $A3, Ledger!$C$2:$C$4, FSU$2)),"****")</f>
        <v/>
      </c>
      <c r="FSV3" t="str">
        <f>IFERROR(IF($C3="","",SUMIFS(Ledger!$K$2:$K$4, Ledger!$B$2:$B$4, $A3, Ledger!$C$2:$C$4, FSV$2)),"****")</f>
        <v/>
      </c>
      <c r="FSW3" t="str">
        <f>IFERROR(IF($C3="","",SUMIFS(Ledger!$K$2:$K$4, Ledger!$B$2:$B$4, $A3, Ledger!$C$2:$C$4, FSW$2)),"****")</f>
        <v/>
      </c>
      <c r="FSX3" t="str">
        <f>IFERROR(IF($C3="","",SUMIFS(Ledger!$K$2:$K$4, Ledger!$B$2:$B$4, $A3, Ledger!$C$2:$C$4, FSX$2)),"****")</f>
        <v/>
      </c>
      <c r="FSY3" t="str">
        <f>IFERROR(IF($C3="","",SUMIFS(Ledger!$K$2:$K$4, Ledger!$B$2:$B$4, $A3, Ledger!$C$2:$C$4, FSY$2)),"****")</f>
        <v/>
      </c>
      <c r="FSZ3" t="str">
        <f>IFERROR(IF($C3="","",SUMIFS(Ledger!$K$2:$K$4, Ledger!$B$2:$B$4, $A3, Ledger!$C$2:$C$4, FSZ$2)),"****")</f>
        <v/>
      </c>
      <c r="FTA3" t="str">
        <f>IFERROR(IF($C3="","",SUMIFS(Ledger!$K$2:$K$4, Ledger!$B$2:$B$4, $A3, Ledger!$C$2:$C$4, FTA$2)),"****")</f>
        <v/>
      </c>
      <c r="FTB3" t="str">
        <f>IFERROR(IF($C3="","",SUMIFS(Ledger!$K$2:$K$4, Ledger!$B$2:$B$4, $A3, Ledger!$C$2:$C$4, FTB$2)),"****")</f>
        <v/>
      </c>
      <c r="FTC3" t="str">
        <f>IFERROR(IF($C3="","",SUMIFS(Ledger!$K$2:$K$4, Ledger!$B$2:$B$4, $A3, Ledger!$C$2:$C$4, FTC$2)),"****")</f>
        <v/>
      </c>
      <c r="FTD3" t="str">
        <f>IFERROR(IF($C3="","",SUMIFS(Ledger!$K$2:$K$4, Ledger!$B$2:$B$4, $A3, Ledger!$C$2:$C$4, FTD$2)),"****")</f>
        <v/>
      </c>
      <c r="FTE3" t="str">
        <f>IFERROR(IF($C3="","",SUMIFS(Ledger!$K$2:$K$4, Ledger!$B$2:$B$4, $A3, Ledger!$C$2:$C$4, FTE$2)),"****")</f>
        <v/>
      </c>
      <c r="FTF3" t="str">
        <f>IFERROR(IF($C3="","",SUMIFS(Ledger!$K$2:$K$4, Ledger!$B$2:$B$4, $A3, Ledger!$C$2:$C$4, FTF$2)),"****")</f>
        <v/>
      </c>
      <c r="FTG3" t="str">
        <f>IFERROR(IF($C3="","",SUMIFS(Ledger!$K$2:$K$4, Ledger!$B$2:$B$4, $A3, Ledger!$C$2:$C$4, FTG$2)),"****")</f>
        <v/>
      </c>
      <c r="FTH3" t="str">
        <f>IFERROR(IF($C3="","",SUMIFS(Ledger!$K$2:$K$4, Ledger!$B$2:$B$4, $A3, Ledger!$C$2:$C$4, FTH$2)),"****")</f>
        <v/>
      </c>
      <c r="FTI3" t="str">
        <f>IFERROR(IF($C3="","",SUMIFS(Ledger!$K$2:$K$4, Ledger!$B$2:$B$4, $A3, Ledger!$C$2:$C$4, FTI$2)),"****")</f>
        <v/>
      </c>
      <c r="FTJ3" t="str">
        <f>IFERROR(IF($C3="","",SUMIFS(Ledger!$K$2:$K$4, Ledger!$B$2:$B$4, $A3, Ledger!$C$2:$C$4, FTJ$2)),"****")</f>
        <v/>
      </c>
      <c r="FTK3" t="str">
        <f>IFERROR(IF($C3="","",SUMIFS(Ledger!$K$2:$K$4, Ledger!$B$2:$B$4, $A3, Ledger!$C$2:$C$4, FTK$2)),"****")</f>
        <v/>
      </c>
      <c r="FTL3" t="str">
        <f>IFERROR(IF($C3="","",SUMIFS(Ledger!$K$2:$K$4, Ledger!$B$2:$B$4, $A3, Ledger!$C$2:$C$4, FTL$2)),"****")</f>
        <v/>
      </c>
      <c r="FTM3" t="str">
        <f>IFERROR(IF($C3="","",SUMIFS(Ledger!$K$2:$K$4, Ledger!$B$2:$B$4, $A3, Ledger!$C$2:$C$4, FTM$2)),"****")</f>
        <v/>
      </c>
      <c r="FTN3" t="str">
        <f>IFERROR(IF($C3="","",SUMIFS(Ledger!$K$2:$K$4, Ledger!$B$2:$B$4, $A3, Ledger!$C$2:$C$4, FTN$2)),"****")</f>
        <v/>
      </c>
      <c r="FTO3" t="str">
        <f>IFERROR(IF($C3="","",SUMIFS(Ledger!$K$2:$K$4, Ledger!$B$2:$B$4, $A3, Ledger!$C$2:$C$4, FTO$2)),"****")</f>
        <v/>
      </c>
      <c r="FTP3" t="str">
        <f>IFERROR(IF($C3="","",SUMIFS(Ledger!$K$2:$K$4, Ledger!$B$2:$B$4, $A3, Ledger!$C$2:$C$4, FTP$2)),"****")</f>
        <v/>
      </c>
      <c r="FTQ3" t="str">
        <f>IFERROR(IF($C3="","",SUMIFS(Ledger!$K$2:$K$4, Ledger!$B$2:$B$4, $A3, Ledger!$C$2:$C$4, FTQ$2)),"****")</f>
        <v/>
      </c>
      <c r="FTR3" t="str">
        <f>IFERROR(IF($C3="","",SUMIFS(Ledger!$K$2:$K$4, Ledger!$B$2:$B$4, $A3, Ledger!$C$2:$C$4, FTR$2)),"****")</f>
        <v/>
      </c>
      <c r="FTS3" t="str">
        <f>IFERROR(IF($C3="","",SUMIFS(Ledger!$K$2:$K$4, Ledger!$B$2:$B$4, $A3, Ledger!$C$2:$C$4, FTS$2)),"****")</f>
        <v/>
      </c>
      <c r="FTT3" t="str">
        <f>IFERROR(IF($C3="","",SUMIFS(Ledger!$K$2:$K$4, Ledger!$B$2:$B$4, $A3, Ledger!$C$2:$C$4, FTT$2)),"****")</f>
        <v/>
      </c>
      <c r="FTU3" t="str">
        <f>IFERROR(IF($C3="","",SUMIFS(Ledger!$K$2:$K$4, Ledger!$B$2:$B$4, $A3, Ledger!$C$2:$C$4, FTU$2)),"****")</f>
        <v/>
      </c>
      <c r="FTV3" t="str">
        <f>IFERROR(IF($C3="","",SUMIFS(Ledger!$K$2:$K$4, Ledger!$B$2:$B$4, $A3, Ledger!$C$2:$C$4, FTV$2)),"****")</f>
        <v/>
      </c>
      <c r="FTW3" t="str">
        <f>IFERROR(IF($C3="","",SUMIFS(Ledger!$K$2:$K$4, Ledger!$B$2:$B$4, $A3, Ledger!$C$2:$C$4, FTW$2)),"****")</f>
        <v/>
      </c>
      <c r="FTX3" t="str">
        <f>IFERROR(IF($C3="","",SUMIFS(Ledger!$K$2:$K$4, Ledger!$B$2:$B$4, $A3, Ledger!$C$2:$C$4, FTX$2)),"****")</f>
        <v/>
      </c>
      <c r="FTY3" t="str">
        <f>IFERROR(IF($C3="","",SUMIFS(Ledger!$K$2:$K$4, Ledger!$B$2:$B$4, $A3, Ledger!$C$2:$C$4, FTY$2)),"****")</f>
        <v/>
      </c>
      <c r="FTZ3" t="str">
        <f>IFERROR(IF($C3="","",SUMIFS(Ledger!$K$2:$K$4, Ledger!$B$2:$B$4, $A3, Ledger!$C$2:$C$4, FTZ$2)),"****")</f>
        <v/>
      </c>
      <c r="FUA3" t="str">
        <f>IFERROR(IF($C3="","",SUMIFS(Ledger!$K$2:$K$4, Ledger!$B$2:$B$4, $A3, Ledger!$C$2:$C$4, FUA$2)),"****")</f>
        <v/>
      </c>
      <c r="FUB3" t="str">
        <f>IFERROR(IF($C3="","",SUMIFS(Ledger!$K$2:$K$4, Ledger!$B$2:$B$4, $A3, Ledger!$C$2:$C$4, FUB$2)),"****")</f>
        <v/>
      </c>
      <c r="FUC3" t="str">
        <f>IFERROR(IF($C3="","",SUMIFS(Ledger!$K$2:$K$4, Ledger!$B$2:$B$4, $A3, Ledger!$C$2:$C$4, FUC$2)),"****")</f>
        <v/>
      </c>
      <c r="FUD3" t="str">
        <f>IFERROR(IF($C3="","",SUMIFS(Ledger!$K$2:$K$4, Ledger!$B$2:$B$4, $A3, Ledger!$C$2:$C$4, FUD$2)),"****")</f>
        <v/>
      </c>
      <c r="FUE3" t="str">
        <f>IFERROR(IF($C3="","",SUMIFS(Ledger!$K$2:$K$4, Ledger!$B$2:$B$4, $A3, Ledger!$C$2:$C$4, FUE$2)),"****")</f>
        <v/>
      </c>
      <c r="FUF3" t="str">
        <f>IFERROR(IF($C3="","",SUMIFS(Ledger!$K$2:$K$4, Ledger!$B$2:$B$4, $A3, Ledger!$C$2:$C$4, FUF$2)),"****")</f>
        <v/>
      </c>
      <c r="FUG3" t="str">
        <f>IFERROR(IF($C3="","",SUMIFS(Ledger!$K$2:$K$4, Ledger!$B$2:$B$4, $A3, Ledger!$C$2:$C$4, FUG$2)),"****")</f>
        <v/>
      </c>
      <c r="FUH3" t="str">
        <f>IFERROR(IF($C3="","",SUMIFS(Ledger!$K$2:$K$4, Ledger!$B$2:$B$4, $A3, Ledger!$C$2:$C$4, FUH$2)),"****")</f>
        <v/>
      </c>
      <c r="FUI3" t="str">
        <f>IFERROR(IF($C3="","",SUMIFS(Ledger!$K$2:$K$4, Ledger!$B$2:$B$4, $A3, Ledger!$C$2:$C$4, FUI$2)),"****")</f>
        <v/>
      </c>
      <c r="FUJ3" t="str">
        <f>IFERROR(IF($C3="","",SUMIFS(Ledger!$K$2:$K$4, Ledger!$B$2:$B$4, $A3, Ledger!$C$2:$C$4, FUJ$2)),"****")</f>
        <v/>
      </c>
      <c r="FUK3" t="str">
        <f>IFERROR(IF($C3="","",SUMIFS(Ledger!$K$2:$K$4, Ledger!$B$2:$B$4, $A3, Ledger!$C$2:$C$4, FUK$2)),"****")</f>
        <v/>
      </c>
      <c r="FUL3" t="str">
        <f>IFERROR(IF($C3="","",SUMIFS(Ledger!$K$2:$K$4, Ledger!$B$2:$B$4, $A3, Ledger!$C$2:$C$4, FUL$2)),"****")</f>
        <v/>
      </c>
      <c r="FUM3" t="str">
        <f>IFERROR(IF($C3="","",SUMIFS(Ledger!$K$2:$K$4, Ledger!$B$2:$B$4, $A3, Ledger!$C$2:$C$4, FUM$2)),"****")</f>
        <v/>
      </c>
      <c r="FUN3" t="str">
        <f>IFERROR(IF($C3="","",SUMIFS(Ledger!$K$2:$K$4, Ledger!$B$2:$B$4, $A3, Ledger!$C$2:$C$4, FUN$2)),"****")</f>
        <v/>
      </c>
      <c r="FUO3" t="str">
        <f>IFERROR(IF($C3="","",SUMIFS(Ledger!$K$2:$K$4, Ledger!$B$2:$B$4, $A3, Ledger!$C$2:$C$4, FUO$2)),"****")</f>
        <v/>
      </c>
      <c r="FUP3" t="str">
        <f>IFERROR(IF($C3="","",SUMIFS(Ledger!$K$2:$K$4, Ledger!$B$2:$B$4, $A3, Ledger!$C$2:$C$4, FUP$2)),"****")</f>
        <v/>
      </c>
      <c r="FUQ3" t="str">
        <f>IFERROR(IF($C3="","",SUMIFS(Ledger!$K$2:$K$4, Ledger!$B$2:$B$4, $A3, Ledger!$C$2:$C$4, FUQ$2)),"****")</f>
        <v/>
      </c>
      <c r="FUR3" t="str">
        <f>IFERROR(IF($C3="","",SUMIFS(Ledger!$K$2:$K$4, Ledger!$B$2:$B$4, $A3, Ledger!$C$2:$C$4, FUR$2)),"****")</f>
        <v/>
      </c>
      <c r="FUS3" t="str">
        <f>IFERROR(IF($C3="","",SUMIFS(Ledger!$K$2:$K$4, Ledger!$B$2:$B$4, $A3, Ledger!$C$2:$C$4, FUS$2)),"****")</f>
        <v/>
      </c>
      <c r="FUT3" t="str">
        <f>IFERROR(IF($C3="","",SUMIFS(Ledger!$K$2:$K$4, Ledger!$B$2:$B$4, $A3, Ledger!$C$2:$C$4, FUT$2)),"****")</f>
        <v/>
      </c>
      <c r="FUU3" t="str">
        <f>IFERROR(IF($C3="","",SUMIFS(Ledger!$K$2:$K$4, Ledger!$B$2:$B$4, $A3, Ledger!$C$2:$C$4, FUU$2)),"****")</f>
        <v/>
      </c>
      <c r="FUV3" t="str">
        <f>IFERROR(IF($C3="","",SUMIFS(Ledger!$K$2:$K$4, Ledger!$B$2:$B$4, $A3, Ledger!$C$2:$C$4, FUV$2)),"****")</f>
        <v/>
      </c>
      <c r="FUW3" t="str">
        <f>IFERROR(IF($C3="","",SUMIFS(Ledger!$K$2:$K$4, Ledger!$B$2:$B$4, $A3, Ledger!$C$2:$C$4, FUW$2)),"****")</f>
        <v/>
      </c>
      <c r="FUX3" t="str">
        <f>IFERROR(IF($C3="","",SUMIFS(Ledger!$K$2:$K$4, Ledger!$B$2:$B$4, $A3, Ledger!$C$2:$C$4, FUX$2)),"****")</f>
        <v/>
      </c>
      <c r="FUY3" t="str">
        <f>IFERROR(IF($C3="","",SUMIFS(Ledger!$K$2:$K$4, Ledger!$B$2:$B$4, $A3, Ledger!$C$2:$C$4, FUY$2)),"****")</f>
        <v/>
      </c>
      <c r="FUZ3" t="str">
        <f>IFERROR(IF($C3="","",SUMIFS(Ledger!$K$2:$K$4, Ledger!$B$2:$B$4, $A3, Ledger!$C$2:$C$4, FUZ$2)),"****")</f>
        <v/>
      </c>
      <c r="FVA3" t="str">
        <f>IFERROR(IF($C3="","",SUMIFS(Ledger!$K$2:$K$4, Ledger!$B$2:$B$4, $A3, Ledger!$C$2:$C$4, FVA$2)),"****")</f>
        <v/>
      </c>
      <c r="FVB3" t="str">
        <f>IFERROR(IF($C3="","",SUMIFS(Ledger!$K$2:$K$4, Ledger!$B$2:$B$4, $A3, Ledger!$C$2:$C$4, FVB$2)),"****")</f>
        <v/>
      </c>
      <c r="FVC3" t="str">
        <f>IFERROR(IF($C3="","",SUMIFS(Ledger!$K$2:$K$4, Ledger!$B$2:$B$4, $A3, Ledger!$C$2:$C$4, FVC$2)),"****")</f>
        <v/>
      </c>
      <c r="FVD3" t="str">
        <f>IFERROR(IF($C3="","",SUMIFS(Ledger!$K$2:$K$4, Ledger!$B$2:$B$4, $A3, Ledger!$C$2:$C$4, FVD$2)),"****")</f>
        <v/>
      </c>
      <c r="FVE3" t="str">
        <f>IFERROR(IF($C3="","",SUMIFS(Ledger!$K$2:$K$4, Ledger!$B$2:$B$4, $A3, Ledger!$C$2:$C$4, FVE$2)),"****")</f>
        <v/>
      </c>
      <c r="FVF3" t="str">
        <f>IFERROR(IF($C3="","",SUMIFS(Ledger!$K$2:$K$4, Ledger!$B$2:$B$4, $A3, Ledger!$C$2:$C$4, FVF$2)),"****")</f>
        <v/>
      </c>
      <c r="FVG3" t="str">
        <f>IFERROR(IF($C3="","",SUMIFS(Ledger!$K$2:$K$4, Ledger!$B$2:$B$4, $A3, Ledger!$C$2:$C$4, FVG$2)),"****")</f>
        <v/>
      </c>
      <c r="FVH3" t="str">
        <f>IFERROR(IF($C3="","",SUMIFS(Ledger!$K$2:$K$4, Ledger!$B$2:$B$4, $A3, Ledger!$C$2:$C$4, FVH$2)),"****")</f>
        <v/>
      </c>
      <c r="FVI3" t="str">
        <f>IFERROR(IF($C3="","",SUMIFS(Ledger!$K$2:$K$4, Ledger!$B$2:$B$4, $A3, Ledger!$C$2:$C$4, FVI$2)),"****")</f>
        <v/>
      </c>
      <c r="FVJ3" t="str">
        <f>IFERROR(IF($C3="","",SUMIFS(Ledger!$K$2:$K$4, Ledger!$B$2:$B$4, $A3, Ledger!$C$2:$C$4, FVJ$2)),"****")</f>
        <v/>
      </c>
      <c r="FVK3" t="str">
        <f>IFERROR(IF($C3="","",SUMIFS(Ledger!$K$2:$K$4, Ledger!$B$2:$B$4, $A3, Ledger!$C$2:$C$4, FVK$2)),"****")</f>
        <v/>
      </c>
      <c r="FVL3" t="str">
        <f>IFERROR(IF($C3="","",SUMIFS(Ledger!$K$2:$K$4, Ledger!$B$2:$B$4, $A3, Ledger!$C$2:$C$4, FVL$2)),"****")</f>
        <v/>
      </c>
      <c r="FVM3" t="str">
        <f>IFERROR(IF($C3="","",SUMIFS(Ledger!$K$2:$K$4, Ledger!$B$2:$B$4, $A3, Ledger!$C$2:$C$4, FVM$2)),"****")</f>
        <v/>
      </c>
      <c r="FVN3" t="str">
        <f>IFERROR(IF($C3="","",SUMIFS(Ledger!$K$2:$K$4, Ledger!$B$2:$B$4, $A3, Ledger!$C$2:$C$4, FVN$2)),"****")</f>
        <v/>
      </c>
      <c r="FVO3" t="str">
        <f>IFERROR(IF($C3="","",SUMIFS(Ledger!$K$2:$K$4, Ledger!$B$2:$B$4, $A3, Ledger!$C$2:$C$4, FVO$2)),"****")</f>
        <v/>
      </c>
      <c r="FVP3" t="str">
        <f>IFERROR(IF($C3="","",SUMIFS(Ledger!$K$2:$K$4, Ledger!$B$2:$B$4, $A3, Ledger!$C$2:$C$4, FVP$2)),"****")</f>
        <v/>
      </c>
      <c r="FVQ3" t="str">
        <f>IFERROR(IF($C3="","",SUMIFS(Ledger!$K$2:$K$4, Ledger!$B$2:$B$4, $A3, Ledger!$C$2:$C$4, FVQ$2)),"****")</f>
        <v/>
      </c>
      <c r="FVR3" t="str">
        <f>IFERROR(IF($C3="","",SUMIFS(Ledger!$K$2:$K$4, Ledger!$B$2:$B$4, $A3, Ledger!$C$2:$C$4, FVR$2)),"****")</f>
        <v/>
      </c>
      <c r="FVS3" t="str">
        <f>IFERROR(IF($C3="","",SUMIFS(Ledger!$K$2:$K$4, Ledger!$B$2:$B$4, $A3, Ledger!$C$2:$C$4, FVS$2)),"****")</f>
        <v/>
      </c>
      <c r="FVT3" t="str">
        <f>IFERROR(IF($C3="","",SUMIFS(Ledger!$K$2:$K$4, Ledger!$B$2:$B$4, $A3, Ledger!$C$2:$C$4, FVT$2)),"****")</f>
        <v/>
      </c>
      <c r="FVU3" t="str">
        <f>IFERROR(IF($C3="","",SUMIFS(Ledger!$K$2:$K$4, Ledger!$B$2:$B$4, $A3, Ledger!$C$2:$C$4, FVU$2)),"****")</f>
        <v/>
      </c>
      <c r="FVV3" t="str">
        <f>IFERROR(IF($C3="","",SUMIFS(Ledger!$K$2:$K$4, Ledger!$B$2:$B$4, $A3, Ledger!$C$2:$C$4, FVV$2)),"****")</f>
        <v/>
      </c>
      <c r="FVW3" t="str">
        <f>IFERROR(IF($C3="","",SUMIFS(Ledger!$K$2:$K$4, Ledger!$B$2:$B$4, $A3, Ledger!$C$2:$C$4, FVW$2)),"****")</f>
        <v/>
      </c>
      <c r="FVX3" t="str">
        <f>IFERROR(IF($C3="","",SUMIFS(Ledger!$K$2:$K$4, Ledger!$B$2:$B$4, $A3, Ledger!$C$2:$C$4, FVX$2)),"****")</f>
        <v/>
      </c>
      <c r="FVY3" t="str">
        <f>IFERROR(IF($C3="","",SUMIFS(Ledger!$K$2:$K$4, Ledger!$B$2:$B$4, $A3, Ledger!$C$2:$C$4, FVY$2)),"****")</f>
        <v/>
      </c>
      <c r="FVZ3" t="str">
        <f>IFERROR(IF($C3="","",SUMIFS(Ledger!$K$2:$K$4, Ledger!$B$2:$B$4, $A3, Ledger!$C$2:$C$4, FVZ$2)),"****")</f>
        <v/>
      </c>
      <c r="FWA3" t="str">
        <f>IFERROR(IF($C3="","",SUMIFS(Ledger!$K$2:$K$4, Ledger!$B$2:$B$4, $A3, Ledger!$C$2:$C$4, FWA$2)),"****")</f>
        <v/>
      </c>
      <c r="FWB3" t="str">
        <f>IFERROR(IF($C3="","",SUMIFS(Ledger!$K$2:$K$4, Ledger!$B$2:$B$4, $A3, Ledger!$C$2:$C$4, FWB$2)),"****")</f>
        <v/>
      </c>
      <c r="FWC3" t="str">
        <f>IFERROR(IF($C3="","",SUMIFS(Ledger!$K$2:$K$4, Ledger!$B$2:$B$4, $A3, Ledger!$C$2:$C$4, FWC$2)),"****")</f>
        <v/>
      </c>
      <c r="FWD3" t="str">
        <f>IFERROR(IF($C3="","",SUMIFS(Ledger!$K$2:$K$4, Ledger!$B$2:$B$4, $A3, Ledger!$C$2:$C$4, FWD$2)),"****")</f>
        <v/>
      </c>
      <c r="FWE3" t="str">
        <f>IFERROR(IF($C3="","",SUMIFS(Ledger!$K$2:$K$4, Ledger!$B$2:$B$4, $A3, Ledger!$C$2:$C$4, FWE$2)),"****")</f>
        <v/>
      </c>
      <c r="FWF3" t="str">
        <f>IFERROR(IF($C3="","",SUMIFS(Ledger!$K$2:$K$4, Ledger!$B$2:$B$4, $A3, Ledger!$C$2:$C$4, FWF$2)),"****")</f>
        <v/>
      </c>
      <c r="FWG3" t="str">
        <f>IFERROR(IF($C3="","",SUMIFS(Ledger!$K$2:$K$4, Ledger!$B$2:$B$4, $A3, Ledger!$C$2:$C$4, FWG$2)),"****")</f>
        <v/>
      </c>
      <c r="FWH3" t="str">
        <f>IFERROR(IF($C3="","",SUMIFS(Ledger!$K$2:$K$4, Ledger!$B$2:$B$4, $A3, Ledger!$C$2:$C$4, FWH$2)),"****")</f>
        <v/>
      </c>
      <c r="FWI3" t="str">
        <f>IFERROR(IF($C3="","",SUMIFS(Ledger!$K$2:$K$4, Ledger!$B$2:$B$4, $A3, Ledger!$C$2:$C$4, FWI$2)),"****")</f>
        <v/>
      </c>
      <c r="FWJ3" t="str">
        <f>IFERROR(IF($C3="","",SUMIFS(Ledger!$K$2:$K$4, Ledger!$B$2:$B$4, $A3, Ledger!$C$2:$C$4, FWJ$2)),"****")</f>
        <v/>
      </c>
      <c r="FWK3" t="str">
        <f>IFERROR(IF($C3="","",SUMIFS(Ledger!$K$2:$K$4, Ledger!$B$2:$B$4, $A3, Ledger!$C$2:$C$4, FWK$2)),"****")</f>
        <v/>
      </c>
      <c r="FWL3" t="str">
        <f>IFERROR(IF($C3="","",SUMIFS(Ledger!$K$2:$K$4, Ledger!$B$2:$B$4, $A3, Ledger!$C$2:$C$4, FWL$2)),"****")</f>
        <v/>
      </c>
      <c r="FWM3" t="str">
        <f>IFERROR(IF($C3="","",SUMIFS(Ledger!$K$2:$K$4, Ledger!$B$2:$B$4, $A3, Ledger!$C$2:$C$4, FWM$2)),"****")</f>
        <v/>
      </c>
      <c r="FWN3" t="str">
        <f>IFERROR(IF($C3="","",SUMIFS(Ledger!$K$2:$K$4, Ledger!$B$2:$B$4, $A3, Ledger!$C$2:$C$4, FWN$2)),"****")</f>
        <v/>
      </c>
      <c r="FWO3" t="str">
        <f>IFERROR(IF($C3="","",SUMIFS(Ledger!$K$2:$K$4, Ledger!$B$2:$B$4, $A3, Ledger!$C$2:$C$4, FWO$2)),"****")</f>
        <v/>
      </c>
      <c r="FWP3" t="str">
        <f>IFERROR(IF($C3="","",SUMIFS(Ledger!$K$2:$K$4, Ledger!$B$2:$B$4, $A3, Ledger!$C$2:$C$4, FWP$2)),"****")</f>
        <v/>
      </c>
      <c r="FWQ3" t="str">
        <f>IFERROR(IF($C3="","",SUMIFS(Ledger!$K$2:$K$4, Ledger!$B$2:$B$4, $A3, Ledger!$C$2:$C$4, FWQ$2)),"****")</f>
        <v/>
      </c>
      <c r="FWR3" t="str">
        <f>IFERROR(IF($C3="","",SUMIFS(Ledger!$K$2:$K$4, Ledger!$B$2:$B$4, $A3, Ledger!$C$2:$C$4, FWR$2)),"****")</f>
        <v/>
      </c>
      <c r="FWS3" t="str">
        <f>IFERROR(IF($C3="","",SUMIFS(Ledger!$K$2:$K$4, Ledger!$B$2:$B$4, $A3, Ledger!$C$2:$C$4, FWS$2)),"****")</f>
        <v/>
      </c>
      <c r="FWT3" t="str">
        <f>IFERROR(IF($C3="","",SUMIFS(Ledger!$K$2:$K$4, Ledger!$B$2:$B$4, $A3, Ledger!$C$2:$C$4, FWT$2)),"****")</f>
        <v/>
      </c>
      <c r="FWU3" t="str">
        <f>IFERROR(IF($C3="","",SUMIFS(Ledger!$K$2:$K$4, Ledger!$B$2:$B$4, $A3, Ledger!$C$2:$C$4, FWU$2)),"****")</f>
        <v/>
      </c>
      <c r="FWV3" t="str">
        <f>IFERROR(IF($C3="","",SUMIFS(Ledger!$K$2:$K$4, Ledger!$B$2:$B$4, $A3, Ledger!$C$2:$C$4, FWV$2)),"****")</f>
        <v/>
      </c>
      <c r="FWW3" t="str">
        <f>IFERROR(IF($C3="","",SUMIFS(Ledger!$K$2:$K$4, Ledger!$B$2:$B$4, $A3, Ledger!$C$2:$C$4, FWW$2)),"****")</f>
        <v/>
      </c>
      <c r="FWX3" t="str">
        <f>IFERROR(IF($C3="","",SUMIFS(Ledger!$K$2:$K$4, Ledger!$B$2:$B$4, $A3, Ledger!$C$2:$C$4, FWX$2)),"****")</f>
        <v/>
      </c>
      <c r="FWY3" t="str">
        <f>IFERROR(IF($C3="","",SUMIFS(Ledger!$K$2:$K$4, Ledger!$B$2:$B$4, $A3, Ledger!$C$2:$C$4, FWY$2)),"****")</f>
        <v/>
      </c>
      <c r="FWZ3" t="str">
        <f>IFERROR(IF($C3="","",SUMIFS(Ledger!$K$2:$K$4, Ledger!$B$2:$B$4, $A3, Ledger!$C$2:$C$4, FWZ$2)),"****")</f>
        <v/>
      </c>
      <c r="FXA3" t="str">
        <f>IFERROR(IF($C3="","",SUMIFS(Ledger!$K$2:$K$4, Ledger!$B$2:$B$4, $A3, Ledger!$C$2:$C$4, FXA$2)),"****")</f>
        <v/>
      </c>
      <c r="FXB3" t="str">
        <f>IFERROR(IF($C3="","",SUMIFS(Ledger!$K$2:$K$4, Ledger!$B$2:$B$4, $A3, Ledger!$C$2:$C$4, FXB$2)),"****")</f>
        <v/>
      </c>
      <c r="FXC3" t="str">
        <f>IFERROR(IF($C3="","",SUMIFS(Ledger!$K$2:$K$4, Ledger!$B$2:$B$4, $A3, Ledger!$C$2:$C$4, FXC$2)),"****")</f>
        <v/>
      </c>
      <c r="FXD3" t="str">
        <f>IFERROR(IF($C3="","",SUMIFS(Ledger!$K$2:$K$4, Ledger!$B$2:$B$4, $A3, Ledger!$C$2:$C$4, FXD$2)),"****")</f>
        <v/>
      </c>
      <c r="FXE3" t="str">
        <f>IFERROR(IF($C3="","",SUMIFS(Ledger!$K$2:$K$4, Ledger!$B$2:$B$4, $A3, Ledger!$C$2:$C$4, FXE$2)),"****")</f>
        <v/>
      </c>
      <c r="FXF3" t="str">
        <f>IFERROR(IF($C3="","",SUMIFS(Ledger!$K$2:$K$4, Ledger!$B$2:$B$4, $A3, Ledger!$C$2:$C$4, FXF$2)),"****")</f>
        <v/>
      </c>
      <c r="FXG3" t="str">
        <f>IFERROR(IF($C3="","",SUMIFS(Ledger!$K$2:$K$4, Ledger!$B$2:$B$4, $A3, Ledger!$C$2:$C$4, FXG$2)),"****")</f>
        <v/>
      </c>
      <c r="FXH3" t="str">
        <f>IFERROR(IF($C3="","",SUMIFS(Ledger!$K$2:$K$4, Ledger!$B$2:$B$4, $A3, Ledger!$C$2:$C$4, FXH$2)),"****")</f>
        <v/>
      </c>
      <c r="FXI3" t="str">
        <f>IFERROR(IF($C3="","",SUMIFS(Ledger!$K$2:$K$4, Ledger!$B$2:$B$4, $A3, Ledger!$C$2:$C$4, FXI$2)),"****")</f>
        <v/>
      </c>
      <c r="FXJ3" t="str">
        <f>IFERROR(IF($C3="","",SUMIFS(Ledger!$K$2:$K$4, Ledger!$B$2:$B$4, $A3, Ledger!$C$2:$C$4, FXJ$2)),"****")</f>
        <v/>
      </c>
      <c r="FXK3" t="str">
        <f>IFERROR(IF($C3="","",SUMIFS(Ledger!$K$2:$K$4, Ledger!$B$2:$B$4, $A3, Ledger!$C$2:$C$4, FXK$2)),"****")</f>
        <v/>
      </c>
      <c r="FXL3" t="str">
        <f>IFERROR(IF($C3="","",SUMIFS(Ledger!$K$2:$K$4, Ledger!$B$2:$B$4, $A3, Ledger!$C$2:$C$4, FXL$2)),"****")</f>
        <v/>
      </c>
      <c r="FXM3" t="str">
        <f>IFERROR(IF($C3="","",SUMIFS(Ledger!$K$2:$K$4, Ledger!$B$2:$B$4, $A3, Ledger!$C$2:$C$4, FXM$2)),"****")</f>
        <v/>
      </c>
      <c r="FXN3" t="str">
        <f>IFERROR(IF($C3="","",SUMIFS(Ledger!$K$2:$K$4, Ledger!$B$2:$B$4, $A3, Ledger!$C$2:$C$4, FXN$2)),"****")</f>
        <v/>
      </c>
      <c r="FXO3" t="str">
        <f>IFERROR(IF($C3="","",SUMIFS(Ledger!$K$2:$K$4, Ledger!$B$2:$B$4, $A3, Ledger!$C$2:$C$4, FXO$2)),"****")</f>
        <v/>
      </c>
      <c r="FXP3" t="str">
        <f>IFERROR(IF($C3="","",SUMIFS(Ledger!$K$2:$K$4, Ledger!$B$2:$B$4, $A3, Ledger!$C$2:$C$4, FXP$2)),"****")</f>
        <v/>
      </c>
      <c r="FXQ3" t="str">
        <f>IFERROR(IF($C3="","",SUMIFS(Ledger!$K$2:$K$4, Ledger!$B$2:$B$4, $A3, Ledger!$C$2:$C$4, FXQ$2)),"****")</f>
        <v/>
      </c>
      <c r="FXR3" t="str">
        <f>IFERROR(IF($C3="","",SUMIFS(Ledger!$K$2:$K$4, Ledger!$B$2:$B$4, $A3, Ledger!$C$2:$C$4, FXR$2)),"****")</f>
        <v/>
      </c>
      <c r="FXS3" t="str">
        <f>IFERROR(IF($C3="","",SUMIFS(Ledger!$K$2:$K$4, Ledger!$B$2:$B$4, $A3, Ledger!$C$2:$C$4, FXS$2)),"****")</f>
        <v/>
      </c>
      <c r="FXT3" t="str">
        <f>IFERROR(IF($C3="","",SUMIFS(Ledger!$K$2:$K$4, Ledger!$B$2:$B$4, $A3, Ledger!$C$2:$C$4, FXT$2)),"****")</f>
        <v/>
      </c>
      <c r="FXU3" t="str">
        <f>IFERROR(IF($C3="","",SUMIFS(Ledger!$K$2:$K$4, Ledger!$B$2:$B$4, $A3, Ledger!$C$2:$C$4, FXU$2)),"****")</f>
        <v/>
      </c>
      <c r="FXV3" t="str">
        <f>IFERROR(IF($C3="","",SUMIFS(Ledger!$K$2:$K$4, Ledger!$B$2:$B$4, $A3, Ledger!$C$2:$C$4, FXV$2)),"****")</f>
        <v/>
      </c>
      <c r="FXW3" t="str">
        <f>IFERROR(IF($C3="","",SUMIFS(Ledger!$K$2:$K$4, Ledger!$B$2:$B$4, $A3, Ledger!$C$2:$C$4, FXW$2)),"****")</f>
        <v/>
      </c>
      <c r="FXX3" t="str">
        <f>IFERROR(IF($C3="","",SUMIFS(Ledger!$K$2:$K$4, Ledger!$B$2:$B$4, $A3, Ledger!$C$2:$C$4, FXX$2)),"****")</f>
        <v/>
      </c>
      <c r="FXY3" t="str">
        <f>IFERROR(IF($C3="","",SUMIFS(Ledger!$K$2:$K$4, Ledger!$B$2:$B$4, $A3, Ledger!$C$2:$C$4, FXY$2)),"****")</f>
        <v/>
      </c>
      <c r="FXZ3" t="str">
        <f>IFERROR(IF($C3="","",SUMIFS(Ledger!$K$2:$K$4, Ledger!$B$2:$B$4, $A3, Ledger!$C$2:$C$4, FXZ$2)),"****")</f>
        <v/>
      </c>
      <c r="FYA3" t="str">
        <f>IFERROR(IF($C3="","",SUMIFS(Ledger!$K$2:$K$4, Ledger!$B$2:$B$4, $A3, Ledger!$C$2:$C$4, FYA$2)),"****")</f>
        <v/>
      </c>
      <c r="FYB3" t="str">
        <f>IFERROR(IF($C3="","",SUMIFS(Ledger!$K$2:$K$4, Ledger!$B$2:$B$4, $A3, Ledger!$C$2:$C$4, FYB$2)),"****")</f>
        <v/>
      </c>
      <c r="FYC3" t="str">
        <f>IFERROR(IF($C3="","",SUMIFS(Ledger!$K$2:$K$4, Ledger!$B$2:$B$4, $A3, Ledger!$C$2:$C$4, FYC$2)),"****")</f>
        <v/>
      </c>
      <c r="FYD3" t="str">
        <f>IFERROR(IF($C3="","",SUMIFS(Ledger!$K$2:$K$4, Ledger!$B$2:$B$4, $A3, Ledger!$C$2:$C$4, FYD$2)),"****")</f>
        <v/>
      </c>
      <c r="FYE3" t="str">
        <f>IFERROR(IF($C3="","",SUMIFS(Ledger!$K$2:$K$4, Ledger!$B$2:$B$4, $A3, Ledger!$C$2:$C$4, FYE$2)),"****")</f>
        <v/>
      </c>
      <c r="FYF3" t="str">
        <f>IFERROR(IF($C3="","",SUMIFS(Ledger!$K$2:$K$4, Ledger!$B$2:$B$4, $A3, Ledger!$C$2:$C$4, FYF$2)),"****")</f>
        <v/>
      </c>
      <c r="FYG3" t="str">
        <f>IFERROR(IF($C3="","",SUMIFS(Ledger!$K$2:$K$4, Ledger!$B$2:$B$4, $A3, Ledger!$C$2:$C$4, FYG$2)),"****")</f>
        <v/>
      </c>
      <c r="FYH3" t="str">
        <f>IFERROR(IF($C3="","",SUMIFS(Ledger!$K$2:$K$4, Ledger!$B$2:$B$4, $A3, Ledger!$C$2:$C$4, FYH$2)),"****")</f>
        <v/>
      </c>
      <c r="FYI3" t="str">
        <f>IFERROR(IF($C3="","",SUMIFS(Ledger!$K$2:$K$4, Ledger!$B$2:$B$4, $A3, Ledger!$C$2:$C$4, FYI$2)),"****")</f>
        <v/>
      </c>
      <c r="FYJ3" t="str">
        <f>IFERROR(IF($C3="","",SUMIFS(Ledger!$K$2:$K$4, Ledger!$B$2:$B$4, $A3, Ledger!$C$2:$C$4, FYJ$2)),"****")</f>
        <v/>
      </c>
      <c r="FYK3" t="str">
        <f>IFERROR(IF($C3="","",SUMIFS(Ledger!$K$2:$K$4, Ledger!$B$2:$B$4, $A3, Ledger!$C$2:$C$4, FYK$2)),"****")</f>
        <v/>
      </c>
      <c r="FYL3" t="str">
        <f>IFERROR(IF($C3="","",SUMIFS(Ledger!$K$2:$K$4, Ledger!$B$2:$B$4, $A3, Ledger!$C$2:$C$4, FYL$2)),"****")</f>
        <v/>
      </c>
      <c r="FYM3" t="str">
        <f>IFERROR(IF($C3="","",SUMIFS(Ledger!$K$2:$K$4, Ledger!$B$2:$B$4, $A3, Ledger!$C$2:$C$4, FYM$2)),"****")</f>
        <v/>
      </c>
      <c r="FYN3" t="str">
        <f>IFERROR(IF($C3="","",SUMIFS(Ledger!$K$2:$K$4, Ledger!$B$2:$B$4, $A3, Ledger!$C$2:$C$4, FYN$2)),"****")</f>
        <v/>
      </c>
      <c r="FYO3" t="str">
        <f>IFERROR(IF($C3="","",SUMIFS(Ledger!$K$2:$K$4, Ledger!$B$2:$B$4, $A3, Ledger!$C$2:$C$4, FYO$2)),"****")</f>
        <v/>
      </c>
      <c r="FYP3" t="str">
        <f>IFERROR(IF($C3="","",SUMIFS(Ledger!$K$2:$K$4, Ledger!$B$2:$B$4, $A3, Ledger!$C$2:$C$4, FYP$2)),"****")</f>
        <v/>
      </c>
      <c r="FYQ3" t="str">
        <f>IFERROR(IF($C3="","",SUMIFS(Ledger!$K$2:$K$4, Ledger!$B$2:$B$4, $A3, Ledger!$C$2:$C$4, FYQ$2)),"****")</f>
        <v/>
      </c>
      <c r="FYR3" t="str">
        <f>IFERROR(IF($C3="","",SUMIFS(Ledger!$K$2:$K$4, Ledger!$B$2:$B$4, $A3, Ledger!$C$2:$C$4, FYR$2)),"****")</f>
        <v/>
      </c>
      <c r="FYS3" t="str">
        <f>IFERROR(IF($C3="","",SUMIFS(Ledger!$K$2:$K$4, Ledger!$B$2:$B$4, $A3, Ledger!$C$2:$C$4, FYS$2)),"****")</f>
        <v/>
      </c>
      <c r="FYT3" t="str">
        <f>IFERROR(IF($C3="","",SUMIFS(Ledger!$K$2:$K$4, Ledger!$B$2:$B$4, $A3, Ledger!$C$2:$C$4, FYT$2)),"****")</f>
        <v/>
      </c>
      <c r="FYU3" t="str">
        <f>IFERROR(IF($C3="","",SUMIFS(Ledger!$K$2:$K$4, Ledger!$B$2:$B$4, $A3, Ledger!$C$2:$C$4, FYU$2)),"****")</f>
        <v/>
      </c>
      <c r="FYV3" t="str">
        <f>IFERROR(IF($C3="","",SUMIFS(Ledger!$K$2:$K$4, Ledger!$B$2:$B$4, $A3, Ledger!$C$2:$C$4, FYV$2)),"****")</f>
        <v/>
      </c>
      <c r="FYW3" t="str">
        <f>IFERROR(IF($C3="","",SUMIFS(Ledger!$K$2:$K$4, Ledger!$B$2:$B$4, $A3, Ledger!$C$2:$C$4, FYW$2)),"****")</f>
        <v/>
      </c>
      <c r="FYX3" t="str">
        <f>IFERROR(IF($C3="","",SUMIFS(Ledger!$K$2:$K$4, Ledger!$B$2:$B$4, $A3, Ledger!$C$2:$C$4, FYX$2)),"****")</f>
        <v/>
      </c>
      <c r="FYY3" t="str">
        <f>IFERROR(IF($C3="","",SUMIFS(Ledger!$K$2:$K$4, Ledger!$B$2:$B$4, $A3, Ledger!$C$2:$C$4, FYY$2)),"****")</f>
        <v/>
      </c>
      <c r="FYZ3" t="str">
        <f>IFERROR(IF($C3="","",SUMIFS(Ledger!$K$2:$K$4, Ledger!$B$2:$B$4, $A3, Ledger!$C$2:$C$4, FYZ$2)),"****")</f>
        <v/>
      </c>
      <c r="FZA3" t="str">
        <f>IFERROR(IF($C3="","",SUMIFS(Ledger!$K$2:$K$4, Ledger!$B$2:$B$4, $A3, Ledger!$C$2:$C$4, FZA$2)),"****")</f>
        <v/>
      </c>
      <c r="FZB3" t="str">
        <f>IFERROR(IF($C3="","",SUMIFS(Ledger!$K$2:$K$4, Ledger!$B$2:$B$4, $A3, Ledger!$C$2:$C$4, FZB$2)),"****")</f>
        <v/>
      </c>
      <c r="FZC3" t="str">
        <f>IFERROR(IF($C3="","",SUMIFS(Ledger!$K$2:$K$4, Ledger!$B$2:$B$4, $A3, Ledger!$C$2:$C$4, FZC$2)),"****")</f>
        <v/>
      </c>
      <c r="FZD3" t="str">
        <f>IFERROR(IF($C3="","",SUMIFS(Ledger!$K$2:$K$4, Ledger!$B$2:$B$4, $A3, Ledger!$C$2:$C$4, FZD$2)),"****")</f>
        <v/>
      </c>
      <c r="FZE3" t="str">
        <f>IFERROR(IF($C3="","",SUMIFS(Ledger!$K$2:$K$4, Ledger!$B$2:$B$4, $A3, Ledger!$C$2:$C$4, FZE$2)),"****")</f>
        <v/>
      </c>
      <c r="FZF3" t="str">
        <f>IFERROR(IF($C3="","",SUMIFS(Ledger!$K$2:$K$4, Ledger!$B$2:$B$4, $A3, Ledger!$C$2:$C$4, FZF$2)),"****")</f>
        <v/>
      </c>
      <c r="FZG3" t="str">
        <f>IFERROR(IF($C3="","",SUMIFS(Ledger!$K$2:$K$4, Ledger!$B$2:$B$4, $A3, Ledger!$C$2:$C$4, FZG$2)),"****")</f>
        <v/>
      </c>
      <c r="FZH3" t="str">
        <f>IFERROR(IF($C3="","",SUMIFS(Ledger!$K$2:$K$4, Ledger!$B$2:$B$4, $A3, Ledger!$C$2:$C$4, FZH$2)),"****")</f>
        <v/>
      </c>
      <c r="FZI3" t="str">
        <f>IFERROR(IF($C3="","",SUMIFS(Ledger!$K$2:$K$4, Ledger!$B$2:$B$4, $A3, Ledger!$C$2:$C$4, FZI$2)),"****")</f>
        <v/>
      </c>
      <c r="FZJ3" t="str">
        <f>IFERROR(IF($C3="","",SUMIFS(Ledger!$K$2:$K$4, Ledger!$B$2:$B$4, $A3, Ledger!$C$2:$C$4, FZJ$2)),"****")</f>
        <v/>
      </c>
      <c r="FZK3" t="str">
        <f>IFERROR(IF($C3="","",SUMIFS(Ledger!$K$2:$K$4, Ledger!$B$2:$B$4, $A3, Ledger!$C$2:$C$4, FZK$2)),"****")</f>
        <v/>
      </c>
      <c r="FZL3" t="str">
        <f>IFERROR(IF($C3="","",SUMIFS(Ledger!$K$2:$K$4, Ledger!$B$2:$B$4, $A3, Ledger!$C$2:$C$4, FZL$2)),"****")</f>
        <v/>
      </c>
      <c r="FZM3" t="str">
        <f>IFERROR(IF($C3="","",SUMIFS(Ledger!$K$2:$K$4, Ledger!$B$2:$B$4, $A3, Ledger!$C$2:$C$4, FZM$2)),"****")</f>
        <v/>
      </c>
      <c r="FZN3" t="str">
        <f>IFERROR(IF($C3="","",SUMIFS(Ledger!$K$2:$K$4, Ledger!$B$2:$B$4, $A3, Ledger!$C$2:$C$4, FZN$2)),"****")</f>
        <v/>
      </c>
      <c r="FZO3" t="str">
        <f>IFERROR(IF($C3="","",SUMIFS(Ledger!$K$2:$K$4, Ledger!$B$2:$B$4, $A3, Ledger!$C$2:$C$4, FZO$2)),"****")</f>
        <v/>
      </c>
      <c r="FZP3" t="str">
        <f>IFERROR(IF($C3="","",SUMIFS(Ledger!$K$2:$K$4, Ledger!$B$2:$B$4, $A3, Ledger!$C$2:$C$4, FZP$2)),"****")</f>
        <v/>
      </c>
      <c r="FZQ3" t="str">
        <f>IFERROR(IF($C3="","",SUMIFS(Ledger!$K$2:$K$4, Ledger!$B$2:$B$4, $A3, Ledger!$C$2:$C$4, FZQ$2)),"****")</f>
        <v/>
      </c>
      <c r="FZR3" t="str">
        <f>IFERROR(IF($C3="","",SUMIFS(Ledger!$K$2:$K$4, Ledger!$B$2:$B$4, $A3, Ledger!$C$2:$C$4, FZR$2)),"****")</f>
        <v/>
      </c>
      <c r="FZS3" t="str">
        <f>IFERROR(IF($C3="","",SUMIFS(Ledger!$K$2:$K$4, Ledger!$B$2:$B$4, $A3, Ledger!$C$2:$C$4, FZS$2)),"****")</f>
        <v/>
      </c>
      <c r="FZT3" t="str">
        <f>IFERROR(IF($C3="","",SUMIFS(Ledger!$K$2:$K$4, Ledger!$B$2:$B$4, $A3, Ledger!$C$2:$C$4, FZT$2)),"****")</f>
        <v/>
      </c>
      <c r="FZU3" t="str">
        <f>IFERROR(IF($C3="","",SUMIFS(Ledger!$K$2:$K$4, Ledger!$B$2:$B$4, $A3, Ledger!$C$2:$C$4, FZU$2)),"****")</f>
        <v/>
      </c>
      <c r="FZV3" t="str">
        <f>IFERROR(IF($C3="","",SUMIFS(Ledger!$K$2:$K$4, Ledger!$B$2:$B$4, $A3, Ledger!$C$2:$C$4, FZV$2)),"****")</f>
        <v/>
      </c>
      <c r="FZW3" t="str">
        <f>IFERROR(IF($C3="","",SUMIFS(Ledger!$K$2:$K$4, Ledger!$B$2:$B$4, $A3, Ledger!$C$2:$C$4, FZW$2)),"****")</f>
        <v/>
      </c>
      <c r="FZX3" t="str">
        <f>IFERROR(IF($C3="","",SUMIFS(Ledger!$K$2:$K$4, Ledger!$B$2:$B$4, $A3, Ledger!$C$2:$C$4, FZX$2)),"****")</f>
        <v/>
      </c>
      <c r="FZY3" t="str">
        <f>IFERROR(IF($C3="","",SUMIFS(Ledger!$K$2:$K$4, Ledger!$B$2:$B$4, $A3, Ledger!$C$2:$C$4, FZY$2)),"****")</f>
        <v/>
      </c>
      <c r="FZZ3" t="str">
        <f>IFERROR(IF($C3="","",SUMIFS(Ledger!$K$2:$K$4, Ledger!$B$2:$B$4, $A3, Ledger!$C$2:$C$4, FZZ$2)),"****")</f>
        <v/>
      </c>
      <c r="GAA3" t="str">
        <f>IFERROR(IF($C3="","",SUMIFS(Ledger!$K$2:$K$4, Ledger!$B$2:$B$4, $A3, Ledger!$C$2:$C$4, GAA$2)),"****")</f>
        <v/>
      </c>
      <c r="GAB3" t="str">
        <f>IFERROR(IF($C3="","",SUMIFS(Ledger!$K$2:$K$4, Ledger!$B$2:$B$4, $A3, Ledger!$C$2:$C$4, GAB$2)),"****")</f>
        <v/>
      </c>
      <c r="GAC3" t="str">
        <f>IFERROR(IF($C3="","",SUMIFS(Ledger!$K$2:$K$4, Ledger!$B$2:$B$4, $A3, Ledger!$C$2:$C$4, GAC$2)),"****")</f>
        <v/>
      </c>
      <c r="GAD3" t="str">
        <f>IFERROR(IF($C3="","",SUMIFS(Ledger!$K$2:$K$4, Ledger!$B$2:$B$4, $A3, Ledger!$C$2:$C$4, GAD$2)),"****")</f>
        <v/>
      </c>
      <c r="GAE3" t="str">
        <f>IFERROR(IF($C3="","",SUMIFS(Ledger!$K$2:$K$4, Ledger!$B$2:$B$4, $A3, Ledger!$C$2:$C$4, GAE$2)),"****")</f>
        <v/>
      </c>
      <c r="GAF3" t="str">
        <f>IFERROR(IF($C3="","",SUMIFS(Ledger!$K$2:$K$4, Ledger!$B$2:$B$4, $A3, Ledger!$C$2:$C$4, GAF$2)),"****")</f>
        <v/>
      </c>
      <c r="GAG3" t="str">
        <f>IFERROR(IF($C3="","",SUMIFS(Ledger!$K$2:$K$4, Ledger!$B$2:$B$4, $A3, Ledger!$C$2:$C$4, GAG$2)),"****")</f>
        <v/>
      </c>
      <c r="GAH3" t="str">
        <f>IFERROR(IF($C3="","",SUMIFS(Ledger!$K$2:$K$4, Ledger!$B$2:$B$4, $A3, Ledger!$C$2:$C$4, GAH$2)),"****")</f>
        <v/>
      </c>
      <c r="GAI3" t="str">
        <f>IFERROR(IF($C3="","",SUMIFS(Ledger!$K$2:$K$4, Ledger!$B$2:$B$4, $A3, Ledger!$C$2:$C$4, GAI$2)),"****")</f>
        <v/>
      </c>
      <c r="GAJ3" t="str">
        <f>IFERROR(IF($C3="","",SUMIFS(Ledger!$K$2:$K$4, Ledger!$B$2:$B$4, $A3, Ledger!$C$2:$C$4, GAJ$2)),"****")</f>
        <v/>
      </c>
      <c r="GAK3" t="str">
        <f>IFERROR(IF($C3="","",SUMIFS(Ledger!$K$2:$K$4, Ledger!$B$2:$B$4, $A3, Ledger!$C$2:$C$4, GAK$2)),"****")</f>
        <v/>
      </c>
      <c r="GAL3" t="str">
        <f>IFERROR(IF($C3="","",SUMIFS(Ledger!$K$2:$K$4, Ledger!$B$2:$B$4, $A3, Ledger!$C$2:$C$4, GAL$2)),"****")</f>
        <v/>
      </c>
      <c r="GAM3" t="str">
        <f>IFERROR(IF($C3="","",SUMIFS(Ledger!$K$2:$K$4, Ledger!$B$2:$B$4, $A3, Ledger!$C$2:$C$4, GAM$2)),"****")</f>
        <v/>
      </c>
      <c r="GAN3" t="str">
        <f>IFERROR(IF($C3="","",SUMIFS(Ledger!$K$2:$K$4, Ledger!$B$2:$B$4, $A3, Ledger!$C$2:$C$4, GAN$2)),"****")</f>
        <v/>
      </c>
      <c r="GAO3" t="str">
        <f>IFERROR(IF($C3="","",SUMIFS(Ledger!$K$2:$K$4, Ledger!$B$2:$B$4, $A3, Ledger!$C$2:$C$4, GAO$2)),"****")</f>
        <v/>
      </c>
      <c r="GAP3" t="str">
        <f>IFERROR(IF($C3="","",SUMIFS(Ledger!$K$2:$K$4, Ledger!$B$2:$B$4, $A3, Ledger!$C$2:$C$4, GAP$2)),"****")</f>
        <v/>
      </c>
      <c r="GAQ3" t="str">
        <f>IFERROR(IF($C3="","",SUMIFS(Ledger!$K$2:$K$4, Ledger!$B$2:$B$4, $A3, Ledger!$C$2:$C$4, GAQ$2)),"****")</f>
        <v/>
      </c>
      <c r="GAR3" t="str">
        <f>IFERROR(IF($C3="","",SUMIFS(Ledger!$K$2:$K$4, Ledger!$B$2:$B$4, $A3, Ledger!$C$2:$C$4, GAR$2)),"****")</f>
        <v/>
      </c>
      <c r="GAS3" t="str">
        <f>IFERROR(IF($C3="","",SUMIFS(Ledger!$K$2:$K$4, Ledger!$B$2:$B$4, $A3, Ledger!$C$2:$C$4, GAS$2)),"****")</f>
        <v/>
      </c>
      <c r="GAT3" t="str">
        <f>IFERROR(IF($C3="","",SUMIFS(Ledger!$K$2:$K$4, Ledger!$B$2:$B$4, $A3, Ledger!$C$2:$C$4, GAT$2)),"****")</f>
        <v/>
      </c>
      <c r="GAU3" t="str">
        <f>IFERROR(IF($C3="","",SUMIFS(Ledger!$K$2:$K$4, Ledger!$B$2:$B$4, $A3, Ledger!$C$2:$C$4, GAU$2)),"****")</f>
        <v/>
      </c>
      <c r="GAV3" t="str">
        <f>IFERROR(IF($C3="","",SUMIFS(Ledger!$K$2:$K$4, Ledger!$B$2:$B$4, $A3, Ledger!$C$2:$C$4, GAV$2)),"****")</f>
        <v/>
      </c>
      <c r="GAW3" t="str">
        <f>IFERROR(IF($C3="","",SUMIFS(Ledger!$K$2:$K$4, Ledger!$B$2:$B$4, $A3, Ledger!$C$2:$C$4, GAW$2)),"****")</f>
        <v/>
      </c>
      <c r="GAX3" t="str">
        <f>IFERROR(IF($C3="","",SUMIFS(Ledger!$K$2:$K$4, Ledger!$B$2:$B$4, $A3, Ledger!$C$2:$C$4, GAX$2)),"****")</f>
        <v/>
      </c>
      <c r="GAY3" t="str">
        <f>IFERROR(IF($C3="","",SUMIFS(Ledger!$K$2:$K$4, Ledger!$B$2:$B$4, $A3, Ledger!$C$2:$C$4, GAY$2)),"****")</f>
        <v/>
      </c>
      <c r="GAZ3" t="str">
        <f>IFERROR(IF($C3="","",SUMIFS(Ledger!$K$2:$K$4, Ledger!$B$2:$B$4, $A3, Ledger!$C$2:$C$4, GAZ$2)),"****")</f>
        <v/>
      </c>
      <c r="GBA3" t="str">
        <f>IFERROR(IF($C3="","",SUMIFS(Ledger!$K$2:$K$4, Ledger!$B$2:$B$4, $A3, Ledger!$C$2:$C$4, GBA$2)),"****")</f>
        <v/>
      </c>
      <c r="GBB3" t="str">
        <f>IFERROR(IF($C3="","",SUMIFS(Ledger!$K$2:$K$4, Ledger!$B$2:$B$4, $A3, Ledger!$C$2:$C$4, GBB$2)),"****")</f>
        <v/>
      </c>
      <c r="GBC3" t="str">
        <f>IFERROR(IF($C3="","",SUMIFS(Ledger!$K$2:$K$4, Ledger!$B$2:$B$4, $A3, Ledger!$C$2:$C$4, GBC$2)),"****")</f>
        <v/>
      </c>
      <c r="GBD3" t="str">
        <f>IFERROR(IF($C3="","",SUMIFS(Ledger!$K$2:$K$4, Ledger!$B$2:$B$4, $A3, Ledger!$C$2:$C$4, GBD$2)),"****")</f>
        <v/>
      </c>
      <c r="GBE3" t="str">
        <f>IFERROR(IF($C3="","",SUMIFS(Ledger!$K$2:$K$4, Ledger!$B$2:$B$4, $A3, Ledger!$C$2:$C$4, GBE$2)),"****")</f>
        <v/>
      </c>
      <c r="GBF3" t="str">
        <f>IFERROR(IF($C3="","",SUMIFS(Ledger!$K$2:$K$4, Ledger!$B$2:$B$4, $A3, Ledger!$C$2:$C$4, GBF$2)),"****")</f>
        <v/>
      </c>
      <c r="GBG3" t="str">
        <f>IFERROR(IF($C3="","",SUMIFS(Ledger!$K$2:$K$4, Ledger!$B$2:$B$4, $A3, Ledger!$C$2:$C$4, GBG$2)),"****")</f>
        <v/>
      </c>
      <c r="GBH3" t="str">
        <f>IFERROR(IF($C3="","",SUMIFS(Ledger!$K$2:$K$4, Ledger!$B$2:$B$4, $A3, Ledger!$C$2:$C$4, GBH$2)),"****")</f>
        <v/>
      </c>
      <c r="GBI3" t="str">
        <f>IFERROR(IF($C3="","",SUMIFS(Ledger!$K$2:$K$4, Ledger!$B$2:$B$4, $A3, Ledger!$C$2:$C$4, GBI$2)),"****")</f>
        <v/>
      </c>
      <c r="GBJ3" t="str">
        <f>IFERROR(IF($C3="","",SUMIFS(Ledger!$K$2:$K$4, Ledger!$B$2:$B$4, $A3, Ledger!$C$2:$C$4, GBJ$2)),"****")</f>
        <v/>
      </c>
      <c r="GBK3" t="str">
        <f>IFERROR(IF($C3="","",SUMIFS(Ledger!$K$2:$K$4, Ledger!$B$2:$B$4, $A3, Ledger!$C$2:$C$4, GBK$2)),"****")</f>
        <v/>
      </c>
      <c r="GBL3" t="str">
        <f>IFERROR(IF($C3="","",SUMIFS(Ledger!$K$2:$K$4, Ledger!$B$2:$B$4, $A3, Ledger!$C$2:$C$4, GBL$2)),"****")</f>
        <v/>
      </c>
      <c r="GBM3" t="str">
        <f>IFERROR(IF($C3="","",SUMIFS(Ledger!$K$2:$K$4, Ledger!$B$2:$B$4, $A3, Ledger!$C$2:$C$4, GBM$2)),"****")</f>
        <v/>
      </c>
      <c r="GBN3" t="str">
        <f>IFERROR(IF($C3="","",SUMIFS(Ledger!$K$2:$K$4, Ledger!$B$2:$B$4, $A3, Ledger!$C$2:$C$4, GBN$2)),"****")</f>
        <v/>
      </c>
      <c r="GBO3" t="str">
        <f>IFERROR(IF($C3="","",SUMIFS(Ledger!$K$2:$K$4, Ledger!$B$2:$B$4, $A3, Ledger!$C$2:$C$4, GBO$2)),"****")</f>
        <v/>
      </c>
      <c r="GBP3" t="str">
        <f>IFERROR(IF($C3="","",SUMIFS(Ledger!$K$2:$K$4, Ledger!$B$2:$B$4, $A3, Ledger!$C$2:$C$4, GBP$2)),"****")</f>
        <v/>
      </c>
      <c r="GBQ3" t="str">
        <f>IFERROR(IF($C3="","",SUMIFS(Ledger!$K$2:$K$4, Ledger!$B$2:$B$4, $A3, Ledger!$C$2:$C$4, GBQ$2)),"****")</f>
        <v/>
      </c>
      <c r="GBR3" t="str">
        <f>IFERROR(IF($C3="","",SUMIFS(Ledger!$K$2:$K$4, Ledger!$B$2:$B$4, $A3, Ledger!$C$2:$C$4, GBR$2)),"****")</f>
        <v/>
      </c>
      <c r="GBS3" t="str">
        <f>IFERROR(IF($C3="","",SUMIFS(Ledger!$K$2:$K$4, Ledger!$B$2:$B$4, $A3, Ledger!$C$2:$C$4, GBS$2)),"****")</f>
        <v/>
      </c>
      <c r="GBT3" t="str">
        <f>IFERROR(IF($C3="","",SUMIFS(Ledger!$K$2:$K$4, Ledger!$B$2:$B$4, $A3, Ledger!$C$2:$C$4, GBT$2)),"****")</f>
        <v/>
      </c>
      <c r="GBU3" t="str">
        <f>IFERROR(IF($C3="","",SUMIFS(Ledger!$K$2:$K$4, Ledger!$B$2:$B$4, $A3, Ledger!$C$2:$C$4, GBU$2)),"****")</f>
        <v/>
      </c>
      <c r="GBV3" t="str">
        <f>IFERROR(IF($C3="","",SUMIFS(Ledger!$K$2:$K$4, Ledger!$B$2:$B$4, $A3, Ledger!$C$2:$C$4, GBV$2)),"****")</f>
        <v/>
      </c>
      <c r="GBW3" t="str">
        <f>IFERROR(IF($C3="","",SUMIFS(Ledger!$K$2:$K$4, Ledger!$B$2:$B$4, $A3, Ledger!$C$2:$C$4, GBW$2)),"****")</f>
        <v/>
      </c>
      <c r="GBX3" t="str">
        <f>IFERROR(IF($C3="","",SUMIFS(Ledger!$K$2:$K$4, Ledger!$B$2:$B$4, $A3, Ledger!$C$2:$C$4, GBX$2)),"****")</f>
        <v/>
      </c>
      <c r="GBY3" t="str">
        <f>IFERROR(IF($C3="","",SUMIFS(Ledger!$K$2:$K$4, Ledger!$B$2:$B$4, $A3, Ledger!$C$2:$C$4, GBY$2)),"****")</f>
        <v/>
      </c>
      <c r="GBZ3" t="str">
        <f>IFERROR(IF($C3="","",SUMIFS(Ledger!$K$2:$K$4, Ledger!$B$2:$B$4, $A3, Ledger!$C$2:$C$4, GBZ$2)),"****")</f>
        <v/>
      </c>
      <c r="GCA3" t="str">
        <f>IFERROR(IF($C3="","",SUMIFS(Ledger!$K$2:$K$4, Ledger!$B$2:$B$4, $A3, Ledger!$C$2:$C$4, GCA$2)),"****")</f>
        <v/>
      </c>
      <c r="GCB3" t="str">
        <f>IFERROR(IF($C3="","",SUMIFS(Ledger!$K$2:$K$4, Ledger!$B$2:$B$4, $A3, Ledger!$C$2:$C$4, GCB$2)),"****")</f>
        <v/>
      </c>
      <c r="GCC3" t="str">
        <f>IFERROR(IF($C3="","",SUMIFS(Ledger!$K$2:$K$4, Ledger!$B$2:$B$4, $A3, Ledger!$C$2:$C$4, GCC$2)),"****")</f>
        <v/>
      </c>
      <c r="GCD3" t="str">
        <f>IFERROR(IF($C3="","",SUMIFS(Ledger!$K$2:$K$4, Ledger!$B$2:$B$4, $A3, Ledger!$C$2:$C$4, GCD$2)),"****")</f>
        <v/>
      </c>
      <c r="GCE3" t="str">
        <f>IFERROR(IF($C3="","",SUMIFS(Ledger!$K$2:$K$4, Ledger!$B$2:$B$4, $A3, Ledger!$C$2:$C$4, GCE$2)),"****")</f>
        <v/>
      </c>
      <c r="GCF3" t="str">
        <f>IFERROR(IF($C3="","",SUMIFS(Ledger!$K$2:$K$4, Ledger!$B$2:$B$4, $A3, Ledger!$C$2:$C$4, GCF$2)),"****")</f>
        <v/>
      </c>
      <c r="GCG3" t="str">
        <f>IFERROR(IF($C3="","",SUMIFS(Ledger!$K$2:$K$4, Ledger!$B$2:$B$4, $A3, Ledger!$C$2:$C$4, GCG$2)),"****")</f>
        <v/>
      </c>
      <c r="GCH3" t="str">
        <f>IFERROR(IF($C3="","",SUMIFS(Ledger!$K$2:$K$4, Ledger!$B$2:$B$4, $A3, Ledger!$C$2:$C$4, GCH$2)),"****")</f>
        <v/>
      </c>
      <c r="GCI3" t="str">
        <f>IFERROR(IF($C3="","",SUMIFS(Ledger!$K$2:$K$4, Ledger!$B$2:$B$4, $A3, Ledger!$C$2:$C$4, GCI$2)),"****")</f>
        <v/>
      </c>
      <c r="GCJ3" t="str">
        <f>IFERROR(IF($C3="","",SUMIFS(Ledger!$K$2:$K$4, Ledger!$B$2:$B$4, $A3, Ledger!$C$2:$C$4, GCJ$2)),"****")</f>
        <v/>
      </c>
      <c r="GCK3" t="str">
        <f>IFERROR(IF($C3="","",SUMIFS(Ledger!$K$2:$K$4, Ledger!$B$2:$B$4, $A3, Ledger!$C$2:$C$4, GCK$2)),"****")</f>
        <v/>
      </c>
      <c r="GCL3" t="str">
        <f>IFERROR(IF($C3="","",SUMIFS(Ledger!$K$2:$K$4, Ledger!$B$2:$B$4, $A3, Ledger!$C$2:$C$4, GCL$2)),"****")</f>
        <v/>
      </c>
      <c r="GCM3" t="str">
        <f>IFERROR(IF($C3="","",SUMIFS(Ledger!$K$2:$K$4, Ledger!$B$2:$B$4, $A3, Ledger!$C$2:$C$4, GCM$2)),"****")</f>
        <v/>
      </c>
      <c r="GCN3" t="str">
        <f>IFERROR(IF($C3="","",SUMIFS(Ledger!$K$2:$K$4, Ledger!$B$2:$B$4, $A3, Ledger!$C$2:$C$4, GCN$2)),"****")</f>
        <v/>
      </c>
      <c r="GCO3" t="str">
        <f>IFERROR(IF($C3="","",SUMIFS(Ledger!$K$2:$K$4, Ledger!$B$2:$B$4, $A3, Ledger!$C$2:$C$4, GCO$2)),"****")</f>
        <v/>
      </c>
      <c r="GCP3" t="str">
        <f>IFERROR(IF($C3="","",SUMIFS(Ledger!$K$2:$K$4, Ledger!$B$2:$B$4, $A3, Ledger!$C$2:$C$4, GCP$2)),"****")</f>
        <v/>
      </c>
      <c r="GCQ3" t="str">
        <f>IFERROR(IF($C3="","",SUMIFS(Ledger!$K$2:$K$4, Ledger!$B$2:$B$4, $A3, Ledger!$C$2:$C$4, GCQ$2)),"****")</f>
        <v/>
      </c>
      <c r="GCR3" t="str">
        <f>IFERROR(IF($C3="","",SUMIFS(Ledger!$K$2:$K$4, Ledger!$B$2:$B$4, $A3, Ledger!$C$2:$C$4, GCR$2)),"****")</f>
        <v/>
      </c>
      <c r="GCS3" t="str">
        <f>IFERROR(IF($C3="","",SUMIFS(Ledger!$K$2:$K$4, Ledger!$B$2:$B$4, $A3, Ledger!$C$2:$C$4, GCS$2)),"****")</f>
        <v/>
      </c>
      <c r="GCT3" t="str">
        <f>IFERROR(IF($C3="","",SUMIFS(Ledger!$K$2:$K$4, Ledger!$B$2:$B$4, $A3, Ledger!$C$2:$C$4, GCT$2)),"****")</f>
        <v/>
      </c>
      <c r="GCU3" t="str">
        <f>IFERROR(IF($C3="","",SUMIFS(Ledger!$K$2:$K$4, Ledger!$B$2:$B$4, $A3, Ledger!$C$2:$C$4, GCU$2)),"****")</f>
        <v/>
      </c>
      <c r="GCV3" t="str">
        <f>IFERROR(IF($C3="","",SUMIFS(Ledger!$K$2:$K$4, Ledger!$B$2:$B$4, $A3, Ledger!$C$2:$C$4, GCV$2)),"****")</f>
        <v/>
      </c>
      <c r="GCW3" t="str">
        <f>IFERROR(IF($C3="","",SUMIFS(Ledger!$K$2:$K$4, Ledger!$B$2:$B$4, $A3, Ledger!$C$2:$C$4, GCW$2)),"****")</f>
        <v/>
      </c>
      <c r="GCX3" t="str">
        <f>IFERROR(IF($C3="","",SUMIFS(Ledger!$K$2:$K$4, Ledger!$B$2:$B$4, $A3, Ledger!$C$2:$C$4, GCX$2)),"****")</f>
        <v/>
      </c>
      <c r="GCY3" t="str">
        <f>IFERROR(IF($C3="","",SUMIFS(Ledger!$K$2:$K$4, Ledger!$B$2:$B$4, $A3, Ledger!$C$2:$C$4, GCY$2)),"****")</f>
        <v/>
      </c>
      <c r="GCZ3" t="str">
        <f>IFERROR(IF($C3="","",SUMIFS(Ledger!$K$2:$K$4, Ledger!$B$2:$B$4, $A3, Ledger!$C$2:$C$4, GCZ$2)),"****")</f>
        <v/>
      </c>
      <c r="GDA3" t="str">
        <f>IFERROR(IF($C3="","",SUMIFS(Ledger!$K$2:$K$4, Ledger!$B$2:$B$4, $A3, Ledger!$C$2:$C$4, GDA$2)),"****")</f>
        <v/>
      </c>
      <c r="GDB3" t="str">
        <f>IFERROR(IF($C3="","",SUMIFS(Ledger!$K$2:$K$4, Ledger!$B$2:$B$4, $A3, Ledger!$C$2:$C$4, GDB$2)),"****")</f>
        <v/>
      </c>
      <c r="GDC3" t="str">
        <f>IFERROR(IF($C3="","",SUMIFS(Ledger!$K$2:$K$4, Ledger!$B$2:$B$4, $A3, Ledger!$C$2:$C$4, GDC$2)),"****")</f>
        <v/>
      </c>
      <c r="GDD3" t="str">
        <f>IFERROR(IF($C3="","",SUMIFS(Ledger!$K$2:$K$4, Ledger!$B$2:$B$4, $A3, Ledger!$C$2:$C$4, GDD$2)),"****")</f>
        <v/>
      </c>
      <c r="GDE3" t="str">
        <f>IFERROR(IF($C3="","",SUMIFS(Ledger!$K$2:$K$4, Ledger!$B$2:$B$4, $A3, Ledger!$C$2:$C$4, GDE$2)),"****")</f>
        <v/>
      </c>
      <c r="GDF3" t="str">
        <f>IFERROR(IF($C3="","",SUMIFS(Ledger!$K$2:$K$4, Ledger!$B$2:$B$4, $A3, Ledger!$C$2:$C$4, GDF$2)),"****")</f>
        <v/>
      </c>
      <c r="GDG3" t="str">
        <f>IFERROR(IF($C3="","",SUMIFS(Ledger!$K$2:$K$4, Ledger!$B$2:$B$4, $A3, Ledger!$C$2:$C$4, GDG$2)),"****")</f>
        <v/>
      </c>
      <c r="GDH3" t="str">
        <f>IFERROR(IF($C3="","",SUMIFS(Ledger!$K$2:$K$4, Ledger!$B$2:$B$4, $A3, Ledger!$C$2:$C$4, GDH$2)),"****")</f>
        <v/>
      </c>
      <c r="GDI3" t="str">
        <f>IFERROR(IF($C3="","",SUMIFS(Ledger!$K$2:$K$4, Ledger!$B$2:$B$4, $A3, Ledger!$C$2:$C$4, GDI$2)),"****")</f>
        <v/>
      </c>
      <c r="GDJ3" t="str">
        <f>IFERROR(IF($C3="","",SUMIFS(Ledger!$K$2:$K$4, Ledger!$B$2:$B$4, $A3, Ledger!$C$2:$C$4, GDJ$2)),"****")</f>
        <v/>
      </c>
      <c r="GDK3" t="str">
        <f>IFERROR(IF($C3="","",SUMIFS(Ledger!$K$2:$K$4, Ledger!$B$2:$B$4, $A3, Ledger!$C$2:$C$4, GDK$2)),"****")</f>
        <v/>
      </c>
      <c r="GDL3" t="str">
        <f>IFERROR(IF($C3="","",SUMIFS(Ledger!$K$2:$K$4, Ledger!$B$2:$B$4, $A3, Ledger!$C$2:$C$4, GDL$2)),"****")</f>
        <v/>
      </c>
      <c r="GDM3" t="str">
        <f>IFERROR(IF($C3="","",SUMIFS(Ledger!$K$2:$K$4, Ledger!$B$2:$B$4, $A3, Ledger!$C$2:$C$4, GDM$2)),"****")</f>
        <v/>
      </c>
      <c r="GDN3" t="str">
        <f>IFERROR(IF($C3="","",SUMIFS(Ledger!$K$2:$K$4, Ledger!$B$2:$B$4, $A3, Ledger!$C$2:$C$4, GDN$2)),"****")</f>
        <v/>
      </c>
      <c r="GDO3" t="str">
        <f>IFERROR(IF($C3="","",SUMIFS(Ledger!$K$2:$K$4, Ledger!$B$2:$B$4, $A3, Ledger!$C$2:$C$4, GDO$2)),"****")</f>
        <v/>
      </c>
      <c r="GDP3" t="str">
        <f>IFERROR(IF($C3="","",SUMIFS(Ledger!$K$2:$K$4, Ledger!$B$2:$B$4, $A3, Ledger!$C$2:$C$4, GDP$2)),"****")</f>
        <v/>
      </c>
      <c r="GDQ3" t="str">
        <f>IFERROR(IF($C3="","",SUMIFS(Ledger!$K$2:$K$4, Ledger!$B$2:$B$4, $A3, Ledger!$C$2:$C$4, GDQ$2)),"****")</f>
        <v/>
      </c>
      <c r="GDR3" t="str">
        <f>IFERROR(IF($C3="","",SUMIFS(Ledger!$K$2:$K$4, Ledger!$B$2:$B$4, $A3, Ledger!$C$2:$C$4, GDR$2)),"****")</f>
        <v/>
      </c>
      <c r="GDS3" t="str">
        <f>IFERROR(IF($C3="","",SUMIFS(Ledger!$K$2:$K$4, Ledger!$B$2:$B$4, $A3, Ledger!$C$2:$C$4, GDS$2)),"****")</f>
        <v/>
      </c>
      <c r="GDT3" t="str">
        <f>IFERROR(IF($C3="","",SUMIFS(Ledger!$K$2:$K$4, Ledger!$B$2:$B$4, $A3, Ledger!$C$2:$C$4, GDT$2)),"****")</f>
        <v/>
      </c>
      <c r="GDU3" t="str">
        <f>IFERROR(IF($C3="","",SUMIFS(Ledger!$K$2:$K$4, Ledger!$B$2:$B$4, $A3, Ledger!$C$2:$C$4, GDU$2)),"****")</f>
        <v/>
      </c>
      <c r="GDV3" t="str">
        <f>IFERROR(IF($C3="","",SUMIFS(Ledger!$K$2:$K$4, Ledger!$B$2:$B$4, $A3, Ledger!$C$2:$C$4, GDV$2)),"****")</f>
        <v/>
      </c>
      <c r="GDW3" t="str">
        <f>IFERROR(IF($C3="","",SUMIFS(Ledger!$K$2:$K$4, Ledger!$B$2:$B$4, $A3, Ledger!$C$2:$C$4, GDW$2)),"****")</f>
        <v/>
      </c>
      <c r="GDX3" t="str">
        <f>IFERROR(IF($C3="","",SUMIFS(Ledger!$K$2:$K$4, Ledger!$B$2:$B$4, $A3, Ledger!$C$2:$C$4, GDX$2)),"****")</f>
        <v/>
      </c>
      <c r="GDY3" t="str">
        <f>IFERROR(IF($C3="","",SUMIFS(Ledger!$K$2:$K$4, Ledger!$B$2:$B$4, $A3, Ledger!$C$2:$C$4, GDY$2)),"****")</f>
        <v/>
      </c>
      <c r="GDZ3" t="str">
        <f>IFERROR(IF($C3="","",SUMIFS(Ledger!$K$2:$K$4, Ledger!$B$2:$B$4, $A3, Ledger!$C$2:$C$4, GDZ$2)),"****")</f>
        <v/>
      </c>
      <c r="GEA3" t="str">
        <f>IFERROR(IF($C3="","",SUMIFS(Ledger!$K$2:$K$4, Ledger!$B$2:$B$4, $A3, Ledger!$C$2:$C$4, GEA$2)),"****")</f>
        <v/>
      </c>
      <c r="GEB3" t="str">
        <f>IFERROR(IF($C3="","",SUMIFS(Ledger!$K$2:$K$4, Ledger!$B$2:$B$4, $A3, Ledger!$C$2:$C$4, GEB$2)),"****")</f>
        <v/>
      </c>
      <c r="GEC3" t="str">
        <f>IFERROR(IF($C3="","",SUMIFS(Ledger!$K$2:$K$4, Ledger!$B$2:$B$4, $A3, Ledger!$C$2:$C$4, GEC$2)),"****")</f>
        <v/>
      </c>
      <c r="GED3" t="str">
        <f>IFERROR(IF($C3="","",SUMIFS(Ledger!$K$2:$K$4, Ledger!$B$2:$B$4, $A3, Ledger!$C$2:$C$4, GED$2)),"****")</f>
        <v/>
      </c>
      <c r="GEE3" t="str">
        <f>IFERROR(IF($C3="","",SUMIFS(Ledger!$K$2:$K$4, Ledger!$B$2:$B$4, $A3, Ledger!$C$2:$C$4, GEE$2)),"****")</f>
        <v/>
      </c>
      <c r="GEF3" t="str">
        <f>IFERROR(IF($C3="","",SUMIFS(Ledger!$K$2:$K$4, Ledger!$B$2:$B$4, $A3, Ledger!$C$2:$C$4, GEF$2)),"****")</f>
        <v/>
      </c>
      <c r="GEG3" t="str">
        <f>IFERROR(IF($C3="","",SUMIFS(Ledger!$K$2:$K$4, Ledger!$B$2:$B$4, $A3, Ledger!$C$2:$C$4, GEG$2)),"****")</f>
        <v/>
      </c>
      <c r="GEH3" t="str">
        <f>IFERROR(IF($C3="","",SUMIFS(Ledger!$K$2:$K$4, Ledger!$B$2:$B$4, $A3, Ledger!$C$2:$C$4, GEH$2)),"****")</f>
        <v/>
      </c>
      <c r="GEI3" t="str">
        <f>IFERROR(IF($C3="","",SUMIFS(Ledger!$K$2:$K$4, Ledger!$B$2:$B$4, $A3, Ledger!$C$2:$C$4, GEI$2)),"****")</f>
        <v/>
      </c>
      <c r="GEJ3" t="str">
        <f>IFERROR(IF($C3="","",SUMIFS(Ledger!$K$2:$K$4, Ledger!$B$2:$B$4, $A3, Ledger!$C$2:$C$4, GEJ$2)),"****")</f>
        <v/>
      </c>
      <c r="GEK3" t="str">
        <f>IFERROR(IF($C3="","",SUMIFS(Ledger!$K$2:$K$4, Ledger!$B$2:$B$4, $A3, Ledger!$C$2:$C$4, GEK$2)),"****")</f>
        <v/>
      </c>
      <c r="GEL3" t="str">
        <f>IFERROR(IF($C3="","",SUMIFS(Ledger!$K$2:$K$4, Ledger!$B$2:$B$4, $A3, Ledger!$C$2:$C$4, GEL$2)),"****")</f>
        <v/>
      </c>
      <c r="GEM3" t="str">
        <f>IFERROR(IF($C3="","",SUMIFS(Ledger!$K$2:$K$4, Ledger!$B$2:$B$4, $A3, Ledger!$C$2:$C$4, GEM$2)),"****")</f>
        <v/>
      </c>
      <c r="GEN3" t="str">
        <f>IFERROR(IF($C3="","",SUMIFS(Ledger!$K$2:$K$4, Ledger!$B$2:$B$4, $A3, Ledger!$C$2:$C$4, GEN$2)),"****")</f>
        <v/>
      </c>
      <c r="GEO3" t="str">
        <f>IFERROR(IF($C3="","",SUMIFS(Ledger!$K$2:$K$4, Ledger!$B$2:$B$4, $A3, Ledger!$C$2:$C$4, GEO$2)),"****")</f>
        <v/>
      </c>
      <c r="GEP3" t="str">
        <f>IFERROR(IF($C3="","",SUMIFS(Ledger!$K$2:$K$4, Ledger!$B$2:$B$4, $A3, Ledger!$C$2:$C$4, GEP$2)),"****")</f>
        <v/>
      </c>
      <c r="GEQ3" t="str">
        <f>IFERROR(IF($C3="","",SUMIFS(Ledger!$K$2:$K$4, Ledger!$B$2:$B$4, $A3, Ledger!$C$2:$C$4, GEQ$2)),"****")</f>
        <v/>
      </c>
      <c r="GER3" t="str">
        <f>IFERROR(IF($C3="","",SUMIFS(Ledger!$K$2:$K$4, Ledger!$B$2:$B$4, $A3, Ledger!$C$2:$C$4, GER$2)),"****")</f>
        <v/>
      </c>
      <c r="GES3" t="str">
        <f>IFERROR(IF($C3="","",SUMIFS(Ledger!$K$2:$K$4, Ledger!$B$2:$B$4, $A3, Ledger!$C$2:$C$4, GES$2)),"****")</f>
        <v/>
      </c>
      <c r="GET3" t="str">
        <f>IFERROR(IF($C3="","",SUMIFS(Ledger!$K$2:$K$4, Ledger!$B$2:$B$4, $A3, Ledger!$C$2:$C$4, GET$2)),"****")</f>
        <v/>
      </c>
      <c r="GEU3" t="str">
        <f>IFERROR(IF($C3="","",SUMIFS(Ledger!$K$2:$K$4, Ledger!$B$2:$B$4, $A3, Ledger!$C$2:$C$4, GEU$2)),"****")</f>
        <v/>
      </c>
      <c r="GEV3" t="str">
        <f>IFERROR(IF($C3="","",SUMIFS(Ledger!$K$2:$K$4, Ledger!$B$2:$B$4, $A3, Ledger!$C$2:$C$4, GEV$2)),"****")</f>
        <v/>
      </c>
      <c r="GEW3" t="str">
        <f>IFERROR(IF($C3="","",SUMIFS(Ledger!$K$2:$K$4, Ledger!$B$2:$B$4, $A3, Ledger!$C$2:$C$4, GEW$2)),"****")</f>
        <v/>
      </c>
      <c r="GEX3" t="str">
        <f>IFERROR(IF($C3="","",SUMIFS(Ledger!$K$2:$K$4, Ledger!$B$2:$B$4, $A3, Ledger!$C$2:$C$4, GEX$2)),"****")</f>
        <v/>
      </c>
      <c r="GEY3" t="str">
        <f>IFERROR(IF($C3="","",SUMIFS(Ledger!$K$2:$K$4, Ledger!$B$2:$B$4, $A3, Ledger!$C$2:$C$4, GEY$2)),"****")</f>
        <v/>
      </c>
      <c r="GEZ3" t="str">
        <f>IFERROR(IF($C3="","",SUMIFS(Ledger!$K$2:$K$4, Ledger!$B$2:$B$4, $A3, Ledger!$C$2:$C$4, GEZ$2)),"****")</f>
        <v/>
      </c>
      <c r="GFA3" t="str">
        <f>IFERROR(IF($C3="","",SUMIFS(Ledger!$K$2:$K$4, Ledger!$B$2:$B$4, $A3, Ledger!$C$2:$C$4, GFA$2)),"****")</f>
        <v/>
      </c>
      <c r="GFB3" t="str">
        <f>IFERROR(IF($C3="","",SUMIFS(Ledger!$K$2:$K$4, Ledger!$B$2:$B$4, $A3, Ledger!$C$2:$C$4, GFB$2)),"****")</f>
        <v/>
      </c>
      <c r="GFC3" t="str">
        <f>IFERROR(IF($C3="","",SUMIFS(Ledger!$K$2:$K$4, Ledger!$B$2:$B$4, $A3, Ledger!$C$2:$C$4, GFC$2)),"****")</f>
        <v/>
      </c>
      <c r="GFD3" t="str">
        <f>IFERROR(IF($C3="","",SUMIFS(Ledger!$K$2:$K$4, Ledger!$B$2:$B$4, $A3, Ledger!$C$2:$C$4, GFD$2)),"****")</f>
        <v/>
      </c>
      <c r="GFE3" t="str">
        <f>IFERROR(IF($C3="","",SUMIFS(Ledger!$K$2:$K$4, Ledger!$B$2:$B$4, $A3, Ledger!$C$2:$C$4, GFE$2)),"****")</f>
        <v/>
      </c>
      <c r="GFF3" t="str">
        <f>IFERROR(IF($C3="","",SUMIFS(Ledger!$K$2:$K$4, Ledger!$B$2:$B$4, $A3, Ledger!$C$2:$C$4, GFF$2)),"****")</f>
        <v/>
      </c>
      <c r="GFG3" t="str">
        <f>IFERROR(IF($C3="","",SUMIFS(Ledger!$K$2:$K$4, Ledger!$B$2:$B$4, $A3, Ledger!$C$2:$C$4, GFG$2)),"****")</f>
        <v/>
      </c>
      <c r="GFH3" t="str">
        <f>IFERROR(IF($C3="","",SUMIFS(Ledger!$K$2:$K$4, Ledger!$B$2:$B$4, $A3, Ledger!$C$2:$C$4, GFH$2)),"****")</f>
        <v/>
      </c>
      <c r="GFI3" t="str">
        <f>IFERROR(IF($C3="","",SUMIFS(Ledger!$K$2:$K$4, Ledger!$B$2:$B$4, $A3, Ledger!$C$2:$C$4, GFI$2)),"****")</f>
        <v/>
      </c>
      <c r="GFJ3" t="str">
        <f>IFERROR(IF($C3="","",SUMIFS(Ledger!$K$2:$K$4, Ledger!$B$2:$B$4, $A3, Ledger!$C$2:$C$4, GFJ$2)),"****")</f>
        <v/>
      </c>
      <c r="GFK3" t="str">
        <f>IFERROR(IF($C3="","",SUMIFS(Ledger!$K$2:$K$4, Ledger!$B$2:$B$4, $A3, Ledger!$C$2:$C$4, GFK$2)),"****")</f>
        <v/>
      </c>
      <c r="GFL3" t="str">
        <f>IFERROR(IF($C3="","",SUMIFS(Ledger!$K$2:$K$4, Ledger!$B$2:$B$4, $A3, Ledger!$C$2:$C$4, GFL$2)),"****")</f>
        <v/>
      </c>
      <c r="GFM3" t="str">
        <f>IFERROR(IF($C3="","",SUMIFS(Ledger!$K$2:$K$4, Ledger!$B$2:$B$4, $A3, Ledger!$C$2:$C$4, GFM$2)),"****")</f>
        <v/>
      </c>
      <c r="GFN3" t="str">
        <f>IFERROR(IF($C3="","",SUMIFS(Ledger!$K$2:$K$4, Ledger!$B$2:$B$4, $A3, Ledger!$C$2:$C$4, GFN$2)),"****")</f>
        <v/>
      </c>
      <c r="GFO3" t="str">
        <f>IFERROR(IF($C3="","",SUMIFS(Ledger!$K$2:$K$4, Ledger!$B$2:$B$4, $A3, Ledger!$C$2:$C$4, GFO$2)),"****")</f>
        <v/>
      </c>
      <c r="GFP3" t="str">
        <f>IFERROR(IF($C3="","",SUMIFS(Ledger!$K$2:$K$4, Ledger!$B$2:$B$4, $A3, Ledger!$C$2:$C$4, GFP$2)),"****")</f>
        <v/>
      </c>
      <c r="GFQ3" t="str">
        <f>IFERROR(IF($C3="","",SUMIFS(Ledger!$K$2:$K$4, Ledger!$B$2:$B$4, $A3, Ledger!$C$2:$C$4, GFQ$2)),"****")</f>
        <v/>
      </c>
      <c r="GFR3" t="str">
        <f>IFERROR(IF($C3="","",SUMIFS(Ledger!$K$2:$K$4, Ledger!$B$2:$B$4, $A3, Ledger!$C$2:$C$4, GFR$2)),"****")</f>
        <v/>
      </c>
      <c r="GFS3" t="str">
        <f>IFERROR(IF($C3="","",SUMIFS(Ledger!$K$2:$K$4, Ledger!$B$2:$B$4, $A3, Ledger!$C$2:$C$4, GFS$2)),"****")</f>
        <v/>
      </c>
      <c r="GFT3" t="str">
        <f>IFERROR(IF($C3="","",SUMIFS(Ledger!$K$2:$K$4, Ledger!$B$2:$B$4, $A3, Ledger!$C$2:$C$4, GFT$2)),"****")</f>
        <v/>
      </c>
      <c r="GFU3" t="str">
        <f>IFERROR(IF($C3="","",SUMIFS(Ledger!$K$2:$K$4, Ledger!$B$2:$B$4, $A3, Ledger!$C$2:$C$4, GFU$2)),"****")</f>
        <v/>
      </c>
      <c r="GFV3" t="str">
        <f>IFERROR(IF($C3="","",SUMIFS(Ledger!$K$2:$K$4, Ledger!$B$2:$B$4, $A3, Ledger!$C$2:$C$4, GFV$2)),"****")</f>
        <v/>
      </c>
      <c r="GFW3" t="str">
        <f>IFERROR(IF($C3="","",SUMIFS(Ledger!$K$2:$K$4, Ledger!$B$2:$B$4, $A3, Ledger!$C$2:$C$4, GFW$2)),"****")</f>
        <v/>
      </c>
      <c r="GFX3" t="str">
        <f>IFERROR(IF($C3="","",SUMIFS(Ledger!$K$2:$K$4, Ledger!$B$2:$B$4, $A3, Ledger!$C$2:$C$4, GFX$2)),"****")</f>
        <v/>
      </c>
      <c r="GFY3" t="str">
        <f>IFERROR(IF($C3="","",SUMIFS(Ledger!$K$2:$K$4, Ledger!$B$2:$B$4, $A3, Ledger!$C$2:$C$4, GFY$2)),"****")</f>
        <v/>
      </c>
      <c r="GFZ3" t="str">
        <f>IFERROR(IF($C3="","",SUMIFS(Ledger!$K$2:$K$4, Ledger!$B$2:$B$4, $A3, Ledger!$C$2:$C$4, GFZ$2)),"****")</f>
        <v/>
      </c>
      <c r="GGA3" t="str">
        <f>IFERROR(IF($C3="","",SUMIFS(Ledger!$K$2:$K$4, Ledger!$B$2:$B$4, $A3, Ledger!$C$2:$C$4, GGA$2)),"****")</f>
        <v/>
      </c>
      <c r="GGB3" t="str">
        <f>IFERROR(IF($C3="","",SUMIFS(Ledger!$K$2:$K$4, Ledger!$B$2:$B$4, $A3, Ledger!$C$2:$C$4, GGB$2)),"****")</f>
        <v/>
      </c>
      <c r="GGC3" t="str">
        <f>IFERROR(IF($C3="","",SUMIFS(Ledger!$K$2:$K$4, Ledger!$B$2:$B$4, $A3, Ledger!$C$2:$C$4, GGC$2)),"****")</f>
        <v/>
      </c>
      <c r="GGD3" t="str">
        <f>IFERROR(IF($C3="","",SUMIFS(Ledger!$K$2:$K$4, Ledger!$B$2:$B$4, $A3, Ledger!$C$2:$C$4, GGD$2)),"****")</f>
        <v/>
      </c>
      <c r="GGE3" t="str">
        <f>IFERROR(IF($C3="","",SUMIFS(Ledger!$K$2:$K$4, Ledger!$B$2:$B$4, $A3, Ledger!$C$2:$C$4, GGE$2)),"****")</f>
        <v/>
      </c>
      <c r="GGF3" t="str">
        <f>IFERROR(IF($C3="","",SUMIFS(Ledger!$K$2:$K$4, Ledger!$B$2:$B$4, $A3, Ledger!$C$2:$C$4, GGF$2)),"****")</f>
        <v/>
      </c>
      <c r="GGG3" t="str">
        <f>IFERROR(IF($C3="","",SUMIFS(Ledger!$K$2:$K$4, Ledger!$B$2:$B$4, $A3, Ledger!$C$2:$C$4, GGG$2)),"****")</f>
        <v/>
      </c>
      <c r="GGH3" t="str">
        <f>IFERROR(IF($C3="","",SUMIFS(Ledger!$K$2:$K$4, Ledger!$B$2:$B$4, $A3, Ledger!$C$2:$C$4, GGH$2)),"****")</f>
        <v/>
      </c>
      <c r="GGI3" t="str">
        <f>IFERROR(IF($C3="","",SUMIFS(Ledger!$K$2:$K$4, Ledger!$B$2:$B$4, $A3, Ledger!$C$2:$C$4, GGI$2)),"****")</f>
        <v/>
      </c>
      <c r="GGJ3" t="str">
        <f>IFERROR(IF($C3="","",SUMIFS(Ledger!$K$2:$K$4, Ledger!$B$2:$B$4, $A3, Ledger!$C$2:$C$4, GGJ$2)),"****")</f>
        <v/>
      </c>
      <c r="GGK3" t="str">
        <f>IFERROR(IF($C3="","",SUMIFS(Ledger!$K$2:$K$4, Ledger!$B$2:$B$4, $A3, Ledger!$C$2:$C$4, GGK$2)),"****")</f>
        <v/>
      </c>
      <c r="GGL3" t="str">
        <f>IFERROR(IF($C3="","",SUMIFS(Ledger!$K$2:$K$4, Ledger!$B$2:$B$4, $A3, Ledger!$C$2:$C$4, GGL$2)),"****")</f>
        <v/>
      </c>
      <c r="GGM3" t="str">
        <f>IFERROR(IF($C3="","",SUMIFS(Ledger!$K$2:$K$4, Ledger!$B$2:$B$4, $A3, Ledger!$C$2:$C$4, GGM$2)),"****")</f>
        <v/>
      </c>
      <c r="GGN3" t="str">
        <f>IFERROR(IF($C3="","",SUMIFS(Ledger!$K$2:$K$4, Ledger!$B$2:$B$4, $A3, Ledger!$C$2:$C$4, GGN$2)),"****")</f>
        <v/>
      </c>
      <c r="GGO3" t="str">
        <f>IFERROR(IF($C3="","",SUMIFS(Ledger!$K$2:$K$4, Ledger!$B$2:$B$4, $A3, Ledger!$C$2:$C$4, GGO$2)),"****")</f>
        <v/>
      </c>
      <c r="GGP3" t="str">
        <f>IFERROR(IF($C3="","",SUMIFS(Ledger!$K$2:$K$4, Ledger!$B$2:$B$4, $A3, Ledger!$C$2:$C$4, GGP$2)),"****")</f>
        <v/>
      </c>
      <c r="GGQ3" t="str">
        <f>IFERROR(IF($C3="","",SUMIFS(Ledger!$K$2:$K$4, Ledger!$B$2:$B$4, $A3, Ledger!$C$2:$C$4, GGQ$2)),"****")</f>
        <v/>
      </c>
      <c r="GGR3" t="str">
        <f>IFERROR(IF($C3="","",SUMIFS(Ledger!$K$2:$K$4, Ledger!$B$2:$B$4, $A3, Ledger!$C$2:$C$4, GGR$2)),"****")</f>
        <v/>
      </c>
      <c r="GGS3" t="str">
        <f>IFERROR(IF($C3="","",SUMIFS(Ledger!$K$2:$K$4, Ledger!$B$2:$B$4, $A3, Ledger!$C$2:$C$4, GGS$2)),"****")</f>
        <v/>
      </c>
      <c r="GGT3" t="str">
        <f>IFERROR(IF($C3="","",SUMIFS(Ledger!$K$2:$K$4, Ledger!$B$2:$B$4, $A3, Ledger!$C$2:$C$4, GGT$2)),"****")</f>
        <v/>
      </c>
      <c r="GGU3" t="str">
        <f>IFERROR(IF($C3="","",SUMIFS(Ledger!$K$2:$K$4, Ledger!$B$2:$B$4, $A3, Ledger!$C$2:$C$4, GGU$2)),"****")</f>
        <v/>
      </c>
      <c r="GGV3" t="str">
        <f>IFERROR(IF($C3="","",SUMIFS(Ledger!$K$2:$K$4, Ledger!$B$2:$B$4, $A3, Ledger!$C$2:$C$4, GGV$2)),"****")</f>
        <v/>
      </c>
      <c r="GGW3" t="str">
        <f>IFERROR(IF($C3="","",SUMIFS(Ledger!$K$2:$K$4, Ledger!$B$2:$B$4, $A3, Ledger!$C$2:$C$4, GGW$2)),"****")</f>
        <v/>
      </c>
      <c r="GGX3" t="str">
        <f>IFERROR(IF($C3="","",SUMIFS(Ledger!$K$2:$K$4, Ledger!$B$2:$B$4, $A3, Ledger!$C$2:$C$4, GGX$2)),"****")</f>
        <v/>
      </c>
      <c r="GGY3" t="str">
        <f>IFERROR(IF($C3="","",SUMIFS(Ledger!$K$2:$K$4, Ledger!$B$2:$B$4, $A3, Ledger!$C$2:$C$4, GGY$2)),"****")</f>
        <v/>
      </c>
      <c r="GGZ3" t="str">
        <f>IFERROR(IF($C3="","",SUMIFS(Ledger!$K$2:$K$4, Ledger!$B$2:$B$4, $A3, Ledger!$C$2:$C$4, GGZ$2)),"****")</f>
        <v/>
      </c>
      <c r="GHA3" t="str">
        <f>IFERROR(IF($C3="","",SUMIFS(Ledger!$K$2:$K$4, Ledger!$B$2:$B$4, $A3, Ledger!$C$2:$C$4, GHA$2)),"****")</f>
        <v/>
      </c>
      <c r="GHB3" t="str">
        <f>IFERROR(IF($C3="","",SUMIFS(Ledger!$K$2:$K$4, Ledger!$B$2:$B$4, $A3, Ledger!$C$2:$C$4, GHB$2)),"****")</f>
        <v/>
      </c>
      <c r="GHC3" t="str">
        <f>IFERROR(IF($C3="","",SUMIFS(Ledger!$K$2:$K$4, Ledger!$B$2:$B$4, $A3, Ledger!$C$2:$C$4, GHC$2)),"****")</f>
        <v/>
      </c>
      <c r="GHD3" t="str">
        <f>IFERROR(IF($C3="","",SUMIFS(Ledger!$K$2:$K$4, Ledger!$B$2:$B$4, $A3, Ledger!$C$2:$C$4, GHD$2)),"****")</f>
        <v/>
      </c>
      <c r="GHE3" t="str">
        <f>IFERROR(IF($C3="","",SUMIFS(Ledger!$K$2:$K$4, Ledger!$B$2:$B$4, $A3, Ledger!$C$2:$C$4, GHE$2)),"****")</f>
        <v/>
      </c>
      <c r="GHF3" t="str">
        <f>IFERROR(IF($C3="","",SUMIFS(Ledger!$K$2:$K$4, Ledger!$B$2:$B$4, $A3, Ledger!$C$2:$C$4, GHF$2)),"****")</f>
        <v/>
      </c>
      <c r="GHG3" t="str">
        <f>IFERROR(IF($C3="","",SUMIFS(Ledger!$K$2:$K$4, Ledger!$B$2:$B$4, $A3, Ledger!$C$2:$C$4, GHG$2)),"****")</f>
        <v/>
      </c>
      <c r="GHH3" t="str">
        <f>IFERROR(IF($C3="","",SUMIFS(Ledger!$K$2:$K$4, Ledger!$B$2:$B$4, $A3, Ledger!$C$2:$C$4, GHH$2)),"****")</f>
        <v/>
      </c>
      <c r="GHI3" t="str">
        <f>IFERROR(IF($C3="","",SUMIFS(Ledger!$K$2:$K$4, Ledger!$B$2:$B$4, $A3, Ledger!$C$2:$C$4, GHI$2)),"****")</f>
        <v/>
      </c>
      <c r="GHJ3" t="str">
        <f>IFERROR(IF($C3="","",SUMIFS(Ledger!$K$2:$K$4, Ledger!$B$2:$B$4, $A3, Ledger!$C$2:$C$4, GHJ$2)),"****")</f>
        <v/>
      </c>
      <c r="GHK3" t="str">
        <f>IFERROR(IF($C3="","",SUMIFS(Ledger!$K$2:$K$4, Ledger!$B$2:$B$4, $A3, Ledger!$C$2:$C$4, GHK$2)),"****")</f>
        <v/>
      </c>
      <c r="GHL3" t="str">
        <f>IFERROR(IF($C3="","",SUMIFS(Ledger!$K$2:$K$4, Ledger!$B$2:$B$4, $A3, Ledger!$C$2:$C$4, GHL$2)),"****")</f>
        <v/>
      </c>
      <c r="GHM3" t="str">
        <f>IFERROR(IF($C3="","",SUMIFS(Ledger!$K$2:$K$4, Ledger!$B$2:$B$4, $A3, Ledger!$C$2:$C$4, GHM$2)),"****")</f>
        <v/>
      </c>
      <c r="GHN3" t="str">
        <f>IFERROR(IF($C3="","",SUMIFS(Ledger!$K$2:$K$4, Ledger!$B$2:$B$4, $A3, Ledger!$C$2:$C$4, GHN$2)),"****")</f>
        <v/>
      </c>
      <c r="GHO3" t="str">
        <f>IFERROR(IF($C3="","",SUMIFS(Ledger!$K$2:$K$4, Ledger!$B$2:$B$4, $A3, Ledger!$C$2:$C$4, GHO$2)),"****")</f>
        <v/>
      </c>
      <c r="GHP3" t="str">
        <f>IFERROR(IF($C3="","",SUMIFS(Ledger!$K$2:$K$4, Ledger!$B$2:$B$4, $A3, Ledger!$C$2:$C$4, GHP$2)),"****")</f>
        <v/>
      </c>
      <c r="GHQ3" t="str">
        <f>IFERROR(IF($C3="","",SUMIFS(Ledger!$K$2:$K$4, Ledger!$B$2:$B$4, $A3, Ledger!$C$2:$C$4, GHQ$2)),"****")</f>
        <v/>
      </c>
      <c r="GHR3" t="str">
        <f>IFERROR(IF($C3="","",SUMIFS(Ledger!$K$2:$K$4, Ledger!$B$2:$B$4, $A3, Ledger!$C$2:$C$4, GHR$2)),"****")</f>
        <v/>
      </c>
      <c r="GHS3" t="str">
        <f>IFERROR(IF($C3="","",SUMIFS(Ledger!$K$2:$K$4, Ledger!$B$2:$B$4, $A3, Ledger!$C$2:$C$4, GHS$2)),"****")</f>
        <v/>
      </c>
      <c r="GHT3" t="str">
        <f>IFERROR(IF($C3="","",SUMIFS(Ledger!$K$2:$K$4, Ledger!$B$2:$B$4, $A3, Ledger!$C$2:$C$4, GHT$2)),"****")</f>
        <v/>
      </c>
      <c r="GHU3" t="str">
        <f>IFERROR(IF($C3="","",SUMIFS(Ledger!$K$2:$K$4, Ledger!$B$2:$B$4, $A3, Ledger!$C$2:$C$4, GHU$2)),"****")</f>
        <v/>
      </c>
      <c r="GHV3" t="str">
        <f>IFERROR(IF($C3="","",SUMIFS(Ledger!$K$2:$K$4, Ledger!$B$2:$B$4, $A3, Ledger!$C$2:$C$4, GHV$2)),"****")</f>
        <v/>
      </c>
      <c r="GHW3" t="str">
        <f>IFERROR(IF($C3="","",SUMIFS(Ledger!$K$2:$K$4, Ledger!$B$2:$B$4, $A3, Ledger!$C$2:$C$4, GHW$2)),"****")</f>
        <v/>
      </c>
      <c r="GHX3" t="str">
        <f>IFERROR(IF($C3="","",SUMIFS(Ledger!$K$2:$K$4, Ledger!$B$2:$B$4, $A3, Ledger!$C$2:$C$4, GHX$2)),"****")</f>
        <v/>
      </c>
      <c r="GHY3" t="str">
        <f>IFERROR(IF($C3="","",SUMIFS(Ledger!$K$2:$K$4, Ledger!$B$2:$B$4, $A3, Ledger!$C$2:$C$4, GHY$2)),"****")</f>
        <v/>
      </c>
      <c r="GHZ3" t="str">
        <f>IFERROR(IF($C3="","",SUMIFS(Ledger!$K$2:$K$4, Ledger!$B$2:$B$4, $A3, Ledger!$C$2:$C$4, GHZ$2)),"****")</f>
        <v/>
      </c>
      <c r="GIA3" t="str">
        <f>IFERROR(IF($C3="","",SUMIFS(Ledger!$K$2:$K$4, Ledger!$B$2:$B$4, $A3, Ledger!$C$2:$C$4, GIA$2)),"****")</f>
        <v/>
      </c>
      <c r="GIB3" t="str">
        <f>IFERROR(IF($C3="","",SUMIFS(Ledger!$K$2:$K$4, Ledger!$B$2:$B$4, $A3, Ledger!$C$2:$C$4, GIB$2)),"****")</f>
        <v/>
      </c>
      <c r="GIC3" t="str">
        <f>IFERROR(IF($C3="","",SUMIFS(Ledger!$K$2:$K$4, Ledger!$B$2:$B$4, $A3, Ledger!$C$2:$C$4, GIC$2)),"****")</f>
        <v/>
      </c>
      <c r="GID3" t="str">
        <f>IFERROR(IF($C3="","",SUMIFS(Ledger!$K$2:$K$4, Ledger!$B$2:$B$4, $A3, Ledger!$C$2:$C$4, GID$2)),"****")</f>
        <v/>
      </c>
      <c r="GIE3" t="str">
        <f>IFERROR(IF($C3="","",SUMIFS(Ledger!$K$2:$K$4, Ledger!$B$2:$B$4, $A3, Ledger!$C$2:$C$4, GIE$2)),"****")</f>
        <v/>
      </c>
      <c r="GIF3" t="str">
        <f>IFERROR(IF($C3="","",SUMIFS(Ledger!$K$2:$K$4, Ledger!$B$2:$B$4, $A3, Ledger!$C$2:$C$4, GIF$2)),"****")</f>
        <v/>
      </c>
      <c r="GIG3" t="str">
        <f>IFERROR(IF($C3="","",SUMIFS(Ledger!$K$2:$K$4, Ledger!$B$2:$B$4, $A3, Ledger!$C$2:$C$4, GIG$2)),"****")</f>
        <v/>
      </c>
      <c r="GIH3" t="str">
        <f>IFERROR(IF($C3="","",SUMIFS(Ledger!$K$2:$K$4, Ledger!$B$2:$B$4, $A3, Ledger!$C$2:$C$4, GIH$2)),"****")</f>
        <v/>
      </c>
      <c r="GII3" t="str">
        <f>IFERROR(IF($C3="","",SUMIFS(Ledger!$K$2:$K$4, Ledger!$B$2:$B$4, $A3, Ledger!$C$2:$C$4, GII$2)),"****")</f>
        <v/>
      </c>
      <c r="GIJ3" t="str">
        <f>IFERROR(IF($C3="","",SUMIFS(Ledger!$K$2:$K$4, Ledger!$B$2:$B$4, $A3, Ledger!$C$2:$C$4, GIJ$2)),"****")</f>
        <v/>
      </c>
      <c r="GIK3" t="str">
        <f>IFERROR(IF($C3="","",SUMIFS(Ledger!$K$2:$K$4, Ledger!$B$2:$B$4, $A3, Ledger!$C$2:$C$4, GIK$2)),"****")</f>
        <v/>
      </c>
      <c r="GIL3" t="str">
        <f>IFERROR(IF($C3="","",SUMIFS(Ledger!$K$2:$K$4, Ledger!$B$2:$B$4, $A3, Ledger!$C$2:$C$4, GIL$2)),"****")</f>
        <v/>
      </c>
      <c r="GIM3" t="str">
        <f>IFERROR(IF($C3="","",SUMIFS(Ledger!$K$2:$K$4, Ledger!$B$2:$B$4, $A3, Ledger!$C$2:$C$4, GIM$2)),"****")</f>
        <v/>
      </c>
      <c r="GIN3" t="str">
        <f>IFERROR(IF($C3="","",SUMIFS(Ledger!$K$2:$K$4, Ledger!$B$2:$B$4, $A3, Ledger!$C$2:$C$4, GIN$2)),"****")</f>
        <v/>
      </c>
      <c r="GIO3" t="str">
        <f>IFERROR(IF($C3="","",SUMIFS(Ledger!$K$2:$K$4, Ledger!$B$2:$B$4, $A3, Ledger!$C$2:$C$4, GIO$2)),"****")</f>
        <v/>
      </c>
      <c r="GIP3" t="str">
        <f>IFERROR(IF($C3="","",SUMIFS(Ledger!$K$2:$K$4, Ledger!$B$2:$B$4, $A3, Ledger!$C$2:$C$4, GIP$2)),"****")</f>
        <v/>
      </c>
      <c r="GIQ3" t="str">
        <f>IFERROR(IF($C3="","",SUMIFS(Ledger!$K$2:$K$4, Ledger!$B$2:$B$4, $A3, Ledger!$C$2:$C$4, GIQ$2)),"****")</f>
        <v/>
      </c>
      <c r="GIR3" t="str">
        <f>IFERROR(IF($C3="","",SUMIFS(Ledger!$K$2:$K$4, Ledger!$B$2:$B$4, $A3, Ledger!$C$2:$C$4, GIR$2)),"****")</f>
        <v/>
      </c>
      <c r="GIS3" t="str">
        <f>IFERROR(IF($C3="","",SUMIFS(Ledger!$K$2:$K$4, Ledger!$B$2:$B$4, $A3, Ledger!$C$2:$C$4, GIS$2)),"****")</f>
        <v/>
      </c>
      <c r="GIT3" t="str">
        <f>IFERROR(IF($C3="","",SUMIFS(Ledger!$K$2:$K$4, Ledger!$B$2:$B$4, $A3, Ledger!$C$2:$C$4, GIT$2)),"****")</f>
        <v/>
      </c>
      <c r="GIU3" t="str">
        <f>IFERROR(IF($C3="","",SUMIFS(Ledger!$K$2:$K$4, Ledger!$B$2:$B$4, $A3, Ledger!$C$2:$C$4, GIU$2)),"****")</f>
        <v/>
      </c>
      <c r="GIV3" t="str">
        <f>IFERROR(IF($C3="","",SUMIFS(Ledger!$K$2:$K$4, Ledger!$B$2:$B$4, $A3, Ledger!$C$2:$C$4, GIV$2)),"****")</f>
        <v/>
      </c>
      <c r="GIW3" t="str">
        <f>IFERROR(IF($C3="","",SUMIFS(Ledger!$K$2:$K$4, Ledger!$B$2:$B$4, $A3, Ledger!$C$2:$C$4, GIW$2)),"****")</f>
        <v/>
      </c>
      <c r="GIX3" t="str">
        <f>IFERROR(IF($C3="","",SUMIFS(Ledger!$K$2:$K$4, Ledger!$B$2:$B$4, $A3, Ledger!$C$2:$C$4, GIX$2)),"****")</f>
        <v/>
      </c>
      <c r="GIY3" t="str">
        <f>IFERROR(IF($C3="","",SUMIFS(Ledger!$K$2:$K$4, Ledger!$B$2:$B$4, $A3, Ledger!$C$2:$C$4, GIY$2)),"****")</f>
        <v/>
      </c>
      <c r="GIZ3" t="str">
        <f>IFERROR(IF($C3="","",SUMIFS(Ledger!$K$2:$K$4, Ledger!$B$2:$B$4, $A3, Ledger!$C$2:$C$4, GIZ$2)),"****")</f>
        <v/>
      </c>
      <c r="GJA3" t="str">
        <f>IFERROR(IF($C3="","",SUMIFS(Ledger!$K$2:$K$4, Ledger!$B$2:$B$4, $A3, Ledger!$C$2:$C$4, GJA$2)),"****")</f>
        <v/>
      </c>
      <c r="GJB3" t="str">
        <f>IFERROR(IF($C3="","",SUMIFS(Ledger!$K$2:$K$4, Ledger!$B$2:$B$4, $A3, Ledger!$C$2:$C$4, GJB$2)),"****")</f>
        <v/>
      </c>
      <c r="GJC3" t="str">
        <f>IFERROR(IF($C3="","",SUMIFS(Ledger!$K$2:$K$4, Ledger!$B$2:$B$4, $A3, Ledger!$C$2:$C$4, GJC$2)),"****")</f>
        <v/>
      </c>
      <c r="GJD3" t="str">
        <f>IFERROR(IF($C3="","",SUMIFS(Ledger!$K$2:$K$4, Ledger!$B$2:$B$4, $A3, Ledger!$C$2:$C$4, GJD$2)),"****")</f>
        <v/>
      </c>
      <c r="GJE3" t="str">
        <f>IFERROR(IF($C3="","",SUMIFS(Ledger!$K$2:$K$4, Ledger!$B$2:$B$4, $A3, Ledger!$C$2:$C$4, GJE$2)),"****")</f>
        <v/>
      </c>
      <c r="GJF3" t="str">
        <f>IFERROR(IF($C3="","",SUMIFS(Ledger!$K$2:$K$4, Ledger!$B$2:$B$4, $A3, Ledger!$C$2:$C$4, GJF$2)),"****")</f>
        <v/>
      </c>
      <c r="GJG3" t="str">
        <f>IFERROR(IF($C3="","",SUMIFS(Ledger!$K$2:$K$4, Ledger!$B$2:$B$4, $A3, Ledger!$C$2:$C$4, GJG$2)),"****")</f>
        <v/>
      </c>
      <c r="GJH3" t="str">
        <f>IFERROR(IF($C3="","",SUMIFS(Ledger!$K$2:$K$4, Ledger!$B$2:$B$4, $A3, Ledger!$C$2:$C$4, GJH$2)),"****")</f>
        <v/>
      </c>
      <c r="GJI3" t="str">
        <f>IFERROR(IF($C3="","",SUMIFS(Ledger!$K$2:$K$4, Ledger!$B$2:$B$4, $A3, Ledger!$C$2:$C$4, GJI$2)),"****")</f>
        <v/>
      </c>
      <c r="GJJ3" t="str">
        <f>IFERROR(IF($C3="","",SUMIFS(Ledger!$K$2:$K$4, Ledger!$B$2:$B$4, $A3, Ledger!$C$2:$C$4, GJJ$2)),"****")</f>
        <v/>
      </c>
      <c r="GJK3" t="str">
        <f>IFERROR(IF($C3="","",SUMIFS(Ledger!$K$2:$K$4, Ledger!$B$2:$B$4, $A3, Ledger!$C$2:$C$4, GJK$2)),"****")</f>
        <v/>
      </c>
      <c r="GJL3" t="str">
        <f>IFERROR(IF($C3="","",SUMIFS(Ledger!$K$2:$K$4, Ledger!$B$2:$B$4, $A3, Ledger!$C$2:$C$4, GJL$2)),"****")</f>
        <v/>
      </c>
      <c r="GJM3" t="str">
        <f>IFERROR(IF($C3="","",SUMIFS(Ledger!$K$2:$K$4, Ledger!$B$2:$B$4, $A3, Ledger!$C$2:$C$4, GJM$2)),"****")</f>
        <v/>
      </c>
      <c r="GJN3" t="str">
        <f>IFERROR(IF($C3="","",SUMIFS(Ledger!$K$2:$K$4, Ledger!$B$2:$B$4, $A3, Ledger!$C$2:$C$4, GJN$2)),"****")</f>
        <v/>
      </c>
      <c r="GJO3" t="str">
        <f>IFERROR(IF($C3="","",SUMIFS(Ledger!$K$2:$K$4, Ledger!$B$2:$B$4, $A3, Ledger!$C$2:$C$4, GJO$2)),"****")</f>
        <v/>
      </c>
      <c r="GJP3" t="str">
        <f>IFERROR(IF($C3="","",SUMIFS(Ledger!$K$2:$K$4, Ledger!$B$2:$B$4, $A3, Ledger!$C$2:$C$4, GJP$2)),"****")</f>
        <v/>
      </c>
      <c r="GJQ3" t="str">
        <f>IFERROR(IF($C3="","",SUMIFS(Ledger!$K$2:$K$4, Ledger!$B$2:$B$4, $A3, Ledger!$C$2:$C$4, GJQ$2)),"****")</f>
        <v/>
      </c>
      <c r="GJR3" t="str">
        <f>IFERROR(IF($C3="","",SUMIFS(Ledger!$K$2:$K$4, Ledger!$B$2:$B$4, $A3, Ledger!$C$2:$C$4, GJR$2)),"****")</f>
        <v/>
      </c>
      <c r="GJS3" t="str">
        <f>IFERROR(IF($C3="","",SUMIFS(Ledger!$K$2:$K$4, Ledger!$B$2:$B$4, $A3, Ledger!$C$2:$C$4, GJS$2)),"****")</f>
        <v/>
      </c>
      <c r="GJT3" t="str">
        <f>IFERROR(IF($C3="","",SUMIFS(Ledger!$K$2:$K$4, Ledger!$B$2:$B$4, $A3, Ledger!$C$2:$C$4, GJT$2)),"****")</f>
        <v/>
      </c>
      <c r="GJU3" t="str">
        <f>IFERROR(IF($C3="","",SUMIFS(Ledger!$K$2:$K$4, Ledger!$B$2:$B$4, $A3, Ledger!$C$2:$C$4, GJU$2)),"****")</f>
        <v/>
      </c>
      <c r="GJV3" t="str">
        <f>IFERROR(IF($C3="","",SUMIFS(Ledger!$K$2:$K$4, Ledger!$B$2:$B$4, $A3, Ledger!$C$2:$C$4, GJV$2)),"****")</f>
        <v/>
      </c>
      <c r="GJW3" t="str">
        <f>IFERROR(IF($C3="","",SUMIFS(Ledger!$K$2:$K$4, Ledger!$B$2:$B$4, $A3, Ledger!$C$2:$C$4, GJW$2)),"****")</f>
        <v/>
      </c>
      <c r="GJX3" t="str">
        <f>IFERROR(IF($C3="","",SUMIFS(Ledger!$K$2:$K$4, Ledger!$B$2:$B$4, $A3, Ledger!$C$2:$C$4, GJX$2)),"****")</f>
        <v/>
      </c>
      <c r="GJY3" t="str">
        <f>IFERROR(IF($C3="","",SUMIFS(Ledger!$K$2:$K$4, Ledger!$B$2:$B$4, $A3, Ledger!$C$2:$C$4, GJY$2)),"****")</f>
        <v/>
      </c>
      <c r="GJZ3" t="str">
        <f>IFERROR(IF($C3="","",SUMIFS(Ledger!$K$2:$K$4, Ledger!$B$2:$B$4, $A3, Ledger!$C$2:$C$4, GJZ$2)),"****")</f>
        <v/>
      </c>
      <c r="GKA3" t="str">
        <f>IFERROR(IF($C3="","",SUMIFS(Ledger!$K$2:$K$4, Ledger!$B$2:$B$4, $A3, Ledger!$C$2:$C$4, GKA$2)),"****")</f>
        <v/>
      </c>
      <c r="GKB3" t="str">
        <f>IFERROR(IF($C3="","",SUMIFS(Ledger!$K$2:$K$4, Ledger!$B$2:$B$4, $A3, Ledger!$C$2:$C$4, GKB$2)),"****")</f>
        <v/>
      </c>
      <c r="GKC3" t="str">
        <f>IFERROR(IF($C3="","",SUMIFS(Ledger!$K$2:$K$4, Ledger!$B$2:$B$4, $A3, Ledger!$C$2:$C$4, GKC$2)),"****")</f>
        <v/>
      </c>
      <c r="GKD3" t="str">
        <f>IFERROR(IF($C3="","",SUMIFS(Ledger!$K$2:$K$4, Ledger!$B$2:$B$4, $A3, Ledger!$C$2:$C$4, GKD$2)),"****")</f>
        <v/>
      </c>
      <c r="GKE3" t="str">
        <f>IFERROR(IF($C3="","",SUMIFS(Ledger!$K$2:$K$4, Ledger!$B$2:$B$4, $A3, Ledger!$C$2:$C$4, GKE$2)),"****")</f>
        <v/>
      </c>
      <c r="GKF3" t="str">
        <f>IFERROR(IF($C3="","",SUMIFS(Ledger!$K$2:$K$4, Ledger!$B$2:$B$4, $A3, Ledger!$C$2:$C$4, GKF$2)),"****")</f>
        <v/>
      </c>
      <c r="GKG3" t="str">
        <f>IFERROR(IF($C3="","",SUMIFS(Ledger!$K$2:$K$4, Ledger!$B$2:$B$4, $A3, Ledger!$C$2:$C$4, GKG$2)),"****")</f>
        <v/>
      </c>
      <c r="GKH3" t="str">
        <f>IFERROR(IF($C3="","",SUMIFS(Ledger!$K$2:$K$4, Ledger!$B$2:$B$4, $A3, Ledger!$C$2:$C$4, GKH$2)),"****")</f>
        <v/>
      </c>
      <c r="GKI3" t="str">
        <f>IFERROR(IF($C3="","",SUMIFS(Ledger!$K$2:$K$4, Ledger!$B$2:$B$4, $A3, Ledger!$C$2:$C$4, GKI$2)),"****")</f>
        <v/>
      </c>
      <c r="GKJ3" t="str">
        <f>IFERROR(IF($C3="","",SUMIFS(Ledger!$K$2:$K$4, Ledger!$B$2:$B$4, $A3, Ledger!$C$2:$C$4, GKJ$2)),"****")</f>
        <v/>
      </c>
      <c r="GKK3" t="str">
        <f>IFERROR(IF($C3="","",SUMIFS(Ledger!$K$2:$K$4, Ledger!$B$2:$B$4, $A3, Ledger!$C$2:$C$4, GKK$2)),"****")</f>
        <v/>
      </c>
      <c r="GKL3" t="str">
        <f>IFERROR(IF($C3="","",SUMIFS(Ledger!$K$2:$K$4, Ledger!$B$2:$B$4, $A3, Ledger!$C$2:$C$4, GKL$2)),"****")</f>
        <v/>
      </c>
      <c r="GKM3" t="str">
        <f>IFERROR(IF($C3="","",SUMIFS(Ledger!$K$2:$K$4, Ledger!$B$2:$B$4, $A3, Ledger!$C$2:$C$4, GKM$2)),"****")</f>
        <v/>
      </c>
      <c r="GKN3" t="str">
        <f>IFERROR(IF($C3="","",SUMIFS(Ledger!$K$2:$K$4, Ledger!$B$2:$B$4, $A3, Ledger!$C$2:$C$4, GKN$2)),"****")</f>
        <v/>
      </c>
      <c r="GKO3" t="str">
        <f>IFERROR(IF($C3="","",SUMIFS(Ledger!$K$2:$K$4, Ledger!$B$2:$B$4, $A3, Ledger!$C$2:$C$4, GKO$2)),"****")</f>
        <v/>
      </c>
      <c r="GKP3" t="str">
        <f>IFERROR(IF($C3="","",SUMIFS(Ledger!$K$2:$K$4, Ledger!$B$2:$B$4, $A3, Ledger!$C$2:$C$4, GKP$2)),"****")</f>
        <v/>
      </c>
      <c r="GKQ3" t="str">
        <f>IFERROR(IF($C3="","",SUMIFS(Ledger!$K$2:$K$4, Ledger!$B$2:$B$4, $A3, Ledger!$C$2:$C$4, GKQ$2)),"****")</f>
        <v/>
      </c>
      <c r="GKR3" t="str">
        <f>IFERROR(IF($C3="","",SUMIFS(Ledger!$K$2:$K$4, Ledger!$B$2:$B$4, $A3, Ledger!$C$2:$C$4, GKR$2)),"****")</f>
        <v/>
      </c>
      <c r="GKS3" t="str">
        <f>IFERROR(IF($C3="","",SUMIFS(Ledger!$K$2:$K$4, Ledger!$B$2:$B$4, $A3, Ledger!$C$2:$C$4, GKS$2)),"****")</f>
        <v/>
      </c>
      <c r="GKT3" t="str">
        <f>IFERROR(IF($C3="","",SUMIFS(Ledger!$K$2:$K$4, Ledger!$B$2:$B$4, $A3, Ledger!$C$2:$C$4, GKT$2)),"****")</f>
        <v/>
      </c>
      <c r="GKU3" t="str">
        <f>IFERROR(IF($C3="","",SUMIFS(Ledger!$K$2:$K$4, Ledger!$B$2:$B$4, $A3, Ledger!$C$2:$C$4, GKU$2)),"****")</f>
        <v/>
      </c>
      <c r="GKV3" t="str">
        <f>IFERROR(IF($C3="","",SUMIFS(Ledger!$K$2:$K$4, Ledger!$B$2:$B$4, $A3, Ledger!$C$2:$C$4, GKV$2)),"****")</f>
        <v/>
      </c>
      <c r="GKW3" t="str">
        <f>IFERROR(IF($C3="","",SUMIFS(Ledger!$K$2:$K$4, Ledger!$B$2:$B$4, $A3, Ledger!$C$2:$C$4, GKW$2)),"****")</f>
        <v/>
      </c>
      <c r="GKX3" t="str">
        <f>IFERROR(IF($C3="","",SUMIFS(Ledger!$K$2:$K$4, Ledger!$B$2:$B$4, $A3, Ledger!$C$2:$C$4, GKX$2)),"****")</f>
        <v/>
      </c>
      <c r="GKY3" t="str">
        <f>IFERROR(IF($C3="","",SUMIFS(Ledger!$K$2:$K$4, Ledger!$B$2:$B$4, $A3, Ledger!$C$2:$C$4, GKY$2)),"****")</f>
        <v/>
      </c>
      <c r="GKZ3" t="str">
        <f>IFERROR(IF($C3="","",SUMIFS(Ledger!$K$2:$K$4, Ledger!$B$2:$B$4, $A3, Ledger!$C$2:$C$4, GKZ$2)),"****")</f>
        <v/>
      </c>
      <c r="GLA3" t="str">
        <f>IFERROR(IF($C3="","",SUMIFS(Ledger!$K$2:$K$4, Ledger!$B$2:$B$4, $A3, Ledger!$C$2:$C$4, GLA$2)),"****")</f>
        <v/>
      </c>
      <c r="GLB3" t="str">
        <f>IFERROR(IF($C3="","",SUMIFS(Ledger!$K$2:$K$4, Ledger!$B$2:$B$4, $A3, Ledger!$C$2:$C$4, GLB$2)),"****")</f>
        <v/>
      </c>
      <c r="GLC3" t="str">
        <f>IFERROR(IF($C3="","",SUMIFS(Ledger!$K$2:$K$4, Ledger!$B$2:$B$4, $A3, Ledger!$C$2:$C$4, GLC$2)),"****")</f>
        <v/>
      </c>
      <c r="GLD3" t="str">
        <f>IFERROR(IF($C3="","",SUMIFS(Ledger!$K$2:$K$4, Ledger!$B$2:$B$4, $A3, Ledger!$C$2:$C$4, GLD$2)),"****")</f>
        <v/>
      </c>
      <c r="GLE3" t="str">
        <f>IFERROR(IF($C3="","",SUMIFS(Ledger!$K$2:$K$4, Ledger!$B$2:$B$4, $A3, Ledger!$C$2:$C$4, GLE$2)),"****")</f>
        <v/>
      </c>
      <c r="GLF3" t="str">
        <f>IFERROR(IF($C3="","",SUMIFS(Ledger!$K$2:$K$4, Ledger!$B$2:$B$4, $A3, Ledger!$C$2:$C$4, GLF$2)),"****")</f>
        <v/>
      </c>
      <c r="GLG3" t="str">
        <f>IFERROR(IF($C3="","",SUMIFS(Ledger!$K$2:$K$4, Ledger!$B$2:$B$4, $A3, Ledger!$C$2:$C$4, GLG$2)),"****")</f>
        <v/>
      </c>
      <c r="GLH3" t="str">
        <f>IFERROR(IF($C3="","",SUMIFS(Ledger!$K$2:$K$4, Ledger!$B$2:$B$4, $A3, Ledger!$C$2:$C$4, GLH$2)),"****")</f>
        <v/>
      </c>
      <c r="GLI3" t="str">
        <f>IFERROR(IF($C3="","",SUMIFS(Ledger!$K$2:$K$4, Ledger!$B$2:$B$4, $A3, Ledger!$C$2:$C$4, GLI$2)),"****")</f>
        <v/>
      </c>
      <c r="GLJ3" t="str">
        <f>IFERROR(IF($C3="","",SUMIFS(Ledger!$K$2:$K$4, Ledger!$B$2:$B$4, $A3, Ledger!$C$2:$C$4, GLJ$2)),"****")</f>
        <v/>
      </c>
      <c r="GLK3" t="str">
        <f>IFERROR(IF($C3="","",SUMIFS(Ledger!$K$2:$K$4, Ledger!$B$2:$B$4, $A3, Ledger!$C$2:$C$4, GLK$2)),"****")</f>
        <v/>
      </c>
      <c r="GLL3" t="str">
        <f>IFERROR(IF($C3="","",SUMIFS(Ledger!$K$2:$K$4, Ledger!$B$2:$B$4, $A3, Ledger!$C$2:$C$4, GLL$2)),"****")</f>
        <v/>
      </c>
      <c r="GLM3" t="str">
        <f>IFERROR(IF($C3="","",SUMIFS(Ledger!$K$2:$K$4, Ledger!$B$2:$B$4, $A3, Ledger!$C$2:$C$4, GLM$2)),"****")</f>
        <v/>
      </c>
      <c r="GLN3" t="str">
        <f>IFERROR(IF($C3="","",SUMIFS(Ledger!$K$2:$K$4, Ledger!$B$2:$B$4, $A3, Ledger!$C$2:$C$4, GLN$2)),"****")</f>
        <v/>
      </c>
      <c r="GLO3" t="str">
        <f>IFERROR(IF($C3="","",SUMIFS(Ledger!$K$2:$K$4, Ledger!$B$2:$B$4, $A3, Ledger!$C$2:$C$4, GLO$2)),"****")</f>
        <v/>
      </c>
      <c r="GLP3" t="str">
        <f>IFERROR(IF($C3="","",SUMIFS(Ledger!$K$2:$K$4, Ledger!$B$2:$B$4, $A3, Ledger!$C$2:$C$4, GLP$2)),"****")</f>
        <v/>
      </c>
      <c r="GLQ3" t="str">
        <f>IFERROR(IF($C3="","",SUMIFS(Ledger!$K$2:$K$4, Ledger!$B$2:$B$4, $A3, Ledger!$C$2:$C$4, GLQ$2)),"****")</f>
        <v/>
      </c>
      <c r="GLR3" t="str">
        <f>IFERROR(IF($C3="","",SUMIFS(Ledger!$K$2:$K$4, Ledger!$B$2:$B$4, $A3, Ledger!$C$2:$C$4, GLR$2)),"****")</f>
        <v/>
      </c>
      <c r="GLS3" t="str">
        <f>IFERROR(IF($C3="","",SUMIFS(Ledger!$K$2:$K$4, Ledger!$B$2:$B$4, $A3, Ledger!$C$2:$C$4, GLS$2)),"****")</f>
        <v/>
      </c>
      <c r="GLT3" t="str">
        <f>IFERROR(IF($C3="","",SUMIFS(Ledger!$K$2:$K$4, Ledger!$B$2:$B$4, $A3, Ledger!$C$2:$C$4, GLT$2)),"****")</f>
        <v/>
      </c>
      <c r="GLU3" t="str">
        <f>IFERROR(IF($C3="","",SUMIFS(Ledger!$K$2:$K$4, Ledger!$B$2:$B$4, $A3, Ledger!$C$2:$C$4, GLU$2)),"****")</f>
        <v/>
      </c>
      <c r="GLV3" t="str">
        <f>IFERROR(IF($C3="","",SUMIFS(Ledger!$K$2:$K$4, Ledger!$B$2:$B$4, $A3, Ledger!$C$2:$C$4, GLV$2)),"****")</f>
        <v/>
      </c>
      <c r="GLW3" t="str">
        <f>IFERROR(IF($C3="","",SUMIFS(Ledger!$K$2:$K$4, Ledger!$B$2:$B$4, $A3, Ledger!$C$2:$C$4, GLW$2)),"****")</f>
        <v/>
      </c>
      <c r="GLX3" t="str">
        <f>IFERROR(IF($C3="","",SUMIFS(Ledger!$K$2:$K$4, Ledger!$B$2:$B$4, $A3, Ledger!$C$2:$C$4, GLX$2)),"****")</f>
        <v/>
      </c>
      <c r="GLY3" t="str">
        <f>IFERROR(IF($C3="","",SUMIFS(Ledger!$K$2:$K$4, Ledger!$B$2:$B$4, $A3, Ledger!$C$2:$C$4, GLY$2)),"****")</f>
        <v/>
      </c>
      <c r="GLZ3" t="str">
        <f>IFERROR(IF($C3="","",SUMIFS(Ledger!$K$2:$K$4, Ledger!$B$2:$B$4, $A3, Ledger!$C$2:$C$4, GLZ$2)),"****")</f>
        <v/>
      </c>
      <c r="GMA3" t="str">
        <f>IFERROR(IF($C3="","",SUMIFS(Ledger!$K$2:$K$4, Ledger!$B$2:$B$4, $A3, Ledger!$C$2:$C$4, GMA$2)),"****")</f>
        <v/>
      </c>
      <c r="GMB3" t="str">
        <f>IFERROR(IF($C3="","",SUMIFS(Ledger!$K$2:$K$4, Ledger!$B$2:$B$4, $A3, Ledger!$C$2:$C$4, GMB$2)),"****")</f>
        <v/>
      </c>
      <c r="GMC3" t="str">
        <f>IFERROR(IF($C3="","",SUMIFS(Ledger!$K$2:$K$4, Ledger!$B$2:$B$4, $A3, Ledger!$C$2:$C$4, GMC$2)),"****")</f>
        <v/>
      </c>
      <c r="GMD3" t="str">
        <f>IFERROR(IF($C3="","",SUMIFS(Ledger!$K$2:$K$4, Ledger!$B$2:$B$4, $A3, Ledger!$C$2:$C$4, GMD$2)),"****")</f>
        <v/>
      </c>
      <c r="GME3" t="str">
        <f>IFERROR(IF($C3="","",SUMIFS(Ledger!$K$2:$K$4, Ledger!$B$2:$B$4, $A3, Ledger!$C$2:$C$4, GME$2)),"****")</f>
        <v/>
      </c>
      <c r="GMF3" t="str">
        <f>IFERROR(IF($C3="","",SUMIFS(Ledger!$K$2:$K$4, Ledger!$B$2:$B$4, $A3, Ledger!$C$2:$C$4, GMF$2)),"****")</f>
        <v/>
      </c>
      <c r="GMG3" t="str">
        <f>IFERROR(IF($C3="","",SUMIFS(Ledger!$K$2:$K$4, Ledger!$B$2:$B$4, $A3, Ledger!$C$2:$C$4, GMG$2)),"****")</f>
        <v/>
      </c>
      <c r="GMH3" t="str">
        <f>IFERROR(IF($C3="","",SUMIFS(Ledger!$K$2:$K$4, Ledger!$B$2:$B$4, $A3, Ledger!$C$2:$C$4, GMH$2)),"****")</f>
        <v/>
      </c>
      <c r="GMI3" t="str">
        <f>IFERROR(IF($C3="","",SUMIFS(Ledger!$K$2:$K$4, Ledger!$B$2:$B$4, $A3, Ledger!$C$2:$C$4, GMI$2)),"****")</f>
        <v/>
      </c>
      <c r="GMJ3" t="str">
        <f>IFERROR(IF($C3="","",SUMIFS(Ledger!$K$2:$K$4, Ledger!$B$2:$B$4, $A3, Ledger!$C$2:$C$4, GMJ$2)),"****")</f>
        <v/>
      </c>
      <c r="GMK3" t="str">
        <f>IFERROR(IF($C3="","",SUMIFS(Ledger!$K$2:$K$4, Ledger!$B$2:$B$4, $A3, Ledger!$C$2:$C$4, GMK$2)),"****")</f>
        <v/>
      </c>
      <c r="GML3" t="str">
        <f>IFERROR(IF($C3="","",SUMIFS(Ledger!$K$2:$K$4, Ledger!$B$2:$B$4, $A3, Ledger!$C$2:$C$4, GML$2)),"****")</f>
        <v/>
      </c>
      <c r="GMM3" t="str">
        <f>IFERROR(IF($C3="","",SUMIFS(Ledger!$K$2:$K$4, Ledger!$B$2:$B$4, $A3, Ledger!$C$2:$C$4, GMM$2)),"****")</f>
        <v/>
      </c>
      <c r="GMN3" t="str">
        <f>IFERROR(IF($C3="","",SUMIFS(Ledger!$K$2:$K$4, Ledger!$B$2:$B$4, $A3, Ledger!$C$2:$C$4, GMN$2)),"****")</f>
        <v/>
      </c>
      <c r="GMO3" t="str">
        <f>IFERROR(IF($C3="","",SUMIFS(Ledger!$K$2:$K$4, Ledger!$B$2:$B$4, $A3, Ledger!$C$2:$C$4, GMO$2)),"****")</f>
        <v/>
      </c>
      <c r="GMP3" t="str">
        <f>IFERROR(IF($C3="","",SUMIFS(Ledger!$K$2:$K$4, Ledger!$B$2:$B$4, $A3, Ledger!$C$2:$C$4, GMP$2)),"****")</f>
        <v/>
      </c>
      <c r="GMQ3" t="str">
        <f>IFERROR(IF($C3="","",SUMIFS(Ledger!$K$2:$K$4, Ledger!$B$2:$B$4, $A3, Ledger!$C$2:$C$4, GMQ$2)),"****")</f>
        <v/>
      </c>
      <c r="GMR3" t="str">
        <f>IFERROR(IF($C3="","",SUMIFS(Ledger!$K$2:$K$4, Ledger!$B$2:$B$4, $A3, Ledger!$C$2:$C$4, GMR$2)),"****")</f>
        <v/>
      </c>
      <c r="GMS3" t="str">
        <f>IFERROR(IF($C3="","",SUMIFS(Ledger!$K$2:$K$4, Ledger!$B$2:$B$4, $A3, Ledger!$C$2:$C$4, GMS$2)),"****")</f>
        <v/>
      </c>
      <c r="GMT3" t="str">
        <f>IFERROR(IF($C3="","",SUMIFS(Ledger!$K$2:$K$4, Ledger!$B$2:$B$4, $A3, Ledger!$C$2:$C$4, GMT$2)),"****")</f>
        <v/>
      </c>
      <c r="GMU3" t="str">
        <f>IFERROR(IF($C3="","",SUMIFS(Ledger!$K$2:$K$4, Ledger!$B$2:$B$4, $A3, Ledger!$C$2:$C$4, GMU$2)),"****")</f>
        <v/>
      </c>
      <c r="GMV3" t="str">
        <f>IFERROR(IF($C3="","",SUMIFS(Ledger!$K$2:$K$4, Ledger!$B$2:$B$4, $A3, Ledger!$C$2:$C$4, GMV$2)),"****")</f>
        <v/>
      </c>
      <c r="GMW3" t="str">
        <f>IFERROR(IF($C3="","",SUMIFS(Ledger!$K$2:$K$4, Ledger!$B$2:$B$4, $A3, Ledger!$C$2:$C$4, GMW$2)),"****")</f>
        <v/>
      </c>
      <c r="GMX3" t="str">
        <f>IFERROR(IF($C3="","",SUMIFS(Ledger!$K$2:$K$4, Ledger!$B$2:$B$4, $A3, Ledger!$C$2:$C$4, GMX$2)),"****")</f>
        <v/>
      </c>
      <c r="GMY3" t="str">
        <f>IFERROR(IF($C3="","",SUMIFS(Ledger!$K$2:$K$4, Ledger!$B$2:$B$4, $A3, Ledger!$C$2:$C$4, GMY$2)),"****")</f>
        <v/>
      </c>
      <c r="GMZ3" t="str">
        <f>IFERROR(IF($C3="","",SUMIFS(Ledger!$K$2:$K$4, Ledger!$B$2:$B$4, $A3, Ledger!$C$2:$C$4, GMZ$2)),"****")</f>
        <v/>
      </c>
      <c r="GNA3" t="str">
        <f>IFERROR(IF($C3="","",SUMIFS(Ledger!$K$2:$K$4, Ledger!$B$2:$B$4, $A3, Ledger!$C$2:$C$4, GNA$2)),"****")</f>
        <v/>
      </c>
      <c r="GNB3" t="str">
        <f>IFERROR(IF($C3="","",SUMIFS(Ledger!$K$2:$K$4, Ledger!$B$2:$B$4, $A3, Ledger!$C$2:$C$4, GNB$2)),"****")</f>
        <v/>
      </c>
      <c r="GNC3" t="str">
        <f>IFERROR(IF($C3="","",SUMIFS(Ledger!$K$2:$K$4, Ledger!$B$2:$B$4, $A3, Ledger!$C$2:$C$4, GNC$2)),"****")</f>
        <v/>
      </c>
      <c r="GND3" t="str">
        <f>IFERROR(IF($C3="","",SUMIFS(Ledger!$K$2:$K$4, Ledger!$B$2:$B$4, $A3, Ledger!$C$2:$C$4, GND$2)),"****")</f>
        <v/>
      </c>
      <c r="GNE3" t="str">
        <f>IFERROR(IF($C3="","",SUMIFS(Ledger!$K$2:$K$4, Ledger!$B$2:$B$4, $A3, Ledger!$C$2:$C$4, GNE$2)),"****")</f>
        <v/>
      </c>
      <c r="GNF3" t="str">
        <f>IFERROR(IF($C3="","",SUMIFS(Ledger!$K$2:$K$4, Ledger!$B$2:$B$4, $A3, Ledger!$C$2:$C$4, GNF$2)),"****")</f>
        <v/>
      </c>
      <c r="GNG3" t="str">
        <f>IFERROR(IF($C3="","",SUMIFS(Ledger!$K$2:$K$4, Ledger!$B$2:$B$4, $A3, Ledger!$C$2:$C$4, GNG$2)),"****")</f>
        <v/>
      </c>
      <c r="GNH3" t="str">
        <f>IFERROR(IF($C3="","",SUMIFS(Ledger!$K$2:$K$4, Ledger!$B$2:$B$4, $A3, Ledger!$C$2:$C$4, GNH$2)),"****")</f>
        <v/>
      </c>
      <c r="GNI3" t="str">
        <f>IFERROR(IF($C3="","",SUMIFS(Ledger!$K$2:$K$4, Ledger!$B$2:$B$4, $A3, Ledger!$C$2:$C$4, GNI$2)),"****")</f>
        <v/>
      </c>
      <c r="GNJ3" t="str">
        <f>IFERROR(IF($C3="","",SUMIFS(Ledger!$K$2:$K$4, Ledger!$B$2:$B$4, $A3, Ledger!$C$2:$C$4, GNJ$2)),"****")</f>
        <v/>
      </c>
      <c r="GNK3" t="str">
        <f>IFERROR(IF($C3="","",SUMIFS(Ledger!$K$2:$K$4, Ledger!$B$2:$B$4, $A3, Ledger!$C$2:$C$4, GNK$2)),"****")</f>
        <v/>
      </c>
      <c r="GNL3" t="str">
        <f>IFERROR(IF($C3="","",SUMIFS(Ledger!$K$2:$K$4, Ledger!$B$2:$B$4, $A3, Ledger!$C$2:$C$4, GNL$2)),"****")</f>
        <v/>
      </c>
      <c r="GNM3" t="str">
        <f>IFERROR(IF($C3="","",SUMIFS(Ledger!$K$2:$K$4, Ledger!$B$2:$B$4, $A3, Ledger!$C$2:$C$4, GNM$2)),"****")</f>
        <v/>
      </c>
      <c r="GNN3" t="str">
        <f>IFERROR(IF($C3="","",SUMIFS(Ledger!$K$2:$K$4, Ledger!$B$2:$B$4, $A3, Ledger!$C$2:$C$4, GNN$2)),"****")</f>
        <v/>
      </c>
      <c r="GNO3" t="str">
        <f>IFERROR(IF($C3="","",SUMIFS(Ledger!$K$2:$K$4, Ledger!$B$2:$B$4, $A3, Ledger!$C$2:$C$4, GNO$2)),"****")</f>
        <v/>
      </c>
      <c r="GNP3" t="str">
        <f>IFERROR(IF($C3="","",SUMIFS(Ledger!$K$2:$K$4, Ledger!$B$2:$B$4, $A3, Ledger!$C$2:$C$4, GNP$2)),"****")</f>
        <v/>
      </c>
      <c r="GNQ3" t="str">
        <f>IFERROR(IF($C3="","",SUMIFS(Ledger!$K$2:$K$4, Ledger!$B$2:$B$4, $A3, Ledger!$C$2:$C$4, GNQ$2)),"****")</f>
        <v/>
      </c>
      <c r="GNR3" t="str">
        <f>IFERROR(IF($C3="","",SUMIFS(Ledger!$K$2:$K$4, Ledger!$B$2:$B$4, $A3, Ledger!$C$2:$C$4, GNR$2)),"****")</f>
        <v/>
      </c>
      <c r="GNS3" t="str">
        <f>IFERROR(IF($C3="","",SUMIFS(Ledger!$K$2:$K$4, Ledger!$B$2:$B$4, $A3, Ledger!$C$2:$C$4, GNS$2)),"****")</f>
        <v/>
      </c>
      <c r="GNT3" t="str">
        <f>IFERROR(IF($C3="","",SUMIFS(Ledger!$K$2:$K$4, Ledger!$B$2:$B$4, $A3, Ledger!$C$2:$C$4, GNT$2)),"****")</f>
        <v/>
      </c>
      <c r="GNU3" t="str">
        <f>IFERROR(IF($C3="","",SUMIFS(Ledger!$K$2:$K$4, Ledger!$B$2:$B$4, $A3, Ledger!$C$2:$C$4, GNU$2)),"****")</f>
        <v/>
      </c>
      <c r="GNV3" t="str">
        <f>IFERROR(IF($C3="","",SUMIFS(Ledger!$K$2:$K$4, Ledger!$B$2:$B$4, $A3, Ledger!$C$2:$C$4, GNV$2)),"****")</f>
        <v/>
      </c>
      <c r="GNW3" t="str">
        <f>IFERROR(IF($C3="","",SUMIFS(Ledger!$K$2:$K$4, Ledger!$B$2:$B$4, $A3, Ledger!$C$2:$C$4, GNW$2)),"****")</f>
        <v/>
      </c>
      <c r="GNX3" t="str">
        <f>IFERROR(IF($C3="","",SUMIFS(Ledger!$K$2:$K$4, Ledger!$B$2:$B$4, $A3, Ledger!$C$2:$C$4, GNX$2)),"****")</f>
        <v/>
      </c>
      <c r="GNY3" t="str">
        <f>IFERROR(IF($C3="","",SUMIFS(Ledger!$K$2:$K$4, Ledger!$B$2:$B$4, $A3, Ledger!$C$2:$C$4, GNY$2)),"****")</f>
        <v/>
      </c>
      <c r="GNZ3" t="str">
        <f>IFERROR(IF($C3="","",SUMIFS(Ledger!$K$2:$K$4, Ledger!$B$2:$B$4, $A3, Ledger!$C$2:$C$4, GNZ$2)),"****")</f>
        <v/>
      </c>
      <c r="GOA3" t="str">
        <f>IFERROR(IF($C3="","",SUMIFS(Ledger!$K$2:$K$4, Ledger!$B$2:$B$4, $A3, Ledger!$C$2:$C$4, GOA$2)),"****")</f>
        <v/>
      </c>
      <c r="GOB3" t="str">
        <f>IFERROR(IF($C3="","",SUMIFS(Ledger!$K$2:$K$4, Ledger!$B$2:$B$4, $A3, Ledger!$C$2:$C$4, GOB$2)),"****")</f>
        <v/>
      </c>
      <c r="GOC3" t="str">
        <f>IFERROR(IF($C3="","",SUMIFS(Ledger!$K$2:$K$4, Ledger!$B$2:$B$4, $A3, Ledger!$C$2:$C$4, GOC$2)),"****")</f>
        <v/>
      </c>
      <c r="GOD3" t="str">
        <f>IFERROR(IF($C3="","",SUMIFS(Ledger!$K$2:$K$4, Ledger!$B$2:$B$4, $A3, Ledger!$C$2:$C$4, GOD$2)),"****")</f>
        <v/>
      </c>
      <c r="GOE3" t="str">
        <f>IFERROR(IF($C3="","",SUMIFS(Ledger!$K$2:$K$4, Ledger!$B$2:$B$4, $A3, Ledger!$C$2:$C$4, GOE$2)),"****")</f>
        <v/>
      </c>
      <c r="GOF3" t="str">
        <f>IFERROR(IF($C3="","",SUMIFS(Ledger!$K$2:$K$4, Ledger!$B$2:$B$4, $A3, Ledger!$C$2:$C$4, GOF$2)),"****")</f>
        <v/>
      </c>
      <c r="GOG3" t="str">
        <f>IFERROR(IF($C3="","",SUMIFS(Ledger!$K$2:$K$4, Ledger!$B$2:$B$4, $A3, Ledger!$C$2:$C$4, GOG$2)),"****")</f>
        <v/>
      </c>
      <c r="GOH3" t="str">
        <f>IFERROR(IF($C3="","",SUMIFS(Ledger!$K$2:$K$4, Ledger!$B$2:$B$4, $A3, Ledger!$C$2:$C$4, GOH$2)),"****")</f>
        <v/>
      </c>
      <c r="GOI3" t="str">
        <f>IFERROR(IF($C3="","",SUMIFS(Ledger!$K$2:$K$4, Ledger!$B$2:$B$4, $A3, Ledger!$C$2:$C$4, GOI$2)),"****")</f>
        <v/>
      </c>
      <c r="GOJ3" t="str">
        <f>IFERROR(IF($C3="","",SUMIFS(Ledger!$K$2:$K$4, Ledger!$B$2:$B$4, $A3, Ledger!$C$2:$C$4, GOJ$2)),"****")</f>
        <v/>
      </c>
      <c r="GOK3" t="str">
        <f>IFERROR(IF($C3="","",SUMIFS(Ledger!$K$2:$K$4, Ledger!$B$2:$B$4, $A3, Ledger!$C$2:$C$4, GOK$2)),"****")</f>
        <v/>
      </c>
      <c r="GOL3" t="str">
        <f>IFERROR(IF($C3="","",SUMIFS(Ledger!$K$2:$K$4, Ledger!$B$2:$B$4, $A3, Ledger!$C$2:$C$4, GOL$2)),"****")</f>
        <v/>
      </c>
      <c r="GOM3" t="str">
        <f>IFERROR(IF($C3="","",SUMIFS(Ledger!$K$2:$K$4, Ledger!$B$2:$B$4, $A3, Ledger!$C$2:$C$4, GOM$2)),"****")</f>
        <v/>
      </c>
      <c r="GON3" t="str">
        <f>IFERROR(IF($C3="","",SUMIFS(Ledger!$K$2:$K$4, Ledger!$B$2:$B$4, $A3, Ledger!$C$2:$C$4, GON$2)),"****")</f>
        <v/>
      </c>
      <c r="GOO3" t="str">
        <f>IFERROR(IF($C3="","",SUMIFS(Ledger!$K$2:$K$4, Ledger!$B$2:$B$4, $A3, Ledger!$C$2:$C$4, GOO$2)),"****")</f>
        <v/>
      </c>
      <c r="GOP3" t="str">
        <f>IFERROR(IF($C3="","",SUMIFS(Ledger!$K$2:$K$4, Ledger!$B$2:$B$4, $A3, Ledger!$C$2:$C$4, GOP$2)),"****")</f>
        <v/>
      </c>
      <c r="GOQ3" t="str">
        <f>IFERROR(IF($C3="","",SUMIFS(Ledger!$K$2:$K$4, Ledger!$B$2:$B$4, $A3, Ledger!$C$2:$C$4, GOQ$2)),"****")</f>
        <v/>
      </c>
      <c r="GOR3" t="str">
        <f>IFERROR(IF($C3="","",SUMIFS(Ledger!$K$2:$K$4, Ledger!$B$2:$B$4, $A3, Ledger!$C$2:$C$4, GOR$2)),"****")</f>
        <v/>
      </c>
      <c r="GOS3" t="str">
        <f>IFERROR(IF($C3="","",SUMIFS(Ledger!$K$2:$K$4, Ledger!$B$2:$B$4, $A3, Ledger!$C$2:$C$4, GOS$2)),"****")</f>
        <v/>
      </c>
      <c r="GOT3" t="str">
        <f>IFERROR(IF($C3="","",SUMIFS(Ledger!$K$2:$K$4, Ledger!$B$2:$B$4, $A3, Ledger!$C$2:$C$4, GOT$2)),"****")</f>
        <v/>
      </c>
      <c r="GOU3" t="str">
        <f>IFERROR(IF($C3="","",SUMIFS(Ledger!$K$2:$K$4, Ledger!$B$2:$B$4, $A3, Ledger!$C$2:$C$4, GOU$2)),"****")</f>
        <v/>
      </c>
      <c r="GOV3" t="str">
        <f>IFERROR(IF($C3="","",SUMIFS(Ledger!$K$2:$K$4, Ledger!$B$2:$B$4, $A3, Ledger!$C$2:$C$4, GOV$2)),"****")</f>
        <v/>
      </c>
      <c r="GOW3" t="str">
        <f>IFERROR(IF($C3="","",SUMIFS(Ledger!$K$2:$K$4, Ledger!$B$2:$B$4, $A3, Ledger!$C$2:$C$4, GOW$2)),"****")</f>
        <v/>
      </c>
      <c r="GOX3" t="str">
        <f>IFERROR(IF($C3="","",SUMIFS(Ledger!$K$2:$K$4, Ledger!$B$2:$B$4, $A3, Ledger!$C$2:$C$4, GOX$2)),"****")</f>
        <v/>
      </c>
      <c r="GOY3" t="str">
        <f>IFERROR(IF($C3="","",SUMIFS(Ledger!$K$2:$K$4, Ledger!$B$2:$B$4, $A3, Ledger!$C$2:$C$4, GOY$2)),"****")</f>
        <v/>
      </c>
      <c r="GOZ3" t="str">
        <f>IFERROR(IF($C3="","",SUMIFS(Ledger!$K$2:$K$4, Ledger!$B$2:$B$4, $A3, Ledger!$C$2:$C$4, GOZ$2)),"****")</f>
        <v/>
      </c>
      <c r="GPA3" t="str">
        <f>IFERROR(IF($C3="","",SUMIFS(Ledger!$K$2:$K$4, Ledger!$B$2:$B$4, $A3, Ledger!$C$2:$C$4, GPA$2)),"****")</f>
        <v/>
      </c>
      <c r="GPB3" t="str">
        <f>IFERROR(IF($C3="","",SUMIFS(Ledger!$K$2:$K$4, Ledger!$B$2:$B$4, $A3, Ledger!$C$2:$C$4, GPB$2)),"****")</f>
        <v/>
      </c>
      <c r="GPC3" t="str">
        <f>IFERROR(IF($C3="","",SUMIFS(Ledger!$K$2:$K$4, Ledger!$B$2:$B$4, $A3, Ledger!$C$2:$C$4, GPC$2)),"****")</f>
        <v/>
      </c>
      <c r="GPD3" t="str">
        <f>IFERROR(IF($C3="","",SUMIFS(Ledger!$K$2:$K$4, Ledger!$B$2:$B$4, $A3, Ledger!$C$2:$C$4, GPD$2)),"****")</f>
        <v/>
      </c>
      <c r="GPE3" t="str">
        <f>IFERROR(IF($C3="","",SUMIFS(Ledger!$K$2:$K$4, Ledger!$B$2:$B$4, $A3, Ledger!$C$2:$C$4, GPE$2)),"****")</f>
        <v/>
      </c>
      <c r="GPF3" t="str">
        <f>IFERROR(IF($C3="","",SUMIFS(Ledger!$K$2:$K$4, Ledger!$B$2:$B$4, $A3, Ledger!$C$2:$C$4, GPF$2)),"****")</f>
        <v/>
      </c>
      <c r="GPG3" t="str">
        <f>IFERROR(IF($C3="","",SUMIFS(Ledger!$K$2:$K$4, Ledger!$B$2:$B$4, $A3, Ledger!$C$2:$C$4, GPG$2)),"****")</f>
        <v/>
      </c>
      <c r="GPH3" t="str">
        <f>IFERROR(IF($C3="","",SUMIFS(Ledger!$K$2:$K$4, Ledger!$B$2:$B$4, $A3, Ledger!$C$2:$C$4, GPH$2)),"****")</f>
        <v/>
      </c>
      <c r="GPI3" t="str">
        <f>IFERROR(IF($C3="","",SUMIFS(Ledger!$K$2:$K$4, Ledger!$B$2:$B$4, $A3, Ledger!$C$2:$C$4, GPI$2)),"****")</f>
        <v/>
      </c>
      <c r="GPJ3" t="str">
        <f>IFERROR(IF($C3="","",SUMIFS(Ledger!$K$2:$K$4, Ledger!$B$2:$B$4, $A3, Ledger!$C$2:$C$4, GPJ$2)),"****")</f>
        <v/>
      </c>
      <c r="GPK3" t="str">
        <f>IFERROR(IF($C3="","",SUMIFS(Ledger!$K$2:$K$4, Ledger!$B$2:$B$4, $A3, Ledger!$C$2:$C$4, GPK$2)),"****")</f>
        <v/>
      </c>
      <c r="GPL3" t="str">
        <f>IFERROR(IF($C3="","",SUMIFS(Ledger!$K$2:$K$4, Ledger!$B$2:$B$4, $A3, Ledger!$C$2:$C$4, GPL$2)),"****")</f>
        <v/>
      </c>
      <c r="GPM3" t="str">
        <f>IFERROR(IF($C3="","",SUMIFS(Ledger!$K$2:$K$4, Ledger!$B$2:$B$4, $A3, Ledger!$C$2:$C$4, GPM$2)),"****")</f>
        <v/>
      </c>
      <c r="GPN3" t="str">
        <f>IFERROR(IF($C3="","",SUMIFS(Ledger!$K$2:$K$4, Ledger!$B$2:$B$4, $A3, Ledger!$C$2:$C$4, GPN$2)),"****")</f>
        <v/>
      </c>
      <c r="GPO3" t="str">
        <f>IFERROR(IF($C3="","",SUMIFS(Ledger!$K$2:$K$4, Ledger!$B$2:$B$4, $A3, Ledger!$C$2:$C$4, GPO$2)),"****")</f>
        <v/>
      </c>
      <c r="GPP3" t="str">
        <f>IFERROR(IF($C3="","",SUMIFS(Ledger!$K$2:$K$4, Ledger!$B$2:$B$4, $A3, Ledger!$C$2:$C$4, GPP$2)),"****")</f>
        <v/>
      </c>
      <c r="GPQ3" t="str">
        <f>IFERROR(IF($C3="","",SUMIFS(Ledger!$K$2:$K$4, Ledger!$B$2:$B$4, $A3, Ledger!$C$2:$C$4, GPQ$2)),"****")</f>
        <v/>
      </c>
      <c r="GPR3" t="str">
        <f>IFERROR(IF($C3="","",SUMIFS(Ledger!$K$2:$K$4, Ledger!$B$2:$B$4, $A3, Ledger!$C$2:$C$4, GPR$2)),"****")</f>
        <v/>
      </c>
      <c r="GPS3" t="str">
        <f>IFERROR(IF($C3="","",SUMIFS(Ledger!$K$2:$K$4, Ledger!$B$2:$B$4, $A3, Ledger!$C$2:$C$4, GPS$2)),"****")</f>
        <v/>
      </c>
      <c r="GPT3" t="str">
        <f>IFERROR(IF($C3="","",SUMIFS(Ledger!$K$2:$K$4, Ledger!$B$2:$B$4, $A3, Ledger!$C$2:$C$4, GPT$2)),"****")</f>
        <v/>
      </c>
      <c r="GPU3" t="str">
        <f>IFERROR(IF($C3="","",SUMIFS(Ledger!$K$2:$K$4, Ledger!$B$2:$B$4, $A3, Ledger!$C$2:$C$4, GPU$2)),"****")</f>
        <v/>
      </c>
      <c r="GPV3" t="str">
        <f>IFERROR(IF($C3="","",SUMIFS(Ledger!$K$2:$K$4, Ledger!$B$2:$B$4, $A3, Ledger!$C$2:$C$4, GPV$2)),"****")</f>
        <v/>
      </c>
      <c r="GPW3" t="str">
        <f>IFERROR(IF($C3="","",SUMIFS(Ledger!$K$2:$K$4, Ledger!$B$2:$B$4, $A3, Ledger!$C$2:$C$4, GPW$2)),"****")</f>
        <v/>
      </c>
      <c r="GPX3" t="str">
        <f>IFERROR(IF($C3="","",SUMIFS(Ledger!$K$2:$K$4, Ledger!$B$2:$B$4, $A3, Ledger!$C$2:$C$4, GPX$2)),"****")</f>
        <v/>
      </c>
      <c r="GPY3" t="str">
        <f>IFERROR(IF($C3="","",SUMIFS(Ledger!$K$2:$K$4, Ledger!$B$2:$B$4, $A3, Ledger!$C$2:$C$4, GPY$2)),"****")</f>
        <v/>
      </c>
      <c r="GPZ3" t="str">
        <f>IFERROR(IF($C3="","",SUMIFS(Ledger!$K$2:$K$4, Ledger!$B$2:$B$4, $A3, Ledger!$C$2:$C$4, GPZ$2)),"****")</f>
        <v/>
      </c>
      <c r="GQA3" t="str">
        <f>IFERROR(IF($C3="","",SUMIFS(Ledger!$K$2:$K$4, Ledger!$B$2:$B$4, $A3, Ledger!$C$2:$C$4, GQA$2)),"****")</f>
        <v/>
      </c>
      <c r="GQB3" t="str">
        <f>IFERROR(IF($C3="","",SUMIFS(Ledger!$K$2:$K$4, Ledger!$B$2:$B$4, $A3, Ledger!$C$2:$C$4, GQB$2)),"****")</f>
        <v/>
      </c>
      <c r="GQC3" t="str">
        <f>IFERROR(IF($C3="","",SUMIFS(Ledger!$K$2:$K$4, Ledger!$B$2:$B$4, $A3, Ledger!$C$2:$C$4, GQC$2)),"****")</f>
        <v/>
      </c>
      <c r="GQD3" t="str">
        <f>IFERROR(IF($C3="","",SUMIFS(Ledger!$K$2:$K$4, Ledger!$B$2:$B$4, $A3, Ledger!$C$2:$C$4, GQD$2)),"****")</f>
        <v/>
      </c>
      <c r="GQE3" t="str">
        <f>IFERROR(IF($C3="","",SUMIFS(Ledger!$K$2:$K$4, Ledger!$B$2:$B$4, $A3, Ledger!$C$2:$C$4, GQE$2)),"****")</f>
        <v/>
      </c>
      <c r="GQF3" t="str">
        <f>IFERROR(IF($C3="","",SUMIFS(Ledger!$K$2:$K$4, Ledger!$B$2:$B$4, $A3, Ledger!$C$2:$C$4, GQF$2)),"****")</f>
        <v/>
      </c>
      <c r="GQG3" t="str">
        <f>IFERROR(IF($C3="","",SUMIFS(Ledger!$K$2:$K$4, Ledger!$B$2:$B$4, $A3, Ledger!$C$2:$C$4, GQG$2)),"****")</f>
        <v/>
      </c>
      <c r="GQH3" t="str">
        <f>IFERROR(IF($C3="","",SUMIFS(Ledger!$K$2:$K$4, Ledger!$B$2:$B$4, $A3, Ledger!$C$2:$C$4, GQH$2)),"****")</f>
        <v/>
      </c>
      <c r="GQI3" t="str">
        <f>IFERROR(IF($C3="","",SUMIFS(Ledger!$K$2:$K$4, Ledger!$B$2:$B$4, $A3, Ledger!$C$2:$C$4, GQI$2)),"****")</f>
        <v/>
      </c>
      <c r="GQJ3" t="str">
        <f>IFERROR(IF($C3="","",SUMIFS(Ledger!$K$2:$K$4, Ledger!$B$2:$B$4, $A3, Ledger!$C$2:$C$4, GQJ$2)),"****")</f>
        <v/>
      </c>
      <c r="GQK3" t="str">
        <f>IFERROR(IF($C3="","",SUMIFS(Ledger!$K$2:$K$4, Ledger!$B$2:$B$4, $A3, Ledger!$C$2:$C$4, GQK$2)),"****")</f>
        <v/>
      </c>
      <c r="GQL3" t="str">
        <f>IFERROR(IF($C3="","",SUMIFS(Ledger!$K$2:$K$4, Ledger!$B$2:$B$4, $A3, Ledger!$C$2:$C$4, GQL$2)),"****")</f>
        <v/>
      </c>
      <c r="GQM3" t="str">
        <f>IFERROR(IF($C3="","",SUMIFS(Ledger!$K$2:$K$4, Ledger!$B$2:$B$4, $A3, Ledger!$C$2:$C$4, GQM$2)),"****")</f>
        <v/>
      </c>
      <c r="GQN3" t="str">
        <f>IFERROR(IF($C3="","",SUMIFS(Ledger!$K$2:$K$4, Ledger!$B$2:$B$4, $A3, Ledger!$C$2:$C$4, GQN$2)),"****")</f>
        <v/>
      </c>
      <c r="GQO3" t="str">
        <f>IFERROR(IF($C3="","",SUMIFS(Ledger!$K$2:$K$4, Ledger!$B$2:$B$4, $A3, Ledger!$C$2:$C$4, GQO$2)),"****")</f>
        <v/>
      </c>
      <c r="GQP3" t="str">
        <f>IFERROR(IF($C3="","",SUMIFS(Ledger!$K$2:$K$4, Ledger!$B$2:$B$4, $A3, Ledger!$C$2:$C$4, GQP$2)),"****")</f>
        <v/>
      </c>
      <c r="GQQ3" t="str">
        <f>IFERROR(IF($C3="","",SUMIFS(Ledger!$K$2:$K$4, Ledger!$B$2:$B$4, $A3, Ledger!$C$2:$C$4, GQQ$2)),"****")</f>
        <v/>
      </c>
      <c r="GQR3" t="str">
        <f>IFERROR(IF($C3="","",SUMIFS(Ledger!$K$2:$K$4, Ledger!$B$2:$B$4, $A3, Ledger!$C$2:$C$4, GQR$2)),"****")</f>
        <v/>
      </c>
      <c r="GQS3" t="str">
        <f>IFERROR(IF($C3="","",SUMIFS(Ledger!$K$2:$K$4, Ledger!$B$2:$B$4, $A3, Ledger!$C$2:$C$4, GQS$2)),"****")</f>
        <v/>
      </c>
      <c r="GQT3" t="str">
        <f>IFERROR(IF($C3="","",SUMIFS(Ledger!$K$2:$K$4, Ledger!$B$2:$B$4, $A3, Ledger!$C$2:$C$4, GQT$2)),"****")</f>
        <v/>
      </c>
      <c r="GQU3" t="str">
        <f>IFERROR(IF($C3="","",SUMIFS(Ledger!$K$2:$K$4, Ledger!$B$2:$B$4, $A3, Ledger!$C$2:$C$4, GQU$2)),"****")</f>
        <v/>
      </c>
      <c r="GQV3" t="str">
        <f>IFERROR(IF($C3="","",SUMIFS(Ledger!$K$2:$K$4, Ledger!$B$2:$B$4, $A3, Ledger!$C$2:$C$4, GQV$2)),"****")</f>
        <v/>
      </c>
      <c r="GQW3" t="str">
        <f>IFERROR(IF($C3="","",SUMIFS(Ledger!$K$2:$K$4, Ledger!$B$2:$B$4, $A3, Ledger!$C$2:$C$4, GQW$2)),"****")</f>
        <v/>
      </c>
      <c r="GQX3" t="str">
        <f>IFERROR(IF($C3="","",SUMIFS(Ledger!$K$2:$K$4, Ledger!$B$2:$B$4, $A3, Ledger!$C$2:$C$4, GQX$2)),"****")</f>
        <v/>
      </c>
      <c r="GQY3" t="str">
        <f>IFERROR(IF($C3="","",SUMIFS(Ledger!$K$2:$K$4, Ledger!$B$2:$B$4, $A3, Ledger!$C$2:$C$4, GQY$2)),"****")</f>
        <v/>
      </c>
      <c r="GQZ3" t="str">
        <f>IFERROR(IF($C3="","",SUMIFS(Ledger!$K$2:$K$4, Ledger!$B$2:$B$4, $A3, Ledger!$C$2:$C$4, GQZ$2)),"****")</f>
        <v/>
      </c>
      <c r="GRA3" t="str">
        <f>IFERROR(IF($C3="","",SUMIFS(Ledger!$K$2:$K$4, Ledger!$B$2:$B$4, $A3, Ledger!$C$2:$C$4, GRA$2)),"****")</f>
        <v/>
      </c>
      <c r="GRB3" t="str">
        <f>IFERROR(IF($C3="","",SUMIFS(Ledger!$K$2:$K$4, Ledger!$B$2:$B$4, $A3, Ledger!$C$2:$C$4, GRB$2)),"****")</f>
        <v/>
      </c>
      <c r="GRC3" t="str">
        <f>IFERROR(IF($C3="","",SUMIFS(Ledger!$K$2:$K$4, Ledger!$B$2:$B$4, $A3, Ledger!$C$2:$C$4, GRC$2)),"****")</f>
        <v/>
      </c>
      <c r="GRD3" t="str">
        <f>IFERROR(IF($C3="","",SUMIFS(Ledger!$K$2:$K$4, Ledger!$B$2:$B$4, $A3, Ledger!$C$2:$C$4, GRD$2)),"****")</f>
        <v/>
      </c>
      <c r="GRE3" t="str">
        <f>IFERROR(IF($C3="","",SUMIFS(Ledger!$K$2:$K$4, Ledger!$B$2:$B$4, $A3, Ledger!$C$2:$C$4, GRE$2)),"****")</f>
        <v/>
      </c>
      <c r="GRF3" t="str">
        <f>IFERROR(IF($C3="","",SUMIFS(Ledger!$K$2:$K$4, Ledger!$B$2:$B$4, $A3, Ledger!$C$2:$C$4, GRF$2)),"****")</f>
        <v/>
      </c>
      <c r="GRG3" t="str">
        <f>IFERROR(IF($C3="","",SUMIFS(Ledger!$K$2:$K$4, Ledger!$B$2:$B$4, $A3, Ledger!$C$2:$C$4, GRG$2)),"****")</f>
        <v/>
      </c>
      <c r="GRH3" t="str">
        <f>IFERROR(IF($C3="","",SUMIFS(Ledger!$K$2:$K$4, Ledger!$B$2:$B$4, $A3, Ledger!$C$2:$C$4, GRH$2)),"****")</f>
        <v/>
      </c>
      <c r="GRI3" t="str">
        <f>IFERROR(IF($C3="","",SUMIFS(Ledger!$K$2:$K$4, Ledger!$B$2:$B$4, $A3, Ledger!$C$2:$C$4, GRI$2)),"****")</f>
        <v/>
      </c>
      <c r="GRJ3" t="str">
        <f>IFERROR(IF($C3="","",SUMIFS(Ledger!$K$2:$K$4, Ledger!$B$2:$B$4, $A3, Ledger!$C$2:$C$4, GRJ$2)),"****")</f>
        <v/>
      </c>
      <c r="GRK3" t="str">
        <f>IFERROR(IF($C3="","",SUMIFS(Ledger!$K$2:$K$4, Ledger!$B$2:$B$4, $A3, Ledger!$C$2:$C$4, GRK$2)),"****")</f>
        <v/>
      </c>
      <c r="GRL3" t="str">
        <f>IFERROR(IF($C3="","",SUMIFS(Ledger!$K$2:$K$4, Ledger!$B$2:$B$4, $A3, Ledger!$C$2:$C$4, GRL$2)),"****")</f>
        <v/>
      </c>
      <c r="GRM3" t="str">
        <f>IFERROR(IF($C3="","",SUMIFS(Ledger!$K$2:$K$4, Ledger!$B$2:$B$4, $A3, Ledger!$C$2:$C$4, GRM$2)),"****")</f>
        <v/>
      </c>
      <c r="GRN3" t="str">
        <f>IFERROR(IF($C3="","",SUMIFS(Ledger!$K$2:$K$4, Ledger!$B$2:$B$4, $A3, Ledger!$C$2:$C$4, GRN$2)),"****")</f>
        <v/>
      </c>
      <c r="GRO3" t="str">
        <f>IFERROR(IF($C3="","",SUMIFS(Ledger!$K$2:$K$4, Ledger!$B$2:$B$4, $A3, Ledger!$C$2:$C$4, GRO$2)),"****")</f>
        <v/>
      </c>
      <c r="GRP3" t="str">
        <f>IFERROR(IF($C3="","",SUMIFS(Ledger!$K$2:$K$4, Ledger!$B$2:$B$4, $A3, Ledger!$C$2:$C$4, GRP$2)),"****")</f>
        <v/>
      </c>
      <c r="GRQ3" t="str">
        <f>IFERROR(IF($C3="","",SUMIFS(Ledger!$K$2:$K$4, Ledger!$B$2:$B$4, $A3, Ledger!$C$2:$C$4, GRQ$2)),"****")</f>
        <v/>
      </c>
      <c r="GRR3" t="str">
        <f>IFERROR(IF($C3="","",SUMIFS(Ledger!$K$2:$K$4, Ledger!$B$2:$B$4, $A3, Ledger!$C$2:$C$4, GRR$2)),"****")</f>
        <v/>
      </c>
      <c r="GRS3" t="str">
        <f>IFERROR(IF($C3="","",SUMIFS(Ledger!$K$2:$K$4, Ledger!$B$2:$B$4, $A3, Ledger!$C$2:$C$4, GRS$2)),"****")</f>
        <v/>
      </c>
      <c r="GRT3" t="str">
        <f>IFERROR(IF($C3="","",SUMIFS(Ledger!$K$2:$K$4, Ledger!$B$2:$B$4, $A3, Ledger!$C$2:$C$4, GRT$2)),"****")</f>
        <v/>
      </c>
      <c r="GRU3" t="str">
        <f>IFERROR(IF($C3="","",SUMIFS(Ledger!$K$2:$K$4, Ledger!$B$2:$B$4, $A3, Ledger!$C$2:$C$4, GRU$2)),"****")</f>
        <v/>
      </c>
      <c r="GRV3" t="str">
        <f>IFERROR(IF($C3="","",SUMIFS(Ledger!$K$2:$K$4, Ledger!$B$2:$B$4, $A3, Ledger!$C$2:$C$4, GRV$2)),"****")</f>
        <v/>
      </c>
      <c r="GRW3" t="str">
        <f>IFERROR(IF($C3="","",SUMIFS(Ledger!$K$2:$K$4, Ledger!$B$2:$B$4, $A3, Ledger!$C$2:$C$4, GRW$2)),"****")</f>
        <v/>
      </c>
      <c r="GRX3" t="str">
        <f>IFERROR(IF($C3="","",SUMIFS(Ledger!$K$2:$K$4, Ledger!$B$2:$B$4, $A3, Ledger!$C$2:$C$4, GRX$2)),"****")</f>
        <v/>
      </c>
      <c r="GRY3" t="str">
        <f>IFERROR(IF($C3="","",SUMIFS(Ledger!$K$2:$K$4, Ledger!$B$2:$B$4, $A3, Ledger!$C$2:$C$4, GRY$2)),"****")</f>
        <v/>
      </c>
      <c r="GRZ3" t="str">
        <f>IFERROR(IF($C3="","",SUMIFS(Ledger!$K$2:$K$4, Ledger!$B$2:$B$4, $A3, Ledger!$C$2:$C$4, GRZ$2)),"****")</f>
        <v/>
      </c>
      <c r="GSA3" t="str">
        <f>IFERROR(IF($C3="","",SUMIFS(Ledger!$K$2:$K$4, Ledger!$B$2:$B$4, $A3, Ledger!$C$2:$C$4, GSA$2)),"****")</f>
        <v/>
      </c>
      <c r="GSB3" t="str">
        <f>IFERROR(IF($C3="","",SUMIFS(Ledger!$K$2:$K$4, Ledger!$B$2:$B$4, $A3, Ledger!$C$2:$C$4, GSB$2)),"****")</f>
        <v/>
      </c>
      <c r="GSC3" t="str">
        <f>IFERROR(IF($C3="","",SUMIFS(Ledger!$K$2:$K$4, Ledger!$B$2:$B$4, $A3, Ledger!$C$2:$C$4, GSC$2)),"****")</f>
        <v/>
      </c>
      <c r="GSD3" t="str">
        <f>IFERROR(IF($C3="","",SUMIFS(Ledger!$K$2:$K$4, Ledger!$B$2:$B$4, $A3, Ledger!$C$2:$C$4, GSD$2)),"****")</f>
        <v/>
      </c>
      <c r="GSE3" t="str">
        <f>IFERROR(IF($C3="","",SUMIFS(Ledger!$K$2:$K$4, Ledger!$B$2:$B$4, $A3, Ledger!$C$2:$C$4, GSE$2)),"****")</f>
        <v/>
      </c>
      <c r="GSF3" t="str">
        <f>IFERROR(IF($C3="","",SUMIFS(Ledger!$K$2:$K$4, Ledger!$B$2:$B$4, $A3, Ledger!$C$2:$C$4, GSF$2)),"****")</f>
        <v/>
      </c>
      <c r="GSG3" t="str">
        <f>IFERROR(IF($C3="","",SUMIFS(Ledger!$K$2:$K$4, Ledger!$B$2:$B$4, $A3, Ledger!$C$2:$C$4, GSG$2)),"****")</f>
        <v/>
      </c>
      <c r="GSH3" t="str">
        <f>IFERROR(IF($C3="","",SUMIFS(Ledger!$K$2:$K$4, Ledger!$B$2:$B$4, $A3, Ledger!$C$2:$C$4, GSH$2)),"****")</f>
        <v/>
      </c>
      <c r="GSI3" t="str">
        <f>IFERROR(IF($C3="","",SUMIFS(Ledger!$K$2:$K$4, Ledger!$B$2:$B$4, $A3, Ledger!$C$2:$C$4, GSI$2)),"****")</f>
        <v/>
      </c>
      <c r="GSJ3" t="str">
        <f>IFERROR(IF($C3="","",SUMIFS(Ledger!$K$2:$K$4, Ledger!$B$2:$B$4, $A3, Ledger!$C$2:$C$4, GSJ$2)),"****")</f>
        <v/>
      </c>
      <c r="GSK3" t="str">
        <f>IFERROR(IF($C3="","",SUMIFS(Ledger!$K$2:$K$4, Ledger!$B$2:$B$4, $A3, Ledger!$C$2:$C$4, GSK$2)),"****")</f>
        <v/>
      </c>
      <c r="GSL3" t="str">
        <f>IFERROR(IF($C3="","",SUMIFS(Ledger!$K$2:$K$4, Ledger!$B$2:$B$4, $A3, Ledger!$C$2:$C$4, GSL$2)),"****")</f>
        <v/>
      </c>
      <c r="GSM3" t="str">
        <f>IFERROR(IF($C3="","",SUMIFS(Ledger!$K$2:$K$4, Ledger!$B$2:$B$4, $A3, Ledger!$C$2:$C$4, GSM$2)),"****")</f>
        <v/>
      </c>
      <c r="GSN3" t="str">
        <f>IFERROR(IF($C3="","",SUMIFS(Ledger!$K$2:$K$4, Ledger!$B$2:$B$4, $A3, Ledger!$C$2:$C$4, GSN$2)),"****")</f>
        <v/>
      </c>
      <c r="GSO3" t="str">
        <f>IFERROR(IF($C3="","",SUMIFS(Ledger!$K$2:$K$4, Ledger!$B$2:$B$4, $A3, Ledger!$C$2:$C$4, GSO$2)),"****")</f>
        <v/>
      </c>
      <c r="GSP3" t="str">
        <f>IFERROR(IF($C3="","",SUMIFS(Ledger!$K$2:$K$4, Ledger!$B$2:$B$4, $A3, Ledger!$C$2:$C$4, GSP$2)),"****")</f>
        <v/>
      </c>
      <c r="GSQ3" t="str">
        <f>IFERROR(IF($C3="","",SUMIFS(Ledger!$K$2:$K$4, Ledger!$B$2:$B$4, $A3, Ledger!$C$2:$C$4, GSQ$2)),"****")</f>
        <v/>
      </c>
      <c r="GSR3" t="str">
        <f>IFERROR(IF($C3="","",SUMIFS(Ledger!$K$2:$K$4, Ledger!$B$2:$B$4, $A3, Ledger!$C$2:$C$4, GSR$2)),"****")</f>
        <v/>
      </c>
      <c r="GSS3" t="str">
        <f>IFERROR(IF($C3="","",SUMIFS(Ledger!$K$2:$K$4, Ledger!$B$2:$B$4, $A3, Ledger!$C$2:$C$4, GSS$2)),"****")</f>
        <v/>
      </c>
      <c r="GST3" t="str">
        <f>IFERROR(IF($C3="","",SUMIFS(Ledger!$K$2:$K$4, Ledger!$B$2:$B$4, $A3, Ledger!$C$2:$C$4, GST$2)),"****")</f>
        <v/>
      </c>
      <c r="GSU3" t="str">
        <f>IFERROR(IF($C3="","",SUMIFS(Ledger!$K$2:$K$4, Ledger!$B$2:$B$4, $A3, Ledger!$C$2:$C$4, GSU$2)),"****")</f>
        <v/>
      </c>
      <c r="GSV3" t="str">
        <f>IFERROR(IF($C3="","",SUMIFS(Ledger!$K$2:$K$4, Ledger!$B$2:$B$4, $A3, Ledger!$C$2:$C$4, GSV$2)),"****")</f>
        <v/>
      </c>
      <c r="GSW3" t="str">
        <f>IFERROR(IF($C3="","",SUMIFS(Ledger!$K$2:$K$4, Ledger!$B$2:$B$4, $A3, Ledger!$C$2:$C$4, GSW$2)),"****")</f>
        <v/>
      </c>
      <c r="GSX3" t="str">
        <f>IFERROR(IF($C3="","",SUMIFS(Ledger!$K$2:$K$4, Ledger!$B$2:$B$4, $A3, Ledger!$C$2:$C$4, GSX$2)),"****")</f>
        <v/>
      </c>
      <c r="GSY3" t="str">
        <f>IFERROR(IF($C3="","",SUMIFS(Ledger!$K$2:$K$4, Ledger!$B$2:$B$4, $A3, Ledger!$C$2:$C$4, GSY$2)),"****")</f>
        <v/>
      </c>
      <c r="GSZ3" t="str">
        <f>IFERROR(IF($C3="","",SUMIFS(Ledger!$K$2:$K$4, Ledger!$B$2:$B$4, $A3, Ledger!$C$2:$C$4, GSZ$2)),"****")</f>
        <v/>
      </c>
      <c r="GTA3" t="str">
        <f>IFERROR(IF($C3="","",SUMIFS(Ledger!$K$2:$K$4, Ledger!$B$2:$B$4, $A3, Ledger!$C$2:$C$4, GTA$2)),"****")</f>
        <v/>
      </c>
      <c r="GTB3" t="str">
        <f>IFERROR(IF($C3="","",SUMIFS(Ledger!$K$2:$K$4, Ledger!$B$2:$B$4, $A3, Ledger!$C$2:$C$4, GTB$2)),"****")</f>
        <v/>
      </c>
      <c r="GTC3" t="str">
        <f>IFERROR(IF($C3="","",SUMIFS(Ledger!$K$2:$K$4, Ledger!$B$2:$B$4, $A3, Ledger!$C$2:$C$4, GTC$2)),"****")</f>
        <v/>
      </c>
      <c r="GTD3" t="str">
        <f>IFERROR(IF($C3="","",SUMIFS(Ledger!$K$2:$K$4, Ledger!$B$2:$B$4, $A3, Ledger!$C$2:$C$4, GTD$2)),"****")</f>
        <v/>
      </c>
      <c r="GTE3" t="str">
        <f>IFERROR(IF($C3="","",SUMIFS(Ledger!$K$2:$K$4, Ledger!$B$2:$B$4, $A3, Ledger!$C$2:$C$4, GTE$2)),"****")</f>
        <v/>
      </c>
      <c r="GTF3" t="str">
        <f>IFERROR(IF($C3="","",SUMIFS(Ledger!$K$2:$K$4, Ledger!$B$2:$B$4, $A3, Ledger!$C$2:$C$4, GTF$2)),"****")</f>
        <v/>
      </c>
      <c r="GTG3" t="str">
        <f>IFERROR(IF($C3="","",SUMIFS(Ledger!$K$2:$K$4, Ledger!$B$2:$B$4, $A3, Ledger!$C$2:$C$4, GTG$2)),"****")</f>
        <v/>
      </c>
      <c r="GTH3" t="str">
        <f>IFERROR(IF($C3="","",SUMIFS(Ledger!$K$2:$K$4, Ledger!$B$2:$B$4, $A3, Ledger!$C$2:$C$4, GTH$2)),"****")</f>
        <v/>
      </c>
      <c r="GTI3" t="str">
        <f>IFERROR(IF($C3="","",SUMIFS(Ledger!$K$2:$K$4, Ledger!$B$2:$B$4, $A3, Ledger!$C$2:$C$4, GTI$2)),"****")</f>
        <v/>
      </c>
      <c r="GTJ3" t="str">
        <f>IFERROR(IF($C3="","",SUMIFS(Ledger!$K$2:$K$4, Ledger!$B$2:$B$4, $A3, Ledger!$C$2:$C$4, GTJ$2)),"****")</f>
        <v/>
      </c>
      <c r="GTK3" t="str">
        <f>IFERROR(IF($C3="","",SUMIFS(Ledger!$K$2:$K$4, Ledger!$B$2:$B$4, $A3, Ledger!$C$2:$C$4, GTK$2)),"****")</f>
        <v/>
      </c>
      <c r="GTL3" t="str">
        <f>IFERROR(IF($C3="","",SUMIFS(Ledger!$K$2:$K$4, Ledger!$B$2:$B$4, $A3, Ledger!$C$2:$C$4, GTL$2)),"****")</f>
        <v/>
      </c>
      <c r="GTM3" t="str">
        <f>IFERROR(IF($C3="","",SUMIFS(Ledger!$K$2:$K$4, Ledger!$B$2:$B$4, $A3, Ledger!$C$2:$C$4, GTM$2)),"****")</f>
        <v/>
      </c>
      <c r="GTN3" t="str">
        <f>IFERROR(IF($C3="","",SUMIFS(Ledger!$K$2:$K$4, Ledger!$B$2:$B$4, $A3, Ledger!$C$2:$C$4, GTN$2)),"****")</f>
        <v/>
      </c>
      <c r="GTO3" t="str">
        <f>IFERROR(IF($C3="","",SUMIFS(Ledger!$K$2:$K$4, Ledger!$B$2:$B$4, $A3, Ledger!$C$2:$C$4, GTO$2)),"****")</f>
        <v/>
      </c>
      <c r="GTP3" t="str">
        <f>IFERROR(IF($C3="","",SUMIFS(Ledger!$K$2:$K$4, Ledger!$B$2:$B$4, $A3, Ledger!$C$2:$C$4, GTP$2)),"****")</f>
        <v/>
      </c>
      <c r="GTQ3" t="str">
        <f>IFERROR(IF($C3="","",SUMIFS(Ledger!$K$2:$K$4, Ledger!$B$2:$B$4, $A3, Ledger!$C$2:$C$4, GTQ$2)),"****")</f>
        <v/>
      </c>
      <c r="GTR3" t="str">
        <f>IFERROR(IF($C3="","",SUMIFS(Ledger!$K$2:$K$4, Ledger!$B$2:$B$4, $A3, Ledger!$C$2:$C$4, GTR$2)),"****")</f>
        <v/>
      </c>
      <c r="GTS3" t="str">
        <f>IFERROR(IF($C3="","",SUMIFS(Ledger!$K$2:$K$4, Ledger!$B$2:$B$4, $A3, Ledger!$C$2:$C$4, GTS$2)),"****")</f>
        <v/>
      </c>
      <c r="GTT3" t="str">
        <f>IFERROR(IF($C3="","",SUMIFS(Ledger!$K$2:$K$4, Ledger!$B$2:$B$4, $A3, Ledger!$C$2:$C$4, GTT$2)),"****")</f>
        <v/>
      </c>
      <c r="GTU3" t="str">
        <f>IFERROR(IF($C3="","",SUMIFS(Ledger!$K$2:$K$4, Ledger!$B$2:$B$4, $A3, Ledger!$C$2:$C$4, GTU$2)),"****")</f>
        <v/>
      </c>
      <c r="GTV3" t="str">
        <f>IFERROR(IF($C3="","",SUMIFS(Ledger!$K$2:$K$4, Ledger!$B$2:$B$4, $A3, Ledger!$C$2:$C$4, GTV$2)),"****")</f>
        <v/>
      </c>
      <c r="GTW3" t="str">
        <f>IFERROR(IF($C3="","",SUMIFS(Ledger!$K$2:$K$4, Ledger!$B$2:$B$4, $A3, Ledger!$C$2:$C$4, GTW$2)),"****")</f>
        <v/>
      </c>
      <c r="GTX3" t="str">
        <f>IFERROR(IF($C3="","",SUMIFS(Ledger!$K$2:$K$4, Ledger!$B$2:$B$4, $A3, Ledger!$C$2:$C$4, GTX$2)),"****")</f>
        <v/>
      </c>
      <c r="GTY3" t="str">
        <f>IFERROR(IF($C3="","",SUMIFS(Ledger!$K$2:$K$4, Ledger!$B$2:$B$4, $A3, Ledger!$C$2:$C$4, GTY$2)),"****")</f>
        <v/>
      </c>
      <c r="GTZ3" t="str">
        <f>IFERROR(IF($C3="","",SUMIFS(Ledger!$K$2:$K$4, Ledger!$B$2:$B$4, $A3, Ledger!$C$2:$C$4, GTZ$2)),"****")</f>
        <v/>
      </c>
      <c r="GUA3" t="str">
        <f>IFERROR(IF($C3="","",SUMIFS(Ledger!$K$2:$K$4, Ledger!$B$2:$B$4, $A3, Ledger!$C$2:$C$4, GUA$2)),"****")</f>
        <v/>
      </c>
      <c r="GUB3" t="str">
        <f>IFERROR(IF($C3="","",SUMIFS(Ledger!$K$2:$K$4, Ledger!$B$2:$B$4, $A3, Ledger!$C$2:$C$4, GUB$2)),"****")</f>
        <v/>
      </c>
      <c r="GUC3" t="str">
        <f>IFERROR(IF($C3="","",SUMIFS(Ledger!$K$2:$K$4, Ledger!$B$2:$B$4, $A3, Ledger!$C$2:$C$4, GUC$2)),"****")</f>
        <v/>
      </c>
      <c r="GUD3" t="str">
        <f>IFERROR(IF($C3="","",SUMIFS(Ledger!$K$2:$K$4, Ledger!$B$2:$B$4, $A3, Ledger!$C$2:$C$4, GUD$2)),"****")</f>
        <v/>
      </c>
      <c r="GUE3" t="str">
        <f>IFERROR(IF($C3="","",SUMIFS(Ledger!$K$2:$K$4, Ledger!$B$2:$B$4, $A3, Ledger!$C$2:$C$4, GUE$2)),"****")</f>
        <v/>
      </c>
      <c r="GUF3" t="str">
        <f>IFERROR(IF($C3="","",SUMIFS(Ledger!$K$2:$K$4, Ledger!$B$2:$B$4, $A3, Ledger!$C$2:$C$4, GUF$2)),"****")</f>
        <v/>
      </c>
      <c r="GUG3" t="str">
        <f>IFERROR(IF($C3="","",SUMIFS(Ledger!$K$2:$K$4, Ledger!$B$2:$B$4, $A3, Ledger!$C$2:$C$4, GUG$2)),"****")</f>
        <v/>
      </c>
      <c r="GUH3" t="str">
        <f>IFERROR(IF($C3="","",SUMIFS(Ledger!$K$2:$K$4, Ledger!$B$2:$B$4, $A3, Ledger!$C$2:$C$4, GUH$2)),"****")</f>
        <v/>
      </c>
      <c r="GUI3" t="str">
        <f>IFERROR(IF($C3="","",SUMIFS(Ledger!$K$2:$K$4, Ledger!$B$2:$B$4, $A3, Ledger!$C$2:$C$4, GUI$2)),"****")</f>
        <v/>
      </c>
      <c r="GUJ3" t="str">
        <f>IFERROR(IF($C3="","",SUMIFS(Ledger!$K$2:$K$4, Ledger!$B$2:$B$4, $A3, Ledger!$C$2:$C$4, GUJ$2)),"****")</f>
        <v/>
      </c>
      <c r="GUK3" t="str">
        <f>IFERROR(IF($C3="","",SUMIFS(Ledger!$K$2:$K$4, Ledger!$B$2:$B$4, $A3, Ledger!$C$2:$C$4, GUK$2)),"****")</f>
        <v/>
      </c>
      <c r="GUL3" t="str">
        <f>IFERROR(IF($C3="","",SUMIFS(Ledger!$K$2:$K$4, Ledger!$B$2:$B$4, $A3, Ledger!$C$2:$C$4, GUL$2)),"****")</f>
        <v/>
      </c>
      <c r="GUM3" t="str">
        <f>IFERROR(IF($C3="","",SUMIFS(Ledger!$K$2:$K$4, Ledger!$B$2:$B$4, $A3, Ledger!$C$2:$C$4, GUM$2)),"****")</f>
        <v/>
      </c>
      <c r="GUN3" t="str">
        <f>IFERROR(IF($C3="","",SUMIFS(Ledger!$K$2:$K$4, Ledger!$B$2:$B$4, $A3, Ledger!$C$2:$C$4, GUN$2)),"****")</f>
        <v/>
      </c>
      <c r="GUO3" t="str">
        <f>IFERROR(IF($C3="","",SUMIFS(Ledger!$K$2:$K$4, Ledger!$B$2:$B$4, $A3, Ledger!$C$2:$C$4, GUO$2)),"****")</f>
        <v/>
      </c>
      <c r="GUP3" t="str">
        <f>IFERROR(IF($C3="","",SUMIFS(Ledger!$K$2:$K$4, Ledger!$B$2:$B$4, $A3, Ledger!$C$2:$C$4, GUP$2)),"****")</f>
        <v/>
      </c>
      <c r="GUQ3" t="str">
        <f>IFERROR(IF($C3="","",SUMIFS(Ledger!$K$2:$K$4, Ledger!$B$2:$B$4, $A3, Ledger!$C$2:$C$4, GUQ$2)),"****")</f>
        <v/>
      </c>
      <c r="GUR3" t="str">
        <f>IFERROR(IF($C3="","",SUMIFS(Ledger!$K$2:$K$4, Ledger!$B$2:$B$4, $A3, Ledger!$C$2:$C$4, GUR$2)),"****")</f>
        <v/>
      </c>
      <c r="GUS3" t="str">
        <f>IFERROR(IF($C3="","",SUMIFS(Ledger!$K$2:$K$4, Ledger!$B$2:$B$4, $A3, Ledger!$C$2:$C$4, GUS$2)),"****")</f>
        <v/>
      </c>
      <c r="GUT3" t="str">
        <f>IFERROR(IF($C3="","",SUMIFS(Ledger!$K$2:$K$4, Ledger!$B$2:$B$4, $A3, Ledger!$C$2:$C$4, GUT$2)),"****")</f>
        <v/>
      </c>
      <c r="GUU3" t="str">
        <f>IFERROR(IF($C3="","",SUMIFS(Ledger!$K$2:$K$4, Ledger!$B$2:$B$4, $A3, Ledger!$C$2:$C$4, GUU$2)),"****")</f>
        <v/>
      </c>
      <c r="GUV3" t="str">
        <f>IFERROR(IF($C3="","",SUMIFS(Ledger!$K$2:$K$4, Ledger!$B$2:$B$4, $A3, Ledger!$C$2:$C$4, GUV$2)),"****")</f>
        <v/>
      </c>
      <c r="GUW3" t="str">
        <f>IFERROR(IF($C3="","",SUMIFS(Ledger!$K$2:$K$4, Ledger!$B$2:$B$4, $A3, Ledger!$C$2:$C$4, GUW$2)),"****")</f>
        <v/>
      </c>
      <c r="GUX3" t="str">
        <f>IFERROR(IF($C3="","",SUMIFS(Ledger!$K$2:$K$4, Ledger!$B$2:$B$4, $A3, Ledger!$C$2:$C$4, GUX$2)),"****")</f>
        <v/>
      </c>
      <c r="GUY3" t="str">
        <f>IFERROR(IF($C3="","",SUMIFS(Ledger!$K$2:$K$4, Ledger!$B$2:$B$4, $A3, Ledger!$C$2:$C$4, GUY$2)),"****")</f>
        <v/>
      </c>
      <c r="GUZ3" t="str">
        <f>IFERROR(IF($C3="","",SUMIFS(Ledger!$K$2:$K$4, Ledger!$B$2:$B$4, $A3, Ledger!$C$2:$C$4, GUZ$2)),"****")</f>
        <v/>
      </c>
      <c r="GVA3" t="str">
        <f>IFERROR(IF($C3="","",SUMIFS(Ledger!$K$2:$K$4, Ledger!$B$2:$B$4, $A3, Ledger!$C$2:$C$4, GVA$2)),"****")</f>
        <v/>
      </c>
      <c r="GVB3" t="str">
        <f>IFERROR(IF($C3="","",SUMIFS(Ledger!$K$2:$K$4, Ledger!$B$2:$B$4, $A3, Ledger!$C$2:$C$4, GVB$2)),"****")</f>
        <v/>
      </c>
      <c r="GVC3" t="str">
        <f>IFERROR(IF($C3="","",SUMIFS(Ledger!$K$2:$K$4, Ledger!$B$2:$B$4, $A3, Ledger!$C$2:$C$4, GVC$2)),"****")</f>
        <v/>
      </c>
      <c r="GVD3" t="str">
        <f>IFERROR(IF($C3="","",SUMIFS(Ledger!$K$2:$K$4, Ledger!$B$2:$B$4, $A3, Ledger!$C$2:$C$4, GVD$2)),"****")</f>
        <v/>
      </c>
      <c r="GVE3" t="str">
        <f>IFERROR(IF($C3="","",SUMIFS(Ledger!$K$2:$K$4, Ledger!$B$2:$B$4, $A3, Ledger!$C$2:$C$4, GVE$2)),"****")</f>
        <v/>
      </c>
      <c r="GVF3" t="str">
        <f>IFERROR(IF($C3="","",SUMIFS(Ledger!$K$2:$K$4, Ledger!$B$2:$B$4, $A3, Ledger!$C$2:$C$4, GVF$2)),"****")</f>
        <v/>
      </c>
      <c r="GVG3" t="str">
        <f>IFERROR(IF($C3="","",SUMIFS(Ledger!$K$2:$K$4, Ledger!$B$2:$B$4, $A3, Ledger!$C$2:$C$4, GVG$2)),"****")</f>
        <v/>
      </c>
      <c r="GVH3" t="str">
        <f>IFERROR(IF($C3="","",SUMIFS(Ledger!$K$2:$K$4, Ledger!$B$2:$B$4, $A3, Ledger!$C$2:$C$4, GVH$2)),"****")</f>
        <v/>
      </c>
      <c r="GVI3" t="str">
        <f>IFERROR(IF($C3="","",SUMIFS(Ledger!$K$2:$K$4, Ledger!$B$2:$B$4, $A3, Ledger!$C$2:$C$4, GVI$2)),"****")</f>
        <v/>
      </c>
      <c r="GVJ3" t="str">
        <f>IFERROR(IF($C3="","",SUMIFS(Ledger!$K$2:$K$4, Ledger!$B$2:$B$4, $A3, Ledger!$C$2:$C$4, GVJ$2)),"****")</f>
        <v/>
      </c>
      <c r="GVK3" t="str">
        <f>IFERROR(IF($C3="","",SUMIFS(Ledger!$K$2:$K$4, Ledger!$B$2:$B$4, $A3, Ledger!$C$2:$C$4, GVK$2)),"****")</f>
        <v/>
      </c>
      <c r="GVL3" t="str">
        <f>IFERROR(IF($C3="","",SUMIFS(Ledger!$K$2:$K$4, Ledger!$B$2:$B$4, $A3, Ledger!$C$2:$C$4, GVL$2)),"****")</f>
        <v/>
      </c>
      <c r="GVM3" t="str">
        <f>IFERROR(IF($C3="","",SUMIFS(Ledger!$K$2:$K$4, Ledger!$B$2:$B$4, $A3, Ledger!$C$2:$C$4, GVM$2)),"****")</f>
        <v/>
      </c>
      <c r="GVN3" t="str">
        <f>IFERROR(IF($C3="","",SUMIFS(Ledger!$K$2:$K$4, Ledger!$B$2:$B$4, $A3, Ledger!$C$2:$C$4, GVN$2)),"****")</f>
        <v/>
      </c>
      <c r="GVO3" t="str">
        <f>IFERROR(IF($C3="","",SUMIFS(Ledger!$K$2:$K$4, Ledger!$B$2:$B$4, $A3, Ledger!$C$2:$C$4, GVO$2)),"****")</f>
        <v/>
      </c>
      <c r="GVP3" t="str">
        <f>IFERROR(IF($C3="","",SUMIFS(Ledger!$K$2:$K$4, Ledger!$B$2:$B$4, $A3, Ledger!$C$2:$C$4, GVP$2)),"****")</f>
        <v/>
      </c>
      <c r="GVQ3" t="str">
        <f>IFERROR(IF($C3="","",SUMIFS(Ledger!$K$2:$K$4, Ledger!$B$2:$B$4, $A3, Ledger!$C$2:$C$4, GVQ$2)),"****")</f>
        <v/>
      </c>
      <c r="GVR3" t="str">
        <f>IFERROR(IF($C3="","",SUMIFS(Ledger!$K$2:$K$4, Ledger!$B$2:$B$4, $A3, Ledger!$C$2:$C$4, GVR$2)),"****")</f>
        <v/>
      </c>
      <c r="GVS3" t="str">
        <f>IFERROR(IF($C3="","",SUMIFS(Ledger!$K$2:$K$4, Ledger!$B$2:$B$4, $A3, Ledger!$C$2:$C$4, GVS$2)),"****")</f>
        <v/>
      </c>
      <c r="GVT3" t="str">
        <f>IFERROR(IF($C3="","",SUMIFS(Ledger!$K$2:$K$4, Ledger!$B$2:$B$4, $A3, Ledger!$C$2:$C$4, GVT$2)),"****")</f>
        <v/>
      </c>
      <c r="GVU3" t="str">
        <f>IFERROR(IF($C3="","",SUMIFS(Ledger!$K$2:$K$4, Ledger!$B$2:$B$4, $A3, Ledger!$C$2:$C$4, GVU$2)),"****")</f>
        <v/>
      </c>
      <c r="GVV3" t="str">
        <f>IFERROR(IF($C3="","",SUMIFS(Ledger!$K$2:$K$4, Ledger!$B$2:$B$4, $A3, Ledger!$C$2:$C$4, GVV$2)),"****")</f>
        <v/>
      </c>
      <c r="GVW3" t="str">
        <f>IFERROR(IF($C3="","",SUMIFS(Ledger!$K$2:$K$4, Ledger!$B$2:$B$4, $A3, Ledger!$C$2:$C$4, GVW$2)),"****")</f>
        <v/>
      </c>
      <c r="GVX3" t="str">
        <f>IFERROR(IF($C3="","",SUMIFS(Ledger!$K$2:$K$4, Ledger!$B$2:$B$4, $A3, Ledger!$C$2:$C$4, GVX$2)),"****")</f>
        <v/>
      </c>
      <c r="GVY3" t="str">
        <f>IFERROR(IF($C3="","",SUMIFS(Ledger!$K$2:$K$4, Ledger!$B$2:$B$4, $A3, Ledger!$C$2:$C$4, GVY$2)),"****")</f>
        <v/>
      </c>
      <c r="GVZ3" t="str">
        <f>IFERROR(IF($C3="","",SUMIFS(Ledger!$K$2:$K$4, Ledger!$B$2:$B$4, $A3, Ledger!$C$2:$C$4, GVZ$2)),"****")</f>
        <v/>
      </c>
      <c r="GWA3" t="str">
        <f>IFERROR(IF($C3="","",SUMIFS(Ledger!$K$2:$K$4, Ledger!$B$2:$B$4, $A3, Ledger!$C$2:$C$4, GWA$2)),"****")</f>
        <v/>
      </c>
      <c r="GWB3" t="str">
        <f>IFERROR(IF($C3="","",SUMIFS(Ledger!$K$2:$K$4, Ledger!$B$2:$B$4, $A3, Ledger!$C$2:$C$4, GWB$2)),"****")</f>
        <v/>
      </c>
      <c r="GWC3" t="str">
        <f>IFERROR(IF($C3="","",SUMIFS(Ledger!$K$2:$K$4, Ledger!$B$2:$B$4, $A3, Ledger!$C$2:$C$4, GWC$2)),"****")</f>
        <v/>
      </c>
      <c r="GWD3" t="str">
        <f>IFERROR(IF($C3="","",SUMIFS(Ledger!$K$2:$K$4, Ledger!$B$2:$B$4, $A3, Ledger!$C$2:$C$4, GWD$2)),"****")</f>
        <v/>
      </c>
      <c r="GWE3" t="str">
        <f>IFERROR(IF($C3="","",SUMIFS(Ledger!$K$2:$K$4, Ledger!$B$2:$B$4, $A3, Ledger!$C$2:$C$4, GWE$2)),"****")</f>
        <v/>
      </c>
      <c r="GWF3" t="str">
        <f>IFERROR(IF($C3="","",SUMIFS(Ledger!$K$2:$K$4, Ledger!$B$2:$B$4, $A3, Ledger!$C$2:$C$4, GWF$2)),"****")</f>
        <v/>
      </c>
      <c r="GWG3" t="str">
        <f>IFERROR(IF($C3="","",SUMIFS(Ledger!$K$2:$K$4, Ledger!$B$2:$B$4, $A3, Ledger!$C$2:$C$4, GWG$2)),"****")</f>
        <v/>
      </c>
      <c r="GWH3" t="str">
        <f>IFERROR(IF($C3="","",SUMIFS(Ledger!$K$2:$K$4, Ledger!$B$2:$B$4, $A3, Ledger!$C$2:$C$4, GWH$2)),"****")</f>
        <v/>
      </c>
      <c r="GWI3" t="str">
        <f>IFERROR(IF($C3="","",SUMIFS(Ledger!$K$2:$K$4, Ledger!$B$2:$B$4, $A3, Ledger!$C$2:$C$4, GWI$2)),"****")</f>
        <v/>
      </c>
      <c r="GWJ3" t="str">
        <f>IFERROR(IF($C3="","",SUMIFS(Ledger!$K$2:$K$4, Ledger!$B$2:$B$4, $A3, Ledger!$C$2:$C$4, GWJ$2)),"****")</f>
        <v/>
      </c>
      <c r="GWK3" t="str">
        <f>IFERROR(IF($C3="","",SUMIFS(Ledger!$K$2:$K$4, Ledger!$B$2:$B$4, $A3, Ledger!$C$2:$C$4, GWK$2)),"****")</f>
        <v/>
      </c>
      <c r="GWL3" t="str">
        <f>IFERROR(IF($C3="","",SUMIFS(Ledger!$K$2:$K$4, Ledger!$B$2:$B$4, $A3, Ledger!$C$2:$C$4, GWL$2)),"****")</f>
        <v/>
      </c>
      <c r="GWM3" t="str">
        <f>IFERROR(IF($C3="","",SUMIFS(Ledger!$K$2:$K$4, Ledger!$B$2:$B$4, $A3, Ledger!$C$2:$C$4, GWM$2)),"****")</f>
        <v/>
      </c>
      <c r="GWN3" t="str">
        <f>IFERROR(IF($C3="","",SUMIFS(Ledger!$K$2:$K$4, Ledger!$B$2:$B$4, $A3, Ledger!$C$2:$C$4, GWN$2)),"****")</f>
        <v/>
      </c>
      <c r="GWO3" t="str">
        <f>IFERROR(IF($C3="","",SUMIFS(Ledger!$K$2:$K$4, Ledger!$B$2:$B$4, $A3, Ledger!$C$2:$C$4, GWO$2)),"****")</f>
        <v/>
      </c>
      <c r="GWP3" t="str">
        <f>IFERROR(IF($C3="","",SUMIFS(Ledger!$K$2:$K$4, Ledger!$B$2:$B$4, $A3, Ledger!$C$2:$C$4, GWP$2)),"****")</f>
        <v/>
      </c>
      <c r="GWQ3" t="str">
        <f>IFERROR(IF($C3="","",SUMIFS(Ledger!$K$2:$K$4, Ledger!$B$2:$B$4, $A3, Ledger!$C$2:$C$4, GWQ$2)),"****")</f>
        <v/>
      </c>
      <c r="GWR3" t="str">
        <f>IFERROR(IF($C3="","",SUMIFS(Ledger!$K$2:$K$4, Ledger!$B$2:$B$4, $A3, Ledger!$C$2:$C$4, GWR$2)),"****")</f>
        <v/>
      </c>
      <c r="GWS3" t="str">
        <f>IFERROR(IF($C3="","",SUMIFS(Ledger!$K$2:$K$4, Ledger!$B$2:$B$4, $A3, Ledger!$C$2:$C$4, GWS$2)),"****")</f>
        <v/>
      </c>
      <c r="GWT3" t="str">
        <f>IFERROR(IF($C3="","",SUMIFS(Ledger!$K$2:$K$4, Ledger!$B$2:$B$4, $A3, Ledger!$C$2:$C$4, GWT$2)),"****")</f>
        <v/>
      </c>
      <c r="GWU3" t="str">
        <f>IFERROR(IF($C3="","",SUMIFS(Ledger!$K$2:$K$4, Ledger!$B$2:$B$4, $A3, Ledger!$C$2:$C$4, GWU$2)),"****")</f>
        <v/>
      </c>
      <c r="GWV3" t="str">
        <f>IFERROR(IF($C3="","",SUMIFS(Ledger!$K$2:$K$4, Ledger!$B$2:$B$4, $A3, Ledger!$C$2:$C$4, GWV$2)),"****")</f>
        <v/>
      </c>
      <c r="GWW3" t="str">
        <f>IFERROR(IF($C3="","",SUMIFS(Ledger!$K$2:$K$4, Ledger!$B$2:$B$4, $A3, Ledger!$C$2:$C$4, GWW$2)),"****")</f>
        <v/>
      </c>
      <c r="GWX3" t="str">
        <f>IFERROR(IF($C3="","",SUMIFS(Ledger!$K$2:$K$4, Ledger!$B$2:$B$4, $A3, Ledger!$C$2:$C$4, GWX$2)),"****")</f>
        <v/>
      </c>
      <c r="GWY3" t="str">
        <f>IFERROR(IF($C3="","",SUMIFS(Ledger!$K$2:$K$4, Ledger!$B$2:$B$4, $A3, Ledger!$C$2:$C$4, GWY$2)),"****")</f>
        <v/>
      </c>
      <c r="GWZ3" t="str">
        <f>IFERROR(IF($C3="","",SUMIFS(Ledger!$K$2:$K$4, Ledger!$B$2:$B$4, $A3, Ledger!$C$2:$C$4, GWZ$2)),"****")</f>
        <v/>
      </c>
      <c r="GXA3" t="str">
        <f>IFERROR(IF($C3="","",SUMIFS(Ledger!$K$2:$K$4, Ledger!$B$2:$B$4, $A3, Ledger!$C$2:$C$4, GXA$2)),"****")</f>
        <v/>
      </c>
      <c r="GXB3" t="str">
        <f>IFERROR(IF($C3="","",SUMIFS(Ledger!$K$2:$K$4, Ledger!$B$2:$B$4, $A3, Ledger!$C$2:$C$4, GXB$2)),"****")</f>
        <v/>
      </c>
      <c r="GXC3" t="str">
        <f>IFERROR(IF($C3="","",SUMIFS(Ledger!$K$2:$K$4, Ledger!$B$2:$B$4, $A3, Ledger!$C$2:$C$4, GXC$2)),"****")</f>
        <v/>
      </c>
      <c r="GXD3" t="str">
        <f>IFERROR(IF($C3="","",SUMIFS(Ledger!$K$2:$K$4, Ledger!$B$2:$B$4, $A3, Ledger!$C$2:$C$4, GXD$2)),"****")</f>
        <v/>
      </c>
      <c r="GXE3" t="str">
        <f>IFERROR(IF($C3="","",SUMIFS(Ledger!$K$2:$K$4, Ledger!$B$2:$B$4, $A3, Ledger!$C$2:$C$4, GXE$2)),"****")</f>
        <v/>
      </c>
      <c r="GXF3" t="str">
        <f>IFERROR(IF($C3="","",SUMIFS(Ledger!$K$2:$K$4, Ledger!$B$2:$B$4, $A3, Ledger!$C$2:$C$4, GXF$2)),"****")</f>
        <v/>
      </c>
      <c r="GXG3" t="str">
        <f>IFERROR(IF($C3="","",SUMIFS(Ledger!$K$2:$K$4, Ledger!$B$2:$B$4, $A3, Ledger!$C$2:$C$4, GXG$2)),"****")</f>
        <v/>
      </c>
      <c r="GXH3" t="str">
        <f>IFERROR(IF($C3="","",SUMIFS(Ledger!$K$2:$K$4, Ledger!$B$2:$B$4, $A3, Ledger!$C$2:$C$4, GXH$2)),"****")</f>
        <v/>
      </c>
      <c r="GXI3" t="str">
        <f>IFERROR(IF($C3="","",SUMIFS(Ledger!$K$2:$K$4, Ledger!$B$2:$B$4, $A3, Ledger!$C$2:$C$4, GXI$2)),"****")</f>
        <v/>
      </c>
      <c r="GXJ3" t="str">
        <f>IFERROR(IF($C3="","",SUMIFS(Ledger!$K$2:$K$4, Ledger!$B$2:$B$4, $A3, Ledger!$C$2:$C$4, GXJ$2)),"****")</f>
        <v/>
      </c>
      <c r="GXK3" t="str">
        <f>IFERROR(IF($C3="","",SUMIFS(Ledger!$K$2:$K$4, Ledger!$B$2:$B$4, $A3, Ledger!$C$2:$C$4, GXK$2)),"****")</f>
        <v/>
      </c>
      <c r="GXL3" t="str">
        <f>IFERROR(IF($C3="","",SUMIFS(Ledger!$K$2:$K$4, Ledger!$B$2:$B$4, $A3, Ledger!$C$2:$C$4, GXL$2)),"****")</f>
        <v/>
      </c>
      <c r="GXM3" t="str">
        <f>IFERROR(IF($C3="","",SUMIFS(Ledger!$K$2:$K$4, Ledger!$B$2:$B$4, $A3, Ledger!$C$2:$C$4, GXM$2)),"****")</f>
        <v/>
      </c>
      <c r="GXN3" t="str">
        <f>IFERROR(IF($C3="","",SUMIFS(Ledger!$K$2:$K$4, Ledger!$B$2:$B$4, $A3, Ledger!$C$2:$C$4, GXN$2)),"****")</f>
        <v/>
      </c>
      <c r="GXO3" t="str">
        <f>IFERROR(IF($C3="","",SUMIFS(Ledger!$K$2:$K$4, Ledger!$B$2:$B$4, $A3, Ledger!$C$2:$C$4, GXO$2)),"****")</f>
        <v/>
      </c>
      <c r="GXP3" t="str">
        <f>IFERROR(IF($C3="","",SUMIFS(Ledger!$K$2:$K$4, Ledger!$B$2:$B$4, $A3, Ledger!$C$2:$C$4, GXP$2)),"****")</f>
        <v/>
      </c>
      <c r="GXQ3" t="str">
        <f>IFERROR(IF($C3="","",SUMIFS(Ledger!$K$2:$K$4, Ledger!$B$2:$B$4, $A3, Ledger!$C$2:$C$4, GXQ$2)),"****")</f>
        <v/>
      </c>
      <c r="GXR3" t="str">
        <f>IFERROR(IF($C3="","",SUMIFS(Ledger!$K$2:$K$4, Ledger!$B$2:$B$4, $A3, Ledger!$C$2:$C$4, GXR$2)),"****")</f>
        <v/>
      </c>
      <c r="GXS3" t="str">
        <f>IFERROR(IF($C3="","",SUMIFS(Ledger!$K$2:$K$4, Ledger!$B$2:$B$4, $A3, Ledger!$C$2:$C$4, GXS$2)),"****")</f>
        <v/>
      </c>
      <c r="GXT3" t="str">
        <f>IFERROR(IF($C3="","",SUMIFS(Ledger!$K$2:$K$4, Ledger!$B$2:$B$4, $A3, Ledger!$C$2:$C$4, GXT$2)),"****")</f>
        <v/>
      </c>
      <c r="GXU3" t="str">
        <f>IFERROR(IF($C3="","",SUMIFS(Ledger!$K$2:$K$4, Ledger!$B$2:$B$4, $A3, Ledger!$C$2:$C$4, GXU$2)),"****")</f>
        <v/>
      </c>
      <c r="GXV3" t="str">
        <f>IFERROR(IF($C3="","",SUMIFS(Ledger!$K$2:$K$4, Ledger!$B$2:$B$4, $A3, Ledger!$C$2:$C$4, GXV$2)),"****")</f>
        <v/>
      </c>
      <c r="GXW3" t="str">
        <f>IFERROR(IF($C3="","",SUMIFS(Ledger!$K$2:$K$4, Ledger!$B$2:$B$4, $A3, Ledger!$C$2:$C$4, GXW$2)),"****")</f>
        <v/>
      </c>
      <c r="GXX3" t="str">
        <f>IFERROR(IF($C3="","",SUMIFS(Ledger!$K$2:$K$4, Ledger!$B$2:$B$4, $A3, Ledger!$C$2:$C$4, GXX$2)),"****")</f>
        <v/>
      </c>
      <c r="GXY3" t="str">
        <f>IFERROR(IF($C3="","",SUMIFS(Ledger!$K$2:$K$4, Ledger!$B$2:$B$4, $A3, Ledger!$C$2:$C$4, GXY$2)),"****")</f>
        <v/>
      </c>
      <c r="GXZ3" t="str">
        <f>IFERROR(IF($C3="","",SUMIFS(Ledger!$K$2:$K$4, Ledger!$B$2:$B$4, $A3, Ledger!$C$2:$C$4, GXZ$2)),"****")</f>
        <v/>
      </c>
      <c r="GYA3" t="str">
        <f>IFERROR(IF($C3="","",SUMIFS(Ledger!$K$2:$K$4, Ledger!$B$2:$B$4, $A3, Ledger!$C$2:$C$4, GYA$2)),"****")</f>
        <v/>
      </c>
      <c r="GYB3" t="str">
        <f>IFERROR(IF($C3="","",SUMIFS(Ledger!$K$2:$K$4, Ledger!$B$2:$B$4, $A3, Ledger!$C$2:$C$4, GYB$2)),"****")</f>
        <v/>
      </c>
      <c r="GYC3" t="str">
        <f>IFERROR(IF($C3="","",SUMIFS(Ledger!$K$2:$K$4, Ledger!$B$2:$B$4, $A3, Ledger!$C$2:$C$4, GYC$2)),"****")</f>
        <v/>
      </c>
      <c r="GYD3" t="str">
        <f>IFERROR(IF($C3="","",SUMIFS(Ledger!$K$2:$K$4, Ledger!$B$2:$B$4, $A3, Ledger!$C$2:$C$4, GYD$2)),"****")</f>
        <v/>
      </c>
      <c r="GYE3" t="str">
        <f>IFERROR(IF($C3="","",SUMIFS(Ledger!$K$2:$K$4, Ledger!$B$2:$B$4, $A3, Ledger!$C$2:$C$4, GYE$2)),"****")</f>
        <v/>
      </c>
      <c r="GYF3" t="str">
        <f>IFERROR(IF($C3="","",SUMIFS(Ledger!$K$2:$K$4, Ledger!$B$2:$B$4, $A3, Ledger!$C$2:$C$4, GYF$2)),"****")</f>
        <v/>
      </c>
      <c r="GYG3" t="str">
        <f>IFERROR(IF($C3="","",SUMIFS(Ledger!$K$2:$K$4, Ledger!$B$2:$B$4, $A3, Ledger!$C$2:$C$4, GYG$2)),"****")</f>
        <v/>
      </c>
      <c r="GYH3" t="str">
        <f>IFERROR(IF($C3="","",SUMIFS(Ledger!$K$2:$K$4, Ledger!$B$2:$B$4, $A3, Ledger!$C$2:$C$4, GYH$2)),"****")</f>
        <v/>
      </c>
      <c r="GYI3" t="str">
        <f>IFERROR(IF($C3="","",SUMIFS(Ledger!$K$2:$K$4, Ledger!$B$2:$B$4, $A3, Ledger!$C$2:$C$4, GYI$2)),"****")</f>
        <v/>
      </c>
      <c r="GYJ3" t="str">
        <f>IFERROR(IF($C3="","",SUMIFS(Ledger!$K$2:$K$4, Ledger!$B$2:$B$4, $A3, Ledger!$C$2:$C$4, GYJ$2)),"****")</f>
        <v/>
      </c>
      <c r="GYK3" t="str">
        <f>IFERROR(IF($C3="","",SUMIFS(Ledger!$K$2:$K$4, Ledger!$B$2:$B$4, $A3, Ledger!$C$2:$C$4, GYK$2)),"****")</f>
        <v/>
      </c>
      <c r="GYL3" t="str">
        <f>IFERROR(IF($C3="","",SUMIFS(Ledger!$K$2:$K$4, Ledger!$B$2:$B$4, $A3, Ledger!$C$2:$C$4, GYL$2)),"****")</f>
        <v/>
      </c>
      <c r="GYM3" t="str">
        <f>IFERROR(IF($C3="","",SUMIFS(Ledger!$K$2:$K$4, Ledger!$B$2:$B$4, $A3, Ledger!$C$2:$C$4, GYM$2)),"****")</f>
        <v/>
      </c>
      <c r="GYN3" t="str">
        <f>IFERROR(IF($C3="","",SUMIFS(Ledger!$K$2:$K$4, Ledger!$B$2:$B$4, $A3, Ledger!$C$2:$C$4, GYN$2)),"****")</f>
        <v/>
      </c>
      <c r="GYO3" t="str">
        <f>IFERROR(IF($C3="","",SUMIFS(Ledger!$K$2:$K$4, Ledger!$B$2:$B$4, $A3, Ledger!$C$2:$C$4, GYO$2)),"****")</f>
        <v/>
      </c>
      <c r="GYP3" t="str">
        <f>IFERROR(IF($C3="","",SUMIFS(Ledger!$K$2:$K$4, Ledger!$B$2:$B$4, $A3, Ledger!$C$2:$C$4, GYP$2)),"****")</f>
        <v/>
      </c>
      <c r="GYQ3" t="str">
        <f>IFERROR(IF($C3="","",SUMIFS(Ledger!$K$2:$K$4, Ledger!$B$2:$B$4, $A3, Ledger!$C$2:$C$4, GYQ$2)),"****")</f>
        <v/>
      </c>
      <c r="GYR3" t="str">
        <f>IFERROR(IF($C3="","",SUMIFS(Ledger!$K$2:$K$4, Ledger!$B$2:$B$4, $A3, Ledger!$C$2:$C$4, GYR$2)),"****")</f>
        <v/>
      </c>
      <c r="GYS3" t="str">
        <f>IFERROR(IF($C3="","",SUMIFS(Ledger!$K$2:$K$4, Ledger!$B$2:$B$4, $A3, Ledger!$C$2:$C$4, GYS$2)),"****")</f>
        <v/>
      </c>
      <c r="GYT3" t="str">
        <f>IFERROR(IF($C3="","",SUMIFS(Ledger!$K$2:$K$4, Ledger!$B$2:$B$4, $A3, Ledger!$C$2:$C$4, GYT$2)),"****")</f>
        <v/>
      </c>
      <c r="GYU3" t="str">
        <f>IFERROR(IF($C3="","",SUMIFS(Ledger!$K$2:$K$4, Ledger!$B$2:$B$4, $A3, Ledger!$C$2:$C$4, GYU$2)),"****")</f>
        <v/>
      </c>
      <c r="GYV3" t="str">
        <f>IFERROR(IF($C3="","",SUMIFS(Ledger!$K$2:$K$4, Ledger!$B$2:$B$4, $A3, Ledger!$C$2:$C$4, GYV$2)),"****")</f>
        <v/>
      </c>
      <c r="GYW3" t="str">
        <f>IFERROR(IF($C3="","",SUMIFS(Ledger!$K$2:$K$4, Ledger!$B$2:$B$4, $A3, Ledger!$C$2:$C$4, GYW$2)),"****")</f>
        <v/>
      </c>
      <c r="GYX3" t="str">
        <f>IFERROR(IF($C3="","",SUMIFS(Ledger!$K$2:$K$4, Ledger!$B$2:$B$4, $A3, Ledger!$C$2:$C$4, GYX$2)),"****")</f>
        <v/>
      </c>
      <c r="GYY3" t="str">
        <f>IFERROR(IF($C3="","",SUMIFS(Ledger!$K$2:$K$4, Ledger!$B$2:$B$4, $A3, Ledger!$C$2:$C$4, GYY$2)),"****")</f>
        <v/>
      </c>
      <c r="GYZ3" t="str">
        <f>IFERROR(IF($C3="","",SUMIFS(Ledger!$K$2:$K$4, Ledger!$B$2:$B$4, $A3, Ledger!$C$2:$C$4, GYZ$2)),"****")</f>
        <v/>
      </c>
      <c r="GZA3" t="str">
        <f>IFERROR(IF($C3="","",SUMIFS(Ledger!$K$2:$K$4, Ledger!$B$2:$B$4, $A3, Ledger!$C$2:$C$4, GZA$2)),"****")</f>
        <v/>
      </c>
      <c r="GZB3" t="str">
        <f>IFERROR(IF($C3="","",SUMIFS(Ledger!$K$2:$K$4, Ledger!$B$2:$B$4, $A3, Ledger!$C$2:$C$4, GZB$2)),"****")</f>
        <v/>
      </c>
      <c r="GZC3" t="str">
        <f>IFERROR(IF($C3="","",SUMIFS(Ledger!$K$2:$K$4, Ledger!$B$2:$B$4, $A3, Ledger!$C$2:$C$4, GZC$2)),"****")</f>
        <v/>
      </c>
      <c r="GZD3" t="str">
        <f>IFERROR(IF($C3="","",SUMIFS(Ledger!$K$2:$K$4, Ledger!$B$2:$B$4, $A3, Ledger!$C$2:$C$4, GZD$2)),"****")</f>
        <v/>
      </c>
      <c r="GZE3" t="str">
        <f>IFERROR(IF($C3="","",SUMIFS(Ledger!$K$2:$K$4, Ledger!$B$2:$B$4, $A3, Ledger!$C$2:$C$4, GZE$2)),"****")</f>
        <v/>
      </c>
      <c r="GZF3" t="str">
        <f>IFERROR(IF($C3="","",SUMIFS(Ledger!$K$2:$K$4, Ledger!$B$2:$B$4, $A3, Ledger!$C$2:$C$4, GZF$2)),"****")</f>
        <v/>
      </c>
      <c r="GZG3" t="str">
        <f>IFERROR(IF($C3="","",SUMIFS(Ledger!$K$2:$K$4, Ledger!$B$2:$B$4, $A3, Ledger!$C$2:$C$4, GZG$2)),"****")</f>
        <v/>
      </c>
      <c r="GZH3" t="str">
        <f>IFERROR(IF($C3="","",SUMIFS(Ledger!$K$2:$K$4, Ledger!$B$2:$B$4, $A3, Ledger!$C$2:$C$4, GZH$2)),"****")</f>
        <v/>
      </c>
      <c r="GZI3" t="str">
        <f>IFERROR(IF($C3="","",SUMIFS(Ledger!$K$2:$K$4, Ledger!$B$2:$B$4, $A3, Ledger!$C$2:$C$4, GZI$2)),"****")</f>
        <v/>
      </c>
      <c r="GZJ3" t="str">
        <f>IFERROR(IF($C3="","",SUMIFS(Ledger!$K$2:$K$4, Ledger!$B$2:$B$4, $A3, Ledger!$C$2:$C$4, GZJ$2)),"****")</f>
        <v/>
      </c>
      <c r="GZK3" t="str">
        <f>IFERROR(IF($C3="","",SUMIFS(Ledger!$K$2:$K$4, Ledger!$B$2:$B$4, $A3, Ledger!$C$2:$C$4, GZK$2)),"****")</f>
        <v/>
      </c>
      <c r="GZL3" t="str">
        <f>IFERROR(IF($C3="","",SUMIFS(Ledger!$K$2:$K$4, Ledger!$B$2:$B$4, $A3, Ledger!$C$2:$C$4, GZL$2)),"****")</f>
        <v/>
      </c>
      <c r="GZM3" t="str">
        <f>IFERROR(IF($C3="","",SUMIFS(Ledger!$K$2:$K$4, Ledger!$B$2:$B$4, $A3, Ledger!$C$2:$C$4, GZM$2)),"****")</f>
        <v/>
      </c>
      <c r="GZN3" t="str">
        <f>IFERROR(IF($C3="","",SUMIFS(Ledger!$K$2:$K$4, Ledger!$B$2:$B$4, $A3, Ledger!$C$2:$C$4, GZN$2)),"****")</f>
        <v/>
      </c>
      <c r="GZO3" t="str">
        <f>IFERROR(IF($C3="","",SUMIFS(Ledger!$K$2:$K$4, Ledger!$B$2:$B$4, $A3, Ledger!$C$2:$C$4, GZO$2)),"****")</f>
        <v/>
      </c>
      <c r="GZP3" t="str">
        <f>IFERROR(IF($C3="","",SUMIFS(Ledger!$K$2:$K$4, Ledger!$B$2:$B$4, $A3, Ledger!$C$2:$C$4, GZP$2)),"****")</f>
        <v/>
      </c>
      <c r="GZQ3" t="str">
        <f>IFERROR(IF($C3="","",SUMIFS(Ledger!$K$2:$K$4, Ledger!$B$2:$B$4, $A3, Ledger!$C$2:$C$4, GZQ$2)),"****")</f>
        <v/>
      </c>
      <c r="GZR3" t="str">
        <f>IFERROR(IF($C3="","",SUMIFS(Ledger!$K$2:$K$4, Ledger!$B$2:$B$4, $A3, Ledger!$C$2:$C$4, GZR$2)),"****")</f>
        <v/>
      </c>
      <c r="GZS3" t="str">
        <f>IFERROR(IF($C3="","",SUMIFS(Ledger!$K$2:$K$4, Ledger!$B$2:$B$4, $A3, Ledger!$C$2:$C$4, GZS$2)),"****")</f>
        <v/>
      </c>
      <c r="GZT3" t="str">
        <f>IFERROR(IF($C3="","",SUMIFS(Ledger!$K$2:$K$4, Ledger!$B$2:$B$4, $A3, Ledger!$C$2:$C$4, GZT$2)),"****")</f>
        <v/>
      </c>
      <c r="GZU3" t="str">
        <f>IFERROR(IF($C3="","",SUMIFS(Ledger!$K$2:$K$4, Ledger!$B$2:$B$4, $A3, Ledger!$C$2:$C$4, GZU$2)),"****")</f>
        <v/>
      </c>
      <c r="GZV3" t="str">
        <f>IFERROR(IF($C3="","",SUMIFS(Ledger!$K$2:$K$4, Ledger!$B$2:$B$4, $A3, Ledger!$C$2:$C$4, GZV$2)),"****")</f>
        <v/>
      </c>
      <c r="GZW3" t="str">
        <f>IFERROR(IF($C3="","",SUMIFS(Ledger!$K$2:$K$4, Ledger!$B$2:$B$4, $A3, Ledger!$C$2:$C$4, GZW$2)),"****")</f>
        <v/>
      </c>
      <c r="GZX3" t="str">
        <f>IFERROR(IF($C3="","",SUMIFS(Ledger!$K$2:$K$4, Ledger!$B$2:$B$4, $A3, Ledger!$C$2:$C$4, GZX$2)),"****")</f>
        <v/>
      </c>
      <c r="GZY3" t="str">
        <f>IFERROR(IF($C3="","",SUMIFS(Ledger!$K$2:$K$4, Ledger!$B$2:$B$4, $A3, Ledger!$C$2:$C$4, GZY$2)),"****")</f>
        <v/>
      </c>
      <c r="GZZ3" t="str">
        <f>IFERROR(IF($C3="","",SUMIFS(Ledger!$K$2:$K$4, Ledger!$B$2:$B$4, $A3, Ledger!$C$2:$C$4, GZZ$2)),"****")</f>
        <v/>
      </c>
      <c r="HAA3" t="str">
        <f>IFERROR(IF($C3="","",SUMIFS(Ledger!$K$2:$K$4, Ledger!$B$2:$B$4, $A3, Ledger!$C$2:$C$4, HAA$2)),"****")</f>
        <v/>
      </c>
      <c r="HAB3" t="str">
        <f>IFERROR(IF($C3="","",SUMIFS(Ledger!$K$2:$K$4, Ledger!$B$2:$B$4, $A3, Ledger!$C$2:$C$4, HAB$2)),"****")</f>
        <v/>
      </c>
      <c r="HAC3" t="str">
        <f>IFERROR(IF($C3="","",SUMIFS(Ledger!$K$2:$K$4, Ledger!$B$2:$B$4, $A3, Ledger!$C$2:$C$4, HAC$2)),"****")</f>
        <v/>
      </c>
      <c r="HAD3" t="str">
        <f>IFERROR(IF($C3="","",SUMIFS(Ledger!$K$2:$K$4, Ledger!$B$2:$B$4, $A3, Ledger!$C$2:$C$4, HAD$2)),"****")</f>
        <v/>
      </c>
      <c r="HAE3" t="str">
        <f>IFERROR(IF($C3="","",SUMIFS(Ledger!$K$2:$K$4, Ledger!$B$2:$B$4, $A3, Ledger!$C$2:$C$4, HAE$2)),"****")</f>
        <v/>
      </c>
      <c r="HAF3" t="str">
        <f>IFERROR(IF($C3="","",SUMIFS(Ledger!$K$2:$K$4, Ledger!$B$2:$B$4, $A3, Ledger!$C$2:$C$4, HAF$2)),"****")</f>
        <v/>
      </c>
      <c r="HAG3" t="str">
        <f>IFERROR(IF($C3="","",SUMIFS(Ledger!$K$2:$K$4, Ledger!$B$2:$B$4, $A3, Ledger!$C$2:$C$4, HAG$2)),"****")</f>
        <v/>
      </c>
      <c r="HAH3" t="str">
        <f>IFERROR(IF($C3="","",SUMIFS(Ledger!$K$2:$K$4, Ledger!$B$2:$B$4, $A3, Ledger!$C$2:$C$4, HAH$2)),"****")</f>
        <v/>
      </c>
      <c r="HAI3" t="str">
        <f>IFERROR(IF($C3="","",SUMIFS(Ledger!$K$2:$K$4, Ledger!$B$2:$B$4, $A3, Ledger!$C$2:$C$4, HAI$2)),"****")</f>
        <v/>
      </c>
      <c r="HAJ3" t="str">
        <f>IFERROR(IF($C3="","",SUMIFS(Ledger!$K$2:$K$4, Ledger!$B$2:$B$4, $A3, Ledger!$C$2:$C$4, HAJ$2)),"****")</f>
        <v/>
      </c>
      <c r="HAK3" t="str">
        <f>IFERROR(IF($C3="","",SUMIFS(Ledger!$K$2:$K$4, Ledger!$B$2:$B$4, $A3, Ledger!$C$2:$C$4, HAK$2)),"****")</f>
        <v/>
      </c>
      <c r="HAL3" t="str">
        <f>IFERROR(IF($C3="","",SUMIFS(Ledger!$K$2:$K$4, Ledger!$B$2:$B$4, $A3, Ledger!$C$2:$C$4, HAL$2)),"****")</f>
        <v/>
      </c>
      <c r="HAM3" t="str">
        <f>IFERROR(IF($C3="","",SUMIFS(Ledger!$K$2:$K$4, Ledger!$B$2:$B$4, $A3, Ledger!$C$2:$C$4, HAM$2)),"****")</f>
        <v/>
      </c>
      <c r="HAN3" t="str">
        <f>IFERROR(IF($C3="","",SUMIFS(Ledger!$K$2:$K$4, Ledger!$B$2:$B$4, $A3, Ledger!$C$2:$C$4, HAN$2)),"****")</f>
        <v/>
      </c>
      <c r="HAO3" t="str">
        <f>IFERROR(IF($C3="","",SUMIFS(Ledger!$K$2:$K$4, Ledger!$B$2:$B$4, $A3, Ledger!$C$2:$C$4, HAO$2)),"****")</f>
        <v/>
      </c>
      <c r="HAP3" t="str">
        <f>IFERROR(IF($C3="","",SUMIFS(Ledger!$K$2:$K$4, Ledger!$B$2:$B$4, $A3, Ledger!$C$2:$C$4, HAP$2)),"****")</f>
        <v/>
      </c>
      <c r="HAQ3" t="str">
        <f>IFERROR(IF($C3="","",SUMIFS(Ledger!$K$2:$K$4, Ledger!$B$2:$B$4, $A3, Ledger!$C$2:$C$4, HAQ$2)),"****")</f>
        <v/>
      </c>
      <c r="HAR3" t="str">
        <f>IFERROR(IF($C3="","",SUMIFS(Ledger!$K$2:$K$4, Ledger!$B$2:$B$4, $A3, Ledger!$C$2:$C$4, HAR$2)),"****")</f>
        <v/>
      </c>
      <c r="HAS3" t="str">
        <f>IFERROR(IF($C3="","",SUMIFS(Ledger!$K$2:$K$4, Ledger!$B$2:$B$4, $A3, Ledger!$C$2:$C$4, HAS$2)),"****")</f>
        <v/>
      </c>
      <c r="HAT3" t="str">
        <f>IFERROR(IF($C3="","",SUMIFS(Ledger!$K$2:$K$4, Ledger!$B$2:$B$4, $A3, Ledger!$C$2:$C$4, HAT$2)),"****")</f>
        <v/>
      </c>
      <c r="HAU3" t="str">
        <f>IFERROR(IF($C3="","",SUMIFS(Ledger!$K$2:$K$4, Ledger!$B$2:$B$4, $A3, Ledger!$C$2:$C$4, HAU$2)),"****")</f>
        <v/>
      </c>
      <c r="HAV3" t="str">
        <f>IFERROR(IF($C3="","",SUMIFS(Ledger!$K$2:$K$4, Ledger!$B$2:$B$4, $A3, Ledger!$C$2:$C$4, HAV$2)),"****")</f>
        <v/>
      </c>
      <c r="HAW3" t="str">
        <f>IFERROR(IF($C3="","",SUMIFS(Ledger!$K$2:$K$4, Ledger!$B$2:$B$4, $A3, Ledger!$C$2:$C$4, HAW$2)),"****")</f>
        <v/>
      </c>
      <c r="HAX3" t="str">
        <f>IFERROR(IF($C3="","",SUMIFS(Ledger!$K$2:$K$4, Ledger!$B$2:$B$4, $A3, Ledger!$C$2:$C$4, HAX$2)),"****")</f>
        <v/>
      </c>
      <c r="HAY3" t="str">
        <f>IFERROR(IF($C3="","",SUMIFS(Ledger!$K$2:$K$4, Ledger!$B$2:$B$4, $A3, Ledger!$C$2:$C$4, HAY$2)),"****")</f>
        <v/>
      </c>
      <c r="HAZ3" t="str">
        <f>IFERROR(IF($C3="","",SUMIFS(Ledger!$K$2:$K$4, Ledger!$B$2:$B$4, $A3, Ledger!$C$2:$C$4, HAZ$2)),"****")</f>
        <v/>
      </c>
      <c r="HBA3" t="str">
        <f>IFERROR(IF($C3="","",SUMIFS(Ledger!$K$2:$K$4, Ledger!$B$2:$B$4, $A3, Ledger!$C$2:$C$4, HBA$2)),"****")</f>
        <v/>
      </c>
      <c r="HBB3" t="str">
        <f>IFERROR(IF($C3="","",SUMIFS(Ledger!$K$2:$K$4, Ledger!$B$2:$B$4, $A3, Ledger!$C$2:$C$4, HBB$2)),"****")</f>
        <v/>
      </c>
      <c r="HBC3" t="str">
        <f>IFERROR(IF($C3="","",SUMIFS(Ledger!$K$2:$K$4, Ledger!$B$2:$B$4, $A3, Ledger!$C$2:$C$4, HBC$2)),"****")</f>
        <v/>
      </c>
      <c r="HBD3" t="str">
        <f>IFERROR(IF($C3="","",SUMIFS(Ledger!$K$2:$K$4, Ledger!$B$2:$B$4, $A3, Ledger!$C$2:$C$4, HBD$2)),"****")</f>
        <v/>
      </c>
      <c r="HBE3" t="str">
        <f>IFERROR(IF($C3="","",SUMIFS(Ledger!$K$2:$K$4, Ledger!$B$2:$B$4, $A3, Ledger!$C$2:$C$4, HBE$2)),"****")</f>
        <v/>
      </c>
      <c r="HBF3" t="str">
        <f>IFERROR(IF($C3="","",SUMIFS(Ledger!$K$2:$K$4, Ledger!$B$2:$B$4, $A3, Ledger!$C$2:$C$4, HBF$2)),"****")</f>
        <v/>
      </c>
      <c r="HBG3" t="str">
        <f>IFERROR(IF($C3="","",SUMIFS(Ledger!$K$2:$K$4, Ledger!$B$2:$B$4, $A3, Ledger!$C$2:$C$4, HBG$2)),"****")</f>
        <v/>
      </c>
      <c r="HBH3" t="str">
        <f>IFERROR(IF($C3="","",SUMIFS(Ledger!$K$2:$K$4, Ledger!$B$2:$B$4, $A3, Ledger!$C$2:$C$4, HBH$2)),"****")</f>
        <v/>
      </c>
      <c r="HBI3" t="str">
        <f>IFERROR(IF($C3="","",SUMIFS(Ledger!$K$2:$K$4, Ledger!$B$2:$B$4, $A3, Ledger!$C$2:$C$4, HBI$2)),"****")</f>
        <v/>
      </c>
      <c r="HBJ3" t="str">
        <f>IFERROR(IF($C3="","",SUMIFS(Ledger!$K$2:$K$4, Ledger!$B$2:$B$4, $A3, Ledger!$C$2:$C$4, HBJ$2)),"****")</f>
        <v/>
      </c>
      <c r="HBK3" t="str">
        <f>IFERROR(IF($C3="","",SUMIFS(Ledger!$K$2:$K$4, Ledger!$B$2:$B$4, $A3, Ledger!$C$2:$C$4, HBK$2)),"****")</f>
        <v/>
      </c>
      <c r="HBL3" t="str">
        <f>IFERROR(IF($C3="","",SUMIFS(Ledger!$K$2:$K$4, Ledger!$B$2:$B$4, $A3, Ledger!$C$2:$C$4, HBL$2)),"****")</f>
        <v/>
      </c>
      <c r="HBM3" t="str">
        <f>IFERROR(IF($C3="","",SUMIFS(Ledger!$K$2:$K$4, Ledger!$B$2:$B$4, $A3, Ledger!$C$2:$C$4, HBM$2)),"****")</f>
        <v/>
      </c>
      <c r="HBN3" t="str">
        <f>IFERROR(IF($C3="","",SUMIFS(Ledger!$K$2:$K$4, Ledger!$B$2:$B$4, $A3, Ledger!$C$2:$C$4, HBN$2)),"****")</f>
        <v/>
      </c>
      <c r="HBO3" t="str">
        <f>IFERROR(IF($C3="","",SUMIFS(Ledger!$K$2:$K$4, Ledger!$B$2:$B$4, $A3, Ledger!$C$2:$C$4, HBO$2)),"****")</f>
        <v/>
      </c>
      <c r="HBP3" t="str">
        <f>IFERROR(IF($C3="","",SUMIFS(Ledger!$K$2:$K$4, Ledger!$B$2:$B$4, $A3, Ledger!$C$2:$C$4, HBP$2)),"****")</f>
        <v/>
      </c>
      <c r="HBQ3" t="str">
        <f>IFERROR(IF($C3="","",SUMIFS(Ledger!$K$2:$K$4, Ledger!$B$2:$B$4, $A3, Ledger!$C$2:$C$4, HBQ$2)),"****")</f>
        <v/>
      </c>
      <c r="HBR3" t="str">
        <f>IFERROR(IF($C3="","",SUMIFS(Ledger!$K$2:$K$4, Ledger!$B$2:$B$4, $A3, Ledger!$C$2:$C$4, HBR$2)),"****")</f>
        <v/>
      </c>
      <c r="HBS3" t="str">
        <f>IFERROR(IF($C3="","",SUMIFS(Ledger!$K$2:$K$4, Ledger!$B$2:$B$4, $A3, Ledger!$C$2:$C$4, HBS$2)),"****")</f>
        <v/>
      </c>
      <c r="HBT3" t="str">
        <f>IFERROR(IF($C3="","",SUMIFS(Ledger!$K$2:$K$4, Ledger!$B$2:$B$4, $A3, Ledger!$C$2:$C$4, HBT$2)),"****")</f>
        <v/>
      </c>
      <c r="HBU3" t="str">
        <f>IFERROR(IF($C3="","",SUMIFS(Ledger!$K$2:$K$4, Ledger!$B$2:$B$4, $A3, Ledger!$C$2:$C$4, HBU$2)),"****")</f>
        <v/>
      </c>
      <c r="HBV3" t="str">
        <f>IFERROR(IF($C3="","",SUMIFS(Ledger!$K$2:$K$4, Ledger!$B$2:$B$4, $A3, Ledger!$C$2:$C$4, HBV$2)),"****")</f>
        <v/>
      </c>
      <c r="HBW3" t="str">
        <f>IFERROR(IF($C3="","",SUMIFS(Ledger!$K$2:$K$4, Ledger!$B$2:$B$4, $A3, Ledger!$C$2:$C$4, HBW$2)),"****")</f>
        <v/>
      </c>
      <c r="HBX3" t="str">
        <f>IFERROR(IF($C3="","",SUMIFS(Ledger!$K$2:$K$4, Ledger!$B$2:$B$4, $A3, Ledger!$C$2:$C$4, HBX$2)),"****")</f>
        <v/>
      </c>
      <c r="HBY3" t="str">
        <f>IFERROR(IF($C3="","",SUMIFS(Ledger!$K$2:$K$4, Ledger!$B$2:$B$4, $A3, Ledger!$C$2:$C$4, HBY$2)),"****")</f>
        <v/>
      </c>
      <c r="HBZ3" t="str">
        <f>IFERROR(IF($C3="","",SUMIFS(Ledger!$K$2:$K$4, Ledger!$B$2:$B$4, $A3, Ledger!$C$2:$C$4, HBZ$2)),"****")</f>
        <v/>
      </c>
      <c r="HCA3" t="str">
        <f>IFERROR(IF($C3="","",SUMIFS(Ledger!$K$2:$K$4, Ledger!$B$2:$B$4, $A3, Ledger!$C$2:$C$4, HCA$2)),"****")</f>
        <v/>
      </c>
      <c r="HCB3" t="str">
        <f>IFERROR(IF($C3="","",SUMIFS(Ledger!$K$2:$K$4, Ledger!$B$2:$B$4, $A3, Ledger!$C$2:$C$4, HCB$2)),"****")</f>
        <v/>
      </c>
      <c r="HCC3" t="str">
        <f>IFERROR(IF($C3="","",SUMIFS(Ledger!$K$2:$K$4, Ledger!$B$2:$B$4, $A3, Ledger!$C$2:$C$4, HCC$2)),"****")</f>
        <v/>
      </c>
      <c r="HCD3" t="str">
        <f>IFERROR(IF($C3="","",SUMIFS(Ledger!$K$2:$K$4, Ledger!$B$2:$B$4, $A3, Ledger!$C$2:$C$4, HCD$2)),"****")</f>
        <v/>
      </c>
      <c r="HCE3" t="str">
        <f>IFERROR(IF($C3="","",SUMIFS(Ledger!$K$2:$K$4, Ledger!$B$2:$B$4, $A3, Ledger!$C$2:$C$4, HCE$2)),"****")</f>
        <v/>
      </c>
      <c r="HCF3" t="str">
        <f>IFERROR(IF($C3="","",SUMIFS(Ledger!$K$2:$K$4, Ledger!$B$2:$B$4, $A3, Ledger!$C$2:$C$4, HCF$2)),"****")</f>
        <v/>
      </c>
      <c r="HCG3" t="str">
        <f>IFERROR(IF($C3="","",SUMIFS(Ledger!$K$2:$K$4, Ledger!$B$2:$B$4, $A3, Ledger!$C$2:$C$4, HCG$2)),"****")</f>
        <v/>
      </c>
      <c r="HCH3" t="str">
        <f>IFERROR(IF($C3="","",SUMIFS(Ledger!$K$2:$K$4, Ledger!$B$2:$B$4, $A3, Ledger!$C$2:$C$4, HCH$2)),"****")</f>
        <v/>
      </c>
      <c r="HCI3" t="str">
        <f>IFERROR(IF($C3="","",SUMIFS(Ledger!$K$2:$K$4, Ledger!$B$2:$B$4, $A3, Ledger!$C$2:$C$4, HCI$2)),"****")</f>
        <v/>
      </c>
      <c r="HCJ3" t="str">
        <f>IFERROR(IF($C3="","",SUMIFS(Ledger!$K$2:$K$4, Ledger!$B$2:$B$4, $A3, Ledger!$C$2:$C$4, HCJ$2)),"****")</f>
        <v/>
      </c>
      <c r="HCK3" t="str">
        <f>IFERROR(IF($C3="","",SUMIFS(Ledger!$K$2:$K$4, Ledger!$B$2:$B$4, $A3, Ledger!$C$2:$C$4, HCK$2)),"****")</f>
        <v/>
      </c>
      <c r="HCL3" t="str">
        <f>IFERROR(IF($C3="","",SUMIFS(Ledger!$K$2:$K$4, Ledger!$B$2:$B$4, $A3, Ledger!$C$2:$C$4, HCL$2)),"****")</f>
        <v/>
      </c>
      <c r="HCM3" t="str">
        <f>IFERROR(IF($C3="","",SUMIFS(Ledger!$K$2:$K$4, Ledger!$B$2:$B$4, $A3, Ledger!$C$2:$C$4, HCM$2)),"****")</f>
        <v/>
      </c>
      <c r="HCN3" t="str">
        <f>IFERROR(IF($C3="","",SUMIFS(Ledger!$K$2:$K$4, Ledger!$B$2:$B$4, $A3, Ledger!$C$2:$C$4, HCN$2)),"****")</f>
        <v/>
      </c>
      <c r="HCO3" t="str">
        <f>IFERROR(IF($C3="","",SUMIFS(Ledger!$K$2:$K$4, Ledger!$B$2:$B$4, $A3, Ledger!$C$2:$C$4, HCO$2)),"****")</f>
        <v/>
      </c>
      <c r="HCP3" t="str">
        <f>IFERROR(IF($C3="","",SUMIFS(Ledger!$K$2:$K$4, Ledger!$B$2:$B$4, $A3, Ledger!$C$2:$C$4, HCP$2)),"****")</f>
        <v/>
      </c>
      <c r="HCQ3" t="str">
        <f>IFERROR(IF($C3="","",SUMIFS(Ledger!$K$2:$K$4, Ledger!$B$2:$B$4, $A3, Ledger!$C$2:$C$4, HCQ$2)),"****")</f>
        <v/>
      </c>
      <c r="HCR3" t="str">
        <f>IFERROR(IF($C3="","",SUMIFS(Ledger!$K$2:$K$4, Ledger!$B$2:$B$4, $A3, Ledger!$C$2:$C$4, HCR$2)),"****")</f>
        <v/>
      </c>
      <c r="HCS3" t="str">
        <f>IFERROR(IF($C3="","",SUMIFS(Ledger!$K$2:$K$4, Ledger!$B$2:$B$4, $A3, Ledger!$C$2:$C$4, HCS$2)),"****")</f>
        <v/>
      </c>
      <c r="HCT3" t="str">
        <f>IFERROR(IF($C3="","",SUMIFS(Ledger!$K$2:$K$4, Ledger!$B$2:$B$4, $A3, Ledger!$C$2:$C$4, HCT$2)),"****")</f>
        <v/>
      </c>
      <c r="HCU3" t="str">
        <f>IFERROR(IF($C3="","",SUMIFS(Ledger!$K$2:$K$4, Ledger!$B$2:$B$4, $A3, Ledger!$C$2:$C$4, HCU$2)),"****")</f>
        <v/>
      </c>
      <c r="HCV3" t="str">
        <f>IFERROR(IF($C3="","",SUMIFS(Ledger!$K$2:$K$4, Ledger!$B$2:$B$4, $A3, Ledger!$C$2:$C$4, HCV$2)),"****")</f>
        <v/>
      </c>
      <c r="HCW3" t="str">
        <f>IFERROR(IF($C3="","",SUMIFS(Ledger!$K$2:$K$4, Ledger!$B$2:$B$4, $A3, Ledger!$C$2:$C$4, HCW$2)),"****")</f>
        <v/>
      </c>
      <c r="HCX3" t="str">
        <f>IFERROR(IF($C3="","",SUMIFS(Ledger!$K$2:$K$4, Ledger!$B$2:$B$4, $A3, Ledger!$C$2:$C$4, HCX$2)),"****")</f>
        <v/>
      </c>
      <c r="HCY3" t="str">
        <f>IFERROR(IF($C3="","",SUMIFS(Ledger!$K$2:$K$4, Ledger!$B$2:$B$4, $A3, Ledger!$C$2:$C$4, HCY$2)),"****")</f>
        <v/>
      </c>
      <c r="HCZ3" t="str">
        <f>IFERROR(IF($C3="","",SUMIFS(Ledger!$K$2:$K$4, Ledger!$B$2:$B$4, $A3, Ledger!$C$2:$C$4, HCZ$2)),"****")</f>
        <v/>
      </c>
      <c r="HDA3" t="str">
        <f>IFERROR(IF($C3="","",SUMIFS(Ledger!$K$2:$K$4, Ledger!$B$2:$B$4, $A3, Ledger!$C$2:$C$4, HDA$2)),"****")</f>
        <v/>
      </c>
      <c r="HDB3" t="str">
        <f>IFERROR(IF($C3="","",SUMIFS(Ledger!$K$2:$K$4, Ledger!$B$2:$B$4, $A3, Ledger!$C$2:$C$4, HDB$2)),"****")</f>
        <v/>
      </c>
      <c r="HDC3" t="str">
        <f>IFERROR(IF($C3="","",SUMIFS(Ledger!$K$2:$K$4, Ledger!$B$2:$B$4, $A3, Ledger!$C$2:$C$4, HDC$2)),"****")</f>
        <v/>
      </c>
      <c r="HDD3" t="str">
        <f>IFERROR(IF($C3="","",SUMIFS(Ledger!$K$2:$K$4, Ledger!$B$2:$B$4, $A3, Ledger!$C$2:$C$4, HDD$2)),"****")</f>
        <v/>
      </c>
      <c r="HDE3" t="str">
        <f>IFERROR(IF($C3="","",SUMIFS(Ledger!$K$2:$K$4, Ledger!$B$2:$B$4, $A3, Ledger!$C$2:$C$4, HDE$2)),"****")</f>
        <v/>
      </c>
      <c r="HDF3" t="str">
        <f>IFERROR(IF($C3="","",SUMIFS(Ledger!$K$2:$K$4, Ledger!$B$2:$B$4, $A3, Ledger!$C$2:$C$4, HDF$2)),"****")</f>
        <v/>
      </c>
      <c r="HDG3" t="str">
        <f>IFERROR(IF($C3="","",SUMIFS(Ledger!$K$2:$K$4, Ledger!$B$2:$B$4, $A3, Ledger!$C$2:$C$4, HDG$2)),"****")</f>
        <v/>
      </c>
      <c r="HDH3" t="str">
        <f>IFERROR(IF($C3="","",SUMIFS(Ledger!$K$2:$K$4, Ledger!$B$2:$B$4, $A3, Ledger!$C$2:$C$4, HDH$2)),"****")</f>
        <v/>
      </c>
      <c r="HDI3" t="str">
        <f>IFERROR(IF($C3="","",SUMIFS(Ledger!$K$2:$K$4, Ledger!$B$2:$B$4, $A3, Ledger!$C$2:$C$4, HDI$2)),"****")</f>
        <v/>
      </c>
      <c r="HDJ3" t="str">
        <f>IFERROR(IF($C3="","",SUMIFS(Ledger!$K$2:$K$4, Ledger!$B$2:$B$4, $A3, Ledger!$C$2:$C$4, HDJ$2)),"****")</f>
        <v/>
      </c>
      <c r="HDK3" t="str">
        <f>IFERROR(IF($C3="","",SUMIFS(Ledger!$K$2:$K$4, Ledger!$B$2:$B$4, $A3, Ledger!$C$2:$C$4, HDK$2)),"****")</f>
        <v/>
      </c>
      <c r="HDL3" t="str">
        <f>IFERROR(IF($C3="","",SUMIFS(Ledger!$K$2:$K$4, Ledger!$B$2:$B$4, $A3, Ledger!$C$2:$C$4, HDL$2)),"****")</f>
        <v/>
      </c>
      <c r="HDM3" t="str">
        <f>IFERROR(IF($C3="","",SUMIFS(Ledger!$K$2:$K$4, Ledger!$B$2:$B$4, $A3, Ledger!$C$2:$C$4, HDM$2)),"****")</f>
        <v/>
      </c>
      <c r="HDN3" t="str">
        <f>IFERROR(IF($C3="","",SUMIFS(Ledger!$K$2:$K$4, Ledger!$B$2:$B$4, $A3, Ledger!$C$2:$C$4, HDN$2)),"****")</f>
        <v/>
      </c>
      <c r="HDO3" t="str">
        <f>IFERROR(IF($C3="","",SUMIFS(Ledger!$K$2:$K$4, Ledger!$B$2:$B$4, $A3, Ledger!$C$2:$C$4, HDO$2)),"****")</f>
        <v/>
      </c>
      <c r="HDP3" t="str">
        <f>IFERROR(IF($C3="","",SUMIFS(Ledger!$K$2:$K$4, Ledger!$B$2:$B$4, $A3, Ledger!$C$2:$C$4, HDP$2)),"****")</f>
        <v/>
      </c>
      <c r="HDQ3" t="str">
        <f>IFERROR(IF($C3="","",SUMIFS(Ledger!$K$2:$K$4, Ledger!$B$2:$B$4, $A3, Ledger!$C$2:$C$4, HDQ$2)),"****")</f>
        <v/>
      </c>
      <c r="HDR3" t="str">
        <f>IFERROR(IF($C3="","",SUMIFS(Ledger!$K$2:$K$4, Ledger!$B$2:$B$4, $A3, Ledger!$C$2:$C$4, HDR$2)),"****")</f>
        <v/>
      </c>
      <c r="HDS3" t="str">
        <f>IFERROR(IF($C3="","",SUMIFS(Ledger!$K$2:$K$4, Ledger!$B$2:$B$4, $A3, Ledger!$C$2:$C$4, HDS$2)),"****")</f>
        <v/>
      </c>
      <c r="HDT3" t="str">
        <f>IFERROR(IF($C3="","",SUMIFS(Ledger!$K$2:$K$4, Ledger!$B$2:$B$4, $A3, Ledger!$C$2:$C$4, HDT$2)),"****")</f>
        <v/>
      </c>
      <c r="HDU3" t="str">
        <f>IFERROR(IF($C3="","",SUMIFS(Ledger!$K$2:$K$4, Ledger!$B$2:$B$4, $A3, Ledger!$C$2:$C$4, HDU$2)),"****")</f>
        <v/>
      </c>
      <c r="HDV3" t="str">
        <f>IFERROR(IF($C3="","",SUMIFS(Ledger!$K$2:$K$4, Ledger!$B$2:$B$4, $A3, Ledger!$C$2:$C$4, HDV$2)),"****")</f>
        <v/>
      </c>
      <c r="HDW3" t="str">
        <f>IFERROR(IF($C3="","",SUMIFS(Ledger!$K$2:$K$4, Ledger!$B$2:$B$4, $A3, Ledger!$C$2:$C$4, HDW$2)),"****")</f>
        <v/>
      </c>
      <c r="HDX3" t="str">
        <f>IFERROR(IF($C3="","",SUMIFS(Ledger!$K$2:$K$4, Ledger!$B$2:$B$4, $A3, Ledger!$C$2:$C$4, HDX$2)),"****")</f>
        <v/>
      </c>
      <c r="HDY3" t="str">
        <f>IFERROR(IF($C3="","",SUMIFS(Ledger!$K$2:$K$4, Ledger!$B$2:$B$4, $A3, Ledger!$C$2:$C$4, HDY$2)),"****")</f>
        <v/>
      </c>
      <c r="HDZ3" t="str">
        <f>IFERROR(IF($C3="","",SUMIFS(Ledger!$K$2:$K$4, Ledger!$B$2:$B$4, $A3, Ledger!$C$2:$C$4, HDZ$2)),"****")</f>
        <v/>
      </c>
      <c r="HEA3" t="str">
        <f>IFERROR(IF($C3="","",SUMIFS(Ledger!$K$2:$K$4, Ledger!$B$2:$B$4, $A3, Ledger!$C$2:$C$4, HEA$2)),"****")</f>
        <v/>
      </c>
      <c r="HEB3" t="str">
        <f>IFERROR(IF($C3="","",SUMIFS(Ledger!$K$2:$K$4, Ledger!$B$2:$B$4, $A3, Ledger!$C$2:$C$4, HEB$2)),"****")</f>
        <v/>
      </c>
      <c r="HEC3" t="str">
        <f>IFERROR(IF($C3="","",SUMIFS(Ledger!$K$2:$K$4, Ledger!$B$2:$B$4, $A3, Ledger!$C$2:$C$4, HEC$2)),"****")</f>
        <v/>
      </c>
      <c r="HED3" t="str">
        <f>IFERROR(IF($C3="","",SUMIFS(Ledger!$K$2:$K$4, Ledger!$B$2:$B$4, $A3, Ledger!$C$2:$C$4, HED$2)),"****")</f>
        <v/>
      </c>
      <c r="HEE3" t="str">
        <f>IFERROR(IF($C3="","",SUMIFS(Ledger!$K$2:$K$4, Ledger!$B$2:$B$4, $A3, Ledger!$C$2:$C$4, HEE$2)),"****")</f>
        <v/>
      </c>
      <c r="HEF3" t="str">
        <f>IFERROR(IF($C3="","",SUMIFS(Ledger!$K$2:$K$4, Ledger!$B$2:$B$4, $A3, Ledger!$C$2:$C$4, HEF$2)),"****")</f>
        <v/>
      </c>
      <c r="HEG3" t="str">
        <f>IFERROR(IF($C3="","",SUMIFS(Ledger!$K$2:$K$4, Ledger!$B$2:$B$4, $A3, Ledger!$C$2:$C$4, HEG$2)),"****")</f>
        <v/>
      </c>
      <c r="HEH3" t="str">
        <f>IFERROR(IF($C3="","",SUMIFS(Ledger!$K$2:$K$4, Ledger!$B$2:$B$4, $A3, Ledger!$C$2:$C$4, HEH$2)),"****")</f>
        <v/>
      </c>
      <c r="HEI3" t="str">
        <f>IFERROR(IF($C3="","",SUMIFS(Ledger!$K$2:$K$4, Ledger!$B$2:$B$4, $A3, Ledger!$C$2:$C$4, HEI$2)),"****")</f>
        <v/>
      </c>
      <c r="HEJ3" t="str">
        <f>IFERROR(IF($C3="","",SUMIFS(Ledger!$K$2:$K$4, Ledger!$B$2:$B$4, $A3, Ledger!$C$2:$C$4, HEJ$2)),"****")</f>
        <v/>
      </c>
      <c r="HEK3" t="str">
        <f>IFERROR(IF($C3="","",SUMIFS(Ledger!$K$2:$K$4, Ledger!$B$2:$B$4, $A3, Ledger!$C$2:$C$4, HEK$2)),"****")</f>
        <v/>
      </c>
      <c r="HEL3" t="str">
        <f>IFERROR(IF($C3="","",SUMIFS(Ledger!$K$2:$K$4, Ledger!$B$2:$B$4, $A3, Ledger!$C$2:$C$4, HEL$2)),"****")</f>
        <v/>
      </c>
      <c r="HEM3" t="str">
        <f>IFERROR(IF($C3="","",SUMIFS(Ledger!$K$2:$K$4, Ledger!$B$2:$B$4, $A3, Ledger!$C$2:$C$4, HEM$2)),"****")</f>
        <v/>
      </c>
      <c r="HEN3" t="str">
        <f>IFERROR(IF($C3="","",SUMIFS(Ledger!$K$2:$K$4, Ledger!$B$2:$B$4, $A3, Ledger!$C$2:$C$4, HEN$2)),"****")</f>
        <v/>
      </c>
      <c r="HEO3" t="str">
        <f>IFERROR(IF($C3="","",SUMIFS(Ledger!$K$2:$K$4, Ledger!$B$2:$B$4, $A3, Ledger!$C$2:$C$4, HEO$2)),"****")</f>
        <v/>
      </c>
      <c r="HEP3" t="str">
        <f>IFERROR(IF($C3="","",SUMIFS(Ledger!$K$2:$K$4, Ledger!$B$2:$B$4, $A3, Ledger!$C$2:$C$4, HEP$2)),"****")</f>
        <v/>
      </c>
      <c r="HEQ3" t="str">
        <f>IFERROR(IF($C3="","",SUMIFS(Ledger!$K$2:$K$4, Ledger!$B$2:$B$4, $A3, Ledger!$C$2:$C$4, HEQ$2)),"****")</f>
        <v/>
      </c>
      <c r="HER3" t="str">
        <f>IFERROR(IF($C3="","",SUMIFS(Ledger!$K$2:$K$4, Ledger!$B$2:$B$4, $A3, Ledger!$C$2:$C$4, HER$2)),"****")</f>
        <v/>
      </c>
      <c r="HES3" t="str">
        <f>IFERROR(IF($C3="","",SUMIFS(Ledger!$K$2:$K$4, Ledger!$B$2:$B$4, $A3, Ledger!$C$2:$C$4, HES$2)),"****")</f>
        <v/>
      </c>
      <c r="HET3" t="str">
        <f>IFERROR(IF($C3="","",SUMIFS(Ledger!$K$2:$K$4, Ledger!$B$2:$B$4, $A3, Ledger!$C$2:$C$4, HET$2)),"****")</f>
        <v/>
      </c>
      <c r="HEU3" t="str">
        <f>IFERROR(IF($C3="","",SUMIFS(Ledger!$K$2:$K$4, Ledger!$B$2:$B$4, $A3, Ledger!$C$2:$C$4, HEU$2)),"****")</f>
        <v/>
      </c>
      <c r="HEV3" t="str">
        <f>IFERROR(IF($C3="","",SUMIFS(Ledger!$K$2:$K$4, Ledger!$B$2:$B$4, $A3, Ledger!$C$2:$C$4, HEV$2)),"****")</f>
        <v/>
      </c>
      <c r="HEW3" t="str">
        <f>IFERROR(IF($C3="","",SUMIFS(Ledger!$K$2:$K$4, Ledger!$B$2:$B$4, $A3, Ledger!$C$2:$C$4, HEW$2)),"****")</f>
        <v/>
      </c>
      <c r="HEX3" t="str">
        <f>IFERROR(IF($C3="","",SUMIFS(Ledger!$K$2:$K$4, Ledger!$B$2:$B$4, $A3, Ledger!$C$2:$C$4, HEX$2)),"****")</f>
        <v/>
      </c>
      <c r="HEY3" t="str">
        <f>IFERROR(IF($C3="","",SUMIFS(Ledger!$K$2:$K$4, Ledger!$B$2:$B$4, $A3, Ledger!$C$2:$C$4, HEY$2)),"****")</f>
        <v/>
      </c>
      <c r="HEZ3" t="str">
        <f>IFERROR(IF($C3="","",SUMIFS(Ledger!$K$2:$K$4, Ledger!$B$2:$B$4, $A3, Ledger!$C$2:$C$4, HEZ$2)),"****")</f>
        <v/>
      </c>
      <c r="HFA3" t="str">
        <f>IFERROR(IF($C3="","",SUMIFS(Ledger!$K$2:$K$4, Ledger!$B$2:$B$4, $A3, Ledger!$C$2:$C$4, HFA$2)),"****")</f>
        <v/>
      </c>
      <c r="HFB3" t="str">
        <f>IFERROR(IF($C3="","",SUMIFS(Ledger!$K$2:$K$4, Ledger!$B$2:$B$4, $A3, Ledger!$C$2:$C$4, HFB$2)),"****")</f>
        <v/>
      </c>
      <c r="HFC3" t="str">
        <f>IFERROR(IF($C3="","",SUMIFS(Ledger!$K$2:$K$4, Ledger!$B$2:$B$4, $A3, Ledger!$C$2:$C$4, HFC$2)),"****")</f>
        <v/>
      </c>
      <c r="HFD3" t="str">
        <f>IFERROR(IF($C3="","",SUMIFS(Ledger!$K$2:$K$4, Ledger!$B$2:$B$4, $A3, Ledger!$C$2:$C$4, HFD$2)),"****")</f>
        <v/>
      </c>
      <c r="HFE3" t="str">
        <f>IFERROR(IF($C3="","",SUMIFS(Ledger!$K$2:$K$4, Ledger!$B$2:$B$4, $A3, Ledger!$C$2:$C$4, HFE$2)),"****")</f>
        <v/>
      </c>
      <c r="HFF3" t="str">
        <f>IFERROR(IF($C3="","",SUMIFS(Ledger!$K$2:$K$4, Ledger!$B$2:$B$4, $A3, Ledger!$C$2:$C$4, HFF$2)),"****")</f>
        <v/>
      </c>
      <c r="HFG3" t="str">
        <f>IFERROR(IF($C3="","",SUMIFS(Ledger!$K$2:$K$4, Ledger!$B$2:$B$4, $A3, Ledger!$C$2:$C$4, HFG$2)),"****")</f>
        <v/>
      </c>
      <c r="HFH3" t="str">
        <f>IFERROR(IF($C3="","",SUMIFS(Ledger!$K$2:$K$4, Ledger!$B$2:$B$4, $A3, Ledger!$C$2:$C$4, HFH$2)),"****")</f>
        <v/>
      </c>
      <c r="HFI3" t="str">
        <f>IFERROR(IF($C3="","",SUMIFS(Ledger!$K$2:$K$4, Ledger!$B$2:$B$4, $A3, Ledger!$C$2:$C$4, HFI$2)),"****")</f>
        <v/>
      </c>
      <c r="HFJ3" t="str">
        <f>IFERROR(IF($C3="","",SUMIFS(Ledger!$K$2:$K$4, Ledger!$B$2:$B$4, $A3, Ledger!$C$2:$C$4, HFJ$2)),"****")</f>
        <v/>
      </c>
      <c r="HFK3" t="str">
        <f>IFERROR(IF($C3="","",SUMIFS(Ledger!$K$2:$K$4, Ledger!$B$2:$B$4, $A3, Ledger!$C$2:$C$4, HFK$2)),"****")</f>
        <v/>
      </c>
      <c r="HFL3" t="str">
        <f>IFERROR(IF($C3="","",SUMIFS(Ledger!$K$2:$K$4, Ledger!$B$2:$B$4, $A3, Ledger!$C$2:$C$4, HFL$2)),"****")</f>
        <v/>
      </c>
      <c r="HFM3" t="str">
        <f>IFERROR(IF($C3="","",SUMIFS(Ledger!$K$2:$K$4, Ledger!$B$2:$B$4, $A3, Ledger!$C$2:$C$4, HFM$2)),"****")</f>
        <v/>
      </c>
      <c r="HFN3" t="str">
        <f>IFERROR(IF($C3="","",SUMIFS(Ledger!$K$2:$K$4, Ledger!$B$2:$B$4, $A3, Ledger!$C$2:$C$4, HFN$2)),"****")</f>
        <v/>
      </c>
      <c r="HFO3" t="str">
        <f>IFERROR(IF($C3="","",SUMIFS(Ledger!$K$2:$K$4, Ledger!$B$2:$B$4, $A3, Ledger!$C$2:$C$4, HFO$2)),"****")</f>
        <v/>
      </c>
      <c r="HFP3" t="str">
        <f>IFERROR(IF($C3="","",SUMIFS(Ledger!$K$2:$K$4, Ledger!$B$2:$B$4, $A3, Ledger!$C$2:$C$4, HFP$2)),"****")</f>
        <v/>
      </c>
      <c r="HFQ3" t="str">
        <f>IFERROR(IF($C3="","",SUMIFS(Ledger!$K$2:$K$4, Ledger!$B$2:$B$4, $A3, Ledger!$C$2:$C$4, HFQ$2)),"****")</f>
        <v/>
      </c>
      <c r="HFR3" t="str">
        <f>IFERROR(IF($C3="","",SUMIFS(Ledger!$K$2:$K$4, Ledger!$B$2:$B$4, $A3, Ledger!$C$2:$C$4, HFR$2)),"****")</f>
        <v/>
      </c>
      <c r="HFS3" t="str">
        <f>IFERROR(IF($C3="","",SUMIFS(Ledger!$K$2:$K$4, Ledger!$B$2:$B$4, $A3, Ledger!$C$2:$C$4, HFS$2)),"****")</f>
        <v/>
      </c>
      <c r="HFT3" t="str">
        <f>IFERROR(IF($C3="","",SUMIFS(Ledger!$K$2:$K$4, Ledger!$B$2:$B$4, $A3, Ledger!$C$2:$C$4, HFT$2)),"****")</f>
        <v/>
      </c>
      <c r="HFU3" t="str">
        <f>IFERROR(IF($C3="","",SUMIFS(Ledger!$K$2:$K$4, Ledger!$B$2:$B$4, $A3, Ledger!$C$2:$C$4, HFU$2)),"****")</f>
        <v/>
      </c>
      <c r="HFV3" t="str">
        <f>IFERROR(IF($C3="","",SUMIFS(Ledger!$K$2:$K$4, Ledger!$B$2:$B$4, $A3, Ledger!$C$2:$C$4, HFV$2)),"****")</f>
        <v/>
      </c>
      <c r="HFW3" t="str">
        <f>IFERROR(IF($C3="","",SUMIFS(Ledger!$K$2:$K$4, Ledger!$B$2:$B$4, $A3, Ledger!$C$2:$C$4, HFW$2)),"****")</f>
        <v/>
      </c>
      <c r="HFX3" t="str">
        <f>IFERROR(IF($C3="","",SUMIFS(Ledger!$K$2:$K$4, Ledger!$B$2:$B$4, $A3, Ledger!$C$2:$C$4, HFX$2)),"****")</f>
        <v/>
      </c>
      <c r="HFY3" t="str">
        <f>IFERROR(IF($C3="","",SUMIFS(Ledger!$K$2:$K$4, Ledger!$B$2:$B$4, $A3, Ledger!$C$2:$C$4, HFY$2)),"****")</f>
        <v/>
      </c>
      <c r="HFZ3" t="str">
        <f>IFERROR(IF($C3="","",SUMIFS(Ledger!$K$2:$K$4, Ledger!$B$2:$B$4, $A3, Ledger!$C$2:$C$4, HFZ$2)),"****")</f>
        <v/>
      </c>
      <c r="HGA3" t="str">
        <f>IFERROR(IF($C3="","",SUMIFS(Ledger!$K$2:$K$4, Ledger!$B$2:$B$4, $A3, Ledger!$C$2:$C$4, HGA$2)),"****")</f>
        <v/>
      </c>
      <c r="HGB3" t="str">
        <f>IFERROR(IF($C3="","",SUMIFS(Ledger!$K$2:$K$4, Ledger!$B$2:$B$4, $A3, Ledger!$C$2:$C$4, HGB$2)),"****")</f>
        <v/>
      </c>
      <c r="HGC3" t="str">
        <f>IFERROR(IF($C3="","",SUMIFS(Ledger!$K$2:$K$4, Ledger!$B$2:$B$4, $A3, Ledger!$C$2:$C$4, HGC$2)),"****")</f>
        <v/>
      </c>
      <c r="HGD3" t="str">
        <f>IFERROR(IF($C3="","",SUMIFS(Ledger!$K$2:$K$4, Ledger!$B$2:$B$4, $A3, Ledger!$C$2:$C$4, HGD$2)),"****")</f>
        <v/>
      </c>
      <c r="HGE3" t="str">
        <f>IFERROR(IF($C3="","",SUMIFS(Ledger!$K$2:$K$4, Ledger!$B$2:$B$4, $A3, Ledger!$C$2:$C$4, HGE$2)),"****")</f>
        <v/>
      </c>
      <c r="HGF3" t="str">
        <f>IFERROR(IF($C3="","",SUMIFS(Ledger!$K$2:$K$4, Ledger!$B$2:$B$4, $A3, Ledger!$C$2:$C$4, HGF$2)),"****")</f>
        <v/>
      </c>
      <c r="HGG3" t="str">
        <f>IFERROR(IF($C3="","",SUMIFS(Ledger!$K$2:$K$4, Ledger!$B$2:$B$4, $A3, Ledger!$C$2:$C$4, HGG$2)),"****")</f>
        <v/>
      </c>
      <c r="HGH3" t="str">
        <f>IFERROR(IF($C3="","",SUMIFS(Ledger!$K$2:$K$4, Ledger!$B$2:$B$4, $A3, Ledger!$C$2:$C$4, HGH$2)),"****")</f>
        <v/>
      </c>
      <c r="HGI3" t="str">
        <f>IFERROR(IF($C3="","",SUMIFS(Ledger!$K$2:$K$4, Ledger!$B$2:$B$4, $A3, Ledger!$C$2:$C$4, HGI$2)),"****")</f>
        <v/>
      </c>
      <c r="HGJ3" t="str">
        <f>IFERROR(IF($C3="","",SUMIFS(Ledger!$K$2:$K$4, Ledger!$B$2:$B$4, $A3, Ledger!$C$2:$C$4, HGJ$2)),"****")</f>
        <v/>
      </c>
      <c r="HGK3" t="str">
        <f>IFERROR(IF($C3="","",SUMIFS(Ledger!$K$2:$K$4, Ledger!$B$2:$B$4, $A3, Ledger!$C$2:$C$4, HGK$2)),"****")</f>
        <v/>
      </c>
      <c r="HGL3" t="str">
        <f>IFERROR(IF($C3="","",SUMIFS(Ledger!$K$2:$K$4, Ledger!$B$2:$B$4, $A3, Ledger!$C$2:$C$4, HGL$2)),"****")</f>
        <v/>
      </c>
      <c r="HGM3" t="str">
        <f>IFERROR(IF($C3="","",SUMIFS(Ledger!$K$2:$K$4, Ledger!$B$2:$B$4, $A3, Ledger!$C$2:$C$4, HGM$2)),"****")</f>
        <v/>
      </c>
      <c r="HGN3" t="str">
        <f>IFERROR(IF($C3="","",SUMIFS(Ledger!$K$2:$K$4, Ledger!$B$2:$B$4, $A3, Ledger!$C$2:$C$4, HGN$2)),"****")</f>
        <v/>
      </c>
      <c r="HGO3" t="str">
        <f>IFERROR(IF($C3="","",SUMIFS(Ledger!$K$2:$K$4, Ledger!$B$2:$B$4, $A3, Ledger!$C$2:$C$4, HGO$2)),"****")</f>
        <v/>
      </c>
      <c r="HGP3" t="str">
        <f>IFERROR(IF($C3="","",SUMIFS(Ledger!$K$2:$K$4, Ledger!$B$2:$B$4, $A3, Ledger!$C$2:$C$4, HGP$2)),"****")</f>
        <v/>
      </c>
      <c r="HGQ3" t="str">
        <f>IFERROR(IF($C3="","",SUMIFS(Ledger!$K$2:$K$4, Ledger!$B$2:$B$4, $A3, Ledger!$C$2:$C$4, HGQ$2)),"****")</f>
        <v/>
      </c>
      <c r="HGR3" t="str">
        <f>IFERROR(IF($C3="","",SUMIFS(Ledger!$K$2:$K$4, Ledger!$B$2:$B$4, $A3, Ledger!$C$2:$C$4, HGR$2)),"****")</f>
        <v/>
      </c>
      <c r="HGS3" t="str">
        <f>IFERROR(IF($C3="","",SUMIFS(Ledger!$K$2:$K$4, Ledger!$B$2:$B$4, $A3, Ledger!$C$2:$C$4, HGS$2)),"****")</f>
        <v/>
      </c>
      <c r="HGT3" t="str">
        <f>IFERROR(IF($C3="","",SUMIFS(Ledger!$K$2:$K$4, Ledger!$B$2:$B$4, $A3, Ledger!$C$2:$C$4, HGT$2)),"****")</f>
        <v/>
      </c>
      <c r="HGU3" t="str">
        <f>IFERROR(IF($C3="","",SUMIFS(Ledger!$K$2:$K$4, Ledger!$B$2:$B$4, $A3, Ledger!$C$2:$C$4, HGU$2)),"****")</f>
        <v/>
      </c>
      <c r="HGV3" t="str">
        <f>IFERROR(IF($C3="","",SUMIFS(Ledger!$K$2:$K$4, Ledger!$B$2:$B$4, $A3, Ledger!$C$2:$C$4, HGV$2)),"****")</f>
        <v/>
      </c>
      <c r="HGW3" t="str">
        <f>IFERROR(IF($C3="","",SUMIFS(Ledger!$K$2:$K$4, Ledger!$B$2:$B$4, $A3, Ledger!$C$2:$C$4, HGW$2)),"****")</f>
        <v/>
      </c>
      <c r="HGX3" t="str">
        <f>IFERROR(IF($C3="","",SUMIFS(Ledger!$K$2:$K$4, Ledger!$B$2:$B$4, $A3, Ledger!$C$2:$C$4, HGX$2)),"****")</f>
        <v/>
      </c>
      <c r="HGY3" t="str">
        <f>IFERROR(IF($C3="","",SUMIFS(Ledger!$K$2:$K$4, Ledger!$B$2:$B$4, $A3, Ledger!$C$2:$C$4, HGY$2)),"****")</f>
        <v/>
      </c>
      <c r="HGZ3" t="str">
        <f>IFERROR(IF($C3="","",SUMIFS(Ledger!$K$2:$K$4, Ledger!$B$2:$B$4, $A3, Ledger!$C$2:$C$4, HGZ$2)),"****")</f>
        <v/>
      </c>
      <c r="HHA3" t="str">
        <f>IFERROR(IF($C3="","",SUMIFS(Ledger!$K$2:$K$4, Ledger!$B$2:$B$4, $A3, Ledger!$C$2:$C$4, HHA$2)),"****")</f>
        <v/>
      </c>
      <c r="HHB3" t="str">
        <f>IFERROR(IF($C3="","",SUMIFS(Ledger!$K$2:$K$4, Ledger!$B$2:$B$4, $A3, Ledger!$C$2:$C$4, HHB$2)),"****")</f>
        <v/>
      </c>
      <c r="HHC3" t="str">
        <f>IFERROR(IF($C3="","",SUMIFS(Ledger!$K$2:$K$4, Ledger!$B$2:$B$4, $A3, Ledger!$C$2:$C$4, HHC$2)),"****")</f>
        <v/>
      </c>
      <c r="HHD3" t="str">
        <f>IFERROR(IF($C3="","",SUMIFS(Ledger!$K$2:$K$4, Ledger!$B$2:$B$4, $A3, Ledger!$C$2:$C$4, HHD$2)),"****")</f>
        <v/>
      </c>
      <c r="HHE3" t="str">
        <f>IFERROR(IF($C3="","",SUMIFS(Ledger!$K$2:$K$4, Ledger!$B$2:$B$4, $A3, Ledger!$C$2:$C$4, HHE$2)),"****")</f>
        <v/>
      </c>
      <c r="HHF3" t="str">
        <f>IFERROR(IF($C3="","",SUMIFS(Ledger!$K$2:$K$4, Ledger!$B$2:$B$4, $A3, Ledger!$C$2:$C$4, HHF$2)),"****")</f>
        <v/>
      </c>
      <c r="HHG3" t="str">
        <f>IFERROR(IF($C3="","",SUMIFS(Ledger!$K$2:$K$4, Ledger!$B$2:$B$4, $A3, Ledger!$C$2:$C$4, HHG$2)),"****")</f>
        <v/>
      </c>
      <c r="HHH3" t="str">
        <f>IFERROR(IF($C3="","",SUMIFS(Ledger!$K$2:$K$4, Ledger!$B$2:$B$4, $A3, Ledger!$C$2:$C$4, HHH$2)),"****")</f>
        <v/>
      </c>
      <c r="HHI3" t="str">
        <f>IFERROR(IF($C3="","",SUMIFS(Ledger!$K$2:$K$4, Ledger!$B$2:$B$4, $A3, Ledger!$C$2:$C$4, HHI$2)),"****")</f>
        <v/>
      </c>
      <c r="HHJ3" t="str">
        <f>IFERROR(IF($C3="","",SUMIFS(Ledger!$K$2:$K$4, Ledger!$B$2:$B$4, $A3, Ledger!$C$2:$C$4, HHJ$2)),"****")</f>
        <v/>
      </c>
      <c r="HHK3" t="str">
        <f>IFERROR(IF($C3="","",SUMIFS(Ledger!$K$2:$K$4, Ledger!$B$2:$B$4, $A3, Ledger!$C$2:$C$4, HHK$2)),"****")</f>
        <v/>
      </c>
      <c r="HHL3" t="str">
        <f>IFERROR(IF($C3="","",SUMIFS(Ledger!$K$2:$K$4, Ledger!$B$2:$B$4, $A3, Ledger!$C$2:$C$4, HHL$2)),"****")</f>
        <v/>
      </c>
      <c r="HHM3" t="str">
        <f>IFERROR(IF($C3="","",SUMIFS(Ledger!$K$2:$K$4, Ledger!$B$2:$B$4, $A3, Ledger!$C$2:$C$4, HHM$2)),"****")</f>
        <v/>
      </c>
      <c r="HHN3" t="str">
        <f>IFERROR(IF($C3="","",SUMIFS(Ledger!$K$2:$K$4, Ledger!$B$2:$B$4, $A3, Ledger!$C$2:$C$4, HHN$2)),"****")</f>
        <v/>
      </c>
      <c r="HHO3" t="str">
        <f>IFERROR(IF($C3="","",SUMIFS(Ledger!$K$2:$K$4, Ledger!$B$2:$B$4, $A3, Ledger!$C$2:$C$4, HHO$2)),"****")</f>
        <v/>
      </c>
      <c r="HHP3" t="str">
        <f>IFERROR(IF($C3="","",SUMIFS(Ledger!$K$2:$K$4, Ledger!$B$2:$B$4, $A3, Ledger!$C$2:$C$4, HHP$2)),"****")</f>
        <v/>
      </c>
      <c r="HHQ3" t="str">
        <f>IFERROR(IF($C3="","",SUMIFS(Ledger!$K$2:$K$4, Ledger!$B$2:$B$4, $A3, Ledger!$C$2:$C$4, HHQ$2)),"****")</f>
        <v/>
      </c>
      <c r="HHR3" t="str">
        <f>IFERROR(IF($C3="","",SUMIFS(Ledger!$K$2:$K$4, Ledger!$B$2:$B$4, $A3, Ledger!$C$2:$C$4, HHR$2)),"****")</f>
        <v/>
      </c>
      <c r="HHS3" t="str">
        <f>IFERROR(IF($C3="","",SUMIFS(Ledger!$K$2:$K$4, Ledger!$B$2:$B$4, $A3, Ledger!$C$2:$C$4, HHS$2)),"****")</f>
        <v/>
      </c>
      <c r="HHT3" t="str">
        <f>IFERROR(IF($C3="","",SUMIFS(Ledger!$K$2:$K$4, Ledger!$B$2:$B$4, $A3, Ledger!$C$2:$C$4, HHT$2)),"****")</f>
        <v/>
      </c>
      <c r="HHU3" t="str">
        <f>IFERROR(IF($C3="","",SUMIFS(Ledger!$K$2:$K$4, Ledger!$B$2:$B$4, $A3, Ledger!$C$2:$C$4, HHU$2)),"****")</f>
        <v/>
      </c>
      <c r="HHV3" t="str">
        <f>IFERROR(IF($C3="","",SUMIFS(Ledger!$K$2:$K$4, Ledger!$B$2:$B$4, $A3, Ledger!$C$2:$C$4, HHV$2)),"****")</f>
        <v/>
      </c>
      <c r="HHW3" t="str">
        <f>IFERROR(IF($C3="","",SUMIFS(Ledger!$K$2:$K$4, Ledger!$B$2:$B$4, $A3, Ledger!$C$2:$C$4, HHW$2)),"****")</f>
        <v/>
      </c>
      <c r="HHX3" t="str">
        <f>IFERROR(IF($C3="","",SUMIFS(Ledger!$K$2:$K$4, Ledger!$B$2:$B$4, $A3, Ledger!$C$2:$C$4, HHX$2)),"****")</f>
        <v/>
      </c>
      <c r="HHY3" t="str">
        <f>IFERROR(IF($C3="","",SUMIFS(Ledger!$K$2:$K$4, Ledger!$B$2:$B$4, $A3, Ledger!$C$2:$C$4, HHY$2)),"****")</f>
        <v/>
      </c>
      <c r="HHZ3" t="str">
        <f>IFERROR(IF($C3="","",SUMIFS(Ledger!$K$2:$K$4, Ledger!$B$2:$B$4, $A3, Ledger!$C$2:$C$4, HHZ$2)),"****")</f>
        <v/>
      </c>
      <c r="HIA3" t="str">
        <f>IFERROR(IF($C3="","",SUMIFS(Ledger!$K$2:$K$4, Ledger!$B$2:$B$4, $A3, Ledger!$C$2:$C$4, HIA$2)),"****")</f>
        <v/>
      </c>
      <c r="HIB3" t="str">
        <f>IFERROR(IF($C3="","",SUMIFS(Ledger!$K$2:$K$4, Ledger!$B$2:$B$4, $A3, Ledger!$C$2:$C$4, HIB$2)),"****")</f>
        <v/>
      </c>
      <c r="HIC3" t="str">
        <f>IFERROR(IF($C3="","",SUMIFS(Ledger!$K$2:$K$4, Ledger!$B$2:$B$4, $A3, Ledger!$C$2:$C$4, HIC$2)),"****")</f>
        <v/>
      </c>
      <c r="HID3" t="str">
        <f>IFERROR(IF($C3="","",SUMIFS(Ledger!$K$2:$K$4, Ledger!$B$2:$B$4, $A3, Ledger!$C$2:$C$4, HID$2)),"****")</f>
        <v/>
      </c>
      <c r="HIE3" t="str">
        <f>IFERROR(IF($C3="","",SUMIFS(Ledger!$K$2:$K$4, Ledger!$B$2:$B$4, $A3, Ledger!$C$2:$C$4, HIE$2)),"****")</f>
        <v/>
      </c>
      <c r="HIF3" t="str">
        <f>IFERROR(IF($C3="","",SUMIFS(Ledger!$K$2:$K$4, Ledger!$B$2:$B$4, $A3, Ledger!$C$2:$C$4, HIF$2)),"****")</f>
        <v/>
      </c>
      <c r="HIG3" t="str">
        <f>IFERROR(IF($C3="","",SUMIFS(Ledger!$K$2:$K$4, Ledger!$B$2:$B$4, $A3, Ledger!$C$2:$C$4, HIG$2)),"****")</f>
        <v/>
      </c>
      <c r="HIH3" t="str">
        <f>IFERROR(IF($C3="","",SUMIFS(Ledger!$K$2:$K$4, Ledger!$B$2:$B$4, $A3, Ledger!$C$2:$C$4, HIH$2)),"****")</f>
        <v/>
      </c>
      <c r="HII3" t="str">
        <f>IFERROR(IF($C3="","",SUMIFS(Ledger!$K$2:$K$4, Ledger!$B$2:$B$4, $A3, Ledger!$C$2:$C$4, HII$2)),"****")</f>
        <v/>
      </c>
      <c r="HIJ3" t="str">
        <f>IFERROR(IF($C3="","",SUMIFS(Ledger!$K$2:$K$4, Ledger!$B$2:$B$4, $A3, Ledger!$C$2:$C$4, HIJ$2)),"****")</f>
        <v/>
      </c>
      <c r="HIK3" t="str">
        <f>IFERROR(IF($C3="","",SUMIFS(Ledger!$K$2:$K$4, Ledger!$B$2:$B$4, $A3, Ledger!$C$2:$C$4, HIK$2)),"****")</f>
        <v/>
      </c>
      <c r="HIL3" t="str">
        <f>IFERROR(IF($C3="","",SUMIFS(Ledger!$K$2:$K$4, Ledger!$B$2:$B$4, $A3, Ledger!$C$2:$C$4, HIL$2)),"****")</f>
        <v/>
      </c>
      <c r="HIM3" t="str">
        <f>IFERROR(IF($C3="","",SUMIFS(Ledger!$K$2:$K$4, Ledger!$B$2:$B$4, $A3, Ledger!$C$2:$C$4, HIM$2)),"****")</f>
        <v/>
      </c>
      <c r="HIN3" t="str">
        <f>IFERROR(IF($C3="","",SUMIFS(Ledger!$K$2:$K$4, Ledger!$B$2:$B$4, $A3, Ledger!$C$2:$C$4, HIN$2)),"****")</f>
        <v/>
      </c>
      <c r="HIO3" t="str">
        <f>IFERROR(IF($C3="","",SUMIFS(Ledger!$K$2:$K$4, Ledger!$B$2:$B$4, $A3, Ledger!$C$2:$C$4, HIO$2)),"****")</f>
        <v/>
      </c>
      <c r="HIP3" t="str">
        <f>IFERROR(IF($C3="","",SUMIFS(Ledger!$K$2:$K$4, Ledger!$B$2:$B$4, $A3, Ledger!$C$2:$C$4, HIP$2)),"****")</f>
        <v/>
      </c>
      <c r="HIQ3" t="str">
        <f>IFERROR(IF($C3="","",SUMIFS(Ledger!$K$2:$K$4, Ledger!$B$2:$B$4, $A3, Ledger!$C$2:$C$4, HIQ$2)),"****")</f>
        <v/>
      </c>
      <c r="HIR3" t="str">
        <f>IFERROR(IF($C3="","",SUMIFS(Ledger!$K$2:$K$4, Ledger!$B$2:$B$4, $A3, Ledger!$C$2:$C$4, HIR$2)),"****")</f>
        <v/>
      </c>
      <c r="HIS3" t="str">
        <f>IFERROR(IF($C3="","",SUMIFS(Ledger!$K$2:$K$4, Ledger!$B$2:$B$4, $A3, Ledger!$C$2:$C$4, HIS$2)),"****")</f>
        <v/>
      </c>
      <c r="HIT3" t="str">
        <f>IFERROR(IF($C3="","",SUMIFS(Ledger!$K$2:$K$4, Ledger!$B$2:$B$4, $A3, Ledger!$C$2:$C$4, HIT$2)),"****")</f>
        <v/>
      </c>
      <c r="HIU3" t="str">
        <f>IFERROR(IF($C3="","",SUMIFS(Ledger!$K$2:$K$4, Ledger!$B$2:$B$4, $A3, Ledger!$C$2:$C$4, HIU$2)),"****")</f>
        <v/>
      </c>
      <c r="HIV3" t="str">
        <f>IFERROR(IF($C3="","",SUMIFS(Ledger!$K$2:$K$4, Ledger!$B$2:$B$4, $A3, Ledger!$C$2:$C$4, HIV$2)),"****")</f>
        <v/>
      </c>
      <c r="HIW3" t="str">
        <f>IFERROR(IF($C3="","",SUMIFS(Ledger!$K$2:$K$4, Ledger!$B$2:$B$4, $A3, Ledger!$C$2:$C$4, HIW$2)),"****")</f>
        <v/>
      </c>
      <c r="HIX3" t="str">
        <f>IFERROR(IF($C3="","",SUMIFS(Ledger!$K$2:$K$4, Ledger!$B$2:$B$4, $A3, Ledger!$C$2:$C$4, HIX$2)),"****")</f>
        <v/>
      </c>
      <c r="HIY3" t="str">
        <f>IFERROR(IF($C3="","",SUMIFS(Ledger!$K$2:$K$4, Ledger!$B$2:$B$4, $A3, Ledger!$C$2:$C$4, HIY$2)),"****")</f>
        <v/>
      </c>
      <c r="HIZ3" t="str">
        <f>IFERROR(IF($C3="","",SUMIFS(Ledger!$K$2:$K$4, Ledger!$B$2:$B$4, $A3, Ledger!$C$2:$C$4, HIZ$2)),"****")</f>
        <v/>
      </c>
      <c r="HJA3" t="str">
        <f>IFERROR(IF($C3="","",SUMIFS(Ledger!$K$2:$K$4, Ledger!$B$2:$B$4, $A3, Ledger!$C$2:$C$4, HJA$2)),"****")</f>
        <v/>
      </c>
      <c r="HJB3" t="str">
        <f>IFERROR(IF($C3="","",SUMIFS(Ledger!$K$2:$K$4, Ledger!$B$2:$B$4, $A3, Ledger!$C$2:$C$4, HJB$2)),"****")</f>
        <v/>
      </c>
      <c r="HJC3" t="str">
        <f>IFERROR(IF($C3="","",SUMIFS(Ledger!$K$2:$K$4, Ledger!$B$2:$B$4, $A3, Ledger!$C$2:$C$4, HJC$2)),"****")</f>
        <v/>
      </c>
      <c r="HJD3" t="str">
        <f>IFERROR(IF($C3="","",SUMIFS(Ledger!$K$2:$K$4, Ledger!$B$2:$B$4, $A3, Ledger!$C$2:$C$4, HJD$2)),"****")</f>
        <v/>
      </c>
      <c r="HJE3" t="str">
        <f>IFERROR(IF($C3="","",SUMIFS(Ledger!$K$2:$K$4, Ledger!$B$2:$B$4, $A3, Ledger!$C$2:$C$4, HJE$2)),"****")</f>
        <v/>
      </c>
      <c r="HJF3" t="str">
        <f>IFERROR(IF($C3="","",SUMIFS(Ledger!$K$2:$K$4, Ledger!$B$2:$B$4, $A3, Ledger!$C$2:$C$4, HJF$2)),"****")</f>
        <v/>
      </c>
      <c r="HJG3" t="str">
        <f>IFERROR(IF($C3="","",SUMIFS(Ledger!$K$2:$K$4, Ledger!$B$2:$B$4, $A3, Ledger!$C$2:$C$4, HJG$2)),"****")</f>
        <v/>
      </c>
      <c r="HJH3" t="str">
        <f>IFERROR(IF($C3="","",SUMIFS(Ledger!$K$2:$K$4, Ledger!$B$2:$B$4, $A3, Ledger!$C$2:$C$4, HJH$2)),"****")</f>
        <v/>
      </c>
      <c r="HJI3" t="str">
        <f>IFERROR(IF($C3="","",SUMIFS(Ledger!$K$2:$K$4, Ledger!$B$2:$B$4, $A3, Ledger!$C$2:$C$4, HJI$2)),"****")</f>
        <v/>
      </c>
      <c r="HJJ3" t="str">
        <f>IFERROR(IF($C3="","",SUMIFS(Ledger!$K$2:$K$4, Ledger!$B$2:$B$4, $A3, Ledger!$C$2:$C$4, HJJ$2)),"****")</f>
        <v/>
      </c>
      <c r="HJK3" t="str">
        <f>IFERROR(IF($C3="","",SUMIFS(Ledger!$K$2:$K$4, Ledger!$B$2:$B$4, $A3, Ledger!$C$2:$C$4, HJK$2)),"****")</f>
        <v/>
      </c>
      <c r="HJL3" t="str">
        <f>IFERROR(IF($C3="","",SUMIFS(Ledger!$K$2:$K$4, Ledger!$B$2:$B$4, $A3, Ledger!$C$2:$C$4, HJL$2)),"****")</f>
        <v/>
      </c>
      <c r="HJM3" t="str">
        <f>IFERROR(IF($C3="","",SUMIFS(Ledger!$K$2:$K$4, Ledger!$B$2:$B$4, $A3, Ledger!$C$2:$C$4, HJM$2)),"****")</f>
        <v/>
      </c>
      <c r="HJN3" t="str">
        <f>IFERROR(IF($C3="","",SUMIFS(Ledger!$K$2:$K$4, Ledger!$B$2:$B$4, $A3, Ledger!$C$2:$C$4, HJN$2)),"****")</f>
        <v/>
      </c>
      <c r="HJO3" t="str">
        <f>IFERROR(IF($C3="","",SUMIFS(Ledger!$K$2:$K$4, Ledger!$B$2:$B$4, $A3, Ledger!$C$2:$C$4, HJO$2)),"****")</f>
        <v/>
      </c>
      <c r="HJP3" t="str">
        <f>IFERROR(IF($C3="","",SUMIFS(Ledger!$K$2:$K$4, Ledger!$B$2:$B$4, $A3, Ledger!$C$2:$C$4, HJP$2)),"****")</f>
        <v/>
      </c>
      <c r="HJQ3" t="str">
        <f>IFERROR(IF($C3="","",SUMIFS(Ledger!$K$2:$K$4, Ledger!$B$2:$B$4, $A3, Ledger!$C$2:$C$4, HJQ$2)),"****")</f>
        <v/>
      </c>
      <c r="HJR3" t="str">
        <f>IFERROR(IF($C3="","",SUMIFS(Ledger!$K$2:$K$4, Ledger!$B$2:$B$4, $A3, Ledger!$C$2:$C$4, HJR$2)),"****")</f>
        <v/>
      </c>
      <c r="HJS3" t="str">
        <f>IFERROR(IF($C3="","",SUMIFS(Ledger!$K$2:$K$4, Ledger!$B$2:$B$4, $A3, Ledger!$C$2:$C$4, HJS$2)),"****")</f>
        <v/>
      </c>
      <c r="HJT3" t="str">
        <f>IFERROR(IF($C3="","",SUMIFS(Ledger!$K$2:$K$4, Ledger!$B$2:$B$4, $A3, Ledger!$C$2:$C$4, HJT$2)),"****")</f>
        <v/>
      </c>
      <c r="HJU3" t="str">
        <f>IFERROR(IF($C3="","",SUMIFS(Ledger!$K$2:$K$4, Ledger!$B$2:$B$4, $A3, Ledger!$C$2:$C$4, HJU$2)),"****")</f>
        <v/>
      </c>
      <c r="HJV3" t="str">
        <f>IFERROR(IF($C3="","",SUMIFS(Ledger!$K$2:$K$4, Ledger!$B$2:$B$4, $A3, Ledger!$C$2:$C$4, HJV$2)),"****")</f>
        <v/>
      </c>
      <c r="HJW3" t="str">
        <f>IFERROR(IF($C3="","",SUMIFS(Ledger!$K$2:$K$4, Ledger!$B$2:$B$4, $A3, Ledger!$C$2:$C$4, HJW$2)),"****")</f>
        <v/>
      </c>
      <c r="HJX3" t="str">
        <f>IFERROR(IF($C3="","",SUMIFS(Ledger!$K$2:$K$4, Ledger!$B$2:$B$4, $A3, Ledger!$C$2:$C$4, HJX$2)),"****")</f>
        <v/>
      </c>
      <c r="HJY3" t="str">
        <f>IFERROR(IF($C3="","",SUMIFS(Ledger!$K$2:$K$4, Ledger!$B$2:$B$4, $A3, Ledger!$C$2:$C$4, HJY$2)),"****")</f>
        <v/>
      </c>
      <c r="HJZ3" t="str">
        <f>IFERROR(IF($C3="","",SUMIFS(Ledger!$K$2:$K$4, Ledger!$B$2:$B$4, $A3, Ledger!$C$2:$C$4, HJZ$2)),"****")</f>
        <v/>
      </c>
      <c r="HKA3" t="str">
        <f>IFERROR(IF($C3="","",SUMIFS(Ledger!$K$2:$K$4, Ledger!$B$2:$B$4, $A3, Ledger!$C$2:$C$4, HKA$2)),"****")</f>
        <v/>
      </c>
      <c r="HKB3" t="str">
        <f>IFERROR(IF($C3="","",SUMIFS(Ledger!$K$2:$K$4, Ledger!$B$2:$B$4, $A3, Ledger!$C$2:$C$4, HKB$2)),"****")</f>
        <v/>
      </c>
      <c r="HKC3" t="str">
        <f>IFERROR(IF($C3="","",SUMIFS(Ledger!$K$2:$K$4, Ledger!$B$2:$B$4, $A3, Ledger!$C$2:$C$4, HKC$2)),"****")</f>
        <v/>
      </c>
      <c r="HKD3" t="str">
        <f>IFERROR(IF($C3="","",SUMIFS(Ledger!$K$2:$K$4, Ledger!$B$2:$B$4, $A3, Ledger!$C$2:$C$4, HKD$2)),"****")</f>
        <v/>
      </c>
      <c r="HKE3" t="str">
        <f>IFERROR(IF($C3="","",SUMIFS(Ledger!$K$2:$K$4, Ledger!$B$2:$B$4, $A3, Ledger!$C$2:$C$4, HKE$2)),"****")</f>
        <v/>
      </c>
      <c r="HKF3" t="str">
        <f>IFERROR(IF($C3="","",SUMIFS(Ledger!$K$2:$K$4, Ledger!$B$2:$B$4, $A3, Ledger!$C$2:$C$4, HKF$2)),"****")</f>
        <v/>
      </c>
      <c r="HKG3" t="str">
        <f>IFERROR(IF($C3="","",SUMIFS(Ledger!$K$2:$K$4, Ledger!$B$2:$B$4, $A3, Ledger!$C$2:$C$4, HKG$2)),"****")</f>
        <v/>
      </c>
      <c r="HKH3" t="str">
        <f>IFERROR(IF($C3="","",SUMIFS(Ledger!$K$2:$K$4, Ledger!$B$2:$B$4, $A3, Ledger!$C$2:$C$4, HKH$2)),"****")</f>
        <v/>
      </c>
      <c r="HKI3" t="str">
        <f>IFERROR(IF($C3="","",SUMIFS(Ledger!$K$2:$K$4, Ledger!$B$2:$B$4, $A3, Ledger!$C$2:$C$4, HKI$2)),"****")</f>
        <v/>
      </c>
      <c r="HKJ3" t="str">
        <f>IFERROR(IF($C3="","",SUMIFS(Ledger!$K$2:$K$4, Ledger!$B$2:$B$4, $A3, Ledger!$C$2:$C$4, HKJ$2)),"****")</f>
        <v/>
      </c>
      <c r="HKK3" t="str">
        <f>IFERROR(IF($C3="","",SUMIFS(Ledger!$K$2:$K$4, Ledger!$B$2:$B$4, $A3, Ledger!$C$2:$C$4, HKK$2)),"****")</f>
        <v/>
      </c>
      <c r="HKL3" t="str">
        <f>IFERROR(IF($C3="","",SUMIFS(Ledger!$K$2:$K$4, Ledger!$B$2:$B$4, $A3, Ledger!$C$2:$C$4, HKL$2)),"****")</f>
        <v/>
      </c>
      <c r="HKM3" t="str">
        <f>IFERROR(IF($C3="","",SUMIFS(Ledger!$K$2:$K$4, Ledger!$B$2:$B$4, $A3, Ledger!$C$2:$C$4, HKM$2)),"****")</f>
        <v/>
      </c>
      <c r="HKN3" t="str">
        <f>IFERROR(IF($C3="","",SUMIFS(Ledger!$K$2:$K$4, Ledger!$B$2:$B$4, $A3, Ledger!$C$2:$C$4, HKN$2)),"****")</f>
        <v/>
      </c>
      <c r="HKO3" t="str">
        <f>IFERROR(IF($C3="","",SUMIFS(Ledger!$K$2:$K$4, Ledger!$B$2:$B$4, $A3, Ledger!$C$2:$C$4, HKO$2)),"****")</f>
        <v/>
      </c>
      <c r="HKP3" t="str">
        <f>IFERROR(IF($C3="","",SUMIFS(Ledger!$K$2:$K$4, Ledger!$B$2:$B$4, $A3, Ledger!$C$2:$C$4, HKP$2)),"****")</f>
        <v/>
      </c>
      <c r="HKQ3" t="str">
        <f>IFERROR(IF($C3="","",SUMIFS(Ledger!$K$2:$K$4, Ledger!$B$2:$B$4, $A3, Ledger!$C$2:$C$4, HKQ$2)),"****")</f>
        <v/>
      </c>
      <c r="HKR3" t="str">
        <f>IFERROR(IF($C3="","",SUMIFS(Ledger!$K$2:$K$4, Ledger!$B$2:$B$4, $A3, Ledger!$C$2:$C$4, HKR$2)),"****")</f>
        <v/>
      </c>
      <c r="HKS3" t="str">
        <f>IFERROR(IF($C3="","",SUMIFS(Ledger!$K$2:$K$4, Ledger!$B$2:$B$4, $A3, Ledger!$C$2:$C$4, HKS$2)),"****")</f>
        <v/>
      </c>
      <c r="HKT3" t="str">
        <f>IFERROR(IF($C3="","",SUMIFS(Ledger!$K$2:$K$4, Ledger!$B$2:$B$4, $A3, Ledger!$C$2:$C$4, HKT$2)),"****")</f>
        <v/>
      </c>
      <c r="HKU3" t="str">
        <f>IFERROR(IF($C3="","",SUMIFS(Ledger!$K$2:$K$4, Ledger!$B$2:$B$4, $A3, Ledger!$C$2:$C$4, HKU$2)),"****")</f>
        <v/>
      </c>
      <c r="HKV3" t="str">
        <f>IFERROR(IF($C3="","",SUMIFS(Ledger!$K$2:$K$4, Ledger!$B$2:$B$4, $A3, Ledger!$C$2:$C$4, HKV$2)),"****")</f>
        <v/>
      </c>
      <c r="HKW3" t="str">
        <f>IFERROR(IF($C3="","",SUMIFS(Ledger!$K$2:$K$4, Ledger!$B$2:$B$4, $A3, Ledger!$C$2:$C$4, HKW$2)),"****")</f>
        <v/>
      </c>
      <c r="HKX3" t="str">
        <f>IFERROR(IF($C3="","",SUMIFS(Ledger!$K$2:$K$4, Ledger!$B$2:$B$4, $A3, Ledger!$C$2:$C$4, HKX$2)),"****")</f>
        <v/>
      </c>
      <c r="HKY3" t="str">
        <f>IFERROR(IF($C3="","",SUMIFS(Ledger!$K$2:$K$4, Ledger!$B$2:$B$4, $A3, Ledger!$C$2:$C$4, HKY$2)),"****")</f>
        <v/>
      </c>
      <c r="HKZ3" t="str">
        <f>IFERROR(IF($C3="","",SUMIFS(Ledger!$K$2:$K$4, Ledger!$B$2:$B$4, $A3, Ledger!$C$2:$C$4, HKZ$2)),"****")</f>
        <v/>
      </c>
      <c r="HLA3" t="str">
        <f>IFERROR(IF($C3="","",SUMIFS(Ledger!$K$2:$K$4, Ledger!$B$2:$B$4, $A3, Ledger!$C$2:$C$4, HLA$2)),"****")</f>
        <v/>
      </c>
      <c r="HLB3" t="str">
        <f>IFERROR(IF($C3="","",SUMIFS(Ledger!$K$2:$K$4, Ledger!$B$2:$B$4, $A3, Ledger!$C$2:$C$4, HLB$2)),"****")</f>
        <v/>
      </c>
      <c r="HLC3" t="str">
        <f>IFERROR(IF($C3="","",SUMIFS(Ledger!$K$2:$K$4, Ledger!$B$2:$B$4, $A3, Ledger!$C$2:$C$4, HLC$2)),"****")</f>
        <v/>
      </c>
      <c r="HLD3" t="str">
        <f>IFERROR(IF($C3="","",SUMIFS(Ledger!$K$2:$K$4, Ledger!$B$2:$B$4, $A3, Ledger!$C$2:$C$4, HLD$2)),"****")</f>
        <v/>
      </c>
      <c r="HLE3" t="str">
        <f>IFERROR(IF($C3="","",SUMIFS(Ledger!$K$2:$K$4, Ledger!$B$2:$B$4, $A3, Ledger!$C$2:$C$4, HLE$2)),"****")</f>
        <v/>
      </c>
      <c r="HLF3" t="str">
        <f>IFERROR(IF($C3="","",SUMIFS(Ledger!$K$2:$K$4, Ledger!$B$2:$B$4, $A3, Ledger!$C$2:$C$4, HLF$2)),"****")</f>
        <v/>
      </c>
      <c r="HLG3" t="str">
        <f>IFERROR(IF($C3="","",SUMIFS(Ledger!$K$2:$K$4, Ledger!$B$2:$B$4, $A3, Ledger!$C$2:$C$4, HLG$2)),"****")</f>
        <v/>
      </c>
      <c r="HLH3" t="str">
        <f>IFERROR(IF($C3="","",SUMIFS(Ledger!$K$2:$K$4, Ledger!$B$2:$B$4, $A3, Ledger!$C$2:$C$4, HLH$2)),"****")</f>
        <v/>
      </c>
      <c r="HLI3" t="str">
        <f>IFERROR(IF($C3="","",SUMIFS(Ledger!$K$2:$K$4, Ledger!$B$2:$B$4, $A3, Ledger!$C$2:$C$4, HLI$2)),"****")</f>
        <v/>
      </c>
      <c r="HLJ3" t="str">
        <f>IFERROR(IF($C3="","",SUMIFS(Ledger!$K$2:$K$4, Ledger!$B$2:$B$4, $A3, Ledger!$C$2:$C$4, HLJ$2)),"****")</f>
        <v/>
      </c>
      <c r="HLK3" t="str">
        <f>IFERROR(IF($C3="","",SUMIFS(Ledger!$K$2:$K$4, Ledger!$B$2:$B$4, $A3, Ledger!$C$2:$C$4, HLK$2)),"****")</f>
        <v/>
      </c>
      <c r="HLL3" t="str">
        <f>IFERROR(IF($C3="","",SUMIFS(Ledger!$K$2:$K$4, Ledger!$B$2:$B$4, $A3, Ledger!$C$2:$C$4, HLL$2)),"****")</f>
        <v/>
      </c>
      <c r="HLM3" t="str">
        <f>IFERROR(IF($C3="","",SUMIFS(Ledger!$K$2:$K$4, Ledger!$B$2:$B$4, $A3, Ledger!$C$2:$C$4, HLM$2)),"****")</f>
        <v/>
      </c>
      <c r="HLN3" t="str">
        <f>IFERROR(IF($C3="","",SUMIFS(Ledger!$K$2:$K$4, Ledger!$B$2:$B$4, $A3, Ledger!$C$2:$C$4, HLN$2)),"****")</f>
        <v/>
      </c>
      <c r="HLO3" t="str">
        <f>IFERROR(IF($C3="","",SUMIFS(Ledger!$K$2:$K$4, Ledger!$B$2:$B$4, $A3, Ledger!$C$2:$C$4, HLO$2)),"****")</f>
        <v/>
      </c>
      <c r="HLP3" t="str">
        <f>IFERROR(IF($C3="","",SUMIFS(Ledger!$K$2:$K$4, Ledger!$B$2:$B$4, $A3, Ledger!$C$2:$C$4, HLP$2)),"****")</f>
        <v/>
      </c>
      <c r="HLQ3" t="str">
        <f>IFERROR(IF($C3="","",SUMIFS(Ledger!$K$2:$K$4, Ledger!$B$2:$B$4, $A3, Ledger!$C$2:$C$4, HLQ$2)),"****")</f>
        <v/>
      </c>
      <c r="HLR3" t="str">
        <f>IFERROR(IF($C3="","",SUMIFS(Ledger!$K$2:$K$4, Ledger!$B$2:$B$4, $A3, Ledger!$C$2:$C$4, HLR$2)),"****")</f>
        <v/>
      </c>
      <c r="HLS3" t="str">
        <f>IFERROR(IF($C3="","",SUMIFS(Ledger!$K$2:$K$4, Ledger!$B$2:$B$4, $A3, Ledger!$C$2:$C$4, HLS$2)),"****")</f>
        <v/>
      </c>
      <c r="HLT3" t="str">
        <f>IFERROR(IF($C3="","",SUMIFS(Ledger!$K$2:$K$4, Ledger!$B$2:$B$4, $A3, Ledger!$C$2:$C$4, HLT$2)),"****")</f>
        <v/>
      </c>
      <c r="HLU3" t="str">
        <f>IFERROR(IF($C3="","",SUMIFS(Ledger!$K$2:$K$4, Ledger!$B$2:$B$4, $A3, Ledger!$C$2:$C$4, HLU$2)),"****")</f>
        <v/>
      </c>
      <c r="HLV3" t="str">
        <f>IFERROR(IF($C3="","",SUMIFS(Ledger!$K$2:$K$4, Ledger!$B$2:$B$4, $A3, Ledger!$C$2:$C$4, HLV$2)),"****")</f>
        <v/>
      </c>
      <c r="HLW3" t="str">
        <f>IFERROR(IF($C3="","",SUMIFS(Ledger!$K$2:$K$4, Ledger!$B$2:$B$4, $A3, Ledger!$C$2:$C$4, HLW$2)),"****")</f>
        <v/>
      </c>
      <c r="HLX3" t="str">
        <f>IFERROR(IF($C3="","",SUMIFS(Ledger!$K$2:$K$4, Ledger!$B$2:$B$4, $A3, Ledger!$C$2:$C$4, HLX$2)),"****")</f>
        <v/>
      </c>
      <c r="HLY3" t="str">
        <f>IFERROR(IF($C3="","",SUMIFS(Ledger!$K$2:$K$4, Ledger!$B$2:$B$4, $A3, Ledger!$C$2:$C$4, HLY$2)),"****")</f>
        <v/>
      </c>
      <c r="HLZ3" t="str">
        <f>IFERROR(IF($C3="","",SUMIFS(Ledger!$K$2:$K$4, Ledger!$B$2:$B$4, $A3, Ledger!$C$2:$C$4, HLZ$2)),"****")</f>
        <v/>
      </c>
      <c r="HMA3" t="str">
        <f>IFERROR(IF($C3="","",SUMIFS(Ledger!$K$2:$K$4, Ledger!$B$2:$B$4, $A3, Ledger!$C$2:$C$4, HMA$2)),"****")</f>
        <v/>
      </c>
      <c r="HMB3" t="str">
        <f>IFERROR(IF($C3="","",SUMIFS(Ledger!$K$2:$K$4, Ledger!$B$2:$B$4, $A3, Ledger!$C$2:$C$4, HMB$2)),"****")</f>
        <v/>
      </c>
      <c r="HMC3" t="str">
        <f>IFERROR(IF($C3="","",SUMIFS(Ledger!$K$2:$K$4, Ledger!$B$2:$B$4, $A3, Ledger!$C$2:$C$4, HMC$2)),"****")</f>
        <v/>
      </c>
      <c r="HMD3" t="str">
        <f>IFERROR(IF($C3="","",SUMIFS(Ledger!$K$2:$K$4, Ledger!$B$2:$B$4, $A3, Ledger!$C$2:$C$4, HMD$2)),"****")</f>
        <v/>
      </c>
      <c r="HME3" t="str">
        <f>IFERROR(IF($C3="","",SUMIFS(Ledger!$K$2:$K$4, Ledger!$B$2:$B$4, $A3, Ledger!$C$2:$C$4, HME$2)),"****")</f>
        <v/>
      </c>
      <c r="HMF3" t="str">
        <f>IFERROR(IF($C3="","",SUMIFS(Ledger!$K$2:$K$4, Ledger!$B$2:$B$4, $A3, Ledger!$C$2:$C$4, HMF$2)),"****")</f>
        <v/>
      </c>
      <c r="HMG3" t="str">
        <f>IFERROR(IF($C3="","",SUMIFS(Ledger!$K$2:$K$4, Ledger!$B$2:$B$4, $A3, Ledger!$C$2:$C$4, HMG$2)),"****")</f>
        <v/>
      </c>
      <c r="HMH3" t="str">
        <f>IFERROR(IF($C3="","",SUMIFS(Ledger!$K$2:$K$4, Ledger!$B$2:$B$4, $A3, Ledger!$C$2:$C$4, HMH$2)),"****")</f>
        <v/>
      </c>
      <c r="HMI3" t="str">
        <f>IFERROR(IF($C3="","",SUMIFS(Ledger!$K$2:$K$4, Ledger!$B$2:$B$4, $A3, Ledger!$C$2:$C$4, HMI$2)),"****")</f>
        <v/>
      </c>
      <c r="HMJ3" t="str">
        <f>IFERROR(IF($C3="","",SUMIFS(Ledger!$K$2:$K$4, Ledger!$B$2:$B$4, $A3, Ledger!$C$2:$C$4, HMJ$2)),"****")</f>
        <v/>
      </c>
      <c r="HMK3" t="str">
        <f>IFERROR(IF($C3="","",SUMIFS(Ledger!$K$2:$K$4, Ledger!$B$2:$B$4, $A3, Ledger!$C$2:$C$4, HMK$2)),"****")</f>
        <v/>
      </c>
      <c r="HML3" t="str">
        <f>IFERROR(IF($C3="","",SUMIFS(Ledger!$K$2:$K$4, Ledger!$B$2:$B$4, $A3, Ledger!$C$2:$C$4, HML$2)),"****")</f>
        <v/>
      </c>
      <c r="HMM3" t="str">
        <f>IFERROR(IF($C3="","",SUMIFS(Ledger!$K$2:$K$4, Ledger!$B$2:$B$4, $A3, Ledger!$C$2:$C$4, HMM$2)),"****")</f>
        <v/>
      </c>
      <c r="HMN3" t="str">
        <f>IFERROR(IF($C3="","",SUMIFS(Ledger!$K$2:$K$4, Ledger!$B$2:$B$4, $A3, Ledger!$C$2:$C$4, HMN$2)),"****")</f>
        <v/>
      </c>
      <c r="HMO3" t="str">
        <f>IFERROR(IF($C3="","",SUMIFS(Ledger!$K$2:$K$4, Ledger!$B$2:$B$4, $A3, Ledger!$C$2:$C$4, HMO$2)),"****")</f>
        <v/>
      </c>
      <c r="HMP3" t="str">
        <f>IFERROR(IF($C3="","",SUMIFS(Ledger!$K$2:$K$4, Ledger!$B$2:$B$4, $A3, Ledger!$C$2:$C$4, HMP$2)),"****")</f>
        <v/>
      </c>
      <c r="HMQ3" t="str">
        <f>IFERROR(IF($C3="","",SUMIFS(Ledger!$K$2:$K$4, Ledger!$B$2:$B$4, $A3, Ledger!$C$2:$C$4, HMQ$2)),"****")</f>
        <v/>
      </c>
      <c r="HMR3" t="str">
        <f>IFERROR(IF($C3="","",SUMIFS(Ledger!$K$2:$K$4, Ledger!$B$2:$B$4, $A3, Ledger!$C$2:$C$4, HMR$2)),"****")</f>
        <v/>
      </c>
      <c r="HMS3" t="str">
        <f>IFERROR(IF($C3="","",SUMIFS(Ledger!$K$2:$K$4, Ledger!$B$2:$B$4, $A3, Ledger!$C$2:$C$4, HMS$2)),"****")</f>
        <v/>
      </c>
      <c r="HMT3" t="str">
        <f>IFERROR(IF($C3="","",SUMIFS(Ledger!$K$2:$K$4, Ledger!$B$2:$B$4, $A3, Ledger!$C$2:$C$4, HMT$2)),"****")</f>
        <v/>
      </c>
      <c r="HMU3" t="str">
        <f>IFERROR(IF($C3="","",SUMIFS(Ledger!$K$2:$K$4, Ledger!$B$2:$B$4, $A3, Ledger!$C$2:$C$4, HMU$2)),"****")</f>
        <v/>
      </c>
      <c r="HMV3" t="str">
        <f>IFERROR(IF($C3="","",SUMIFS(Ledger!$K$2:$K$4, Ledger!$B$2:$B$4, $A3, Ledger!$C$2:$C$4, HMV$2)),"****")</f>
        <v/>
      </c>
      <c r="HMW3" t="str">
        <f>IFERROR(IF($C3="","",SUMIFS(Ledger!$K$2:$K$4, Ledger!$B$2:$B$4, $A3, Ledger!$C$2:$C$4, HMW$2)),"****")</f>
        <v/>
      </c>
      <c r="HMX3" t="str">
        <f>IFERROR(IF($C3="","",SUMIFS(Ledger!$K$2:$K$4, Ledger!$B$2:$B$4, $A3, Ledger!$C$2:$C$4, HMX$2)),"****")</f>
        <v/>
      </c>
      <c r="HMY3" t="str">
        <f>IFERROR(IF($C3="","",SUMIFS(Ledger!$K$2:$K$4, Ledger!$B$2:$B$4, $A3, Ledger!$C$2:$C$4, HMY$2)),"****")</f>
        <v/>
      </c>
      <c r="HMZ3" t="str">
        <f>IFERROR(IF($C3="","",SUMIFS(Ledger!$K$2:$K$4, Ledger!$B$2:$B$4, $A3, Ledger!$C$2:$C$4, HMZ$2)),"****")</f>
        <v/>
      </c>
      <c r="HNA3" t="str">
        <f>IFERROR(IF($C3="","",SUMIFS(Ledger!$K$2:$K$4, Ledger!$B$2:$B$4, $A3, Ledger!$C$2:$C$4, HNA$2)),"****")</f>
        <v/>
      </c>
      <c r="HNB3" t="str">
        <f>IFERROR(IF($C3="","",SUMIFS(Ledger!$K$2:$K$4, Ledger!$B$2:$B$4, $A3, Ledger!$C$2:$C$4, HNB$2)),"****")</f>
        <v/>
      </c>
      <c r="HNC3" t="str">
        <f>IFERROR(IF($C3="","",SUMIFS(Ledger!$K$2:$K$4, Ledger!$B$2:$B$4, $A3, Ledger!$C$2:$C$4, HNC$2)),"****")</f>
        <v/>
      </c>
      <c r="HND3" t="str">
        <f>IFERROR(IF($C3="","",SUMIFS(Ledger!$K$2:$K$4, Ledger!$B$2:$B$4, $A3, Ledger!$C$2:$C$4, HND$2)),"****")</f>
        <v/>
      </c>
      <c r="HNE3" t="str">
        <f>IFERROR(IF($C3="","",SUMIFS(Ledger!$K$2:$K$4, Ledger!$B$2:$B$4, $A3, Ledger!$C$2:$C$4, HNE$2)),"****")</f>
        <v/>
      </c>
      <c r="HNF3" t="str">
        <f>IFERROR(IF($C3="","",SUMIFS(Ledger!$K$2:$K$4, Ledger!$B$2:$B$4, $A3, Ledger!$C$2:$C$4, HNF$2)),"****")</f>
        <v/>
      </c>
      <c r="HNG3" t="str">
        <f>IFERROR(IF($C3="","",SUMIFS(Ledger!$K$2:$K$4, Ledger!$B$2:$B$4, $A3, Ledger!$C$2:$C$4, HNG$2)),"****")</f>
        <v/>
      </c>
      <c r="HNH3" t="str">
        <f>IFERROR(IF($C3="","",SUMIFS(Ledger!$K$2:$K$4, Ledger!$B$2:$B$4, $A3, Ledger!$C$2:$C$4, HNH$2)),"****")</f>
        <v/>
      </c>
      <c r="HNI3" t="str">
        <f>IFERROR(IF($C3="","",SUMIFS(Ledger!$K$2:$K$4, Ledger!$B$2:$B$4, $A3, Ledger!$C$2:$C$4, HNI$2)),"****")</f>
        <v/>
      </c>
      <c r="HNJ3" t="str">
        <f>IFERROR(IF($C3="","",SUMIFS(Ledger!$K$2:$K$4, Ledger!$B$2:$B$4, $A3, Ledger!$C$2:$C$4, HNJ$2)),"****")</f>
        <v/>
      </c>
      <c r="HNK3" t="str">
        <f>IFERROR(IF($C3="","",SUMIFS(Ledger!$K$2:$K$4, Ledger!$B$2:$B$4, $A3, Ledger!$C$2:$C$4, HNK$2)),"****")</f>
        <v/>
      </c>
      <c r="HNL3" t="str">
        <f>IFERROR(IF($C3="","",SUMIFS(Ledger!$K$2:$K$4, Ledger!$B$2:$B$4, $A3, Ledger!$C$2:$C$4, HNL$2)),"****")</f>
        <v/>
      </c>
      <c r="HNM3" t="str">
        <f>IFERROR(IF($C3="","",SUMIFS(Ledger!$K$2:$K$4, Ledger!$B$2:$B$4, $A3, Ledger!$C$2:$C$4, HNM$2)),"****")</f>
        <v/>
      </c>
      <c r="HNN3" t="str">
        <f>IFERROR(IF($C3="","",SUMIFS(Ledger!$K$2:$K$4, Ledger!$B$2:$B$4, $A3, Ledger!$C$2:$C$4, HNN$2)),"****")</f>
        <v/>
      </c>
      <c r="HNO3" t="str">
        <f>IFERROR(IF($C3="","",SUMIFS(Ledger!$K$2:$K$4, Ledger!$B$2:$B$4, $A3, Ledger!$C$2:$C$4, HNO$2)),"****")</f>
        <v/>
      </c>
      <c r="HNP3" t="str">
        <f>IFERROR(IF($C3="","",SUMIFS(Ledger!$K$2:$K$4, Ledger!$B$2:$B$4, $A3, Ledger!$C$2:$C$4, HNP$2)),"****")</f>
        <v/>
      </c>
      <c r="HNQ3" t="str">
        <f>IFERROR(IF($C3="","",SUMIFS(Ledger!$K$2:$K$4, Ledger!$B$2:$B$4, $A3, Ledger!$C$2:$C$4, HNQ$2)),"****")</f>
        <v/>
      </c>
      <c r="HNR3" t="str">
        <f>IFERROR(IF($C3="","",SUMIFS(Ledger!$K$2:$K$4, Ledger!$B$2:$B$4, $A3, Ledger!$C$2:$C$4, HNR$2)),"****")</f>
        <v/>
      </c>
      <c r="HNS3" t="str">
        <f>IFERROR(IF($C3="","",SUMIFS(Ledger!$K$2:$K$4, Ledger!$B$2:$B$4, $A3, Ledger!$C$2:$C$4, HNS$2)),"****")</f>
        <v/>
      </c>
      <c r="HNT3" t="str">
        <f>IFERROR(IF($C3="","",SUMIFS(Ledger!$K$2:$K$4, Ledger!$B$2:$B$4, $A3, Ledger!$C$2:$C$4, HNT$2)),"****")</f>
        <v/>
      </c>
      <c r="HNU3" t="str">
        <f>IFERROR(IF($C3="","",SUMIFS(Ledger!$K$2:$K$4, Ledger!$B$2:$B$4, $A3, Ledger!$C$2:$C$4, HNU$2)),"****")</f>
        <v/>
      </c>
      <c r="HNV3" t="str">
        <f>IFERROR(IF($C3="","",SUMIFS(Ledger!$K$2:$K$4, Ledger!$B$2:$B$4, $A3, Ledger!$C$2:$C$4, HNV$2)),"****")</f>
        <v/>
      </c>
      <c r="HNW3" t="str">
        <f>IFERROR(IF($C3="","",SUMIFS(Ledger!$K$2:$K$4, Ledger!$B$2:$B$4, $A3, Ledger!$C$2:$C$4, HNW$2)),"****")</f>
        <v/>
      </c>
      <c r="HNX3" t="str">
        <f>IFERROR(IF($C3="","",SUMIFS(Ledger!$K$2:$K$4, Ledger!$B$2:$B$4, $A3, Ledger!$C$2:$C$4, HNX$2)),"****")</f>
        <v/>
      </c>
      <c r="HNY3" t="str">
        <f>IFERROR(IF($C3="","",SUMIFS(Ledger!$K$2:$K$4, Ledger!$B$2:$B$4, $A3, Ledger!$C$2:$C$4, HNY$2)),"****")</f>
        <v/>
      </c>
      <c r="HNZ3" t="str">
        <f>IFERROR(IF($C3="","",SUMIFS(Ledger!$K$2:$K$4, Ledger!$B$2:$B$4, $A3, Ledger!$C$2:$C$4, HNZ$2)),"****")</f>
        <v/>
      </c>
      <c r="HOA3" t="str">
        <f>IFERROR(IF($C3="","",SUMIFS(Ledger!$K$2:$K$4, Ledger!$B$2:$B$4, $A3, Ledger!$C$2:$C$4, HOA$2)),"****")</f>
        <v/>
      </c>
      <c r="HOB3" t="str">
        <f>IFERROR(IF($C3="","",SUMIFS(Ledger!$K$2:$K$4, Ledger!$B$2:$B$4, $A3, Ledger!$C$2:$C$4, HOB$2)),"****")</f>
        <v/>
      </c>
      <c r="HOC3" t="str">
        <f>IFERROR(IF($C3="","",SUMIFS(Ledger!$K$2:$K$4, Ledger!$B$2:$B$4, $A3, Ledger!$C$2:$C$4, HOC$2)),"****")</f>
        <v/>
      </c>
      <c r="HOD3" t="str">
        <f>IFERROR(IF($C3="","",SUMIFS(Ledger!$K$2:$K$4, Ledger!$B$2:$B$4, $A3, Ledger!$C$2:$C$4, HOD$2)),"****")</f>
        <v/>
      </c>
      <c r="HOE3" t="str">
        <f>IFERROR(IF($C3="","",SUMIFS(Ledger!$K$2:$K$4, Ledger!$B$2:$B$4, $A3, Ledger!$C$2:$C$4, HOE$2)),"****")</f>
        <v/>
      </c>
      <c r="HOF3" t="str">
        <f>IFERROR(IF($C3="","",SUMIFS(Ledger!$K$2:$K$4, Ledger!$B$2:$B$4, $A3, Ledger!$C$2:$C$4, HOF$2)),"****")</f>
        <v/>
      </c>
      <c r="HOG3" t="str">
        <f>IFERROR(IF($C3="","",SUMIFS(Ledger!$K$2:$K$4, Ledger!$B$2:$B$4, $A3, Ledger!$C$2:$C$4, HOG$2)),"****")</f>
        <v/>
      </c>
      <c r="HOH3" t="str">
        <f>IFERROR(IF($C3="","",SUMIFS(Ledger!$K$2:$K$4, Ledger!$B$2:$B$4, $A3, Ledger!$C$2:$C$4, HOH$2)),"****")</f>
        <v/>
      </c>
      <c r="HOI3" t="str">
        <f>IFERROR(IF($C3="","",SUMIFS(Ledger!$K$2:$K$4, Ledger!$B$2:$B$4, $A3, Ledger!$C$2:$C$4, HOI$2)),"****")</f>
        <v/>
      </c>
      <c r="HOJ3" t="str">
        <f>IFERROR(IF($C3="","",SUMIFS(Ledger!$K$2:$K$4, Ledger!$B$2:$B$4, $A3, Ledger!$C$2:$C$4, HOJ$2)),"****")</f>
        <v/>
      </c>
      <c r="HOK3" t="str">
        <f>IFERROR(IF($C3="","",SUMIFS(Ledger!$K$2:$K$4, Ledger!$B$2:$B$4, $A3, Ledger!$C$2:$C$4, HOK$2)),"****")</f>
        <v/>
      </c>
      <c r="HOL3" t="str">
        <f>IFERROR(IF($C3="","",SUMIFS(Ledger!$K$2:$K$4, Ledger!$B$2:$B$4, $A3, Ledger!$C$2:$C$4, HOL$2)),"****")</f>
        <v/>
      </c>
      <c r="HOM3" t="str">
        <f>IFERROR(IF($C3="","",SUMIFS(Ledger!$K$2:$K$4, Ledger!$B$2:$B$4, $A3, Ledger!$C$2:$C$4, HOM$2)),"****")</f>
        <v/>
      </c>
      <c r="HON3" t="str">
        <f>IFERROR(IF($C3="","",SUMIFS(Ledger!$K$2:$K$4, Ledger!$B$2:$B$4, $A3, Ledger!$C$2:$C$4, HON$2)),"****")</f>
        <v/>
      </c>
      <c r="HOO3" t="str">
        <f>IFERROR(IF($C3="","",SUMIFS(Ledger!$K$2:$K$4, Ledger!$B$2:$B$4, $A3, Ledger!$C$2:$C$4, HOO$2)),"****")</f>
        <v/>
      </c>
      <c r="HOP3" t="str">
        <f>IFERROR(IF($C3="","",SUMIFS(Ledger!$K$2:$K$4, Ledger!$B$2:$B$4, $A3, Ledger!$C$2:$C$4, HOP$2)),"****")</f>
        <v/>
      </c>
      <c r="HOQ3" t="str">
        <f>IFERROR(IF($C3="","",SUMIFS(Ledger!$K$2:$K$4, Ledger!$B$2:$B$4, $A3, Ledger!$C$2:$C$4, HOQ$2)),"****")</f>
        <v/>
      </c>
      <c r="HOR3" t="str">
        <f>IFERROR(IF($C3="","",SUMIFS(Ledger!$K$2:$K$4, Ledger!$B$2:$B$4, $A3, Ledger!$C$2:$C$4, HOR$2)),"****")</f>
        <v/>
      </c>
      <c r="HOS3" t="str">
        <f>IFERROR(IF($C3="","",SUMIFS(Ledger!$K$2:$K$4, Ledger!$B$2:$B$4, $A3, Ledger!$C$2:$C$4, HOS$2)),"****")</f>
        <v/>
      </c>
      <c r="HOT3" t="str">
        <f>IFERROR(IF($C3="","",SUMIFS(Ledger!$K$2:$K$4, Ledger!$B$2:$B$4, $A3, Ledger!$C$2:$C$4, HOT$2)),"****")</f>
        <v/>
      </c>
      <c r="HOU3" t="str">
        <f>IFERROR(IF($C3="","",SUMIFS(Ledger!$K$2:$K$4, Ledger!$B$2:$B$4, $A3, Ledger!$C$2:$C$4, HOU$2)),"****")</f>
        <v/>
      </c>
      <c r="HOV3" t="str">
        <f>IFERROR(IF($C3="","",SUMIFS(Ledger!$K$2:$K$4, Ledger!$B$2:$B$4, $A3, Ledger!$C$2:$C$4, HOV$2)),"****")</f>
        <v/>
      </c>
      <c r="HOW3" t="str">
        <f>IFERROR(IF($C3="","",SUMIFS(Ledger!$K$2:$K$4, Ledger!$B$2:$B$4, $A3, Ledger!$C$2:$C$4, HOW$2)),"****")</f>
        <v/>
      </c>
      <c r="HOX3" t="str">
        <f>IFERROR(IF($C3="","",SUMIFS(Ledger!$K$2:$K$4, Ledger!$B$2:$B$4, $A3, Ledger!$C$2:$C$4, HOX$2)),"****")</f>
        <v/>
      </c>
      <c r="HOY3" t="str">
        <f>IFERROR(IF($C3="","",SUMIFS(Ledger!$K$2:$K$4, Ledger!$B$2:$B$4, $A3, Ledger!$C$2:$C$4, HOY$2)),"****")</f>
        <v/>
      </c>
      <c r="HOZ3" t="str">
        <f>IFERROR(IF($C3="","",SUMIFS(Ledger!$K$2:$K$4, Ledger!$B$2:$B$4, $A3, Ledger!$C$2:$C$4, HOZ$2)),"****")</f>
        <v/>
      </c>
      <c r="HPA3" t="str">
        <f>IFERROR(IF($C3="","",SUMIFS(Ledger!$K$2:$K$4, Ledger!$B$2:$B$4, $A3, Ledger!$C$2:$C$4, HPA$2)),"****")</f>
        <v/>
      </c>
      <c r="HPB3" t="str">
        <f>IFERROR(IF($C3="","",SUMIFS(Ledger!$K$2:$K$4, Ledger!$B$2:$B$4, $A3, Ledger!$C$2:$C$4, HPB$2)),"****")</f>
        <v/>
      </c>
      <c r="HPC3" t="str">
        <f>IFERROR(IF($C3="","",SUMIFS(Ledger!$K$2:$K$4, Ledger!$B$2:$B$4, $A3, Ledger!$C$2:$C$4, HPC$2)),"****")</f>
        <v/>
      </c>
      <c r="HPD3" t="str">
        <f>IFERROR(IF($C3="","",SUMIFS(Ledger!$K$2:$K$4, Ledger!$B$2:$B$4, $A3, Ledger!$C$2:$C$4, HPD$2)),"****")</f>
        <v/>
      </c>
      <c r="HPE3" t="str">
        <f>IFERROR(IF($C3="","",SUMIFS(Ledger!$K$2:$K$4, Ledger!$B$2:$B$4, $A3, Ledger!$C$2:$C$4, HPE$2)),"****")</f>
        <v/>
      </c>
      <c r="HPF3" t="str">
        <f>IFERROR(IF($C3="","",SUMIFS(Ledger!$K$2:$K$4, Ledger!$B$2:$B$4, $A3, Ledger!$C$2:$C$4, HPF$2)),"****")</f>
        <v/>
      </c>
      <c r="HPG3" t="str">
        <f>IFERROR(IF($C3="","",SUMIFS(Ledger!$K$2:$K$4, Ledger!$B$2:$B$4, $A3, Ledger!$C$2:$C$4, HPG$2)),"****")</f>
        <v/>
      </c>
      <c r="HPH3" t="str">
        <f>IFERROR(IF($C3="","",SUMIFS(Ledger!$K$2:$K$4, Ledger!$B$2:$B$4, $A3, Ledger!$C$2:$C$4, HPH$2)),"****")</f>
        <v/>
      </c>
      <c r="HPI3" t="str">
        <f>IFERROR(IF($C3="","",SUMIFS(Ledger!$K$2:$K$4, Ledger!$B$2:$B$4, $A3, Ledger!$C$2:$C$4, HPI$2)),"****")</f>
        <v/>
      </c>
      <c r="HPJ3" t="str">
        <f>IFERROR(IF($C3="","",SUMIFS(Ledger!$K$2:$K$4, Ledger!$B$2:$B$4, $A3, Ledger!$C$2:$C$4, HPJ$2)),"****")</f>
        <v/>
      </c>
      <c r="HPK3" t="str">
        <f>IFERROR(IF($C3="","",SUMIFS(Ledger!$K$2:$K$4, Ledger!$B$2:$B$4, $A3, Ledger!$C$2:$C$4, HPK$2)),"****")</f>
        <v/>
      </c>
      <c r="HPL3" t="str">
        <f>IFERROR(IF($C3="","",SUMIFS(Ledger!$K$2:$K$4, Ledger!$B$2:$B$4, $A3, Ledger!$C$2:$C$4, HPL$2)),"****")</f>
        <v/>
      </c>
      <c r="HPM3" t="str">
        <f>IFERROR(IF($C3="","",SUMIFS(Ledger!$K$2:$K$4, Ledger!$B$2:$B$4, $A3, Ledger!$C$2:$C$4, HPM$2)),"****")</f>
        <v/>
      </c>
      <c r="HPN3" t="str">
        <f>IFERROR(IF($C3="","",SUMIFS(Ledger!$K$2:$K$4, Ledger!$B$2:$B$4, $A3, Ledger!$C$2:$C$4, HPN$2)),"****")</f>
        <v/>
      </c>
      <c r="HPO3" t="str">
        <f>IFERROR(IF($C3="","",SUMIFS(Ledger!$K$2:$K$4, Ledger!$B$2:$B$4, $A3, Ledger!$C$2:$C$4, HPO$2)),"****")</f>
        <v/>
      </c>
      <c r="HPP3" t="str">
        <f>IFERROR(IF($C3="","",SUMIFS(Ledger!$K$2:$K$4, Ledger!$B$2:$B$4, $A3, Ledger!$C$2:$C$4, HPP$2)),"****")</f>
        <v/>
      </c>
      <c r="HPQ3" t="str">
        <f>IFERROR(IF($C3="","",SUMIFS(Ledger!$K$2:$K$4, Ledger!$B$2:$B$4, $A3, Ledger!$C$2:$C$4, HPQ$2)),"****")</f>
        <v/>
      </c>
      <c r="HPR3" t="str">
        <f>IFERROR(IF($C3="","",SUMIFS(Ledger!$K$2:$K$4, Ledger!$B$2:$B$4, $A3, Ledger!$C$2:$C$4, HPR$2)),"****")</f>
        <v/>
      </c>
      <c r="HPS3" t="str">
        <f>IFERROR(IF($C3="","",SUMIFS(Ledger!$K$2:$K$4, Ledger!$B$2:$B$4, $A3, Ledger!$C$2:$C$4, HPS$2)),"****")</f>
        <v/>
      </c>
      <c r="HPT3" t="str">
        <f>IFERROR(IF($C3="","",SUMIFS(Ledger!$K$2:$K$4, Ledger!$B$2:$B$4, $A3, Ledger!$C$2:$C$4, HPT$2)),"****")</f>
        <v/>
      </c>
      <c r="HPU3" t="str">
        <f>IFERROR(IF($C3="","",SUMIFS(Ledger!$K$2:$K$4, Ledger!$B$2:$B$4, $A3, Ledger!$C$2:$C$4, HPU$2)),"****")</f>
        <v/>
      </c>
      <c r="HPV3" t="str">
        <f>IFERROR(IF($C3="","",SUMIFS(Ledger!$K$2:$K$4, Ledger!$B$2:$B$4, $A3, Ledger!$C$2:$C$4, HPV$2)),"****")</f>
        <v/>
      </c>
      <c r="HPW3" t="str">
        <f>IFERROR(IF($C3="","",SUMIFS(Ledger!$K$2:$K$4, Ledger!$B$2:$B$4, $A3, Ledger!$C$2:$C$4, HPW$2)),"****")</f>
        <v/>
      </c>
      <c r="HPX3" t="str">
        <f>IFERROR(IF($C3="","",SUMIFS(Ledger!$K$2:$K$4, Ledger!$B$2:$B$4, $A3, Ledger!$C$2:$C$4, HPX$2)),"****")</f>
        <v/>
      </c>
      <c r="HPY3" t="str">
        <f>IFERROR(IF($C3="","",SUMIFS(Ledger!$K$2:$K$4, Ledger!$B$2:$B$4, $A3, Ledger!$C$2:$C$4, HPY$2)),"****")</f>
        <v/>
      </c>
      <c r="HPZ3" t="str">
        <f>IFERROR(IF($C3="","",SUMIFS(Ledger!$K$2:$K$4, Ledger!$B$2:$B$4, $A3, Ledger!$C$2:$C$4, HPZ$2)),"****")</f>
        <v/>
      </c>
      <c r="HQA3" t="str">
        <f>IFERROR(IF($C3="","",SUMIFS(Ledger!$K$2:$K$4, Ledger!$B$2:$B$4, $A3, Ledger!$C$2:$C$4, HQA$2)),"****")</f>
        <v/>
      </c>
      <c r="HQB3" t="str">
        <f>IFERROR(IF($C3="","",SUMIFS(Ledger!$K$2:$K$4, Ledger!$B$2:$B$4, $A3, Ledger!$C$2:$C$4, HQB$2)),"****")</f>
        <v/>
      </c>
      <c r="HQC3" t="str">
        <f>IFERROR(IF($C3="","",SUMIFS(Ledger!$K$2:$K$4, Ledger!$B$2:$B$4, $A3, Ledger!$C$2:$C$4, HQC$2)),"****")</f>
        <v/>
      </c>
      <c r="HQD3" t="str">
        <f>IFERROR(IF($C3="","",SUMIFS(Ledger!$K$2:$K$4, Ledger!$B$2:$B$4, $A3, Ledger!$C$2:$C$4, HQD$2)),"****")</f>
        <v/>
      </c>
      <c r="HQE3" t="str">
        <f>IFERROR(IF($C3="","",SUMIFS(Ledger!$K$2:$K$4, Ledger!$B$2:$B$4, $A3, Ledger!$C$2:$C$4, HQE$2)),"****")</f>
        <v/>
      </c>
      <c r="HQF3" t="str">
        <f>IFERROR(IF($C3="","",SUMIFS(Ledger!$K$2:$K$4, Ledger!$B$2:$B$4, $A3, Ledger!$C$2:$C$4, HQF$2)),"****")</f>
        <v/>
      </c>
      <c r="HQG3" t="str">
        <f>IFERROR(IF($C3="","",SUMIFS(Ledger!$K$2:$K$4, Ledger!$B$2:$B$4, $A3, Ledger!$C$2:$C$4, HQG$2)),"****")</f>
        <v/>
      </c>
      <c r="HQH3" t="str">
        <f>IFERROR(IF($C3="","",SUMIFS(Ledger!$K$2:$K$4, Ledger!$B$2:$B$4, $A3, Ledger!$C$2:$C$4, HQH$2)),"****")</f>
        <v/>
      </c>
      <c r="HQI3" t="str">
        <f>IFERROR(IF($C3="","",SUMIFS(Ledger!$K$2:$K$4, Ledger!$B$2:$B$4, $A3, Ledger!$C$2:$C$4, HQI$2)),"****")</f>
        <v/>
      </c>
      <c r="HQJ3" t="str">
        <f>IFERROR(IF($C3="","",SUMIFS(Ledger!$K$2:$K$4, Ledger!$B$2:$B$4, $A3, Ledger!$C$2:$C$4, HQJ$2)),"****")</f>
        <v/>
      </c>
      <c r="HQK3" t="str">
        <f>IFERROR(IF($C3="","",SUMIFS(Ledger!$K$2:$K$4, Ledger!$B$2:$B$4, $A3, Ledger!$C$2:$C$4, HQK$2)),"****")</f>
        <v/>
      </c>
      <c r="HQL3" t="str">
        <f>IFERROR(IF($C3="","",SUMIFS(Ledger!$K$2:$K$4, Ledger!$B$2:$B$4, $A3, Ledger!$C$2:$C$4, HQL$2)),"****")</f>
        <v/>
      </c>
      <c r="HQM3" t="str">
        <f>IFERROR(IF($C3="","",SUMIFS(Ledger!$K$2:$K$4, Ledger!$B$2:$B$4, $A3, Ledger!$C$2:$C$4, HQM$2)),"****")</f>
        <v/>
      </c>
      <c r="HQN3" t="str">
        <f>IFERROR(IF($C3="","",SUMIFS(Ledger!$K$2:$K$4, Ledger!$B$2:$B$4, $A3, Ledger!$C$2:$C$4, HQN$2)),"****")</f>
        <v/>
      </c>
      <c r="HQO3" t="str">
        <f>IFERROR(IF($C3="","",SUMIFS(Ledger!$K$2:$K$4, Ledger!$B$2:$B$4, $A3, Ledger!$C$2:$C$4, HQO$2)),"****")</f>
        <v/>
      </c>
      <c r="HQP3" t="str">
        <f>IFERROR(IF($C3="","",SUMIFS(Ledger!$K$2:$K$4, Ledger!$B$2:$B$4, $A3, Ledger!$C$2:$C$4, HQP$2)),"****")</f>
        <v/>
      </c>
      <c r="HQQ3" t="str">
        <f>IFERROR(IF($C3="","",SUMIFS(Ledger!$K$2:$K$4, Ledger!$B$2:$B$4, $A3, Ledger!$C$2:$C$4, HQQ$2)),"****")</f>
        <v/>
      </c>
      <c r="HQR3" t="str">
        <f>IFERROR(IF($C3="","",SUMIFS(Ledger!$K$2:$K$4, Ledger!$B$2:$B$4, $A3, Ledger!$C$2:$C$4, HQR$2)),"****")</f>
        <v/>
      </c>
      <c r="HQS3" t="str">
        <f>IFERROR(IF($C3="","",SUMIFS(Ledger!$K$2:$K$4, Ledger!$B$2:$B$4, $A3, Ledger!$C$2:$C$4, HQS$2)),"****")</f>
        <v/>
      </c>
      <c r="HQT3" t="str">
        <f>IFERROR(IF($C3="","",SUMIFS(Ledger!$K$2:$K$4, Ledger!$B$2:$B$4, $A3, Ledger!$C$2:$C$4, HQT$2)),"****")</f>
        <v/>
      </c>
      <c r="HQU3" t="str">
        <f>IFERROR(IF($C3="","",SUMIFS(Ledger!$K$2:$K$4, Ledger!$B$2:$B$4, $A3, Ledger!$C$2:$C$4, HQU$2)),"****")</f>
        <v/>
      </c>
      <c r="HQV3" t="str">
        <f>IFERROR(IF($C3="","",SUMIFS(Ledger!$K$2:$K$4, Ledger!$B$2:$B$4, $A3, Ledger!$C$2:$C$4, HQV$2)),"****")</f>
        <v/>
      </c>
      <c r="HQW3" t="str">
        <f>IFERROR(IF($C3="","",SUMIFS(Ledger!$K$2:$K$4, Ledger!$B$2:$B$4, $A3, Ledger!$C$2:$C$4, HQW$2)),"****")</f>
        <v/>
      </c>
      <c r="HQX3" t="str">
        <f>IFERROR(IF($C3="","",SUMIFS(Ledger!$K$2:$K$4, Ledger!$B$2:$B$4, $A3, Ledger!$C$2:$C$4, HQX$2)),"****")</f>
        <v/>
      </c>
      <c r="HQY3" t="str">
        <f>IFERROR(IF($C3="","",SUMIFS(Ledger!$K$2:$K$4, Ledger!$B$2:$B$4, $A3, Ledger!$C$2:$C$4, HQY$2)),"****")</f>
        <v/>
      </c>
      <c r="HQZ3" t="str">
        <f>IFERROR(IF($C3="","",SUMIFS(Ledger!$K$2:$K$4, Ledger!$B$2:$B$4, $A3, Ledger!$C$2:$C$4, HQZ$2)),"****")</f>
        <v/>
      </c>
      <c r="HRA3" t="str">
        <f>IFERROR(IF($C3="","",SUMIFS(Ledger!$K$2:$K$4, Ledger!$B$2:$B$4, $A3, Ledger!$C$2:$C$4, HRA$2)),"****")</f>
        <v/>
      </c>
      <c r="HRB3" t="str">
        <f>IFERROR(IF($C3="","",SUMIFS(Ledger!$K$2:$K$4, Ledger!$B$2:$B$4, $A3, Ledger!$C$2:$C$4, HRB$2)),"****")</f>
        <v/>
      </c>
      <c r="HRC3" t="str">
        <f>IFERROR(IF($C3="","",SUMIFS(Ledger!$K$2:$K$4, Ledger!$B$2:$B$4, $A3, Ledger!$C$2:$C$4, HRC$2)),"****")</f>
        <v/>
      </c>
      <c r="HRD3" t="str">
        <f>IFERROR(IF($C3="","",SUMIFS(Ledger!$K$2:$K$4, Ledger!$B$2:$B$4, $A3, Ledger!$C$2:$C$4, HRD$2)),"****")</f>
        <v/>
      </c>
      <c r="HRE3" t="str">
        <f>IFERROR(IF($C3="","",SUMIFS(Ledger!$K$2:$K$4, Ledger!$B$2:$B$4, $A3, Ledger!$C$2:$C$4, HRE$2)),"****")</f>
        <v/>
      </c>
      <c r="HRF3" t="str">
        <f>IFERROR(IF($C3="","",SUMIFS(Ledger!$K$2:$K$4, Ledger!$B$2:$B$4, $A3, Ledger!$C$2:$C$4, HRF$2)),"****")</f>
        <v/>
      </c>
      <c r="HRG3" t="str">
        <f>IFERROR(IF($C3="","",SUMIFS(Ledger!$K$2:$K$4, Ledger!$B$2:$B$4, $A3, Ledger!$C$2:$C$4, HRG$2)),"****")</f>
        <v/>
      </c>
      <c r="HRH3" t="str">
        <f>IFERROR(IF($C3="","",SUMIFS(Ledger!$K$2:$K$4, Ledger!$B$2:$B$4, $A3, Ledger!$C$2:$C$4, HRH$2)),"****")</f>
        <v/>
      </c>
      <c r="HRI3" t="str">
        <f>IFERROR(IF($C3="","",SUMIFS(Ledger!$K$2:$K$4, Ledger!$B$2:$B$4, $A3, Ledger!$C$2:$C$4, HRI$2)),"****")</f>
        <v/>
      </c>
      <c r="HRJ3" t="str">
        <f>IFERROR(IF($C3="","",SUMIFS(Ledger!$K$2:$K$4, Ledger!$B$2:$B$4, $A3, Ledger!$C$2:$C$4, HRJ$2)),"****")</f>
        <v/>
      </c>
      <c r="HRK3" t="str">
        <f>IFERROR(IF($C3="","",SUMIFS(Ledger!$K$2:$K$4, Ledger!$B$2:$B$4, $A3, Ledger!$C$2:$C$4, HRK$2)),"****")</f>
        <v/>
      </c>
      <c r="HRL3" t="str">
        <f>IFERROR(IF($C3="","",SUMIFS(Ledger!$K$2:$K$4, Ledger!$B$2:$B$4, $A3, Ledger!$C$2:$C$4, HRL$2)),"****")</f>
        <v/>
      </c>
      <c r="HRM3" t="str">
        <f>IFERROR(IF($C3="","",SUMIFS(Ledger!$K$2:$K$4, Ledger!$B$2:$B$4, $A3, Ledger!$C$2:$C$4, HRM$2)),"****")</f>
        <v/>
      </c>
      <c r="HRN3" t="str">
        <f>IFERROR(IF($C3="","",SUMIFS(Ledger!$K$2:$K$4, Ledger!$B$2:$B$4, $A3, Ledger!$C$2:$C$4, HRN$2)),"****")</f>
        <v/>
      </c>
      <c r="HRO3" t="str">
        <f>IFERROR(IF($C3="","",SUMIFS(Ledger!$K$2:$K$4, Ledger!$B$2:$B$4, $A3, Ledger!$C$2:$C$4, HRO$2)),"****")</f>
        <v/>
      </c>
      <c r="HRP3" t="str">
        <f>IFERROR(IF($C3="","",SUMIFS(Ledger!$K$2:$K$4, Ledger!$B$2:$B$4, $A3, Ledger!$C$2:$C$4, HRP$2)),"****")</f>
        <v/>
      </c>
      <c r="HRQ3" t="str">
        <f>IFERROR(IF($C3="","",SUMIFS(Ledger!$K$2:$K$4, Ledger!$B$2:$B$4, $A3, Ledger!$C$2:$C$4, HRQ$2)),"****")</f>
        <v/>
      </c>
      <c r="HRR3" t="str">
        <f>IFERROR(IF($C3="","",SUMIFS(Ledger!$K$2:$K$4, Ledger!$B$2:$B$4, $A3, Ledger!$C$2:$C$4, HRR$2)),"****")</f>
        <v/>
      </c>
      <c r="HRS3" t="str">
        <f>IFERROR(IF($C3="","",SUMIFS(Ledger!$K$2:$K$4, Ledger!$B$2:$B$4, $A3, Ledger!$C$2:$C$4, HRS$2)),"****")</f>
        <v/>
      </c>
      <c r="HRT3" t="str">
        <f>IFERROR(IF($C3="","",SUMIFS(Ledger!$K$2:$K$4, Ledger!$B$2:$B$4, $A3, Ledger!$C$2:$C$4, HRT$2)),"****")</f>
        <v/>
      </c>
      <c r="HRU3" t="str">
        <f>IFERROR(IF($C3="","",SUMIFS(Ledger!$K$2:$K$4, Ledger!$B$2:$B$4, $A3, Ledger!$C$2:$C$4, HRU$2)),"****")</f>
        <v/>
      </c>
      <c r="HRV3" t="str">
        <f>IFERROR(IF($C3="","",SUMIFS(Ledger!$K$2:$K$4, Ledger!$B$2:$B$4, $A3, Ledger!$C$2:$C$4, HRV$2)),"****")</f>
        <v/>
      </c>
      <c r="HRW3" t="str">
        <f>IFERROR(IF($C3="","",SUMIFS(Ledger!$K$2:$K$4, Ledger!$B$2:$B$4, $A3, Ledger!$C$2:$C$4, HRW$2)),"****")</f>
        <v/>
      </c>
      <c r="HRX3" t="str">
        <f>IFERROR(IF($C3="","",SUMIFS(Ledger!$K$2:$K$4, Ledger!$B$2:$B$4, $A3, Ledger!$C$2:$C$4, HRX$2)),"****")</f>
        <v/>
      </c>
      <c r="HRY3" t="str">
        <f>IFERROR(IF($C3="","",SUMIFS(Ledger!$K$2:$K$4, Ledger!$B$2:$B$4, $A3, Ledger!$C$2:$C$4, HRY$2)),"****")</f>
        <v/>
      </c>
      <c r="HRZ3" t="str">
        <f>IFERROR(IF($C3="","",SUMIFS(Ledger!$K$2:$K$4, Ledger!$B$2:$B$4, $A3, Ledger!$C$2:$C$4, HRZ$2)),"****")</f>
        <v/>
      </c>
      <c r="HSA3" t="str">
        <f>IFERROR(IF($C3="","",SUMIFS(Ledger!$K$2:$K$4, Ledger!$B$2:$B$4, $A3, Ledger!$C$2:$C$4, HSA$2)),"****")</f>
        <v/>
      </c>
      <c r="HSB3" t="str">
        <f>IFERROR(IF($C3="","",SUMIFS(Ledger!$K$2:$K$4, Ledger!$B$2:$B$4, $A3, Ledger!$C$2:$C$4, HSB$2)),"****")</f>
        <v/>
      </c>
      <c r="HSC3" t="str">
        <f>IFERROR(IF($C3="","",SUMIFS(Ledger!$K$2:$K$4, Ledger!$B$2:$B$4, $A3, Ledger!$C$2:$C$4, HSC$2)),"****")</f>
        <v/>
      </c>
      <c r="HSD3" t="str">
        <f>IFERROR(IF($C3="","",SUMIFS(Ledger!$K$2:$K$4, Ledger!$B$2:$B$4, $A3, Ledger!$C$2:$C$4, HSD$2)),"****")</f>
        <v/>
      </c>
      <c r="HSE3" t="str">
        <f>IFERROR(IF($C3="","",SUMIFS(Ledger!$K$2:$K$4, Ledger!$B$2:$B$4, $A3, Ledger!$C$2:$C$4, HSE$2)),"****")</f>
        <v/>
      </c>
      <c r="HSF3" t="str">
        <f>IFERROR(IF($C3="","",SUMIFS(Ledger!$K$2:$K$4, Ledger!$B$2:$B$4, $A3, Ledger!$C$2:$C$4, HSF$2)),"****")</f>
        <v/>
      </c>
      <c r="HSG3" t="str">
        <f>IFERROR(IF($C3="","",SUMIFS(Ledger!$K$2:$K$4, Ledger!$B$2:$B$4, $A3, Ledger!$C$2:$C$4, HSG$2)),"****")</f>
        <v/>
      </c>
      <c r="HSH3" t="str">
        <f>IFERROR(IF($C3="","",SUMIFS(Ledger!$K$2:$K$4, Ledger!$B$2:$B$4, $A3, Ledger!$C$2:$C$4, HSH$2)),"****")</f>
        <v/>
      </c>
      <c r="HSI3" t="str">
        <f>IFERROR(IF($C3="","",SUMIFS(Ledger!$K$2:$K$4, Ledger!$B$2:$B$4, $A3, Ledger!$C$2:$C$4, HSI$2)),"****")</f>
        <v/>
      </c>
      <c r="HSJ3" t="str">
        <f>IFERROR(IF($C3="","",SUMIFS(Ledger!$K$2:$K$4, Ledger!$B$2:$B$4, $A3, Ledger!$C$2:$C$4, HSJ$2)),"****")</f>
        <v/>
      </c>
      <c r="HSK3" t="str">
        <f>IFERROR(IF($C3="","",SUMIFS(Ledger!$K$2:$K$4, Ledger!$B$2:$B$4, $A3, Ledger!$C$2:$C$4, HSK$2)),"****")</f>
        <v/>
      </c>
      <c r="HSL3" t="str">
        <f>IFERROR(IF($C3="","",SUMIFS(Ledger!$K$2:$K$4, Ledger!$B$2:$B$4, $A3, Ledger!$C$2:$C$4, HSL$2)),"****")</f>
        <v/>
      </c>
      <c r="HSM3" t="str">
        <f>IFERROR(IF($C3="","",SUMIFS(Ledger!$K$2:$K$4, Ledger!$B$2:$B$4, $A3, Ledger!$C$2:$C$4, HSM$2)),"****")</f>
        <v/>
      </c>
      <c r="HSN3" t="str">
        <f>IFERROR(IF($C3="","",SUMIFS(Ledger!$K$2:$K$4, Ledger!$B$2:$B$4, $A3, Ledger!$C$2:$C$4, HSN$2)),"****")</f>
        <v/>
      </c>
      <c r="HSO3" t="str">
        <f>IFERROR(IF($C3="","",SUMIFS(Ledger!$K$2:$K$4, Ledger!$B$2:$B$4, $A3, Ledger!$C$2:$C$4, HSO$2)),"****")</f>
        <v/>
      </c>
      <c r="HSP3" t="str">
        <f>IFERROR(IF($C3="","",SUMIFS(Ledger!$K$2:$K$4, Ledger!$B$2:$B$4, $A3, Ledger!$C$2:$C$4, HSP$2)),"****")</f>
        <v/>
      </c>
      <c r="HSQ3" t="str">
        <f>IFERROR(IF($C3="","",SUMIFS(Ledger!$K$2:$K$4, Ledger!$B$2:$B$4, $A3, Ledger!$C$2:$C$4, HSQ$2)),"****")</f>
        <v/>
      </c>
      <c r="HSR3" t="str">
        <f>IFERROR(IF($C3="","",SUMIFS(Ledger!$K$2:$K$4, Ledger!$B$2:$B$4, $A3, Ledger!$C$2:$C$4, HSR$2)),"****")</f>
        <v/>
      </c>
      <c r="HSS3" t="str">
        <f>IFERROR(IF($C3="","",SUMIFS(Ledger!$K$2:$K$4, Ledger!$B$2:$B$4, $A3, Ledger!$C$2:$C$4, HSS$2)),"****")</f>
        <v/>
      </c>
      <c r="HST3" t="str">
        <f>IFERROR(IF($C3="","",SUMIFS(Ledger!$K$2:$K$4, Ledger!$B$2:$B$4, $A3, Ledger!$C$2:$C$4, HST$2)),"****")</f>
        <v/>
      </c>
      <c r="HSU3" t="str">
        <f>IFERROR(IF($C3="","",SUMIFS(Ledger!$K$2:$K$4, Ledger!$B$2:$B$4, $A3, Ledger!$C$2:$C$4, HSU$2)),"****")</f>
        <v/>
      </c>
      <c r="HSV3" t="str">
        <f>IFERROR(IF($C3="","",SUMIFS(Ledger!$K$2:$K$4, Ledger!$B$2:$B$4, $A3, Ledger!$C$2:$C$4, HSV$2)),"****")</f>
        <v/>
      </c>
      <c r="HSW3" t="str">
        <f>IFERROR(IF($C3="","",SUMIFS(Ledger!$K$2:$K$4, Ledger!$B$2:$B$4, $A3, Ledger!$C$2:$C$4, HSW$2)),"****")</f>
        <v/>
      </c>
      <c r="HSX3" t="str">
        <f>IFERROR(IF($C3="","",SUMIFS(Ledger!$K$2:$K$4, Ledger!$B$2:$B$4, $A3, Ledger!$C$2:$C$4, HSX$2)),"****")</f>
        <v/>
      </c>
      <c r="HSY3" t="str">
        <f>IFERROR(IF($C3="","",SUMIFS(Ledger!$K$2:$K$4, Ledger!$B$2:$B$4, $A3, Ledger!$C$2:$C$4, HSY$2)),"****")</f>
        <v/>
      </c>
      <c r="HSZ3" t="str">
        <f>IFERROR(IF($C3="","",SUMIFS(Ledger!$K$2:$K$4, Ledger!$B$2:$B$4, $A3, Ledger!$C$2:$C$4, HSZ$2)),"****")</f>
        <v/>
      </c>
      <c r="HTA3" t="str">
        <f>IFERROR(IF($C3="","",SUMIFS(Ledger!$K$2:$K$4, Ledger!$B$2:$B$4, $A3, Ledger!$C$2:$C$4, HTA$2)),"****")</f>
        <v/>
      </c>
      <c r="HTB3" t="str">
        <f>IFERROR(IF($C3="","",SUMIFS(Ledger!$K$2:$K$4, Ledger!$B$2:$B$4, $A3, Ledger!$C$2:$C$4, HTB$2)),"****")</f>
        <v/>
      </c>
      <c r="HTC3" t="str">
        <f>IFERROR(IF($C3="","",SUMIFS(Ledger!$K$2:$K$4, Ledger!$B$2:$B$4, $A3, Ledger!$C$2:$C$4, HTC$2)),"****")</f>
        <v/>
      </c>
      <c r="HTD3" t="str">
        <f>IFERROR(IF($C3="","",SUMIFS(Ledger!$K$2:$K$4, Ledger!$B$2:$B$4, $A3, Ledger!$C$2:$C$4, HTD$2)),"****")</f>
        <v/>
      </c>
      <c r="HTE3" t="str">
        <f>IFERROR(IF($C3="","",SUMIFS(Ledger!$K$2:$K$4, Ledger!$B$2:$B$4, $A3, Ledger!$C$2:$C$4, HTE$2)),"****")</f>
        <v/>
      </c>
      <c r="HTF3" t="str">
        <f>IFERROR(IF($C3="","",SUMIFS(Ledger!$K$2:$K$4, Ledger!$B$2:$B$4, $A3, Ledger!$C$2:$C$4, HTF$2)),"****")</f>
        <v/>
      </c>
      <c r="HTG3" t="str">
        <f>IFERROR(IF($C3="","",SUMIFS(Ledger!$K$2:$K$4, Ledger!$B$2:$B$4, $A3, Ledger!$C$2:$C$4, HTG$2)),"****")</f>
        <v/>
      </c>
      <c r="HTH3" t="str">
        <f>IFERROR(IF($C3="","",SUMIFS(Ledger!$K$2:$K$4, Ledger!$B$2:$B$4, $A3, Ledger!$C$2:$C$4, HTH$2)),"****")</f>
        <v/>
      </c>
      <c r="HTI3" t="str">
        <f>IFERROR(IF($C3="","",SUMIFS(Ledger!$K$2:$K$4, Ledger!$B$2:$B$4, $A3, Ledger!$C$2:$C$4, HTI$2)),"****")</f>
        <v/>
      </c>
      <c r="HTJ3" t="str">
        <f>IFERROR(IF($C3="","",SUMIFS(Ledger!$K$2:$K$4, Ledger!$B$2:$B$4, $A3, Ledger!$C$2:$C$4, HTJ$2)),"****")</f>
        <v/>
      </c>
      <c r="HTK3" t="str">
        <f>IFERROR(IF($C3="","",SUMIFS(Ledger!$K$2:$K$4, Ledger!$B$2:$B$4, $A3, Ledger!$C$2:$C$4, HTK$2)),"****")</f>
        <v/>
      </c>
      <c r="HTL3" t="str">
        <f>IFERROR(IF($C3="","",SUMIFS(Ledger!$K$2:$K$4, Ledger!$B$2:$B$4, $A3, Ledger!$C$2:$C$4, HTL$2)),"****")</f>
        <v/>
      </c>
      <c r="HTM3" t="str">
        <f>IFERROR(IF($C3="","",SUMIFS(Ledger!$K$2:$K$4, Ledger!$B$2:$B$4, $A3, Ledger!$C$2:$C$4, HTM$2)),"****")</f>
        <v/>
      </c>
      <c r="HTN3" t="str">
        <f>IFERROR(IF($C3="","",SUMIFS(Ledger!$K$2:$K$4, Ledger!$B$2:$B$4, $A3, Ledger!$C$2:$C$4, HTN$2)),"****")</f>
        <v/>
      </c>
      <c r="HTO3" t="str">
        <f>IFERROR(IF($C3="","",SUMIFS(Ledger!$K$2:$K$4, Ledger!$B$2:$B$4, $A3, Ledger!$C$2:$C$4, HTO$2)),"****")</f>
        <v/>
      </c>
      <c r="HTP3" t="str">
        <f>IFERROR(IF($C3="","",SUMIFS(Ledger!$K$2:$K$4, Ledger!$B$2:$B$4, $A3, Ledger!$C$2:$C$4, HTP$2)),"****")</f>
        <v/>
      </c>
      <c r="HTQ3" t="str">
        <f>IFERROR(IF($C3="","",SUMIFS(Ledger!$K$2:$K$4, Ledger!$B$2:$B$4, $A3, Ledger!$C$2:$C$4, HTQ$2)),"****")</f>
        <v/>
      </c>
      <c r="HTR3" t="str">
        <f>IFERROR(IF($C3="","",SUMIFS(Ledger!$K$2:$K$4, Ledger!$B$2:$B$4, $A3, Ledger!$C$2:$C$4, HTR$2)),"****")</f>
        <v/>
      </c>
      <c r="HTS3" t="str">
        <f>IFERROR(IF($C3="","",SUMIFS(Ledger!$K$2:$K$4, Ledger!$B$2:$B$4, $A3, Ledger!$C$2:$C$4, HTS$2)),"****")</f>
        <v/>
      </c>
      <c r="HTT3" t="str">
        <f>IFERROR(IF($C3="","",SUMIFS(Ledger!$K$2:$K$4, Ledger!$B$2:$B$4, $A3, Ledger!$C$2:$C$4, HTT$2)),"****")</f>
        <v/>
      </c>
      <c r="HTU3" t="str">
        <f>IFERROR(IF($C3="","",SUMIFS(Ledger!$K$2:$K$4, Ledger!$B$2:$B$4, $A3, Ledger!$C$2:$C$4, HTU$2)),"****")</f>
        <v/>
      </c>
      <c r="HTV3" t="str">
        <f>IFERROR(IF($C3="","",SUMIFS(Ledger!$K$2:$K$4, Ledger!$B$2:$B$4, $A3, Ledger!$C$2:$C$4, HTV$2)),"****")</f>
        <v/>
      </c>
      <c r="HTW3" t="str">
        <f>IFERROR(IF($C3="","",SUMIFS(Ledger!$K$2:$K$4, Ledger!$B$2:$B$4, $A3, Ledger!$C$2:$C$4, HTW$2)),"****")</f>
        <v/>
      </c>
      <c r="HTX3" t="str">
        <f>IFERROR(IF($C3="","",SUMIFS(Ledger!$K$2:$K$4, Ledger!$B$2:$B$4, $A3, Ledger!$C$2:$C$4, HTX$2)),"****")</f>
        <v/>
      </c>
      <c r="HTY3" t="str">
        <f>IFERROR(IF($C3="","",SUMIFS(Ledger!$K$2:$K$4, Ledger!$B$2:$B$4, $A3, Ledger!$C$2:$C$4, HTY$2)),"****")</f>
        <v/>
      </c>
      <c r="HTZ3" t="str">
        <f>IFERROR(IF($C3="","",SUMIFS(Ledger!$K$2:$K$4, Ledger!$B$2:$B$4, $A3, Ledger!$C$2:$C$4, HTZ$2)),"****")</f>
        <v/>
      </c>
      <c r="HUA3" t="str">
        <f>IFERROR(IF($C3="","",SUMIFS(Ledger!$K$2:$K$4, Ledger!$B$2:$B$4, $A3, Ledger!$C$2:$C$4, HUA$2)),"****")</f>
        <v/>
      </c>
      <c r="HUB3" t="str">
        <f>IFERROR(IF($C3="","",SUMIFS(Ledger!$K$2:$K$4, Ledger!$B$2:$B$4, $A3, Ledger!$C$2:$C$4, HUB$2)),"****")</f>
        <v/>
      </c>
      <c r="HUC3" t="str">
        <f>IFERROR(IF($C3="","",SUMIFS(Ledger!$K$2:$K$4, Ledger!$B$2:$B$4, $A3, Ledger!$C$2:$C$4, HUC$2)),"****")</f>
        <v/>
      </c>
      <c r="HUD3" t="str">
        <f>IFERROR(IF($C3="","",SUMIFS(Ledger!$K$2:$K$4, Ledger!$B$2:$B$4, $A3, Ledger!$C$2:$C$4, HUD$2)),"****")</f>
        <v/>
      </c>
      <c r="HUE3" t="str">
        <f>IFERROR(IF($C3="","",SUMIFS(Ledger!$K$2:$K$4, Ledger!$B$2:$B$4, $A3, Ledger!$C$2:$C$4, HUE$2)),"****")</f>
        <v/>
      </c>
      <c r="HUF3" t="str">
        <f>IFERROR(IF($C3="","",SUMIFS(Ledger!$K$2:$K$4, Ledger!$B$2:$B$4, $A3, Ledger!$C$2:$C$4, HUF$2)),"****")</f>
        <v/>
      </c>
      <c r="HUG3" t="str">
        <f>IFERROR(IF($C3="","",SUMIFS(Ledger!$K$2:$K$4, Ledger!$B$2:$B$4, $A3, Ledger!$C$2:$C$4, HUG$2)),"****")</f>
        <v/>
      </c>
      <c r="HUH3" t="str">
        <f>IFERROR(IF($C3="","",SUMIFS(Ledger!$K$2:$K$4, Ledger!$B$2:$B$4, $A3, Ledger!$C$2:$C$4, HUH$2)),"****")</f>
        <v/>
      </c>
      <c r="HUI3" t="str">
        <f>IFERROR(IF($C3="","",SUMIFS(Ledger!$K$2:$K$4, Ledger!$B$2:$B$4, $A3, Ledger!$C$2:$C$4, HUI$2)),"****")</f>
        <v/>
      </c>
      <c r="HUJ3" t="str">
        <f>IFERROR(IF($C3="","",SUMIFS(Ledger!$K$2:$K$4, Ledger!$B$2:$B$4, $A3, Ledger!$C$2:$C$4, HUJ$2)),"****")</f>
        <v/>
      </c>
      <c r="HUK3" t="str">
        <f>IFERROR(IF($C3="","",SUMIFS(Ledger!$K$2:$K$4, Ledger!$B$2:$B$4, $A3, Ledger!$C$2:$C$4, HUK$2)),"****")</f>
        <v/>
      </c>
      <c r="HUL3" t="str">
        <f>IFERROR(IF($C3="","",SUMIFS(Ledger!$K$2:$K$4, Ledger!$B$2:$B$4, $A3, Ledger!$C$2:$C$4, HUL$2)),"****")</f>
        <v/>
      </c>
      <c r="HUM3" t="str">
        <f>IFERROR(IF($C3="","",SUMIFS(Ledger!$K$2:$K$4, Ledger!$B$2:$B$4, $A3, Ledger!$C$2:$C$4, HUM$2)),"****")</f>
        <v/>
      </c>
      <c r="HUN3" t="str">
        <f>IFERROR(IF($C3="","",SUMIFS(Ledger!$K$2:$K$4, Ledger!$B$2:$B$4, $A3, Ledger!$C$2:$C$4, HUN$2)),"****")</f>
        <v/>
      </c>
      <c r="HUO3" t="str">
        <f>IFERROR(IF($C3="","",SUMIFS(Ledger!$K$2:$K$4, Ledger!$B$2:$B$4, $A3, Ledger!$C$2:$C$4, HUO$2)),"****")</f>
        <v/>
      </c>
      <c r="HUP3" t="str">
        <f>IFERROR(IF($C3="","",SUMIFS(Ledger!$K$2:$K$4, Ledger!$B$2:$B$4, $A3, Ledger!$C$2:$C$4, HUP$2)),"****")</f>
        <v/>
      </c>
      <c r="HUQ3" t="str">
        <f>IFERROR(IF($C3="","",SUMIFS(Ledger!$K$2:$K$4, Ledger!$B$2:$B$4, $A3, Ledger!$C$2:$C$4, HUQ$2)),"****")</f>
        <v/>
      </c>
      <c r="HUR3" t="str">
        <f>IFERROR(IF($C3="","",SUMIFS(Ledger!$K$2:$K$4, Ledger!$B$2:$B$4, $A3, Ledger!$C$2:$C$4, HUR$2)),"****")</f>
        <v/>
      </c>
      <c r="HUS3" t="str">
        <f>IFERROR(IF($C3="","",SUMIFS(Ledger!$K$2:$K$4, Ledger!$B$2:$B$4, $A3, Ledger!$C$2:$C$4, HUS$2)),"****")</f>
        <v/>
      </c>
      <c r="HUT3" t="str">
        <f>IFERROR(IF($C3="","",SUMIFS(Ledger!$K$2:$K$4, Ledger!$B$2:$B$4, $A3, Ledger!$C$2:$C$4, HUT$2)),"****")</f>
        <v/>
      </c>
      <c r="HUU3" t="str">
        <f>IFERROR(IF($C3="","",SUMIFS(Ledger!$K$2:$K$4, Ledger!$B$2:$B$4, $A3, Ledger!$C$2:$C$4, HUU$2)),"****")</f>
        <v/>
      </c>
      <c r="HUV3" t="str">
        <f>IFERROR(IF($C3="","",SUMIFS(Ledger!$K$2:$K$4, Ledger!$B$2:$B$4, $A3, Ledger!$C$2:$C$4, HUV$2)),"****")</f>
        <v/>
      </c>
      <c r="HUW3" t="str">
        <f>IFERROR(IF($C3="","",SUMIFS(Ledger!$K$2:$K$4, Ledger!$B$2:$B$4, $A3, Ledger!$C$2:$C$4, HUW$2)),"****")</f>
        <v/>
      </c>
      <c r="HUX3" t="str">
        <f>IFERROR(IF($C3="","",SUMIFS(Ledger!$K$2:$K$4, Ledger!$B$2:$B$4, $A3, Ledger!$C$2:$C$4, HUX$2)),"****")</f>
        <v/>
      </c>
      <c r="HUY3" t="str">
        <f>IFERROR(IF($C3="","",SUMIFS(Ledger!$K$2:$K$4, Ledger!$B$2:$B$4, $A3, Ledger!$C$2:$C$4, HUY$2)),"****")</f>
        <v/>
      </c>
      <c r="HUZ3" t="str">
        <f>IFERROR(IF($C3="","",SUMIFS(Ledger!$K$2:$K$4, Ledger!$B$2:$B$4, $A3, Ledger!$C$2:$C$4, HUZ$2)),"****")</f>
        <v/>
      </c>
      <c r="HVA3" t="str">
        <f>IFERROR(IF($C3="","",SUMIFS(Ledger!$K$2:$K$4, Ledger!$B$2:$B$4, $A3, Ledger!$C$2:$C$4, HVA$2)),"****")</f>
        <v/>
      </c>
      <c r="HVB3" t="str">
        <f>IFERROR(IF($C3="","",SUMIFS(Ledger!$K$2:$K$4, Ledger!$B$2:$B$4, $A3, Ledger!$C$2:$C$4, HVB$2)),"****")</f>
        <v/>
      </c>
      <c r="HVC3" t="str">
        <f>IFERROR(IF($C3="","",SUMIFS(Ledger!$K$2:$K$4, Ledger!$B$2:$B$4, $A3, Ledger!$C$2:$C$4, HVC$2)),"****")</f>
        <v/>
      </c>
      <c r="HVD3" t="str">
        <f>IFERROR(IF($C3="","",SUMIFS(Ledger!$K$2:$K$4, Ledger!$B$2:$B$4, $A3, Ledger!$C$2:$C$4, HVD$2)),"****")</f>
        <v/>
      </c>
      <c r="HVE3" t="str">
        <f>IFERROR(IF($C3="","",SUMIFS(Ledger!$K$2:$K$4, Ledger!$B$2:$B$4, $A3, Ledger!$C$2:$C$4, HVE$2)),"****")</f>
        <v/>
      </c>
      <c r="HVF3" t="str">
        <f>IFERROR(IF($C3="","",SUMIFS(Ledger!$K$2:$K$4, Ledger!$B$2:$B$4, $A3, Ledger!$C$2:$C$4, HVF$2)),"****")</f>
        <v/>
      </c>
      <c r="HVG3" t="str">
        <f>IFERROR(IF($C3="","",SUMIFS(Ledger!$K$2:$K$4, Ledger!$B$2:$B$4, $A3, Ledger!$C$2:$C$4, HVG$2)),"****")</f>
        <v/>
      </c>
      <c r="HVH3" t="str">
        <f>IFERROR(IF($C3="","",SUMIFS(Ledger!$K$2:$K$4, Ledger!$B$2:$B$4, $A3, Ledger!$C$2:$C$4, HVH$2)),"****")</f>
        <v/>
      </c>
      <c r="HVI3" t="str">
        <f>IFERROR(IF($C3="","",SUMIFS(Ledger!$K$2:$K$4, Ledger!$B$2:$B$4, $A3, Ledger!$C$2:$C$4, HVI$2)),"****")</f>
        <v/>
      </c>
      <c r="HVJ3" t="str">
        <f>IFERROR(IF($C3="","",SUMIFS(Ledger!$K$2:$K$4, Ledger!$B$2:$B$4, $A3, Ledger!$C$2:$C$4, HVJ$2)),"****")</f>
        <v/>
      </c>
      <c r="HVK3" t="str">
        <f>IFERROR(IF($C3="","",SUMIFS(Ledger!$K$2:$K$4, Ledger!$B$2:$B$4, $A3, Ledger!$C$2:$C$4, HVK$2)),"****")</f>
        <v/>
      </c>
      <c r="HVL3" t="str">
        <f>IFERROR(IF($C3="","",SUMIFS(Ledger!$K$2:$K$4, Ledger!$B$2:$B$4, $A3, Ledger!$C$2:$C$4, HVL$2)),"****")</f>
        <v/>
      </c>
      <c r="HVM3" t="str">
        <f>IFERROR(IF($C3="","",SUMIFS(Ledger!$K$2:$K$4, Ledger!$B$2:$B$4, $A3, Ledger!$C$2:$C$4, HVM$2)),"****")</f>
        <v/>
      </c>
      <c r="HVN3" t="str">
        <f>IFERROR(IF($C3="","",SUMIFS(Ledger!$K$2:$K$4, Ledger!$B$2:$B$4, $A3, Ledger!$C$2:$C$4, HVN$2)),"****")</f>
        <v/>
      </c>
      <c r="HVO3" t="str">
        <f>IFERROR(IF($C3="","",SUMIFS(Ledger!$K$2:$K$4, Ledger!$B$2:$B$4, $A3, Ledger!$C$2:$C$4, HVO$2)),"****")</f>
        <v/>
      </c>
      <c r="HVP3" t="str">
        <f>IFERROR(IF($C3="","",SUMIFS(Ledger!$K$2:$K$4, Ledger!$B$2:$B$4, $A3, Ledger!$C$2:$C$4, HVP$2)),"****")</f>
        <v/>
      </c>
      <c r="HVQ3" t="str">
        <f>IFERROR(IF($C3="","",SUMIFS(Ledger!$K$2:$K$4, Ledger!$B$2:$B$4, $A3, Ledger!$C$2:$C$4, HVQ$2)),"****")</f>
        <v/>
      </c>
      <c r="HVR3" t="str">
        <f>IFERROR(IF($C3="","",SUMIFS(Ledger!$K$2:$K$4, Ledger!$B$2:$B$4, $A3, Ledger!$C$2:$C$4, HVR$2)),"****")</f>
        <v/>
      </c>
      <c r="HVS3" t="str">
        <f>IFERROR(IF($C3="","",SUMIFS(Ledger!$K$2:$K$4, Ledger!$B$2:$B$4, $A3, Ledger!$C$2:$C$4, HVS$2)),"****")</f>
        <v/>
      </c>
      <c r="HVT3" t="str">
        <f>IFERROR(IF($C3="","",SUMIFS(Ledger!$K$2:$K$4, Ledger!$B$2:$B$4, $A3, Ledger!$C$2:$C$4, HVT$2)),"****")</f>
        <v/>
      </c>
      <c r="HVU3" t="str">
        <f>IFERROR(IF($C3="","",SUMIFS(Ledger!$K$2:$K$4, Ledger!$B$2:$B$4, $A3, Ledger!$C$2:$C$4, HVU$2)),"****")</f>
        <v/>
      </c>
      <c r="HVV3" t="str">
        <f>IFERROR(IF($C3="","",SUMIFS(Ledger!$K$2:$K$4, Ledger!$B$2:$B$4, $A3, Ledger!$C$2:$C$4, HVV$2)),"****")</f>
        <v/>
      </c>
      <c r="HVW3" t="str">
        <f>IFERROR(IF($C3="","",SUMIFS(Ledger!$K$2:$K$4, Ledger!$B$2:$B$4, $A3, Ledger!$C$2:$C$4, HVW$2)),"****")</f>
        <v/>
      </c>
      <c r="HVX3" t="str">
        <f>IFERROR(IF($C3="","",SUMIFS(Ledger!$K$2:$K$4, Ledger!$B$2:$B$4, $A3, Ledger!$C$2:$C$4, HVX$2)),"****")</f>
        <v/>
      </c>
      <c r="HVY3" t="str">
        <f>IFERROR(IF($C3="","",SUMIFS(Ledger!$K$2:$K$4, Ledger!$B$2:$B$4, $A3, Ledger!$C$2:$C$4, HVY$2)),"****")</f>
        <v/>
      </c>
      <c r="HVZ3" t="str">
        <f>IFERROR(IF($C3="","",SUMIFS(Ledger!$K$2:$K$4, Ledger!$B$2:$B$4, $A3, Ledger!$C$2:$C$4, HVZ$2)),"****")</f>
        <v/>
      </c>
      <c r="HWA3" t="str">
        <f>IFERROR(IF($C3="","",SUMIFS(Ledger!$K$2:$K$4, Ledger!$B$2:$B$4, $A3, Ledger!$C$2:$C$4, HWA$2)),"****")</f>
        <v/>
      </c>
      <c r="HWB3" t="str">
        <f>IFERROR(IF($C3="","",SUMIFS(Ledger!$K$2:$K$4, Ledger!$B$2:$B$4, $A3, Ledger!$C$2:$C$4, HWB$2)),"****")</f>
        <v/>
      </c>
      <c r="HWC3" t="str">
        <f>IFERROR(IF($C3="","",SUMIFS(Ledger!$K$2:$K$4, Ledger!$B$2:$B$4, $A3, Ledger!$C$2:$C$4, HWC$2)),"****")</f>
        <v/>
      </c>
      <c r="HWD3" t="str">
        <f>IFERROR(IF($C3="","",SUMIFS(Ledger!$K$2:$K$4, Ledger!$B$2:$B$4, $A3, Ledger!$C$2:$C$4, HWD$2)),"****")</f>
        <v/>
      </c>
      <c r="HWE3" t="str">
        <f>IFERROR(IF($C3="","",SUMIFS(Ledger!$K$2:$K$4, Ledger!$B$2:$B$4, $A3, Ledger!$C$2:$C$4, HWE$2)),"****")</f>
        <v/>
      </c>
      <c r="HWF3" t="str">
        <f>IFERROR(IF($C3="","",SUMIFS(Ledger!$K$2:$K$4, Ledger!$B$2:$B$4, $A3, Ledger!$C$2:$C$4, HWF$2)),"****")</f>
        <v/>
      </c>
      <c r="HWG3" t="str">
        <f>IFERROR(IF($C3="","",SUMIFS(Ledger!$K$2:$K$4, Ledger!$B$2:$B$4, $A3, Ledger!$C$2:$C$4, HWG$2)),"****")</f>
        <v/>
      </c>
      <c r="HWH3" t="str">
        <f>IFERROR(IF($C3="","",SUMIFS(Ledger!$K$2:$K$4, Ledger!$B$2:$B$4, $A3, Ledger!$C$2:$C$4, HWH$2)),"****")</f>
        <v/>
      </c>
      <c r="HWI3" t="str">
        <f>IFERROR(IF($C3="","",SUMIFS(Ledger!$K$2:$K$4, Ledger!$B$2:$B$4, $A3, Ledger!$C$2:$C$4, HWI$2)),"****")</f>
        <v/>
      </c>
      <c r="HWJ3" t="str">
        <f>IFERROR(IF($C3="","",SUMIFS(Ledger!$K$2:$K$4, Ledger!$B$2:$B$4, $A3, Ledger!$C$2:$C$4, HWJ$2)),"****")</f>
        <v/>
      </c>
      <c r="HWK3" t="str">
        <f>IFERROR(IF($C3="","",SUMIFS(Ledger!$K$2:$K$4, Ledger!$B$2:$B$4, $A3, Ledger!$C$2:$C$4, HWK$2)),"****")</f>
        <v/>
      </c>
      <c r="HWL3" t="str">
        <f>IFERROR(IF($C3="","",SUMIFS(Ledger!$K$2:$K$4, Ledger!$B$2:$B$4, $A3, Ledger!$C$2:$C$4, HWL$2)),"****")</f>
        <v/>
      </c>
      <c r="HWM3" t="str">
        <f>IFERROR(IF($C3="","",SUMIFS(Ledger!$K$2:$K$4, Ledger!$B$2:$B$4, $A3, Ledger!$C$2:$C$4, HWM$2)),"****")</f>
        <v/>
      </c>
      <c r="HWN3" t="str">
        <f>IFERROR(IF($C3="","",SUMIFS(Ledger!$K$2:$K$4, Ledger!$B$2:$B$4, $A3, Ledger!$C$2:$C$4, HWN$2)),"****")</f>
        <v/>
      </c>
      <c r="HWO3" t="str">
        <f>IFERROR(IF($C3="","",SUMIFS(Ledger!$K$2:$K$4, Ledger!$B$2:$B$4, $A3, Ledger!$C$2:$C$4, HWO$2)),"****")</f>
        <v/>
      </c>
      <c r="HWP3" t="str">
        <f>IFERROR(IF($C3="","",SUMIFS(Ledger!$K$2:$K$4, Ledger!$B$2:$B$4, $A3, Ledger!$C$2:$C$4, HWP$2)),"****")</f>
        <v/>
      </c>
      <c r="HWQ3" t="str">
        <f>IFERROR(IF($C3="","",SUMIFS(Ledger!$K$2:$K$4, Ledger!$B$2:$B$4, $A3, Ledger!$C$2:$C$4, HWQ$2)),"****")</f>
        <v/>
      </c>
      <c r="HWR3" t="str">
        <f>IFERROR(IF($C3="","",SUMIFS(Ledger!$K$2:$K$4, Ledger!$B$2:$B$4, $A3, Ledger!$C$2:$C$4, HWR$2)),"****")</f>
        <v/>
      </c>
      <c r="HWS3" t="str">
        <f>IFERROR(IF($C3="","",SUMIFS(Ledger!$K$2:$K$4, Ledger!$B$2:$B$4, $A3, Ledger!$C$2:$C$4, HWS$2)),"****")</f>
        <v/>
      </c>
      <c r="HWT3" t="str">
        <f>IFERROR(IF($C3="","",SUMIFS(Ledger!$K$2:$K$4, Ledger!$B$2:$B$4, $A3, Ledger!$C$2:$C$4, HWT$2)),"****")</f>
        <v/>
      </c>
      <c r="HWU3" t="str">
        <f>IFERROR(IF($C3="","",SUMIFS(Ledger!$K$2:$K$4, Ledger!$B$2:$B$4, $A3, Ledger!$C$2:$C$4, HWU$2)),"****")</f>
        <v/>
      </c>
      <c r="HWV3" t="str">
        <f>IFERROR(IF($C3="","",SUMIFS(Ledger!$K$2:$K$4, Ledger!$B$2:$B$4, $A3, Ledger!$C$2:$C$4, HWV$2)),"****")</f>
        <v/>
      </c>
      <c r="HWW3" t="str">
        <f>IFERROR(IF($C3="","",SUMIFS(Ledger!$K$2:$K$4, Ledger!$B$2:$B$4, $A3, Ledger!$C$2:$C$4, HWW$2)),"****")</f>
        <v/>
      </c>
      <c r="HWX3" t="str">
        <f>IFERROR(IF($C3="","",SUMIFS(Ledger!$K$2:$K$4, Ledger!$B$2:$B$4, $A3, Ledger!$C$2:$C$4, HWX$2)),"****")</f>
        <v/>
      </c>
      <c r="HWY3" t="str">
        <f>IFERROR(IF($C3="","",SUMIFS(Ledger!$K$2:$K$4, Ledger!$B$2:$B$4, $A3, Ledger!$C$2:$C$4, HWY$2)),"****")</f>
        <v/>
      </c>
      <c r="HWZ3" t="str">
        <f>IFERROR(IF($C3="","",SUMIFS(Ledger!$K$2:$K$4, Ledger!$B$2:$B$4, $A3, Ledger!$C$2:$C$4, HWZ$2)),"****")</f>
        <v/>
      </c>
      <c r="HXA3" t="str">
        <f>IFERROR(IF($C3="","",SUMIFS(Ledger!$K$2:$K$4, Ledger!$B$2:$B$4, $A3, Ledger!$C$2:$C$4, HXA$2)),"****")</f>
        <v/>
      </c>
      <c r="HXB3" t="str">
        <f>IFERROR(IF($C3="","",SUMIFS(Ledger!$K$2:$K$4, Ledger!$B$2:$B$4, $A3, Ledger!$C$2:$C$4, HXB$2)),"****")</f>
        <v/>
      </c>
      <c r="HXC3" t="str">
        <f>IFERROR(IF($C3="","",SUMIFS(Ledger!$K$2:$K$4, Ledger!$B$2:$B$4, $A3, Ledger!$C$2:$C$4, HXC$2)),"****")</f>
        <v/>
      </c>
      <c r="HXD3" t="str">
        <f>IFERROR(IF($C3="","",SUMIFS(Ledger!$K$2:$K$4, Ledger!$B$2:$B$4, $A3, Ledger!$C$2:$C$4, HXD$2)),"****")</f>
        <v/>
      </c>
      <c r="HXE3" t="str">
        <f>IFERROR(IF($C3="","",SUMIFS(Ledger!$K$2:$K$4, Ledger!$B$2:$B$4, $A3, Ledger!$C$2:$C$4, HXE$2)),"****")</f>
        <v/>
      </c>
      <c r="HXF3" t="str">
        <f>IFERROR(IF($C3="","",SUMIFS(Ledger!$K$2:$K$4, Ledger!$B$2:$B$4, $A3, Ledger!$C$2:$C$4, HXF$2)),"****")</f>
        <v/>
      </c>
      <c r="HXG3" t="str">
        <f>IFERROR(IF($C3="","",SUMIFS(Ledger!$K$2:$K$4, Ledger!$B$2:$B$4, $A3, Ledger!$C$2:$C$4, HXG$2)),"****")</f>
        <v/>
      </c>
      <c r="HXH3" t="str">
        <f>IFERROR(IF($C3="","",SUMIFS(Ledger!$K$2:$K$4, Ledger!$B$2:$B$4, $A3, Ledger!$C$2:$C$4, HXH$2)),"****")</f>
        <v/>
      </c>
      <c r="HXI3" t="str">
        <f>IFERROR(IF($C3="","",SUMIFS(Ledger!$K$2:$K$4, Ledger!$B$2:$B$4, $A3, Ledger!$C$2:$C$4, HXI$2)),"****")</f>
        <v/>
      </c>
      <c r="HXJ3" t="str">
        <f>IFERROR(IF($C3="","",SUMIFS(Ledger!$K$2:$K$4, Ledger!$B$2:$B$4, $A3, Ledger!$C$2:$C$4, HXJ$2)),"****")</f>
        <v/>
      </c>
      <c r="HXK3" t="str">
        <f>IFERROR(IF($C3="","",SUMIFS(Ledger!$K$2:$K$4, Ledger!$B$2:$B$4, $A3, Ledger!$C$2:$C$4, HXK$2)),"****")</f>
        <v/>
      </c>
      <c r="HXL3" t="str">
        <f>IFERROR(IF($C3="","",SUMIFS(Ledger!$K$2:$K$4, Ledger!$B$2:$B$4, $A3, Ledger!$C$2:$C$4, HXL$2)),"****")</f>
        <v/>
      </c>
      <c r="HXM3" t="str">
        <f>IFERROR(IF($C3="","",SUMIFS(Ledger!$K$2:$K$4, Ledger!$B$2:$B$4, $A3, Ledger!$C$2:$C$4, HXM$2)),"****")</f>
        <v/>
      </c>
      <c r="HXN3" t="str">
        <f>IFERROR(IF($C3="","",SUMIFS(Ledger!$K$2:$K$4, Ledger!$B$2:$B$4, $A3, Ledger!$C$2:$C$4, HXN$2)),"****")</f>
        <v/>
      </c>
      <c r="HXO3" t="str">
        <f>IFERROR(IF($C3="","",SUMIFS(Ledger!$K$2:$K$4, Ledger!$B$2:$B$4, $A3, Ledger!$C$2:$C$4, HXO$2)),"****")</f>
        <v/>
      </c>
      <c r="HXP3" t="str">
        <f>IFERROR(IF($C3="","",SUMIFS(Ledger!$K$2:$K$4, Ledger!$B$2:$B$4, $A3, Ledger!$C$2:$C$4, HXP$2)),"****")</f>
        <v/>
      </c>
      <c r="HXQ3" t="str">
        <f>IFERROR(IF($C3="","",SUMIFS(Ledger!$K$2:$K$4, Ledger!$B$2:$B$4, $A3, Ledger!$C$2:$C$4, HXQ$2)),"****")</f>
        <v/>
      </c>
      <c r="HXR3" t="str">
        <f>IFERROR(IF($C3="","",SUMIFS(Ledger!$K$2:$K$4, Ledger!$B$2:$B$4, $A3, Ledger!$C$2:$C$4, HXR$2)),"****")</f>
        <v/>
      </c>
      <c r="HXS3" t="str">
        <f>IFERROR(IF($C3="","",SUMIFS(Ledger!$K$2:$K$4, Ledger!$B$2:$B$4, $A3, Ledger!$C$2:$C$4, HXS$2)),"****")</f>
        <v/>
      </c>
      <c r="HXT3" t="str">
        <f>IFERROR(IF($C3="","",SUMIFS(Ledger!$K$2:$K$4, Ledger!$B$2:$B$4, $A3, Ledger!$C$2:$C$4, HXT$2)),"****")</f>
        <v/>
      </c>
      <c r="HXU3" t="str">
        <f>IFERROR(IF($C3="","",SUMIFS(Ledger!$K$2:$K$4, Ledger!$B$2:$B$4, $A3, Ledger!$C$2:$C$4, HXU$2)),"****")</f>
        <v/>
      </c>
      <c r="HXV3" t="str">
        <f>IFERROR(IF($C3="","",SUMIFS(Ledger!$K$2:$K$4, Ledger!$B$2:$B$4, $A3, Ledger!$C$2:$C$4, HXV$2)),"****")</f>
        <v/>
      </c>
      <c r="HXW3" t="str">
        <f>IFERROR(IF($C3="","",SUMIFS(Ledger!$K$2:$K$4, Ledger!$B$2:$B$4, $A3, Ledger!$C$2:$C$4, HXW$2)),"****")</f>
        <v/>
      </c>
      <c r="HXX3" t="str">
        <f>IFERROR(IF($C3="","",SUMIFS(Ledger!$K$2:$K$4, Ledger!$B$2:$B$4, $A3, Ledger!$C$2:$C$4, HXX$2)),"****")</f>
        <v/>
      </c>
      <c r="HXY3" t="str">
        <f>IFERROR(IF($C3="","",SUMIFS(Ledger!$K$2:$K$4, Ledger!$B$2:$B$4, $A3, Ledger!$C$2:$C$4, HXY$2)),"****")</f>
        <v/>
      </c>
      <c r="HXZ3" t="str">
        <f>IFERROR(IF($C3="","",SUMIFS(Ledger!$K$2:$K$4, Ledger!$B$2:$B$4, $A3, Ledger!$C$2:$C$4, HXZ$2)),"****")</f>
        <v/>
      </c>
      <c r="HYA3" t="str">
        <f>IFERROR(IF($C3="","",SUMIFS(Ledger!$K$2:$K$4, Ledger!$B$2:$B$4, $A3, Ledger!$C$2:$C$4, HYA$2)),"****")</f>
        <v/>
      </c>
      <c r="HYB3" t="str">
        <f>IFERROR(IF($C3="","",SUMIFS(Ledger!$K$2:$K$4, Ledger!$B$2:$B$4, $A3, Ledger!$C$2:$C$4, HYB$2)),"****")</f>
        <v/>
      </c>
      <c r="HYC3" t="str">
        <f>IFERROR(IF($C3="","",SUMIFS(Ledger!$K$2:$K$4, Ledger!$B$2:$B$4, $A3, Ledger!$C$2:$C$4, HYC$2)),"****")</f>
        <v/>
      </c>
      <c r="HYD3" t="str">
        <f>IFERROR(IF($C3="","",SUMIFS(Ledger!$K$2:$K$4, Ledger!$B$2:$B$4, $A3, Ledger!$C$2:$C$4, HYD$2)),"****")</f>
        <v/>
      </c>
      <c r="HYE3" t="str">
        <f>IFERROR(IF($C3="","",SUMIFS(Ledger!$K$2:$K$4, Ledger!$B$2:$B$4, $A3, Ledger!$C$2:$C$4, HYE$2)),"****")</f>
        <v/>
      </c>
      <c r="HYF3" t="str">
        <f>IFERROR(IF($C3="","",SUMIFS(Ledger!$K$2:$K$4, Ledger!$B$2:$B$4, $A3, Ledger!$C$2:$C$4, HYF$2)),"****")</f>
        <v/>
      </c>
      <c r="HYG3" t="str">
        <f>IFERROR(IF($C3="","",SUMIFS(Ledger!$K$2:$K$4, Ledger!$B$2:$B$4, $A3, Ledger!$C$2:$C$4, HYG$2)),"****")</f>
        <v/>
      </c>
      <c r="HYH3" t="str">
        <f>IFERROR(IF($C3="","",SUMIFS(Ledger!$K$2:$K$4, Ledger!$B$2:$B$4, $A3, Ledger!$C$2:$C$4, HYH$2)),"****")</f>
        <v/>
      </c>
      <c r="HYI3" t="str">
        <f>IFERROR(IF($C3="","",SUMIFS(Ledger!$K$2:$K$4, Ledger!$B$2:$B$4, $A3, Ledger!$C$2:$C$4, HYI$2)),"****")</f>
        <v/>
      </c>
      <c r="HYJ3" t="str">
        <f>IFERROR(IF($C3="","",SUMIFS(Ledger!$K$2:$K$4, Ledger!$B$2:$B$4, $A3, Ledger!$C$2:$C$4, HYJ$2)),"****")</f>
        <v/>
      </c>
      <c r="HYK3" t="str">
        <f>IFERROR(IF($C3="","",SUMIFS(Ledger!$K$2:$K$4, Ledger!$B$2:$B$4, $A3, Ledger!$C$2:$C$4, HYK$2)),"****")</f>
        <v/>
      </c>
      <c r="HYL3" t="str">
        <f>IFERROR(IF($C3="","",SUMIFS(Ledger!$K$2:$K$4, Ledger!$B$2:$B$4, $A3, Ledger!$C$2:$C$4, HYL$2)),"****")</f>
        <v/>
      </c>
      <c r="HYM3" t="str">
        <f>IFERROR(IF($C3="","",SUMIFS(Ledger!$K$2:$K$4, Ledger!$B$2:$B$4, $A3, Ledger!$C$2:$C$4, HYM$2)),"****")</f>
        <v/>
      </c>
      <c r="HYN3" t="str">
        <f>IFERROR(IF($C3="","",SUMIFS(Ledger!$K$2:$K$4, Ledger!$B$2:$B$4, $A3, Ledger!$C$2:$C$4, HYN$2)),"****")</f>
        <v/>
      </c>
      <c r="HYO3" t="str">
        <f>IFERROR(IF($C3="","",SUMIFS(Ledger!$K$2:$K$4, Ledger!$B$2:$B$4, $A3, Ledger!$C$2:$C$4, HYO$2)),"****")</f>
        <v/>
      </c>
      <c r="HYP3" t="str">
        <f>IFERROR(IF($C3="","",SUMIFS(Ledger!$K$2:$K$4, Ledger!$B$2:$B$4, $A3, Ledger!$C$2:$C$4, HYP$2)),"****")</f>
        <v/>
      </c>
      <c r="HYQ3" t="str">
        <f>IFERROR(IF($C3="","",SUMIFS(Ledger!$K$2:$K$4, Ledger!$B$2:$B$4, $A3, Ledger!$C$2:$C$4, HYQ$2)),"****")</f>
        <v/>
      </c>
      <c r="HYR3" t="str">
        <f>IFERROR(IF($C3="","",SUMIFS(Ledger!$K$2:$K$4, Ledger!$B$2:$B$4, $A3, Ledger!$C$2:$C$4, HYR$2)),"****")</f>
        <v/>
      </c>
      <c r="HYS3" t="str">
        <f>IFERROR(IF($C3="","",SUMIFS(Ledger!$K$2:$K$4, Ledger!$B$2:$B$4, $A3, Ledger!$C$2:$C$4, HYS$2)),"****")</f>
        <v/>
      </c>
      <c r="HYT3" t="str">
        <f>IFERROR(IF($C3="","",SUMIFS(Ledger!$K$2:$K$4, Ledger!$B$2:$B$4, $A3, Ledger!$C$2:$C$4, HYT$2)),"****")</f>
        <v/>
      </c>
      <c r="HYU3" t="str">
        <f>IFERROR(IF($C3="","",SUMIFS(Ledger!$K$2:$K$4, Ledger!$B$2:$B$4, $A3, Ledger!$C$2:$C$4, HYU$2)),"****")</f>
        <v/>
      </c>
      <c r="HYV3" t="str">
        <f>IFERROR(IF($C3="","",SUMIFS(Ledger!$K$2:$K$4, Ledger!$B$2:$B$4, $A3, Ledger!$C$2:$C$4, HYV$2)),"****")</f>
        <v/>
      </c>
      <c r="HYW3" t="str">
        <f>IFERROR(IF($C3="","",SUMIFS(Ledger!$K$2:$K$4, Ledger!$B$2:$B$4, $A3, Ledger!$C$2:$C$4, HYW$2)),"****")</f>
        <v/>
      </c>
      <c r="HYX3" t="str">
        <f>IFERROR(IF($C3="","",SUMIFS(Ledger!$K$2:$K$4, Ledger!$B$2:$B$4, $A3, Ledger!$C$2:$C$4, HYX$2)),"****")</f>
        <v/>
      </c>
      <c r="HYY3" t="str">
        <f>IFERROR(IF($C3="","",SUMIFS(Ledger!$K$2:$K$4, Ledger!$B$2:$B$4, $A3, Ledger!$C$2:$C$4, HYY$2)),"****")</f>
        <v/>
      </c>
      <c r="HYZ3" t="str">
        <f>IFERROR(IF($C3="","",SUMIFS(Ledger!$K$2:$K$4, Ledger!$B$2:$B$4, $A3, Ledger!$C$2:$C$4, HYZ$2)),"****")</f>
        <v/>
      </c>
      <c r="HZA3" t="str">
        <f>IFERROR(IF($C3="","",SUMIFS(Ledger!$K$2:$K$4, Ledger!$B$2:$B$4, $A3, Ledger!$C$2:$C$4, HZA$2)),"****")</f>
        <v/>
      </c>
      <c r="HZB3" t="str">
        <f>IFERROR(IF($C3="","",SUMIFS(Ledger!$K$2:$K$4, Ledger!$B$2:$B$4, $A3, Ledger!$C$2:$C$4, HZB$2)),"****")</f>
        <v/>
      </c>
      <c r="HZC3" t="str">
        <f>IFERROR(IF($C3="","",SUMIFS(Ledger!$K$2:$K$4, Ledger!$B$2:$B$4, $A3, Ledger!$C$2:$C$4, HZC$2)),"****")</f>
        <v/>
      </c>
      <c r="HZD3" t="str">
        <f>IFERROR(IF($C3="","",SUMIFS(Ledger!$K$2:$K$4, Ledger!$B$2:$B$4, $A3, Ledger!$C$2:$C$4, HZD$2)),"****")</f>
        <v/>
      </c>
      <c r="HZE3" t="str">
        <f>IFERROR(IF($C3="","",SUMIFS(Ledger!$K$2:$K$4, Ledger!$B$2:$B$4, $A3, Ledger!$C$2:$C$4, HZE$2)),"****")</f>
        <v/>
      </c>
      <c r="HZF3" t="str">
        <f>IFERROR(IF($C3="","",SUMIFS(Ledger!$K$2:$K$4, Ledger!$B$2:$B$4, $A3, Ledger!$C$2:$C$4, HZF$2)),"****")</f>
        <v/>
      </c>
      <c r="HZG3" t="str">
        <f>IFERROR(IF($C3="","",SUMIFS(Ledger!$K$2:$K$4, Ledger!$B$2:$B$4, $A3, Ledger!$C$2:$C$4, HZG$2)),"****")</f>
        <v/>
      </c>
      <c r="HZH3" t="str">
        <f>IFERROR(IF($C3="","",SUMIFS(Ledger!$K$2:$K$4, Ledger!$B$2:$B$4, $A3, Ledger!$C$2:$C$4, HZH$2)),"****")</f>
        <v/>
      </c>
      <c r="HZI3" t="str">
        <f>IFERROR(IF($C3="","",SUMIFS(Ledger!$K$2:$K$4, Ledger!$B$2:$B$4, $A3, Ledger!$C$2:$C$4, HZI$2)),"****")</f>
        <v/>
      </c>
      <c r="HZJ3" t="str">
        <f>IFERROR(IF($C3="","",SUMIFS(Ledger!$K$2:$K$4, Ledger!$B$2:$B$4, $A3, Ledger!$C$2:$C$4, HZJ$2)),"****")</f>
        <v/>
      </c>
      <c r="HZK3" t="str">
        <f>IFERROR(IF($C3="","",SUMIFS(Ledger!$K$2:$K$4, Ledger!$B$2:$B$4, $A3, Ledger!$C$2:$C$4, HZK$2)),"****")</f>
        <v/>
      </c>
      <c r="HZL3" t="str">
        <f>IFERROR(IF($C3="","",SUMIFS(Ledger!$K$2:$K$4, Ledger!$B$2:$B$4, $A3, Ledger!$C$2:$C$4, HZL$2)),"****")</f>
        <v/>
      </c>
      <c r="HZM3" t="str">
        <f>IFERROR(IF($C3="","",SUMIFS(Ledger!$K$2:$K$4, Ledger!$B$2:$B$4, $A3, Ledger!$C$2:$C$4, HZM$2)),"****")</f>
        <v/>
      </c>
      <c r="HZN3" t="str">
        <f>IFERROR(IF($C3="","",SUMIFS(Ledger!$K$2:$K$4, Ledger!$B$2:$B$4, $A3, Ledger!$C$2:$C$4, HZN$2)),"****")</f>
        <v/>
      </c>
      <c r="HZO3" t="str">
        <f>IFERROR(IF($C3="","",SUMIFS(Ledger!$K$2:$K$4, Ledger!$B$2:$B$4, $A3, Ledger!$C$2:$C$4, HZO$2)),"****")</f>
        <v/>
      </c>
      <c r="HZP3" t="str">
        <f>IFERROR(IF($C3="","",SUMIFS(Ledger!$K$2:$K$4, Ledger!$B$2:$B$4, $A3, Ledger!$C$2:$C$4, HZP$2)),"****")</f>
        <v/>
      </c>
      <c r="HZQ3" t="str">
        <f>IFERROR(IF($C3="","",SUMIFS(Ledger!$K$2:$K$4, Ledger!$B$2:$B$4, $A3, Ledger!$C$2:$C$4, HZQ$2)),"****")</f>
        <v/>
      </c>
      <c r="HZR3" t="str">
        <f>IFERROR(IF($C3="","",SUMIFS(Ledger!$K$2:$K$4, Ledger!$B$2:$B$4, $A3, Ledger!$C$2:$C$4, HZR$2)),"****")</f>
        <v/>
      </c>
      <c r="HZS3" t="str">
        <f>IFERROR(IF($C3="","",SUMIFS(Ledger!$K$2:$K$4, Ledger!$B$2:$B$4, $A3, Ledger!$C$2:$C$4, HZS$2)),"****")</f>
        <v/>
      </c>
      <c r="HZT3" t="str">
        <f>IFERROR(IF($C3="","",SUMIFS(Ledger!$K$2:$K$4, Ledger!$B$2:$B$4, $A3, Ledger!$C$2:$C$4, HZT$2)),"****")</f>
        <v/>
      </c>
      <c r="HZU3" t="str">
        <f>IFERROR(IF($C3="","",SUMIFS(Ledger!$K$2:$K$4, Ledger!$B$2:$B$4, $A3, Ledger!$C$2:$C$4, HZU$2)),"****")</f>
        <v/>
      </c>
      <c r="HZV3" t="str">
        <f>IFERROR(IF($C3="","",SUMIFS(Ledger!$K$2:$K$4, Ledger!$B$2:$B$4, $A3, Ledger!$C$2:$C$4, HZV$2)),"****")</f>
        <v/>
      </c>
      <c r="HZW3" t="str">
        <f>IFERROR(IF($C3="","",SUMIFS(Ledger!$K$2:$K$4, Ledger!$B$2:$B$4, $A3, Ledger!$C$2:$C$4, HZW$2)),"****")</f>
        <v/>
      </c>
      <c r="HZX3" t="str">
        <f>IFERROR(IF($C3="","",SUMIFS(Ledger!$K$2:$K$4, Ledger!$B$2:$B$4, $A3, Ledger!$C$2:$C$4, HZX$2)),"****")</f>
        <v/>
      </c>
      <c r="HZY3" t="str">
        <f>IFERROR(IF($C3="","",SUMIFS(Ledger!$K$2:$K$4, Ledger!$B$2:$B$4, $A3, Ledger!$C$2:$C$4, HZY$2)),"****")</f>
        <v/>
      </c>
      <c r="HZZ3" t="str">
        <f>IFERROR(IF($C3="","",SUMIFS(Ledger!$K$2:$K$4, Ledger!$B$2:$B$4, $A3, Ledger!$C$2:$C$4, HZZ$2)),"****")</f>
        <v/>
      </c>
      <c r="IAA3" t="str">
        <f>IFERROR(IF($C3="","",SUMIFS(Ledger!$K$2:$K$4, Ledger!$B$2:$B$4, $A3, Ledger!$C$2:$C$4, IAA$2)),"****")</f>
        <v/>
      </c>
      <c r="IAB3" t="str">
        <f>IFERROR(IF($C3="","",SUMIFS(Ledger!$K$2:$K$4, Ledger!$B$2:$B$4, $A3, Ledger!$C$2:$C$4, IAB$2)),"****")</f>
        <v/>
      </c>
      <c r="IAC3" t="str">
        <f>IFERROR(IF($C3="","",SUMIFS(Ledger!$K$2:$K$4, Ledger!$B$2:$B$4, $A3, Ledger!$C$2:$C$4, IAC$2)),"****")</f>
        <v/>
      </c>
      <c r="IAD3" t="str">
        <f>IFERROR(IF($C3="","",SUMIFS(Ledger!$K$2:$K$4, Ledger!$B$2:$B$4, $A3, Ledger!$C$2:$C$4, IAD$2)),"****")</f>
        <v/>
      </c>
      <c r="IAE3" t="str">
        <f>IFERROR(IF($C3="","",SUMIFS(Ledger!$K$2:$K$4, Ledger!$B$2:$B$4, $A3, Ledger!$C$2:$C$4, IAE$2)),"****")</f>
        <v/>
      </c>
      <c r="IAF3" t="str">
        <f>IFERROR(IF($C3="","",SUMIFS(Ledger!$K$2:$K$4, Ledger!$B$2:$B$4, $A3, Ledger!$C$2:$C$4, IAF$2)),"****")</f>
        <v/>
      </c>
      <c r="IAG3" t="str">
        <f>IFERROR(IF($C3="","",SUMIFS(Ledger!$K$2:$K$4, Ledger!$B$2:$B$4, $A3, Ledger!$C$2:$C$4, IAG$2)),"****")</f>
        <v/>
      </c>
      <c r="IAH3" t="str">
        <f>IFERROR(IF($C3="","",SUMIFS(Ledger!$K$2:$K$4, Ledger!$B$2:$B$4, $A3, Ledger!$C$2:$C$4, IAH$2)),"****")</f>
        <v/>
      </c>
      <c r="IAI3" t="str">
        <f>IFERROR(IF($C3="","",SUMIFS(Ledger!$K$2:$K$4, Ledger!$B$2:$B$4, $A3, Ledger!$C$2:$C$4, IAI$2)),"****")</f>
        <v/>
      </c>
      <c r="IAJ3" t="str">
        <f>IFERROR(IF($C3="","",SUMIFS(Ledger!$K$2:$K$4, Ledger!$B$2:$B$4, $A3, Ledger!$C$2:$C$4, IAJ$2)),"****")</f>
        <v/>
      </c>
      <c r="IAK3" t="str">
        <f>IFERROR(IF($C3="","",SUMIFS(Ledger!$K$2:$K$4, Ledger!$B$2:$B$4, $A3, Ledger!$C$2:$C$4, IAK$2)),"****")</f>
        <v/>
      </c>
      <c r="IAL3" t="str">
        <f>IFERROR(IF($C3="","",SUMIFS(Ledger!$K$2:$K$4, Ledger!$B$2:$B$4, $A3, Ledger!$C$2:$C$4, IAL$2)),"****")</f>
        <v/>
      </c>
      <c r="IAM3" t="str">
        <f>IFERROR(IF($C3="","",SUMIFS(Ledger!$K$2:$K$4, Ledger!$B$2:$B$4, $A3, Ledger!$C$2:$C$4, IAM$2)),"****")</f>
        <v/>
      </c>
      <c r="IAN3" t="str">
        <f>IFERROR(IF($C3="","",SUMIFS(Ledger!$K$2:$K$4, Ledger!$B$2:$B$4, $A3, Ledger!$C$2:$C$4, IAN$2)),"****")</f>
        <v/>
      </c>
      <c r="IAO3" t="str">
        <f>IFERROR(IF($C3="","",SUMIFS(Ledger!$K$2:$K$4, Ledger!$B$2:$B$4, $A3, Ledger!$C$2:$C$4, IAO$2)),"****")</f>
        <v/>
      </c>
      <c r="IAP3" t="str">
        <f>IFERROR(IF($C3="","",SUMIFS(Ledger!$K$2:$K$4, Ledger!$B$2:$B$4, $A3, Ledger!$C$2:$C$4, IAP$2)),"****")</f>
        <v/>
      </c>
      <c r="IAQ3" t="str">
        <f>IFERROR(IF($C3="","",SUMIFS(Ledger!$K$2:$K$4, Ledger!$B$2:$B$4, $A3, Ledger!$C$2:$C$4, IAQ$2)),"****")</f>
        <v/>
      </c>
      <c r="IAR3" t="str">
        <f>IFERROR(IF($C3="","",SUMIFS(Ledger!$K$2:$K$4, Ledger!$B$2:$B$4, $A3, Ledger!$C$2:$C$4, IAR$2)),"****")</f>
        <v/>
      </c>
      <c r="IAS3" t="str">
        <f>IFERROR(IF($C3="","",SUMIFS(Ledger!$K$2:$K$4, Ledger!$B$2:$B$4, $A3, Ledger!$C$2:$C$4, IAS$2)),"****")</f>
        <v/>
      </c>
      <c r="IAT3" t="str">
        <f>IFERROR(IF($C3="","",SUMIFS(Ledger!$K$2:$K$4, Ledger!$B$2:$B$4, $A3, Ledger!$C$2:$C$4, IAT$2)),"****")</f>
        <v/>
      </c>
      <c r="IAU3" t="str">
        <f>IFERROR(IF($C3="","",SUMIFS(Ledger!$K$2:$K$4, Ledger!$B$2:$B$4, $A3, Ledger!$C$2:$C$4, IAU$2)),"****")</f>
        <v/>
      </c>
      <c r="IAV3" t="str">
        <f>IFERROR(IF($C3="","",SUMIFS(Ledger!$K$2:$K$4, Ledger!$B$2:$B$4, $A3, Ledger!$C$2:$C$4, IAV$2)),"****")</f>
        <v/>
      </c>
      <c r="IAW3" t="str">
        <f>IFERROR(IF($C3="","",SUMIFS(Ledger!$K$2:$K$4, Ledger!$B$2:$B$4, $A3, Ledger!$C$2:$C$4, IAW$2)),"****")</f>
        <v/>
      </c>
      <c r="IAX3" t="str">
        <f>IFERROR(IF($C3="","",SUMIFS(Ledger!$K$2:$K$4, Ledger!$B$2:$B$4, $A3, Ledger!$C$2:$C$4, IAX$2)),"****")</f>
        <v/>
      </c>
      <c r="IAY3" t="str">
        <f>IFERROR(IF($C3="","",SUMIFS(Ledger!$K$2:$K$4, Ledger!$B$2:$B$4, $A3, Ledger!$C$2:$C$4, IAY$2)),"****")</f>
        <v/>
      </c>
      <c r="IAZ3" t="str">
        <f>IFERROR(IF($C3="","",SUMIFS(Ledger!$K$2:$K$4, Ledger!$B$2:$B$4, $A3, Ledger!$C$2:$C$4, IAZ$2)),"****")</f>
        <v/>
      </c>
      <c r="IBA3" t="str">
        <f>IFERROR(IF($C3="","",SUMIFS(Ledger!$K$2:$K$4, Ledger!$B$2:$B$4, $A3, Ledger!$C$2:$C$4, IBA$2)),"****")</f>
        <v/>
      </c>
      <c r="IBB3" t="str">
        <f>IFERROR(IF($C3="","",SUMIFS(Ledger!$K$2:$K$4, Ledger!$B$2:$B$4, $A3, Ledger!$C$2:$C$4, IBB$2)),"****")</f>
        <v/>
      </c>
      <c r="IBC3" t="str">
        <f>IFERROR(IF($C3="","",SUMIFS(Ledger!$K$2:$K$4, Ledger!$B$2:$B$4, $A3, Ledger!$C$2:$C$4, IBC$2)),"****")</f>
        <v/>
      </c>
      <c r="IBD3" t="str">
        <f>IFERROR(IF($C3="","",SUMIFS(Ledger!$K$2:$K$4, Ledger!$B$2:$B$4, $A3, Ledger!$C$2:$C$4, IBD$2)),"****")</f>
        <v/>
      </c>
      <c r="IBE3" t="str">
        <f>IFERROR(IF($C3="","",SUMIFS(Ledger!$K$2:$K$4, Ledger!$B$2:$B$4, $A3, Ledger!$C$2:$C$4, IBE$2)),"****")</f>
        <v/>
      </c>
      <c r="IBF3" t="str">
        <f>IFERROR(IF($C3="","",SUMIFS(Ledger!$K$2:$K$4, Ledger!$B$2:$B$4, $A3, Ledger!$C$2:$C$4, IBF$2)),"****")</f>
        <v/>
      </c>
      <c r="IBG3" t="str">
        <f>IFERROR(IF($C3="","",SUMIFS(Ledger!$K$2:$K$4, Ledger!$B$2:$B$4, $A3, Ledger!$C$2:$C$4, IBG$2)),"****")</f>
        <v/>
      </c>
      <c r="IBH3" t="str">
        <f>IFERROR(IF($C3="","",SUMIFS(Ledger!$K$2:$K$4, Ledger!$B$2:$B$4, $A3, Ledger!$C$2:$C$4, IBH$2)),"****")</f>
        <v/>
      </c>
      <c r="IBI3" t="str">
        <f>IFERROR(IF($C3="","",SUMIFS(Ledger!$K$2:$K$4, Ledger!$B$2:$B$4, $A3, Ledger!$C$2:$C$4, IBI$2)),"****")</f>
        <v/>
      </c>
      <c r="IBJ3" t="str">
        <f>IFERROR(IF($C3="","",SUMIFS(Ledger!$K$2:$K$4, Ledger!$B$2:$B$4, $A3, Ledger!$C$2:$C$4, IBJ$2)),"****")</f>
        <v/>
      </c>
      <c r="IBK3" t="str">
        <f>IFERROR(IF($C3="","",SUMIFS(Ledger!$K$2:$K$4, Ledger!$B$2:$B$4, $A3, Ledger!$C$2:$C$4, IBK$2)),"****")</f>
        <v/>
      </c>
      <c r="IBL3" t="str">
        <f>IFERROR(IF($C3="","",SUMIFS(Ledger!$K$2:$K$4, Ledger!$B$2:$B$4, $A3, Ledger!$C$2:$C$4, IBL$2)),"****")</f>
        <v/>
      </c>
      <c r="IBM3" t="str">
        <f>IFERROR(IF($C3="","",SUMIFS(Ledger!$K$2:$K$4, Ledger!$B$2:$B$4, $A3, Ledger!$C$2:$C$4, IBM$2)),"****")</f>
        <v/>
      </c>
      <c r="IBN3" t="str">
        <f>IFERROR(IF($C3="","",SUMIFS(Ledger!$K$2:$K$4, Ledger!$B$2:$B$4, $A3, Ledger!$C$2:$C$4, IBN$2)),"****")</f>
        <v/>
      </c>
      <c r="IBO3" t="str">
        <f>IFERROR(IF($C3="","",SUMIFS(Ledger!$K$2:$K$4, Ledger!$B$2:$B$4, $A3, Ledger!$C$2:$C$4, IBO$2)),"****")</f>
        <v/>
      </c>
      <c r="IBP3" t="str">
        <f>IFERROR(IF($C3="","",SUMIFS(Ledger!$K$2:$K$4, Ledger!$B$2:$B$4, $A3, Ledger!$C$2:$C$4, IBP$2)),"****")</f>
        <v/>
      </c>
      <c r="IBQ3" t="str">
        <f>IFERROR(IF($C3="","",SUMIFS(Ledger!$K$2:$K$4, Ledger!$B$2:$B$4, $A3, Ledger!$C$2:$C$4, IBQ$2)),"****")</f>
        <v/>
      </c>
      <c r="IBR3" t="str">
        <f>IFERROR(IF($C3="","",SUMIFS(Ledger!$K$2:$K$4, Ledger!$B$2:$B$4, $A3, Ledger!$C$2:$C$4, IBR$2)),"****")</f>
        <v/>
      </c>
      <c r="IBS3" t="str">
        <f>IFERROR(IF($C3="","",SUMIFS(Ledger!$K$2:$K$4, Ledger!$B$2:$B$4, $A3, Ledger!$C$2:$C$4, IBS$2)),"****")</f>
        <v/>
      </c>
      <c r="IBT3" t="str">
        <f>IFERROR(IF($C3="","",SUMIFS(Ledger!$K$2:$K$4, Ledger!$B$2:$B$4, $A3, Ledger!$C$2:$C$4, IBT$2)),"****")</f>
        <v/>
      </c>
      <c r="IBU3" t="str">
        <f>IFERROR(IF($C3="","",SUMIFS(Ledger!$K$2:$K$4, Ledger!$B$2:$B$4, $A3, Ledger!$C$2:$C$4, IBU$2)),"****")</f>
        <v/>
      </c>
      <c r="IBV3" t="str">
        <f>IFERROR(IF($C3="","",SUMIFS(Ledger!$K$2:$K$4, Ledger!$B$2:$B$4, $A3, Ledger!$C$2:$C$4, IBV$2)),"****")</f>
        <v/>
      </c>
      <c r="IBW3" t="str">
        <f>IFERROR(IF($C3="","",SUMIFS(Ledger!$K$2:$K$4, Ledger!$B$2:$B$4, $A3, Ledger!$C$2:$C$4, IBW$2)),"****")</f>
        <v/>
      </c>
      <c r="IBX3" t="str">
        <f>IFERROR(IF($C3="","",SUMIFS(Ledger!$K$2:$K$4, Ledger!$B$2:$B$4, $A3, Ledger!$C$2:$C$4, IBX$2)),"****")</f>
        <v/>
      </c>
      <c r="IBY3" t="str">
        <f>IFERROR(IF($C3="","",SUMIFS(Ledger!$K$2:$K$4, Ledger!$B$2:$B$4, $A3, Ledger!$C$2:$C$4, IBY$2)),"****")</f>
        <v/>
      </c>
      <c r="IBZ3" t="str">
        <f>IFERROR(IF($C3="","",SUMIFS(Ledger!$K$2:$K$4, Ledger!$B$2:$B$4, $A3, Ledger!$C$2:$C$4, IBZ$2)),"****")</f>
        <v/>
      </c>
      <c r="ICA3" t="str">
        <f>IFERROR(IF($C3="","",SUMIFS(Ledger!$K$2:$K$4, Ledger!$B$2:$B$4, $A3, Ledger!$C$2:$C$4, ICA$2)),"****")</f>
        <v/>
      </c>
      <c r="ICB3" t="str">
        <f>IFERROR(IF($C3="","",SUMIFS(Ledger!$K$2:$K$4, Ledger!$B$2:$B$4, $A3, Ledger!$C$2:$C$4, ICB$2)),"****")</f>
        <v/>
      </c>
      <c r="ICC3" t="str">
        <f>IFERROR(IF($C3="","",SUMIFS(Ledger!$K$2:$K$4, Ledger!$B$2:$B$4, $A3, Ledger!$C$2:$C$4, ICC$2)),"****")</f>
        <v/>
      </c>
      <c r="ICD3" t="str">
        <f>IFERROR(IF($C3="","",SUMIFS(Ledger!$K$2:$K$4, Ledger!$B$2:$B$4, $A3, Ledger!$C$2:$C$4, ICD$2)),"****")</f>
        <v/>
      </c>
      <c r="ICE3" t="str">
        <f>IFERROR(IF($C3="","",SUMIFS(Ledger!$K$2:$K$4, Ledger!$B$2:$B$4, $A3, Ledger!$C$2:$C$4, ICE$2)),"****")</f>
        <v/>
      </c>
      <c r="ICF3" t="str">
        <f>IFERROR(IF($C3="","",SUMIFS(Ledger!$K$2:$K$4, Ledger!$B$2:$B$4, $A3, Ledger!$C$2:$C$4, ICF$2)),"****")</f>
        <v/>
      </c>
      <c r="ICG3" t="str">
        <f>IFERROR(IF($C3="","",SUMIFS(Ledger!$K$2:$K$4, Ledger!$B$2:$B$4, $A3, Ledger!$C$2:$C$4, ICG$2)),"****")</f>
        <v/>
      </c>
      <c r="ICH3" t="str">
        <f>IFERROR(IF($C3="","",SUMIFS(Ledger!$K$2:$K$4, Ledger!$B$2:$B$4, $A3, Ledger!$C$2:$C$4, ICH$2)),"****")</f>
        <v/>
      </c>
      <c r="ICI3" t="str">
        <f>IFERROR(IF($C3="","",SUMIFS(Ledger!$K$2:$K$4, Ledger!$B$2:$B$4, $A3, Ledger!$C$2:$C$4, ICI$2)),"****")</f>
        <v/>
      </c>
      <c r="ICJ3" t="str">
        <f>IFERROR(IF($C3="","",SUMIFS(Ledger!$K$2:$K$4, Ledger!$B$2:$B$4, $A3, Ledger!$C$2:$C$4, ICJ$2)),"****")</f>
        <v/>
      </c>
      <c r="ICK3" t="str">
        <f>IFERROR(IF($C3="","",SUMIFS(Ledger!$K$2:$K$4, Ledger!$B$2:$B$4, $A3, Ledger!$C$2:$C$4, ICK$2)),"****")</f>
        <v/>
      </c>
      <c r="ICL3" t="str">
        <f>IFERROR(IF($C3="","",SUMIFS(Ledger!$K$2:$K$4, Ledger!$B$2:$B$4, $A3, Ledger!$C$2:$C$4, ICL$2)),"****")</f>
        <v/>
      </c>
      <c r="ICM3" t="str">
        <f>IFERROR(IF($C3="","",SUMIFS(Ledger!$K$2:$K$4, Ledger!$B$2:$B$4, $A3, Ledger!$C$2:$C$4, ICM$2)),"****")</f>
        <v/>
      </c>
      <c r="ICN3" t="str">
        <f>IFERROR(IF($C3="","",SUMIFS(Ledger!$K$2:$K$4, Ledger!$B$2:$B$4, $A3, Ledger!$C$2:$C$4, ICN$2)),"****")</f>
        <v/>
      </c>
      <c r="ICO3" t="str">
        <f>IFERROR(IF($C3="","",SUMIFS(Ledger!$K$2:$K$4, Ledger!$B$2:$B$4, $A3, Ledger!$C$2:$C$4, ICO$2)),"****")</f>
        <v/>
      </c>
      <c r="ICP3" t="str">
        <f>IFERROR(IF($C3="","",SUMIFS(Ledger!$K$2:$K$4, Ledger!$B$2:$B$4, $A3, Ledger!$C$2:$C$4, ICP$2)),"****")</f>
        <v/>
      </c>
      <c r="ICQ3" t="str">
        <f>IFERROR(IF($C3="","",SUMIFS(Ledger!$K$2:$K$4, Ledger!$B$2:$B$4, $A3, Ledger!$C$2:$C$4, ICQ$2)),"****")</f>
        <v/>
      </c>
      <c r="ICR3" t="str">
        <f>IFERROR(IF($C3="","",SUMIFS(Ledger!$K$2:$K$4, Ledger!$B$2:$B$4, $A3, Ledger!$C$2:$C$4, ICR$2)),"****")</f>
        <v/>
      </c>
      <c r="ICS3" t="str">
        <f>IFERROR(IF($C3="","",SUMIFS(Ledger!$K$2:$K$4, Ledger!$B$2:$B$4, $A3, Ledger!$C$2:$C$4, ICS$2)),"****")</f>
        <v/>
      </c>
      <c r="ICT3" t="str">
        <f>IFERROR(IF($C3="","",SUMIFS(Ledger!$K$2:$K$4, Ledger!$B$2:$B$4, $A3, Ledger!$C$2:$C$4, ICT$2)),"****")</f>
        <v/>
      </c>
      <c r="ICU3" t="str">
        <f>IFERROR(IF($C3="","",SUMIFS(Ledger!$K$2:$K$4, Ledger!$B$2:$B$4, $A3, Ledger!$C$2:$C$4, ICU$2)),"****")</f>
        <v/>
      </c>
      <c r="ICV3" t="str">
        <f>IFERROR(IF($C3="","",SUMIFS(Ledger!$K$2:$K$4, Ledger!$B$2:$B$4, $A3, Ledger!$C$2:$C$4, ICV$2)),"****")</f>
        <v/>
      </c>
      <c r="ICW3" t="str">
        <f>IFERROR(IF($C3="","",SUMIFS(Ledger!$K$2:$K$4, Ledger!$B$2:$B$4, $A3, Ledger!$C$2:$C$4, ICW$2)),"****")</f>
        <v/>
      </c>
      <c r="ICX3" t="str">
        <f>IFERROR(IF($C3="","",SUMIFS(Ledger!$K$2:$K$4, Ledger!$B$2:$B$4, $A3, Ledger!$C$2:$C$4, ICX$2)),"****")</f>
        <v/>
      </c>
      <c r="ICY3" t="str">
        <f>IFERROR(IF($C3="","",SUMIFS(Ledger!$K$2:$K$4, Ledger!$B$2:$B$4, $A3, Ledger!$C$2:$C$4, ICY$2)),"****")</f>
        <v/>
      </c>
      <c r="ICZ3" t="str">
        <f>IFERROR(IF($C3="","",SUMIFS(Ledger!$K$2:$K$4, Ledger!$B$2:$B$4, $A3, Ledger!$C$2:$C$4, ICZ$2)),"****")</f>
        <v/>
      </c>
      <c r="IDA3" t="str">
        <f>IFERROR(IF($C3="","",SUMIFS(Ledger!$K$2:$K$4, Ledger!$B$2:$B$4, $A3, Ledger!$C$2:$C$4, IDA$2)),"****")</f>
        <v/>
      </c>
      <c r="IDB3" t="str">
        <f>IFERROR(IF($C3="","",SUMIFS(Ledger!$K$2:$K$4, Ledger!$B$2:$B$4, $A3, Ledger!$C$2:$C$4, IDB$2)),"****")</f>
        <v/>
      </c>
      <c r="IDC3" t="str">
        <f>IFERROR(IF($C3="","",SUMIFS(Ledger!$K$2:$K$4, Ledger!$B$2:$B$4, $A3, Ledger!$C$2:$C$4, IDC$2)),"****")</f>
        <v/>
      </c>
      <c r="IDD3" t="str">
        <f>IFERROR(IF($C3="","",SUMIFS(Ledger!$K$2:$K$4, Ledger!$B$2:$B$4, $A3, Ledger!$C$2:$C$4, IDD$2)),"****")</f>
        <v/>
      </c>
      <c r="IDE3" t="str">
        <f>IFERROR(IF($C3="","",SUMIFS(Ledger!$K$2:$K$4, Ledger!$B$2:$B$4, $A3, Ledger!$C$2:$C$4, IDE$2)),"****")</f>
        <v/>
      </c>
      <c r="IDF3" t="str">
        <f>IFERROR(IF($C3="","",SUMIFS(Ledger!$K$2:$K$4, Ledger!$B$2:$B$4, $A3, Ledger!$C$2:$C$4, IDF$2)),"****")</f>
        <v/>
      </c>
      <c r="IDG3" t="str">
        <f>IFERROR(IF($C3="","",SUMIFS(Ledger!$K$2:$K$4, Ledger!$B$2:$B$4, $A3, Ledger!$C$2:$C$4, IDG$2)),"****")</f>
        <v/>
      </c>
      <c r="IDH3" t="str">
        <f>IFERROR(IF($C3="","",SUMIFS(Ledger!$K$2:$K$4, Ledger!$B$2:$B$4, $A3, Ledger!$C$2:$C$4, IDH$2)),"****")</f>
        <v/>
      </c>
      <c r="IDI3" t="str">
        <f>IFERROR(IF($C3="","",SUMIFS(Ledger!$K$2:$K$4, Ledger!$B$2:$B$4, $A3, Ledger!$C$2:$C$4, IDI$2)),"****")</f>
        <v/>
      </c>
      <c r="IDJ3" t="str">
        <f>IFERROR(IF($C3="","",SUMIFS(Ledger!$K$2:$K$4, Ledger!$B$2:$B$4, $A3, Ledger!$C$2:$C$4, IDJ$2)),"****")</f>
        <v/>
      </c>
      <c r="IDK3" t="str">
        <f>IFERROR(IF($C3="","",SUMIFS(Ledger!$K$2:$K$4, Ledger!$B$2:$B$4, $A3, Ledger!$C$2:$C$4, IDK$2)),"****")</f>
        <v/>
      </c>
      <c r="IDL3" t="str">
        <f>IFERROR(IF($C3="","",SUMIFS(Ledger!$K$2:$K$4, Ledger!$B$2:$B$4, $A3, Ledger!$C$2:$C$4, IDL$2)),"****")</f>
        <v/>
      </c>
      <c r="IDM3" t="str">
        <f>IFERROR(IF($C3="","",SUMIFS(Ledger!$K$2:$K$4, Ledger!$B$2:$B$4, $A3, Ledger!$C$2:$C$4, IDM$2)),"****")</f>
        <v/>
      </c>
      <c r="IDN3" t="str">
        <f>IFERROR(IF($C3="","",SUMIFS(Ledger!$K$2:$K$4, Ledger!$B$2:$B$4, $A3, Ledger!$C$2:$C$4, IDN$2)),"****")</f>
        <v/>
      </c>
      <c r="IDO3" t="str">
        <f>IFERROR(IF($C3="","",SUMIFS(Ledger!$K$2:$K$4, Ledger!$B$2:$B$4, $A3, Ledger!$C$2:$C$4, IDO$2)),"****")</f>
        <v/>
      </c>
      <c r="IDP3" t="str">
        <f>IFERROR(IF($C3="","",SUMIFS(Ledger!$K$2:$K$4, Ledger!$B$2:$B$4, $A3, Ledger!$C$2:$C$4, IDP$2)),"****")</f>
        <v/>
      </c>
      <c r="IDQ3" t="str">
        <f>IFERROR(IF($C3="","",SUMIFS(Ledger!$K$2:$K$4, Ledger!$B$2:$B$4, $A3, Ledger!$C$2:$C$4, IDQ$2)),"****")</f>
        <v/>
      </c>
      <c r="IDR3" t="str">
        <f>IFERROR(IF($C3="","",SUMIFS(Ledger!$K$2:$K$4, Ledger!$B$2:$B$4, $A3, Ledger!$C$2:$C$4, IDR$2)),"****")</f>
        <v/>
      </c>
      <c r="IDS3" t="str">
        <f>IFERROR(IF($C3="","",SUMIFS(Ledger!$K$2:$K$4, Ledger!$B$2:$B$4, $A3, Ledger!$C$2:$C$4, IDS$2)),"****")</f>
        <v/>
      </c>
      <c r="IDT3" t="str">
        <f>IFERROR(IF($C3="","",SUMIFS(Ledger!$K$2:$K$4, Ledger!$B$2:$B$4, $A3, Ledger!$C$2:$C$4, IDT$2)),"****")</f>
        <v/>
      </c>
      <c r="IDU3" t="str">
        <f>IFERROR(IF($C3="","",SUMIFS(Ledger!$K$2:$K$4, Ledger!$B$2:$B$4, $A3, Ledger!$C$2:$C$4, IDU$2)),"****")</f>
        <v/>
      </c>
      <c r="IDV3" t="str">
        <f>IFERROR(IF($C3="","",SUMIFS(Ledger!$K$2:$K$4, Ledger!$B$2:$B$4, $A3, Ledger!$C$2:$C$4, IDV$2)),"****")</f>
        <v/>
      </c>
      <c r="IDW3" t="str">
        <f>IFERROR(IF($C3="","",SUMIFS(Ledger!$K$2:$K$4, Ledger!$B$2:$B$4, $A3, Ledger!$C$2:$C$4, IDW$2)),"****")</f>
        <v/>
      </c>
      <c r="IDX3" t="str">
        <f>IFERROR(IF($C3="","",SUMIFS(Ledger!$K$2:$K$4, Ledger!$B$2:$B$4, $A3, Ledger!$C$2:$C$4, IDX$2)),"****")</f>
        <v/>
      </c>
      <c r="IDY3" t="str">
        <f>IFERROR(IF($C3="","",SUMIFS(Ledger!$K$2:$K$4, Ledger!$B$2:$B$4, $A3, Ledger!$C$2:$C$4, IDY$2)),"****")</f>
        <v/>
      </c>
      <c r="IDZ3" t="str">
        <f>IFERROR(IF($C3="","",SUMIFS(Ledger!$K$2:$K$4, Ledger!$B$2:$B$4, $A3, Ledger!$C$2:$C$4, IDZ$2)),"****")</f>
        <v/>
      </c>
      <c r="IEA3" t="str">
        <f>IFERROR(IF($C3="","",SUMIFS(Ledger!$K$2:$K$4, Ledger!$B$2:$B$4, $A3, Ledger!$C$2:$C$4, IEA$2)),"****")</f>
        <v/>
      </c>
      <c r="IEB3" t="str">
        <f>IFERROR(IF($C3="","",SUMIFS(Ledger!$K$2:$K$4, Ledger!$B$2:$B$4, $A3, Ledger!$C$2:$C$4, IEB$2)),"****")</f>
        <v/>
      </c>
      <c r="IEC3" t="str">
        <f>IFERROR(IF($C3="","",SUMIFS(Ledger!$K$2:$K$4, Ledger!$B$2:$B$4, $A3, Ledger!$C$2:$C$4, IEC$2)),"****")</f>
        <v/>
      </c>
      <c r="IED3" t="str">
        <f>IFERROR(IF($C3="","",SUMIFS(Ledger!$K$2:$K$4, Ledger!$B$2:$B$4, $A3, Ledger!$C$2:$C$4, IED$2)),"****")</f>
        <v/>
      </c>
      <c r="IEE3" t="str">
        <f>IFERROR(IF($C3="","",SUMIFS(Ledger!$K$2:$K$4, Ledger!$B$2:$B$4, $A3, Ledger!$C$2:$C$4, IEE$2)),"****")</f>
        <v/>
      </c>
      <c r="IEF3" t="str">
        <f>IFERROR(IF($C3="","",SUMIFS(Ledger!$K$2:$K$4, Ledger!$B$2:$B$4, $A3, Ledger!$C$2:$C$4, IEF$2)),"****")</f>
        <v/>
      </c>
      <c r="IEG3" t="str">
        <f>IFERROR(IF($C3="","",SUMIFS(Ledger!$K$2:$K$4, Ledger!$B$2:$B$4, $A3, Ledger!$C$2:$C$4, IEG$2)),"****")</f>
        <v/>
      </c>
      <c r="IEH3" t="str">
        <f>IFERROR(IF($C3="","",SUMIFS(Ledger!$K$2:$K$4, Ledger!$B$2:$B$4, $A3, Ledger!$C$2:$C$4, IEH$2)),"****")</f>
        <v/>
      </c>
      <c r="IEI3" t="str">
        <f>IFERROR(IF($C3="","",SUMIFS(Ledger!$K$2:$K$4, Ledger!$B$2:$B$4, $A3, Ledger!$C$2:$C$4, IEI$2)),"****")</f>
        <v/>
      </c>
      <c r="IEJ3" t="str">
        <f>IFERROR(IF($C3="","",SUMIFS(Ledger!$K$2:$K$4, Ledger!$B$2:$B$4, $A3, Ledger!$C$2:$C$4, IEJ$2)),"****")</f>
        <v/>
      </c>
      <c r="IEK3" t="str">
        <f>IFERROR(IF($C3="","",SUMIFS(Ledger!$K$2:$K$4, Ledger!$B$2:$B$4, $A3, Ledger!$C$2:$C$4, IEK$2)),"****")</f>
        <v/>
      </c>
      <c r="IEL3" t="str">
        <f>IFERROR(IF($C3="","",SUMIFS(Ledger!$K$2:$K$4, Ledger!$B$2:$B$4, $A3, Ledger!$C$2:$C$4, IEL$2)),"****")</f>
        <v/>
      </c>
      <c r="IEM3" t="str">
        <f>IFERROR(IF($C3="","",SUMIFS(Ledger!$K$2:$K$4, Ledger!$B$2:$B$4, $A3, Ledger!$C$2:$C$4, IEM$2)),"****")</f>
        <v/>
      </c>
      <c r="IEN3" t="str">
        <f>IFERROR(IF($C3="","",SUMIFS(Ledger!$K$2:$K$4, Ledger!$B$2:$B$4, $A3, Ledger!$C$2:$C$4, IEN$2)),"****")</f>
        <v/>
      </c>
      <c r="IEO3" t="str">
        <f>IFERROR(IF($C3="","",SUMIFS(Ledger!$K$2:$K$4, Ledger!$B$2:$B$4, $A3, Ledger!$C$2:$C$4, IEO$2)),"****")</f>
        <v/>
      </c>
      <c r="IEP3" t="str">
        <f>IFERROR(IF($C3="","",SUMIFS(Ledger!$K$2:$K$4, Ledger!$B$2:$B$4, $A3, Ledger!$C$2:$C$4, IEP$2)),"****")</f>
        <v/>
      </c>
      <c r="IEQ3" t="str">
        <f>IFERROR(IF($C3="","",SUMIFS(Ledger!$K$2:$K$4, Ledger!$B$2:$B$4, $A3, Ledger!$C$2:$C$4, IEQ$2)),"****")</f>
        <v/>
      </c>
      <c r="IER3" t="str">
        <f>IFERROR(IF($C3="","",SUMIFS(Ledger!$K$2:$K$4, Ledger!$B$2:$B$4, $A3, Ledger!$C$2:$C$4, IER$2)),"****")</f>
        <v/>
      </c>
      <c r="IES3" t="str">
        <f>IFERROR(IF($C3="","",SUMIFS(Ledger!$K$2:$K$4, Ledger!$B$2:$B$4, $A3, Ledger!$C$2:$C$4, IES$2)),"****")</f>
        <v/>
      </c>
      <c r="IET3" t="str">
        <f>IFERROR(IF($C3="","",SUMIFS(Ledger!$K$2:$K$4, Ledger!$B$2:$B$4, $A3, Ledger!$C$2:$C$4, IET$2)),"****")</f>
        <v/>
      </c>
      <c r="IEU3" t="str">
        <f>IFERROR(IF($C3="","",SUMIFS(Ledger!$K$2:$K$4, Ledger!$B$2:$B$4, $A3, Ledger!$C$2:$C$4, IEU$2)),"****")</f>
        <v/>
      </c>
      <c r="IEV3" t="str">
        <f>IFERROR(IF($C3="","",SUMIFS(Ledger!$K$2:$K$4, Ledger!$B$2:$B$4, $A3, Ledger!$C$2:$C$4, IEV$2)),"****")</f>
        <v/>
      </c>
      <c r="IEW3" t="str">
        <f>IFERROR(IF($C3="","",SUMIFS(Ledger!$K$2:$K$4, Ledger!$B$2:$B$4, $A3, Ledger!$C$2:$C$4, IEW$2)),"****")</f>
        <v/>
      </c>
      <c r="IEX3" t="str">
        <f>IFERROR(IF($C3="","",SUMIFS(Ledger!$K$2:$K$4, Ledger!$B$2:$B$4, $A3, Ledger!$C$2:$C$4, IEX$2)),"****")</f>
        <v/>
      </c>
      <c r="IEY3" t="str">
        <f>IFERROR(IF($C3="","",SUMIFS(Ledger!$K$2:$K$4, Ledger!$B$2:$B$4, $A3, Ledger!$C$2:$C$4, IEY$2)),"****")</f>
        <v/>
      </c>
      <c r="IEZ3" t="str">
        <f>IFERROR(IF($C3="","",SUMIFS(Ledger!$K$2:$K$4, Ledger!$B$2:$B$4, $A3, Ledger!$C$2:$C$4, IEZ$2)),"****")</f>
        <v/>
      </c>
      <c r="IFA3" t="str">
        <f>IFERROR(IF($C3="","",SUMIFS(Ledger!$K$2:$K$4, Ledger!$B$2:$B$4, $A3, Ledger!$C$2:$C$4, IFA$2)),"****")</f>
        <v/>
      </c>
      <c r="IFB3" t="str">
        <f>IFERROR(IF($C3="","",SUMIFS(Ledger!$K$2:$K$4, Ledger!$B$2:$B$4, $A3, Ledger!$C$2:$C$4, IFB$2)),"****")</f>
        <v/>
      </c>
      <c r="IFC3" t="str">
        <f>IFERROR(IF($C3="","",SUMIFS(Ledger!$K$2:$K$4, Ledger!$B$2:$B$4, $A3, Ledger!$C$2:$C$4, IFC$2)),"****")</f>
        <v/>
      </c>
      <c r="IFD3" t="str">
        <f>IFERROR(IF($C3="","",SUMIFS(Ledger!$K$2:$K$4, Ledger!$B$2:$B$4, $A3, Ledger!$C$2:$C$4, IFD$2)),"****")</f>
        <v/>
      </c>
      <c r="IFE3" t="str">
        <f>IFERROR(IF($C3="","",SUMIFS(Ledger!$K$2:$K$4, Ledger!$B$2:$B$4, $A3, Ledger!$C$2:$C$4, IFE$2)),"****")</f>
        <v/>
      </c>
      <c r="IFF3" t="str">
        <f>IFERROR(IF($C3="","",SUMIFS(Ledger!$K$2:$K$4, Ledger!$B$2:$B$4, $A3, Ledger!$C$2:$C$4, IFF$2)),"****")</f>
        <v/>
      </c>
      <c r="IFG3" t="str">
        <f>IFERROR(IF($C3="","",SUMIFS(Ledger!$K$2:$K$4, Ledger!$B$2:$B$4, $A3, Ledger!$C$2:$C$4, IFG$2)),"****")</f>
        <v/>
      </c>
      <c r="IFH3" t="str">
        <f>IFERROR(IF($C3="","",SUMIFS(Ledger!$K$2:$K$4, Ledger!$B$2:$B$4, $A3, Ledger!$C$2:$C$4, IFH$2)),"****")</f>
        <v/>
      </c>
      <c r="IFI3" t="str">
        <f>IFERROR(IF($C3="","",SUMIFS(Ledger!$K$2:$K$4, Ledger!$B$2:$B$4, $A3, Ledger!$C$2:$C$4, IFI$2)),"****")</f>
        <v/>
      </c>
      <c r="IFJ3" t="str">
        <f>IFERROR(IF($C3="","",SUMIFS(Ledger!$K$2:$K$4, Ledger!$B$2:$B$4, $A3, Ledger!$C$2:$C$4, IFJ$2)),"****")</f>
        <v/>
      </c>
      <c r="IFK3" t="str">
        <f>IFERROR(IF($C3="","",SUMIFS(Ledger!$K$2:$K$4, Ledger!$B$2:$B$4, $A3, Ledger!$C$2:$C$4, IFK$2)),"****")</f>
        <v/>
      </c>
      <c r="IFL3" t="str">
        <f>IFERROR(IF($C3="","",SUMIFS(Ledger!$K$2:$K$4, Ledger!$B$2:$B$4, $A3, Ledger!$C$2:$C$4, IFL$2)),"****")</f>
        <v/>
      </c>
      <c r="IFM3" t="str">
        <f>IFERROR(IF($C3="","",SUMIFS(Ledger!$K$2:$K$4, Ledger!$B$2:$B$4, $A3, Ledger!$C$2:$C$4, IFM$2)),"****")</f>
        <v/>
      </c>
      <c r="IFN3" t="str">
        <f>IFERROR(IF($C3="","",SUMIFS(Ledger!$K$2:$K$4, Ledger!$B$2:$B$4, $A3, Ledger!$C$2:$C$4, IFN$2)),"****")</f>
        <v/>
      </c>
      <c r="IFO3" t="str">
        <f>IFERROR(IF($C3="","",SUMIFS(Ledger!$K$2:$K$4, Ledger!$B$2:$B$4, $A3, Ledger!$C$2:$C$4, IFO$2)),"****")</f>
        <v/>
      </c>
      <c r="IFP3" t="str">
        <f>IFERROR(IF($C3="","",SUMIFS(Ledger!$K$2:$K$4, Ledger!$B$2:$B$4, $A3, Ledger!$C$2:$C$4, IFP$2)),"****")</f>
        <v/>
      </c>
      <c r="IFQ3" t="str">
        <f>IFERROR(IF($C3="","",SUMIFS(Ledger!$K$2:$K$4, Ledger!$B$2:$B$4, $A3, Ledger!$C$2:$C$4, IFQ$2)),"****")</f>
        <v/>
      </c>
      <c r="IFR3" t="str">
        <f>IFERROR(IF($C3="","",SUMIFS(Ledger!$K$2:$K$4, Ledger!$B$2:$B$4, $A3, Ledger!$C$2:$C$4, IFR$2)),"****")</f>
        <v/>
      </c>
      <c r="IFS3" t="str">
        <f>IFERROR(IF($C3="","",SUMIFS(Ledger!$K$2:$K$4, Ledger!$B$2:$B$4, $A3, Ledger!$C$2:$C$4, IFS$2)),"****")</f>
        <v/>
      </c>
      <c r="IFT3" t="str">
        <f>IFERROR(IF($C3="","",SUMIFS(Ledger!$K$2:$K$4, Ledger!$B$2:$B$4, $A3, Ledger!$C$2:$C$4, IFT$2)),"****")</f>
        <v/>
      </c>
      <c r="IFU3" t="str">
        <f>IFERROR(IF($C3="","",SUMIFS(Ledger!$K$2:$K$4, Ledger!$B$2:$B$4, $A3, Ledger!$C$2:$C$4, IFU$2)),"****")</f>
        <v/>
      </c>
      <c r="IFV3" t="str">
        <f>IFERROR(IF($C3="","",SUMIFS(Ledger!$K$2:$K$4, Ledger!$B$2:$B$4, $A3, Ledger!$C$2:$C$4, IFV$2)),"****")</f>
        <v/>
      </c>
      <c r="IFW3" t="str">
        <f>IFERROR(IF($C3="","",SUMIFS(Ledger!$K$2:$K$4, Ledger!$B$2:$B$4, $A3, Ledger!$C$2:$C$4, IFW$2)),"****")</f>
        <v/>
      </c>
      <c r="IFX3" t="str">
        <f>IFERROR(IF($C3="","",SUMIFS(Ledger!$K$2:$K$4, Ledger!$B$2:$B$4, $A3, Ledger!$C$2:$C$4, IFX$2)),"****")</f>
        <v/>
      </c>
      <c r="IFY3" t="str">
        <f>IFERROR(IF($C3="","",SUMIFS(Ledger!$K$2:$K$4, Ledger!$B$2:$B$4, $A3, Ledger!$C$2:$C$4, IFY$2)),"****")</f>
        <v/>
      </c>
      <c r="IFZ3" t="str">
        <f>IFERROR(IF($C3="","",SUMIFS(Ledger!$K$2:$K$4, Ledger!$B$2:$B$4, $A3, Ledger!$C$2:$C$4, IFZ$2)),"****")</f>
        <v/>
      </c>
      <c r="IGA3" t="str">
        <f>IFERROR(IF($C3="","",SUMIFS(Ledger!$K$2:$K$4, Ledger!$B$2:$B$4, $A3, Ledger!$C$2:$C$4, IGA$2)),"****")</f>
        <v/>
      </c>
      <c r="IGB3" t="str">
        <f>IFERROR(IF($C3="","",SUMIFS(Ledger!$K$2:$K$4, Ledger!$B$2:$B$4, $A3, Ledger!$C$2:$C$4, IGB$2)),"****")</f>
        <v/>
      </c>
      <c r="IGC3" t="str">
        <f>IFERROR(IF($C3="","",SUMIFS(Ledger!$K$2:$K$4, Ledger!$B$2:$B$4, $A3, Ledger!$C$2:$C$4, IGC$2)),"****")</f>
        <v/>
      </c>
      <c r="IGD3" t="str">
        <f>IFERROR(IF($C3="","",SUMIFS(Ledger!$K$2:$K$4, Ledger!$B$2:$B$4, $A3, Ledger!$C$2:$C$4, IGD$2)),"****")</f>
        <v/>
      </c>
      <c r="IGE3" t="str">
        <f>IFERROR(IF($C3="","",SUMIFS(Ledger!$K$2:$K$4, Ledger!$B$2:$B$4, $A3, Ledger!$C$2:$C$4, IGE$2)),"****")</f>
        <v/>
      </c>
      <c r="IGF3" t="str">
        <f>IFERROR(IF($C3="","",SUMIFS(Ledger!$K$2:$K$4, Ledger!$B$2:$B$4, $A3, Ledger!$C$2:$C$4, IGF$2)),"****")</f>
        <v/>
      </c>
      <c r="IGG3" t="str">
        <f>IFERROR(IF($C3="","",SUMIFS(Ledger!$K$2:$K$4, Ledger!$B$2:$B$4, $A3, Ledger!$C$2:$C$4, IGG$2)),"****")</f>
        <v/>
      </c>
      <c r="IGH3" t="str">
        <f>IFERROR(IF($C3="","",SUMIFS(Ledger!$K$2:$K$4, Ledger!$B$2:$B$4, $A3, Ledger!$C$2:$C$4, IGH$2)),"****")</f>
        <v/>
      </c>
      <c r="IGI3" t="str">
        <f>IFERROR(IF($C3="","",SUMIFS(Ledger!$K$2:$K$4, Ledger!$B$2:$B$4, $A3, Ledger!$C$2:$C$4, IGI$2)),"****")</f>
        <v/>
      </c>
      <c r="IGJ3" t="str">
        <f>IFERROR(IF($C3="","",SUMIFS(Ledger!$K$2:$K$4, Ledger!$B$2:$B$4, $A3, Ledger!$C$2:$C$4, IGJ$2)),"****")</f>
        <v/>
      </c>
      <c r="IGK3" t="str">
        <f>IFERROR(IF($C3="","",SUMIFS(Ledger!$K$2:$K$4, Ledger!$B$2:$B$4, $A3, Ledger!$C$2:$C$4, IGK$2)),"****")</f>
        <v/>
      </c>
      <c r="IGL3" t="str">
        <f>IFERROR(IF($C3="","",SUMIFS(Ledger!$K$2:$K$4, Ledger!$B$2:$B$4, $A3, Ledger!$C$2:$C$4, IGL$2)),"****")</f>
        <v/>
      </c>
      <c r="IGM3" t="str">
        <f>IFERROR(IF($C3="","",SUMIFS(Ledger!$K$2:$K$4, Ledger!$B$2:$B$4, $A3, Ledger!$C$2:$C$4, IGM$2)),"****")</f>
        <v/>
      </c>
      <c r="IGN3" t="str">
        <f>IFERROR(IF($C3="","",SUMIFS(Ledger!$K$2:$K$4, Ledger!$B$2:$B$4, $A3, Ledger!$C$2:$C$4, IGN$2)),"****")</f>
        <v/>
      </c>
      <c r="IGO3" t="str">
        <f>IFERROR(IF($C3="","",SUMIFS(Ledger!$K$2:$K$4, Ledger!$B$2:$B$4, $A3, Ledger!$C$2:$C$4, IGO$2)),"****")</f>
        <v/>
      </c>
      <c r="IGP3" t="str">
        <f>IFERROR(IF($C3="","",SUMIFS(Ledger!$K$2:$K$4, Ledger!$B$2:$B$4, $A3, Ledger!$C$2:$C$4, IGP$2)),"****")</f>
        <v/>
      </c>
      <c r="IGQ3" t="str">
        <f>IFERROR(IF($C3="","",SUMIFS(Ledger!$K$2:$K$4, Ledger!$B$2:$B$4, $A3, Ledger!$C$2:$C$4, IGQ$2)),"****")</f>
        <v/>
      </c>
      <c r="IGR3" t="str">
        <f>IFERROR(IF($C3="","",SUMIFS(Ledger!$K$2:$K$4, Ledger!$B$2:$B$4, $A3, Ledger!$C$2:$C$4, IGR$2)),"****")</f>
        <v/>
      </c>
      <c r="IGS3" t="str">
        <f>IFERROR(IF($C3="","",SUMIFS(Ledger!$K$2:$K$4, Ledger!$B$2:$B$4, $A3, Ledger!$C$2:$C$4, IGS$2)),"****")</f>
        <v/>
      </c>
      <c r="IGT3" t="str">
        <f>IFERROR(IF($C3="","",SUMIFS(Ledger!$K$2:$K$4, Ledger!$B$2:$B$4, $A3, Ledger!$C$2:$C$4, IGT$2)),"****")</f>
        <v/>
      </c>
      <c r="IGU3" t="str">
        <f>IFERROR(IF($C3="","",SUMIFS(Ledger!$K$2:$K$4, Ledger!$B$2:$B$4, $A3, Ledger!$C$2:$C$4, IGU$2)),"****")</f>
        <v/>
      </c>
      <c r="IGV3" t="str">
        <f>IFERROR(IF($C3="","",SUMIFS(Ledger!$K$2:$K$4, Ledger!$B$2:$B$4, $A3, Ledger!$C$2:$C$4, IGV$2)),"****")</f>
        <v/>
      </c>
      <c r="IGW3" t="str">
        <f>IFERROR(IF($C3="","",SUMIFS(Ledger!$K$2:$K$4, Ledger!$B$2:$B$4, $A3, Ledger!$C$2:$C$4, IGW$2)),"****")</f>
        <v/>
      </c>
      <c r="IGX3" t="str">
        <f>IFERROR(IF($C3="","",SUMIFS(Ledger!$K$2:$K$4, Ledger!$B$2:$B$4, $A3, Ledger!$C$2:$C$4, IGX$2)),"****")</f>
        <v/>
      </c>
      <c r="IGY3" t="str">
        <f>IFERROR(IF($C3="","",SUMIFS(Ledger!$K$2:$K$4, Ledger!$B$2:$B$4, $A3, Ledger!$C$2:$C$4, IGY$2)),"****")</f>
        <v/>
      </c>
      <c r="IGZ3" t="str">
        <f>IFERROR(IF($C3="","",SUMIFS(Ledger!$K$2:$K$4, Ledger!$B$2:$B$4, $A3, Ledger!$C$2:$C$4, IGZ$2)),"****")</f>
        <v/>
      </c>
      <c r="IHA3" t="str">
        <f>IFERROR(IF($C3="","",SUMIFS(Ledger!$K$2:$K$4, Ledger!$B$2:$B$4, $A3, Ledger!$C$2:$C$4, IHA$2)),"****")</f>
        <v/>
      </c>
      <c r="IHB3" t="str">
        <f>IFERROR(IF($C3="","",SUMIFS(Ledger!$K$2:$K$4, Ledger!$B$2:$B$4, $A3, Ledger!$C$2:$C$4, IHB$2)),"****")</f>
        <v/>
      </c>
      <c r="IHC3" t="str">
        <f>IFERROR(IF($C3="","",SUMIFS(Ledger!$K$2:$K$4, Ledger!$B$2:$B$4, $A3, Ledger!$C$2:$C$4, IHC$2)),"****")</f>
        <v/>
      </c>
      <c r="IHD3" t="str">
        <f>IFERROR(IF($C3="","",SUMIFS(Ledger!$K$2:$K$4, Ledger!$B$2:$B$4, $A3, Ledger!$C$2:$C$4, IHD$2)),"****")</f>
        <v/>
      </c>
      <c r="IHE3" t="str">
        <f>IFERROR(IF($C3="","",SUMIFS(Ledger!$K$2:$K$4, Ledger!$B$2:$B$4, $A3, Ledger!$C$2:$C$4, IHE$2)),"****")</f>
        <v/>
      </c>
      <c r="IHF3" t="str">
        <f>IFERROR(IF($C3="","",SUMIFS(Ledger!$K$2:$K$4, Ledger!$B$2:$B$4, $A3, Ledger!$C$2:$C$4, IHF$2)),"****")</f>
        <v/>
      </c>
      <c r="IHG3" t="str">
        <f>IFERROR(IF($C3="","",SUMIFS(Ledger!$K$2:$K$4, Ledger!$B$2:$B$4, $A3, Ledger!$C$2:$C$4, IHG$2)),"****")</f>
        <v/>
      </c>
      <c r="IHH3" t="str">
        <f>IFERROR(IF($C3="","",SUMIFS(Ledger!$K$2:$K$4, Ledger!$B$2:$B$4, $A3, Ledger!$C$2:$C$4, IHH$2)),"****")</f>
        <v/>
      </c>
      <c r="IHI3" t="str">
        <f>IFERROR(IF($C3="","",SUMIFS(Ledger!$K$2:$K$4, Ledger!$B$2:$B$4, $A3, Ledger!$C$2:$C$4, IHI$2)),"****")</f>
        <v/>
      </c>
      <c r="IHJ3" t="str">
        <f>IFERROR(IF($C3="","",SUMIFS(Ledger!$K$2:$K$4, Ledger!$B$2:$B$4, $A3, Ledger!$C$2:$C$4, IHJ$2)),"****")</f>
        <v/>
      </c>
      <c r="IHK3" t="str">
        <f>IFERROR(IF($C3="","",SUMIFS(Ledger!$K$2:$K$4, Ledger!$B$2:$B$4, $A3, Ledger!$C$2:$C$4, IHK$2)),"****")</f>
        <v/>
      </c>
      <c r="IHL3" t="str">
        <f>IFERROR(IF($C3="","",SUMIFS(Ledger!$K$2:$K$4, Ledger!$B$2:$B$4, $A3, Ledger!$C$2:$C$4, IHL$2)),"****")</f>
        <v/>
      </c>
      <c r="IHM3" t="str">
        <f>IFERROR(IF($C3="","",SUMIFS(Ledger!$K$2:$K$4, Ledger!$B$2:$B$4, $A3, Ledger!$C$2:$C$4, IHM$2)),"****")</f>
        <v/>
      </c>
      <c r="IHN3" t="str">
        <f>IFERROR(IF($C3="","",SUMIFS(Ledger!$K$2:$K$4, Ledger!$B$2:$B$4, $A3, Ledger!$C$2:$C$4, IHN$2)),"****")</f>
        <v/>
      </c>
      <c r="IHO3" t="str">
        <f>IFERROR(IF($C3="","",SUMIFS(Ledger!$K$2:$K$4, Ledger!$B$2:$B$4, $A3, Ledger!$C$2:$C$4, IHO$2)),"****")</f>
        <v/>
      </c>
      <c r="IHP3" t="str">
        <f>IFERROR(IF($C3="","",SUMIFS(Ledger!$K$2:$K$4, Ledger!$B$2:$B$4, $A3, Ledger!$C$2:$C$4, IHP$2)),"****")</f>
        <v/>
      </c>
      <c r="IHQ3" t="str">
        <f>IFERROR(IF($C3="","",SUMIFS(Ledger!$K$2:$K$4, Ledger!$B$2:$B$4, $A3, Ledger!$C$2:$C$4, IHQ$2)),"****")</f>
        <v/>
      </c>
      <c r="IHR3" t="str">
        <f>IFERROR(IF($C3="","",SUMIFS(Ledger!$K$2:$K$4, Ledger!$B$2:$B$4, $A3, Ledger!$C$2:$C$4, IHR$2)),"****")</f>
        <v/>
      </c>
      <c r="IHS3" t="str">
        <f>IFERROR(IF($C3="","",SUMIFS(Ledger!$K$2:$K$4, Ledger!$B$2:$B$4, $A3, Ledger!$C$2:$C$4, IHS$2)),"****")</f>
        <v/>
      </c>
      <c r="IHT3" t="str">
        <f>IFERROR(IF($C3="","",SUMIFS(Ledger!$K$2:$K$4, Ledger!$B$2:$B$4, $A3, Ledger!$C$2:$C$4, IHT$2)),"****")</f>
        <v/>
      </c>
      <c r="IHU3" t="str">
        <f>IFERROR(IF($C3="","",SUMIFS(Ledger!$K$2:$K$4, Ledger!$B$2:$B$4, $A3, Ledger!$C$2:$C$4, IHU$2)),"****")</f>
        <v/>
      </c>
      <c r="IHV3" t="str">
        <f>IFERROR(IF($C3="","",SUMIFS(Ledger!$K$2:$K$4, Ledger!$B$2:$B$4, $A3, Ledger!$C$2:$C$4, IHV$2)),"****")</f>
        <v/>
      </c>
      <c r="IHW3" t="str">
        <f>IFERROR(IF($C3="","",SUMIFS(Ledger!$K$2:$K$4, Ledger!$B$2:$B$4, $A3, Ledger!$C$2:$C$4, IHW$2)),"****")</f>
        <v/>
      </c>
      <c r="IHX3" t="str">
        <f>IFERROR(IF($C3="","",SUMIFS(Ledger!$K$2:$K$4, Ledger!$B$2:$B$4, $A3, Ledger!$C$2:$C$4, IHX$2)),"****")</f>
        <v/>
      </c>
      <c r="IHY3" t="str">
        <f>IFERROR(IF($C3="","",SUMIFS(Ledger!$K$2:$K$4, Ledger!$B$2:$B$4, $A3, Ledger!$C$2:$C$4, IHY$2)),"****")</f>
        <v/>
      </c>
      <c r="IHZ3" t="str">
        <f>IFERROR(IF($C3="","",SUMIFS(Ledger!$K$2:$K$4, Ledger!$B$2:$B$4, $A3, Ledger!$C$2:$C$4, IHZ$2)),"****")</f>
        <v/>
      </c>
      <c r="IIA3" t="str">
        <f>IFERROR(IF($C3="","",SUMIFS(Ledger!$K$2:$K$4, Ledger!$B$2:$B$4, $A3, Ledger!$C$2:$C$4, IIA$2)),"****")</f>
        <v/>
      </c>
      <c r="IIB3" t="str">
        <f>IFERROR(IF($C3="","",SUMIFS(Ledger!$K$2:$K$4, Ledger!$B$2:$B$4, $A3, Ledger!$C$2:$C$4, IIB$2)),"****")</f>
        <v/>
      </c>
      <c r="IIC3" t="str">
        <f>IFERROR(IF($C3="","",SUMIFS(Ledger!$K$2:$K$4, Ledger!$B$2:$B$4, $A3, Ledger!$C$2:$C$4, IIC$2)),"****")</f>
        <v/>
      </c>
      <c r="IID3" t="str">
        <f>IFERROR(IF($C3="","",SUMIFS(Ledger!$K$2:$K$4, Ledger!$B$2:$B$4, $A3, Ledger!$C$2:$C$4, IID$2)),"****")</f>
        <v/>
      </c>
      <c r="IIE3" t="str">
        <f>IFERROR(IF($C3="","",SUMIFS(Ledger!$K$2:$K$4, Ledger!$B$2:$B$4, $A3, Ledger!$C$2:$C$4, IIE$2)),"****")</f>
        <v/>
      </c>
      <c r="IIF3" t="str">
        <f>IFERROR(IF($C3="","",SUMIFS(Ledger!$K$2:$K$4, Ledger!$B$2:$B$4, $A3, Ledger!$C$2:$C$4, IIF$2)),"****")</f>
        <v/>
      </c>
      <c r="IIG3" t="str">
        <f>IFERROR(IF($C3="","",SUMIFS(Ledger!$K$2:$K$4, Ledger!$B$2:$B$4, $A3, Ledger!$C$2:$C$4, IIG$2)),"****")</f>
        <v/>
      </c>
      <c r="IIH3" t="str">
        <f>IFERROR(IF($C3="","",SUMIFS(Ledger!$K$2:$K$4, Ledger!$B$2:$B$4, $A3, Ledger!$C$2:$C$4, IIH$2)),"****")</f>
        <v/>
      </c>
      <c r="III3" t="str">
        <f>IFERROR(IF($C3="","",SUMIFS(Ledger!$K$2:$K$4, Ledger!$B$2:$B$4, $A3, Ledger!$C$2:$C$4, III$2)),"****")</f>
        <v/>
      </c>
      <c r="IIJ3" t="str">
        <f>IFERROR(IF($C3="","",SUMIFS(Ledger!$K$2:$K$4, Ledger!$B$2:$B$4, $A3, Ledger!$C$2:$C$4, IIJ$2)),"****")</f>
        <v/>
      </c>
      <c r="IIK3" t="str">
        <f>IFERROR(IF($C3="","",SUMIFS(Ledger!$K$2:$K$4, Ledger!$B$2:$B$4, $A3, Ledger!$C$2:$C$4, IIK$2)),"****")</f>
        <v/>
      </c>
      <c r="IIL3" t="str">
        <f>IFERROR(IF($C3="","",SUMIFS(Ledger!$K$2:$K$4, Ledger!$B$2:$B$4, $A3, Ledger!$C$2:$C$4, IIL$2)),"****")</f>
        <v/>
      </c>
      <c r="IIM3" t="str">
        <f>IFERROR(IF($C3="","",SUMIFS(Ledger!$K$2:$K$4, Ledger!$B$2:$B$4, $A3, Ledger!$C$2:$C$4, IIM$2)),"****")</f>
        <v/>
      </c>
      <c r="IIN3" t="str">
        <f>IFERROR(IF($C3="","",SUMIFS(Ledger!$K$2:$K$4, Ledger!$B$2:$B$4, $A3, Ledger!$C$2:$C$4, IIN$2)),"****")</f>
        <v/>
      </c>
      <c r="IIO3" t="str">
        <f>IFERROR(IF($C3="","",SUMIFS(Ledger!$K$2:$K$4, Ledger!$B$2:$B$4, $A3, Ledger!$C$2:$C$4, IIO$2)),"****")</f>
        <v/>
      </c>
      <c r="IIP3" t="str">
        <f>IFERROR(IF($C3="","",SUMIFS(Ledger!$K$2:$K$4, Ledger!$B$2:$B$4, $A3, Ledger!$C$2:$C$4, IIP$2)),"****")</f>
        <v/>
      </c>
      <c r="IIQ3" t="str">
        <f>IFERROR(IF($C3="","",SUMIFS(Ledger!$K$2:$K$4, Ledger!$B$2:$B$4, $A3, Ledger!$C$2:$C$4, IIQ$2)),"****")</f>
        <v/>
      </c>
      <c r="IIR3" t="str">
        <f>IFERROR(IF($C3="","",SUMIFS(Ledger!$K$2:$K$4, Ledger!$B$2:$B$4, $A3, Ledger!$C$2:$C$4, IIR$2)),"****")</f>
        <v/>
      </c>
      <c r="IIS3" t="str">
        <f>IFERROR(IF($C3="","",SUMIFS(Ledger!$K$2:$K$4, Ledger!$B$2:$B$4, $A3, Ledger!$C$2:$C$4, IIS$2)),"****")</f>
        <v/>
      </c>
      <c r="IIT3" t="str">
        <f>IFERROR(IF($C3="","",SUMIFS(Ledger!$K$2:$K$4, Ledger!$B$2:$B$4, $A3, Ledger!$C$2:$C$4, IIT$2)),"****")</f>
        <v/>
      </c>
      <c r="IIU3" t="str">
        <f>IFERROR(IF($C3="","",SUMIFS(Ledger!$K$2:$K$4, Ledger!$B$2:$B$4, $A3, Ledger!$C$2:$C$4, IIU$2)),"****")</f>
        <v/>
      </c>
      <c r="IIV3" t="str">
        <f>IFERROR(IF($C3="","",SUMIFS(Ledger!$K$2:$K$4, Ledger!$B$2:$B$4, $A3, Ledger!$C$2:$C$4, IIV$2)),"****")</f>
        <v/>
      </c>
      <c r="IIW3" t="str">
        <f>IFERROR(IF($C3="","",SUMIFS(Ledger!$K$2:$K$4, Ledger!$B$2:$B$4, $A3, Ledger!$C$2:$C$4, IIW$2)),"****")</f>
        <v/>
      </c>
      <c r="IIX3" t="str">
        <f>IFERROR(IF($C3="","",SUMIFS(Ledger!$K$2:$K$4, Ledger!$B$2:$B$4, $A3, Ledger!$C$2:$C$4, IIX$2)),"****")</f>
        <v/>
      </c>
      <c r="IIY3" t="str">
        <f>IFERROR(IF($C3="","",SUMIFS(Ledger!$K$2:$K$4, Ledger!$B$2:$B$4, $A3, Ledger!$C$2:$C$4, IIY$2)),"****")</f>
        <v/>
      </c>
      <c r="IIZ3" t="str">
        <f>IFERROR(IF($C3="","",SUMIFS(Ledger!$K$2:$K$4, Ledger!$B$2:$B$4, $A3, Ledger!$C$2:$C$4, IIZ$2)),"****")</f>
        <v/>
      </c>
      <c r="IJA3" t="str">
        <f>IFERROR(IF($C3="","",SUMIFS(Ledger!$K$2:$K$4, Ledger!$B$2:$B$4, $A3, Ledger!$C$2:$C$4, IJA$2)),"****")</f>
        <v/>
      </c>
      <c r="IJB3" t="str">
        <f>IFERROR(IF($C3="","",SUMIFS(Ledger!$K$2:$K$4, Ledger!$B$2:$B$4, $A3, Ledger!$C$2:$C$4, IJB$2)),"****")</f>
        <v/>
      </c>
      <c r="IJC3" t="str">
        <f>IFERROR(IF($C3="","",SUMIFS(Ledger!$K$2:$K$4, Ledger!$B$2:$B$4, $A3, Ledger!$C$2:$C$4, IJC$2)),"****")</f>
        <v/>
      </c>
      <c r="IJD3" t="str">
        <f>IFERROR(IF($C3="","",SUMIFS(Ledger!$K$2:$K$4, Ledger!$B$2:$B$4, $A3, Ledger!$C$2:$C$4, IJD$2)),"****")</f>
        <v/>
      </c>
      <c r="IJE3" t="str">
        <f>IFERROR(IF($C3="","",SUMIFS(Ledger!$K$2:$K$4, Ledger!$B$2:$B$4, $A3, Ledger!$C$2:$C$4, IJE$2)),"****")</f>
        <v/>
      </c>
      <c r="IJF3" t="str">
        <f>IFERROR(IF($C3="","",SUMIFS(Ledger!$K$2:$K$4, Ledger!$B$2:$B$4, $A3, Ledger!$C$2:$C$4, IJF$2)),"****")</f>
        <v/>
      </c>
      <c r="IJG3" t="str">
        <f>IFERROR(IF($C3="","",SUMIFS(Ledger!$K$2:$K$4, Ledger!$B$2:$B$4, $A3, Ledger!$C$2:$C$4, IJG$2)),"****")</f>
        <v/>
      </c>
      <c r="IJH3" t="str">
        <f>IFERROR(IF($C3="","",SUMIFS(Ledger!$K$2:$K$4, Ledger!$B$2:$B$4, $A3, Ledger!$C$2:$C$4, IJH$2)),"****")</f>
        <v/>
      </c>
      <c r="IJI3" t="str">
        <f>IFERROR(IF($C3="","",SUMIFS(Ledger!$K$2:$K$4, Ledger!$B$2:$B$4, $A3, Ledger!$C$2:$C$4, IJI$2)),"****")</f>
        <v/>
      </c>
      <c r="IJJ3" t="str">
        <f>IFERROR(IF($C3="","",SUMIFS(Ledger!$K$2:$K$4, Ledger!$B$2:$B$4, $A3, Ledger!$C$2:$C$4, IJJ$2)),"****")</f>
        <v/>
      </c>
      <c r="IJK3" t="str">
        <f>IFERROR(IF($C3="","",SUMIFS(Ledger!$K$2:$K$4, Ledger!$B$2:$B$4, $A3, Ledger!$C$2:$C$4, IJK$2)),"****")</f>
        <v/>
      </c>
      <c r="IJL3" t="str">
        <f>IFERROR(IF($C3="","",SUMIFS(Ledger!$K$2:$K$4, Ledger!$B$2:$B$4, $A3, Ledger!$C$2:$C$4, IJL$2)),"****")</f>
        <v/>
      </c>
      <c r="IJM3" t="str">
        <f>IFERROR(IF($C3="","",SUMIFS(Ledger!$K$2:$K$4, Ledger!$B$2:$B$4, $A3, Ledger!$C$2:$C$4, IJM$2)),"****")</f>
        <v/>
      </c>
      <c r="IJN3" t="str">
        <f>IFERROR(IF($C3="","",SUMIFS(Ledger!$K$2:$K$4, Ledger!$B$2:$B$4, $A3, Ledger!$C$2:$C$4, IJN$2)),"****")</f>
        <v/>
      </c>
      <c r="IJO3" t="str">
        <f>IFERROR(IF($C3="","",SUMIFS(Ledger!$K$2:$K$4, Ledger!$B$2:$B$4, $A3, Ledger!$C$2:$C$4, IJO$2)),"****")</f>
        <v/>
      </c>
      <c r="IJP3" t="str">
        <f>IFERROR(IF($C3="","",SUMIFS(Ledger!$K$2:$K$4, Ledger!$B$2:$B$4, $A3, Ledger!$C$2:$C$4, IJP$2)),"****")</f>
        <v/>
      </c>
      <c r="IJQ3" t="str">
        <f>IFERROR(IF($C3="","",SUMIFS(Ledger!$K$2:$K$4, Ledger!$B$2:$B$4, $A3, Ledger!$C$2:$C$4, IJQ$2)),"****")</f>
        <v/>
      </c>
      <c r="IJR3" t="str">
        <f>IFERROR(IF($C3="","",SUMIFS(Ledger!$K$2:$K$4, Ledger!$B$2:$B$4, $A3, Ledger!$C$2:$C$4, IJR$2)),"****")</f>
        <v/>
      </c>
      <c r="IJS3" t="str">
        <f>IFERROR(IF($C3="","",SUMIFS(Ledger!$K$2:$K$4, Ledger!$B$2:$B$4, $A3, Ledger!$C$2:$C$4, IJS$2)),"****")</f>
        <v/>
      </c>
      <c r="IJT3" t="str">
        <f>IFERROR(IF($C3="","",SUMIFS(Ledger!$K$2:$K$4, Ledger!$B$2:$B$4, $A3, Ledger!$C$2:$C$4, IJT$2)),"****")</f>
        <v/>
      </c>
      <c r="IJU3" t="str">
        <f>IFERROR(IF($C3="","",SUMIFS(Ledger!$K$2:$K$4, Ledger!$B$2:$B$4, $A3, Ledger!$C$2:$C$4, IJU$2)),"****")</f>
        <v/>
      </c>
      <c r="IJV3" t="str">
        <f>IFERROR(IF($C3="","",SUMIFS(Ledger!$K$2:$K$4, Ledger!$B$2:$B$4, $A3, Ledger!$C$2:$C$4, IJV$2)),"****")</f>
        <v/>
      </c>
      <c r="IJW3" t="str">
        <f>IFERROR(IF($C3="","",SUMIFS(Ledger!$K$2:$K$4, Ledger!$B$2:$B$4, $A3, Ledger!$C$2:$C$4, IJW$2)),"****")</f>
        <v/>
      </c>
      <c r="IJX3" t="str">
        <f>IFERROR(IF($C3="","",SUMIFS(Ledger!$K$2:$K$4, Ledger!$B$2:$B$4, $A3, Ledger!$C$2:$C$4, IJX$2)),"****")</f>
        <v/>
      </c>
      <c r="IJY3" t="str">
        <f>IFERROR(IF($C3="","",SUMIFS(Ledger!$K$2:$K$4, Ledger!$B$2:$B$4, $A3, Ledger!$C$2:$C$4, IJY$2)),"****")</f>
        <v/>
      </c>
      <c r="IJZ3" t="str">
        <f>IFERROR(IF($C3="","",SUMIFS(Ledger!$K$2:$K$4, Ledger!$B$2:$B$4, $A3, Ledger!$C$2:$C$4, IJZ$2)),"****")</f>
        <v/>
      </c>
      <c r="IKA3" t="str">
        <f>IFERROR(IF($C3="","",SUMIFS(Ledger!$K$2:$K$4, Ledger!$B$2:$B$4, $A3, Ledger!$C$2:$C$4, IKA$2)),"****")</f>
        <v/>
      </c>
      <c r="IKB3" t="str">
        <f>IFERROR(IF($C3="","",SUMIFS(Ledger!$K$2:$K$4, Ledger!$B$2:$B$4, $A3, Ledger!$C$2:$C$4, IKB$2)),"****")</f>
        <v/>
      </c>
      <c r="IKC3" t="str">
        <f>IFERROR(IF($C3="","",SUMIFS(Ledger!$K$2:$K$4, Ledger!$B$2:$B$4, $A3, Ledger!$C$2:$C$4, IKC$2)),"****")</f>
        <v/>
      </c>
      <c r="IKD3" t="str">
        <f>IFERROR(IF($C3="","",SUMIFS(Ledger!$K$2:$K$4, Ledger!$B$2:$B$4, $A3, Ledger!$C$2:$C$4, IKD$2)),"****")</f>
        <v/>
      </c>
      <c r="IKE3" t="str">
        <f>IFERROR(IF($C3="","",SUMIFS(Ledger!$K$2:$K$4, Ledger!$B$2:$B$4, $A3, Ledger!$C$2:$C$4, IKE$2)),"****")</f>
        <v/>
      </c>
      <c r="IKF3" t="str">
        <f>IFERROR(IF($C3="","",SUMIFS(Ledger!$K$2:$K$4, Ledger!$B$2:$B$4, $A3, Ledger!$C$2:$C$4, IKF$2)),"****")</f>
        <v/>
      </c>
      <c r="IKG3" t="str">
        <f>IFERROR(IF($C3="","",SUMIFS(Ledger!$K$2:$K$4, Ledger!$B$2:$B$4, $A3, Ledger!$C$2:$C$4, IKG$2)),"****")</f>
        <v/>
      </c>
      <c r="IKH3" t="str">
        <f>IFERROR(IF($C3="","",SUMIFS(Ledger!$K$2:$K$4, Ledger!$B$2:$B$4, $A3, Ledger!$C$2:$C$4, IKH$2)),"****")</f>
        <v/>
      </c>
      <c r="IKI3" t="str">
        <f>IFERROR(IF($C3="","",SUMIFS(Ledger!$K$2:$K$4, Ledger!$B$2:$B$4, $A3, Ledger!$C$2:$C$4, IKI$2)),"****")</f>
        <v/>
      </c>
      <c r="IKJ3" t="str">
        <f>IFERROR(IF($C3="","",SUMIFS(Ledger!$K$2:$K$4, Ledger!$B$2:$B$4, $A3, Ledger!$C$2:$C$4, IKJ$2)),"****")</f>
        <v/>
      </c>
      <c r="IKK3" t="str">
        <f>IFERROR(IF($C3="","",SUMIFS(Ledger!$K$2:$K$4, Ledger!$B$2:$B$4, $A3, Ledger!$C$2:$C$4, IKK$2)),"****")</f>
        <v/>
      </c>
      <c r="IKL3" t="str">
        <f>IFERROR(IF($C3="","",SUMIFS(Ledger!$K$2:$K$4, Ledger!$B$2:$B$4, $A3, Ledger!$C$2:$C$4, IKL$2)),"****")</f>
        <v/>
      </c>
      <c r="IKM3" t="str">
        <f>IFERROR(IF($C3="","",SUMIFS(Ledger!$K$2:$K$4, Ledger!$B$2:$B$4, $A3, Ledger!$C$2:$C$4, IKM$2)),"****")</f>
        <v/>
      </c>
      <c r="IKN3" t="str">
        <f>IFERROR(IF($C3="","",SUMIFS(Ledger!$K$2:$K$4, Ledger!$B$2:$B$4, $A3, Ledger!$C$2:$C$4, IKN$2)),"****")</f>
        <v/>
      </c>
      <c r="IKO3" t="str">
        <f>IFERROR(IF($C3="","",SUMIFS(Ledger!$K$2:$K$4, Ledger!$B$2:$B$4, $A3, Ledger!$C$2:$C$4, IKO$2)),"****")</f>
        <v/>
      </c>
      <c r="IKP3" t="str">
        <f>IFERROR(IF($C3="","",SUMIFS(Ledger!$K$2:$K$4, Ledger!$B$2:$B$4, $A3, Ledger!$C$2:$C$4, IKP$2)),"****")</f>
        <v/>
      </c>
      <c r="IKQ3" t="str">
        <f>IFERROR(IF($C3="","",SUMIFS(Ledger!$K$2:$K$4, Ledger!$B$2:$B$4, $A3, Ledger!$C$2:$C$4, IKQ$2)),"****")</f>
        <v/>
      </c>
      <c r="IKR3" t="str">
        <f>IFERROR(IF($C3="","",SUMIFS(Ledger!$K$2:$K$4, Ledger!$B$2:$B$4, $A3, Ledger!$C$2:$C$4, IKR$2)),"****")</f>
        <v/>
      </c>
      <c r="IKS3" t="str">
        <f>IFERROR(IF($C3="","",SUMIFS(Ledger!$K$2:$K$4, Ledger!$B$2:$B$4, $A3, Ledger!$C$2:$C$4, IKS$2)),"****")</f>
        <v/>
      </c>
      <c r="IKT3" t="str">
        <f>IFERROR(IF($C3="","",SUMIFS(Ledger!$K$2:$K$4, Ledger!$B$2:$B$4, $A3, Ledger!$C$2:$C$4, IKT$2)),"****")</f>
        <v/>
      </c>
      <c r="IKU3" t="str">
        <f>IFERROR(IF($C3="","",SUMIFS(Ledger!$K$2:$K$4, Ledger!$B$2:$B$4, $A3, Ledger!$C$2:$C$4, IKU$2)),"****")</f>
        <v/>
      </c>
      <c r="IKV3" t="str">
        <f>IFERROR(IF($C3="","",SUMIFS(Ledger!$K$2:$K$4, Ledger!$B$2:$B$4, $A3, Ledger!$C$2:$C$4, IKV$2)),"****")</f>
        <v/>
      </c>
      <c r="IKW3" t="str">
        <f>IFERROR(IF($C3="","",SUMIFS(Ledger!$K$2:$K$4, Ledger!$B$2:$B$4, $A3, Ledger!$C$2:$C$4, IKW$2)),"****")</f>
        <v/>
      </c>
      <c r="IKX3" t="str">
        <f>IFERROR(IF($C3="","",SUMIFS(Ledger!$K$2:$K$4, Ledger!$B$2:$B$4, $A3, Ledger!$C$2:$C$4, IKX$2)),"****")</f>
        <v/>
      </c>
      <c r="IKY3" t="str">
        <f>IFERROR(IF($C3="","",SUMIFS(Ledger!$K$2:$K$4, Ledger!$B$2:$B$4, $A3, Ledger!$C$2:$C$4, IKY$2)),"****")</f>
        <v/>
      </c>
      <c r="IKZ3" t="str">
        <f>IFERROR(IF($C3="","",SUMIFS(Ledger!$K$2:$K$4, Ledger!$B$2:$B$4, $A3, Ledger!$C$2:$C$4, IKZ$2)),"****")</f>
        <v/>
      </c>
      <c r="ILA3" t="str">
        <f>IFERROR(IF($C3="","",SUMIFS(Ledger!$K$2:$K$4, Ledger!$B$2:$B$4, $A3, Ledger!$C$2:$C$4, ILA$2)),"****")</f>
        <v/>
      </c>
      <c r="ILB3" t="str">
        <f>IFERROR(IF($C3="","",SUMIFS(Ledger!$K$2:$K$4, Ledger!$B$2:$B$4, $A3, Ledger!$C$2:$C$4, ILB$2)),"****")</f>
        <v/>
      </c>
      <c r="ILC3" t="str">
        <f>IFERROR(IF($C3="","",SUMIFS(Ledger!$K$2:$K$4, Ledger!$B$2:$B$4, $A3, Ledger!$C$2:$C$4, ILC$2)),"****")</f>
        <v/>
      </c>
      <c r="ILD3" t="str">
        <f>IFERROR(IF($C3="","",SUMIFS(Ledger!$K$2:$K$4, Ledger!$B$2:$B$4, $A3, Ledger!$C$2:$C$4, ILD$2)),"****")</f>
        <v/>
      </c>
      <c r="ILE3" t="str">
        <f>IFERROR(IF($C3="","",SUMIFS(Ledger!$K$2:$K$4, Ledger!$B$2:$B$4, $A3, Ledger!$C$2:$C$4, ILE$2)),"****")</f>
        <v/>
      </c>
      <c r="ILF3" t="str">
        <f>IFERROR(IF($C3="","",SUMIFS(Ledger!$K$2:$K$4, Ledger!$B$2:$B$4, $A3, Ledger!$C$2:$C$4, ILF$2)),"****")</f>
        <v/>
      </c>
      <c r="ILG3" t="str">
        <f>IFERROR(IF($C3="","",SUMIFS(Ledger!$K$2:$K$4, Ledger!$B$2:$B$4, $A3, Ledger!$C$2:$C$4, ILG$2)),"****")</f>
        <v/>
      </c>
      <c r="ILH3" t="str">
        <f>IFERROR(IF($C3="","",SUMIFS(Ledger!$K$2:$K$4, Ledger!$B$2:$B$4, $A3, Ledger!$C$2:$C$4, ILH$2)),"****")</f>
        <v/>
      </c>
      <c r="ILI3" t="str">
        <f>IFERROR(IF($C3="","",SUMIFS(Ledger!$K$2:$K$4, Ledger!$B$2:$B$4, $A3, Ledger!$C$2:$C$4, ILI$2)),"****")</f>
        <v/>
      </c>
      <c r="ILJ3" t="str">
        <f>IFERROR(IF($C3="","",SUMIFS(Ledger!$K$2:$K$4, Ledger!$B$2:$B$4, $A3, Ledger!$C$2:$C$4, ILJ$2)),"****")</f>
        <v/>
      </c>
      <c r="ILK3" t="str">
        <f>IFERROR(IF($C3="","",SUMIFS(Ledger!$K$2:$K$4, Ledger!$B$2:$B$4, $A3, Ledger!$C$2:$C$4, ILK$2)),"****")</f>
        <v/>
      </c>
      <c r="ILL3" t="str">
        <f>IFERROR(IF($C3="","",SUMIFS(Ledger!$K$2:$K$4, Ledger!$B$2:$B$4, $A3, Ledger!$C$2:$C$4, ILL$2)),"****")</f>
        <v/>
      </c>
      <c r="ILM3" t="str">
        <f>IFERROR(IF($C3="","",SUMIFS(Ledger!$K$2:$K$4, Ledger!$B$2:$B$4, $A3, Ledger!$C$2:$C$4, ILM$2)),"****")</f>
        <v/>
      </c>
      <c r="ILN3" t="str">
        <f>IFERROR(IF($C3="","",SUMIFS(Ledger!$K$2:$K$4, Ledger!$B$2:$B$4, $A3, Ledger!$C$2:$C$4, ILN$2)),"****")</f>
        <v/>
      </c>
      <c r="ILO3" t="str">
        <f>IFERROR(IF($C3="","",SUMIFS(Ledger!$K$2:$K$4, Ledger!$B$2:$B$4, $A3, Ledger!$C$2:$C$4, ILO$2)),"****")</f>
        <v/>
      </c>
      <c r="ILP3" t="str">
        <f>IFERROR(IF($C3="","",SUMIFS(Ledger!$K$2:$K$4, Ledger!$B$2:$B$4, $A3, Ledger!$C$2:$C$4, ILP$2)),"****")</f>
        <v/>
      </c>
      <c r="ILQ3" t="str">
        <f>IFERROR(IF($C3="","",SUMIFS(Ledger!$K$2:$K$4, Ledger!$B$2:$B$4, $A3, Ledger!$C$2:$C$4, ILQ$2)),"****")</f>
        <v/>
      </c>
      <c r="ILR3" t="str">
        <f>IFERROR(IF($C3="","",SUMIFS(Ledger!$K$2:$K$4, Ledger!$B$2:$B$4, $A3, Ledger!$C$2:$C$4, ILR$2)),"****")</f>
        <v/>
      </c>
      <c r="ILS3" t="str">
        <f>IFERROR(IF($C3="","",SUMIFS(Ledger!$K$2:$K$4, Ledger!$B$2:$B$4, $A3, Ledger!$C$2:$C$4, ILS$2)),"****")</f>
        <v/>
      </c>
      <c r="ILT3" t="str">
        <f>IFERROR(IF($C3="","",SUMIFS(Ledger!$K$2:$K$4, Ledger!$B$2:$B$4, $A3, Ledger!$C$2:$C$4, ILT$2)),"****")</f>
        <v/>
      </c>
      <c r="ILU3" t="str">
        <f>IFERROR(IF($C3="","",SUMIFS(Ledger!$K$2:$K$4, Ledger!$B$2:$B$4, $A3, Ledger!$C$2:$C$4, ILU$2)),"****")</f>
        <v/>
      </c>
      <c r="ILV3" t="str">
        <f>IFERROR(IF($C3="","",SUMIFS(Ledger!$K$2:$K$4, Ledger!$B$2:$B$4, $A3, Ledger!$C$2:$C$4, ILV$2)),"****")</f>
        <v/>
      </c>
      <c r="ILW3" t="str">
        <f>IFERROR(IF($C3="","",SUMIFS(Ledger!$K$2:$K$4, Ledger!$B$2:$B$4, $A3, Ledger!$C$2:$C$4, ILW$2)),"****")</f>
        <v/>
      </c>
      <c r="ILX3" t="str">
        <f>IFERROR(IF($C3="","",SUMIFS(Ledger!$K$2:$K$4, Ledger!$B$2:$B$4, $A3, Ledger!$C$2:$C$4, ILX$2)),"****")</f>
        <v/>
      </c>
      <c r="ILY3" t="str">
        <f>IFERROR(IF($C3="","",SUMIFS(Ledger!$K$2:$K$4, Ledger!$B$2:$B$4, $A3, Ledger!$C$2:$C$4, ILY$2)),"****")</f>
        <v/>
      </c>
      <c r="ILZ3" t="str">
        <f>IFERROR(IF($C3="","",SUMIFS(Ledger!$K$2:$K$4, Ledger!$B$2:$B$4, $A3, Ledger!$C$2:$C$4, ILZ$2)),"****")</f>
        <v/>
      </c>
      <c r="IMA3" t="str">
        <f>IFERROR(IF($C3="","",SUMIFS(Ledger!$K$2:$K$4, Ledger!$B$2:$B$4, $A3, Ledger!$C$2:$C$4, IMA$2)),"****")</f>
        <v/>
      </c>
      <c r="IMB3" t="str">
        <f>IFERROR(IF($C3="","",SUMIFS(Ledger!$K$2:$K$4, Ledger!$B$2:$B$4, $A3, Ledger!$C$2:$C$4, IMB$2)),"****")</f>
        <v/>
      </c>
      <c r="IMC3" t="str">
        <f>IFERROR(IF($C3="","",SUMIFS(Ledger!$K$2:$K$4, Ledger!$B$2:$B$4, $A3, Ledger!$C$2:$C$4, IMC$2)),"****")</f>
        <v/>
      </c>
      <c r="IMD3" t="str">
        <f>IFERROR(IF($C3="","",SUMIFS(Ledger!$K$2:$K$4, Ledger!$B$2:$B$4, $A3, Ledger!$C$2:$C$4, IMD$2)),"****")</f>
        <v/>
      </c>
      <c r="IME3" t="str">
        <f>IFERROR(IF($C3="","",SUMIFS(Ledger!$K$2:$K$4, Ledger!$B$2:$B$4, $A3, Ledger!$C$2:$C$4, IME$2)),"****")</f>
        <v/>
      </c>
      <c r="IMF3" t="str">
        <f>IFERROR(IF($C3="","",SUMIFS(Ledger!$K$2:$K$4, Ledger!$B$2:$B$4, $A3, Ledger!$C$2:$C$4, IMF$2)),"****")</f>
        <v/>
      </c>
      <c r="IMG3" t="str">
        <f>IFERROR(IF($C3="","",SUMIFS(Ledger!$K$2:$K$4, Ledger!$B$2:$B$4, $A3, Ledger!$C$2:$C$4, IMG$2)),"****")</f>
        <v/>
      </c>
      <c r="IMH3" t="str">
        <f>IFERROR(IF($C3="","",SUMIFS(Ledger!$K$2:$K$4, Ledger!$B$2:$B$4, $A3, Ledger!$C$2:$C$4, IMH$2)),"****")</f>
        <v/>
      </c>
      <c r="IMI3" t="str">
        <f>IFERROR(IF($C3="","",SUMIFS(Ledger!$K$2:$K$4, Ledger!$B$2:$B$4, $A3, Ledger!$C$2:$C$4, IMI$2)),"****")</f>
        <v/>
      </c>
      <c r="IMJ3" t="str">
        <f>IFERROR(IF($C3="","",SUMIFS(Ledger!$K$2:$K$4, Ledger!$B$2:$B$4, $A3, Ledger!$C$2:$C$4, IMJ$2)),"****")</f>
        <v/>
      </c>
      <c r="IMK3" t="str">
        <f>IFERROR(IF($C3="","",SUMIFS(Ledger!$K$2:$K$4, Ledger!$B$2:$B$4, $A3, Ledger!$C$2:$C$4, IMK$2)),"****")</f>
        <v/>
      </c>
      <c r="IML3" t="str">
        <f>IFERROR(IF($C3="","",SUMIFS(Ledger!$K$2:$K$4, Ledger!$B$2:$B$4, $A3, Ledger!$C$2:$C$4, IML$2)),"****")</f>
        <v/>
      </c>
      <c r="IMM3" t="str">
        <f>IFERROR(IF($C3="","",SUMIFS(Ledger!$K$2:$K$4, Ledger!$B$2:$B$4, $A3, Ledger!$C$2:$C$4, IMM$2)),"****")</f>
        <v/>
      </c>
      <c r="IMN3" t="str">
        <f>IFERROR(IF($C3="","",SUMIFS(Ledger!$K$2:$K$4, Ledger!$B$2:$B$4, $A3, Ledger!$C$2:$C$4, IMN$2)),"****")</f>
        <v/>
      </c>
      <c r="IMO3" t="str">
        <f>IFERROR(IF($C3="","",SUMIFS(Ledger!$K$2:$K$4, Ledger!$B$2:$B$4, $A3, Ledger!$C$2:$C$4, IMO$2)),"****")</f>
        <v/>
      </c>
      <c r="IMP3" t="str">
        <f>IFERROR(IF($C3="","",SUMIFS(Ledger!$K$2:$K$4, Ledger!$B$2:$B$4, $A3, Ledger!$C$2:$C$4, IMP$2)),"****")</f>
        <v/>
      </c>
      <c r="IMQ3" t="str">
        <f>IFERROR(IF($C3="","",SUMIFS(Ledger!$K$2:$K$4, Ledger!$B$2:$B$4, $A3, Ledger!$C$2:$C$4, IMQ$2)),"****")</f>
        <v/>
      </c>
      <c r="IMR3" t="str">
        <f>IFERROR(IF($C3="","",SUMIFS(Ledger!$K$2:$K$4, Ledger!$B$2:$B$4, $A3, Ledger!$C$2:$C$4, IMR$2)),"****")</f>
        <v/>
      </c>
      <c r="IMS3" t="str">
        <f>IFERROR(IF($C3="","",SUMIFS(Ledger!$K$2:$K$4, Ledger!$B$2:$B$4, $A3, Ledger!$C$2:$C$4, IMS$2)),"****")</f>
        <v/>
      </c>
      <c r="IMT3" t="str">
        <f>IFERROR(IF($C3="","",SUMIFS(Ledger!$K$2:$K$4, Ledger!$B$2:$B$4, $A3, Ledger!$C$2:$C$4, IMT$2)),"****")</f>
        <v/>
      </c>
      <c r="IMU3" t="str">
        <f>IFERROR(IF($C3="","",SUMIFS(Ledger!$K$2:$K$4, Ledger!$B$2:$B$4, $A3, Ledger!$C$2:$C$4, IMU$2)),"****")</f>
        <v/>
      </c>
      <c r="IMV3" t="str">
        <f>IFERROR(IF($C3="","",SUMIFS(Ledger!$K$2:$K$4, Ledger!$B$2:$B$4, $A3, Ledger!$C$2:$C$4, IMV$2)),"****")</f>
        <v/>
      </c>
      <c r="IMW3" t="str">
        <f>IFERROR(IF($C3="","",SUMIFS(Ledger!$K$2:$K$4, Ledger!$B$2:$B$4, $A3, Ledger!$C$2:$C$4, IMW$2)),"****")</f>
        <v/>
      </c>
      <c r="IMX3" t="str">
        <f>IFERROR(IF($C3="","",SUMIFS(Ledger!$K$2:$K$4, Ledger!$B$2:$B$4, $A3, Ledger!$C$2:$C$4, IMX$2)),"****")</f>
        <v/>
      </c>
      <c r="IMY3" t="str">
        <f>IFERROR(IF($C3="","",SUMIFS(Ledger!$K$2:$K$4, Ledger!$B$2:$B$4, $A3, Ledger!$C$2:$C$4, IMY$2)),"****")</f>
        <v/>
      </c>
      <c r="IMZ3" t="str">
        <f>IFERROR(IF($C3="","",SUMIFS(Ledger!$K$2:$K$4, Ledger!$B$2:$B$4, $A3, Ledger!$C$2:$C$4, IMZ$2)),"****")</f>
        <v/>
      </c>
      <c r="INA3" t="str">
        <f>IFERROR(IF($C3="","",SUMIFS(Ledger!$K$2:$K$4, Ledger!$B$2:$B$4, $A3, Ledger!$C$2:$C$4, INA$2)),"****")</f>
        <v/>
      </c>
      <c r="INB3" t="str">
        <f>IFERROR(IF($C3="","",SUMIFS(Ledger!$K$2:$K$4, Ledger!$B$2:$B$4, $A3, Ledger!$C$2:$C$4, INB$2)),"****")</f>
        <v/>
      </c>
      <c r="INC3" t="str">
        <f>IFERROR(IF($C3="","",SUMIFS(Ledger!$K$2:$K$4, Ledger!$B$2:$B$4, $A3, Ledger!$C$2:$C$4, INC$2)),"****")</f>
        <v/>
      </c>
      <c r="IND3" t="str">
        <f>IFERROR(IF($C3="","",SUMIFS(Ledger!$K$2:$K$4, Ledger!$B$2:$B$4, $A3, Ledger!$C$2:$C$4, IND$2)),"****")</f>
        <v/>
      </c>
      <c r="INE3" t="str">
        <f>IFERROR(IF($C3="","",SUMIFS(Ledger!$K$2:$K$4, Ledger!$B$2:$B$4, $A3, Ledger!$C$2:$C$4, INE$2)),"****")</f>
        <v/>
      </c>
      <c r="INF3" t="str">
        <f>IFERROR(IF($C3="","",SUMIFS(Ledger!$K$2:$K$4, Ledger!$B$2:$B$4, $A3, Ledger!$C$2:$C$4, INF$2)),"****")</f>
        <v/>
      </c>
      <c r="ING3" t="str">
        <f>IFERROR(IF($C3="","",SUMIFS(Ledger!$K$2:$K$4, Ledger!$B$2:$B$4, $A3, Ledger!$C$2:$C$4, ING$2)),"****")</f>
        <v/>
      </c>
      <c r="INH3" t="str">
        <f>IFERROR(IF($C3="","",SUMIFS(Ledger!$K$2:$K$4, Ledger!$B$2:$B$4, $A3, Ledger!$C$2:$C$4, INH$2)),"****")</f>
        <v/>
      </c>
      <c r="INI3" t="str">
        <f>IFERROR(IF($C3="","",SUMIFS(Ledger!$K$2:$K$4, Ledger!$B$2:$B$4, $A3, Ledger!$C$2:$C$4, INI$2)),"****")</f>
        <v/>
      </c>
      <c r="INJ3" t="str">
        <f>IFERROR(IF($C3="","",SUMIFS(Ledger!$K$2:$K$4, Ledger!$B$2:$B$4, $A3, Ledger!$C$2:$C$4, INJ$2)),"****")</f>
        <v/>
      </c>
      <c r="INK3" t="str">
        <f>IFERROR(IF($C3="","",SUMIFS(Ledger!$K$2:$K$4, Ledger!$B$2:$B$4, $A3, Ledger!$C$2:$C$4, INK$2)),"****")</f>
        <v/>
      </c>
      <c r="INL3" t="str">
        <f>IFERROR(IF($C3="","",SUMIFS(Ledger!$K$2:$K$4, Ledger!$B$2:$B$4, $A3, Ledger!$C$2:$C$4, INL$2)),"****")</f>
        <v/>
      </c>
      <c r="INM3" t="str">
        <f>IFERROR(IF($C3="","",SUMIFS(Ledger!$K$2:$K$4, Ledger!$B$2:$B$4, $A3, Ledger!$C$2:$C$4, INM$2)),"****")</f>
        <v/>
      </c>
      <c r="INN3" t="str">
        <f>IFERROR(IF($C3="","",SUMIFS(Ledger!$K$2:$K$4, Ledger!$B$2:$B$4, $A3, Ledger!$C$2:$C$4, INN$2)),"****")</f>
        <v/>
      </c>
      <c r="INO3" t="str">
        <f>IFERROR(IF($C3="","",SUMIFS(Ledger!$K$2:$K$4, Ledger!$B$2:$B$4, $A3, Ledger!$C$2:$C$4, INO$2)),"****")</f>
        <v/>
      </c>
      <c r="INP3" t="str">
        <f>IFERROR(IF($C3="","",SUMIFS(Ledger!$K$2:$K$4, Ledger!$B$2:$B$4, $A3, Ledger!$C$2:$C$4, INP$2)),"****")</f>
        <v/>
      </c>
      <c r="INQ3" t="str">
        <f>IFERROR(IF($C3="","",SUMIFS(Ledger!$K$2:$K$4, Ledger!$B$2:$B$4, $A3, Ledger!$C$2:$C$4, INQ$2)),"****")</f>
        <v/>
      </c>
      <c r="INR3" t="str">
        <f>IFERROR(IF($C3="","",SUMIFS(Ledger!$K$2:$K$4, Ledger!$B$2:$B$4, $A3, Ledger!$C$2:$C$4, INR$2)),"****")</f>
        <v/>
      </c>
      <c r="INS3" t="str">
        <f>IFERROR(IF($C3="","",SUMIFS(Ledger!$K$2:$K$4, Ledger!$B$2:$B$4, $A3, Ledger!$C$2:$C$4, INS$2)),"****")</f>
        <v/>
      </c>
      <c r="INT3" t="str">
        <f>IFERROR(IF($C3="","",SUMIFS(Ledger!$K$2:$K$4, Ledger!$B$2:$B$4, $A3, Ledger!$C$2:$C$4, INT$2)),"****")</f>
        <v/>
      </c>
      <c r="INU3" t="str">
        <f>IFERROR(IF($C3="","",SUMIFS(Ledger!$K$2:$K$4, Ledger!$B$2:$B$4, $A3, Ledger!$C$2:$C$4, INU$2)),"****")</f>
        <v/>
      </c>
      <c r="INV3" t="str">
        <f>IFERROR(IF($C3="","",SUMIFS(Ledger!$K$2:$K$4, Ledger!$B$2:$B$4, $A3, Ledger!$C$2:$C$4, INV$2)),"****")</f>
        <v/>
      </c>
      <c r="INW3" t="str">
        <f>IFERROR(IF($C3="","",SUMIFS(Ledger!$K$2:$K$4, Ledger!$B$2:$B$4, $A3, Ledger!$C$2:$C$4, INW$2)),"****")</f>
        <v/>
      </c>
      <c r="INX3" t="str">
        <f>IFERROR(IF($C3="","",SUMIFS(Ledger!$K$2:$K$4, Ledger!$B$2:$B$4, $A3, Ledger!$C$2:$C$4, INX$2)),"****")</f>
        <v/>
      </c>
      <c r="INY3" t="str">
        <f>IFERROR(IF($C3="","",SUMIFS(Ledger!$K$2:$K$4, Ledger!$B$2:$B$4, $A3, Ledger!$C$2:$C$4, INY$2)),"****")</f>
        <v/>
      </c>
      <c r="INZ3" t="str">
        <f>IFERROR(IF($C3="","",SUMIFS(Ledger!$K$2:$K$4, Ledger!$B$2:$B$4, $A3, Ledger!$C$2:$C$4, INZ$2)),"****")</f>
        <v/>
      </c>
      <c r="IOA3" t="str">
        <f>IFERROR(IF($C3="","",SUMIFS(Ledger!$K$2:$K$4, Ledger!$B$2:$B$4, $A3, Ledger!$C$2:$C$4, IOA$2)),"****")</f>
        <v/>
      </c>
      <c r="IOB3" t="str">
        <f>IFERROR(IF($C3="","",SUMIFS(Ledger!$K$2:$K$4, Ledger!$B$2:$B$4, $A3, Ledger!$C$2:$C$4, IOB$2)),"****")</f>
        <v/>
      </c>
      <c r="IOC3" t="str">
        <f>IFERROR(IF($C3="","",SUMIFS(Ledger!$K$2:$K$4, Ledger!$B$2:$B$4, $A3, Ledger!$C$2:$C$4, IOC$2)),"****")</f>
        <v/>
      </c>
      <c r="IOD3" t="str">
        <f>IFERROR(IF($C3="","",SUMIFS(Ledger!$K$2:$K$4, Ledger!$B$2:$B$4, $A3, Ledger!$C$2:$C$4, IOD$2)),"****")</f>
        <v/>
      </c>
      <c r="IOE3" t="str">
        <f>IFERROR(IF($C3="","",SUMIFS(Ledger!$K$2:$K$4, Ledger!$B$2:$B$4, $A3, Ledger!$C$2:$C$4, IOE$2)),"****")</f>
        <v/>
      </c>
      <c r="IOF3" t="str">
        <f>IFERROR(IF($C3="","",SUMIFS(Ledger!$K$2:$K$4, Ledger!$B$2:$B$4, $A3, Ledger!$C$2:$C$4, IOF$2)),"****")</f>
        <v/>
      </c>
      <c r="IOG3" t="str">
        <f>IFERROR(IF($C3="","",SUMIFS(Ledger!$K$2:$K$4, Ledger!$B$2:$B$4, $A3, Ledger!$C$2:$C$4, IOG$2)),"****")</f>
        <v/>
      </c>
      <c r="IOH3" t="str">
        <f>IFERROR(IF($C3="","",SUMIFS(Ledger!$K$2:$K$4, Ledger!$B$2:$B$4, $A3, Ledger!$C$2:$C$4, IOH$2)),"****")</f>
        <v/>
      </c>
      <c r="IOI3" t="str">
        <f>IFERROR(IF($C3="","",SUMIFS(Ledger!$K$2:$K$4, Ledger!$B$2:$B$4, $A3, Ledger!$C$2:$C$4, IOI$2)),"****")</f>
        <v/>
      </c>
      <c r="IOJ3" t="str">
        <f>IFERROR(IF($C3="","",SUMIFS(Ledger!$K$2:$K$4, Ledger!$B$2:$B$4, $A3, Ledger!$C$2:$C$4, IOJ$2)),"****")</f>
        <v/>
      </c>
      <c r="IOK3" t="str">
        <f>IFERROR(IF($C3="","",SUMIFS(Ledger!$K$2:$K$4, Ledger!$B$2:$B$4, $A3, Ledger!$C$2:$C$4, IOK$2)),"****")</f>
        <v/>
      </c>
      <c r="IOL3" t="str">
        <f>IFERROR(IF($C3="","",SUMIFS(Ledger!$K$2:$K$4, Ledger!$B$2:$B$4, $A3, Ledger!$C$2:$C$4, IOL$2)),"****")</f>
        <v/>
      </c>
      <c r="IOM3" t="str">
        <f>IFERROR(IF($C3="","",SUMIFS(Ledger!$K$2:$K$4, Ledger!$B$2:$B$4, $A3, Ledger!$C$2:$C$4, IOM$2)),"****")</f>
        <v/>
      </c>
      <c r="ION3" t="str">
        <f>IFERROR(IF($C3="","",SUMIFS(Ledger!$K$2:$K$4, Ledger!$B$2:$B$4, $A3, Ledger!$C$2:$C$4, ION$2)),"****")</f>
        <v/>
      </c>
      <c r="IOO3" t="str">
        <f>IFERROR(IF($C3="","",SUMIFS(Ledger!$K$2:$K$4, Ledger!$B$2:$B$4, $A3, Ledger!$C$2:$C$4, IOO$2)),"****")</f>
        <v/>
      </c>
      <c r="IOP3" t="str">
        <f>IFERROR(IF($C3="","",SUMIFS(Ledger!$K$2:$K$4, Ledger!$B$2:$B$4, $A3, Ledger!$C$2:$C$4, IOP$2)),"****")</f>
        <v/>
      </c>
      <c r="IOQ3" t="str">
        <f>IFERROR(IF($C3="","",SUMIFS(Ledger!$K$2:$K$4, Ledger!$B$2:$B$4, $A3, Ledger!$C$2:$C$4, IOQ$2)),"****")</f>
        <v/>
      </c>
      <c r="IOR3" t="str">
        <f>IFERROR(IF($C3="","",SUMIFS(Ledger!$K$2:$K$4, Ledger!$B$2:$B$4, $A3, Ledger!$C$2:$C$4, IOR$2)),"****")</f>
        <v/>
      </c>
      <c r="IOS3" t="str">
        <f>IFERROR(IF($C3="","",SUMIFS(Ledger!$K$2:$K$4, Ledger!$B$2:$B$4, $A3, Ledger!$C$2:$C$4, IOS$2)),"****")</f>
        <v/>
      </c>
      <c r="IOT3" t="str">
        <f>IFERROR(IF($C3="","",SUMIFS(Ledger!$K$2:$K$4, Ledger!$B$2:$B$4, $A3, Ledger!$C$2:$C$4, IOT$2)),"****")</f>
        <v/>
      </c>
      <c r="IOU3" t="str">
        <f>IFERROR(IF($C3="","",SUMIFS(Ledger!$K$2:$K$4, Ledger!$B$2:$B$4, $A3, Ledger!$C$2:$C$4, IOU$2)),"****")</f>
        <v/>
      </c>
      <c r="IOV3" t="str">
        <f>IFERROR(IF($C3="","",SUMIFS(Ledger!$K$2:$K$4, Ledger!$B$2:$B$4, $A3, Ledger!$C$2:$C$4, IOV$2)),"****")</f>
        <v/>
      </c>
      <c r="IOW3" t="str">
        <f>IFERROR(IF($C3="","",SUMIFS(Ledger!$K$2:$K$4, Ledger!$B$2:$B$4, $A3, Ledger!$C$2:$C$4, IOW$2)),"****")</f>
        <v/>
      </c>
      <c r="IOX3" t="str">
        <f>IFERROR(IF($C3="","",SUMIFS(Ledger!$K$2:$K$4, Ledger!$B$2:$B$4, $A3, Ledger!$C$2:$C$4, IOX$2)),"****")</f>
        <v/>
      </c>
      <c r="IOY3" t="str">
        <f>IFERROR(IF($C3="","",SUMIFS(Ledger!$K$2:$K$4, Ledger!$B$2:$B$4, $A3, Ledger!$C$2:$C$4, IOY$2)),"****")</f>
        <v/>
      </c>
      <c r="IOZ3" t="str">
        <f>IFERROR(IF($C3="","",SUMIFS(Ledger!$K$2:$K$4, Ledger!$B$2:$B$4, $A3, Ledger!$C$2:$C$4, IOZ$2)),"****")</f>
        <v/>
      </c>
      <c r="IPA3" t="str">
        <f>IFERROR(IF($C3="","",SUMIFS(Ledger!$K$2:$K$4, Ledger!$B$2:$B$4, $A3, Ledger!$C$2:$C$4, IPA$2)),"****")</f>
        <v/>
      </c>
      <c r="IPB3" t="str">
        <f>IFERROR(IF($C3="","",SUMIFS(Ledger!$K$2:$K$4, Ledger!$B$2:$B$4, $A3, Ledger!$C$2:$C$4, IPB$2)),"****")</f>
        <v/>
      </c>
      <c r="IPC3" t="str">
        <f>IFERROR(IF($C3="","",SUMIFS(Ledger!$K$2:$K$4, Ledger!$B$2:$B$4, $A3, Ledger!$C$2:$C$4, IPC$2)),"****")</f>
        <v/>
      </c>
      <c r="IPD3" t="str">
        <f>IFERROR(IF($C3="","",SUMIFS(Ledger!$K$2:$K$4, Ledger!$B$2:$B$4, $A3, Ledger!$C$2:$C$4, IPD$2)),"****")</f>
        <v/>
      </c>
      <c r="IPE3" t="str">
        <f>IFERROR(IF($C3="","",SUMIFS(Ledger!$K$2:$K$4, Ledger!$B$2:$B$4, $A3, Ledger!$C$2:$C$4, IPE$2)),"****")</f>
        <v/>
      </c>
      <c r="IPF3" t="str">
        <f>IFERROR(IF($C3="","",SUMIFS(Ledger!$K$2:$K$4, Ledger!$B$2:$B$4, $A3, Ledger!$C$2:$C$4, IPF$2)),"****")</f>
        <v/>
      </c>
      <c r="IPG3" t="str">
        <f>IFERROR(IF($C3="","",SUMIFS(Ledger!$K$2:$K$4, Ledger!$B$2:$B$4, $A3, Ledger!$C$2:$C$4, IPG$2)),"****")</f>
        <v/>
      </c>
      <c r="IPH3" t="str">
        <f>IFERROR(IF($C3="","",SUMIFS(Ledger!$K$2:$K$4, Ledger!$B$2:$B$4, $A3, Ledger!$C$2:$C$4, IPH$2)),"****")</f>
        <v/>
      </c>
      <c r="IPI3" t="str">
        <f>IFERROR(IF($C3="","",SUMIFS(Ledger!$K$2:$K$4, Ledger!$B$2:$B$4, $A3, Ledger!$C$2:$C$4, IPI$2)),"****")</f>
        <v/>
      </c>
      <c r="IPJ3" t="str">
        <f>IFERROR(IF($C3="","",SUMIFS(Ledger!$K$2:$K$4, Ledger!$B$2:$B$4, $A3, Ledger!$C$2:$C$4, IPJ$2)),"****")</f>
        <v/>
      </c>
      <c r="IPK3" t="str">
        <f>IFERROR(IF($C3="","",SUMIFS(Ledger!$K$2:$K$4, Ledger!$B$2:$B$4, $A3, Ledger!$C$2:$C$4, IPK$2)),"****")</f>
        <v/>
      </c>
      <c r="IPL3" t="str">
        <f>IFERROR(IF($C3="","",SUMIFS(Ledger!$K$2:$K$4, Ledger!$B$2:$B$4, $A3, Ledger!$C$2:$C$4, IPL$2)),"****")</f>
        <v/>
      </c>
      <c r="IPM3" t="str">
        <f>IFERROR(IF($C3="","",SUMIFS(Ledger!$K$2:$K$4, Ledger!$B$2:$B$4, $A3, Ledger!$C$2:$C$4, IPM$2)),"****")</f>
        <v/>
      </c>
      <c r="IPN3" t="str">
        <f>IFERROR(IF($C3="","",SUMIFS(Ledger!$K$2:$K$4, Ledger!$B$2:$B$4, $A3, Ledger!$C$2:$C$4, IPN$2)),"****")</f>
        <v/>
      </c>
      <c r="IPO3" t="str">
        <f>IFERROR(IF($C3="","",SUMIFS(Ledger!$K$2:$K$4, Ledger!$B$2:$B$4, $A3, Ledger!$C$2:$C$4, IPO$2)),"****")</f>
        <v/>
      </c>
      <c r="IPP3" t="str">
        <f>IFERROR(IF($C3="","",SUMIFS(Ledger!$K$2:$K$4, Ledger!$B$2:$B$4, $A3, Ledger!$C$2:$C$4, IPP$2)),"****")</f>
        <v/>
      </c>
      <c r="IPQ3" t="str">
        <f>IFERROR(IF($C3="","",SUMIFS(Ledger!$K$2:$K$4, Ledger!$B$2:$B$4, $A3, Ledger!$C$2:$C$4, IPQ$2)),"****")</f>
        <v/>
      </c>
      <c r="IPR3" t="str">
        <f>IFERROR(IF($C3="","",SUMIFS(Ledger!$K$2:$K$4, Ledger!$B$2:$B$4, $A3, Ledger!$C$2:$C$4, IPR$2)),"****")</f>
        <v/>
      </c>
      <c r="IPS3" t="str">
        <f>IFERROR(IF($C3="","",SUMIFS(Ledger!$K$2:$K$4, Ledger!$B$2:$B$4, $A3, Ledger!$C$2:$C$4, IPS$2)),"****")</f>
        <v/>
      </c>
      <c r="IPT3" t="str">
        <f>IFERROR(IF($C3="","",SUMIFS(Ledger!$K$2:$K$4, Ledger!$B$2:$B$4, $A3, Ledger!$C$2:$C$4, IPT$2)),"****")</f>
        <v/>
      </c>
      <c r="IPU3" t="str">
        <f>IFERROR(IF($C3="","",SUMIFS(Ledger!$K$2:$K$4, Ledger!$B$2:$B$4, $A3, Ledger!$C$2:$C$4, IPU$2)),"****")</f>
        <v/>
      </c>
      <c r="IPV3" t="str">
        <f>IFERROR(IF($C3="","",SUMIFS(Ledger!$K$2:$K$4, Ledger!$B$2:$B$4, $A3, Ledger!$C$2:$C$4, IPV$2)),"****")</f>
        <v/>
      </c>
      <c r="IPW3" t="str">
        <f>IFERROR(IF($C3="","",SUMIFS(Ledger!$K$2:$K$4, Ledger!$B$2:$B$4, $A3, Ledger!$C$2:$C$4, IPW$2)),"****")</f>
        <v/>
      </c>
      <c r="IPX3" t="str">
        <f>IFERROR(IF($C3="","",SUMIFS(Ledger!$K$2:$K$4, Ledger!$B$2:$B$4, $A3, Ledger!$C$2:$C$4, IPX$2)),"****")</f>
        <v/>
      </c>
      <c r="IPY3" t="str">
        <f>IFERROR(IF($C3="","",SUMIFS(Ledger!$K$2:$K$4, Ledger!$B$2:$B$4, $A3, Ledger!$C$2:$C$4, IPY$2)),"****")</f>
        <v/>
      </c>
      <c r="IPZ3" t="str">
        <f>IFERROR(IF($C3="","",SUMIFS(Ledger!$K$2:$K$4, Ledger!$B$2:$B$4, $A3, Ledger!$C$2:$C$4, IPZ$2)),"****")</f>
        <v/>
      </c>
      <c r="IQA3" t="str">
        <f>IFERROR(IF($C3="","",SUMIFS(Ledger!$K$2:$K$4, Ledger!$B$2:$B$4, $A3, Ledger!$C$2:$C$4, IQA$2)),"****")</f>
        <v/>
      </c>
      <c r="IQB3" t="str">
        <f>IFERROR(IF($C3="","",SUMIFS(Ledger!$K$2:$K$4, Ledger!$B$2:$B$4, $A3, Ledger!$C$2:$C$4, IQB$2)),"****")</f>
        <v/>
      </c>
      <c r="IQC3" t="str">
        <f>IFERROR(IF($C3="","",SUMIFS(Ledger!$K$2:$K$4, Ledger!$B$2:$B$4, $A3, Ledger!$C$2:$C$4, IQC$2)),"****")</f>
        <v/>
      </c>
      <c r="IQD3" t="str">
        <f>IFERROR(IF($C3="","",SUMIFS(Ledger!$K$2:$K$4, Ledger!$B$2:$B$4, $A3, Ledger!$C$2:$C$4, IQD$2)),"****")</f>
        <v/>
      </c>
      <c r="IQE3" t="str">
        <f>IFERROR(IF($C3="","",SUMIFS(Ledger!$K$2:$K$4, Ledger!$B$2:$B$4, $A3, Ledger!$C$2:$C$4, IQE$2)),"****")</f>
        <v/>
      </c>
      <c r="IQF3" t="str">
        <f>IFERROR(IF($C3="","",SUMIFS(Ledger!$K$2:$K$4, Ledger!$B$2:$B$4, $A3, Ledger!$C$2:$C$4, IQF$2)),"****")</f>
        <v/>
      </c>
      <c r="IQG3" t="str">
        <f>IFERROR(IF($C3="","",SUMIFS(Ledger!$K$2:$K$4, Ledger!$B$2:$B$4, $A3, Ledger!$C$2:$C$4, IQG$2)),"****")</f>
        <v/>
      </c>
      <c r="IQH3" t="str">
        <f>IFERROR(IF($C3="","",SUMIFS(Ledger!$K$2:$K$4, Ledger!$B$2:$B$4, $A3, Ledger!$C$2:$C$4, IQH$2)),"****")</f>
        <v/>
      </c>
      <c r="IQI3" t="str">
        <f>IFERROR(IF($C3="","",SUMIFS(Ledger!$K$2:$K$4, Ledger!$B$2:$B$4, $A3, Ledger!$C$2:$C$4, IQI$2)),"****")</f>
        <v/>
      </c>
      <c r="IQJ3" t="str">
        <f>IFERROR(IF($C3="","",SUMIFS(Ledger!$K$2:$K$4, Ledger!$B$2:$B$4, $A3, Ledger!$C$2:$C$4, IQJ$2)),"****")</f>
        <v/>
      </c>
      <c r="IQK3" t="str">
        <f>IFERROR(IF($C3="","",SUMIFS(Ledger!$K$2:$K$4, Ledger!$B$2:$B$4, $A3, Ledger!$C$2:$C$4, IQK$2)),"****")</f>
        <v/>
      </c>
      <c r="IQL3" t="str">
        <f>IFERROR(IF($C3="","",SUMIFS(Ledger!$K$2:$K$4, Ledger!$B$2:$B$4, $A3, Ledger!$C$2:$C$4, IQL$2)),"****")</f>
        <v/>
      </c>
      <c r="IQM3" t="str">
        <f>IFERROR(IF($C3="","",SUMIFS(Ledger!$K$2:$K$4, Ledger!$B$2:$B$4, $A3, Ledger!$C$2:$C$4, IQM$2)),"****")</f>
        <v/>
      </c>
      <c r="IQN3" t="str">
        <f>IFERROR(IF($C3="","",SUMIFS(Ledger!$K$2:$K$4, Ledger!$B$2:$B$4, $A3, Ledger!$C$2:$C$4, IQN$2)),"****")</f>
        <v/>
      </c>
      <c r="IQO3" t="str">
        <f>IFERROR(IF($C3="","",SUMIFS(Ledger!$K$2:$K$4, Ledger!$B$2:$B$4, $A3, Ledger!$C$2:$C$4, IQO$2)),"****")</f>
        <v/>
      </c>
      <c r="IQP3" t="str">
        <f>IFERROR(IF($C3="","",SUMIFS(Ledger!$K$2:$K$4, Ledger!$B$2:$B$4, $A3, Ledger!$C$2:$C$4, IQP$2)),"****")</f>
        <v/>
      </c>
      <c r="IQQ3" t="str">
        <f>IFERROR(IF($C3="","",SUMIFS(Ledger!$K$2:$K$4, Ledger!$B$2:$B$4, $A3, Ledger!$C$2:$C$4, IQQ$2)),"****")</f>
        <v/>
      </c>
      <c r="IQR3" t="str">
        <f>IFERROR(IF($C3="","",SUMIFS(Ledger!$K$2:$K$4, Ledger!$B$2:$B$4, $A3, Ledger!$C$2:$C$4, IQR$2)),"****")</f>
        <v/>
      </c>
      <c r="IQS3" t="str">
        <f>IFERROR(IF($C3="","",SUMIFS(Ledger!$K$2:$K$4, Ledger!$B$2:$B$4, $A3, Ledger!$C$2:$C$4, IQS$2)),"****")</f>
        <v/>
      </c>
      <c r="IQT3" t="str">
        <f>IFERROR(IF($C3="","",SUMIFS(Ledger!$K$2:$K$4, Ledger!$B$2:$B$4, $A3, Ledger!$C$2:$C$4, IQT$2)),"****")</f>
        <v/>
      </c>
      <c r="IQU3" t="str">
        <f>IFERROR(IF($C3="","",SUMIFS(Ledger!$K$2:$K$4, Ledger!$B$2:$B$4, $A3, Ledger!$C$2:$C$4, IQU$2)),"****")</f>
        <v/>
      </c>
      <c r="IQV3" t="str">
        <f>IFERROR(IF($C3="","",SUMIFS(Ledger!$K$2:$K$4, Ledger!$B$2:$B$4, $A3, Ledger!$C$2:$C$4, IQV$2)),"****")</f>
        <v/>
      </c>
      <c r="IQW3" t="str">
        <f>IFERROR(IF($C3="","",SUMIFS(Ledger!$K$2:$K$4, Ledger!$B$2:$B$4, $A3, Ledger!$C$2:$C$4, IQW$2)),"****")</f>
        <v/>
      </c>
      <c r="IQX3" t="str">
        <f>IFERROR(IF($C3="","",SUMIFS(Ledger!$K$2:$K$4, Ledger!$B$2:$B$4, $A3, Ledger!$C$2:$C$4, IQX$2)),"****")</f>
        <v/>
      </c>
      <c r="IQY3" t="str">
        <f>IFERROR(IF($C3="","",SUMIFS(Ledger!$K$2:$K$4, Ledger!$B$2:$B$4, $A3, Ledger!$C$2:$C$4, IQY$2)),"****")</f>
        <v/>
      </c>
      <c r="IQZ3" t="str">
        <f>IFERROR(IF($C3="","",SUMIFS(Ledger!$K$2:$K$4, Ledger!$B$2:$B$4, $A3, Ledger!$C$2:$C$4, IQZ$2)),"****")</f>
        <v/>
      </c>
      <c r="IRA3" t="str">
        <f>IFERROR(IF($C3="","",SUMIFS(Ledger!$K$2:$K$4, Ledger!$B$2:$B$4, $A3, Ledger!$C$2:$C$4, IRA$2)),"****")</f>
        <v/>
      </c>
      <c r="IRB3" t="str">
        <f>IFERROR(IF($C3="","",SUMIFS(Ledger!$K$2:$K$4, Ledger!$B$2:$B$4, $A3, Ledger!$C$2:$C$4, IRB$2)),"****")</f>
        <v/>
      </c>
      <c r="IRC3" t="str">
        <f>IFERROR(IF($C3="","",SUMIFS(Ledger!$K$2:$K$4, Ledger!$B$2:$B$4, $A3, Ledger!$C$2:$C$4, IRC$2)),"****")</f>
        <v/>
      </c>
      <c r="IRD3" t="str">
        <f>IFERROR(IF($C3="","",SUMIFS(Ledger!$K$2:$K$4, Ledger!$B$2:$B$4, $A3, Ledger!$C$2:$C$4, IRD$2)),"****")</f>
        <v/>
      </c>
      <c r="IRE3" t="str">
        <f>IFERROR(IF($C3="","",SUMIFS(Ledger!$K$2:$K$4, Ledger!$B$2:$B$4, $A3, Ledger!$C$2:$C$4, IRE$2)),"****")</f>
        <v/>
      </c>
      <c r="IRF3" t="str">
        <f>IFERROR(IF($C3="","",SUMIFS(Ledger!$K$2:$K$4, Ledger!$B$2:$B$4, $A3, Ledger!$C$2:$C$4, IRF$2)),"****")</f>
        <v/>
      </c>
      <c r="IRG3" t="str">
        <f>IFERROR(IF($C3="","",SUMIFS(Ledger!$K$2:$K$4, Ledger!$B$2:$B$4, $A3, Ledger!$C$2:$C$4, IRG$2)),"****")</f>
        <v/>
      </c>
      <c r="IRH3" t="str">
        <f>IFERROR(IF($C3="","",SUMIFS(Ledger!$K$2:$K$4, Ledger!$B$2:$B$4, $A3, Ledger!$C$2:$C$4, IRH$2)),"****")</f>
        <v/>
      </c>
      <c r="IRI3" t="str">
        <f>IFERROR(IF($C3="","",SUMIFS(Ledger!$K$2:$K$4, Ledger!$B$2:$B$4, $A3, Ledger!$C$2:$C$4, IRI$2)),"****")</f>
        <v/>
      </c>
      <c r="IRJ3" t="str">
        <f>IFERROR(IF($C3="","",SUMIFS(Ledger!$K$2:$K$4, Ledger!$B$2:$B$4, $A3, Ledger!$C$2:$C$4, IRJ$2)),"****")</f>
        <v/>
      </c>
      <c r="IRK3" t="str">
        <f>IFERROR(IF($C3="","",SUMIFS(Ledger!$K$2:$K$4, Ledger!$B$2:$B$4, $A3, Ledger!$C$2:$C$4, IRK$2)),"****")</f>
        <v/>
      </c>
      <c r="IRL3" t="str">
        <f>IFERROR(IF($C3="","",SUMIFS(Ledger!$K$2:$K$4, Ledger!$B$2:$B$4, $A3, Ledger!$C$2:$C$4, IRL$2)),"****")</f>
        <v/>
      </c>
      <c r="IRM3" t="str">
        <f>IFERROR(IF($C3="","",SUMIFS(Ledger!$K$2:$K$4, Ledger!$B$2:$B$4, $A3, Ledger!$C$2:$C$4, IRM$2)),"****")</f>
        <v/>
      </c>
      <c r="IRN3" t="str">
        <f>IFERROR(IF($C3="","",SUMIFS(Ledger!$K$2:$K$4, Ledger!$B$2:$B$4, $A3, Ledger!$C$2:$C$4, IRN$2)),"****")</f>
        <v/>
      </c>
      <c r="IRO3" t="str">
        <f>IFERROR(IF($C3="","",SUMIFS(Ledger!$K$2:$K$4, Ledger!$B$2:$B$4, $A3, Ledger!$C$2:$C$4, IRO$2)),"****")</f>
        <v/>
      </c>
      <c r="IRP3" t="str">
        <f>IFERROR(IF($C3="","",SUMIFS(Ledger!$K$2:$K$4, Ledger!$B$2:$B$4, $A3, Ledger!$C$2:$C$4, IRP$2)),"****")</f>
        <v/>
      </c>
      <c r="IRQ3" t="str">
        <f>IFERROR(IF($C3="","",SUMIFS(Ledger!$K$2:$K$4, Ledger!$B$2:$B$4, $A3, Ledger!$C$2:$C$4, IRQ$2)),"****")</f>
        <v/>
      </c>
      <c r="IRR3" t="str">
        <f>IFERROR(IF($C3="","",SUMIFS(Ledger!$K$2:$K$4, Ledger!$B$2:$B$4, $A3, Ledger!$C$2:$C$4, IRR$2)),"****")</f>
        <v/>
      </c>
      <c r="IRS3" t="str">
        <f>IFERROR(IF($C3="","",SUMIFS(Ledger!$K$2:$K$4, Ledger!$B$2:$B$4, $A3, Ledger!$C$2:$C$4, IRS$2)),"****")</f>
        <v/>
      </c>
      <c r="IRT3" t="str">
        <f>IFERROR(IF($C3="","",SUMIFS(Ledger!$K$2:$K$4, Ledger!$B$2:$B$4, $A3, Ledger!$C$2:$C$4, IRT$2)),"****")</f>
        <v/>
      </c>
      <c r="IRU3" t="str">
        <f>IFERROR(IF($C3="","",SUMIFS(Ledger!$K$2:$K$4, Ledger!$B$2:$B$4, $A3, Ledger!$C$2:$C$4, IRU$2)),"****")</f>
        <v/>
      </c>
      <c r="IRV3" t="str">
        <f>IFERROR(IF($C3="","",SUMIFS(Ledger!$K$2:$K$4, Ledger!$B$2:$B$4, $A3, Ledger!$C$2:$C$4, IRV$2)),"****")</f>
        <v/>
      </c>
      <c r="IRW3" t="str">
        <f>IFERROR(IF($C3="","",SUMIFS(Ledger!$K$2:$K$4, Ledger!$B$2:$B$4, $A3, Ledger!$C$2:$C$4, IRW$2)),"****")</f>
        <v/>
      </c>
      <c r="IRX3" t="str">
        <f>IFERROR(IF($C3="","",SUMIFS(Ledger!$K$2:$K$4, Ledger!$B$2:$B$4, $A3, Ledger!$C$2:$C$4, IRX$2)),"****")</f>
        <v/>
      </c>
      <c r="IRY3" t="str">
        <f>IFERROR(IF($C3="","",SUMIFS(Ledger!$K$2:$K$4, Ledger!$B$2:$B$4, $A3, Ledger!$C$2:$C$4, IRY$2)),"****")</f>
        <v/>
      </c>
      <c r="IRZ3" t="str">
        <f>IFERROR(IF($C3="","",SUMIFS(Ledger!$K$2:$K$4, Ledger!$B$2:$B$4, $A3, Ledger!$C$2:$C$4, IRZ$2)),"****")</f>
        <v/>
      </c>
      <c r="ISA3" t="str">
        <f>IFERROR(IF($C3="","",SUMIFS(Ledger!$K$2:$K$4, Ledger!$B$2:$B$4, $A3, Ledger!$C$2:$C$4, ISA$2)),"****")</f>
        <v/>
      </c>
      <c r="ISB3" t="str">
        <f>IFERROR(IF($C3="","",SUMIFS(Ledger!$K$2:$K$4, Ledger!$B$2:$B$4, $A3, Ledger!$C$2:$C$4, ISB$2)),"****")</f>
        <v/>
      </c>
      <c r="ISC3" t="str">
        <f>IFERROR(IF($C3="","",SUMIFS(Ledger!$K$2:$K$4, Ledger!$B$2:$B$4, $A3, Ledger!$C$2:$C$4, ISC$2)),"****")</f>
        <v/>
      </c>
      <c r="ISD3" t="str">
        <f>IFERROR(IF($C3="","",SUMIFS(Ledger!$K$2:$K$4, Ledger!$B$2:$B$4, $A3, Ledger!$C$2:$C$4, ISD$2)),"****")</f>
        <v/>
      </c>
      <c r="ISE3" t="str">
        <f>IFERROR(IF($C3="","",SUMIFS(Ledger!$K$2:$K$4, Ledger!$B$2:$B$4, $A3, Ledger!$C$2:$C$4, ISE$2)),"****")</f>
        <v/>
      </c>
      <c r="ISF3" t="str">
        <f>IFERROR(IF($C3="","",SUMIFS(Ledger!$K$2:$K$4, Ledger!$B$2:$B$4, $A3, Ledger!$C$2:$C$4, ISF$2)),"****")</f>
        <v/>
      </c>
      <c r="ISG3" t="str">
        <f>IFERROR(IF($C3="","",SUMIFS(Ledger!$K$2:$K$4, Ledger!$B$2:$B$4, $A3, Ledger!$C$2:$C$4, ISG$2)),"****")</f>
        <v/>
      </c>
      <c r="ISH3" t="str">
        <f>IFERROR(IF($C3="","",SUMIFS(Ledger!$K$2:$K$4, Ledger!$B$2:$B$4, $A3, Ledger!$C$2:$C$4, ISH$2)),"****")</f>
        <v/>
      </c>
      <c r="ISI3" t="str">
        <f>IFERROR(IF($C3="","",SUMIFS(Ledger!$K$2:$K$4, Ledger!$B$2:$B$4, $A3, Ledger!$C$2:$C$4, ISI$2)),"****")</f>
        <v/>
      </c>
      <c r="ISJ3" t="str">
        <f>IFERROR(IF($C3="","",SUMIFS(Ledger!$K$2:$K$4, Ledger!$B$2:$B$4, $A3, Ledger!$C$2:$C$4, ISJ$2)),"****")</f>
        <v/>
      </c>
      <c r="ISK3" t="str">
        <f>IFERROR(IF($C3="","",SUMIFS(Ledger!$K$2:$K$4, Ledger!$B$2:$B$4, $A3, Ledger!$C$2:$C$4, ISK$2)),"****")</f>
        <v/>
      </c>
      <c r="ISL3" t="str">
        <f>IFERROR(IF($C3="","",SUMIFS(Ledger!$K$2:$K$4, Ledger!$B$2:$B$4, $A3, Ledger!$C$2:$C$4, ISL$2)),"****")</f>
        <v/>
      </c>
      <c r="ISM3" t="str">
        <f>IFERROR(IF($C3="","",SUMIFS(Ledger!$K$2:$K$4, Ledger!$B$2:$B$4, $A3, Ledger!$C$2:$C$4, ISM$2)),"****")</f>
        <v/>
      </c>
      <c r="ISN3" t="str">
        <f>IFERROR(IF($C3="","",SUMIFS(Ledger!$K$2:$K$4, Ledger!$B$2:$B$4, $A3, Ledger!$C$2:$C$4, ISN$2)),"****")</f>
        <v/>
      </c>
      <c r="ISO3" t="str">
        <f>IFERROR(IF($C3="","",SUMIFS(Ledger!$K$2:$K$4, Ledger!$B$2:$B$4, $A3, Ledger!$C$2:$C$4, ISO$2)),"****")</f>
        <v/>
      </c>
      <c r="ISP3" t="str">
        <f>IFERROR(IF($C3="","",SUMIFS(Ledger!$K$2:$K$4, Ledger!$B$2:$B$4, $A3, Ledger!$C$2:$C$4, ISP$2)),"****")</f>
        <v/>
      </c>
      <c r="ISQ3" t="str">
        <f>IFERROR(IF($C3="","",SUMIFS(Ledger!$K$2:$K$4, Ledger!$B$2:$B$4, $A3, Ledger!$C$2:$C$4, ISQ$2)),"****")</f>
        <v/>
      </c>
      <c r="ISR3" t="str">
        <f>IFERROR(IF($C3="","",SUMIFS(Ledger!$K$2:$K$4, Ledger!$B$2:$B$4, $A3, Ledger!$C$2:$C$4, ISR$2)),"****")</f>
        <v/>
      </c>
      <c r="ISS3" t="str">
        <f>IFERROR(IF($C3="","",SUMIFS(Ledger!$K$2:$K$4, Ledger!$B$2:$B$4, $A3, Ledger!$C$2:$C$4, ISS$2)),"****")</f>
        <v/>
      </c>
      <c r="IST3" t="str">
        <f>IFERROR(IF($C3="","",SUMIFS(Ledger!$K$2:$K$4, Ledger!$B$2:$B$4, $A3, Ledger!$C$2:$C$4, IST$2)),"****")</f>
        <v/>
      </c>
      <c r="ISU3" t="str">
        <f>IFERROR(IF($C3="","",SUMIFS(Ledger!$K$2:$K$4, Ledger!$B$2:$B$4, $A3, Ledger!$C$2:$C$4, ISU$2)),"****")</f>
        <v/>
      </c>
      <c r="ISV3" t="str">
        <f>IFERROR(IF($C3="","",SUMIFS(Ledger!$K$2:$K$4, Ledger!$B$2:$B$4, $A3, Ledger!$C$2:$C$4, ISV$2)),"****")</f>
        <v/>
      </c>
      <c r="ISW3" t="str">
        <f>IFERROR(IF($C3="","",SUMIFS(Ledger!$K$2:$K$4, Ledger!$B$2:$B$4, $A3, Ledger!$C$2:$C$4, ISW$2)),"****")</f>
        <v/>
      </c>
      <c r="ISX3" t="str">
        <f>IFERROR(IF($C3="","",SUMIFS(Ledger!$K$2:$K$4, Ledger!$B$2:$B$4, $A3, Ledger!$C$2:$C$4, ISX$2)),"****")</f>
        <v/>
      </c>
      <c r="ISY3" t="str">
        <f>IFERROR(IF($C3="","",SUMIFS(Ledger!$K$2:$K$4, Ledger!$B$2:$B$4, $A3, Ledger!$C$2:$C$4, ISY$2)),"****")</f>
        <v/>
      </c>
      <c r="ISZ3" t="str">
        <f>IFERROR(IF($C3="","",SUMIFS(Ledger!$K$2:$K$4, Ledger!$B$2:$B$4, $A3, Ledger!$C$2:$C$4, ISZ$2)),"****")</f>
        <v/>
      </c>
      <c r="ITA3" t="str">
        <f>IFERROR(IF($C3="","",SUMIFS(Ledger!$K$2:$K$4, Ledger!$B$2:$B$4, $A3, Ledger!$C$2:$C$4, ITA$2)),"****")</f>
        <v/>
      </c>
      <c r="ITB3" t="str">
        <f>IFERROR(IF($C3="","",SUMIFS(Ledger!$K$2:$K$4, Ledger!$B$2:$B$4, $A3, Ledger!$C$2:$C$4, ITB$2)),"****")</f>
        <v/>
      </c>
      <c r="ITC3" t="str">
        <f>IFERROR(IF($C3="","",SUMIFS(Ledger!$K$2:$K$4, Ledger!$B$2:$B$4, $A3, Ledger!$C$2:$C$4, ITC$2)),"****")</f>
        <v/>
      </c>
      <c r="ITD3" t="str">
        <f>IFERROR(IF($C3="","",SUMIFS(Ledger!$K$2:$K$4, Ledger!$B$2:$B$4, $A3, Ledger!$C$2:$C$4, ITD$2)),"****")</f>
        <v/>
      </c>
      <c r="ITE3" t="str">
        <f>IFERROR(IF($C3="","",SUMIFS(Ledger!$K$2:$K$4, Ledger!$B$2:$B$4, $A3, Ledger!$C$2:$C$4, ITE$2)),"****")</f>
        <v/>
      </c>
      <c r="ITF3" t="str">
        <f>IFERROR(IF($C3="","",SUMIFS(Ledger!$K$2:$K$4, Ledger!$B$2:$B$4, $A3, Ledger!$C$2:$C$4, ITF$2)),"****")</f>
        <v/>
      </c>
      <c r="ITG3" t="str">
        <f>IFERROR(IF($C3="","",SUMIFS(Ledger!$K$2:$K$4, Ledger!$B$2:$B$4, $A3, Ledger!$C$2:$C$4, ITG$2)),"****")</f>
        <v/>
      </c>
      <c r="ITH3" t="str">
        <f>IFERROR(IF($C3="","",SUMIFS(Ledger!$K$2:$K$4, Ledger!$B$2:$B$4, $A3, Ledger!$C$2:$C$4, ITH$2)),"****")</f>
        <v/>
      </c>
      <c r="ITI3" t="str">
        <f>IFERROR(IF($C3="","",SUMIFS(Ledger!$K$2:$K$4, Ledger!$B$2:$B$4, $A3, Ledger!$C$2:$C$4, ITI$2)),"****")</f>
        <v/>
      </c>
      <c r="ITJ3" t="str">
        <f>IFERROR(IF($C3="","",SUMIFS(Ledger!$K$2:$K$4, Ledger!$B$2:$B$4, $A3, Ledger!$C$2:$C$4, ITJ$2)),"****")</f>
        <v/>
      </c>
      <c r="ITK3" t="str">
        <f>IFERROR(IF($C3="","",SUMIFS(Ledger!$K$2:$K$4, Ledger!$B$2:$B$4, $A3, Ledger!$C$2:$C$4, ITK$2)),"****")</f>
        <v/>
      </c>
      <c r="ITL3" t="str">
        <f>IFERROR(IF($C3="","",SUMIFS(Ledger!$K$2:$K$4, Ledger!$B$2:$B$4, $A3, Ledger!$C$2:$C$4, ITL$2)),"****")</f>
        <v/>
      </c>
      <c r="ITM3" t="str">
        <f>IFERROR(IF($C3="","",SUMIFS(Ledger!$K$2:$K$4, Ledger!$B$2:$B$4, $A3, Ledger!$C$2:$C$4, ITM$2)),"****")</f>
        <v/>
      </c>
      <c r="ITN3" t="str">
        <f>IFERROR(IF($C3="","",SUMIFS(Ledger!$K$2:$K$4, Ledger!$B$2:$B$4, $A3, Ledger!$C$2:$C$4, ITN$2)),"****")</f>
        <v/>
      </c>
      <c r="ITO3" t="str">
        <f>IFERROR(IF($C3="","",SUMIFS(Ledger!$K$2:$K$4, Ledger!$B$2:$B$4, $A3, Ledger!$C$2:$C$4, ITO$2)),"****")</f>
        <v/>
      </c>
      <c r="ITP3" t="str">
        <f>IFERROR(IF($C3="","",SUMIFS(Ledger!$K$2:$K$4, Ledger!$B$2:$B$4, $A3, Ledger!$C$2:$C$4, ITP$2)),"****")</f>
        <v/>
      </c>
      <c r="ITQ3" t="str">
        <f>IFERROR(IF($C3="","",SUMIFS(Ledger!$K$2:$K$4, Ledger!$B$2:$B$4, $A3, Ledger!$C$2:$C$4, ITQ$2)),"****")</f>
        <v/>
      </c>
      <c r="ITR3" t="str">
        <f>IFERROR(IF($C3="","",SUMIFS(Ledger!$K$2:$K$4, Ledger!$B$2:$B$4, $A3, Ledger!$C$2:$C$4, ITR$2)),"****")</f>
        <v/>
      </c>
      <c r="ITS3" t="str">
        <f>IFERROR(IF($C3="","",SUMIFS(Ledger!$K$2:$K$4, Ledger!$B$2:$B$4, $A3, Ledger!$C$2:$C$4, ITS$2)),"****")</f>
        <v/>
      </c>
      <c r="ITT3" t="str">
        <f>IFERROR(IF($C3="","",SUMIFS(Ledger!$K$2:$K$4, Ledger!$B$2:$B$4, $A3, Ledger!$C$2:$C$4, ITT$2)),"****")</f>
        <v/>
      </c>
      <c r="ITU3" t="str">
        <f>IFERROR(IF($C3="","",SUMIFS(Ledger!$K$2:$K$4, Ledger!$B$2:$B$4, $A3, Ledger!$C$2:$C$4, ITU$2)),"****")</f>
        <v/>
      </c>
      <c r="ITV3" t="str">
        <f>IFERROR(IF($C3="","",SUMIFS(Ledger!$K$2:$K$4, Ledger!$B$2:$B$4, $A3, Ledger!$C$2:$C$4, ITV$2)),"****")</f>
        <v/>
      </c>
      <c r="ITW3" t="str">
        <f>IFERROR(IF($C3="","",SUMIFS(Ledger!$K$2:$K$4, Ledger!$B$2:$B$4, $A3, Ledger!$C$2:$C$4, ITW$2)),"****")</f>
        <v/>
      </c>
      <c r="ITX3" t="str">
        <f>IFERROR(IF($C3="","",SUMIFS(Ledger!$K$2:$K$4, Ledger!$B$2:$B$4, $A3, Ledger!$C$2:$C$4, ITX$2)),"****")</f>
        <v/>
      </c>
      <c r="ITY3" t="str">
        <f>IFERROR(IF($C3="","",SUMIFS(Ledger!$K$2:$K$4, Ledger!$B$2:$B$4, $A3, Ledger!$C$2:$C$4, ITY$2)),"****")</f>
        <v/>
      </c>
      <c r="ITZ3" t="str">
        <f>IFERROR(IF($C3="","",SUMIFS(Ledger!$K$2:$K$4, Ledger!$B$2:$B$4, $A3, Ledger!$C$2:$C$4, ITZ$2)),"****")</f>
        <v/>
      </c>
      <c r="IUA3" t="str">
        <f>IFERROR(IF($C3="","",SUMIFS(Ledger!$K$2:$K$4, Ledger!$B$2:$B$4, $A3, Ledger!$C$2:$C$4, IUA$2)),"****")</f>
        <v/>
      </c>
      <c r="IUB3" t="str">
        <f>IFERROR(IF($C3="","",SUMIFS(Ledger!$K$2:$K$4, Ledger!$B$2:$B$4, $A3, Ledger!$C$2:$C$4, IUB$2)),"****")</f>
        <v/>
      </c>
      <c r="IUC3" t="str">
        <f>IFERROR(IF($C3="","",SUMIFS(Ledger!$K$2:$K$4, Ledger!$B$2:$B$4, $A3, Ledger!$C$2:$C$4, IUC$2)),"****")</f>
        <v/>
      </c>
      <c r="IUD3" t="str">
        <f>IFERROR(IF($C3="","",SUMIFS(Ledger!$K$2:$K$4, Ledger!$B$2:$B$4, $A3, Ledger!$C$2:$C$4, IUD$2)),"****")</f>
        <v/>
      </c>
      <c r="IUE3" t="str">
        <f>IFERROR(IF($C3="","",SUMIFS(Ledger!$K$2:$K$4, Ledger!$B$2:$B$4, $A3, Ledger!$C$2:$C$4, IUE$2)),"****")</f>
        <v/>
      </c>
      <c r="IUF3" t="str">
        <f>IFERROR(IF($C3="","",SUMIFS(Ledger!$K$2:$K$4, Ledger!$B$2:$B$4, $A3, Ledger!$C$2:$C$4, IUF$2)),"****")</f>
        <v/>
      </c>
      <c r="IUG3" t="str">
        <f>IFERROR(IF($C3="","",SUMIFS(Ledger!$K$2:$K$4, Ledger!$B$2:$B$4, $A3, Ledger!$C$2:$C$4, IUG$2)),"****")</f>
        <v/>
      </c>
      <c r="IUH3" t="str">
        <f>IFERROR(IF($C3="","",SUMIFS(Ledger!$K$2:$K$4, Ledger!$B$2:$B$4, $A3, Ledger!$C$2:$C$4, IUH$2)),"****")</f>
        <v/>
      </c>
      <c r="IUI3" t="str">
        <f>IFERROR(IF($C3="","",SUMIFS(Ledger!$K$2:$K$4, Ledger!$B$2:$B$4, $A3, Ledger!$C$2:$C$4, IUI$2)),"****")</f>
        <v/>
      </c>
      <c r="IUJ3" t="str">
        <f>IFERROR(IF($C3="","",SUMIFS(Ledger!$K$2:$K$4, Ledger!$B$2:$B$4, $A3, Ledger!$C$2:$C$4, IUJ$2)),"****")</f>
        <v/>
      </c>
      <c r="IUK3" t="str">
        <f>IFERROR(IF($C3="","",SUMIFS(Ledger!$K$2:$K$4, Ledger!$B$2:$B$4, $A3, Ledger!$C$2:$C$4, IUK$2)),"****")</f>
        <v/>
      </c>
      <c r="IUL3" t="str">
        <f>IFERROR(IF($C3="","",SUMIFS(Ledger!$K$2:$K$4, Ledger!$B$2:$B$4, $A3, Ledger!$C$2:$C$4, IUL$2)),"****")</f>
        <v/>
      </c>
      <c r="IUM3" t="str">
        <f>IFERROR(IF($C3="","",SUMIFS(Ledger!$K$2:$K$4, Ledger!$B$2:$B$4, $A3, Ledger!$C$2:$C$4, IUM$2)),"****")</f>
        <v/>
      </c>
      <c r="IUN3" t="str">
        <f>IFERROR(IF($C3="","",SUMIFS(Ledger!$K$2:$K$4, Ledger!$B$2:$B$4, $A3, Ledger!$C$2:$C$4, IUN$2)),"****")</f>
        <v/>
      </c>
      <c r="IUO3" t="str">
        <f>IFERROR(IF($C3="","",SUMIFS(Ledger!$K$2:$K$4, Ledger!$B$2:$B$4, $A3, Ledger!$C$2:$C$4, IUO$2)),"****")</f>
        <v/>
      </c>
      <c r="IUP3" t="str">
        <f>IFERROR(IF($C3="","",SUMIFS(Ledger!$K$2:$K$4, Ledger!$B$2:$B$4, $A3, Ledger!$C$2:$C$4, IUP$2)),"****")</f>
        <v/>
      </c>
      <c r="IUQ3" t="str">
        <f>IFERROR(IF($C3="","",SUMIFS(Ledger!$K$2:$K$4, Ledger!$B$2:$B$4, $A3, Ledger!$C$2:$C$4, IUQ$2)),"****")</f>
        <v/>
      </c>
      <c r="IUR3" t="str">
        <f>IFERROR(IF($C3="","",SUMIFS(Ledger!$K$2:$K$4, Ledger!$B$2:$B$4, $A3, Ledger!$C$2:$C$4, IUR$2)),"****")</f>
        <v/>
      </c>
      <c r="IUS3" t="str">
        <f>IFERROR(IF($C3="","",SUMIFS(Ledger!$K$2:$K$4, Ledger!$B$2:$B$4, $A3, Ledger!$C$2:$C$4, IUS$2)),"****")</f>
        <v/>
      </c>
      <c r="IUT3" t="str">
        <f>IFERROR(IF($C3="","",SUMIFS(Ledger!$K$2:$K$4, Ledger!$B$2:$B$4, $A3, Ledger!$C$2:$C$4, IUT$2)),"****")</f>
        <v/>
      </c>
      <c r="IUU3" t="str">
        <f>IFERROR(IF($C3="","",SUMIFS(Ledger!$K$2:$K$4, Ledger!$B$2:$B$4, $A3, Ledger!$C$2:$C$4, IUU$2)),"****")</f>
        <v/>
      </c>
      <c r="IUV3" t="str">
        <f>IFERROR(IF($C3="","",SUMIFS(Ledger!$K$2:$K$4, Ledger!$B$2:$B$4, $A3, Ledger!$C$2:$C$4, IUV$2)),"****")</f>
        <v/>
      </c>
      <c r="IUW3" t="str">
        <f>IFERROR(IF($C3="","",SUMIFS(Ledger!$K$2:$K$4, Ledger!$B$2:$B$4, $A3, Ledger!$C$2:$C$4, IUW$2)),"****")</f>
        <v/>
      </c>
      <c r="IUX3" t="str">
        <f>IFERROR(IF($C3="","",SUMIFS(Ledger!$K$2:$K$4, Ledger!$B$2:$B$4, $A3, Ledger!$C$2:$C$4, IUX$2)),"****")</f>
        <v/>
      </c>
      <c r="IUY3" t="str">
        <f>IFERROR(IF($C3="","",SUMIFS(Ledger!$K$2:$K$4, Ledger!$B$2:$B$4, $A3, Ledger!$C$2:$C$4, IUY$2)),"****")</f>
        <v/>
      </c>
      <c r="IUZ3" t="str">
        <f>IFERROR(IF($C3="","",SUMIFS(Ledger!$K$2:$K$4, Ledger!$B$2:$B$4, $A3, Ledger!$C$2:$C$4, IUZ$2)),"****")</f>
        <v/>
      </c>
      <c r="IVA3" t="str">
        <f>IFERROR(IF($C3="","",SUMIFS(Ledger!$K$2:$K$4, Ledger!$B$2:$B$4, $A3, Ledger!$C$2:$C$4, IVA$2)),"****")</f>
        <v/>
      </c>
      <c r="IVB3" t="str">
        <f>IFERROR(IF($C3="","",SUMIFS(Ledger!$K$2:$K$4, Ledger!$B$2:$B$4, $A3, Ledger!$C$2:$C$4, IVB$2)),"****")</f>
        <v/>
      </c>
      <c r="IVC3" t="str">
        <f>IFERROR(IF($C3="","",SUMIFS(Ledger!$K$2:$K$4, Ledger!$B$2:$B$4, $A3, Ledger!$C$2:$C$4, IVC$2)),"****")</f>
        <v/>
      </c>
      <c r="IVD3" t="str">
        <f>IFERROR(IF($C3="","",SUMIFS(Ledger!$K$2:$K$4, Ledger!$B$2:$B$4, $A3, Ledger!$C$2:$C$4, IVD$2)),"****")</f>
        <v/>
      </c>
      <c r="IVE3" t="str">
        <f>IFERROR(IF($C3="","",SUMIFS(Ledger!$K$2:$K$4, Ledger!$B$2:$B$4, $A3, Ledger!$C$2:$C$4, IVE$2)),"****")</f>
        <v/>
      </c>
      <c r="IVF3" t="str">
        <f>IFERROR(IF($C3="","",SUMIFS(Ledger!$K$2:$K$4, Ledger!$B$2:$B$4, $A3, Ledger!$C$2:$C$4, IVF$2)),"****")</f>
        <v/>
      </c>
      <c r="IVG3" t="str">
        <f>IFERROR(IF($C3="","",SUMIFS(Ledger!$K$2:$K$4, Ledger!$B$2:$B$4, $A3, Ledger!$C$2:$C$4, IVG$2)),"****")</f>
        <v/>
      </c>
      <c r="IVH3" t="str">
        <f>IFERROR(IF($C3="","",SUMIFS(Ledger!$K$2:$K$4, Ledger!$B$2:$B$4, $A3, Ledger!$C$2:$C$4, IVH$2)),"****")</f>
        <v/>
      </c>
      <c r="IVI3" t="str">
        <f>IFERROR(IF($C3="","",SUMIFS(Ledger!$K$2:$K$4, Ledger!$B$2:$B$4, $A3, Ledger!$C$2:$C$4, IVI$2)),"****")</f>
        <v/>
      </c>
      <c r="IVJ3" t="str">
        <f>IFERROR(IF($C3="","",SUMIFS(Ledger!$K$2:$K$4, Ledger!$B$2:$B$4, $A3, Ledger!$C$2:$C$4, IVJ$2)),"****")</f>
        <v/>
      </c>
      <c r="IVK3" t="str">
        <f>IFERROR(IF($C3="","",SUMIFS(Ledger!$K$2:$K$4, Ledger!$B$2:$B$4, $A3, Ledger!$C$2:$C$4, IVK$2)),"****")</f>
        <v/>
      </c>
      <c r="IVL3" t="str">
        <f>IFERROR(IF($C3="","",SUMIFS(Ledger!$K$2:$K$4, Ledger!$B$2:$B$4, $A3, Ledger!$C$2:$C$4, IVL$2)),"****")</f>
        <v/>
      </c>
      <c r="IVM3" t="str">
        <f>IFERROR(IF($C3="","",SUMIFS(Ledger!$K$2:$K$4, Ledger!$B$2:$B$4, $A3, Ledger!$C$2:$C$4, IVM$2)),"****")</f>
        <v/>
      </c>
      <c r="IVN3" t="str">
        <f>IFERROR(IF($C3="","",SUMIFS(Ledger!$K$2:$K$4, Ledger!$B$2:$B$4, $A3, Ledger!$C$2:$C$4, IVN$2)),"****")</f>
        <v/>
      </c>
      <c r="IVO3" t="str">
        <f>IFERROR(IF($C3="","",SUMIFS(Ledger!$K$2:$K$4, Ledger!$B$2:$B$4, $A3, Ledger!$C$2:$C$4, IVO$2)),"****")</f>
        <v/>
      </c>
      <c r="IVP3" t="str">
        <f>IFERROR(IF($C3="","",SUMIFS(Ledger!$K$2:$K$4, Ledger!$B$2:$B$4, $A3, Ledger!$C$2:$C$4, IVP$2)),"****")</f>
        <v/>
      </c>
      <c r="IVQ3" t="str">
        <f>IFERROR(IF($C3="","",SUMIFS(Ledger!$K$2:$K$4, Ledger!$B$2:$B$4, $A3, Ledger!$C$2:$C$4, IVQ$2)),"****")</f>
        <v/>
      </c>
      <c r="IVR3" t="str">
        <f>IFERROR(IF($C3="","",SUMIFS(Ledger!$K$2:$K$4, Ledger!$B$2:$B$4, $A3, Ledger!$C$2:$C$4, IVR$2)),"****")</f>
        <v/>
      </c>
      <c r="IVS3" t="str">
        <f>IFERROR(IF($C3="","",SUMIFS(Ledger!$K$2:$K$4, Ledger!$B$2:$B$4, $A3, Ledger!$C$2:$C$4, IVS$2)),"****")</f>
        <v/>
      </c>
      <c r="IVT3" t="str">
        <f>IFERROR(IF($C3="","",SUMIFS(Ledger!$K$2:$K$4, Ledger!$B$2:$B$4, $A3, Ledger!$C$2:$C$4, IVT$2)),"****")</f>
        <v/>
      </c>
      <c r="IVU3" t="str">
        <f>IFERROR(IF($C3="","",SUMIFS(Ledger!$K$2:$K$4, Ledger!$B$2:$B$4, $A3, Ledger!$C$2:$C$4, IVU$2)),"****")</f>
        <v/>
      </c>
      <c r="IVV3" t="str">
        <f>IFERROR(IF($C3="","",SUMIFS(Ledger!$K$2:$K$4, Ledger!$B$2:$B$4, $A3, Ledger!$C$2:$C$4, IVV$2)),"****")</f>
        <v/>
      </c>
      <c r="IVW3" t="str">
        <f>IFERROR(IF($C3="","",SUMIFS(Ledger!$K$2:$K$4, Ledger!$B$2:$B$4, $A3, Ledger!$C$2:$C$4, IVW$2)),"****")</f>
        <v/>
      </c>
      <c r="IVX3" t="str">
        <f>IFERROR(IF($C3="","",SUMIFS(Ledger!$K$2:$K$4, Ledger!$B$2:$B$4, $A3, Ledger!$C$2:$C$4, IVX$2)),"****")</f>
        <v/>
      </c>
      <c r="IVY3" t="str">
        <f>IFERROR(IF($C3="","",SUMIFS(Ledger!$K$2:$K$4, Ledger!$B$2:$B$4, $A3, Ledger!$C$2:$C$4, IVY$2)),"****")</f>
        <v/>
      </c>
      <c r="IVZ3" t="str">
        <f>IFERROR(IF($C3="","",SUMIFS(Ledger!$K$2:$K$4, Ledger!$B$2:$B$4, $A3, Ledger!$C$2:$C$4, IVZ$2)),"****")</f>
        <v/>
      </c>
      <c r="IWA3" t="str">
        <f>IFERROR(IF($C3="","",SUMIFS(Ledger!$K$2:$K$4, Ledger!$B$2:$B$4, $A3, Ledger!$C$2:$C$4, IWA$2)),"****")</f>
        <v/>
      </c>
      <c r="IWB3" t="str">
        <f>IFERROR(IF($C3="","",SUMIFS(Ledger!$K$2:$K$4, Ledger!$B$2:$B$4, $A3, Ledger!$C$2:$C$4, IWB$2)),"****")</f>
        <v/>
      </c>
      <c r="IWC3" t="str">
        <f>IFERROR(IF($C3="","",SUMIFS(Ledger!$K$2:$K$4, Ledger!$B$2:$B$4, $A3, Ledger!$C$2:$C$4, IWC$2)),"****")</f>
        <v/>
      </c>
      <c r="IWD3" t="str">
        <f>IFERROR(IF($C3="","",SUMIFS(Ledger!$K$2:$K$4, Ledger!$B$2:$B$4, $A3, Ledger!$C$2:$C$4, IWD$2)),"****")</f>
        <v/>
      </c>
      <c r="IWE3" t="str">
        <f>IFERROR(IF($C3="","",SUMIFS(Ledger!$K$2:$K$4, Ledger!$B$2:$B$4, $A3, Ledger!$C$2:$C$4, IWE$2)),"****")</f>
        <v/>
      </c>
      <c r="IWF3" t="str">
        <f>IFERROR(IF($C3="","",SUMIFS(Ledger!$K$2:$K$4, Ledger!$B$2:$B$4, $A3, Ledger!$C$2:$C$4, IWF$2)),"****")</f>
        <v/>
      </c>
      <c r="IWG3" t="str">
        <f>IFERROR(IF($C3="","",SUMIFS(Ledger!$K$2:$K$4, Ledger!$B$2:$B$4, $A3, Ledger!$C$2:$C$4, IWG$2)),"****")</f>
        <v/>
      </c>
      <c r="IWH3" t="str">
        <f>IFERROR(IF($C3="","",SUMIFS(Ledger!$K$2:$K$4, Ledger!$B$2:$B$4, $A3, Ledger!$C$2:$C$4, IWH$2)),"****")</f>
        <v/>
      </c>
      <c r="IWI3" t="str">
        <f>IFERROR(IF($C3="","",SUMIFS(Ledger!$K$2:$K$4, Ledger!$B$2:$B$4, $A3, Ledger!$C$2:$C$4, IWI$2)),"****")</f>
        <v/>
      </c>
      <c r="IWJ3" t="str">
        <f>IFERROR(IF($C3="","",SUMIFS(Ledger!$K$2:$K$4, Ledger!$B$2:$B$4, $A3, Ledger!$C$2:$C$4, IWJ$2)),"****")</f>
        <v/>
      </c>
      <c r="IWK3" t="str">
        <f>IFERROR(IF($C3="","",SUMIFS(Ledger!$K$2:$K$4, Ledger!$B$2:$B$4, $A3, Ledger!$C$2:$C$4, IWK$2)),"****")</f>
        <v/>
      </c>
      <c r="IWL3" t="str">
        <f>IFERROR(IF($C3="","",SUMIFS(Ledger!$K$2:$K$4, Ledger!$B$2:$B$4, $A3, Ledger!$C$2:$C$4, IWL$2)),"****")</f>
        <v/>
      </c>
      <c r="IWM3" t="str">
        <f>IFERROR(IF($C3="","",SUMIFS(Ledger!$K$2:$K$4, Ledger!$B$2:$B$4, $A3, Ledger!$C$2:$C$4, IWM$2)),"****")</f>
        <v/>
      </c>
      <c r="IWN3" t="str">
        <f>IFERROR(IF($C3="","",SUMIFS(Ledger!$K$2:$K$4, Ledger!$B$2:$B$4, $A3, Ledger!$C$2:$C$4, IWN$2)),"****")</f>
        <v/>
      </c>
      <c r="IWO3" t="str">
        <f>IFERROR(IF($C3="","",SUMIFS(Ledger!$K$2:$K$4, Ledger!$B$2:$B$4, $A3, Ledger!$C$2:$C$4, IWO$2)),"****")</f>
        <v/>
      </c>
      <c r="IWP3" t="str">
        <f>IFERROR(IF($C3="","",SUMIFS(Ledger!$K$2:$K$4, Ledger!$B$2:$B$4, $A3, Ledger!$C$2:$C$4, IWP$2)),"****")</f>
        <v/>
      </c>
      <c r="IWQ3" t="str">
        <f>IFERROR(IF($C3="","",SUMIFS(Ledger!$K$2:$K$4, Ledger!$B$2:$B$4, $A3, Ledger!$C$2:$C$4, IWQ$2)),"****")</f>
        <v/>
      </c>
      <c r="IWR3" t="str">
        <f>IFERROR(IF($C3="","",SUMIFS(Ledger!$K$2:$K$4, Ledger!$B$2:$B$4, $A3, Ledger!$C$2:$C$4, IWR$2)),"****")</f>
        <v/>
      </c>
      <c r="IWS3" t="str">
        <f>IFERROR(IF($C3="","",SUMIFS(Ledger!$K$2:$K$4, Ledger!$B$2:$B$4, $A3, Ledger!$C$2:$C$4, IWS$2)),"****")</f>
        <v/>
      </c>
      <c r="IWT3" t="str">
        <f>IFERROR(IF($C3="","",SUMIFS(Ledger!$K$2:$K$4, Ledger!$B$2:$B$4, $A3, Ledger!$C$2:$C$4, IWT$2)),"****")</f>
        <v/>
      </c>
      <c r="IWU3" t="str">
        <f>IFERROR(IF($C3="","",SUMIFS(Ledger!$K$2:$K$4, Ledger!$B$2:$B$4, $A3, Ledger!$C$2:$C$4, IWU$2)),"****")</f>
        <v/>
      </c>
      <c r="IWV3" t="str">
        <f>IFERROR(IF($C3="","",SUMIFS(Ledger!$K$2:$K$4, Ledger!$B$2:$B$4, $A3, Ledger!$C$2:$C$4, IWV$2)),"****")</f>
        <v/>
      </c>
      <c r="IWW3" t="str">
        <f>IFERROR(IF($C3="","",SUMIFS(Ledger!$K$2:$K$4, Ledger!$B$2:$B$4, $A3, Ledger!$C$2:$C$4, IWW$2)),"****")</f>
        <v/>
      </c>
      <c r="IWX3" t="str">
        <f>IFERROR(IF($C3="","",SUMIFS(Ledger!$K$2:$K$4, Ledger!$B$2:$B$4, $A3, Ledger!$C$2:$C$4, IWX$2)),"****")</f>
        <v/>
      </c>
      <c r="IWY3" t="str">
        <f>IFERROR(IF($C3="","",SUMIFS(Ledger!$K$2:$K$4, Ledger!$B$2:$B$4, $A3, Ledger!$C$2:$C$4, IWY$2)),"****")</f>
        <v/>
      </c>
      <c r="IWZ3" t="str">
        <f>IFERROR(IF($C3="","",SUMIFS(Ledger!$K$2:$K$4, Ledger!$B$2:$B$4, $A3, Ledger!$C$2:$C$4, IWZ$2)),"****")</f>
        <v/>
      </c>
      <c r="IXA3" t="str">
        <f>IFERROR(IF($C3="","",SUMIFS(Ledger!$K$2:$K$4, Ledger!$B$2:$B$4, $A3, Ledger!$C$2:$C$4, IXA$2)),"****")</f>
        <v/>
      </c>
      <c r="IXB3" t="str">
        <f>IFERROR(IF($C3="","",SUMIFS(Ledger!$K$2:$K$4, Ledger!$B$2:$B$4, $A3, Ledger!$C$2:$C$4, IXB$2)),"****")</f>
        <v/>
      </c>
      <c r="IXC3" t="str">
        <f>IFERROR(IF($C3="","",SUMIFS(Ledger!$K$2:$K$4, Ledger!$B$2:$B$4, $A3, Ledger!$C$2:$C$4, IXC$2)),"****")</f>
        <v/>
      </c>
      <c r="IXD3" t="str">
        <f>IFERROR(IF($C3="","",SUMIFS(Ledger!$K$2:$K$4, Ledger!$B$2:$B$4, $A3, Ledger!$C$2:$C$4, IXD$2)),"****")</f>
        <v/>
      </c>
      <c r="IXE3" t="str">
        <f>IFERROR(IF($C3="","",SUMIFS(Ledger!$K$2:$K$4, Ledger!$B$2:$B$4, $A3, Ledger!$C$2:$C$4, IXE$2)),"****")</f>
        <v/>
      </c>
      <c r="IXF3" t="str">
        <f>IFERROR(IF($C3="","",SUMIFS(Ledger!$K$2:$K$4, Ledger!$B$2:$B$4, $A3, Ledger!$C$2:$C$4, IXF$2)),"****")</f>
        <v/>
      </c>
      <c r="IXG3" t="str">
        <f>IFERROR(IF($C3="","",SUMIFS(Ledger!$K$2:$K$4, Ledger!$B$2:$B$4, $A3, Ledger!$C$2:$C$4, IXG$2)),"****")</f>
        <v/>
      </c>
      <c r="IXH3" t="str">
        <f>IFERROR(IF($C3="","",SUMIFS(Ledger!$K$2:$K$4, Ledger!$B$2:$B$4, $A3, Ledger!$C$2:$C$4, IXH$2)),"****")</f>
        <v/>
      </c>
      <c r="IXI3" t="str">
        <f>IFERROR(IF($C3="","",SUMIFS(Ledger!$K$2:$K$4, Ledger!$B$2:$B$4, $A3, Ledger!$C$2:$C$4, IXI$2)),"****")</f>
        <v/>
      </c>
      <c r="IXJ3" t="str">
        <f>IFERROR(IF($C3="","",SUMIFS(Ledger!$K$2:$K$4, Ledger!$B$2:$B$4, $A3, Ledger!$C$2:$C$4, IXJ$2)),"****")</f>
        <v/>
      </c>
      <c r="IXK3" t="str">
        <f>IFERROR(IF($C3="","",SUMIFS(Ledger!$K$2:$K$4, Ledger!$B$2:$B$4, $A3, Ledger!$C$2:$C$4, IXK$2)),"****")</f>
        <v/>
      </c>
      <c r="IXL3" t="str">
        <f>IFERROR(IF($C3="","",SUMIFS(Ledger!$K$2:$K$4, Ledger!$B$2:$B$4, $A3, Ledger!$C$2:$C$4, IXL$2)),"****")</f>
        <v/>
      </c>
      <c r="IXM3" t="str">
        <f>IFERROR(IF($C3="","",SUMIFS(Ledger!$K$2:$K$4, Ledger!$B$2:$B$4, $A3, Ledger!$C$2:$C$4, IXM$2)),"****")</f>
        <v/>
      </c>
      <c r="IXN3" t="str">
        <f>IFERROR(IF($C3="","",SUMIFS(Ledger!$K$2:$K$4, Ledger!$B$2:$B$4, $A3, Ledger!$C$2:$C$4, IXN$2)),"****")</f>
        <v/>
      </c>
      <c r="IXO3" t="str">
        <f>IFERROR(IF($C3="","",SUMIFS(Ledger!$K$2:$K$4, Ledger!$B$2:$B$4, $A3, Ledger!$C$2:$C$4, IXO$2)),"****")</f>
        <v/>
      </c>
      <c r="IXP3" t="str">
        <f>IFERROR(IF($C3="","",SUMIFS(Ledger!$K$2:$K$4, Ledger!$B$2:$B$4, $A3, Ledger!$C$2:$C$4, IXP$2)),"****")</f>
        <v/>
      </c>
      <c r="IXQ3" t="str">
        <f>IFERROR(IF($C3="","",SUMIFS(Ledger!$K$2:$K$4, Ledger!$B$2:$B$4, $A3, Ledger!$C$2:$C$4, IXQ$2)),"****")</f>
        <v/>
      </c>
      <c r="IXR3" t="str">
        <f>IFERROR(IF($C3="","",SUMIFS(Ledger!$K$2:$K$4, Ledger!$B$2:$B$4, $A3, Ledger!$C$2:$C$4, IXR$2)),"****")</f>
        <v/>
      </c>
      <c r="IXS3" t="str">
        <f>IFERROR(IF($C3="","",SUMIFS(Ledger!$K$2:$K$4, Ledger!$B$2:$B$4, $A3, Ledger!$C$2:$C$4, IXS$2)),"****")</f>
        <v/>
      </c>
      <c r="IXT3" t="str">
        <f>IFERROR(IF($C3="","",SUMIFS(Ledger!$K$2:$K$4, Ledger!$B$2:$B$4, $A3, Ledger!$C$2:$C$4, IXT$2)),"****")</f>
        <v/>
      </c>
      <c r="IXU3" t="str">
        <f>IFERROR(IF($C3="","",SUMIFS(Ledger!$K$2:$K$4, Ledger!$B$2:$B$4, $A3, Ledger!$C$2:$C$4, IXU$2)),"****")</f>
        <v/>
      </c>
      <c r="IXV3" t="str">
        <f>IFERROR(IF($C3="","",SUMIFS(Ledger!$K$2:$K$4, Ledger!$B$2:$B$4, $A3, Ledger!$C$2:$C$4, IXV$2)),"****")</f>
        <v/>
      </c>
      <c r="IXW3" t="str">
        <f>IFERROR(IF($C3="","",SUMIFS(Ledger!$K$2:$K$4, Ledger!$B$2:$B$4, $A3, Ledger!$C$2:$C$4, IXW$2)),"****")</f>
        <v/>
      </c>
      <c r="IXX3" t="str">
        <f>IFERROR(IF($C3="","",SUMIFS(Ledger!$K$2:$K$4, Ledger!$B$2:$B$4, $A3, Ledger!$C$2:$C$4, IXX$2)),"****")</f>
        <v/>
      </c>
      <c r="IXY3" t="str">
        <f>IFERROR(IF($C3="","",SUMIFS(Ledger!$K$2:$K$4, Ledger!$B$2:$B$4, $A3, Ledger!$C$2:$C$4, IXY$2)),"****")</f>
        <v/>
      </c>
      <c r="IXZ3" t="str">
        <f>IFERROR(IF($C3="","",SUMIFS(Ledger!$K$2:$K$4, Ledger!$B$2:$B$4, $A3, Ledger!$C$2:$C$4, IXZ$2)),"****")</f>
        <v/>
      </c>
      <c r="IYA3" t="str">
        <f>IFERROR(IF($C3="","",SUMIFS(Ledger!$K$2:$K$4, Ledger!$B$2:$B$4, $A3, Ledger!$C$2:$C$4, IYA$2)),"****")</f>
        <v/>
      </c>
      <c r="IYB3" t="str">
        <f>IFERROR(IF($C3="","",SUMIFS(Ledger!$K$2:$K$4, Ledger!$B$2:$B$4, $A3, Ledger!$C$2:$C$4, IYB$2)),"****")</f>
        <v/>
      </c>
      <c r="IYC3" t="str">
        <f>IFERROR(IF($C3="","",SUMIFS(Ledger!$K$2:$K$4, Ledger!$B$2:$B$4, $A3, Ledger!$C$2:$C$4, IYC$2)),"****")</f>
        <v/>
      </c>
      <c r="IYD3" t="str">
        <f>IFERROR(IF($C3="","",SUMIFS(Ledger!$K$2:$K$4, Ledger!$B$2:$B$4, $A3, Ledger!$C$2:$C$4, IYD$2)),"****")</f>
        <v/>
      </c>
      <c r="IYE3" t="str">
        <f>IFERROR(IF($C3="","",SUMIFS(Ledger!$K$2:$K$4, Ledger!$B$2:$B$4, $A3, Ledger!$C$2:$C$4, IYE$2)),"****")</f>
        <v/>
      </c>
      <c r="IYF3" t="str">
        <f>IFERROR(IF($C3="","",SUMIFS(Ledger!$K$2:$K$4, Ledger!$B$2:$B$4, $A3, Ledger!$C$2:$C$4, IYF$2)),"****")</f>
        <v/>
      </c>
      <c r="IYG3" t="str">
        <f>IFERROR(IF($C3="","",SUMIFS(Ledger!$K$2:$K$4, Ledger!$B$2:$B$4, $A3, Ledger!$C$2:$C$4, IYG$2)),"****")</f>
        <v/>
      </c>
      <c r="IYH3" t="str">
        <f>IFERROR(IF($C3="","",SUMIFS(Ledger!$K$2:$K$4, Ledger!$B$2:$B$4, $A3, Ledger!$C$2:$C$4, IYH$2)),"****")</f>
        <v/>
      </c>
      <c r="IYI3" t="str">
        <f>IFERROR(IF($C3="","",SUMIFS(Ledger!$K$2:$K$4, Ledger!$B$2:$B$4, $A3, Ledger!$C$2:$C$4, IYI$2)),"****")</f>
        <v/>
      </c>
      <c r="IYJ3" t="str">
        <f>IFERROR(IF($C3="","",SUMIFS(Ledger!$K$2:$K$4, Ledger!$B$2:$B$4, $A3, Ledger!$C$2:$C$4, IYJ$2)),"****")</f>
        <v/>
      </c>
      <c r="IYK3" t="str">
        <f>IFERROR(IF($C3="","",SUMIFS(Ledger!$K$2:$K$4, Ledger!$B$2:$B$4, $A3, Ledger!$C$2:$C$4, IYK$2)),"****")</f>
        <v/>
      </c>
      <c r="IYL3" t="str">
        <f>IFERROR(IF($C3="","",SUMIFS(Ledger!$K$2:$K$4, Ledger!$B$2:$B$4, $A3, Ledger!$C$2:$C$4, IYL$2)),"****")</f>
        <v/>
      </c>
      <c r="IYM3" t="str">
        <f>IFERROR(IF($C3="","",SUMIFS(Ledger!$K$2:$K$4, Ledger!$B$2:$B$4, $A3, Ledger!$C$2:$C$4, IYM$2)),"****")</f>
        <v/>
      </c>
      <c r="IYN3" t="str">
        <f>IFERROR(IF($C3="","",SUMIFS(Ledger!$K$2:$K$4, Ledger!$B$2:$B$4, $A3, Ledger!$C$2:$C$4, IYN$2)),"****")</f>
        <v/>
      </c>
      <c r="IYO3" t="str">
        <f>IFERROR(IF($C3="","",SUMIFS(Ledger!$K$2:$K$4, Ledger!$B$2:$B$4, $A3, Ledger!$C$2:$C$4, IYO$2)),"****")</f>
        <v/>
      </c>
      <c r="IYP3" t="str">
        <f>IFERROR(IF($C3="","",SUMIFS(Ledger!$K$2:$K$4, Ledger!$B$2:$B$4, $A3, Ledger!$C$2:$C$4, IYP$2)),"****")</f>
        <v/>
      </c>
      <c r="IYQ3" t="str">
        <f>IFERROR(IF($C3="","",SUMIFS(Ledger!$K$2:$K$4, Ledger!$B$2:$B$4, $A3, Ledger!$C$2:$C$4, IYQ$2)),"****")</f>
        <v/>
      </c>
      <c r="IYR3" t="str">
        <f>IFERROR(IF($C3="","",SUMIFS(Ledger!$K$2:$K$4, Ledger!$B$2:$B$4, $A3, Ledger!$C$2:$C$4, IYR$2)),"****")</f>
        <v/>
      </c>
      <c r="IYS3" t="str">
        <f>IFERROR(IF($C3="","",SUMIFS(Ledger!$K$2:$K$4, Ledger!$B$2:$B$4, $A3, Ledger!$C$2:$C$4, IYS$2)),"****")</f>
        <v/>
      </c>
      <c r="IYT3" t="str">
        <f>IFERROR(IF($C3="","",SUMIFS(Ledger!$K$2:$K$4, Ledger!$B$2:$B$4, $A3, Ledger!$C$2:$C$4, IYT$2)),"****")</f>
        <v/>
      </c>
      <c r="IYU3" t="str">
        <f>IFERROR(IF($C3="","",SUMIFS(Ledger!$K$2:$K$4, Ledger!$B$2:$B$4, $A3, Ledger!$C$2:$C$4, IYU$2)),"****")</f>
        <v/>
      </c>
      <c r="IYV3" t="str">
        <f>IFERROR(IF($C3="","",SUMIFS(Ledger!$K$2:$K$4, Ledger!$B$2:$B$4, $A3, Ledger!$C$2:$C$4, IYV$2)),"****")</f>
        <v/>
      </c>
      <c r="IYW3" t="str">
        <f>IFERROR(IF($C3="","",SUMIFS(Ledger!$K$2:$K$4, Ledger!$B$2:$B$4, $A3, Ledger!$C$2:$C$4, IYW$2)),"****")</f>
        <v/>
      </c>
      <c r="IYX3" t="str">
        <f>IFERROR(IF($C3="","",SUMIFS(Ledger!$K$2:$K$4, Ledger!$B$2:$B$4, $A3, Ledger!$C$2:$C$4, IYX$2)),"****")</f>
        <v/>
      </c>
      <c r="IYY3" t="str">
        <f>IFERROR(IF($C3="","",SUMIFS(Ledger!$K$2:$K$4, Ledger!$B$2:$B$4, $A3, Ledger!$C$2:$C$4, IYY$2)),"****")</f>
        <v/>
      </c>
      <c r="IYZ3" t="str">
        <f>IFERROR(IF($C3="","",SUMIFS(Ledger!$K$2:$K$4, Ledger!$B$2:$B$4, $A3, Ledger!$C$2:$C$4, IYZ$2)),"****")</f>
        <v/>
      </c>
      <c r="IZA3" t="str">
        <f>IFERROR(IF($C3="","",SUMIFS(Ledger!$K$2:$K$4, Ledger!$B$2:$B$4, $A3, Ledger!$C$2:$C$4, IZA$2)),"****")</f>
        <v/>
      </c>
      <c r="IZB3" t="str">
        <f>IFERROR(IF($C3="","",SUMIFS(Ledger!$K$2:$K$4, Ledger!$B$2:$B$4, $A3, Ledger!$C$2:$C$4, IZB$2)),"****")</f>
        <v/>
      </c>
      <c r="IZC3" t="str">
        <f>IFERROR(IF($C3="","",SUMIFS(Ledger!$K$2:$K$4, Ledger!$B$2:$B$4, $A3, Ledger!$C$2:$C$4, IZC$2)),"****")</f>
        <v/>
      </c>
      <c r="IZD3" t="str">
        <f>IFERROR(IF($C3="","",SUMIFS(Ledger!$K$2:$K$4, Ledger!$B$2:$B$4, $A3, Ledger!$C$2:$C$4, IZD$2)),"****")</f>
        <v/>
      </c>
      <c r="IZE3" t="str">
        <f>IFERROR(IF($C3="","",SUMIFS(Ledger!$K$2:$K$4, Ledger!$B$2:$B$4, $A3, Ledger!$C$2:$C$4, IZE$2)),"****")</f>
        <v/>
      </c>
      <c r="IZF3" t="str">
        <f>IFERROR(IF($C3="","",SUMIFS(Ledger!$K$2:$K$4, Ledger!$B$2:$B$4, $A3, Ledger!$C$2:$C$4, IZF$2)),"****")</f>
        <v/>
      </c>
      <c r="IZG3" t="str">
        <f>IFERROR(IF($C3="","",SUMIFS(Ledger!$K$2:$K$4, Ledger!$B$2:$B$4, $A3, Ledger!$C$2:$C$4, IZG$2)),"****")</f>
        <v/>
      </c>
      <c r="IZH3" t="str">
        <f>IFERROR(IF($C3="","",SUMIFS(Ledger!$K$2:$K$4, Ledger!$B$2:$B$4, $A3, Ledger!$C$2:$C$4, IZH$2)),"****")</f>
        <v/>
      </c>
      <c r="IZI3" t="str">
        <f>IFERROR(IF($C3="","",SUMIFS(Ledger!$K$2:$K$4, Ledger!$B$2:$B$4, $A3, Ledger!$C$2:$C$4, IZI$2)),"****")</f>
        <v/>
      </c>
      <c r="IZJ3" t="str">
        <f>IFERROR(IF($C3="","",SUMIFS(Ledger!$K$2:$K$4, Ledger!$B$2:$B$4, $A3, Ledger!$C$2:$C$4, IZJ$2)),"****")</f>
        <v/>
      </c>
      <c r="IZK3" t="str">
        <f>IFERROR(IF($C3="","",SUMIFS(Ledger!$K$2:$K$4, Ledger!$B$2:$B$4, $A3, Ledger!$C$2:$C$4, IZK$2)),"****")</f>
        <v/>
      </c>
      <c r="IZL3" t="str">
        <f>IFERROR(IF($C3="","",SUMIFS(Ledger!$K$2:$K$4, Ledger!$B$2:$B$4, $A3, Ledger!$C$2:$C$4, IZL$2)),"****")</f>
        <v/>
      </c>
      <c r="IZM3" t="str">
        <f>IFERROR(IF($C3="","",SUMIFS(Ledger!$K$2:$K$4, Ledger!$B$2:$B$4, $A3, Ledger!$C$2:$C$4, IZM$2)),"****")</f>
        <v/>
      </c>
      <c r="IZN3" t="str">
        <f>IFERROR(IF($C3="","",SUMIFS(Ledger!$K$2:$K$4, Ledger!$B$2:$B$4, $A3, Ledger!$C$2:$C$4, IZN$2)),"****")</f>
        <v/>
      </c>
      <c r="IZO3" t="str">
        <f>IFERROR(IF($C3="","",SUMIFS(Ledger!$K$2:$K$4, Ledger!$B$2:$B$4, $A3, Ledger!$C$2:$C$4, IZO$2)),"****")</f>
        <v/>
      </c>
      <c r="IZP3" t="str">
        <f>IFERROR(IF($C3="","",SUMIFS(Ledger!$K$2:$K$4, Ledger!$B$2:$B$4, $A3, Ledger!$C$2:$C$4, IZP$2)),"****")</f>
        <v/>
      </c>
      <c r="IZQ3" t="str">
        <f>IFERROR(IF($C3="","",SUMIFS(Ledger!$K$2:$K$4, Ledger!$B$2:$B$4, $A3, Ledger!$C$2:$C$4, IZQ$2)),"****")</f>
        <v/>
      </c>
      <c r="IZR3" t="str">
        <f>IFERROR(IF($C3="","",SUMIFS(Ledger!$K$2:$K$4, Ledger!$B$2:$B$4, $A3, Ledger!$C$2:$C$4, IZR$2)),"****")</f>
        <v/>
      </c>
      <c r="IZS3" t="str">
        <f>IFERROR(IF($C3="","",SUMIFS(Ledger!$K$2:$K$4, Ledger!$B$2:$B$4, $A3, Ledger!$C$2:$C$4, IZS$2)),"****")</f>
        <v/>
      </c>
      <c r="IZT3" t="str">
        <f>IFERROR(IF($C3="","",SUMIFS(Ledger!$K$2:$K$4, Ledger!$B$2:$B$4, $A3, Ledger!$C$2:$C$4, IZT$2)),"****")</f>
        <v/>
      </c>
      <c r="IZU3" t="str">
        <f>IFERROR(IF($C3="","",SUMIFS(Ledger!$K$2:$K$4, Ledger!$B$2:$B$4, $A3, Ledger!$C$2:$C$4, IZU$2)),"****")</f>
        <v/>
      </c>
      <c r="IZV3" t="str">
        <f>IFERROR(IF($C3="","",SUMIFS(Ledger!$K$2:$K$4, Ledger!$B$2:$B$4, $A3, Ledger!$C$2:$C$4, IZV$2)),"****")</f>
        <v/>
      </c>
      <c r="IZW3" t="str">
        <f>IFERROR(IF($C3="","",SUMIFS(Ledger!$K$2:$K$4, Ledger!$B$2:$B$4, $A3, Ledger!$C$2:$C$4, IZW$2)),"****")</f>
        <v/>
      </c>
      <c r="IZX3" t="str">
        <f>IFERROR(IF($C3="","",SUMIFS(Ledger!$K$2:$K$4, Ledger!$B$2:$B$4, $A3, Ledger!$C$2:$C$4, IZX$2)),"****")</f>
        <v/>
      </c>
      <c r="IZY3" t="str">
        <f>IFERROR(IF($C3="","",SUMIFS(Ledger!$K$2:$K$4, Ledger!$B$2:$B$4, $A3, Ledger!$C$2:$C$4, IZY$2)),"****")</f>
        <v/>
      </c>
      <c r="IZZ3" t="str">
        <f>IFERROR(IF($C3="","",SUMIFS(Ledger!$K$2:$K$4, Ledger!$B$2:$B$4, $A3, Ledger!$C$2:$C$4, IZZ$2)),"****")</f>
        <v/>
      </c>
      <c r="JAA3" t="str">
        <f>IFERROR(IF($C3="","",SUMIFS(Ledger!$K$2:$K$4, Ledger!$B$2:$B$4, $A3, Ledger!$C$2:$C$4, JAA$2)),"****")</f>
        <v/>
      </c>
      <c r="JAB3" t="str">
        <f>IFERROR(IF($C3="","",SUMIFS(Ledger!$K$2:$K$4, Ledger!$B$2:$B$4, $A3, Ledger!$C$2:$C$4, JAB$2)),"****")</f>
        <v/>
      </c>
      <c r="JAC3" t="str">
        <f>IFERROR(IF($C3="","",SUMIFS(Ledger!$K$2:$K$4, Ledger!$B$2:$B$4, $A3, Ledger!$C$2:$C$4, JAC$2)),"****")</f>
        <v/>
      </c>
      <c r="JAD3" t="str">
        <f>IFERROR(IF($C3="","",SUMIFS(Ledger!$K$2:$K$4, Ledger!$B$2:$B$4, $A3, Ledger!$C$2:$C$4, JAD$2)),"****")</f>
        <v/>
      </c>
      <c r="JAE3" t="str">
        <f>IFERROR(IF($C3="","",SUMIFS(Ledger!$K$2:$K$4, Ledger!$B$2:$B$4, $A3, Ledger!$C$2:$C$4, JAE$2)),"****")</f>
        <v/>
      </c>
      <c r="JAF3" t="str">
        <f>IFERROR(IF($C3="","",SUMIFS(Ledger!$K$2:$K$4, Ledger!$B$2:$B$4, $A3, Ledger!$C$2:$C$4, JAF$2)),"****")</f>
        <v/>
      </c>
      <c r="JAG3" t="str">
        <f>IFERROR(IF($C3="","",SUMIFS(Ledger!$K$2:$K$4, Ledger!$B$2:$B$4, $A3, Ledger!$C$2:$C$4, JAG$2)),"****")</f>
        <v/>
      </c>
      <c r="JAH3" t="str">
        <f>IFERROR(IF($C3="","",SUMIFS(Ledger!$K$2:$K$4, Ledger!$B$2:$B$4, $A3, Ledger!$C$2:$C$4, JAH$2)),"****")</f>
        <v/>
      </c>
      <c r="JAI3" t="str">
        <f>IFERROR(IF($C3="","",SUMIFS(Ledger!$K$2:$K$4, Ledger!$B$2:$B$4, $A3, Ledger!$C$2:$C$4, JAI$2)),"****")</f>
        <v/>
      </c>
      <c r="JAJ3" t="str">
        <f>IFERROR(IF($C3="","",SUMIFS(Ledger!$K$2:$K$4, Ledger!$B$2:$B$4, $A3, Ledger!$C$2:$C$4, JAJ$2)),"****")</f>
        <v/>
      </c>
      <c r="JAK3" t="str">
        <f>IFERROR(IF($C3="","",SUMIFS(Ledger!$K$2:$K$4, Ledger!$B$2:$B$4, $A3, Ledger!$C$2:$C$4, JAK$2)),"****")</f>
        <v/>
      </c>
      <c r="JAL3" t="str">
        <f>IFERROR(IF($C3="","",SUMIFS(Ledger!$K$2:$K$4, Ledger!$B$2:$B$4, $A3, Ledger!$C$2:$C$4, JAL$2)),"****")</f>
        <v/>
      </c>
      <c r="JAM3" t="str">
        <f>IFERROR(IF($C3="","",SUMIFS(Ledger!$K$2:$K$4, Ledger!$B$2:$B$4, $A3, Ledger!$C$2:$C$4, JAM$2)),"****")</f>
        <v/>
      </c>
      <c r="JAN3" t="str">
        <f>IFERROR(IF($C3="","",SUMIFS(Ledger!$K$2:$K$4, Ledger!$B$2:$B$4, $A3, Ledger!$C$2:$C$4, JAN$2)),"****")</f>
        <v/>
      </c>
      <c r="JAO3" t="str">
        <f>IFERROR(IF($C3="","",SUMIFS(Ledger!$K$2:$K$4, Ledger!$B$2:$B$4, $A3, Ledger!$C$2:$C$4, JAO$2)),"****")</f>
        <v/>
      </c>
      <c r="JAP3" t="str">
        <f>IFERROR(IF($C3="","",SUMIFS(Ledger!$K$2:$K$4, Ledger!$B$2:$B$4, $A3, Ledger!$C$2:$C$4, JAP$2)),"****")</f>
        <v/>
      </c>
      <c r="JAQ3" t="str">
        <f>IFERROR(IF($C3="","",SUMIFS(Ledger!$K$2:$K$4, Ledger!$B$2:$B$4, $A3, Ledger!$C$2:$C$4, JAQ$2)),"****")</f>
        <v/>
      </c>
      <c r="JAR3" t="str">
        <f>IFERROR(IF($C3="","",SUMIFS(Ledger!$K$2:$K$4, Ledger!$B$2:$B$4, $A3, Ledger!$C$2:$C$4, JAR$2)),"****")</f>
        <v/>
      </c>
      <c r="JAS3" t="str">
        <f>IFERROR(IF($C3="","",SUMIFS(Ledger!$K$2:$K$4, Ledger!$B$2:$B$4, $A3, Ledger!$C$2:$C$4, JAS$2)),"****")</f>
        <v/>
      </c>
      <c r="JAT3" t="str">
        <f>IFERROR(IF($C3="","",SUMIFS(Ledger!$K$2:$K$4, Ledger!$B$2:$B$4, $A3, Ledger!$C$2:$C$4, JAT$2)),"****")</f>
        <v/>
      </c>
      <c r="JAU3" t="str">
        <f>IFERROR(IF($C3="","",SUMIFS(Ledger!$K$2:$K$4, Ledger!$B$2:$B$4, $A3, Ledger!$C$2:$C$4, JAU$2)),"****")</f>
        <v/>
      </c>
      <c r="JAV3" t="str">
        <f>IFERROR(IF($C3="","",SUMIFS(Ledger!$K$2:$K$4, Ledger!$B$2:$B$4, $A3, Ledger!$C$2:$C$4, JAV$2)),"****")</f>
        <v/>
      </c>
      <c r="JAW3" t="str">
        <f>IFERROR(IF($C3="","",SUMIFS(Ledger!$K$2:$K$4, Ledger!$B$2:$B$4, $A3, Ledger!$C$2:$C$4, JAW$2)),"****")</f>
        <v/>
      </c>
      <c r="JAX3" t="str">
        <f>IFERROR(IF($C3="","",SUMIFS(Ledger!$K$2:$K$4, Ledger!$B$2:$B$4, $A3, Ledger!$C$2:$C$4, JAX$2)),"****")</f>
        <v/>
      </c>
      <c r="JAY3" t="str">
        <f>IFERROR(IF($C3="","",SUMIFS(Ledger!$K$2:$K$4, Ledger!$B$2:$B$4, $A3, Ledger!$C$2:$C$4, JAY$2)),"****")</f>
        <v/>
      </c>
      <c r="JAZ3" t="str">
        <f>IFERROR(IF($C3="","",SUMIFS(Ledger!$K$2:$K$4, Ledger!$B$2:$B$4, $A3, Ledger!$C$2:$C$4, JAZ$2)),"****")</f>
        <v/>
      </c>
      <c r="JBA3" t="str">
        <f>IFERROR(IF($C3="","",SUMIFS(Ledger!$K$2:$K$4, Ledger!$B$2:$B$4, $A3, Ledger!$C$2:$C$4, JBA$2)),"****")</f>
        <v/>
      </c>
      <c r="JBB3" t="str">
        <f>IFERROR(IF($C3="","",SUMIFS(Ledger!$K$2:$K$4, Ledger!$B$2:$B$4, $A3, Ledger!$C$2:$C$4, JBB$2)),"****")</f>
        <v/>
      </c>
      <c r="JBC3" t="str">
        <f>IFERROR(IF($C3="","",SUMIFS(Ledger!$K$2:$K$4, Ledger!$B$2:$B$4, $A3, Ledger!$C$2:$C$4, JBC$2)),"****")</f>
        <v/>
      </c>
      <c r="JBD3" t="str">
        <f>IFERROR(IF($C3="","",SUMIFS(Ledger!$K$2:$K$4, Ledger!$B$2:$B$4, $A3, Ledger!$C$2:$C$4, JBD$2)),"****")</f>
        <v/>
      </c>
      <c r="JBE3" t="str">
        <f>IFERROR(IF($C3="","",SUMIFS(Ledger!$K$2:$K$4, Ledger!$B$2:$B$4, $A3, Ledger!$C$2:$C$4, JBE$2)),"****")</f>
        <v/>
      </c>
      <c r="JBF3" t="str">
        <f>IFERROR(IF($C3="","",SUMIFS(Ledger!$K$2:$K$4, Ledger!$B$2:$B$4, $A3, Ledger!$C$2:$C$4, JBF$2)),"****")</f>
        <v/>
      </c>
      <c r="JBG3" t="str">
        <f>IFERROR(IF($C3="","",SUMIFS(Ledger!$K$2:$K$4, Ledger!$B$2:$B$4, $A3, Ledger!$C$2:$C$4, JBG$2)),"****")</f>
        <v/>
      </c>
      <c r="JBH3" t="str">
        <f>IFERROR(IF($C3="","",SUMIFS(Ledger!$K$2:$K$4, Ledger!$B$2:$B$4, $A3, Ledger!$C$2:$C$4, JBH$2)),"****")</f>
        <v/>
      </c>
      <c r="JBI3" t="str">
        <f>IFERROR(IF($C3="","",SUMIFS(Ledger!$K$2:$K$4, Ledger!$B$2:$B$4, $A3, Ledger!$C$2:$C$4, JBI$2)),"****")</f>
        <v/>
      </c>
      <c r="JBJ3" t="str">
        <f>IFERROR(IF($C3="","",SUMIFS(Ledger!$K$2:$K$4, Ledger!$B$2:$B$4, $A3, Ledger!$C$2:$C$4, JBJ$2)),"****")</f>
        <v/>
      </c>
      <c r="JBK3" t="str">
        <f>IFERROR(IF($C3="","",SUMIFS(Ledger!$K$2:$K$4, Ledger!$B$2:$B$4, $A3, Ledger!$C$2:$C$4, JBK$2)),"****")</f>
        <v/>
      </c>
      <c r="JBL3" t="str">
        <f>IFERROR(IF($C3="","",SUMIFS(Ledger!$K$2:$K$4, Ledger!$B$2:$B$4, $A3, Ledger!$C$2:$C$4, JBL$2)),"****")</f>
        <v/>
      </c>
      <c r="JBM3" t="str">
        <f>IFERROR(IF($C3="","",SUMIFS(Ledger!$K$2:$K$4, Ledger!$B$2:$B$4, $A3, Ledger!$C$2:$C$4, JBM$2)),"****")</f>
        <v/>
      </c>
      <c r="JBN3" t="str">
        <f>IFERROR(IF($C3="","",SUMIFS(Ledger!$K$2:$K$4, Ledger!$B$2:$B$4, $A3, Ledger!$C$2:$C$4, JBN$2)),"****")</f>
        <v/>
      </c>
      <c r="JBO3" t="str">
        <f>IFERROR(IF($C3="","",SUMIFS(Ledger!$K$2:$K$4, Ledger!$B$2:$B$4, $A3, Ledger!$C$2:$C$4, JBO$2)),"****")</f>
        <v/>
      </c>
      <c r="JBP3" t="str">
        <f>IFERROR(IF($C3="","",SUMIFS(Ledger!$K$2:$K$4, Ledger!$B$2:$B$4, $A3, Ledger!$C$2:$C$4, JBP$2)),"****")</f>
        <v/>
      </c>
      <c r="JBQ3" t="str">
        <f>IFERROR(IF($C3="","",SUMIFS(Ledger!$K$2:$K$4, Ledger!$B$2:$B$4, $A3, Ledger!$C$2:$C$4, JBQ$2)),"****")</f>
        <v/>
      </c>
      <c r="JBR3" t="str">
        <f>IFERROR(IF($C3="","",SUMIFS(Ledger!$K$2:$K$4, Ledger!$B$2:$B$4, $A3, Ledger!$C$2:$C$4, JBR$2)),"****")</f>
        <v/>
      </c>
      <c r="JBS3" t="str">
        <f>IFERROR(IF($C3="","",SUMIFS(Ledger!$K$2:$K$4, Ledger!$B$2:$B$4, $A3, Ledger!$C$2:$C$4, JBS$2)),"****")</f>
        <v/>
      </c>
      <c r="JBT3" t="str">
        <f>IFERROR(IF($C3="","",SUMIFS(Ledger!$K$2:$K$4, Ledger!$B$2:$B$4, $A3, Ledger!$C$2:$C$4, JBT$2)),"****")</f>
        <v/>
      </c>
      <c r="JBU3" t="str">
        <f>IFERROR(IF($C3="","",SUMIFS(Ledger!$K$2:$K$4, Ledger!$B$2:$B$4, $A3, Ledger!$C$2:$C$4, JBU$2)),"****")</f>
        <v/>
      </c>
      <c r="JBV3" t="str">
        <f>IFERROR(IF($C3="","",SUMIFS(Ledger!$K$2:$K$4, Ledger!$B$2:$B$4, $A3, Ledger!$C$2:$C$4, JBV$2)),"****")</f>
        <v/>
      </c>
      <c r="JBW3" t="str">
        <f>IFERROR(IF($C3="","",SUMIFS(Ledger!$K$2:$K$4, Ledger!$B$2:$B$4, $A3, Ledger!$C$2:$C$4, JBW$2)),"****")</f>
        <v/>
      </c>
      <c r="JBX3" t="str">
        <f>IFERROR(IF($C3="","",SUMIFS(Ledger!$K$2:$K$4, Ledger!$B$2:$B$4, $A3, Ledger!$C$2:$C$4, JBX$2)),"****")</f>
        <v/>
      </c>
      <c r="JBY3" t="str">
        <f>IFERROR(IF($C3="","",SUMIFS(Ledger!$K$2:$K$4, Ledger!$B$2:$B$4, $A3, Ledger!$C$2:$C$4, JBY$2)),"****")</f>
        <v/>
      </c>
      <c r="JBZ3" t="str">
        <f>IFERROR(IF($C3="","",SUMIFS(Ledger!$K$2:$K$4, Ledger!$B$2:$B$4, $A3, Ledger!$C$2:$C$4, JBZ$2)),"****")</f>
        <v/>
      </c>
      <c r="JCA3" t="str">
        <f>IFERROR(IF($C3="","",SUMIFS(Ledger!$K$2:$K$4, Ledger!$B$2:$B$4, $A3, Ledger!$C$2:$C$4, JCA$2)),"****")</f>
        <v/>
      </c>
      <c r="JCB3" t="str">
        <f>IFERROR(IF($C3="","",SUMIFS(Ledger!$K$2:$K$4, Ledger!$B$2:$B$4, $A3, Ledger!$C$2:$C$4, JCB$2)),"****")</f>
        <v/>
      </c>
      <c r="JCC3" t="str">
        <f>IFERROR(IF($C3="","",SUMIFS(Ledger!$K$2:$K$4, Ledger!$B$2:$B$4, $A3, Ledger!$C$2:$C$4, JCC$2)),"****")</f>
        <v/>
      </c>
      <c r="JCD3" t="str">
        <f>IFERROR(IF($C3="","",SUMIFS(Ledger!$K$2:$K$4, Ledger!$B$2:$B$4, $A3, Ledger!$C$2:$C$4, JCD$2)),"****")</f>
        <v/>
      </c>
      <c r="JCE3" t="str">
        <f>IFERROR(IF($C3="","",SUMIFS(Ledger!$K$2:$K$4, Ledger!$B$2:$B$4, $A3, Ledger!$C$2:$C$4, JCE$2)),"****")</f>
        <v/>
      </c>
      <c r="JCF3" t="str">
        <f>IFERROR(IF($C3="","",SUMIFS(Ledger!$K$2:$K$4, Ledger!$B$2:$B$4, $A3, Ledger!$C$2:$C$4, JCF$2)),"****")</f>
        <v/>
      </c>
      <c r="JCG3" t="str">
        <f>IFERROR(IF($C3="","",SUMIFS(Ledger!$K$2:$K$4, Ledger!$B$2:$B$4, $A3, Ledger!$C$2:$C$4, JCG$2)),"****")</f>
        <v/>
      </c>
      <c r="JCH3" t="str">
        <f>IFERROR(IF($C3="","",SUMIFS(Ledger!$K$2:$K$4, Ledger!$B$2:$B$4, $A3, Ledger!$C$2:$C$4, JCH$2)),"****")</f>
        <v/>
      </c>
      <c r="JCI3" t="str">
        <f>IFERROR(IF($C3="","",SUMIFS(Ledger!$K$2:$K$4, Ledger!$B$2:$B$4, $A3, Ledger!$C$2:$C$4, JCI$2)),"****")</f>
        <v/>
      </c>
      <c r="JCJ3" t="str">
        <f>IFERROR(IF($C3="","",SUMIFS(Ledger!$K$2:$K$4, Ledger!$B$2:$B$4, $A3, Ledger!$C$2:$C$4, JCJ$2)),"****")</f>
        <v/>
      </c>
      <c r="JCK3" t="str">
        <f>IFERROR(IF($C3="","",SUMIFS(Ledger!$K$2:$K$4, Ledger!$B$2:$B$4, $A3, Ledger!$C$2:$C$4, JCK$2)),"****")</f>
        <v/>
      </c>
      <c r="JCL3" t="str">
        <f>IFERROR(IF($C3="","",SUMIFS(Ledger!$K$2:$K$4, Ledger!$B$2:$B$4, $A3, Ledger!$C$2:$C$4, JCL$2)),"****")</f>
        <v/>
      </c>
      <c r="JCM3" t="str">
        <f>IFERROR(IF($C3="","",SUMIFS(Ledger!$K$2:$K$4, Ledger!$B$2:$B$4, $A3, Ledger!$C$2:$C$4, JCM$2)),"****")</f>
        <v/>
      </c>
      <c r="JCN3" t="str">
        <f>IFERROR(IF($C3="","",SUMIFS(Ledger!$K$2:$K$4, Ledger!$B$2:$B$4, $A3, Ledger!$C$2:$C$4, JCN$2)),"****")</f>
        <v/>
      </c>
      <c r="JCO3" t="str">
        <f>IFERROR(IF($C3="","",SUMIFS(Ledger!$K$2:$K$4, Ledger!$B$2:$B$4, $A3, Ledger!$C$2:$C$4, JCO$2)),"****")</f>
        <v/>
      </c>
      <c r="JCP3" t="str">
        <f>IFERROR(IF($C3="","",SUMIFS(Ledger!$K$2:$K$4, Ledger!$B$2:$B$4, $A3, Ledger!$C$2:$C$4, JCP$2)),"****")</f>
        <v/>
      </c>
      <c r="JCQ3" t="str">
        <f>IFERROR(IF($C3="","",SUMIFS(Ledger!$K$2:$K$4, Ledger!$B$2:$B$4, $A3, Ledger!$C$2:$C$4, JCQ$2)),"****")</f>
        <v/>
      </c>
      <c r="JCR3" t="str">
        <f>IFERROR(IF($C3="","",SUMIFS(Ledger!$K$2:$K$4, Ledger!$B$2:$B$4, $A3, Ledger!$C$2:$C$4, JCR$2)),"****")</f>
        <v/>
      </c>
      <c r="JCS3" t="str">
        <f>IFERROR(IF($C3="","",SUMIFS(Ledger!$K$2:$K$4, Ledger!$B$2:$B$4, $A3, Ledger!$C$2:$C$4, JCS$2)),"****")</f>
        <v/>
      </c>
      <c r="JCT3" t="str">
        <f>IFERROR(IF($C3="","",SUMIFS(Ledger!$K$2:$K$4, Ledger!$B$2:$B$4, $A3, Ledger!$C$2:$C$4, JCT$2)),"****")</f>
        <v/>
      </c>
      <c r="JCU3" t="str">
        <f>IFERROR(IF($C3="","",SUMIFS(Ledger!$K$2:$K$4, Ledger!$B$2:$B$4, $A3, Ledger!$C$2:$C$4, JCU$2)),"****")</f>
        <v/>
      </c>
      <c r="JCV3" t="str">
        <f>IFERROR(IF($C3="","",SUMIFS(Ledger!$K$2:$K$4, Ledger!$B$2:$B$4, $A3, Ledger!$C$2:$C$4, JCV$2)),"****")</f>
        <v/>
      </c>
      <c r="JCW3" t="str">
        <f>IFERROR(IF($C3="","",SUMIFS(Ledger!$K$2:$K$4, Ledger!$B$2:$B$4, $A3, Ledger!$C$2:$C$4, JCW$2)),"****")</f>
        <v/>
      </c>
      <c r="JCX3" t="str">
        <f>IFERROR(IF($C3="","",SUMIFS(Ledger!$K$2:$K$4, Ledger!$B$2:$B$4, $A3, Ledger!$C$2:$C$4, JCX$2)),"****")</f>
        <v/>
      </c>
      <c r="JCY3" t="str">
        <f>IFERROR(IF($C3="","",SUMIFS(Ledger!$K$2:$K$4, Ledger!$B$2:$B$4, $A3, Ledger!$C$2:$C$4, JCY$2)),"****")</f>
        <v/>
      </c>
      <c r="JCZ3" t="str">
        <f>IFERROR(IF($C3="","",SUMIFS(Ledger!$K$2:$K$4, Ledger!$B$2:$B$4, $A3, Ledger!$C$2:$C$4, JCZ$2)),"****")</f>
        <v/>
      </c>
      <c r="JDA3" t="str">
        <f>IFERROR(IF($C3="","",SUMIFS(Ledger!$K$2:$K$4, Ledger!$B$2:$B$4, $A3, Ledger!$C$2:$C$4, JDA$2)),"****")</f>
        <v/>
      </c>
      <c r="JDB3" t="str">
        <f>IFERROR(IF($C3="","",SUMIFS(Ledger!$K$2:$K$4, Ledger!$B$2:$B$4, $A3, Ledger!$C$2:$C$4, JDB$2)),"****")</f>
        <v/>
      </c>
      <c r="JDC3" t="str">
        <f>IFERROR(IF($C3="","",SUMIFS(Ledger!$K$2:$K$4, Ledger!$B$2:$B$4, $A3, Ledger!$C$2:$C$4, JDC$2)),"****")</f>
        <v/>
      </c>
      <c r="JDD3" t="str">
        <f>IFERROR(IF($C3="","",SUMIFS(Ledger!$K$2:$K$4, Ledger!$B$2:$B$4, $A3, Ledger!$C$2:$C$4, JDD$2)),"****")</f>
        <v/>
      </c>
      <c r="JDE3" t="str">
        <f>IFERROR(IF($C3="","",SUMIFS(Ledger!$K$2:$K$4, Ledger!$B$2:$B$4, $A3, Ledger!$C$2:$C$4, JDE$2)),"****")</f>
        <v/>
      </c>
      <c r="JDF3" t="str">
        <f>IFERROR(IF($C3="","",SUMIFS(Ledger!$K$2:$K$4, Ledger!$B$2:$B$4, $A3, Ledger!$C$2:$C$4, JDF$2)),"****")</f>
        <v/>
      </c>
      <c r="JDG3" t="str">
        <f>IFERROR(IF($C3="","",SUMIFS(Ledger!$K$2:$K$4, Ledger!$B$2:$B$4, $A3, Ledger!$C$2:$C$4, JDG$2)),"****")</f>
        <v/>
      </c>
      <c r="JDH3" t="str">
        <f>IFERROR(IF($C3="","",SUMIFS(Ledger!$K$2:$K$4, Ledger!$B$2:$B$4, $A3, Ledger!$C$2:$C$4, JDH$2)),"****")</f>
        <v/>
      </c>
      <c r="JDI3" t="str">
        <f>IFERROR(IF($C3="","",SUMIFS(Ledger!$K$2:$K$4, Ledger!$B$2:$B$4, $A3, Ledger!$C$2:$C$4, JDI$2)),"****")</f>
        <v/>
      </c>
      <c r="JDJ3" t="str">
        <f>IFERROR(IF($C3="","",SUMIFS(Ledger!$K$2:$K$4, Ledger!$B$2:$B$4, $A3, Ledger!$C$2:$C$4, JDJ$2)),"****")</f>
        <v/>
      </c>
      <c r="JDK3" t="str">
        <f>IFERROR(IF($C3="","",SUMIFS(Ledger!$K$2:$K$4, Ledger!$B$2:$B$4, $A3, Ledger!$C$2:$C$4, JDK$2)),"****")</f>
        <v/>
      </c>
      <c r="JDL3" t="str">
        <f>IFERROR(IF($C3="","",SUMIFS(Ledger!$K$2:$K$4, Ledger!$B$2:$B$4, $A3, Ledger!$C$2:$C$4, JDL$2)),"****")</f>
        <v/>
      </c>
      <c r="JDM3" t="str">
        <f>IFERROR(IF($C3="","",SUMIFS(Ledger!$K$2:$K$4, Ledger!$B$2:$B$4, $A3, Ledger!$C$2:$C$4, JDM$2)),"****")</f>
        <v/>
      </c>
      <c r="JDN3" t="str">
        <f>IFERROR(IF($C3="","",SUMIFS(Ledger!$K$2:$K$4, Ledger!$B$2:$B$4, $A3, Ledger!$C$2:$C$4, JDN$2)),"****")</f>
        <v/>
      </c>
      <c r="JDO3" t="str">
        <f>IFERROR(IF($C3="","",SUMIFS(Ledger!$K$2:$K$4, Ledger!$B$2:$B$4, $A3, Ledger!$C$2:$C$4, JDO$2)),"****")</f>
        <v/>
      </c>
      <c r="JDP3" t="str">
        <f>IFERROR(IF($C3="","",SUMIFS(Ledger!$K$2:$K$4, Ledger!$B$2:$B$4, $A3, Ledger!$C$2:$C$4, JDP$2)),"****")</f>
        <v/>
      </c>
      <c r="JDQ3" t="str">
        <f>IFERROR(IF($C3="","",SUMIFS(Ledger!$K$2:$K$4, Ledger!$B$2:$B$4, $A3, Ledger!$C$2:$C$4, JDQ$2)),"****")</f>
        <v/>
      </c>
      <c r="JDR3" t="str">
        <f>IFERROR(IF($C3="","",SUMIFS(Ledger!$K$2:$K$4, Ledger!$B$2:$B$4, $A3, Ledger!$C$2:$C$4, JDR$2)),"****")</f>
        <v/>
      </c>
      <c r="JDS3" t="str">
        <f>IFERROR(IF($C3="","",SUMIFS(Ledger!$K$2:$K$4, Ledger!$B$2:$B$4, $A3, Ledger!$C$2:$C$4, JDS$2)),"****")</f>
        <v/>
      </c>
      <c r="JDT3" t="str">
        <f>IFERROR(IF($C3="","",SUMIFS(Ledger!$K$2:$K$4, Ledger!$B$2:$B$4, $A3, Ledger!$C$2:$C$4, JDT$2)),"****")</f>
        <v/>
      </c>
      <c r="JDU3" t="str">
        <f>IFERROR(IF($C3="","",SUMIFS(Ledger!$K$2:$K$4, Ledger!$B$2:$B$4, $A3, Ledger!$C$2:$C$4, JDU$2)),"****")</f>
        <v/>
      </c>
      <c r="JDV3" t="str">
        <f>IFERROR(IF($C3="","",SUMIFS(Ledger!$K$2:$K$4, Ledger!$B$2:$B$4, $A3, Ledger!$C$2:$C$4, JDV$2)),"****")</f>
        <v/>
      </c>
      <c r="JDW3" t="str">
        <f>IFERROR(IF($C3="","",SUMIFS(Ledger!$K$2:$K$4, Ledger!$B$2:$B$4, $A3, Ledger!$C$2:$C$4, JDW$2)),"****")</f>
        <v/>
      </c>
      <c r="JDX3" t="str">
        <f>IFERROR(IF($C3="","",SUMIFS(Ledger!$K$2:$K$4, Ledger!$B$2:$B$4, $A3, Ledger!$C$2:$C$4, JDX$2)),"****")</f>
        <v/>
      </c>
      <c r="JDY3" t="str">
        <f>IFERROR(IF($C3="","",SUMIFS(Ledger!$K$2:$K$4, Ledger!$B$2:$B$4, $A3, Ledger!$C$2:$C$4, JDY$2)),"****")</f>
        <v/>
      </c>
      <c r="JDZ3" t="str">
        <f>IFERROR(IF($C3="","",SUMIFS(Ledger!$K$2:$K$4, Ledger!$B$2:$B$4, $A3, Ledger!$C$2:$C$4, JDZ$2)),"****")</f>
        <v/>
      </c>
      <c r="JEA3" t="str">
        <f>IFERROR(IF($C3="","",SUMIFS(Ledger!$K$2:$K$4, Ledger!$B$2:$B$4, $A3, Ledger!$C$2:$C$4, JEA$2)),"****")</f>
        <v/>
      </c>
      <c r="JEB3" t="str">
        <f>IFERROR(IF($C3="","",SUMIFS(Ledger!$K$2:$K$4, Ledger!$B$2:$B$4, $A3, Ledger!$C$2:$C$4, JEB$2)),"****")</f>
        <v/>
      </c>
      <c r="JEC3" t="str">
        <f>IFERROR(IF($C3="","",SUMIFS(Ledger!$K$2:$K$4, Ledger!$B$2:$B$4, $A3, Ledger!$C$2:$C$4, JEC$2)),"****")</f>
        <v/>
      </c>
      <c r="JED3" t="str">
        <f>IFERROR(IF($C3="","",SUMIFS(Ledger!$K$2:$K$4, Ledger!$B$2:$B$4, $A3, Ledger!$C$2:$C$4, JED$2)),"****")</f>
        <v/>
      </c>
      <c r="JEE3" t="str">
        <f>IFERROR(IF($C3="","",SUMIFS(Ledger!$K$2:$K$4, Ledger!$B$2:$B$4, $A3, Ledger!$C$2:$C$4, JEE$2)),"****")</f>
        <v/>
      </c>
      <c r="JEF3" t="str">
        <f>IFERROR(IF($C3="","",SUMIFS(Ledger!$K$2:$K$4, Ledger!$B$2:$B$4, $A3, Ledger!$C$2:$C$4, JEF$2)),"****")</f>
        <v/>
      </c>
      <c r="JEG3" t="str">
        <f>IFERROR(IF($C3="","",SUMIFS(Ledger!$K$2:$K$4, Ledger!$B$2:$B$4, $A3, Ledger!$C$2:$C$4, JEG$2)),"****")</f>
        <v/>
      </c>
      <c r="JEH3" t="str">
        <f>IFERROR(IF($C3="","",SUMIFS(Ledger!$K$2:$K$4, Ledger!$B$2:$B$4, $A3, Ledger!$C$2:$C$4, JEH$2)),"****")</f>
        <v/>
      </c>
      <c r="JEI3" t="str">
        <f>IFERROR(IF($C3="","",SUMIFS(Ledger!$K$2:$K$4, Ledger!$B$2:$B$4, $A3, Ledger!$C$2:$C$4, JEI$2)),"****")</f>
        <v/>
      </c>
      <c r="JEJ3" t="str">
        <f>IFERROR(IF($C3="","",SUMIFS(Ledger!$K$2:$K$4, Ledger!$B$2:$B$4, $A3, Ledger!$C$2:$C$4, JEJ$2)),"****")</f>
        <v/>
      </c>
      <c r="JEK3" t="str">
        <f>IFERROR(IF($C3="","",SUMIFS(Ledger!$K$2:$K$4, Ledger!$B$2:$B$4, $A3, Ledger!$C$2:$C$4, JEK$2)),"****")</f>
        <v/>
      </c>
      <c r="JEL3" t="str">
        <f>IFERROR(IF($C3="","",SUMIFS(Ledger!$K$2:$K$4, Ledger!$B$2:$B$4, $A3, Ledger!$C$2:$C$4, JEL$2)),"****")</f>
        <v/>
      </c>
      <c r="JEM3" t="str">
        <f>IFERROR(IF($C3="","",SUMIFS(Ledger!$K$2:$K$4, Ledger!$B$2:$B$4, $A3, Ledger!$C$2:$C$4, JEM$2)),"****")</f>
        <v/>
      </c>
      <c r="JEN3" t="str">
        <f>IFERROR(IF($C3="","",SUMIFS(Ledger!$K$2:$K$4, Ledger!$B$2:$B$4, $A3, Ledger!$C$2:$C$4, JEN$2)),"****")</f>
        <v/>
      </c>
      <c r="JEO3" t="str">
        <f>IFERROR(IF($C3="","",SUMIFS(Ledger!$K$2:$K$4, Ledger!$B$2:$B$4, $A3, Ledger!$C$2:$C$4, JEO$2)),"****")</f>
        <v/>
      </c>
      <c r="JEP3" t="str">
        <f>IFERROR(IF($C3="","",SUMIFS(Ledger!$K$2:$K$4, Ledger!$B$2:$B$4, $A3, Ledger!$C$2:$C$4, JEP$2)),"****")</f>
        <v/>
      </c>
      <c r="JEQ3" t="str">
        <f>IFERROR(IF($C3="","",SUMIFS(Ledger!$K$2:$K$4, Ledger!$B$2:$B$4, $A3, Ledger!$C$2:$C$4, JEQ$2)),"****")</f>
        <v/>
      </c>
      <c r="JER3" t="str">
        <f>IFERROR(IF($C3="","",SUMIFS(Ledger!$K$2:$K$4, Ledger!$B$2:$B$4, $A3, Ledger!$C$2:$C$4, JER$2)),"****")</f>
        <v/>
      </c>
      <c r="JES3" t="str">
        <f>IFERROR(IF($C3="","",SUMIFS(Ledger!$K$2:$K$4, Ledger!$B$2:$B$4, $A3, Ledger!$C$2:$C$4, JES$2)),"****")</f>
        <v/>
      </c>
      <c r="JET3" t="str">
        <f>IFERROR(IF($C3="","",SUMIFS(Ledger!$K$2:$K$4, Ledger!$B$2:$B$4, $A3, Ledger!$C$2:$C$4, JET$2)),"****")</f>
        <v/>
      </c>
      <c r="JEU3" t="str">
        <f>IFERROR(IF($C3="","",SUMIFS(Ledger!$K$2:$K$4, Ledger!$B$2:$B$4, $A3, Ledger!$C$2:$C$4, JEU$2)),"****")</f>
        <v/>
      </c>
      <c r="JEV3" t="str">
        <f>IFERROR(IF($C3="","",SUMIFS(Ledger!$K$2:$K$4, Ledger!$B$2:$B$4, $A3, Ledger!$C$2:$C$4, JEV$2)),"****")</f>
        <v/>
      </c>
      <c r="JEW3" t="str">
        <f>IFERROR(IF($C3="","",SUMIFS(Ledger!$K$2:$K$4, Ledger!$B$2:$B$4, $A3, Ledger!$C$2:$C$4, JEW$2)),"****")</f>
        <v/>
      </c>
      <c r="JEX3" t="str">
        <f>IFERROR(IF($C3="","",SUMIFS(Ledger!$K$2:$K$4, Ledger!$B$2:$B$4, $A3, Ledger!$C$2:$C$4, JEX$2)),"****")</f>
        <v/>
      </c>
      <c r="JEY3" t="str">
        <f>IFERROR(IF($C3="","",SUMIFS(Ledger!$K$2:$K$4, Ledger!$B$2:$B$4, $A3, Ledger!$C$2:$C$4, JEY$2)),"****")</f>
        <v/>
      </c>
      <c r="JEZ3" t="str">
        <f>IFERROR(IF($C3="","",SUMIFS(Ledger!$K$2:$K$4, Ledger!$B$2:$B$4, $A3, Ledger!$C$2:$C$4, JEZ$2)),"****")</f>
        <v/>
      </c>
      <c r="JFA3" t="str">
        <f>IFERROR(IF($C3="","",SUMIFS(Ledger!$K$2:$K$4, Ledger!$B$2:$B$4, $A3, Ledger!$C$2:$C$4, JFA$2)),"****")</f>
        <v/>
      </c>
      <c r="JFB3" t="str">
        <f>IFERROR(IF($C3="","",SUMIFS(Ledger!$K$2:$K$4, Ledger!$B$2:$B$4, $A3, Ledger!$C$2:$C$4, JFB$2)),"****")</f>
        <v/>
      </c>
      <c r="JFC3" t="str">
        <f>IFERROR(IF($C3="","",SUMIFS(Ledger!$K$2:$K$4, Ledger!$B$2:$B$4, $A3, Ledger!$C$2:$C$4, JFC$2)),"****")</f>
        <v/>
      </c>
      <c r="JFD3" t="str">
        <f>IFERROR(IF($C3="","",SUMIFS(Ledger!$K$2:$K$4, Ledger!$B$2:$B$4, $A3, Ledger!$C$2:$C$4, JFD$2)),"****")</f>
        <v/>
      </c>
      <c r="JFE3" t="str">
        <f>IFERROR(IF($C3="","",SUMIFS(Ledger!$K$2:$K$4, Ledger!$B$2:$B$4, $A3, Ledger!$C$2:$C$4, JFE$2)),"****")</f>
        <v/>
      </c>
      <c r="JFF3" t="str">
        <f>IFERROR(IF($C3="","",SUMIFS(Ledger!$K$2:$K$4, Ledger!$B$2:$B$4, $A3, Ledger!$C$2:$C$4, JFF$2)),"****")</f>
        <v/>
      </c>
      <c r="JFG3" t="str">
        <f>IFERROR(IF($C3="","",SUMIFS(Ledger!$K$2:$K$4, Ledger!$B$2:$B$4, $A3, Ledger!$C$2:$C$4, JFG$2)),"****")</f>
        <v/>
      </c>
      <c r="JFH3" t="str">
        <f>IFERROR(IF($C3="","",SUMIFS(Ledger!$K$2:$K$4, Ledger!$B$2:$B$4, $A3, Ledger!$C$2:$C$4, JFH$2)),"****")</f>
        <v/>
      </c>
      <c r="JFI3" t="str">
        <f>IFERROR(IF($C3="","",SUMIFS(Ledger!$K$2:$K$4, Ledger!$B$2:$B$4, $A3, Ledger!$C$2:$C$4, JFI$2)),"****")</f>
        <v/>
      </c>
      <c r="JFJ3" t="str">
        <f>IFERROR(IF($C3="","",SUMIFS(Ledger!$K$2:$K$4, Ledger!$B$2:$B$4, $A3, Ledger!$C$2:$C$4, JFJ$2)),"****")</f>
        <v/>
      </c>
      <c r="JFK3" t="str">
        <f>IFERROR(IF($C3="","",SUMIFS(Ledger!$K$2:$K$4, Ledger!$B$2:$B$4, $A3, Ledger!$C$2:$C$4, JFK$2)),"****")</f>
        <v/>
      </c>
      <c r="JFL3" t="str">
        <f>IFERROR(IF($C3="","",SUMIFS(Ledger!$K$2:$K$4, Ledger!$B$2:$B$4, $A3, Ledger!$C$2:$C$4, JFL$2)),"****")</f>
        <v/>
      </c>
      <c r="JFM3" t="str">
        <f>IFERROR(IF($C3="","",SUMIFS(Ledger!$K$2:$K$4, Ledger!$B$2:$B$4, $A3, Ledger!$C$2:$C$4, JFM$2)),"****")</f>
        <v/>
      </c>
      <c r="JFN3" t="str">
        <f>IFERROR(IF($C3="","",SUMIFS(Ledger!$K$2:$K$4, Ledger!$B$2:$B$4, $A3, Ledger!$C$2:$C$4, JFN$2)),"****")</f>
        <v/>
      </c>
      <c r="JFO3" t="str">
        <f>IFERROR(IF($C3="","",SUMIFS(Ledger!$K$2:$K$4, Ledger!$B$2:$B$4, $A3, Ledger!$C$2:$C$4, JFO$2)),"****")</f>
        <v/>
      </c>
      <c r="JFP3" t="str">
        <f>IFERROR(IF($C3="","",SUMIFS(Ledger!$K$2:$K$4, Ledger!$B$2:$B$4, $A3, Ledger!$C$2:$C$4, JFP$2)),"****")</f>
        <v/>
      </c>
      <c r="JFQ3" t="str">
        <f>IFERROR(IF($C3="","",SUMIFS(Ledger!$K$2:$K$4, Ledger!$B$2:$B$4, $A3, Ledger!$C$2:$C$4, JFQ$2)),"****")</f>
        <v/>
      </c>
      <c r="JFR3" t="str">
        <f>IFERROR(IF($C3="","",SUMIFS(Ledger!$K$2:$K$4, Ledger!$B$2:$B$4, $A3, Ledger!$C$2:$C$4, JFR$2)),"****")</f>
        <v/>
      </c>
      <c r="JFS3" t="str">
        <f>IFERROR(IF($C3="","",SUMIFS(Ledger!$K$2:$K$4, Ledger!$B$2:$B$4, $A3, Ledger!$C$2:$C$4, JFS$2)),"****")</f>
        <v/>
      </c>
      <c r="JFT3" t="str">
        <f>IFERROR(IF($C3="","",SUMIFS(Ledger!$K$2:$K$4, Ledger!$B$2:$B$4, $A3, Ledger!$C$2:$C$4, JFT$2)),"****")</f>
        <v/>
      </c>
      <c r="JFU3" t="str">
        <f>IFERROR(IF($C3="","",SUMIFS(Ledger!$K$2:$K$4, Ledger!$B$2:$B$4, $A3, Ledger!$C$2:$C$4, JFU$2)),"****")</f>
        <v/>
      </c>
      <c r="JFV3" t="str">
        <f>IFERROR(IF($C3="","",SUMIFS(Ledger!$K$2:$K$4, Ledger!$B$2:$B$4, $A3, Ledger!$C$2:$C$4, JFV$2)),"****")</f>
        <v/>
      </c>
      <c r="JFW3" t="str">
        <f>IFERROR(IF($C3="","",SUMIFS(Ledger!$K$2:$K$4, Ledger!$B$2:$B$4, $A3, Ledger!$C$2:$C$4, JFW$2)),"****")</f>
        <v/>
      </c>
      <c r="JFX3" t="str">
        <f>IFERROR(IF($C3="","",SUMIFS(Ledger!$K$2:$K$4, Ledger!$B$2:$B$4, $A3, Ledger!$C$2:$C$4, JFX$2)),"****")</f>
        <v/>
      </c>
      <c r="JFY3" t="str">
        <f>IFERROR(IF($C3="","",SUMIFS(Ledger!$K$2:$K$4, Ledger!$B$2:$B$4, $A3, Ledger!$C$2:$C$4, JFY$2)),"****")</f>
        <v/>
      </c>
      <c r="JFZ3" t="str">
        <f>IFERROR(IF($C3="","",SUMIFS(Ledger!$K$2:$K$4, Ledger!$B$2:$B$4, $A3, Ledger!$C$2:$C$4, JFZ$2)),"****")</f>
        <v/>
      </c>
      <c r="JGA3" t="str">
        <f>IFERROR(IF($C3="","",SUMIFS(Ledger!$K$2:$K$4, Ledger!$B$2:$B$4, $A3, Ledger!$C$2:$C$4, JGA$2)),"****")</f>
        <v/>
      </c>
      <c r="JGB3" t="str">
        <f>IFERROR(IF($C3="","",SUMIFS(Ledger!$K$2:$K$4, Ledger!$B$2:$B$4, $A3, Ledger!$C$2:$C$4, JGB$2)),"****")</f>
        <v/>
      </c>
      <c r="JGC3" t="str">
        <f>IFERROR(IF($C3="","",SUMIFS(Ledger!$K$2:$K$4, Ledger!$B$2:$B$4, $A3, Ledger!$C$2:$C$4, JGC$2)),"****")</f>
        <v/>
      </c>
      <c r="JGD3" t="str">
        <f>IFERROR(IF($C3="","",SUMIFS(Ledger!$K$2:$K$4, Ledger!$B$2:$B$4, $A3, Ledger!$C$2:$C$4, JGD$2)),"****")</f>
        <v/>
      </c>
      <c r="JGE3" t="str">
        <f>IFERROR(IF($C3="","",SUMIFS(Ledger!$K$2:$K$4, Ledger!$B$2:$B$4, $A3, Ledger!$C$2:$C$4, JGE$2)),"****")</f>
        <v/>
      </c>
      <c r="JGF3" t="str">
        <f>IFERROR(IF($C3="","",SUMIFS(Ledger!$K$2:$K$4, Ledger!$B$2:$B$4, $A3, Ledger!$C$2:$C$4, JGF$2)),"****")</f>
        <v/>
      </c>
      <c r="JGG3" t="str">
        <f>IFERROR(IF($C3="","",SUMIFS(Ledger!$K$2:$K$4, Ledger!$B$2:$B$4, $A3, Ledger!$C$2:$C$4, JGG$2)),"****")</f>
        <v/>
      </c>
      <c r="JGH3" t="str">
        <f>IFERROR(IF($C3="","",SUMIFS(Ledger!$K$2:$K$4, Ledger!$B$2:$B$4, $A3, Ledger!$C$2:$C$4, JGH$2)),"****")</f>
        <v/>
      </c>
      <c r="JGI3" t="str">
        <f>IFERROR(IF($C3="","",SUMIFS(Ledger!$K$2:$K$4, Ledger!$B$2:$B$4, $A3, Ledger!$C$2:$C$4, JGI$2)),"****")</f>
        <v/>
      </c>
      <c r="JGJ3" t="str">
        <f>IFERROR(IF($C3="","",SUMIFS(Ledger!$K$2:$K$4, Ledger!$B$2:$B$4, $A3, Ledger!$C$2:$C$4, JGJ$2)),"****")</f>
        <v/>
      </c>
      <c r="JGK3" t="str">
        <f>IFERROR(IF($C3="","",SUMIFS(Ledger!$K$2:$K$4, Ledger!$B$2:$B$4, $A3, Ledger!$C$2:$C$4, JGK$2)),"****")</f>
        <v/>
      </c>
      <c r="JGL3" t="str">
        <f>IFERROR(IF($C3="","",SUMIFS(Ledger!$K$2:$K$4, Ledger!$B$2:$B$4, $A3, Ledger!$C$2:$C$4, JGL$2)),"****")</f>
        <v/>
      </c>
      <c r="JGM3" t="str">
        <f>IFERROR(IF($C3="","",SUMIFS(Ledger!$K$2:$K$4, Ledger!$B$2:$B$4, $A3, Ledger!$C$2:$C$4, JGM$2)),"****")</f>
        <v/>
      </c>
      <c r="JGN3" t="str">
        <f>IFERROR(IF($C3="","",SUMIFS(Ledger!$K$2:$K$4, Ledger!$B$2:$B$4, $A3, Ledger!$C$2:$C$4, JGN$2)),"****")</f>
        <v/>
      </c>
      <c r="JGO3" t="str">
        <f>IFERROR(IF($C3="","",SUMIFS(Ledger!$K$2:$K$4, Ledger!$B$2:$B$4, $A3, Ledger!$C$2:$C$4, JGO$2)),"****")</f>
        <v/>
      </c>
      <c r="JGP3" t="str">
        <f>IFERROR(IF($C3="","",SUMIFS(Ledger!$K$2:$K$4, Ledger!$B$2:$B$4, $A3, Ledger!$C$2:$C$4, JGP$2)),"****")</f>
        <v/>
      </c>
      <c r="JGQ3" t="str">
        <f>IFERROR(IF($C3="","",SUMIFS(Ledger!$K$2:$K$4, Ledger!$B$2:$B$4, $A3, Ledger!$C$2:$C$4, JGQ$2)),"****")</f>
        <v/>
      </c>
      <c r="JGR3" t="str">
        <f>IFERROR(IF($C3="","",SUMIFS(Ledger!$K$2:$K$4, Ledger!$B$2:$B$4, $A3, Ledger!$C$2:$C$4, JGR$2)),"****")</f>
        <v/>
      </c>
      <c r="JGS3" t="str">
        <f>IFERROR(IF($C3="","",SUMIFS(Ledger!$K$2:$K$4, Ledger!$B$2:$B$4, $A3, Ledger!$C$2:$C$4, JGS$2)),"****")</f>
        <v/>
      </c>
      <c r="JGT3" t="str">
        <f>IFERROR(IF($C3="","",SUMIFS(Ledger!$K$2:$K$4, Ledger!$B$2:$B$4, $A3, Ledger!$C$2:$C$4, JGT$2)),"****")</f>
        <v/>
      </c>
      <c r="JGU3" t="str">
        <f>IFERROR(IF($C3="","",SUMIFS(Ledger!$K$2:$K$4, Ledger!$B$2:$B$4, $A3, Ledger!$C$2:$C$4, JGU$2)),"****")</f>
        <v/>
      </c>
      <c r="JGV3" t="str">
        <f>IFERROR(IF($C3="","",SUMIFS(Ledger!$K$2:$K$4, Ledger!$B$2:$B$4, $A3, Ledger!$C$2:$C$4, JGV$2)),"****")</f>
        <v/>
      </c>
      <c r="JGW3" t="str">
        <f>IFERROR(IF($C3="","",SUMIFS(Ledger!$K$2:$K$4, Ledger!$B$2:$B$4, $A3, Ledger!$C$2:$C$4, JGW$2)),"****")</f>
        <v/>
      </c>
      <c r="JGX3" t="str">
        <f>IFERROR(IF($C3="","",SUMIFS(Ledger!$K$2:$K$4, Ledger!$B$2:$B$4, $A3, Ledger!$C$2:$C$4, JGX$2)),"****")</f>
        <v/>
      </c>
      <c r="JGY3" t="str">
        <f>IFERROR(IF($C3="","",SUMIFS(Ledger!$K$2:$K$4, Ledger!$B$2:$B$4, $A3, Ledger!$C$2:$C$4, JGY$2)),"****")</f>
        <v/>
      </c>
      <c r="JGZ3" t="str">
        <f>IFERROR(IF($C3="","",SUMIFS(Ledger!$K$2:$K$4, Ledger!$B$2:$B$4, $A3, Ledger!$C$2:$C$4, JGZ$2)),"****")</f>
        <v/>
      </c>
      <c r="JHA3" t="str">
        <f>IFERROR(IF($C3="","",SUMIFS(Ledger!$K$2:$K$4, Ledger!$B$2:$B$4, $A3, Ledger!$C$2:$C$4, JHA$2)),"****")</f>
        <v/>
      </c>
      <c r="JHB3" t="str">
        <f>IFERROR(IF($C3="","",SUMIFS(Ledger!$K$2:$K$4, Ledger!$B$2:$B$4, $A3, Ledger!$C$2:$C$4, JHB$2)),"****")</f>
        <v/>
      </c>
      <c r="JHC3" t="str">
        <f>IFERROR(IF($C3="","",SUMIFS(Ledger!$K$2:$K$4, Ledger!$B$2:$B$4, $A3, Ledger!$C$2:$C$4, JHC$2)),"****")</f>
        <v/>
      </c>
      <c r="JHD3" t="str">
        <f>IFERROR(IF($C3="","",SUMIFS(Ledger!$K$2:$K$4, Ledger!$B$2:$B$4, $A3, Ledger!$C$2:$C$4, JHD$2)),"****")</f>
        <v/>
      </c>
      <c r="JHE3" t="str">
        <f>IFERROR(IF($C3="","",SUMIFS(Ledger!$K$2:$K$4, Ledger!$B$2:$B$4, $A3, Ledger!$C$2:$C$4, JHE$2)),"****")</f>
        <v/>
      </c>
      <c r="JHF3" t="str">
        <f>IFERROR(IF($C3="","",SUMIFS(Ledger!$K$2:$K$4, Ledger!$B$2:$B$4, $A3, Ledger!$C$2:$C$4, JHF$2)),"****")</f>
        <v/>
      </c>
      <c r="JHG3" t="str">
        <f>IFERROR(IF($C3="","",SUMIFS(Ledger!$K$2:$K$4, Ledger!$B$2:$B$4, $A3, Ledger!$C$2:$C$4, JHG$2)),"****")</f>
        <v/>
      </c>
      <c r="JHH3" t="str">
        <f>IFERROR(IF($C3="","",SUMIFS(Ledger!$K$2:$K$4, Ledger!$B$2:$B$4, $A3, Ledger!$C$2:$C$4, JHH$2)),"****")</f>
        <v/>
      </c>
      <c r="JHI3" t="str">
        <f>IFERROR(IF($C3="","",SUMIFS(Ledger!$K$2:$K$4, Ledger!$B$2:$B$4, $A3, Ledger!$C$2:$C$4, JHI$2)),"****")</f>
        <v/>
      </c>
      <c r="JHJ3" t="str">
        <f>IFERROR(IF($C3="","",SUMIFS(Ledger!$K$2:$K$4, Ledger!$B$2:$B$4, $A3, Ledger!$C$2:$C$4, JHJ$2)),"****")</f>
        <v/>
      </c>
      <c r="JHK3" t="str">
        <f>IFERROR(IF($C3="","",SUMIFS(Ledger!$K$2:$K$4, Ledger!$B$2:$B$4, $A3, Ledger!$C$2:$C$4, JHK$2)),"****")</f>
        <v/>
      </c>
      <c r="JHL3" t="str">
        <f>IFERROR(IF($C3="","",SUMIFS(Ledger!$K$2:$K$4, Ledger!$B$2:$B$4, $A3, Ledger!$C$2:$C$4, JHL$2)),"****")</f>
        <v/>
      </c>
      <c r="JHM3" t="str">
        <f>IFERROR(IF($C3="","",SUMIFS(Ledger!$K$2:$K$4, Ledger!$B$2:$B$4, $A3, Ledger!$C$2:$C$4, JHM$2)),"****")</f>
        <v/>
      </c>
      <c r="JHN3" t="str">
        <f>IFERROR(IF($C3="","",SUMIFS(Ledger!$K$2:$K$4, Ledger!$B$2:$B$4, $A3, Ledger!$C$2:$C$4, JHN$2)),"****")</f>
        <v/>
      </c>
      <c r="JHO3" t="str">
        <f>IFERROR(IF($C3="","",SUMIFS(Ledger!$K$2:$K$4, Ledger!$B$2:$B$4, $A3, Ledger!$C$2:$C$4, JHO$2)),"****")</f>
        <v/>
      </c>
      <c r="JHP3" t="str">
        <f>IFERROR(IF($C3="","",SUMIFS(Ledger!$K$2:$K$4, Ledger!$B$2:$B$4, $A3, Ledger!$C$2:$C$4, JHP$2)),"****")</f>
        <v/>
      </c>
      <c r="JHQ3" t="str">
        <f>IFERROR(IF($C3="","",SUMIFS(Ledger!$K$2:$K$4, Ledger!$B$2:$B$4, $A3, Ledger!$C$2:$C$4, JHQ$2)),"****")</f>
        <v/>
      </c>
      <c r="JHR3" t="str">
        <f>IFERROR(IF($C3="","",SUMIFS(Ledger!$K$2:$K$4, Ledger!$B$2:$B$4, $A3, Ledger!$C$2:$C$4, JHR$2)),"****")</f>
        <v/>
      </c>
      <c r="JHS3" t="str">
        <f>IFERROR(IF($C3="","",SUMIFS(Ledger!$K$2:$K$4, Ledger!$B$2:$B$4, $A3, Ledger!$C$2:$C$4, JHS$2)),"****")</f>
        <v/>
      </c>
      <c r="JHT3" t="str">
        <f>IFERROR(IF($C3="","",SUMIFS(Ledger!$K$2:$K$4, Ledger!$B$2:$B$4, $A3, Ledger!$C$2:$C$4, JHT$2)),"****")</f>
        <v/>
      </c>
      <c r="JHU3" t="str">
        <f>IFERROR(IF($C3="","",SUMIFS(Ledger!$K$2:$K$4, Ledger!$B$2:$B$4, $A3, Ledger!$C$2:$C$4, JHU$2)),"****")</f>
        <v/>
      </c>
      <c r="JHV3" t="str">
        <f>IFERROR(IF($C3="","",SUMIFS(Ledger!$K$2:$K$4, Ledger!$B$2:$B$4, $A3, Ledger!$C$2:$C$4, JHV$2)),"****")</f>
        <v/>
      </c>
      <c r="JHW3" t="str">
        <f>IFERROR(IF($C3="","",SUMIFS(Ledger!$K$2:$K$4, Ledger!$B$2:$B$4, $A3, Ledger!$C$2:$C$4, JHW$2)),"****")</f>
        <v/>
      </c>
      <c r="JHX3" t="str">
        <f>IFERROR(IF($C3="","",SUMIFS(Ledger!$K$2:$K$4, Ledger!$B$2:$B$4, $A3, Ledger!$C$2:$C$4, JHX$2)),"****")</f>
        <v/>
      </c>
      <c r="JHY3" t="str">
        <f>IFERROR(IF($C3="","",SUMIFS(Ledger!$K$2:$K$4, Ledger!$B$2:$B$4, $A3, Ledger!$C$2:$C$4, JHY$2)),"****")</f>
        <v/>
      </c>
      <c r="JHZ3" t="str">
        <f>IFERROR(IF($C3="","",SUMIFS(Ledger!$K$2:$K$4, Ledger!$B$2:$B$4, $A3, Ledger!$C$2:$C$4, JHZ$2)),"****")</f>
        <v/>
      </c>
      <c r="JIA3" t="str">
        <f>IFERROR(IF($C3="","",SUMIFS(Ledger!$K$2:$K$4, Ledger!$B$2:$B$4, $A3, Ledger!$C$2:$C$4, JIA$2)),"****")</f>
        <v/>
      </c>
      <c r="JIB3" t="str">
        <f>IFERROR(IF($C3="","",SUMIFS(Ledger!$K$2:$K$4, Ledger!$B$2:$B$4, $A3, Ledger!$C$2:$C$4, JIB$2)),"****")</f>
        <v/>
      </c>
      <c r="JIC3" t="str">
        <f>IFERROR(IF($C3="","",SUMIFS(Ledger!$K$2:$K$4, Ledger!$B$2:$B$4, $A3, Ledger!$C$2:$C$4, JIC$2)),"****")</f>
        <v/>
      </c>
      <c r="JID3" t="str">
        <f>IFERROR(IF($C3="","",SUMIFS(Ledger!$K$2:$K$4, Ledger!$B$2:$B$4, $A3, Ledger!$C$2:$C$4, JID$2)),"****")</f>
        <v/>
      </c>
      <c r="JIE3" t="str">
        <f>IFERROR(IF($C3="","",SUMIFS(Ledger!$K$2:$K$4, Ledger!$B$2:$B$4, $A3, Ledger!$C$2:$C$4, JIE$2)),"****")</f>
        <v/>
      </c>
      <c r="JIF3" t="str">
        <f>IFERROR(IF($C3="","",SUMIFS(Ledger!$K$2:$K$4, Ledger!$B$2:$B$4, $A3, Ledger!$C$2:$C$4, JIF$2)),"****")</f>
        <v/>
      </c>
      <c r="JIG3" t="str">
        <f>IFERROR(IF($C3="","",SUMIFS(Ledger!$K$2:$K$4, Ledger!$B$2:$B$4, $A3, Ledger!$C$2:$C$4, JIG$2)),"****")</f>
        <v/>
      </c>
      <c r="JIH3" t="str">
        <f>IFERROR(IF($C3="","",SUMIFS(Ledger!$K$2:$K$4, Ledger!$B$2:$B$4, $A3, Ledger!$C$2:$C$4, JIH$2)),"****")</f>
        <v/>
      </c>
      <c r="JII3" t="str">
        <f>IFERROR(IF($C3="","",SUMIFS(Ledger!$K$2:$K$4, Ledger!$B$2:$B$4, $A3, Ledger!$C$2:$C$4, JII$2)),"****")</f>
        <v/>
      </c>
      <c r="JIJ3" t="str">
        <f>IFERROR(IF($C3="","",SUMIFS(Ledger!$K$2:$K$4, Ledger!$B$2:$B$4, $A3, Ledger!$C$2:$C$4, JIJ$2)),"****")</f>
        <v/>
      </c>
      <c r="JIK3" t="str">
        <f>IFERROR(IF($C3="","",SUMIFS(Ledger!$K$2:$K$4, Ledger!$B$2:$B$4, $A3, Ledger!$C$2:$C$4, JIK$2)),"****")</f>
        <v/>
      </c>
      <c r="JIL3" t="str">
        <f>IFERROR(IF($C3="","",SUMIFS(Ledger!$K$2:$K$4, Ledger!$B$2:$B$4, $A3, Ledger!$C$2:$C$4, JIL$2)),"****")</f>
        <v/>
      </c>
      <c r="JIM3" t="str">
        <f>IFERROR(IF($C3="","",SUMIFS(Ledger!$K$2:$K$4, Ledger!$B$2:$B$4, $A3, Ledger!$C$2:$C$4, JIM$2)),"****")</f>
        <v/>
      </c>
      <c r="JIN3" t="str">
        <f>IFERROR(IF($C3="","",SUMIFS(Ledger!$K$2:$K$4, Ledger!$B$2:$B$4, $A3, Ledger!$C$2:$C$4, JIN$2)),"****")</f>
        <v/>
      </c>
      <c r="JIO3" t="str">
        <f>IFERROR(IF($C3="","",SUMIFS(Ledger!$K$2:$K$4, Ledger!$B$2:$B$4, $A3, Ledger!$C$2:$C$4, JIO$2)),"****")</f>
        <v/>
      </c>
      <c r="JIP3" t="str">
        <f>IFERROR(IF($C3="","",SUMIFS(Ledger!$K$2:$K$4, Ledger!$B$2:$B$4, $A3, Ledger!$C$2:$C$4, JIP$2)),"****")</f>
        <v/>
      </c>
      <c r="JIQ3" t="str">
        <f>IFERROR(IF($C3="","",SUMIFS(Ledger!$K$2:$K$4, Ledger!$B$2:$B$4, $A3, Ledger!$C$2:$C$4, JIQ$2)),"****")</f>
        <v/>
      </c>
      <c r="JIR3" t="str">
        <f>IFERROR(IF($C3="","",SUMIFS(Ledger!$K$2:$K$4, Ledger!$B$2:$B$4, $A3, Ledger!$C$2:$C$4, JIR$2)),"****")</f>
        <v/>
      </c>
      <c r="JIS3" t="str">
        <f>IFERROR(IF($C3="","",SUMIFS(Ledger!$K$2:$K$4, Ledger!$B$2:$B$4, $A3, Ledger!$C$2:$C$4, JIS$2)),"****")</f>
        <v/>
      </c>
      <c r="JIT3" t="str">
        <f>IFERROR(IF($C3="","",SUMIFS(Ledger!$K$2:$K$4, Ledger!$B$2:$B$4, $A3, Ledger!$C$2:$C$4, JIT$2)),"****")</f>
        <v/>
      </c>
      <c r="JIU3" t="str">
        <f>IFERROR(IF($C3="","",SUMIFS(Ledger!$K$2:$K$4, Ledger!$B$2:$B$4, $A3, Ledger!$C$2:$C$4, JIU$2)),"****")</f>
        <v/>
      </c>
      <c r="JIV3" t="str">
        <f>IFERROR(IF($C3="","",SUMIFS(Ledger!$K$2:$K$4, Ledger!$B$2:$B$4, $A3, Ledger!$C$2:$C$4, JIV$2)),"****")</f>
        <v/>
      </c>
      <c r="JIW3" t="str">
        <f>IFERROR(IF($C3="","",SUMIFS(Ledger!$K$2:$K$4, Ledger!$B$2:$B$4, $A3, Ledger!$C$2:$C$4, JIW$2)),"****")</f>
        <v/>
      </c>
      <c r="JIX3" t="str">
        <f>IFERROR(IF($C3="","",SUMIFS(Ledger!$K$2:$K$4, Ledger!$B$2:$B$4, $A3, Ledger!$C$2:$C$4, JIX$2)),"****")</f>
        <v/>
      </c>
      <c r="JIY3" t="str">
        <f>IFERROR(IF($C3="","",SUMIFS(Ledger!$K$2:$K$4, Ledger!$B$2:$B$4, $A3, Ledger!$C$2:$C$4, JIY$2)),"****")</f>
        <v/>
      </c>
      <c r="JIZ3" t="str">
        <f>IFERROR(IF($C3="","",SUMIFS(Ledger!$K$2:$K$4, Ledger!$B$2:$B$4, $A3, Ledger!$C$2:$C$4, JIZ$2)),"****")</f>
        <v/>
      </c>
      <c r="JJA3" t="str">
        <f>IFERROR(IF($C3="","",SUMIFS(Ledger!$K$2:$K$4, Ledger!$B$2:$B$4, $A3, Ledger!$C$2:$C$4, JJA$2)),"****")</f>
        <v/>
      </c>
      <c r="JJB3" t="str">
        <f>IFERROR(IF($C3="","",SUMIFS(Ledger!$K$2:$K$4, Ledger!$B$2:$B$4, $A3, Ledger!$C$2:$C$4, JJB$2)),"****")</f>
        <v/>
      </c>
      <c r="JJC3" t="str">
        <f>IFERROR(IF($C3="","",SUMIFS(Ledger!$K$2:$K$4, Ledger!$B$2:$B$4, $A3, Ledger!$C$2:$C$4, JJC$2)),"****")</f>
        <v/>
      </c>
      <c r="JJD3" t="str">
        <f>IFERROR(IF($C3="","",SUMIFS(Ledger!$K$2:$K$4, Ledger!$B$2:$B$4, $A3, Ledger!$C$2:$C$4, JJD$2)),"****")</f>
        <v/>
      </c>
      <c r="JJE3" t="str">
        <f>IFERROR(IF($C3="","",SUMIFS(Ledger!$K$2:$K$4, Ledger!$B$2:$B$4, $A3, Ledger!$C$2:$C$4, JJE$2)),"****")</f>
        <v/>
      </c>
      <c r="JJF3" t="str">
        <f>IFERROR(IF($C3="","",SUMIFS(Ledger!$K$2:$K$4, Ledger!$B$2:$B$4, $A3, Ledger!$C$2:$C$4, JJF$2)),"****")</f>
        <v/>
      </c>
      <c r="JJG3" t="str">
        <f>IFERROR(IF($C3="","",SUMIFS(Ledger!$K$2:$K$4, Ledger!$B$2:$B$4, $A3, Ledger!$C$2:$C$4, JJG$2)),"****")</f>
        <v/>
      </c>
      <c r="JJH3" t="str">
        <f>IFERROR(IF($C3="","",SUMIFS(Ledger!$K$2:$K$4, Ledger!$B$2:$B$4, $A3, Ledger!$C$2:$C$4, JJH$2)),"****")</f>
        <v/>
      </c>
      <c r="JJI3" t="str">
        <f>IFERROR(IF($C3="","",SUMIFS(Ledger!$K$2:$K$4, Ledger!$B$2:$B$4, $A3, Ledger!$C$2:$C$4, JJI$2)),"****")</f>
        <v/>
      </c>
      <c r="JJJ3" t="str">
        <f>IFERROR(IF($C3="","",SUMIFS(Ledger!$K$2:$K$4, Ledger!$B$2:$B$4, $A3, Ledger!$C$2:$C$4, JJJ$2)),"****")</f>
        <v/>
      </c>
      <c r="JJK3" t="str">
        <f>IFERROR(IF($C3="","",SUMIFS(Ledger!$K$2:$K$4, Ledger!$B$2:$B$4, $A3, Ledger!$C$2:$C$4, JJK$2)),"****")</f>
        <v/>
      </c>
      <c r="JJL3" t="str">
        <f>IFERROR(IF($C3="","",SUMIFS(Ledger!$K$2:$K$4, Ledger!$B$2:$B$4, $A3, Ledger!$C$2:$C$4, JJL$2)),"****")</f>
        <v/>
      </c>
      <c r="JJM3" t="str">
        <f>IFERROR(IF($C3="","",SUMIFS(Ledger!$K$2:$K$4, Ledger!$B$2:$B$4, $A3, Ledger!$C$2:$C$4, JJM$2)),"****")</f>
        <v/>
      </c>
      <c r="JJN3" t="str">
        <f>IFERROR(IF($C3="","",SUMIFS(Ledger!$K$2:$K$4, Ledger!$B$2:$B$4, $A3, Ledger!$C$2:$C$4, JJN$2)),"****")</f>
        <v/>
      </c>
      <c r="JJO3" t="str">
        <f>IFERROR(IF($C3="","",SUMIFS(Ledger!$K$2:$K$4, Ledger!$B$2:$B$4, $A3, Ledger!$C$2:$C$4, JJO$2)),"****")</f>
        <v/>
      </c>
      <c r="JJP3" t="str">
        <f>IFERROR(IF($C3="","",SUMIFS(Ledger!$K$2:$K$4, Ledger!$B$2:$B$4, $A3, Ledger!$C$2:$C$4, JJP$2)),"****")</f>
        <v/>
      </c>
      <c r="JJQ3" t="str">
        <f>IFERROR(IF($C3="","",SUMIFS(Ledger!$K$2:$K$4, Ledger!$B$2:$B$4, $A3, Ledger!$C$2:$C$4, JJQ$2)),"****")</f>
        <v/>
      </c>
      <c r="JJR3" t="str">
        <f>IFERROR(IF($C3="","",SUMIFS(Ledger!$K$2:$K$4, Ledger!$B$2:$B$4, $A3, Ledger!$C$2:$C$4, JJR$2)),"****")</f>
        <v/>
      </c>
      <c r="JJS3" t="str">
        <f>IFERROR(IF($C3="","",SUMIFS(Ledger!$K$2:$K$4, Ledger!$B$2:$B$4, $A3, Ledger!$C$2:$C$4, JJS$2)),"****")</f>
        <v/>
      </c>
      <c r="JJT3" t="str">
        <f>IFERROR(IF($C3="","",SUMIFS(Ledger!$K$2:$K$4, Ledger!$B$2:$B$4, $A3, Ledger!$C$2:$C$4, JJT$2)),"****")</f>
        <v/>
      </c>
      <c r="JJU3" t="str">
        <f>IFERROR(IF($C3="","",SUMIFS(Ledger!$K$2:$K$4, Ledger!$B$2:$B$4, $A3, Ledger!$C$2:$C$4, JJU$2)),"****")</f>
        <v/>
      </c>
      <c r="JJV3" t="str">
        <f>IFERROR(IF($C3="","",SUMIFS(Ledger!$K$2:$K$4, Ledger!$B$2:$B$4, $A3, Ledger!$C$2:$C$4, JJV$2)),"****")</f>
        <v/>
      </c>
      <c r="JJW3" t="str">
        <f>IFERROR(IF($C3="","",SUMIFS(Ledger!$K$2:$K$4, Ledger!$B$2:$B$4, $A3, Ledger!$C$2:$C$4, JJW$2)),"****")</f>
        <v/>
      </c>
      <c r="JJX3" t="str">
        <f>IFERROR(IF($C3="","",SUMIFS(Ledger!$K$2:$K$4, Ledger!$B$2:$B$4, $A3, Ledger!$C$2:$C$4, JJX$2)),"****")</f>
        <v/>
      </c>
      <c r="JJY3" t="str">
        <f>IFERROR(IF($C3="","",SUMIFS(Ledger!$K$2:$K$4, Ledger!$B$2:$B$4, $A3, Ledger!$C$2:$C$4, JJY$2)),"****")</f>
        <v/>
      </c>
      <c r="JJZ3" t="str">
        <f>IFERROR(IF($C3="","",SUMIFS(Ledger!$K$2:$K$4, Ledger!$B$2:$B$4, $A3, Ledger!$C$2:$C$4, JJZ$2)),"****")</f>
        <v/>
      </c>
      <c r="JKA3" t="str">
        <f>IFERROR(IF($C3="","",SUMIFS(Ledger!$K$2:$K$4, Ledger!$B$2:$B$4, $A3, Ledger!$C$2:$C$4, JKA$2)),"****")</f>
        <v/>
      </c>
      <c r="JKB3" t="str">
        <f>IFERROR(IF($C3="","",SUMIFS(Ledger!$K$2:$K$4, Ledger!$B$2:$B$4, $A3, Ledger!$C$2:$C$4, JKB$2)),"****")</f>
        <v/>
      </c>
      <c r="JKC3" t="str">
        <f>IFERROR(IF($C3="","",SUMIFS(Ledger!$K$2:$K$4, Ledger!$B$2:$B$4, $A3, Ledger!$C$2:$C$4, JKC$2)),"****")</f>
        <v/>
      </c>
      <c r="JKD3" t="str">
        <f>IFERROR(IF($C3="","",SUMIFS(Ledger!$K$2:$K$4, Ledger!$B$2:$B$4, $A3, Ledger!$C$2:$C$4, JKD$2)),"****")</f>
        <v/>
      </c>
      <c r="JKE3" t="str">
        <f>IFERROR(IF($C3="","",SUMIFS(Ledger!$K$2:$K$4, Ledger!$B$2:$B$4, $A3, Ledger!$C$2:$C$4, JKE$2)),"****")</f>
        <v/>
      </c>
      <c r="JKF3" t="str">
        <f>IFERROR(IF($C3="","",SUMIFS(Ledger!$K$2:$K$4, Ledger!$B$2:$B$4, $A3, Ledger!$C$2:$C$4, JKF$2)),"****")</f>
        <v/>
      </c>
      <c r="JKG3" t="str">
        <f>IFERROR(IF($C3="","",SUMIFS(Ledger!$K$2:$K$4, Ledger!$B$2:$B$4, $A3, Ledger!$C$2:$C$4, JKG$2)),"****")</f>
        <v/>
      </c>
      <c r="JKH3" t="str">
        <f>IFERROR(IF($C3="","",SUMIFS(Ledger!$K$2:$K$4, Ledger!$B$2:$B$4, $A3, Ledger!$C$2:$C$4, JKH$2)),"****")</f>
        <v/>
      </c>
      <c r="JKI3" t="str">
        <f>IFERROR(IF($C3="","",SUMIFS(Ledger!$K$2:$K$4, Ledger!$B$2:$B$4, $A3, Ledger!$C$2:$C$4, JKI$2)),"****")</f>
        <v/>
      </c>
      <c r="JKJ3" t="str">
        <f>IFERROR(IF($C3="","",SUMIFS(Ledger!$K$2:$K$4, Ledger!$B$2:$B$4, $A3, Ledger!$C$2:$C$4, JKJ$2)),"****")</f>
        <v/>
      </c>
      <c r="JKK3" t="str">
        <f>IFERROR(IF($C3="","",SUMIFS(Ledger!$K$2:$K$4, Ledger!$B$2:$B$4, $A3, Ledger!$C$2:$C$4, JKK$2)),"****")</f>
        <v/>
      </c>
      <c r="JKL3" t="str">
        <f>IFERROR(IF($C3="","",SUMIFS(Ledger!$K$2:$K$4, Ledger!$B$2:$B$4, $A3, Ledger!$C$2:$C$4, JKL$2)),"****")</f>
        <v/>
      </c>
      <c r="JKM3" t="str">
        <f>IFERROR(IF($C3="","",SUMIFS(Ledger!$K$2:$K$4, Ledger!$B$2:$B$4, $A3, Ledger!$C$2:$C$4, JKM$2)),"****")</f>
        <v/>
      </c>
      <c r="JKN3" t="str">
        <f>IFERROR(IF($C3="","",SUMIFS(Ledger!$K$2:$K$4, Ledger!$B$2:$B$4, $A3, Ledger!$C$2:$C$4, JKN$2)),"****")</f>
        <v/>
      </c>
      <c r="JKO3" t="str">
        <f>IFERROR(IF($C3="","",SUMIFS(Ledger!$K$2:$K$4, Ledger!$B$2:$B$4, $A3, Ledger!$C$2:$C$4, JKO$2)),"****")</f>
        <v/>
      </c>
      <c r="JKP3" t="str">
        <f>IFERROR(IF($C3="","",SUMIFS(Ledger!$K$2:$K$4, Ledger!$B$2:$B$4, $A3, Ledger!$C$2:$C$4, JKP$2)),"****")</f>
        <v/>
      </c>
      <c r="JKQ3" t="str">
        <f>IFERROR(IF($C3="","",SUMIFS(Ledger!$K$2:$K$4, Ledger!$B$2:$B$4, $A3, Ledger!$C$2:$C$4, JKQ$2)),"****")</f>
        <v/>
      </c>
      <c r="JKR3" t="str">
        <f>IFERROR(IF($C3="","",SUMIFS(Ledger!$K$2:$K$4, Ledger!$B$2:$B$4, $A3, Ledger!$C$2:$C$4, JKR$2)),"****")</f>
        <v/>
      </c>
      <c r="JKS3" t="str">
        <f>IFERROR(IF($C3="","",SUMIFS(Ledger!$K$2:$K$4, Ledger!$B$2:$B$4, $A3, Ledger!$C$2:$C$4, JKS$2)),"****")</f>
        <v/>
      </c>
      <c r="JKT3" t="str">
        <f>IFERROR(IF($C3="","",SUMIFS(Ledger!$K$2:$K$4, Ledger!$B$2:$B$4, $A3, Ledger!$C$2:$C$4, JKT$2)),"****")</f>
        <v/>
      </c>
      <c r="JKU3" t="str">
        <f>IFERROR(IF($C3="","",SUMIFS(Ledger!$K$2:$K$4, Ledger!$B$2:$B$4, $A3, Ledger!$C$2:$C$4, JKU$2)),"****")</f>
        <v/>
      </c>
      <c r="JKV3" t="str">
        <f>IFERROR(IF($C3="","",SUMIFS(Ledger!$K$2:$K$4, Ledger!$B$2:$B$4, $A3, Ledger!$C$2:$C$4, JKV$2)),"****")</f>
        <v/>
      </c>
      <c r="JKW3" t="str">
        <f>IFERROR(IF($C3="","",SUMIFS(Ledger!$K$2:$K$4, Ledger!$B$2:$B$4, $A3, Ledger!$C$2:$C$4, JKW$2)),"****")</f>
        <v/>
      </c>
      <c r="JKX3" t="str">
        <f>IFERROR(IF($C3="","",SUMIFS(Ledger!$K$2:$K$4, Ledger!$B$2:$B$4, $A3, Ledger!$C$2:$C$4, JKX$2)),"****")</f>
        <v/>
      </c>
      <c r="JKY3" t="str">
        <f>IFERROR(IF($C3="","",SUMIFS(Ledger!$K$2:$K$4, Ledger!$B$2:$B$4, $A3, Ledger!$C$2:$C$4, JKY$2)),"****")</f>
        <v/>
      </c>
      <c r="JKZ3" t="str">
        <f>IFERROR(IF($C3="","",SUMIFS(Ledger!$K$2:$K$4, Ledger!$B$2:$B$4, $A3, Ledger!$C$2:$C$4, JKZ$2)),"****")</f>
        <v/>
      </c>
      <c r="JLA3" t="str">
        <f>IFERROR(IF($C3="","",SUMIFS(Ledger!$K$2:$K$4, Ledger!$B$2:$B$4, $A3, Ledger!$C$2:$C$4, JLA$2)),"****")</f>
        <v/>
      </c>
      <c r="JLB3" t="str">
        <f>IFERROR(IF($C3="","",SUMIFS(Ledger!$K$2:$K$4, Ledger!$B$2:$B$4, $A3, Ledger!$C$2:$C$4, JLB$2)),"****")</f>
        <v/>
      </c>
      <c r="JLC3" t="str">
        <f>IFERROR(IF($C3="","",SUMIFS(Ledger!$K$2:$K$4, Ledger!$B$2:$B$4, $A3, Ledger!$C$2:$C$4, JLC$2)),"****")</f>
        <v/>
      </c>
      <c r="JLD3" t="str">
        <f>IFERROR(IF($C3="","",SUMIFS(Ledger!$K$2:$K$4, Ledger!$B$2:$B$4, $A3, Ledger!$C$2:$C$4, JLD$2)),"****")</f>
        <v/>
      </c>
      <c r="JLE3" t="str">
        <f>IFERROR(IF($C3="","",SUMIFS(Ledger!$K$2:$K$4, Ledger!$B$2:$B$4, $A3, Ledger!$C$2:$C$4, JLE$2)),"****")</f>
        <v/>
      </c>
      <c r="JLF3" t="str">
        <f>IFERROR(IF($C3="","",SUMIFS(Ledger!$K$2:$K$4, Ledger!$B$2:$B$4, $A3, Ledger!$C$2:$C$4, JLF$2)),"****")</f>
        <v/>
      </c>
      <c r="JLG3" t="str">
        <f>IFERROR(IF($C3="","",SUMIFS(Ledger!$K$2:$K$4, Ledger!$B$2:$B$4, $A3, Ledger!$C$2:$C$4, JLG$2)),"****")</f>
        <v/>
      </c>
      <c r="JLH3" t="str">
        <f>IFERROR(IF($C3="","",SUMIFS(Ledger!$K$2:$K$4, Ledger!$B$2:$B$4, $A3, Ledger!$C$2:$C$4, JLH$2)),"****")</f>
        <v/>
      </c>
      <c r="JLI3" t="str">
        <f>IFERROR(IF($C3="","",SUMIFS(Ledger!$K$2:$K$4, Ledger!$B$2:$B$4, $A3, Ledger!$C$2:$C$4, JLI$2)),"****")</f>
        <v/>
      </c>
      <c r="JLJ3" t="str">
        <f>IFERROR(IF($C3="","",SUMIFS(Ledger!$K$2:$K$4, Ledger!$B$2:$B$4, $A3, Ledger!$C$2:$C$4, JLJ$2)),"****")</f>
        <v/>
      </c>
      <c r="JLK3" t="str">
        <f>IFERROR(IF($C3="","",SUMIFS(Ledger!$K$2:$K$4, Ledger!$B$2:$B$4, $A3, Ledger!$C$2:$C$4, JLK$2)),"****")</f>
        <v/>
      </c>
      <c r="JLL3" t="str">
        <f>IFERROR(IF($C3="","",SUMIFS(Ledger!$K$2:$K$4, Ledger!$B$2:$B$4, $A3, Ledger!$C$2:$C$4, JLL$2)),"****")</f>
        <v/>
      </c>
      <c r="JLM3" t="str">
        <f>IFERROR(IF($C3="","",SUMIFS(Ledger!$K$2:$K$4, Ledger!$B$2:$B$4, $A3, Ledger!$C$2:$C$4, JLM$2)),"****")</f>
        <v/>
      </c>
      <c r="JLN3" t="str">
        <f>IFERROR(IF($C3="","",SUMIFS(Ledger!$K$2:$K$4, Ledger!$B$2:$B$4, $A3, Ledger!$C$2:$C$4, JLN$2)),"****")</f>
        <v/>
      </c>
      <c r="JLO3" t="str">
        <f>IFERROR(IF($C3="","",SUMIFS(Ledger!$K$2:$K$4, Ledger!$B$2:$B$4, $A3, Ledger!$C$2:$C$4, JLO$2)),"****")</f>
        <v/>
      </c>
      <c r="JLP3" t="str">
        <f>IFERROR(IF($C3="","",SUMIFS(Ledger!$K$2:$K$4, Ledger!$B$2:$B$4, $A3, Ledger!$C$2:$C$4, JLP$2)),"****")</f>
        <v/>
      </c>
      <c r="JLQ3" t="str">
        <f>IFERROR(IF($C3="","",SUMIFS(Ledger!$K$2:$K$4, Ledger!$B$2:$B$4, $A3, Ledger!$C$2:$C$4, JLQ$2)),"****")</f>
        <v/>
      </c>
      <c r="JLR3" t="str">
        <f>IFERROR(IF($C3="","",SUMIFS(Ledger!$K$2:$K$4, Ledger!$B$2:$B$4, $A3, Ledger!$C$2:$C$4, JLR$2)),"****")</f>
        <v/>
      </c>
      <c r="JLS3" t="str">
        <f>IFERROR(IF($C3="","",SUMIFS(Ledger!$K$2:$K$4, Ledger!$B$2:$B$4, $A3, Ledger!$C$2:$C$4, JLS$2)),"****")</f>
        <v/>
      </c>
      <c r="JLT3" t="str">
        <f>IFERROR(IF($C3="","",SUMIFS(Ledger!$K$2:$K$4, Ledger!$B$2:$B$4, $A3, Ledger!$C$2:$C$4, JLT$2)),"****")</f>
        <v/>
      </c>
      <c r="JLU3" t="str">
        <f>IFERROR(IF($C3="","",SUMIFS(Ledger!$K$2:$K$4, Ledger!$B$2:$B$4, $A3, Ledger!$C$2:$C$4, JLU$2)),"****")</f>
        <v/>
      </c>
      <c r="JLV3" t="str">
        <f>IFERROR(IF($C3="","",SUMIFS(Ledger!$K$2:$K$4, Ledger!$B$2:$B$4, $A3, Ledger!$C$2:$C$4, JLV$2)),"****")</f>
        <v/>
      </c>
      <c r="JLW3" t="str">
        <f>IFERROR(IF($C3="","",SUMIFS(Ledger!$K$2:$K$4, Ledger!$B$2:$B$4, $A3, Ledger!$C$2:$C$4, JLW$2)),"****")</f>
        <v/>
      </c>
      <c r="JLX3" t="str">
        <f>IFERROR(IF($C3="","",SUMIFS(Ledger!$K$2:$K$4, Ledger!$B$2:$B$4, $A3, Ledger!$C$2:$C$4, JLX$2)),"****")</f>
        <v/>
      </c>
      <c r="JLY3" t="str">
        <f>IFERROR(IF($C3="","",SUMIFS(Ledger!$K$2:$K$4, Ledger!$B$2:$B$4, $A3, Ledger!$C$2:$C$4, JLY$2)),"****")</f>
        <v/>
      </c>
      <c r="JLZ3" t="str">
        <f>IFERROR(IF($C3="","",SUMIFS(Ledger!$K$2:$K$4, Ledger!$B$2:$B$4, $A3, Ledger!$C$2:$C$4, JLZ$2)),"****")</f>
        <v/>
      </c>
      <c r="JMA3" t="str">
        <f>IFERROR(IF($C3="","",SUMIFS(Ledger!$K$2:$K$4, Ledger!$B$2:$B$4, $A3, Ledger!$C$2:$C$4, JMA$2)),"****")</f>
        <v/>
      </c>
      <c r="JMB3" t="str">
        <f>IFERROR(IF($C3="","",SUMIFS(Ledger!$K$2:$K$4, Ledger!$B$2:$B$4, $A3, Ledger!$C$2:$C$4, JMB$2)),"****")</f>
        <v/>
      </c>
      <c r="JMC3" t="str">
        <f>IFERROR(IF($C3="","",SUMIFS(Ledger!$K$2:$K$4, Ledger!$B$2:$B$4, $A3, Ledger!$C$2:$C$4, JMC$2)),"****")</f>
        <v/>
      </c>
      <c r="JMD3" t="str">
        <f>IFERROR(IF($C3="","",SUMIFS(Ledger!$K$2:$K$4, Ledger!$B$2:$B$4, $A3, Ledger!$C$2:$C$4, JMD$2)),"****")</f>
        <v/>
      </c>
      <c r="JME3" t="str">
        <f>IFERROR(IF($C3="","",SUMIFS(Ledger!$K$2:$K$4, Ledger!$B$2:$B$4, $A3, Ledger!$C$2:$C$4, JME$2)),"****")</f>
        <v/>
      </c>
      <c r="JMF3" t="str">
        <f>IFERROR(IF($C3="","",SUMIFS(Ledger!$K$2:$K$4, Ledger!$B$2:$B$4, $A3, Ledger!$C$2:$C$4, JMF$2)),"****")</f>
        <v/>
      </c>
      <c r="JMG3" t="str">
        <f>IFERROR(IF($C3="","",SUMIFS(Ledger!$K$2:$K$4, Ledger!$B$2:$B$4, $A3, Ledger!$C$2:$C$4, JMG$2)),"****")</f>
        <v/>
      </c>
      <c r="JMH3" t="str">
        <f>IFERROR(IF($C3="","",SUMIFS(Ledger!$K$2:$K$4, Ledger!$B$2:$B$4, $A3, Ledger!$C$2:$C$4, JMH$2)),"****")</f>
        <v/>
      </c>
      <c r="JMI3" t="str">
        <f>IFERROR(IF($C3="","",SUMIFS(Ledger!$K$2:$K$4, Ledger!$B$2:$B$4, $A3, Ledger!$C$2:$C$4, JMI$2)),"****")</f>
        <v/>
      </c>
      <c r="JMJ3" t="str">
        <f>IFERROR(IF($C3="","",SUMIFS(Ledger!$K$2:$K$4, Ledger!$B$2:$B$4, $A3, Ledger!$C$2:$C$4, JMJ$2)),"****")</f>
        <v/>
      </c>
      <c r="JMK3" t="str">
        <f>IFERROR(IF($C3="","",SUMIFS(Ledger!$K$2:$K$4, Ledger!$B$2:$B$4, $A3, Ledger!$C$2:$C$4, JMK$2)),"****")</f>
        <v/>
      </c>
      <c r="JML3" t="str">
        <f>IFERROR(IF($C3="","",SUMIFS(Ledger!$K$2:$K$4, Ledger!$B$2:$B$4, $A3, Ledger!$C$2:$C$4, JML$2)),"****")</f>
        <v/>
      </c>
      <c r="JMM3" t="str">
        <f>IFERROR(IF($C3="","",SUMIFS(Ledger!$K$2:$K$4, Ledger!$B$2:$B$4, $A3, Ledger!$C$2:$C$4, JMM$2)),"****")</f>
        <v/>
      </c>
      <c r="JMN3" t="str">
        <f>IFERROR(IF($C3="","",SUMIFS(Ledger!$K$2:$K$4, Ledger!$B$2:$B$4, $A3, Ledger!$C$2:$C$4, JMN$2)),"****")</f>
        <v/>
      </c>
      <c r="JMO3" t="str">
        <f>IFERROR(IF($C3="","",SUMIFS(Ledger!$K$2:$K$4, Ledger!$B$2:$B$4, $A3, Ledger!$C$2:$C$4, JMO$2)),"****")</f>
        <v/>
      </c>
      <c r="JMP3" t="str">
        <f>IFERROR(IF($C3="","",SUMIFS(Ledger!$K$2:$K$4, Ledger!$B$2:$B$4, $A3, Ledger!$C$2:$C$4, JMP$2)),"****")</f>
        <v/>
      </c>
      <c r="JMQ3" t="str">
        <f>IFERROR(IF($C3="","",SUMIFS(Ledger!$K$2:$K$4, Ledger!$B$2:$B$4, $A3, Ledger!$C$2:$C$4, JMQ$2)),"****")</f>
        <v/>
      </c>
      <c r="JMR3" t="str">
        <f>IFERROR(IF($C3="","",SUMIFS(Ledger!$K$2:$K$4, Ledger!$B$2:$B$4, $A3, Ledger!$C$2:$C$4, JMR$2)),"****")</f>
        <v/>
      </c>
      <c r="JMS3" t="str">
        <f>IFERROR(IF($C3="","",SUMIFS(Ledger!$K$2:$K$4, Ledger!$B$2:$B$4, $A3, Ledger!$C$2:$C$4, JMS$2)),"****")</f>
        <v/>
      </c>
      <c r="JMT3" t="str">
        <f>IFERROR(IF($C3="","",SUMIFS(Ledger!$K$2:$K$4, Ledger!$B$2:$B$4, $A3, Ledger!$C$2:$C$4, JMT$2)),"****")</f>
        <v/>
      </c>
      <c r="JMU3" t="str">
        <f>IFERROR(IF($C3="","",SUMIFS(Ledger!$K$2:$K$4, Ledger!$B$2:$B$4, $A3, Ledger!$C$2:$C$4, JMU$2)),"****")</f>
        <v/>
      </c>
      <c r="JMV3" t="str">
        <f>IFERROR(IF($C3="","",SUMIFS(Ledger!$K$2:$K$4, Ledger!$B$2:$B$4, $A3, Ledger!$C$2:$C$4, JMV$2)),"****")</f>
        <v/>
      </c>
      <c r="JMW3" t="str">
        <f>IFERROR(IF($C3="","",SUMIFS(Ledger!$K$2:$K$4, Ledger!$B$2:$B$4, $A3, Ledger!$C$2:$C$4, JMW$2)),"****")</f>
        <v/>
      </c>
      <c r="JMX3" t="str">
        <f>IFERROR(IF($C3="","",SUMIFS(Ledger!$K$2:$K$4, Ledger!$B$2:$B$4, $A3, Ledger!$C$2:$C$4, JMX$2)),"****")</f>
        <v/>
      </c>
      <c r="JMY3" t="str">
        <f>IFERROR(IF($C3="","",SUMIFS(Ledger!$K$2:$K$4, Ledger!$B$2:$B$4, $A3, Ledger!$C$2:$C$4, JMY$2)),"****")</f>
        <v/>
      </c>
      <c r="JMZ3" t="str">
        <f>IFERROR(IF($C3="","",SUMIFS(Ledger!$K$2:$K$4, Ledger!$B$2:$B$4, $A3, Ledger!$C$2:$C$4, JMZ$2)),"****")</f>
        <v/>
      </c>
      <c r="JNA3" t="str">
        <f>IFERROR(IF($C3="","",SUMIFS(Ledger!$K$2:$K$4, Ledger!$B$2:$B$4, $A3, Ledger!$C$2:$C$4, JNA$2)),"****")</f>
        <v/>
      </c>
      <c r="JNB3" t="str">
        <f>IFERROR(IF($C3="","",SUMIFS(Ledger!$K$2:$K$4, Ledger!$B$2:$B$4, $A3, Ledger!$C$2:$C$4, JNB$2)),"****")</f>
        <v/>
      </c>
      <c r="JNC3" t="str">
        <f>IFERROR(IF($C3="","",SUMIFS(Ledger!$K$2:$K$4, Ledger!$B$2:$B$4, $A3, Ledger!$C$2:$C$4, JNC$2)),"****")</f>
        <v/>
      </c>
      <c r="JND3" t="str">
        <f>IFERROR(IF($C3="","",SUMIFS(Ledger!$K$2:$K$4, Ledger!$B$2:$B$4, $A3, Ledger!$C$2:$C$4, JND$2)),"****")</f>
        <v/>
      </c>
      <c r="JNE3" t="str">
        <f>IFERROR(IF($C3="","",SUMIFS(Ledger!$K$2:$K$4, Ledger!$B$2:$B$4, $A3, Ledger!$C$2:$C$4, JNE$2)),"****")</f>
        <v/>
      </c>
      <c r="JNF3" t="str">
        <f>IFERROR(IF($C3="","",SUMIFS(Ledger!$K$2:$K$4, Ledger!$B$2:$B$4, $A3, Ledger!$C$2:$C$4, JNF$2)),"****")</f>
        <v/>
      </c>
      <c r="JNG3" t="str">
        <f>IFERROR(IF($C3="","",SUMIFS(Ledger!$K$2:$K$4, Ledger!$B$2:$B$4, $A3, Ledger!$C$2:$C$4, JNG$2)),"****")</f>
        <v/>
      </c>
      <c r="JNH3" t="str">
        <f>IFERROR(IF($C3="","",SUMIFS(Ledger!$K$2:$K$4, Ledger!$B$2:$B$4, $A3, Ledger!$C$2:$C$4, JNH$2)),"****")</f>
        <v/>
      </c>
      <c r="JNI3" t="str">
        <f>IFERROR(IF($C3="","",SUMIFS(Ledger!$K$2:$K$4, Ledger!$B$2:$B$4, $A3, Ledger!$C$2:$C$4, JNI$2)),"****")</f>
        <v/>
      </c>
      <c r="JNJ3" t="str">
        <f>IFERROR(IF($C3="","",SUMIFS(Ledger!$K$2:$K$4, Ledger!$B$2:$B$4, $A3, Ledger!$C$2:$C$4, JNJ$2)),"****")</f>
        <v/>
      </c>
      <c r="JNK3" t="str">
        <f>IFERROR(IF($C3="","",SUMIFS(Ledger!$K$2:$K$4, Ledger!$B$2:$B$4, $A3, Ledger!$C$2:$C$4, JNK$2)),"****")</f>
        <v/>
      </c>
      <c r="JNL3" t="str">
        <f>IFERROR(IF($C3="","",SUMIFS(Ledger!$K$2:$K$4, Ledger!$B$2:$B$4, $A3, Ledger!$C$2:$C$4, JNL$2)),"****")</f>
        <v/>
      </c>
      <c r="JNM3" t="str">
        <f>IFERROR(IF($C3="","",SUMIFS(Ledger!$K$2:$K$4, Ledger!$B$2:$B$4, $A3, Ledger!$C$2:$C$4, JNM$2)),"****")</f>
        <v/>
      </c>
      <c r="JNN3" t="str">
        <f>IFERROR(IF($C3="","",SUMIFS(Ledger!$K$2:$K$4, Ledger!$B$2:$B$4, $A3, Ledger!$C$2:$C$4, JNN$2)),"****")</f>
        <v/>
      </c>
      <c r="JNO3" t="str">
        <f>IFERROR(IF($C3="","",SUMIFS(Ledger!$K$2:$K$4, Ledger!$B$2:$B$4, $A3, Ledger!$C$2:$C$4, JNO$2)),"****")</f>
        <v/>
      </c>
      <c r="JNP3" t="str">
        <f>IFERROR(IF($C3="","",SUMIFS(Ledger!$K$2:$K$4, Ledger!$B$2:$B$4, $A3, Ledger!$C$2:$C$4, JNP$2)),"****")</f>
        <v/>
      </c>
      <c r="JNQ3" t="str">
        <f>IFERROR(IF($C3="","",SUMIFS(Ledger!$K$2:$K$4, Ledger!$B$2:$B$4, $A3, Ledger!$C$2:$C$4, JNQ$2)),"****")</f>
        <v/>
      </c>
      <c r="JNR3" t="str">
        <f>IFERROR(IF($C3="","",SUMIFS(Ledger!$K$2:$K$4, Ledger!$B$2:$B$4, $A3, Ledger!$C$2:$C$4, JNR$2)),"****")</f>
        <v/>
      </c>
      <c r="JNS3" t="str">
        <f>IFERROR(IF($C3="","",SUMIFS(Ledger!$K$2:$K$4, Ledger!$B$2:$B$4, $A3, Ledger!$C$2:$C$4, JNS$2)),"****")</f>
        <v/>
      </c>
      <c r="JNT3" t="str">
        <f>IFERROR(IF($C3="","",SUMIFS(Ledger!$K$2:$K$4, Ledger!$B$2:$B$4, $A3, Ledger!$C$2:$C$4, JNT$2)),"****")</f>
        <v/>
      </c>
      <c r="JNU3" t="str">
        <f>IFERROR(IF($C3="","",SUMIFS(Ledger!$K$2:$K$4, Ledger!$B$2:$B$4, $A3, Ledger!$C$2:$C$4, JNU$2)),"****")</f>
        <v/>
      </c>
      <c r="JNV3" t="str">
        <f>IFERROR(IF($C3="","",SUMIFS(Ledger!$K$2:$K$4, Ledger!$B$2:$B$4, $A3, Ledger!$C$2:$C$4, JNV$2)),"****")</f>
        <v/>
      </c>
      <c r="JNW3" t="str">
        <f>IFERROR(IF($C3="","",SUMIFS(Ledger!$K$2:$K$4, Ledger!$B$2:$B$4, $A3, Ledger!$C$2:$C$4, JNW$2)),"****")</f>
        <v/>
      </c>
      <c r="JNX3" t="str">
        <f>IFERROR(IF($C3="","",SUMIFS(Ledger!$K$2:$K$4, Ledger!$B$2:$B$4, $A3, Ledger!$C$2:$C$4, JNX$2)),"****")</f>
        <v/>
      </c>
      <c r="JNY3" t="str">
        <f>IFERROR(IF($C3="","",SUMIFS(Ledger!$K$2:$K$4, Ledger!$B$2:$B$4, $A3, Ledger!$C$2:$C$4, JNY$2)),"****")</f>
        <v/>
      </c>
      <c r="JNZ3" t="str">
        <f>IFERROR(IF($C3="","",SUMIFS(Ledger!$K$2:$K$4, Ledger!$B$2:$B$4, $A3, Ledger!$C$2:$C$4, JNZ$2)),"****")</f>
        <v/>
      </c>
      <c r="JOA3" t="str">
        <f>IFERROR(IF($C3="","",SUMIFS(Ledger!$K$2:$K$4, Ledger!$B$2:$B$4, $A3, Ledger!$C$2:$C$4, JOA$2)),"****")</f>
        <v/>
      </c>
      <c r="JOB3" t="str">
        <f>IFERROR(IF($C3="","",SUMIFS(Ledger!$K$2:$K$4, Ledger!$B$2:$B$4, $A3, Ledger!$C$2:$C$4, JOB$2)),"****")</f>
        <v/>
      </c>
      <c r="JOC3" t="str">
        <f>IFERROR(IF($C3="","",SUMIFS(Ledger!$K$2:$K$4, Ledger!$B$2:$B$4, $A3, Ledger!$C$2:$C$4, JOC$2)),"****")</f>
        <v/>
      </c>
      <c r="JOD3" t="str">
        <f>IFERROR(IF($C3="","",SUMIFS(Ledger!$K$2:$K$4, Ledger!$B$2:$B$4, $A3, Ledger!$C$2:$C$4, JOD$2)),"****")</f>
        <v/>
      </c>
      <c r="JOE3" t="str">
        <f>IFERROR(IF($C3="","",SUMIFS(Ledger!$K$2:$K$4, Ledger!$B$2:$B$4, $A3, Ledger!$C$2:$C$4, JOE$2)),"****")</f>
        <v/>
      </c>
      <c r="JOF3" t="str">
        <f>IFERROR(IF($C3="","",SUMIFS(Ledger!$K$2:$K$4, Ledger!$B$2:$B$4, $A3, Ledger!$C$2:$C$4, JOF$2)),"****")</f>
        <v/>
      </c>
      <c r="JOG3" t="str">
        <f>IFERROR(IF($C3="","",SUMIFS(Ledger!$K$2:$K$4, Ledger!$B$2:$B$4, $A3, Ledger!$C$2:$C$4, JOG$2)),"****")</f>
        <v/>
      </c>
      <c r="JOH3" t="str">
        <f>IFERROR(IF($C3="","",SUMIFS(Ledger!$K$2:$K$4, Ledger!$B$2:$B$4, $A3, Ledger!$C$2:$C$4, JOH$2)),"****")</f>
        <v/>
      </c>
      <c r="JOI3" t="str">
        <f>IFERROR(IF($C3="","",SUMIFS(Ledger!$K$2:$K$4, Ledger!$B$2:$B$4, $A3, Ledger!$C$2:$C$4, JOI$2)),"****")</f>
        <v/>
      </c>
      <c r="JOJ3" t="str">
        <f>IFERROR(IF($C3="","",SUMIFS(Ledger!$K$2:$K$4, Ledger!$B$2:$B$4, $A3, Ledger!$C$2:$C$4, JOJ$2)),"****")</f>
        <v/>
      </c>
      <c r="JOK3" t="str">
        <f>IFERROR(IF($C3="","",SUMIFS(Ledger!$K$2:$K$4, Ledger!$B$2:$B$4, $A3, Ledger!$C$2:$C$4, JOK$2)),"****")</f>
        <v/>
      </c>
      <c r="JOL3" t="str">
        <f>IFERROR(IF($C3="","",SUMIFS(Ledger!$K$2:$K$4, Ledger!$B$2:$B$4, $A3, Ledger!$C$2:$C$4, JOL$2)),"****")</f>
        <v/>
      </c>
      <c r="JOM3" t="str">
        <f>IFERROR(IF($C3="","",SUMIFS(Ledger!$K$2:$K$4, Ledger!$B$2:$B$4, $A3, Ledger!$C$2:$C$4, JOM$2)),"****")</f>
        <v/>
      </c>
      <c r="JON3" t="str">
        <f>IFERROR(IF($C3="","",SUMIFS(Ledger!$K$2:$K$4, Ledger!$B$2:$B$4, $A3, Ledger!$C$2:$C$4, JON$2)),"****")</f>
        <v/>
      </c>
      <c r="JOO3" t="str">
        <f>IFERROR(IF($C3="","",SUMIFS(Ledger!$K$2:$K$4, Ledger!$B$2:$B$4, $A3, Ledger!$C$2:$C$4, JOO$2)),"****")</f>
        <v/>
      </c>
      <c r="JOP3" t="str">
        <f>IFERROR(IF($C3="","",SUMIFS(Ledger!$K$2:$K$4, Ledger!$B$2:$B$4, $A3, Ledger!$C$2:$C$4, JOP$2)),"****")</f>
        <v/>
      </c>
      <c r="JOQ3" t="str">
        <f>IFERROR(IF($C3="","",SUMIFS(Ledger!$K$2:$K$4, Ledger!$B$2:$B$4, $A3, Ledger!$C$2:$C$4, JOQ$2)),"****")</f>
        <v/>
      </c>
      <c r="JOR3" t="str">
        <f>IFERROR(IF($C3="","",SUMIFS(Ledger!$K$2:$K$4, Ledger!$B$2:$B$4, $A3, Ledger!$C$2:$C$4, JOR$2)),"****")</f>
        <v/>
      </c>
      <c r="JOS3" t="str">
        <f>IFERROR(IF($C3="","",SUMIFS(Ledger!$K$2:$K$4, Ledger!$B$2:$B$4, $A3, Ledger!$C$2:$C$4, JOS$2)),"****")</f>
        <v/>
      </c>
      <c r="JOT3" t="str">
        <f>IFERROR(IF($C3="","",SUMIFS(Ledger!$K$2:$K$4, Ledger!$B$2:$B$4, $A3, Ledger!$C$2:$C$4, JOT$2)),"****")</f>
        <v/>
      </c>
      <c r="JOU3" t="str">
        <f>IFERROR(IF($C3="","",SUMIFS(Ledger!$K$2:$K$4, Ledger!$B$2:$B$4, $A3, Ledger!$C$2:$C$4, JOU$2)),"****")</f>
        <v/>
      </c>
      <c r="JOV3" t="str">
        <f>IFERROR(IF($C3="","",SUMIFS(Ledger!$K$2:$K$4, Ledger!$B$2:$B$4, $A3, Ledger!$C$2:$C$4, JOV$2)),"****")</f>
        <v/>
      </c>
      <c r="JOW3" t="str">
        <f>IFERROR(IF($C3="","",SUMIFS(Ledger!$K$2:$K$4, Ledger!$B$2:$B$4, $A3, Ledger!$C$2:$C$4, JOW$2)),"****")</f>
        <v/>
      </c>
      <c r="JOX3" t="str">
        <f>IFERROR(IF($C3="","",SUMIFS(Ledger!$K$2:$K$4, Ledger!$B$2:$B$4, $A3, Ledger!$C$2:$C$4, JOX$2)),"****")</f>
        <v/>
      </c>
      <c r="JOY3" t="str">
        <f>IFERROR(IF($C3="","",SUMIFS(Ledger!$K$2:$K$4, Ledger!$B$2:$B$4, $A3, Ledger!$C$2:$C$4, JOY$2)),"****")</f>
        <v/>
      </c>
      <c r="JOZ3" t="str">
        <f>IFERROR(IF($C3="","",SUMIFS(Ledger!$K$2:$K$4, Ledger!$B$2:$B$4, $A3, Ledger!$C$2:$C$4, JOZ$2)),"****")</f>
        <v/>
      </c>
      <c r="JPA3" t="str">
        <f>IFERROR(IF($C3="","",SUMIFS(Ledger!$K$2:$K$4, Ledger!$B$2:$B$4, $A3, Ledger!$C$2:$C$4, JPA$2)),"****")</f>
        <v/>
      </c>
      <c r="JPB3" t="str">
        <f>IFERROR(IF($C3="","",SUMIFS(Ledger!$K$2:$K$4, Ledger!$B$2:$B$4, $A3, Ledger!$C$2:$C$4, JPB$2)),"****")</f>
        <v/>
      </c>
      <c r="JPC3" t="str">
        <f>IFERROR(IF($C3="","",SUMIFS(Ledger!$K$2:$K$4, Ledger!$B$2:$B$4, $A3, Ledger!$C$2:$C$4, JPC$2)),"****")</f>
        <v/>
      </c>
      <c r="JPD3" t="str">
        <f>IFERROR(IF($C3="","",SUMIFS(Ledger!$K$2:$K$4, Ledger!$B$2:$B$4, $A3, Ledger!$C$2:$C$4, JPD$2)),"****")</f>
        <v/>
      </c>
      <c r="JPE3" t="str">
        <f>IFERROR(IF($C3="","",SUMIFS(Ledger!$K$2:$K$4, Ledger!$B$2:$B$4, $A3, Ledger!$C$2:$C$4, JPE$2)),"****")</f>
        <v/>
      </c>
      <c r="JPF3" t="str">
        <f>IFERROR(IF($C3="","",SUMIFS(Ledger!$K$2:$K$4, Ledger!$B$2:$B$4, $A3, Ledger!$C$2:$C$4, JPF$2)),"****")</f>
        <v/>
      </c>
      <c r="JPG3" t="str">
        <f>IFERROR(IF($C3="","",SUMIFS(Ledger!$K$2:$K$4, Ledger!$B$2:$B$4, $A3, Ledger!$C$2:$C$4, JPG$2)),"****")</f>
        <v/>
      </c>
      <c r="JPH3" t="str">
        <f>IFERROR(IF($C3="","",SUMIFS(Ledger!$K$2:$K$4, Ledger!$B$2:$B$4, $A3, Ledger!$C$2:$C$4, JPH$2)),"****")</f>
        <v/>
      </c>
      <c r="JPI3" t="str">
        <f>IFERROR(IF($C3="","",SUMIFS(Ledger!$K$2:$K$4, Ledger!$B$2:$B$4, $A3, Ledger!$C$2:$C$4, JPI$2)),"****")</f>
        <v/>
      </c>
      <c r="JPJ3" t="str">
        <f>IFERROR(IF($C3="","",SUMIFS(Ledger!$K$2:$K$4, Ledger!$B$2:$B$4, $A3, Ledger!$C$2:$C$4, JPJ$2)),"****")</f>
        <v/>
      </c>
      <c r="JPK3" t="str">
        <f>IFERROR(IF($C3="","",SUMIFS(Ledger!$K$2:$K$4, Ledger!$B$2:$B$4, $A3, Ledger!$C$2:$C$4, JPK$2)),"****")</f>
        <v/>
      </c>
      <c r="JPL3" t="str">
        <f>IFERROR(IF($C3="","",SUMIFS(Ledger!$K$2:$K$4, Ledger!$B$2:$B$4, $A3, Ledger!$C$2:$C$4, JPL$2)),"****")</f>
        <v/>
      </c>
      <c r="JPM3" t="str">
        <f>IFERROR(IF($C3="","",SUMIFS(Ledger!$K$2:$K$4, Ledger!$B$2:$B$4, $A3, Ledger!$C$2:$C$4, JPM$2)),"****")</f>
        <v/>
      </c>
      <c r="JPN3" t="str">
        <f>IFERROR(IF($C3="","",SUMIFS(Ledger!$K$2:$K$4, Ledger!$B$2:$B$4, $A3, Ledger!$C$2:$C$4, JPN$2)),"****")</f>
        <v/>
      </c>
      <c r="JPO3" t="str">
        <f>IFERROR(IF($C3="","",SUMIFS(Ledger!$K$2:$K$4, Ledger!$B$2:$B$4, $A3, Ledger!$C$2:$C$4, JPO$2)),"****")</f>
        <v/>
      </c>
      <c r="JPP3" t="str">
        <f>IFERROR(IF($C3="","",SUMIFS(Ledger!$K$2:$K$4, Ledger!$B$2:$B$4, $A3, Ledger!$C$2:$C$4, JPP$2)),"****")</f>
        <v/>
      </c>
      <c r="JPQ3" t="str">
        <f>IFERROR(IF($C3="","",SUMIFS(Ledger!$K$2:$K$4, Ledger!$B$2:$B$4, $A3, Ledger!$C$2:$C$4, JPQ$2)),"****")</f>
        <v/>
      </c>
      <c r="JPR3" t="str">
        <f>IFERROR(IF($C3="","",SUMIFS(Ledger!$K$2:$K$4, Ledger!$B$2:$B$4, $A3, Ledger!$C$2:$C$4, JPR$2)),"****")</f>
        <v/>
      </c>
      <c r="JPS3" t="str">
        <f>IFERROR(IF($C3="","",SUMIFS(Ledger!$K$2:$K$4, Ledger!$B$2:$B$4, $A3, Ledger!$C$2:$C$4, JPS$2)),"****")</f>
        <v/>
      </c>
      <c r="JPT3" t="str">
        <f>IFERROR(IF($C3="","",SUMIFS(Ledger!$K$2:$K$4, Ledger!$B$2:$B$4, $A3, Ledger!$C$2:$C$4, JPT$2)),"****")</f>
        <v/>
      </c>
      <c r="JPU3" t="str">
        <f>IFERROR(IF($C3="","",SUMIFS(Ledger!$K$2:$K$4, Ledger!$B$2:$B$4, $A3, Ledger!$C$2:$C$4, JPU$2)),"****")</f>
        <v/>
      </c>
      <c r="JPV3" t="str">
        <f>IFERROR(IF($C3="","",SUMIFS(Ledger!$K$2:$K$4, Ledger!$B$2:$B$4, $A3, Ledger!$C$2:$C$4, JPV$2)),"****")</f>
        <v/>
      </c>
      <c r="JPW3" t="str">
        <f>IFERROR(IF($C3="","",SUMIFS(Ledger!$K$2:$K$4, Ledger!$B$2:$B$4, $A3, Ledger!$C$2:$C$4, JPW$2)),"****")</f>
        <v/>
      </c>
      <c r="JPX3" t="str">
        <f>IFERROR(IF($C3="","",SUMIFS(Ledger!$K$2:$K$4, Ledger!$B$2:$B$4, $A3, Ledger!$C$2:$C$4, JPX$2)),"****")</f>
        <v/>
      </c>
      <c r="JPY3" t="str">
        <f>IFERROR(IF($C3="","",SUMIFS(Ledger!$K$2:$K$4, Ledger!$B$2:$B$4, $A3, Ledger!$C$2:$C$4, JPY$2)),"****")</f>
        <v/>
      </c>
      <c r="JPZ3" t="str">
        <f>IFERROR(IF($C3="","",SUMIFS(Ledger!$K$2:$K$4, Ledger!$B$2:$B$4, $A3, Ledger!$C$2:$C$4, JPZ$2)),"****")</f>
        <v/>
      </c>
      <c r="JQA3" t="str">
        <f>IFERROR(IF($C3="","",SUMIFS(Ledger!$K$2:$K$4, Ledger!$B$2:$B$4, $A3, Ledger!$C$2:$C$4, JQA$2)),"****")</f>
        <v/>
      </c>
      <c r="JQB3" t="str">
        <f>IFERROR(IF($C3="","",SUMIFS(Ledger!$K$2:$K$4, Ledger!$B$2:$B$4, $A3, Ledger!$C$2:$C$4, JQB$2)),"****")</f>
        <v/>
      </c>
      <c r="JQC3" t="str">
        <f>IFERROR(IF($C3="","",SUMIFS(Ledger!$K$2:$K$4, Ledger!$B$2:$B$4, $A3, Ledger!$C$2:$C$4, JQC$2)),"****")</f>
        <v/>
      </c>
      <c r="JQD3" t="str">
        <f>IFERROR(IF($C3="","",SUMIFS(Ledger!$K$2:$K$4, Ledger!$B$2:$B$4, $A3, Ledger!$C$2:$C$4, JQD$2)),"****")</f>
        <v/>
      </c>
      <c r="JQE3" t="str">
        <f>IFERROR(IF($C3="","",SUMIFS(Ledger!$K$2:$K$4, Ledger!$B$2:$B$4, $A3, Ledger!$C$2:$C$4, JQE$2)),"****")</f>
        <v/>
      </c>
      <c r="JQF3" t="str">
        <f>IFERROR(IF($C3="","",SUMIFS(Ledger!$K$2:$K$4, Ledger!$B$2:$B$4, $A3, Ledger!$C$2:$C$4, JQF$2)),"****")</f>
        <v/>
      </c>
      <c r="JQG3" t="str">
        <f>IFERROR(IF($C3="","",SUMIFS(Ledger!$K$2:$K$4, Ledger!$B$2:$B$4, $A3, Ledger!$C$2:$C$4, JQG$2)),"****")</f>
        <v/>
      </c>
      <c r="JQH3" t="str">
        <f>IFERROR(IF($C3="","",SUMIFS(Ledger!$K$2:$K$4, Ledger!$B$2:$B$4, $A3, Ledger!$C$2:$C$4, JQH$2)),"****")</f>
        <v/>
      </c>
      <c r="JQI3" t="str">
        <f>IFERROR(IF($C3="","",SUMIFS(Ledger!$K$2:$K$4, Ledger!$B$2:$B$4, $A3, Ledger!$C$2:$C$4, JQI$2)),"****")</f>
        <v/>
      </c>
      <c r="JQJ3" t="str">
        <f>IFERROR(IF($C3="","",SUMIFS(Ledger!$K$2:$K$4, Ledger!$B$2:$B$4, $A3, Ledger!$C$2:$C$4, JQJ$2)),"****")</f>
        <v/>
      </c>
      <c r="JQK3" t="str">
        <f>IFERROR(IF($C3="","",SUMIFS(Ledger!$K$2:$K$4, Ledger!$B$2:$B$4, $A3, Ledger!$C$2:$C$4, JQK$2)),"****")</f>
        <v/>
      </c>
      <c r="JQL3" t="str">
        <f>IFERROR(IF($C3="","",SUMIFS(Ledger!$K$2:$K$4, Ledger!$B$2:$B$4, $A3, Ledger!$C$2:$C$4, JQL$2)),"****")</f>
        <v/>
      </c>
      <c r="JQM3" t="str">
        <f>IFERROR(IF($C3="","",SUMIFS(Ledger!$K$2:$K$4, Ledger!$B$2:$B$4, $A3, Ledger!$C$2:$C$4, JQM$2)),"****")</f>
        <v/>
      </c>
      <c r="JQN3" t="str">
        <f>IFERROR(IF($C3="","",SUMIFS(Ledger!$K$2:$K$4, Ledger!$B$2:$B$4, $A3, Ledger!$C$2:$C$4, JQN$2)),"****")</f>
        <v/>
      </c>
      <c r="JQO3" t="str">
        <f>IFERROR(IF($C3="","",SUMIFS(Ledger!$K$2:$K$4, Ledger!$B$2:$B$4, $A3, Ledger!$C$2:$C$4, JQO$2)),"****")</f>
        <v/>
      </c>
      <c r="JQP3" t="str">
        <f>IFERROR(IF($C3="","",SUMIFS(Ledger!$K$2:$K$4, Ledger!$B$2:$B$4, $A3, Ledger!$C$2:$C$4, JQP$2)),"****")</f>
        <v/>
      </c>
      <c r="JQQ3" t="str">
        <f>IFERROR(IF($C3="","",SUMIFS(Ledger!$K$2:$K$4, Ledger!$B$2:$B$4, $A3, Ledger!$C$2:$C$4, JQQ$2)),"****")</f>
        <v/>
      </c>
      <c r="JQR3" t="str">
        <f>IFERROR(IF($C3="","",SUMIFS(Ledger!$K$2:$K$4, Ledger!$B$2:$B$4, $A3, Ledger!$C$2:$C$4, JQR$2)),"****")</f>
        <v/>
      </c>
      <c r="JQS3" t="str">
        <f>IFERROR(IF($C3="","",SUMIFS(Ledger!$K$2:$K$4, Ledger!$B$2:$B$4, $A3, Ledger!$C$2:$C$4, JQS$2)),"****")</f>
        <v/>
      </c>
      <c r="JQT3" t="str">
        <f>IFERROR(IF($C3="","",SUMIFS(Ledger!$K$2:$K$4, Ledger!$B$2:$B$4, $A3, Ledger!$C$2:$C$4, JQT$2)),"****")</f>
        <v/>
      </c>
      <c r="JQU3" t="str">
        <f>IFERROR(IF($C3="","",SUMIFS(Ledger!$K$2:$K$4, Ledger!$B$2:$B$4, $A3, Ledger!$C$2:$C$4, JQU$2)),"****")</f>
        <v/>
      </c>
      <c r="JQV3" t="str">
        <f>IFERROR(IF($C3="","",SUMIFS(Ledger!$K$2:$K$4, Ledger!$B$2:$B$4, $A3, Ledger!$C$2:$C$4, JQV$2)),"****")</f>
        <v/>
      </c>
      <c r="JQW3" t="str">
        <f>IFERROR(IF($C3="","",SUMIFS(Ledger!$K$2:$K$4, Ledger!$B$2:$B$4, $A3, Ledger!$C$2:$C$4, JQW$2)),"****")</f>
        <v/>
      </c>
      <c r="JQX3" t="str">
        <f>IFERROR(IF($C3="","",SUMIFS(Ledger!$K$2:$K$4, Ledger!$B$2:$B$4, $A3, Ledger!$C$2:$C$4, JQX$2)),"****")</f>
        <v/>
      </c>
      <c r="JQY3" t="str">
        <f>IFERROR(IF($C3="","",SUMIFS(Ledger!$K$2:$K$4, Ledger!$B$2:$B$4, $A3, Ledger!$C$2:$C$4, JQY$2)),"****")</f>
        <v/>
      </c>
      <c r="JQZ3" t="str">
        <f>IFERROR(IF($C3="","",SUMIFS(Ledger!$K$2:$K$4, Ledger!$B$2:$B$4, $A3, Ledger!$C$2:$C$4, JQZ$2)),"****")</f>
        <v/>
      </c>
      <c r="JRA3" t="str">
        <f>IFERROR(IF($C3="","",SUMIFS(Ledger!$K$2:$K$4, Ledger!$B$2:$B$4, $A3, Ledger!$C$2:$C$4, JRA$2)),"****")</f>
        <v/>
      </c>
      <c r="JRB3" t="str">
        <f>IFERROR(IF($C3="","",SUMIFS(Ledger!$K$2:$K$4, Ledger!$B$2:$B$4, $A3, Ledger!$C$2:$C$4, JRB$2)),"****")</f>
        <v/>
      </c>
      <c r="JRC3" t="str">
        <f>IFERROR(IF($C3="","",SUMIFS(Ledger!$K$2:$K$4, Ledger!$B$2:$B$4, $A3, Ledger!$C$2:$C$4, JRC$2)),"****")</f>
        <v/>
      </c>
      <c r="JRD3" t="str">
        <f>IFERROR(IF($C3="","",SUMIFS(Ledger!$K$2:$K$4, Ledger!$B$2:$B$4, $A3, Ledger!$C$2:$C$4, JRD$2)),"****")</f>
        <v/>
      </c>
      <c r="JRE3" t="str">
        <f>IFERROR(IF($C3="","",SUMIFS(Ledger!$K$2:$K$4, Ledger!$B$2:$B$4, $A3, Ledger!$C$2:$C$4, JRE$2)),"****")</f>
        <v/>
      </c>
      <c r="JRF3" t="str">
        <f>IFERROR(IF($C3="","",SUMIFS(Ledger!$K$2:$K$4, Ledger!$B$2:$B$4, $A3, Ledger!$C$2:$C$4, JRF$2)),"****")</f>
        <v/>
      </c>
      <c r="JRG3" t="str">
        <f>IFERROR(IF($C3="","",SUMIFS(Ledger!$K$2:$K$4, Ledger!$B$2:$B$4, $A3, Ledger!$C$2:$C$4, JRG$2)),"****")</f>
        <v/>
      </c>
      <c r="JRH3" t="str">
        <f>IFERROR(IF($C3="","",SUMIFS(Ledger!$K$2:$K$4, Ledger!$B$2:$B$4, $A3, Ledger!$C$2:$C$4, JRH$2)),"****")</f>
        <v/>
      </c>
      <c r="JRI3" t="str">
        <f>IFERROR(IF($C3="","",SUMIFS(Ledger!$K$2:$K$4, Ledger!$B$2:$B$4, $A3, Ledger!$C$2:$C$4, JRI$2)),"****")</f>
        <v/>
      </c>
      <c r="JRJ3" t="str">
        <f>IFERROR(IF($C3="","",SUMIFS(Ledger!$K$2:$K$4, Ledger!$B$2:$B$4, $A3, Ledger!$C$2:$C$4, JRJ$2)),"****")</f>
        <v/>
      </c>
      <c r="JRK3" t="str">
        <f>IFERROR(IF($C3="","",SUMIFS(Ledger!$K$2:$K$4, Ledger!$B$2:$B$4, $A3, Ledger!$C$2:$C$4, JRK$2)),"****")</f>
        <v/>
      </c>
      <c r="JRL3" t="str">
        <f>IFERROR(IF($C3="","",SUMIFS(Ledger!$K$2:$K$4, Ledger!$B$2:$B$4, $A3, Ledger!$C$2:$C$4, JRL$2)),"****")</f>
        <v/>
      </c>
      <c r="JRM3" t="str">
        <f>IFERROR(IF($C3="","",SUMIFS(Ledger!$K$2:$K$4, Ledger!$B$2:$B$4, $A3, Ledger!$C$2:$C$4, JRM$2)),"****")</f>
        <v/>
      </c>
      <c r="JRN3" t="str">
        <f>IFERROR(IF($C3="","",SUMIFS(Ledger!$K$2:$K$4, Ledger!$B$2:$B$4, $A3, Ledger!$C$2:$C$4, JRN$2)),"****")</f>
        <v/>
      </c>
      <c r="JRO3" t="str">
        <f>IFERROR(IF($C3="","",SUMIFS(Ledger!$K$2:$K$4, Ledger!$B$2:$B$4, $A3, Ledger!$C$2:$C$4, JRO$2)),"****")</f>
        <v/>
      </c>
      <c r="JRP3" t="str">
        <f>IFERROR(IF($C3="","",SUMIFS(Ledger!$K$2:$K$4, Ledger!$B$2:$B$4, $A3, Ledger!$C$2:$C$4, JRP$2)),"****")</f>
        <v/>
      </c>
      <c r="JRQ3" t="str">
        <f>IFERROR(IF($C3="","",SUMIFS(Ledger!$K$2:$K$4, Ledger!$B$2:$B$4, $A3, Ledger!$C$2:$C$4, JRQ$2)),"****")</f>
        <v/>
      </c>
      <c r="JRR3" t="str">
        <f>IFERROR(IF($C3="","",SUMIFS(Ledger!$K$2:$K$4, Ledger!$B$2:$B$4, $A3, Ledger!$C$2:$C$4, JRR$2)),"****")</f>
        <v/>
      </c>
      <c r="JRS3" t="str">
        <f>IFERROR(IF($C3="","",SUMIFS(Ledger!$K$2:$K$4, Ledger!$B$2:$B$4, $A3, Ledger!$C$2:$C$4, JRS$2)),"****")</f>
        <v/>
      </c>
      <c r="JRT3" t="str">
        <f>IFERROR(IF($C3="","",SUMIFS(Ledger!$K$2:$K$4, Ledger!$B$2:$B$4, $A3, Ledger!$C$2:$C$4, JRT$2)),"****")</f>
        <v/>
      </c>
      <c r="JRU3" t="str">
        <f>IFERROR(IF($C3="","",SUMIFS(Ledger!$K$2:$K$4, Ledger!$B$2:$B$4, $A3, Ledger!$C$2:$C$4, JRU$2)),"****")</f>
        <v/>
      </c>
      <c r="JRV3" t="str">
        <f>IFERROR(IF($C3="","",SUMIFS(Ledger!$K$2:$K$4, Ledger!$B$2:$B$4, $A3, Ledger!$C$2:$C$4, JRV$2)),"****")</f>
        <v/>
      </c>
      <c r="JRW3" t="str">
        <f>IFERROR(IF($C3="","",SUMIFS(Ledger!$K$2:$K$4, Ledger!$B$2:$B$4, $A3, Ledger!$C$2:$C$4, JRW$2)),"****")</f>
        <v/>
      </c>
      <c r="JRX3" t="str">
        <f>IFERROR(IF($C3="","",SUMIFS(Ledger!$K$2:$K$4, Ledger!$B$2:$B$4, $A3, Ledger!$C$2:$C$4, JRX$2)),"****")</f>
        <v/>
      </c>
      <c r="JRY3" t="str">
        <f>IFERROR(IF($C3="","",SUMIFS(Ledger!$K$2:$K$4, Ledger!$B$2:$B$4, $A3, Ledger!$C$2:$C$4, JRY$2)),"****")</f>
        <v/>
      </c>
      <c r="JRZ3" t="str">
        <f>IFERROR(IF($C3="","",SUMIFS(Ledger!$K$2:$K$4, Ledger!$B$2:$B$4, $A3, Ledger!$C$2:$C$4, JRZ$2)),"****")</f>
        <v/>
      </c>
      <c r="JSA3" t="str">
        <f>IFERROR(IF($C3="","",SUMIFS(Ledger!$K$2:$K$4, Ledger!$B$2:$B$4, $A3, Ledger!$C$2:$C$4, JSA$2)),"****")</f>
        <v/>
      </c>
      <c r="JSB3" t="str">
        <f>IFERROR(IF($C3="","",SUMIFS(Ledger!$K$2:$K$4, Ledger!$B$2:$B$4, $A3, Ledger!$C$2:$C$4, JSB$2)),"****")</f>
        <v/>
      </c>
      <c r="JSC3" t="str">
        <f>IFERROR(IF($C3="","",SUMIFS(Ledger!$K$2:$K$4, Ledger!$B$2:$B$4, $A3, Ledger!$C$2:$C$4, JSC$2)),"****")</f>
        <v/>
      </c>
      <c r="JSD3" t="str">
        <f>IFERROR(IF($C3="","",SUMIFS(Ledger!$K$2:$K$4, Ledger!$B$2:$B$4, $A3, Ledger!$C$2:$C$4, JSD$2)),"****")</f>
        <v/>
      </c>
      <c r="JSE3" t="str">
        <f>IFERROR(IF($C3="","",SUMIFS(Ledger!$K$2:$K$4, Ledger!$B$2:$B$4, $A3, Ledger!$C$2:$C$4, JSE$2)),"****")</f>
        <v/>
      </c>
      <c r="JSF3" t="str">
        <f>IFERROR(IF($C3="","",SUMIFS(Ledger!$K$2:$K$4, Ledger!$B$2:$B$4, $A3, Ledger!$C$2:$C$4, JSF$2)),"****")</f>
        <v/>
      </c>
      <c r="JSG3" t="str">
        <f>IFERROR(IF($C3="","",SUMIFS(Ledger!$K$2:$K$4, Ledger!$B$2:$B$4, $A3, Ledger!$C$2:$C$4, JSG$2)),"****")</f>
        <v/>
      </c>
      <c r="JSH3" t="str">
        <f>IFERROR(IF($C3="","",SUMIFS(Ledger!$K$2:$K$4, Ledger!$B$2:$B$4, $A3, Ledger!$C$2:$C$4, JSH$2)),"****")</f>
        <v/>
      </c>
      <c r="JSI3" t="str">
        <f>IFERROR(IF($C3="","",SUMIFS(Ledger!$K$2:$K$4, Ledger!$B$2:$B$4, $A3, Ledger!$C$2:$C$4, JSI$2)),"****")</f>
        <v/>
      </c>
      <c r="JSJ3" t="str">
        <f>IFERROR(IF($C3="","",SUMIFS(Ledger!$K$2:$K$4, Ledger!$B$2:$B$4, $A3, Ledger!$C$2:$C$4, JSJ$2)),"****")</f>
        <v/>
      </c>
      <c r="JSK3" t="str">
        <f>IFERROR(IF($C3="","",SUMIFS(Ledger!$K$2:$K$4, Ledger!$B$2:$B$4, $A3, Ledger!$C$2:$C$4, JSK$2)),"****")</f>
        <v/>
      </c>
      <c r="JSL3" t="str">
        <f>IFERROR(IF($C3="","",SUMIFS(Ledger!$K$2:$K$4, Ledger!$B$2:$B$4, $A3, Ledger!$C$2:$C$4, JSL$2)),"****")</f>
        <v/>
      </c>
      <c r="JSM3" t="str">
        <f>IFERROR(IF($C3="","",SUMIFS(Ledger!$K$2:$K$4, Ledger!$B$2:$B$4, $A3, Ledger!$C$2:$C$4, JSM$2)),"****")</f>
        <v/>
      </c>
      <c r="JSN3" t="str">
        <f>IFERROR(IF($C3="","",SUMIFS(Ledger!$K$2:$K$4, Ledger!$B$2:$B$4, $A3, Ledger!$C$2:$C$4, JSN$2)),"****")</f>
        <v/>
      </c>
      <c r="JSO3" t="str">
        <f>IFERROR(IF($C3="","",SUMIFS(Ledger!$K$2:$K$4, Ledger!$B$2:$B$4, $A3, Ledger!$C$2:$C$4, JSO$2)),"****")</f>
        <v/>
      </c>
      <c r="JSP3" t="str">
        <f>IFERROR(IF($C3="","",SUMIFS(Ledger!$K$2:$K$4, Ledger!$B$2:$B$4, $A3, Ledger!$C$2:$C$4, JSP$2)),"****")</f>
        <v/>
      </c>
      <c r="JSQ3" t="str">
        <f>IFERROR(IF($C3="","",SUMIFS(Ledger!$K$2:$K$4, Ledger!$B$2:$B$4, $A3, Ledger!$C$2:$C$4, JSQ$2)),"****")</f>
        <v/>
      </c>
      <c r="JSR3" t="str">
        <f>IFERROR(IF($C3="","",SUMIFS(Ledger!$K$2:$K$4, Ledger!$B$2:$B$4, $A3, Ledger!$C$2:$C$4, JSR$2)),"****")</f>
        <v/>
      </c>
      <c r="JSS3" t="str">
        <f>IFERROR(IF($C3="","",SUMIFS(Ledger!$K$2:$K$4, Ledger!$B$2:$B$4, $A3, Ledger!$C$2:$C$4, JSS$2)),"****")</f>
        <v/>
      </c>
      <c r="JST3" t="str">
        <f>IFERROR(IF($C3="","",SUMIFS(Ledger!$K$2:$K$4, Ledger!$B$2:$B$4, $A3, Ledger!$C$2:$C$4, JST$2)),"****")</f>
        <v/>
      </c>
      <c r="JSU3" t="str">
        <f>IFERROR(IF($C3="","",SUMIFS(Ledger!$K$2:$K$4, Ledger!$B$2:$B$4, $A3, Ledger!$C$2:$C$4, JSU$2)),"****")</f>
        <v/>
      </c>
      <c r="JSV3" t="str">
        <f>IFERROR(IF($C3="","",SUMIFS(Ledger!$K$2:$K$4, Ledger!$B$2:$B$4, $A3, Ledger!$C$2:$C$4, JSV$2)),"****")</f>
        <v/>
      </c>
      <c r="JSW3" t="str">
        <f>IFERROR(IF($C3="","",SUMIFS(Ledger!$K$2:$K$4, Ledger!$B$2:$B$4, $A3, Ledger!$C$2:$C$4, JSW$2)),"****")</f>
        <v/>
      </c>
      <c r="JSX3" t="str">
        <f>IFERROR(IF($C3="","",SUMIFS(Ledger!$K$2:$K$4, Ledger!$B$2:$B$4, $A3, Ledger!$C$2:$C$4, JSX$2)),"****")</f>
        <v/>
      </c>
      <c r="JSY3" t="str">
        <f>IFERROR(IF($C3="","",SUMIFS(Ledger!$K$2:$K$4, Ledger!$B$2:$B$4, $A3, Ledger!$C$2:$C$4, JSY$2)),"****")</f>
        <v/>
      </c>
      <c r="JSZ3" t="str">
        <f>IFERROR(IF($C3="","",SUMIFS(Ledger!$K$2:$K$4, Ledger!$B$2:$B$4, $A3, Ledger!$C$2:$C$4, JSZ$2)),"****")</f>
        <v/>
      </c>
      <c r="JTA3" t="str">
        <f>IFERROR(IF($C3="","",SUMIFS(Ledger!$K$2:$K$4, Ledger!$B$2:$B$4, $A3, Ledger!$C$2:$C$4, JTA$2)),"****")</f>
        <v/>
      </c>
      <c r="JTB3" t="str">
        <f>IFERROR(IF($C3="","",SUMIFS(Ledger!$K$2:$K$4, Ledger!$B$2:$B$4, $A3, Ledger!$C$2:$C$4, JTB$2)),"****")</f>
        <v/>
      </c>
      <c r="JTC3" t="str">
        <f>IFERROR(IF($C3="","",SUMIFS(Ledger!$K$2:$K$4, Ledger!$B$2:$B$4, $A3, Ledger!$C$2:$C$4, JTC$2)),"****")</f>
        <v/>
      </c>
      <c r="JTD3" t="str">
        <f>IFERROR(IF($C3="","",SUMIFS(Ledger!$K$2:$K$4, Ledger!$B$2:$B$4, $A3, Ledger!$C$2:$C$4, JTD$2)),"****")</f>
        <v/>
      </c>
      <c r="JTE3" t="str">
        <f>IFERROR(IF($C3="","",SUMIFS(Ledger!$K$2:$K$4, Ledger!$B$2:$B$4, $A3, Ledger!$C$2:$C$4, JTE$2)),"****")</f>
        <v/>
      </c>
      <c r="JTF3" t="str">
        <f>IFERROR(IF($C3="","",SUMIFS(Ledger!$K$2:$K$4, Ledger!$B$2:$B$4, $A3, Ledger!$C$2:$C$4, JTF$2)),"****")</f>
        <v/>
      </c>
      <c r="JTG3" t="str">
        <f>IFERROR(IF($C3="","",SUMIFS(Ledger!$K$2:$K$4, Ledger!$B$2:$B$4, $A3, Ledger!$C$2:$C$4, JTG$2)),"****")</f>
        <v/>
      </c>
      <c r="JTH3" t="str">
        <f>IFERROR(IF($C3="","",SUMIFS(Ledger!$K$2:$K$4, Ledger!$B$2:$B$4, $A3, Ledger!$C$2:$C$4, JTH$2)),"****")</f>
        <v/>
      </c>
      <c r="JTI3" t="str">
        <f>IFERROR(IF($C3="","",SUMIFS(Ledger!$K$2:$K$4, Ledger!$B$2:$B$4, $A3, Ledger!$C$2:$C$4, JTI$2)),"****")</f>
        <v/>
      </c>
      <c r="JTJ3" t="str">
        <f>IFERROR(IF($C3="","",SUMIFS(Ledger!$K$2:$K$4, Ledger!$B$2:$B$4, $A3, Ledger!$C$2:$C$4, JTJ$2)),"****")</f>
        <v/>
      </c>
      <c r="JTK3" t="str">
        <f>IFERROR(IF($C3="","",SUMIFS(Ledger!$K$2:$K$4, Ledger!$B$2:$B$4, $A3, Ledger!$C$2:$C$4, JTK$2)),"****")</f>
        <v/>
      </c>
      <c r="JTL3" t="str">
        <f>IFERROR(IF($C3="","",SUMIFS(Ledger!$K$2:$K$4, Ledger!$B$2:$B$4, $A3, Ledger!$C$2:$C$4, JTL$2)),"****")</f>
        <v/>
      </c>
      <c r="JTM3" t="str">
        <f>IFERROR(IF($C3="","",SUMIFS(Ledger!$K$2:$K$4, Ledger!$B$2:$B$4, $A3, Ledger!$C$2:$C$4, JTM$2)),"****")</f>
        <v/>
      </c>
      <c r="JTN3" t="str">
        <f>IFERROR(IF($C3="","",SUMIFS(Ledger!$K$2:$K$4, Ledger!$B$2:$B$4, $A3, Ledger!$C$2:$C$4, JTN$2)),"****")</f>
        <v/>
      </c>
      <c r="JTO3" t="str">
        <f>IFERROR(IF($C3="","",SUMIFS(Ledger!$K$2:$K$4, Ledger!$B$2:$B$4, $A3, Ledger!$C$2:$C$4, JTO$2)),"****")</f>
        <v/>
      </c>
      <c r="JTP3" t="str">
        <f>IFERROR(IF($C3="","",SUMIFS(Ledger!$K$2:$K$4, Ledger!$B$2:$B$4, $A3, Ledger!$C$2:$C$4, JTP$2)),"****")</f>
        <v/>
      </c>
      <c r="JTQ3" t="str">
        <f>IFERROR(IF($C3="","",SUMIFS(Ledger!$K$2:$K$4, Ledger!$B$2:$B$4, $A3, Ledger!$C$2:$C$4, JTQ$2)),"****")</f>
        <v/>
      </c>
      <c r="JTR3" t="str">
        <f>IFERROR(IF($C3="","",SUMIFS(Ledger!$K$2:$K$4, Ledger!$B$2:$B$4, $A3, Ledger!$C$2:$C$4, JTR$2)),"****")</f>
        <v/>
      </c>
      <c r="JTS3" t="str">
        <f>IFERROR(IF($C3="","",SUMIFS(Ledger!$K$2:$K$4, Ledger!$B$2:$B$4, $A3, Ledger!$C$2:$C$4, JTS$2)),"****")</f>
        <v/>
      </c>
      <c r="JTT3" t="str">
        <f>IFERROR(IF($C3="","",SUMIFS(Ledger!$K$2:$K$4, Ledger!$B$2:$B$4, $A3, Ledger!$C$2:$C$4, JTT$2)),"****")</f>
        <v/>
      </c>
      <c r="JTU3" t="str">
        <f>IFERROR(IF($C3="","",SUMIFS(Ledger!$K$2:$K$4, Ledger!$B$2:$B$4, $A3, Ledger!$C$2:$C$4, JTU$2)),"****")</f>
        <v/>
      </c>
      <c r="JTV3" t="str">
        <f>IFERROR(IF($C3="","",SUMIFS(Ledger!$K$2:$K$4, Ledger!$B$2:$B$4, $A3, Ledger!$C$2:$C$4, JTV$2)),"****")</f>
        <v/>
      </c>
      <c r="JTW3" t="str">
        <f>IFERROR(IF($C3="","",SUMIFS(Ledger!$K$2:$K$4, Ledger!$B$2:$B$4, $A3, Ledger!$C$2:$C$4, JTW$2)),"****")</f>
        <v/>
      </c>
      <c r="JTX3" t="str">
        <f>IFERROR(IF($C3="","",SUMIFS(Ledger!$K$2:$K$4, Ledger!$B$2:$B$4, $A3, Ledger!$C$2:$C$4, JTX$2)),"****")</f>
        <v/>
      </c>
      <c r="JTY3" t="str">
        <f>IFERROR(IF($C3="","",SUMIFS(Ledger!$K$2:$K$4, Ledger!$B$2:$B$4, $A3, Ledger!$C$2:$C$4, JTY$2)),"****")</f>
        <v/>
      </c>
      <c r="JTZ3" t="str">
        <f>IFERROR(IF($C3="","",SUMIFS(Ledger!$K$2:$K$4, Ledger!$B$2:$B$4, $A3, Ledger!$C$2:$C$4, JTZ$2)),"****")</f>
        <v/>
      </c>
      <c r="JUA3" t="str">
        <f>IFERROR(IF($C3="","",SUMIFS(Ledger!$K$2:$K$4, Ledger!$B$2:$B$4, $A3, Ledger!$C$2:$C$4, JUA$2)),"****")</f>
        <v/>
      </c>
      <c r="JUB3" t="str">
        <f>IFERROR(IF($C3="","",SUMIFS(Ledger!$K$2:$K$4, Ledger!$B$2:$B$4, $A3, Ledger!$C$2:$C$4, JUB$2)),"****")</f>
        <v/>
      </c>
      <c r="JUC3" t="str">
        <f>IFERROR(IF($C3="","",SUMIFS(Ledger!$K$2:$K$4, Ledger!$B$2:$B$4, $A3, Ledger!$C$2:$C$4, JUC$2)),"****")</f>
        <v/>
      </c>
      <c r="JUD3" t="str">
        <f>IFERROR(IF($C3="","",SUMIFS(Ledger!$K$2:$K$4, Ledger!$B$2:$B$4, $A3, Ledger!$C$2:$C$4, JUD$2)),"****")</f>
        <v/>
      </c>
      <c r="JUE3" t="str">
        <f>IFERROR(IF($C3="","",SUMIFS(Ledger!$K$2:$K$4, Ledger!$B$2:$B$4, $A3, Ledger!$C$2:$C$4, JUE$2)),"****")</f>
        <v/>
      </c>
      <c r="JUF3" t="str">
        <f>IFERROR(IF($C3="","",SUMIFS(Ledger!$K$2:$K$4, Ledger!$B$2:$B$4, $A3, Ledger!$C$2:$C$4, JUF$2)),"****")</f>
        <v/>
      </c>
      <c r="JUG3" t="str">
        <f>IFERROR(IF($C3="","",SUMIFS(Ledger!$K$2:$K$4, Ledger!$B$2:$B$4, $A3, Ledger!$C$2:$C$4, JUG$2)),"****")</f>
        <v/>
      </c>
      <c r="JUH3" t="str">
        <f>IFERROR(IF($C3="","",SUMIFS(Ledger!$K$2:$K$4, Ledger!$B$2:$B$4, $A3, Ledger!$C$2:$C$4, JUH$2)),"****")</f>
        <v/>
      </c>
      <c r="JUI3" t="str">
        <f>IFERROR(IF($C3="","",SUMIFS(Ledger!$K$2:$K$4, Ledger!$B$2:$B$4, $A3, Ledger!$C$2:$C$4, JUI$2)),"****")</f>
        <v/>
      </c>
      <c r="JUJ3" t="str">
        <f>IFERROR(IF($C3="","",SUMIFS(Ledger!$K$2:$K$4, Ledger!$B$2:$B$4, $A3, Ledger!$C$2:$C$4, JUJ$2)),"****")</f>
        <v/>
      </c>
      <c r="JUK3" t="str">
        <f>IFERROR(IF($C3="","",SUMIFS(Ledger!$K$2:$K$4, Ledger!$B$2:$B$4, $A3, Ledger!$C$2:$C$4, JUK$2)),"****")</f>
        <v/>
      </c>
      <c r="JUL3" t="str">
        <f>IFERROR(IF($C3="","",SUMIFS(Ledger!$K$2:$K$4, Ledger!$B$2:$B$4, $A3, Ledger!$C$2:$C$4, JUL$2)),"****")</f>
        <v/>
      </c>
      <c r="JUM3" t="str">
        <f>IFERROR(IF($C3="","",SUMIFS(Ledger!$K$2:$K$4, Ledger!$B$2:$B$4, $A3, Ledger!$C$2:$C$4, JUM$2)),"****")</f>
        <v/>
      </c>
      <c r="JUN3" t="str">
        <f>IFERROR(IF($C3="","",SUMIFS(Ledger!$K$2:$K$4, Ledger!$B$2:$B$4, $A3, Ledger!$C$2:$C$4, JUN$2)),"****")</f>
        <v/>
      </c>
      <c r="JUO3" t="str">
        <f>IFERROR(IF($C3="","",SUMIFS(Ledger!$K$2:$K$4, Ledger!$B$2:$B$4, $A3, Ledger!$C$2:$C$4, JUO$2)),"****")</f>
        <v/>
      </c>
      <c r="JUP3" t="str">
        <f>IFERROR(IF($C3="","",SUMIFS(Ledger!$K$2:$K$4, Ledger!$B$2:$B$4, $A3, Ledger!$C$2:$C$4, JUP$2)),"****")</f>
        <v/>
      </c>
      <c r="JUQ3" t="str">
        <f>IFERROR(IF($C3="","",SUMIFS(Ledger!$K$2:$K$4, Ledger!$B$2:$B$4, $A3, Ledger!$C$2:$C$4, JUQ$2)),"****")</f>
        <v/>
      </c>
      <c r="JUR3" t="str">
        <f>IFERROR(IF($C3="","",SUMIFS(Ledger!$K$2:$K$4, Ledger!$B$2:$B$4, $A3, Ledger!$C$2:$C$4, JUR$2)),"****")</f>
        <v/>
      </c>
      <c r="JUS3" t="str">
        <f>IFERROR(IF($C3="","",SUMIFS(Ledger!$K$2:$K$4, Ledger!$B$2:$B$4, $A3, Ledger!$C$2:$C$4, JUS$2)),"****")</f>
        <v/>
      </c>
      <c r="JUT3" t="str">
        <f>IFERROR(IF($C3="","",SUMIFS(Ledger!$K$2:$K$4, Ledger!$B$2:$B$4, $A3, Ledger!$C$2:$C$4, JUT$2)),"****")</f>
        <v/>
      </c>
      <c r="JUU3" t="str">
        <f>IFERROR(IF($C3="","",SUMIFS(Ledger!$K$2:$K$4, Ledger!$B$2:$B$4, $A3, Ledger!$C$2:$C$4, JUU$2)),"****")</f>
        <v/>
      </c>
      <c r="JUV3" t="str">
        <f>IFERROR(IF($C3="","",SUMIFS(Ledger!$K$2:$K$4, Ledger!$B$2:$B$4, $A3, Ledger!$C$2:$C$4, JUV$2)),"****")</f>
        <v/>
      </c>
      <c r="JUW3" t="str">
        <f>IFERROR(IF($C3="","",SUMIFS(Ledger!$K$2:$K$4, Ledger!$B$2:$B$4, $A3, Ledger!$C$2:$C$4, JUW$2)),"****")</f>
        <v/>
      </c>
      <c r="JUX3" t="str">
        <f>IFERROR(IF($C3="","",SUMIFS(Ledger!$K$2:$K$4, Ledger!$B$2:$B$4, $A3, Ledger!$C$2:$C$4, JUX$2)),"****")</f>
        <v/>
      </c>
      <c r="JUY3" t="str">
        <f>IFERROR(IF($C3="","",SUMIFS(Ledger!$K$2:$K$4, Ledger!$B$2:$B$4, $A3, Ledger!$C$2:$C$4, JUY$2)),"****")</f>
        <v/>
      </c>
      <c r="JUZ3" t="str">
        <f>IFERROR(IF($C3="","",SUMIFS(Ledger!$K$2:$K$4, Ledger!$B$2:$B$4, $A3, Ledger!$C$2:$C$4, JUZ$2)),"****")</f>
        <v/>
      </c>
      <c r="JVA3" t="str">
        <f>IFERROR(IF($C3="","",SUMIFS(Ledger!$K$2:$K$4, Ledger!$B$2:$B$4, $A3, Ledger!$C$2:$C$4, JVA$2)),"****")</f>
        <v/>
      </c>
      <c r="JVB3" t="str">
        <f>IFERROR(IF($C3="","",SUMIFS(Ledger!$K$2:$K$4, Ledger!$B$2:$B$4, $A3, Ledger!$C$2:$C$4, JVB$2)),"****")</f>
        <v/>
      </c>
      <c r="JVC3" t="str">
        <f>IFERROR(IF($C3="","",SUMIFS(Ledger!$K$2:$K$4, Ledger!$B$2:$B$4, $A3, Ledger!$C$2:$C$4, JVC$2)),"****")</f>
        <v/>
      </c>
      <c r="JVD3" t="str">
        <f>IFERROR(IF($C3="","",SUMIFS(Ledger!$K$2:$K$4, Ledger!$B$2:$B$4, $A3, Ledger!$C$2:$C$4, JVD$2)),"****")</f>
        <v/>
      </c>
      <c r="JVE3" t="str">
        <f>IFERROR(IF($C3="","",SUMIFS(Ledger!$K$2:$K$4, Ledger!$B$2:$B$4, $A3, Ledger!$C$2:$C$4, JVE$2)),"****")</f>
        <v/>
      </c>
      <c r="JVF3" t="str">
        <f>IFERROR(IF($C3="","",SUMIFS(Ledger!$K$2:$K$4, Ledger!$B$2:$B$4, $A3, Ledger!$C$2:$C$4, JVF$2)),"****")</f>
        <v/>
      </c>
      <c r="JVG3" t="str">
        <f>IFERROR(IF($C3="","",SUMIFS(Ledger!$K$2:$K$4, Ledger!$B$2:$B$4, $A3, Ledger!$C$2:$C$4, JVG$2)),"****")</f>
        <v/>
      </c>
      <c r="JVH3" t="str">
        <f>IFERROR(IF($C3="","",SUMIFS(Ledger!$K$2:$K$4, Ledger!$B$2:$B$4, $A3, Ledger!$C$2:$C$4, JVH$2)),"****")</f>
        <v/>
      </c>
      <c r="JVI3" t="str">
        <f>IFERROR(IF($C3="","",SUMIFS(Ledger!$K$2:$K$4, Ledger!$B$2:$B$4, $A3, Ledger!$C$2:$C$4, JVI$2)),"****")</f>
        <v/>
      </c>
      <c r="JVJ3" t="str">
        <f>IFERROR(IF($C3="","",SUMIFS(Ledger!$K$2:$K$4, Ledger!$B$2:$B$4, $A3, Ledger!$C$2:$C$4, JVJ$2)),"****")</f>
        <v/>
      </c>
      <c r="JVK3" t="str">
        <f>IFERROR(IF($C3="","",SUMIFS(Ledger!$K$2:$K$4, Ledger!$B$2:$B$4, $A3, Ledger!$C$2:$C$4, JVK$2)),"****")</f>
        <v/>
      </c>
      <c r="JVL3" t="str">
        <f>IFERROR(IF($C3="","",SUMIFS(Ledger!$K$2:$K$4, Ledger!$B$2:$B$4, $A3, Ledger!$C$2:$C$4, JVL$2)),"****")</f>
        <v/>
      </c>
      <c r="JVM3" t="str">
        <f>IFERROR(IF($C3="","",SUMIFS(Ledger!$K$2:$K$4, Ledger!$B$2:$B$4, $A3, Ledger!$C$2:$C$4, JVM$2)),"****")</f>
        <v/>
      </c>
      <c r="JVN3" t="str">
        <f>IFERROR(IF($C3="","",SUMIFS(Ledger!$K$2:$K$4, Ledger!$B$2:$B$4, $A3, Ledger!$C$2:$C$4, JVN$2)),"****")</f>
        <v/>
      </c>
      <c r="JVO3" t="str">
        <f>IFERROR(IF($C3="","",SUMIFS(Ledger!$K$2:$K$4, Ledger!$B$2:$B$4, $A3, Ledger!$C$2:$C$4, JVO$2)),"****")</f>
        <v/>
      </c>
      <c r="JVP3" t="str">
        <f>IFERROR(IF($C3="","",SUMIFS(Ledger!$K$2:$K$4, Ledger!$B$2:$B$4, $A3, Ledger!$C$2:$C$4, JVP$2)),"****")</f>
        <v/>
      </c>
      <c r="JVQ3" t="str">
        <f>IFERROR(IF($C3="","",SUMIFS(Ledger!$K$2:$K$4, Ledger!$B$2:$B$4, $A3, Ledger!$C$2:$C$4, JVQ$2)),"****")</f>
        <v/>
      </c>
      <c r="JVR3" t="str">
        <f>IFERROR(IF($C3="","",SUMIFS(Ledger!$K$2:$K$4, Ledger!$B$2:$B$4, $A3, Ledger!$C$2:$C$4, JVR$2)),"****")</f>
        <v/>
      </c>
      <c r="JVS3" t="str">
        <f>IFERROR(IF($C3="","",SUMIFS(Ledger!$K$2:$K$4, Ledger!$B$2:$B$4, $A3, Ledger!$C$2:$C$4, JVS$2)),"****")</f>
        <v/>
      </c>
      <c r="JVT3" t="str">
        <f>IFERROR(IF($C3="","",SUMIFS(Ledger!$K$2:$K$4, Ledger!$B$2:$B$4, $A3, Ledger!$C$2:$C$4, JVT$2)),"****")</f>
        <v/>
      </c>
      <c r="JVU3" t="str">
        <f>IFERROR(IF($C3="","",SUMIFS(Ledger!$K$2:$K$4, Ledger!$B$2:$B$4, $A3, Ledger!$C$2:$C$4, JVU$2)),"****")</f>
        <v/>
      </c>
      <c r="JVV3" t="str">
        <f>IFERROR(IF($C3="","",SUMIFS(Ledger!$K$2:$K$4, Ledger!$B$2:$B$4, $A3, Ledger!$C$2:$C$4, JVV$2)),"****")</f>
        <v/>
      </c>
      <c r="JVW3" t="str">
        <f>IFERROR(IF($C3="","",SUMIFS(Ledger!$K$2:$K$4, Ledger!$B$2:$B$4, $A3, Ledger!$C$2:$C$4, JVW$2)),"****")</f>
        <v/>
      </c>
      <c r="JVX3" t="str">
        <f>IFERROR(IF($C3="","",SUMIFS(Ledger!$K$2:$K$4, Ledger!$B$2:$B$4, $A3, Ledger!$C$2:$C$4, JVX$2)),"****")</f>
        <v/>
      </c>
      <c r="JVY3" t="str">
        <f>IFERROR(IF($C3="","",SUMIFS(Ledger!$K$2:$K$4, Ledger!$B$2:$B$4, $A3, Ledger!$C$2:$C$4, JVY$2)),"****")</f>
        <v/>
      </c>
      <c r="JVZ3" t="str">
        <f>IFERROR(IF($C3="","",SUMIFS(Ledger!$K$2:$K$4, Ledger!$B$2:$B$4, $A3, Ledger!$C$2:$C$4, JVZ$2)),"****")</f>
        <v/>
      </c>
      <c r="JWA3" t="str">
        <f>IFERROR(IF($C3="","",SUMIFS(Ledger!$K$2:$K$4, Ledger!$B$2:$B$4, $A3, Ledger!$C$2:$C$4, JWA$2)),"****")</f>
        <v/>
      </c>
      <c r="JWB3" t="str">
        <f>IFERROR(IF($C3="","",SUMIFS(Ledger!$K$2:$K$4, Ledger!$B$2:$B$4, $A3, Ledger!$C$2:$C$4, JWB$2)),"****")</f>
        <v/>
      </c>
      <c r="JWC3" t="str">
        <f>IFERROR(IF($C3="","",SUMIFS(Ledger!$K$2:$K$4, Ledger!$B$2:$B$4, $A3, Ledger!$C$2:$C$4, JWC$2)),"****")</f>
        <v/>
      </c>
      <c r="JWD3" t="str">
        <f>IFERROR(IF($C3="","",SUMIFS(Ledger!$K$2:$K$4, Ledger!$B$2:$B$4, $A3, Ledger!$C$2:$C$4, JWD$2)),"****")</f>
        <v/>
      </c>
      <c r="JWE3" t="str">
        <f>IFERROR(IF($C3="","",SUMIFS(Ledger!$K$2:$K$4, Ledger!$B$2:$B$4, $A3, Ledger!$C$2:$C$4, JWE$2)),"****")</f>
        <v/>
      </c>
      <c r="JWF3" t="str">
        <f>IFERROR(IF($C3="","",SUMIFS(Ledger!$K$2:$K$4, Ledger!$B$2:$B$4, $A3, Ledger!$C$2:$C$4, JWF$2)),"****")</f>
        <v/>
      </c>
      <c r="JWG3" t="str">
        <f>IFERROR(IF($C3="","",SUMIFS(Ledger!$K$2:$K$4, Ledger!$B$2:$B$4, $A3, Ledger!$C$2:$C$4, JWG$2)),"****")</f>
        <v/>
      </c>
      <c r="JWH3" t="str">
        <f>IFERROR(IF($C3="","",SUMIFS(Ledger!$K$2:$K$4, Ledger!$B$2:$B$4, $A3, Ledger!$C$2:$C$4, JWH$2)),"****")</f>
        <v/>
      </c>
      <c r="JWI3" t="str">
        <f>IFERROR(IF($C3="","",SUMIFS(Ledger!$K$2:$K$4, Ledger!$B$2:$B$4, $A3, Ledger!$C$2:$C$4, JWI$2)),"****")</f>
        <v/>
      </c>
      <c r="JWJ3" t="str">
        <f>IFERROR(IF($C3="","",SUMIFS(Ledger!$K$2:$K$4, Ledger!$B$2:$B$4, $A3, Ledger!$C$2:$C$4, JWJ$2)),"****")</f>
        <v/>
      </c>
      <c r="JWK3" t="str">
        <f>IFERROR(IF($C3="","",SUMIFS(Ledger!$K$2:$K$4, Ledger!$B$2:$B$4, $A3, Ledger!$C$2:$C$4, JWK$2)),"****")</f>
        <v/>
      </c>
      <c r="JWL3" t="str">
        <f>IFERROR(IF($C3="","",SUMIFS(Ledger!$K$2:$K$4, Ledger!$B$2:$B$4, $A3, Ledger!$C$2:$C$4, JWL$2)),"****")</f>
        <v/>
      </c>
      <c r="JWM3" t="str">
        <f>IFERROR(IF($C3="","",SUMIFS(Ledger!$K$2:$K$4, Ledger!$B$2:$B$4, $A3, Ledger!$C$2:$C$4, JWM$2)),"****")</f>
        <v/>
      </c>
      <c r="JWN3" t="str">
        <f>IFERROR(IF($C3="","",SUMIFS(Ledger!$K$2:$K$4, Ledger!$B$2:$B$4, $A3, Ledger!$C$2:$C$4, JWN$2)),"****")</f>
        <v/>
      </c>
      <c r="JWO3" t="str">
        <f>IFERROR(IF($C3="","",SUMIFS(Ledger!$K$2:$K$4, Ledger!$B$2:$B$4, $A3, Ledger!$C$2:$C$4, JWO$2)),"****")</f>
        <v/>
      </c>
      <c r="JWP3" t="str">
        <f>IFERROR(IF($C3="","",SUMIFS(Ledger!$K$2:$K$4, Ledger!$B$2:$B$4, $A3, Ledger!$C$2:$C$4, JWP$2)),"****")</f>
        <v/>
      </c>
      <c r="JWQ3" t="str">
        <f>IFERROR(IF($C3="","",SUMIFS(Ledger!$K$2:$K$4, Ledger!$B$2:$B$4, $A3, Ledger!$C$2:$C$4, JWQ$2)),"****")</f>
        <v/>
      </c>
      <c r="JWR3" t="str">
        <f>IFERROR(IF($C3="","",SUMIFS(Ledger!$K$2:$K$4, Ledger!$B$2:$B$4, $A3, Ledger!$C$2:$C$4, JWR$2)),"****")</f>
        <v/>
      </c>
      <c r="JWS3" t="str">
        <f>IFERROR(IF($C3="","",SUMIFS(Ledger!$K$2:$K$4, Ledger!$B$2:$B$4, $A3, Ledger!$C$2:$C$4, JWS$2)),"****")</f>
        <v/>
      </c>
      <c r="JWT3" t="str">
        <f>IFERROR(IF($C3="","",SUMIFS(Ledger!$K$2:$K$4, Ledger!$B$2:$B$4, $A3, Ledger!$C$2:$C$4, JWT$2)),"****")</f>
        <v/>
      </c>
      <c r="JWU3" t="str">
        <f>IFERROR(IF($C3="","",SUMIFS(Ledger!$K$2:$K$4, Ledger!$B$2:$B$4, $A3, Ledger!$C$2:$C$4, JWU$2)),"****")</f>
        <v/>
      </c>
      <c r="JWV3" t="str">
        <f>IFERROR(IF($C3="","",SUMIFS(Ledger!$K$2:$K$4, Ledger!$B$2:$B$4, $A3, Ledger!$C$2:$C$4, JWV$2)),"****")</f>
        <v/>
      </c>
      <c r="JWW3" t="str">
        <f>IFERROR(IF($C3="","",SUMIFS(Ledger!$K$2:$K$4, Ledger!$B$2:$B$4, $A3, Ledger!$C$2:$C$4, JWW$2)),"****")</f>
        <v/>
      </c>
      <c r="JWX3" t="str">
        <f>IFERROR(IF($C3="","",SUMIFS(Ledger!$K$2:$K$4, Ledger!$B$2:$B$4, $A3, Ledger!$C$2:$C$4, JWX$2)),"****")</f>
        <v/>
      </c>
      <c r="JWY3" t="str">
        <f>IFERROR(IF($C3="","",SUMIFS(Ledger!$K$2:$K$4, Ledger!$B$2:$B$4, $A3, Ledger!$C$2:$C$4, JWY$2)),"****")</f>
        <v/>
      </c>
      <c r="JWZ3" t="str">
        <f>IFERROR(IF($C3="","",SUMIFS(Ledger!$K$2:$K$4, Ledger!$B$2:$B$4, $A3, Ledger!$C$2:$C$4, JWZ$2)),"****")</f>
        <v/>
      </c>
      <c r="JXA3" t="str">
        <f>IFERROR(IF($C3="","",SUMIFS(Ledger!$K$2:$K$4, Ledger!$B$2:$B$4, $A3, Ledger!$C$2:$C$4, JXA$2)),"****")</f>
        <v/>
      </c>
      <c r="JXB3" t="str">
        <f>IFERROR(IF($C3="","",SUMIFS(Ledger!$K$2:$K$4, Ledger!$B$2:$B$4, $A3, Ledger!$C$2:$C$4, JXB$2)),"****")</f>
        <v/>
      </c>
      <c r="JXC3" t="str">
        <f>IFERROR(IF($C3="","",SUMIFS(Ledger!$K$2:$K$4, Ledger!$B$2:$B$4, $A3, Ledger!$C$2:$C$4, JXC$2)),"****")</f>
        <v/>
      </c>
      <c r="JXD3" t="str">
        <f>IFERROR(IF($C3="","",SUMIFS(Ledger!$K$2:$K$4, Ledger!$B$2:$B$4, $A3, Ledger!$C$2:$C$4, JXD$2)),"****")</f>
        <v/>
      </c>
      <c r="JXE3" t="str">
        <f>IFERROR(IF($C3="","",SUMIFS(Ledger!$K$2:$K$4, Ledger!$B$2:$B$4, $A3, Ledger!$C$2:$C$4, JXE$2)),"****")</f>
        <v/>
      </c>
      <c r="JXF3" t="str">
        <f>IFERROR(IF($C3="","",SUMIFS(Ledger!$K$2:$K$4, Ledger!$B$2:$B$4, $A3, Ledger!$C$2:$C$4, JXF$2)),"****")</f>
        <v/>
      </c>
      <c r="JXG3" t="str">
        <f>IFERROR(IF($C3="","",SUMIFS(Ledger!$K$2:$K$4, Ledger!$B$2:$B$4, $A3, Ledger!$C$2:$C$4, JXG$2)),"****")</f>
        <v/>
      </c>
      <c r="JXH3" t="str">
        <f>IFERROR(IF($C3="","",SUMIFS(Ledger!$K$2:$K$4, Ledger!$B$2:$B$4, $A3, Ledger!$C$2:$C$4, JXH$2)),"****")</f>
        <v/>
      </c>
      <c r="JXI3" t="str">
        <f>IFERROR(IF($C3="","",SUMIFS(Ledger!$K$2:$K$4, Ledger!$B$2:$B$4, $A3, Ledger!$C$2:$C$4, JXI$2)),"****")</f>
        <v/>
      </c>
      <c r="JXJ3" t="str">
        <f>IFERROR(IF($C3="","",SUMIFS(Ledger!$K$2:$K$4, Ledger!$B$2:$B$4, $A3, Ledger!$C$2:$C$4, JXJ$2)),"****")</f>
        <v/>
      </c>
      <c r="JXK3" t="str">
        <f>IFERROR(IF($C3="","",SUMIFS(Ledger!$K$2:$K$4, Ledger!$B$2:$B$4, $A3, Ledger!$C$2:$C$4, JXK$2)),"****")</f>
        <v/>
      </c>
      <c r="JXL3" t="str">
        <f>IFERROR(IF($C3="","",SUMIFS(Ledger!$K$2:$K$4, Ledger!$B$2:$B$4, $A3, Ledger!$C$2:$C$4, JXL$2)),"****")</f>
        <v/>
      </c>
      <c r="JXM3" t="str">
        <f>IFERROR(IF($C3="","",SUMIFS(Ledger!$K$2:$K$4, Ledger!$B$2:$B$4, $A3, Ledger!$C$2:$C$4, JXM$2)),"****")</f>
        <v/>
      </c>
      <c r="JXN3" t="str">
        <f>IFERROR(IF($C3="","",SUMIFS(Ledger!$K$2:$K$4, Ledger!$B$2:$B$4, $A3, Ledger!$C$2:$C$4, JXN$2)),"****")</f>
        <v/>
      </c>
      <c r="JXO3" t="str">
        <f>IFERROR(IF($C3="","",SUMIFS(Ledger!$K$2:$K$4, Ledger!$B$2:$B$4, $A3, Ledger!$C$2:$C$4, JXO$2)),"****")</f>
        <v/>
      </c>
      <c r="JXP3" t="str">
        <f>IFERROR(IF($C3="","",SUMIFS(Ledger!$K$2:$K$4, Ledger!$B$2:$B$4, $A3, Ledger!$C$2:$C$4, JXP$2)),"****")</f>
        <v/>
      </c>
      <c r="JXQ3" t="str">
        <f>IFERROR(IF($C3="","",SUMIFS(Ledger!$K$2:$K$4, Ledger!$B$2:$B$4, $A3, Ledger!$C$2:$C$4, JXQ$2)),"****")</f>
        <v/>
      </c>
      <c r="JXR3" t="str">
        <f>IFERROR(IF($C3="","",SUMIFS(Ledger!$K$2:$K$4, Ledger!$B$2:$B$4, $A3, Ledger!$C$2:$C$4, JXR$2)),"****")</f>
        <v/>
      </c>
      <c r="JXS3" t="str">
        <f>IFERROR(IF($C3="","",SUMIFS(Ledger!$K$2:$K$4, Ledger!$B$2:$B$4, $A3, Ledger!$C$2:$C$4, JXS$2)),"****")</f>
        <v/>
      </c>
      <c r="JXT3" t="str">
        <f>IFERROR(IF($C3="","",SUMIFS(Ledger!$K$2:$K$4, Ledger!$B$2:$B$4, $A3, Ledger!$C$2:$C$4, JXT$2)),"****")</f>
        <v/>
      </c>
      <c r="JXU3" t="str">
        <f>IFERROR(IF($C3="","",SUMIFS(Ledger!$K$2:$K$4, Ledger!$B$2:$B$4, $A3, Ledger!$C$2:$C$4, JXU$2)),"****")</f>
        <v/>
      </c>
      <c r="JXV3" t="str">
        <f>IFERROR(IF($C3="","",SUMIFS(Ledger!$K$2:$K$4, Ledger!$B$2:$B$4, $A3, Ledger!$C$2:$C$4, JXV$2)),"****")</f>
        <v/>
      </c>
      <c r="JXW3" t="str">
        <f>IFERROR(IF($C3="","",SUMIFS(Ledger!$K$2:$K$4, Ledger!$B$2:$B$4, $A3, Ledger!$C$2:$C$4, JXW$2)),"****")</f>
        <v/>
      </c>
      <c r="JXX3" t="str">
        <f>IFERROR(IF($C3="","",SUMIFS(Ledger!$K$2:$K$4, Ledger!$B$2:$B$4, $A3, Ledger!$C$2:$C$4, JXX$2)),"****")</f>
        <v/>
      </c>
      <c r="JXY3" t="str">
        <f>IFERROR(IF($C3="","",SUMIFS(Ledger!$K$2:$K$4, Ledger!$B$2:$B$4, $A3, Ledger!$C$2:$C$4, JXY$2)),"****")</f>
        <v/>
      </c>
      <c r="JXZ3" t="str">
        <f>IFERROR(IF($C3="","",SUMIFS(Ledger!$K$2:$K$4, Ledger!$B$2:$B$4, $A3, Ledger!$C$2:$C$4, JXZ$2)),"****")</f>
        <v/>
      </c>
      <c r="JYA3" t="str">
        <f>IFERROR(IF($C3="","",SUMIFS(Ledger!$K$2:$K$4, Ledger!$B$2:$B$4, $A3, Ledger!$C$2:$C$4, JYA$2)),"****")</f>
        <v/>
      </c>
      <c r="JYB3" t="str">
        <f>IFERROR(IF($C3="","",SUMIFS(Ledger!$K$2:$K$4, Ledger!$B$2:$B$4, $A3, Ledger!$C$2:$C$4, JYB$2)),"****")</f>
        <v/>
      </c>
      <c r="JYC3" t="str">
        <f>IFERROR(IF($C3="","",SUMIFS(Ledger!$K$2:$K$4, Ledger!$B$2:$B$4, $A3, Ledger!$C$2:$C$4, JYC$2)),"****")</f>
        <v/>
      </c>
      <c r="JYD3" t="str">
        <f>IFERROR(IF($C3="","",SUMIFS(Ledger!$K$2:$K$4, Ledger!$B$2:$B$4, $A3, Ledger!$C$2:$C$4, JYD$2)),"****")</f>
        <v/>
      </c>
      <c r="JYE3" t="str">
        <f>IFERROR(IF($C3="","",SUMIFS(Ledger!$K$2:$K$4, Ledger!$B$2:$B$4, $A3, Ledger!$C$2:$C$4, JYE$2)),"****")</f>
        <v/>
      </c>
      <c r="JYF3" t="str">
        <f>IFERROR(IF($C3="","",SUMIFS(Ledger!$K$2:$K$4, Ledger!$B$2:$B$4, $A3, Ledger!$C$2:$C$4, JYF$2)),"****")</f>
        <v/>
      </c>
      <c r="JYG3" t="str">
        <f>IFERROR(IF($C3="","",SUMIFS(Ledger!$K$2:$K$4, Ledger!$B$2:$B$4, $A3, Ledger!$C$2:$C$4, JYG$2)),"****")</f>
        <v/>
      </c>
      <c r="JYH3" t="str">
        <f>IFERROR(IF($C3="","",SUMIFS(Ledger!$K$2:$K$4, Ledger!$B$2:$B$4, $A3, Ledger!$C$2:$C$4, JYH$2)),"****")</f>
        <v/>
      </c>
      <c r="JYI3" t="str">
        <f>IFERROR(IF($C3="","",SUMIFS(Ledger!$K$2:$K$4, Ledger!$B$2:$B$4, $A3, Ledger!$C$2:$C$4, JYI$2)),"****")</f>
        <v/>
      </c>
      <c r="JYJ3" t="str">
        <f>IFERROR(IF($C3="","",SUMIFS(Ledger!$K$2:$K$4, Ledger!$B$2:$B$4, $A3, Ledger!$C$2:$C$4, JYJ$2)),"****")</f>
        <v/>
      </c>
      <c r="JYK3" t="str">
        <f>IFERROR(IF($C3="","",SUMIFS(Ledger!$K$2:$K$4, Ledger!$B$2:$B$4, $A3, Ledger!$C$2:$C$4, JYK$2)),"****")</f>
        <v/>
      </c>
      <c r="JYL3" t="str">
        <f>IFERROR(IF($C3="","",SUMIFS(Ledger!$K$2:$K$4, Ledger!$B$2:$B$4, $A3, Ledger!$C$2:$C$4, JYL$2)),"****")</f>
        <v/>
      </c>
      <c r="JYM3" t="str">
        <f>IFERROR(IF($C3="","",SUMIFS(Ledger!$K$2:$K$4, Ledger!$B$2:$B$4, $A3, Ledger!$C$2:$C$4, JYM$2)),"****")</f>
        <v/>
      </c>
      <c r="JYN3" t="str">
        <f>IFERROR(IF($C3="","",SUMIFS(Ledger!$K$2:$K$4, Ledger!$B$2:$B$4, $A3, Ledger!$C$2:$C$4, JYN$2)),"****")</f>
        <v/>
      </c>
      <c r="JYO3" t="str">
        <f>IFERROR(IF($C3="","",SUMIFS(Ledger!$K$2:$K$4, Ledger!$B$2:$B$4, $A3, Ledger!$C$2:$C$4, JYO$2)),"****")</f>
        <v/>
      </c>
      <c r="JYP3" t="str">
        <f>IFERROR(IF($C3="","",SUMIFS(Ledger!$K$2:$K$4, Ledger!$B$2:$B$4, $A3, Ledger!$C$2:$C$4, JYP$2)),"****")</f>
        <v/>
      </c>
      <c r="JYQ3" t="str">
        <f>IFERROR(IF($C3="","",SUMIFS(Ledger!$K$2:$K$4, Ledger!$B$2:$B$4, $A3, Ledger!$C$2:$C$4, JYQ$2)),"****")</f>
        <v/>
      </c>
      <c r="JYR3" t="str">
        <f>IFERROR(IF($C3="","",SUMIFS(Ledger!$K$2:$K$4, Ledger!$B$2:$B$4, $A3, Ledger!$C$2:$C$4, JYR$2)),"****")</f>
        <v/>
      </c>
      <c r="JYS3" t="str">
        <f>IFERROR(IF($C3="","",SUMIFS(Ledger!$K$2:$K$4, Ledger!$B$2:$B$4, $A3, Ledger!$C$2:$C$4, JYS$2)),"****")</f>
        <v/>
      </c>
      <c r="JYT3" t="str">
        <f>IFERROR(IF($C3="","",SUMIFS(Ledger!$K$2:$K$4, Ledger!$B$2:$B$4, $A3, Ledger!$C$2:$C$4, JYT$2)),"****")</f>
        <v/>
      </c>
      <c r="JYU3" t="str">
        <f>IFERROR(IF($C3="","",SUMIFS(Ledger!$K$2:$K$4, Ledger!$B$2:$B$4, $A3, Ledger!$C$2:$C$4, JYU$2)),"****")</f>
        <v/>
      </c>
      <c r="JYV3" t="str">
        <f>IFERROR(IF($C3="","",SUMIFS(Ledger!$K$2:$K$4, Ledger!$B$2:$B$4, $A3, Ledger!$C$2:$C$4, JYV$2)),"****")</f>
        <v/>
      </c>
      <c r="JYW3" t="str">
        <f>IFERROR(IF($C3="","",SUMIFS(Ledger!$K$2:$K$4, Ledger!$B$2:$B$4, $A3, Ledger!$C$2:$C$4, JYW$2)),"****")</f>
        <v/>
      </c>
      <c r="JYX3" t="str">
        <f>IFERROR(IF($C3="","",SUMIFS(Ledger!$K$2:$K$4, Ledger!$B$2:$B$4, $A3, Ledger!$C$2:$C$4, JYX$2)),"****")</f>
        <v/>
      </c>
      <c r="JYY3" t="str">
        <f>IFERROR(IF($C3="","",SUMIFS(Ledger!$K$2:$K$4, Ledger!$B$2:$B$4, $A3, Ledger!$C$2:$C$4, JYY$2)),"****")</f>
        <v/>
      </c>
      <c r="JYZ3" t="str">
        <f>IFERROR(IF($C3="","",SUMIFS(Ledger!$K$2:$K$4, Ledger!$B$2:$B$4, $A3, Ledger!$C$2:$C$4, JYZ$2)),"****")</f>
        <v/>
      </c>
      <c r="JZA3" t="str">
        <f>IFERROR(IF($C3="","",SUMIFS(Ledger!$K$2:$K$4, Ledger!$B$2:$B$4, $A3, Ledger!$C$2:$C$4, JZA$2)),"****")</f>
        <v/>
      </c>
      <c r="JZB3" t="str">
        <f>IFERROR(IF($C3="","",SUMIFS(Ledger!$K$2:$K$4, Ledger!$B$2:$B$4, $A3, Ledger!$C$2:$C$4, JZB$2)),"****")</f>
        <v/>
      </c>
      <c r="JZC3" t="str">
        <f>IFERROR(IF($C3="","",SUMIFS(Ledger!$K$2:$K$4, Ledger!$B$2:$B$4, $A3, Ledger!$C$2:$C$4, JZC$2)),"****")</f>
        <v/>
      </c>
      <c r="JZD3" t="str">
        <f>IFERROR(IF($C3="","",SUMIFS(Ledger!$K$2:$K$4, Ledger!$B$2:$B$4, $A3, Ledger!$C$2:$C$4, JZD$2)),"****")</f>
        <v/>
      </c>
      <c r="JZE3" t="str">
        <f>IFERROR(IF($C3="","",SUMIFS(Ledger!$K$2:$K$4, Ledger!$B$2:$B$4, $A3, Ledger!$C$2:$C$4, JZE$2)),"****")</f>
        <v/>
      </c>
      <c r="JZF3" t="str">
        <f>IFERROR(IF($C3="","",SUMIFS(Ledger!$K$2:$K$4, Ledger!$B$2:$B$4, $A3, Ledger!$C$2:$C$4, JZF$2)),"****")</f>
        <v/>
      </c>
      <c r="JZG3" t="str">
        <f>IFERROR(IF($C3="","",SUMIFS(Ledger!$K$2:$K$4, Ledger!$B$2:$B$4, $A3, Ledger!$C$2:$C$4, JZG$2)),"****")</f>
        <v/>
      </c>
      <c r="JZH3" t="str">
        <f>IFERROR(IF($C3="","",SUMIFS(Ledger!$K$2:$K$4, Ledger!$B$2:$B$4, $A3, Ledger!$C$2:$C$4, JZH$2)),"****")</f>
        <v/>
      </c>
      <c r="JZI3" t="str">
        <f>IFERROR(IF($C3="","",SUMIFS(Ledger!$K$2:$K$4, Ledger!$B$2:$B$4, $A3, Ledger!$C$2:$C$4, JZI$2)),"****")</f>
        <v/>
      </c>
      <c r="JZJ3" t="str">
        <f>IFERROR(IF($C3="","",SUMIFS(Ledger!$K$2:$K$4, Ledger!$B$2:$B$4, $A3, Ledger!$C$2:$C$4, JZJ$2)),"****")</f>
        <v/>
      </c>
      <c r="JZK3" t="str">
        <f>IFERROR(IF($C3="","",SUMIFS(Ledger!$K$2:$K$4, Ledger!$B$2:$B$4, $A3, Ledger!$C$2:$C$4, JZK$2)),"****")</f>
        <v/>
      </c>
      <c r="JZL3" t="str">
        <f>IFERROR(IF($C3="","",SUMIFS(Ledger!$K$2:$K$4, Ledger!$B$2:$B$4, $A3, Ledger!$C$2:$C$4, JZL$2)),"****")</f>
        <v/>
      </c>
      <c r="JZM3" t="str">
        <f>IFERROR(IF($C3="","",SUMIFS(Ledger!$K$2:$K$4, Ledger!$B$2:$B$4, $A3, Ledger!$C$2:$C$4, JZM$2)),"****")</f>
        <v/>
      </c>
      <c r="JZN3" t="str">
        <f>IFERROR(IF($C3="","",SUMIFS(Ledger!$K$2:$K$4, Ledger!$B$2:$B$4, $A3, Ledger!$C$2:$C$4, JZN$2)),"****")</f>
        <v/>
      </c>
      <c r="JZO3" t="str">
        <f>IFERROR(IF($C3="","",SUMIFS(Ledger!$K$2:$K$4, Ledger!$B$2:$B$4, $A3, Ledger!$C$2:$C$4, JZO$2)),"****")</f>
        <v/>
      </c>
      <c r="JZP3" t="str">
        <f>IFERROR(IF($C3="","",SUMIFS(Ledger!$K$2:$K$4, Ledger!$B$2:$B$4, $A3, Ledger!$C$2:$C$4, JZP$2)),"****")</f>
        <v/>
      </c>
      <c r="JZQ3" t="str">
        <f>IFERROR(IF($C3="","",SUMIFS(Ledger!$K$2:$K$4, Ledger!$B$2:$B$4, $A3, Ledger!$C$2:$C$4, JZQ$2)),"****")</f>
        <v/>
      </c>
      <c r="JZR3" t="str">
        <f>IFERROR(IF($C3="","",SUMIFS(Ledger!$K$2:$K$4, Ledger!$B$2:$B$4, $A3, Ledger!$C$2:$C$4, JZR$2)),"****")</f>
        <v/>
      </c>
      <c r="JZS3" t="str">
        <f>IFERROR(IF($C3="","",SUMIFS(Ledger!$K$2:$K$4, Ledger!$B$2:$B$4, $A3, Ledger!$C$2:$C$4, JZS$2)),"****")</f>
        <v/>
      </c>
      <c r="JZT3" t="str">
        <f>IFERROR(IF($C3="","",SUMIFS(Ledger!$K$2:$K$4, Ledger!$B$2:$B$4, $A3, Ledger!$C$2:$C$4, JZT$2)),"****")</f>
        <v/>
      </c>
      <c r="JZU3" t="str">
        <f>IFERROR(IF($C3="","",SUMIFS(Ledger!$K$2:$K$4, Ledger!$B$2:$B$4, $A3, Ledger!$C$2:$C$4, JZU$2)),"****")</f>
        <v/>
      </c>
      <c r="JZV3" t="str">
        <f>IFERROR(IF($C3="","",SUMIFS(Ledger!$K$2:$K$4, Ledger!$B$2:$B$4, $A3, Ledger!$C$2:$C$4, JZV$2)),"****")</f>
        <v/>
      </c>
      <c r="JZW3" t="str">
        <f>IFERROR(IF($C3="","",SUMIFS(Ledger!$K$2:$K$4, Ledger!$B$2:$B$4, $A3, Ledger!$C$2:$C$4, JZW$2)),"****")</f>
        <v/>
      </c>
      <c r="JZX3" t="str">
        <f>IFERROR(IF($C3="","",SUMIFS(Ledger!$K$2:$K$4, Ledger!$B$2:$B$4, $A3, Ledger!$C$2:$C$4, JZX$2)),"****")</f>
        <v/>
      </c>
      <c r="JZY3" t="str">
        <f>IFERROR(IF($C3="","",SUMIFS(Ledger!$K$2:$K$4, Ledger!$B$2:$B$4, $A3, Ledger!$C$2:$C$4, JZY$2)),"****")</f>
        <v/>
      </c>
      <c r="JZZ3" t="str">
        <f>IFERROR(IF($C3="","",SUMIFS(Ledger!$K$2:$K$4, Ledger!$B$2:$B$4, $A3, Ledger!$C$2:$C$4, JZZ$2)),"****")</f>
        <v/>
      </c>
      <c r="KAA3" t="str">
        <f>IFERROR(IF($C3="","",SUMIFS(Ledger!$K$2:$K$4, Ledger!$B$2:$B$4, $A3, Ledger!$C$2:$C$4, KAA$2)),"****")</f>
        <v/>
      </c>
      <c r="KAB3" t="str">
        <f>IFERROR(IF($C3="","",SUMIFS(Ledger!$K$2:$K$4, Ledger!$B$2:$B$4, $A3, Ledger!$C$2:$C$4, KAB$2)),"****")</f>
        <v/>
      </c>
      <c r="KAC3" t="str">
        <f>IFERROR(IF($C3="","",SUMIFS(Ledger!$K$2:$K$4, Ledger!$B$2:$B$4, $A3, Ledger!$C$2:$C$4, KAC$2)),"****")</f>
        <v/>
      </c>
      <c r="KAD3" t="str">
        <f>IFERROR(IF($C3="","",SUMIFS(Ledger!$K$2:$K$4, Ledger!$B$2:$B$4, $A3, Ledger!$C$2:$C$4, KAD$2)),"****")</f>
        <v/>
      </c>
      <c r="KAE3" t="str">
        <f>IFERROR(IF($C3="","",SUMIFS(Ledger!$K$2:$K$4, Ledger!$B$2:$B$4, $A3, Ledger!$C$2:$C$4, KAE$2)),"****")</f>
        <v/>
      </c>
      <c r="KAF3" t="str">
        <f>IFERROR(IF($C3="","",SUMIFS(Ledger!$K$2:$K$4, Ledger!$B$2:$B$4, $A3, Ledger!$C$2:$C$4, KAF$2)),"****")</f>
        <v/>
      </c>
      <c r="KAG3" t="str">
        <f>IFERROR(IF($C3="","",SUMIFS(Ledger!$K$2:$K$4, Ledger!$B$2:$B$4, $A3, Ledger!$C$2:$C$4, KAG$2)),"****")</f>
        <v/>
      </c>
      <c r="KAH3" t="str">
        <f>IFERROR(IF($C3="","",SUMIFS(Ledger!$K$2:$K$4, Ledger!$B$2:$B$4, $A3, Ledger!$C$2:$C$4, KAH$2)),"****")</f>
        <v/>
      </c>
      <c r="KAI3" t="str">
        <f>IFERROR(IF($C3="","",SUMIFS(Ledger!$K$2:$K$4, Ledger!$B$2:$B$4, $A3, Ledger!$C$2:$C$4, KAI$2)),"****")</f>
        <v/>
      </c>
      <c r="KAJ3" t="str">
        <f>IFERROR(IF($C3="","",SUMIFS(Ledger!$K$2:$K$4, Ledger!$B$2:$B$4, $A3, Ledger!$C$2:$C$4, KAJ$2)),"****")</f>
        <v/>
      </c>
      <c r="KAK3" t="str">
        <f>IFERROR(IF($C3="","",SUMIFS(Ledger!$K$2:$K$4, Ledger!$B$2:$B$4, $A3, Ledger!$C$2:$C$4, KAK$2)),"****")</f>
        <v/>
      </c>
      <c r="KAL3" t="str">
        <f>IFERROR(IF($C3="","",SUMIFS(Ledger!$K$2:$K$4, Ledger!$B$2:$B$4, $A3, Ledger!$C$2:$C$4, KAL$2)),"****")</f>
        <v/>
      </c>
      <c r="KAM3" t="str">
        <f>IFERROR(IF($C3="","",SUMIFS(Ledger!$K$2:$K$4, Ledger!$B$2:$B$4, $A3, Ledger!$C$2:$C$4, KAM$2)),"****")</f>
        <v/>
      </c>
      <c r="KAN3" t="str">
        <f>IFERROR(IF($C3="","",SUMIFS(Ledger!$K$2:$K$4, Ledger!$B$2:$B$4, $A3, Ledger!$C$2:$C$4, KAN$2)),"****")</f>
        <v/>
      </c>
      <c r="KAO3" t="str">
        <f>IFERROR(IF($C3="","",SUMIFS(Ledger!$K$2:$K$4, Ledger!$B$2:$B$4, $A3, Ledger!$C$2:$C$4, KAO$2)),"****")</f>
        <v/>
      </c>
      <c r="KAP3" t="str">
        <f>IFERROR(IF($C3="","",SUMIFS(Ledger!$K$2:$K$4, Ledger!$B$2:$B$4, $A3, Ledger!$C$2:$C$4, KAP$2)),"****")</f>
        <v/>
      </c>
      <c r="KAQ3" t="str">
        <f>IFERROR(IF($C3="","",SUMIFS(Ledger!$K$2:$K$4, Ledger!$B$2:$B$4, $A3, Ledger!$C$2:$C$4, KAQ$2)),"****")</f>
        <v/>
      </c>
      <c r="KAR3" t="str">
        <f>IFERROR(IF($C3="","",SUMIFS(Ledger!$K$2:$K$4, Ledger!$B$2:$B$4, $A3, Ledger!$C$2:$C$4, KAR$2)),"****")</f>
        <v/>
      </c>
      <c r="KAS3" t="str">
        <f>IFERROR(IF($C3="","",SUMIFS(Ledger!$K$2:$K$4, Ledger!$B$2:$B$4, $A3, Ledger!$C$2:$C$4, KAS$2)),"****")</f>
        <v/>
      </c>
      <c r="KAT3" t="str">
        <f>IFERROR(IF($C3="","",SUMIFS(Ledger!$K$2:$K$4, Ledger!$B$2:$B$4, $A3, Ledger!$C$2:$C$4, KAT$2)),"****")</f>
        <v/>
      </c>
      <c r="KAU3" t="str">
        <f>IFERROR(IF($C3="","",SUMIFS(Ledger!$K$2:$K$4, Ledger!$B$2:$B$4, $A3, Ledger!$C$2:$C$4, KAU$2)),"****")</f>
        <v/>
      </c>
      <c r="KAV3" t="str">
        <f>IFERROR(IF($C3="","",SUMIFS(Ledger!$K$2:$K$4, Ledger!$B$2:$B$4, $A3, Ledger!$C$2:$C$4, KAV$2)),"****")</f>
        <v/>
      </c>
      <c r="KAW3" t="str">
        <f>IFERROR(IF($C3="","",SUMIFS(Ledger!$K$2:$K$4, Ledger!$B$2:$B$4, $A3, Ledger!$C$2:$C$4, KAW$2)),"****")</f>
        <v/>
      </c>
      <c r="KAX3" t="str">
        <f>IFERROR(IF($C3="","",SUMIFS(Ledger!$K$2:$K$4, Ledger!$B$2:$B$4, $A3, Ledger!$C$2:$C$4, KAX$2)),"****")</f>
        <v/>
      </c>
      <c r="KAY3" t="str">
        <f>IFERROR(IF($C3="","",SUMIFS(Ledger!$K$2:$K$4, Ledger!$B$2:$B$4, $A3, Ledger!$C$2:$C$4, KAY$2)),"****")</f>
        <v/>
      </c>
      <c r="KAZ3" t="str">
        <f>IFERROR(IF($C3="","",SUMIFS(Ledger!$K$2:$K$4, Ledger!$B$2:$B$4, $A3, Ledger!$C$2:$C$4, KAZ$2)),"****")</f>
        <v/>
      </c>
      <c r="KBA3" t="str">
        <f>IFERROR(IF($C3="","",SUMIFS(Ledger!$K$2:$K$4, Ledger!$B$2:$B$4, $A3, Ledger!$C$2:$C$4, KBA$2)),"****")</f>
        <v/>
      </c>
      <c r="KBB3" t="str">
        <f>IFERROR(IF($C3="","",SUMIFS(Ledger!$K$2:$K$4, Ledger!$B$2:$B$4, $A3, Ledger!$C$2:$C$4, KBB$2)),"****")</f>
        <v/>
      </c>
      <c r="KBC3" t="str">
        <f>IFERROR(IF($C3="","",SUMIFS(Ledger!$K$2:$K$4, Ledger!$B$2:$B$4, $A3, Ledger!$C$2:$C$4, KBC$2)),"****")</f>
        <v/>
      </c>
      <c r="KBD3" t="str">
        <f>IFERROR(IF($C3="","",SUMIFS(Ledger!$K$2:$K$4, Ledger!$B$2:$B$4, $A3, Ledger!$C$2:$C$4, KBD$2)),"****")</f>
        <v/>
      </c>
      <c r="KBE3" t="str">
        <f>IFERROR(IF($C3="","",SUMIFS(Ledger!$K$2:$K$4, Ledger!$B$2:$B$4, $A3, Ledger!$C$2:$C$4, KBE$2)),"****")</f>
        <v/>
      </c>
      <c r="KBF3" t="str">
        <f>IFERROR(IF($C3="","",SUMIFS(Ledger!$K$2:$K$4, Ledger!$B$2:$B$4, $A3, Ledger!$C$2:$C$4, KBF$2)),"****")</f>
        <v/>
      </c>
      <c r="KBG3" t="str">
        <f>IFERROR(IF($C3="","",SUMIFS(Ledger!$K$2:$K$4, Ledger!$B$2:$B$4, $A3, Ledger!$C$2:$C$4, KBG$2)),"****")</f>
        <v/>
      </c>
      <c r="KBH3" t="str">
        <f>IFERROR(IF($C3="","",SUMIFS(Ledger!$K$2:$K$4, Ledger!$B$2:$B$4, $A3, Ledger!$C$2:$C$4, KBH$2)),"****")</f>
        <v/>
      </c>
      <c r="KBI3" t="str">
        <f>IFERROR(IF($C3="","",SUMIFS(Ledger!$K$2:$K$4, Ledger!$B$2:$B$4, $A3, Ledger!$C$2:$C$4, KBI$2)),"****")</f>
        <v/>
      </c>
      <c r="KBJ3" t="str">
        <f>IFERROR(IF($C3="","",SUMIFS(Ledger!$K$2:$K$4, Ledger!$B$2:$B$4, $A3, Ledger!$C$2:$C$4, KBJ$2)),"****")</f>
        <v/>
      </c>
      <c r="KBK3" t="str">
        <f>IFERROR(IF($C3="","",SUMIFS(Ledger!$K$2:$K$4, Ledger!$B$2:$B$4, $A3, Ledger!$C$2:$C$4, KBK$2)),"****")</f>
        <v/>
      </c>
      <c r="KBL3" t="str">
        <f>IFERROR(IF($C3="","",SUMIFS(Ledger!$K$2:$K$4, Ledger!$B$2:$B$4, $A3, Ledger!$C$2:$C$4, KBL$2)),"****")</f>
        <v/>
      </c>
      <c r="KBM3" t="str">
        <f>IFERROR(IF($C3="","",SUMIFS(Ledger!$K$2:$K$4, Ledger!$B$2:$B$4, $A3, Ledger!$C$2:$C$4, KBM$2)),"****")</f>
        <v/>
      </c>
      <c r="KBN3" t="str">
        <f>IFERROR(IF($C3="","",SUMIFS(Ledger!$K$2:$K$4, Ledger!$B$2:$B$4, $A3, Ledger!$C$2:$C$4, KBN$2)),"****")</f>
        <v/>
      </c>
      <c r="KBO3" t="str">
        <f>IFERROR(IF($C3="","",SUMIFS(Ledger!$K$2:$K$4, Ledger!$B$2:$B$4, $A3, Ledger!$C$2:$C$4, KBO$2)),"****")</f>
        <v/>
      </c>
      <c r="KBP3" t="str">
        <f>IFERROR(IF($C3="","",SUMIFS(Ledger!$K$2:$K$4, Ledger!$B$2:$B$4, $A3, Ledger!$C$2:$C$4, KBP$2)),"****")</f>
        <v/>
      </c>
      <c r="KBQ3" t="str">
        <f>IFERROR(IF($C3="","",SUMIFS(Ledger!$K$2:$K$4, Ledger!$B$2:$B$4, $A3, Ledger!$C$2:$C$4, KBQ$2)),"****")</f>
        <v/>
      </c>
      <c r="KBR3" t="str">
        <f>IFERROR(IF($C3="","",SUMIFS(Ledger!$K$2:$K$4, Ledger!$B$2:$B$4, $A3, Ledger!$C$2:$C$4, KBR$2)),"****")</f>
        <v/>
      </c>
      <c r="KBS3" t="str">
        <f>IFERROR(IF($C3="","",SUMIFS(Ledger!$K$2:$K$4, Ledger!$B$2:$B$4, $A3, Ledger!$C$2:$C$4, KBS$2)),"****")</f>
        <v/>
      </c>
      <c r="KBT3" t="str">
        <f>IFERROR(IF($C3="","",SUMIFS(Ledger!$K$2:$K$4, Ledger!$B$2:$B$4, $A3, Ledger!$C$2:$C$4, KBT$2)),"****")</f>
        <v/>
      </c>
      <c r="KBU3" t="str">
        <f>IFERROR(IF($C3="","",SUMIFS(Ledger!$K$2:$K$4, Ledger!$B$2:$B$4, $A3, Ledger!$C$2:$C$4, KBU$2)),"****")</f>
        <v/>
      </c>
      <c r="KBV3" t="str">
        <f>IFERROR(IF($C3="","",SUMIFS(Ledger!$K$2:$K$4, Ledger!$B$2:$B$4, $A3, Ledger!$C$2:$C$4, KBV$2)),"****")</f>
        <v/>
      </c>
      <c r="KBW3" t="str">
        <f>IFERROR(IF($C3="","",SUMIFS(Ledger!$K$2:$K$4, Ledger!$B$2:$B$4, $A3, Ledger!$C$2:$C$4, KBW$2)),"****")</f>
        <v/>
      </c>
      <c r="KBX3" t="str">
        <f>IFERROR(IF($C3="","",SUMIFS(Ledger!$K$2:$K$4, Ledger!$B$2:$B$4, $A3, Ledger!$C$2:$C$4, KBX$2)),"****")</f>
        <v/>
      </c>
      <c r="KBY3" t="str">
        <f>IFERROR(IF($C3="","",SUMIFS(Ledger!$K$2:$K$4, Ledger!$B$2:$B$4, $A3, Ledger!$C$2:$C$4, KBY$2)),"****")</f>
        <v/>
      </c>
      <c r="KBZ3" t="str">
        <f>IFERROR(IF($C3="","",SUMIFS(Ledger!$K$2:$K$4, Ledger!$B$2:$B$4, $A3, Ledger!$C$2:$C$4, KBZ$2)),"****")</f>
        <v/>
      </c>
      <c r="KCA3" t="str">
        <f>IFERROR(IF($C3="","",SUMIFS(Ledger!$K$2:$K$4, Ledger!$B$2:$B$4, $A3, Ledger!$C$2:$C$4, KCA$2)),"****")</f>
        <v/>
      </c>
      <c r="KCB3" t="str">
        <f>IFERROR(IF($C3="","",SUMIFS(Ledger!$K$2:$K$4, Ledger!$B$2:$B$4, $A3, Ledger!$C$2:$C$4, KCB$2)),"****")</f>
        <v/>
      </c>
      <c r="KCC3" t="str">
        <f>IFERROR(IF($C3="","",SUMIFS(Ledger!$K$2:$K$4, Ledger!$B$2:$B$4, $A3, Ledger!$C$2:$C$4, KCC$2)),"****")</f>
        <v/>
      </c>
      <c r="KCD3" t="str">
        <f>IFERROR(IF($C3="","",SUMIFS(Ledger!$K$2:$K$4, Ledger!$B$2:$B$4, $A3, Ledger!$C$2:$C$4, KCD$2)),"****")</f>
        <v/>
      </c>
      <c r="KCE3" t="str">
        <f>IFERROR(IF($C3="","",SUMIFS(Ledger!$K$2:$K$4, Ledger!$B$2:$B$4, $A3, Ledger!$C$2:$C$4, KCE$2)),"****")</f>
        <v/>
      </c>
      <c r="KCF3" t="str">
        <f>IFERROR(IF($C3="","",SUMIFS(Ledger!$K$2:$K$4, Ledger!$B$2:$B$4, $A3, Ledger!$C$2:$C$4, KCF$2)),"****")</f>
        <v/>
      </c>
      <c r="KCG3" t="str">
        <f>IFERROR(IF($C3="","",SUMIFS(Ledger!$K$2:$K$4, Ledger!$B$2:$B$4, $A3, Ledger!$C$2:$C$4, KCG$2)),"****")</f>
        <v/>
      </c>
      <c r="KCH3" t="str">
        <f>IFERROR(IF($C3="","",SUMIFS(Ledger!$K$2:$K$4, Ledger!$B$2:$B$4, $A3, Ledger!$C$2:$C$4, KCH$2)),"****")</f>
        <v/>
      </c>
      <c r="KCI3" t="str">
        <f>IFERROR(IF($C3="","",SUMIFS(Ledger!$K$2:$K$4, Ledger!$B$2:$B$4, $A3, Ledger!$C$2:$C$4, KCI$2)),"****")</f>
        <v/>
      </c>
      <c r="KCJ3" t="str">
        <f>IFERROR(IF($C3="","",SUMIFS(Ledger!$K$2:$K$4, Ledger!$B$2:$B$4, $A3, Ledger!$C$2:$C$4, KCJ$2)),"****")</f>
        <v/>
      </c>
      <c r="KCK3" t="str">
        <f>IFERROR(IF($C3="","",SUMIFS(Ledger!$K$2:$K$4, Ledger!$B$2:$B$4, $A3, Ledger!$C$2:$C$4, KCK$2)),"****")</f>
        <v/>
      </c>
      <c r="KCL3" t="str">
        <f>IFERROR(IF($C3="","",SUMIFS(Ledger!$K$2:$K$4, Ledger!$B$2:$B$4, $A3, Ledger!$C$2:$C$4, KCL$2)),"****")</f>
        <v/>
      </c>
      <c r="KCM3" t="str">
        <f>IFERROR(IF($C3="","",SUMIFS(Ledger!$K$2:$K$4, Ledger!$B$2:$B$4, $A3, Ledger!$C$2:$C$4, KCM$2)),"****")</f>
        <v/>
      </c>
      <c r="KCN3" t="str">
        <f>IFERROR(IF($C3="","",SUMIFS(Ledger!$K$2:$K$4, Ledger!$B$2:$B$4, $A3, Ledger!$C$2:$C$4, KCN$2)),"****")</f>
        <v/>
      </c>
      <c r="KCO3" t="str">
        <f>IFERROR(IF($C3="","",SUMIFS(Ledger!$K$2:$K$4, Ledger!$B$2:$B$4, $A3, Ledger!$C$2:$C$4, KCO$2)),"****")</f>
        <v/>
      </c>
      <c r="KCP3" t="str">
        <f>IFERROR(IF($C3="","",SUMIFS(Ledger!$K$2:$K$4, Ledger!$B$2:$B$4, $A3, Ledger!$C$2:$C$4, KCP$2)),"****")</f>
        <v/>
      </c>
      <c r="KCQ3" t="str">
        <f>IFERROR(IF($C3="","",SUMIFS(Ledger!$K$2:$K$4, Ledger!$B$2:$B$4, $A3, Ledger!$C$2:$C$4, KCQ$2)),"****")</f>
        <v/>
      </c>
      <c r="KCR3" t="str">
        <f>IFERROR(IF($C3="","",SUMIFS(Ledger!$K$2:$K$4, Ledger!$B$2:$B$4, $A3, Ledger!$C$2:$C$4, KCR$2)),"****")</f>
        <v/>
      </c>
      <c r="KCS3" t="str">
        <f>IFERROR(IF($C3="","",SUMIFS(Ledger!$K$2:$K$4, Ledger!$B$2:$B$4, $A3, Ledger!$C$2:$C$4, KCS$2)),"****")</f>
        <v/>
      </c>
      <c r="KCT3" t="str">
        <f>IFERROR(IF($C3="","",SUMIFS(Ledger!$K$2:$K$4, Ledger!$B$2:$B$4, $A3, Ledger!$C$2:$C$4, KCT$2)),"****")</f>
        <v/>
      </c>
      <c r="KCU3" t="str">
        <f>IFERROR(IF($C3="","",SUMIFS(Ledger!$K$2:$K$4, Ledger!$B$2:$B$4, $A3, Ledger!$C$2:$C$4, KCU$2)),"****")</f>
        <v/>
      </c>
      <c r="KCV3" t="str">
        <f>IFERROR(IF($C3="","",SUMIFS(Ledger!$K$2:$K$4, Ledger!$B$2:$B$4, $A3, Ledger!$C$2:$C$4, KCV$2)),"****")</f>
        <v/>
      </c>
      <c r="KCW3" t="str">
        <f>IFERROR(IF($C3="","",SUMIFS(Ledger!$K$2:$K$4, Ledger!$B$2:$B$4, $A3, Ledger!$C$2:$C$4, KCW$2)),"****")</f>
        <v/>
      </c>
      <c r="KCX3" t="str">
        <f>IFERROR(IF($C3="","",SUMIFS(Ledger!$K$2:$K$4, Ledger!$B$2:$B$4, $A3, Ledger!$C$2:$C$4, KCX$2)),"****")</f>
        <v/>
      </c>
      <c r="KCY3" t="str">
        <f>IFERROR(IF($C3="","",SUMIFS(Ledger!$K$2:$K$4, Ledger!$B$2:$B$4, $A3, Ledger!$C$2:$C$4, KCY$2)),"****")</f>
        <v/>
      </c>
      <c r="KCZ3" t="str">
        <f>IFERROR(IF($C3="","",SUMIFS(Ledger!$K$2:$K$4, Ledger!$B$2:$B$4, $A3, Ledger!$C$2:$C$4, KCZ$2)),"****")</f>
        <v/>
      </c>
      <c r="KDA3" t="str">
        <f>IFERROR(IF($C3="","",SUMIFS(Ledger!$K$2:$K$4, Ledger!$B$2:$B$4, $A3, Ledger!$C$2:$C$4, KDA$2)),"****")</f>
        <v/>
      </c>
      <c r="KDB3" t="str">
        <f>IFERROR(IF($C3="","",SUMIFS(Ledger!$K$2:$K$4, Ledger!$B$2:$B$4, $A3, Ledger!$C$2:$C$4, KDB$2)),"****")</f>
        <v/>
      </c>
      <c r="KDC3" t="str">
        <f>IFERROR(IF($C3="","",SUMIFS(Ledger!$K$2:$K$4, Ledger!$B$2:$B$4, $A3, Ledger!$C$2:$C$4, KDC$2)),"****")</f>
        <v/>
      </c>
      <c r="KDD3" t="str">
        <f>IFERROR(IF($C3="","",SUMIFS(Ledger!$K$2:$K$4, Ledger!$B$2:$B$4, $A3, Ledger!$C$2:$C$4, KDD$2)),"****")</f>
        <v/>
      </c>
      <c r="KDE3" t="str">
        <f>IFERROR(IF($C3="","",SUMIFS(Ledger!$K$2:$K$4, Ledger!$B$2:$B$4, $A3, Ledger!$C$2:$C$4, KDE$2)),"****")</f>
        <v/>
      </c>
      <c r="KDF3" t="str">
        <f>IFERROR(IF($C3="","",SUMIFS(Ledger!$K$2:$K$4, Ledger!$B$2:$B$4, $A3, Ledger!$C$2:$C$4, KDF$2)),"****")</f>
        <v/>
      </c>
      <c r="KDG3" t="str">
        <f>IFERROR(IF($C3="","",SUMIFS(Ledger!$K$2:$K$4, Ledger!$B$2:$B$4, $A3, Ledger!$C$2:$C$4, KDG$2)),"****")</f>
        <v/>
      </c>
      <c r="KDH3" t="str">
        <f>IFERROR(IF($C3="","",SUMIFS(Ledger!$K$2:$K$4, Ledger!$B$2:$B$4, $A3, Ledger!$C$2:$C$4, KDH$2)),"****")</f>
        <v/>
      </c>
      <c r="KDI3" t="str">
        <f>IFERROR(IF($C3="","",SUMIFS(Ledger!$K$2:$K$4, Ledger!$B$2:$B$4, $A3, Ledger!$C$2:$C$4, KDI$2)),"****")</f>
        <v/>
      </c>
      <c r="KDJ3" t="str">
        <f>IFERROR(IF($C3="","",SUMIFS(Ledger!$K$2:$K$4, Ledger!$B$2:$B$4, $A3, Ledger!$C$2:$C$4, KDJ$2)),"****")</f>
        <v/>
      </c>
      <c r="KDK3" t="str">
        <f>IFERROR(IF($C3="","",SUMIFS(Ledger!$K$2:$K$4, Ledger!$B$2:$B$4, $A3, Ledger!$C$2:$C$4, KDK$2)),"****")</f>
        <v/>
      </c>
      <c r="KDL3" t="str">
        <f>IFERROR(IF($C3="","",SUMIFS(Ledger!$K$2:$K$4, Ledger!$B$2:$B$4, $A3, Ledger!$C$2:$C$4, KDL$2)),"****")</f>
        <v/>
      </c>
      <c r="KDM3" t="str">
        <f>IFERROR(IF($C3="","",SUMIFS(Ledger!$K$2:$K$4, Ledger!$B$2:$B$4, $A3, Ledger!$C$2:$C$4, KDM$2)),"****")</f>
        <v/>
      </c>
      <c r="KDN3" t="str">
        <f>IFERROR(IF($C3="","",SUMIFS(Ledger!$K$2:$K$4, Ledger!$B$2:$B$4, $A3, Ledger!$C$2:$C$4, KDN$2)),"****")</f>
        <v/>
      </c>
      <c r="KDO3" t="str">
        <f>IFERROR(IF($C3="","",SUMIFS(Ledger!$K$2:$K$4, Ledger!$B$2:$B$4, $A3, Ledger!$C$2:$C$4, KDO$2)),"****")</f>
        <v/>
      </c>
      <c r="KDP3" t="str">
        <f>IFERROR(IF($C3="","",SUMIFS(Ledger!$K$2:$K$4, Ledger!$B$2:$B$4, $A3, Ledger!$C$2:$C$4, KDP$2)),"****")</f>
        <v/>
      </c>
      <c r="KDQ3" t="str">
        <f>IFERROR(IF($C3="","",SUMIFS(Ledger!$K$2:$K$4, Ledger!$B$2:$B$4, $A3, Ledger!$C$2:$C$4, KDQ$2)),"****")</f>
        <v/>
      </c>
      <c r="KDR3" t="str">
        <f>IFERROR(IF($C3="","",SUMIFS(Ledger!$K$2:$K$4, Ledger!$B$2:$B$4, $A3, Ledger!$C$2:$C$4, KDR$2)),"****")</f>
        <v/>
      </c>
      <c r="KDS3" t="str">
        <f>IFERROR(IF($C3="","",SUMIFS(Ledger!$K$2:$K$4, Ledger!$B$2:$B$4, $A3, Ledger!$C$2:$C$4, KDS$2)),"****")</f>
        <v/>
      </c>
      <c r="KDT3" t="str">
        <f>IFERROR(IF($C3="","",SUMIFS(Ledger!$K$2:$K$4, Ledger!$B$2:$B$4, $A3, Ledger!$C$2:$C$4, KDT$2)),"****")</f>
        <v/>
      </c>
      <c r="KDU3" t="str">
        <f>IFERROR(IF($C3="","",SUMIFS(Ledger!$K$2:$K$4, Ledger!$B$2:$B$4, $A3, Ledger!$C$2:$C$4, KDU$2)),"****")</f>
        <v/>
      </c>
      <c r="KDV3" t="str">
        <f>IFERROR(IF($C3="","",SUMIFS(Ledger!$K$2:$K$4, Ledger!$B$2:$B$4, $A3, Ledger!$C$2:$C$4, KDV$2)),"****")</f>
        <v/>
      </c>
      <c r="KDW3" t="str">
        <f>IFERROR(IF($C3="","",SUMIFS(Ledger!$K$2:$K$4, Ledger!$B$2:$B$4, $A3, Ledger!$C$2:$C$4, KDW$2)),"****")</f>
        <v/>
      </c>
      <c r="KDX3" t="str">
        <f>IFERROR(IF($C3="","",SUMIFS(Ledger!$K$2:$K$4, Ledger!$B$2:$B$4, $A3, Ledger!$C$2:$C$4, KDX$2)),"****")</f>
        <v/>
      </c>
      <c r="KDY3" t="str">
        <f>IFERROR(IF($C3="","",SUMIFS(Ledger!$K$2:$K$4, Ledger!$B$2:$B$4, $A3, Ledger!$C$2:$C$4, KDY$2)),"****")</f>
        <v/>
      </c>
      <c r="KDZ3" t="str">
        <f>IFERROR(IF($C3="","",SUMIFS(Ledger!$K$2:$K$4, Ledger!$B$2:$B$4, $A3, Ledger!$C$2:$C$4, KDZ$2)),"****")</f>
        <v/>
      </c>
      <c r="KEA3" t="str">
        <f>IFERROR(IF($C3="","",SUMIFS(Ledger!$K$2:$K$4, Ledger!$B$2:$B$4, $A3, Ledger!$C$2:$C$4, KEA$2)),"****")</f>
        <v/>
      </c>
      <c r="KEB3" t="str">
        <f>IFERROR(IF($C3="","",SUMIFS(Ledger!$K$2:$K$4, Ledger!$B$2:$B$4, $A3, Ledger!$C$2:$C$4, KEB$2)),"****")</f>
        <v/>
      </c>
      <c r="KEC3" t="str">
        <f>IFERROR(IF($C3="","",SUMIFS(Ledger!$K$2:$K$4, Ledger!$B$2:$B$4, $A3, Ledger!$C$2:$C$4, KEC$2)),"****")</f>
        <v/>
      </c>
      <c r="KED3" t="str">
        <f>IFERROR(IF($C3="","",SUMIFS(Ledger!$K$2:$K$4, Ledger!$B$2:$B$4, $A3, Ledger!$C$2:$C$4, KED$2)),"****")</f>
        <v/>
      </c>
      <c r="KEE3" t="str">
        <f>IFERROR(IF($C3="","",SUMIFS(Ledger!$K$2:$K$4, Ledger!$B$2:$B$4, $A3, Ledger!$C$2:$C$4, KEE$2)),"****")</f>
        <v/>
      </c>
      <c r="KEF3" t="str">
        <f>IFERROR(IF($C3="","",SUMIFS(Ledger!$K$2:$K$4, Ledger!$B$2:$B$4, $A3, Ledger!$C$2:$C$4, KEF$2)),"****")</f>
        <v/>
      </c>
      <c r="KEG3" t="str">
        <f>IFERROR(IF($C3="","",SUMIFS(Ledger!$K$2:$K$4, Ledger!$B$2:$B$4, $A3, Ledger!$C$2:$C$4, KEG$2)),"****")</f>
        <v/>
      </c>
      <c r="KEH3" t="str">
        <f>IFERROR(IF($C3="","",SUMIFS(Ledger!$K$2:$K$4, Ledger!$B$2:$B$4, $A3, Ledger!$C$2:$C$4, KEH$2)),"****")</f>
        <v/>
      </c>
      <c r="KEI3" t="str">
        <f>IFERROR(IF($C3="","",SUMIFS(Ledger!$K$2:$K$4, Ledger!$B$2:$B$4, $A3, Ledger!$C$2:$C$4, KEI$2)),"****")</f>
        <v/>
      </c>
      <c r="KEJ3" t="str">
        <f>IFERROR(IF($C3="","",SUMIFS(Ledger!$K$2:$K$4, Ledger!$B$2:$B$4, $A3, Ledger!$C$2:$C$4, KEJ$2)),"****")</f>
        <v/>
      </c>
      <c r="KEK3" t="str">
        <f>IFERROR(IF($C3="","",SUMIFS(Ledger!$K$2:$K$4, Ledger!$B$2:$B$4, $A3, Ledger!$C$2:$C$4, KEK$2)),"****")</f>
        <v/>
      </c>
      <c r="KEL3" t="str">
        <f>IFERROR(IF($C3="","",SUMIFS(Ledger!$K$2:$K$4, Ledger!$B$2:$B$4, $A3, Ledger!$C$2:$C$4, KEL$2)),"****")</f>
        <v/>
      </c>
      <c r="KEM3" t="str">
        <f>IFERROR(IF($C3="","",SUMIFS(Ledger!$K$2:$K$4, Ledger!$B$2:$B$4, $A3, Ledger!$C$2:$C$4, KEM$2)),"****")</f>
        <v/>
      </c>
      <c r="KEN3" t="str">
        <f>IFERROR(IF($C3="","",SUMIFS(Ledger!$K$2:$K$4, Ledger!$B$2:$B$4, $A3, Ledger!$C$2:$C$4, KEN$2)),"****")</f>
        <v/>
      </c>
      <c r="KEO3" t="str">
        <f>IFERROR(IF($C3="","",SUMIFS(Ledger!$K$2:$K$4, Ledger!$B$2:$B$4, $A3, Ledger!$C$2:$C$4, KEO$2)),"****")</f>
        <v/>
      </c>
      <c r="KEP3" t="str">
        <f>IFERROR(IF($C3="","",SUMIFS(Ledger!$K$2:$K$4, Ledger!$B$2:$B$4, $A3, Ledger!$C$2:$C$4, KEP$2)),"****")</f>
        <v/>
      </c>
      <c r="KEQ3" t="str">
        <f>IFERROR(IF($C3="","",SUMIFS(Ledger!$K$2:$K$4, Ledger!$B$2:$B$4, $A3, Ledger!$C$2:$C$4, KEQ$2)),"****")</f>
        <v/>
      </c>
      <c r="KER3" t="str">
        <f>IFERROR(IF($C3="","",SUMIFS(Ledger!$K$2:$K$4, Ledger!$B$2:$B$4, $A3, Ledger!$C$2:$C$4, KER$2)),"****")</f>
        <v/>
      </c>
      <c r="KES3" t="str">
        <f>IFERROR(IF($C3="","",SUMIFS(Ledger!$K$2:$K$4, Ledger!$B$2:$B$4, $A3, Ledger!$C$2:$C$4, KES$2)),"****")</f>
        <v/>
      </c>
      <c r="KET3" t="str">
        <f>IFERROR(IF($C3="","",SUMIFS(Ledger!$K$2:$K$4, Ledger!$B$2:$B$4, $A3, Ledger!$C$2:$C$4, KET$2)),"****")</f>
        <v/>
      </c>
      <c r="KEU3" t="str">
        <f>IFERROR(IF($C3="","",SUMIFS(Ledger!$K$2:$K$4, Ledger!$B$2:$B$4, $A3, Ledger!$C$2:$C$4, KEU$2)),"****")</f>
        <v/>
      </c>
      <c r="KEV3" t="str">
        <f>IFERROR(IF($C3="","",SUMIFS(Ledger!$K$2:$K$4, Ledger!$B$2:$B$4, $A3, Ledger!$C$2:$C$4, KEV$2)),"****")</f>
        <v/>
      </c>
      <c r="KEW3" t="str">
        <f>IFERROR(IF($C3="","",SUMIFS(Ledger!$K$2:$K$4, Ledger!$B$2:$B$4, $A3, Ledger!$C$2:$C$4, KEW$2)),"****")</f>
        <v/>
      </c>
      <c r="KEX3" t="str">
        <f>IFERROR(IF($C3="","",SUMIFS(Ledger!$K$2:$K$4, Ledger!$B$2:$B$4, $A3, Ledger!$C$2:$C$4, KEX$2)),"****")</f>
        <v/>
      </c>
      <c r="KEY3" t="str">
        <f>IFERROR(IF($C3="","",SUMIFS(Ledger!$K$2:$K$4, Ledger!$B$2:$B$4, $A3, Ledger!$C$2:$C$4, KEY$2)),"****")</f>
        <v/>
      </c>
      <c r="KEZ3" t="str">
        <f>IFERROR(IF($C3="","",SUMIFS(Ledger!$K$2:$K$4, Ledger!$B$2:$B$4, $A3, Ledger!$C$2:$C$4, KEZ$2)),"****")</f>
        <v/>
      </c>
      <c r="KFA3" t="str">
        <f>IFERROR(IF($C3="","",SUMIFS(Ledger!$K$2:$K$4, Ledger!$B$2:$B$4, $A3, Ledger!$C$2:$C$4, KFA$2)),"****")</f>
        <v/>
      </c>
      <c r="KFB3" t="str">
        <f>IFERROR(IF($C3="","",SUMIFS(Ledger!$K$2:$K$4, Ledger!$B$2:$B$4, $A3, Ledger!$C$2:$C$4, KFB$2)),"****")</f>
        <v/>
      </c>
      <c r="KFC3" t="str">
        <f>IFERROR(IF($C3="","",SUMIFS(Ledger!$K$2:$K$4, Ledger!$B$2:$B$4, $A3, Ledger!$C$2:$C$4, KFC$2)),"****")</f>
        <v/>
      </c>
      <c r="KFD3" t="str">
        <f>IFERROR(IF($C3="","",SUMIFS(Ledger!$K$2:$K$4, Ledger!$B$2:$B$4, $A3, Ledger!$C$2:$C$4, KFD$2)),"****")</f>
        <v/>
      </c>
      <c r="KFE3" t="str">
        <f>IFERROR(IF($C3="","",SUMIFS(Ledger!$K$2:$K$4, Ledger!$B$2:$B$4, $A3, Ledger!$C$2:$C$4, KFE$2)),"****")</f>
        <v/>
      </c>
      <c r="KFF3" t="str">
        <f>IFERROR(IF($C3="","",SUMIFS(Ledger!$K$2:$K$4, Ledger!$B$2:$B$4, $A3, Ledger!$C$2:$C$4, KFF$2)),"****")</f>
        <v/>
      </c>
      <c r="KFG3" t="str">
        <f>IFERROR(IF($C3="","",SUMIFS(Ledger!$K$2:$K$4, Ledger!$B$2:$B$4, $A3, Ledger!$C$2:$C$4, KFG$2)),"****")</f>
        <v/>
      </c>
      <c r="KFH3" t="str">
        <f>IFERROR(IF($C3="","",SUMIFS(Ledger!$K$2:$K$4, Ledger!$B$2:$B$4, $A3, Ledger!$C$2:$C$4, KFH$2)),"****")</f>
        <v/>
      </c>
      <c r="KFI3" t="str">
        <f>IFERROR(IF($C3="","",SUMIFS(Ledger!$K$2:$K$4, Ledger!$B$2:$B$4, $A3, Ledger!$C$2:$C$4, KFI$2)),"****")</f>
        <v/>
      </c>
      <c r="KFJ3" t="str">
        <f>IFERROR(IF($C3="","",SUMIFS(Ledger!$K$2:$K$4, Ledger!$B$2:$B$4, $A3, Ledger!$C$2:$C$4, KFJ$2)),"****")</f>
        <v/>
      </c>
      <c r="KFK3" t="str">
        <f>IFERROR(IF($C3="","",SUMIFS(Ledger!$K$2:$K$4, Ledger!$B$2:$B$4, $A3, Ledger!$C$2:$C$4, KFK$2)),"****")</f>
        <v/>
      </c>
      <c r="KFL3" t="str">
        <f>IFERROR(IF($C3="","",SUMIFS(Ledger!$K$2:$K$4, Ledger!$B$2:$B$4, $A3, Ledger!$C$2:$C$4, KFL$2)),"****")</f>
        <v/>
      </c>
      <c r="KFM3" t="str">
        <f>IFERROR(IF($C3="","",SUMIFS(Ledger!$K$2:$K$4, Ledger!$B$2:$B$4, $A3, Ledger!$C$2:$C$4, KFM$2)),"****")</f>
        <v/>
      </c>
      <c r="KFN3" t="str">
        <f>IFERROR(IF($C3="","",SUMIFS(Ledger!$K$2:$K$4, Ledger!$B$2:$B$4, $A3, Ledger!$C$2:$C$4, KFN$2)),"****")</f>
        <v/>
      </c>
      <c r="KFO3" t="str">
        <f>IFERROR(IF($C3="","",SUMIFS(Ledger!$K$2:$K$4, Ledger!$B$2:$B$4, $A3, Ledger!$C$2:$C$4, KFO$2)),"****")</f>
        <v/>
      </c>
      <c r="KFP3" t="str">
        <f>IFERROR(IF($C3="","",SUMIFS(Ledger!$K$2:$K$4, Ledger!$B$2:$B$4, $A3, Ledger!$C$2:$C$4, KFP$2)),"****")</f>
        <v/>
      </c>
      <c r="KFQ3" t="str">
        <f>IFERROR(IF($C3="","",SUMIFS(Ledger!$K$2:$K$4, Ledger!$B$2:$B$4, $A3, Ledger!$C$2:$C$4, KFQ$2)),"****")</f>
        <v/>
      </c>
      <c r="KFR3" t="str">
        <f>IFERROR(IF($C3="","",SUMIFS(Ledger!$K$2:$K$4, Ledger!$B$2:$B$4, $A3, Ledger!$C$2:$C$4, KFR$2)),"****")</f>
        <v/>
      </c>
      <c r="KFS3" t="str">
        <f>IFERROR(IF($C3="","",SUMIFS(Ledger!$K$2:$K$4, Ledger!$B$2:$B$4, $A3, Ledger!$C$2:$C$4, KFS$2)),"****")</f>
        <v/>
      </c>
      <c r="KFT3" t="str">
        <f>IFERROR(IF($C3="","",SUMIFS(Ledger!$K$2:$K$4, Ledger!$B$2:$B$4, $A3, Ledger!$C$2:$C$4, KFT$2)),"****")</f>
        <v/>
      </c>
      <c r="KFU3" t="str">
        <f>IFERROR(IF($C3="","",SUMIFS(Ledger!$K$2:$K$4, Ledger!$B$2:$B$4, $A3, Ledger!$C$2:$C$4, KFU$2)),"****")</f>
        <v/>
      </c>
      <c r="KFV3" t="str">
        <f>IFERROR(IF($C3="","",SUMIFS(Ledger!$K$2:$K$4, Ledger!$B$2:$B$4, $A3, Ledger!$C$2:$C$4, KFV$2)),"****")</f>
        <v/>
      </c>
      <c r="KFW3" t="str">
        <f>IFERROR(IF($C3="","",SUMIFS(Ledger!$K$2:$K$4, Ledger!$B$2:$B$4, $A3, Ledger!$C$2:$C$4, KFW$2)),"****")</f>
        <v/>
      </c>
      <c r="KFX3" t="str">
        <f>IFERROR(IF($C3="","",SUMIFS(Ledger!$K$2:$K$4, Ledger!$B$2:$B$4, $A3, Ledger!$C$2:$C$4, KFX$2)),"****")</f>
        <v/>
      </c>
      <c r="KFY3" t="str">
        <f>IFERROR(IF($C3="","",SUMIFS(Ledger!$K$2:$K$4, Ledger!$B$2:$B$4, $A3, Ledger!$C$2:$C$4, KFY$2)),"****")</f>
        <v/>
      </c>
      <c r="KFZ3" t="str">
        <f>IFERROR(IF($C3="","",SUMIFS(Ledger!$K$2:$K$4, Ledger!$B$2:$B$4, $A3, Ledger!$C$2:$C$4, KFZ$2)),"****")</f>
        <v/>
      </c>
      <c r="KGA3" t="str">
        <f>IFERROR(IF($C3="","",SUMIFS(Ledger!$K$2:$K$4, Ledger!$B$2:$B$4, $A3, Ledger!$C$2:$C$4, KGA$2)),"****")</f>
        <v/>
      </c>
      <c r="KGB3" t="str">
        <f>IFERROR(IF($C3="","",SUMIFS(Ledger!$K$2:$K$4, Ledger!$B$2:$B$4, $A3, Ledger!$C$2:$C$4, KGB$2)),"****")</f>
        <v/>
      </c>
      <c r="KGC3" t="str">
        <f>IFERROR(IF($C3="","",SUMIFS(Ledger!$K$2:$K$4, Ledger!$B$2:$B$4, $A3, Ledger!$C$2:$C$4, KGC$2)),"****")</f>
        <v/>
      </c>
      <c r="KGD3" t="str">
        <f>IFERROR(IF($C3="","",SUMIFS(Ledger!$K$2:$K$4, Ledger!$B$2:$B$4, $A3, Ledger!$C$2:$C$4, KGD$2)),"****")</f>
        <v/>
      </c>
      <c r="KGE3" t="str">
        <f>IFERROR(IF($C3="","",SUMIFS(Ledger!$K$2:$K$4, Ledger!$B$2:$B$4, $A3, Ledger!$C$2:$C$4, KGE$2)),"****")</f>
        <v/>
      </c>
      <c r="KGF3" t="str">
        <f>IFERROR(IF($C3="","",SUMIFS(Ledger!$K$2:$K$4, Ledger!$B$2:$B$4, $A3, Ledger!$C$2:$C$4, KGF$2)),"****")</f>
        <v/>
      </c>
      <c r="KGG3" t="str">
        <f>IFERROR(IF($C3="","",SUMIFS(Ledger!$K$2:$K$4, Ledger!$B$2:$B$4, $A3, Ledger!$C$2:$C$4, KGG$2)),"****")</f>
        <v/>
      </c>
      <c r="KGH3" t="str">
        <f>IFERROR(IF($C3="","",SUMIFS(Ledger!$K$2:$K$4, Ledger!$B$2:$B$4, $A3, Ledger!$C$2:$C$4, KGH$2)),"****")</f>
        <v/>
      </c>
      <c r="KGI3" t="str">
        <f>IFERROR(IF($C3="","",SUMIFS(Ledger!$K$2:$K$4, Ledger!$B$2:$B$4, $A3, Ledger!$C$2:$C$4, KGI$2)),"****")</f>
        <v/>
      </c>
      <c r="KGJ3" t="str">
        <f>IFERROR(IF($C3="","",SUMIFS(Ledger!$K$2:$K$4, Ledger!$B$2:$B$4, $A3, Ledger!$C$2:$C$4, KGJ$2)),"****")</f>
        <v/>
      </c>
      <c r="KGK3" t="str">
        <f>IFERROR(IF($C3="","",SUMIFS(Ledger!$K$2:$K$4, Ledger!$B$2:$B$4, $A3, Ledger!$C$2:$C$4, KGK$2)),"****")</f>
        <v/>
      </c>
      <c r="KGL3" t="str">
        <f>IFERROR(IF($C3="","",SUMIFS(Ledger!$K$2:$K$4, Ledger!$B$2:$B$4, $A3, Ledger!$C$2:$C$4, KGL$2)),"****")</f>
        <v/>
      </c>
      <c r="KGM3" t="str">
        <f>IFERROR(IF($C3="","",SUMIFS(Ledger!$K$2:$K$4, Ledger!$B$2:$B$4, $A3, Ledger!$C$2:$C$4, KGM$2)),"****")</f>
        <v/>
      </c>
      <c r="KGN3" t="str">
        <f>IFERROR(IF($C3="","",SUMIFS(Ledger!$K$2:$K$4, Ledger!$B$2:$B$4, $A3, Ledger!$C$2:$C$4, KGN$2)),"****")</f>
        <v/>
      </c>
      <c r="KGO3" t="str">
        <f>IFERROR(IF($C3="","",SUMIFS(Ledger!$K$2:$K$4, Ledger!$B$2:$B$4, $A3, Ledger!$C$2:$C$4, KGO$2)),"****")</f>
        <v/>
      </c>
      <c r="KGP3" t="str">
        <f>IFERROR(IF($C3="","",SUMIFS(Ledger!$K$2:$K$4, Ledger!$B$2:$B$4, $A3, Ledger!$C$2:$C$4, KGP$2)),"****")</f>
        <v/>
      </c>
      <c r="KGQ3" t="str">
        <f>IFERROR(IF($C3="","",SUMIFS(Ledger!$K$2:$K$4, Ledger!$B$2:$B$4, $A3, Ledger!$C$2:$C$4, KGQ$2)),"****")</f>
        <v/>
      </c>
      <c r="KGR3" t="str">
        <f>IFERROR(IF($C3="","",SUMIFS(Ledger!$K$2:$K$4, Ledger!$B$2:$B$4, $A3, Ledger!$C$2:$C$4, KGR$2)),"****")</f>
        <v/>
      </c>
      <c r="KGS3" t="str">
        <f>IFERROR(IF($C3="","",SUMIFS(Ledger!$K$2:$K$4, Ledger!$B$2:$B$4, $A3, Ledger!$C$2:$C$4, KGS$2)),"****")</f>
        <v/>
      </c>
      <c r="KGT3" t="str">
        <f>IFERROR(IF($C3="","",SUMIFS(Ledger!$K$2:$K$4, Ledger!$B$2:$B$4, $A3, Ledger!$C$2:$C$4, KGT$2)),"****")</f>
        <v/>
      </c>
      <c r="KGU3" t="str">
        <f>IFERROR(IF($C3="","",SUMIFS(Ledger!$K$2:$K$4, Ledger!$B$2:$B$4, $A3, Ledger!$C$2:$C$4, KGU$2)),"****")</f>
        <v/>
      </c>
      <c r="KGV3" t="str">
        <f>IFERROR(IF($C3="","",SUMIFS(Ledger!$K$2:$K$4, Ledger!$B$2:$B$4, $A3, Ledger!$C$2:$C$4, KGV$2)),"****")</f>
        <v/>
      </c>
      <c r="KGW3" t="str">
        <f>IFERROR(IF($C3="","",SUMIFS(Ledger!$K$2:$K$4, Ledger!$B$2:$B$4, $A3, Ledger!$C$2:$C$4, KGW$2)),"****")</f>
        <v/>
      </c>
      <c r="KGX3" t="str">
        <f>IFERROR(IF($C3="","",SUMIFS(Ledger!$K$2:$K$4, Ledger!$B$2:$B$4, $A3, Ledger!$C$2:$C$4, KGX$2)),"****")</f>
        <v/>
      </c>
      <c r="KGY3" t="str">
        <f>IFERROR(IF($C3="","",SUMIFS(Ledger!$K$2:$K$4, Ledger!$B$2:$B$4, $A3, Ledger!$C$2:$C$4, KGY$2)),"****")</f>
        <v/>
      </c>
      <c r="KGZ3" t="str">
        <f>IFERROR(IF($C3="","",SUMIFS(Ledger!$K$2:$K$4, Ledger!$B$2:$B$4, $A3, Ledger!$C$2:$C$4, KGZ$2)),"****")</f>
        <v/>
      </c>
      <c r="KHA3" t="str">
        <f>IFERROR(IF($C3="","",SUMIFS(Ledger!$K$2:$K$4, Ledger!$B$2:$B$4, $A3, Ledger!$C$2:$C$4, KHA$2)),"****")</f>
        <v/>
      </c>
      <c r="KHB3" t="str">
        <f>IFERROR(IF($C3="","",SUMIFS(Ledger!$K$2:$K$4, Ledger!$B$2:$B$4, $A3, Ledger!$C$2:$C$4, KHB$2)),"****")</f>
        <v/>
      </c>
      <c r="KHC3" t="str">
        <f>IFERROR(IF($C3="","",SUMIFS(Ledger!$K$2:$K$4, Ledger!$B$2:$B$4, $A3, Ledger!$C$2:$C$4, KHC$2)),"****")</f>
        <v/>
      </c>
      <c r="KHD3" t="str">
        <f>IFERROR(IF($C3="","",SUMIFS(Ledger!$K$2:$K$4, Ledger!$B$2:$B$4, $A3, Ledger!$C$2:$C$4, KHD$2)),"****")</f>
        <v/>
      </c>
      <c r="KHE3" t="str">
        <f>IFERROR(IF($C3="","",SUMIFS(Ledger!$K$2:$K$4, Ledger!$B$2:$B$4, $A3, Ledger!$C$2:$C$4, KHE$2)),"****")</f>
        <v/>
      </c>
      <c r="KHF3" t="str">
        <f>IFERROR(IF($C3="","",SUMIFS(Ledger!$K$2:$K$4, Ledger!$B$2:$B$4, $A3, Ledger!$C$2:$C$4, KHF$2)),"****")</f>
        <v/>
      </c>
      <c r="KHG3" t="str">
        <f>IFERROR(IF($C3="","",SUMIFS(Ledger!$K$2:$K$4, Ledger!$B$2:$B$4, $A3, Ledger!$C$2:$C$4, KHG$2)),"****")</f>
        <v/>
      </c>
      <c r="KHH3" t="str">
        <f>IFERROR(IF($C3="","",SUMIFS(Ledger!$K$2:$K$4, Ledger!$B$2:$B$4, $A3, Ledger!$C$2:$C$4, KHH$2)),"****")</f>
        <v/>
      </c>
      <c r="KHI3" t="str">
        <f>IFERROR(IF($C3="","",SUMIFS(Ledger!$K$2:$K$4, Ledger!$B$2:$B$4, $A3, Ledger!$C$2:$C$4, KHI$2)),"****")</f>
        <v/>
      </c>
      <c r="KHJ3" t="str">
        <f>IFERROR(IF($C3="","",SUMIFS(Ledger!$K$2:$K$4, Ledger!$B$2:$B$4, $A3, Ledger!$C$2:$C$4, KHJ$2)),"****")</f>
        <v/>
      </c>
      <c r="KHK3" t="str">
        <f>IFERROR(IF($C3="","",SUMIFS(Ledger!$K$2:$K$4, Ledger!$B$2:$B$4, $A3, Ledger!$C$2:$C$4, KHK$2)),"****")</f>
        <v/>
      </c>
      <c r="KHL3" t="str">
        <f>IFERROR(IF($C3="","",SUMIFS(Ledger!$K$2:$K$4, Ledger!$B$2:$B$4, $A3, Ledger!$C$2:$C$4, KHL$2)),"****")</f>
        <v/>
      </c>
      <c r="KHM3" t="str">
        <f>IFERROR(IF($C3="","",SUMIFS(Ledger!$K$2:$K$4, Ledger!$B$2:$B$4, $A3, Ledger!$C$2:$C$4, KHM$2)),"****")</f>
        <v/>
      </c>
      <c r="KHN3" t="str">
        <f>IFERROR(IF($C3="","",SUMIFS(Ledger!$K$2:$K$4, Ledger!$B$2:$B$4, $A3, Ledger!$C$2:$C$4, KHN$2)),"****")</f>
        <v/>
      </c>
      <c r="KHO3" t="str">
        <f>IFERROR(IF($C3="","",SUMIFS(Ledger!$K$2:$K$4, Ledger!$B$2:$B$4, $A3, Ledger!$C$2:$C$4, KHO$2)),"****")</f>
        <v/>
      </c>
      <c r="KHP3" t="str">
        <f>IFERROR(IF($C3="","",SUMIFS(Ledger!$K$2:$K$4, Ledger!$B$2:$B$4, $A3, Ledger!$C$2:$C$4, KHP$2)),"****")</f>
        <v/>
      </c>
      <c r="KHQ3" t="str">
        <f>IFERROR(IF($C3="","",SUMIFS(Ledger!$K$2:$K$4, Ledger!$B$2:$B$4, $A3, Ledger!$C$2:$C$4, KHQ$2)),"****")</f>
        <v/>
      </c>
      <c r="KHR3" t="str">
        <f>IFERROR(IF($C3="","",SUMIFS(Ledger!$K$2:$K$4, Ledger!$B$2:$B$4, $A3, Ledger!$C$2:$C$4, KHR$2)),"****")</f>
        <v/>
      </c>
      <c r="KHS3" t="str">
        <f>IFERROR(IF($C3="","",SUMIFS(Ledger!$K$2:$K$4, Ledger!$B$2:$B$4, $A3, Ledger!$C$2:$C$4, KHS$2)),"****")</f>
        <v/>
      </c>
      <c r="KHT3" t="str">
        <f>IFERROR(IF($C3="","",SUMIFS(Ledger!$K$2:$K$4, Ledger!$B$2:$B$4, $A3, Ledger!$C$2:$C$4, KHT$2)),"****")</f>
        <v/>
      </c>
      <c r="KHU3" t="str">
        <f>IFERROR(IF($C3="","",SUMIFS(Ledger!$K$2:$K$4, Ledger!$B$2:$B$4, $A3, Ledger!$C$2:$C$4, KHU$2)),"****")</f>
        <v/>
      </c>
      <c r="KHV3" t="str">
        <f>IFERROR(IF($C3="","",SUMIFS(Ledger!$K$2:$K$4, Ledger!$B$2:$B$4, $A3, Ledger!$C$2:$C$4, KHV$2)),"****")</f>
        <v/>
      </c>
      <c r="KHW3" t="str">
        <f>IFERROR(IF($C3="","",SUMIFS(Ledger!$K$2:$K$4, Ledger!$B$2:$B$4, $A3, Ledger!$C$2:$C$4, KHW$2)),"****")</f>
        <v/>
      </c>
      <c r="KHX3" t="str">
        <f>IFERROR(IF($C3="","",SUMIFS(Ledger!$K$2:$K$4, Ledger!$B$2:$B$4, $A3, Ledger!$C$2:$C$4, KHX$2)),"****")</f>
        <v/>
      </c>
      <c r="KHY3" t="str">
        <f>IFERROR(IF($C3="","",SUMIFS(Ledger!$K$2:$K$4, Ledger!$B$2:$B$4, $A3, Ledger!$C$2:$C$4, KHY$2)),"****")</f>
        <v/>
      </c>
      <c r="KHZ3" t="str">
        <f>IFERROR(IF($C3="","",SUMIFS(Ledger!$K$2:$K$4, Ledger!$B$2:$B$4, $A3, Ledger!$C$2:$C$4, KHZ$2)),"****")</f>
        <v/>
      </c>
      <c r="KIA3" t="str">
        <f>IFERROR(IF($C3="","",SUMIFS(Ledger!$K$2:$K$4, Ledger!$B$2:$B$4, $A3, Ledger!$C$2:$C$4, KIA$2)),"****")</f>
        <v/>
      </c>
      <c r="KIB3" t="str">
        <f>IFERROR(IF($C3="","",SUMIFS(Ledger!$K$2:$K$4, Ledger!$B$2:$B$4, $A3, Ledger!$C$2:$C$4, KIB$2)),"****")</f>
        <v/>
      </c>
      <c r="KIC3" t="str">
        <f>IFERROR(IF($C3="","",SUMIFS(Ledger!$K$2:$K$4, Ledger!$B$2:$B$4, $A3, Ledger!$C$2:$C$4, KIC$2)),"****")</f>
        <v/>
      </c>
      <c r="KID3" t="str">
        <f>IFERROR(IF($C3="","",SUMIFS(Ledger!$K$2:$K$4, Ledger!$B$2:$B$4, $A3, Ledger!$C$2:$C$4, KID$2)),"****")</f>
        <v/>
      </c>
      <c r="KIE3" t="str">
        <f>IFERROR(IF($C3="","",SUMIFS(Ledger!$K$2:$K$4, Ledger!$B$2:$B$4, $A3, Ledger!$C$2:$C$4, KIE$2)),"****")</f>
        <v/>
      </c>
      <c r="KIF3" t="str">
        <f>IFERROR(IF($C3="","",SUMIFS(Ledger!$K$2:$K$4, Ledger!$B$2:$B$4, $A3, Ledger!$C$2:$C$4, KIF$2)),"****")</f>
        <v/>
      </c>
      <c r="KIG3" t="str">
        <f>IFERROR(IF($C3="","",SUMIFS(Ledger!$K$2:$K$4, Ledger!$B$2:$B$4, $A3, Ledger!$C$2:$C$4, KIG$2)),"****")</f>
        <v/>
      </c>
      <c r="KIH3" t="str">
        <f>IFERROR(IF($C3="","",SUMIFS(Ledger!$K$2:$K$4, Ledger!$B$2:$B$4, $A3, Ledger!$C$2:$C$4, KIH$2)),"****")</f>
        <v/>
      </c>
      <c r="KII3" t="str">
        <f>IFERROR(IF($C3="","",SUMIFS(Ledger!$K$2:$K$4, Ledger!$B$2:$B$4, $A3, Ledger!$C$2:$C$4, KII$2)),"****")</f>
        <v/>
      </c>
      <c r="KIJ3" t="str">
        <f>IFERROR(IF($C3="","",SUMIFS(Ledger!$K$2:$K$4, Ledger!$B$2:$B$4, $A3, Ledger!$C$2:$C$4, KIJ$2)),"****")</f>
        <v/>
      </c>
      <c r="KIK3" t="str">
        <f>IFERROR(IF($C3="","",SUMIFS(Ledger!$K$2:$K$4, Ledger!$B$2:$B$4, $A3, Ledger!$C$2:$C$4, KIK$2)),"****")</f>
        <v/>
      </c>
      <c r="KIL3" t="str">
        <f>IFERROR(IF($C3="","",SUMIFS(Ledger!$K$2:$K$4, Ledger!$B$2:$B$4, $A3, Ledger!$C$2:$C$4, KIL$2)),"****")</f>
        <v/>
      </c>
      <c r="KIM3" t="str">
        <f>IFERROR(IF($C3="","",SUMIFS(Ledger!$K$2:$K$4, Ledger!$B$2:$B$4, $A3, Ledger!$C$2:$C$4, KIM$2)),"****")</f>
        <v/>
      </c>
      <c r="KIN3" t="str">
        <f>IFERROR(IF($C3="","",SUMIFS(Ledger!$K$2:$K$4, Ledger!$B$2:$B$4, $A3, Ledger!$C$2:$C$4, KIN$2)),"****")</f>
        <v/>
      </c>
      <c r="KIO3" t="str">
        <f>IFERROR(IF($C3="","",SUMIFS(Ledger!$K$2:$K$4, Ledger!$B$2:$B$4, $A3, Ledger!$C$2:$C$4, KIO$2)),"****")</f>
        <v/>
      </c>
      <c r="KIP3" t="str">
        <f>IFERROR(IF($C3="","",SUMIFS(Ledger!$K$2:$K$4, Ledger!$B$2:$B$4, $A3, Ledger!$C$2:$C$4, KIP$2)),"****")</f>
        <v/>
      </c>
      <c r="KIQ3" t="str">
        <f>IFERROR(IF($C3="","",SUMIFS(Ledger!$K$2:$K$4, Ledger!$B$2:$B$4, $A3, Ledger!$C$2:$C$4, KIQ$2)),"****")</f>
        <v/>
      </c>
      <c r="KIR3" t="str">
        <f>IFERROR(IF($C3="","",SUMIFS(Ledger!$K$2:$K$4, Ledger!$B$2:$B$4, $A3, Ledger!$C$2:$C$4, KIR$2)),"****")</f>
        <v/>
      </c>
      <c r="KIS3" t="str">
        <f>IFERROR(IF($C3="","",SUMIFS(Ledger!$K$2:$K$4, Ledger!$B$2:$B$4, $A3, Ledger!$C$2:$C$4, KIS$2)),"****")</f>
        <v/>
      </c>
      <c r="KIT3" t="str">
        <f>IFERROR(IF($C3="","",SUMIFS(Ledger!$K$2:$K$4, Ledger!$B$2:$B$4, $A3, Ledger!$C$2:$C$4, KIT$2)),"****")</f>
        <v/>
      </c>
      <c r="KIU3" t="str">
        <f>IFERROR(IF($C3="","",SUMIFS(Ledger!$K$2:$K$4, Ledger!$B$2:$B$4, $A3, Ledger!$C$2:$C$4, KIU$2)),"****")</f>
        <v/>
      </c>
      <c r="KIV3" t="str">
        <f>IFERROR(IF($C3="","",SUMIFS(Ledger!$K$2:$K$4, Ledger!$B$2:$B$4, $A3, Ledger!$C$2:$C$4, KIV$2)),"****")</f>
        <v/>
      </c>
      <c r="KIW3" t="str">
        <f>IFERROR(IF($C3="","",SUMIFS(Ledger!$K$2:$K$4, Ledger!$B$2:$B$4, $A3, Ledger!$C$2:$C$4, KIW$2)),"****")</f>
        <v/>
      </c>
      <c r="KIX3" t="str">
        <f>IFERROR(IF($C3="","",SUMIFS(Ledger!$K$2:$K$4, Ledger!$B$2:$B$4, $A3, Ledger!$C$2:$C$4, KIX$2)),"****")</f>
        <v/>
      </c>
      <c r="KIY3" t="str">
        <f>IFERROR(IF($C3="","",SUMIFS(Ledger!$K$2:$K$4, Ledger!$B$2:$B$4, $A3, Ledger!$C$2:$C$4, KIY$2)),"****")</f>
        <v/>
      </c>
      <c r="KIZ3" t="str">
        <f>IFERROR(IF($C3="","",SUMIFS(Ledger!$K$2:$K$4, Ledger!$B$2:$B$4, $A3, Ledger!$C$2:$C$4, KIZ$2)),"****")</f>
        <v/>
      </c>
      <c r="KJA3" t="str">
        <f>IFERROR(IF($C3="","",SUMIFS(Ledger!$K$2:$K$4, Ledger!$B$2:$B$4, $A3, Ledger!$C$2:$C$4, KJA$2)),"****")</f>
        <v/>
      </c>
      <c r="KJB3" t="str">
        <f>IFERROR(IF($C3="","",SUMIFS(Ledger!$K$2:$K$4, Ledger!$B$2:$B$4, $A3, Ledger!$C$2:$C$4, KJB$2)),"****")</f>
        <v/>
      </c>
      <c r="KJC3" t="str">
        <f>IFERROR(IF($C3="","",SUMIFS(Ledger!$K$2:$K$4, Ledger!$B$2:$B$4, $A3, Ledger!$C$2:$C$4, KJC$2)),"****")</f>
        <v/>
      </c>
      <c r="KJD3" t="str">
        <f>IFERROR(IF($C3="","",SUMIFS(Ledger!$K$2:$K$4, Ledger!$B$2:$B$4, $A3, Ledger!$C$2:$C$4, KJD$2)),"****")</f>
        <v/>
      </c>
      <c r="KJE3" t="str">
        <f>IFERROR(IF($C3="","",SUMIFS(Ledger!$K$2:$K$4, Ledger!$B$2:$B$4, $A3, Ledger!$C$2:$C$4, KJE$2)),"****")</f>
        <v/>
      </c>
      <c r="KJF3" t="str">
        <f>IFERROR(IF($C3="","",SUMIFS(Ledger!$K$2:$K$4, Ledger!$B$2:$B$4, $A3, Ledger!$C$2:$C$4, KJF$2)),"****")</f>
        <v/>
      </c>
      <c r="KJG3" t="str">
        <f>IFERROR(IF($C3="","",SUMIFS(Ledger!$K$2:$K$4, Ledger!$B$2:$B$4, $A3, Ledger!$C$2:$C$4, KJG$2)),"****")</f>
        <v/>
      </c>
      <c r="KJH3" t="str">
        <f>IFERROR(IF($C3="","",SUMIFS(Ledger!$K$2:$K$4, Ledger!$B$2:$B$4, $A3, Ledger!$C$2:$C$4, KJH$2)),"****")</f>
        <v/>
      </c>
      <c r="KJI3" t="str">
        <f>IFERROR(IF($C3="","",SUMIFS(Ledger!$K$2:$K$4, Ledger!$B$2:$B$4, $A3, Ledger!$C$2:$C$4, KJI$2)),"****")</f>
        <v/>
      </c>
      <c r="KJJ3" t="str">
        <f>IFERROR(IF($C3="","",SUMIFS(Ledger!$K$2:$K$4, Ledger!$B$2:$B$4, $A3, Ledger!$C$2:$C$4, KJJ$2)),"****")</f>
        <v/>
      </c>
      <c r="KJK3" t="str">
        <f>IFERROR(IF($C3="","",SUMIFS(Ledger!$K$2:$K$4, Ledger!$B$2:$B$4, $A3, Ledger!$C$2:$C$4, KJK$2)),"****")</f>
        <v/>
      </c>
      <c r="KJL3" t="str">
        <f>IFERROR(IF($C3="","",SUMIFS(Ledger!$K$2:$K$4, Ledger!$B$2:$B$4, $A3, Ledger!$C$2:$C$4, KJL$2)),"****")</f>
        <v/>
      </c>
      <c r="KJM3" t="str">
        <f>IFERROR(IF($C3="","",SUMIFS(Ledger!$K$2:$K$4, Ledger!$B$2:$B$4, $A3, Ledger!$C$2:$C$4, KJM$2)),"****")</f>
        <v/>
      </c>
      <c r="KJN3" t="str">
        <f>IFERROR(IF($C3="","",SUMIFS(Ledger!$K$2:$K$4, Ledger!$B$2:$B$4, $A3, Ledger!$C$2:$C$4, KJN$2)),"****")</f>
        <v/>
      </c>
      <c r="KJO3" t="str">
        <f>IFERROR(IF($C3="","",SUMIFS(Ledger!$K$2:$K$4, Ledger!$B$2:$B$4, $A3, Ledger!$C$2:$C$4, KJO$2)),"****")</f>
        <v/>
      </c>
      <c r="KJP3" t="str">
        <f>IFERROR(IF($C3="","",SUMIFS(Ledger!$K$2:$K$4, Ledger!$B$2:$B$4, $A3, Ledger!$C$2:$C$4, KJP$2)),"****")</f>
        <v/>
      </c>
      <c r="KJQ3" t="str">
        <f>IFERROR(IF($C3="","",SUMIFS(Ledger!$K$2:$K$4, Ledger!$B$2:$B$4, $A3, Ledger!$C$2:$C$4, KJQ$2)),"****")</f>
        <v/>
      </c>
      <c r="KJR3" t="str">
        <f>IFERROR(IF($C3="","",SUMIFS(Ledger!$K$2:$K$4, Ledger!$B$2:$B$4, $A3, Ledger!$C$2:$C$4, KJR$2)),"****")</f>
        <v/>
      </c>
      <c r="KJS3" t="str">
        <f>IFERROR(IF($C3="","",SUMIFS(Ledger!$K$2:$K$4, Ledger!$B$2:$B$4, $A3, Ledger!$C$2:$C$4, KJS$2)),"****")</f>
        <v/>
      </c>
      <c r="KJT3" t="str">
        <f>IFERROR(IF($C3="","",SUMIFS(Ledger!$K$2:$K$4, Ledger!$B$2:$B$4, $A3, Ledger!$C$2:$C$4, KJT$2)),"****")</f>
        <v/>
      </c>
      <c r="KJU3" t="str">
        <f>IFERROR(IF($C3="","",SUMIFS(Ledger!$K$2:$K$4, Ledger!$B$2:$B$4, $A3, Ledger!$C$2:$C$4, KJU$2)),"****")</f>
        <v/>
      </c>
      <c r="KJV3" t="str">
        <f>IFERROR(IF($C3="","",SUMIFS(Ledger!$K$2:$K$4, Ledger!$B$2:$B$4, $A3, Ledger!$C$2:$C$4, KJV$2)),"****")</f>
        <v/>
      </c>
      <c r="KJW3" t="str">
        <f>IFERROR(IF($C3="","",SUMIFS(Ledger!$K$2:$K$4, Ledger!$B$2:$B$4, $A3, Ledger!$C$2:$C$4, KJW$2)),"****")</f>
        <v/>
      </c>
      <c r="KJX3" t="str">
        <f>IFERROR(IF($C3="","",SUMIFS(Ledger!$K$2:$K$4, Ledger!$B$2:$B$4, $A3, Ledger!$C$2:$C$4, KJX$2)),"****")</f>
        <v/>
      </c>
      <c r="KJY3" t="str">
        <f>IFERROR(IF($C3="","",SUMIFS(Ledger!$K$2:$K$4, Ledger!$B$2:$B$4, $A3, Ledger!$C$2:$C$4, KJY$2)),"****")</f>
        <v/>
      </c>
      <c r="KJZ3" t="str">
        <f>IFERROR(IF($C3="","",SUMIFS(Ledger!$K$2:$K$4, Ledger!$B$2:$B$4, $A3, Ledger!$C$2:$C$4, KJZ$2)),"****")</f>
        <v/>
      </c>
      <c r="KKA3" t="str">
        <f>IFERROR(IF($C3="","",SUMIFS(Ledger!$K$2:$K$4, Ledger!$B$2:$B$4, $A3, Ledger!$C$2:$C$4, KKA$2)),"****")</f>
        <v/>
      </c>
      <c r="KKB3" t="str">
        <f>IFERROR(IF($C3="","",SUMIFS(Ledger!$K$2:$K$4, Ledger!$B$2:$B$4, $A3, Ledger!$C$2:$C$4, KKB$2)),"****")</f>
        <v/>
      </c>
      <c r="KKC3" t="str">
        <f>IFERROR(IF($C3="","",SUMIFS(Ledger!$K$2:$K$4, Ledger!$B$2:$B$4, $A3, Ledger!$C$2:$C$4, KKC$2)),"****")</f>
        <v/>
      </c>
      <c r="KKD3" t="str">
        <f>IFERROR(IF($C3="","",SUMIFS(Ledger!$K$2:$K$4, Ledger!$B$2:$B$4, $A3, Ledger!$C$2:$C$4, KKD$2)),"****")</f>
        <v/>
      </c>
      <c r="KKE3" t="str">
        <f>IFERROR(IF($C3="","",SUMIFS(Ledger!$K$2:$K$4, Ledger!$B$2:$B$4, $A3, Ledger!$C$2:$C$4, KKE$2)),"****")</f>
        <v/>
      </c>
      <c r="KKF3" t="str">
        <f>IFERROR(IF($C3="","",SUMIFS(Ledger!$K$2:$K$4, Ledger!$B$2:$B$4, $A3, Ledger!$C$2:$C$4, KKF$2)),"****")</f>
        <v/>
      </c>
      <c r="KKG3" t="str">
        <f>IFERROR(IF($C3="","",SUMIFS(Ledger!$K$2:$K$4, Ledger!$B$2:$B$4, $A3, Ledger!$C$2:$C$4, KKG$2)),"****")</f>
        <v/>
      </c>
      <c r="KKH3" t="str">
        <f>IFERROR(IF($C3="","",SUMIFS(Ledger!$K$2:$K$4, Ledger!$B$2:$B$4, $A3, Ledger!$C$2:$C$4, KKH$2)),"****")</f>
        <v/>
      </c>
      <c r="KKI3" t="str">
        <f>IFERROR(IF($C3="","",SUMIFS(Ledger!$K$2:$K$4, Ledger!$B$2:$B$4, $A3, Ledger!$C$2:$C$4, KKI$2)),"****")</f>
        <v/>
      </c>
      <c r="KKJ3" t="str">
        <f>IFERROR(IF($C3="","",SUMIFS(Ledger!$K$2:$K$4, Ledger!$B$2:$B$4, $A3, Ledger!$C$2:$C$4, KKJ$2)),"****")</f>
        <v/>
      </c>
      <c r="KKK3" t="str">
        <f>IFERROR(IF($C3="","",SUMIFS(Ledger!$K$2:$K$4, Ledger!$B$2:$B$4, $A3, Ledger!$C$2:$C$4, KKK$2)),"****")</f>
        <v/>
      </c>
      <c r="KKL3" t="str">
        <f>IFERROR(IF($C3="","",SUMIFS(Ledger!$K$2:$K$4, Ledger!$B$2:$B$4, $A3, Ledger!$C$2:$C$4, KKL$2)),"****")</f>
        <v/>
      </c>
      <c r="KKM3" t="str">
        <f>IFERROR(IF($C3="","",SUMIFS(Ledger!$K$2:$K$4, Ledger!$B$2:$B$4, $A3, Ledger!$C$2:$C$4, KKM$2)),"****")</f>
        <v/>
      </c>
      <c r="KKN3" t="str">
        <f>IFERROR(IF($C3="","",SUMIFS(Ledger!$K$2:$K$4, Ledger!$B$2:$B$4, $A3, Ledger!$C$2:$C$4, KKN$2)),"****")</f>
        <v/>
      </c>
      <c r="KKO3" t="str">
        <f>IFERROR(IF($C3="","",SUMIFS(Ledger!$K$2:$K$4, Ledger!$B$2:$B$4, $A3, Ledger!$C$2:$C$4, KKO$2)),"****")</f>
        <v/>
      </c>
      <c r="KKP3" t="str">
        <f>IFERROR(IF($C3="","",SUMIFS(Ledger!$K$2:$K$4, Ledger!$B$2:$B$4, $A3, Ledger!$C$2:$C$4, KKP$2)),"****")</f>
        <v/>
      </c>
      <c r="KKQ3" t="str">
        <f>IFERROR(IF($C3="","",SUMIFS(Ledger!$K$2:$K$4, Ledger!$B$2:$B$4, $A3, Ledger!$C$2:$C$4, KKQ$2)),"****")</f>
        <v/>
      </c>
      <c r="KKR3" t="str">
        <f>IFERROR(IF($C3="","",SUMIFS(Ledger!$K$2:$K$4, Ledger!$B$2:$B$4, $A3, Ledger!$C$2:$C$4, KKR$2)),"****")</f>
        <v/>
      </c>
      <c r="KKS3" t="str">
        <f>IFERROR(IF($C3="","",SUMIFS(Ledger!$K$2:$K$4, Ledger!$B$2:$B$4, $A3, Ledger!$C$2:$C$4, KKS$2)),"****")</f>
        <v/>
      </c>
      <c r="KKT3" t="str">
        <f>IFERROR(IF($C3="","",SUMIFS(Ledger!$K$2:$K$4, Ledger!$B$2:$B$4, $A3, Ledger!$C$2:$C$4, KKT$2)),"****")</f>
        <v/>
      </c>
      <c r="KKU3" t="str">
        <f>IFERROR(IF($C3="","",SUMIFS(Ledger!$K$2:$K$4, Ledger!$B$2:$B$4, $A3, Ledger!$C$2:$C$4, KKU$2)),"****")</f>
        <v/>
      </c>
      <c r="KKV3" t="str">
        <f>IFERROR(IF($C3="","",SUMIFS(Ledger!$K$2:$K$4, Ledger!$B$2:$B$4, $A3, Ledger!$C$2:$C$4, KKV$2)),"****")</f>
        <v/>
      </c>
      <c r="KKW3" t="str">
        <f>IFERROR(IF($C3="","",SUMIFS(Ledger!$K$2:$K$4, Ledger!$B$2:$B$4, $A3, Ledger!$C$2:$C$4, KKW$2)),"****")</f>
        <v/>
      </c>
      <c r="KKX3" t="str">
        <f>IFERROR(IF($C3="","",SUMIFS(Ledger!$K$2:$K$4, Ledger!$B$2:$B$4, $A3, Ledger!$C$2:$C$4, KKX$2)),"****")</f>
        <v/>
      </c>
      <c r="KKY3" t="str">
        <f>IFERROR(IF($C3="","",SUMIFS(Ledger!$K$2:$K$4, Ledger!$B$2:$B$4, $A3, Ledger!$C$2:$C$4, KKY$2)),"****")</f>
        <v/>
      </c>
      <c r="KKZ3" t="str">
        <f>IFERROR(IF($C3="","",SUMIFS(Ledger!$K$2:$K$4, Ledger!$B$2:$B$4, $A3, Ledger!$C$2:$C$4, KKZ$2)),"****")</f>
        <v/>
      </c>
      <c r="KLA3" t="str">
        <f>IFERROR(IF($C3="","",SUMIFS(Ledger!$K$2:$K$4, Ledger!$B$2:$B$4, $A3, Ledger!$C$2:$C$4, KLA$2)),"****")</f>
        <v/>
      </c>
      <c r="KLB3" t="str">
        <f>IFERROR(IF($C3="","",SUMIFS(Ledger!$K$2:$K$4, Ledger!$B$2:$B$4, $A3, Ledger!$C$2:$C$4, KLB$2)),"****")</f>
        <v/>
      </c>
      <c r="KLC3" t="str">
        <f>IFERROR(IF($C3="","",SUMIFS(Ledger!$K$2:$K$4, Ledger!$B$2:$B$4, $A3, Ledger!$C$2:$C$4, KLC$2)),"****")</f>
        <v/>
      </c>
      <c r="KLD3" t="str">
        <f>IFERROR(IF($C3="","",SUMIFS(Ledger!$K$2:$K$4, Ledger!$B$2:$B$4, $A3, Ledger!$C$2:$C$4, KLD$2)),"****")</f>
        <v/>
      </c>
      <c r="KLE3" t="str">
        <f>IFERROR(IF($C3="","",SUMIFS(Ledger!$K$2:$K$4, Ledger!$B$2:$B$4, $A3, Ledger!$C$2:$C$4, KLE$2)),"****")</f>
        <v/>
      </c>
      <c r="KLF3" t="str">
        <f>IFERROR(IF($C3="","",SUMIFS(Ledger!$K$2:$K$4, Ledger!$B$2:$B$4, $A3, Ledger!$C$2:$C$4, KLF$2)),"****")</f>
        <v/>
      </c>
      <c r="KLG3" t="str">
        <f>IFERROR(IF($C3="","",SUMIFS(Ledger!$K$2:$K$4, Ledger!$B$2:$B$4, $A3, Ledger!$C$2:$C$4, KLG$2)),"****")</f>
        <v/>
      </c>
      <c r="KLH3" t="str">
        <f>IFERROR(IF($C3="","",SUMIFS(Ledger!$K$2:$K$4, Ledger!$B$2:$B$4, $A3, Ledger!$C$2:$C$4, KLH$2)),"****")</f>
        <v/>
      </c>
      <c r="KLI3" t="str">
        <f>IFERROR(IF($C3="","",SUMIFS(Ledger!$K$2:$K$4, Ledger!$B$2:$B$4, $A3, Ledger!$C$2:$C$4, KLI$2)),"****")</f>
        <v/>
      </c>
      <c r="KLJ3" t="str">
        <f>IFERROR(IF($C3="","",SUMIFS(Ledger!$K$2:$K$4, Ledger!$B$2:$B$4, $A3, Ledger!$C$2:$C$4, KLJ$2)),"****")</f>
        <v/>
      </c>
      <c r="KLK3" t="str">
        <f>IFERROR(IF($C3="","",SUMIFS(Ledger!$K$2:$K$4, Ledger!$B$2:$B$4, $A3, Ledger!$C$2:$C$4, KLK$2)),"****")</f>
        <v/>
      </c>
      <c r="KLL3" t="str">
        <f>IFERROR(IF($C3="","",SUMIFS(Ledger!$K$2:$K$4, Ledger!$B$2:$B$4, $A3, Ledger!$C$2:$C$4, KLL$2)),"****")</f>
        <v/>
      </c>
      <c r="KLM3" t="str">
        <f>IFERROR(IF($C3="","",SUMIFS(Ledger!$K$2:$K$4, Ledger!$B$2:$B$4, $A3, Ledger!$C$2:$C$4, KLM$2)),"****")</f>
        <v/>
      </c>
      <c r="KLN3" t="str">
        <f>IFERROR(IF($C3="","",SUMIFS(Ledger!$K$2:$K$4, Ledger!$B$2:$B$4, $A3, Ledger!$C$2:$C$4, KLN$2)),"****")</f>
        <v/>
      </c>
      <c r="KLO3" t="str">
        <f>IFERROR(IF($C3="","",SUMIFS(Ledger!$K$2:$K$4, Ledger!$B$2:$B$4, $A3, Ledger!$C$2:$C$4, KLO$2)),"****")</f>
        <v/>
      </c>
      <c r="KLP3" t="str">
        <f>IFERROR(IF($C3="","",SUMIFS(Ledger!$K$2:$K$4, Ledger!$B$2:$B$4, $A3, Ledger!$C$2:$C$4, KLP$2)),"****")</f>
        <v/>
      </c>
      <c r="KLQ3" t="str">
        <f>IFERROR(IF($C3="","",SUMIFS(Ledger!$K$2:$K$4, Ledger!$B$2:$B$4, $A3, Ledger!$C$2:$C$4, KLQ$2)),"****")</f>
        <v/>
      </c>
      <c r="KLR3" t="str">
        <f>IFERROR(IF($C3="","",SUMIFS(Ledger!$K$2:$K$4, Ledger!$B$2:$B$4, $A3, Ledger!$C$2:$C$4, KLR$2)),"****")</f>
        <v/>
      </c>
      <c r="KLS3" t="str">
        <f>IFERROR(IF($C3="","",SUMIFS(Ledger!$K$2:$K$4, Ledger!$B$2:$B$4, $A3, Ledger!$C$2:$C$4, KLS$2)),"****")</f>
        <v/>
      </c>
      <c r="KLT3" t="str">
        <f>IFERROR(IF($C3="","",SUMIFS(Ledger!$K$2:$K$4, Ledger!$B$2:$B$4, $A3, Ledger!$C$2:$C$4, KLT$2)),"****")</f>
        <v/>
      </c>
      <c r="KLU3" t="str">
        <f>IFERROR(IF($C3="","",SUMIFS(Ledger!$K$2:$K$4, Ledger!$B$2:$B$4, $A3, Ledger!$C$2:$C$4, KLU$2)),"****")</f>
        <v/>
      </c>
      <c r="KLV3" t="str">
        <f>IFERROR(IF($C3="","",SUMIFS(Ledger!$K$2:$K$4, Ledger!$B$2:$B$4, $A3, Ledger!$C$2:$C$4, KLV$2)),"****")</f>
        <v/>
      </c>
      <c r="KLW3" t="str">
        <f>IFERROR(IF($C3="","",SUMIFS(Ledger!$K$2:$K$4, Ledger!$B$2:$B$4, $A3, Ledger!$C$2:$C$4, KLW$2)),"****")</f>
        <v/>
      </c>
      <c r="KLX3" t="str">
        <f>IFERROR(IF($C3="","",SUMIFS(Ledger!$K$2:$K$4, Ledger!$B$2:$B$4, $A3, Ledger!$C$2:$C$4, KLX$2)),"****")</f>
        <v/>
      </c>
      <c r="KLY3" t="str">
        <f>IFERROR(IF($C3="","",SUMIFS(Ledger!$K$2:$K$4, Ledger!$B$2:$B$4, $A3, Ledger!$C$2:$C$4, KLY$2)),"****")</f>
        <v/>
      </c>
      <c r="KLZ3" t="str">
        <f>IFERROR(IF($C3="","",SUMIFS(Ledger!$K$2:$K$4, Ledger!$B$2:$B$4, $A3, Ledger!$C$2:$C$4, KLZ$2)),"****")</f>
        <v/>
      </c>
      <c r="KMA3" t="str">
        <f>IFERROR(IF($C3="","",SUMIFS(Ledger!$K$2:$K$4, Ledger!$B$2:$B$4, $A3, Ledger!$C$2:$C$4, KMA$2)),"****")</f>
        <v/>
      </c>
      <c r="KMB3" t="str">
        <f>IFERROR(IF($C3="","",SUMIFS(Ledger!$K$2:$K$4, Ledger!$B$2:$B$4, $A3, Ledger!$C$2:$C$4, KMB$2)),"****")</f>
        <v/>
      </c>
      <c r="KMC3" t="str">
        <f>IFERROR(IF($C3="","",SUMIFS(Ledger!$K$2:$K$4, Ledger!$B$2:$B$4, $A3, Ledger!$C$2:$C$4, KMC$2)),"****")</f>
        <v/>
      </c>
      <c r="KMD3" t="str">
        <f>IFERROR(IF($C3="","",SUMIFS(Ledger!$K$2:$K$4, Ledger!$B$2:$B$4, $A3, Ledger!$C$2:$C$4, KMD$2)),"****")</f>
        <v/>
      </c>
      <c r="KME3" t="str">
        <f>IFERROR(IF($C3="","",SUMIFS(Ledger!$K$2:$K$4, Ledger!$B$2:$B$4, $A3, Ledger!$C$2:$C$4, KME$2)),"****")</f>
        <v/>
      </c>
      <c r="KMF3" t="str">
        <f>IFERROR(IF($C3="","",SUMIFS(Ledger!$K$2:$K$4, Ledger!$B$2:$B$4, $A3, Ledger!$C$2:$C$4, KMF$2)),"****")</f>
        <v/>
      </c>
      <c r="KMG3" t="str">
        <f>IFERROR(IF($C3="","",SUMIFS(Ledger!$K$2:$K$4, Ledger!$B$2:$B$4, $A3, Ledger!$C$2:$C$4, KMG$2)),"****")</f>
        <v/>
      </c>
      <c r="KMH3" t="str">
        <f>IFERROR(IF($C3="","",SUMIFS(Ledger!$K$2:$K$4, Ledger!$B$2:$B$4, $A3, Ledger!$C$2:$C$4, KMH$2)),"****")</f>
        <v/>
      </c>
      <c r="KMI3" t="str">
        <f>IFERROR(IF($C3="","",SUMIFS(Ledger!$K$2:$K$4, Ledger!$B$2:$B$4, $A3, Ledger!$C$2:$C$4, KMI$2)),"****")</f>
        <v/>
      </c>
      <c r="KMJ3" t="str">
        <f>IFERROR(IF($C3="","",SUMIFS(Ledger!$K$2:$K$4, Ledger!$B$2:$B$4, $A3, Ledger!$C$2:$C$4, KMJ$2)),"****")</f>
        <v/>
      </c>
      <c r="KMK3" t="str">
        <f>IFERROR(IF($C3="","",SUMIFS(Ledger!$K$2:$K$4, Ledger!$B$2:$B$4, $A3, Ledger!$C$2:$C$4, KMK$2)),"****")</f>
        <v/>
      </c>
      <c r="KML3" t="str">
        <f>IFERROR(IF($C3="","",SUMIFS(Ledger!$K$2:$K$4, Ledger!$B$2:$B$4, $A3, Ledger!$C$2:$C$4, KML$2)),"****")</f>
        <v/>
      </c>
      <c r="KMM3" t="str">
        <f>IFERROR(IF($C3="","",SUMIFS(Ledger!$K$2:$K$4, Ledger!$B$2:$B$4, $A3, Ledger!$C$2:$C$4, KMM$2)),"****")</f>
        <v/>
      </c>
      <c r="KMN3" t="str">
        <f>IFERROR(IF($C3="","",SUMIFS(Ledger!$K$2:$K$4, Ledger!$B$2:$B$4, $A3, Ledger!$C$2:$C$4, KMN$2)),"****")</f>
        <v/>
      </c>
      <c r="KMO3" t="str">
        <f>IFERROR(IF($C3="","",SUMIFS(Ledger!$K$2:$K$4, Ledger!$B$2:$B$4, $A3, Ledger!$C$2:$C$4, KMO$2)),"****")</f>
        <v/>
      </c>
      <c r="KMP3" t="str">
        <f>IFERROR(IF($C3="","",SUMIFS(Ledger!$K$2:$K$4, Ledger!$B$2:$B$4, $A3, Ledger!$C$2:$C$4, KMP$2)),"****")</f>
        <v/>
      </c>
      <c r="KMQ3" t="str">
        <f>IFERROR(IF($C3="","",SUMIFS(Ledger!$K$2:$K$4, Ledger!$B$2:$B$4, $A3, Ledger!$C$2:$C$4, KMQ$2)),"****")</f>
        <v/>
      </c>
      <c r="KMR3" t="str">
        <f>IFERROR(IF($C3="","",SUMIFS(Ledger!$K$2:$K$4, Ledger!$B$2:$B$4, $A3, Ledger!$C$2:$C$4, KMR$2)),"****")</f>
        <v/>
      </c>
      <c r="KMS3" t="str">
        <f>IFERROR(IF($C3="","",SUMIFS(Ledger!$K$2:$K$4, Ledger!$B$2:$B$4, $A3, Ledger!$C$2:$C$4, KMS$2)),"****")</f>
        <v/>
      </c>
      <c r="KMT3" t="str">
        <f>IFERROR(IF($C3="","",SUMIFS(Ledger!$K$2:$K$4, Ledger!$B$2:$B$4, $A3, Ledger!$C$2:$C$4, KMT$2)),"****")</f>
        <v/>
      </c>
      <c r="KMU3" t="str">
        <f>IFERROR(IF($C3="","",SUMIFS(Ledger!$K$2:$K$4, Ledger!$B$2:$B$4, $A3, Ledger!$C$2:$C$4, KMU$2)),"****")</f>
        <v/>
      </c>
      <c r="KMV3" t="str">
        <f>IFERROR(IF($C3="","",SUMIFS(Ledger!$K$2:$K$4, Ledger!$B$2:$B$4, $A3, Ledger!$C$2:$C$4, KMV$2)),"****")</f>
        <v/>
      </c>
      <c r="KMW3" t="str">
        <f>IFERROR(IF($C3="","",SUMIFS(Ledger!$K$2:$K$4, Ledger!$B$2:$B$4, $A3, Ledger!$C$2:$C$4, KMW$2)),"****")</f>
        <v/>
      </c>
      <c r="KMX3" t="str">
        <f>IFERROR(IF($C3="","",SUMIFS(Ledger!$K$2:$K$4, Ledger!$B$2:$B$4, $A3, Ledger!$C$2:$C$4, KMX$2)),"****")</f>
        <v/>
      </c>
      <c r="KMY3" t="str">
        <f>IFERROR(IF($C3="","",SUMIFS(Ledger!$K$2:$K$4, Ledger!$B$2:$B$4, $A3, Ledger!$C$2:$C$4, KMY$2)),"****")</f>
        <v/>
      </c>
      <c r="KMZ3" t="str">
        <f>IFERROR(IF($C3="","",SUMIFS(Ledger!$K$2:$K$4, Ledger!$B$2:$B$4, $A3, Ledger!$C$2:$C$4, KMZ$2)),"****")</f>
        <v/>
      </c>
      <c r="KNA3" t="str">
        <f>IFERROR(IF($C3="","",SUMIFS(Ledger!$K$2:$K$4, Ledger!$B$2:$B$4, $A3, Ledger!$C$2:$C$4, KNA$2)),"****")</f>
        <v/>
      </c>
      <c r="KNB3" t="str">
        <f>IFERROR(IF($C3="","",SUMIFS(Ledger!$K$2:$K$4, Ledger!$B$2:$B$4, $A3, Ledger!$C$2:$C$4, KNB$2)),"****")</f>
        <v/>
      </c>
      <c r="KNC3" t="str">
        <f>IFERROR(IF($C3="","",SUMIFS(Ledger!$K$2:$K$4, Ledger!$B$2:$B$4, $A3, Ledger!$C$2:$C$4, KNC$2)),"****")</f>
        <v/>
      </c>
      <c r="KND3" t="str">
        <f>IFERROR(IF($C3="","",SUMIFS(Ledger!$K$2:$K$4, Ledger!$B$2:$B$4, $A3, Ledger!$C$2:$C$4, KND$2)),"****")</f>
        <v/>
      </c>
      <c r="KNE3" t="str">
        <f>IFERROR(IF($C3="","",SUMIFS(Ledger!$K$2:$K$4, Ledger!$B$2:$B$4, $A3, Ledger!$C$2:$C$4, KNE$2)),"****")</f>
        <v/>
      </c>
      <c r="KNF3" t="str">
        <f>IFERROR(IF($C3="","",SUMIFS(Ledger!$K$2:$K$4, Ledger!$B$2:$B$4, $A3, Ledger!$C$2:$C$4, KNF$2)),"****")</f>
        <v/>
      </c>
      <c r="KNG3" t="str">
        <f>IFERROR(IF($C3="","",SUMIFS(Ledger!$K$2:$K$4, Ledger!$B$2:$B$4, $A3, Ledger!$C$2:$C$4, KNG$2)),"****")</f>
        <v/>
      </c>
      <c r="KNH3" t="str">
        <f>IFERROR(IF($C3="","",SUMIFS(Ledger!$K$2:$K$4, Ledger!$B$2:$B$4, $A3, Ledger!$C$2:$C$4, KNH$2)),"****")</f>
        <v/>
      </c>
      <c r="KNI3" t="str">
        <f>IFERROR(IF($C3="","",SUMIFS(Ledger!$K$2:$K$4, Ledger!$B$2:$B$4, $A3, Ledger!$C$2:$C$4, KNI$2)),"****")</f>
        <v/>
      </c>
      <c r="KNJ3" t="str">
        <f>IFERROR(IF($C3="","",SUMIFS(Ledger!$K$2:$K$4, Ledger!$B$2:$B$4, $A3, Ledger!$C$2:$C$4, KNJ$2)),"****")</f>
        <v/>
      </c>
      <c r="KNK3" t="str">
        <f>IFERROR(IF($C3="","",SUMIFS(Ledger!$K$2:$K$4, Ledger!$B$2:$B$4, $A3, Ledger!$C$2:$C$4, KNK$2)),"****")</f>
        <v/>
      </c>
      <c r="KNL3" t="str">
        <f>IFERROR(IF($C3="","",SUMIFS(Ledger!$K$2:$K$4, Ledger!$B$2:$B$4, $A3, Ledger!$C$2:$C$4, KNL$2)),"****")</f>
        <v/>
      </c>
      <c r="KNM3" t="str">
        <f>IFERROR(IF($C3="","",SUMIFS(Ledger!$K$2:$K$4, Ledger!$B$2:$B$4, $A3, Ledger!$C$2:$C$4, KNM$2)),"****")</f>
        <v/>
      </c>
      <c r="KNN3" t="str">
        <f>IFERROR(IF($C3="","",SUMIFS(Ledger!$K$2:$K$4, Ledger!$B$2:$B$4, $A3, Ledger!$C$2:$C$4, KNN$2)),"****")</f>
        <v/>
      </c>
      <c r="KNO3" t="str">
        <f>IFERROR(IF($C3="","",SUMIFS(Ledger!$K$2:$K$4, Ledger!$B$2:$B$4, $A3, Ledger!$C$2:$C$4, KNO$2)),"****")</f>
        <v/>
      </c>
      <c r="KNP3" t="str">
        <f>IFERROR(IF($C3="","",SUMIFS(Ledger!$K$2:$K$4, Ledger!$B$2:$B$4, $A3, Ledger!$C$2:$C$4, KNP$2)),"****")</f>
        <v/>
      </c>
      <c r="KNQ3" t="str">
        <f>IFERROR(IF($C3="","",SUMIFS(Ledger!$K$2:$K$4, Ledger!$B$2:$B$4, $A3, Ledger!$C$2:$C$4, KNQ$2)),"****")</f>
        <v/>
      </c>
      <c r="KNR3" t="str">
        <f>IFERROR(IF($C3="","",SUMIFS(Ledger!$K$2:$K$4, Ledger!$B$2:$B$4, $A3, Ledger!$C$2:$C$4, KNR$2)),"****")</f>
        <v/>
      </c>
      <c r="KNS3" t="str">
        <f>IFERROR(IF($C3="","",SUMIFS(Ledger!$K$2:$K$4, Ledger!$B$2:$B$4, $A3, Ledger!$C$2:$C$4, KNS$2)),"****")</f>
        <v/>
      </c>
      <c r="KNT3" t="str">
        <f>IFERROR(IF($C3="","",SUMIFS(Ledger!$K$2:$K$4, Ledger!$B$2:$B$4, $A3, Ledger!$C$2:$C$4, KNT$2)),"****")</f>
        <v/>
      </c>
      <c r="KNU3" t="str">
        <f>IFERROR(IF($C3="","",SUMIFS(Ledger!$K$2:$K$4, Ledger!$B$2:$B$4, $A3, Ledger!$C$2:$C$4, KNU$2)),"****")</f>
        <v/>
      </c>
      <c r="KNV3" t="str">
        <f>IFERROR(IF($C3="","",SUMIFS(Ledger!$K$2:$K$4, Ledger!$B$2:$B$4, $A3, Ledger!$C$2:$C$4, KNV$2)),"****")</f>
        <v/>
      </c>
      <c r="KNW3" t="str">
        <f>IFERROR(IF($C3="","",SUMIFS(Ledger!$K$2:$K$4, Ledger!$B$2:$B$4, $A3, Ledger!$C$2:$C$4, KNW$2)),"****")</f>
        <v/>
      </c>
      <c r="KNX3" t="str">
        <f>IFERROR(IF($C3="","",SUMIFS(Ledger!$K$2:$K$4, Ledger!$B$2:$B$4, $A3, Ledger!$C$2:$C$4, KNX$2)),"****")</f>
        <v/>
      </c>
      <c r="KNY3" t="str">
        <f>IFERROR(IF($C3="","",SUMIFS(Ledger!$K$2:$K$4, Ledger!$B$2:$B$4, $A3, Ledger!$C$2:$C$4, KNY$2)),"****")</f>
        <v/>
      </c>
      <c r="KNZ3" t="str">
        <f>IFERROR(IF($C3="","",SUMIFS(Ledger!$K$2:$K$4, Ledger!$B$2:$B$4, $A3, Ledger!$C$2:$C$4, KNZ$2)),"****")</f>
        <v/>
      </c>
      <c r="KOA3" t="str">
        <f>IFERROR(IF($C3="","",SUMIFS(Ledger!$K$2:$K$4, Ledger!$B$2:$B$4, $A3, Ledger!$C$2:$C$4, KOA$2)),"****")</f>
        <v/>
      </c>
      <c r="KOB3" t="str">
        <f>IFERROR(IF($C3="","",SUMIFS(Ledger!$K$2:$K$4, Ledger!$B$2:$B$4, $A3, Ledger!$C$2:$C$4, KOB$2)),"****")</f>
        <v/>
      </c>
      <c r="KOC3" t="str">
        <f>IFERROR(IF($C3="","",SUMIFS(Ledger!$K$2:$K$4, Ledger!$B$2:$B$4, $A3, Ledger!$C$2:$C$4, KOC$2)),"****")</f>
        <v/>
      </c>
      <c r="KOD3" t="str">
        <f>IFERROR(IF($C3="","",SUMIFS(Ledger!$K$2:$K$4, Ledger!$B$2:$B$4, $A3, Ledger!$C$2:$C$4, KOD$2)),"****")</f>
        <v/>
      </c>
      <c r="KOE3" t="str">
        <f>IFERROR(IF($C3="","",SUMIFS(Ledger!$K$2:$K$4, Ledger!$B$2:$B$4, $A3, Ledger!$C$2:$C$4, KOE$2)),"****")</f>
        <v/>
      </c>
      <c r="KOF3" t="str">
        <f>IFERROR(IF($C3="","",SUMIFS(Ledger!$K$2:$K$4, Ledger!$B$2:$B$4, $A3, Ledger!$C$2:$C$4, KOF$2)),"****")</f>
        <v/>
      </c>
      <c r="KOG3" t="str">
        <f>IFERROR(IF($C3="","",SUMIFS(Ledger!$K$2:$K$4, Ledger!$B$2:$B$4, $A3, Ledger!$C$2:$C$4, KOG$2)),"****")</f>
        <v/>
      </c>
      <c r="KOH3" t="str">
        <f>IFERROR(IF($C3="","",SUMIFS(Ledger!$K$2:$K$4, Ledger!$B$2:$B$4, $A3, Ledger!$C$2:$C$4, KOH$2)),"****")</f>
        <v/>
      </c>
      <c r="KOI3" t="str">
        <f>IFERROR(IF($C3="","",SUMIFS(Ledger!$K$2:$K$4, Ledger!$B$2:$B$4, $A3, Ledger!$C$2:$C$4, KOI$2)),"****")</f>
        <v/>
      </c>
      <c r="KOJ3" t="str">
        <f>IFERROR(IF($C3="","",SUMIFS(Ledger!$K$2:$K$4, Ledger!$B$2:$B$4, $A3, Ledger!$C$2:$C$4, KOJ$2)),"****")</f>
        <v/>
      </c>
      <c r="KOK3" t="str">
        <f>IFERROR(IF($C3="","",SUMIFS(Ledger!$K$2:$K$4, Ledger!$B$2:$B$4, $A3, Ledger!$C$2:$C$4, KOK$2)),"****")</f>
        <v/>
      </c>
      <c r="KOL3" t="str">
        <f>IFERROR(IF($C3="","",SUMIFS(Ledger!$K$2:$K$4, Ledger!$B$2:$B$4, $A3, Ledger!$C$2:$C$4, KOL$2)),"****")</f>
        <v/>
      </c>
      <c r="KOM3" t="str">
        <f>IFERROR(IF($C3="","",SUMIFS(Ledger!$K$2:$K$4, Ledger!$B$2:$B$4, $A3, Ledger!$C$2:$C$4, KOM$2)),"****")</f>
        <v/>
      </c>
      <c r="KON3" t="str">
        <f>IFERROR(IF($C3="","",SUMIFS(Ledger!$K$2:$K$4, Ledger!$B$2:$B$4, $A3, Ledger!$C$2:$C$4, KON$2)),"****")</f>
        <v/>
      </c>
      <c r="KOO3" t="str">
        <f>IFERROR(IF($C3="","",SUMIFS(Ledger!$K$2:$K$4, Ledger!$B$2:$B$4, $A3, Ledger!$C$2:$C$4, KOO$2)),"****")</f>
        <v/>
      </c>
      <c r="KOP3" t="str">
        <f>IFERROR(IF($C3="","",SUMIFS(Ledger!$K$2:$K$4, Ledger!$B$2:$B$4, $A3, Ledger!$C$2:$C$4, KOP$2)),"****")</f>
        <v/>
      </c>
      <c r="KOQ3" t="str">
        <f>IFERROR(IF($C3="","",SUMIFS(Ledger!$K$2:$K$4, Ledger!$B$2:$B$4, $A3, Ledger!$C$2:$C$4, KOQ$2)),"****")</f>
        <v/>
      </c>
      <c r="KOR3" t="str">
        <f>IFERROR(IF($C3="","",SUMIFS(Ledger!$K$2:$K$4, Ledger!$B$2:$B$4, $A3, Ledger!$C$2:$C$4, KOR$2)),"****")</f>
        <v/>
      </c>
      <c r="KOS3" t="str">
        <f>IFERROR(IF($C3="","",SUMIFS(Ledger!$K$2:$K$4, Ledger!$B$2:$B$4, $A3, Ledger!$C$2:$C$4, KOS$2)),"****")</f>
        <v/>
      </c>
      <c r="KOT3" t="str">
        <f>IFERROR(IF($C3="","",SUMIFS(Ledger!$K$2:$K$4, Ledger!$B$2:$B$4, $A3, Ledger!$C$2:$C$4, KOT$2)),"****")</f>
        <v/>
      </c>
      <c r="KOU3" t="str">
        <f>IFERROR(IF($C3="","",SUMIFS(Ledger!$K$2:$K$4, Ledger!$B$2:$B$4, $A3, Ledger!$C$2:$C$4, KOU$2)),"****")</f>
        <v/>
      </c>
      <c r="KOV3" t="str">
        <f>IFERROR(IF($C3="","",SUMIFS(Ledger!$K$2:$K$4, Ledger!$B$2:$B$4, $A3, Ledger!$C$2:$C$4, KOV$2)),"****")</f>
        <v/>
      </c>
      <c r="KOW3" t="str">
        <f>IFERROR(IF($C3="","",SUMIFS(Ledger!$K$2:$K$4, Ledger!$B$2:$B$4, $A3, Ledger!$C$2:$C$4, KOW$2)),"****")</f>
        <v/>
      </c>
      <c r="KOX3" t="str">
        <f>IFERROR(IF($C3="","",SUMIFS(Ledger!$K$2:$K$4, Ledger!$B$2:$B$4, $A3, Ledger!$C$2:$C$4, KOX$2)),"****")</f>
        <v/>
      </c>
      <c r="KOY3" t="str">
        <f>IFERROR(IF($C3="","",SUMIFS(Ledger!$K$2:$K$4, Ledger!$B$2:$B$4, $A3, Ledger!$C$2:$C$4, KOY$2)),"****")</f>
        <v/>
      </c>
      <c r="KOZ3" t="str">
        <f>IFERROR(IF($C3="","",SUMIFS(Ledger!$K$2:$K$4, Ledger!$B$2:$B$4, $A3, Ledger!$C$2:$C$4, KOZ$2)),"****")</f>
        <v/>
      </c>
      <c r="KPA3" t="str">
        <f>IFERROR(IF($C3="","",SUMIFS(Ledger!$K$2:$K$4, Ledger!$B$2:$B$4, $A3, Ledger!$C$2:$C$4, KPA$2)),"****")</f>
        <v/>
      </c>
      <c r="KPB3" t="str">
        <f>IFERROR(IF($C3="","",SUMIFS(Ledger!$K$2:$K$4, Ledger!$B$2:$B$4, $A3, Ledger!$C$2:$C$4, KPB$2)),"****")</f>
        <v/>
      </c>
      <c r="KPC3" t="str">
        <f>IFERROR(IF($C3="","",SUMIFS(Ledger!$K$2:$K$4, Ledger!$B$2:$B$4, $A3, Ledger!$C$2:$C$4, KPC$2)),"****")</f>
        <v/>
      </c>
      <c r="KPD3" t="str">
        <f>IFERROR(IF($C3="","",SUMIFS(Ledger!$K$2:$K$4, Ledger!$B$2:$B$4, $A3, Ledger!$C$2:$C$4, KPD$2)),"****")</f>
        <v/>
      </c>
      <c r="KPE3" t="str">
        <f>IFERROR(IF($C3="","",SUMIFS(Ledger!$K$2:$K$4, Ledger!$B$2:$B$4, $A3, Ledger!$C$2:$C$4, KPE$2)),"****")</f>
        <v/>
      </c>
      <c r="KPF3" t="str">
        <f>IFERROR(IF($C3="","",SUMIFS(Ledger!$K$2:$K$4, Ledger!$B$2:$B$4, $A3, Ledger!$C$2:$C$4, KPF$2)),"****")</f>
        <v/>
      </c>
      <c r="KPG3" t="str">
        <f>IFERROR(IF($C3="","",SUMIFS(Ledger!$K$2:$K$4, Ledger!$B$2:$B$4, $A3, Ledger!$C$2:$C$4, KPG$2)),"****")</f>
        <v/>
      </c>
      <c r="KPH3" t="str">
        <f>IFERROR(IF($C3="","",SUMIFS(Ledger!$K$2:$K$4, Ledger!$B$2:$B$4, $A3, Ledger!$C$2:$C$4, KPH$2)),"****")</f>
        <v/>
      </c>
      <c r="KPI3" t="str">
        <f>IFERROR(IF($C3="","",SUMIFS(Ledger!$K$2:$K$4, Ledger!$B$2:$B$4, $A3, Ledger!$C$2:$C$4, KPI$2)),"****")</f>
        <v/>
      </c>
      <c r="KPJ3" t="str">
        <f>IFERROR(IF($C3="","",SUMIFS(Ledger!$K$2:$K$4, Ledger!$B$2:$B$4, $A3, Ledger!$C$2:$C$4, KPJ$2)),"****")</f>
        <v/>
      </c>
      <c r="KPK3" t="str">
        <f>IFERROR(IF($C3="","",SUMIFS(Ledger!$K$2:$K$4, Ledger!$B$2:$B$4, $A3, Ledger!$C$2:$C$4, KPK$2)),"****")</f>
        <v/>
      </c>
      <c r="KPL3" t="str">
        <f>IFERROR(IF($C3="","",SUMIFS(Ledger!$K$2:$K$4, Ledger!$B$2:$B$4, $A3, Ledger!$C$2:$C$4, KPL$2)),"****")</f>
        <v/>
      </c>
      <c r="KPM3" t="str">
        <f>IFERROR(IF($C3="","",SUMIFS(Ledger!$K$2:$K$4, Ledger!$B$2:$B$4, $A3, Ledger!$C$2:$C$4, KPM$2)),"****")</f>
        <v/>
      </c>
      <c r="KPN3" t="str">
        <f>IFERROR(IF($C3="","",SUMIFS(Ledger!$K$2:$K$4, Ledger!$B$2:$B$4, $A3, Ledger!$C$2:$C$4, KPN$2)),"****")</f>
        <v/>
      </c>
      <c r="KPO3" t="str">
        <f>IFERROR(IF($C3="","",SUMIFS(Ledger!$K$2:$K$4, Ledger!$B$2:$B$4, $A3, Ledger!$C$2:$C$4, KPO$2)),"****")</f>
        <v/>
      </c>
      <c r="KPP3" t="str">
        <f>IFERROR(IF($C3="","",SUMIFS(Ledger!$K$2:$K$4, Ledger!$B$2:$B$4, $A3, Ledger!$C$2:$C$4, KPP$2)),"****")</f>
        <v/>
      </c>
      <c r="KPQ3" t="str">
        <f>IFERROR(IF($C3="","",SUMIFS(Ledger!$K$2:$K$4, Ledger!$B$2:$B$4, $A3, Ledger!$C$2:$C$4, KPQ$2)),"****")</f>
        <v/>
      </c>
      <c r="KPR3" t="str">
        <f>IFERROR(IF($C3="","",SUMIFS(Ledger!$K$2:$K$4, Ledger!$B$2:$B$4, $A3, Ledger!$C$2:$C$4, KPR$2)),"****")</f>
        <v/>
      </c>
      <c r="KPS3" t="str">
        <f>IFERROR(IF($C3="","",SUMIFS(Ledger!$K$2:$K$4, Ledger!$B$2:$B$4, $A3, Ledger!$C$2:$C$4, KPS$2)),"****")</f>
        <v/>
      </c>
      <c r="KPT3" t="str">
        <f>IFERROR(IF($C3="","",SUMIFS(Ledger!$K$2:$K$4, Ledger!$B$2:$B$4, $A3, Ledger!$C$2:$C$4, KPT$2)),"****")</f>
        <v/>
      </c>
      <c r="KPU3" t="str">
        <f>IFERROR(IF($C3="","",SUMIFS(Ledger!$K$2:$K$4, Ledger!$B$2:$B$4, $A3, Ledger!$C$2:$C$4, KPU$2)),"****")</f>
        <v/>
      </c>
      <c r="KPV3" t="str">
        <f>IFERROR(IF($C3="","",SUMIFS(Ledger!$K$2:$K$4, Ledger!$B$2:$B$4, $A3, Ledger!$C$2:$C$4, KPV$2)),"****")</f>
        <v/>
      </c>
      <c r="KPW3" t="str">
        <f>IFERROR(IF($C3="","",SUMIFS(Ledger!$K$2:$K$4, Ledger!$B$2:$B$4, $A3, Ledger!$C$2:$C$4, KPW$2)),"****")</f>
        <v/>
      </c>
      <c r="KPX3" t="str">
        <f>IFERROR(IF($C3="","",SUMIFS(Ledger!$K$2:$K$4, Ledger!$B$2:$B$4, $A3, Ledger!$C$2:$C$4, KPX$2)),"****")</f>
        <v/>
      </c>
      <c r="KPY3" t="str">
        <f>IFERROR(IF($C3="","",SUMIFS(Ledger!$K$2:$K$4, Ledger!$B$2:$B$4, $A3, Ledger!$C$2:$C$4, KPY$2)),"****")</f>
        <v/>
      </c>
      <c r="KPZ3" t="str">
        <f>IFERROR(IF($C3="","",SUMIFS(Ledger!$K$2:$K$4, Ledger!$B$2:$B$4, $A3, Ledger!$C$2:$C$4, KPZ$2)),"****")</f>
        <v/>
      </c>
      <c r="KQA3" t="str">
        <f>IFERROR(IF($C3="","",SUMIFS(Ledger!$K$2:$K$4, Ledger!$B$2:$B$4, $A3, Ledger!$C$2:$C$4, KQA$2)),"****")</f>
        <v/>
      </c>
      <c r="KQB3" t="str">
        <f>IFERROR(IF($C3="","",SUMIFS(Ledger!$K$2:$K$4, Ledger!$B$2:$B$4, $A3, Ledger!$C$2:$C$4, KQB$2)),"****")</f>
        <v/>
      </c>
      <c r="KQC3" t="str">
        <f>IFERROR(IF($C3="","",SUMIFS(Ledger!$K$2:$K$4, Ledger!$B$2:$B$4, $A3, Ledger!$C$2:$C$4, KQC$2)),"****")</f>
        <v/>
      </c>
      <c r="KQD3" t="str">
        <f>IFERROR(IF($C3="","",SUMIFS(Ledger!$K$2:$K$4, Ledger!$B$2:$B$4, $A3, Ledger!$C$2:$C$4, KQD$2)),"****")</f>
        <v/>
      </c>
      <c r="KQE3" t="str">
        <f>IFERROR(IF($C3="","",SUMIFS(Ledger!$K$2:$K$4, Ledger!$B$2:$B$4, $A3, Ledger!$C$2:$C$4, KQE$2)),"****")</f>
        <v/>
      </c>
      <c r="KQF3" t="str">
        <f>IFERROR(IF($C3="","",SUMIFS(Ledger!$K$2:$K$4, Ledger!$B$2:$B$4, $A3, Ledger!$C$2:$C$4, KQF$2)),"****")</f>
        <v/>
      </c>
      <c r="KQG3" t="str">
        <f>IFERROR(IF($C3="","",SUMIFS(Ledger!$K$2:$K$4, Ledger!$B$2:$B$4, $A3, Ledger!$C$2:$C$4, KQG$2)),"****")</f>
        <v/>
      </c>
      <c r="KQH3" t="str">
        <f>IFERROR(IF($C3="","",SUMIFS(Ledger!$K$2:$K$4, Ledger!$B$2:$B$4, $A3, Ledger!$C$2:$C$4, KQH$2)),"****")</f>
        <v/>
      </c>
      <c r="KQI3" t="str">
        <f>IFERROR(IF($C3="","",SUMIFS(Ledger!$K$2:$K$4, Ledger!$B$2:$B$4, $A3, Ledger!$C$2:$C$4, KQI$2)),"****")</f>
        <v/>
      </c>
      <c r="KQJ3" t="str">
        <f>IFERROR(IF($C3="","",SUMIFS(Ledger!$K$2:$K$4, Ledger!$B$2:$B$4, $A3, Ledger!$C$2:$C$4, KQJ$2)),"****")</f>
        <v/>
      </c>
      <c r="KQK3" t="str">
        <f>IFERROR(IF($C3="","",SUMIFS(Ledger!$K$2:$K$4, Ledger!$B$2:$B$4, $A3, Ledger!$C$2:$C$4, KQK$2)),"****")</f>
        <v/>
      </c>
      <c r="KQL3" t="str">
        <f>IFERROR(IF($C3="","",SUMIFS(Ledger!$K$2:$K$4, Ledger!$B$2:$B$4, $A3, Ledger!$C$2:$C$4, KQL$2)),"****")</f>
        <v/>
      </c>
      <c r="KQM3" t="str">
        <f>IFERROR(IF($C3="","",SUMIFS(Ledger!$K$2:$K$4, Ledger!$B$2:$B$4, $A3, Ledger!$C$2:$C$4, KQM$2)),"****")</f>
        <v/>
      </c>
      <c r="KQN3" t="str">
        <f>IFERROR(IF($C3="","",SUMIFS(Ledger!$K$2:$K$4, Ledger!$B$2:$B$4, $A3, Ledger!$C$2:$C$4, KQN$2)),"****")</f>
        <v/>
      </c>
      <c r="KQO3" t="str">
        <f>IFERROR(IF($C3="","",SUMIFS(Ledger!$K$2:$K$4, Ledger!$B$2:$B$4, $A3, Ledger!$C$2:$C$4, KQO$2)),"****")</f>
        <v/>
      </c>
      <c r="KQP3" t="str">
        <f>IFERROR(IF($C3="","",SUMIFS(Ledger!$K$2:$K$4, Ledger!$B$2:$B$4, $A3, Ledger!$C$2:$C$4, KQP$2)),"****")</f>
        <v/>
      </c>
      <c r="KQQ3" t="str">
        <f>IFERROR(IF($C3="","",SUMIFS(Ledger!$K$2:$K$4, Ledger!$B$2:$B$4, $A3, Ledger!$C$2:$C$4, KQQ$2)),"****")</f>
        <v/>
      </c>
      <c r="KQR3" t="str">
        <f>IFERROR(IF($C3="","",SUMIFS(Ledger!$K$2:$K$4, Ledger!$B$2:$B$4, $A3, Ledger!$C$2:$C$4, KQR$2)),"****")</f>
        <v/>
      </c>
      <c r="KQS3" t="str">
        <f>IFERROR(IF($C3="","",SUMIFS(Ledger!$K$2:$K$4, Ledger!$B$2:$B$4, $A3, Ledger!$C$2:$C$4, KQS$2)),"****")</f>
        <v/>
      </c>
      <c r="KQT3" t="str">
        <f>IFERROR(IF($C3="","",SUMIFS(Ledger!$K$2:$K$4, Ledger!$B$2:$B$4, $A3, Ledger!$C$2:$C$4, KQT$2)),"****")</f>
        <v/>
      </c>
      <c r="KQU3" t="str">
        <f>IFERROR(IF($C3="","",SUMIFS(Ledger!$K$2:$K$4, Ledger!$B$2:$B$4, $A3, Ledger!$C$2:$C$4, KQU$2)),"****")</f>
        <v/>
      </c>
      <c r="KQV3" t="str">
        <f>IFERROR(IF($C3="","",SUMIFS(Ledger!$K$2:$K$4, Ledger!$B$2:$B$4, $A3, Ledger!$C$2:$C$4, KQV$2)),"****")</f>
        <v/>
      </c>
      <c r="KQW3" t="str">
        <f>IFERROR(IF($C3="","",SUMIFS(Ledger!$K$2:$K$4, Ledger!$B$2:$B$4, $A3, Ledger!$C$2:$C$4, KQW$2)),"****")</f>
        <v/>
      </c>
      <c r="KQX3" t="str">
        <f>IFERROR(IF($C3="","",SUMIFS(Ledger!$K$2:$K$4, Ledger!$B$2:$B$4, $A3, Ledger!$C$2:$C$4, KQX$2)),"****")</f>
        <v/>
      </c>
      <c r="KQY3" t="str">
        <f>IFERROR(IF($C3="","",SUMIFS(Ledger!$K$2:$K$4, Ledger!$B$2:$B$4, $A3, Ledger!$C$2:$C$4, KQY$2)),"****")</f>
        <v/>
      </c>
      <c r="KQZ3" t="str">
        <f>IFERROR(IF($C3="","",SUMIFS(Ledger!$K$2:$K$4, Ledger!$B$2:$B$4, $A3, Ledger!$C$2:$C$4, KQZ$2)),"****")</f>
        <v/>
      </c>
      <c r="KRA3" t="str">
        <f>IFERROR(IF($C3="","",SUMIFS(Ledger!$K$2:$K$4, Ledger!$B$2:$B$4, $A3, Ledger!$C$2:$C$4, KRA$2)),"****")</f>
        <v/>
      </c>
      <c r="KRB3" t="str">
        <f>IFERROR(IF($C3="","",SUMIFS(Ledger!$K$2:$K$4, Ledger!$B$2:$B$4, $A3, Ledger!$C$2:$C$4, KRB$2)),"****")</f>
        <v/>
      </c>
      <c r="KRC3" t="str">
        <f>IFERROR(IF($C3="","",SUMIFS(Ledger!$K$2:$K$4, Ledger!$B$2:$B$4, $A3, Ledger!$C$2:$C$4, KRC$2)),"****")</f>
        <v/>
      </c>
      <c r="KRD3" t="str">
        <f>IFERROR(IF($C3="","",SUMIFS(Ledger!$K$2:$K$4, Ledger!$B$2:$B$4, $A3, Ledger!$C$2:$C$4, KRD$2)),"****")</f>
        <v/>
      </c>
      <c r="KRE3" t="str">
        <f>IFERROR(IF($C3="","",SUMIFS(Ledger!$K$2:$K$4, Ledger!$B$2:$B$4, $A3, Ledger!$C$2:$C$4, KRE$2)),"****")</f>
        <v/>
      </c>
      <c r="KRF3" t="str">
        <f>IFERROR(IF($C3="","",SUMIFS(Ledger!$K$2:$K$4, Ledger!$B$2:$B$4, $A3, Ledger!$C$2:$C$4, KRF$2)),"****")</f>
        <v/>
      </c>
      <c r="KRG3" t="str">
        <f>IFERROR(IF($C3="","",SUMIFS(Ledger!$K$2:$K$4, Ledger!$B$2:$B$4, $A3, Ledger!$C$2:$C$4, KRG$2)),"****")</f>
        <v/>
      </c>
      <c r="KRH3" t="str">
        <f>IFERROR(IF($C3="","",SUMIFS(Ledger!$K$2:$K$4, Ledger!$B$2:$B$4, $A3, Ledger!$C$2:$C$4, KRH$2)),"****")</f>
        <v/>
      </c>
      <c r="KRI3" t="str">
        <f>IFERROR(IF($C3="","",SUMIFS(Ledger!$K$2:$K$4, Ledger!$B$2:$B$4, $A3, Ledger!$C$2:$C$4, KRI$2)),"****")</f>
        <v/>
      </c>
      <c r="KRJ3" t="str">
        <f>IFERROR(IF($C3="","",SUMIFS(Ledger!$K$2:$K$4, Ledger!$B$2:$B$4, $A3, Ledger!$C$2:$C$4, KRJ$2)),"****")</f>
        <v/>
      </c>
      <c r="KRK3" t="str">
        <f>IFERROR(IF($C3="","",SUMIFS(Ledger!$K$2:$K$4, Ledger!$B$2:$B$4, $A3, Ledger!$C$2:$C$4, KRK$2)),"****")</f>
        <v/>
      </c>
      <c r="KRL3" t="str">
        <f>IFERROR(IF($C3="","",SUMIFS(Ledger!$K$2:$K$4, Ledger!$B$2:$B$4, $A3, Ledger!$C$2:$C$4, KRL$2)),"****")</f>
        <v/>
      </c>
      <c r="KRM3" t="str">
        <f>IFERROR(IF($C3="","",SUMIFS(Ledger!$K$2:$K$4, Ledger!$B$2:$B$4, $A3, Ledger!$C$2:$C$4, KRM$2)),"****")</f>
        <v/>
      </c>
      <c r="KRN3" t="str">
        <f>IFERROR(IF($C3="","",SUMIFS(Ledger!$K$2:$K$4, Ledger!$B$2:$B$4, $A3, Ledger!$C$2:$C$4, KRN$2)),"****")</f>
        <v/>
      </c>
      <c r="KRO3" t="str">
        <f>IFERROR(IF($C3="","",SUMIFS(Ledger!$K$2:$K$4, Ledger!$B$2:$B$4, $A3, Ledger!$C$2:$C$4, KRO$2)),"****")</f>
        <v/>
      </c>
      <c r="KRP3" t="str">
        <f>IFERROR(IF($C3="","",SUMIFS(Ledger!$K$2:$K$4, Ledger!$B$2:$B$4, $A3, Ledger!$C$2:$C$4, KRP$2)),"****")</f>
        <v/>
      </c>
      <c r="KRQ3" t="str">
        <f>IFERROR(IF($C3="","",SUMIFS(Ledger!$K$2:$K$4, Ledger!$B$2:$B$4, $A3, Ledger!$C$2:$C$4, KRQ$2)),"****")</f>
        <v/>
      </c>
      <c r="KRR3" t="str">
        <f>IFERROR(IF($C3="","",SUMIFS(Ledger!$K$2:$K$4, Ledger!$B$2:$B$4, $A3, Ledger!$C$2:$C$4, KRR$2)),"****")</f>
        <v/>
      </c>
      <c r="KRS3" t="str">
        <f>IFERROR(IF($C3="","",SUMIFS(Ledger!$K$2:$K$4, Ledger!$B$2:$B$4, $A3, Ledger!$C$2:$C$4, KRS$2)),"****")</f>
        <v/>
      </c>
      <c r="KRT3" t="str">
        <f>IFERROR(IF($C3="","",SUMIFS(Ledger!$K$2:$K$4, Ledger!$B$2:$B$4, $A3, Ledger!$C$2:$C$4, KRT$2)),"****")</f>
        <v/>
      </c>
      <c r="KRU3" t="str">
        <f>IFERROR(IF($C3="","",SUMIFS(Ledger!$K$2:$K$4, Ledger!$B$2:$B$4, $A3, Ledger!$C$2:$C$4, KRU$2)),"****")</f>
        <v/>
      </c>
      <c r="KRV3" t="str">
        <f>IFERROR(IF($C3="","",SUMIFS(Ledger!$K$2:$K$4, Ledger!$B$2:$B$4, $A3, Ledger!$C$2:$C$4, KRV$2)),"****")</f>
        <v/>
      </c>
      <c r="KRW3" t="str">
        <f>IFERROR(IF($C3="","",SUMIFS(Ledger!$K$2:$K$4, Ledger!$B$2:$B$4, $A3, Ledger!$C$2:$C$4, KRW$2)),"****")</f>
        <v/>
      </c>
      <c r="KRX3" t="str">
        <f>IFERROR(IF($C3="","",SUMIFS(Ledger!$K$2:$K$4, Ledger!$B$2:$B$4, $A3, Ledger!$C$2:$C$4, KRX$2)),"****")</f>
        <v/>
      </c>
      <c r="KRY3" t="str">
        <f>IFERROR(IF($C3="","",SUMIFS(Ledger!$K$2:$K$4, Ledger!$B$2:$B$4, $A3, Ledger!$C$2:$C$4, KRY$2)),"****")</f>
        <v/>
      </c>
      <c r="KRZ3" t="str">
        <f>IFERROR(IF($C3="","",SUMIFS(Ledger!$K$2:$K$4, Ledger!$B$2:$B$4, $A3, Ledger!$C$2:$C$4, KRZ$2)),"****")</f>
        <v/>
      </c>
      <c r="KSA3" t="str">
        <f>IFERROR(IF($C3="","",SUMIFS(Ledger!$K$2:$K$4, Ledger!$B$2:$B$4, $A3, Ledger!$C$2:$C$4, KSA$2)),"****")</f>
        <v/>
      </c>
      <c r="KSB3" t="str">
        <f>IFERROR(IF($C3="","",SUMIFS(Ledger!$K$2:$K$4, Ledger!$B$2:$B$4, $A3, Ledger!$C$2:$C$4, KSB$2)),"****")</f>
        <v/>
      </c>
      <c r="KSC3" t="str">
        <f>IFERROR(IF($C3="","",SUMIFS(Ledger!$K$2:$K$4, Ledger!$B$2:$B$4, $A3, Ledger!$C$2:$C$4, KSC$2)),"****")</f>
        <v/>
      </c>
      <c r="KSD3" t="str">
        <f>IFERROR(IF($C3="","",SUMIFS(Ledger!$K$2:$K$4, Ledger!$B$2:$B$4, $A3, Ledger!$C$2:$C$4, KSD$2)),"****")</f>
        <v/>
      </c>
      <c r="KSE3" t="str">
        <f>IFERROR(IF($C3="","",SUMIFS(Ledger!$K$2:$K$4, Ledger!$B$2:$B$4, $A3, Ledger!$C$2:$C$4, KSE$2)),"****")</f>
        <v/>
      </c>
      <c r="KSF3" t="str">
        <f>IFERROR(IF($C3="","",SUMIFS(Ledger!$K$2:$K$4, Ledger!$B$2:$B$4, $A3, Ledger!$C$2:$C$4, KSF$2)),"****")</f>
        <v/>
      </c>
      <c r="KSG3" t="str">
        <f>IFERROR(IF($C3="","",SUMIFS(Ledger!$K$2:$K$4, Ledger!$B$2:$B$4, $A3, Ledger!$C$2:$C$4, KSG$2)),"****")</f>
        <v/>
      </c>
      <c r="KSH3" t="str">
        <f>IFERROR(IF($C3="","",SUMIFS(Ledger!$K$2:$K$4, Ledger!$B$2:$B$4, $A3, Ledger!$C$2:$C$4, KSH$2)),"****")</f>
        <v/>
      </c>
      <c r="KSI3" t="str">
        <f>IFERROR(IF($C3="","",SUMIFS(Ledger!$K$2:$K$4, Ledger!$B$2:$B$4, $A3, Ledger!$C$2:$C$4, KSI$2)),"****")</f>
        <v/>
      </c>
      <c r="KSJ3" t="str">
        <f>IFERROR(IF($C3="","",SUMIFS(Ledger!$K$2:$K$4, Ledger!$B$2:$B$4, $A3, Ledger!$C$2:$C$4, KSJ$2)),"****")</f>
        <v/>
      </c>
      <c r="KSK3" t="str">
        <f>IFERROR(IF($C3="","",SUMIFS(Ledger!$K$2:$K$4, Ledger!$B$2:$B$4, $A3, Ledger!$C$2:$C$4, KSK$2)),"****")</f>
        <v/>
      </c>
      <c r="KSL3" t="str">
        <f>IFERROR(IF($C3="","",SUMIFS(Ledger!$K$2:$K$4, Ledger!$B$2:$B$4, $A3, Ledger!$C$2:$C$4, KSL$2)),"****")</f>
        <v/>
      </c>
      <c r="KSM3" t="str">
        <f>IFERROR(IF($C3="","",SUMIFS(Ledger!$K$2:$K$4, Ledger!$B$2:$B$4, $A3, Ledger!$C$2:$C$4, KSM$2)),"****")</f>
        <v/>
      </c>
      <c r="KSN3" t="str">
        <f>IFERROR(IF($C3="","",SUMIFS(Ledger!$K$2:$K$4, Ledger!$B$2:$B$4, $A3, Ledger!$C$2:$C$4, KSN$2)),"****")</f>
        <v/>
      </c>
      <c r="KSO3" t="str">
        <f>IFERROR(IF($C3="","",SUMIFS(Ledger!$K$2:$K$4, Ledger!$B$2:$B$4, $A3, Ledger!$C$2:$C$4, KSO$2)),"****")</f>
        <v/>
      </c>
      <c r="KSP3" t="str">
        <f>IFERROR(IF($C3="","",SUMIFS(Ledger!$K$2:$K$4, Ledger!$B$2:$B$4, $A3, Ledger!$C$2:$C$4, KSP$2)),"****")</f>
        <v/>
      </c>
      <c r="KSQ3" t="str">
        <f>IFERROR(IF($C3="","",SUMIFS(Ledger!$K$2:$K$4, Ledger!$B$2:$B$4, $A3, Ledger!$C$2:$C$4, KSQ$2)),"****")</f>
        <v/>
      </c>
      <c r="KSR3" t="str">
        <f>IFERROR(IF($C3="","",SUMIFS(Ledger!$K$2:$K$4, Ledger!$B$2:$B$4, $A3, Ledger!$C$2:$C$4, KSR$2)),"****")</f>
        <v/>
      </c>
      <c r="KSS3" t="str">
        <f>IFERROR(IF($C3="","",SUMIFS(Ledger!$K$2:$K$4, Ledger!$B$2:$B$4, $A3, Ledger!$C$2:$C$4, KSS$2)),"****")</f>
        <v/>
      </c>
      <c r="KST3" t="str">
        <f>IFERROR(IF($C3="","",SUMIFS(Ledger!$K$2:$K$4, Ledger!$B$2:$B$4, $A3, Ledger!$C$2:$C$4, KST$2)),"****")</f>
        <v/>
      </c>
      <c r="KSU3" t="str">
        <f>IFERROR(IF($C3="","",SUMIFS(Ledger!$K$2:$K$4, Ledger!$B$2:$B$4, $A3, Ledger!$C$2:$C$4, KSU$2)),"****")</f>
        <v/>
      </c>
      <c r="KSV3" t="str">
        <f>IFERROR(IF($C3="","",SUMIFS(Ledger!$K$2:$K$4, Ledger!$B$2:$B$4, $A3, Ledger!$C$2:$C$4, KSV$2)),"****")</f>
        <v/>
      </c>
      <c r="KSW3" t="str">
        <f>IFERROR(IF($C3="","",SUMIFS(Ledger!$K$2:$K$4, Ledger!$B$2:$B$4, $A3, Ledger!$C$2:$C$4, KSW$2)),"****")</f>
        <v/>
      </c>
      <c r="KSX3" t="str">
        <f>IFERROR(IF($C3="","",SUMIFS(Ledger!$K$2:$K$4, Ledger!$B$2:$B$4, $A3, Ledger!$C$2:$C$4, KSX$2)),"****")</f>
        <v/>
      </c>
      <c r="KSY3" t="str">
        <f>IFERROR(IF($C3="","",SUMIFS(Ledger!$K$2:$K$4, Ledger!$B$2:$B$4, $A3, Ledger!$C$2:$C$4, KSY$2)),"****")</f>
        <v/>
      </c>
      <c r="KSZ3" t="str">
        <f>IFERROR(IF($C3="","",SUMIFS(Ledger!$K$2:$K$4, Ledger!$B$2:$B$4, $A3, Ledger!$C$2:$C$4, KSZ$2)),"****")</f>
        <v/>
      </c>
      <c r="KTA3" t="str">
        <f>IFERROR(IF($C3="","",SUMIFS(Ledger!$K$2:$K$4, Ledger!$B$2:$B$4, $A3, Ledger!$C$2:$C$4, KTA$2)),"****")</f>
        <v/>
      </c>
      <c r="KTB3" t="str">
        <f>IFERROR(IF($C3="","",SUMIFS(Ledger!$K$2:$K$4, Ledger!$B$2:$B$4, $A3, Ledger!$C$2:$C$4, KTB$2)),"****")</f>
        <v/>
      </c>
      <c r="KTC3" t="str">
        <f>IFERROR(IF($C3="","",SUMIFS(Ledger!$K$2:$K$4, Ledger!$B$2:$B$4, $A3, Ledger!$C$2:$C$4, KTC$2)),"****")</f>
        <v/>
      </c>
      <c r="KTD3" t="str">
        <f>IFERROR(IF($C3="","",SUMIFS(Ledger!$K$2:$K$4, Ledger!$B$2:$B$4, $A3, Ledger!$C$2:$C$4, KTD$2)),"****")</f>
        <v/>
      </c>
      <c r="KTE3" t="str">
        <f>IFERROR(IF($C3="","",SUMIFS(Ledger!$K$2:$K$4, Ledger!$B$2:$B$4, $A3, Ledger!$C$2:$C$4, KTE$2)),"****")</f>
        <v/>
      </c>
      <c r="KTF3" t="str">
        <f>IFERROR(IF($C3="","",SUMIFS(Ledger!$K$2:$K$4, Ledger!$B$2:$B$4, $A3, Ledger!$C$2:$C$4, KTF$2)),"****")</f>
        <v/>
      </c>
      <c r="KTG3" t="str">
        <f>IFERROR(IF($C3="","",SUMIFS(Ledger!$K$2:$K$4, Ledger!$B$2:$B$4, $A3, Ledger!$C$2:$C$4, KTG$2)),"****")</f>
        <v/>
      </c>
      <c r="KTH3" t="str">
        <f>IFERROR(IF($C3="","",SUMIFS(Ledger!$K$2:$K$4, Ledger!$B$2:$B$4, $A3, Ledger!$C$2:$C$4, KTH$2)),"****")</f>
        <v/>
      </c>
      <c r="KTI3" t="str">
        <f>IFERROR(IF($C3="","",SUMIFS(Ledger!$K$2:$K$4, Ledger!$B$2:$B$4, $A3, Ledger!$C$2:$C$4, KTI$2)),"****")</f>
        <v/>
      </c>
      <c r="KTJ3" t="str">
        <f>IFERROR(IF($C3="","",SUMIFS(Ledger!$K$2:$K$4, Ledger!$B$2:$B$4, $A3, Ledger!$C$2:$C$4, KTJ$2)),"****")</f>
        <v/>
      </c>
      <c r="KTK3" t="str">
        <f>IFERROR(IF($C3="","",SUMIFS(Ledger!$K$2:$K$4, Ledger!$B$2:$B$4, $A3, Ledger!$C$2:$C$4, KTK$2)),"****")</f>
        <v/>
      </c>
      <c r="KTL3" t="str">
        <f>IFERROR(IF($C3="","",SUMIFS(Ledger!$K$2:$K$4, Ledger!$B$2:$B$4, $A3, Ledger!$C$2:$C$4, KTL$2)),"****")</f>
        <v/>
      </c>
      <c r="KTM3" t="str">
        <f>IFERROR(IF($C3="","",SUMIFS(Ledger!$K$2:$K$4, Ledger!$B$2:$B$4, $A3, Ledger!$C$2:$C$4, KTM$2)),"****")</f>
        <v/>
      </c>
      <c r="KTN3" t="str">
        <f>IFERROR(IF($C3="","",SUMIFS(Ledger!$K$2:$K$4, Ledger!$B$2:$B$4, $A3, Ledger!$C$2:$C$4, KTN$2)),"****")</f>
        <v/>
      </c>
      <c r="KTO3" t="str">
        <f>IFERROR(IF($C3="","",SUMIFS(Ledger!$K$2:$K$4, Ledger!$B$2:$B$4, $A3, Ledger!$C$2:$C$4, KTO$2)),"****")</f>
        <v/>
      </c>
      <c r="KTP3" t="str">
        <f>IFERROR(IF($C3="","",SUMIFS(Ledger!$K$2:$K$4, Ledger!$B$2:$B$4, $A3, Ledger!$C$2:$C$4, KTP$2)),"****")</f>
        <v/>
      </c>
      <c r="KTQ3" t="str">
        <f>IFERROR(IF($C3="","",SUMIFS(Ledger!$K$2:$K$4, Ledger!$B$2:$B$4, $A3, Ledger!$C$2:$C$4, KTQ$2)),"****")</f>
        <v/>
      </c>
      <c r="KTR3" t="str">
        <f>IFERROR(IF($C3="","",SUMIFS(Ledger!$K$2:$K$4, Ledger!$B$2:$B$4, $A3, Ledger!$C$2:$C$4, KTR$2)),"****")</f>
        <v/>
      </c>
      <c r="KTS3" t="str">
        <f>IFERROR(IF($C3="","",SUMIFS(Ledger!$K$2:$K$4, Ledger!$B$2:$B$4, $A3, Ledger!$C$2:$C$4, KTS$2)),"****")</f>
        <v/>
      </c>
      <c r="KTT3" t="str">
        <f>IFERROR(IF($C3="","",SUMIFS(Ledger!$K$2:$K$4, Ledger!$B$2:$B$4, $A3, Ledger!$C$2:$C$4, KTT$2)),"****")</f>
        <v/>
      </c>
      <c r="KTU3" t="str">
        <f>IFERROR(IF($C3="","",SUMIFS(Ledger!$K$2:$K$4, Ledger!$B$2:$B$4, $A3, Ledger!$C$2:$C$4, KTU$2)),"****")</f>
        <v/>
      </c>
      <c r="KTV3" t="str">
        <f>IFERROR(IF($C3="","",SUMIFS(Ledger!$K$2:$K$4, Ledger!$B$2:$B$4, $A3, Ledger!$C$2:$C$4, KTV$2)),"****")</f>
        <v/>
      </c>
      <c r="KTW3" t="str">
        <f>IFERROR(IF($C3="","",SUMIFS(Ledger!$K$2:$K$4, Ledger!$B$2:$B$4, $A3, Ledger!$C$2:$C$4, KTW$2)),"****")</f>
        <v/>
      </c>
      <c r="KTX3" t="str">
        <f>IFERROR(IF($C3="","",SUMIFS(Ledger!$K$2:$K$4, Ledger!$B$2:$B$4, $A3, Ledger!$C$2:$C$4, KTX$2)),"****")</f>
        <v/>
      </c>
      <c r="KTY3" t="str">
        <f>IFERROR(IF($C3="","",SUMIFS(Ledger!$K$2:$K$4, Ledger!$B$2:$B$4, $A3, Ledger!$C$2:$C$4, KTY$2)),"****")</f>
        <v/>
      </c>
      <c r="KTZ3" t="str">
        <f>IFERROR(IF($C3="","",SUMIFS(Ledger!$K$2:$K$4, Ledger!$B$2:$B$4, $A3, Ledger!$C$2:$C$4, KTZ$2)),"****")</f>
        <v/>
      </c>
      <c r="KUA3" t="str">
        <f>IFERROR(IF($C3="","",SUMIFS(Ledger!$K$2:$K$4, Ledger!$B$2:$B$4, $A3, Ledger!$C$2:$C$4, KUA$2)),"****")</f>
        <v/>
      </c>
      <c r="KUB3" t="str">
        <f>IFERROR(IF($C3="","",SUMIFS(Ledger!$K$2:$K$4, Ledger!$B$2:$B$4, $A3, Ledger!$C$2:$C$4, KUB$2)),"****")</f>
        <v/>
      </c>
      <c r="KUC3" t="str">
        <f>IFERROR(IF($C3="","",SUMIFS(Ledger!$K$2:$K$4, Ledger!$B$2:$B$4, $A3, Ledger!$C$2:$C$4, KUC$2)),"****")</f>
        <v/>
      </c>
      <c r="KUD3" t="str">
        <f>IFERROR(IF($C3="","",SUMIFS(Ledger!$K$2:$K$4, Ledger!$B$2:$B$4, $A3, Ledger!$C$2:$C$4, KUD$2)),"****")</f>
        <v/>
      </c>
      <c r="KUE3" t="str">
        <f>IFERROR(IF($C3="","",SUMIFS(Ledger!$K$2:$K$4, Ledger!$B$2:$B$4, $A3, Ledger!$C$2:$C$4, KUE$2)),"****")</f>
        <v/>
      </c>
      <c r="KUF3" t="str">
        <f>IFERROR(IF($C3="","",SUMIFS(Ledger!$K$2:$K$4, Ledger!$B$2:$B$4, $A3, Ledger!$C$2:$C$4, KUF$2)),"****")</f>
        <v/>
      </c>
      <c r="KUG3" t="str">
        <f>IFERROR(IF($C3="","",SUMIFS(Ledger!$K$2:$K$4, Ledger!$B$2:$B$4, $A3, Ledger!$C$2:$C$4, KUG$2)),"****")</f>
        <v/>
      </c>
      <c r="KUH3" t="str">
        <f>IFERROR(IF($C3="","",SUMIFS(Ledger!$K$2:$K$4, Ledger!$B$2:$B$4, $A3, Ledger!$C$2:$C$4, KUH$2)),"****")</f>
        <v/>
      </c>
      <c r="KUI3" t="str">
        <f>IFERROR(IF($C3="","",SUMIFS(Ledger!$K$2:$K$4, Ledger!$B$2:$B$4, $A3, Ledger!$C$2:$C$4, KUI$2)),"****")</f>
        <v/>
      </c>
      <c r="KUJ3" t="str">
        <f>IFERROR(IF($C3="","",SUMIFS(Ledger!$K$2:$K$4, Ledger!$B$2:$B$4, $A3, Ledger!$C$2:$C$4, KUJ$2)),"****")</f>
        <v/>
      </c>
      <c r="KUK3" t="str">
        <f>IFERROR(IF($C3="","",SUMIFS(Ledger!$K$2:$K$4, Ledger!$B$2:$B$4, $A3, Ledger!$C$2:$C$4, KUK$2)),"****")</f>
        <v/>
      </c>
      <c r="KUL3" t="str">
        <f>IFERROR(IF($C3="","",SUMIFS(Ledger!$K$2:$K$4, Ledger!$B$2:$B$4, $A3, Ledger!$C$2:$C$4, KUL$2)),"****")</f>
        <v/>
      </c>
      <c r="KUM3" t="str">
        <f>IFERROR(IF($C3="","",SUMIFS(Ledger!$K$2:$K$4, Ledger!$B$2:$B$4, $A3, Ledger!$C$2:$C$4, KUM$2)),"****")</f>
        <v/>
      </c>
      <c r="KUN3" t="str">
        <f>IFERROR(IF($C3="","",SUMIFS(Ledger!$K$2:$K$4, Ledger!$B$2:$B$4, $A3, Ledger!$C$2:$C$4, KUN$2)),"****")</f>
        <v/>
      </c>
      <c r="KUO3" t="str">
        <f>IFERROR(IF($C3="","",SUMIFS(Ledger!$K$2:$K$4, Ledger!$B$2:$B$4, $A3, Ledger!$C$2:$C$4, KUO$2)),"****")</f>
        <v/>
      </c>
      <c r="KUP3" t="str">
        <f>IFERROR(IF($C3="","",SUMIFS(Ledger!$K$2:$K$4, Ledger!$B$2:$B$4, $A3, Ledger!$C$2:$C$4, KUP$2)),"****")</f>
        <v/>
      </c>
      <c r="KUQ3" t="str">
        <f>IFERROR(IF($C3="","",SUMIFS(Ledger!$K$2:$K$4, Ledger!$B$2:$B$4, $A3, Ledger!$C$2:$C$4, KUQ$2)),"****")</f>
        <v/>
      </c>
      <c r="KUR3" t="str">
        <f>IFERROR(IF($C3="","",SUMIFS(Ledger!$K$2:$K$4, Ledger!$B$2:$B$4, $A3, Ledger!$C$2:$C$4, KUR$2)),"****")</f>
        <v/>
      </c>
      <c r="KUS3" t="str">
        <f>IFERROR(IF($C3="","",SUMIFS(Ledger!$K$2:$K$4, Ledger!$B$2:$B$4, $A3, Ledger!$C$2:$C$4, KUS$2)),"****")</f>
        <v/>
      </c>
      <c r="KUT3" t="str">
        <f>IFERROR(IF($C3="","",SUMIFS(Ledger!$K$2:$K$4, Ledger!$B$2:$B$4, $A3, Ledger!$C$2:$C$4, KUT$2)),"****")</f>
        <v/>
      </c>
      <c r="KUU3" t="str">
        <f>IFERROR(IF($C3="","",SUMIFS(Ledger!$K$2:$K$4, Ledger!$B$2:$B$4, $A3, Ledger!$C$2:$C$4, KUU$2)),"****")</f>
        <v/>
      </c>
      <c r="KUV3" t="str">
        <f>IFERROR(IF($C3="","",SUMIFS(Ledger!$K$2:$K$4, Ledger!$B$2:$B$4, $A3, Ledger!$C$2:$C$4, KUV$2)),"****")</f>
        <v/>
      </c>
      <c r="KUW3" t="str">
        <f>IFERROR(IF($C3="","",SUMIFS(Ledger!$K$2:$K$4, Ledger!$B$2:$B$4, $A3, Ledger!$C$2:$C$4, KUW$2)),"****")</f>
        <v/>
      </c>
      <c r="KUX3" t="str">
        <f>IFERROR(IF($C3="","",SUMIFS(Ledger!$K$2:$K$4, Ledger!$B$2:$B$4, $A3, Ledger!$C$2:$C$4, KUX$2)),"****")</f>
        <v/>
      </c>
      <c r="KUY3" t="str">
        <f>IFERROR(IF($C3="","",SUMIFS(Ledger!$K$2:$K$4, Ledger!$B$2:$B$4, $A3, Ledger!$C$2:$C$4, KUY$2)),"****")</f>
        <v/>
      </c>
      <c r="KUZ3" t="str">
        <f>IFERROR(IF($C3="","",SUMIFS(Ledger!$K$2:$K$4, Ledger!$B$2:$B$4, $A3, Ledger!$C$2:$C$4, KUZ$2)),"****")</f>
        <v/>
      </c>
      <c r="KVA3" t="str">
        <f>IFERROR(IF($C3="","",SUMIFS(Ledger!$K$2:$K$4, Ledger!$B$2:$B$4, $A3, Ledger!$C$2:$C$4, KVA$2)),"****")</f>
        <v/>
      </c>
      <c r="KVB3" t="str">
        <f>IFERROR(IF($C3="","",SUMIFS(Ledger!$K$2:$K$4, Ledger!$B$2:$B$4, $A3, Ledger!$C$2:$C$4, KVB$2)),"****")</f>
        <v/>
      </c>
      <c r="KVC3" t="str">
        <f>IFERROR(IF($C3="","",SUMIFS(Ledger!$K$2:$K$4, Ledger!$B$2:$B$4, $A3, Ledger!$C$2:$C$4, KVC$2)),"****")</f>
        <v/>
      </c>
      <c r="KVD3" t="str">
        <f>IFERROR(IF($C3="","",SUMIFS(Ledger!$K$2:$K$4, Ledger!$B$2:$B$4, $A3, Ledger!$C$2:$C$4, KVD$2)),"****")</f>
        <v/>
      </c>
      <c r="KVE3" t="str">
        <f>IFERROR(IF($C3="","",SUMIFS(Ledger!$K$2:$K$4, Ledger!$B$2:$B$4, $A3, Ledger!$C$2:$C$4, KVE$2)),"****")</f>
        <v/>
      </c>
      <c r="KVF3" t="str">
        <f>IFERROR(IF($C3="","",SUMIFS(Ledger!$K$2:$K$4, Ledger!$B$2:$B$4, $A3, Ledger!$C$2:$C$4, KVF$2)),"****")</f>
        <v/>
      </c>
      <c r="KVG3" t="str">
        <f>IFERROR(IF($C3="","",SUMIFS(Ledger!$K$2:$K$4, Ledger!$B$2:$B$4, $A3, Ledger!$C$2:$C$4, KVG$2)),"****")</f>
        <v/>
      </c>
      <c r="KVH3" t="str">
        <f>IFERROR(IF($C3="","",SUMIFS(Ledger!$K$2:$K$4, Ledger!$B$2:$B$4, $A3, Ledger!$C$2:$C$4, KVH$2)),"****")</f>
        <v/>
      </c>
      <c r="KVI3" t="str">
        <f>IFERROR(IF($C3="","",SUMIFS(Ledger!$K$2:$K$4, Ledger!$B$2:$B$4, $A3, Ledger!$C$2:$C$4, KVI$2)),"****")</f>
        <v/>
      </c>
      <c r="KVJ3" t="str">
        <f>IFERROR(IF($C3="","",SUMIFS(Ledger!$K$2:$K$4, Ledger!$B$2:$B$4, $A3, Ledger!$C$2:$C$4, KVJ$2)),"****")</f>
        <v/>
      </c>
      <c r="KVK3" t="str">
        <f>IFERROR(IF($C3="","",SUMIFS(Ledger!$K$2:$K$4, Ledger!$B$2:$B$4, $A3, Ledger!$C$2:$C$4, KVK$2)),"****")</f>
        <v/>
      </c>
      <c r="KVL3" t="str">
        <f>IFERROR(IF($C3="","",SUMIFS(Ledger!$K$2:$K$4, Ledger!$B$2:$B$4, $A3, Ledger!$C$2:$C$4, KVL$2)),"****")</f>
        <v/>
      </c>
      <c r="KVM3" t="str">
        <f>IFERROR(IF($C3="","",SUMIFS(Ledger!$K$2:$K$4, Ledger!$B$2:$B$4, $A3, Ledger!$C$2:$C$4, KVM$2)),"****")</f>
        <v/>
      </c>
      <c r="KVN3" t="str">
        <f>IFERROR(IF($C3="","",SUMIFS(Ledger!$K$2:$K$4, Ledger!$B$2:$B$4, $A3, Ledger!$C$2:$C$4, KVN$2)),"****")</f>
        <v/>
      </c>
      <c r="KVO3" t="str">
        <f>IFERROR(IF($C3="","",SUMIFS(Ledger!$K$2:$K$4, Ledger!$B$2:$B$4, $A3, Ledger!$C$2:$C$4, KVO$2)),"****")</f>
        <v/>
      </c>
      <c r="KVP3" t="str">
        <f>IFERROR(IF($C3="","",SUMIFS(Ledger!$K$2:$K$4, Ledger!$B$2:$B$4, $A3, Ledger!$C$2:$C$4, KVP$2)),"****")</f>
        <v/>
      </c>
      <c r="KVQ3" t="str">
        <f>IFERROR(IF($C3="","",SUMIFS(Ledger!$K$2:$K$4, Ledger!$B$2:$B$4, $A3, Ledger!$C$2:$C$4, KVQ$2)),"****")</f>
        <v/>
      </c>
      <c r="KVR3" t="str">
        <f>IFERROR(IF($C3="","",SUMIFS(Ledger!$K$2:$K$4, Ledger!$B$2:$B$4, $A3, Ledger!$C$2:$C$4, KVR$2)),"****")</f>
        <v/>
      </c>
      <c r="KVS3" t="str">
        <f>IFERROR(IF($C3="","",SUMIFS(Ledger!$K$2:$K$4, Ledger!$B$2:$B$4, $A3, Ledger!$C$2:$C$4, KVS$2)),"****")</f>
        <v/>
      </c>
      <c r="KVT3" t="str">
        <f>IFERROR(IF($C3="","",SUMIFS(Ledger!$K$2:$K$4, Ledger!$B$2:$B$4, $A3, Ledger!$C$2:$C$4, KVT$2)),"****")</f>
        <v/>
      </c>
      <c r="KVU3" t="str">
        <f>IFERROR(IF($C3="","",SUMIFS(Ledger!$K$2:$K$4, Ledger!$B$2:$B$4, $A3, Ledger!$C$2:$C$4, KVU$2)),"****")</f>
        <v/>
      </c>
      <c r="KVV3" t="str">
        <f>IFERROR(IF($C3="","",SUMIFS(Ledger!$K$2:$K$4, Ledger!$B$2:$B$4, $A3, Ledger!$C$2:$C$4, KVV$2)),"****")</f>
        <v/>
      </c>
      <c r="KVW3" t="str">
        <f>IFERROR(IF($C3="","",SUMIFS(Ledger!$K$2:$K$4, Ledger!$B$2:$B$4, $A3, Ledger!$C$2:$C$4, KVW$2)),"****")</f>
        <v/>
      </c>
      <c r="KVX3" t="str">
        <f>IFERROR(IF($C3="","",SUMIFS(Ledger!$K$2:$K$4, Ledger!$B$2:$B$4, $A3, Ledger!$C$2:$C$4, KVX$2)),"****")</f>
        <v/>
      </c>
      <c r="KVY3" t="str">
        <f>IFERROR(IF($C3="","",SUMIFS(Ledger!$K$2:$K$4, Ledger!$B$2:$B$4, $A3, Ledger!$C$2:$C$4, KVY$2)),"****")</f>
        <v/>
      </c>
      <c r="KVZ3" t="str">
        <f>IFERROR(IF($C3="","",SUMIFS(Ledger!$K$2:$K$4, Ledger!$B$2:$B$4, $A3, Ledger!$C$2:$C$4, KVZ$2)),"****")</f>
        <v/>
      </c>
      <c r="KWA3" t="str">
        <f>IFERROR(IF($C3="","",SUMIFS(Ledger!$K$2:$K$4, Ledger!$B$2:$B$4, $A3, Ledger!$C$2:$C$4, KWA$2)),"****")</f>
        <v/>
      </c>
      <c r="KWB3" t="str">
        <f>IFERROR(IF($C3="","",SUMIFS(Ledger!$K$2:$K$4, Ledger!$B$2:$B$4, $A3, Ledger!$C$2:$C$4, KWB$2)),"****")</f>
        <v/>
      </c>
      <c r="KWC3" t="str">
        <f>IFERROR(IF($C3="","",SUMIFS(Ledger!$K$2:$K$4, Ledger!$B$2:$B$4, $A3, Ledger!$C$2:$C$4, KWC$2)),"****")</f>
        <v/>
      </c>
      <c r="KWD3" t="str">
        <f>IFERROR(IF($C3="","",SUMIFS(Ledger!$K$2:$K$4, Ledger!$B$2:$B$4, $A3, Ledger!$C$2:$C$4, KWD$2)),"****")</f>
        <v/>
      </c>
      <c r="KWE3" t="str">
        <f>IFERROR(IF($C3="","",SUMIFS(Ledger!$K$2:$K$4, Ledger!$B$2:$B$4, $A3, Ledger!$C$2:$C$4, KWE$2)),"****")</f>
        <v/>
      </c>
      <c r="KWF3" t="str">
        <f>IFERROR(IF($C3="","",SUMIFS(Ledger!$K$2:$K$4, Ledger!$B$2:$B$4, $A3, Ledger!$C$2:$C$4, KWF$2)),"****")</f>
        <v/>
      </c>
      <c r="KWG3" t="str">
        <f>IFERROR(IF($C3="","",SUMIFS(Ledger!$K$2:$K$4, Ledger!$B$2:$B$4, $A3, Ledger!$C$2:$C$4, KWG$2)),"****")</f>
        <v/>
      </c>
      <c r="KWH3" t="str">
        <f>IFERROR(IF($C3="","",SUMIFS(Ledger!$K$2:$K$4, Ledger!$B$2:$B$4, $A3, Ledger!$C$2:$C$4, KWH$2)),"****")</f>
        <v/>
      </c>
      <c r="KWI3" t="str">
        <f>IFERROR(IF($C3="","",SUMIFS(Ledger!$K$2:$K$4, Ledger!$B$2:$B$4, $A3, Ledger!$C$2:$C$4, KWI$2)),"****")</f>
        <v/>
      </c>
      <c r="KWJ3" t="str">
        <f>IFERROR(IF($C3="","",SUMIFS(Ledger!$K$2:$K$4, Ledger!$B$2:$B$4, $A3, Ledger!$C$2:$C$4, KWJ$2)),"****")</f>
        <v/>
      </c>
      <c r="KWK3" t="str">
        <f>IFERROR(IF($C3="","",SUMIFS(Ledger!$K$2:$K$4, Ledger!$B$2:$B$4, $A3, Ledger!$C$2:$C$4, KWK$2)),"****")</f>
        <v/>
      </c>
      <c r="KWL3" t="str">
        <f>IFERROR(IF($C3="","",SUMIFS(Ledger!$K$2:$K$4, Ledger!$B$2:$B$4, $A3, Ledger!$C$2:$C$4, KWL$2)),"****")</f>
        <v/>
      </c>
      <c r="KWM3" t="str">
        <f>IFERROR(IF($C3="","",SUMIFS(Ledger!$K$2:$K$4, Ledger!$B$2:$B$4, $A3, Ledger!$C$2:$C$4, KWM$2)),"****")</f>
        <v/>
      </c>
      <c r="KWN3" t="str">
        <f>IFERROR(IF($C3="","",SUMIFS(Ledger!$K$2:$K$4, Ledger!$B$2:$B$4, $A3, Ledger!$C$2:$C$4, KWN$2)),"****")</f>
        <v/>
      </c>
      <c r="KWO3" t="str">
        <f>IFERROR(IF($C3="","",SUMIFS(Ledger!$K$2:$K$4, Ledger!$B$2:$B$4, $A3, Ledger!$C$2:$C$4, KWO$2)),"****")</f>
        <v/>
      </c>
      <c r="KWP3" t="str">
        <f>IFERROR(IF($C3="","",SUMIFS(Ledger!$K$2:$K$4, Ledger!$B$2:$B$4, $A3, Ledger!$C$2:$C$4, KWP$2)),"****")</f>
        <v/>
      </c>
      <c r="KWQ3" t="str">
        <f>IFERROR(IF($C3="","",SUMIFS(Ledger!$K$2:$K$4, Ledger!$B$2:$B$4, $A3, Ledger!$C$2:$C$4, KWQ$2)),"****")</f>
        <v/>
      </c>
      <c r="KWR3" t="str">
        <f>IFERROR(IF($C3="","",SUMIFS(Ledger!$K$2:$K$4, Ledger!$B$2:$B$4, $A3, Ledger!$C$2:$C$4, KWR$2)),"****")</f>
        <v/>
      </c>
      <c r="KWS3" t="str">
        <f>IFERROR(IF($C3="","",SUMIFS(Ledger!$K$2:$K$4, Ledger!$B$2:$B$4, $A3, Ledger!$C$2:$C$4, KWS$2)),"****")</f>
        <v/>
      </c>
      <c r="KWT3" t="str">
        <f>IFERROR(IF($C3="","",SUMIFS(Ledger!$K$2:$K$4, Ledger!$B$2:$B$4, $A3, Ledger!$C$2:$C$4, KWT$2)),"****")</f>
        <v/>
      </c>
      <c r="KWU3" t="str">
        <f>IFERROR(IF($C3="","",SUMIFS(Ledger!$K$2:$K$4, Ledger!$B$2:$B$4, $A3, Ledger!$C$2:$C$4, KWU$2)),"****")</f>
        <v/>
      </c>
      <c r="KWV3" t="str">
        <f>IFERROR(IF($C3="","",SUMIFS(Ledger!$K$2:$K$4, Ledger!$B$2:$B$4, $A3, Ledger!$C$2:$C$4, KWV$2)),"****")</f>
        <v/>
      </c>
      <c r="KWW3" t="str">
        <f>IFERROR(IF($C3="","",SUMIFS(Ledger!$K$2:$K$4, Ledger!$B$2:$B$4, $A3, Ledger!$C$2:$C$4, KWW$2)),"****")</f>
        <v/>
      </c>
      <c r="KWX3" t="str">
        <f>IFERROR(IF($C3="","",SUMIFS(Ledger!$K$2:$K$4, Ledger!$B$2:$B$4, $A3, Ledger!$C$2:$C$4, KWX$2)),"****")</f>
        <v/>
      </c>
      <c r="KWY3" t="str">
        <f>IFERROR(IF($C3="","",SUMIFS(Ledger!$K$2:$K$4, Ledger!$B$2:$B$4, $A3, Ledger!$C$2:$C$4, KWY$2)),"****")</f>
        <v/>
      </c>
      <c r="KWZ3" t="str">
        <f>IFERROR(IF($C3="","",SUMIFS(Ledger!$K$2:$K$4, Ledger!$B$2:$B$4, $A3, Ledger!$C$2:$C$4, KWZ$2)),"****")</f>
        <v/>
      </c>
      <c r="KXA3" t="str">
        <f>IFERROR(IF($C3="","",SUMIFS(Ledger!$K$2:$K$4, Ledger!$B$2:$B$4, $A3, Ledger!$C$2:$C$4, KXA$2)),"****")</f>
        <v/>
      </c>
      <c r="KXB3" t="str">
        <f>IFERROR(IF($C3="","",SUMIFS(Ledger!$K$2:$K$4, Ledger!$B$2:$B$4, $A3, Ledger!$C$2:$C$4, KXB$2)),"****")</f>
        <v/>
      </c>
      <c r="KXC3" t="str">
        <f>IFERROR(IF($C3="","",SUMIFS(Ledger!$K$2:$K$4, Ledger!$B$2:$B$4, $A3, Ledger!$C$2:$C$4, KXC$2)),"****")</f>
        <v/>
      </c>
      <c r="KXD3" t="str">
        <f>IFERROR(IF($C3="","",SUMIFS(Ledger!$K$2:$K$4, Ledger!$B$2:$B$4, $A3, Ledger!$C$2:$C$4, KXD$2)),"****")</f>
        <v/>
      </c>
      <c r="KXE3" t="str">
        <f>IFERROR(IF($C3="","",SUMIFS(Ledger!$K$2:$K$4, Ledger!$B$2:$B$4, $A3, Ledger!$C$2:$C$4, KXE$2)),"****")</f>
        <v/>
      </c>
      <c r="KXF3" t="str">
        <f>IFERROR(IF($C3="","",SUMIFS(Ledger!$K$2:$K$4, Ledger!$B$2:$B$4, $A3, Ledger!$C$2:$C$4, KXF$2)),"****")</f>
        <v/>
      </c>
      <c r="KXG3" t="str">
        <f>IFERROR(IF($C3="","",SUMIFS(Ledger!$K$2:$K$4, Ledger!$B$2:$B$4, $A3, Ledger!$C$2:$C$4, KXG$2)),"****")</f>
        <v/>
      </c>
      <c r="KXH3" t="str">
        <f>IFERROR(IF($C3="","",SUMIFS(Ledger!$K$2:$K$4, Ledger!$B$2:$B$4, $A3, Ledger!$C$2:$C$4, KXH$2)),"****")</f>
        <v/>
      </c>
      <c r="KXI3" t="str">
        <f>IFERROR(IF($C3="","",SUMIFS(Ledger!$K$2:$K$4, Ledger!$B$2:$B$4, $A3, Ledger!$C$2:$C$4, KXI$2)),"****")</f>
        <v/>
      </c>
      <c r="KXJ3" t="str">
        <f>IFERROR(IF($C3="","",SUMIFS(Ledger!$K$2:$K$4, Ledger!$B$2:$B$4, $A3, Ledger!$C$2:$C$4, KXJ$2)),"****")</f>
        <v/>
      </c>
      <c r="KXK3" t="str">
        <f>IFERROR(IF($C3="","",SUMIFS(Ledger!$K$2:$K$4, Ledger!$B$2:$B$4, $A3, Ledger!$C$2:$C$4, KXK$2)),"****")</f>
        <v/>
      </c>
      <c r="KXL3" t="str">
        <f>IFERROR(IF($C3="","",SUMIFS(Ledger!$K$2:$K$4, Ledger!$B$2:$B$4, $A3, Ledger!$C$2:$C$4, KXL$2)),"****")</f>
        <v/>
      </c>
      <c r="KXM3" t="str">
        <f>IFERROR(IF($C3="","",SUMIFS(Ledger!$K$2:$K$4, Ledger!$B$2:$B$4, $A3, Ledger!$C$2:$C$4, KXM$2)),"****")</f>
        <v/>
      </c>
      <c r="KXN3" t="str">
        <f>IFERROR(IF($C3="","",SUMIFS(Ledger!$K$2:$K$4, Ledger!$B$2:$B$4, $A3, Ledger!$C$2:$C$4, KXN$2)),"****")</f>
        <v/>
      </c>
      <c r="KXO3" t="str">
        <f>IFERROR(IF($C3="","",SUMIFS(Ledger!$K$2:$K$4, Ledger!$B$2:$B$4, $A3, Ledger!$C$2:$C$4, KXO$2)),"****")</f>
        <v/>
      </c>
      <c r="KXP3" t="str">
        <f>IFERROR(IF($C3="","",SUMIFS(Ledger!$K$2:$K$4, Ledger!$B$2:$B$4, $A3, Ledger!$C$2:$C$4, KXP$2)),"****")</f>
        <v/>
      </c>
      <c r="KXQ3" t="str">
        <f>IFERROR(IF($C3="","",SUMIFS(Ledger!$K$2:$K$4, Ledger!$B$2:$B$4, $A3, Ledger!$C$2:$C$4, KXQ$2)),"****")</f>
        <v/>
      </c>
      <c r="KXR3" t="str">
        <f>IFERROR(IF($C3="","",SUMIFS(Ledger!$K$2:$K$4, Ledger!$B$2:$B$4, $A3, Ledger!$C$2:$C$4, KXR$2)),"****")</f>
        <v/>
      </c>
      <c r="KXS3" t="str">
        <f>IFERROR(IF($C3="","",SUMIFS(Ledger!$K$2:$K$4, Ledger!$B$2:$B$4, $A3, Ledger!$C$2:$C$4, KXS$2)),"****")</f>
        <v/>
      </c>
      <c r="KXT3" t="str">
        <f>IFERROR(IF($C3="","",SUMIFS(Ledger!$K$2:$K$4, Ledger!$B$2:$B$4, $A3, Ledger!$C$2:$C$4, KXT$2)),"****")</f>
        <v/>
      </c>
      <c r="KXU3" t="str">
        <f>IFERROR(IF($C3="","",SUMIFS(Ledger!$K$2:$K$4, Ledger!$B$2:$B$4, $A3, Ledger!$C$2:$C$4, KXU$2)),"****")</f>
        <v/>
      </c>
      <c r="KXV3" t="str">
        <f>IFERROR(IF($C3="","",SUMIFS(Ledger!$K$2:$K$4, Ledger!$B$2:$B$4, $A3, Ledger!$C$2:$C$4, KXV$2)),"****")</f>
        <v/>
      </c>
      <c r="KXW3" t="str">
        <f>IFERROR(IF($C3="","",SUMIFS(Ledger!$K$2:$K$4, Ledger!$B$2:$B$4, $A3, Ledger!$C$2:$C$4, KXW$2)),"****")</f>
        <v/>
      </c>
      <c r="KXX3" t="str">
        <f>IFERROR(IF($C3="","",SUMIFS(Ledger!$K$2:$K$4, Ledger!$B$2:$B$4, $A3, Ledger!$C$2:$C$4, KXX$2)),"****")</f>
        <v/>
      </c>
      <c r="KXY3" t="str">
        <f>IFERROR(IF($C3="","",SUMIFS(Ledger!$K$2:$K$4, Ledger!$B$2:$B$4, $A3, Ledger!$C$2:$C$4, KXY$2)),"****")</f>
        <v/>
      </c>
      <c r="KXZ3" t="str">
        <f>IFERROR(IF($C3="","",SUMIFS(Ledger!$K$2:$K$4, Ledger!$B$2:$B$4, $A3, Ledger!$C$2:$C$4, KXZ$2)),"****")</f>
        <v/>
      </c>
      <c r="KYA3" t="str">
        <f>IFERROR(IF($C3="","",SUMIFS(Ledger!$K$2:$K$4, Ledger!$B$2:$B$4, $A3, Ledger!$C$2:$C$4, KYA$2)),"****")</f>
        <v/>
      </c>
      <c r="KYB3" t="str">
        <f>IFERROR(IF($C3="","",SUMIFS(Ledger!$K$2:$K$4, Ledger!$B$2:$B$4, $A3, Ledger!$C$2:$C$4, KYB$2)),"****")</f>
        <v/>
      </c>
      <c r="KYC3" t="str">
        <f>IFERROR(IF($C3="","",SUMIFS(Ledger!$K$2:$K$4, Ledger!$B$2:$B$4, $A3, Ledger!$C$2:$C$4, KYC$2)),"****")</f>
        <v/>
      </c>
      <c r="KYD3" t="str">
        <f>IFERROR(IF($C3="","",SUMIFS(Ledger!$K$2:$K$4, Ledger!$B$2:$B$4, $A3, Ledger!$C$2:$C$4, KYD$2)),"****")</f>
        <v/>
      </c>
      <c r="KYE3" t="str">
        <f>IFERROR(IF($C3="","",SUMIFS(Ledger!$K$2:$K$4, Ledger!$B$2:$B$4, $A3, Ledger!$C$2:$C$4, KYE$2)),"****")</f>
        <v/>
      </c>
      <c r="KYF3" t="str">
        <f>IFERROR(IF($C3="","",SUMIFS(Ledger!$K$2:$K$4, Ledger!$B$2:$B$4, $A3, Ledger!$C$2:$C$4, KYF$2)),"****")</f>
        <v/>
      </c>
      <c r="KYG3" t="str">
        <f>IFERROR(IF($C3="","",SUMIFS(Ledger!$K$2:$K$4, Ledger!$B$2:$B$4, $A3, Ledger!$C$2:$C$4, KYG$2)),"****")</f>
        <v/>
      </c>
      <c r="KYH3" t="str">
        <f>IFERROR(IF($C3="","",SUMIFS(Ledger!$K$2:$K$4, Ledger!$B$2:$B$4, $A3, Ledger!$C$2:$C$4, KYH$2)),"****")</f>
        <v/>
      </c>
      <c r="KYI3" t="str">
        <f>IFERROR(IF($C3="","",SUMIFS(Ledger!$K$2:$K$4, Ledger!$B$2:$B$4, $A3, Ledger!$C$2:$C$4, KYI$2)),"****")</f>
        <v/>
      </c>
      <c r="KYJ3" t="str">
        <f>IFERROR(IF($C3="","",SUMIFS(Ledger!$K$2:$K$4, Ledger!$B$2:$B$4, $A3, Ledger!$C$2:$C$4, KYJ$2)),"****")</f>
        <v/>
      </c>
      <c r="KYK3" t="str">
        <f>IFERROR(IF($C3="","",SUMIFS(Ledger!$K$2:$K$4, Ledger!$B$2:$B$4, $A3, Ledger!$C$2:$C$4, KYK$2)),"****")</f>
        <v/>
      </c>
      <c r="KYL3" t="str">
        <f>IFERROR(IF($C3="","",SUMIFS(Ledger!$K$2:$K$4, Ledger!$B$2:$B$4, $A3, Ledger!$C$2:$C$4, KYL$2)),"****")</f>
        <v/>
      </c>
      <c r="KYM3" t="str">
        <f>IFERROR(IF($C3="","",SUMIFS(Ledger!$K$2:$K$4, Ledger!$B$2:$B$4, $A3, Ledger!$C$2:$C$4, KYM$2)),"****")</f>
        <v/>
      </c>
      <c r="KYN3" t="str">
        <f>IFERROR(IF($C3="","",SUMIFS(Ledger!$K$2:$K$4, Ledger!$B$2:$B$4, $A3, Ledger!$C$2:$C$4, KYN$2)),"****")</f>
        <v/>
      </c>
      <c r="KYO3" t="str">
        <f>IFERROR(IF($C3="","",SUMIFS(Ledger!$K$2:$K$4, Ledger!$B$2:$B$4, $A3, Ledger!$C$2:$C$4, KYO$2)),"****")</f>
        <v/>
      </c>
      <c r="KYP3" t="str">
        <f>IFERROR(IF($C3="","",SUMIFS(Ledger!$K$2:$K$4, Ledger!$B$2:$B$4, $A3, Ledger!$C$2:$C$4, KYP$2)),"****")</f>
        <v/>
      </c>
      <c r="KYQ3" t="str">
        <f>IFERROR(IF($C3="","",SUMIFS(Ledger!$K$2:$K$4, Ledger!$B$2:$B$4, $A3, Ledger!$C$2:$C$4, KYQ$2)),"****")</f>
        <v/>
      </c>
      <c r="KYR3" t="str">
        <f>IFERROR(IF($C3="","",SUMIFS(Ledger!$K$2:$K$4, Ledger!$B$2:$B$4, $A3, Ledger!$C$2:$C$4, KYR$2)),"****")</f>
        <v/>
      </c>
      <c r="KYS3" t="str">
        <f>IFERROR(IF($C3="","",SUMIFS(Ledger!$K$2:$K$4, Ledger!$B$2:$B$4, $A3, Ledger!$C$2:$C$4, KYS$2)),"****")</f>
        <v/>
      </c>
      <c r="KYT3" t="str">
        <f>IFERROR(IF($C3="","",SUMIFS(Ledger!$K$2:$K$4, Ledger!$B$2:$B$4, $A3, Ledger!$C$2:$C$4, KYT$2)),"****")</f>
        <v/>
      </c>
      <c r="KYU3" t="str">
        <f>IFERROR(IF($C3="","",SUMIFS(Ledger!$K$2:$K$4, Ledger!$B$2:$B$4, $A3, Ledger!$C$2:$C$4, KYU$2)),"****")</f>
        <v/>
      </c>
      <c r="KYV3" t="str">
        <f>IFERROR(IF($C3="","",SUMIFS(Ledger!$K$2:$K$4, Ledger!$B$2:$B$4, $A3, Ledger!$C$2:$C$4, KYV$2)),"****")</f>
        <v/>
      </c>
      <c r="KYW3" t="str">
        <f>IFERROR(IF($C3="","",SUMIFS(Ledger!$K$2:$K$4, Ledger!$B$2:$B$4, $A3, Ledger!$C$2:$C$4, KYW$2)),"****")</f>
        <v/>
      </c>
      <c r="KYX3" t="str">
        <f>IFERROR(IF($C3="","",SUMIFS(Ledger!$K$2:$K$4, Ledger!$B$2:$B$4, $A3, Ledger!$C$2:$C$4, KYX$2)),"****")</f>
        <v/>
      </c>
      <c r="KYY3" t="str">
        <f>IFERROR(IF($C3="","",SUMIFS(Ledger!$K$2:$K$4, Ledger!$B$2:$B$4, $A3, Ledger!$C$2:$C$4, KYY$2)),"****")</f>
        <v/>
      </c>
      <c r="KYZ3" t="str">
        <f>IFERROR(IF($C3="","",SUMIFS(Ledger!$K$2:$K$4, Ledger!$B$2:$B$4, $A3, Ledger!$C$2:$C$4, KYZ$2)),"****")</f>
        <v/>
      </c>
      <c r="KZA3" t="str">
        <f>IFERROR(IF($C3="","",SUMIFS(Ledger!$K$2:$K$4, Ledger!$B$2:$B$4, $A3, Ledger!$C$2:$C$4, KZA$2)),"****")</f>
        <v/>
      </c>
      <c r="KZB3" t="str">
        <f>IFERROR(IF($C3="","",SUMIFS(Ledger!$K$2:$K$4, Ledger!$B$2:$B$4, $A3, Ledger!$C$2:$C$4, KZB$2)),"****")</f>
        <v/>
      </c>
      <c r="KZC3" t="str">
        <f>IFERROR(IF($C3="","",SUMIFS(Ledger!$K$2:$K$4, Ledger!$B$2:$B$4, $A3, Ledger!$C$2:$C$4, KZC$2)),"****")</f>
        <v/>
      </c>
      <c r="KZD3" t="str">
        <f>IFERROR(IF($C3="","",SUMIFS(Ledger!$K$2:$K$4, Ledger!$B$2:$B$4, $A3, Ledger!$C$2:$C$4, KZD$2)),"****")</f>
        <v/>
      </c>
      <c r="KZE3" t="str">
        <f>IFERROR(IF($C3="","",SUMIFS(Ledger!$K$2:$K$4, Ledger!$B$2:$B$4, $A3, Ledger!$C$2:$C$4, KZE$2)),"****")</f>
        <v/>
      </c>
      <c r="KZF3" t="str">
        <f>IFERROR(IF($C3="","",SUMIFS(Ledger!$K$2:$K$4, Ledger!$B$2:$B$4, $A3, Ledger!$C$2:$C$4, KZF$2)),"****")</f>
        <v/>
      </c>
      <c r="KZG3" t="str">
        <f>IFERROR(IF($C3="","",SUMIFS(Ledger!$K$2:$K$4, Ledger!$B$2:$B$4, $A3, Ledger!$C$2:$C$4, KZG$2)),"****")</f>
        <v/>
      </c>
      <c r="KZH3" t="str">
        <f>IFERROR(IF($C3="","",SUMIFS(Ledger!$K$2:$K$4, Ledger!$B$2:$B$4, $A3, Ledger!$C$2:$C$4, KZH$2)),"****")</f>
        <v/>
      </c>
      <c r="KZI3" t="str">
        <f>IFERROR(IF($C3="","",SUMIFS(Ledger!$K$2:$K$4, Ledger!$B$2:$B$4, $A3, Ledger!$C$2:$C$4, KZI$2)),"****")</f>
        <v/>
      </c>
      <c r="KZJ3" t="str">
        <f>IFERROR(IF($C3="","",SUMIFS(Ledger!$K$2:$K$4, Ledger!$B$2:$B$4, $A3, Ledger!$C$2:$C$4, KZJ$2)),"****")</f>
        <v/>
      </c>
      <c r="KZK3" t="str">
        <f>IFERROR(IF($C3="","",SUMIFS(Ledger!$K$2:$K$4, Ledger!$B$2:$B$4, $A3, Ledger!$C$2:$C$4, KZK$2)),"****")</f>
        <v/>
      </c>
      <c r="KZL3" t="str">
        <f>IFERROR(IF($C3="","",SUMIFS(Ledger!$K$2:$K$4, Ledger!$B$2:$B$4, $A3, Ledger!$C$2:$C$4, KZL$2)),"****")</f>
        <v/>
      </c>
      <c r="KZM3" t="str">
        <f>IFERROR(IF($C3="","",SUMIFS(Ledger!$K$2:$K$4, Ledger!$B$2:$B$4, $A3, Ledger!$C$2:$C$4, KZM$2)),"****")</f>
        <v/>
      </c>
      <c r="KZN3" t="str">
        <f>IFERROR(IF($C3="","",SUMIFS(Ledger!$K$2:$K$4, Ledger!$B$2:$B$4, $A3, Ledger!$C$2:$C$4, KZN$2)),"****")</f>
        <v/>
      </c>
      <c r="KZO3" t="str">
        <f>IFERROR(IF($C3="","",SUMIFS(Ledger!$K$2:$K$4, Ledger!$B$2:$B$4, $A3, Ledger!$C$2:$C$4, KZO$2)),"****")</f>
        <v/>
      </c>
      <c r="KZP3" t="str">
        <f>IFERROR(IF($C3="","",SUMIFS(Ledger!$K$2:$K$4, Ledger!$B$2:$B$4, $A3, Ledger!$C$2:$C$4, KZP$2)),"****")</f>
        <v/>
      </c>
      <c r="KZQ3" t="str">
        <f>IFERROR(IF($C3="","",SUMIFS(Ledger!$K$2:$K$4, Ledger!$B$2:$B$4, $A3, Ledger!$C$2:$C$4, KZQ$2)),"****")</f>
        <v/>
      </c>
      <c r="KZR3" t="str">
        <f>IFERROR(IF($C3="","",SUMIFS(Ledger!$K$2:$K$4, Ledger!$B$2:$B$4, $A3, Ledger!$C$2:$C$4, KZR$2)),"****")</f>
        <v/>
      </c>
      <c r="KZS3" t="str">
        <f>IFERROR(IF($C3="","",SUMIFS(Ledger!$K$2:$K$4, Ledger!$B$2:$B$4, $A3, Ledger!$C$2:$C$4, KZS$2)),"****")</f>
        <v/>
      </c>
      <c r="KZT3" t="str">
        <f>IFERROR(IF($C3="","",SUMIFS(Ledger!$K$2:$K$4, Ledger!$B$2:$B$4, $A3, Ledger!$C$2:$C$4, KZT$2)),"****")</f>
        <v/>
      </c>
      <c r="KZU3" t="str">
        <f>IFERROR(IF($C3="","",SUMIFS(Ledger!$K$2:$K$4, Ledger!$B$2:$B$4, $A3, Ledger!$C$2:$C$4, KZU$2)),"****")</f>
        <v/>
      </c>
      <c r="KZV3" t="str">
        <f>IFERROR(IF($C3="","",SUMIFS(Ledger!$K$2:$K$4, Ledger!$B$2:$B$4, $A3, Ledger!$C$2:$C$4, KZV$2)),"****")</f>
        <v/>
      </c>
      <c r="KZW3" t="str">
        <f>IFERROR(IF($C3="","",SUMIFS(Ledger!$K$2:$K$4, Ledger!$B$2:$B$4, $A3, Ledger!$C$2:$C$4, KZW$2)),"****")</f>
        <v/>
      </c>
      <c r="KZX3" t="str">
        <f>IFERROR(IF($C3="","",SUMIFS(Ledger!$K$2:$K$4, Ledger!$B$2:$B$4, $A3, Ledger!$C$2:$C$4, KZX$2)),"****")</f>
        <v/>
      </c>
      <c r="KZY3" t="str">
        <f>IFERROR(IF($C3="","",SUMIFS(Ledger!$K$2:$K$4, Ledger!$B$2:$B$4, $A3, Ledger!$C$2:$C$4, KZY$2)),"****")</f>
        <v/>
      </c>
      <c r="KZZ3" t="str">
        <f>IFERROR(IF($C3="","",SUMIFS(Ledger!$K$2:$K$4, Ledger!$B$2:$B$4, $A3, Ledger!$C$2:$C$4, KZZ$2)),"****")</f>
        <v/>
      </c>
      <c r="LAA3" t="str">
        <f>IFERROR(IF($C3="","",SUMIFS(Ledger!$K$2:$K$4, Ledger!$B$2:$B$4, $A3, Ledger!$C$2:$C$4, LAA$2)),"****")</f>
        <v/>
      </c>
      <c r="LAB3" t="str">
        <f>IFERROR(IF($C3="","",SUMIFS(Ledger!$K$2:$K$4, Ledger!$B$2:$B$4, $A3, Ledger!$C$2:$C$4, LAB$2)),"****")</f>
        <v/>
      </c>
      <c r="LAC3" t="str">
        <f>IFERROR(IF($C3="","",SUMIFS(Ledger!$K$2:$K$4, Ledger!$B$2:$B$4, $A3, Ledger!$C$2:$C$4, LAC$2)),"****")</f>
        <v/>
      </c>
      <c r="LAD3" t="str">
        <f>IFERROR(IF($C3="","",SUMIFS(Ledger!$K$2:$K$4, Ledger!$B$2:$B$4, $A3, Ledger!$C$2:$C$4, LAD$2)),"****")</f>
        <v/>
      </c>
      <c r="LAE3" t="str">
        <f>IFERROR(IF($C3="","",SUMIFS(Ledger!$K$2:$K$4, Ledger!$B$2:$B$4, $A3, Ledger!$C$2:$C$4, LAE$2)),"****")</f>
        <v/>
      </c>
      <c r="LAF3" t="str">
        <f>IFERROR(IF($C3="","",SUMIFS(Ledger!$K$2:$K$4, Ledger!$B$2:$B$4, $A3, Ledger!$C$2:$C$4, LAF$2)),"****")</f>
        <v/>
      </c>
      <c r="LAG3" t="str">
        <f>IFERROR(IF($C3="","",SUMIFS(Ledger!$K$2:$K$4, Ledger!$B$2:$B$4, $A3, Ledger!$C$2:$C$4, LAG$2)),"****")</f>
        <v/>
      </c>
      <c r="LAH3" t="str">
        <f>IFERROR(IF($C3="","",SUMIFS(Ledger!$K$2:$K$4, Ledger!$B$2:$B$4, $A3, Ledger!$C$2:$C$4, LAH$2)),"****")</f>
        <v/>
      </c>
      <c r="LAI3" t="str">
        <f>IFERROR(IF($C3="","",SUMIFS(Ledger!$K$2:$K$4, Ledger!$B$2:$B$4, $A3, Ledger!$C$2:$C$4, LAI$2)),"****")</f>
        <v/>
      </c>
      <c r="LAJ3" t="str">
        <f>IFERROR(IF($C3="","",SUMIFS(Ledger!$K$2:$K$4, Ledger!$B$2:$B$4, $A3, Ledger!$C$2:$C$4, LAJ$2)),"****")</f>
        <v/>
      </c>
      <c r="LAK3" t="str">
        <f>IFERROR(IF($C3="","",SUMIFS(Ledger!$K$2:$K$4, Ledger!$B$2:$B$4, $A3, Ledger!$C$2:$C$4, LAK$2)),"****")</f>
        <v/>
      </c>
      <c r="LAL3" t="str">
        <f>IFERROR(IF($C3="","",SUMIFS(Ledger!$K$2:$K$4, Ledger!$B$2:$B$4, $A3, Ledger!$C$2:$C$4, LAL$2)),"****")</f>
        <v/>
      </c>
      <c r="LAM3" t="str">
        <f>IFERROR(IF($C3="","",SUMIFS(Ledger!$K$2:$K$4, Ledger!$B$2:$B$4, $A3, Ledger!$C$2:$C$4, LAM$2)),"****")</f>
        <v/>
      </c>
      <c r="LAN3" t="str">
        <f>IFERROR(IF($C3="","",SUMIFS(Ledger!$K$2:$K$4, Ledger!$B$2:$B$4, $A3, Ledger!$C$2:$C$4, LAN$2)),"****")</f>
        <v/>
      </c>
      <c r="LAO3" t="str">
        <f>IFERROR(IF($C3="","",SUMIFS(Ledger!$K$2:$K$4, Ledger!$B$2:$B$4, $A3, Ledger!$C$2:$C$4, LAO$2)),"****")</f>
        <v/>
      </c>
      <c r="LAP3" t="str">
        <f>IFERROR(IF($C3="","",SUMIFS(Ledger!$K$2:$K$4, Ledger!$B$2:$B$4, $A3, Ledger!$C$2:$C$4, LAP$2)),"****")</f>
        <v/>
      </c>
      <c r="LAQ3" t="str">
        <f>IFERROR(IF($C3="","",SUMIFS(Ledger!$K$2:$K$4, Ledger!$B$2:$B$4, $A3, Ledger!$C$2:$C$4, LAQ$2)),"****")</f>
        <v/>
      </c>
      <c r="LAR3" t="str">
        <f>IFERROR(IF($C3="","",SUMIFS(Ledger!$K$2:$K$4, Ledger!$B$2:$B$4, $A3, Ledger!$C$2:$C$4, LAR$2)),"****")</f>
        <v/>
      </c>
      <c r="LAS3" t="str">
        <f>IFERROR(IF($C3="","",SUMIFS(Ledger!$K$2:$K$4, Ledger!$B$2:$B$4, $A3, Ledger!$C$2:$C$4, LAS$2)),"****")</f>
        <v/>
      </c>
      <c r="LAT3" t="str">
        <f>IFERROR(IF($C3="","",SUMIFS(Ledger!$K$2:$K$4, Ledger!$B$2:$B$4, $A3, Ledger!$C$2:$C$4, LAT$2)),"****")</f>
        <v/>
      </c>
      <c r="LAU3" t="str">
        <f>IFERROR(IF($C3="","",SUMIFS(Ledger!$K$2:$K$4, Ledger!$B$2:$B$4, $A3, Ledger!$C$2:$C$4, LAU$2)),"****")</f>
        <v/>
      </c>
      <c r="LAV3" t="str">
        <f>IFERROR(IF($C3="","",SUMIFS(Ledger!$K$2:$K$4, Ledger!$B$2:$B$4, $A3, Ledger!$C$2:$C$4, LAV$2)),"****")</f>
        <v/>
      </c>
      <c r="LAW3" t="str">
        <f>IFERROR(IF($C3="","",SUMIFS(Ledger!$K$2:$K$4, Ledger!$B$2:$B$4, $A3, Ledger!$C$2:$C$4, LAW$2)),"****")</f>
        <v/>
      </c>
      <c r="LAX3" t="str">
        <f>IFERROR(IF($C3="","",SUMIFS(Ledger!$K$2:$K$4, Ledger!$B$2:$B$4, $A3, Ledger!$C$2:$C$4, LAX$2)),"****")</f>
        <v/>
      </c>
      <c r="LAY3" t="str">
        <f>IFERROR(IF($C3="","",SUMIFS(Ledger!$K$2:$K$4, Ledger!$B$2:$B$4, $A3, Ledger!$C$2:$C$4, LAY$2)),"****")</f>
        <v/>
      </c>
      <c r="LAZ3" t="str">
        <f>IFERROR(IF($C3="","",SUMIFS(Ledger!$K$2:$K$4, Ledger!$B$2:$B$4, $A3, Ledger!$C$2:$C$4, LAZ$2)),"****")</f>
        <v/>
      </c>
      <c r="LBA3" t="str">
        <f>IFERROR(IF($C3="","",SUMIFS(Ledger!$K$2:$K$4, Ledger!$B$2:$B$4, $A3, Ledger!$C$2:$C$4, LBA$2)),"****")</f>
        <v/>
      </c>
      <c r="LBB3" t="str">
        <f>IFERROR(IF($C3="","",SUMIFS(Ledger!$K$2:$K$4, Ledger!$B$2:$B$4, $A3, Ledger!$C$2:$C$4, LBB$2)),"****")</f>
        <v/>
      </c>
      <c r="LBC3" t="str">
        <f>IFERROR(IF($C3="","",SUMIFS(Ledger!$K$2:$K$4, Ledger!$B$2:$B$4, $A3, Ledger!$C$2:$C$4, LBC$2)),"****")</f>
        <v/>
      </c>
      <c r="LBD3" t="str">
        <f>IFERROR(IF($C3="","",SUMIFS(Ledger!$K$2:$K$4, Ledger!$B$2:$B$4, $A3, Ledger!$C$2:$C$4, LBD$2)),"****")</f>
        <v/>
      </c>
      <c r="LBE3" t="str">
        <f>IFERROR(IF($C3="","",SUMIFS(Ledger!$K$2:$K$4, Ledger!$B$2:$B$4, $A3, Ledger!$C$2:$C$4, LBE$2)),"****")</f>
        <v/>
      </c>
      <c r="LBF3" t="str">
        <f>IFERROR(IF($C3="","",SUMIFS(Ledger!$K$2:$K$4, Ledger!$B$2:$B$4, $A3, Ledger!$C$2:$C$4, LBF$2)),"****")</f>
        <v/>
      </c>
      <c r="LBG3" t="str">
        <f>IFERROR(IF($C3="","",SUMIFS(Ledger!$K$2:$K$4, Ledger!$B$2:$B$4, $A3, Ledger!$C$2:$C$4, LBG$2)),"****")</f>
        <v/>
      </c>
      <c r="LBH3" t="str">
        <f>IFERROR(IF($C3="","",SUMIFS(Ledger!$K$2:$K$4, Ledger!$B$2:$B$4, $A3, Ledger!$C$2:$C$4, LBH$2)),"****")</f>
        <v/>
      </c>
      <c r="LBI3" t="str">
        <f>IFERROR(IF($C3="","",SUMIFS(Ledger!$K$2:$K$4, Ledger!$B$2:$B$4, $A3, Ledger!$C$2:$C$4, LBI$2)),"****")</f>
        <v/>
      </c>
      <c r="LBJ3" t="str">
        <f>IFERROR(IF($C3="","",SUMIFS(Ledger!$K$2:$K$4, Ledger!$B$2:$B$4, $A3, Ledger!$C$2:$C$4, LBJ$2)),"****")</f>
        <v/>
      </c>
      <c r="LBK3" t="str">
        <f>IFERROR(IF($C3="","",SUMIFS(Ledger!$K$2:$K$4, Ledger!$B$2:$B$4, $A3, Ledger!$C$2:$C$4, LBK$2)),"****")</f>
        <v/>
      </c>
      <c r="LBL3" t="str">
        <f>IFERROR(IF($C3="","",SUMIFS(Ledger!$K$2:$K$4, Ledger!$B$2:$B$4, $A3, Ledger!$C$2:$C$4, LBL$2)),"****")</f>
        <v/>
      </c>
      <c r="LBM3" t="str">
        <f>IFERROR(IF($C3="","",SUMIFS(Ledger!$K$2:$K$4, Ledger!$B$2:$B$4, $A3, Ledger!$C$2:$C$4, LBM$2)),"****")</f>
        <v/>
      </c>
      <c r="LBN3" t="str">
        <f>IFERROR(IF($C3="","",SUMIFS(Ledger!$K$2:$K$4, Ledger!$B$2:$B$4, $A3, Ledger!$C$2:$C$4, LBN$2)),"****")</f>
        <v/>
      </c>
      <c r="LBO3" t="str">
        <f>IFERROR(IF($C3="","",SUMIFS(Ledger!$K$2:$K$4, Ledger!$B$2:$B$4, $A3, Ledger!$C$2:$C$4, LBO$2)),"****")</f>
        <v/>
      </c>
      <c r="LBP3" t="str">
        <f>IFERROR(IF($C3="","",SUMIFS(Ledger!$K$2:$K$4, Ledger!$B$2:$B$4, $A3, Ledger!$C$2:$C$4, LBP$2)),"****")</f>
        <v/>
      </c>
      <c r="LBQ3" t="str">
        <f>IFERROR(IF($C3="","",SUMIFS(Ledger!$K$2:$K$4, Ledger!$B$2:$B$4, $A3, Ledger!$C$2:$C$4, LBQ$2)),"****")</f>
        <v/>
      </c>
      <c r="LBR3" t="str">
        <f>IFERROR(IF($C3="","",SUMIFS(Ledger!$K$2:$K$4, Ledger!$B$2:$B$4, $A3, Ledger!$C$2:$C$4, LBR$2)),"****")</f>
        <v/>
      </c>
      <c r="LBS3" t="str">
        <f>IFERROR(IF($C3="","",SUMIFS(Ledger!$K$2:$K$4, Ledger!$B$2:$B$4, $A3, Ledger!$C$2:$C$4, LBS$2)),"****")</f>
        <v/>
      </c>
      <c r="LBT3" t="str">
        <f>IFERROR(IF($C3="","",SUMIFS(Ledger!$K$2:$K$4, Ledger!$B$2:$B$4, $A3, Ledger!$C$2:$C$4, LBT$2)),"****")</f>
        <v/>
      </c>
      <c r="LBU3" t="str">
        <f>IFERROR(IF($C3="","",SUMIFS(Ledger!$K$2:$K$4, Ledger!$B$2:$B$4, $A3, Ledger!$C$2:$C$4, LBU$2)),"****")</f>
        <v/>
      </c>
      <c r="LBV3" t="str">
        <f>IFERROR(IF($C3="","",SUMIFS(Ledger!$K$2:$K$4, Ledger!$B$2:$B$4, $A3, Ledger!$C$2:$C$4, LBV$2)),"****")</f>
        <v/>
      </c>
      <c r="LBW3" t="str">
        <f>IFERROR(IF($C3="","",SUMIFS(Ledger!$K$2:$K$4, Ledger!$B$2:$B$4, $A3, Ledger!$C$2:$C$4, LBW$2)),"****")</f>
        <v/>
      </c>
      <c r="LBX3" t="str">
        <f>IFERROR(IF($C3="","",SUMIFS(Ledger!$K$2:$K$4, Ledger!$B$2:$B$4, $A3, Ledger!$C$2:$C$4, LBX$2)),"****")</f>
        <v/>
      </c>
      <c r="LBY3" t="str">
        <f>IFERROR(IF($C3="","",SUMIFS(Ledger!$K$2:$K$4, Ledger!$B$2:$B$4, $A3, Ledger!$C$2:$C$4, LBY$2)),"****")</f>
        <v/>
      </c>
      <c r="LBZ3" t="str">
        <f>IFERROR(IF($C3="","",SUMIFS(Ledger!$K$2:$K$4, Ledger!$B$2:$B$4, $A3, Ledger!$C$2:$C$4, LBZ$2)),"****")</f>
        <v/>
      </c>
      <c r="LCA3" t="str">
        <f>IFERROR(IF($C3="","",SUMIFS(Ledger!$K$2:$K$4, Ledger!$B$2:$B$4, $A3, Ledger!$C$2:$C$4, LCA$2)),"****")</f>
        <v/>
      </c>
      <c r="LCB3" t="str">
        <f>IFERROR(IF($C3="","",SUMIFS(Ledger!$K$2:$K$4, Ledger!$B$2:$B$4, $A3, Ledger!$C$2:$C$4, LCB$2)),"****")</f>
        <v/>
      </c>
      <c r="LCC3" t="str">
        <f>IFERROR(IF($C3="","",SUMIFS(Ledger!$K$2:$K$4, Ledger!$B$2:$B$4, $A3, Ledger!$C$2:$C$4, LCC$2)),"****")</f>
        <v/>
      </c>
      <c r="LCD3" t="str">
        <f>IFERROR(IF($C3="","",SUMIFS(Ledger!$K$2:$K$4, Ledger!$B$2:$B$4, $A3, Ledger!$C$2:$C$4, LCD$2)),"****")</f>
        <v/>
      </c>
      <c r="LCE3" t="str">
        <f>IFERROR(IF($C3="","",SUMIFS(Ledger!$K$2:$K$4, Ledger!$B$2:$B$4, $A3, Ledger!$C$2:$C$4, LCE$2)),"****")</f>
        <v/>
      </c>
      <c r="LCF3" t="str">
        <f>IFERROR(IF($C3="","",SUMIFS(Ledger!$K$2:$K$4, Ledger!$B$2:$B$4, $A3, Ledger!$C$2:$C$4, LCF$2)),"****")</f>
        <v/>
      </c>
      <c r="LCG3" t="str">
        <f>IFERROR(IF($C3="","",SUMIFS(Ledger!$K$2:$K$4, Ledger!$B$2:$B$4, $A3, Ledger!$C$2:$C$4, LCG$2)),"****")</f>
        <v/>
      </c>
      <c r="LCH3" t="str">
        <f>IFERROR(IF($C3="","",SUMIFS(Ledger!$K$2:$K$4, Ledger!$B$2:$B$4, $A3, Ledger!$C$2:$C$4, LCH$2)),"****")</f>
        <v/>
      </c>
      <c r="LCI3" t="str">
        <f>IFERROR(IF($C3="","",SUMIFS(Ledger!$K$2:$K$4, Ledger!$B$2:$B$4, $A3, Ledger!$C$2:$C$4, LCI$2)),"****")</f>
        <v/>
      </c>
      <c r="LCJ3" t="str">
        <f>IFERROR(IF($C3="","",SUMIFS(Ledger!$K$2:$K$4, Ledger!$B$2:$B$4, $A3, Ledger!$C$2:$C$4, LCJ$2)),"****")</f>
        <v/>
      </c>
      <c r="LCK3" t="str">
        <f>IFERROR(IF($C3="","",SUMIFS(Ledger!$K$2:$K$4, Ledger!$B$2:$B$4, $A3, Ledger!$C$2:$C$4, LCK$2)),"****")</f>
        <v/>
      </c>
      <c r="LCL3" t="str">
        <f>IFERROR(IF($C3="","",SUMIFS(Ledger!$K$2:$K$4, Ledger!$B$2:$B$4, $A3, Ledger!$C$2:$C$4, LCL$2)),"****")</f>
        <v/>
      </c>
      <c r="LCM3" t="str">
        <f>IFERROR(IF($C3="","",SUMIFS(Ledger!$K$2:$K$4, Ledger!$B$2:$B$4, $A3, Ledger!$C$2:$C$4, LCM$2)),"****")</f>
        <v/>
      </c>
      <c r="LCN3" t="str">
        <f>IFERROR(IF($C3="","",SUMIFS(Ledger!$K$2:$K$4, Ledger!$B$2:$B$4, $A3, Ledger!$C$2:$C$4, LCN$2)),"****")</f>
        <v/>
      </c>
      <c r="LCO3" t="str">
        <f>IFERROR(IF($C3="","",SUMIFS(Ledger!$K$2:$K$4, Ledger!$B$2:$B$4, $A3, Ledger!$C$2:$C$4, LCO$2)),"****")</f>
        <v/>
      </c>
      <c r="LCP3" t="str">
        <f>IFERROR(IF($C3="","",SUMIFS(Ledger!$K$2:$K$4, Ledger!$B$2:$B$4, $A3, Ledger!$C$2:$C$4, LCP$2)),"****")</f>
        <v/>
      </c>
      <c r="LCQ3" t="str">
        <f>IFERROR(IF($C3="","",SUMIFS(Ledger!$K$2:$K$4, Ledger!$B$2:$B$4, $A3, Ledger!$C$2:$C$4, LCQ$2)),"****")</f>
        <v/>
      </c>
      <c r="LCR3" t="str">
        <f>IFERROR(IF($C3="","",SUMIFS(Ledger!$K$2:$K$4, Ledger!$B$2:$B$4, $A3, Ledger!$C$2:$C$4, LCR$2)),"****")</f>
        <v/>
      </c>
      <c r="LCS3" t="str">
        <f>IFERROR(IF($C3="","",SUMIFS(Ledger!$K$2:$K$4, Ledger!$B$2:$B$4, $A3, Ledger!$C$2:$C$4, LCS$2)),"****")</f>
        <v/>
      </c>
      <c r="LCT3" t="str">
        <f>IFERROR(IF($C3="","",SUMIFS(Ledger!$K$2:$K$4, Ledger!$B$2:$B$4, $A3, Ledger!$C$2:$C$4, LCT$2)),"****")</f>
        <v/>
      </c>
      <c r="LCU3" t="str">
        <f>IFERROR(IF($C3="","",SUMIFS(Ledger!$K$2:$K$4, Ledger!$B$2:$B$4, $A3, Ledger!$C$2:$C$4, LCU$2)),"****")</f>
        <v/>
      </c>
      <c r="LCV3" t="str">
        <f>IFERROR(IF($C3="","",SUMIFS(Ledger!$K$2:$K$4, Ledger!$B$2:$B$4, $A3, Ledger!$C$2:$C$4, LCV$2)),"****")</f>
        <v/>
      </c>
      <c r="LCW3" t="str">
        <f>IFERROR(IF($C3="","",SUMIFS(Ledger!$K$2:$K$4, Ledger!$B$2:$B$4, $A3, Ledger!$C$2:$C$4, LCW$2)),"****")</f>
        <v/>
      </c>
      <c r="LCX3" t="str">
        <f>IFERROR(IF($C3="","",SUMIFS(Ledger!$K$2:$K$4, Ledger!$B$2:$B$4, $A3, Ledger!$C$2:$C$4, LCX$2)),"****")</f>
        <v/>
      </c>
      <c r="LCY3" t="str">
        <f>IFERROR(IF($C3="","",SUMIFS(Ledger!$K$2:$K$4, Ledger!$B$2:$B$4, $A3, Ledger!$C$2:$C$4, LCY$2)),"****")</f>
        <v/>
      </c>
      <c r="LCZ3" t="str">
        <f>IFERROR(IF($C3="","",SUMIFS(Ledger!$K$2:$K$4, Ledger!$B$2:$B$4, $A3, Ledger!$C$2:$C$4, LCZ$2)),"****")</f>
        <v/>
      </c>
      <c r="LDA3" t="str">
        <f>IFERROR(IF($C3="","",SUMIFS(Ledger!$K$2:$K$4, Ledger!$B$2:$B$4, $A3, Ledger!$C$2:$C$4, LDA$2)),"****")</f>
        <v/>
      </c>
      <c r="LDB3" t="str">
        <f>IFERROR(IF($C3="","",SUMIFS(Ledger!$K$2:$K$4, Ledger!$B$2:$B$4, $A3, Ledger!$C$2:$C$4, LDB$2)),"****")</f>
        <v/>
      </c>
      <c r="LDC3" t="str">
        <f>IFERROR(IF($C3="","",SUMIFS(Ledger!$K$2:$K$4, Ledger!$B$2:$B$4, $A3, Ledger!$C$2:$C$4, LDC$2)),"****")</f>
        <v/>
      </c>
      <c r="LDD3" t="str">
        <f>IFERROR(IF($C3="","",SUMIFS(Ledger!$K$2:$K$4, Ledger!$B$2:$B$4, $A3, Ledger!$C$2:$C$4, LDD$2)),"****")</f>
        <v/>
      </c>
      <c r="LDE3" t="str">
        <f>IFERROR(IF($C3="","",SUMIFS(Ledger!$K$2:$K$4, Ledger!$B$2:$B$4, $A3, Ledger!$C$2:$C$4, LDE$2)),"****")</f>
        <v/>
      </c>
      <c r="LDF3" t="str">
        <f>IFERROR(IF($C3="","",SUMIFS(Ledger!$K$2:$K$4, Ledger!$B$2:$B$4, $A3, Ledger!$C$2:$C$4, LDF$2)),"****")</f>
        <v/>
      </c>
      <c r="LDG3" t="str">
        <f>IFERROR(IF($C3="","",SUMIFS(Ledger!$K$2:$K$4, Ledger!$B$2:$B$4, $A3, Ledger!$C$2:$C$4, LDG$2)),"****")</f>
        <v/>
      </c>
      <c r="LDH3" t="str">
        <f>IFERROR(IF($C3="","",SUMIFS(Ledger!$K$2:$K$4, Ledger!$B$2:$B$4, $A3, Ledger!$C$2:$C$4, LDH$2)),"****")</f>
        <v/>
      </c>
      <c r="LDI3" t="str">
        <f>IFERROR(IF($C3="","",SUMIFS(Ledger!$K$2:$K$4, Ledger!$B$2:$B$4, $A3, Ledger!$C$2:$C$4, LDI$2)),"****")</f>
        <v/>
      </c>
      <c r="LDJ3" t="str">
        <f>IFERROR(IF($C3="","",SUMIFS(Ledger!$K$2:$K$4, Ledger!$B$2:$B$4, $A3, Ledger!$C$2:$C$4, LDJ$2)),"****")</f>
        <v/>
      </c>
      <c r="LDK3" t="str">
        <f>IFERROR(IF($C3="","",SUMIFS(Ledger!$K$2:$K$4, Ledger!$B$2:$B$4, $A3, Ledger!$C$2:$C$4, LDK$2)),"****")</f>
        <v/>
      </c>
      <c r="LDL3" t="str">
        <f>IFERROR(IF($C3="","",SUMIFS(Ledger!$K$2:$K$4, Ledger!$B$2:$B$4, $A3, Ledger!$C$2:$C$4, LDL$2)),"****")</f>
        <v/>
      </c>
      <c r="LDM3" t="str">
        <f>IFERROR(IF($C3="","",SUMIFS(Ledger!$K$2:$K$4, Ledger!$B$2:$B$4, $A3, Ledger!$C$2:$C$4, LDM$2)),"****")</f>
        <v/>
      </c>
      <c r="LDN3" t="str">
        <f>IFERROR(IF($C3="","",SUMIFS(Ledger!$K$2:$K$4, Ledger!$B$2:$B$4, $A3, Ledger!$C$2:$C$4, LDN$2)),"****")</f>
        <v/>
      </c>
      <c r="LDO3" t="str">
        <f>IFERROR(IF($C3="","",SUMIFS(Ledger!$K$2:$K$4, Ledger!$B$2:$B$4, $A3, Ledger!$C$2:$C$4, LDO$2)),"****")</f>
        <v/>
      </c>
      <c r="LDP3" t="str">
        <f>IFERROR(IF($C3="","",SUMIFS(Ledger!$K$2:$K$4, Ledger!$B$2:$B$4, $A3, Ledger!$C$2:$C$4, LDP$2)),"****")</f>
        <v/>
      </c>
      <c r="LDQ3" t="str">
        <f>IFERROR(IF($C3="","",SUMIFS(Ledger!$K$2:$K$4, Ledger!$B$2:$B$4, $A3, Ledger!$C$2:$C$4, LDQ$2)),"****")</f>
        <v/>
      </c>
      <c r="LDR3" t="str">
        <f>IFERROR(IF($C3="","",SUMIFS(Ledger!$K$2:$K$4, Ledger!$B$2:$B$4, $A3, Ledger!$C$2:$C$4, LDR$2)),"****")</f>
        <v/>
      </c>
      <c r="LDS3" t="str">
        <f>IFERROR(IF($C3="","",SUMIFS(Ledger!$K$2:$K$4, Ledger!$B$2:$B$4, $A3, Ledger!$C$2:$C$4, LDS$2)),"****")</f>
        <v/>
      </c>
      <c r="LDT3" t="str">
        <f>IFERROR(IF($C3="","",SUMIFS(Ledger!$K$2:$K$4, Ledger!$B$2:$B$4, $A3, Ledger!$C$2:$C$4, LDT$2)),"****")</f>
        <v/>
      </c>
      <c r="LDU3" t="str">
        <f>IFERROR(IF($C3="","",SUMIFS(Ledger!$K$2:$K$4, Ledger!$B$2:$B$4, $A3, Ledger!$C$2:$C$4, LDU$2)),"****")</f>
        <v/>
      </c>
      <c r="LDV3" t="str">
        <f>IFERROR(IF($C3="","",SUMIFS(Ledger!$K$2:$K$4, Ledger!$B$2:$B$4, $A3, Ledger!$C$2:$C$4, LDV$2)),"****")</f>
        <v/>
      </c>
      <c r="LDW3" t="str">
        <f>IFERROR(IF($C3="","",SUMIFS(Ledger!$K$2:$K$4, Ledger!$B$2:$B$4, $A3, Ledger!$C$2:$C$4, LDW$2)),"****")</f>
        <v/>
      </c>
      <c r="LDX3" t="str">
        <f>IFERROR(IF($C3="","",SUMIFS(Ledger!$K$2:$K$4, Ledger!$B$2:$B$4, $A3, Ledger!$C$2:$C$4, LDX$2)),"****")</f>
        <v/>
      </c>
      <c r="LDY3" t="str">
        <f>IFERROR(IF($C3="","",SUMIFS(Ledger!$K$2:$K$4, Ledger!$B$2:$B$4, $A3, Ledger!$C$2:$C$4, LDY$2)),"****")</f>
        <v/>
      </c>
      <c r="LDZ3" t="str">
        <f>IFERROR(IF($C3="","",SUMIFS(Ledger!$K$2:$K$4, Ledger!$B$2:$B$4, $A3, Ledger!$C$2:$C$4, LDZ$2)),"****")</f>
        <v/>
      </c>
      <c r="LEA3" t="str">
        <f>IFERROR(IF($C3="","",SUMIFS(Ledger!$K$2:$K$4, Ledger!$B$2:$B$4, $A3, Ledger!$C$2:$C$4, LEA$2)),"****")</f>
        <v/>
      </c>
      <c r="LEB3" t="str">
        <f>IFERROR(IF($C3="","",SUMIFS(Ledger!$K$2:$K$4, Ledger!$B$2:$B$4, $A3, Ledger!$C$2:$C$4, LEB$2)),"****")</f>
        <v/>
      </c>
      <c r="LEC3" t="str">
        <f>IFERROR(IF($C3="","",SUMIFS(Ledger!$K$2:$K$4, Ledger!$B$2:$B$4, $A3, Ledger!$C$2:$C$4, LEC$2)),"****")</f>
        <v/>
      </c>
      <c r="LED3" t="str">
        <f>IFERROR(IF($C3="","",SUMIFS(Ledger!$K$2:$K$4, Ledger!$B$2:$B$4, $A3, Ledger!$C$2:$C$4, LED$2)),"****")</f>
        <v/>
      </c>
      <c r="LEE3" t="str">
        <f>IFERROR(IF($C3="","",SUMIFS(Ledger!$K$2:$K$4, Ledger!$B$2:$B$4, $A3, Ledger!$C$2:$C$4, LEE$2)),"****")</f>
        <v/>
      </c>
      <c r="LEF3" t="str">
        <f>IFERROR(IF($C3="","",SUMIFS(Ledger!$K$2:$K$4, Ledger!$B$2:$B$4, $A3, Ledger!$C$2:$C$4, LEF$2)),"****")</f>
        <v/>
      </c>
      <c r="LEG3" t="str">
        <f>IFERROR(IF($C3="","",SUMIFS(Ledger!$K$2:$K$4, Ledger!$B$2:$B$4, $A3, Ledger!$C$2:$C$4, LEG$2)),"****")</f>
        <v/>
      </c>
      <c r="LEH3" t="str">
        <f>IFERROR(IF($C3="","",SUMIFS(Ledger!$K$2:$K$4, Ledger!$B$2:$B$4, $A3, Ledger!$C$2:$C$4, LEH$2)),"****")</f>
        <v/>
      </c>
      <c r="LEI3" t="str">
        <f>IFERROR(IF($C3="","",SUMIFS(Ledger!$K$2:$K$4, Ledger!$B$2:$B$4, $A3, Ledger!$C$2:$C$4, LEI$2)),"****")</f>
        <v/>
      </c>
      <c r="LEJ3" t="str">
        <f>IFERROR(IF($C3="","",SUMIFS(Ledger!$K$2:$K$4, Ledger!$B$2:$B$4, $A3, Ledger!$C$2:$C$4, LEJ$2)),"****")</f>
        <v/>
      </c>
      <c r="LEK3" t="str">
        <f>IFERROR(IF($C3="","",SUMIFS(Ledger!$K$2:$K$4, Ledger!$B$2:$B$4, $A3, Ledger!$C$2:$C$4, LEK$2)),"****")</f>
        <v/>
      </c>
      <c r="LEL3" t="str">
        <f>IFERROR(IF($C3="","",SUMIFS(Ledger!$K$2:$K$4, Ledger!$B$2:$B$4, $A3, Ledger!$C$2:$C$4, LEL$2)),"****")</f>
        <v/>
      </c>
      <c r="LEM3" t="str">
        <f>IFERROR(IF($C3="","",SUMIFS(Ledger!$K$2:$K$4, Ledger!$B$2:$B$4, $A3, Ledger!$C$2:$C$4, LEM$2)),"****")</f>
        <v/>
      </c>
      <c r="LEN3" t="str">
        <f>IFERROR(IF($C3="","",SUMIFS(Ledger!$K$2:$K$4, Ledger!$B$2:$B$4, $A3, Ledger!$C$2:$C$4, LEN$2)),"****")</f>
        <v/>
      </c>
      <c r="LEO3" t="str">
        <f>IFERROR(IF($C3="","",SUMIFS(Ledger!$K$2:$K$4, Ledger!$B$2:$B$4, $A3, Ledger!$C$2:$C$4, LEO$2)),"****")</f>
        <v/>
      </c>
      <c r="LEP3" t="str">
        <f>IFERROR(IF($C3="","",SUMIFS(Ledger!$K$2:$K$4, Ledger!$B$2:$B$4, $A3, Ledger!$C$2:$C$4, LEP$2)),"****")</f>
        <v/>
      </c>
      <c r="LEQ3" t="str">
        <f>IFERROR(IF($C3="","",SUMIFS(Ledger!$K$2:$K$4, Ledger!$B$2:$B$4, $A3, Ledger!$C$2:$C$4, LEQ$2)),"****")</f>
        <v/>
      </c>
      <c r="LER3" t="str">
        <f>IFERROR(IF($C3="","",SUMIFS(Ledger!$K$2:$K$4, Ledger!$B$2:$B$4, $A3, Ledger!$C$2:$C$4, LER$2)),"****")</f>
        <v/>
      </c>
      <c r="LES3" t="str">
        <f>IFERROR(IF($C3="","",SUMIFS(Ledger!$K$2:$K$4, Ledger!$B$2:$B$4, $A3, Ledger!$C$2:$C$4, LES$2)),"****")</f>
        <v/>
      </c>
      <c r="LET3" t="str">
        <f>IFERROR(IF($C3="","",SUMIFS(Ledger!$K$2:$K$4, Ledger!$B$2:$B$4, $A3, Ledger!$C$2:$C$4, LET$2)),"****")</f>
        <v/>
      </c>
      <c r="LEU3" t="str">
        <f>IFERROR(IF($C3="","",SUMIFS(Ledger!$K$2:$K$4, Ledger!$B$2:$B$4, $A3, Ledger!$C$2:$C$4, LEU$2)),"****")</f>
        <v/>
      </c>
      <c r="LEV3" t="str">
        <f>IFERROR(IF($C3="","",SUMIFS(Ledger!$K$2:$K$4, Ledger!$B$2:$B$4, $A3, Ledger!$C$2:$C$4, LEV$2)),"****")</f>
        <v/>
      </c>
      <c r="LEW3" t="str">
        <f>IFERROR(IF($C3="","",SUMIFS(Ledger!$K$2:$K$4, Ledger!$B$2:$B$4, $A3, Ledger!$C$2:$C$4, LEW$2)),"****")</f>
        <v/>
      </c>
      <c r="LEX3" t="str">
        <f>IFERROR(IF($C3="","",SUMIFS(Ledger!$K$2:$K$4, Ledger!$B$2:$B$4, $A3, Ledger!$C$2:$C$4, LEX$2)),"****")</f>
        <v/>
      </c>
      <c r="LEY3" t="str">
        <f>IFERROR(IF($C3="","",SUMIFS(Ledger!$K$2:$K$4, Ledger!$B$2:$B$4, $A3, Ledger!$C$2:$C$4, LEY$2)),"****")</f>
        <v/>
      </c>
      <c r="LEZ3" t="str">
        <f>IFERROR(IF($C3="","",SUMIFS(Ledger!$K$2:$K$4, Ledger!$B$2:$B$4, $A3, Ledger!$C$2:$C$4, LEZ$2)),"****")</f>
        <v/>
      </c>
      <c r="LFA3" t="str">
        <f>IFERROR(IF($C3="","",SUMIFS(Ledger!$K$2:$K$4, Ledger!$B$2:$B$4, $A3, Ledger!$C$2:$C$4, LFA$2)),"****")</f>
        <v/>
      </c>
      <c r="LFB3" t="str">
        <f>IFERROR(IF($C3="","",SUMIFS(Ledger!$K$2:$K$4, Ledger!$B$2:$B$4, $A3, Ledger!$C$2:$C$4, LFB$2)),"****")</f>
        <v/>
      </c>
      <c r="LFC3" t="str">
        <f>IFERROR(IF($C3="","",SUMIFS(Ledger!$K$2:$K$4, Ledger!$B$2:$B$4, $A3, Ledger!$C$2:$C$4, LFC$2)),"****")</f>
        <v/>
      </c>
      <c r="LFD3" t="str">
        <f>IFERROR(IF($C3="","",SUMIFS(Ledger!$K$2:$K$4, Ledger!$B$2:$B$4, $A3, Ledger!$C$2:$C$4, LFD$2)),"****")</f>
        <v/>
      </c>
      <c r="LFE3" t="str">
        <f>IFERROR(IF($C3="","",SUMIFS(Ledger!$K$2:$K$4, Ledger!$B$2:$B$4, $A3, Ledger!$C$2:$C$4, LFE$2)),"****")</f>
        <v/>
      </c>
      <c r="LFF3" t="str">
        <f>IFERROR(IF($C3="","",SUMIFS(Ledger!$K$2:$K$4, Ledger!$B$2:$B$4, $A3, Ledger!$C$2:$C$4, LFF$2)),"****")</f>
        <v/>
      </c>
      <c r="LFG3" t="str">
        <f>IFERROR(IF($C3="","",SUMIFS(Ledger!$K$2:$K$4, Ledger!$B$2:$B$4, $A3, Ledger!$C$2:$C$4, LFG$2)),"****")</f>
        <v/>
      </c>
      <c r="LFH3" t="str">
        <f>IFERROR(IF($C3="","",SUMIFS(Ledger!$K$2:$K$4, Ledger!$B$2:$B$4, $A3, Ledger!$C$2:$C$4, LFH$2)),"****")</f>
        <v/>
      </c>
      <c r="LFI3" t="str">
        <f>IFERROR(IF($C3="","",SUMIFS(Ledger!$K$2:$K$4, Ledger!$B$2:$B$4, $A3, Ledger!$C$2:$C$4, LFI$2)),"****")</f>
        <v/>
      </c>
      <c r="LFJ3" t="str">
        <f>IFERROR(IF($C3="","",SUMIFS(Ledger!$K$2:$K$4, Ledger!$B$2:$B$4, $A3, Ledger!$C$2:$C$4, LFJ$2)),"****")</f>
        <v/>
      </c>
      <c r="LFK3" t="str">
        <f>IFERROR(IF($C3="","",SUMIFS(Ledger!$K$2:$K$4, Ledger!$B$2:$B$4, $A3, Ledger!$C$2:$C$4, LFK$2)),"****")</f>
        <v/>
      </c>
      <c r="LFL3" t="str">
        <f>IFERROR(IF($C3="","",SUMIFS(Ledger!$K$2:$K$4, Ledger!$B$2:$B$4, $A3, Ledger!$C$2:$C$4, LFL$2)),"****")</f>
        <v/>
      </c>
      <c r="LFM3" t="str">
        <f>IFERROR(IF($C3="","",SUMIFS(Ledger!$K$2:$K$4, Ledger!$B$2:$B$4, $A3, Ledger!$C$2:$C$4, LFM$2)),"****")</f>
        <v/>
      </c>
      <c r="LFN3" t="str">
        <f>IFERROR(IF($C3="","",SUMIFS(Ledger!$K$2:$K$4, Ledger!$B$2:$B$4, $A3, Ledger!$C$2:$C$4, LFN$2)),"****")</f>
        <v/>
      </c>
      <c r="LFO3" t="str">
        <f>IFERROR(IF($C3="","",SUMIFS(Ledger!$K$2:$K$4, Ledger!$B$2:$B$4, $A3, Ledger!$C$2:$C$4, LFO$2)),"****")</f>
        <v/>
      </c>
      <c r="LFP3" t="str">
        <f>IFERROR(IF($C3="","",SUMIFS(Ledger!$K$2:$K$4, Ledger!$B$2:$B$4, $A3, Ledger!$C$2:$C$4, LFP$2)),"****")</f>
        <v/>
      </c>
      <c r="LFQ3" t="str">
        <f>IFERROR(IF($C3="","",SUMIFS(Ledger!$K$2:$K$4, Ledger!$B$2:$B$4, $A3, Ledger!$C$2:$C$4, LFQ$2)),"****")</f>
        <v/>
      </c>
      <c r="LFR3" t="str">
        <f>IFERROR(IF($C3="","",SUMIFS(Ledger!$K$2:$K$4, Ledger!$B$2:$B$4, $A3, Ledger!$C$2:$C$4, LFR$2)),"****")</f>
        <v/>
      </c>
      <c r="LFS3" t="str">
        <f>IFERROR(IF($C3="","",SUMIFS(Ledger!$K$2:$K$4, Ledger!$B$2:$B$4, $A3, Ledger!$C$2:$C$4, LFS$2)),"****")</f>
        <v/>
      </c>
      <c r="LFT3" t="str">
        <f>IFERROR(IF($C3="","",SUMIFS(Ledger!$K$2:$K$4, Ledger!$B$2:$B$4, $A3, Ledger!$C$2:$C$4, LFT$2)),"****")</f>
        <v/>
      </c>
      <c r="LFU3" t="str">
        <f>IFERROR(IF($C3="","",SUMIFS(Ledger!$K$2:$K$4, Ledger!$B$2:$B$4, $A3, Ledger!$C$2:$C$4, LFU$2)),"****")</f>
        <v/>
      </c>
      <c r="LFV3" t="str">
        <f>IFERROR(IF($C3="","",SUMIFS(Ledger!$K$2:$K$4, Ledger!$B$2:$B$4, $A3, Ledger!$C$2:$C$4, LFV$2)),"****")</f>
        <v/>
      </c>
      <c r="LFW3" t="str">
        <f>IFERROR(IF($C3="","",SUMIFS(Ledger!$K$2:$K$4, Ledger!$B$2:$B$4, $A3, Ledger!$C$2:$C$4, LFW$2)),"****")</f>
        <v/>
      </c>
      <c r="LFX3" t="str">
        <f>IFERROR(IF($C3="","",SUMIFS(Ledger!$K$2:$K$4, Ledger!$B$2:$B$4, $A3, Ledger!$C$2:$C$4, LFX$2)),"****")</f>
        <v/>
      </c>
      <c r="LFY3" t="str">
        <f>IFERROR(IF($C3="","",SUMIFS(Ledger!$K$2:$K$4, Ledger!$B$2:$B$4, $A3, Ledger!$C$2:$C$4, LFY$2)),"****")</f>
        <v/>
      </c>
      <c r="LFZ3" t="str">
        <f>IFERROR(IF($C3="","",SUMIFS(Ledger!$K$2:$K$4, Ledger!$B$2:$B$4, $A3, Ledger!$C$2:$C$4, LFZ$2)),"****")</f>
        <v/>
      </c>
      <c r="LGA3" t="str">
        <f>IFERROR(IF($C3="","",SUMIFS(Ledger!$K$2:$K$4, Ledger!$B$2:$B$4, $A3, Ledger!$C$2:$C$4, LGA$2)),"****")</f>
        <v/>
      </c>
      <c r="LGB3" t="str">
        <f>IFERROR(IF($C3="","",SUMIFS(Ledger!$K$2:$K$4, Ledger!$B$2:$B$4, $A3, Ledger!$C$2:$C$4, LGB$2)),"****")</f>
        <v/>
      </c>
      <c r="LGC3" t="str">
        <f>IFERROR(IF($C3="","",SUMIFS(Ledger!$K$2:$K$4, Ledger!$B$2:$B$4, $A3, Ledger!$C$2:$C$4, LGC$2)),"****")</f>
        <v/>
      </c>
      <c r="LGD3" t="str">
        <f>IFERROR(IF($C3="","",SUMIFS(Ledger!$K$2:$K$4, Ledger!$B$2:$B$4, $A3, Ledger!$C$2:$C$4, LGD$2)),"****")</f>
        <v/>
      </c>
      <c r="LGE3" t="str">
        <f>IFERROR(IF($C3="","",SUMIFS(Ledger!$K$2:$K$4, Ledger!$B$2:$B$4, $A3, Ledger!$C$2:$C$4, LGE$2)),"****")</f>
        <v/>
      </c>
      <c r="LGF3" t="str">
        <f>IFERROR(IF($C3="","",SUMIFS(Ledger!$K$2:$K$4, Ledger!$B$2:$B$4, $A3, Ledger!$C$2:$C$4, LGF$2)),"****")</f>
        <v/>
      </c>
      <c r="LGG3" t="str">
        <f>IFERROR(IF($C3="","",SUMIFS(Ledger!$K$2:$K$4, Ledger!$B$2:$B$4, $A3, Ledger!$C$2:$C$4, LGG$2)),"****")</f>
        <v/>
      </c>
      <c r="LGH3" t="str">
        <f>IFERROR(IF($C3="","",SUMIFS(Ledger!$K$2:$K$4, Ledger!$B$2:$B$4, $A3, Ledger!$C$2:$C$4, LGH$2)),"****")</f>
        <v/>
      </c>
      <c r="LGI3" t="str">
        <f>IFERROR(IF($C3="","",SUMIFS(Ledger!$K$2:$K$4, Ledger!$B$2:$B$4, $A3, Ledger!$C$2:$C$4, LGI$2)),"****")</f>
        <v/>
      </c>
      <c r="LGJ3" t="str">
        <f>IFERROR(IF($C3="","",SUMIFS(Ledger!$K$2:$K$4, Ledger!$B$2:$B$4, $A3, Ledger!$C$2:$C$4, LGJ$2)),"****")</f>
        <v/>
      </c>
      <c r="LGK3" t="str">
        <f>IFERROR(IF($C3="","",SUMIFS(Ledger!$K$2:$K$4, Ledger!$B$2:$B$4, $A3, Ledger!$C$2:$C$4, LGK$2)),"****")</f>
        <v/>
      </c>
      <c r="LGL3" t="str">
        <f>IFERROR(IF($C3="","",SUMIFS(Ledger!$K$2:$K$4, Ledger!$B$2:$B$4, $A3, Ledger!$C$2:$C$4, LGL$2)),"****")</f>
        <v/>
      </c>
      <c r="LGM3" t="str">
        <f>IFERROR(IF($C3="","",SUMIFS(Ledger!$K$2:$K$4, Ledger!$B$2:$B$4, $A3, Ledger!$C$2:$C$4, LGM$2)),"****")</f>
        <v/>
      </c>
      <c r="LGN3" t="str">
        <f>IFERROR(IF($C3="","",SUMIFS(Ledger!$K$2:$K$4, Ledger!$B$2:$B$4, $A3, Ledger!$C$2:$C$4, LGN$2)),"****")</f>
        <v/>
      </c>
      <c r="LGO3" t="str">
        <f>IFERROR(IF($C3="","",SUMIFS(Ledger!$K$2:$K$4, Ledger!$B$2:$B$4, $A3, Ledger!$C$2:$C$4, LGO$2)),"****")</f>
        <v/>
      </c>
      <c r="LGP3" t="str">
        <f>IFERROR(IF($C3="","",SUMIFS(Ledger!$K$2:$K$4, Ledger!$B$2:$B$4, $A3, Ledger!$C$2:$C$4, LGP$2)),"****")</f>
        <v/>
      </c>
      <c r="LGQ3" t="str">
        <f>IFERROR(IF($C3="","",SUMIFS(Ledger!$K$2:$K$4, Ledger!$B$2:$B$4, $A3, Ledger!$C$2:$C$4, LGQ$2)),"****")</f>
        <v/>
      </c>
      <c r="LGR3" t="str">
        <f>IFERROR(IF($C3="","",SUMIFS(Ledger!$K$2:$K$4, Ledger!$B$2:$B$4, $A3, Ledger!$C$2:$C$4, LGR$2)),"****")</f>
        <v/>
      </c>
      <c r="LGS3" t="str">
        <f>IFERROR(IF($C3="","",SUMIFS(Ledger!$K$2:$K$4, Ledger!$B$2:$B$4, $A3, Ledger!$C$2:$C$4, LGS$2)),"****")</f>
        <v/>
      </c>
      <c r="LGT3" t="str">
        <f>IFERROR(IF($C3="","",SUMIFS(Ledger!$K$2:$K$4, Ledger!$B$2:$B$4, $A3, Ledger!$C$2:$C$4, LGT$2)),"****")</f>
        <v/>
      </c>
      <c r="LGU3" t="str">
        <f>IFERROR(IF($C3="","",SUMIFS(Ledger!$K$2:$K$4, Ledger!$B$2:$B$4, $A3, Ledger!$C$2:$C$4, LGU$2)),"****")</f>
        <v/>
      </c>
      <c r="LGV3" t="str">
        <f>IFERROR(IF($C3="","",SUMIFS(Ledger!$K$2:$K$4, Ledger!$B$2:$B$4, $A3, Ledger!$C$2:$C$4, LGV$2)),"****")</f>
        <v/>
      </c>
      <c r="LGW3" t="str">
        <f>IFERROR(IF($C3="","",SUMIFS(Ledger!$K$2:$K$4, Ledger!$B$2:$B$4, $A3, Ledger!$C$2:$C$4, LGW$2)),"****")</f>
        <v/>
      </c>
      <c r="LGX3" t="str">
        <f>IFERROR(IF($C3="","",SUMIFS(Ledger!$K$2:$K$4, Ledger!$B$2:$B$4, $A3, Ledger!$C$2:$C$4, LGX$2)),"****")</f>
        <v/>
      </c>
      <c r="LGY3" t="str">
        <f>IFERROR(IF($C3="","",SUMIFS(Ledger!$K$2:$K$4, Ledger!$B$2:$B$4, $A3, Ledger!$C$2:$C$4, LGY$2)),"****")</f>
        <v/>
      </c>
      <c r="LGZ3" t="str">
        <f>IFERROR(IF($C3="","",SUMIFS(Ledger!$K$2:$K$4, Ledger!$B$2:$B$4, $A3, Ledger!$C$2:$C$4, LGZ$2)),"****")</f>
        <v/>
      </c>
      <c r="LHA3" t="str">
        <f>IFERROR(IF($C3="","",SUMIFS(Ledger!$K$2:$K$4, Ledger!$B$2:$B$4, $A3, Ledger!$C$2:$C$4, LHA$2)),"****")</f>
        <v/>
      </c>
      <c r="LHB3" t="str">
        <f>IFERROR(IF($C3="","",SUMIFS(Ledger!$K$2:$K$4, Ledger!$B$2:$B$4, $A3, Ledger!$C$2:$C$4, LHB$2)),"****")</f>
        <v/>
      </c>
      <c r="LHC3" t="str">
        <f>IFERROR(IF($C3="","",SUMIFS(Ledger!$K$2:$K$4, Ledger!$B$2:$B$4, $A3, Ledger!$C$2:$C$4, LHC$2)),"****")</f>
        <v/>
      </c>
      <c r="LHD3" t="str">
        <f>IFERROR(IF($C3="","",SUMIFS(Ledger!$K$2:$K$4, Ledger!$B$2:$B$4, $A3, Ledger!$C$2:$C$4, LHD$2)),"****")</f>
        <v/>
      </c>
      <c r="LHE3" t="str">
        <f>IFERROR(IF($C3="","",SUMIFS(Ledger!$K$2:$K$4, Ledger!$B$2:$B$4, $A3, Ledger!$C$2:$C$4, LHE$2)),"****")</f>
        <v/>
      </c>
      <c r="LHF3" t="str">
        <f>IFERROR(IF($C3="","",SUMIFS(Ledger!$K$2:$K$4, Ledger!$B$2:$B$4, $A3, Ledger!$C$2:$C$4, LHF$2)),"****")</f>
        <v/>
      </c>
      <c r="LHG3" t="str">
        <f>IFERROR(IF($C3="","",SUMIFS(Ledger!$K$2:$K$4, Ledger!$B$2:$B$4, $A3, Ledger!$C$2:$C$4, LHG$2)),"****")</f>
        <v/>
      </c>
      <c r="LHH3" t="str">
        <f>IFERROR(IF($C3="","",SUMIFS(Ledger!$K$2:$K$4, Ledger!$B$2:$B$4, $A3, Ledger!$C$2:$C$4, LHH$2)),"****")</f>
        <v/>
      </c>
      <c r="LHI3" t="str">
        <f>IFERROR(IF($C3="","",SUMIFS(Ledger!$K$2:$K$4, Ledger!$B$2:$B$4, $A3, Ledger!$C$2:$C$4, LHI$2)),"****")</f>
        <v/>
      </c>
      <c r="LHJ3" t="str">
        <f>IFERROR(IF($C3="","",SUMIFS(Ledger!$K$2:$K$4, Ledger!$B$2:$B$4, $A3, Ledger!$C$2:$C$4, LHJ$2)),"****")</f>
        <v/>
      </c>
      <c r="LHK3" t="str">
        <f>IFERROR(IF($C3="","",SUMIFS(Ledger!$K$2:$K$4, Ledger!$B$2:$B$4, $A3, Ledger!$C$2:$C$4, LHK$2)),"****")</f>
        <v/>
      </c>
      <c r="LHL3" t="str">
        <f>IFERROR(IF($C3="","",SUMIFS(Ledger!$K$2:$K$4, Ledger!$B$2:$B$4, $A3, Ledger!$C$2:$C$4, LHL$2)),"****")</f>
        <v/>
      </c>
      <c r="LHM3" t="str">
        <f>IFERROR(IF($C3="","",SUMIFS(Ledger!$K$2:$K$4, Ledger!$B$2:$B$4, $A3, Ledger!$C$2:$C$4, LHM$2)),"****")</f>
        <v/>
      </c>
      <c r="LHN3" t="str">
        <f>IFERROR(IF($C3="","",SUMIFS(Ledger!$K$2:$K$4, Ledger!$B$2:$B$4, $A3, Ledger!$C$2:$C$4, LHN$2)),"****")</f>
        <v/>
      </c>
      <c r="LHO3" t="str">
        <f>IFERROR(IF($C3="","",SUMIFS(Ledger!$K$2:$K$4, Ledger!$B$2:$B$4, $A3, Ledger!$C$2:$C$4, LHO$2)),"****")</f>
        <v/>
      </c>
      <c r="LHP3" t="str">
        <f>IFERROR(IF($C3="","",SUMIFS(Ledger!$K$2:$K$4, Ledger!$B$2:$B$4, $A3, Ledger!$C$2:$C$4, LHP$2)),"****")</f>
        <v/>
      </c>
      <c r="LHQ3" t="str">
        <f>IFERROR(IF($C3="","",SUMIFS(Ledger!$K$2:$K$4, Ledger!$B$2:$B$4, $A3, Ledger!$C$2:$C$4, LHQ$2)),"****")</f>
        <v/>
      </c>
      <c r="LHR3" t="str">
        <f>IFERROR(IF($C3="","",SUMIFS(Ledger!$K$2:$K$4, Ledger!$B$2:$B$4, $A3, Ledger!$C$2:$C$4, LHR$2)),"****")</f>
        <v/>
      </c>
      <c r="LHS3" t="str">
        <f>IFERROR(IF($C3="","",SUMIFS(Ledger!$K$2:$K$4, Ledger!$B$2:$B$4, $A3, Ledger!$C$2:$C$4, LHS$2)),"****")</f>
        <v/>
      </c>
      <c r="LHT3" t="str">
        <f>IFERROR(IF($C3="","",SUMIFS(Ledger!$K$2:$K$4, Ledger!$B$2:$B$4, $A3, Ledger!$C$2:$C$4, LHT$2)),"****")</f>
        <v/>
      </c>
      <c r="LHU3" t="str">
        <f>IFERROR(IF($C3="","",SUMIFS(Ledger!$K$2:$K$4, Ledger!$B$2:$B$4, $A3, Ledger!$C$2:$C$4, LHU$2)),"****")</f>
        <v/>
      </c>
      <c r="LHV3" t="str">
        <f>IFERROR(IF($C3="","",SUMIFS(Ledger!$K$2:$K$4, Ledger!$B$2:$B$4, $A3, Ledger!$C$2:$C$4, LHV$2)),"****")</f>
        <v/>
      </c>
      <c r="LHW3" t="str">
        <f>IFERROR(IF($C3="","",SUMIFS(Ledger!$K$2:$K$4, Ledger!$B$2:$B$4, $A3, Ledger!$C$2:$C$4, LHW$2)),"****")</f>
        <v/>
      </c>
      <c r="LHX3" t="str">
        <f>IFERROR(IF($C3="","",SUMIFS(Ledger!$K$2:$K$4, Ledger!$B$2:$B$4, $A3, Ledger!$C$2:$C$4, LHX$2)),"****")</f>
        <v/>
      </c>
      <c r="LHY3" t="str">
        <f>IFERROR(IF($C3="","",SUMIFS(Ledger!$K$2:$K$4, Ledger!$B$2:$B$4, $A3, Ledger!$C$2:$C$4, LHY$2)),"****")</f>
        <v/>
      </c>
      <c r="LHZ3" t="str">
        <f>IFERROR(IF($C3="","",SUMIFS(Ledger!$K$2:$K$4, Ledger!$B$2:$B$4, $A3, Ledger!$C$2:$C$4, LHZ$2)),"****")</f>
        <v/>
      </c>
      <c r="LIA3" t="str">
        <f>IFERROR(IF($C3="","",SUMIFS(Ledger!$K$2:$K$4, Ledger!$B$2:$B$4, $A3, Ledger!$C$2:$C$4, LIA$2)),"****")</f>
        <v/>
      </c>
      <c r="LIB3" t="str">
        <f>IFERROR(IF($C3="","",SUMIFS(Ledger!$K$2:$K$4, Ledger!$B$2:$B$4, $A3, Ledger!$C$2:$C$4, LIB$2)),"****")</f>
        <v/>
      </c>
      <c r="LIC3" t="str">
        <f>IFERROR(IF($C3="","",SUMIFS(Ledger!$K$2:$K$4, Ledger!$B$2:$B$4, $A3, Ledger!$C$2:$C$4, LIC$2)),"****")</f>
        <v/>
      </c>
      <c r="LID3" t="str">
        <f>IFERROR(IF($C3="","",SUMIFS(Ledger!$K$2:$K$4, Ledger!$B$2:$B$4, $A3, Ledger!$C$2:$C$4, LID$2)),"****")</f>
        <v/>
      </c>
      <c r="LIE3" t="str">
        <f>IFERROR(IF($C3="","",SUMIFS(Ledger!$K$2:$K$4, Ledger!$B$2:$B$4, $A3, Ledger!$C$2:$C$4, LIE$2)),"****")</f>
        <v/>
      </c>
      <c r="LIF3" t="str">
        <f>IFERROR(IF($C3="","",SUMIFS(Ledger!$K$2:$K$4, Ledger!$B$2:$B$4, $A3, Ledger!$C$2:$C$4, LIF$2)),"****")</f>
        <v/>
      </c>
      <c r="LIG3" t="str">
        <f>IFERROR(IF($C3="","",SUMIFS(Ledger!$K$2:$K$4, Ledger!$B$2:$B$4, $A3, Ledger!$C$2:$C$4, LIG$2)),"****")</f>
        <v/>
      </c>
      <c r="LIH3" t="str">
        <f>IFERROR(IF($C3="","",SUMIFS(Ledger!$K$2:$K$4, Ledger!$B$2:$B$4, $A3, Ledger!$C$2:$C$4, LIH$2)),"****")</f>
        <v/>
      </c>
      <c r="LII3" t="str">
        <f>IFERROR(IF($C3="","",SUMIFS(Ledger!$K$2:$K$4, Ledger!$B$2:$B$4, $A3, Ledger!$C$2:$C$4, LII$2)),"****")</f>
        <v/>
      </c>
      <c r="LIJ3" t="str">
        <f>IFERROR(IF($C3="","",SUMIFS(Ledger!$K$2:$K$4, Ledger!$B$2:$B$4, $A3, Ledger!$C$2:$C$4, LIJ$2)),"****")</f>
        <v/>
      </c>
      <c r="LIK3" t="str">
        <f>IFERROR(IF($C3="","",SUMIFS(Ledger!$K$2:$K$4, Ledger!$B$2:$B$4, $A3, Ledger!$C$2:$C$4, LIK$2)),"****")</f>
        <v/>
      </c>
      <c r="LIL3" t="str">
        <f>IFERROR(IF($C3="","",SUMIFS(Ledger!$K$2:$K$4, Ledger!$B$2:$B$4, $A3, Ledger!$C$2:$C$4, LIL$2)),"****")</f>
        <v/>
      </c>
      <c r="LIM3" t="str">
        <f>IFERROR(IF($C3="","",SUMIFS(Ledger!$K$2:$K$4, Ledger!$B$2:$B$4, $A3, Ledger!$C$2:$C$4, LIM$2)),"****")</f>
        <v/>
      </c>
      <c r="LIN3" t="str">
        <f>IFERROR(IF($C3="","",SUMIFS(Ledger!$K$2:$K$4, Ledger!$B$2:$B$4, $A3, Ledger!$C$2:$C$4, LIN$2)),"****")</f>
        <v/>
      </c>
      <c r="LIO3" t="str">
        <f>IFERROR(IF($C3="","",SUMIFS(Ledger!$K$2:$K$4, Ledger!$B$2:$B$4, $A3, Ledger!$C$2:$C$4, LIO$2)),"****")</f>
        <v/>
      </c>
      <c r="LIP3" t="str">
        <f>IFERROR(IF($C3="","",SUMIFS(Ledger!$K$2:$K$4, Ledger!$B$2:$B$4, $A3, Ledger!$C$2:$C$4, LIP$2)),"****")</f>
        <v/>
      </c>
      <c r="LIQ3" t="str">
        <f>IFERROR(IF($C3="","",SUMIFS(Ledger!$K$2:$K$4, Ledger!$B$2:$B$4, $A3, Ledger!$C$2:$C$4, LIQ$2)),"****")</f>
        <v/>
      </c>
      <c r="LIR3" t="str">
        <f>IFERROR(IF($C3="","",SUMIFS(Ledger!$K$2:$K$4, Ledger!$B$2:$B$4, $A3, Ledger!$C$2:$C$4, LIR$2)),"****")</f>
        <v/>
      </c>
      <c r="LIS3" t="str">
        <f>IFERROR(IF($C3="","",SUMIFS(Ledger!$K$2:$K$4, Ledger!$B$2:$B$4, $A3, Ledger!$C$2:$C$4, LIS$2)),"****")</f>
        <v/>
      </c>
      <c r="LIT3" t="str">
        <f>IFERROR(IF($C3="","",SUMIFS(Ledger!$K$2:$K$4, Ledger!$B$2:$B$4, $A3, Ledger!$C$2:$C$4, LIT$2)),"****")</f>
        <v/>
      </c>
      <c r="LIU3" t="str">
        <f>IFERROR(IF($C3="","",SUMIFS(Ledger!$K$2:$K$4, Ledger!$B$2:$B$4, $A3, Ledger!$C$2:$C$4, LIU$2)),"****")</f>
        <v/>
      </c>
      <c r="LIV3" t="str">
        <f>IFERROR(IF($C3="","",SUMIFS(Ledger!$K$2:$K$4, Ledger!$B$2:$B$4, $A3, Ledger!$C$2:$C$4, LIV$2)),"****")</f>
        <v/>
      </c>
      <c r="LIW3" t="str">
        <f>IFERROR(IF($C3="","",SUMIFS(Ledger!$K$2:$K$4, Ledger!$B$2:$B$4, $A3, Ledger!$C$2:$C$4, LIW$2)),"****")</f>
        <v/>
      </c>
      <c r="LIX3" t="str">
        <f>IFERROR(IF($C3="","",SUMIFS(Ledger!$K$2:$K$4, Ledger!$B$2:$B$4, $A3, Ledger!$C$2:$C$4, LIX$2)),"****")</f>
        <v/>
      </c>
      <c r="LIY3" t="str">
        <f>IFERROR(IF($C3="","",SUMIFS(Ledger!$K$2:$K$4, Ledger!$B$2:$B$4, $A3, Ledger!$C$2:$C$4, LIY$2)),"****")</f>
        <v/>
      </c>
      <c r="LIZ3" t="str">
        <f>IFERROR(IF($C3="","",SUMIFS(Ledger!$K$2:$K$4, Ledger!$B$2:$B$4, $A3, Ledger!$C$2:$C$4, LIZ$2)),"****")</f>
        <v/>
      </c>
      <c r="LJA3" t="str">
        <f>IFERROR(IF($C3="","",SUMIFS(Ledger!$K$2:$K$4, Ledger!$B$2:$B$4, $A3, Ledger!$C$2:$C$4, LJA$2)),"****")</f>
        <v/>
      </c>
      <c r="LJB3" t="str">
        <f>IFERROR(IF($C3="","",SUMIFS(Ledger!$K$2:$K$4, Ledger!$B$2:$B$4, $A3, Ledger!$C$2:$C$4, LJB$2)),"****")</f>
        <v/>
      </c>
      <c r="LJC3" t="str">
        <f>IFERROR(IF($C3="","",SUMIFS(Ledger!$K$2:$K$4, Ledger!$B$2:$B$4, $A3, Ledger!$C$2:$C$4, LJC$2)),"****")</f>
        <v/>
      </c>
      <c r="LJD3" t="str">
        <f>IFERROR(IF($C3="","",SUMIFS(Ledger!$K$2:$K$4, Ledger!$B$2:$B$4, $A3, Ledger!$C$2:$C$4, LJD$2)),"****")</f>
        <v/>
      </c>
      <c r="LJE3" t="str">
        <f>IFERROR(IF($C3="","",SUMIFS(Ledger!$K$2:$K$4, Ledger!$B$2:$B$4, $A3, Ledger!$C$2:$C$4, LJE$2)),"****")</f>
        <v/>
      </c>
      <c r="LJF3" t="str">
        <f>IFERROR(IF($C3="","",SUMIFS(Ledger!$K$2:$K$4, Ledger!$B$2:$B$4, $A3, Ledger!$C$2:$C$4, LJF$2)),"****")</f>
        <v/>
      </c>
      <c r="LJG3" t="str">
        <f>IFERROR(IF($C3="","",SUMIFS(Ledger!$K$2:$K$4, Ledger!$B$2:$B$4, $A3, Ledger!$C$2:$C$4, LJG$2)),"****")</f>
        <v/>
      </c>
      <c r="LJH3" t="str">
        <f>IFERROR(IF($C3="","",SUMIFS(Ledger!$K$2:$K$4, Ledger!$B$2:$B$4, $A3, Ledger!$C$2:$C$4, LJH$2)),"****")</f>
        <v/>
      </c>
      <c r="LJI3" t="str">
        <f>IFERROR(IF($C3="","",SUMIFS(Ledger!$K$2:$K$4, Ledger!$B$2:$B$4, $A3, Ledger!$C$2:$C$4, LJI$2)),"****")</f>
        <v/>
      </c>
      <c r="LJJ3" t="str">
        <f>IFERROR(IF($C3="","",SUMIFS(Ledger!$K$2:$K$4, Ledger!$B$2:$B$4, $A3, Ledger!$C$2:$C$4, LJJ$2)),"****")</f>
        <v/>
      </c>
      <c r="LJK3" t="str">
        <f>IFERROR(IF($C3="","",SUMIFS(Ledger!$K$2:$K$4, Ledger!$B$2:$B$4, $A3, Ledger!$C$2:$C$4, LJK$2)),"****")</f>
        <v/>
      </c>
      <c r="LJL3" t="str">
        <f>IFERROR(IF($C3="","",SUMIFS(Ledger!$K$2:$K$4, Ledger!$B$2:$B$4, $A3, Ledger!$C$2:$C$4, LJL$2)),"****")</f>
        <v/>
      </c>
      <c r="LJM3" t="str">
        <f>IFERROR(IF($C3="","",SUMIFS(Ledger!$K$2:$K$4, Ledger!$B$2:$B$4, $A3, Ledger!$C$2:$C$4, LJM$2)),"****")</f>
        <v/>
      </c>
      <c r="LJN3" t="str">
        <f>IFERROR(IF($C3="","",SUMIFS(Ledger!$K$2:$K$4, Ledger!$B$2:$B$4, $A3, Ledger!$C$2:$C$4, LJN$2)),"****")</f>
        <v/>
      </c>
      <c r="LJO3" t="str">
        <f>IFERROR(IF($C3="","",SUMIFS(Ledger!$K$2:$K$4, Ledger!$B$2:$B$4, $A3, Ledger!$C$2:$C$4, LJO$2)),"****")</f>
        <v/>
      </c>
      <c r="LJP3" t="str">
        <f>IFERROR(IF($C3="","",SUMIFS(Ledger!$K$2:$K$4, Ledger!$B$2:$B$4, $A3, Ledger!$C$2:$C$4, LJP$2)),"****")</f>
        <v/>
      </c>
      <c r="LJQ3" t="str">
        <f>IFERROR(IF($C3="","",SUMIFS(Ledger!$K$2:$K$4, Ledger!$B$2:$B$4, $A3, Ledger!$C$2:$C$4, LJQ$2)),"****")</f>
        <v/>
      </c>
      <c r="LJR3" t="str">
        <f>IFERROR(IF($C3="","",SUMIFS(Ledger!$K$2:$K$4, Ledger!$B$2:$B$4, $A3, Ledger!$C$2:$C$4, LJR$2)),"****")</f>
        <v/>
      </c>
      <c r="LJS3" t="str">
        <f>IFERROR(IF($C3="","",SUMIFS(Ledger!$K$2:$K$4, Ledger!$B$2:$B$4, $A3, Ledger!$C$2:$C$4, LJS$2)),"****")</f>
        <v/>
      </c>
      <c r="LJT3" t="str">
        <f>IFERROR(IF($C3="","",SUMIFS(Ledger!$K$2:$K$4, Ledger!$B$2:$B$4, $A3, Ledger!$C$2:$C$4, LJT$2)),"****")</f>
        <v/>
      </c>
      <c r="LJU3" t="str">
        <f>IFERROR(IF($C3="","",SUMIFS(Ledger!$K$2:$K$4, Ledger!$B$2:$B$4, $A3, Ledger!$C$2:$C$4, LJU$2)),"****")</f>
        <v/>
      </c>
      <c r="LJV3" t="str">
        <f>IFERROR(IF($C3="","",SUMIFS(Ledger!$K$2:$K$4, Ledger!$B$2:$B$4, $A3, Ledger!$C$2:$C$4, LJV$2)),"****")</f>
        <v/>
      </c>
      <c r="LJW3" t="str">
        <f>IFERROR(IF($C3="","",SUMIFS(Ledger!$K$2:$K$4, Ledger!$B$2:$B$4, $A3, Ledger!$C$2:$C$4, LJW$2)),"****")</f>
        <v/>
      </c>
      <c r="LJX3" t="str">
        <f>IFERROR(IF($C3="","",SUMIFS(Ledger!$K$2:$K$4, Ledger!$B$2:$B$4, $A3, Ledger!$C$2:$C$4, LJX$2)),"****")</f>
        <v/>
      </c>
      <c r="LJY3" t="str">
        <f>IFERROR(IF($C3="","",SUMIFS(Ledger!$K$2:$K$4, Ledger!$B$2:$B$4, $A3, Ledger!$C$2:$C$4, LJY$2)),"****")</f>
        <v/>
      </c>
      <c r="LJZ3" t="str">
        <f>IFERROR(IF($C3="","",SUMIFS(Ledger!$K$2:$K$4, Ledger!$B$2:$B$4, $A3, Ledger!$C$2:$C$4, LJZ$2)),"****")</f>
        <v/>
      </c>
      <c r="LKA3" t="str">
        <f>IFERROR(IF($C3="","",SUMIFS(Ledger!$K$2:$K$4, Ledger!$B$2:$B$4, $A3, Ledger!$C$2:$C$4, LKA$2)),"****")</f>
        <v/>
      </c>
      <c r="LKB3" t="str">
        <f>IFERROR(IF($C3="","",SUMIFS(Ledger!$K$2:$K$4, Ledger!$B$2:$B$4, $A3, Ledger!$C$2:$C$4, LKB$2)),"****")</f>
        <v/>
      </c>
      <c r="LKC3" t="str">
        <f>IFERROR(IF($C3="","",SUMIFS(Ledger!$K$2:$K$4, Ledger!$B$2:$B$4, $A3, Ledger!$C$2:$C$4, LKC$2)),"****")</f>
        <v/>
      </c>
      <c r="LKD3" t="str">
        <f>IFERROR(IF($C3="","",SUMIFS(Ledger!$K$2:$K$4, Ledger!$B$2:$B$4, $A3, Ledger!$C$2:$C$4, LKD$2)),"****")</f>
        <v/>
      </c>
      <c r="LKE3" t="str">
        <f>IFERROR(IF($C3="","",SUMIFS(Ledger!$K$2:$K$4, Ledger!$B$2:$B$4, $A3, Ledger!$C$2:$C$4, LKE$2)),"****")</f>
        <v/>
      </c>
      <c r="LKF3" t="str">
        <f>IFERROR(IF($C3="","",SUMIFS(Ledger!$K$2:$K$4, Ledger!$B$2:$B$4, $A3, Ledger!$C$2:$C$4, LKF$2)),"****")</f>
        <v/>
      </c>
      <c r="LKG3" t="str">
        <f>IFERROR(IF($C3="","",SUMIFS(Ledger!$K$2:$K$4, Ledger!$B$2:$B$4, $A3, Ledger!$C$2:$C$4, LKG$2)),"****")</f>
        <v/>
      </c>
      <c r="LKH3" t="str">
        <f>IFERROR(IF($C3="","",SUMIFS(Ledger!$K$2:$K$4, Ledger!$B$2:$B$4, $A3, Ledger!$C$2:$C$4, LKH$2)),"****")</f>
        <v/>
      </c>
      <c r="LKI3" t="str">
        <f>IFERROR(IF($C3="","",SUMIFS(Ledger!$K$2:$K$4, Ledger!$B$2:$B$4, $A3, Ledger!$C$2:$C$4, LKI$2)),"****")</f>
        <v/>
      </c>
      <c r="LKJ3" t="str">
        <f>IFERROR(IF($C3="","",SUMIFS(Ledger!$K$2:$K$4, Ledger!$B$2:$B$4, $A3, Ledger!$C$2:$C$4, LKJ$2)),"****")</f>
        <v/>
      </c>
      <c r="LKK3" t="str">
        <f>IFERROR(IF($C3="","",SUMIFS(Ledger!$K$2:$K$4, Ledger!$B$2:$B$4, $A3, Ledger!$C$2:$C$4, LKK$2)),"****")</f>
        <v/>
      </c>
      <c r="LKL3" t="str">
        <f>IFERROR(IF($C3="","",SUMIFS(Ledger!$K$2:$K$4, Ledger!$B$2:$B$4, $A3, Ledger!$C$2:$C$4, LKL$2)),"****")</f>
        <v/>
      </c>
      <c r="LKM3" t="str">
        <f>IFERROR(IF($C3="","",SUMIFS(Ledger!$K$2:$K$4, Ledger!$B$2:$B$4, $A3, Ledger!$C$2:$C$4, LKM$2)),"****")</f>
        <v/>
      </c>
      <c r="LKN3" t="str">
        <f>IFERROR(IF($C3="","",SUMIFS(Ledger!$K$2:$K$4, Ledger!$B$2:$B$4, $A3, Ledger!$C$2:$C$4, LKN$2)),"****")</f>
        <v/>
      </c>
      <c r="LKO3" t="str">
        <f>IFERROR(IF($C3="","",SUMIFS(Ledger!$K$2:$K$4, Ledger!$B$2:$B$4, $A3, Ledger!$C$2:$C$4, LKO$2)),"****")</f>
        <v/>
      </c>
      <c r="LKP3" t="str">
        <f>IFERROR(IF($C3="","",SUMIFS(Ledger!$K$2:$K$4, Ledger!$B$2:$B$4, $A3, Ledger!$C$2:$C$4, LKP$2)),"****")</f>
        <v/>
      </c>
      <c r="LKQ3" t="str">
        <f>IFERROR(IF($C3="","",SUMIFS(Ledger!$K$2:$K$4, Ledger!$B$2:$B$4, $A3, Ledger!$C$2:$C$4, LKQ$2)),"****")</f>
        <v/>
      </c>
      <c r="LKR3" t="str">
        <f>IFERROR(IF($C3="","",SUMIFS(Ledger!$K$2:$K$4, Ledger!$B$2:$B$4, $A3, Ledger!$C$2:$C$4, LKR$2)),"****")</f>
        <v/>
      </c>
      <c r="LKS3" t="str">
        <f>IFERROR(IF($C3="","",SUMIFS(Ledger!$K$2:$K$4, Ledger!$B$2:$B$4, $A3, Ledger!$C$2:$C$4, LKS$2)),"****")</f>
        <v/>
      </c>
      <c r="LKT3" t="str">
        <f>IFERROR(IF($C3="","",SUMIFS(Ledger!$K$2:$K$4, Ledger!$B$2:$B$4, $A3, Ledger!$C$2:$C$4, LKT$2)),"****")</f>
        <v/>
      </c>
      <c r="LKU3" t="str">
        <f>IFERROR(IF($C3="","",SUMIFS(Ledger!$K$2:$K$4, Ledger!$B$2:$B$4, $A3, Ledger!$C$2:$C$4, LKU$2)),"****")</f>
        <v/>
      </c>
      <c r="LKV3" t="str">
        <f>IFERROR(IF($C3="","",SUMIFS(Ledger!$K$2:$K$4, Ledger!$B$2:$B$4, $A3, Ledger!$C$2:$C$4, LKV$2)),"****")</f>
        <v/>
      </c>
      <c r="LKW3" t="str">
        <f>IFERROR(IF($C3="","",SUMIFS(Ledger!$K$2:$K$4, Ledger!$B$2:$B$4, $A3, Ledger!$C$2:$C$4, LKW$2)),"****")</f>
        <v/>
      </c>
      <c r="LKX3" t="str">
        <f>IFERROR(IF($C3="","",SUMIFS(Ledger!$K$2:$K$4, Ledger!$B$2:$B$4, $A3, Ledger!$C$2:$C$4, LKX$2)),"****")</f>
        <v/>
      </c>
      <c r="LKY3" t="str">
        <f>IFERROR(IF($C3="","",SUMIFS(Ledger!$K$2:$K$4, Ledger!$B$2:$B$4, $A3, Ledger!$C$2:$C$4, LKY$2)),"****")</f>
        <v/>
      </c>
      <c r="LKZ3" t="str">
        <f>IFERROR(IF($C3="","",SUMIFS(Ledger!$K$2:$K$4, Ledger!$B$2:$B$4, $A3, Ledger!$C$2:$C$4, LKZ$2)),"****")</f>
        <v/>
      </c>
      <c r="LLA3" t="str">
        <f>IFERROR(IF($C3="","",SUMIFS(Ledger!$K$2:$K$4, Ledger!$B$2:$B$4, $A3, Ledger!$C$2:$C$4, LLA$2)),"****")</f>
        <v/>
      </c>
      <c r="LLB3" t="str">
        <f>IFERROR(IF($C3="","",SUMIFS(Ledger!$K$2:$K$4, Ledger!$B$2:$B$4, $A3, Ledger!$C$2:$C$4, LLB$2)),"****")</f>
        <v/>
      </c>
      <c r="LLC3" t="str">
        <f>IFERROR(IF($C3="","",SUMIFS(Ledger!$K$2:$K$4, Ledger!$B$2:$B$4, $A3, Ledger!$C$2:$C$4, LLC$2)),"****")</f>
        <v/>
      </c>
      <c r="LLD3" t="str">
        <f>IFERROR(IF($C3="","",SUMIFS(Ledger!$K$2:$K$4, Ledger!$B$2:$B$4, $A3, Ledger!$C$2:$C$4, LLD$2)),"****")</f>
        <v/>
      </c>
      <c r="LLE3" t="str">
        <f>IFERROR(IF($C3="","",SUMIFS(Ledger!$K$2:$K$4, Ledger!$B$2:$B$4, $A3, Ledger!$C$2:$C$4, LLE$2)),"****")</f>
        <v/>
      </c>
      <c r="LLF3" t="str">
        <f>IFERROR(IF($C3="","",SUMIFS(Ledger!$K$2:$K$4, Ledger!$B$2:$B$4, $A3, Ledger!$C$2:$C$4, LLF$2)),"****")</f>
        <v/>
      </c>
      <c r="LLG3" t="str">
        <f>IFERROR(IF($C3="","",SUMIFS(Ledger!$K$2:$K$4, Ledger!$B$2:$B$4, $A3, Ledger!$C$2:$C$4, LLG$2)),"****")</f>
        <v/>
      </c>
      <c r="LLH3" t="str">
        <f>IFERROR(IF($C3="","",SUMIFS(Ledger!$K$2:$K$4, Ledger!$B$2:$B$4, $A3, Ledger!$C$2:$C$4, LLH$2)),"****")</f>
        <v/>
      </c>
      <c r="LLI3" t="str">
        <f>IFERROR(IF($C3="","",SUMIFS(Ledger!$K$2:$K$4, Ledger!$B$2:$B$4, $A3, Ledger!$C$2:$C$4, LLI$2)),"****")</f>
        <v/>
      </c>
      <c r="LLJ3" t="str">
        <f>IFERROR(IF($C3="","",SUMIFS(Ledger!$K$2:$K$4, Ledger!$B$2:$B$4, $A3, Ledger!$C$2:$C$4, LLJ$2)),"****")</f>
        <v/>
      </c>
      <c r="LLK3" t="str">
        <f>IFERROR(IF($C3="","",SUMIFS(Ledger!$K$2:$K$4, Ledger!$B$2:$B$4, $A3, Ledger!$C$2:$C$4, LLK$2)),"****")</f>
        <v/>
      </c>
      <c r="LLL3" t="str">
        <f>IFERROR(IF($C3="","",SUMIFS(Ledger!$K$2:$K$4, Ledger!$B$2:$B$4, $A3, Ledger!$C$2:$C$4, LLL$2)),"****")</f>
        <v/>
      </c>
      <c r="LLM3" t="str">
        <f>IFERROR(IF($C3="","",SUMIFS(Ledger!$K$2:$K$4, Ledger!$B$2:$B$4, $A3, Ledger!$C$2:$C$4, LLM$2)),"****")</f>
        <v/>
      </c>
      <c r="LLN3" t="str">
        <f>IFERROR(IF($C3="","",SUMIFS(Ledger!$K$2:$K$4, Ledger!$B$2:$B$4, $A3, Ledger!$C$2:$C$4, LLN$2)),"****")</f>
        <v/>
      </c>
      <c r="LLO3" t="str">
        <f>IFERROR(IF($C3="","",SUMIFS(Ledger!$K$2:$K$4, Ledger!$B$2:$B$4, $A3, Ledger!$C$2:$C$4, LLO$2)),"****")</f>
        <v/>
      </c>
      <c r="LLP3" t="str">
        <f>IFERROR(IF($C3="","",SUMIFS(Ledger!$K$2:$K$4, Ledger!$B$2:$B$4, $A3, Ledger!$C$2:$C$4, LLP$2)),"****")</f>
        <v/>
      </c>
      <c r="LLQ3" t="str">
        <f>IFERROR(IF($C3="","",SUMIFS(Ledger!$K$2:$K$4, Ledger!$B$2:$B$4, $A3, Ledger!$C$2:$C$4, LLQ$2)),"****")</f>
        <v/>
      </c>
      <c r="LLR3" t="str">
        <f>IFERROR(IF($C3="","",SUMIFS(Ledger!$K$2:$K$4, Ledger!$B$2:$B$4, $A3, Ledger!$C$2:$C$4, LLR$2)),"****")</f>
        <v/>
      </c>
      <c r="LLS3" t="str">
        <f>IFERROR(IF($C3="","",SUMIFS(Ledger!$K$2:$K$4, Ledger!$B$2:$B$4, $A3, Ledger!$C$2:$C$4, LLS$2)),"****")</f>
        <v/>
      </c>
      <c r="LLT3" t="str">
        <f>IFERROR(IF($C3="","",SUMIFS(Ledger!$K$2:$K$4, Ledger!$B$2:$B$4, $A3, Ledger!$C$2:$C$4, LLT$2)),"****")</f>
        <v/>
      </c>
      <c r="LLU3" t="str">
        <f>IFERROR(IF($C3="","",SUMIFS(Ledger!$K$2:$K$4, Ledger!$B$2:$B$4, $A3, Ledger!$C$2:$C$4, LLU$2)),"****")</f>
        <v/>
      </c>
      <c r="LLV3" t="str">
        <f>IFERROR(IF($C3="","",SUMIFS(Ledger!$K$2:$K$4, Ledger!$B$2:$B$4, $A3, Ledger!$C$2:$C$4, LLV$2)),"****")</f>
        <v/>
      </c>
      <c r="LLW3" t="str">
        <f>IFERROR(IF($C3="","",SUMIFS(Ledger!$K$2:$K$4, Ledger!$B$2:$B$4, $A3, Ledger!$C$2:$C$4, LLW$2)),"****")</f>
        <v/>
      </c>
      <c r="LLX3" t="str">
        <f>IFERROR(IF($C3="","",SUMIFS(Ledger!$K$2:$K$4, Ledger!$B$2:$B$4, $A3, Ledger!$C$2:$C$4, LLX$2)),"****")</f>
        <v/>
      </c>
      <c r="LLY3" t="str">
        <f>IFERROR(IF($C3="","",SUMIFS(Ledger!$K$2:$K$4, Ledger!$B$2:$B$4, $A3, Ledger!$C$2:$C$4, LLY$2)),"****")</f>
        <v/>
      </c>
      <c r="LLZ3" t="str">
        <f>IFERROR(IF($C3="","",SUMIFS(Ledger!$K$2:$K$4, Ledger!$B$2:$B$4, $A3, Ledger!$C$2:$C$4, LLZ$2)),"****")</f>
        <v/>
      </c>
      <c r="LMA3" t="str">
        <f>IFERROR(IF($C3="","",SUMIFS(Ledger!$K$2:$K$4, Ledger!$B$2:$B$4, $A3, Ledger!$C$2:$C$4, LMA$2)),"****")</f>
        <v/>
      </c>
      <c r="LMB3" t="str">
        <f>IFERROR(IF($C3="","",SUMIFS(Ledger!$K$2:$K$4, Ledger!$B$2:$B$4, $A3, Ledger!$C$2:$C$4, LMB$2)),"****")</f>
        <v/>
      </c>
      <c r="LMC3" t="str">
        <f>IFERROR(IF($C3="","",SUMIFS(Ledger!$K$2:$K$4, Ledger!$B$2:$B$4, $A3, Ledger!$C$2:$C$4, LMC$2)),"****")</f>
        <v/>
      </c>
      <c r="LMD3" t="str">
        <f>IFERROR(IF($C3="","",SUMIFS(Ledger!$K$2:$K$4, Ledger!$B$2:$B$4, $A3, Ledger!$C$2:$C$4, LMD$2)),"****")</f>
        <v/>
      </c>
      <c r="LME3" t="str">
        <f>IFERROR(IF($C3="","",SUMIFS(Ledger!$K$2:$K$4, Ledger!$B$2:$B$4, $A3, Ledger!$C$2:$C$4, LME$2)),"****")</f>
        <v/>
      </c>
      <c r="LMF3" t="str">
        <f>IFERROR(IF($C3="","",SUMIFS(Ledger!$K$2:$K$4, Ledger!$B$2:$B$4, $A3, Ledger!$C$2:$C$4, LMF$2)),"****")</f>
        <v/>
      </c>
      <c r="LMG3" t="str">
        <f>IFERROR(IF($C3="","",SUMIFS(Ledger!$K$2:$K$4, Ledger!$B$2:$B$4, $A3, Ledger!$C$2:$C$4, LMG$2)),"****")</f>
        <v/>
      </c>
      <c r="LMH3" t="str">
        <f>IFERROR(IF($C3="","",SUMIFS(Ledger!$K$2:$K$4, Ledger!$B$2:$B$4, $A3, Ledger!$C$2:$C$4, LMH$2)),"****")</f>
        <v/>
      </c>
      <c r="LMI3" t="str">
        <f>IFERROR(IF($C3="","",SUMIFS(Ledger!$K$2:$K$4, Ledger!$B$2:$B$4, $A3, Ledger!$C$2:$C$4, LMI$2)),"****")</f>
        <v/>
      </c>
      <c r="LMJ3" t="str">
        <f>IFERROR(IF($C3="","",SUMIFS(Ledger!$K$2:$K$4, Ledger!$B$2:$B$4, $A3, Ledger!$C$2:$C$4, LMJ$2)),"****")</f>
        <v/>
      </c>
      <c r="LMK3" t="str">
        <f>IFERROR(IF($C3="","",SUMIFS(Ledger!$K$2:$K$4, Ledger!$B$2:$B$4, $A3, Ledger!$C$2:$C$4, LMK$2)),"****")</f>
        <v/>
      </c>
      <c r="LML3" t="str">
        <f>IFERROR(IF($C3="","",SUMIFS(Ledger!$K$2:$K$4, Ledger!$B$2:$B$4, $A3, Ledger!$C$2:$C$4, LML$2)),"****")</f>
        <v/>
      </c>
      <c r="LMM3" t="str">
        <f>IFERROR(IF($C3="","",SUMIFS(Ledger!$K$2:$K$4, Ledger!$B$2:$B$4, $A3, Ledger!$C$2:$C$4, LMM$2)),"****")</f>
        <v/>
      </c>
      <c r="LMN3" t="str">
        <f>IFERROR(IF($C3="","",SUMIFS(Ledger!$K$2:$K$4, Ledger!$B$2:$B$4, $A3, Ledger!$C$2:$C$4, LMN$2)),"****")</f>
        <v/>
      </c>
      <c r="LMO3" t="str">
        <f>IFERROR(IF($C3="","",SUMIFS(Ledger!$K$2:$K$4, Ledger!$B$2:$B$4, $A3, Ledger!$C$2:$C$4, LMO$2)),"****")</f>
        <v/>
      </c>
      <c r="LMP3" t="str">
        <f>IFERROR(IF($C3="","",SUMIFS(Ledger!$K$2:$K$4, Ledger!$B$2:$B$4, $A3, Ledger!$C$2:$C$4, LMP$2)),"****")</f>
        <v/>
      </c>
      <c r="LMQ3" t="str">
        <f>IFERROR(IF($C3="","",SUMIFS(Ledger!$K$2:$K$4, Ledger!$B$2:$B$4, $A3, Ledger!$C$2:$C$4, LMQ$2)),"****")</f>
        <v/>
      </c>
      <c r="LMR3" t="str">
        <f>IFERROR(IF($C3="","",SUMIFS(Ledger!$K$2:$K$4, Ledger!$B$2:$B$4, $A3, Ledger!$C$2:$C$4, LMR$2)),"****")</f>
        <v/>
      </c>
      <c r="LMS3" t="str">
        <f>IFERROR(IF($C3="","",SUMIFS(Ledger!$K$2:$K$4, Ledger!$B$2:$B$4, $A3, Ledger!$C$2:$C$4, LMS$2)),"****")</f>
        <v/>
      </c>
      <c r="LMT3" t="str">
        <f>IFERROR(IF($C3="","",SUMIFS(Ledger!$K$2:$K$4, Ledger!$B$2:$B$4, $A3, Ledger!$C$2:$C$4, LMT$2)),"****")</f>
        <v/>
      </c>
      <c r="LMU3" t="str">
        <f>IFERROR(IF($C3="","",SUMIFS(Ledger!$K$2:$K$4, Ledger!$B$2:$B$4, $A3, Ledger!$C$2:$C$4, LMU$2)),"****")</f>
        <v/>
      </c>
      <c r="LMV3" t="str">
        <f>IFERROR(IF($C3="","",SUMIFS(Ledger!$K$2:$K$4, Ledger!$B$2:$B$4, $A3, Ledger!$C$2:$C$4, LMV$2)),"****")</f>
        <v/>
      </c>
      <c r="LMW3" t="str">
        <f>IFERROR(IF($C3="","",SUMIFS(Ledger!$K$2:$K$4, Ledger!$B$2:$B$4, $A3, Ledger!$C$2:$C$4, LMW$2)),"****")</f>
        <v/>
      </c>
      <c r="LMX3" t="str">
        <f>IFERROR(IF($C3="","",SUMIFS(Ledger!$K$2:$K$4, Ledger!$B$2:$B$4, $A3, Ledger!$C$2:$C$4, LMX$2)),"****")</f>
        <v/>
      </c>
      <c r="LMY3" t="str">
        <f>IFERROR(IF($C3="","",SUMIFS(Ledger!$K$2:$K$4, Ledger!$B$2:$B$4, $A3, Ledger!$C$2:$C$4, LMY$2)),"****")</f>
        <v/>
      </c>
      <c r="LMZ3" t="str">
        <f>IFERROR(IF($C3="","",SUMIFS(Ledger!$K$2:$K$4, Ledger!$B$2:$B$4, $A3, Ledger!$C$2:$C$4, LMZ$2)),"****")</f>
        <v/>
      </c>
      <c r="LNA3" t="str">
        <f>IFERROR(IF($C3="","",SUMIFS(Ledger!$K$2:$K$4, Ledger!$B$2:$B$4, $A3, Ledger!$C$2:$C$4, LNA$2)),"****")</f>
        <v/>
      </c>
      <c r="LNB3" t="str">
        <f>IFERROR(IF($C3="","",SUMIFS(Ledger!$K$2:$K$4, Ledger!$B$2:$B$4, $A3, Ledger!$C$2:$C$4, LNB$2)),"****")</f>
        <v/>
      </c>
      <c r="LNC3" t="str">
        <f>IFERROR(IF($C3="","",SUMIFS(Ledger!$K$2:$K$4, Ledger!$B$2:$B$4, $A3, Ledger!$C$2:$C$4, LNC$2)),"****")</f>
        <v/>
      </c>
      <c r="LND3" t="str">
        <f>IFERROR(IF($C3="","",SUMIFS(Ledger!$K$2:$K$4, Ledger!$B$2:$B$4, $A3, Ledger!$C$2:$C$4, LND$2)),"****")</f>
        <v/>
      </c>
      <c r="LNE3" t="str">
        <f>IFERROR(IF($C3="","",SUMIFS(Ledger!$K$2:$K$4, Ledger!$B$2:$B$4, $A3, Ledger!$C$2:$C$4, LNE$2)),"****")</f>
        <v/>
      </c>
      <c r="LNF3" t="str">
        <f>IFERROR(IF($C3="","",SUMIFS(Ledger!$K$2:$K$4, Ledger!$B$2:$B$4, $A3, Ledger!$C$2:$C$4, LNF$2)),"****")</f>
        <v/>
      </c>
      <c r="LNG3" t="str">
        <f>IFERROR(IF($C3="","",SUMIFS(Ledger!$K$2:$K$4, Ledger!$B$2:$B$4, $A3, Ledger!$C$2:$C$4, LNG$2)),"****")</f>
        <v/>
      </c>
      <c r="LNH3" t="str">
        <f>IFERROR(IF($C3="","",SUMIFS(Ledger!$K$2:$K$4, Ledger!$B$2:$B$4, $A3, Ledger!$C$2:$C$4, LNH$2)),"****")</f>
        <v/>
      </c>
      <c r="LNI3" t="str">
        <f>IFERROR(IF($C3="","",SUMIFS(Ledger!$K$2:$K$4, Ledger!$B$2:$B$4, $A3, Ledger!$C$2:$C$4, LNI$2)),"****")</f>
        <v/>
      </c>
      <c r="LNJ3" t="str">
        <f>IFERROR(IF($C3="","",SUMIFS(Ledger!$K$2:$K$4, Ledger!$B$2:$B$4, $A3, Ledger!$C$2:$C$4, LNJ$2)),"****")</f>
        <v/>
      </c>
      <c r="LNK3" t="str">
        <f>IFERROR(IF($C3="","",SUMIFS(Ledger!$K$2:$K$4, Ledger!$B$2:$B$4, $A3, Ledger!$C$2:$C$4, LNK$2)),"****")</f>
        <v/>
      </c>
      <c r="LNL3" t="str">
        <f>IFERROR(IF($C3="","",SUMIFS(Ledger!$K$2:$K$4, Ledger!$B$2:$B$4, $A3, Ledger!$C$2:$C$4, LNL$2)),"****")</f>
        <v/>
      </c>
      <c r="LNM3" t="str">
        <f>IFERROR(IF($C3="","",SUMIFS(Ledger!$K$2:$K$4, Ledger!$B$2:$B$4, $A3, Ledger!$C$2:$C$4, LNM$2)),"****")</f>
        <v/>
      </c>
      <c r="LNN3" t="str">
        <f>IFERROR(IF($C3="","",SUMIFS(Ledger!$K$2:$K$4, Ledger!$B$2:$B$4, $A3, Ledger!$C$2:$C$4, LNN$2)),"****")</f>
        <v/>
      </c>
      <c r="LNO3" t="str">
        <f>IFERROR(IF($C3="","",SUMIFS(Ledger!$K$2:$K$4, Ledger!$B$2:$B$4, $A3, Ledger!$C$2:$C$4, LNO$2)),"****")</f>
        <v/>
      </c>
      <c r="LNP3" t="str">
        <f>IFERROR(IF($C3="","",SUMIFS(Ledger!$K$2:$K$4, Ledger!$B$2:$B$4, $A3, Ledger!$C$2:$C$4, LNP$2)),"****")</f>
        <v/>
      </c>
      <c r="LNQ3" t="str">
        <f>IFERROR(IF($C3="","",SUMIFS(Ledger!$K$2:$K$4, Ledger!$B$2:$B$4, $A3, Ledger!$C$2:$C$4, LNQ$2)),"****")</f>
        <v/>
      </c>
      <c r="LNR3" t="str">
        <f>IFERROR(IF($C3="","",SUMIFS(Ledger!$K$2:$K$4, Ledger!$B$2:$B$4, $A3, Ledger!$C$2:$C$4, LNR$2)),"****")</f>
        <v/>
      </c>
      <c r="LNS3" t="str">
        <f>IFERROR(IF($C3="","",SUMIFS(Ledger!$K$2:$K$4, Ledger!$B$2:$B$4, $A3, Ledger!$C$2:$C$4, LNS$2)),"****")</f>
        <v/>
      </c>
      <c r="LNT3" t="str">
        <f>IFERROR(IF($C3="","",SUMIFS(Ledger!$K$2:$K$4, Ledger!$B$2:$B$4, $A3, Ledger!$C$2:$C$4, LNT$2)),"****")</f>
        <v/>
      </c>
      <c r="LNU3" t="str">
        <f>IFERROR(IF($C3="","",SUMIFS(Ledger!$K$2:$K$4, Ledger!$B$2:$B$4, $A3, Ledger!$C$2:$C$4, LNU$2)),"****")</f>
        <v/>
      </c>
      <c r="LNV3" t="str">
        <f>IFERROR(IF($C3="","",SUMIFS(Ledger!$K$2:$K$4, Ledger!$B$2:$B$4, $A3, Ledger!$C$2:$C$4, LNV$2)),"****")</f>
        <v/>
      </c>
      <c r="LNW3" t="str">
        <f>IFERROR(IF($C3="","",SUMIFS(Ledger!$K$2:$K$4, Ledger!$B$2:$B$4, $A3, Ledger!$C$2:$C$4, LNW$2)),"****")</f>
        <v/>
      </c>
      <c r="LNX3" t="str">
        <f>IFERROR(IF($C3="","",SUMIFS(Ledger!$K$2:$K$4, Ledger!$B$2:$B$4, $A3, Ledger!$C$2:$C$4, LNX$2)),"****")</f>
        <v/>
      </c>
      <c r="LNY3" t="str">
        <f>IFERROR(IF($C3="","",SUMIFS(Ledger!$K$2:$K$4, Ledger!$B$2:$B$4, $A3, Ledger!$C$2:$C$4, LNY$2)),"****")</f>
        <v/>
      </c>
      <c r="LNZ3" t="str">
        <f>IFERROR(IF($C3="","",SUMIFS(Ledger!$K$2:$K$4, Ledger!$B$2:$B$4, $A3, Ledger!$C$2:$C$4, LNZ$2)),"****")</f>
        <v/>
      </c>
      <c r="LOA3" t="str">
        <f>IFERROR(IF($C3="","",SUMIFS(Ledger!$K$2:$K$4, Ledger!$B$2:$B$4, $A3, Ledger!$C$2:$C$4, LOA$2)),"****")</f>
        <v/>
      </c>
      <c r="LOB3" t="str">
        <f>IFERROR(IF($C3="","",SUMIFS(Ledger!$K$2:$K$4, Ledger!$B$2:$B$4, $A3, Ledger!$C$2:$C$4, LOB$2)),"****")</f>
        <v/>
      </c>
      <c r="LOC3" t="str">
        <f>IFERROR(IF($C3="","",SUMIFS(Ledger!$K$2:$K$4, Ledger!$B$2:$B$4, $A3, Ledger!$C$2:$C$4, LOC$2)),"****")</f>
        <v/>
      </c>
      <c r="LOD3" t="str">
        <f>IFERROR(IF($C3="","",SUMIFS(Ledger!$K$2:$K$4, Ledger!$B$2:$B$4, $A3, Ledger!$C$2:$C$4, LOD$2)),"****")</f>
        <v/>
      </c>
      <c r="LOE3" t="str">
        <f>IFERROR(IF($C3="","",SUMIFS(Ledger!$K$2:$K$4, Ledger!$B$2:$B$4, $A3, Ledger!$C$2:$C$4, LOE$2)),"****")</f>
        <v/>
      </c>
      <c r="LOF3" t="str">
        <f>IFERROR(IF($C3="","",SUMIFS(Ledger!$K$2:$K$4, Ledger!$B$2:$B$4, $A3, Ledger!$C$2:$C$4, LOF$2)),"****")</f>
        <v/>
      </c>
      <c r="LOG3" t="str">
        <f>IFERROR(IF($C3="","",SUMIFS(Ledger!$K$2:$K$4, Ledger!$B$2:$B$4, $A3, Ledger!$C$2:$C$4, LOG$2)),"****")</f>
        <v/>
      </c>
      <c r="LOH3" t="str">
        <f>IFERROR(IF($C3="","",SUMIFS(Ledger!$K$2:$K$4, Ledger!$B$2:$B$4, $A3, Ledger!$C$2:$C$4, LOH$2)),"****")</f>
        <v/>
      </c>
      <c r="LOI3" t="str">
        <f>IFERROR(IF($C3="","",SUMIFS(Ledger!$K$2:$K$4, Ledger!$B$2:$B$4, $A3, Ledger!$C$2:$C$4, LOI$2)),"****")</f>
        <v/>
      </c>
      <c r="LOJ3" t="str">
        <f>IFERROR(IF($C3="","",SUMIFS(Ledger!$K$2:$K$4, Ledger!$B$2:$B$4, $A3, Ledger!$C$2:$C$4, LOJ$2)),"****")</f>
        <v/>
      </c>
      <c r="LOK3" t="str">
        <f>IFERROR(IF($C3="","",SUMIFS(Ledger!$K$2:$K$4, Ledger!$B$2:$B$4, $A3, Ledger!$C$2:$C$4, LOK$2)),"****")</f>
        <v/>
      </c>
      <c r="LOL3" t="str">
        <f>IFERROR(IF($C3="","",SUMIFS(Ledger!$K$2:$K$4, Ledger!$B$2:$B$4, $A3, Ledger!$C$2:$C$4, LOL$2)),"****")</f>
        <v/>
      </c>
      <c r="LOM3" t="str">
        <f>IFERROR(IF($C3="","",SUMIFS(Ledger!$K$2:$K$4, Ledger!$B$2:$B$4, $A3, Ledger!$C$2:$C$4, LOM$2)),"****")</f>
        <v/>
      </c>
      <c r="LON3" t="str">
        <f>IFERROR(IF($C3="","",SUMIFS(Ledger!$K$2:$K$4, Ledger!$B$2:$B$4, $A3, Ledger!$C$2:$C$4, LON$2)),"****")</f>
        <v/>
      </c>
      <c r="LOO3" t="str">
        <f>IFERROR(IF($C3="","",SUMIFS(Ledger!$K$2:$K$4, Ledger!$B$2:$B$4, $A3, Ledger!$C$2:$C$4, LOO$2)),"****")</f>
        <v/>
      </c>
      <c r="LOP3" t="str">
        <f>IFERROR(IF($C3="","",SUMIFS(Ledger!$K$2:$K$4, Ledger!$B$2:$B$4, $A3, Ledger!$C$2:$C$4, LOP$2)),"****")</f>
        <v/>
      </c>
      <c r="LOQ3" t="str">
        <f>IFERROR(IF($C3="","",SUMIFS(Ledger!$K$2:$K$4, Ledger!$B$2:$B$4, $A3, Ledger!$C$2:$C$4, LOQ$2)),"****")</f>
        <v/>
      </c>
      <c r="LOR3" t="str">
        <f>IFERROR(IF($C3="","",SUMIFS(Ledger!$K$2:$K$4, Ledger!$B$2:$B$4, $A3, Ledger!$C$2:$C$4, LOR$2)),"****")</f>
        <v/>
      </c>
      <c r="LOS3" t="str">
        <f>IFERROR(IF($C3="","",SUMIFS(Ledger!$K$2:$K$4, Ledger!$B$2:$B$4, $A3, Ledger!$C$2:$C$4, LOS$2)),"****")</f>
        <v/>
      </c>
      <c r="LOT3" t="str">
        <f>IFERROR(IF($C3="","",SUMIFS(Ledger!$K$2:$K$4, Ledger!$B$2:$B$4, $A3, Ledger!$C$2:$C$4, LOT$2)),"****")</f>
        <v/>
      </c>
      <c r="LOU3" t="str">
        <f>IFERROR(IF($C3="","",SUMIFS(Ledger!$K$2:$K$4, Ledger!$B$2:$B$4, $A3, Ledger!$C$2:$C$4, LOU$2)),"****")</f>
        <v/>
      </c>
      <c r="LOV3" t="str">
        <f>IFERROR(IF($C3="","",SUMIFS(Ledger!$K$2:$K$4, Ledger!$B$2:$B$4, $A3, Ledger!$C$2:$C$4, LOV$2)),"****")</f>
        <v/>
      </c>
      <c r="LOW3" t="str">
        <f>IFERROR(IF($C3="","",SUMIFS(Ledger!$K$2:$K$4, Ledger!$B$2:$B$4, $A3, Ledger!$C$2:$C$4, LOW$2)),"****")</f>
        <v/>
      </c>
      <c r="LOX3" t="str">
        <f>IFERROR(IF($C3="","",SUMIFS(Ledger!$K$2:$K$4, Ledger!$B$2:$B$4, $A3, Ledger!$C$2:$C$4, LOX$2)),"****")</f>
        <v/>
      </c>
      <c r="LOY3" t="str">
        <f>IFERROR(IF($C3="","",SUMIFS(Ledger!$K$2:$K$4, Ledger!$B$2:$B$4, $A3, Ledger!$C$2:$C$4, LOY$2)),"****")</f>
        <v/>
      </c>
      <c r="LOZ3" t="str">
        <f>IFERROR(IF($C3="","",SUMIFS(Ledger!$K$2:$K$4, Ledger!$B$2:$B$4, $A3, Ledger!$C$2:$C$4, LOZ$2)),"****")</f>
        <v/>
      </c>
      <c r="LPA3" t="str">
        <f>IFERROR(IF($C3="","",SUMIFS(Ledger!$K$2:$K$4, Ledger!$B$2:$B$4, $A3, Ledger!$C$2:$C$4, LPA$2)),"****")</f>
        <v/>
      </c>
      <c r="LPB3" t="str">
        <f>IFERROR(IF($C3="","",SUMIFS(Ledger!$K$2:$K$4, Ledger!$B$2:$B$4, $A3, Ledger!$C$2:$C$4, LPB$2)),"****")</f>
        <v/>
      </c>
      <c r="LPC3" t="str">
        <f>IFERROR(IF($C3="","",SUMIFS(Ledger!$K$2:$K$4, Ledger!$B$2:$B$4, $A3, Ledger!$C$2:$C$4, LPC$2)),"****")</f>
        <v/>
      </c>
      <c r="LPD3" t="str">
        <f>IFERROR(IF($C3="","",SUMIFS(Ledger!$K$2:$K$4, Ledger!$B$2:$B$4, $A3, Ledger!$C$2:$C$4, LPD$2)),"****")</f>
        <v/>
      </c>
      <c r="LPE3" t="str">
        <f>IFERROR(IF($C3="","",SUMIFS(Ledger!$K$2:$K$4, Ledger!$B$2:$B$4, $A3, Ledger!$C$2:$C$4, LPE$2)),"****")</f>
        <v/>
      </c>
      <c r="LPF3" t="str">
        <f>IFERROR(IF($C3="","",SUMIFS(Ledger!$K$2:$K$4, Ledger!$B$2:$B$4, $A3, Ledger!$C$2:$C$4, LPF$2)),"****")</f>
        <v/>
      </c>
      <c r="LPG3" t="str">
        <f>IFERROR(IF($C3="","",SUMIFS(Ledger!$K$2:$K$4, Ledger!$B$2:$B$4, $A3, Ledger!$C$2:$C$4, LPG$2)),"****")</f>
        <v/>
      </c>
      <c r="LPH3" t="str">
        <f>IFERROR(IF($C3="","",SUMIFS(Ledger!$K$2:$K$4, Ledger!$B$2:$B$4, $A3, Ledger!$C$2:$C$4, LPH$2)),"****")</f>
        <v/>
      </c>
      <c r="LPI3" t="str">
        <f>IFERROR(IF($C3="","",SUMIFS(Ledger!$K$2:$K$4, Ledger!$B$2:$B$4, $A3, Ledger!$C$2:$C$4, LPI$2)),"****")</f>
        <v/>
      </c>
      <c r="LPJ3" t="str">
        <f>IFERROR(IF($C3="","",SUMIFS(Ledger!$K$2:$K$4, Ledger!$B$2:$B$4, $A3, Ledger!$C$2:$C$4, LPJ$2)),"****")</f>
        <v/>
      </c>
      <c r="LPK3" t="str">
        <f>IFERROR(IF($C3="","",SUMIFS(Ledger!$K$2:$K$4, Ledger!$B$2:$B$4, $A3, Ledger!$C$2:$C$4, LPK$2)),"****")</f>
        <v/>
      </c>
      <c r="LPL3" t="str">
        <f>IFERROR(IF($C3="","",SUMIFS(Ledger!$K$2:$K$4, Ledger!$B$2:$B$4, $A3, Ledger!$C$2:$C$4, LPL$2)),"****")</f>
        <v/>
      </c>
      <c r="LPM3" t="str">
        <f>IFERROR(IF($C3="","",SUMIFS(Ledger!$K$2:$K$4, Ledger!$B$2:$B$4, $A3, Ledger!$C$2:$C$4, LPM$2)),"****")</f>
        <v/>
      </c>
      <c r="LPN3" t="str">
        <f>IFERROR(IF($C3="","",SUMIFS(Ledger!$K$2:$K$4, Ledger!$B$2:$B$4, $A3, Ledger!$C$2:$C$4, LPN$2)),"****")</f>
        <v/>
      </c>
      <c r="LPO3" t="str">
        <f>IFERROR(IF($C3="","",SUMIFS(Ledger!$K$2:$K$4, Ledger!$B$2:$B$4, $A3, Ledger!$C$2:$C$4, LPO$2)),"****")</f>
        <v/>
      </c>
      <c r="LPP3" t="str">
        <f>IFERROR(IF($C3="","",SUMIFS(Ledger!$K$2:$K$4, Ledger!$B$2:$B$4, $A3, Ledger!$C$2:$C$4, LPP$2)),"****")</f>
        <v/>
      </c>
      <c r="LPQ3" t="str">
        <f>IFERROR(IF($C3="","",SUMIFS(Ledger!$K$2:$K$4, Ledger!$B$2:$B$4, $A3, Ledger!$C$2:$C$4, LPQ$2)),"****")</f>
        <v/>
      </c>
      <c r="LPR3" t="str">
        <f>IFERROR(IF($C3="","",SUMIFS(Ledger!$K$2:$K$4, Ledger!$B$2:$B$4, $A3, Ledger!$C$2:$C$4, LPR$2)),"****")</f>
        <v/>
      </c>
      <c r="LPS3" t="str">
        <f>IFERROR(IF($C3="","",SUMIFS(Ledger!$K$2:$K$4, Ledger!$B$2:$B$4, $A3, Ledger!$C$2:$C$4, LPS$2)),"****")</f>
        <v/>
      </c>
      <c r="LPT3" t="str">
        <f>IFERROR(IF($C3="","",SUMIFS(Ledger!$K$2:$K$4, Ledger!$B$2:$B$4, $A3, Ledger!$C$2:$C$4, LPT$2)),"****")</f>
        <v/>
      </c>
      <c r="LPU3" t="str">
        <f>IFERROR(IF($C3="","",SUMIFS(Ledger!$K$2:$K$4, Ledger!$B$2:$B$4, $A3, Ledger!$C$2:$C$4, LPU$2)),"****")</f>
        <v/>
      </c>
      <c r="LPV3" t="str">
        <f>IFERROR(IF($C3="","",SUMIFS(Ledger!$K$2:$K$4, Ledger!$B$2:$B$4, $A3, Ledger!$C$2:$C$4, LPV$2)),"****")</f>
        <v/>
      </c>
      <c r="LPW3" t="str">
        <f>IFERROR(IF($C3="","",SUMIFS(Ledger!$K$2:$K$4, Ledger!$B$2:$B$4, $A3, Ledger!$C$2:$C$4, LPW$2)),"****")</f>
        <v/>
      </c>
      <c r="LPX3" t="str">
        <f>IFERROR(IF($C3="","",SUMIFS(Ledger!$K$2:$K$4, Ledger!$B$2:$B$4, $A3, Ledger!$C$2:$C$4, LPX$2)),"****")</f>
        <v/>
      </c>
      <c r="LPY3" t="str">
        <f>IFERROR(IF($C3="","",SUMIFS(Ledger!$K$2:$K$4, Ledger!$B$2:$B$4, $A3, Ledger!$C$2:$C$4, LPY$2)),"****")</f>
        <v/>
      </c>
      <c r="LPZ3" t="str">
        <f>IFERROR(IF($C3="","",SUMIFS(Ledger!$K$2:$K$4, Ledger!$B$2:$B$4, $A3, Ledger!$C$2:$C$4, LPZ$2)),"****")</f>
        <v/>
      </c>
      <c r="LQA3" t="str">
        <f>IFERROR(IF($C3="","",SUMIFS(Ledger!$K$2:$K$4, Ledger!$B$2:$B$4, $A3, Ledger!$C$2:$C$4, LQA$2)),"****")</f>
        <v/>
      </c>
      <c r="LQB3" t="str">
        <f>IFERROR(IF($C3="","",SUMIFS(Ledger!$K$2:$K$4, Ledger!$B$2:$B$4, $A3, Ledger!$C$2:$C$4, LQB$2)),"****")</f>
        <v/>
      </c>
      <c r="LQC3" t="str">
        <f>IFERROR(IF($C3="","",SUMIFS(Ledger!$K$2:$K$4, Ledger!$B$2:$B$4, $A3, Ledger!$C$2:$C$4, LQC$2)),"****")</f>
        <v/>
      </c>
      <c r="LQD3" t="str">
        <f>IFERROR(IF($C3="","",SUMIFS(Ledger!$K$2:$K$4, Ledger!$B$2:$B$4, $A3, Ledger!$C$2:$C$4, LQD$2)),"****")</f>
        <v/>
      </c>
      <c r="LQE3" t="str">
        <f>IFERROR(IF($C3="","",SUMIFS(Ledger!$K$2:$K$4, Ledger!$B$2:$B$4, $A3, Ledger!$C$2:$C$4, LQE$2)),"****")</f>
        <v/>
      </c>
      <c r="LQF3" t="str">
        <f>IFERROR(IF($C3="","",SUMIFS(Ledger!$K$2:$K$4, Ledger!$B$2:$B$4, $A3, Ledger!$C$2:$C$4, LQF$2)),"****")</f>
        <v/>
      </c>
      <c r="LQG3" t="str">
        <f>IFERROR(IF($C3="","",SUMIFS(Ledger!$K$2:$K$4, Ledger!$B$2:$B$4, $A3, Ledger!$C$2:$C$4, LQG$2)),"****")</f>
        <v/>
      </c>
      <c r="LQH3" t="str">
        <f>IFERROR(IF($C3="","",SUMIFS(Ledger!$K$2:$K$4, Ledger!$B$2:$B$4, $A3, Ledger!$C$2:$C$4, LQH$2)),"****")</f>
        <v/>
      </c>
      <c r="LQI3" t="str">
        <f>IFERROR(IF($C3="","",SUMIFS(Ledger!$K$2:$K$4, Ledger!$B$2:$B$4, $A3, Ledger!$C$2:$C$4, LQI$2)),"****")</f>
        <v/>
      </c>
      <c r="LQJ3" t="str">
        <f>IFERROR(IF($C3="","",SUMIFS(Ledger!$K$2:$K$4, Ledger!$B$2:$B$4, $A3, Ledger!$C$2:$C$4, LQJ$2)),"****")</f>
        <v/>
      </c>
      <c r="LQK3" t="str">
        <f>IFERROR(IF($C3="","",SUMIFS(Ledger!$K$2:$K$4, Ledger!$B$2:$B$4, $A3, Ledger!$C$2:$C$4, LQK$2)),"****")</f>
        <v/>
      </c>
      <c r="LQL3" t="str">
        <f>IFERROR(IF($C3="","",SUMIFS(Ledger!$K$2:$K$4, Ledger!$B$2:$B$4, $A3, Ledger!$C$2:$C$4, LQL$2)),"****")</f>
        <v/>
      </c>
      <c r="LQM3" t="str">
        <f>IFERROR(IF($C3="","",SUMIFS(Ledger!$K$2:$K$4, Ledger!$B$2:$B$4, $A3, Ledger!$C$2:$C$4, LQM$2)),"****")</f>
        <v/>
      </c>
      <c r="LQN3" t="str">
        <f>IFERROR(IF($C3="","",SUMIFS(Ledger!$K$2:$K$4, Ledger!$B$2:$B$4, $A3, Ledger!$C$2:$C$4, LQN$2)),"****")</f>
        <v/>
      </c>
      <c r="LQO3" t="str">
        <f>IFERROR(IF($C3="","",SUMIFS(Ledger!$K$2:$K$4, Ledger!$B$2:$B$4, $A3, Ledger!$C$2:$C$4, LQO$2)),"****")</f>
        <v/>
      </c>
      <c r="LQP3" t="str">
        <f>IFERROR(IF($C3="","",SUMIFS(Ledger!$K$2:$K$4, Ledger!$B$2:$B$4, $A3, Ledger!$C$2:$C$4, LQP$2)),"****")</f>
        <v/>
      </c>
      <c r="LQQ3" t="str">
        <f>IFERROR(IF($C3="","",SUMIFS(Ledger!$K$2:$K$4, Ledger!$B$2:$B$4, $A3, Ledger!$C$2:$C$4, LQQ$2)),"****")</f>
        <v/>
      </c>
      <c r="LQR3" t="str">
        <f>IFERROR(IF($C3="","",SUMIFS(Ledger!$K$2:$K$4, Ledger!$B$2:$B$4, $A3, Ledger!$C$2:$C$4, LQR$2)),"****")</f>
        <v/>
      </c>
      <c r="LQS3" t="str">
        <f>IFERROR(IF($C3="","",SUMIFS(Ledger!$K$2:$K$4, Ledger!$B$2:$B$4, $A3, Ledger!$C$2:$C$4, LQS$2)),"****")</f>
        <v/>
      </c>
      <c r="LQT3" t="str">
        <f>IFERROR(IF($C3="","",SUMIFS(Ledger!$K$2:$K$4, Ledger!$B$2:$B$4, $A3, Ledger!$C$2:$C$4, LQT$2)),"****")</f>
        <v/>
      </c>
      <c r="LQU3" t="str">
        <f>IFERROR(IF($C3="","",SUMIFS(Ledger!$K$2:$K$4, Ledger!$B$2:$B$4, $A3, Ledger!$C$2:$C$4, LQU$2)),"****")</f>
        <v/>
      </c>
      <c r="LQV3" t="str">
        <f>IFERROR(IF($C3="","",SUMIFS(Ledger!$K$2:$K$4, Ledger!$B$2:$B$4, $A3, Ledger!$C$2:$C$4, LQV$2)),"****")</f>
        <v/>
      </c>
      <c r="LQW3" t="str">
        <f>IFERROR(IF($C3="","",SUMIFS(Ledger!$K$2:$K$4, Ledger!$B$2:$B$4, $A3, Ledger!$C$2:$C$4, LQW$2)),"****")</f>
        <v/>
      </c>
      <c r="LQX3" t="str">
        <f>IFERROR(IF($C3="","",SUMIFS(Ledger!$K$2:$K$4, Ledger!$B$2:$B$4, $A3, Ledger!$C$2:$C$4, LQX$2)),"****")</f>
        <v/>
      </c>
      <c r="LQY3" t="str">
        <f>IFERROR(IF($C3="","",SUMIFS(Ledger!$K$2:$K$4, Ledger!$B$2:$B$4, $A3, Ledger!$C$2:$C$4, LQY$2)),"****")</f>
        <v/>
      </c>
      <c r="LQZ3" t="str">
        <f>IFERROR(IF($C3="","",SUMIFS(Ledger!$K$2:$K$4, Ledger!$B$2:$B$4, $A3, Ledger!$C$2:$C$4, LQZ$2)),"****")</f>
        <v/>
      </c>
      <c r="LRA3" t="str">
        <f>IFERROR(IF($C3="","",SUMIFS(Ledger!$K$2:$K$4, Ledger!$B$2:$B$4, $A3, Ledger!$C$2:$C$4, LRA$2)),"****")</f>
        <v/>
      </c>
      <c r="LRB3" t="str">
        <f>IFERROR(IF($C3="","",SUMIFS(Ledger!$K$2:$K$4, Ledger!$B$2:$B$4, $A3, Ledger!$C$2:$C$4, LRB$2)),"****")</f>
        <v/>
      </c>
      <c r="LRC3" t="str">
        <f>IFERROR(IF($C3="","",SUMIFS(Ledger!$K$2:$K$4, Ledger!$B$2:$B$4, $A3, Ledger!$C$2:$C$4, LRC$2)),"****")</f>
        <v/>
      </c>
      <c r="LRD3" t="str">
        <f>IFERROR(IF($C3="","",SUMIFS(Ledger!$K$2:$K$4, Ledger!$B$2:$B$4, $A3, Ledger!$C$2:$C$4, LRD$2)),"****")</f>
        <v/>
      </c>
      <c r="LRE3" t="str">
        <f>IFERROR(IF($C3="","",SUMIFS(Ledger!$K$2:$K$4, Ledger!$B$2:$B$4, $A3, Ledger!$C$2:$C$4, LRE$2)),"****")</f>
        <v/>
      </c>
      <c r="LRF3" t="str">
        <f>IFERROR(IF($C3="","",SUMIFS(Ledger!$K$2:$K$4, Ledger!$B$2:$B$4, $A3, Ledger!$C$2:$C$4, LRF$2)),"****")</f>
        <v/>
      </c>
      <c r="LRG3" t="str">
        <f>IFERROR(IF($C3="","",SUMIFS(Ledger!$K$2:$K$4, Ledger!$B$2:$B$4, $A3, Ledger!$C$2:$C$4, LRG$2)),"****")</f>
        <v/>
      </c>
      <c r="LRH3" t="str">
        <f>IFERROR(IF($C3="","",SUMIFS(Ledger!$K$2:$K$4, Ledger!$B$2:$B$4, $A3, Ledger!$C$2:$C$4, LRH$2)),"****")</f>
        <v/>
      </c>
      <c r="LRI3" t="str">
        <f>IFERROR(IF($C3="","",SUMIFS(Ledger!$K$2:$K$4, Ledger!$B$2:$B$4, $A3, Ledger!$C$2:$C$4, LRI$2)),"****")</f>
        <v/>
      </c>
      <c r="LRJ3" t="str">
        <f>IFERROR(IF($C3="","",SUMIFS(Ledger!$K$2:$K$4, Ledger!$B$2:$B$4, $A3, Ledger!$C$2:$C$4, LRJ$2)),"****")</f>
        <v/>
      </c>
      <c r="LRK3" t="str">
        <f>IFERROR(IF($C3="","",SUMIFS(Ledger!$K$2:$K$4, Ledger!$B$2:$B$4, $A3, Ledger!$C$2:$C$4, LRK$2)),"****")</f>
        <v/>
      </c>
      <c r="LRL3" t="str">
        <f>IFERROR(IF($C3="","",SUMIFS(Ledger!$K$2:$K$4, Ledger!$B$2:$B$4, $A3, Ledger!$C$2:$C$4, LRL$2)),"****")</f>
        <v/>
      </c>
      <c r="LRM3" t="str">
        <f>IFERROR(IF($C3="","",SUMIFS(Ledger!$K$2:$K$4, Ledger!$B$2:$B$4, $A3, Ledger!$C$2:$C$4, LRM$2)),"****")</f>
        <v/>
      </c>
      <c r="LRN3" t="str">
        <f>IFERROR(IF($C3="","",SUMIFS(Ledger!$K$2:$K$4, Ledger!$B$2:$B$4, $A3, Ledger!$C$2:$C$4, LRN$2)),"****")</f>
        <v/>
      </c>
      <c r="LRO3" t="str">
        <f>IFERROR(IF($C3="","",SUMIFS(Ledger!$K$2:$K$4, Ledger!$B$2:$B$4, $A3, Ledger!$C$2:$C$4, LRO$2)),"****")</f>
        <v/>
      </c>
      <c r="LRP3" t="str">
        <f>IFERROR(IF($C3="","",SUMIFS(Ledger!$K$2:$K$4, Ledger!$B$2:$B$4, $A3, Ledger!$C$2:$C$4, LRP$2)),"****")</f>
        <v/>
      </c>
      <c r="LRQ3" t="str">
        <f>IFERROR(IF($C3="","",SUMIFS(Ledger!$K$2:$K$4, Ledger!$B$2:$B$4, $A3, Ledger!$C$2:$C$4, LRQ$2)),"****")</f>
        <v/>
      </c>
      <c r="LRR3" t="str">
        <f>IFERROR(IF($C3="","",SUMIFS(Ledger!$K$2:$K$4, Ledger!$B$2:$B$4, $A3, Ledger!$C$2:$C$4, LRR$2)),"****")</f>
        <v/>
      </c>
      <c r="LRS3" t="str">
        <f>IFERROR(IF($C3="","",SUMIFS(Ledger!$K$2:$K$4, Ledger!$B$2:$B$4, $A3, Ledger!$C$2:$C$4, LRS$2)),"****")</f>
        <v/>
      </c>
      <c r="LRT3" t="str">
        <f>IFERROR(IF($C3="","",SUMIFS(Ledger!$K$2:$K$4, Ledger!$B$2:$B$4, $A3, Ledger!$C$2:$C$4, LRT$2)),"****")</f>
        <v/>
      </c>
      <c r="LRU3" t="str">
        <f>IFERROR(IF($C3="","",SUMIFS(Ledger!$K$2:$K$4, Ledger!$B$2:$B$4, $A3, Ledger!$C$2:$C$4, LRU$2)),"****")</f>
        <v/>
      </c>
      <c r="LRV3" t="str">
        <f>IFERROR(IF($C3="","",SUMIFS(Ledger!$K$2:$K$4, Ledger!$B$2:$B$4, $A3, Ledger!$C$2:$C$4, LRV$2)),"****")</f>
        <v/>
      </c>
      <c r="LRW3" t="str">
        <f>IFERROR(IF($C3="","",SUMIFS(Ledger!$K$2:$K$4, Ledger!$B$2:$B$4, $A3, Ledger!$C$2:$C$4, LRW$2)),"****")</f>
        <v/>
      </c>
      <c r="LRX3" t="str">
        <f>IFERROR(IF($C3="","",SUMIFS(Ledger!$K$2:$K$4, Ledger!$B$2:$B$4, $A3, Ledger!$C$2:$C$4, LRX$2)),"****")</f>
        <v/>
      </c>
      <c r="LRY3" t="str">
        <f>IFERROR(IF($C3="","",SUMIFS(Ledger!$K$2:$K$4, Ledger!$B$2:$B$4, $A3, Ledger!$C$2:$C$4, LRY$2)),"****")</f>
        <v/>
      </c>
      <c r="LRZ3" t="str">
        <f>IFERROR(IF($C3="","",SUMIFS(Ledger!$K$2:$K$4, Ledger!$B$2:$B$4, $A3, Ledger!$C$2:$C$4, LRZ$2)),"****")</f>
        <v/>
      </c>
      <c r="LSA3" t="str">
        <f>IFERROR(IF($C3="","",SUMIFS(Ledger!$K$2:$K$4, Ledger!$B$2:$B$4, $A3, Ledger!$C$2:$C$4, LSA$2)),"****")</f>
        <v/>
      </c>
      <c r="LSB3" t="str">
        <f>IFERROR(IF($C3="","",SUMIFS(Ledger!$K$2:$K$4, Ledger!$B$2:$B$4, $A3, Ledger!$C$2:$C$4, LSB$2)),"****")</f>
        <v/>
      </c>
      <c r="LSC3" t="str">
        <f>IFERROR(IF($C3="","",SUMIFS(Ledger!$K$2:$K$4, Ledger!$B$2:$B$4, $A3, Ledger!$C$2:$C$4, LSC$2)),"****")</f>
        <v/>
      </c>
      <c r="LSD3" t="str">
        <f>IFERROR(IF($C3="","",SUMIFS(Ledger!$K$2:$K$4, Ledger!$B$2:$B$4, $A3, Ledger!$C$2:$C$4, LSD$2)),"****")</f>
        <v/>
      </c>
      <c r="LSE3" t="str">
        <f>IFERROR(IF($C3="","",SUMIFS(Ledger!$K$2:$K$4, Ledger!$B$2:$B$4, $A3, Ledger!$C$2:$C$4, LSE$2)),"****")</f>
        <v/>
      </c>
      <c r="LSF3" t="str">
        <f>IFERROR(IF($C3="","",SUMIFS(Ledger!$K$2:$K$4, Ledger!$B$2:$B$4, $A3, Ledger!$C$2:$C$4, LSF$2)),"****")</f>
        <v/>
      </c>
      <c r="LSG3" t="str">
        <f>IFERROR(IF($C3="","",SUMIFS(Ledger!$K$2:$K$4, Ledger!$B$2:$B$4, $A3, Ledger!$C$2:$C$4, LSG$2)),"****")</f>
        <v/>
      </c>
      <c r="LSH3" t="str">
        <f>IFERROR(IF($C3="","",SUMIFS(Ledger!$K$2:$K$4, Ledger!$B$2:$B$4, $A3, Ledger!$C$2:$C$4, LSH$2)),"****")</f>
        <v/>
      </c>
      <c r="LSI3" t="str">
        <f>IFERROR(IF($C3="","",SUMIFS(Ledger!$K$2:$K$4, Ledger!$B$2:$B$4, $A3, Ledger!$C$2:$C$4, LSI$2)),"****")</f>
        <v/>
      </c>
      <c r="LSJ3" t="str">
        <f>IFERROR(IF($C3="","",SUMIFS(Ledger!$K$2:$K$4, Ledger!$B$2:$B$4, $A3, Ledger!$C$2:$C$4, LSJ$2)),"****")</f>
        <v/>
      </c>
      <c r="LSK3" t="str">
        <f>IFERROR(IF($C3="","",SUMIFS(Ledger!$K$2:$K$4, Ledger!$B$2:$B$4, $A3, Ledger!$C$2:$C$4, LSK$2)),"****")</f>
        <v/>
      </c>
      <c r="LSL3" t="str">
        <f>IFERROR(IF($C3="","",SUMIFS(Ledger!$K$2:$K$4, Ledger!$B$2:$B$4, $A3, Ledger!$C$2:$C$4, LSL$2)),"****")</f>
        <v/>
      </c>
      <c r="LSM3" t="str">
        <f>IFERROR(IF($C3="","",SUMIFS(Ledger!$K$2:$K$4, Ledger!$B$2:$B$4, $A3, Ledger!$C$2:$C$4, LSM$2)),"****")</f>
        <v/>
      </c>
      <c r="LSN3" t="str">
        <f>IFERROR(IF($C3="","",SUMIFS(Ledger!$K$2:$K$4, Ledger!$B$2:$B$4, $A3, Ledger!$C$2:$C$4, LSN$2)),"****")</f>
        <v/>
      </c>
      <c r="LSO3" t="str">
        <f>IFERROR(IF($C3="","",SUMIFS(Ledger!$K$2:$K$4, Ledger!$B$2:$B$4, $A3, Ledger!$C$2:$C$4, LSO$2)),"****")</f>
        <v/>
      </c>
      <c r="LSP3" t="str">
        <f>IFERROR(IF($C3="","",SUMIFS(Ledger!$K$2:$K$4, Ledger!$B$2:$B$4, $A3, Ledger!$C$2:$C$4, LSP$2)),"****")</f>
        <v/>
      </c>
      <c r="LSQ3" t="str">
        <f>IFERROR(IF($C3="","",SUMIFS(Ledger!$K$2:$K$4, Ledger!$B$2:$B$4, $A3, Ledger!$C$2:$C$4, LSQ$2)),"****")</f>
        <v/>
      </c>
      <c r="LSR3" t="str">
        <f>IFERROR(IF($C3="","",SUMIFS(Ledger!$K$2:$K$4, Ledger!$B$2:$B$4, $A3, Ledger!$C$2:$C$4, LSR$2)),"****")</f>
        <v/>
      </c>
      <c r="LSS3" t="str">
        <f>IFERROR(IF($C3="","",SUMIFS(Ledger!$K$2:$K$4, Ledger!$B$2:$B$4, $A3, Ledger!$C$2:$C$4, LSS$2)),"****")</f>
        <v/>
      </c>
      <c r="LST3" t="str">
        <f>IFERROR(IF($C3="","",SUMIFS(Ledger!$K$2:$K$4, Ledger!$B$2:$B$4, $A3, Ledger!$C$2:$C$4, LST$2)),"****")</f>
        <v/>
      </c>
      <c r="LSU3" t="str">
        <f>IFERROR(IF($C3="","",SUMIFS(Ledger!$K$2:$K$4, Ledger!$B$2:$B$4, $A3, Ledger!$C$2:$C$4, LSU$2)),"****")</f>
        <v/>
      </c>
      <c r="LSV3" t="str">
        <f>IFERROR(IF($C3="","",SUMIFS(Ledger!$K$2:$K$4, Ledger!$B$2:$B$4, $A3, Ledger!$C$2:$C$4, LSV$2)),"****")</f>
        <v/>
      </c>
      <c r="LSW3" t="str">
        <f>IFERROR(IF($C3="","",SUMIFS(Ledger!$K$2:$K$4, Ledger!$B$2:$B$4, $A3, Ledger!$C$2:$C$4, LSW$2)),"****")</f>
        <v/>
      </c>
      <c r="LSX3" t="str">
        <f>IFERROR(IF($C3="","",SUMIFS(Ledger!$K$2:$K$4, Ledger!$B$2:$B$4, $A3, Ledger!$C$2:$C$4, LSX$2)),"****")</f>
        <v/>
      </c>
      <c r="LSY3" t="str">
        <f>IFERROR(IF($C3="","",SUMIFS(Ledger!$K$2:$K$4, Ledger!$B$2:$B$4, $A3, Ledger!$C$2:$C$4, LSY$2)),"****")</f>
        <v/>
      </c>
      <c r="LSZ3" t="str">
        <f>IFERROR(IF($C3="","",SUMIFS(Ledger!$K$2:$K$4, Ledger!$B$2:$B$4, $A3, Ledger!$C$2:$C$4, LSZ$2)),"****")</f>
        <v/>
      </c>
      <c r="LTA3" t="str">
        <f>IFERROR(IF($C3="","",SUMIFS(Ledger!$K$2:$K$4, Ledger!$B$2:$B$4, $A3, Ledger!$C$2:$C$4, LTA$2)),"****")</f>
        <v/>
      </c>
      <c r="LTB3" t="str">
        <f>IFERROR(IF($C3="","",SUMIFS(Ledger!$K$2:$K$4, Ledger!$B$2:$B$4, $A3, Ledger!$C$2:$C$4, LTB$2)),"****")</f>
        <v/>
      </c>
      <c r="LTC3" t="str">
        <f>IFERROR(IF($C3="","",SUMIFS(Ledger!$K$2:$K$4, Ledger!$B$2:$B$4, $A3, Ledger!$C$2:$C$4, LTC$2)),"****")</f>
        <v/>
      </c>
      <c r="LTD3" t="str">
        <f>IFERROR(IF($C3="","",SUMIFS(Ledger!$K$2:$K$4, Ledger!$B$2:$B$4, $A3, Ledger!$C$2:$C$4, LTD$2)),"****")</f>
        <v/>
      </c>
      <c r="LTE3" t="str">
        <f>IFERROR(IF($C3="","",SUMIFS(Ledger!$K$2:$K$4, Ledger!$B$2:$B$4, $A3, Ledger!$C$2:$C$4, LTE$2)),"****")</f>
        <v/>
      </c>
      <c r="LTF3" t="str">
        <f>IFERROR(IF($C3="","",SUMIFS(Ledger!$K$2:$K$4, Ledger!$B$2:$B$4, $A3, Ledger!$C$2:$C$4, LTF$2)),"****")</f>
        <v/>
      </c>
      <c r="LTG3" t="str">
        <f>IFERROR(IF($C3="","",SUMIFS(Ledger!$K$2:$K$4, Ledger!$B$2:$B$4, $A3, Ledger!$C$2:$C$4, LTG$2)),"****")</f>
        <v/>
      </c>
      <c r="LTH3" t="str">
        <f>IFERROR(IF($C3="","",SUMIFS(Ledger!$K$2:$K$4, Ledger!$B$2:$B$4, $A3, Ledger!$C$2:$C$4, LTH$2)),"****")</f>
        <v/>
      </c>
      <c r="LTI3" t="str">
        <f>IFERROR(IF($C3="","",SUMIFS(Ledger!$K$2:$K$4, Ledger!$B$2:$B$4, $A3, Ledger!$C$2:$C$4, LTI$2)),"****")</f>
        <v/>
      </c>
      <c r="LTJ3" t="str">
        <f>IFERROR(IF($C3="","",SUMIFS(Ledger!$K$2:$K$4, Ledger!$B$2:$B$4, $A3, Ledger!$C$2:$C$4, LTJ$2)),"****")</f>
        <v/>
      </c>
      <c r="LTK3" t="str">
        <f>IFERROR(IF($C3="","",SUMIFS(Ledger!$K$2:$K$4, Ledger!$B$2:$B$4, $A3, Ledger!$C$2:$C$4, LTK$2)),"****")</f>
        <v/>
      </c>
      <c r="LTL3" t="str">
        <f>IFERROR(IF($C3="","",SUMIFS(Ledger!$K$2:$K$4, Ledger!$B$2:$B$4, $A3, Ledger!$C$2:$C$4, LTL$2)),"****")</f>
        <v/>
      </c>
      <c r="LTM3" t="str">
        <f>IFERROR(IF($C3="","",SUMIFS(Ledger!$K$2:$K$4, Ledger!$B$2:$B$4, $A3, Ledger!$C$2:$C$4, LTM$2)),"****")</f>
        <v/>
      </c>
      <c r="LTN3" t="str">
        <f>IFERROR(IF($C3="","",SUMIFS(Ledger!$K$2:$K$4, Ledger!$B$2:$B$4, $A3, Ledger!$C$2:$C$4, LTN$2)),"****")</f>
        <v/>
      </c>
      <c r="LTO3" t="str">
        <f>IFERROR(IF($C3="","",SUMIFS(Ledger!$K$2:$K$4, Ledger!$B$2:$B$4, $A3, Ledger!$C$2:$C$4, LTO$2)),"****")</f>
        <v/>
      </c>
      <c r="LTP3" t="str">
        <f>IFERROR(IF($C3="","",SUMIFS(Ledger!$K$2:$K$4, Ledger!$B$2:$B$4, $A3, Ledger!$C$2:$C$4, LTP$2)),"****")</f>
        <v/>
      </c>
      <c r="LTQ3" t="str">
        <f>IFERROR(IF($C3="","",SUMIFS(Ledger!$K$2:$K$4, Ledger!$B$2:$B$4, $A3, Ledger!$C$2:$C$4, LTQ$2)),"****")</f>
        <v/>
      </c>
      <c r="LTR3" t="str">
        <f>IFERROR(IF($C3="","",SUMIFS(Ledger!$K$2:$K$4, Ledger!$B$2:$B$4, $A3, Ledger!$C$2:$C$4, LTR$2)),"****")</f>
        <v/>
      </c>
      <c r="LTS3" t="str">
        <f>IFERROR(IF($C3="","",SUMIFS(Ledger!$K$2:$K$4, Ledger!$B$2:$B$4, $A3, Ledger!$C$2:$C$4, LTS$2)),"****")</f>
        <v/>
      </c>
      <c r="LTT3" t="str">
        <f>IFERROR(IF($C3="","",SUMIFS(Ledger!$K$2:$K$4, Ledger!$B$2:$B$4, $A3, Ledger!$C$2:$C$4, LTT$2)),"****")</f>
        <v/>
      </c>
      <c r="LTU3" t="str">
        <f>IFERROR(IF($C3="","",SUMIFS(Ledger!$K$2:$K$4, Ledger!$B$2:$B$4, $A3, Ledger!$C$2:$C$4, LTU$2)),"****")</f>
        <v/>
      </c>
      <c r="LTV3" t="str">
        <f>IFERROR(IF($C3="","",SUMIFS(Ledger!$K$2:$K$4, Ledger!$B$2:$B$4, $A3, Ledger!$C$2:$C$4, LTV$2)),"****")</f>
        <v/>
      </c>
      <c r="LTW3" t="str">
        <f>IFERROR(IF($C3="","",SUMIFS(Ledger!$K$2:$K$4, Ledger!$B$2:$B$4, $A3, Ledger!$C$2:$C$4, LTW$2)),"****")</f>
        <v/>
      </c>
      <c r="LTX3" t="str">
        <f>IFERROR(IF($C3="","",SUMIFS(Ledger!$K$2:$K$4, Ledger!$B$2:$B$4, $A3, Ledger!$C$2:$C$4, LTX$2)),"****")</f>
        <v/>
      </c>
      <c r="LTY3" t="str">
        <f>IFERROR(IF($C3="","",SUMIFS(Ledger!$K$2:$K$4, Ledger!$B$2:$B$4, $A3, Ledger!$C$2:$C$4, LTY$2)),"****")</f>
        <v/>
      </c>
      <c r="LTZ3" t="str">
        <f>IFERROR(IF($C3="","",SUMIFS(Ledger!$K$2:$K$4, Ledger!$B$2:$B$4, $A3, Ledger!$C$2:$C$4, LTZ$2)),"****")</f>
        <v/>
      </c>
      <c r="LUA3" t="str">
        <f>IFERROR(IF($C3="","",SUMIFS(Ledger!$K$2:$K$4, Ledger!$B$2:$B$4, $A3, Ledger!$C$2:$C$4, LUA$2)),"****")</f>
        <v/>
      </c>
      <c r="LUB3" t="str">
        <f>IFERROR(IF($C3="","",SUMIFS(Ledger!$K$2:$K$4, Ledger!$B$2:$B$4, $A3, Ledger!$C$2:$C$4, LUB$2)),"****")</f>
        <v/>
      </c>
      <c r="LUC3" t="str">
        <f>IFERROR(IF($C3="","",SUMIFS(Ledger!$K$2:$K$4, Ledger!$B$2:$B$4, $A3, Ledger!$C$2:$C$4, LUC$2)),"****")</f>
        <v/>
      </c>
      <c r="LUD3" t="str">
        <f>IFERROR(IF($C3="","",SUMIFS(Ledger!$K$2:$K$4, Ledger!$B$2:$B$4, $A3, Ledger!$C$2:$C$4, LUD$2)),"****")</f>
        <v/>
      </c>
      <c r="LUE3" t="str">
        <f>IFERROR(IF($C3="","",SUMIFS(Ledger!$K$2:$K$4, Ledger!$B$2:$B$4, $A3, Ledger!$C$2:$C$4, LUE$2)),"****")</f>
        <v/>
      </c>
      <c r="LUF3" t="str">
        <f>IFERROR(IF($C3="","",SUMIFS(Ledger!$K$2:$K$4, Ledger!$B$2:$B$4, $A3, Ledger!$C$2:$C$4, LUF$2)),"****")</f>
        <v/>
      </c>
      <c r="LUG3" t="str">
        <f>IFERROR(IF($C3="","",SUMIFS(Ledger!$K$2:$K$4, Ledger!$B$2:$B$4, $A3, Ledger!$C$2:$C$4, LUG$2)),"****")</f>
        <v/>
      </c>
      <c r="LUH3" t="str">
        <f>IFERROR(IF($C3="","",SUMIFS(Ledger!$K$2:$K$4, Ledger!$B$2:$B$4, $A3, Ledger!$C$2:$C$4, LUH$2)),"****")</f>
        <v/>
      </c>
      <c r="LUI3" t="str">
        <f>IFERROR(IF($C3="","",SUMIFS(Ledger!$K$2:$K$4, Ledger!$B$2:$B$4, $A3, Ledger!$C$2:$C$4, LUI$2)),"****")</f>
        <v/>
      </c>
      <c r="LUJ3" t="str">
        <f>IFERROR(IF($C3="","",SUMIFS(Ledger!$K$2:$K$4, Ledger!$B$2:$B$4, $A3, Ledger!$C$2:$C$4, LUJ$2)),"****")</f>
        <v/>
      </c>
      <c r="LUK3" t="str">
        <f>IFERROR(IF($C3="","",SUMIFS(Ledger!$K$2:$K$4, Ledger!$B$2:$B$4, $A3, Ledger!$C$2:$C$4, LUK$2)),"****")</f>
        <v/>
      </c>
      <c r="LUL3" t="str">
        <f>IFERROR(IF($C3="","",SUMIFS(Ledger!$K$2:$K$4, Ledger!$B$2:$B$4, $A3, Ledger!$C$2:$C$4, LUL$2)),"****")</f>
        <v/>
      </c>
      <c r="LUM3" t="str">
        <f>IFERROR(IF($C3="","",SUMIFS(Ledger!$K$2:$K$4, Ledger!$B$2:$B$4, $A3, Ledger!$C$2:$C$4, LUM$2)),"****")</f>
        <v/>
      </c>
      <c r="LUN3" t="str">
        <f>IFERROR(IF($C3="","",SUMIFS(Ledger!$K$2:$K$4, Ledger!$B$2:$B$4, $A3, Ledger!$C$2:$C$4, LUN$2)),"****")</f>
        <v/>
      </c>
      <c r="LUO3" t="str">
        <f>IFERROR(IF($C3="","",SUMIFS(Ledger!$K$2:$K$4, Ledger!$B$2:$B$4, $A3, Ledger!$C$2:$C$4, LUO$2)),"****")</f>
        <v/>
      </c>
      <c r="LUP3" t="str">
        <f>IFERROR(IF($C3="","",SUMIFS(Ledger!$K$2:$K$4, Ledger!$B$2:$B$4, $A3, Ledger!$C$2:$C$4, LUP$2)),"****")</f>
        <v/>
      </c>
      <c r="LUQ3" t="str">
        <f>IFERROR(IF($C3="","",SUMIFS(Ledger!$K$2:$K$4, Ledger!$B$2:$B$4, $A3, Ledger!$C$2:$C$4, LUQ$2)),"****")</f>
        <v/>
      </c>
      <c r="LUR3" t="str">
        <f>IFERROR(IF($C3="","",SUMIFS(Ledger!$K$2:$K$4, Ledger!$B$2:$B$4, $A3, Ledger!$C$2:$C$4, LUR$2)),"****")</f>
        <v/>
      </c>
      <c r="LUS3" t="str">
        <f>IFERROR(IF($C3="","",SUMIFS(Ledger!$K$2:$K$4, Ledger!$B$2:$B$4, $A3, Ledger!$C$2:$C$4, LUS$2)),"****")</f>
        <v/>
      </c>
      <c r="LUT3" t="str">
        <f>IFERROR(IF($C3="","",SUMIFS(Ledger!$K$2:$K$4, Ledger!$B$2:$B$4, $A3, Ledger!$C$2:$C$4, LUT$2)),"****")</f>
        <v/>
      </c>
      <c r="LUU3" t="str">
        <f>IFERROR(IF($C3="","",SUMIFS(Ledger!$K$2:$K$4, Ledger!$B$2:$B$4, $A3, Ledger!$C$2:$C$4, LUU$2)),"****")</f>
        <v/>
      </c>
      <c r="LUV3" t="str">
        <f>IFERROR(IF($C3="","",SUMIFS(Ledger!$K$2:$K$4, Ledger!$B$2:$B$4, $A3, Ledger!$C$2:$C$4, LUV$2)),"****")</f>
        <v/>
      </c>
      <c r="LUW3" t="str">
        <f>IFERROR(IF($C3="","",SUMIFS(Ledger!$K$2:$K$4, Ledger!$B$2:$B$4, $A3, Ledger!$C$2:$C$4, LUW$2)),"****")</f>
        <v/>
      </c>
      <c r="LUX3" t="str">
        <f>IFERROR(IF($C3="","",SUMIFS(Ledger!$K$2:$K$4, Ledger!$B$2:$B$4, $A3, Ledger!$C$2:$C$4, LUX$2)),"****")</f>
        <v/>
      </c>
      <c r="LUY3" t="str">
        <f>IFERROR(IF($C3="","",SUMIFS(Ledger!$K$2:$K$4, Ledger!$B$2:$B$4, $A3, Ledger!$C$2:$C$4, LUY$2)),"****")</f>
        <v/>
      </c>
      <c r="LUZ3" t="str">
        <f>IFERROR(IF($C3="","",SUMIFS(Ledger!$K$2:$K$4, Ledger!$B$2:$B$4, $A3, Ledger!$C$2:$C$4, LUZ$2)),"****")</f>
        <v/>
      </c>
      <c r="LVA3" t="str">
        <f>IFERROR(IF($C3="","",SUMIFS(Ledger!$K$2:$K$4, Ledger!$B$2:$B$4, $A3, Ledger!$C$2:$C$4, LVA$2)),"****")</f>
        <v/>
      </c>
      <c r="LVB3" t="str">
        <f>IFERROR(IF($C3="","",SUMIFS(Ledger!$K$2:$K$4, Ledger!$B$2:$B$4, $A3, Ledger!$C$2:$C$4, LVB$2)),"****")</f>
        <v/>
      </c>
      <c r="LVC3" t="str">
        <f>IFERROR(IF($C3="","",SUMIFS(Ledger!$K$2:$K$4, Ledger!$B$2:$B$4, $A3, Ledger!$C$2:$C$4, LVC$2)),"****")</f>
        <v/>
      </c>
      <c r="LVD3" t="str">
        <f>IFERROR(IF($C3="","",SUMIFS(Ledger!$K$2:$K$4, Ledger!$B$2:$B$4, $A3, Ledger!$C$2:$C$4, LVD$2)),"****")</f>
        <v/>
      </c>
      <c r="LVE3" t="str">
        <f>IFERROR(IF($C3="","",SUMIFS(Ledger!$K$2:$K$4, Ledger!$B$2:$B$4, $A3, Ledger!$C$2:$C$4, LVE$2)),"****")</f>
        <v/>
      </c>
      <c r="LVF3" t="str">
        <f>IFERROR(IF($C3="","",SUMIFS(Ledger!$K$2:$K$4, Ledger!$B$2:$B$4, $A3, Ledger!$C$2:$C$4, LVF$2)),"****")</f>
        <v/>
      </c>
      <c r="LVG3" t="str">
        <f>IFERROR(IF($C3="","",SUMIFS(Ledger!$K$2:$K$4, Ledger!$B$2:$B$4, $A3, Ledger!$C$2:$C$4, LVG$2)),"****")</f>
        <v/>
      </c>
      <c r="LVH3" t="str">
        <f>IFERROR(IF($C3="","",SUMIFS(Ledger!$K$2:$K$4, Ledger!$B$2:$B$4, $A3, Ledger!$C$2:$C$4, LVH$2)),"****")</f>
        <v/>
      </c>
      <c r="LVI3" t="str">
        <f>IFERROR(IF($C3="","",SUMIFS(Ledger!$K$2:$K$4, Ledger!$B$2:$B$4, $A3, Ledger!$C$2:$C$4, LVI$2)),"****")</f>
        <v/>
      </c>
      <c r="LVJ3" t="str">
        <f>IFERROR(IF($C3="","",SUMIFS(Ledger!$K$2:$K$4, Ledger!$B$2:$B$4, $A3, Ledger!$C$2:$C$4, LVJ$2)),"****")</f>
        <v/>
      </c>
      <c r="LVK3" t="str">
        <f>IFERROR(IF($C3="","",SUMIFS(Ledger!$K$2:$K$4, Ledger!$B$2:$B$4, $A3, Ledger!$C$2:$C$4, LVK$2)),"****")</f>
        <v/>
      </c>
      <c r="LVL3" t="str">
        <f>IFERROR(IF($C3="","",SUMIFS(Ledger!$K$2:$K$4, Ledger!$B$2:$B$4, $A3, Ledger!$C$2:$C$4, LVL$2)),"****")</f>
        <v/>
      </c>
      <c r="LVM3" t="str">
        <f>IFERROR(IF($C3="","",SUMIFS(Ledger!$K$2:$K$4, Ledger!$B$2:$B$4, $A3, Ledger!$C$2:$C$4, LVM$2)),"****")</f>
        <v/>
      </c>
      <c r="LVN3" t="str">
        <f>IFERROR(IF($C3="","",SUMIFS(Ledger!$K$2:$K$4, Ledger!$B$2:$B$4, $A3, Ledger!$C$2:$C$4, LVN$2)),"****")</f>
        <v/>
      </c>
      <c r="LVO3" t="str">
        <f>IFERROR(IF($C3="","",SUMIFS(Ledger!$K$2:$K$4, Ledger!$B$2:$B$4, $A3, Ledger!$C$2:$C$4, LVO$2)),"****")</f>
        <v/>
      </c>
      <c r="LVP3" t="str">
        <f>IFERROR(IF($C3="","",SUMIFS(Ledger!$K$2:$K$4, Ledger!$B$2:$B$4, $A3, Ledger!$C$2:$C$4, LVP$2)),"****")</f>
        <v/>
      </c>
      <c r="LVQ3" t="str">
        <f>IFERROR(IF($C3="","",SUMIFS(Ledger!$K$2:$K$4, Ledger!$B$2:$B$4, $A3, Ledger!$C$2:$C$4, LVQ$2)),"****")</f>
        <v/>
      </c>
      <c r="LVR3" t="str">
        <f>IFERROR(IF($C3="","",SUMIFS(Ledger!$K$2:$K$4, Ledger!$B$2:$B$4, $A3, Ledger!$C$2:$C$4, LVR$2)),"****")</f>
        <v/>
      </c>
      <c r="LVS3" t="str">
        <f>IFERROR(IF($C3="","",SUMIFS(Ledger!$K$2:$K$4, Ledger!$B$2:$B$4, $A3, Ledger!$C$2:$C$4, LVS$2)),"****")</f>
        <v/>
      </c>
      <c r="LVT3" t="str">
        <f>IFERROR(IF($C3="","",SUMIFS(Ledger!$K$2:$K$4, Ledger!$B$2:$B$4, $A3, Ledger!$C$2:$C$4, LVT$2)),"****")</f>
        <v/>
      </c>
      <c r="LVU3" t="str">
        <f>IFERROR(IF($C3="","",SUMIFS(Ledger!$K$2:$K$4, Ledger!$B$2:$B$4, $A3, Ledger!$C$2:$C$4, LVU$2)),"****")</f>
        <v/>
      </c>
      <c r="LVV3" t="str">
        <f>IFERROR(IF($C3="","",SUMIFS(Ledger!$K$2:$K$4, Ledger!$B$2:$B$4, $A3, Ledger!$C$2:$C$4, LVV$2)),"****")</f>
        <v/>
      </c>
      <c r="LVW3" t="str">
        <f>IFERROR(IF($C3="","",SUMIFS(Ledger!$K$2:$K$4, Ledger!$B$2:$B$4, $A3, Ledger!$C$2:$C$4, LVW$2)),"****")</f>
        <v/>
      </c>
      <c r="LVX3" t="str">
        <f>IFERROR(IF($C3="","",SUMIFS(Ledger!$K$2:$K$4, Ledger!$B$2:$B$4, $A3, Ledger!$C$2:$C$4, LVX$2)),"****")</f>
        <v/>
      </c>
      <c r="LVY3" t="str">
        <f>IFERROR(IF($C3="","",SUMIFS(Ledger!$K$2:$K$4, Ledger!$B$2:$B$4, $A3, Ledger!$C$2:$C$4, LVY$2)),"****")</f>
        <v/>
      </c>
      <c r="LVZ3" t="str">
        <f>IFERROR(IF($C3="","",SUMIFS(Ledger!$K$2:$K$4, Ledger!$B$2:$B$4, $A3, Ledger!$C$2:$C$4, LVZ$2)),"****")</f>
        <v/>
      </c>
      <c r="LWA3" t="str">
        <f>IFERROR(IF($C3="","",SUMIFS(Ledger!$K$2:$K$4, Ledger!$B$2:$B$4, $A3, Ledger!$C$2:$C$4, LWA$2)),"****")</f>
        <v/>
      </c>
      <c r="LWB3" t="str">
        <f>IFERROR(IF($C3="","",SUMIFS(Ledger!$K$2:$K$4, Ledger!$B$2:$B$4, $A3, Ledger!$C$2:$C$4, LWB$2)),"****")</f>
        <v/>
      </c>
      <c r="LWC3" t="str">
        <f>IFERROR(IF($C3="","",SUMIFS(Ledger!$K$2:$K$4, Ledger!$B$2:$B$4, $A3, Ledger!$C$2:$C$4, LWC$2)),"****")</f>
        <v/>
      </c>
      <c r="LWD3" t="str">
        <f>IFERROR(IF($C3="","",SUMIFS(Ledger!$K$2:$K$4, Ledger!$B$2:$B$4, $A3, Ledger!$C$2:$C$4, LWD$2)),"****")</f>
        <v/>
      </c>
      <c r="LWE3" t="str">
        <f>IFERROR(IF($C3="","",SUMIFS(Ledger!$K$2:$K$4, Ledger!$B$2:$B$4, $A3, Ledger!$C$2:$C$4, LWE$2)),"****")</f>
        <v/>
      </c>
      <c r="LWF3" t="str">
        <f>IFERROR(IF($C3="","",SUMIFS(Ledger!$K$2:$K$4, Ledger!$B$2:$B$4, $A3, Ledger!$C$2:$C$4, LWF$2)),"****")</f>
        <v/>
      </c>
      <c r="LWG3" t="str">
        <f>IFERROR(IF($C3="","",SUMIFS(Ledger!$K$2:$K$4, Ledger!$B$2:$B$4, $A3, Ledger!$C$2:$C$4, LWG$2)),"****")</f>
        <v/>
      </c>
      <c r="LWH3" t="str">
        <f>IFERROR(IF($C3="","",SUMIFS(Ledger!$K$2:$K$4, Ledger!$B$2:$B$4, $A3, Ledger!$C$2:$C$4, LWH$2)),"****")</f>
        <v/>
      </c>
      <c r="LWI3" t="str">
        <f>IFERROR(IF($C3="","",SUMIFS(Ledger!$K$2:$K$4, Ledger!$B$2:$B$4, $A3, Ledger!$C$2:$C$4, LWI$2)),"****")</f>
        <v/>
      </c>
      <c r="LWJ3" t="str">
        <f>IFERROR(IF($C3="","",SUMIFS(Ledger!$K$2:$K$4, Ledger!$B$2:$B$4, $A3, Ledger!$C$2:$C$4, LWJ$2)),"****")</f>
        <v/>
      </c>
      <c r="LWK3" t="str">
        <f>IFERROR(IF($C3="","",SUMIFS(Ledger!$K$2:$K$4, Ledger!$B$2:$B$4, $A3, Ledger!$C$2:$C$4, LWK$2)),"****")</f>
        <v/>
      </c>
      <c r="LWL3" t="str">
        <f>IFERROR(IF($C3="","",SUMIFS(Ledger!$K$2:$K$4, Ledger!$B$2:$B$4, $A3, Ledger!$C$2:$C$4, LWL$2)),"****")</f>
        <v/>
      </c>
      <c r="LWM3" t="str">
        <f>IFERROR(IF($C3="","",SUMIFS(Ledger!$K$2:$K$4, Ledger!$B$2:$B$4, $A3, Ledger!$C$2:$C$4, LWM$2)),"****")</f>
        <v/>
      </c>
      <c r="LWN3" t="str">
        <f>IFERROR(IF($C3="","",SUMIFS(Ledger!$K$2:$K$4, Ledger!$B$2:$B$4, $A3, Ledger!$C$2:$C$4, LWN$2)),"****")</f>
        <v/>
      </c>
      <c r="LWO3" t="str">
        <f>IFERROR(IF($C3="","",SUMIFS(Ledger!$K$2:$K$4, Ledger!$B$2:$B$4, $A3, Ledger!$C$2:$C$4, LWO$2)),"****")</f>
        <v/>
      </c>
      <c r="LWP3" t="str">
        <f>IFERROR(IF($C3="","",SUMIFS(Ledger!$K$2:$K$4, Ledger!$B$2:$B$4, $A3, Ledger!$C$2:$C$4, LWP$2)),"****")</f>
        <v/>
      </c>
      <c r="LWQ3" t="str">
        <f>IFERROR(IF($C3="","",SUMIFS(Ledger!$K$2:$K$4, Ledger!$B$2:$B$4, $A3, Ledger!$C$2:$C$4, LWQ$2)),"****")</f>
        <v/>
      </c>
      <c r="LWR3" t="str">
        <f>IFERROR(IF($C3="","",SUMIFS(Ledger!$K$2:$K$4, Ledger!$B$2:$B$4, $A3, Ledger!$C$2:$C$4, LWR$2)),"****")</f>
        <v/>
      </c>
      <c r="LWS3" t="str">
        <f>IFERROR(IF($C3="","",SUMIFS(Ledger!$K$2:$K$4, Ledger!$B$2:$B$4, $A3, Ledger!$C$2:$C$4, LWS$2)),"****")</f>
        <v/>
      </c>
      <c r="LWT3" t="str">
        <f>IFERROR(IF($C3="","",SUMIFS(Ledger!$K$2:$K$4, Ledger!$B$2:$B$4, $A3, Ledger!$C$2:$C$4, LWT$2)),"****")</f>
        <v/>
      </c>
      <c r="LWU3" t="str">
        <f>IFERROR(IF($C3="","",SUMIFS(Ledger!$K$2:$K$4, Ledger!$B$2:$B$4, $A3, Ledger!$C$2:$C$4, LWU$2)),"****")</f>
        <v/>
      </c>
      <c r="LWV3" t="str">
        <f>IFERROR(IF($C3="","",SUMIFS(Ledger!$K$2:$K$4, Ledger!$B$2:$B$4, $A3, Ledger!$C$2:$C$4, LWV$2)),"****")</f>
        <v/>
      </c>
      <c r="LWW3" t="str">
        <f>IFERROR(IF($C3="","",SUMIFS(Ledger!$K$2:$K$4, Ledger!$B$2:$B$4, $A3, Ledger!$C$2:$C$4, LWW$2)),"****")</f>
        <v/>
      </c>
      <c r="LWX3" t="str">
        <f>IFERROR(IF($C3="","",SUMIFS(Ledger!$K$2:$K$4, Ledger!$B$2:$B$4, $A3, Ledger!$C$2:$C$4, LWX$2)),"****")</f>
        <v/>
      </c>
      <c r="LWY3" t="str">
        <f>IFERROR(IF($C3="","",SUMIFS(Ledger!$K$2:$K$4, Ledger!$B$2:$B$4, $A3, Ledger!$C$2:$C$4, LWY$2)),"****")</f>
        <v/>
      </c>
      <c r="LWZ3" t="str">
        <f>IFERROR(IF($C3="","",SUMIFS(Ledger!$K$2:$K$4, Ledger!$B$2:$B$4, $A3, Ledger!$C$2:$C$4, LWZ$2)),"****")</f>
        <v/>
      </c>
      <c r="LXA3" t="str">
        <f>IFERROR(IF($C3="","",SUMIFS(Ledger!$K$2:$K$4, Ledger!$B$2:$B$4, $A3, Ledger!$C$2:$C$4, LXA$2)),"****")</f>
        <v/>
      </c>
      <c r="LXB3" t="str">
        <f>IFERROR(IF($C3="","",SUMIFS(Ledger!$K$2:$K$4, Ledger!$B$2:$B$4, $A3, Ledger!$C$2:$C$4, LXB$2)),"****")</f>
        <v/>
      </c>
      <c r="LXC3" t="str">
        <f>IFERROR(IF($C3="","",SUMIFS(Ledger!$K$2:$K$4, Ledger!$B$2:$B$4, $A3, Ledger!$C$2:$C$4, LXC$2)),"****")</f>
        <v/>
      </c>
      <c r="LXD3" t="str">
        <f>IFERROR(IF($C3="","",SUMIFS(Ledger!$K$2:$K$4, Ledger!$B$2:$B$4, $A3, Ledger!$C$2:$C$4, LXD$2)),"****")</f>
        <v/>
      </c>
      <c r="LXE3" t="str">
        <f>IFERROR(IF($C3="","",SUMIFS(Ledger!$K$2:$K$4, Ledger!$B$2:$B$4, $A3, Ledger!$C$2:$C$4, LXE$2)),"****")</f>
        <v/>
      </c>
      <c r="LXF3" t="str">
        <f>IFERROR(IF($C3="","",SUMIFS(Ledger!$K$2:$K$4, Ledger!$B$2:$B$4, $A3, Ledger!$C$2:$C$4, LXF$2)),"****")</f>
        <v/>
      </c>
      <c r="LXG3" t="str">
        <f>IFERROR(IF($C3="","",SUMIFS(Ledger!$K$2:$K$4, Ledger!$B$2:$B$4, $A3, Ledger!$C$2:$C$4, LXG$2)),"****")</f>
        <v/>
      </c>
      <c r="LXH3" t="str">
        <f>IFERROR(IF($C3="","",SUMIFS(Ledger!$K$2:$K$4, Ledger!$B$2:$B$4, $A3, Ledger!$C$2:$C$4, LXH$2)),"****")</f>
        <v/>
      </c>
      <c r="LXI3" t="str">
        <f>IFERROR(IF($C3="","",SUMIFS(Ledger!$K$2:$K$4, Ledger!$B$2:$B$4, $A3, Ledger!$C$2:$C$4, LXI$2)),"****")</f>
        <v/>
      </c>
      <c r="LXJ3" t="str">
        <f>IFERROR(IF($C3="","",SUMIFS(Ledger!$K$2:$K$4, Ledger!$B$2:$B$4, $A3, Ledger!$C$2:$C$4, LXJ$2)),"****")</f>
        <v/>
      </c>
      <c r="LXK3" t="str">
        <f>IFERROR(IF($C3="","",SUMIFS(Ledger!$K$2:$K$4, Ledger!$B$2:$B$4, $A3, Ledger!$C$2:$C$4, LXK$2)),"****")</f>
        <v/>
      </c>
      <c r="LXL3" t="str">
        <f>IFERROR(IF($C3="","",SUMIFS(Ledger!$K$2:$K$4, Ledger!$B$2:$B$4, $A3, Ledger!$C$2:$C$4, LXL$2)),"****")</f>
        <v/>
      </c>
      <c r="LXM3" t="str">
        <f>IFERROR(IF($C3="","",SUMIFS(Ledger!$K$2:$K$4, Ledger!$B$2:$B$4, $A3, Ledger!$C$2:$C$4, LXM$2)),"****")</f>
        <v/>
      </c>
      <c r="LXN3" t="str">
        <f>IFERROR(IF($C3="","",SUMIFS(Ledger!$K$2:$K$4, Ledger!$B$2:$B$4, $A3, Ledger!$C$2:$C$4, LXN$2)),"****")</f>
        <v/>
      </c>
      <c r="LXO3" t="str">
        <f>IFERROR(IF($C3="","",SUMIFS(Ledger!$K$2:$K$4, Ledger!$B$2:$B$4, $A3, Ledger!$C$2:$C$4, LXO$2)),"****")</f>
        <v/>
      </c>
      <c r="LXP3" t="str">
        <f>IFERROR(IF($C3="","",SUMIFS(Ledger!$K$2:$K$4, Ledger!$B$2:$B$4, $A3, Ledger!$C$2:$C$4, LXP$2)),"****")</f>
        <v/>
      </c>
      <c r="LXQ3" t="str">
        <f>IFERROR(IF($C3="","",SUMIFS(Ledger!$K$2:$K$4, Ledger!$B$2:$B$4, $A3, Ledger!$C$2:$C$4, LXQ$2)),"****")</f>
        <v/>
      </c>
      <c r="LXR3" t="str">
        <f>IFERROR(IF($C3="","",SUMIFS(Ledger!$K$2:$K$4, Ledger!$B$2:$B$4, $A3, Ledger!$C$2:$C$4, LXR$2)),"****")</f>
        <v/>
      </c>
      <c r="LXS3" t="str">
        <f>IFERROR(IF($C3="","",SUMIFS(Ledger!$K$2:$K$4, Ledger!$B$2:$B$4, $A3, Ledger!$C$2:$C$4, LXS$2)),"****")</f>
        <v/>
      </c>
      <c r="LXT3" t="str">
        <f>IFERROR(IF($C3="","",SUMIFS(Ledger!$K$2:$K$4, Ledger!$B$2:$B$4, $A3, Ledger!$C$2:$C$4, LXT$2)),"****")</f>
        <v/>
      </c>
      <c r="LXU3" t="str">
        <f>IFERROR(IF($C3="","",SUMIFS(Ledger!$K$2:$K$4, Ledger!$B$2:$B$4, $A3, Ledger!$C$2:$C$4, LXU$2)),"****")</f>
        <v/>
      </c>
      <c r="LXV3" t="str">
        <f>IFERROR(IF($C3="","",SUMIFS(Ledger!$K$2:$K$4, Ledger!$B$2:$B$4, $A3, Ledger!$C$2:$C$4, LXV$2)),"****")</f>
        <v/>
      </c>
      <c r="LXW3" t="str">
        <f>IFERROR(IF($C3="","",SUMIFS(Ledger!$K$2:$K$4, Ledger!$B$2:$B$4, $A3, Ledger!$C$2:$C$4, LXW$2)),"****")</f>
        <v/>
      </c>
      <c r="LXX3" t="str">
        <f>IFERROR(IF($C3="","",SUMIFS(Ledger!$K$2:$K$4, Ledger!$B$2:$B$4, $A3, Ledger!$C$2:$C$4, LXX$2)),"****")</f>
        <v/>
      </c>
      <c r="LXY3" t="str">
        <f>IFERROR(IF($C3="","",SUMIFS(Ledger!$K$2:$K$4, Ledger!$B$2:$B$4, $A3, Ledger!$C$2:$C$4, LXY$2)),"****")</f>
        <v/>
      </c>
      <c r="LXZ3" t="str">
        <f>IFERROR(IF($C3="","",SUMIFS(Ledger!$K$2:$K$4, Ledger!$B$2:$B$4, $A3, Ledger!$C$2:$C$4, LXZ$2)),"****")</f>
        <v/>
      </c>
      <c r="LYA3" t="str">
        <f>IFERROR(IF($C3="","",SUMIFS(Ledger!$K$2:$K$4, Ledger!$B$2:$B$4, $A3, Ledger!$C$2:$C$4, LYA$2)),"****")</f>
        <v/>
      </c>
      <c r="LYB3" t="str">
        <f>IFERROR(IF($C3="","",SUMIFS(Ledger!$K$2:$K$4, Ledger!$B$2:$B$4, $A3, Ledger!$C$2:$C$4, LYB$2)),"****")</f>
        <v/>
      </c>
      <c r="LYC3" t="str">
        <f>IFERROR(IF($C3="","",SUMIFS(Ledger!$K$2:$K$4, Ledger!$B$2:$B$4, $A3, Ledger!$C$2:$C$4, LYC$2)),"****")</f>
        <v/>
      </c>
      <c r="LYD3" t="str">
        <f>IFERROR(IF($C3="","",SUMIFS(Ledger!$K$2:$K$4, Ledger!$B$2:$B$4, $A3, Ledger!$C$2:$C$4, LYD$2)),"****")</f>
        <v/>
      </c>
      <c r="LYE3" t="str">
        <f>IFERROR(IF($C3="","",SUMIFS(Ledger!$K$2:$K$4, Ledger!$B$2:$B$4, $A3, Ledger!$C$2:$C$4, LYE$2)),"****")</f>
        <v/>
      </c>
      <c r="LYF3" t="str">
        <f>IFERROR(IF($C3="","",SUMIFS(Ledger!$K$2:$K$4, Ledger!$B$2:$B$4, $A3, Ledger!$C$2:$C$4, LYF$2)),"****")</f>
        <v/>
      </c>
      <c r="LYG3" t="str">
        <f>IFERROR(IF($C3="","",SUMIFS(Ledger!$K$2:$K$4, Ledger!$B$2:$B$4, $A3, Ledger!$C$2:$C$4, LYG$2)),"****")</f>
        <v/>
      </c>
      <c r="LYH3" t="str">
        <f>IFERROR(IF($C3="","",SUMIFS(Ledger!$K$2:$K$4, Ledger!$B$2:$B$4, $A3, Ledger!$C$2:$C$4, LYH$2)),"****")</f>
        <v/>
      </c>
      <c r="LYI3" t="str">
        <f>IFERROR(IF($C3="","",SUMIFS(Ledger!$K$2:$K$4, Ledger!$B$2:$B$4, $A3, Ledger!$C$2:$C$4, LYI$2)),"****")</f>
        <v/>
      </c>
      <c r="LYJ3" t="str">
        <f>IFERROR(IF($C3="","",SUMIFS(Ledger!$K$2:$K$4, Ledger!$B$2:$B$4, $A3, Ledger!$C$2:$C$4, LYJ$2)),"****")</f>
        <v/>
      </c>
      <c r="LYK3" t="str">
        <f>IFERROR(IF($C3="","",SUMIFS(Ledger!$K$2:$K$4, Ledger!$B$2:$B$4, $A3, Ledger!$C$2:$C$4, LYK$2)),"****")</f>
        <v/>
      </c>
      <c r="LYL3" t="str">
        <f>IFERROR(IF($C3="","",SUMIFS(Ledger!$K$2:$K$4, Ledger!$B$2:$B$4, $A3, Ledger!$C$2:$C$4, LYL$2)),"****")</f>
        <v/>
      </c>
      <c r="LYM3" t="str">
        <f>IFERROR(IF($C3="","",SUMIFS(Ledger!$K$2:$K$4, Ledger!$B$2:$B$4, $A3, Ledger!$C$2:$C$4, LYM$2)),"****")</f>
        <v/>
      </c>
      <c r="LYN3" t="str">
        <f>IFERROR(IF($C3="","",SUMIFS(Ledger!$K$2:$K$4, Ledger!$B$2:$B$4, $A3, Ledger!$C$2:$C$4, LYN$2)),"****")</f>
        <v/>
      </c>
      <c r="LYO3" t="str">
        <f>IFERROR(IF($C3="","",SUMIFS(Ledger!$K$2:$K$4, Ledger!$B$2:$B$4, $A3, Ledger!$C$2:$C$4, LYO$2)),"****")</f>
        <v/>
      </c>
      <c r="LYP3" t="str">
        <f>IFERROR(IF($C3="","",SUMIFS(Ledger!$K$2:$K$4, Ledger!$B$2:$B$4, $A3, Ledger!$C$2:$C$4, LYP$2)),"****")</f>
        <v/>
      </c>
      <c r="LYQ3" t="str">
        <f>IFERROR(IF($C3="","",SUMIFS(Ledger!$K$2:$K$4, Ledger!$B$2:$B$4, $A3, Ledger!$C$2:$C$4, LYQ$2)),"****")</f>
        <v/>
      </c>
      <c r="LYR3" t="str">
        <f>IFERROR(IF($C3="","",SUMIFS(Ledger!$K$2:$K$4, Ledger!$B$2:$B$4, $A3, Ledger!$C$2:$C$4, LYR$2)),"****")</f>
        <v/>
      </c>
      <c r="LYS3" t="str">
        <f>IFERROR(IF($C3="","",SUMIFS(Ledger!$K$2:$K$4, Ledger!$B$2:$B$4, $A3, Ledger!$C$2:$C$4, LYS$2)),"****")</f>
        <v/>
      </c>
      <c r="LYT3" t="str">
        <f>IFERROR(IF($C3="","",SUMIFS(Ledger!$K$2:$K$4, Ledger!$B$2:$B$4, $A3, Ledger!$C$2:$C$4, LYT$2)),"****")</f>
        <v/>
      </c>
      <c r="LYU3" t="str">
        <f>IFERROR(IF($C3="","",SUMIFS(Ledger!$K$2:$K$4, Ledger!$B$2:$B$4, $A3, Ledger!$C$2:$C$4, LYU$2)),"****")</f>
        <v/>
      </c>
      <c r="LYV3" t="str">
        <f>IFERROR(IF($C3="","",SUMIFS(Ledger!$K$2:$K$4, Ledger!$B$2:$B$4, $A3, Ledger!$C$2:$C$4, LYV$2)),"****")</f>
        <v/>
      </c>
      <c r="LYW3" t="str">
        <f>IFERROR(IF($C3="","",SUMIFS(Ledger!$K$2:$K$4, Ledger!$B$2:$B$4, $A3, Ledger!$C$2:$C$4, LYW$2)),"****")</f>
        <v/>
      </c>
      <c r="LYX3" t="str">
        <f>IFERROR(IF($C3="","",SUMIFS(Ledger!$K$2:$K$4, Ledger!$B$2:$B$4, $A3, Ledger!$C$2:$C$4, LYX$2)),"****")</f>
        <v/>
      </c>
      <c r="LYY3" t="str">
        <f>IFERROR(IF($C3="","",SUMIFS(Ledger!$K$2:$K$4, Ledger!$B$2:$B$4, $A3, Ledger!$C$2:$C$4, LYY$2)),"****")</f>
        <v/>
      </c>
      <c r="LYZ3" t="str">
        <f>IFERROR(IF($C3="","",SUMIFS(Ledger!$K$2:$K$4, Ledger!$B$2:$B$4, $A3, Ledger!$C$2:$C$4, LYZ$2)),"****")</f>
        <v/>
      </c>
      <c r="LZA3" t="str">
        <f>IFERROR(IF($C3="","",SUMIFS(Ledger!$K$2:$K$4, Ledger!$B$2:$B$4, $A3, Ledger!$C$2:$C$4, LZA$2)),"****")</f>
        <v/>
      </c>
      <c r="LZB3" t="str">
        <f>IFERROR(IF($C3="","",SUMIFS(Ledger!$K$2:$K$4, Ledger!$B$2:$B$4, $A3, Ledger!$C$2:$C$4, LZB$2)),"****")</f>
        <v/>
      </c>
      <c r="LZC3" t="str">
        <f>IFERROR(IF($C3="","",SUMIFS(Ledger!$K$2:$K$4, Ledger!$B$2:$B$4, $A3, Ledger!$C$2:$C$4, LZC$2)),"****")</f>
        <v/>
      </c>
      <c r="LZD3" t="str">
        <f>IFERROR(IF($C3="","",SUMIFS(Ledger!$K$2:$K$4, Ledger!$B$2:$B$4, $A3, Ledger!$C$2:$C$4, LZD$2)),"****")</f>
        <v/>
      </c>
      <c r="LZE3" t="str">
        <f>IFERROR(IF($C3="","",SUMIFS(Ledger!$K$2:$K$4, Ledger!$B$2:$B$4, $A3, Ledger!$C$2:$C$4, LZE$2)),"****")</f>
        <v/>
      </c>
      <c r="LZF3" t="str">
        <f>IFERROR(IF($C3="","",SUMIFS(Ledger!$K$2:$K$4, Ledger!$B$2:$B$4, $A3, Ledger!$C$2:$C$4, LZF$2)),"****")</f>
        <v/>
      </c>
      <c r="LZG3" t="str">
        <f>IFERROR(IF($C3="","",SUMIFS(Ledger!$K$2:$K$4, Ledger!$B$2:$B$4, $A3, Ledger!$C$2:$C$4, LZG$2)),"****")</f>
        <v/>
      </c>
      <c r="LZH3" t="str">
        <f>IFERROR(IF($C3="","",SUMIFS(Ledger!$K$2:$K$4, Ledger!$B$2:$B$4, $A3, Ledger!$C$2:$C$4, LZH$2)),"****")</f>
        <v/>
      </c>
      <c r="LZI3" t="str">
        <f>IFERROR(IF($C3="","",SUMIFS(Ledger!$K$2:$K$4, Ledger!$B$2:$B$4, $A3, Ledger!$C$2:$C$4, LZI$2)),"****")</f>
        <v/>
      </c>
      <c r="LZJ3" t="str">
        <f>IFERROR(IF($C3="","",SUMIFS(Ledger!$K$2:$K$4, Ledger!$B$2:$B$4, $A3, Ledger!$C$2:$C$4, LZJ$2)),"****")</f>
        <v/>
      </c>
      <c r="LZK3" t="str">
        <f>IFERROR(IF($C3="","",SUMIFS(Ledger!$K$2:$K$4, Ledger!$B$2:$B$4, $A3, Ledger!$C$2:$C$4, LZK$2)),"****")</f>
        <v/>
      </c>
      <c r="LZL3" t="str">
        <f>IFERROR(IF($C3="","",SUMIFS(Ledger!$K$2:$K$4, Ledger!$B$2:$B$4, $A3, Ledger!$C$2:$C$4, LZL$2)),"****")</f>
        <v/>
      </c>
      <c r="LZM3" t="str">
        <f>IFERROR(IF($C3="","",SUMIFS(Ledger!$K$2:$K$4, Ledger!$B$2:$B$4, $A3, Ledger!$C$2:$C$4, LZM$2)),"****")</f>
        <v/>
      </c>
      <c r="LZN3" t="str">
        <f>IFERROR(IF($C3="","",SUMIFS(Ledger!$K$2:$K$4, Ledger!$B$2:$B$4, $A3, Ledger!$C$2:$C$4, LZN$2)),"****")</f>
        <v/>
      </c>
      <c r="LZO3" t="str">
        <f>IFERROR(IF($C3="","",SUMIFS(Ledger!$K$2:$K$4, Ledger!$B$2:$B$4, $A3, Ledger!$C$2:$C$4, LZO$2)),"****")</f>
        <v/>
      </c>
      <c r="LZP3" t="str">
        <f>IFERROR(IF($C3="","",SUMIFS(Ledger!$K$2:$K$4, Ledger!$B$2:$B$4, $A3, Ledger!$C$2:$C$4, LZP$2)),"****")</f>
        <v/>
      </c>
      <c r="LZQ3" t="str">
        <f>IFERROR(IF($C3="","",SUMIFS(Ledger!$K$2:$K$4, Ledger!$B$2:$B$4, $A3, Ledger!$C$2:$C$4, LZQ$2)),"****")</f>
        <v/>
      </c>
      <c r="LZR3" t="str">
        <f>IFERROR(IF($C3="","",SUMIFS(Ledger!$K$2:$K$4, Ledger!$B$2:$B$4, $A3, Ledger!$C$2:$C$4, LZR$2)),"****")</f>
        <v/>
      </c>
      <c r="LZS3" t="str">
        <f>IFERROR(IF($C3="","",SUMIFS(Ledger!$K$2:$K$4, Ledger!$B$2:$B$4, $A3, Ledger!$C$2:$C$4, LZS$2)),"****")</f>
        <v/>
      </c>
      <c r="LZT3" t="str">
        <f>IFERROR(IF($C3="","",SUMIFS(Ledger!$K$2:$K$4, Ledger!$B$2:$B$4, $A3, Ledger!$C$2:$C$4, LZT$2)),"****")</f>
        <v/>
      </c>
      <c r="LZU3" t="str">
        <f>IFERROR(IF($C3="","",SUMIFS(Ledger!$K$2:$K$4, Ledger!$B$2:$B$4, $A3, Ledger!$C$2:$C$4, LZU$2)),"****")</f>
        <v/>
      </c>
      <c r="LZV3" t="str">
        <f>IFERROR(IF($C3="","",SUMIFS(Ledger!$K$2:$K$4, Ledger!$B$2:$B$4, $A3, Ledger!$C$2:$C$4, LZV$2)),"****")</f>
        <v/>
      </c>
      <c r="LZW3" t="str">
        <f>IFERROR(IF($C3="","",SUMIFS(Ledger!$K$2:$K$4, Ledger!$B$2:$B$4, $A3, Ledger!$C$2:$C$4, LZW$2)),"****")</f>
        <v/>
      </c>
      <c r="LZX3" t="str">
        <f>IFERROR(IF($C3="","",SUMIFS(Ledger!$K$2:$K$4, Ledger!$B$2:$B$4, $A3, Ledger!$C$2:$C$4, LZX$2)),"****")</f>
        <v/>
      </c>
      <c r="LZY3" t="str">
        <f>IFERROR(IF($C3="","",SUMIFS(Ledger!$K$2:$K$4, Ledger!$B$2:$B$4, $A3, Ledger!$C$2:$C$4, LZY$2)),"****")</f>
        <v/>
      </c>
      <c r="LZZ3" t="str">
        <f>IFERROR(IF($C3="","",SUMIFS(Ledger!$K$2:$K$4, Ledger!$B$2:$B$4, $A3, Ledger!$C$2:$C$4, LZZ$2)),"****")</f>
        <v/>
      </c>
      <c r="MAA3" t="str">
        <f>IFERROR(IF($C3="","",SUMIFS(Ledger!$K$2:$K$4, Ledger!$B$2:$B$4, $A3, Ledger!$C$2:$C$4, MAA$2)),"****")</f>
        <v/>
      </c>
      <c r="MAB3" t="str">
        <f>IFERROR(IF($C3="","",SUMIFS(Ledger!$K$2:$K$4, Ledger!$B$2:$B$4, $A3, Ledger!$C$2:$C$4, MAB$2)),"****")</f>
        <v/>
      </c>
      <c r="MAC3" t="str">
        <f>IFERROR(IF($C3="","",SUMIFS(Ledger!$K$2:$K$4, Ledger!$B$2:$B$4, $A3, Ledger!$C$2:$C$4, MAC$2)),"****")</f>
        <v/>
      </c>
      <c r="MAD3" t="str">
        <f>IFERROR(IF($C3="","",SUMIFS(Ledger!$K$2:$K$4, Ledger!$B$2:$B$4, $A3, Ledger!$C$2:$C$4, MAD$2)),"****")</f>
        <v/>
      </c>
      <c r="MAE3" t="str">
        <f>IFERROR(IF($C3="","",SUMIFS(Ledger!$K$2:$K$4, Ledger!$B$2:$B$4, $A3, Ledger!$C$2:$C$4, MAE$2)),"****")</f>
        <v/>
      </c>
      <c r="MAF3" t="str">
        <f>IFERROR(IF($C3="","",SUMIFS(Ledger!$K$2:$K$4, Ledger!$B$2:$B$4, $A3, Ledger!$C$2:$C$4, MAF$2)),"****")</f>
        <v/>
      </c>
      <c r="MAG3" t="str">
        <f>IFERROR(IF($C3="","",SUMIFS(Ledger!$K$2:$K$4, Ledger!$B$2:$B$4, $A3, Ledger!$C$2:$C$4, MAG$2)),"****")</f>
        <v/>
      </c>
      <c r="MAH3" t="str">
        <f>IFERROR(IF($C3="","",SUMIFS(Ledger!$K$2:$K$4, Ledger!$B$2:$B$4, $A3, Ledger!$C$2:$C$4, MAH$2)),"****")</f>
        <v/>
      </c>
      <c r="MAI3" t="str">
        <f>IFERROR(IF($C3="","",SUMIFS(Ledger!$K$2:$K$4, Ledger!$B$2:$B$4, $A3, Ledger!$C$2:$C$4, MAI$2)),"****")</f>
        <v/>
      </c>
      <c r="MAJ3" t="str">
        <f>IFERROR(IF($C3="","",SUMIFS(Ledger!$K$2:$K$4, Ledger!$B$2:$B$4, $A3, Ledger!$C$2:$C$4, MAJ$2)),"****")</f>
        <v/>
      </c>
      <c r="MAK3" t="str">
        <f>IFERROR(IF($C3="","",SUMIFS(Ledger!$K$2:$K$4, Ledger!$B$2:$B$4, $A3, Ledger!$C$2:$C$4, MAK$2)),"****")</f>
        <v/>
      </c>
      <c r="MAL3" t="str">
        <f>IFERROR(IF($C3="","",SUMIFS(Ledger!$K$2:$K$4, Ledger!$B$2:$B$4, $A3, Ledger!$C$2:$C$4, MAL$2)),"****")</f>
        <v/>
      </c>
      <c r="MAM3" t="str">
        <f>IFERROR(IF($C3="","",SUMIFS(Ledger!$K$2:$K$4, Ledger!$B$2:$B$4, $A3, Ledger!$C$2:$C$4, MAM$2)),"****")</f>
        <v/>
      </c>
      <c r="MAN3" t="str">
        <f>IFERROR(IF($C3="","",SUMIFS(Ledger!$K$2:$K$4, Ledger!$B$2:$B$4, $A3, Ledger!$C$2:$C$4, MAN$2)),"****")</f>
        <v/>
      </c>
      <c r="MAO3" t="str">
        <f>IFERROR(IF($C3="","",SUMIFS(Ledger!$K$2:$K$4, Ledger!$B$2:$B$4, $A3, Ledger!$C$2:$C$4, MAO$2)),"****")</f>
        <v/>
      </c>
      <c r="MAP3" t="str">
        <f>IFERROR(IF($C3="","",SUMIFS(Ledger!$K$2:$K$4, Ledger!$B$2:$B$4, $A3, Ledger!$C$2:$C$4, MAP$2)),"****")</f>
        <v/>
      </c>
      <c r="MAQ3" t="str">
        <f>IFERROR(IF($C3="","",SUMIFS(Ledger!$K$2:$K$4, Ledger!$B$2:$B$4, $A3, Ledger!$C$2:$C$4, MAQ$2)),"****")</f>
        <v/>
      </c>
      <c r="MAR3" t="str">
        <f>IFERROR(IF($C3="","",SUMIFS(Ledger!$K$2:$K$4, Ledger!$B$2:$B$4, $A3, Ledger!$C$2:$C$4, MAR$2)),"****")</f>
        <v/>
      </c>
      <c r="MAS3" t="str">
        <f>IFERROR(IF($C3="","",SUMIFS(Ledger!$K$2:$K$4, Ledger!$B$2:$B$4, $A3, Ledger!$C$2:$C$4, MAS$2)),"****")</f>
        <v/>
      </c>
      <c r="MAT3" t="str">
        <f>IFERROR(IF($C3="","",SUMIFS(Ledger!$K$2:$K$4, Ledger!$B$2:$B$4, $A3, Ledger!$C$2:$C$4, MAT$2)),"****")</f>
        <v/>
      </c>
      <c r="MAU3" t="str">
        <f>IFERROR(IF($C3="","",SUMIFS(Ledger!$K$2:$K$4, Ledger!$B$2:$B$4, $A3, Ledger!$C$2:$C$4, MAU$2)),"****")</f>
        <v/>
      </c>
      <c r="MAV3" t="str">
        <f>IFERROR(IF($C3="","",SUMIFS(Ledger!$K$2:$K$4, Ledger!$B$2:$B$4, $A3, Ledger!$C$2:$C$4, MAV$2)),"****")</f>
        <v/>
      </c>
      <c r="MAW3" t="str">
        <f>IFERROR(IF($C3="","",SUMIFS(Ledger!$K$2:$K$4, Ledger!$B$2:$B$4, $A3, Ledger!$C$2:$C$4, MAW$2)),"****")</f>
        <v/>
      </c>
      <c r="MAX3" t="str">
        <f>IFERROR(IF($C3="","",SUMIFS(Ledger!$K$2:$K$4, Ledger!$B$2:$B$4, $A3, Ledger!$C$2:$C$4, MAX$2)),"****")</f>
        <v/>
      </c>
      <c r="MAY3" t="str">
        <f>IFERROR(IF($C3="","",SUMIFS(Ledger!$K$2:$K$4, Ledger!$B$2:$B$4, $A3, Ledger!$C$2:$C$4, MAY$2)),"****")</f>
        <v/>
      </c>
      <c r="MAZ3" t="str">
        <f>IFERROR(IF($C3="","",SUMIFS(Ledger!$K$2:$K$4, Ledger!$B$2:$B$4, $A3, Ledger!$C$2:$C$4, MAZ$2)),"****")</f>
        <v/>
      </c>
      <c r="MBA3" t="str">
        <f>IFERROR(IF($C3="","",SUMIFS(Ledger!$K$2:$K$4, Ledger!$B$2:$B$4, $A3, Ledger!$C$2:$C$4, MBA$2)),"****")</f>
        <v/>
      </c>
      <c r="MBB3" t="str">
        <f>IFERROR(IF($C3="","",SUMIFS(Ledger!$K$2:$K$4, Ledger!$B$2:$B$4, $A3, Ledger!$C$2:$C$4, MBB$2)),"****")</f>
        <v/>
      </c>
      <c r="MBC3" t="str">
        <f>IFERROR(IF($C3="","",SUMIFS(Ledger!$K$2:$K$4, Ledger!$B$2:$B$4, $A3, Ledger!$C$2:$C$4, MBC$2)),"****")</f>
        <v/>
      </c>
      <c r="MBD3" t="str">
        <f>IFERROR(IF($C3="","",SUMIFS(Ledger!$K$2:$K$4, Ledger!$B$2:$B$4, $A3, Ledger!$C$2:$C$4, MBD$2)),"****")</f>
        <v/>
      </c>
      <c r="MBE3" t="str">
        <f>IFERROR(IF($C3="","",SUMIFS(Ledger!$K$2:$K$4, Ledger!$B$2:$B$4, $A3, Ledger!$C$2:$C$4, MBE$2)),"****")</f>
        <v/>
      </c>
      <c r="MBF3" t="str">
        <f>IFERROR(IF($C3="","",SUMIFS(Ledger!$K$2:$K$4, Ledger!$B$2:$B$4, $A3, Ledger!$C$2:$C$4, MBF$2)),"****")</f>
        <v/>
      </c>
      <c r="MBG3" t="str">
        <f>IFERROR(IF($C3="","",SUMIFS(Ledger!$K$2:$K$4, Ledger!$B$2:$B$4, $A3, Ledger!$C$2:$C$4, MBG$2)),"****")</f>
        <v/>
      </c>
      <c r="MBH3" t="str">
        <f>IFERROR(IF($C3="","",SUMIFS(Ledger!$K$2:$K$4, Ledger!$B$2:$B$4, $A3, Ledger!$C$2:$C$4, MBH$2)),"****")</f>
        <v/>
      </c>
      <c r="MBI3" t="str">
        <f>IFERROR(IF($C3="","",SUMIFS(Ledger!$K$2:$K$4, Ledger!$B$2:$B$4, $A3, Ledger!$C$2:$C$4, MBI$2)),"****")</f>
        <v/>
      </c>
      <c r="MBJ3" t="str">
        <f>IFERROR(IF($C3="","",SUMIFS(Ledger!$K$2:$K$4, Ledger!$B$2:$B$4, $A3, Ledger!$C$2:$C$4, MBJ$2)),"****")</f>
        <v/>
      </c>
      <c r="MBK3" t="str">
        <f>IFERROR(IF($C3="","",SUMIFS(Ledger!$K$2:$K$4, Ledger!$B$2:$B$4, $A3, Ledger!$C$2:$C$4, MBK$2)),"****")</f>
        <v/>
      </c>
      <c r="MBL3" t="str">
        <f>IFERROR(IF($C3="","",SUMIFS(Ledger!$K$2:$K$4, Ledger!$B$2:$B$4, $A3, Ledger!$C$2:$C$4, MBL$2)),"****")</f>
        <v/>
      </c>
      <c r="MBM3" t="str">
        <f>IFERROR(IF($C3="","",SUMIFS(Ledger!$K$2:$K$4, Ledger!$B$2:$B$4, $A3, Ledger!$C$2:$C$4, MBM$2)),"****")</f>
        <v/>
      </c>
      <c r="MBN3" t="str">
        <f>IFERROR(IF($C3="","",SUMIFS(Ledger!$K$2:$K$4, Ledger!$B$2:$B$4, $A3, Ledger!$C$2:$C$4, MBN$2)),"****")</f>
        <v/>
      </c>
      <c r="MBO3" t="str">
        <f>IFERROR(IF($C3="","",SUMIFS(Ledger!$K$2:$K$4, Ledger!$B$2:$B$4, $A3, Ledger!$C$2:$C$4, MBO$2)),"****")</f>
        <v/>
      </c>
      <c r="MBP3" t="str">
        <f>IFERROR(IF($C3="","",SUMIFS(Ledger!$K$2:$K$4, Ledger!$B$2:$B$4, $A3, Ledger!$C$2:$C$4, MBP$2)),"****")</f>
        <v/>
      </c>
      <c r="MBQ3" t="str">
        <f>IFERROR(IF($C3="","",SUMIFS(Ledger!$K$2:$K$4, Ledger!$B$2:$B$4, $A3, Ledger!$C$2:$C$4, MBQ$2)),"****")</f>
        <v/>
      </c>
      <c r="MBR3" t="str">
        <f>IFERROR(IF($C3="","",SUMIFS(Ledger!$K$2:$K$4, Ledger!$B$2:$B$4, $A3, Ledger!$C$2:$C$4, MBR$2)),"****")</f>
        <v/>
      </c>
      <c r="MBS3" t="str">
        <f>IFERROR(IF($C3="","",SUMIFS(Ledger!$K$2:$K$4, Ledger!$B$2:$B$4, $A3, Ledger!$C$2:$C$4, MBS$2)),"****")</f>
        <v/>
      </c>
      <c r="MBT3" t="str">
        <f>IFERROR(IF($C3="","",SUMIFS(Ledger!$K$2:$K$4, Ledger!$B$2:$B$4, $A3, Ledger!$C$2:$C$4, MBT$2)),"****")</f>
        <v/>
      </c>
      <c r="MBU3" t="str">
        <f>IFERROR(IF($C3="","",SUMIFS(Ledger!$K$2:$K$4, Ledger!$B$2:$B$4, $A3, Ledger!$C$2:$C$4, MBU$2)),"****")</f>
        <v/>
      </c>
      <c r="MBV3" t="str">
        <f>IFERROR(IF($C3="","",SUMIFS(Ledger!$K$2:$K$4, Ledger!$B$2:$B$4, $A3, Ledger!$C$2:$C$4, MBV$2)),"****")</f>
        <v/>
      </c>
      <c r="MBW3" t="str">
        <f>IFERROR(IF($C3="","",SUMIFS(Ledger!$K$2:$K$4, Ledger!$B$2:$B$4, $A3, Ledger!$C$2:$C$4, MBW$2)),"****")</f>
        <v/>
      </c>
      <c r="MBX3" t="str">
        <f>IFERROR(IF($C3="","",SUMIFS(Ledger!$K$2:$K$4, Ledger!$B$2:$B$4, $A3, Ledger!$C$2:$C$4, MBX$2)),"****")</f>
        <v/>
      </c>
      <c r="MBY3" t="str">
        <f>IFERROR(IF($C3="","",SUMIFS(Ledger!$K$2:$K$4, Ledger!$B$2:$B$4, $A3, Ledger!$C$2:$C$4, MBY$2)),"****")</f>
        <v/>
      </c>
      <c r="MBZ3" t="str">
        <f>IFERROR(IF($C3="","",SUMIFS(Ledger!$K$2:$K$4, Ledger!$B$2:$B$4, $A3, Ledger!$C$2:$C$4, MBZ$2)),"****")</f>
        <v/>
      </c>
      <c r="MCA3" t="str">
        <f>IFERROR(IF($C3="","",SUMIFS(Ledger!$K$2:$K$4, Ledger!$B$2:$B$4, $A3, Ledger!$C$2:$C$4, MCA$2)),"****")</f>
        <v/>
      </c>
      <c r="MCB3" t="str">
        <f>IFERROR(IF($C3="","",SUMIFS(Ledger!$K$2:$K$4, Ledger!$B$2:$B$4, $A3, Ledger!$C$2:$C$4, MCB$2)),"****")</f>
        <v/>
      </c>
      <c r="MCC3" t="str">
        <f>IFERROR(IF($C3="","",SUMIFS(Ledger!$K$2:$K$4, Ledger!$B$2:$B$4, $A3, Ledger!$C$2:$C$4, MCC$2)),"****")</f>
        <v/>
      </c>
      <c r="MCD3" t="str">
        <f>IFERROR(IF($C3="","",SUMIFS(Ledger!$K$2:$K$4, Ledger!$B$2:$B$4, $A3, Ledger!$C$2:$C$4, MCD$2)),"****")</f>
        <v/>
      </c>
      <c r="MCE3" t="str">
        <f>IFERROR(IF($C3="","",SUMIFS(Ledger!$K$2:$K$4, Ledger!$B$2:$B$4, $A3, Ledger!$C$2:$C$4, MCE$2)),"****")</f>
        <v/>
      </c>
      <c r="MCF3" t="str">
        <f>IFERROR(IF($C3="","",SUMIFS(Ledger!$K$2:$K$4, Ledger!$B$2:$B$4, $A3, Ledger!$C$2:$C$4, MCF$2)),"****")</f>
        <v/>
      </c>
      <c r="MCG3" t="str">
        <f>IFERROR(IF($C3="","",SUMIFS(Ledger!$K$2:$K$4, Ledger!$B$2:$B$4, $A3, Ledger!$C$2:$C$4, MCG$2)),"****")</f>
        <v/>
      </c>
      <c r="MCH3" t="str">
        <f>IFERROR(IF($C3="","",SUMIFS(Ledger!$K$2:$K$4, Ledger!$B$2:$B$4, $A3, Ledger!$C$2:$C$4, MCH$2)),"****")</f>
        <v/>
      </c>
      <c r="MCI3" t="str">
        <f>IFERROR(IF($C3="","",SUMIFS(Ledger!$K$2:$K$4, Ledger!$B$2:$B$4, $A3, Ledger!$C$2:$C$4, MCI$2)),"****")</f>
        <v/>
      </c>
      <c r="MCJ3" t="str">
        <f>IFERROR(IF($C3="","",SUMIFS(Ledger!$K$2:$K$4, Ledger!$B$2:$B$4, $A3, Ledger!$C$2:$C$4, MCJ$2)),"****")</f>
        <v/>
      </c>
      <c r="MCK3" t="str">
        <f>IFERROR(IF($C3="","",SUMIFS(Ledger!$K$2:$K$4, Ledger!$B$2:$B$4, $A3, Ledger!$C$2:$C$4, MCK$2)),"****")</f>
        <v/>
      </c>
      <c r="MCL3" t="str">
        <f>IFERROR(IF($C3="","",SUMIFS(Ledger!$K$2:$K$4, Ledger!$B$2:$B$4, $A3, Ledger!$C$2:$C$4, MCL$2)),"****")</f>
        <v/>
      </c>
      <c r="MCM3" t="str">
        <f>IFERROR(IF($C3="","",SUMIFS(Ledger!$K$2:$K$4, Ledger!$B$2:$B$4, $A3, Ledger!$C$2:$C$4, MCM$2)),"****")</f>
        <v/>
      </c>
      <c r="MCN3" t="str">
        <f>IFERROR(IF($C3="","",SUMIFS(Ledger!$K$2:$K$4, Ledger!$B$2:$B$4, $A3, Ledger!$C$2:$C$4, MCN$2)),"****")</f>
        <v/>
      </c>
      <c r="MCO3" t="str">
        <f>IFERROR(IF($C3="","",SUMIFS(Ledger!$K$2:$K$4, Ledger!$B$2:$B$4, $A3, Ledger!$C$2:$C$4, MCO$2)),"****")</f>
        <v/>
      </c>
      <c r="MCP3" t="str">
        <f>IFERROR(IF($C3="","",SUMIFS(Ledger!$K$2:$K$4, Ledger!$B$2:$B$4, $A3, Ledger!$C$2:$C$4, MCP$2)),"****")</f>
        <v/>
      </c>
      <c r="MCQ3" t="str">
        <f>IFERROR(IF($C3="","",SUMIFS(Ledger!$K$2:$K$4, Ledger!$B$2:$B$4, $A3, Ledger!$C$2:$C$4, MCQ$2)),"****")</f>
        <v/>
      </c>
      <c r="MCR3" t="str">
        <f>IFERROR(IF($C3="","",SUMIFS(Ledger!$K$2:$K$4, Ledger!$B$2:$B$4, $A3, Ledger!$C$2:$C$4, MCR$2)),"****")</f>
        <v/>
      </c>
      <c r="MCS3" t="str">
        <f>IFERROR(IF($C3="","",SUMIFS(Ledger!$K$2:$K$4, Ledger!$B$2:$B$4, $A3, Ledger!$C$2:$C$4, MCS$2)),"****")</f>
        <v/>
      </c>
      <c r="MCT3" t="str">
        <f>IFERROR(IF($C3="","",SUMIFS(Ledger!$K$2:$K$4, Ledger!$B$2:$B$4, $A3, Ledger!$C$2:$C$4, MCT$2)),"****")</f>
        <v/>
      </c>
      <c r="MCU3" t="str">
        <f>IFERROR(IF($C3="","",SUMIFS(Ledger!$K$2:$K$4, Ledger!$B$2:$B$4, $A3, Ledger!$C$2:$C$4, MCU$2)),"****")</f>
        <v/>
      </c>
      <c r="MCV3" t="str">
        <f>IFERROR(IF($C3="","",SUMIFS(Ledger!$K$2:$K$4, Ledger!$B$2:$B$4, $A3, Ledger!$C$2:$C$4, MCV$2)),"****")</f>
        <v/>
      </c>
      <c r="MCW3" t="str">
        <f>IFERROR(IF($C3="","",SUMIFS(Ledger!$K$2:$K$4, Ledger!$B$2:$B$4, $A3, Ledger!$C$2:$C$4, MCW$2)),"****")</f>
        <v/>
      </c>
      <c r="MCX3" t="str">
        <f>IFERROR(IF($C3="","",SUMIFS(Ledger!$K$2:$K$4, Ledger!$B$2:$B$4, $A3, Ledger!$C$2:$C$4, MCX$2)),"****")</f>
        <v/>
      </c>
      <c r="MCY3" t="str">
        <f>IFERROR(IF($C3="","",SUMIFS(Ledger!$K$2:$K$4, Ledger!$B$2:$B$4, $A3, Ledger!$C$2:$C$4, MCY$2)),"****")</f>
        <v/>
      </c>
      <c r="MCZ3" t="str">
        <f>IFERROR(IF($C3="","",SUMIFS(Ledger!$K$2:$K$4, Ledger!$B$2:$B$4, $A3, Ledger!$C$2:$C$4, MCZ$2)),"****")</f>
        <v/>
      </c>
      <c r="MDA3" t="str">
        <f>IFERROR(IF($C3="","",SUMIFS(Ledger!$K$2:$K$4, Ledger!$B$2:$B$4, $A3, Ledger!$C$2:$C$4, MDA$2)),"****")</f>
        <v/>
      </c>
      <c r="MDB3" t="str">
        <f>IFERROR(IF($C3="","",SUMIFS(Ledger!$K$2:$K$4, Ledger!$B$2:$B$4, $A3, Ledger!$C$2:$C$4, MDB$2)),"****")</f>
        <v/>
      </c>
      <c r="MDC3" t="str">
        <f>IFERROR(IF($C3="","",SUMIFS(Ledger!$K$2:$K$4, Ledger!$B$2:$B$4, $A3, Ledger!$C$2:$C$4, MDC$2)),"****")</f>
        <v/>
      </c>
      <c r="MDD3" t="str">
        <f>IFERROR(IF($C3="","",SUMIFS(Ledger!$K$2:$K$4, Ledger!$B$2:$B$4, $A3, Ledger!$C$2:$C$4, MDD$2)),"****")</f>
        <v/>
      </c>
      <c r="MDE3" t="str">
        <f>IFERROR(IF($C3="","",SUMIFS(Ledger!$K$2:$K$4, Ledger!$B$2:$B$4, $A3, Ledger!$C$2:$C$4, MDE$2)),"****")</f>
        <v/>
      </c>
      <c r="MDF3" t="str">
        <f>IFERROR(IF($C3="","",SUMIFS(Ledger!$K$2:$K$4, Ledger!$B$2:$B$4, $A3, Ledger!$C$2:$C$4, MDF$2)),"****")</f>
        <v/>
      </c>
      <c r="MDG3" t="str">
        <f>IFERROR(IF($C3="","",SUMIFS(Ledger!$K$2:$K$4, Ledger!$B$2:$B$4, $A3, Ledger!$C$2:$C$4, MDG$2)),"****")</f>
        <v/>
      </c>
      <c r="MDH3" t="str">
        <f>IFERROR(IF($C3="","",SUMIFS(Ledger!$K$2:$K$4, Ledger!$B$2:$B$4, $A3, Ledger!$C$2:$C$4, MDH$2)),"****")</f>
        <v/>
      </c>
      <c r="MDI3" t="str">
        <f>IFERROR(IF($C3="","",SUMIFS(Ledger!$K$2:$K$4, Ledger!$B$2:$B$4, $A3, Ledger!$C$2:$C$4, MDI$2)),"****")</f>
        <v/>
      </c>
      <c r="MDJ3" t="str">
        <f>IFERROR(IF($C3="","",SUMIFS(Ledger!$K$2:$K$4, Ledger!$B$2:$B$4, $A3, Ledger!$C$2:$C$4, MDJ$2)),"****")</f>
        <v/>
      </c>
      <c r="MDK3" t="str">
        <f>IFERROR(IF($C3="","",SUMIFS(Ledger!$K$2:$K$4, Ledger!$B$2:$B$4, $A3, Ledger!$C$2:$C$4, MDK$2)),"****")</f>
        <v/>
      </c>
      <c r="MDL3" t="str">
        <f>IFERROR(IF($C3="","",SUMIFS(Ledger!$K$2:$K$4, Ledger!$B$2:$B$4, $A3, Ledger!$C$2:$C$4, MDL$2)),"****")</f>
        <v/>
      </c>
      <c r="MDM3" t="str">
        <f>IFERROR(IF($C3="","",SUMIFS(Ledger!$K$2:$K$4, Ledger!$B$2:$B$4, $A3, Ledger!$C$2:$C$4, MDM$2)),"****")</f>
        <v/>
      </c>
      <c r="MDN3" t="str">
        <f>IFERROR(IF($C3="","",SUMIFS(Ledger!$K$2:$K$4, Ledger!$B$2:$B$4, $A3, Ledger!$C$2:$C$4, MDN$2)),"****")</f>
        <v/>
      </c>
      <c r="MDO3" t="str">
        <f>IFERROR(IF($C3="","",SUMIFS(Ledger!$K$2:$K$4, Ledger!$B$2:$B$4, $A3, Ledger!$C$2:$C$4, MDO$2)),"****")</f>
        <v/>
      </c>
      <c r="MDP3" t="str">
        <f>IFERROR(IF($C3="","",SUMIFS(Ledger!$K$2:$K$4, Ledger!$B$2:$B$4, $A3, Ledger!$C$2:$C$4, MDP$2)),"****")</f>
        <v/>
      </c>
      <c r="MDQ3" t="str">
        <f>IFERROR(IF($C3="","",SUMIFS(Ledger!$K$2:$K$4, Ledger!$B$2:$B$4, $A3, Ledger!$C$2:$C$4, MDQ$2)),"****")</f>
        <v/>
      </c>
      <c r="MDR3" t="str">
        <f>IFERROR(IF($C3="","",SUMIFS(Ledger!$K$2:$K$4, Ledger!$B$2:$B$4, $A3, Ledger!$C$2:$C$4, MDR$2)),"****")</f>
        <v/>
      </c>
      <c r="MDS3" t="str">
        <f>IFERROR(IF($C3="","",SUMIFS(Ledger!$K$2:$K$4, Ledger!$B$2:$B$4, $A3, Ledger!$C$2:$C$4, MDS$2)),"****")</f>
        <v/>
      </c>
      <c r="MDT3" t="str">
        <f>IFERROR(IF($C3="","",SUMIFS(Ledger!$K$2:$K$4, Ledger!$B$2:$B$4, $A3, Ledger!$C$2:$C$4, MDT$2)),"****")</f>
        <v/>
      </c>
      <c r="MDU3" t="str">
        <f>IFERROR(IF($C3="","",SUMIFS(Ledger!$K$2:$K$4, Ledger!$B$2:$B$4, $A3, Ledger!$C$2:$C$4, MDU$2)),"****")</f>
        <v/>
      </c>
      <c r="MDV3" t="str">
        <f>IFERROR(IF($C3="","",SUMIFS(Ledger!$K$2:$K$4, Ledger!$B$2:$B$4, $A3, Ledger!$C$2:$C$4, MDV$2)),"****")</f>
        <v/>
      </c>
      <c r="MDW3" t="str">
        <f>IFERROR(IF($C3="","",SUMIFS(Ledger!$K$2:$K$4, Ledger!$B$2:$B$4, $A3, Ledger!$C$2:$C$4, MDW$2)),"****")</f>
        <v/>
      </c>
      <c r="MDX3" t="str">
        <f>IFERROR(IF($C3="","",SUMIFS(Ledger!$K$2:$K$4, Ledger!$B$2:$B$4, $A3, Ledger!$C$2:$C$4, MDX$2)),"****")</f>
        <v/>
      </c>
      <c r="MDY3" t="str">
        <f>IFERROR(IF($C3="","",SUMIFS(Ledger!$K$2:$K$4, Ledger!$B$2:$B$4, $A3, Ledger!$C$2:$C$4, MDY$2)),"****")</f>
        <v/>
      </c>
      <c r="MDZ3" t="str">
        <f>IFERROR(IF($C3="","",SUMIFS(Ledger!$K$2:$K$4, Ledger!$B$2:$B$4, $A3, Ledger!$C$2:$C$4, MDZ$2)),"****")</f>
        <v/>
      </c>
      <c r="MEA3" t="str">
        <f>IFERROR(IF($C3="","",SUMIFS(Ledger!$K$2:$K$4, Ledger!$B$2:$B$4, $A3, Ledger!$C$2:$C$4, MEA$2)),"****")</f>
        <v/>
      </c>
      <c r="MEB3" t="str">
        <f>IFERROR(IF($C3="","",SUMIFS(Ledger!$K$2:$K$4, Ledger!$B$2:$B$4, $A3, Ledger!$C$2:$C$4, MEB$2)),"****")</f>
        <v/>
      </c>
      <c r="MEC3" t="str">
        <f>IFERROR(IF($C3="","",SUMIFS(Ledger!$K$2:$K$4, Ledger!$B$2:$B$4, $A3, Ledger!$C$2:$C$4, MEC$2)),"****")</f>
        <v/>
      </c>
      <c r="MED3" t="str">
        <f>IFERROR(IF($C3="","",SUMIFS(Ledger!$K$2:$K$4, Ledger!$B$2:$B$4, $A3, Ledger!$C$2:$C$4, MED$2)),"****")</f>
        <v/>
      </c>
      <c r="MEE3" t="str">
        <f>IFERROR(IF($C3="","",SUMIFS(Ledger!$K$2:$K$4, Ledger!$B$2:$B$4, $A3, Ledger!$C$2:$C$4, MEE$2)),"****")</f>
        <v/>
      </c>
      <c r="MEF3" t="str">
        <f>IFERROR(IF($C3="","",SUMIFS(Ledger!$K$2:$K$4, Ledger!$B$2:$B$4, $A3, Ledger!$C$2:$C$4, MEF$2)),"****")</f>
        <v/>
      </c>
      <c r="MEG3" t="str">
        <f>IFERROR(IF($C3="","",SUMIFS(Ledger!$K$2:$K$4, Ledger!$B$2:$B$4, $A3, Ledger!$C$2:$C$4, MEG$2)),"****")</f>
        <v/>
      </c>
      <c r="MEH3" t="str">
        <f>IFERROR(IF($C3="","",SUMIFS(Ledger!$K$2:$K$4, Ledger!$B$2:$B$4, $A3, Ledger!$C$2:$C$4, MEH$2)),"****")</f>
        <v/>
      </c>
      <c r="MEI3" t="str">
        <f>IFERROR(IF($C3="","",SUMIFS(Ledger!$K$2:$K$4, Ledger!$B$2:$B$4, $A3, Ledger!$C$2:$C$4, MEI$2)),"****")</f>
        <v/>
      </c>
      <c r="MEJ3" t="str">
        <f>IFERROR(IF($C3="","",SUMIFS(Ledger!$K$2:$K$4, Ledger!$B$2:$B$4, $A3, Ledger!$C$2:$C$4, MEJ$2)),"****")</f>
        <v/>
      </c>
      <c r="MEK3" t="str">
        <f>IFERROR(IF($C3="","",SUMIFS(Ledger!$K$2:$K$4, Ledger!$B$2:$B$4, $A3, Ledger!$C$2:$C$4, MEK$2)),"****")</f>
        <v/>
      </c>
      <c r="MEL3" t="str">
        <f>IFERROR(IF($C3="","",SUMIFS(Ledger!$K$2:$K$4, Ledger!$B$2:$B$4, $A3, Ledger!$C$2:$C$4, MEL$2)),"****")</f>
        <v/>
      </c>
      <c r="MEM3" t="str">
        <f>IFERROR(IF($C3="","",SUMIFS(Ledger!$K$2:$K$4, Ledger!$B$2:$B$4, $A3, Ledger!$C$2:$C$4, MEM$2)),"****")</f>
        <v/>
      </c>
      <c r="MEN3" t="str">
        <f>IFERROR(IF($C3="","",SUMIFS(Ledger!$K$2:$K$4, Ledger!$B$2:$B$4, $A3, Ledger!$C$2:$C$4, MEN$2)),"****")</f>
        <v/>
      </c>
      <c r="MEO3" t="str">
        <f>IFERROR(IF($C3="","",SUMIFS(Ledger!$K$2:$K$4, Ledger!$B$2:$B$4, $A3, Ledger!$C$2:$C$4, MEO$2)),"****")</f>
        <v/>
      </c>
      <c r="MEP3" t="str">
        <f>IFERROR(IF($C3="","",SUMIFS(Ledger!$K$2:$K$4, Ledger!$B$2:$B$4, $A3, Ledger!$C$2:$C$4, MEP$2)),"****")</f>
        <v/>
      </c>
      <c r="MEQ3" t="str">
        <f>IFERROR(IF($C3="","",SUMIFS(Ledger!$K$2:$K$4, Ledger!$B$2:$B$4, $A3, Ledger!$C$2:$C$4, MEQ$2)),"****")</f>
        <v/>
      </c>
      <c r="MER3" t="str">
        <f>IFERROR(IF($C3="","",SUMIFS(Ledger!$K$2:$K$4, Ledger!$B$2:$B$4, $A3, Ledger!$C$2:$C$4, MER$2)),"****")</f>
        <v/>
      </c>
      <c r="MES3" t="str">
        <f>IFERROR(IF($C3="","",SUMIFS(Ledger!$K$2:$K$4, Ledger!$B$2:$B$4, $A3, Ledger!$C$2:$C$4, MES$2)),"****")</f>
        <v/>
      </c>
      <c r="MET3" t="str">
        <f>IFERROR(IF($C3="","",SUMIFS(Ledger!$K$2:$K$4, Ledger!$B$2:$B$4, $A3, Ledger!$C$2:$C$4, MET$2)),"****")</f>
        <v/>
      </c>
      <c r="MEU3" t="str">
        <f>IFERROR(IF($C3="","",SUMIFS(Ledger!$K$2:$K$4, Ledger!$B$2:$B$4, $A3, Ledger!$C$2:$C$4, MEU$2)),"****")</f>
        <v/>
      </c>
      <c r="MEV3" t="str">
        <f>IFERROR(IF($C3="","",SUMIFS(Ledger!$K$2:$K$4, Ledger!$B$2:$B$4, $A3, Ledger!$C$2:$C$4, MEV$2)),"****")</f>
        <v/>
      </c>
      <c r="MEW3" t="str">
        <f>IFERROR(IF($C3="","",SUMIFS(Ledger!$K$2:$K$4, Ledger!$B$2:$B$4, $A3, Ledger!$C$2:$C$4, MEW$2)),"****")</f>
        <v/>
      </c>
      <c r="MEX3" t="str">
        <f>IFERROR(IF($C3="","",SUMIFS(Ledger!$K$2:$K$4, Ledger!$B$2:$B$4, $A3, Ledger!$C$2:$C$4, MEX$2)),"****")</f>
        <v/>
      </c>
      <c r="MEY3" t="str">
        <f>IFERROR(IF($C3="","",SUMIFS(Ledger!$K$2:$K$4, Ledger!$B$2:$B$4, $A3, Ledger!$C$2:$C$4, MEY$2)),"****")</f>
        <v/>
      </c>
      <c r="MEZ3" t="str">
        <f>IFERROR(IF($C3="","",SUMIFS(Ledger!$K$2:$K$4, Ledger!$B$2:$B$4, $A3, Ledger!$C$2:$C$4, MEZ$2)),"****")</f>
        <v/>
      </c>
      <c r="MFA3" t="str">
        <f>IFERROR(IF($C3="","",SUMIFS(Ledger!$K$2:$K$4, Ledger!$B$2:$B$4, $A3, Ledger!$C$2:$C$4, MFA$2)),"****")</f>
        <v/>
      </c>
      <c r="MFB3" t="str">
        <f>IFERROR(IF($C3="","",SUMIFS(Ledger!$K$2:$K$4, Ledger!$B$2:$B$4, $A3, Ledger!$C$2:$C$4, MFB$2)),"****")</f>
        <v/>
      </c>
      <c r="MFC3" t="str">
        <f>IFERROR(IF($C3="","",SUMIFS(Ledger!$K$2:$K$4, Ledger!$B$2:$B$4, $A3, Ledger!$C$2:$C$4, MFC$2)),"****")</f>
        <v/>
      </c>
      <c r="MFD3" t="str">
        <f>IFERROR(IF($C3="","",SUMIFS(Ledger!$K$2:$K$4, Ledger!$B$2:$B$4, $A3, Ledger!$C$2:$C$4, MFD$2)),"****")</f>
        <v/>
      </c>
      <c r="MFE3" t="str">
        <f>IFERROR(IF($C3="","",SUMIFS(Ledger!$K$2:$K$4, Ledger!$B$2:$B$4, $A3, Ledger!$C$2:$C$4, MFE$2)),"****")</f>
        <v/>
      </c>
      <c r="MFF3" t="str">
        <f>IFERROR(IF($C3="","",SUMIFS(Ledger!$K$2:$K$4, Ledger!$B$2:$B$4, $A3, Ledger!$C$2:$C$4, MFF$2)),"****")</f>
        <v/>
      </c>
      <c r="MFG3" t="str">
        <f>IFERROR(IF($C3="","",SUMIFS(Ledger!$K$2:$K$4, Ledger!$B$2:$B$4, $A3, Ledger!$C$2:$C$4, MFG$2)),"****")</f>
        <v/>
      </c>
      <c r="MFH3" t="str">
        <f>IFERROR(IF($C3="","",SUMIFS(Ledger!$K$2:$K$4, Ledger!$B$2:$B$4, $A3, Ledger!$C$2:$C$4, MFH$2)),"****")</f>
        <v/>
      </c>
      <c r="MFI3" t="str">
        <f>IFERROR(IF($C3="","",SUMIFS(Ledger!$K$2:$K$4, Ledger!$B$2:$B$4, $A3, Ledger!$C$2:$C$4, MFI$2)),"****")</f>
        <v/>
      </c>
      <c r="MFJ3" t="str">
        <f>IFERROR(IF($C3="","",SUMIFS(Ledger!$K$2:$K$4, Ledger!$B$2:$B$4, $A3, Ledger!$C$2:$C$4, MFJ$2)),"****")</f>
        <v/>
      </c>
      <c r="MFK3" t="str">
        <f>IFERROR(IF($C3="","",SUMIFS(Ledger!$K$2:$K$4, Ledger!$B$2:$B$4, $A3, Ledger!$C$2:$C$4, MFK$2)),"****")</f>
        <v/>
      </c>
      <c r="MFL3" t="str">
        <f>IFERROR(IF($C3="","",SUMIFS(Ledger!$K$2:$K$4, Ledger!$B$2:$B$4, $A3, Ledger!$C$2:$C$4, MFL$2)),"****")</f>
        <v/>
      </c>
      <c r="MFM3" t="str">
        <f>IFERROR(IF($C3="","",SUMIFS(Ledger!$K$2:$K$4, Ledger!$B$2:$B$4, $A3, Ledger!$C$2:$C$4, MFM$2)),"****")</f>
        <v/>
      </c>
      <c r="MFN3" t="str">
        <f>IFERROR(IF($C3="","",SUMIFS(Ledger!$K$2:$K$4, Ledger!$B$2:$B$4, $A3, Ledger!$C$2:$C$4, MFN$2)),"****")</f>
        <v/>
      </c>
      <c r="MFO3" t="str">
        <f>IFERROR(IF($C3="","",SUMIFS(Ledger!$K$2:$K$4, Ledger!$B$2:$B$4, $A3, Ledger!$C$2:$C$4, MFO$2)),"****")</f>
        <v/>
      </c>
      <c r="MFP3" t="str">
        <f>IFERROR(IF($C3="","",SUMIFS(Ledger!$K$2:$K$4, Ledger!$B$2:$B$4, $A3, Ledger!$C$2:$C$4, MFP$2)),"****")</f>
        <v/>
      </c>
      <c r="MFQ3" t="str">
        <f>IFERROR(IF($C3="","",SUMIFS(Ledger!$K$2:$K$4, Ledger!$B$2:$B$4, $A3, Ledger!$C$2:$C$4, MFQ$2)),"****")</f>
        <v/>
      </c>
      <c r="MFR3" t="str">
        <f>IFERROR(IF($C3="","",SUMIFS(Ledger!$K$2:$K$4, Ledger!$B$2:$B$4, $A3, Ledger!$C$2:$C$4, MFR$2)),"****")</f>
        <v/>
      </c>
      <c r="MFS3" t="str">
        <f>IFERROR(IF($C3="","",SUMIFS(Ledger!$K$2:$K$4, Ledger!$B$2:$B$4, $A3, Ledger!$C$2:$C$4, MFS$2)),"****")</f>
        <v/>
      </c>
      <c r="MFT3" t="str">
        <f>IFERROR(IF($C3="","",SUMIFS(Ledger!$K$2:$K$4, Ledger!$B$2:$B$4, $A3, Ledger!$C$2:$C$4, MFT$2)),"****")</f>
        <v/>
      </c>
      <c r="MFU3" t="str">
        <f>IFERROR(IF($C3="","",SUMIFS(Ledger!$K$2:$K$4, Ledger!$B$2:$B$4, $A3, Ledger!$C$2:$C$4, MFU$2)),"****")</f>
        <v/>
      </c>
      <c r="MFV3" t="str">
        <f>IFERROR(IF($C3="","",SUMIFS(Ledger!$K$2:$K$4, Ledger!$B$2:$B$4, $A3, Ledger!$C$2:$C$4, MFV$2)),"****")</f>
        <v/>
      </c>
      <c r="MFW3" t="str">
        <f>IFERROR(IF($C3="","",SUMIFS(Ledger!$K$2:$K$4, Ledger!$B$2:$B$4, $A3, Ledger!$C$2:$C$4, MFW$2)),"****")</f>
        <v/>
      </c>
      <c r="MFX3" t="str">
        <f>IFERROR(IF($C3="","",SUMIFS(Ledger!$K$2:$K$4, Ledger!$B$2:$B$4, $A3, Ledger!$C$2:$C$4, MFX$2)),"****")</f>
        <v/>
      </c>
      <c r="MFY3" t="str">
        <f>IFERROR(IF($C3="","",SUMIFS(Ledger!$K$2:$K$4, Ledger!$B$2:$B$4, $A3, Ledger!$C$2:$C$4, MFY$2)),"****")</f>
        <v/>
      </c>
      <c r="MFZ3" t="str">
        <f>IFERROR(IF($C3="","",SUMIFS(Ledger!$K$2:$K$4, Ledger!$B$2:$B$4, $A3, Ledger!$C$2:$C$4, MFZ$2)),"****")</f>
        <v/>
      </c>
      <c r="MGA3" t="str">
        <f>IFERROR(IF($C3="","",SUMIFS(Ledger!$K$2:$K$4, Ledger!$B$2:$B$4, $A3, Ledger!$C$2:$C$4, MGA$2)),"****")</f>
        <v/>
      </c>
      <c r="MGB3" t="str">
        <f>IFERROR(IF($C3="","",SUMIFS(Ledger!$K$2:$K$4, Ledger!$B$2:$B$4, $A3, Ledger!$C$2:$C$4, MGB$2)),"****")</f>
        <v/>
      </c>
      <c r="MGC3" t="str">
        <f>IFERROR(IF($C3="","",SUMIFS(Ledger!$K$2:$K$4, Ledger!$B$2:$B$4, $A3, Ledger!$C$2:$C$4, MGC$2)),"****")</f>
        <v/>
      </c>
      <c r="MGD3" t="str">
        <f>IFERROR(IF($C3="","",SUMIFS(Ledger!$K$2:$K$4, Ledger!$B$2:$B$4, $A3, Ledger!$C$2:$C$4, MGD$2)),"****")</f>
        <v/>
      </c>
      <c r="MGE3" t="str">
        <f>IFERROR(IF($C3="","",SUMIFS(Ledger!$K$2:$K$4, Ledger!$B$2:$B$4, $A3, Ledger!$C$2:$C$4, MGE$2)),"****")</f>
        <v/>
      </c>
      <c r="MGF3" t="str">
        <f>IFERROR(IF($C3="","",SUMIFS(Ledger!$K$2:$K$4, Ledger!$B$2:$B$4, $A3, Ledger!$C$2:$C$4, MGF$2)),"****")</f>
        <v/>
      </c>
      <c r="MGG3" t="str">
        <f>IFERROR(IF($C3="","",SUMIFS(Ledger!$K$2:$K$4, Ledger!$B$2:$B$4, $A3, Ledger!$C$2:$C$4, MGG$2)),"****")</f>
        <v/>
      </c>
      <c r="MGH3" t="str">
        <f>IFERROR(IF($C3="","",SUMIFS(Ledger!$K$2:$K$4, Ledger!$B$2:$B$4, $A3, Ledger!$C$2:$C$4, MGH$2)),"****")</f>
        <v/>
      </c>
      <c r="MGI3" t="str">
        <f>IFERROR(IF($C3="","",SUMIFS(Ledger!$K$2:$K$4, Ledger!$B$2:$B$4, $A3, Ledger!$C$2:$C$4, MGI$2)),"****")</f>
        <v/>
      </c>
      <c r="MGJ3" t="str">
        <f>IFERROR(IF($C3="","",SUMIFS(Ledger!$K$2:$K$4, Ledger!$B$2:$B$4, $A3, Ledger!$C$2:$C$4, MGJ$2)),"****")</f>
        <v/>
      </c>
      <c r="MGK3" t="str">
        <f>IFERROR(IF($C3="","",SUMIFS(Ledger!$K$2:$K$4, Ledger!$B$2:$B$4, $A3, Ledger!$C$2:$C$4, MGK$2)),"****")</f>
        <v/>
      </c>
      <c r="MGL3" t="str">
        <f>IFERROR(IF($C3="","",SUMIFS(Ledger!$K$2:$K$4, Ledger!$B$2:$B$4, $A3, Ledger!$C$2:$C$4, MGL$2)),"****")</f>
        <v/>
      </c>
      <c r="MGM3" t="str">
        <f>IFERROR(IF($C3="","",SUMIFS(Ledger!$K$2:$K$4, Ledger!$B$2:$B$4, $A3, Ledger!$C$2:$C$4, MGM$2)),"****")</f>
        <v/>
      </c>
      <c r="MGN3" t="str">
        <f>IFERROR(IF($C3="","",SUMIFS(Ledger!$K$2:$K$4, Ledger!$B$2:$B$4, $A3, Ledger!$C$2:$C$4, MGN$2)),"****")</f>
        <v/>
      </c>
      <c r="MGO3" t="str">
        <f>IFERROR(IF($C3="","",SUMIFS(Ledger!$K$2:$K$4, Ledger!$B$2:$B$4, $A3, Ledger!$C$2:$C$4, MGO$2)),"****")</f>
        <v/>
      </c>
      <c r="MGP3" t="str">
        <f>IFERROR(IF($C3="","",SUMIFS(Ledger!$K$2:$K$4, Ledger!$B$2:$B$4, $A3, Ledger!$C$2:$C$4, MGP$2)),"****")</f>
        <v/>
      </c>
      <c r="MGQ3" t="str">
        <f>IFERROR(IF($C3="","",SUMIFS(Ledger!$K$2:$K$4, Ledger!$B$2:$B$4, $A3, Ledger!$C$2:$C$4, MGQ$2)),"****")</f>
        <v/>
      </c>
      <c r="MGR3" t="str">
        <f>IFERROR(IF($C3="","",SUMIFS(Ledger!$K$2:$K$4, Ledger!$B$2:$B$4, $A3, Ledger!$C$2:$C$4, MGR$2)),"****")</f>
        <v/>
      </c>
      <c r="MGS3" t="str">
        <f>IFERROR(IF($C3="","",SUMIFS(Ledger!$K$2:$K$4, Ledger!$B$2:$B$4, $A3, Ledger!$C$2:$C$4, MGS$2)),"****")</f>
        <v/>
      </c>
      <c r="MGT3" t="str">
        <f>IFERROR(IF($C3="","",SUMIFS(Ledger!$K$2:$K$4, Ledger!$B$2:$B$4, $A3, Ledger!$C$2:$C$4, MGT$2)),"****")</f>
        <v/>
      </c>
      <c r="MGU3" t="str">
        <f>IFERROR(IF($C3="","",SUMIFS(Ledger!$K$2:$K$4, Ledger!$B$2:$B$4, $A3, Ledger!$C$2:$C$4, MGU$2)),"****")</f>
        <v/>
      </c>
      <c r="MGV3" t="str">
        <f>IFERROR(IF($C3="","",SUMIFS(Ledger!$K$2:$K$4, Ledger!$B$2:$B$4, $A3, Ledger!$C$2:$C$4, MGV$2)),"****")</f>
        <v/>
      </c>
      <c r="MGW3" t="str">
        <f>IFERROR(IF($C3="","",SUMIFS(Ledger!$K$2:$K$4, Ledger!$B$2:$B$4, $A3, Ledger!$C$2:$C$4, MGW$2)),"****")</f>
        <v/>
      </c>
      <c r="MGX3" t="str">
        <f>IFERROR(IF($C3="","",SUMIFS(Ledger!$K$2:$K$4, Ledger!$B$2:$B$4, $A3, Ledger!$C$2:$C$4, MGX$2)),"****")</f>
        <v/>
      </c>
      <c r="MGY3" t="str">
        <f>IFERROR(IF($C3="","",SUMIFS(Ledger!$K$2:$K$4, Ledger!$B$2:$B$4, $A3, Ledger!$C$2:$C$4, MGY$2)),"****")</f>
        <v/>
      </c>
      <c r="MGZ3" t="str">
        <f>IFERROR(IF($C3="","",SUMIFS(Ledger!$K$2:$K$4, Ledger!$B$2:$B$4, $A3, Ledger!$C$2:$C$4, MGZ$2)),"****")</f>
        <v/>
      </c>
      <c r="MHA3" t="str">
        <f>IFERROR(IF($C3="","",SUMIFS(Ledger!$K$2:$K$4, Ledger!$B$2:$B$4, $A3, Ledger!$C$2:$C$4, MHA$2)),"****")</f>
        <v/>
      </c>
      <c r="MHB3" t="str">
        <f>IFERROR(IF($C3="","",SUMIFS(Ledger!$K$2:$K$4, Ledger!$B$2:$B$4, $A3, Ledger!$C$2:$C$4, MHB$2)),"****")</f>
        <v/>
      </c>
      <c r="MHC3" t="str">
        <f>IFERROR(IF($C3="","",SUMIFS(Ledger!$K$2:$K$4, Ledger!$B$2:$B$4, $A3, Ledger!$C$2:$C$4, MHC$2)),"****")</f>
        <v/>
      </c>
      <c r="MHD3" t="str">
        <f>IFERROR(IF($C3="","",SUMIFS(Ledger!$K$2:$K$4, Ledger!$B$2:$B$4, $A3, Ledger!$C$2:$C$4, MHD$2)),"****")</f>
        <v/>
      </c>
      <c r="MHE3" t="str">
        <f>IFERROR(IF($C3="","",SUMIFS(Ledger!$K$2:$K$4, Ledger!$B$2:$B$4, $A3, Ledger!$C$2:$C$4, MHE$2)),"****")</f>
        <v/>
      </c>
      <c r="MHF3" t="str">
        <f>IFERROR(IF($C3="","",SUMIFS(Ledger!$K$2:$K$4, Ledger!$B$2:$B$4, $A3, Ledger!$C$2:$C$4, MHF$2)),"****")</f>
        <v/>
      </c>
      <c r="MHG3" t="str">
        <f>IFERROR(IF($C3="","",SUMIFS(Ledger!$K$2:$K$4, Ledger!$B$2:$B$4, $A3, Ledger!$C$2:$C$4, MHG$2)),"****")</f>
        <v/>
      </c>
      <c r="MHH3" t="str">
        <f>IFERROR(IF($C3="","",SUMIFS(Ledger!$K$2:$K$4, Ledger!$B$2:$B$4, $A3, Ledger!$C$2:$C$4, MHH$2)),"****")</f>
        <v/>
      </c>
      <c r="MHI3" t="str">
        <f>IFERROR(IF($C3="","",SUMIFS(Ledger!$K$2:$K$4, Ledger!$B$2:$B$4, $A3, Ledger!$C$2:$C$4, MHI$2)),"****")</f>
        <v/>
      </c>
      <c r="MHJ3" t="str">
        <f>IFERROR(IF($C3="","",SUMIFS(Ledger!$K$2:$K$4, Ledger!$B$2:$B$4, $A3, Ledger!$C$2:$C$4, MHJ$2)),"****")</f>
        <v/>
      </c>
      <c r="MHK3" t="str">
        <f>IFERROR(IF($C3="","",SUMIFS(Ledger!$K$2:$K$4, Ledger!$B$2:$B$4, $A3, Ledger!$C$2:$C$4, MHK$2)),"****")</f>
        <v/>
      </c>
      <c r="MHL3" t="str">
        <f>IFERROR(IF($C3="","",SUMIFS(Ledger!$K$2:$K$4, Ledger!$B$2:$B$4, $A3, Ledger!$C$2:$C$4, MHL$2)),"****")</f>
        <v/>
      </c>
      <c r="MHM3" t="str">
        <f>IFERROR(IF($C3="","",SUMIFS(Ledger!$K$2:$K$4, Ledger!$B$2:$B$4, $A3, Ledger!$C$2:$C$4, MHM$2)),"****")</f>
        <v/>
      </c>
      <c r="MHN3" t="str">
        <f>IFERROR(IF($C3="","",SUMIFS(Ledger!$K$2:$K$4, Ledger!$B$2:$B$4, $A3, Ledger!$C$2:$C$4, MHN$2)),"****")</f>
        <v/>
      </c>
      <c r="MHO3" t="str">
        <f>IFERROR(IF($C3="","",SUMIFS(Ledger!$K$2:$K$4, Ledger!$B$2:$B$4, $A3, Ledger!$C$2:$C$4, MHO$2)),"****")</f>
        <v/>
      </c>
      <c r="MHP3" t="str">
        <f>IFERROR(IF($C3="","",SUMIFS(Ledger!$K$2:$K$4, Ledger!$B$2:$B$4, $A3, Ledger!$C$2:$C$4, MHP$2)),"****")</f>
        <v/>
      </c>
      <c r="MHQ3" t="str">
        <f>IFERROR(IF($C3="","",SUMIFS(Ledger!$K$2:$K$4, Ledger!$B$2:$B$4, $A3, Ledger!$C$2:$C$4, MHQ$2)),"****")</f>
        <v/>
      </c>
      <c r="MHR3" t="str">
        <f>IFERROR(IF($C3="","",SUMIFS(Ledger!$K$2:$K$4, Ledger!$B$2:$B$4, $A3, Ledger!$C$2:$C$4, MHR$2)),"****")</f>
        <v/>
      </c>
      <c r="MHS3" t="str">
        <f>IFERROR(IF($C3="","",SUMIFS(Ledger!$K$2:$K$4, Ledger!$B$2:$B$4, $A3, Ledger!$C$2:$C$4, MHS$2)),"****")</f>
        <v/>
      </c>
      <c r="MHT3" t="str">
        <f>IFERROR(IF($C3="","",SUMIFS(Ledger!$K$2:$K$4, Ledger!$B$2:$B$4, $A3, Ledger!$C$2:$C$4, MHT$2)),"****")</f>
        <v/>
      </c>
      <c r="MHU3" t="str">
        <f>IFERROR(IF($C3="","",SUMIFS(Ledger!$K$2:$K$4, Ledger!$B$2:$B$4, $A3, Ledger!$C$2:$C$4, MHU$2)),"****")</f>
        <v/>
      </c>
      <c r="MHV3" t="str">
        <f>IFERROR(IF($C3="","",SUMIFS(Ledger!$K$2:$K$4, Ledger!$B$2:$B$4, $A3, Ledger!$C$2:$C$4, MHV$2)),"****")</f>
        <v/>
      </c>
      <c r="MHW3" t="str">
        <f>IFERROR(IF($C3="","",SUMIFS(Ledger!$K$2:$K$4, Ledger!$B$2:$B$4, $A3, Ledger!$C$2:$C$4, MHW$2)),"****")</f>
        <v/>
      </c>
      <c r="MHX3" t="str">
        <f>IFERROR(IF($C3="","",SUMIFS(Ledger!$K$2:$K$4, Ledger!$B$2:$B$4, $A3, Ledger!$C$2:$C$4, MHX$2)),"****")</f>
        <v/>
      </c>
      <c r="MHY3" t="str">
        <f>IFERROR(IF($C3="","",SUMIFS(Ledger!$K$2:$K$4, Ledger!$B$2:$B$4, $A3, Ledger!$C$2:$C$4, MHY$2)),"****")</f>
        <v/>
      </c>
      <c r="MHZ3" t="str">
        <f>IFERROR(IF($C3="","",SUMIFS(Ledger!$K$2:$K$4, Ledger!$B$2:$B$4, $A3, Ledger!$C$2:$C$4, MHZ$2)),"****")</f>
        <v/>
      </c>
      <c r="MIA3" t="str">
        <f>IFERROR(IF($C3="","",SUMIFS(Ledger!$K$2:$K$4, Ledger!$B$2:$B$4, $A3, Ledger!$C$2:$C$4, MIA$2)),"****")</f>
        <v/>
      </c>
      <c r="MIB3" t="str">
        <f>IFERROR(IF($C3="","",SUMIFS(Ledger!$K$2:$K$4, Ledger!$B$2:$B$4, $A3, Ledger!$C$2:$C$4, MIB$2)),"****")</f>
        <v/>
      </c>
      <c r="MIC3" t="str">
        <f>IFERROR(IF($C3="","",SUMIFS(Ledger!$K$2:$K$4, Ledger!$B$2:$B$4, $A3, Ledger!$C$2:$C$4, MIC$2)),"****")</f>
        <v/>
      </c>
      <c r="MID3" t="str">
        <f>IFERROR(IF($C3="","",SUMIFS(Ledger!$K$2:$K$4, Ledger!$B$2:$B$4, $A3, Ledger!$C$2:$C$4, MID$2)),"****")</f>
        <v/>
      </c>
      <c r="MIE3" t="str">
        <f>IFERROR(IF($C3="","",SUMIFS(Ledger!$K$2:$K$4, Ledger!$B$2:$B$4, $A3, Ledger!$C$2:$C$4, MIE$2)),"****")</f>
        <v/>
      </c>
      <c r="MIF3" t="str">
        <f>IFERROR(IF($C3="","",SUMIFS(Ledger!$K$2:$K$4, Ledger!$B$2:$B$4, $A3, Ledger!$C$2:$C$4, MIF$2)),"****")</f>
        <v/>
      </c>
      <c r="MIG3" t="str">
        <f>IFERROR(IF($C3="","",SUMIFS(Ledger!$K$2:$K$4, Ledger!$B$2:$B$4, $A3, Ledger!$C$2:$C$4, MIG$2)),"****")</f>
        <v/>
      </c>
      <c r="MIH3" t="str">
        <f>IFERROR(IF($C3="","",SUMIFS(Ledger!$K$2:$K$4, Ledger!$B$2:$B$4, $A3, Ledger!$C$2:$C$4, MIH$2)),"****")</f>
        <v/>
      </c>
      <c r="MII3" t="str">
        <f>IFERROR(IF($C3="","",SUMIFS(Ledger!$K$2:$K$4, Ledger!$B$2:$B$4, $A3, Ledger!$C$2:$C$4, MII$2)),"****")</f>
        <v/>
      </c>
      <c r="MIJ3" t="str">
        <f>IFERROR(IF($C3="","",SUMIFS(Ledger!$K$2:$K$4, Ledger!$B$2:$B$4, $A3, Ledger!$C$2:$C$4, MIJ$2)),"****")</f>
        <v/>
      </c>
      <c r="MIK3" t="str">
        <f>IFERROR(IF($C3="","",SUMIFS(Ledger!$K$2:$K$4, Ledger!$B$2:$B$4, $A3, Ledger!$C$2:$C$4, MIK$2)),"****")</f>
        <v/>
      </c>
      <c r="MIL3" t="str">
        <f>IFERROR(IF($C3="","",SUMIFS(Ledger!$K$2:$K$4, Ledger!$B$2:$B$4, $A3, Ledger!$C$2:$C$4, MIL$2)),"****")</f>
        <v/>
      </c>
      <c r="MIM3" t="str">
        <f>IFERROR(IF($C3="","",SUMIFS(Ledger!$K$2:$K$4, Ledger!$B$2:$B$4, $A3, Ledger!$C$2:$C$4, MIM$2)),"****")</f>
        <v/>
      </c>
      <c r="MIN3" t="str">
        <f>IFERROR(IF($C3="","",SUMIFS(Ledger!$K$2:$K$4, Ledger!$B$2:$B$4, $A3, Ledger!$C$2:$C$4, MIN$2)),"****")</f>
        <v/>
      </c>
      <c r="MIO3" t="str">
        <f>IFERROR(IF($C3="","",SUMIFS(Ledger!$K$2:$K$4, Ledger!$B$2:$B$4, $A3, Ledger!$C$2:$C$4, MIO$2)),"****")</f>
        <v/>
      </c>
      <c r="MIP3" t="str">
        <f>IFERROR(IF($C3="","",SUMIFS(Ledger!$K$2:$K$4, Ledger!$B$2:$B$4, $A3, Ledger!$C$2:$C$4, MIP$2)),"****")</f>
        <v/>
      </c>
      <c r="MIQ3" t="str">
        <f>IFERROR(IF($C3="","",SUMIFS(Ledger!$K$2:$K$4, Ledger!$B$2:$B$4, $A3, Ledger!$C$2:$C$4, MIQ$2)),"****")</f>
        <v/>
      </c>
      <c r="MIR3" t="str">
        <f>IFERROR(IF($C3="","",SUMIFS(Ledger!$K$2:$K$4, Ledger!$B$2:$B$4, $A3, Ledger!$C$2:$C$4, MIR$2)),"****")</f>
        <v/>
      </c>
      <c r="MIS3" t="str">
        <f>IFERROR(IF($C3="","",SUMIFS(Ledger!$K$2:$K$4, Ledger!$B$2:$B$4, $A3, Ledger!$C$2:$C$4, MIS$2)),"****")</f>
        <v/>
      </c>
      <c r="MIT3" t="str">
        <f>IFERROR(IF($C3="","",SUMIFS(Ledger!$K$2:$K$4, Ledger!$B$2:$B$4, $A3, Ledger!$C$2:$C$4, MIT$2)),"****")</f>
        <v/>
      </c>
      <c r="MIU3" t="str">
        <f>IFERROR(IF($C3="","",SUMIFS(Ledger!$K$2:$K$4, Ledger!$B$2:$B$4, $A3, Ledger!$C$2:$C$4, MIU$2)),"****")</f>
        <v/>
      </c>
      <c r="MIV3" t="str">
        <f>IFERROR(IF($C3="","",SUMIFS(Ledger!$K$2:$K$4, Ledger!$B$2:$B$4, $A3, Ledger!$C$2:$C$4, MIV$2)),"****")</f>
        <v/>
      </c>
      <c r="MIW3" t="str">
        <f>IFERROR(IF($C3="","",SUMIFS(Ledger!$K$2:$K$4, Ledger!$B$2:$B$4, $A3, Ledger!$C$2:$C$4, MIW$2)),"****")</f>
        <v/>
      </c>
      <c r="MIX3" t="str">
        <f>IFERROR(IF($C3="","",SUMIFS(Ledger!$K$2:$K$4, Ledger!$B$2:$B$4, $A3, Ledger!$C$2:$C$4, MIX$2)),"****")</f>
        <v/>
      </c>
      <c r="MIY3" t="str">
        <f>IFERROR(IF($C3="","",SUMIFS(Ledger!$K$2:$K$4, Ledger!$B$2:$B$4, $A3, Ledger!$C$2:$C$4, MIY$2)),"****")</f>
        <v/>
      </c>
      <c r="MIZ3" t="str">
        <f>IFERROR(IF($C3="","",SUMIFS(Ledger!$K$2:$K$4, Ledger!$B$2:$B$4, $A3, Ledger!$C$2:$C$4, MIZ$2)),"****")</f>
        <v/>
      </c>
      <c r="MJA3" t="str">
        <f>IFERROR(IF($C3="","",SUMIFS(Ledger!$K$2:$K$4, Ledger!$B$2:$B$4, $A3, Ledger!$C$2:$C$4, MJA$2)),"****")</f>
        <v/>
      </c>
      <c r="MJB3" t="str">
        <f>IFERROR(IF($C3="","",SUMIFS(Ledger!$K$2:$K$4, Ledger!$B$2:$B$4, $A3, Ledger!$C$2:$C$4, MJB$2)),"****")</f>
        <v/>
      </c>
      <c r="MJC3" t="str">
        <f>IFERROR(IF($C3="","",SUMIFS(Ledger!$K$2:$K$4, Ledger!$B$2:$B$4, $A3, Ledger!$C$2:$C$4, MJC$2)),"****")</f>
        <v/>
      </c>
      <c r="MJD3" t="str">
        <f>IFERROR(IF($C3="","",SUMIFS(Ledger!$K$2:$K$4, Ledger!$B$2:$B$4, $A3, Ledger!$C$2:$C$4, MJD$2)),"****")</f>
        <v/>
      </c>
      <c r="MJE3" t="str">
        <f>IFERROR(IF($C3="","",SUMIFS(Ledger!$K$2:$K$4, Ledger!$B$2:$B$4, $A3, Ledger!$C$2:$C$4, MJE$2)),"****")</f>
        <v/>
      </c>
      <c r="MJF3" t="str">
        <f>IFERROR(IF($C3="","",SUMIFS(Ledger!$K$2:$K$4, Ledger!$B$2:$B$4, $A3, Ledger!$C$2:$C$4, MJF$2)),"****")</f>
        <v/>
      </c>
      <c r="MJG3" t="str">
        <f>IFERROR(IF($C3="","",SUMIFS(Ledger!$K$2:$K$4, Ledger!$B$2:$B$4, $A3, Ledger!$C$2:$C$4, MJG$2)),"****")</f>
        <v/>
      </c>
      <c r="MJH3" t="str">
        <f>IFERROR(IF($C3="","",SUMIFS(Ledger!$K$2:$K$4, Ledger!$B$2:$B$4, $A3, Ledger!$C$2:$C$4, MJH$2)),"****")</f>
        <v/>
      </c>
      <c r="MJI3" t="str">
        <f>IFERROR(IF($C3="","",SUMIFS(Ledger!$K$2:$K$4, Ledger!$B$2:$B$4, $A3, Ledger!$C$2:$C$4, MJI$2)),"****")</f>
        <v/>
      </c>
      <c r="MJJ3" t="str">
        <f>IFERROR(IF($C3="","",SUMIFS(Ledger!$K$2:$K$4, Ledger!$B$2:$B$4, $A3, Ledger!$C$2:$C$4, MJJ$2)),"****")</f>
        <v/>
      </c>
      <c r="MJK3" t="str">
        <f>IFERROR(IF($C3="","",SUMIFS(Ledger!$K$2:$K$4, Ledger!$B$2:$B$4, $A3, Ledger!$C$2:$C$4, MJK$2)),"****")</f>
        <v/>
      </c>
      <c r="MJL3" t="str">
        <f>IFERROR(IF($C3="","",SUMIFS(Ledger!$K$2:$K$4, Ledger!$B$2:$B$4, $A3, Ledger!$C$2:$C$4, MJL$2)),"****")</f>
        <v/>
      </c>
      <c r="MJM3" t="str">
        <f>IFERROR(IF($C3="","",SUMIFS(Ledger!$K$2:$K$4, Ledger!$B$2:$B$4, $A3, Ledger!$C$2:$C$4, MJM$2)),"****")</f>
        <v/>
      </c>
      <c r="MJN3" t="str">
        <f>IFERROR(IF($C3="","",SUMIFS(Ledger!$K$2:$K$4, Ledger!$B$2:$B$4, $A3, Ledger!$C$2:$C$4, MJN$2)),"****")</f>
        <v/>
      </c>
      <c r="MJO3" t="str">
        <f>IFERROR(IF($C3="","",SUMIFS(Ledger!$K$2:$K$4, Ledger!$B$2:$B$4, $A3, Ledger!$C$2:$C$4, MJO$2)),"****")</f>
        <v/>
      </c>
      <c r="MJP3" t="str">
        <f>IFERROR(IF($C3="","",SUMIFS(Ledger!$K$2:$K$4, Ledger!$B$2:$B$4, $A3, Ledger!$C$2:$C$4, MJP$2)),"****")</f>
        <v/>
      </c>
      <c r="MJQ3" t="str">
        <f>IFERROR(IF($C3="","",SUMIFS(Ledger!$K$2:$K$4, Ledger!$B$2:$B$4, $A3, Ledger!$C$2:$C$4, MJQ$2)),"****")</f>
        <v/>
      </c>
      <c r="MJR3" t="str">
        <f>IFERROR(IF($C3="","",SUMIFS(Ledger!$K$2:$K$4, Ledger!$B$2:$B$4, $A3, Ledger!$C$2:$C$4, MJR$2)),"****")</f>
        <v/>
      </c>
      <c r="MJS3" t="str">
        <f>IFERROR(IF($C3="","",SUMIFS(Ledger!$K$2:$K$4, Ledger!$B$2:$B$4, $A3, Ledger!$C$2:$C$4, MJS$2)),"****")</f>
        <v/>
      </c>
      <c r="MJT3" t="str">
        <f>IFERROR(IF($C3="","",SUMIFS(Ledger!$K$2:$K$4, Ledger!$B$2:$B$4, $A3, Ledger!$C$2:$C$4, MJT$2)),"****")</f>
        <v/>
      </c>
      <c r="MJU3" t="str">
        <f>IFERROR(IF($C3="","",SUMIFS(Ledger!$K$2:$K$4, Ledger!$B$2:$B$4, $A3, Ledger!$C$2:$C$4, MJU$2)),"****")</f>
        <v/>
      </c>
      <c r="MJV3" t="str">
        <f>IFERROR(IF($C3="","",SUMIFS(Ledger!$K$2:$K$4, Ledger!$B$2:$B$4, $A3, Ledger!$C$2:$C$4, MJV$2)),"****")</f>
        <v/>
      </c>
      <c r="MJW3" t="str">
        <f>IFERROR(IF($C3="","",SUMIFS(Ledger!$K$2:$K$4, Ledger!$B$2:$B$4, $A3, Ledger!$C$2:$C$4, MJW$2)),"****")</f>
        <v/>
      </c>
      <c r="MJX3" t="str">
        <f>IFERROR(IF($C3="","",SUMIFS(Ledger!$K$2:$K$4, Ledger!$B$2:$B$4, $A3, Ledger!$C$2:$C$4, MJX$2)),"****")</f>
        <v/>
      </c>
      <c r="MJY3" t="str">
        <f>IFERROR(IF($C3="","",SUMIFS(Ledger!$K$2:$K$4, Ledger!$B$2:$B$4, $A3, Ledger!$C$2:$C$4, MJY$2)),"****")</f>
        <v/>
      </c>
      <c r="MJZ3" t="str">
        <f>IFERROR(IF($C3="","",SUMIFS(Ledger!$K$2:$K$4, Ledger!$B$2:$B$4, $A3, Ledger!$C$2:$C$4, MJZ$2)),"****")</f>
        <v/>
      </c>
      <c r="MKA3" t="str">
        <f>IFERROR(IF($C3="","",SUMIFS(Ledger!$K$2:$K$4, Ledger!$B$2:$B$4, $A3, Ledger!$C$2:$C$4, MKA$2)),"****")</f>
        <v/>
      </c>
      <c r="MKB3" t="str">
        <f>IFERROR(IF($C3="","",SUMIFS(Ledger!$K$2:$K$4, Ledger!$B$2:$B$4, $A3, Ledger!$C$2:$C$4, MKB$2)),"****")</f>
        <v/>
      </c>
      <c r="MKC3" t="str">
        <f>IFERROR(IF($C3="","",SUMIFS(Ledger!$K$2:$K$4, Ledger!$B$2:$B$4, $A3, Ledger!$C$2:$C$4, MKC$2)),"****")</f>
        <v/>
      </c>
      <c r="MKD3" t="str">
        <f>IFERROR(IF($C3="","",SUMIFS(Ledger!$K$2:$K$4, Ledger!$B$2:$B$4, $A3, Ledger!$C$2:$C$4, MKD$2)),"****")</f>
        <v/>
      </c>
      <c r="MKE3" t="str">
        <f>IFERROR(IF($C3="","",SUMIFS(Ledger!$K$2:$K$4, Ledger!$B$2:$B$4, $A3, Ledger!$C$2:$C$4, MKE$2)),"****")</f>
        <v/>
      </c>
      <c r="MKF3" t="str">
        <f>IFERROR(IF($C3="","",SUMIFS(Ledger!$K$2:$K$4, Ledger!$B$2:$B$4, $A3, Ledger!$C$2:$C$4, MKF$2)),"****")</f>
        <v/>
      </c>
      <c r="MKG3" t="str">
        <f>IFERROR(IF($C3="","",SUMIFS(Ledger!$K$2:$K$4, Ledger!$B$2:$B$4, $A3, Ledger!$C$2:$C$4, MKG$2)),"****")</f>
        <v/>
      </c>
      <c r="MKH3" t="str">
        <f>IFERROR(IF($C3="","",SUMIFS(Ledger!$K$2:$K$4, Ledger!$B$2:$B$4, $A3, Ledger!$C$2:$C$4, MKH$2)),"****")</f>
        <v/>
      </c>
      <c r="MKI3" t="str">
        <f>IFERROR(IF($C3="","",SUMIFS(Ledger!$K$2:$K$4, Ledger!$B$2:$B$4, $A3, Ledger!$C$2:$C$4, MKI$2)),"****")</f>
        <v/>
      </c>
      <c r="MKJ3" t="str">
        <f>IFERROR(IF($C3="","",SUMIFS(Ledger!$K$2:$K$4, Ledger!$B$2:$B$4, $A3, Ledger!$C$2:$C$4, MKJ$2)),"****")</f>
        <v/>
      </c>
      <c r="MKK3" t="str">
        <f>IFERROR(IF($C3="","",SUMIFS(Ledger!$K$2:$K$4, Ledger!$B$2:$B$4, $A3, Ledger!$C$2:$C$4, MKK$2)),"****")</f>
        <v/>
      </c>
      <c r="MKL3" t="str">
        <f>IFERROR(IF($C3="","",SUMIFS(Ledger!$K$2:$K$4, Ledger!$B$2:$B$4, $A3, Ledger!$C$2:$C$4, MKL$2)),"****")</f>
        <v/>
      </c>
      <c r="MKM3" t="str">
        <f>IFERROR(IF($C3="","",SUMIFS(Ledger!$K$2:$K$4, Ledger!$B$2:$B$4, $A3, Ledger!$C$2:$C$4, MKM$2)),"****")</f>
        <v/>
      </c>
      <c r="MKN3" t="str">
        <f>IFERROR(IF($C3="","",SUMIFS(Ledger!$K$2:$K$4, Ledger!$B$2:$B$4, $A3, Ledger!$C$2:$C$4, MKN$2)),"****")</f>
        <v/>
      </c>
      <c r="MKO3" t="str">
        <f>IFERROR(IF($C3="","",SUMIFS(Ledger!$K$2:$K$4, Ledger!$B$2:$B$4, $A3, Ledger!$C$2:$C$4, MKO$2)),"****")</f>
        <v/>
      </c>
      <c r="MKP3" t="str">
        <f>IFERROR(IF($C3="","",SUMIFS(Ledger!$K$2:$K$4, Ledger!$B$2:$B$4, $A3, Ledger!$C$2:$C$4, MKP$2)),"****")</f>
        <v/>
      </c>
      <c r="MKQ3" t="str">
        <f>IFERROR(IF($C3="","",SUMIFS(Ledger!$K$2:$K$4, Ledger!$B$2:$B$4, $A3, Ledger!$C$2:$C$4, MKQ$2)),"****")</f>
        <v/>
      </c>
      <c r="MKR3" t="str">
        <f>IFERROR(IF($C3="","",SUMIFS(Ledger!$K$2:$K$4, Ledger!$B$2:$B$4, $A3, Ledger!$C$2:$C$4, MKR$2)),"****")</f>
        <v/>
      </c>
      <c r="MKS3" t="str">
        <f>IFERROR(IF($C3="","",SUMIFS(Ledger!$K$2:$K$4, Ledger!$B$2:$B$4, $A3, Ledger!$C$2:$C$4, MKS$2)),"****")</f>
        <v/>
      </c>
      <c r="MKT3" t="str">
        <f>IFERROR(IF($C3="","",SUMIFS(Ledger!$K$2:$K$4, Ledger!$B$2:$B$4, $A3, Ledger!$C$2:$C$4, MKT$2)),"****")</f>
        <v/>
      </c>
      <c r="MKU3" t="str">
        <f>IFERROR(IF($C3="","",SUMIFS(Ledger!$K$2:$K$4, Ledger!$B$2:$B$4, $A3, Ledger!$C$2:$C$4, MKU$2)),"****")</f>
        <v/>
      </c>
      <c r="MKV3" t="str">
        <f>IFERROR(IF($C3="","",SUMIFS(Ledger!$K$2:$K$4, Ledger!$B$2:$B$4, $A3, Ledger!$C$2:$C$4, MKV$2)),"****")</f>
        <v/>
      </c>
      <c r="MKW3" t="str">
        <f>IFERROR(IF($C3="","",SUMIFS(Ledger!$K$2:$K$4, Ledger!$B$2:$B$4, $A3, Ledger!$C$2:$C$4, MKW$2)),"****")</f>
        <v/>
      </c>
      <c r="MKX3" t="str">
        <f>IFERROR(IF($C3="","",SUMIFS(Ledger!$K$2:$K$4, Ledger!$B$2:$B$4, $A3, Ledger!$C$2:$C$4, MKX$2)),"****")</f>
        <v/>
      </c>
      <c r="MKY3" t="str">
        <f>IFERROR(IF($C3="","",SUMIFS(Ledger!$K$2:$K$4, Ledger!$B$2:$B$4, $A3, Ledger!$C$2:$C$4, MKY$2)),"****")</f>
        <v/>
      </c>
      <c r="MKZ3" t="str">
        <f>IFERROR(IF($C3="","",SUMIFS(Ledger!$K$2:$K$4, Ledger!$B$2:$B$4, $A3, Ledger!$C$2:$C$4, MKZ$2)),"****")</f>
        <v/>
      </c>
      <c r="MLA3" t="str">
        <f>IFERROR(IF($C3="","",SUMIFS(Ledger!$K$2:$K$4, Ledger!$B$2:$B$4, $A3, Ledger!$C$2:$C$4, MLA$2)),"****")</f>
        <v/>
      </c>
      <c r="MLB3" t="str">
        <f>IFERROR(IF($C3="","",SUMIFS(Ledger!$K$2:$K$4, Ledger!$B$2:$B$4, $A3, Ledger!$C$2:$C$4, MLB$2)),"****")</f>
        <v/>
      </c>
      <c r="MLC3" t="str">
        <f>IFERROR(IF($C3="","",SUMIFS(Ledger!$K$2:$K$4, Ledger!$B$2:$B$4, $A3, Ledger!$C$2:$C$4, MLC$2)),"****")</f>
        <v/>
      </c>
      <c r="MLD3" t="str">
        <f>IFERROR(IF($C3="","",SUMIFS(Ledger!$K$2:$K$4, Ledger!$B$2:$B$4, $A3, Ledger!$C$2:$C$4, MLD$2)),"****")</f>
        <v/>
      </c>
      <c r="MLE3" t="str">
        <f>IFERROR(IF($C3="","",SUMIFS(Ledger!$K$2:$K$4, Ledger!$B$2:$B$4, $A3, Ledger!$C$2:$C$4, MLE$2)),"****")</f>
        <v/>
      </c>
      <c r="MLF3" t="str">
        <f>IFERROR(IF($C3="","",SUMIFS(Ledger!$K$2:$K$4, Ledger!$B$2:$B$4, $A3, Ledger!$C$2:$C$4, MLF$2)),"****")</f>
        <v/>
      </c>
      <c r="MLG3" t="str">
        <f>IFERROR(IF($C3="","",SUMIFS(Ledger!$K$2:$K$4, Ledger!$B$2:$B$4, $A3, Ledger!$C$2:$C$4, MLG$2)),"****")</f>
        <v/>
      </c>
      <c r="MLH3" t="str">
        <f>IFERROR(IF($C3="","",SUMIFS(Ledger!$K$2:$K$4, Ledger!$B$2:$B$4, $A3, Ledger!$C$2:$C$4, MLH$2)),"****")</f>
        <v/>
      </c>
      <c r="MLI3" t="str">
        <f>IFERROR(IF($C3="","",SUMIFS(Ledger!$K$2:$K$4, Ledger!$B$2:$B$4, $A3, Ledger!$C$2:$C$4, MLI$2)),"****")</f>
        <v/>
      </c>
      <c r="MLJ3" t="str">
        <f>IFERROR(IF($C3="","",SUMIFS(Ledger!$K$2:$K$4, Ledger!$B$2:$B$4, $A3, Ledger!$C$2:$C$4, MLJ$2)),"****")</f>
        <v/>
      </c>
      <c r="MLK3" t="str">
        <f>IFERROR(IF($C3="","",SUMIFS(Ledger!$K$2:$K$4, Ledger!$B$2:$B$4, $A3, Ledger!$C$2:$C$4, MLK$2)),"****")</f>
        <v/>
      </c>
      <c r="MLL3" t="str">
        <f>IFERROR(IF($C3="","",SUMIFS(Ledger!$K$2:$K$4, Ledger!$B$2:$B$4, $A3, Ledger!$C$2:$C$4, MLL$2)),"****")</f>
        <v/>
      </c>
      <c r="MLM3" t="str">
        <f>IFERROR(IF($C3="","",SUMIFS(Ledger!$K$2:$K$4, Ledger!$B$2:$B$4, $A3, Ledger!$C$2:$C$4, MLM$2)),"****")</f>
        <v/>
      </c>
      <c r="MLN3" t="str">
        <f>IFERROR(IF($C3="","",SUMIFS(Ledger!$K$2:$K$4, Ledger!$B$2:$B$4, $A3, Ledger!$C$2:$C$4, MLN$2)),"****")</f>
        <v/>
      </c>
      <c r="MLO3" t="str">
        <f>IFERROR(IF($C3="","",SUMIFS(Ledger!$K$2:$K$4, Ledger!$B$2:$B$4, $A3, Ledger!$C$2:$C$4, MLO$2)),"****")</f>
        <v/>
      </c>
      <c r="MLP3" t="str">
        <f>IFERROR(IF($C3="","",SUMIFS(Ledger!$K$2:$K$4, Ledger!$B$2:$B$4, $A3, Ledger!$C$2:$C$4, MLP$2)),"****")</f>
        <v/>
      </c>
      <c r="MLQ3" t="str">
        <f>IFERROR(IF($C3="","",SUMIFS(Ledger!$K$2:$K$4, Ledger!$B$2:$B$4, $A3, Ledger!$C$2:$C$4, MLQ$2)),"****")</f>
        <v/>
      </c>
      <c r="MLR3" t="str">
        <f>IFERROR(IF($C3="","",SUMIFS(Ledger!$K$2:$K$4, Ledger!$B$2:$B$4, $A3, Ledger!$C$2:$C$4, MLR$2)),"****")</f>
        <v/>
      </c>
      <c r="MLS3" t="str">
        <f>IFERROR(IF($C3="","",SUMIFS(Ledger!$K$2:$K$4, Ledger!$B$2:$B$4, $A3, Ledger!$C$2:$C$4, MLS$2)),"****")</f>
        <v/>
      </c>
      <c r="MLT3" t="str">
        <f>IFERROR(IF($C3="","",SUMIFS(Ledger!$K$2:$K$4, Ledger!$B$2:$B$4, $A3, Ledger!$C$2:$C$4, MLT$2)),"****")</f>
        <v/>
      </c>
      <c r="MLU3" t="str">
        <f>IFERROR(IF($C3="","",SUMIFS(Ledger!$K$2:$K$4, Ledger!$B$2:$B$4, $A3, Ledger!$C$2:$C$4, MLU$2)),"****")</f>
        <v/>
      </c>
      <c r="MLV3" t="str">
        <f>IFERROR(IF($C3="","",SUMIFS(Ledger!$K$2:$K$4, Ledger!$B$2:$B$4, $A3, Ledger!$C$2:$C$4, MLV$2)),"****")</f>
        <v/>
      </c>
      <c r="MLW3" t="str">
        <f>IFERROR(IF($C3="","",SUMIFS(Ledger!$K$2:$K$4, Ledger!$B$2:$B$4, $A3, Ledger!$C$2:$C$4, MLW$2)),"****")</f>
        <v/>
      </c>
      <c r="MLX3" t="str">
        <f>IFERROR(IF($C3="","",SUMIFS(Ledger!$K$2:$K$4, Ledger!$B$2:$B$4, $A3, Ledger!$C$2:$C$4, MLX$2)),"****")</f>
        <v/>
      </c>
      <c r="MLY3" t="str">
        <f>IFERROR(IF($C3="","",SUMIFS(Ledger!$K$2:$K$4, Ledger!$B$2:$B$4, $A3, Ledger!$C$2:$C$4, MLY$2)),"****")</f>
        <v/>
      </c>
      <c r="MLZ3" t="str">
        <f>IFERROR(IF($C3="","",SUMIFS(Ledger!$K$2:$K$4, Ledger!$B$2:$B$4, $A3, Ledger!$C$2:$C$4, MLZ$2)),"****")</f>
        <v/>
      </c>
      <c r="MMA3" t="str">
        <f>IFERROR(IF($C3="","",SUMIFS(Ledger!$K$2:$K$4, Ledger!$B$2:$B$4, $A3, Ledger!$C$2:$C$4, MMA$2)),"****")</f>
        <v/>
      </c>
      <c r="MMB3" t="str">
        <f>IFERROR(IF($C3="","",SUMIFS(Ledger!$K$2:$K$4, Ledger!$B$2:$B$4, $A3, Ledger!$C$2:$C$4, MMB$2)),"****")</f>
        <v/>
      </c>
      <c r="MMC3" t="str">
        <f>IFERROR(IF($C3="","",SUMIFS(Ledger!$K$2:$K$4, Ledger!$B$2:$B$4, $A3, Ledger!$C$2:$C$4, MMC$2)),"****")</f>
        <v/>
      </c>
      <c r="MMD3" t="str">
        <f>IFERROR(IF($C3="","",SUMIFS(Ledger!$K$2:$K$4, Ledger!$B$2:$B$4, $A3, Ledger!$C$2:$C$4, MMD$2)),"****")</f>
        <v/>
      </c>
      <c r="MME3" t="str">
        <f>IFERROR(IF($C3="","",SUMIFS(Ledger!$K$2:$K$4, Ledger!$B$2:$B$4, $A3, Ledger!$C$2:$C$4, MME$2)),"****")</f>
        <v/>
      </c>
      <c r="MMF3" t="str">
        <f>IFERROR(IF($C3="","",SUMIFS(Ledger!$K$2:$K$4, Ledger!$B$2:$B$4, $A3, Ledger!$C$2:$C$4, MMF$2)),"****")</f>
        <v/>
      </c>
      <c r="MMG3" t="str">
        <f>IFERROR(IF($C3="","",SUMIFS(Ledger!$K$2:$K$4, Ledger!$B$2:$B$4, $A3, Ledger!$C$2:$C$4, MMG$2)),"****")</f>
        <v/>
      </c>
      <c r="MMH3" t="str">
        <f>IFERROR(IF($C3="","",SUMIFS(Ledger!$K$2:$K$4, Ledger!$B$2:$B$4, $A3, Ledger!$C$2:$C$4, MMH$2)),"****")</f>
        <v/>
      </c>
      <c r="MMI3" t="str">
        <f>IFERROR(IF($C3="","",SUMIFS(Ledger!$K$2:$K$4, Ledger!$B$2:$B$4, $A3, Ledger!$C$2:$C$4, MMI$2)),"****")</f>
        <v/>
      </c>
      <c r="MMJ3" t="str">
        <f>IFERROR(IF($C3="","",SUMIFS(Ledger!$K$2:$K$4, Ledger!$B$2:$B$4, $A3, Ledger!$C$2:$C$4, MMJ$2)),"****")</f>
        <v/>
      </c>
      <c r="MMK3" t="str">
        <f>IFERROR(IF($C3="","",SUMIFS(Ledger!$K$2:$K$4, Ledger!$B$2:$B$4, $A3, Ledger!$C$2:$C$4, MMK$2)),"****")</f>
        <v/>
      </c>
      <c r="MML3" t="str">
        <f>IFERROR(IF($C3="","",SUMIFS(Ledger!$K$2:$K$4, Ledger!$B$2:$B$4, $A3, Ledger!$C$2:$C$4, MML$2)),"****")</f>
        <v/>
      </c>
      <c r="MMM3" t="str">
        <f>IFERROR(IF($C3="","",SUMIFS(Ledger!$K$2:$K$4, Ledger!$B$2:$B$4, $A3, Ledger!$C$2:$C$4, MMM$2)),"****")</f>
        <v/>
      </c>
      <c r="MMN3" t="str">
        <f>IFERROR(IF($C3="","",SUMIFS(Ledger!$K$2:$K$4, Ledger!$B$2:$B$4, $A3, Ledger!$C$2:$C$4, MMN$2)),"****")</f>
        <v/>
      </c>
      <c r="MMO3" t="str">
        <f>IFERROR(IF($C3="","",SUMIFS(Ledger!$K$2:$K$4, Ledger!$B$2:$B$4, $A3, Ledger!$C$2:$C$4, MMO$2)),"****")</f>
        <v/>
      </c>
      <c r="MMP3" t="str">
        <f>IFERROR(IF($C3="","",SUMIFS(Ledger!$K$2:$K$4, Ledger!$B$2:$B$4, $A3, Ledger!$C$2:$C$4, MMP$2)),"****")</f>
        <v/>
      </c>
      <c r="MMQ3" t="str">
        <f>IFERROR(IF($C3="","",SUMIFS(Ledger!$K$2:$K$4, Ledger!$B$2:$B$4, $A3, Ledger!$C$2:$C$4, MMQ$2)),"****")</f>
        <v/>
      </c>
      <c r="MMR3" t="str">
        <f>IFERROR(IF($C3="","",SUMIFS(Ledger!$K$2:$K$4, Ledger!$B$2:$B$4, $A3, Ledger!$C$2:$C$4, MMR$2)),"****")</f>
        <v/>
      </c>
      <c r="MMS3" t="str">
        <f>IFERROR(IF($C3="","",SUMIFS(Ledger!$K$2:$K$4, Ledger!$B$2:$B$4, $A3, Ledger!$C$2:$C$4, MMS$2)),"****")</f>
        <v/>
      </c>
      <c r="MMT3" t="str">
        <f>IFERROR(IF($C3="","",SUMIFS(Ledger!$K$2:$K$4, Ledger!$B$2:$B$4, $A3, Ledger!$C$2:$C$4, MMT$2)),"****")</f>
        <v/>
      </c>
      <c r="MMU3" t="str">
        <f>IFERROR(IF($C3="","",SUMIFS(Ledger!$K$2:$K$4, Ledger!$B$2:$B$4, $A3, Ledger!$C$2:$C$4, MMU$2)),"****")</f>
        <v/>
      </c>
      <c r="MMV3" t="str">
        <f>IFERROR(IF($C3="","",SUMIFS(Ledger!$K$2:$K$4, Ledger!$B$2:$B$4, $A3, Ledger!$C$2:$C$4, MMV$2)),"****")</f>
        <v/>
      </c>
      <c r="MMW3" t="str">
        <f>IFERROR(IF($C3="","",SUMIFS(Ledger!$K$2:$K$4, Ledger!$B$2:$B$4, $A3, Ledger!$C$2:$C$4, MMW$2)),"****")</f>
        <v/>
      </c>
      <c r="MMX3" t="str">
        <f>IFERROR(IF($C3="","",SUMIFS(Ledger!$K$2:$K$4, Ledger!$B$2:$B$4, $A3, Ledger!$C$2:$C$4, MMX$2)),"****")</f>
        <v/>
      </c>
      <c r="MMY3" t="str">
        <f>IFERROR(IF($C3="","",SUMIFS(Ledger!$K$2:$K$4, Ledger!$B$2:$B$4, $A3, Ledger!$C$2:$C$4, MMY$2)),"****")</f>
        <v/>
      </c>
      <c r="MMZ3" t="str">
        <f>IFERROR(IF($C3="","",SUMIFS(Ledger!$K$2:$K$4, Ledger!$B$2:$B$4, $A3, Ledger!$C$2:$C$4, MMZ$2)),"****")</f>
        <v/>
      </c>
      <c r="MNA3" t="str">
        <f>IFERROR(IF($C3="","",SUMIFS(Ledger!$K$2:$K$4, Ledger!$B$2:$B$4, $A3, Ledger!$C$2:$C$4, MNA$2)),"****")</f>
        <v/>
      </c>
      <c r="MNB3" t="str">
        <f>IFERROR(IF($C3="","",SUMIFS(Ledger!$K$2:$K$4, Ledger!$B$2:$B$4, $A3, Ledger!$C$2:$C$4, MNB$2)),"****")</f>
        <v/>
      </c>
      <c r="MNC3" t="str">
        <f>IFERROR(IF($C3="","",SUMIFS(Ledger!$K$2:$K$4, Ledger!$B$2:$B$4, $A3, Ledger!$C$2:$C$4, MNC$2)),"****")</f>
        <v/>
      </c>
      <c r="MND3" t="str">
        <f>IFERROR(IF($C3="","",SUMIFS(Ledger!$K$2:$K$4, Ledger!$B$2:$B$4, $A3, Ledger!$C$2:$C$4, MND$2)),"****")</f>
        <v/>
      </c>
      <c r="MNE3" t="str">
        <f>IFERROR(IF($C3="","",SUMIFS(Ledger!$K$2:$K$4, Ledger!$B$2:$B$4, $A3, Ledger!$C$2:$C$4, MNE$2)),"****")</f>
        <v/>
      </c>
      <c r="MNF3" t="str">
        <f>IFERROR(IF($C3="","",SUMIFS(Ledger!$K$2:$K$4, Ledger!$B$2:$B$4, $A3, Ledger!$C$2:$C$4, MNF$2)),"****")</f>
        <v/>
      </c>
      <c r="MNG3" t="str">
        <f>IFERROR(IF($C3="","",SUMIFS(Ledger!$K$2:$K$4, Ledger!$B$2:$B$4, $A3, Ledger!$C$2:$C$4, MNG$2)),"****")</f>
        <v/>
      </c>
      <c r="MNH3" t="str">
        <f>IFERROR(IF($C3="","",SUMIFS(Ledger!$K$2:$K$4, Ledger!$B$2:$B$4, $A3, Ledger!$C$2:$C$4, MNH$2)),"****")</f>
        <v/>
      </c>
      <c r="MNI3" t="str">
        <f>IFERROR(IF($C3="","",SUMIFS(Ledger!$K$2:$K$4, Ledger!$B$2:$B$4, $A3, Ledger!$C$2:$C$4, MNI$2)),"****")</f>
        <v/>
      </c>
      <c r="MNJ3" t="str">
        <f>IFERROR(IF($C3="","",SUMIFS(Ledger!$K$2:$K$4, Ledger!$B$2:$B$4, $A3, Ledger!$C$2:$C$4, MNJ$2)),"****")</f>
        <v/>
      </c>
      <c r="MNK3" t="str">
        <f>IFERROR(IF($C3="","",SUMIFS(Ledger!$K$2:$K$4, Ledger!$B$2:$B$4, $A3, Ledger!$C$2:$C$4, MNK$2)),"****")</f>
        <v/>
      </c>
      <c r="MNL3" t="str">
        <f>IFERROR(IF($C3="","",SUMIFS(Ledger!$K$2:$K$4, Ledger!$B$2:$B$4, $A3, Ledger!$C$2:$C$4, MNL$2)),"****")</f>
        <v/>
      </c>
      <c r="MNM3" t="str">
        <f>IFERROR(IF($C3="","",SUMIFS(Ledger!$K$2:$K$4, Ledger!$B$2:$B$4, $A3, Ledger!$C$2:$C$4, MNM$2)),"****")</f>
        <v/>
      </c>
      <c r="MNN3" t="str">
        <f>IFERROR(IF($C3="","",SUMIFS(Ledger!$K$2:$K$4, Ledger!$B$2:$B$4, $A3, Ledger!$C$2:$C$4, MNN$2)),"****")</f>
        <v/>
      </c>
      <c r="MNO3" t="str">
        <f>IFERROR(IF($C3="","",SUMIFS(Ledger!$K$2:$K$4, Ledger!$B$2:$B$4, $A3, Ledger!$C$2:$C$4, MNO$2)),"****")</f>
        <v/>
      </c>
      <c r="MNP3" t="str">
        <f>IFERROR(IF($C3="","",SUMIFS(Ledger!$K$2:$K$4, Ledger!$B$2:$B$4, $A3, Ledger!$C$2:$C$4, MNP$2)),"****")</f>
        <v/>
      </c>
      <c r="MNQ3" t="str">
        <f>IFERROR(IF($C3="","",SUMIFS(Ledger!$K$2:$K$4, Ledger!$B$2:$B$4, $A3, Ledger!$C$2:$C$4, MNQ$2)),"****")</f>
        <v/>
      </c>
      <c r="MNR3" t="str">
        <f>IFERROR(IF($C3="","",SUMIFS(Ledger!$K$2:$K$4, Ledger!$B$2:$B$4, $A3, Ledger!$C$2:$C$4, MNR$2)),"****")</f>
        <v/>
      </c>
      <c r="MNS3" t="str">
        <f>IFERROR(IF($C3="","",SUMIFS(Ledger!$K$2:$K$4, Ledger!$B$2:$B$4, $A3, Ledger!$C$2:$C$4, MNS$2)),"****")</f>
        <v/>
      </c>
      <c r="MNT3" t="str">
        <f>IFERROR(IF($C3="","",SUMIFS(Ledger!$K$2:$K$4, Ledger!$B$2:$B$4, $A3, Ledger!$C$2:$C$4, MNT$2)),"****")</f>
        <v/>
      </c>
      <c r="MNU3" t="str">
        <f>IFERROR(IF($C3="","",SUMIFS(Ledger!$K$2:$K$4, Ledger!$B$2:$B$4, $A3, Ledger!$C$2:$C$4, MNU$2)),"****")</f>
        <v/>
      </c>
      <c r="MNV3" t="str">
        <f>IFERROR(IF($C3="","",SUMIFS(Ledger!$K$2:$K$4, Ledger!$B$2:$B$4, $A3, Ledger!$C$2:$C$4, MNV$2)),"****")</f>
        <v/>
      </c>
      <c r="MNW3" t="str">
        <f>IFERROR(IF($C3="","",SUMIFS(Ledger!$K$2:$K$4, Ledger!$B$2:$B$4, $A3, Ledger!$C$2:$C$4, MNW$2)),"****")</f>
        <v/>
      </c>
      <c r="MNX3" t="str">
        <f>IFERROR(IF($C3="","",SUMIFS(Ledger!$K$2:$K$4, Ledger!$B$2:$B$4, $A3, Ledger!$C$2:$C$4, MNX$2)),"****")</f>
        <v/>
      </c>
      <c r="MNY3" t="str">
        <f>IFERROR(IF($C3="","",SUMIFS(Ledger!$K$2:$K$4, Ledger!$B$2:$B$4, $A3, Ledger!$C$2:$C$4, MNY$2)),"****")</f>
        <v/>
      </c>
      <c r="MNZ3" t="str">
        <f>IFERROR(IF($C3="","",SUMIFS(Ledger!$K$2:$K$4, Ledger!$B$2:$B$4, $A3, Ledger!$C$2:$C$4, MNZ$2)),"****")</f>
        <v/>
      </c>
      <c r="MOA3" t="str">
        <f>IFERROR(IF($C3="","",SUMIFS(Ledger!$K$2:$K$4, Ledger!$B$2:$B$4, $A3, Ledger!$C$2:$C$4, MOA$2)),"****")</f>
        <v/>
      </c>
      <c r="MOB3" t="str">
        <f>IFERROR(IF($C3="","",SUMIFS(Ledger!$K$2:$K$4, Ledger!$B$2:$B$4, $A3, Ledger!$C$2:$C$4, MOB$2)),"****")</f>
        <v/>
      </c>
      <c r="MOC3" t="str">
        <f>IFERROR(IF($C3="","",SUMIFS(Ledger!$K$2:$K$4, Ledger!$B$2:$B$4, $A3, Ledger!$C$2:$C$4, MOC$2)),"****")</f>
        <v/>
      </c>
      <c r="MOD3" t="str">
        <f>IFERROR(IF($C3="","",SUMIFS(Ledger!$K$2:$K$4, Ledger!$B$2:$B$4, $A3, Ledger!$C$2:$C$4, MOD$2)),"****")</f>
        <v/>
      </c>
      <c r="MOE3" t="str">
        <f>IFERROR(IF($C3="","",SUMIFS(Ledger!$K$2:$K$4, Ledger!$B$2:$B$4, $A3, Ledger!$C$2:$C$4, MOE$2)),"****")</f>
        <v/>
      </c>
      <c r="MOF3" t="str">
        <f>IFERROR(IF($C3="","",SUMIFS(Ledger!$K$2:$K$4, Ledger!$B$2:$B$4, $A3, Ledger!$C$2:$C$4, MOF$2)),"****")</f>
        <v/>
      </c>
      <c r="MOG3" t="str">
        <f>IFERROR(IF($C3="","",SUMIFS(Ledger!$K$2:$K$4, Ledger!$B$2:$B$4, $A3, Ledger!$C$2:$C$4, MOG$2)),"****")</f>
        <v/>
      </c>
      <c r="MOH3" t="str">
        <f>IFERROR(IF($C3="","",SUMIFS(Ledger!$K$2:$K$4, Ledger!$B$2:$B$4, $A3, Ledger!$C$2:$C$4, MOH$2)),"****")</f>
        <v/>
      </c>
      <c r="MOI3" t="str">
        <f>IFERROR(IF($C3="","",SUMIFS(Ledger!$K$2:$K$4, Ledger!$B$2:$B$4, $A3, Ledger!$C$2:$C$4, MOI$2)),"****")</f>
        <v/>
      </c>
      <c r="MOJ3" t="str">
        <f>IFERROR(IF($C3="","",SUMIFS(Ledger!$K$2:$K$4, Ledger!$B$2:$B$4, $A3, Ledger!$C$2:$C$4, MOJ$2)),"****")</f>
        <v/>
      </c>
      <c r="MOK3" t="str">
        <f>IFERROR(IF($C3="","",SUMIFS(Ledger!$K$2:$K$4, Ledger!$B$2:$B$4, $A3, Ledger!$C$2:$C$4, MOK$2)),"****")</f>
        <v/>
      </c>
      <c r="MOL3" t="str">
        <f>IFERROR(IF($C3="","",SUMIFS(Ledger!$K$2:$K$4, Ledger!$B$2:$B$4, $A3, Ledger!$C$2:$C$4, MOL$2)),"****")</f>
        <v/>
      </c>
      <c r="MOM3" t="str">
        <f>IFERROR(IF($C3="","",SUMIFS(Ledger!$K$2:$K$4, Ledger!$B$2:$B$4, $A3, Ledger!$C$2:$C$4, MOM$2)),"****")</f>
        <v/>
      </c>
      <c r="MON3" t="str">
        <f>IFERROR(IF($C3="","",SUMIFS(Ledger!$K$2:$K$4, Ledger!$B$2:$B$4, $A3, Ledger!$C$2:$C$4, MON$2)),"****")</f>
        <v/>
      </c>
      <c r="MOO3" t="str">
        <f>IFERROR(IF($C3="","",SUMIFS(Ledger!$K$2:$K$4, Ledger!$B$2:$B$4, $A3, Ledger!$C$2:$C$4, MOO$2)),"****")</f>
        <v/>
      </c>
      <c r="MOP3" t="str">
        <f>IFERROR(IF($C3="","",SUMIFS(Ledger!$K$2:$K$4, Ledger!$B$2:$B$4, $A3, Ledger!$C$2:$C$4, MOP$2)),"****")</f>
        <v/>
      </c>
      <c r="MOQ3" t="str">
        <f>IFERROR(IF($C3="","",SUMIFS(Ledger!$K$2:$K$4, Ledger!$B$2:$B$4, $A3, Ledger!$C$2:$C$4, MOQ$2)),"****")</f>
        <v/>
      </c>
      <c r="MOR3" t="str">
        <f>IFERROR(IF($C3="","",SUMIFS(Ledger!$K$2:$K$4, Ledger!$B$2:$B$4, $A3, Ledger!$C$2:$C$4, MOR$2)),"****")</f>
        <v/>
      </c>
      <c r="MOS3" t="str">
        <f>IFERROR(IF($C3="","",SUMIFS(Ledger!$K$2:$K$4, Ledger!$B$2:$B$4, $A3, Ledger!$C$2:$C$4, MOS$2)),"****")</f>
        <v/>
      </c>
      <c r="MOT3" t="str">
        <f>IFERROR(IF($C3="","",SUMIFS(Ledger!$K$2:$K$4, Ledger!$B$2:$B$4, $A3, Ledger!$C$2:$C$4, MOT$2)),"****")</f>
        <v/>
      </c>
      <c r="MOU3" t="str">
        <f>IFERROR(IF($C3="","",SUMIFS(Ledger!$K$2:$K$4, Ledger!$B$2:$B$4, $A3, Ledger!$C$2:$C$4, MOU$2)),"****")</f>
        <v/>
      </c>
      <c r="MOV3" t="str">
        <f>IFERROR(IF($C3="","",SUMIFS(Ledger!$K$2:$K$4, Ledger!$B$2:$B$4, $A3, Ledger!$C$2:$C$4, MOV$2)),"****")</f>
        <v/>
      </c>
      <c r="MOW3" t="str">
        <f>IFERROR(IF($C3="","",SUMIFS(Ledger!$K$2:$K$4, Ledger!$B$2:$B$4, $A3, Ledger!$C$2:$C$4, MOW$2)),"****")</f>
        <v/>
      </c>
      <c r="MOX3" t="str">
        <f>IFERROR(IF($C3="","",SUMIFS(Ledger!$K$2:$K$4, Ledger!$B$2:$B$4, $A3, Ledger!$C$2:$C$4, MOX$2)),"****")</f>
        <v/>
      </c>
      <c r="MOY3" t="str">
        <f>IFERROR(IF($C3="","",SUMIFS(Ledger!$K$2:$K$4, Ledger!$B$2:$B$4, $A3, Ledger!$C$2:$C$4, MOY$2)),"****")</f>
        <v/>
      </c>
      <c r="MOZ3" t="str">
        <f>IFERROR(IF($C3="","",SUMIFS(Ledger!$K$2:$K$4, Ledger!$B$2:$B$4, $A3, Ledger!$C$2:$C$4, MOZ$2)),"****")</f>
        <v/>
      </c>
      <c r="MPA3" t="str">
        <f>IFERROR(IF($C3="","",SUMIFS(Ledger!$K$2:$K$4, Ledger!$B$2:$B$4, $A3, Ledger!$C$2:$C$4, MPA$2)),"****")</f>
        <v/>
      </c>
      <c r="MPB3" t="str">
        <f>IFERROR(IF($C3="","",SUMIFS(Ledger!$K$2:$K$4, Ledger!$B$2:$B$4, $A3, Ledger!$C$2:$C$4, MPB$2)),"****")</f>
        <v/>
      </c>
      <c r="MPC3" t="str">
        <f>IFERROR(IF($C3="","",SUMIFS(Ledger!$K$2:$K$4, Ledger!$B$2:$B$4, $A3, Ledger!$C$2:$C$4, MPC$2)),"****")</f>
        <v/>
      </c>
      <c r="MPD3" t="str">
        <f>IFERROR(IF($C3="","",SUMIFS(Ledger!$K$2:$K$4, Ledger!$B$2:$B$4, $A3, Ledger!$C$2:$C$4, MPD$2)),"****")</f>
        <v/>
      </c>
      <c r="MPE3" t="str">
        <f>IFERROR(IF($C3="","",SUMIFS(Ledger!$K$2:$K$4, Ledger!$B$2:$B$4, $A3, Ledger!$C$2:$C$4, MPE$2)),"****")</f>
        <v/>
      </c>
      <c r="MPF3" t="str">
        <f>IFERROR(IF($C3="","",SUMIFS(Ledger!$K$2:$K$4, Ledger!$B$2:$B$4, $A3, Ledger!$C$2:$C$4, MPF$2)),"****")</f>
        <v/>
      </c>
      <c r="MPG3" t="str">
        <f>IFERROR(IF($C3="","",SUMIFS(Ledger!$K$2:$K$4, Ledger!$B$2:$B$4, $A3, Ledger!$C$2:$C$4, MPG$2)),"****")</f>
        <v/>
      </c>
      <c r="MPH3" t="str">
        <f>IFERROR(IF($C3="","",SUMIFS(Ledger!$K$2:$K$4, Ledger!$B$2:$B$4, $A3, Ledger!$C$2:$C$4, MPH$2)),"****")</f>
        <v/>
      </c>
      <c r="MPI3" t="str">
        <f>IFERROR(IF($C3="","",SUMIFS(Ledger!$K$2:$K$4, Ledger!$B$2:$B$4, $A3, Ledger!$C$2:$C$4, MPI$2)),"****")</f>
        <v/>
      </c>
      <c r="MPJ3" t="str">
        <f>IFERROR(IF($C3="","",SUMIFS(Ledger!$K$2:$K$4, Ledger!$B$2:$B$4, $A3, Ledger!$C$2:$C$4, MPJ$2)),"****")</f>
        <v/>
      </c>
      <c r="MPK3" t="str">
        <f>IFERROR(IF($C3="","",SUMIFS(Ledger!$K$2:$K$4, Ledger!$B$2:$B$4, $A3, Ledger!$C$2:$C$4, MPK$2)),"****")</f>
        <v/>
      </c>
      <c r="MPL3" t="str">
        <f>IFERROR(IF($C3="","",SUMIFS(Ledger!$K$2:$K$4, Ledger!$B$2:$B$4, $A3, Ledger!$C$2:$C$4, MPL$2)),"****")</f>
        <v/>
      </c>
      <c r="MPM3" t="str">
        <f>IFERROR(IF($C3="","",SUMIFS(Ledger!$K$2:$K$4, Ledger!$B$2:$B$4, $A3, Ledger!$C$2:$C$4, MPM$2)),"****")</f>
        <v/>
      </c>
      <c r="MPN3" t="str">
        <f>IFERROR(IF($C3="","",SUMIFS(Ledger!$K$2:$K$4, Ledger!$B$2:$B$4, $A3, Ledger!$C$2:$C$4, MPN$2)),"****")</f>
        <v/>
      </c>
      <c r="MPO3" t="str">
        <f>IFERROR(IF($C3="","",SUMIFS(Ledger!$K$2:$K$4, Ledger!$B$2:$B$4, $A3, Ledger!$C$2:$C$4, MPO$2)),"****")</f>
        <v/>
      </c>
      <c r="MPP3" t="str">
        <f>IFERROR(IF($C3="","",SUMIFS(Ledger!$K$2:$K$4, Ledger!$B$2:$B$4, $A3, Ledger!$C$2:$C$4, MPP$2)),"****")</f>
        <v/>
      </c>
      <c r="MPQ3" t="str">
        <f>IFERROR(IF($C3="","",SUMIFS(Ledger!$K$2:$K$4, Ledger!$B$2:$B$4, $A3, Ledger!$C$2:$C$4, MPQ$2)),"****")</f>
        <v/>
      </c>
      <c r="MPR3" t="str">
        <f>IFERROR(IF($C3="","",SUMIFS(Ledger!$K$2:$K$4, Ledger!$B$2:$B$4, $A3, Ledger!$C$2:$C$4, MPR$2)),"****")</f>
        <v/>
      </c>
      <c r="MPS3" t="str">
        <f>IFERROR(IF($C3="","",SUMIFS(Ledger!$K$2:$K$4, Ledger!$B$2:$B$4, $A3, Ledger!$C$2:$C$4, MPS$2)),"****")</f>
        <v/>
      </c>
      <c r="MPT3" t="str">
        <f>IFERROR(IF($C3="","",SUMIFS(Ledger!$K$2:$K$4, Ledger!$B$2:$B$4, $A3, Ledger!$C$2:$C$4, MPT$2)),"****")</f>
        <v/>
      </c>
      <c r="MPU3" t="str">
        <f>IFERROR(IF($C3="","",SUMIFS(Ledger!$K$2:$K$4, Ledger!$B$2:$B$4, $A3, Ledger!$C$2:$C$4, MPU$2)),"****")</f>
        <v/>
      </c>
      <c r="MPV3" t="str">
        <f>IFERROR(IF($C3="","",SUMIFS(Ledger!$K$2:$K$4, Ledger!$B$2:$B$4, $A3, Ledger!$C$2:$C$4, MPV$2)),"****")</f>
        <v/>
      </c>
      <c r="MPW3" t="str">
        <f>IFERROR(IF($C3="","",SUMIFS(Ledger!$K$2:$K$4, Ledger!$B$2:$B$4, $A3, Ledger!$C$2:$C$4, MPW$2)),"****")</f>
        <v/>
      </c>
      <c r="MPX3" t="str">
        <f>IFERROR(IF($C3="","",SUMIFS(Ledger!$K$2:$K$4, Ledger!$B$2:$B$4, $A3, Ledger!$C$2:$C$4, MPX$2)),"****")</f>
        <v/>
      </c>
      <c r="MPY3" t="str">
        <f>IFERROR(IF($C3="","",SUMIFS(Ledger!$K$2:$K$4, Ledger!$B$2:$B$4, $A3, Ledger!$C$2:$C$4, MPY$2)),"****")</f>
        <v/>
      </c>
      <c r="MPZ3" t="str">
        <f>IFERROR(IF($C3="","",SUMIFS(Ledger!$K$2:$K$4, Ledger!$B$2:$B$4, $A3, Ledger!$C$2:$C$4, MPZ$2)),"****")</f>
        <v/>
      </c>
      <c r="MQA3" t="str">
        <f>IFERROR(IF($C3="","",SUMIFS(Ledger!$K$2:$K$4, Ledger!$B$2:$B$4, $A3, Ledger!$C$2:$C$4, MQA$2)),"****")</f>
        <v/>
      </c>
      <c r="MQB3" t="str">
        <f>IFERROR(IF($C3="","",SUMIFS(Ledger!$K$2:$K$4, Ledger!$B$2:$B$4, $A3, Ledger!$C$2:$C$4, MQB$2)),"****")</f>
        <v/>
      </c>
      <c r="MQC3" t="str">
        <f>IFERROR(IF($C3="","",SUMIFS(Ledger!$K$2:$K$4, Ledger!$B$2:$B$4, $A3, Ledger!$C$2:$C$4, MQC$2)),"****")</f>
        <v/>
      </c>
      <c r="MQD3" t="str">
        <f>IFERROR(IF($C3="","",SUMIFS(Ledger!$K$2:$K$4, Ledger!$B$2:$B$4, $A3, Ledger!$C$2:$C$4, MQD$2)),"****")</f>
        <v/>
      </c>
      <c r="MQE3" t="str">
        <f>IFERROR(IF($C3="","",SUMIFS(Ledger!$K$2:$K$4, Ledger!$B$2:$B$4, $A3, Ledger!$C$2:$C$4, MQE$2)),"****")</f>
        <v/>
      </c>
      <c r="MQF3" t="str">
        <f>IFERROR(IF($C3="","",SUMIFS(Ledger!$K$2:$K$4, Ledger!$B$2:$B$4, $A3, Ledger!$C$2:$C$4, MQF$2)),"****")</f>
        <v/>
      </c>
      <c r="MQG3" t="str">
        <f>IFERROR(IF($C3="","",SUMIFS(Ledger!$K$2:$K$4, Ledger!$B$2:$B$4, $A3, Ledger!$C$2:$C$4, MQG$2)),"****")</f>
        <v/>
      </c>
      <c r="MQH3" t="str">
        <f>IFERROR(IF($C3="","",SUMIFS(Ledger!$K$2:$K$4, Ledger!$B$2:$B$4, $A3, Ledger!$C$2:$C$4, MQH$2)),"****")</f>
        <v/>
      </c>
      <c r="MQI3" t="str">
        <f>IFERROR(IF($C3="","",SUMIFS(Ledger!$K$2:$K$4, Ledger!$B$2:$B$4, $A3, Ledger!$C$2:$C$4, MQI$2)),"****")</f>
        <v/>
      </c>
      <c r="MQJ3" t="str">
        <f>IFERROR(IF($C3="","",SUMIFS(Ledger!$K$2:$K$4, Ledger!$B$2:$B$4, $A3, Ledger!$C$2:$C$4, MQJ$2)),"****")</f>
        <v/>
      </c>
      <c r="MQK3" t="str">
        <f>IFERROR(IF($C3="","",SUMIFS(Ledger!$K$2:$K$4, Ledger!$B$2:$B$4, $A3, Ledger!$C$2:$C$4, MQK$2)),"****")</f>
        <v/>
      </c>
      <c r="MQL3" t="str">
        <f>IFERROR(IF($C3="","",SUMIFS(Ledger!$K$2:$K$4, Ledger!$B$2:$B$4, $A3, Ledger!$C$2:$C$4, MQL$2)),"****")</f>
        <v/>
      </c>
      <c r="MQM3" t="str">
        <f>IFERROR(IF($C3="","",SUMIFS(Ledger!$K$2:$K$4, Ledger!$B$2:$B$4, $A3, Ledger!$C$2:$C$4, MQM$2)),"****")</f>
        <v/>
      </c>
      <c r="MQN3" t="str">
        <f>IFERROR(IF($C3="","",SUMIFS(Ledger!$K$2:$K$4, Ledger!$B$2:$B$4, $A3, Ledger!$C$2:$C$4, MQN$2)),"****")</f>
        <v/>
      </c>
      <c r="MQO3" t="str">
        <f>IFERROR(IF($C3="","",SUMIFS(Ledger!$K$2:$K$4, Ledger!$B$2:$B$4, $A3, Ledger!$C$2:$C$4, MQO$2)),"****")</f>
        <v/>
      </c>
      <c r="MQP3" t="str">
        <f>IFERROR(IF($C3="","",SUMIFS(Ledger!$K$2:$K$4, Ledger!$B$2:$B$4, $A3, Ledger!$C$2:$C$4, MQP$2)),"****")</f>
        <v/>
      </c>
      <c r="MQQ3" t="str">
        <f>IFERROR(IF($C3="","",SUMIFS(Ledger!$K$2:$K$4, Ledger!$B$2:$B$4, $A3, Ledger!$C$2:$C$4, MQQ$2)),"****")</f>
        <v/>
      </c>
      <c r="MQR3" t="str">
        <f>IFERROR(IF($C3="","",SUMIFS(Ledger!$K$2:$K$4, Ledger!$B$2:$B$4, $A3, Ledger!$C$2:$C$4, MQR$2)),"****")</f>
        <v/>
      </c>
      <c r="MQS3" t="str">
        <f>IFERROR(IF($C3="","",SUMIFS(Ledger!$K$2:$K$4, Ledger!$B$2:$B$4, $A3, Ledger!$C$2:$C$4, MQS$2)),"****")</f>
        <v/>
      </c>
      <c r="MQT3" t="str">
        <f>IFERROR(IF($C3="","",SUMIFS(Ledger!$K$2:$K$4, Ledger!$B$2:$B$4, $A3, Ledger!$C$2:$C$4, MQT$2)),"****")</f>
        <v/>
      </c>
      <c r="MQU3" t="str">
        <f>IFERROR(IF($C3="","",SUMIFS(Ledger!$K$2:$K$4, Ledger!$B$2:$B$4, $A3, Ledger!$C$2:$C$4, MQU$2)),"****")</f>
        <v/>
      </c>
      <c r="MQV3" t="str">
        <f>IFERROR(IF($C3="","",SUMIFS(Ledger!$K$2:$K$4, Ledger!$B$2:$B$4, $A3, Ledger!$C$2:$C$4, MQV$2)),"****")</f>
        <v/>
      </c>
      <c r="MQW3" t="str">
        <f>IFERROR(IF($C3="","",SUMIFS(Ledger!$K$2:$K$4, Ledger!$B$2:$B$4, $A3, Ledger!$C$2:$C$4, MQW$2)),"****")</f>
        <v/>
      </c>
      <c r="MQX3" t="str">
        <f>IFERROR(IF($C3="","",SUMIFS(Ledger!$K$2:$K$4, Ledger!$B$2:$B$4, $A3, Ledger!$C$2:$C$4, MQX$2)),"****")</f>
        <v/>
      </c>
      <c r="MQY3" t="str">
        <f>IFERROR(IF($C3="","",SUMIFS(Ledger!$K$2:$K$4, Ledger!$B$2:$B$4, $A3, Ledger!$C$2:$C$4, MQY$2)),"****")</f>
        <v/>
      </c>
      <c r="MQZ3" t="str">
        <f>IFERROR(IF($C3="","",SUMIFS(Ledger!$K$2:$K$4, Ledger!$B$2:$B$4, $A3, Ledger!$C$2:$C$4, MQZ$2)),"****")</f>
        <v/>
      </c>
      <c r="MRA3" t="str">
        <f>IFERROR(IF($C3="","",SUMIFS(Ledger!$K$2:$K$4, Ledger!$B$2:$B$4, $A3, Ledger!$C$2:$C$4, MRA$2)),"****")</f>
        <v/>
      </c>
      <c r="MRB3" t="str">
        <f>IFERROR(IF($C3="","",SUMIFS(Ledger!$K$2:$K$4, Ledger!$B$2:$B$4, $A3, Ledger!$C$2:$C$4, MRB$2)),"****")</f>
        <v/>
      </c>
      <c r="MRC3" t="str">
        <f>IFERROR(IF($C3="","",SUMIFS(Ledger!$K$2:$K$4, Ledger!$B$2:$B$4, $A3, Ledger!$C$2:$C$4, MRC$2)),"****")</f>
        <v/>
      </c>
      <c r="MRD3" t="str">
        <f>IFERROR(IF($C3="","",SUMIFS(Ledger!$K$2:$K$4, Ledger!$B$2:$B$4, $A3, Ledger!$C$2:$C$4, MRD$2)),"****")</f>
        <v/>
      </c>
      <c r="MRE3" t="str">
        <f>IFERROR(IF($C3="","",SUMIFS(Ledger!$K$2:$K$4, Ledger!$B$2:$B$4, $A3, Ledger!$C$2:$C$4, MRE$2)),"****")</f>
        <v/>
      </c>
      <c r="MRF3" t="str">
        <f>IFERROR(IF($C3="","",SUMIFS(Ledger!$K$2:$K$4, Ledger!$B$2:$B$4, $A3, Ledger!$C$2:$C$4, MRF$2)),"****")</f>
        <v/>
      </c>
      <c r="MRG3" t="str">
        <f>IFERROR(IF($C3="","",SUMIFS(Ledger!$K$2:$K$4, Ledger!$B$2:$B$4, $A3, Ledger!$C$2:$C$4, MRG$2)),"****")</f>
        <v/>
      </c>
      <c r="MRH3" t="str">
        <f>IFERROR(IF($C3="","",SUMIFS(Ledger!$K$2:$K$4, Ledger!$B$2:$B$4, $A3, Ledger!$C$2:$C$4, MRH$2)),"****")</f>
        <v/>
      </c>
      <c r="MRI3" t="str">
        <f>IFERROR(IF($C3="","",SUMIFS(Ledger!$K$2:$K$4, Ledger!$B$2:$B$4, $A3, Ledger!$C$2:$C$4, MRI$2)),"****")</f>
        <v/>
      </c>
      <c r="MRJ3" t="str">
        <f>IFERROR(IF($C3="","",SUMIFS(Ledger!$K$2:$K$4, Ledger!$B$2:$B$4, $A3, Ledger!$C$2:$C$4, MRJ$2)),"****")</f>
        <v/>
      </c>
      <c r="MRK3" t="str">
        <f>IFERROR(IF($C3="","",SUMIFS(Ledger!$K$2:$K$4, Ledger!$B$2:$B$4, $A3, Ledger!$C$2:$C$4, MRK$2)),"****")</f>
        <v/>
      </c>
      <c r="MRL3" t="str">
        <f>IFERROR(IF($C3="","",SUMIFS(Ledger!$K$2:$K$4, Ledger!$B$2:$B$4, $A3, Ledger!$C$2:$C$4, MRL$2)),"****")</f>
        <v/>
      </c>
      <c r="MRM3" t="str">
        <f>IFERROR(IF($C3="","",SUMIFS(Ledger!$K$2:$K$4, Ledger!$B$2:$B$4, $A3, Ledger!$C$2:$C$4, MRM$2)),"****")</f>
        <v/>
      </c>
      <c r="MRN3" t="str">
        <f>IFERROR(IF($C3="","",SUMIFS(Ledger!$K$2:$K$4, Ledger!$B$2:$B$4, $A3, Ledger!$C$2:$C$4, MRN$2)),"****")</f>
        <v/>
      </c>
      <c r="MRO3" t="str">
        <f>IFERROR(IF($C3="","",SUMIFS(Ledger!$K$2:$K$4, Ledger!$B$2:$B$4, $A3, Ledger!$C$2:$C$4, MRO$2)),"****")</f>
        <v/>
      </c>
      <c r="MRP3" t="str">
        <f>IFERROR(IF($C3="","",SUMIFS(Ledger!$K$2:$K$4, Ledger!$B$2:$B$4, $A3, Ledger!$C$2:$C$4, MRP$2)),"****")</f>
        <v/>
      </c>
      <c r="MRQ3" t="str">
        <f>IFERROR(IF($C3="","",SUMIFS(Ledger!$K$2:$K$4, Ledger!$B$2:$B$4, $A3, Ledger!$C$2:$C$4, MRQ$2)),"****")</f>
        <v/>
      </c>
      <c r="MRR3" t="str">
        <f>IFERROR(IF($C3="","",SUMIFS(Ledger!$K$2:$K$4, Ledger!$B$2:$B$4, $A3, Ledger!$C$2:$C$4, MRR$2)),"****")</f>
        <v/>
      </c>
      <c r="MRS3" t="str">
        <f>IFERROR(IF($C3="","",SUMIFS(Ledger!$K$2:$K$4, Ledger!$B$2:$B$4, $A3, Ledger!$C$2:$C$4, MRS$2)),"****")</f>
        <v/>
      </c>
      <c r="MRT3" t="str">
        <f>IFERROR(IF($C3="","",SUMIFS(Ledger!$K$2:$K$4, Ledger!$B$2:$B$4, $A3, Ledger!$C$2:$C$4, MRT$2)),"****")</f>
        <v/>
      </c>
      <c r="MRU3" t="str">
        <f>IFERROR(IF($C3="","",SUMIFS(Ledger!$K$2:$K$4, Ledger!$B$2:$B$4, $A3, Ledger!$C$2:$C$4, MRU$2)),"****")</f>
        <v/>
      </c>
      <c r="MRV3" t="str">
        <f>IFERROR(IF($C3="","",SUMIFS(Ledger!$K$2:$K$4, Ledger!$B$2:$B$4, $A3, Ledger!$C$2:$C$4, MRV$2)),"****")</f>
        <v/>
      </c>
      <c r="MRW3" t="str">
        <f>IFERROR(IF($C3="","",SUMIFS(Ledger!$K$2:$K$4, Ledger!$B$2:$B$4, $A3, Ledger!$C$2:$C$4, MRW$2)),"****")</f>
        <v/>
      </c>
      <c r="MRX3" t="str">
        <f>IFERROR(IF($C3="","",SUMIFS(Ledger!$K$2:$K$4, Ledger!$B$2:$B$4, $A3, Ledger!$C$2:$C$4, MRX$2)),"****")</f>
        <v/>
      </c>
      <c r="MRY3" t="str">
        <f>IFERROR(IF($C3="","",SUMIFS(Ledger!$K$2:$K$4, Ledger!$B$2:$B$4, $A3, Ledger!$C$2:$C$4, MRY$2)),"****")</f>
        <v/>
      </c>
      <c r="MRZ3" t="str">
        <f>IFERROR(IF($C3="","",SUMIFS(Ledger!$K$2:$K$4, Ledger!$B$2:$B$4, $A3, Ledger!$C$2:$C$4, MRZ$2)),"****")</f>
        <v/>
      </c>
      <c r="MSA3" t="str">
        <f>IFERROR(IF($C3="","",SUMIFS(Ledger!$K$2:$K$4, Ledger!$B$2:$B$4, $A3, Ledger!$C$2:$C$4, MSA$2)),"****")</f>
        <v/>
      </c>
      <c r="MSB3" t="str">
        <f>IFERROR(IF($C3="","",SUMIFS(Ledger!$K$2:$K$4, Ledger!$B$2:$B$4, $A3, Ledger!$C$2:$C$4, MSB$2)),"****")</f>
        <v/>
      </c>
      <c r="MSC3" t="str">
        <f>IFERROR(IF($C3="","",SUMIFS(Ledger!$K$2:$K$4, Ledger!$B$2:$B$4, $A3, Ledger!$C$2:$C$4, MSC$2)),"****")</f>
        <v/>
      </c>
      <c r="MSD3" t="str">
        <f>IFERROR(IF($C3="","",SUMIFS(Ledger!$K$2:$K$4, Ledger!$B$2:$B$4, $A3, Ledger!$C$2:$C$4, MSD$2)),"****")</f>
        <v/>
      </c>
      <c r="MSE3" t="str">
        <f>IFERROR(IF($C3="","",SUMIFS(Ledger!$K$2:$K$4, Ledger!$B$2:$B$4, $A3, Ledger!$C$2:$C$4, MSE$2)),"****")</f>
        <v/>
      </c>
      <c r="MSF3" t="str">
        <f>IFERROR(IF($C3="","",SUMIFS(Ledger!$K$2:$K$4, Ledger!$B$2:$B$4, $A3, Ledger!$C$2:$C$4, MSF$2)),"****")</f>
        <v/>
      </c>
      <c r="MSG3" t="str">
        <f>IFERROR(IF($C3="","",SUMIFS(Ledger!$K$2:$K$4, Ledger!$B$2:$B$4, $A3, Ledger!$C$2:$C$4, MSG$2)),"****")</f>
        <v/>
      </c>
      <c r="MSH3" t="str">
        <f>IFERROR(IF($C3="","",SUMIFS(Ledger!$K$2:$K$4, Ledger!$B$2:$B$4, $A3, Ledger!$C$2:$C$4, MSH$2)),"****")</f>
        <v/>
      </c>
      <c r="MSI3" t="str">
        <f>IFERROR(IF($C3="","",SUMIFS(Ledger!$K$2:$K$4, Ledger!$B$2:$B$4, $A3, Ledger!$C$2:$C$4, MSI$2)),"****")</f>
        <v/>
      </c>
      <c r="MSJ3" t="str">
        <f>IFERROR(IF($C3="","",SUMIFS(Ledger!$K$2:$K$4, Ledger!$B$2:$B$4, $A3, Ledger!$C$2:$C$4, MSJ$2)),"****")</f>
        <v/>
      </c>
      <c r="MSK3" t="str">
        <f>IFERROR(IF($C3="","",SUMIFS(Ledger!$K$2:$K$4, Ledger!$B$2:$B$4, $A3, Ledger!$C$2:$C$4, MSK$2)),"****")</f>
        <v/>
      </c>
      <c r="MSL3" t="str">
        <f>IFERROR(IF($C3="","",SUMIFS(Ledger!$K$2:$K$4, Ledger!$B$2:$B$4, $A3, Ledger!$C$2:$C$4, MSL$2)),"****")</f>
        <v/>
      </c>
      <c r="MSM3" t="str">
        <f>IFERROR(IF($C3="","",SUMIFS(Ledger!$K$2:$K$4, Ledger!$B$2:$B$4, $A3, Ledger!$C$2:$C$4, MSM$2)),"****")</f>
        <v/>
      </c>
      <c r="MSN3" t="str">
        <f>IFERROR(IF($C3="","",SUMIFS(Ledger!$K$2:$K$4, Ledger!$B$2:$B$4, $A3, Ledger!$C$2:$C$4, MSN$2)),"****")</f>
        <v/>
      </c>
      <c r="MSO3" t="str">
        <f>IFERROR(IF($C3="","",SUMIFS(Ledger!$K$2:$K$4, Ledger!$B$2:$B$4, $A3, Ledger!$C$2:$C$4, MSO$2)),"****")</f>
        <v/>
      </c>
      <c r="MSP3" t="str">
        <f>IFERROR(IF($C3="","",SUMIFS(Ledger!$K$2:$K$4, Ledger!$B$2:$B$4, $A3, Ledger!$C$2:$C$4, MSP$2)),"****")</f>
        <v/>
      </c>
      <c r="MSQ3" t="str">
        <f>IFERROR(IF($C3="","",SUMIFS(Ledger!$K$2:$K$4, Ledger!$B$2:$B$4, $A3, Ledger!$C$2:$C$4, MSQ$2)),"****")</f>
        <v/>
      </c>
      <c r="MSR3" t="str">
        <f>IFERROR(IF($C3="","",SUMIFS(Ledger!$K$2:$K$4, Ledger!$B$2:$B$4, $A3, Ledger!$C$2:$C$4, MSR$2)),"****")</f>
        <v/>
      </c>
      <c r="MSS3" t="str">
        <f>IFERROR(IF($C3="","",SUMIFS(Ledger!$K$2:$K$4, Ledger!$B$2:$B$4, $A3, Ledger!$C$2:$C$4, MSS$2)),"****")</f>
        <v/>
      </c>
      <c r="MST3" t="str">
        <f>IFERROR(IF($C3="","",SUMIFS(Ledger!$K$2:$K$4, Ledger!$B$2:$B$4, $A3, Ledger!$C$2:$C$4, MST$2)),"****")</f>
        <v/>
      </c>
      <c r="MSU3" t="str">
        <f>IFERROR(IF($C3="","",SUMIFS(Ledger!$K$2:$K$4, Ledger!$B$2:$B$4, $A3, Ledger!$C$2:$C$4, MSU$2)),"****")</f>
        <v/>
      </c>
      <c r="MSV3" t="str">
        <f>IFERROR(IF($C3="","",SUMIFS(Ledger!$K$2:$K$4, Ledger!$B$2:$B$4, $A3, Ledger!$C$2:$C$4, MSV$2)),"****")</f>
        <v/>
      </c>
      <c r="MSW3" t="str">
        <f>IFERROR(IF($C3="","",SUMIFS(Ledger!$K$2:$K$4, Ledger!$B$2:$B$4, $A3, Ledger!$C$2:$C$4, MSW$2)),"****")</f>
        <v/>
      </c>
      <c r="MSX3" t="str">
        <f>IFERROR(IF($C3="","",SUMIFS(Ledger!$K$2:$K$4, Ledger!$B$2:$B$4, $A3, Ledger!$C$2:$C$4, MSX$2)),"****")</f>
        <v/>
      </c>
      <c r="MSY3" t="str">
        <f>IFERROR(IF($C3="","",SUMIFS(Ledger!$K$2:$K$4, Ledger!$B$2:$B$4, $A3, Ledger!$C$2:$C$4, MSY$2)),"****")</f>
        <v/>
      </c>
      <c r="MSZ3" t="str">
        <f>IFERROR(IF($C3="","",SUMIFS(Ledger!$K$2:$K$4, Ledger!$B$2:$B$4, $A3, Ledger!$C$2:$C$4, MSZ$2)),"****")</f>
        <v/>
      </c>
      <c r="MTA3" t="str">
        <f>IFERROR(IF($C3="","",SUMIFS(Ledger!$K$2:$K$4, Ledger!$B$2:$B$4, $A3, Ledger!$C$2:$C$4, MTA$2)),"****")</f>
        <v/>
      </c>
      <c r="MTB3" t="str">
        <f>IFERROR(IF($C3="","",SUMIFS(Ledger!$K$2:$K$4, Ledger!$B$2:$B$4, $A3, Ledger!$C$2:$C$4, MTB$2)),"****")</f>
        <v/>
      </c>
      <c r="MTC3" t="str">
        <f>IFERROR(IF($C3="","",SUMIFS(Ledger!$K$2:$K$4, Ledger!$B$2:$B$4, $A3, Ledger!$C$2:$C$4, MTC$2)),"****")</f>
        <v/>
      </c>
      <c r="MTD3" t="str">
        <f>IFERROR(IF($C3="","",SUMIFS(Ledger!$K$2:$K$4, Ledger!$B$2:$B$4, $A3, Ledger!$C$2:$C$4, MTD$2)),"****")</f>
        <v/>
      </c>
      <c r="MTE3" t="str">
        <f>IFERROR(IF($C3="","",SUMIFS(Ledger!$K$2:$K$4, Ledger!$B$2:$B$4, $A3, Ledger!$C$2:$C$4, MTE$2)),"****")</f>
        <v/>
      </c>
      <c r="MTF3" t="str">
        <f>IFERROR(IF($C3="","",SUMIFS(Ledger!$K$2:$K$4, Ledger!$B$2:$B$4, $A3, Ledger!$C$2:$C$4, MTF$2)),"****")</f>
        <v/>
      </c>
      <c r="MTG3" t="str">
        <f>IFERROR(IF($C3="","",SUMIFS(Ledger!$K$2:$K$4, Ledger!$B$2:$B$4, $A3, Ledger!$C$2:$C$4, MTG$2)),"****")</f>
        <v/>
      </c>
      <c r="MTH3" t="str">
        <f>IFERROR(IF($C3="","",SUMIFS(Ledger!$K$2:$K$4, Ledger!$B$2:$B$4, $A3, Ledger!$C$2:$C$4, MTH$2)),"****")</f>
        <v/>
      </c>
      <c r="MTI3" t="str">
        <f>IFERROR(IF($C3="","",SUMIFS(Ledger!$K$2:$K$4, Ledger!$B$2:$B$4, $A3, Ledger!$C$2:$C$4, MTI$2)),"****")</f>
        <v/>
      </c>
      <c r="MTJ3" t="str">
        <f>IFERROR(IF($C3="","",SUMIFS(Ledger!$K$2:$K$4, Ledger!$B$2:$B$4, $A3, Ledger!$C$2:$C$4, MTJ$2)),"****")</f>
        <v/>
      </c>
      <c r="MTK3" t="str">
        <f>IFERROR(IF($C3="","",SUMIFS(Ledger!$K$2:$K$4, Ledger!$B$2:$B$4, $A3, Ledger!$C$2:$C$4, MTK$2)),"****")</f>
        <v/>
      </c>
      <c r="MTL3" t="str">
        <f>IFERROR(IF($C3="","",SUMIFS(Ledger!$K$2:$K$4, Ledger!$B$2:$B$4, $A3, Ledger!$C$2:$C$4, MTL$2)),"****")</f>
        <v/>
      </c>
      <c r="MTM3" t="str">
        <f>IFERROR(IF($C3="","",SUMIFS(Ledger!$K$2:$K$4, Ledger!$B$2:$B$4, $A3, Ledger!$C$2:$C$4, MTM$2)),"****")</f>
        <v/>
      </c>
      <c r="MTN3" t="str">
        <f>IFERROR(IF($C3="","",SUMIFS(Ledger!$K$2:$K$4, Ledger!$B$2:$B$4, $A3, Ledger!$C$2:$C$4, MTN$2)),"****")</f>
        <v/>
      </c>
      <c r="MTO3" t="str">
        <f>IFERROR(IF($C3="","",SUMIFS(Ledger!$K$2:$K$4, Ledger!$B$2:$B$4, $A3, Ledger!$C$2:$C$4, MTO$2)),"****")</f>
        <v/>
      </c>
      <c r="MTP3" t="str">
        <f>IFERROR(IF($C3="","",SUMIFS(Ledger!$K$2:$K$4, Ledger!$B$2:$B$4, $A3, Ledger!$C$2:$C$4, MTP$2)),"****")</f>
        <v/>
      </c>
      <c r="MTQ3" t="str">
        <f>IFERROR(IF($C3="","",SUMIFS(Ledger!$K$2:$K$4, Ledger!$B$2:$B$4, $A3, Ledger!$C$2:$C$4, MTQ$2)),"****")</f>
        <v/>
      </c>
      <c r="MTR3" t="str">
        <f>IFERROR(IF($C3="","",SUMIFS(Ledger!$K$2:$K$4, Ledger!$B$2:$B$4, $A3, Ledger!$C$2:$C$4, MTR$2)),"****")</f>
        <v/>
      </c>
      <c r="MTS3" t="str">
        <f>IFERROR(IF($C3="","",SUMIFS(Ledger!$K$2:$K$4, Ledger!$B$2:$B$4, $A3, Ledger!$C$2:$C$4, MTS$2)),"****")</f>
        <v/>
      </c>
      <c r="MTT3" t="str">
        <f>IFERROR(IF($C3="","",SUMIFS(Ledger!$K$2:$K$4, Ledger!$B$2:$B$4, $A3, Ledger!$C$2:$C$4, MTT$2)),"****")</f>
        <v/>
      </c>
      <c r="MTU3" t="str">
        <f>IFERROR(IF($C3="","",SUMIFS(Ledger!$K$2:$K$4, Ledger!$B$2:$B$4, $A3, Ledger!$C$2:$C$4, MTU$2)),"****")</f>
        <v/>
      </c>
      <c r="MTV3" t="str">
        <f>IFERROR(IF($C3="","",SUMIFS(Ledger!$K$2:$K$4, Ledger!$B$2:$B$4, $A3, Ledger!$C$2:$C$4, MTV$2)),"****")</f>
        <v/>
      </c>
      <c r="MTW3" t="str">
        <f>IFERROR(IF($C3="","",SUMIFS(Ledger!$K$2:$K$4, Ledger!$B$2:$B$4, $A3, Ledger!$C$2:$C$4, MTW$2)),"****")</f>
        <v/>
      </c>
      <c r="MTX3" t="str">
        <f>IFERROR(IF($C3="","",SUMIFS(Ledger!$K$2:$K$4, Ledger!$B$2:$B$4, $A3, Ledger!$C$2:$C$4, MTX$2)),"****")</f>
        <v/>
      </c>
      <c r="MTY3" t="str">
        <f>IFERROR(IF($C3="","",SUMIFS(Ledger!$K$2:$K$4, Ledger!$B$2:$B$4, $A3, Ledger!$C$2:$C$4, MTY$2)),"****")</f>
        <v/>
      </c>
      <c r="MTZ3" t="str">
        <f>IFERROR(IF($C3="","",SUMIFS(Ledger!$K$2:$K$4, Ledger!$B$2:$B$4, $A3, Ledger!$C$2:$C$4, MTZ$2)),"****")</f>
        <v/>
      </c>
      <c r="MUA3" t="str">
        <f>IFERROR(IF($C3="","",SUMIFS(Ledger!$K$2:$K$4, Ledger!$B$2:$B$4, $A3, Ledger!$C$2:$C$4, MUA$2)),"****")</f>
        <v/>
      </c>
      <c r="MUB3" t="str">
        <f>IFERROR(IF($C3="","",SUMIFS(Ledger!$K$2:$K$4, Ledger!$B$2:$B$4, $A3, Ledger!$C$2:$C$4, MUB$2)),"****")</f>
        <v/>
      </c>
      <c r="MUC3" t="str">
        <f>IFERROR(IF($C3="","",SUMIFS(Ledger!$K$2:$K$4, Ledger!$B$2:$B$4, $A3, Ledger!$C$2:$C$4, MUC$2)),"****")</f>
        <v/>
      </c>
      <c r="MUD3" t="str">
        <f>IFERROR(IF($C3="","",SUMIFS(Ledger!$K$2:$K$4, Ledger!$B$2:$B$4, $A3, Ledger!$C$2:$C$4, MUD$2)),"****")</f>
        <v/>
      </c>
      <c r="MUE3" t="str">
        <f>IFERROR(IF($C3="","",SUMIFS(Ledger!$K$2:$K$4, Ledger!$B$2:$B$4, $A3, Ledger!$C$2:$C$4, MUE$2)),"****")</f>
        <v/>
      </c>
      <c r="MUF3" t="str">
        <f>IFERROR(IF($C3="","",SUMIFS(Ledger!$K$2:$K$4, Ledger!$B$2:$B$4, $A3, Ledger!$C$2:$C$4, MUF$2)),"****")</f>
        <v/>
      </c>
      <c r="MUG3" t="str">
        <f>IFERROR(IF($C3="","",SUMIFS(Ledger!$K$2:$K$4, Ledger!$B$2:$B$4, $A3, Ledger!$C$2:$C$4, MUG$2)),"****")</f>
        <v/>
      </c>
      <c r="MUH3" t="str">
        <f>IFERROR(IF($C3="","",SUMIFS(Ledger!$K$2:$K$4, Ledger!$B$2:$B$4, $A3, Ledger!$C$2:$C$4, MUH$2)),"****")</f>
        <v/>
      </c>
      <c r="MUI3" t="str">
        <f>IFERROR(IF($C3="","",SUMIFS(Ledger!$K$2:$K$4, Ledger!$B$2:$B$4, $A3, Ledger!$C$2:$C$4, MUI$2)),"****")</f>
        <v/>
      </c>
      <c r="MUJ3" t="str">
        <f>IFERROR(IF($C3="","",SUMIFS(Ledger!$K$2:$K$4, Ledger!$B$2:$B$4, $A3, Ledger!$C$2:$C$4, MUJ$2)),"****")</f>
        <v/>
      </c>
      <c r="MUK3" t="str">
        <f>IFERROR(IF($C3="","",SUMIFS(Ledger!$K$2:$K$4, Ledger!$B$2:$B$4, $A3, Ledger!$C$2:$C$4, MUK$2)),"****")</f>
        <v/>
      </c>
      <c r="MUL3" t="str">
        <f>IFERROR(IF($C3="","",SUMIFS(Ledger!$K$2:$K$4, Ledger!$B$2:$B$4, $A3, Ledger!$C$2:$C$4, MUL$2)),"****")</f>
        <v/>
      </c>
      <c r="MUM3" t="str">
        <f>IFERROR(IF($C3="","",SUMIFS(Ledger!$K$2:$K$4, Ledger!$B$2:$B$4, $A3, Ledger!$C$2:$C$4, MUM$2)),"****")</f>
        <v/>
      </c>
      <c r="MUN3" t="str">
        <f>IFERROR(IF($C3="","",SUMIFS(Ledger!$K$2:$K$4, Ledger!$B$2:$B$4, $A3, Ledger!$C$2:$C$4, MUN$2)),"****")</f>
        <v/>
      </c>
      <c r="MUO3" t="str">
        <f>IFERROR(IF($C3="","",SUMIFS(Ledger!$K$2:$K$4, Ledger!$B$2:$B$4, $A3, Ledger!$C$2:$C$4, MUO$2)),"****")</f>
        <v/>
      </c>
      <c r="MUP3" t="str">
        <f>IFERROR(IF($C3="","",SUMIFS(Ledger!$K$2:$K$4, Ledger!$B$2:$B$4, $A3, Ledger!$C$2:$C$4, MUP$2)),"****")</f>
        <v/>
      </c>
      <c r="MUQ3" t="str">
        <f>IFERROR(IF($C3="","",SUMIFS(Ledger!$K$2:$K$4, Ledger!$B$2:$B$4, $A3, Ledger!$C$2:$C$4, MUQ$2)),"****")</f>
        <v/>
      </c>
      <c r="MUR3" t="str">
        <f>IFERROR(IF($C3="","",SUMIFS(Ledger!$K$2:$K$4, Ledger!$B$2:$B$4, $A3, Ledger!$C$2:$C$4, MUR$2)),"****")</f>
        <v/>
      </c>
      <c r="MUS3" t="str">
        <f>IFERROR(IF($C3="","",SUMIFS(Ledger!$K$2:$K$4, Ledger!$B$2:$B$4, $A3, Ledger!$C$2:$C$4, MUS$2)),"****")</f>
        <v/>
      </c>
      <c r="MUT3" t="str">
        <f>IFERROR(IF($C3="","",SUMIFS(Ledger!$K$2:$K$4, Ledger!$B$2:$B$4, $A3, Ledger!$C$2:$C$4, MUT$2)),"****")</f>
        <v/>
      </c>
      <c r="MUU3" t="str">
        <f>IFERROR(IF($C3="","",SUMIFS(Ledger!$K$2:$K$4, Ledger!$B$2:$B$4, $A3, Ledger!$C$2:$C$4, MUU$2)),"****")</f>
        <v/>
      </c>
      <c r="MUV3" t="str">
        <f>IFERROR(IF($C3="","",SUMIFS(Ledger!$K$2:$K$4, Ledger!$B$2:$B$4, $A3, Ledger!$C$2:$C$4, MUV$2)),"****")</f>
        <v/>
      </c>
      <c r="MUW3" t="str">
        <f>IFERROR(IF($C3="","",SUMIFS(Ledger!$K$2:$K$4, Ledger!$B$2:$B$4, $A3, Ledger!$C$2:$C$4, MUW$2)),"****")</f>
        <v/>
      </c>
      <c r="MUX3" t="str">
        <f>IFERROR(IF($C3="","",SUMIFS(Ledger!$K$2:$K$4, Ledger!$B$2:$B$4, $A3, Ledger!$C$2:$C$4, MUX$2)),"****")</f>
        <v/>
      </c>
      <c r="MUY3" t="str">
        <f>IFERROR(IF($C3="","",SUMIFS(Ledger!$K$2:$K$4, Ledger!$B$2:$B$4, $A3, Ledger!$C$2:$C$4, MUY$2)),"****")</f>
        <v/>
      </c>
      <c r="MUZ3" t="str">
        <f>IFERROR(IF($C3="","",SUMIFS(Ledger!$K$2:$K$4, Ledger!$B$2:$B$4, $A3, Ledger!$C$2:$C$4, MUZ$2)),"****")</f>
        <v/>
      </c>
      <c r="MVA3" t="str">
        <f>IFERROR(IF($C3="","",SUMIFS(Ledger!$K$2:$K$4, Ledger!$B$2:$B$4, $A3, Ledger!$C$2:$C$4, MVA$2)),"****")</f>
        <v/>
      </c>
      <c r="MVB3" t="str">
        <f>IFERROR(IF($C3="","",SUMIFS(Ledger!$K$2:$K$4, Ledger!$B$2:$B$4, $A3, Ledger!$C$2:$C$4, MVB$2)),"****")</f>
        <v/>
      </c>
      <c r="MVC3" t="str">
        <f>IFERROR(IF($C3="","",SUMIFS(Ledger!$K$2:$K$4, Ledger!$B$2:$B$4, $A3, Ledger!$C$2:$C$4, MVC$2)),"****")</f>
        <v/>
      </c>
      <c r="MVD3" t="str">
        <f>IFERROR(IF($C3="","",SUMIFS(Ledger!$K$2:$K$4, Ledger!$B$2:$B$4, $A3, Ledger!$C$2:$C$4, MVD$2)),"****")</f>
        <v/>
      </c>
      <c r="MVE3" t="str">
        <f>IFERROR(IF($C3="","",SUMIFS(Ledger!$K$2:$K$4, Ledger!$B$2:$B$4, $A3, Ledger!$C$2:$C$4, MVE$2)),"****")</f>
        <v/>
      </c>
      <c r="MVF3" t="str">
        <f>IFERROR(IF($C3="","",SUMIFS(Ledger!$K$2:$K$4, Ledger!$B$2:$B$4, $A3, Ledger!$C$2:$C$4, MVF$2)),"****")</f>
        <v/>
      </c>
      <c r="MVG3" t="str">
        <f>IFERROR(IF($C3="","",SUMIFS(Ledger!$K$2:$K$4, Ledger!$B$2:$B$4, $A3, Ledger!$C$2:$C$4, MVG$2)),"****")</f>
        <v/>
      </c>
      <c r="MVH3" t="str">
        <f>IFERROR(IF($C3="","",SUMIFS(Ledger!$K$2:$K$4, Ledger!$B$2:$B$4, $A3, Ledger!$C$2:$C$4, MVH$2)),"****")</f>
        <v/>
      </c>
      <c r="MVI3" t="str">
        <f>IFERROR(IF($C3="","",SUMIFS(Ledger!$K$2:$K$4, Ledger!$B$2:$B$4, $A3, Ledger!$C$2:$C$4, MVI$2)),"****")</f>
        <v/>
      </c>
      <c r="MVJ3" t="str">
        <f>IFERROR(IF($C3="","",SUMIFS(Ledger!$K$2:$K$4, Ledger!$B$2:$B$4, $A3, Ledger!$C$2:$C$4, MVJ$2)),"****")</f>
        <v/>
      </c>
      <c r="MVK3" t="str">
        <f>IFERROR(IF($C3="","",SUMIFS(Ledger!$K$2:$K$4, Ledger!$B$2:$B$4, $A3, Ledger!$C$2:$C$4, MVK$2)),"****")</f>
        <v/>
      </c>
      <c r="MVL3" t="str">
        <f>IFERROR(IF($C3="","",SUMIFS(Ledger!$K$2:$K$4, Ledger!$B$2:$B$4, $A3, Ledger!$C$2:$C$4, MVL$2)),"****")</f>
        <v/>
      </c>
      <c r="MVM3" t="str">
        <f>IFERROR(IF($C3="","",SUMIFS(Ledger!$K$2:$K$4, Ledger!$B$2:$B$4, $A3, Ledger!$C$2:$C$4, MVM$2)),"****")</f>
        <v/>
      </c>
      <c r="MVN3" t="str">
        <f>IFERROR(IF($C3="","",SUMIFS(Ledger!$K$2:$K$4, Ledger!$B$2:$B$4, $A3, Ledger!$C$2:$C$4, MVN$2)),"****")</f>
        <v/>
      </c>
      <c r="MVO3" t="str">
        <f>IFERROR(IF($C3="","",SUMIFS(Ledger!$K$2:$K$4, Ledger!$B$2:$B$4, $A3, Ledger!$C$2:$C$4, MVO$2)),"****")</f>
        <v/>
      </c>
      <c r="MVP3" t="str">
        <f>IFERROR(IF($C3="","",SUMIFS(Ledger!$K$2:$K$4, Ledger!$B$2:$B$4, $A3, Ledger!$C$2:$C$4, MVP$2)),"****")</f>
        <v/>
      </c>
      <c r="MVQ3" t="str">
        <f>IFERROR(IF($C3="","",SUMIFS(Ledger!$K$2:$K$4, Ledger!$B$2:$B$4, $A3, Ledger!$C$2:$C$4, MVQ$2)),"****")</f>
        <v/>
      </c>
      <c r="MVR3" t="str">
        <f>IFERROR(IF($C3="","",SUMIFS(Ledger!$K$2:$K$4, Ledger!$B$2:$B$4, $A3, Ledger!$C$2:$C$4, MVR$2)),"****")</f>
        <v/>
      </c>
      <c r="MVS3" t="str">
        <f>IFERROR(IF($C3="","",SUMIFS(Ledger!$K$2:$K$4, Ledger!$B$2:$B$4, $A3, Ledger!$C$2:$C$4, MVS$2)),"****")</f>
        <v/>
      </c>
      <c r="MVT3" t="str">
        <f>IFERROR(IF($C3="","",SUMIFS(Ledger!$K$2:$K$4, Ledger!$B$2:$B$4, $A3, Ledger!$C$2:$C$4, MVT$2)),"****")</f>
        <v/>
      </c>
      <c r="MVU3" t="str">
        <f>IFERROR(IF($C3="","",SUMIFS(Ledger!$K$2:$K$4, Ledger!$B$2:$B$4, $A3, Ledger!$C$2:$C$4, MVU$2)),"****")</f>
        <v/>
      </c>
      <c r="MVV3" t="str">
        <f>IFERROR(IF($C3="","",SUMIFS(Ledger!$K$2:$K$4, Ledger!$B$2:$B$4, $A3, Ledger!$C$2:$C$4, MVV$2)),"****")</f>
        <v/>
      </c>
      <c r="MVW3" t="str">
        <f>IFERROR(IF($C3="","",SUMIFS(Ledger!$K$2:$K$4, Ledger!$B$2:$B$4, $A3, Ledger!$C$2:$C$4, MVW$2)),"****")</f>
        <v/>
      </c>
      <c r="MVX3" t="str">
        <f>IFERROR(IF($C3="","",SUMIFS(Ledger!$K$2:$K$4, Ledger!$B$2:$B$4, $A3, Ledger!$C$2:$C$4, MVX$2)),"****")</f>
        <v/>
      </c>
      <c r="MVY3" t="str">
        <f>IFERROR(IF($C3="","",SUMIFS(Ledger!$K$2:$K$4, Ledger!$B$2:$B$4, $A3, Ledger!$C$2:$C$4, MVY$2)),"****")</f>
        <v/>
      </c>
      <c r="MVZ3" t="str">
        <f>IFERROR(IF($C3="","",SUMIFS(Ledger!$K$2:$K$4, Ledger!$B$2:$B$4, $A3, Ledger!$C$2:$C$4, MVZ$2)),"****")</f>
        <v/>
      </c>
      <c r="MWA3" t="str">
        <f>IFERROR(IF($C3="","",SUMIFS(Ledger!$K$2:$K$4, Ledger!$B$2:$B$4, $A3, Ledger!$C$2:$C$4, MWA$2)),"****")</f>
        <v/>
      </c>
      <c r="MWB3" t="str">
        <f>IFERROR(IF($C3="","",SUMIFS(Ledger!$K$2:$K$4, Ledger!$B$2:$B$4, $A3, Ledger!$C$2:$C$4, MWB$2)),"****")</f>
        <v/>
      </c>
      <c r="MWC3" t="str">
        <f>IFERROR(IF($C3="","",SUMIFS(Ledger!$K$2:$K$4, Ledger!$B$2:$B$4, $A3, Ledger!$C$2:$C$4, MWC$2)),"****")</f>
        <v/>
      </c>
      <c r="MWD3" t="str">
        <f>IFERROR(IF($C3="","",SUMIFS(Ledger!$K$2:$K$4, Ledger!$B$2:$B$4, $A3, Ledger!$C$2:$C$4, MWD$2)),"****")</f>
        <v/>
      </c>
      <c r="MWE3" t="str">
        <f>IFERROR(IF($C3="","",SUMIFS(Ledger!$K$2:$K$4, Ledger!$B$2:$B$4, $A3, Ledger!$C$2:$C$4, MWE$2)),"****")</f>
        <v/>
      </c>
      <c r="MWF3" t="str">
        <f>IFERROR(IF($C3="","",SUMIFS(Ledger!$K$2:$K$4, Ledger!$B$2:$B$4, $A3, Ledger!$C$2:$C$4, MWF$2)),"****")</f>
        <v/>
      </c>
      <c r="MWG3" t="str">
        <f>IFERROR(IF($C3="","",SUMIFS(Ledger!$K$2:$K$4, Ledger!$B$2:$B$4, $A3, Ledger!$C$2:$C$4, MWG$2)),"****")</f>
        <v/>
      </c>
      <c r="MWH3" t="str">
        <f>IFERROR(IF($C3="","",SUMIFS(Ledger!$K$2:$K$4, Ledger!$B$2:$B$4, $A3, Ledger!$C$2:$C$4, MWH$2)),"****")</f>
        <v/>
      </c>
      <c r="MWI3" t="str">
        <f>IFERROR(IF($C3="","",SUMIFS(Ledger!$K$2:$K$4, Ledger!$B$2:$B$4, $A3, Ledger!$C$2:$C$4, MWI$2)),"****")</f>
        <v/>
      </c>
      <c r="MWJ3" t="str">
        <f>IFERROR(IF($C3="","",SUMIFS(Ledger!$K$2:$K$4, Ledger!$B$2:$B$4, $A3, Ledger!$C$2:$C$4, MWJ$2)),"****")</f>
        <v/>
      </c>
      <c r="MWK3" t="str">
        <f>IFERROR(IF($C3="","",SUMIFS(Ledger!$K$2:$K$4, Ledger!$B$2:$B$4, $A3, Ledger!$C$2:$C$4, MWK$2)),"****")</f>
        <v/>
      </c>
      <c r="MWL3" t="str">
        <f>IFERROR(IF($C3="","",SUMIFS(Ledger!$K$2:$K$4, Ledger!$B$2:$B$4, $A3, Ledger!$C$2:$C$4, MWL$2)),"****")</f>
        <v/>
      </c>
      <c r="MWM3" t="str">
        <f>IFERROR(IF($C3="","",SUMIFS(Ledger!$K$2:$K$4, Ledger!$B$2:$B$4, $A3, Ledger!$C$2:$C$4, MWM$2)),"****")</f>
        <v/>
      </c>
      <c r="MWN3" t="str">
        <f>IFERROR(IF($C3="","",SUMIFS(Ledger!$K$2:$K$4, Ledger!$B$2:$B$4, $A3, Ledger!$C$2:$C$4, MWN$2)),"****")</f>
        <v/>
      </c>
      <c r="MWO3" t="str">
        <f>IFERROR(IF($C3="","",SUMIFS(Ledger!$K$2:$K$4, Ledger!$B$2:$B$4, $A3, Ledger!$C$2:$C$4, MWO$2)),"****")</f>
        <v/>
      </c>
      <c r="MWP3" t="str">
        <f>IFERROR(IF($C3="","",SUMIFS(Ledger!$K$2:$K$4, Ledger!$B$2:$B$4, $A3, Ledger!$C$2:$C$4, MWP$2)),"****")</f>
        <v/>
      </c>
      <c r="MWQ3" t="str">
        <f>IFERROR(IF($C3="","",SUMIFS(Ledger!$K$2:$K$4, Ledger!$B$2:$B$4, $A3, Ledger!$C$2:$C$4, MWQ$2)),"****")</f>
        <v/>
      </c>
      <c r="MWR3" t="str">
        <f>IFERROR(IF($C3="","",SUMIFS(Ledger!$K$2:$K$4, Ledger!$B$2:$B$4, $A3, Ledger!$C$2:$C$4, MWR$2)),"****")</f>
        <v/>
      </c>
      <c r="MWS3" t="str">
        <f>IFERROR(IF($C3="","",SUMIFS(Ledger!$K$2:$K$4, Ledger!$B$2:$B$4, $A3, Ledger!$C$2:$C$4, MWS$2)),"****")</f>
        <v/>
      </c>
      <c r="MWT3" t="str">
        <f>IFERROR(IF($C3="","",SUMIFS(Ledger!$K$2:$K$4, Ledger!$B$2:$B$4, $A3, Ledger!$C$2:$C$4, MWT$2)),"****")</f>
        <v/>
      </c>
      <c r="MWU3" t="str">
        <f>IFERROR(IF($C3="","",SUMIFS(Ledger!$K$2:$K$4, Ledger!$B$2:$B$4, $A3, Ledger!$C$2:$C$4, MWU$2)),"****")</f>
        <v/>
      </c>
      <c r="MWV3" t="str">
        <f>IFERROR(IF($C3="","",SUMIFS(Ledger!$K$2:$K$4, Ledger!$B$2:$B$4, $A3, Ledger!$C$2:$C$4, MWV$2)),"****")</f>
        <v/>
      </c>
      <c r="MWW3" t="str">
        <f>IFERROR(IF($C3="","",SUMIFS(Ledger!$K$2:$K$4, Ledger!$B$2:$B$4, $A3, Ledger!$C$2:$C$4, MWW$2)),"****")</f>
        <v/>
      </c>
      <c r="MWX3" t="str">
        <f>IFERROR(IF($C3="","",SUMIFS(Ledger!$K$2:$K$4, Ledger!$B$2:$B$4, $A3, Ledger!$C$2:$C$4, MWX$2)),"****")</f>
        <v/>
      </c>
      <c r="MWY3" t="str">
        <f>IFERROR(IF($C3="","",SUMIFS(Ledger!$K$2:$K$4, Ledger!$B$2:$B$4, $A3, Ledger!$C$2:$C$4, MWY$2)),"****")</f>
        <v/>
      </c>
      <c r="MWZ3" t="str">
        <f>IFERROR(IF($C3="","",SUMIFS(Ledger!$K$2:$K$4, Ledger!$B$2:$B$4, $A3, Ledger!$C$2:$C$4, MWZ$2)),"****")</f>
        <v/>
      </c>
      <c r="MXA3" t="str">
        <f>IFERROR(IF($C3="","",SUMIFS(Ledger!$K$2:$K$4, Ledger!$B$2:$B$4, $A3, Ledger!$C$2:$C$4, MXA$2)),"****")</f>
        <v/>
      </c>
      <c r="MXB3" t="str">
        <f>IFERROR(IF($C3="","",SUMIFS(Ledger!$K$2:$K$4, Ledger!$B$2:$B$4, $A3, Ledger!$C$2:$C$4, MXB$2)),"****")</f>
        <v/>
      </c>
      <c r="MXC3" t="str">
        <f>IFERROR(IF($C3="","",SUMIFS(Ledger!$K$2:$K$4, Ledger!$B$2:$B$4, $A3, Ledger!$C$2:$C$4, MXC$2)),"****")</f>
        <v/>
      </c>
      <c r="MXD3" t="str">
        <f>IFERROR(IF($C3="","",SUMIFS(Ledger!$K$2:$K$4, Ledger!$B$2:$B$4, $A3, Ledger!$C$2:$C$4, MXD$2)),"****")</f>
        <v/>
      </c>
      <c r="MXE3" t="str">
        <f>IFERROR(IF($C3="","",SUMIFS(Ledger!$K$2:$K$4, Ledger!$B$2:$B$4, $A3, Ledger!$C$2:$C$4, MXE$2)),"****")</f>
        <v/>
      </c>
      <c r="MXF3" t="str">
        <f>IFERROR(IF($C3="","",SUMIFS(Ledger!$K$2:$K$4, Ledger!$B$2:$B$4, $A3, Ledger!$C$2:$C$4, MXF$2)),"****")</f>
        <v/>
      </c>
      <c r="MXG3" t="str">
        <f>IFERROR(IF($C3="","",SUMIFS(Ledger!$K$2:$K$4, Ledger!$B$2:$B$4, $A3, Ledger!$C$2:$C$4, MXG$2)),"****")</f>
        <v/>
      </c>
      <c r="MXH3" t="str">
        <f>IFERROR(IF($C3="","",SUMIFS(Ledger!$K$2:$K$4, Ledger!$B$2:$B$4, $A3, Ledger!$C$2:$C$4, MXH$2)),"****")</f>
        <v/>
      </c>
      <c r="MXI3" t="str">
        <f>IFERROR(IF($C3="","",SUMIFS(Ledger!$K$2:$K$4, Ledger!$B$2:$B$4, $A3, Ledger!$C$2:$C$4, MXI$2)),"****")</f>
        <v/>
      </c>
      <c r="MXJ3" t="str">
        <f>IFERROR(IF($C3="","",SUMIFS(Ledger!$K$2:$K$4, Ledger!$B$2:$B$4, $A3, Ledger!$C$2:$C$4, MXJ$2)),"****")</f>
        <v/>
      </c>
      <c r="MXK3" t="str">
        <f>IFERROR(IF($C3="","",SUMIFS(Ledger!$K$2:$K$4, Ledger!$B$2:$B$4, $A3, Ledger!$C$2:$C$4, MXK$2)),"****")</f>
        <v/>
      </c>
      <c r="MXL3" t="str">
        <f>IFERROR(IF($C3="","",SUMIFS(Ledger!$K$2:$K$4, Ledger!$B$2:$B$4, $A3, Ledger!$C$2:$C$4, MXL$2)),"****")</f>
        <v/>
      </c>
      <c r="MXM3" t="str">
        <f>IFERROR(IF($C3="","",SUMIFS(Ledger!$K$2:$K$4, Ledger!$B$2:$B$4, $A3, Ledger!$C$2:$C$4, MXM$2)),"****")</f>
        <v/>
      </c>
      <c r="MXN3" t="str">
        <f>IFERROR(IF($C3="","",SUMIFS(Ledger!$K$2:$K$4, Ledger!$B$2:$B$4, $A3, Ledger!$C$2:$C$4, MXN$2)),"****")</f>
        <v/>
      </c>
      <c r="MXO3" t="str">
        <f>IFERROR(IF($C3="","",SUMIFS(Ledger!$K$2:$K$4, Ledger!$B$2:$B$4, $A3, Ledger!$C$2:$C$4, MXO$2)),"****")</f>
        <v/>
      </c>
      <c r="MXP3" t="str">
        <f>IFERROR(IF($C3="","",SUMIFS(Ledger!$K$2:$K$4, Ledger!$B$2:$B$4, $A3, Ledger!$C$2:$C$4, MXP$2)),"****")</f>
        <v/>
      </c>
      <c r="MXQ3" t="str">
        <f>IFERROR(IF($C3="","",SUMIFS(Ledger!$K$2:$K$4, Ledger!$B$2:$B$4, $A3, Ledger!$C$2:$C$4, MXQ$2)),"****")</f>
        <v/>
      </c>
      <c r="MXR3" t="str">
        <f>IFERROR(IF($C3="","",SUMIFS(Ledger!$K$2:$K$4, Ledger!$B$2:$B$4, $A3, Ledger!$C$2:$C$4, MXR$2)),"****")</f>
        <v/>
      </c>
      <c r="MXS3" t="str">
        <f>IFERROR(IF($C3="","",SUMIFS(Ledger!$K$2:$K$4, Ledger!$B$2:$B$4, $A3, Ledger!$C$2:$C$4, MXS$2)),"****")</f>
        <v/>
      </c>
      <c r="MXT3" t="str">
        <f>IFERROR(IF($C3="","",SUMIFS(Ledger!$K$2:$K$4, Ledger!$B$2:$B$4, $A3, Ledger!$C$2:$C$4, MXT$2)),"****")</f>
        <v/>
      </c>
      <c r="MXU3" t="str">
        <f>IFERROR(IF($C3="","",SUMIFS(Ledger!$K$2:$K$4, Ledger!$B$2:$B$4, $A3, Ledger!$C$2:$C$4, MXU$2)),"****")</f>
        <v/>
      </c>
      <c r="MXV3" t="str">
        <f>IFERROR(IF($C3="","",SUMIFS(Ledger!$K$2:$K$4, Ledger!$B$2:$B$4, $A3, Ledger!$C$2:$C$4, MXV$2)),"****")</f>
        <v/>
      </c>
      <c r="MXW3" t="str">
        <f>IFERROR(IF($C3="","",SUMIFS(Ledger!$K$2:$K$4, Ledger!$B$2:$B$4, $A3, Ledger!$C$2:$C$4, MXW$2)),"****")</f>
        <v/>
      </c>
      <c r="MXX3" t="str">
        <f>IFERROR(IF($C3="","",SUMIFS(Ledger!$K$2:$K$4, Ledger!$B$2:$B$4, $A3, Ledger!$C$2:$C$4, MXX$2)),"****")</f>
        <v/>
      </c>
      <c r="MXY3" t="str">
        <f>IFERROR(IF($C3="","",SUMIFS(Ledger!$K$2:$K$4, Ledger!$B$2:$B$4, $A3, Ledger!$C$2:$C$4, MXY$2)),"****")</f>
        <v/>
      </c>
      <c r="MXZ3" t="str">
        <f>IFERROR(IF($C3="","",SUMIFS(Ledger!$K$2:$K$4, Ledger!$B$2:$B$4, $A3, Ledger!$C$2:$C$4, MXZ$2)),"****")</f>
        <v/>
      </c>
      <c r="MYA3" t="str">
        <f>IFERROR(IF($C3="","",SUMIFS(Ledger!$K$2:$K$4, Ledger!$B$2:$B$4, $A3, Ledger!$C$2:$C$4, MYA$2)),"****")</f>
        <v/>
      </c>
      <c r="MYB3" t="str">
        <f>IFERROR(IF($C3="","",SUMIFS(Ledger!$K$2:$K$4, Ledger!$B$2:$B$4, $A3, Ledger!$C$2:$C$4, MYB$2)),"****")</f>
        <v/>
      </c>
      <c r="MYC3" t="str">
        <f>IFERROR(IF($C3="","",SUMIFS(Ledger!$K$2:$K$4, Ledger!$B$2:$B$4, $A3, Ledger!$C$2:$C$4, MYC$2)),"****")</f>
        <v/>
      </c>
      <c r="MYD3" t="str">
        <f>IFERROR(IF($C3="","",SUMIFS(Ledger!$K$2:$K$4, Ledger!$B$2:$B$4, $A3, Ledger!$C$2:$C$4, MYD$2)),"****")</f>
        <v/>
      </c>
      <c r="MYE3" t="str">
        <f>IFERROR(IF($C3="","",SUMIFS(Ledger!$K$2:$K$4, Ledger!$B$2:$B$4, $A3, Ledger!$C$2:$C$4, MYE$2)),"****")</f>
        <v/>
      </c>
      <c r="MYF3" t="str">
        <f>IFERROR(IF($C3="","",SUMIFS(Ledger!$K$2:$K$4, Ledger!$B$2:$B$4, $A3, Ledger!$C$2:$C$4, MYF$2)),"****")</f>
        <v/>
      </c>
      <c r="MYG3" t="str">
        <f>IFERROR(IF($C3="","",SUMIFS(Ledger!$K$2:$K$4, Ledger!$B$2:$B$4, $A3, Ledger!$C$2:$C$4, MYG$2)),"****")</f>
        <v/>
      </c>
      <c r="MYH3" t="str">
        <f>IFERROR(IF($C3="","",SUMIFS(Ledger!$K$2:$K$4, Ledger!$B$2:$B$4, $A3, Ledger!$C$2:$C$4, MYH$2)),"****")</f>
        <v/>
      </c>
      <c r="MYI3" t="str">
        <f>IFERROR(IF($C3="","",SUMIFS(Ledger!$K$2:$K$4, Ledger!$B$2:$B$4, $A3, Ledger!$C$2:$C$4, MYI$2)),"****")</f>
        <v/>
      </c>
      <c r="MYJ3" t="str">
        <f>IFERROR(IF($C3="","",SUMIFS(Ledger!$K$2:$K$4, Ledger!$B$2:$B$4, $A3, Ledger!$C$2:$C$4, MYJ$2)),"****")</f>
        <v/>
      </c>
      <c r="MYK3" t="str">
        <f>IFERROR(IF($C3="","",SUMIFS(Ledger!$K$2:$K$4, Ledger!$B$2:$B$4, $A3, Ledger!$C$2:$C$4, MYK$2)),"****")</f>
        <v/>
      </c>
      <c r="MYL3" t="str">
        <f>IFERROR(IF($C3="","",SUMIFS(Ledger!$K$2:$K$4, Ledger!$B$2:$B$4, $A3, Ledger!$C$2:$C$4, MYL$2)),"****")</f>
        <v/>
      </c>
      <c r="MYM3" t="str">
        <f>IFERROR(IF($C3="","",SUMIFS(Ledger!$K$2:$K$4, Ledger!$B$2:$B$4, $A3, Ledger!$C$2:$C$4, MYM$2)),"****")</f>
        <v/>
      </c>
      <c r="MYN3" t="str">
        <f>IFERROR(IF($C3="","",SUMIFS(Ledger!$K$2:$K$4, Ledger!$B$2:$B$4, $A3, Ledger!$C$2:$C$4, MYN$2)),"****")</f>
        <v/>
      </c>
      <c r="MYO3" t="str">
        <f>IFERROR(IF($C3="","",SUMIFS(Ledger!$K$2:$K$4, Ledger!$B$2:$B$4, $A3, Ledger!$C$2:$C$4, MYO$2)),"****")</f>
        <v/>
      </c>
      <c r="MYP3" t="str">
        <f>IFERROR(IF($C3="","",SUMIFS(Ledger!$K$2:$K$4, Ledger!$B$2:$B$4, $A3, Ledger!$C$2:$C$4, MYP$2)),"****")</f>
        <v/>
      </c>
      <c r="MYQ3" t="str">
        <f>IFERROR(IF($C3="","",SUMIFS(Ledger!$K$2:$K$4, Ledger!$B$2:$B$4, $A3, Ledger!$C$2:$C$4, MYQ$2)),"****")</f>
        <v/>
      </c>
      <c r="MYR3" t="str">
        <f>IFERROR(IF($C3="","",SUMIFS(Ledger!$K$2:$K$4, Ledger!$B$2:$B$4, $A3, Ledger!$C$2:$C$4, MYR$2)),"****")</f>
        <v/>
      </c>
      <c r="MYS3" t="str">
        <f>IFERROR(IF($C3="","",SUMIFS(Ledger!$K$2:$K$4, Ledger!$B$2:$B$4, $A3, Ledger!$C$2:$C$4, MYS$2)),"****")</f>
        <v/>
      </c>
      <c r="MYT3" t="str">
        <f>IFERROR(IF($C3="","",SUMIFS(Ledger!$K$2:$K$4, Ledger!$B$2:$B$4, $A3, Ledger!$C$2:$C$4, MYT$2)),"****")</f>
        <v/>
      </c>
      <c r="MYU3" t="str">
        <f>IFERROR(IF($C3="","",SUMIFS(Ledger!$K$2:$K$4, Ledger!$B$2:$B$4, $A3, Ledger!$C$2:$C$4, MYU$2)),"****")</f>
        <v/>
      </c>
      <c r="MYV3" t="str">
        <f>IFERROR(IF($C3="","",SUMIFS(Ledger!$K$2:$K$4, Ledger!$B$2:$B$4, $A3, Ledger!$C$2:$C$4, MYV$2)),"****")</f>
        <v/>
      </c>
      <c r="MYW3" t="str">
        <f>IFERROR(IF($C3="","",SUMIFS(Ledger!$K$2:$K$4, Ledger!$B$2:$B$4, $A3, Ledger!$C$2:$C$4, MYW$2)),"****")</f>
        <v/>
      </c>
      <c r="MYX3" t="str">
        <f>IFERROR(IF($C3="","",SUMIFS(Ledger!$K$2:$K$4, Ledger!$B$2:$B$4, $A3, Ledger!$C$2:$C$4, MYX$2)),"****")</f>
        <v/>
      </c>
      <c r="MYY3" t="str">
        <f>IFERROR(IF($C3="","",SUMIFS(Ledger!$K$2:$K$4, Ledger!$B$2:$B$4, $A3, Ledger!$C$2:$C$4, MYY$2)),"****")</f>
        <v/>
      </c>
      <c r="MYZ3" t="str">
        <f>IFERROR(IF($C3="","",SUMIFS(Ledger!$K$2:$K$4, Ledger!$B$2:$B$4, $A3, Ledger!$C$2:$C$4, MYZ$2)),"****")</f>
        <v/>
      </c>
      <c r="MZA3" t="str">
        <f>IFERROR(IF($C3="","",SUMIFS(Ledger!$K$2:$K$4, Ledger!$B$2:$B$4, $A3, Ledger!$C$2:$C$4, MZA$2)),"****")</f>
        <v/>
      </c>
      <c r="MZB3" t="str">
        <f>IFERROR(IF($C3="","",SUMIFS(Ledger!$K$2:$K$4, Ledger!$B$2:$B$4, $A3, Ledger!$C$2:$C$4, MZB$2)),"****")</f>
        <v/>
      </c>
      <c r="MZC3" t="str">
        <f>IFERROR(IF($C3="","",SUMIFS(Ledger!$K$2:$K$4, Ledger!$B$2:$B$4, $A3, Ledger!$C$2:$C$4, MZC$2)),"****")</f>
        <v/>
      </c>
      <c r="MZD3" t="str">
        <f>IFERROR(IF($C3="","",SUMIFS(Ledger!$K$2:$K$4, Ledger!$B$2:$B$4, $A3, Ledger!$C$2:$C$4, MZD$2)),"****")</f>
        <v/>
      </c>
      <c r="MZE3" t="str">
        <f>IFERROR(IF($C3="","",SUMIFS(Ledger!$K$2:$K$4, Ledger!$B$2:$B$4, $A3, Ledger!$C$2:$C$4, MZE$2)),"****")</f>
        <v/>
      </c>
      <c r="MZF3" t="str">
        <f>IFERROR(IF($C3="","",SUMIFS(Ledger!$K$2:$K$4, Ledger!$B$2:$B$4, $A3, Ledger!$C$2:$C$4, MZF$2)),"****")</f>
        <v/>
      </c>
      <c r="MZG3" t="str">
        <f>IFERROR(IF($C3="","",SUMIFS(Ledger!$K$2:$K$4, Ledger!$B$2:$B$4, $A3, Ledger!$C$2:$C$4, MZG$2)),"****")</f>
        <v/>
      </c>
      <c r="MZH3" t="str">
        <f>IFERROR(IF($C3="","",SUMIFS(Ledger!$K$2:$K$4, Ledger!$B$2:$B$4, $A3, Ledger!$C$2:$C$4, MZH$2)),"****")</f>
        <v/>
      </c>
      <c r="MZI3" t="str">
        <f>IFERROR(IF($C3="","",SUMIFS(Ledger!$K$2:$K$4, Ledger!$B$2:$B$4, $A3, Ledger!$C$2:$C$4, MZI$2)),"****")</f>
        <v/>
      </c>
      <c r="MZJ3" t="str">
        <f>IFERROR(IF($C3="","",SUMIFS(Ledger!$K$2:$K$4, Ledger!$B$2:$B$4, $A3, Ledger!$C$2:$C$4, MZJ$2)),"****")</f>
        <v/>
      </c>
      <c r="MZK3" t="str">
        <f>IFERROR(IF($C3="","",SUMIFS(Ledger!$K$2:$K$4, Ledger!$B$2:$B$4, $A3, Ledger!$C$2:$C$4, MZK$2)),"****")</f>
        <v/>
      </c>
      <c r="MZL3" t="str">
        <f>IFERROR(IF($C3="","",SUMIFS(Ledger!$K$2:$K$4, Ledger!$B$2:$B$4, $A3, Ledger!$C$2:$C$4, MZL$2)),"****")</f>
        <v/>
      </c>
      <c r="MZM3" t="str">
        <f>IFERROR(IF($C3="","",SUMIFS(Ledger!$K$2:$K$4, Ledger!$B$2:$B$4, $A3, Ledger!$C$2:$C$4, MZM$2)),"****")</f>
        <v/>
      </c>
      <c r="MZN3" t="str">
        <f>IFERROR(IF($C3="","",SUMIFS(Ledger!$K$2:$K$4, Ledger!$B$2:$B$4, $A3, Ledger!$C$2:$C$4, MZN$2)),"****")</f>
        <v/>
      </c>
      <c r="MZO3" t="str">
        <f>IFERROR(IF($C3="","",SUMIFS(Ledger!$K$2:$K$4, Ledger!$B$2:$B$4, $A3, Ledger!$C$2:$C$4, MZO$2)),"****")</f>
        <v/>
      </c>
      <c r="MZP3" t="str">
        <f>IFERROR(IF($C3="","",SUMIFS(Ledger!$K$2:$K$4, Ledger!$B$2:$B$4, $A3, Ledger!$C$2:$C$4, MZP$2)),"****")</f>
        <v/>
      </c>
      <c r="MZQ3" t="str">
        <f>IFERROR(IF($C3="","",SUMIFS(Ledger!$K$2:$K$4, Ledger!$B$2:$B$4, $A3, Ledger!$C$2:$C$4, MZQ$2)),"****")</f>
        <v/>
      </c>
      <c r="MZR3" t="str">
        <f>IFERROR(IF($C3="","",SUMIFS(Ledger!$K$2:$K$4, Ledger!$B$2:$B$4, $A3, Ledger!$C$2:$C$4, MZR$2)),"****")</f>
        <v/>
      </c>
      <c r="MZS3" t="str">
        <f>IFERROR(IF($C3="","",SUMIFS(Ledger!$K$2:$K$4, Ledger!$B$2:$B$4, $A3, Ledger!$C$2:$C$4, MZS$2)),"****")</f>
        <v/>
      </c>
      <c r="MZT3" t="str">
        <f>IFERROR(IF($C3="","",SUMIFS(Ledger!$K$2:$K$4, Ledger!$B$2:$B$4, $A3, Ledger!$C$2:$C$4, MZT$2)),"****")</f>
        <v/>
      </c>
      <c r="MZU3" t="str">
        <f>IFERROR(IF($C3="","",SUMIFS(Ledger!$K$2:$K$4, Ledger!$B$2:$B$4, $A3, Ledger!$C$2:$C$4, MZU$2)),"****")</f>
        <v/>
      </c>
      <c r="MZV3" t="str">
        <f>IFERROR(IF($C3="","",SUMIFS(Ledger!$K$2:$K$4, Ledger!$B$2:$B$4, $A3, Ledger!$C$2:$C$4, MZV$2)),"****")</f>
        <v/>
      </c>
      <c r="MZW3" t="str">
        <f>IFERROR(IF($C3="","",SUMIFS(Ledger!$K$2:$K$4, Ledger!$B$2:$B$4, $A3, Ledger!$C$2:$C$4, MZW$2)),"****")</f>
        <v/>
      </c>
      <c r="MZX3" t="str">
        <f>IFERROR(IF($C3="","",SUMIFS(Ledger!$K$2:$K$4, Ledger!$B$2:$B$4, $A3, Ledger!$C$2:$C$4, MZX$2)),"****")</f>
        <v/>
      </c>
      <c r="MZY3" t="str">
        <f>IFERROR(IF($C3="","",SUMIFS(Ledger!$K$2:$K$4, Ledger!$B$2:$B$4, $A3, Ledger!$C$2:$C$4, MZY$2)),"****")</f>
        <v/>
      </c>
      <c r="MZZ3" t="str">
        <f>IFERROR(IF($C3="","",SUMIFS(Ledger!$K$2:$K$4, Ledger!$B$2:$B$4, $A3, Ledger!$C$2:$C$4, MZZ$2)),"****")</f>
        <v/>
      </c>
      <c r="NAA3" t="str">
        <f>IFERROR(IF($C3="","",SUMIFS(Ledger!$K$2:$K$4, Ledger!$B$2:$B$4, $A3, Ledger!$C$2:$C$4, NAA$2)),"****")</f>
        <v/>
      </c>
      <c r="NAB3" t="str">
        <f>IFERROR(IF($C3="","",SUMIFS(Ledger!$K$2:$K$4, Ledger!$B$2:$B$4, $A3, Ledger!$C$2:$C$4, NAB$2)),"****")</f>
        <v/>
      </c>
      <c r="NAC3" t="str">
        <f>IFERROR(IF($C3="","",SUMIFS(Ledger!$K$2:$K$4, Ledger!$B$2:$B$4, $A3, Ledger!$C$2:$C$4, NAC$2)),"****")</f>
        <v/>
      </c>
      <c r="NAD3" t="str">
        <f>IFERROR(IF($C3="","",SUMIFS(Ledger!$K$2:$K$4, Ledger!$B$2:$B$4, $A3, Ledger!$C$2:$C$4, NAD$2)),"****")</f>
        <v/>
      </c>
      <c r="NAE3" t="str">
        <f>IFERROR(IF($C3="","",SUMIFS(Ledger!$K$2:$K$4, Ledger!$B$2:$B$4, $A3, Ledger!$C$2:$C$4, NAE$2)),"****")</f>
        <v/>
      </c>
      <c r="NAF3" t="str">
        <f>IFERROR(IF($C3="","",SUMIFS(Ledger!$K$2:$K$4, Ledger!$B$2:$B$4, $A3, Ledger!$C$2:$C$4, NAF$2)),"****")</f>
        <v/>
      </c>
      <c r="NAG3" t="str">
        <f>IFERROR(IF($C3="","",SUMIFS(Ledger!$K$2:$K$4, Ledger!$B$2:$B$4, $A3, Ledger!$C$2:$C$4, NAG$2)),"****")</f>
        <v/>
      </c>
      <c r="NAH3" t="str">
        <f>IFERROR(IF($C3="","",SUMIFS(Ledger!$K$2:$K$4, Ledger!$B$2:$B$4, $A3, Ledger!$C$2:$C$4, NAH$2)),"****")</f>
        <v/>
      </c>
      <c r="NAI3" t="str">
        <f>IFERROR(IF($C3="","",SUMIFS(Ledger!$K$2:$K$4, Ledger!$B$2:$B$4, $A3, Ledger!$C$2:$C$4, NAI$2)),"****")</f>
        <v/>
      </c>
      <c r="NAJ3" t="str">
        <f>IFERROR(IF($C3="","",SUMIFS(Ledger!$K$2:$K$4, Ledger!$B$2:$B$4, $A3, Ledger!$C$2:$C$4, NAJ$2)),"****")</f>
        <v/>
      </c>
      <c r="NAK3" t="str">
        <f>IFERROR(IF($C3="","",SUMIFS(Ledger!$K$2:$K$4, Ledger!$B$2:$B$4, $A3, Ledger!$C$2:$C$4, NAK$2)),"****")</f>
        <v/>
      </c>
      <c r="NAL3" t="str">
        <f>IFERROR(IF($C3="","",SUMIFS(Ledger!$K$2:$K$4, Ledger!$B$2:$B$4, $A3, Ledger!$C$2:$C$4, NAL$2)),"****")</f>
        <v/>
      </c>
      <c r="NAM3" t="str">
        <f>IFERROR(IF($C3="","",SUMIFS(Ledger!$K$2:$K$4, Ledger!$B$2:$B$4, $A3, Ledger!$C$2:$C$4, NAM$2)),"****")</f>
        <v/>
      </c>
      <c r="NAN3" t="str">
        <f>IFERROR(IF($C3="","",SUMIFS(Ledger!$K$2:$K$4, Ledger!$B$2:$B$4, $A3, Ledger!$C$2:$C$4, NAN$2)),"****")</f>
        <v/>
      </c>
      <c r="NAO3" t="str">
        <f>IFERROR(IF($C3="","",SUMIFS(Ledger!$K$2:$K$4, Ledger!$B$2:$B$4, $A3, Ledger!$C$2:$C$4, NAO$2)),"****")</f>
        <v/>
      </c>
      <c r="NAP3" t="str">
        <f>IFERROR(IF($C3="","",SUMIFS(Ledger!$K$2:$K$4, Ledger!$B$2:$B$4, $A3, Ledger!$C$2:$C$4, NAP$2)),"****")</f>
        <v/>
      </c>
      <c r="NAQ3" t="str">
        <f>IFERROR(IF($C3="","",SUMIFS(Ledger!$K$2:$K$4, Ledger!$B$2:$B$4, $A3, Ledger!$C$2:$C$4, NAQ$2)),"****")</f>
        <v/>
      </c>
      <c r="NAR3" t="str">
        <f>IFERROR(IF($C3="","",SUMIFS(Ledger!$K$2:$K$4, Ledger!$B$2:$B$4, $A3, Ledger!$C$2:$C$4, NAR$2)),"****")</f>
        <v/>
      </c>
      <c r="NAS3" t="str">
        <f>IFERROR(IF($C3="","",SUMIFS(Ledger!$K$2:$K$4, Ledger!$B$2:$B$4, $A3, Ledger!$C$2:$C$4, NAS$2)),"****")</f>
        <v/>
      </c>
      <c r="NAT3" t="str">
        <f>IFERROR(IF($C3="","",SUMIFS(Ledger!$K$2:$K$4, Ledger!$B$2:$B$4, $A3, Ledger!$C$2:$C$4, NAT$2)),"****")</f>
        <v/>
      </c>
      <c r="NAU3" t="str">
        <f>IFERROR(IF($C3="","",SUMIFS(Ledger!$K$2:$K$4, Ledger!$B$2:$B$4, $A3, Ledger!$C$2:$C$4, NAU$2)),"****")</f>
        <v/>
      </c>
      <c r="NAV3" t="str">
        <f>IFERROR(IF($C3="","",SUMIFS(Ledger!$K$2:$K$4, Ledger!$B$2:$B$4, $A3, Ledger!$C$2:$C$4, NAV$2)),"****")</f>
        <v/>
      </c>
      <c r="NAW3" t="str">
        <f>IFERROR(IF($C3="","",SUMIFS(Ledger!$K$2:$K$4, Ledger!$B$2:$B$4, $A3, Ledger!$C$2:$C$4, NAW$2)),"****")</f>
        <v/>
      </c>
      <c r="NAX3" t="str">
        <f>IFERROR(IF($C3="","",SUMIFS(Ledger!$K$2:$K$4, Ledger!$B$2:$B$4, $A3, Ledger!$C$2:$C$4, NAX$2)),"****")</f>
        <v/>
      </c>
      <c r="NAY3" t="str">
        <f>IFERROR(IF($C3="","",SUMIFS(Ledger!$K$2:$K$4, Ledger!$B$2:$B$4, $A3, Ledger!$C$2:$C$4, NAY$2)),"****")</f>
        <v/>
      </c>
      <c r="NAZ3" t="str">
        <f>IFERROR(IF($C3="","",SUMIFS(Ledger!$K$2:$K$4, Ledger!$B$2:$B$4, $A3, Ledger!$C$2:$C$4, NAZ$2)),"****")</f>
        <v/>
      </c>
      <c r="NBA3" t="str">
        <f>IFERROR(IF($C3="","",SUMIFS(Ledger!$K$2:$K$4, Ledger!$B$2:$B$4, $A3, Ledger!$C$2:$C$4, NBA$2)),"****")</f>
        <v/>
      </c>
      <c r="NBB3" t="str">
        <f>IFERROR(IF($C3="","",SUMIFS(Ledger!$K$2:$K$4, Ledger!$B$2:$B$4, $A3, Ledger!$C$2:$C$4, NBB$2)),"****")</f>
        <v/>
      </c>
      <c r="NBC3" t="str">
        <f>IFERROR(IF($C3="","",SUMIFS(Ledger!$K$2:$K$4, Ledger!$B$2:$B$4, $A3, Ledger!$C$2:$C$4, NBC$2)),"****")</f>
        <v/>
      </c>
      <c r="NBD3" t="str">
        <f>IFERROR(IF($C3="","",SUMIFS(Ledger!$K$2:$K$4, Ledger!$B$2:$B$4, $A3, Ledger!$C$2:$C$4, NBD$2)),"****")</f>
        <v/>
      </c>
      <c r="NBE3" t="str">
        <f>IFERROR(IF($C3="","",SUMIFS(Ledger!$K$2:$K$4, Ledger!$B$2:$B$4, $A3, Ledger!$C$2:$C$4, NBE$2)),"****")</f>
        <v/>
      </c>
      <c r="NBF3" t="str">
        <f>IFERROR(IF($C3="","",SUMIFS(Ledger!$K$2:$K$4, Ledger!$B$2:$B$4, $A3, Ledger!$C$2:$C$4, NBF$2)),"****")</f>
        <v/>
      </c>
      <c r="NBG3" t="str">
        <f>IFERROR(IF($C3="","",SUMIFS(Ledger!$K$2:$K$4, Ledger!$B$2:$B$4, $A3, Ledger!$C$2:$C$4, NBG$2)),"****")</f>
        <v/>
      </c>
      <c r="NBH3" t="str">
        <f>IFERROR(IF($C3="","",SUMIFS(Ledger!$K$2:$K$4, Ledger!$B$2:$B$4, $A3, Ledger!$C$2:$C$4, NBH$2)),"****")</f>
        <v/>
      </c>
      <c r="NBI3" t="str">
        <f>IFERROR(IF($C3="","",SUMIFS(Ledger!$K$2:$K$4, Ledger!$B$2:$B$4, $A3, Ledger!$C$2:$C$4, NBI$2)),"****")</f>
        <v/>
      </c>
      <c r="NBJ3" t="str">
        <f>IFERROR(IF($C3="","",SUMIFS(Ledger!$K$2:$K$4, Ledger!$B$2:$B$4, $A3, Ledger!$C$2:$C$4, NBJ$2)),"****")</f>
        <v/>
      </c>
      <c r="NBK3" t="str">
        <f>IFERROR(IF($C3="","",SUMIFS(Ledger!$K$2:$K$4, Ledger!$B$2:$B$4, $A3, Ledger!$C$2:$C$4, NBK$2)),"****")</f>
        <v/>
      </c>
      <c r="NBL3" t="str">
        <f>IFERROR(IF($C3="","",SUMIFS(Ledger!$K$2:$K$4, Ledger!$B$2:$B$4, $A3, Ledger!$C$2:$C$4, NBL$2)),"****")</f>
        <v/>
      </c>
      <c r="NBM3" t="str">
        <f>IFERROR(IF($C3="","",SUMIFS(Ledger!$K$2:$K$4, Ledger!$B$2:$B$4, $A3, Ledger!$C$2:$C$4, NBM$2)),"****")</f>
        <v/>
      </c>
      <c r="NBN3" t="str">
        <f>IFERROR(IF($C3="","",SUMIFS(Ledger!$K$2:$K$4, Ledger!$B$2:$B$4, $A3, Ledger!$C$2:$C$4, NBN$2)),"****")</f>
        <v/>
      </c>
      <c r="NBO3" t="str">
        <f>IFERROR(IF($C3="","",SUMIFS(Ledger!$K$2:$K$4, Ledger!$B$2:$B$4, $A3, Ledger!$C$2:$C$4, NBO$2)),"****")</f>
        <v/>
      </c>
      <c r="NBP3" t="str">
        <f>IFERROR(IF($C3="","",SUMIFS(Ledger!$K$2:$K$4, Ledger!$B$2:$B$4, $A3, Ledger!$C$2:$C$4, NBP$2)),"****")</f>
        <v/>
      </c>
      <c r="NBQ3" t="str">
        <f>IFERROR(IF($C3="","",SUMIFS(Ledger!$K$2:$K$4, Ledger!$B$2:$B$4, $A3, Ledger!$C$2:$C$4, NBQ$2)),"****")</f>
        <v/>
      </c>
      <c r="NBR3" t="str">
        <f>IFERROR(IF($C3="","",SUMIFS(Ledger!$K$2:$K$4, Ledger!$B$2:$B$4, $A3, Ledger!$C$2:$C$4, NBR$2)),"****")</f>
        <v/>
      </c>
      <c r="NBS3" t="str">
        <f>IFERROR(IF($C3="","",SUMIFS(Ledger!$K$2:$K$4, Ledger!$B$2:$B$4, $A3, Ledger!$C$2:$C$4, NBS$2)),"****")</f>
        <v/>
      </c>
      <c r="NBT3" t="str">
        <f>IFERROR(IF($C3="","",SUMIFS(Ledger!$K$2:$K$4, Ledger!$B$2:$B$4, $A3, Ledger!$C$2:$C$4, NBT$2)),"****")</f>
        <v/>
      </c>
      <c r="NBU3" t="str">
        <f>IFERROR(IF($C3="","",SUMIFS(Ledger!$K$2:$K$4, Ledger!$B$2:$B$4, $A3, Ledger!$C$2:$C$4, NBU$2)),"****")</f>
        <v/>
      </c>
      <c r="NBV3" t="str">
        <f>IFERROR(IF($C3="","",SUMIFS(Ledger!$K$2:$K$4, Ledger!$B$2:$B$4, $A3, Ledger!$C$2:$C$4, NBV$2)),"****")</f>
        <v/>
      </c>
      <c r="NBW3" t="str">
        <f>IFERROR(IF($C3="","",SUMIFS(Ledger!$K$2:$K$4, Ledger!$B$2:$B$4, $A3, Ledger!$C$2:$C$4, NBW$2)),"****")</f>
        <v/>
      </c>
      <c r="NBX3" t="str">
        <f>IFERROR(IF($C3="","",SUMIFS(Ledger!$K$2:$K$4, Ledger!$B$2:$B$4, $A3, Ledger!$C$2:$C$4, NBX$2)),"****")</f>
        <v/>
      </c>
      <c r="NBY3" t="str">
        <f>IFERROR(IF($C3="","",SUMIFS(Ledger!$K$2:$K$4, Ledger!$B$2:$B$4, $A3, Ledger!$C$2:$C$4, NBY$2)),"****")</f>
        <v/>
      </c>
      <c r="NBZ3" t="str">
        <f>IFERROR(IF($C3="","",SUMIFS(Ledger!$K$2:$K$4, Ledger!$B$2:$B$4, $A3, Ledger!$C$2:$C$4, NBZ$2)),"****")</f>
        <v/>
      </c>
      <c r="NCA3" t="str">
        <f>IFERROR(IF($C3="","",SUMIFS(Ledger!$K$2:$K$4, Ledger!$B$2:$B$4, $A3, Ledger!$C$2:$C$4, NCA$2)),"****")</f>
        <v/>
      </c>
      <c r="NCB3" t="str">
        <f>IFERROR(IF($C3="","",SUMIFS(Ledger!$K$2:$K$4, Ledger!$B$2:$B$4, $A3, Ledger!$C$2:$C$4, NCB$2)),"****")</f>
        <v/>
      </c>
      <c r="NCC3" t="str">
        <f>IFERROR(IF($C3="","",SUMIFS(Ledger!$K$2:$K$4, Ledger!$B$2:$B$4, $A3, Ledger!$C$2:$C$4, NCC$2)),"****")</f>
        <v/>
      </c>
      <c r="NCD3" t="str">
        <f>IFERROR(IF($C3="","",SUMIFS(Ledger!$K$2:$K$4, Ledger!$B$2:$B$4, $A3, Ledger!$C$2:$C$4, NCD$2)),"****")</f>
        <v/>
      </c>
      <c r="NCE3" t="str">
        <f>IFERROR(IF($C3="","",SUMIFS(Ledger!$K$2:$K$4, Ledger!$B$2:$B$4, $A3, Ledger!$C$2:$C$4, NCE$2)),"****")</f>
        <v/>
      </c>
      <c r="NCF3" t="str">
        <f>IFERROR(IF($C3="","",SUMIFS(Ledger!$K$2:$K$4, Ledger!$B$2:$B$4, $A3, Ledger!$C$2:$C$4, NCF$2)),"****")</f>
        <v/>
      </c>
      <c r="NCG3" t="str">
        <f>IFERROR(IF($C3="","",SUMIFS(Ledger!$K$2:$K$4, Ledger!$B$2:$B$4, $A3, Ledger!$C$2:$C$4, NCG$2)),"****")</f>
        <v/>
      </c>
      <c r="NCH3" t="str">
        <f>IFERROR(IF($C3="","",SUMIFS(Ledger!$K$2:$K$4, Ledger!$B$2:$B$4, $A3, Ledger!$C$2:$C$4, NCH$2)),"****")</f>
        <v/>
      </c>
      <c r="NCI3" t="str">
        <f>IFERROR(IF($C3="","",SUMIFS(Ledger!$K$2:$K$4, Ledger!$B$2:$B$4, $A3, Ledger!$C$2:$C$4, NCI$2)),"****")</f>
        <v/>
      </c>
      <c r="NCJ3" t="str">
        <f>IFERROR(IF($C3="","",SUMIFS(Ledger!$K$2:$K$4, Ledger!$B$2:$B$4, $A3, Ledger!$C$2:$C$4, NCJ$2)),"****")</f>
        <v/>
      </c>
      <c r="NCK3" t="str">
        <f>IFERROR(IF($C3="","",SUMIFS(Ledger!$K$2:$K$4, Ledger!$B$2:$B$4, $A3, Ledger!$C$2:$C$4, NCK$2)),"****")</f>
        <v/>
      </c>
      <c r="NCL3" t="str">
        <f>IFERROR(IF($C3="","",SUMIFS(Ledger!$K$2:$K$4, Ledger!$B$2:$B$4, $A3, Ledger!$C$2:$C$4, NCL$2)),"****")</f>
        <v/>
      </c>
      <c r="NCM3" t="str">
        <f>IFERROR(IF($C3="","",SUMIFS(Ledger!$K$2:$K$4, Ledger!$B$2:$B$4, $A3, Ledger!$C$2:$C$4, NCM$2)),"****")</f>
        <v/>
      </c>
      <c r="NCN3" t="str">
        <f>IFERROR(IF($C3="","",SUMIFS(Ledger!$K$2:$K$4, Ledger!$B$2:$B$4, $A3, Ledger!$C$2:$C$4, NCN$2)),"****")</f>
        <v/>
      </c>
      <c r="NCO3" t="str">
        <f>IFERROR(IF($C3="","",SUMIFS(Ledger!$K$2:$K$4, Ledger!$B$2:$B$4, $A3, Ledger!$C$2:$C$4, NCO$2)),"****")</f>
        <v/>
      </c>
      <c r="NCP3" t="str">
        <f>IFERROR(IF($C3="","",SUMIFS(Ledger!$K$2:$K$4, Ledger!$B$2:$B$4, $A3, Ledger!$C$2:$C$4, NCP$2)),"****")</f>
        <v/>
      </c>
      <c r="NCQ3" t="str">
        <f>IFERROR(IF($C3="","",SUMIFS(Ledger!$K$2:$K$4, Ledger!$B$2:$B$4, $A3, Ledger!$C$2:$C$4, NCQ$2)),"****")</f>
        <v/>
      </c>
      <c r="NCR3" t="str">
        <f>IFERROR(IF($C3="","",SUMIFS(Ledger!$K$2:$K$4, Ledger!$B$2:$B$4, $A3, Ledger!$C$2:$C$4, NCR$2)),"****")</f>
        <v/>
      </c>
      <c r="NCS3" t="str">
        <f>IFERROR(IF($C3="","",SUMIFS(Ledger!$K$2:$K$4, Ledger!$B$2:$B$4, $A3, Ledger!$C$2:$C$4, NCS$2)),"****")</f>
        <v/>
      </c>
      <c r="NCT3" t="str">
        <f>IFERROR(IF($C3="","",SUMIFS(Ledger!$K$2:$K$4, Ledger!$B$2:$B$4, $A3, Ledger!$C$2:$C$4, NCT$2)),"****")</f>
        <v/>
      </c>
      <c r="NCU3" t="str">
        <f>IFERROR(IF($C3="","",SUMIFS(Ledger!$K$2:$K$4, Ledger!$B$2:$B$4, $A3, Ledger!$C$2:$C$4, NCU$2)),"****")</f>
        <v/>
      </c>
      <c r="NCV3" t="str">
        <f>IFERROR(IF($C3="","",SUMIFS(Ledger!$K$2:$K$4, Ledger!$B$2:$B$4, $A3, Ledger!$C$2:$C$4, NCV$2)),"****")</f>
        <v/>
      </c>
      <c r="NCW3" t="str">
        <f>IFERROR(IF($C3="","",SUMIFS(Ledger!$K$2:$K$4, Ledger!$B$2:$B$4, $A3, Ledger!$C$2:$C$4, NCW$2)),"****")</f>
        <v/>
      </c>
      <c r="NCX3" t="str">
        <f>IFERROR(IF($C3="","",SUMIFS(Ledger!$K$2:$K$4, Ledger!$B$2:$B$4, $A3, Ledger!$C$2:$C$4, NCX$2)),"****")</f>
        <v/>
      </c>
      <c r="NCY3" t="str">
        <f>IFERROR(IF($C3="","",SUMIFS(Ledger!$K$2:$K$4, Ledger!$B$2:$B$4, $A3, Ledger!$C$2:$C$4, NCY$2)),"****")</f>
        <v/>
      </c>
      <c r="NCZ3" t="str">
        <f>IFERROR(IF($C3="","",SUMIFS(Ledger!$K$2:$K$4, Ledger!$B$2:$B$4, $A3, Ledger!$C$2:$C$4, NCZ$2)),"****")</f>
        <v/>
      </c>
      <c r="NDA3" t="str">
        <f>IFERROR(IF($C3="","",SUMIFS(Ledger!$K$2:$K$4, Ledger!$B$2:$B$4, $A3, Ledger!$C$2:$C$4, NDA$2)),"****")</f>
        <v/>
      </c>
      <c r="NDB3" t="str">
        <f>IFERROR(IF($C3="","",SUMIFS(Ledger!$K$2:$K$4, Ledger!$B$2:$B$4, $A3, Ledger!$C$2:$C$4, NDB$2)),"****")</f>
        <v/>
      </c>
      <c r="NDC3" t="str">
        <f>IFERROR(IF($C3="","",SUMIFS(Ledger!$K$2:$K$4, Ledger!$B$2:$B$4, $A3, Ledger!$C$2:$C$4, NDC$2)),"****")</f>
        <v/>
      </c>
      <c r="NDD3" t="str">
        <f>IFERROR(IF($C3="","",SUMIFS(Ledger!$K$2:$K$4, Ledger!$B$2:$B$4, $A3, Ledger!$C$2:$C$4, NDD$2)),"****")</f>
        <v/>
      </c>
      <c r="NDE3" t="str">
        <f>IFERROR(IF($C3="","",SUMIFS(Ledger!$K$2:$K$4, Ledger!$B$2:$B$4, $A3, Ledger!$C$2:$C$4, NDE$2)),"****")</f>
        <v/>
      </c>
      <c r="NDF3" t="str">
        <f>IFERROR(IF($C3="","",SUMIFS(Ledger!$K$2:$K$4, Ledger!$B$2:$B$4, $A3, Ledger!$C$2:$C$4, NDF$2)),"****")</f>
        <v/>
      </c>
      <c r="NDG3" t="str">
        <f>IFERROR(IF($C3="","",SUMIFS(Ledger!$K$2:$K$4, Ledger!$B$2:$B$4, $A3, Ledger!$C$2:$C$4, NDG$2)),"****")</f>
        <v/>
      </c>
      <c r="NDH3" t="str">
        <f>IFERROR(IF($C3="","",SUMIFS(Ledger!$K$2:$K$4, Ledger!$B$2:$B$4, $A3, Ledger!$C$2:$C$4, NDH$2)),"****")</f>
        <v/>
      </c>
      <c r="NDI3" t="str">
        <f>IFERROR(IF($C3="","",SUMIFS(Ledger!$K$2:$K$4, Ledger!$B$2:$B$4, $A3, Ledger!$C$2:$C$4, NDI$2)),"****")</f>
        <v/>
      </c>
      <c r="NDJ3" t="str">
        <f>IFERROR(IF($C3="","",SUMIFS(Ledger!$K$2:$K$4, Ledger!$B$2:$B$4, $A3, Ledger!$C$2:$C$4, NDJ$2)),"****")</f>
        <v/>
      </c>
      <c r="NDK3" t="str">
        <f>IFERROR(IF($C3="","",SUMIFS(Ledger!$K$2:$K$4, Ledger!$B$2:$B$4, $A3, Ledger!$C$2:$C$4, NDK$2)),"****")</f>
        <v/>
      </c>
      <c r="NDL3" t="str">
        <f>IFERROR(IF($C3="","",SUMIFS(Ledger!$K$2:$K$4, Ledger!$B$2:$B$4, $A3, Ledger!$C$2:$C$4, NDL$2)),"****")</f>
        <v/>
      </c>
      <c r="NDM3" t="str">
        <f>IFERROR(IF($C3="","",SUMIFS(Ledger!$K$2:$K$4, Ledger!$B$2:$B$4, $A3, Ledger!$C$2:$C$4, NDM$2)),"****")</f>
        <v/>
      </c>
      <c r="NDN3" t="str">
        <f>IFERROR(IF($C3="","",SUMIFS(Ledger!$K$2:$K$4, Ledger!$B$2:$B$4, $A3, Ledger!$C$2:$C$4, NDN$2)),"****")</f>
        <v/>
      </c>
      <c r="NDO3" t="str">
        <f>IFERROR(IF($C3="","",SUMIFS(Ledger!$K$2:$K$4, Ledger!$B$2:$B$4, $A3, Ledger!$C$2:$C$4, NDO$2)),"****")</f>
        <v/>
      </c>
      <c r="NDP3" t="str">
        <f>IFERROR(IF($C3="","",SUMIFS(Ledger!$K$2:$K$4, Ledger!$B$2:$B$4, $A3, Ledger!$C$2:$C$4, NDP$2)),"****")</f>
        <v/>
      </c>
      <c r="NDQ3" t="str">
        <f>IFERROR(IF($C3="","",SUMIFS(Ledger!$K$2:$K$4, Ledger!$B$2:$B$4, $A3, Ledger!$C$2:$C$4, NDQ$2)),"****")</f>
        <v/>
      </c>
      <c r="NDR3" t="str">
        <f>IFERROR(IF($C3="","",SUMIFS(Ledger!$K$2:$K$4, Ledger!$B$2:$B$4, $A3, Ledger!$C$2:$C$4, NDR$2)),"****")</f>
        <v/>
      </c>
      <c r="NDS3" t="str">
        <f>IFERROR(IF($C3="","",SUMIFS(Ledger!$K$2:$K$4, Ledger!$B$2:$B$4, $A3, Ledger!$C$2:$C$4, NDS$2)),"****")</f>
        <v/>
      </c>
      <c r="NDT3" t="str">
        <f>IFERROR(IF($C3="","",SUMIFS(Ledger!$K$2:$K$4, Ledger!$B$2:$B$4, $A3, Ledger!$C$2:$C$4, NDT$2)),"****")</f>
        <v/>
      </c>
      <c r="NDU3" t="str">
        <f>IFERROR(IF($C3="","",SUMIFS(Ledger!$K$2:$K$4, Ledger!$B$2:$B$4, $A3, Ledger!$C$2:$C$4, NDU$2)),"****")</f>
        <v/>
      </c>
      <c r="NDV3" t="str">
        <f>IFERROR(IF($C3="","",SUMIFS(Ledger!$K$2:$K$4, Ledger!$B$2:$B$4, $A3, Ledger!$C$2:$C$4, NDV$2)),"****")</f>
        <v/>
      </c>
      <c r="NDW3" t="str">
        <f>IFERROR(IF($C3="","",SUMIFS(Ledger!$K$2:$K$4, Ledger!$B$2:$B$4, $A3, Ledger!$C$2:$C$4, NDW$2)),"****")</f>
        <v/>
      </c>
      <c r="NDX3" t="str">
        <f>IFERROR(IF($C3="","",SUMIFS(Ledger!$K$2:$K$4, Ledger!$B$2:$B$4, $A3, Ledger!$C$2:$C$4, NDX$2)),"****")</f>
        <v/>
      </c>
      <c r="NDY3" t="str">
        <f>IFERROR(IF($C3="","",SUMIFS(Ledger!$K$2:$K$4, Ledger!$B$2:$B$4, $A3, Ledger!$C$2:$C$4, NDY$2)),"****")</f>
        <v/>
      </c>
      <c r="NDZ3" t="str">
        <f>IFERROR(IF($C3="","",SUMIFS(Ledger!$K$2:$K$4, Ledger!$B$2:$B$4, $A3, Ledger!$C$2:$C$4, NDZ$2)),"****")</f>
        <v/>
      </c>
      <c r="NEA3" t="str">
        <f>IFERROR(IF($C3="","",SUMIFS(Ledger!$K$2:$K$4, Ledger!$B$2:$B$4, $A3, Ledger!$C$2:$C$4, NEA$2)),"****")</f>
        <v/>
      </c>
      <c r="NEB3" t="str">
        <f>IFERROR(IF($C3="","",SUMIFS(Ledger!$K$2:$K$4, Ledger!$B$2:$B$4, $A3, Ledger!$C$2:$C$4, NEB$2)),"****")</f>
        <v/>
      </c>
      <c r="NEC3" t="str">
        <f>IFERROR(IF($C3="","",SUMIFS(Ledger!$K$2:$K$4, Ledger!$B$2:$B$4, $A3, Ledger!$C$2:$C$4, NEC$2)),"****")</f>
        <v/>
      </c>
      <c r="NED3" t="str">
        <f>IFERROR(IF($C3="","",SUMIFS(Ledger!$K$2:$K$4, Ledger!$B$2:$B$4, $A3, Ledger!$C$2:$C$4, NED$2)),"****")</f>
        <v/>
      </c>
      <c r="NEE3" t="str">
        <f>IFERROR(IF($C3="","",SUMIFS(Ledger!$K$2:$K$4, Ledger!$B$2:$B$4, $A3, Ledger!$C$2:$C$4, NEE$2)),"****")</f>
        <v/>
      </c>
      <c r="NEF3" t="str">
        <f>IFERROR(IF($C3="","",SUMIFS(Ledger!$K$2:$K$4, Ledger!$B$2:$B$4, $A3, Ledger!$C$2:$C$4, NEF$2)),"****")</f>
        <v/>
      </c>
      <c r="NEG3" t="str">
        <f>IFERROR(IF($C3="","",SUMIFS(Ledger!$K$2:$K$4, Ledger!$B$2:$B$4, $A3, Ledger!$C$2:$C$4, NEG$2)),"****")</f>
        <v/>
      </c>
      <c r="NEH3" t="str">
        <f>IFERROR(IF($C3="","",SUMIFS(Ledger!$K$2:$K$4, Ledger!$B$2:$B$4, $A3, Ledger!$C$2:$C$4, NEH$2)),"****")</f>
        <v/>
      </c>
      <c r="NEI3" t="str">
        <f>IFERROR(IF($C3="","",SUMIFS(Ledger!$K$2:$K$4, Ledger!$B$2:$B$4, $A3, Ledger!$C$2:$C$4, NEI$2)),"****")</f>
        <v/>
      </c>
      <c r="NEJ3" t="str">
        <f>IFERROR(IF($C3="","",SUMIFS(Ledger!$K$2:$K$4, Ledger!$B$2:$B$4, $A3, Ledger!$C$2:$C$4, NEJ$2)),"****")</f>
        <v/>
      </c>
      <c r="NEK3" t="str">
        <f>IFERROR(IF($C3="","",SUMIFS(Ledger!$K$2:$K$4, Ledger!$B$2:$B$4, $A3, Ledger!$C$2:$C$4, NEK$2)),"****")</f>
        <v/>
      </c>
      <c r="NEL3" t="str">
        <f>IFERROR(IF($C3="","",SUMIFS(Ledger!$K$2:$K$4, Ledger!$B$2:$B$4, $A3, Ledger!$C$2:$C$4, NEL$2)),"****")</f>
        <v/>
      </c>
      <c r="NEM3" t="str">
        <f>IFERROR(IF($C3="","",SUMIFS(Ledger!$K$2:$K$4, Ledger!$B$2:$B$4, $A3, Ledger!$C$2:$C$4, NEM$2)),"****")</f>
        <v/>
      </c>
      <c r="NEN3" t="str">
        <f>IFERROR(IF($C3="","",SUMIFS(Ledger!$K$2:$K$4, Ledger!$B$2:$B$4, $A3, Ledger!$C$2:$C$4, NEN$2)),"****")</f>
        <v/>
      </c>
      <c r="NEO3" t="str">
        <f>IFERROR(IF($C3="","",SUMIFS(Ledger!$K$2:$K$4, Ledger!$B$2:$B$4, $A3, Ledger!$C$2:$C$4, NEO$2)),"****")</f>
        <v/>
      </c>
      <c r="NEP3" t="str">
        <f>IFERROR(IF($C3="","",SUMIFS(Ledger!$K$2:$K$4, Ledger!$B$2:$B$4, $A3, Ledger!$C$2:$C$4, NEP$2)),"****")</f>
        <v/>
      </c>
      <c r="NEQ3" t="str">
        <f>IFERROR(IF($C3="","",SUMIFS(Ledger!$K$2:$K$4, Ledger!$B$2:$B$4, $A3, Ledger!$C$2:$C$4, NEQ$2)),"****")</f>
        <v/>
      </c>
      <c r="NER3" t="str">
        <f>IFERROR(IF($C3="","",SUMIFS(Ledger!$K$2:$K$4, Ledger!$B$2:$B$4, $A3, Ledger!$C$2:$C$4, NER$2)),"****")</f>
        <v/>
      </c>
      <c r="NES3" t="str">
        <f>IFERROR(IF($C3="","",SUMIFS(Ledger!$K$2:$K$4, Ledger!$B$2:$B$4, $A3, Ledger!$C$2:$C$4, NES$2)),"****")</f>
        <v/>
      </c>
      <c r="NET3" t="str">
        <f>IFERROR(IF($C3="","",SUMIFS(Ledger!$K$2:$K$4, Ledger!$B$2:$B$4, $A3, Ledger!$C$2:$C$4, NET$2)),"****")</f>
        <v/>
      </c>
      <c r="NEU3" t="str">
        <f>IFERROR(IF($C3="","",SUMIFS(Ledger!$K$2:$K$4, Ledger!$B$2:$B$4, $A3, Ledger!$C$2:$C$4, NEU$2)),"****")</f>
        <v/>
      </c>
      <c r="NEV3" t="str">
        <f>IFERROR(IF($C3="","",SUMIFS(Ledger!$K$2:$K$4, Ledger!$B$2:$B$4, $A3, Ledger!$C$2:$C$4, NEV$2)),"****")</f>
        <v/>
      </c>
      <c r="NEW3" t="str">
        <f>IFERROR(IF($C3="","",SUMIFS(Ledger!$K$2:$K$4, Ledger!$B$2:$B$4, $A3, Ledger!$C$2:$C$4, NEW$2)),"****")</f>
        <v/>
      </c>
      <c r="NEX3" t="str">
        <f>IFERROR(IF($C3="","",SUMIFS(Ledger!$K$2:$K$4, Ledger!$B$2:$B$4, $A3, Ledger!$C$2:$C$4, NEX$2)),"****")</f>
        <v/>
      </c>
      <c r="NEY3" t="str">
        <f>IFERROR(IF($C3="","",SUMIFS(Ledger!$K$2:$K$4, Ledger!$B$2:$B$4, $A3, Ledger!$C$2:$C$4, NEY$2)),"****")</f>
        <v/>
      </c>
      <c r="NEZ3" t="str">
        <f>IFERROR(IF($C3="","",SUMIFS(Ledger!$K$2:$K$4, Ledger!$B$2:$B$4, $A3, Ledger!$C$2:$C$4, NEZ$2)),"****")</f>
        <v/>
      </c>
      <c r="NFA3" t="str">
        <f>IFERROR(IF($C3="","",SUMIFS(Ledger!$K$2:$K$4, Ledger!$B$2:$B$4, $A3, Ledger!$C$2:$C$4, NFA$2)),"****")</f>
        <v/>
      </c>
      <c r="NFB3" t="str">
        <f>IFERROR(IF($C3="","",SUMIFS(Ledger!$K$2:$K$4, Ledger!$B$2:$B$4, $A3, Ledger!$C$2:$C$4, NFB$2)),"****")</f>
        <v/>
      </c>
      <c r="NFC3" t="str">
        <f>IFERROR(IF($C3="","",SUMIFS(Ledger!$K$2:$K$4, Ledger!$B$2:$B$4, $A3, Ledger!$C$2:$C$4, NFC$2)),"****")</f>
        <v/>
      </c>
      <c r="NFD3" t="str">
        <f>IFERROR(IF($C3="","",SUMIFS(Ledger!$K$2:$K$4, Ledger!$B$2:$B$4, $A3, Ledger!$C$2:$C$4, NFD$2)),"****")</f>
        <v/>
      </c>
      <c r="NFE3" t="str">
        <f>IFERROR(IF($C3="","",SUMIFS(Ledger!$K$2:$K$4, Ledger!$B$2:$B$4, $A3, Ledger!$C$2:$C$4, NFE$2)),"****")</f>
        <v/>
      </c>
      <c r="NFF3" t="str">
        <f>IFERROR(IF($C3="","",SUMIFS(Ledger!$K$2:$K$4, Ledger!$B$2:$B$4, $A3, Ledger!$C$2:$C$4, NFF$2)),"****")</f>
        <v/>
      </c>
      <c r="NFG3" t="str">
        <f>IFERROR(IF($C3="","",SUMIFS(Ledger!$K$2:$K$4, Ledger!$B$2:$B$4, $A3, Ledger!$C$2:$C$4, NFG$2)),"****")</f>
        <v/>
      </c>
      <c r="NFH3" t="str">
        <f>IFERROR(IF($C3="","",SUMIFS(Ledger!$K$2:$K$4, Ledger!$B$2:$B$4, $A3, Ledger!$C$2:$C$4, NFH$2)),"****")</f>
        <v/>
      </c>
      <c r="NFI3" t="str">
        <f>IFERROR(IF($C3="","",SUMIFS(Ledger!$K$2:$K$4, Ledger!$B$2:$B$4, $A3, Ledger!$C$2:$C$4, NFI$2)),"****")</f>
        <v/>
      </c>
      <c r="NFJ3" t="str">
        <f>IFERROR(IF($C3="","",SUMIFS(Ledger!$K$2:$K$4, Ledger!$B$2:$B$4, $A3, Ledger!$C$2:$C$4, NFJ$2)),"****")</f>
        <v/>
      </c>
      <c r="NFK3" t="str">
        <f>IFERROR(IF($C3="","",SUMIFS(Ledger!$K$2:$K$4, Ledger!$B$2:$B$4, $A3, Ledger!$C$2:$C$4, NFK$2)),"****")</f>
        <v/>
      </c>
      <c r="NFL3" t="str">
        <f>IFERROR(IF($C3="","",SUMIFS(Ledger!$K$2:$K$4, Ledger!$B$2:$B$4, $A3, Ledger!$C$2:$C$4, NFL$2)),"****")</f>
        <v/>
      </c>
      <c r="NFM3" t="str">
        <f>IFERROR(IF($C3="","",SUMIFS(Ledger!$K$2:$K$4, Ledger!$B$2:$B$4, $A3, Ledger!$C$2:$C$4, NFM$2)),"****")</f>
        <v/>
      </c>
      <c r="NFN3" t="str">
        <f>IFERROR(IF($C3="","",SUMIFS(Ledger!$K$2:$K$4, Ledger!$B$2:$B$4, $A3, Ledger!$C$2:$C$4, NFN$2)),"****")</f>
        <v/>
      </c>
      <c r="NFO3" t="str">
        <f>IFERROR(IF($C3="","",SUMIFS(Ledger!$K$2:$K$4, Ledger!$B$2:$B$4, $A3, Ledger!$C$2:$C$4, NFO$2)),"****")</f>
        <v/>
      </c>
      <c r="NFP3" t="str">
        <f>IFERROR(IF($C3="","",SUMIFS(Ledger!$K$2:$K$4, Ledger!$B$2:$B$4, $A3, Ledger!$C$2:$C$4, NFP$2)),"****")</f>
        <v/>
      </c>
      <c r="NFQ3" t="str">
        <f>IFERROR(IF($C3="","",SUMIFS(Ledger!$K$2:$K$4, Ledger!$B$2:$B$4, $A3, Ledger!$C$2:$C$4, NFQ$2)),"****")</f>
        <v/>
      </c>
      <c r="NFR3" t="str">
        <f>IFERROR(IF($C3="","",SUMIFS(Ledger!$K$2:$K$4, Ledger!$B$2:$B$4, $A3, Ledger!$C$2:$C$4, NFR$2)),"****")</f>
        <v/>
      </c>
      <c r="NFS3" t="str">
        <f>IFERROR(IF($C3="","",SUMIFS(Ledger!$K$2:$K$4, Ledger!$B$2:$B$4, $A3, Ledger!$C$2:$C$4, NFS$2)),"****")</f>
        <v/>
      </c>
      <c r="NFT3" t="str">
        <f>IFERROR(IF($C3="","",SUMIFS(Ledger!$K$2:$K$4, Ledger!$B$2:$B$4, $A3, Ledger!$C$2:$C$4, NFT$2)),"****")</f>
        <v/>
      </c>
      <c r="NFU3" t="str">
        <f>IFERROR(IF($C3="","",SUMIFS(Ledger!$K$2:$K$4, Ledger!$B$2:$B$4, $A3, Ledger!$C$2:$C$4, NFU$2)),"****")</f>
        <v/>
      </c>
      <c r="NFV3" t="str">
        <f>IFERROR(IF($C3="","",SUMIFS(Ledger!$K$2:$K$4, Ledger!$B$2:$B$4, $A3, Ledger!$C$2:$C$4, NFV$2)),"****")</f>
        <v/>
      </c>
      <c r="NFW3" t="str">
        <f>IFERROR(IF($C3="","",SUMIFS(Ledger!$K$2:$K$4, Ledger!$B$2:$B$4, $A3, Ledger!$C$2:$C$4, NFW$2)),"****")</f>
        <v/>
      </c>
      <c r="NFX3" t="str">
        <f>IFERROR(IF($C3="","",SUMIFS(Ledger!$K$2:$K$4, Ledger!$B$2:$B$4, $A3, Ledger!$C$2:$C$4, NFX$2)),"****")</f>
        <v/>
      </c>
      <c r="NFY3" t="str">
        <f>IFERROR(IF($C3="","",SUMIFS(Ledger!$K$2:$K$4, Ledger!$B$2:$B$4, $A3, Ledger!$C$2:$C$4, NFY$2)),"****")</f>
        <v/>
      </c>
      <c r="NFZ3" t="str">
        <f>IFERROR(IF($C3="","",SUMIFS(Ledger!$K$2:$K$4, Ledger!$B$2:$B$4, $A3, Ledger!$C$2:$C$4, NFZ$2)),"****")</f>
        <v/>
      </c>
      <c r="NGA3" t="str">
        <f>IFERROR(IF($C3="","",SUMIFS(Ledger!$K$2:$K$4, Ledger!$B$2:$B$4, $A3, Ledger!$C$2:$C$4, NGA$2)),"****")</f>
        <v/>
      </c>
      <c r="NGB3" t="str">
        <f>IFERROR(IF($C3="","",SUMIFS(Ledger!$K$2:$K$4, Ledger!$B$2:$B$4, $A3, Ledger!$C$2:$C$4, NGB$2)),"****")</f>
        <v/>
      </c>
      <c r="NGC3" t="str">
        <f>IFERROR(IF($C3="","",SUMIFS(Ledger!$K$2:$K$4, Ledger!$B$2:$B$4, $A3, Ledger!$C$2:$C$4, NGC$2)),"****")</f>
        <v/>
      </c>
      <c r="NGD3" t="str">
        <f>IFERROR(IF($C3="","",SUMIFS(Ledger!$K$2:$K$4, Ledger!$B$2:$B$4, $A3, Ledger!$C$2:$C$4, NGD$2)),"****")</f>
        <v/>
      </c>
      <c r="NGE3" t="str">
        <f>IFERROR(IF($C3="","",SUMIFS(Ledger!$K$2:$K$4, Ledger!$B$2:$B$4, $A3, Ledger!$C$2:$C$4, NGE$2)),"****")</f>
        <v/>
      </c>
      <c r="NGF3" t="str">
        <f>IFERROR(IF($C3="","",SUMIFS(Ledger!$K$2:$K$4, Ledger!$B$2:$B$4, $A3, Ledger!$C$2:$C$4, NGF$2)),"****")</f>
        <v/>
      </c>
      <c r="NGG3" t="str">
        <f>IFERROR(IF($C3="","",SUMIFS(Ledger!$K$2:$K$4, Ledger!$B$2:$B$4, $A3, Ledger!$C$2:$C$4, NGG$2)),"****")</f>
        <v/>
      </c>
      <c r="NGH3" t="str">
        <f>IFERROR(IF($C3="","",SUMIFS(Ledger!$K$2:$K$4, Ledger!$B$2:$B$4, $A3, Ledger!$C$2:$C$4, NGH$2)),"****")</f>
        <v/>
      </c>
      <c r="NGI3" t="str">
        <f>IFERROR(IF($C3="","",SUMIFS(Ledger!$K$2:$K$4, Ledger!$B$2:$B$4, $A3, Ledger!$C$2:$C$4, NGI$2)),"****")</f>
        <v/>
      </c>
      <c r="NGJ3" t="str">
        <f>IFERROR(IF($C3="","",SUMIFS(Ledger!$K$2:$K$4, Ledger!$B$2:$B$4, $A3, Ledger!$C$2:$C$4, NGJ$2)),"****")</f>
        <v/>
      </c>
      <c r="NGK3" t="str">
        <f>IFERROR(IF($C3="","",SUMIFS(Ledger!$K$2:$K$4, Ledger!$B$2:$B$4, $A3, Ledger!$C$2:$C$4, NGK$2)),"****")</f>
        <v/>
      </c>
      <c r="NGL3" t="str">
        <f>IFERROR(IF($C3="","",SUMIFS(Ledger!$K$2:$K$4, Ledger!$B$2:$B$4, $A3, Ledger!$C$2:$C$4, NGL$2)),"****")</f>
        <v/>
      </c>
      <c r="NGM3" t="str">
        <f>IFERROR(IF($C3="","",SUMIFS(Ledger!$K$2:$K$4, Ledger!$B$2:$B$4, $A3, Ledger!$C$2:$C$4, NGM$2)),"****")</f>
        <v/>
      </c>
      <c r="NGN3" t="str">
        <f>IFERROR(IF($C3="","",SUMIFS(Ledger!$K$2:$K$4, Ledger!$B$2:$B$4, $A3, Ledger!$C$2:$C$4, NGN$2)),"****")</f>
        <v/>
      </c>
      <c r="NGO3" t="str">
        <f>IFERROR(IF($C3="","",SUMIFS(Ledger!$K$2:$K$4, Ledger!$B$2:$B$4, $A3, Ledger!$C$2:$C$4, NGO$2)),"****")</f>
        <v/>
      </c>
      <c r="NGP3" t="str">
        <f>IFERROR(IF($C3="","",SUMIFS(Ledger!$K$2:$K$4, Ledger!$B$2:$B$4, $A3, Ledger!$C$2:$C$4, NGP$2)),"****")</f>
        <v/>
      </c>
      <c r="NGQ3" t="str">
        <f>IFERROR(IF($C3="","",SUMIFS(Ledger!$K$2:$K$4, Ledger!$B$2:$B$4, $A3, Ledger!$C$2:$C$4, NGQ$2)),"****")</f>
        <v/>
      </c>
      <c r="NGR3" t="str">
        <f>IFERROR(IF($C3="","",SUMIFS(Ledger!$K$2:$K$4, Ledger!$B$2:$B$4, $A3, Ledger!$C$2:$C$4, NGR$2)),"****")</f>
        <v/>
      </c>
      <c r="NGS3" t="str">
        <f>IFERROR(IF($C3="","",SUMIFS(Ledger!$K$2:$K$4, Ledger!$B$2:$B$4, $A3, Ledger!$C$2:$C$4, NGS$2)),"****")</f>
        <v/>
      </c>
      <c r="NGT3" t="str">
        <f>IFERROR(IF($C3="","",SUMIFS(Ledger!$K$2:$K$4, Ledger!$B$2:$B$4, $A3, Ledger!$C$2:$C$4, NGT$2)),"****")</f>
        <v/>
      </c>
      <c r="NGU3" t="str">
        <f>IFERROR(IF($C3="","",SUMIFS(Ledger!$K$2:$K$4, Ledger!$B$2:$B$4, $A3, Ledger!$C$2:$C$4, NGU$2)),"****")</f>
        <v/>
      </c>
      <c r="NGV3" t="str">
        <f>IFERROR(IF($C3="","",SUMIFS(Ledger!$K$2:$K$4, Ledger!$B$2:$B$4, $A3, Ledger!$C$2:$C$4, NGV$2)),"****")</f>
        <v/>
      </c>
      <c r="NGW3" t="str">
        <f>IFERROR(IF($C3="","",SUMIFS(Ledger!$K$2:$K$4, Ledger!$B$2:$B$4, $A3, Ledger!$C$2:$C$4, NGW$2)),"****")</f>
        <v/>
      </c>
      <c r="NGX3" t="str">
        <f>IFERROR(IF($C3="","",SUMIFS(Ledger!$K$2:$K$4, Ledger!$B$2:$B$4, $A3, Ledger!$C$2:$C$4, NGX$2)),"****")</f>
        <v/>
      </c>
      <c r="NGY3" t="str">
        <f>IFERROR(IF($C3="","",SUMIFS(Ledger!$K$2:$K$4, Ledger!$B$2:$B$4, $A3, Ledger!$C$2:$C$4, NGY$2)),"****")</f>
        <v/>
      </c>
      <c r="NGZ3" t="str">
        <f>IFERROR(IF($C3="","",SUMIFS(Ledger!$K$2:$K$4, Ledger!$B$2:$B$4, $A3, Ledger!$C$2:$C$4, NGZ$2)),"****")</f>
        <v/>
      </c>
      <c r="NHA3" t="str">
        <f>IFERROR(IF($C3="","",SUMIFS(Ledger!$K$2:$K$4, Ledger!$B$2:$B$4, $A3, Ledger!$C$2:$C$4, NHA$2)),"****")</f>
        <v/>
      </c>
      <c r="NHB3" t="str">
        <f>IFERROR(IF($C3="","",SUMIFS(Ledger!$K$2:$K$4, Ledger!$B$2:$B$4, $A3, Ledger!$C$2:$C$4, NHB$2)),"****")</f>
        <v/>
      </c>
      <c r="NHC3" t="str">
        <f>IFERROR(IF($C3="","",SUMIFS(Ledger!$K$2:$K$4, Ledger!$B$2:$B$4, $A3, Ledger!$C$2:$C$4, NHC$2)),"****")</f>
        <v/>
      </c>
      <c r="NHD3" t="str">
        <f>IFERROR(IF($C3="","",SUMIFS(Ledger!$K$2:$K$4, Ledger!$B$2:$B$4, $A3, Ledger!$C$2:$C$4, NHD$2)),"****")</f>
        <v/>
      </c>
      <c r="NHE3" t="str">
        <f>IFERROR(IF($C3="","",SUMIFS(Ledger!$K$2:$K$4, Ledger!$B$2:$B$4, $A3, Ledger!$C$2:$C$4, NHE$2)),"****")</f>
        <v/>
      </c>
      <c r="NHF3" t="str">
        <f>IFERROR(IF($C3="","",SUMIFS(Ledger!$K$2:$K$4, Ledger!$B$2:$B$4, $A3, Ledger!$C$2:$C$4, NHF$2)),"****")</f>
        <v/>
      </c>
      <c r="NHG3" t="str">
        <f>IFERROR(IF($C3="","",SUMIFS(Ledger!$K$2:$K$4, Ledger!$B$2:$B$4, $A3, Ledger!$C$2:$C$4, NHG$2)),"****")</f>
        <v/>
      </c>
      <c r="NHH3" t="str">
        <f>IFERROR(IF($C3="","",SUMIFS(Ledger!$K$2:$K$4, Ledger!$B$2:$B$4, $A3, Ledger!$C$2:$C$4, NHH$2)),"****")</f>
        <v/>
      </c>
      <c r="NHI3" t="str">
        <f>IFERROR(IF($C3="","",SUMIFS(Ledger!$K$2:$K$4, Ledger!$B$2:$B$4, $A3, Ledger!$C$2:$C$4, NHI$2)),"****")</f>
        <v/>
      </c>
      <c r="NHJ3" t="str">
        <f>IFERROR(IF($C3="","",SUMIFS(Ledger!$K$2:$K$4, Ledger!$B$2:$B$4, $A3, Ledger!$C$2:$C$4, NHJ$2)),"****")</f>
        <v/>
      </c>
      <c r="NHK3" t="str">
        <f>IFERROR(IF($C3="","",SUMIFS(Ledger!$K$2:$K$4, Ledger!$B$2:$B$4, $A3, Ledger!$C$2:$C$4, NHK$2)),"****")</f>
        <v/>
      </c>
      <c r="NHL3" t="str">
        <f>IFERROR(IF($C3="","",SUMIFS(Ledger!$K$2:$K$4, Ledger!$B$2:$B$4, $A3, Ledger!$C$2:$C$4, NHL$2)),"****")</f>
        <v/>
      </c>
      <c r="NHM3" t="str">
        <f>IFERROR(IF($C3="","",SUMIFS(Ledger!$K$2:$K$4, Ledger!$B$2:$B$4, $A3, Ledger!$C$2:$C$4, NHM$2)),"****")</f>
        <v/>
      </c>
      <c r="NHN3" t="str">
        <f>IFERROR(IF($C3="","",SUMIFS(Ledger!$K$2:$K$4, Ledger!$B$2:$B$4, $A3, Ledger!$C$2:$C$4, NHN$2)),"****")</f>
        <v/>
      </c>
      <c r="NHO3" t="str">
        <f>IFERROR(IF($C3="","",SUMIFS(Ledger!$K$2:$K$4, Ledger!$B$2:$B$4, $A3, Ledger!$C$2:$C$4, NHO$2)),"****")</f>
        <v/>
      </c>
      <c r="NHP3" t="str">
        <f>IFERROR(IF($C3="","",SUMIFS(Ledger!$K$2:$K$4, Ledger!$B$2:$B$4, $A3, Ledger!$C$2:$C$4, NHP$2)),"****")</f>
        <v/>
      </c>
      <c r="NHQ3" t="str">
        <f>IFERROR(IF($C3="","",SUMIFS(Ledger!$K$2:$K$4, Ledger!$B$2:$B$4, $A3, Ledger!$C$2:$C$4, NHQ$2)),"****")</f>
        <v/>
      </c>
      <c r="NHR3" t="str">
        <f>IFERROR(IF($C3="","",SUMIFS(Ledger!$K$2:$K$4, Ledger!$B$2:$B$4, $A3, Ledger!$C$2:$C$4, NHR$2)),"****")</f>
        <v/>
      </c>
      <c r="NHS3" t="str">
        <f>IFERROR(IF($C3="","",SUMIFS(Ledger!$K$2:$K$4, Ledger!$B$2:$B$4, $A3, Ledger!$C$2:$C$4, NHS$2)),"****")</f>
        <v/>
      </c>
      <c r="NHT3" t="str">
        <f>IFERROR(IF($C3="","",SUMIFS(Ledger!$K$2:$K$4, Ledger!$B$2:$B$4, $A3, Ledger!$C$2:$C$4, NHT$2)),"****")</f>
        <v/>
      </c>
      <c r="NHU3" t="str">
        <f>IFERROR(IF($C3="","",SUMIFS(Ledger!$K$2:$K$4, Ledger!$B$2:$B$4, $A3, Ledger!$C$2:$C$4, NHU$2)),"****")</f>
        <v/>
      </c>
      <c r="NHV3" t="str">
        <f>IFERROR(IF($C3="","",SUMIFS(Ledger!$K$2:$K$4, Ledger!$B$2:$B$4, $A3, Ledger!$C$2:$C$4, NHV$2)),"****")</f>
        <v/>
      </c>
      <c r="NHW3" t="str">
        <f>IFERROR(IF($C3="","",SUMIFS(Ledger!$K$2:$K$4, Ledger!$B$2:$B$4, $A3, Ledger!$C$2:$C$4, NHW$2)),"****")</f>
        <v/>
      </c>
      <c r="NHX3" t="str">
        <f>IFERROR(IF($C3="","",SUMIFS(Ledger!$K$2:$K$4, Ledger!$B$2:$B$4, $A3, Ledger!$C$2:$C$4, NHX$2)),"****")</f>
        <v/>
      </c>
      <c r="NHY3" t="str">
        <f>IFERROR(IF($C3="","",SUMIFS(Ledger!$K$2:$K$4, Ledger!$B$2:$B$4, $A3, Ledger!$C$2:$C$4, NHY$2)),"****")</f>
        <v/>
      </c>
      <c r="NHZ3" t="str">
        <f>IFERROR(IF($C3="","",SUMIFS(Ledger!$K$2:$K$4, Ledger!$B$2:$B$4, $A3, Ledger!$C$2:$C$4, NHZ$2)),"****")</f>
        <v/>
      </c>
      <c r="NIA3" t="str">
        <f>IFERROR(IF($C3="","",SUMIFS(Ledger!$K$2:$K$4, Ledger!$B$2:$B$4, $A3, Ledger!$C$2:$C$4, NIA$2)),"****")</f>
        <v/>
      </c>
      <c r="NIB3" t="str">
        <f>IFERROR(IF($C3="","",SUMIFS(Ledger!$K$2:$K$4, Ledger!$B$2:$B$4, $A3, Ledger!$C$2:$C$4, NIB$2)),"****")</f>
        <v/>
      </c>
      <c r="NIC3" t="str">
        <f>IFERROR(IF($C3="","",SUMIFS(Ledger!$K$2:$K$4, Ledger!$B$2:$B$4, $A3, Ledger!$C$2:$C$4, NIC$2)),"****")</f>
        <v/>
      </c>
      <c r="NID3" t="str">
        <f>IFERROR(IF($C3="","",SUMIFS(Ledger!$K$2:$K$4, Ledger!$B$2:$B$4, $A3, Ledger!$C$2:$C$4, NID$2)),"****")</f>
        <v/>
      </c>
      <c r="NIE3" t="str">
        <f>IFERROR(IF($C3="","",SUMIFS(Ledger!$K$2:$K$4, Ledger!$B$2:$B$4, $A3, Ledger!$C$2:$C$4, NIE$2)),"****")</f>
        <v/>
      </c>
      <c r="NIF3" t="str">
        <f>IFERROR(IF($C3="","",SUMIFS(Ledger!$K$2:$K$4, Ledger!$B$2:$B$4, $A3, Ledger!$C$2:$C$4, NIF$2)),"****")</f>
        <v/>
      </c>
      <c r="NIG3" t="str">
        <f>IFERROR(IF($C3="","",SUMIFS(Ledger!$K$2:$K$4, Ledger!$B$2:$B$4, $A3, Ledger!$C$2:$C$4, NIG$2)),"****")</f>
        <v/>
      </c>
      <c r="NIH3" t="str">
        <f>IFERROR(IF($C3="","",SUMIFS(Ledger!$K$2:$K$4, Ledger!$B$2:$B$4, $A3, Ledger!$C$2:$C$4, NIH$2)),"****")</f>
        <v/>
      </c>
      <c r="NII3" t="str">
        <f>IFERROR(IF($C3="","",SUMIFS(Ledger!$K$2:$K$4, Ledger!$B$2:$B$4, $A3, Ledger!$C$2:$C$4, NII$2)),"****")</f>
        <v/>
      </c>
      <c r="NIJ3" t="str">
        <f>IFERROR(IF($C3="","",SUMIFS(Ledger!$K$2:$K$4, Ledger!$B$2:$B$4, $A3, Ledger!$C$2:$C$4, NIJ$2)),"****")</f>
        <v/>
      </c>
      <c r="NIK3" t="str">
        <f>IFERROR(IF($C3="","",SUMIFS(Ledger!$K$2:$K$4, Ledger!$B$2:$B$4, $A3, Ledger!$C$2:$C$4, NIK$2)),"****")</f>
        <v/>
      </c>
      <c r="NIL3" t="str">
        <f>IFERROR(IF($C3="","",SUMIFS(Ledger!$K$2:$K$4, Ledger!$B$2:$B$4, $A3, Ledger!$C$2:$C$4, NIL$2)),"****")</f>
        <v/>
      </c>
      <c r="NIM3" t="str">
        <f>IFERROR(IF($C3="","",SUMIFS(Ledger!$K$2:$K$4, Ledger!$B$2:$B$4, $A3, Ledger!$C$2:$C$4, NIM$2)),"****")</f>
        <v/>
      </c>
      <c r="NIN3" t="str">
        <f>IFERROR(IF($C3="","",SUMIFS(Ledger!$K$2:$K$4, Ledger!$B$2:$B$4, $A3, Ledger!$C$2:$C$4, NIN$2)),"****")</f>
        <v/>
      </c>
      <c r="NIO3" t="str">
        <f>IFERROR(IF($C3="","",SUMIFS(Ledger!$K$2:$K$4, Ledger!$B$2:$B$4, $A3, Ledger!$C$2:$C$4, NIO$2)),"****")</f>
        <v/>
      </c>
      <c r="NIP3" t="str">
        <f>IFERROR(IF($C3="","",SUMIFS(Ledger!$K$2:$K$4, Ledger!$B$2:$B$4, $A3, Ledger!$C$2:$C$4, NIP$2)),"****")</f>
        <v/>
      </c>
      <c r="NIQ3" t="str">
        <f>IFERROR(IF($C3="","",SUMIFS(Ledger!$K$2:$K$4, Ledger!$B$2:$B$4, $A3, Ledger!$C$2:$C$4, NIQ$2)),"****")</f>
        <v/>
      </c>
      <c r="NIR3" t="str">
        <f>IFERROR(IF($C3="","",SUMIFS(Ledger!$K$2:$K$4, Ledger!$B$2:$B$4, $A3, Ledger!$C$2:$C$4, NIR$2)),"****")</f>
        <v/>
      </c>
      <c r="NIS3" t="str">
        <f>IFERROR(IF($C3="","",SUMIFS(Ledger!$K$2:$K$4, Ledger!$B$2:$B$4, $A3, Ledger!$C$2:$C$4, NIS$2)),"****")</f>
        <v/>
      </c>
      <c r="NIT3" t="str">
        <f>IFERROR(IF($C3="","",SUMIFS(Ledger!$K$2:$K$4, Ledger!$B$2:$B$4, $A3, Ledger!$C$2:$C$4, NIT$2)),"****")</f>
        <v/>
      </c>
      <c r="NIU3" t="str">
        <f>IFERROR(IF($C3="","",SUMIFS(Ledger!$K$2:$K$4, Ledger!$B$2:$B$4, $A3, Ledger!$C$2:$C$4, NIU$2)),"****")</f>
        <v/>
      </c>
      <c r="NIV3" t="str">
        <f>IFERROR(IF($C3="","",SUMIFS(Ledger!$K$2:$K$4, Ledger!$B$2:$B$4, $A3, Ledger!$C$2:$C$4, NIV$2)),"****")</f>
        <v/>
      </c>
      <c r="NIW3" t="str">
        <f>IFERROR(IF($C3="","",SUMIFS(Ledger!$K$2:$K$4, Ledger!$B$2:$B$4, $A3, Ledger!$C$2:$C$4, NIW$2)),"****")</f>
        <v/>
      </c>
      <c r="NIX3" t="str">
        <f>IFERROR(IF($C3="","",SUMIFS(Ledger!$K$2:$K$4, Ledger!$B$2:$B$4, $A3, Ledger!$C$2:$C$4, NIX$2)),"****")</f>
        <v/>
      </c>
      <c r="NIY3" t="str">
        <f>IFERROR(IF($C3="","",SUMIFS(Ledger!$K$2:$K$4, Ledger!$B$2:$B$4, $A3, Ledger!$C$2:$C$4, NIY$2)),"****")</f>
        <v/>
      </c>
      <c r="NIZ3" t="str">
        <f>IFERROR(IF($C3="","",SUMIFS(Ledger!$K$2:$K$4, Ledger!$B$2:$B$4, $A3, Ledger!$C$2:$C$4, NIZ$2)),"****")</f>
        <v/>
      </c>
      <c r="NJA3" t="str">
        <f>IFERROR(IF($C3="","",SUMIFS(Ledger!$K$2:$K$4, Ledger!$B$2:$B$4, $A3, Ledger!$C$2:$C$4, NJA$2)),"****")</f>
        <v/>
      </c>
      <c r="NJB3" t="str">
        <f>IFERROR(IF($C3="","",SUMIFS(Ledger!$K$2:$K$4, Ledger!$B$2:$B$4, $A3, Ledger!$C$2:$C$4, NJB$2)),"****")</f>
        <v/>
      </c>
      <c r="NJC3" t="str">
        <f>IFERROR(IF($C3="","",SUMIFS(Ledger!$K$2:$K$4, Ledger!$B$2:$B$4, $A3, Ledger!$C$2:$C$4, NJC$2)),"****")</f>
        <v/>
      </c>
      <c r="NJD3" t="str">
        <f>IFERROR(IF($C3="","",SUMIFS(Ledger!$K$2:$K$4, Ledger!$B$2:$B$4, $A3, Ledger!$C$2:$C$4, NJD$2)),"****")</f>
        <v/>
      </c>
      <c r="NJE3" t="str">
        <f>IFERROR(IF($C3="","",SUMIFS(Ledger!$K$2:$K$4, Ledger!$B$2:$B$4, $A3, Ledger!$C$2:$C$4, NJE$2)),"****")</f>
        <v/>
      </c>
      <c r="NJF3" t="str">
        <f>IFERROR(IF($C3="","",SUMIFS(Ledger!$K$2:$K$4, Ledger!$B$2:$B$4, $A3, Ledger!$C$2:$C$4, NJF$2)),"****")</f>
        <v/>
      </c>
      <c r="NJG3" t="str">
        <f>IFERROR(IF($C3="","",SUMIFS(Ledger!$K$2:$K$4, Ledger!$B$2:$B$4, $A3, Ledger!$C$2:$C$4, NJG$2)),"****")</f>
        <v/>
      </c>
      <c r="NJH3" t="str">
        <f>IFERROR(IF($C3="","",SUMIFS(Ledger!$K$2:$K$4, Ledger!$B$2:$B$4, $A3, Ledger!$C$2:$C$4, NJH$2)),"****")</f>
        <v/>
      </c>
      <c r="NJI3" t="str">
        <f>IFERROR(IF($C3="","",SUMIFS(Ledger!$K$2:$K$4, Ledger!$B$2:$B$4, $A3, Ledger!$C$2:$C$4, NJI$2)),"****")</f>
        <v/>
      </c>
      <c r="NJJ3" t="str">
        <f>IFERROR(IF($C3="","",SUMIFS(Ledger!$K$2:$K$4, Ledger!$B$2:$B$4, $A3, Ledger!$C$2:$C$4, NJJ$2)),"****")</f>
        <v/>
      </c>
      <c r="NJK3" t="str">
        <f>IFERROR(IF($C3="","",SUMIFS(Ledger!$K$2:$K$4, Ledger!$B$2:$B$4, $A3, Ledger!$C$2:$C$4, NJK$2)),"****")</f>
        <v/>
      </c>
      <c r="NJL3" t="str">
        <f>IFERROR(IF($C3="","",SUMIFS(Ledger!$K$2:$K$4, Ledger!$B$2:$B$4, $A3, Ledger!$C$2:$C$4, NJL$2)),"****")</f>
        <v/>
      </c>
      <c r="NJM3" t="str">
        <f>IFERROR(IF($C3="","",SUMIFS(Ledger!$K$2:$K$4, Ledger!$B$2:$B$4, $A3, Ledger!$C$2:$C$4, NJM$2)),"****")</f>
        <v/>
      </c>
      <c r="NJN3" t="str">
        <f>IFERROR(IF($C3="","",SUMIFS(Ledger!$K$2:$K$4, Ledger!$B$2:$B$4, $A3, Ledger!$C$2:$C$4, NJN$2)),"****")</f>
        <v/>
      </c>
      <c r="NJO3" t="str">
        <f>IFERROR(IF($C3="","",SUMIFS(Ledger!$K$2:$K$4, Ledger!$B$2:$B$4, $A3, Ledger!$C$2:$C$4, NJO$2)),"****")</f>
        <v/>
      </c>
      <c r="NJP3" t="str">
        <f>IFERROR(IF($C3="","",SUMIFS(Ledger!$K$2:$K$4, Ledger!$B$2:$B$4, $A3, Ledger!$C$2:$C$4, NJP$2)),"****")</f>
        <v/>
      </c>
      <c r="NJQ3" t="str">
        <f>IFERROR(IF($C3="","",SUMIFS(Ledger!$K$2:$K$4, Ledger!$B$2:$B$4, $A3, Ledger!$C$2:$C$4, NJQ$2)),"****")</f>
        <v/>
      </c>
      <c r="NJR3" t="str">
        <f>IFERROR(IF($C3="","",SUMIFS(Ledger!$K$2:$K$4, Ledger!$B$2:$B$4, $A3, Ledger!$C$2:$C$4, NJR$2)),"****")</f>
        <v/>
      </c>
      <c r="NJS3" t="str">
        <f>IFERROR(IF($C3="","",SUMIFS(Ledger!$K$2:$K$4, Ledger!$B$2:$B$4, $A3, Ledger!$C$2:$C$4, NJS$2)),"****")</f>
        <v/>
      </c>
      <c r="NJT3" t="str">
        <f>IFERROR(IF($C3="","",SUMIFS(Ledger!$K$2:$K$4, Ledger!$B$2:$B$4, $A3, Ledger!$C$2:$C$4, NJT$2)),"****")</f>
        <v/>
      </c>
      <c r="NJU3" t="str">
        <f>IFERROR(IF($C3="","",SUMIFS(Ledger!$K$2:$K$4, Ledger!$B$2:$B$4, $A3, Ledger!$C$2:$C$4, NJU$2)),"****")</f>
        <v/>
      </c>
      <c r="NJV3" t="str">
        <f>IFERROR(IF($C3="","",SUMIFS(Ledger!$K$2:$K$4, Ledger!$B$2:$B$4, $A3, Ledger!$C$2:$C$4, NJV$2)),"****")</f>
        <v/>
      </c>
      <c r="NJW3" t="str">
        <f>IFERROR(IF($C3="","",SUMIFS(Ledger!$K$2:$K$4, Ledger!$B$2:$B$4, $A3, Ledger!$C$2:$C$4, NJW$2)),"****")</f>
        <v/>
      </c>
      <c r="NJX3" t="str">
        <f>IFERROR(IF($C3="","",SUMIFS(Ledger!$K$2:$K$4, Ledger!$B$2:$B$4, $A3, Ledger!$C$2:$C$4, NJX$2)),"****")</f>
        <v/>
      </c>
      <c r="NJY3" t="str">
        <f>IFERROR(IF($C3="","",SUMIFS(Ledger!$K$2:$K$4, Ledger!$B$2:$B$4, $A3, Ledger!$C$2:$C$4, NJY$2)),"****")</f>
        <v/>
      </c>
      <c r="NJZ3" t="str">
        <f>IFERROR(IF($C3="","",SUMIFS(Ledger!$K$2:$K$4, Ledger!$B$2:$B$4, $A3, Ledger!$C$2:$C$4, NJZ$2)),"****")</f>
        <v/>
      </c>
      <c r="NKA3" t="str">
        <f>IFERROR(IF($C3="","",SUMIFS(Ledger!$K$2:$K$4, Ledger!$B$2:$B$4, $A3, Ledger!$C$2:$C$4, NKA$2)),"****")</f>
        <v/>
      </c>
      <c r="NKB3" t="str">
        <f>IFERROR(IF($C3="","",SUMIFS(Ledger!$K$2:$K$4, Ledger!$B$2:$B$4, $A3, Ledger!$C$2:$C$4, NKB$2)),"****")</f>
        <v/>
      </c>
      <c r="NKC3" t="str">
        <f>IFERROR(IF($C3="","",SUMIFS(Ledger!$K$2:$K$4, Ledger!$B$2:$B$4, $A3, Ledger!$C$2:$C$4, NKC$2)),"****")</f>
        <v/>
      </c>
      <c r="NKD3" t="str">
        <f>IFERROR(IF($C3="","",SUMIFS(Ledger!$K$2:$K$4, Ledger!$B$2:$B$4, $A3, Ledger!$C$2:$C$4, NKD$2)),"****")</f>
        <v/>
      </c>
      <c r="NKE3" t="str">
        <f>IFERROR(IF($C3="","",SUMIFS(Ledger!$K$2:$K$4, Ledger!$B$2:$B$4, $A3, Ledger!$C$2:$C$4, NKE$2)),"****")</f>
        <v/>
      </c>
      <c r="NKF3" t="str">
        <f>IFERROR(IF($C3="","",SUMIFS(Ledger!$K$2:$K$4, Ledger!$B$2:$B$4, $A3, Ledger!$C$2:$C$4, NKF$2)),"****")</f>
        <v/>
      </c>
      <c r="NKG3" t="str">
        <f>IFERROR(IF($C3="","",SUMIFS(Ledger!$K$2:$K$4, Ledger!$B$2:$B$4, $A3, Ledger!$C$2:$C$4, NKG$2)),"****")</f>
        <v/>
      </c>
      <c r="NKH3" t="str">
        <f>IFERROR(IF($C3="","",SUMIFS(Ledger!$K$2:$K$4, Ledger!$B$2:$B$4, $A3, Ledger!$C$2:$C$4, NKH$2)),"****")</f>
        <v/>
      </c>
      <c r="NKI3" t="str">
        <f>IFERROR(IF($C3="","",SUMIFS(Ledger!$K$2:$K$4, Ledger!$B$2:$B$4, $A3, Ledger!$C$2:$C$4, NKI$2)),"****")</f>
        <v/>
      </c>
      <c r="NKJ3" t="str">
        <f>IFERROR(IF($C3="","",SUMIFS(Ledger!$K$2:$K$4, Ledger!$B$2:$B$4, $A3, Ledger!$C$2:$C$4, NKJ$2)),"****")</f>
        <v/>
      </c>
      <c r="NKK3" t="str">
        <f>IFERROR(IF($C3="","",SUMIFS(Ledger!$K$2:$K$4, Ledger!$B$2:$B$4, $A3, Ledger!$C$2:$C$4, NKK$2)),"****")</f>
        <v/>
      </c>
      <c r="NKL3" t="str">
        <f>IFERROR(IF($C3="","",SUMIFS(Ledger!$K$2:$K$4, Ledger!$B$2:$B$4, $A3, Ledger!$C$2:$C$4, NKL$2)),"****")</f>
        <v/>
      </c>
      <c r="NKM3" t="str">
        <f>IFERROR(IF($C3="","",SUMIFS(Ledger!$K$2:$K$4, Ledger!$B$2:$B$4, $A3, Ledger!$C$2:$C$4, NKM$2)),"****")</f>
        <v/>
      </c>
      <c r="NKN3" t="str">
        <f>IFERROR(IF($C3="","",SUMIFS(Ledger!$K$2:$K$4, Ledger!$B$2:$B$4, $A3, Ledger!$C$2:$C$4, NKN$2)),"****")</f>
        <v/>
      </c>
      <c r="NKO3" t="str">
        <f>IFERROR(IF($C3="","",SUMIFS(Ledger!$K$2:$K$4, Ledger!$B$2:$B$4, $A3, Ledger!$C$2:$C$4, NKO$2)),"****")</f>
        <v/>
      </c>
      <c r="NKP3" t="str">
        <f>IFERROR(IF($C3="","",SUMIFS(Ledger!$K$2:$K$4, Ledger!$B$2:$B$4, $A3, Ledger!$C$2:$C$4, NKP$2)),"****")</f>
        <v/>
      </c>
      <c r="NKQ3" t="str">
        <f>IFERROR(IF($C3="","",SUMIFS(Ledger!$K$2:$K$4, Ledger!$B$2:$B$4, $A3, Ledger!$C$2:$C$4, NKQ$2)),"****")</f>
        <v/>
      </c>
      <c r="NKR3" t="str">
        <f>IFERROR(IF($C3="","",SUMIFS(Ledger!$K$2:$K$4, Ledger!$B$2:$B$4, $A3, Ledger!$C$2:$C$4, NKR$2)),"****")</f>
        <v/>
      </c>
      <c r="NKS3" t="str">
        <f>IFERROR(IF($C3="","",SUMIFS(Ledger!$K$2:$K$4, Ledger!$B$2:$B$4, $A3, Ledger!$C$2:$C$4, NKS$2)),"****")</f>
        <v/>
      </c>
      <c r="NKT3" t="str">
        <f>IFERROR(IF($C3="","",SUMIFS(Ledger!$K$2:$K$4, Ledger!$B$2:$B$4, $A3, Ledger!$C$2:$C$4, NKT$2)),"****")</f>
        <v/>
      </c>
      <c r="NKU3" t="str">
        <f>IFERROR(IF($C3="","",SUMIFS(Ledger!$K$2:$K$4, Ledger!$B$2:$B$4, $A3, Ledger!$C$2:$C$4, NKU$2)),"****")</f>
        <v/>
      </c>
      <c r="NKV3" t="str">
        <f>IFERROR(IF($C3="","",SUMIFS(Ledger!$K$2:$K$4, Ledger!$B$2:$B$4, $A3, Ledger!$C$2:$C$4, NKV$2)),"****")</f>
        <v/>
      </c>
      <c r="NKW3" t="str">
        <f>IFERROR(IF($C3="","",SUMIFS(Ledger!$K$2:$K$4, Ledger!$B$2:$B$4, $A3, Ledger!$C$2:$C$4, NKW$2)),"****")</f>
        <v/>
      </c>
      <c r="NKX3" t="str">
        <f>IFERROR(IF($C3="","",SUMIFS(Ledger!$K$2:$K$4, Ledger!$B$2:$B$4, $A3, Ledger!$C$2:$C$4, NKX$2)),"****")</f>
        <v/>
      </c>
      <c r="NKY3" t="str">
        <f>IFERROR(IF($C3="","",SUMIFS(Ledger!$K$2:$K$4, Ledger!$B$2:$B$4, $A3, Ledger!$C$2:$C$4, NKY$2)),"****")</f>
        <v/>
      </c>
      <c r="NKZ3" t="str">
        <f>IFERROR(IF($C3="","",SUMIFS(Ledger!$K$2:$K$4, Ledger!$B$2:$B$4, $A3, Ledger!$C$2:$C$4, NKZ$2)),"****")</f>
        <v/>
      </c>
      <c r="NLA3" t="str">
        <f>IFERROR(IF($C3="","",SUMIFS(Ledger!$K$2:$K$4, Ledger!$B$2:$B$4, $A3, Ledger!$C$2:$C$4, NLA$2)),"****")</f>
        <v/>
      </c>
      <c r="NLB3" t="str">
        <f>IFERROR(IF($C3="","",SUMIFS(Ledger!$K$2:$K$4, Ledger!$B$2:$B$4, $A3, Ledger!$C$2:$C$4, NLB$2)),"****")</f>
        <v/>
      </c>
      <c r="NLC3" t="str">
        <f>IFERROR(IF($C3="","",SUMIFS(Ledger!$K$2:$K$4, Ledger!$B$2:$B$4, $A3, Ledger!$C$2:$C$4, NLC$2)),"****")</f>
        <v/>
      </c>
      <c r="NLD3" t="str">
        <f>IFERROR(IF($C3="","",SUMIFS(Ledger!$K$2:$K$4, Ledger!$B$2:$B$4, $A3, Ledger!$C$2:$C$4, NLD$2)),"****")</f>
        <v/>
      </c>
      <c r="NLE3" t="str">
        <f>IFERROR(IF($C3="","",SUMIFS(Ledger!$K$2:$K$4, Ledger!$B$2:$B$4, $A3, Ledger!$C$2:$C$4, NLE$2)),"****")</f>
        <v/>
      </c>
      <c r="NLF3" t="str">
        <f>IFERROR(IF($C3="","",SUMIFS(Ledger!$K$2:$K$4, Ledger!$B$2:$B$4, $A3, Ledger!$C$2:$C$4, NLF$2)),"****")</f>
        <v/>
      </c>
      <c r="NLG3" t="str">
        <f>IFERROR(IF($C3="","",SUMIFS(Ledger!$K$2:$K$4, Ledger!$B$2:$B$4, $A3, Ledger!$C$2:$C$4, NLG$2)),"****")</f>
        <v/>
      </c>
      <c r="NLH3" t="str">
        <f>IFERROR(IF($C3="","",SUMIFS(Ledger!$K$2:$K$4, Ledger!$B$2:$B$4, $A3, Ledger!$C$2:$C$4, NLH$2)),"****")</f>
        <v/>
      </c>
      <c r="NLI3" t="str">
        <f>IFERROR(IF($C3="","",SUMIFS(Ledger!$K$2:$K$4, Ledger!$B$2:$B$4, $A3, Ledger!$C$2:$C$4, NLI$2)),"****")</f>
        <v/>
      </c>
      <c r="NLJ3" t="str">
        <f>IFERROR(IF($C3="","",SUMIFS(Ledger!$K$2:$K$4, Ledger!$B$2:$B$4, $A3, Ledger!$C$2:$C$4, NLJ$2)),"****")</f>
        <v/>
      </c>
      <c r="NLK3" t="str">
        <f>IFERROR(IF($C3="","",SUMIFS(Ledger!$K$2:$K$4, Ledger!$B$2:$B$4, $A3, Ledger!$C$2:$C$4, NLK$2)),"****")</f>
        <v/>
      </c>
      <c r="NLL3" t="str">
        <f>IFERROR(IF($C3="","",SUMIFS(Ledger!$K$2:$K$4, Ledger!$B$2:$B$4, $A3, Ledger!$C$2:$C$4, NLL$2)),"****")</f>
        <v/>
      </c>
      <c r="NLM3" t="str">
        <f>IFERROR(IF($C3="","",SUMIFS(Ledger!$K$2:$K$4, Ledger!$B$2:$B$4, $A3, Ledger!$C$2:$C$4, NLM$2)),"****")</f>
        <v/>
      </c>
      <c r="NLN3" t="str">
        <f>IFERROR(IF($C3="","",SUMIFS(Ledger!$K$2:$K$4, Ledger!$B$2:$B$4, $A3, Ledger!$C$2:$C$4, NLN$2)),"****")</f>
        <v/>
      </c>
      <c r="NLO3" t="str">
        <f>IFERROR(IF($C3="","",SUMIFS(Ledger!$K$2:$K$4, Ledger!$B$2:$B$4, $A3, Ledger!$C$2:$C$4, NLO$2)),"****")</f>
        <v/>
      </c>
      <c r="NLP3" t="str">
        <f>IFERROR(IF($C3="","",SUMIFS(Ledger!$K$2:$K$4, Ledger!$B$2:$B$4, $A3, Ledger!$C$2:$C$4, NLP$2)),"****")</f>
        <v/>
      </c>
      <c r="NLQ3" t="str">
        <f>IFERROR(IF($C3="","",SUMIFS(Ledger!$K$2:$K$4, Ledger!$B$2:$B$4, $A3, Ledger!$C$2:$C$4, NLQ$2)),"****")</f>
        <v/>
      </c>
      <c r="NLR3" t="str">
        <f>IFERROR(IF($C3="","",SUMIFS(Ledger!$K$2:$K$4, Ledger!$B$2:$B$4, $A3, Ledger!$C$2:$C$4, NLR$2)),"****")</f>
        <v/>
      </c>
      <c r="NLS3" t="str">
        <f>IFERROR(IF($C3="","",SUMIFS(Ledger!$K$2:$K$4, Ledger!$B$2:$B$4, $A3, Ledger!$C$2:$C$4, NLS$2)),"****")</f>
        <v/>
      </c>
      <c r="NLT3" t="str">
        <f>IFERROR(IF($C3="","",SUMIFS(Ledger!$K$2:$K$4, Ledger!$B$2:$B$4, $A3, Ledger!$C$2:$C$4, NLT$2)),"****")</f>
        <v/>
      </c>
      <c r="NLU3" t="str">
        <f>IFERROR(IF($C3="","",SUMIFS(Ledger!$K$2:$K$4, Ledger!$B$2:$B$4, $A3, Ledger!$C$2:$C$4, NLU$2)),"****")</f>
        <v/>
      </c>
      <c r="NLV3" t="str">
        <f>IFERROR(IF($C3="","",SUMIFS(Ledger!$K$2:$K$4, Ledger!$B$2:$B$4, $A3, Ledger!$C$2:$C$4, NLV$2)),"****")</f>
        <v/>
      </c>
      <c r="NLW3" t="str">
        <f>IFERROR(IF($C3="","",SUMIFS(Ledger!$K$2:$K$4, Ledger!$B$2:$B$4, $A3, Ledger!$C$2:$C$4, NLW$2)),"****")</f>
        <v/>
      </c>
      <c r="NLX3" t="str">
        <f>IFERROR(IF($C3="","",SUMIFS(Ledger!$K$2:$K$4, Ledger!$B$2:$B$4, $A3, Ledger!$C$2:$C$4, NLX$2)),"****")</f>
        <v/>
      </c>
      <c r="NLY3" t="str">
        <f>IFERROR(IF($C3="","",SUMIFS(Ledger!$K$2:$K$4, Ledger!$B$2:$B$4, $A3, Ledger!$C$2:$C$4, NLY$2)),"****")</f>
        <v/>
      </c>
      <c r="NLZ3" t="str">
        <f>IFERROR(IF($C3="","",SUMIFS(Ledger!$K$2:$K$4, Ledger!$B$2:$B$4, $A3, Ledger!$C$2:$C$4, NLZ$2)),"****")</f>
        <v/>
      </c>
      <c r="NMA3" t="str">
        <f>IFERROR(IF($C3="","",SUMIFS(Ledger!$K$2:$K$4, Ledger!$B$2:$B$4, $A3, Ledger!$C$2:$C$4, NMA$2)),"****")</f>
        <v/>
      </c>
      <c r="NMB3" t="str">
        <f>IFERROR(IF($C3="","",SUMIFS(Ledger!$K$2:$K$4, Ledger!$B$2:$B$4, $A3, Ledger!$C$2:$C$4, NMB$2)),"****")</f>
        <v/>
      </c>
      <c r="NMC3" t="str">
        <f>IFERROR(IF($C3="","",SUMIFS(Ledger!$K$2:$K$4, Ledger!$B$2:$B$4, $A3, Ledger!$C$2:$C$4, NMC$2)),"****")</f>
        <v/>
      </c>
      <c r="NMD3" t="str">
        <f>IFERROR(IF($C3="","",SUMIFS(Ledger!$K$2:$K$4, Ledger!$B$2:$B$4, $A3, Ledger!$C$2:$C$4, NMD$2)),"****")</f>
        <v/>
      </c>
      <c r="NME3" t="str">
        <f>IFERROR(IF($C3="","",SUMIFS(Ledger!$K$2:$K$4, Ledger!$B$2:$B$4, $A3, Ledger!$C$2:$C$4, NME$2)),"****")</f>
        <v/>
      </c>
      <c r="NMF3" t="str">
        <f>IFERROR(IF($C3="","",SUMIFS(Ledger!$K$2:$K$4, Ledger!$B$2:$B$4, $A3, Ledger!$C$2:$C$4, NMF$2)),"****")</f>
        <v/>
      </c>
      <c r="NMG3" t="str">
        <f>IFERROR(IF($C3="","",SUMIFS(Ledger!$K$2:$K$4, Ledger!$B$2:$B$4, $A3, Ledger!$C$2:$C$4, NMG$2)),"****")</f>
        <v/>
      </c>
      <c r="NMH3" t="str">
        <f>IFERROR(IF($C3="","",SUMIFS(Ledger!$K$2:$K$4, Ledger!$B$2:$B$4, $A3, Ledger!$C$2:$C$4, NMH$2)),"****")</f>
        <v/>
      </c>
      <c r="NMI3" t="str">
        <f>IFERROR(IF($C3="","",SUMIFS(Ledger!$K$2:$K$4, Ledger!$B$2:$B$4, $A3, Ledger!$C$2:$C$4, NMI$2)),"****")</f>
        <v/>
      </c>
      <c r="NMJ3" t="str">
        <f>IFERROR(IF($C3="","",SUMIFS(Ledger!$K$2:$K$4, Ledger!$B$2:$B$4, $A3, Ledger!$C$2:$C$4, NMJ$2)),"****")</f>
        <v/>
      </c>
      <c r="NMK3" t="str">
        <f>IFERROR(IF($C3="","",SUMIFS(Ledger!$K$2:$K$4, Ledger!$B$2:$B$4, $A3, Ledger!$C$2:$C$4, NMK$2)),"****")</f>
        <v/>
      </c>
      <c r="NML3" t="str">
        <f>IFERROR(IF($C3="","",SUMIFS(Ledger!$K$2:$K$4, Ledger!$B$2:$B$4, $A3, Ledger!$C$2:$C$4, NML$2)),"****")</f>
        <v/>
      </c>
      <c r="NMM3" t="str">
        <f>IFERROR(IF($C3="","",SUMIFS(Ledger!$K$2:$K$4, Ledger!$B$2:$B$4, $A3, Ledger!$C$2:$C$4, NMM$2)),"****")</f>
        <v/>
      </c>
      <c r="NMN3" t="str">
        <f>IFERROR(IF($C3="","",SUMIFS(Ledger!$K$2:$K$4, Ledger!$B$2:$B$4, $A3, Ledger!$C$2:$C$4, NMN$2)),"****")</f>
        <v/>
      </c>
      <c r="NMO3" t="str">
        <f>IFERROR(IF($C3="","",SUMIFS(Ledger!$K$2:$K$4, Ledger!$B$2:$B$4, $A3, Ledger!$C$2:$C$4, NMO$2)),"****")</f>
        <v/>
      </c>
      <c r="NMP3" t="str">
        <f>IFERROR(IF($C3="","",SUMIFS(Ledger!$K$2:$K$4, Ledger!$B$2:$B$4, $A3, Ledger!$C$2:$C$4, NMP$2)),"****")</f>
        <v/>
      </c>
      <c r="NMQ3" t="str">
        <f>IFERROR(IF($C3="","",SUMIFS(Ledger!$K$2:$K$4, Ledger!$B$2:$B$4, $A3, Ledger!$C$2:$C$4, NMQ$2)),"****")</f>
        <v/>
      </c>
      <c r="NMR3" t="str">
        <f>IFERROR(IF($C3="","",SUMIFS(Ledger!$K$2:$K$4, Ledger!$B$2:$B$4, $A3, Ledger!$C$2:$C$4, NMR$2)),"****")</f>
        <v/>
      </c>
      <c r="NMS3" t="str">
        <f>IFERROR(IF($C3="","",SUMIFS(Ledger!$K$2:$K$4, Ledger!$B$2:$B$4, $A3, Ledger!$C$2:$C$4, NMS$2)),"****")</f>
        <v/>
      </c>
      <c r="NMT3" t="str">
        <f>IFERROR(IF($C3="","",SUMIFS(Ledger!$K$2:$K$4, Ledger!$B$2:$B$4, $A3, Ledger!$C$2:$C$4, NMT$2)),"****")</f>
        <v/>
      </c>
      <c r="NMU3" t="str">
        <f>IFERROR(IF($C3="","",SUMIFS(Ledger!$K$2:$K$4, Ledger!$B$2:$B$4, $A3, Ledger!$C$2:$C$4, NMU$2)),"****")</f>
        <v/>
      </c>
      <c r="NMV3" t="str">
        <f>IFERROR(IF($C3="","",SUMIFS(Ledger!$K$2:$K$4, Ledger!$B$2:$B$4, $A3, Ledger!$C$2:$C$4, NMV$2)),"****")</f>
        <v/>
      </c>
      <c r="NMW3" t="str">
        <f>IFERROR(IF($C3="","",SUMIFS(Ledger!$K$2:$K$4, Ledger!$B$2:$B$4, $A3, Ledger!$C$2:$C$4, NMW$2)),"****")</f>
        <v/>
      </c>
      <c r="NMX3" t="str">
        <f>IFERROR(IF($C3="","",SUMIFS(Ledger!$K$2:$K$4, Ledger!$B$2:$B$4, $A3, Ledger!$C$2:$C$4, NMX$2)),"****")</f>
        <v/>
      </c>
      <c r="NMY3" t="str">
        <f>IFERROR(IF($C3="","",SUMIFS(Ledger!$K$2:$K$4, Ledger!$B$2:$B$4, $A3, Ledger!$C$2:$C$4, NMY$2)),"****")</f>
        <v/>
      </c>
      <c r="NMZ3" t="str">
        <f>IFERROR(IF($C3="","",SUMIFS(Ledger!$K$2:$K$4, Ledger!$B$2:$B$4, $A3, Ledger!$C$2:$C$4, NMZ$2)),"****")</f>
        <v/>
      </c>
      <c r="NNA3" t="str">
        <f>IFERROR(IF($C3="","",SUMIFS(Ledger!$K$2:$K$4, Ledger!$B$2:$B$4, $A3, Ledger!$C$2:$C$4, NNA$2)),"****")</f>
        <v/>
      </c>
      <c r="NNB3" t="str">
        <f>IFERROR(IF($C3="","",SUMIFS(Ledger!$K$2:$K$4, Ledger!$B$2:$B$4, $A3, Ledger!$C$2:$C$4, NNB$2)),"****")</f>
        <v/>
      </c>
      <c r="NNC3" t="str">
        <f>IFERROR(IF($C3="","",SUMIFS(Ledger!$K$2:$K$4, Ledger!$B$2:$B$4, $A3, Ledger!$C$2:$C$4, NNC$2)),"****")</f>
        <v/>
      </c>
      <c r="NND3" t="str">
        <f>IFERROR(IF($C3="","",SUMIFS(Ledger!$K$2:$K$4, Ledger!$B$2:$B$4, $A3, Ledger!$C$2:$C$4, NND$2)),"****")</f>
        <v/>
      </c>
      <c r="NNE3" t="str">
        <f>IFERROR(IF($C3="","",SUMIFS(Ledger!$K$2:$K$4, Ledger!$B$2:$B$4, $A3, Ledger!$C$2:$C$4, NNE$2)),"****")</f>
        <v/>
      </c>
      <c r="NNF3" t="str">
        <f>IFERROR(IF($C3="","",SUMIFS(Ledger!$K$2:$K$4, Ledger!$B$2:$B$4, $A3, Ledger!$C$2:$C$4, NNF$2)),"****")</f>
        <v/>
      </c>
      <c r="NNG3" t="str">
        <f>IFERROR(IF($C3="","",SUMIFS(Ledger!$K$2:$K$4, Ledger!$B$2:$B$4, $A3, Ledger!$C$2:$C$4, NNG$2)),"****")</f>
        <v/>
      </c>
      <c r="NNH3" t="str">
        <f>IFERROR(IF($C3="","",SUMIFS(Ledger!$K$2:$K$4, Ledger!$B$2:$B$4, $A3, Ledger!$C$2:$C$4, NNH$2)),"****")</f>
        <v/>
      </c>
      <c r="NNI3" t="str">
        <f>IFERROR(IF($C3="","",SUMIFS(Ledger!$K$2:$K$4, Ledger!$B$2:$B$4, $A3, Ledger!$C$2:$C$4, NNI$2)),"****")</f>
        <v/>
      </c>
      <c r="NNJ3" t="str">
        <f>IFERROR(IF($C3="","",SUMIFS(Ledger!$K$2:$K$4, Ledger!$B$2:$B$4, $A3, Ledger!$C$2:$C$4, NNJ$2)),"****")</f>
        <v/>
      </c>
      <c r="NNK3" t="str">
        <f>IFERROR(IF($C3="","",SUMIFS(Ledger!$K$2:$K$4, Ledger!$B$2:$B$4, $A3, Ledger!$C$2:$C$4, NNK$2)),"****")</f>
        <v/>
      </c>
      <c r="NNL3" t="str">
        <f>IFERROR(IF($C3="","",SUMIFS(Ledger!$K$2:$K$4, Ledger!$B$2:$B$4, $A3, Ledger!$C$2:$C$4, NNL$2)),"****")</f>
        <v/>
      </c>
      <c r="NNM3" t="str">
        <f>IFERROR(IF($C3="","",SUMIFS(Ledger!$K$2:$K$4, Ledger!$B$2:$B$4, $A3, Ledger!$C$2:$C$4, NNM$2)),"****")</f>
        <v/>
      </c>
      <c r="NNN3" t="str">
        <f>IFERROR(IF($C3="","",SUMIFS(Ledger!$K$2:$K$4, Ledger!$B$2:$B$4, $A3, Ledger!$C$2:$C$4, NNN$2)),"****")</f>
        <v/>
      </c>
      <c r="NNO3" t="str">
        <f>IFERROR(IF($C3="","",SUMIFS(Ledger!$K$2:$K$4, Ledger!$B$2:$B$4, $A3, Ledger!$C$2:$C$4, NNO$2)),"****")</f>
        <v/>
      </c>
      <c r="NNP3" t="str">
        <f>IFERROR(IF($C3="","",SUMIFS(Ledger!$K$2:$K$4, Ledger!$B$2:$B$4, $A3, Ledger!$C$2:$C$4, NNP$2)),"****")</f>
        <v/>
      </c>
      <c r="NNQ3" t="str">
        <f>IFERROR(IF($C3="","",SUMIFS(Ledger!$K$2:$K$4, Ledger!$B$2:$B$4, $A3, Ledger!$C$2:$C$4, NNQ$2)),"****")</f>
        <v/>
      </c>
      <c r="NNR3" t="str">
        <f>IFERROR(IF($C3="","",SUMIFS(Ledger!$K$2:$K$4, Ledger!$B$2:$B$4, $A3, Ledger!$C$2:$C$4, NNR$2)),"****")</f>
        <v/>
      </c>
      <c r="NNS3" t="str">
        <f>IFERROR(IF($C3="","",SUMIFS(Ledger!$K$2:$K$4, Ledger!$B$2:$B$4, $A3, Ledger!$C$2:$C$4, NNS$2)),"****")</f>
        <v/>
      </c>
      <c r="NNT3" t="str">
        <f>IFERROR(IF($C3="","",SUMIFS(Ledger!$K$2:$K$4, Ledger!$B$2:$B$4, $A3, Ledger!$C$2:$C$4, NNT$2)),"****")</f>
        <v/>
      </c>
      <c r="NNU3" t="str">
        <f>IFERROR(IF($C3="","",SUMIFS(Ledger!$K$2:$K$4, Ledger!$B$2:$B$4, $A3, Ledger!$C$2:$C$4, NNU$2)),"****")</f>
        <v/>
      </c>
      <c r="NNV3" t="str">
        <f>IFERROR(IF($C3="","",SUMIFS(Ledger!$K$2:$K$4, Ledger!$B$2:$B$4, $A3, Ledger!$C$2:$C$4, NNV$2)),"****")</f>
        <v/>
      </c>
      <c r="NNW3" t="str">
        <f>IFERROR(IF($C3="","",SUMIFS(Ledger!$K$2:$K$4, Ledger!$B$2:$B$4, $A3, Ledger!$C$2:$C$4, NNW$2)),"****")</f>
        <v/>
      </c>
      <c r="NNX3" t="str">
        <f>IFERROR(IF($C3="","",SUMIFS(Ledger!$K$2:$K$4, Ledger!$B$2:$B$4, $A3, Ledger!$C$2:$C$4, NNX$2)),"****")</f>
        <v/>
      </c>
      <c r="NNY3" t="str">
        <f>IFERROR(IF($C3="","",SUMIFS(Ledger!$K$2:$K$4, Ledger!$B$2:$B$4, $A3, Ledger!$C$2:$C$4, NNY$2)),"****")</f>
        <v/>
      </c>
      <c r="NNZ3" t="str">
        <f>IFERROR(IF($C3="","",SUMIFS(Ledger!$K$2:$K$4, Ledger!$B$2:$B$4, $A3, Ledger!$C$2:$C$4, NNZ$2)),"****")</f>
        <v/>
      </c>
      <c r="NOA3" t="str">
        <f>IFERROR(IF($C3="","",SUMIFS(Ledger!$K$2:$K$4, Ledger!$B$2:$B$4, $A3, Ledger!$C$2:$C$4, NOA$2)),"****")</f>
        <v/>
      </c>
      <c r="NOB3" t="str">
        <f>IFERROR(IF($C3="","",SUMIFS(Ledger!$K$2:$K$4, Ledger!$B$2:$B$4, $A3, Ledger!$C$2:$C$4, NOB$2)),"****")</f>
        <v/>
      </c>
      <c r="NOC3" t="str">
        <f>IFERROR(IF($C3="","",SUMIFS(Ledger!$K$2:$K$4, Ledger!$B$2:$B$4, $A3, Ledger!$C$2:$C$4, NOC$2)),"****")</f>
        <v/>
      </c>
      <c r="NOD3" t="str">
        <f>IFERROR(IF($C3="","",SUMIFS(Ledger!$K$2:$K$4, Ledger!$B$2:$B$4, $A3, Ledger!$C$2:$C$4, NOD$2)),"****")</f>
        <v/>
      </c>
      <c r="NOE3" t="str">
        <f>IFERROR(IF($C3="","",SUMIFS(Ledger!$K$2:$K$4, Ledger!$B$2:$B$4, $A3, Ledger!$C$2:$C$4, NOE$2)),"****")</f>
        <v/>
      </c>
      <c r="NOF3" t="str">
        <f>IFERROR(IF($C3="","",SUMIFS(Ledger!$K$2:$K$4, Ledger!$B$2:$B$4, $A3, Ledger!$C$2:$C$4, NOF$2)),"****")</f>
        <v/>
      </c>
      <c r="NOG3" t="str">
        <f>IFERROR(IF($C3="","",SUMIFS(Ledger!$K$2:$K$4, Ledger!$B$2:$B$4, $A3, Ledger!$C$2:$C$4, NOG$2)),"****")</f>
        <v/>
      </c>
      <c r="NOH3" t="str">
        <f>IFERROR(IF($C3="","",SUMIFS(Ledger!$K$2:$K$4, Ledger!$B$2:$B$4, $A3, Ledger!$C$2:$C$4, NOH$2)),"****")</f>
        <v/>
      </c>
      <c r="NOI3" t="str">
        <f>IFERROR(IF($C3="","",SUMIFS(Ledger!$K$2:$K$4, Ledger!$B$2:$B$4, $A3, Ledger!$C$2:$C$4, NOI$2)),"****")</f>
        <v/>
      </c>
      <c r="NOJ3" t="str">
        <f>IFERROR(IF($C3="","",SUMIFS(Ledger!$K$2:$K$4, Ledger!$B$2:$B$4, $A3, Ledger!$C$2:$C$4, NOJ$2)),"****")</f>
        <v/>
      </c>
      <c r="NOK3" t="str">
        <f>IFERROR(IF($C3="","",SUMIFS(Ledger!$K$2:$K$4, Ledger!$B$2:$B$4, $A3, Ledger!$C$2:$C$4, NOK$2)),"****")</f>
        <v/>
      </c>
      <c r="NOL3" t="str">
        <f>IFERROR(IF($C3="","",SUMIFS(Ledger!$K$2:$K$4, Ledger!$B$2:$B$4, $A3, Ledger!$C$2:$C$4, NOL$2)),"****")</f>
        <v/>
      </c>
      <c r="NOM3" t="str">
        <f>IFERROR(IF($C3="","",SUMIFS(Ledger!$K$2:$K$4, Ledger!$B$2:$B$4, $A3, Ledger!$C$2:$C$4, NOM$2)),"****")</f>
        <v/>
      </c>
      <c r="NON3" t="str">
        <f>IFERROR(IF($C3="","",SUMIFS(Ledger!$K$2:$K$4, Ledger!$B$2:$B$4, $A3, Ledger!$C$2:$C$4, NON$2)),"****")</f>
        <v/>
      </c>
      <c r="NOO3" t="str">
        <f>IFERROR(IF($C3="","",SUMIFS(Ledger!$K$2:$K$4, Ledger!$B$2:$B$4, $A3, Ledger!$C$2:$C$4, NOO$2)),"****")</f>
        <v/>
      </c>
      <c r="NOP3" t="str">
        <f>IFERROR(IF($C3="","",SUMIFS(Ledger!$K$2:$K$4, Ledger!$B$2:$B$4, $A3, Ledger!$C$2:$C$4, NOP$2)),"****")</f>
        <v/>
      </c>
      <c r="NOQ3" t="str">
        <f>IFERROR(IF($C3="","",SUMIFS(Ledger!$K$2:$K$4, Ledger!$B$2:$B$4, $A3, Ledger!$C$2:$C$4, NOQ$2)),"****")</f>
        <v/>
      </c>
      <c r="NOR3" t="str">
        <f>IFERROR(IF($C3="","",SUMIFS(Ledger!$K$2:$K$4, Ledger!$B$2:$B$4, $A3, Ledger!$C$2:$C$4, NOR$2)),"****")</f>
        <v/>
      </c>
      <c r="NOS3" t="str">
        <f>IFERROR(IF($C3="","",SUMIFS(Ledger!$K$2:$K$4, Ledger!$B$2:$B$4, $A3, Ledger!$C$2:$C$4, NOS$2)),"****")</f>
        <v/>
      </c>
      <c r="NOT3" t="str">
        <f>IFERROR(IF($C3="","",SUMIFS(Ledger!$K$2:$K$4, Ledger!$B$2:$B$4, $A3, Ledger!$C$2:$C$4, NOT$2)),"****")</f>
        <v/>
      </c>
      <c r="NOU3" t="str">
        <f>IFERROR(IF($C3="","",SUMIFS(Ledger!$K$2:$K$4, Ledger!$B$2:$B$4, $A3, Ledger!$C$2:$C$4, NOU$2)),"****")</f>
        <v/>
      </c>
      <c r="NOV3" t="str">
        <f>IFERROR(IF($C3="","",SUMIFS(Ledger!$K$2:$K$4, Ledger!$B$2:$B$4, $A3, Ledger!$C$2:$C$4, NOV$2)),"****")</f>
        <v/>
      </c>
      <c r="NOW3" t="str">
        <f>IFERROR(IF($C3="","",SUMIFS(Ledger!$K$2:$K$4, Ledger!$B$2:$B$4, $A3, Ledger!$C$2:$C$4, NOW$2)),"****")</f>
        <v/>
      </c>
      <c r="NOX3" t="str">
        <f>IFERROR(IF($C3="","",SUMIFS(Ledger!$K$2:$K$4, Ledger!$B$2:$B$4, $A3, Ledger!$C$2:$C$4, NOX$2)),"****")</f>
        <v/>
      </c>
      <c r="NOY3" t="str">
        <f>IFERROR(IF($C3="","",SUMIFS(Ledger!$K$2:$K$4, Ledger!$B$2:$B$4, $A3, Ledger!$C$2:$C$4, NOY$2)),"****")</f>
        <v/>
      </c>
      <c r="NOZ3" t="str">
        <f>IFERROR(IF($C3="","",SUMIFS(Ledger!$K$2:$K$4, Ledger!$B$2:$B$4, $A3, Ledger!$C$2:$C$4, NOZ$2)),"****")</f>
        <v/>
      </c>
      <c r="NPA3" t="str">
        <f>IFERROR(IF($C3="","",SUMIFS(Ledger!$K$2:$K$4, Ledger!$B$2:$B$4, $A3, Ledger!$C$2:$C$4, NPA$2)),"****")</f>
        <v/>
      </c>
      <c r="NPB3" t="str">
        <f>IFERROR(IF($C3="","",SUMIFS(Ledger!$K$2:$K$4, Ledger!$B$2:$B$4, $A3, Ledger!$C$2:$C$4, NPB$2)),"****")</f>
        <v/>
      </c>
      <c r="NPC3" t="str">
        <f>IFERROR(IF($C3="","",SUMIFS(Ledger!$K$2:$K$4, Ledger!$B$2:$B$4, $A3, Ledger!$C$2:$C$4, NPC$2)),"****")</f>
        <v/>
      </c>
      <c r="NPD3" t="str">
        <f>IFERROR(IF($C3="","",SUMIFS(Ledger!$K$2:$K$4, Ledger!$B$2:$B$4, $A3, Ledger!$C$2:$C$4, NPD$2)),"****")</f>
        <v/>
      </c>
      <c r="NPE3" t="str">
        <f>IFERROR(IF($C3="","",SUMIFS(Ledger!$K$2:$K$4, Ledger!$B$2:$B$4, $A3, Ledger!$C$2:$C$4, NPE$2)),"****")</f>
        <v/>
      </c>
      <c r="NPF3" t="str">
        <f>IFERROR(IF($C3="","",SUMIFS(Ledger!$K$2:$K$4, Ledger!$B$2:$B$4, $A3, Ledger!$C$2:$C$4, NPF$2)),"****")</f>
        <v/>
      </c>
      <c r="NPG3" t="str">
        <f>IFERROR(IF($C3="","",SUMIFS(Ledger!$K$2:$K$4, Ledger!$B$2:$B$4, $A3, Ledger!$C$2:$C$4, NPG$2)),"****")</f>
        <v/>
      </c>
      <c r="NPH3" t="str">
        <f>IFERROR(IF($C3="","",SUMIFS(Ledger!$K$2:$K$4, Ledger!$B$2:$B$4, $A3, Ledger!$C$2:$C$4, NPH$2)),"****")</f>
        <v/>
      </c>
      <c r="NPI3" t="str">
        <f>IFERROR(IF($C3="","",SUMIFS(Ledger!$K$2:$K$4, Ledger!$B$2:$B$4, $A3, Ledger!$C$2:$C$4, NPI$2)),"****")</f>
        <v/>
      </c>
      <c r="NPJ3" t="str">
        <f>IFERROR(IF($C3="","",SUMIFS(Ledger!$K$2:$K$4, Ledger!$B$2:$B$4, $A3, Ledger!$C$2:$C$4, NPJ$2)),"****")</f>
        <v/>
      </c>
      <c r="NPK3" t="str">
        <f>IFERROR(IF($C3="","",SUMIFS(Ledger!$K$2:$K$4, Ledger!$B$2:$B$4, $A3, Ledger!$C$2:$C$4, NPK$2)),"****")</f>
        <v/>
      </c>
      <c r="NPL3" t="str">
        <f>IFERROR(IF($C3="","",SUMIFS(Ledger!$K$2:$K$4, Ledger!$B$2:$B$4, $A3, Ledger!$C$2:$C$4, NPL$2)),"****")</f>
        <v/>
      </c>
      <c r="NPM3" t="str">
        <f>IFERROR(IF($C3="","",SUMIFS(Ledger!$K$2:$K$4, Ledger!$B$2:$B$4, $A3, Ledger!$C$2:$C$4, NPM$2)),"****")</f>
        <v/>
      </c>
      <c r="NPN3" t="str">
        <f>IFERROR(IF($C3="","",SUMIFS(Ledger!$K$2:$K$4, Ledger!$B$2:$B$4, $A3, Ledger!$C$2:$C$4, NPN$2)),"****")</f>
        <v/>
      </c>
      <c r="NPO3" t="str">
        <f>IFERROR(IF($C3="","",SUMIFS(Ledger!$K$2:$K$4, Ledger!$B$2:$B$4, $A3, Ledger!$C$2:$C$4, NPO$2)),"****")</f>
        <v/>
      </c>
      <c r="NPP3" t="str">
        <f>IFERROR(IF($C3="","",SUMIFS(Ledger!$K$2:$K$4, Ledger!$B$2:$B$4, $A3, Ledger!$C$2:$C$4, NPP$2)),"****")</f>
        <v/>
      </c>
      <c r="NPQ3" t="str">
        <f>IFERROR(IF($C3="","",SUMIFS(Ledger!$K$2:$K$4, Ledger!$B$2:$B$4, $A3, Ledger!$C$2:$C$4, NPQ$2)),"****")</f>
        <v/>
      </c>
      <c r="NPR3" t="str">
        <f>IFERROR(IF($C3="","",SUMIFS(Ledger!$K$2:$K$4, Ledger!$B$2:$B$4, $A3, Ledger!$C$2:$C$4, NPR$2)),"****")</f>
        <v/>
      </c>
      <c r="NPS3" t="str">
        <f>IFERROR(IF($C3="","",SUMIFS(Ledger!$K$2:$K$4, Ledger!$B$2:$B$4, $A3, Ledger!$C$2:$C$4, NPS$2)),"****")</f>
        <v/>
      </c>
      <c r="NPT3" t="str">
        <f>IFERROR(IF($C3="","",SUMIFS(Ledger!$K$2:$K$4, Ledger!$B$2:$B$4, $A3, Ledger!$C$2:$C$4, NPT$2)),"****")</f>
        <v/>
      </c>
      <c r="NPU3" t="str">
        <f>IFERROR(IF($C3="","",SUMIFS(Ledger!$K$2:$K$4, Ledger!$B$2:$B$4, $A3, Ledger!$C$2:$C$4, NPU$2)),"****")</f>
        <v/>
      </c>
      <c r="NPV3" t="str">
        <f>IFERROR(IF($C3="","",SUMIFS(Ledger!$K$2:$K$4, Ledger!$B$2:$B$4, $A3, Ledger!$C$2:$C$4, NPV$2)),"****")</f>
        <v/>
      </c>
      <c r="NPW3" t="str">
        <f>IFERROR(IF($C3="","",SUMIFS(Ledger!$K$2:$K$4, Ledger!$B$2:$B$4, $A3, Ledger!$C$2:$C$4, NPW$2)),"****")</f>
        <v/>
      </c>
      <c r="NPX3" t="str">
        <f>IFERROR(IF($C3="","",SUMIFS(Ledger!$K$2:$K$4, Ledger!$B$2:$B$4, $A3, Ledger!$C$2:$C$4, NPX$2)),"****")</f>
        <v/>
      </c>
      <c r="NPY3" t="str">
        <f>IFERROR(IF($C3="","",SUMIFS(Ledger!$K$2:$K$4, Ledger!$B$2:$B$4, $A3, Ledger!$C$2:$C$4, NPY$2)),"****")</f>
        <v/>
      </c>
      <c r="NPZ3" t="str">
        <f>IFERROR(IF($C3="","",SUMIFS(Ledger!$K$2:$K$4, Ledger!$B$2:$B$4, $A3, Ledger!$C$2:$C$4, NPZ$2)),"****")</f>
        <v/>
      </c>
      <c r="NQA3" t="str">
        <f>IFERROR(IF($C3="","",SUMIFS(Ledger!$K$2:$K$4, Ledger!$B$2:$B$4, $A3, Ledger!$C$2:$C$4, NQA$2)),"****")</f>
        <v/>
      </c>
      <c r="NQB3" t="str">
        <f>IFERROR(IF($C3="","",SUMIFS(Ledger!$K$2:$K$4, Ledger!$B$2:$B$4, $A3, Ledger!$C$2:$C$4, NQB$2)),"****")</f>
        <v/>
      </c>
      <c r="NQC3" t="str">
        <f>IFERROR(IF($C3="","",SUMIFS(Ledger!$K$2:$K$4, Ledger!$B$2:$B$4, $A3, Ledger!$C$2:$C$4, NQC$2)),"****")</f>
        <v/>
      </c>
      <c r="NQD3" t="str">
        <f>IFERROR(IF($C3="","",SUMIFS(Ledger!$K$2:$K$4, Ledger!$B$2:$B$4, $A3, Ledger!$C$2:$C$4, NQD$2)),"****")</f>
        <v/>
      </c>
      <c r="NQE3" t="str">
        <f>IFERROR(IF($C3="","",SUMIFS(Ledger!$K$2:$K$4, Ledger!$B$2:$B$4, $A3, Ledger!$C$2:$C$4, NQE$2)),"****")</f>
        <v/>
      </c>
      <c r="NQF3" t="str">
        <f>IFERROR(IF($C3="","",SUMIFS(Ledger!$K$2:$K$4, Ledger!$B$2:$B$4, $A3, Ledger!$C$2:$C$4, NQF$2)),"****")</f>
        <v/>
      </c>
      <c r="NQG3" t="str">
        <f>IFERROR(IF($C3="","",SUMIFS(Ledger!$K$2:$K$4, Ledger!$B$2:$B$4, $A3, Ledger!$C$2:$C$4, NQG$2)),"****")</f>
        <v/>
      </c>
      <c r="NQH3" t="str">
        <f>IFERROR(IF($C3="","",SUMIFS(Ledger!$K$2:$K$4, Ledger!$B$2:$B$4, $A3, Ledger!$C$2:$C$4, NQH$2)),"****")</f>
        <v/>
      </c>
      <c r="NQI3" t="str">
        <f>IFERROR(IF($C3="","",SUMIFS(Ledger!$K$2:$K$4, Ledger!$B$2:$B$4, $A3, Ledger!$C$2:$C$4, NQI$2)),"****")</f>
        <v/>
      </c>
      <c r="NQJ3" t="str">
        <f>IFERROR(IF($C3="","",SUMIFS(Ledger!$K$2:$K$4, Ledger!$B$2:$B$4, $A3, Ledger!$C$2:$C$4, NQJ$2)),"****")</f>
        <v/>
      </c>
      <c r="NQK3" t="str">
        <f>IFERROR(IF($C3="","",SUMIFS(Ledger!$K$2:$K$4, Ledger!$B$2:$B$4, $A3, Ledger!$C$2:$C$4, NQK$2)),"****")</f>
        <v/>
      </c>
      <c r="NQL3" t="str">
        <f>IFERROR(IF($C3="","",SUMIFS(Ledger!$K$2:$K$4, Ledger!$B$2:$B$4, $A3, Ledger!$C$2:$C$4, NQL$2)),"****")</f>
        <v/>
      </c>
      <c r="NQM3" t="str">
        <f>IFERROR(IF($C3="","",SUMIFS(Ledger!$K$2:$K$4, Ledger!$B$2:$B$4, $A3, Ledger!$C$2:$C$4, NQM$2)),"****")</f>
        <v/>
      </c>
      <c r="NQN3" t="str">
        <f>IFERROR(IF($C3="","",SUMIFS(Ledger!$K$2:$K$4, Ledger!$B$2:$B$4, $A3, Ledger!$C$2:$C$4, NQN$2)),"****")</f>
        <v/>
      </c>
      <c r="NQO3" t="str">
        <f>IFERROR(IF($C3="","",SUMIFS(Ledger!$K$2:$K$4, Ledger!$B$2:$B$4, $A3, Ledger!$C$2:$C$4, NQO$2)),"****")</f>
        <v/>
      </c>
      <c r="NQP3" t="str">
        <f>IFERROR(IF($C3="","",SUMIFS(Ledger!$K$2:$K$4, Ledger!$B$2:$B$4, $A3, Ledger!$C$2:$C$4, NQP$2)),"****")</f>
        <v/>
      </c>
      <c r="NQQ3" t="str">
        <f>IFERROR(IF($C3="","",SUMIFS(Ledger!$K$2:$K$4, Ledger!$B$2:$B$4, $A3, Ledger!$C$2:$C$4, NQQ$2)),"****")</f>
        <v/>
      </c>
      <c r="NQR3" t="str">
        <f>IFERROR(IF($C3="","",SUMIFS(Ledger!$K$2:$K$4, Ledger!$B$2:$B$4, $A3, Ledger!$C$2:$C$4, NQR$2)),"****")</f>
        <v/>
      </c>
      <c r="NQS3" t="str">
        <f>IFERROR(IF($C3="","",SUMIFS(Ledger!$K$2:$K$4, Ledger!$B$2:$B$4, $A3, Ledger!$C$2:$C$4, NQS$2)),"****")</f>
        <v/>
      </c>
      <c r="NQT3" t="str">
        <f>IFERROR(IF($C3="","",SUMIFS(Ledger!$K$2:$K$4, Ledger!$B$2:$B$4, $A3, Ledger!$C$2:$C$4, NQT$2)),"****")</f>
        <v/>
      </c>
      <c r="NQU3" t="str">
        <f>IFERROR(IF($C3="","",SUMIFS(Ledger!$K$2:$K$4, Ledger!$B$2:$B$4, $A3, Ledger!$C$2:$C$4, NQU$2)),"****")</f>
        <v/>
      </c>
      <c r="NQV3" t="str">
        <f>IFERROR(IF($C3="","",SUMIFS(Ledger!$K$2:$K$4, Ledger!$B$2:$B$4, $A3, Ledger!$C$2:$C$4, NQV$2)),"****")</f>
        <v/>
      </c>
      <c r="NQW3" t="str">
        <f>IFERROR(IF($C3="","",SUMIFS(Ledger!$K$2:$K$4, Ledger!$B$2:$B$4, $A3, Ledger!$C$2:$C$4, NQW$2)),"****")</f>
        <v/>
      </c>
      <c r="NQX3" t="str">
        <f>IFERROR(IF($C3="","",SUMIFS(Ledger!$K$2:$K$4, Ledger!$B$2:$B$4, $A3, Ledger!$C$2:$C$4, NQX$2)),"****")</f>
        <v/>
      </c>
      <c r="NQY3" t="str">
        <f>IFERROR(IF($C3="","",SUMIFS(Ledger!$K$2:$K$4, Ledger!$B$2:$B$4, $A3, Ledger!$C$2:$C$4, NQY$2)),"****")</f>
        <v/>
      </c>
      <c r="NQZ3" t="str">
        <f>IFERROR(IF($C3="","",SUMIFS(Ledger!$K$2:$K$4, Ledger!$B$2:$B$4, $A3, Ledger!$C$2:$C$4, NQZ$2)),"****")</f>
        <v/>
      </c>
      <c r="NRA3" t="str">
        <f>IFERROR(IF($C3="","",SUMIFS(Ledger!$K$2:$K$4, Ledger!$B$2:$B$4, $A3, Ledger!$C$2:$C$4, NRA$2)),"****")</f>
        <v/>
      </c>
      <c r="NRB3" t="str">
        <f>IFERROR(IF($C3="","",SUMIFS(Ledger!$K$2:$K$4, Ledger!$B$2:$B$4, $A3, Ledger!$C$2:$C$4, NRB$2)),"****")</f>
        <v/>
      </c>
      <c r="NRC3" t="str">
        <f>IFERROR(IF($C3="","",SUMIFS(Ledger!$K$2:$K$4, Ledger!$B$2:$B$4, $A3, Ledger!$C$2:$C$4, NRC$2)),"****")</f>
        <v/>
      </c>
      <c r="NRD3" t="str">
        <f>IFERROR(IF($C3="","",SUMIFS(Ledger!$K$2:$K$4, Ledger!$B$2:$B$4, $A3, Ledger!$C$2:$C$4, NRD$2)),"****")</f>
        <v/>
      </c>
      <c r="NRE3" t="str">
        <f>IFERROR(IF($C3="","",SUMIFS(Ledger!$K$2:$K$4, Ledger!$B$2:$B$4, $A3, Ledger!$C$2:$C$4, NRE$2)),"****")</f>
        <v/>
      </c>
      <c r="NRF3" t="str">
        <f>IFERROR(IF($C3="","",SUMIFS(Ledger!$K$2:$K$4, Ledger!$B$2:$B$4, $A3, Ledger!$C$2:$C$4, NRF$2)),"****")</f>
        <v/>
      </c>
      <c r="NRG3" t="str">
        <f>IFERROR(IF($C3="","",SUMIFS(Ledger!$K$2:$K$4, Ledger!$B$2:$B$4, $A3, Ledger!$C$2:$C$4, NRG$2)),"****")</f>
        <v/>
      </c>
      <c r="NRH3" t="str">
        <f>IFERROR(IF($C3="","",SUMIFS(Ledger!$K$2:$K$4, Ledger!$B$2:$B$4, $A3, Ledger!$C$2:$C$4, NRH$2)),"****")</f>
        <v/>
      </c>
      <c r="NRI3" t="str">
        <f>IFERROR(IF($C3="","",SUMIFS(Ledger!$K$2:$K$4, Ledger!$B$2:$B$4, $A3, Ledger!$C$2:$C$4, NRI$2)),"****")</f>
        <v/>
      </c>
      <c r="NRJ3" t="str">
        <f>IFERROR(IF($C3="","",SUMIFS(Ledger!$K$2:$K$4, Ledger!$B$2:$B$4, $A3, Ledger!$C$2:$C$4, NRJ$2)),"****")</f>
        <v/>
      </c>
      <c r="NRK3" t="str">
        <f>IFERROR(IF($C3="","",SUMIFS(Ledger!$K$2:$K$4, Ledger!$B$2:$B$4, $A3, Ledger!$C$2:$C$4, NRK$2)),"****")</f>
        <v/>
      </c>
      <c r="NRL3" t="str">
        <f>IFERROR(IF($C3="","",SUMIFS(Ledger!$K$2:$K$4, Ledger!$B$2:$B$4, $A3, Ledger!$C$2:$C$4, NRL$2)),"****")</f>
        <v/>
      </c>
      <c r="NRM3" t="str">
        <f>IFERROR(IF($C3="","",SUMIFS(Ledger!$K$2:$K$4, Ledger!$B$2:$B$4, $A3, Ledger!$C$2:$C$4, NRM$2)),"****")</f>
        <v/>
      </c>
      <c r="NRN3" t="str">
        <f>IFERROR(IF($C3="","",SUMIFS(Ledger!$K$2:$K$4, Ledger!$B$2:$B$4, $A3, Ledger!$C$2:$C$4, NRN$2)),"****")</f>
        <v/>
      </c>
      <c r="NRO3" t="str">
        <f>IFERROR(IF($C3="","",SUMIFS(Ledger!$K$2:$K$4, Ledger!$B$2:$B$4, $A3, Ledger!$C$2:$C$4, NRO$2)),"****")</f>
        <v/>
      </c>
      <c r="NRP3" t="str">
        <f>IFERROR(IF($C3="","",SUMIFS(Ledger!$K$2:$K$4, Ledger!$B$2:$B$4, $A3, Ledger!$C$2:$C$4, NRP$2)),"****")</f>
        <v/>
      </c>
      <c r="NRQ3" t="str">
        <f>IFERROR(IF($C3="","",SUMIFS(Ledger!$K$2:$K$4, Ledger!$B$2:$B$4, $A3, Ledger!$C$2:$C$4, NRQ$2)),"****")</f>
        <v/>
      </c>
      <c r="NRR3" t="str">
        <f>IFERROR(IF($C3="","",SUMIFS(Ledger!$K$2:$K$4, Ledger!$B$2:$B$4, $A3, Ledger!$C$2:$C$4, NRR$2)),"****")</f>
        <v/>
      </c>
      <c r="NRS3" t="str">
        <f>IFERROR(IF($C3="","",SUMIFS(Ledger!$K$2:$K$4, Ledger!$B$2:$B$4, $A3, Ledger!$C$2:$C$4, NRS$2)),"****")</f>
        <v/>
      </c>
      <c r="NRT3" t="str">
        <f>IFERROR(IF($C3="","",SUMIFS(Ledger!$K$2:$K$4, Ledger!$B$2:$B$4, $A3, Ledger!$C$2:$C$4, NRT$2)),"****")</f>
        <v/>
      </c>
      <c r="NRU3" t="str">
        <f>IFERROR(IF($C3="","",SUMIFS(Ledger!$K$2:$K$4, Ledger!$B$2:$B$4, $A3, Ledger!$C$2:$C$4, NRU$2)),"****")</f>
        <v/>
      </c>
      <c r="NRV3" t="str">
        <f>IFERROR(IF($C3="","",SUMIFS(Ledger!$K$2:$K$4, Ledger!$B$2:$B$4, $A3, Ledger!$C$2:$C$4, NRV$2)),"****")</f>
        <v/>
      </c>
      <c r="NRW3" t="str">
        <f>IFERROR(IF($C3="","",SUMIFS(Ledger!$K$2:$K$4, Ledger!$B$2:$B$4, $A3, Ledger!$C$2:$C$4, NRW$2)),"****")</f>
        <v/>
      </c>
      <c r="NRX3" t="str">
        <f>IFERROR(IF($C3="","",SUMIFS(Ledger!$K$2:$K$4, Ledger!$B$2:$B$4, $A3, Ledger!$C$2:$C$4, NRX$2)),"****")</f>
        <v/>
      </c>
      <c r="NRY3" t="str">
        <f>IFERROR(IF($C3="","",SUMIFS(Ledger!$K$2:$K$4, Ledger!$B$2:$B$4, $A3, Ledger!$C$2:$C$4, NRY$2)),"****")</f>
        <v/>
      </c>
      <c r="NRZ3" t="str">
        <f>IFERROR(IF($C3="","",SUMIFS(Ledger!$K$2:$K$4, Ledger!$B$2:$B$4, $A3, Ledger!$C$2:$C$4, NRZ$2)),"****")</f>
        <v/>
      </c>
      <c r="NSA3" t="str">
        <f>IFERROR(IF($C3="","",SUMIFS(Ledger!$K$2:$K$4, Ledger!$B$2:$B$4, $A3, Ledger!$C$2:$C$4, NSA$2)),"****")</f>
        <v/>
      </c>
      <c r="NSB3" t="str">
        <f>IFERROR(IF($C3="","",SUMIFS(Ledger!$K$2:$K$4, Ledger!$B$2:$B$4, $A3, Ledger!$C$2:$C$4, NSB$2)),"****")</f>
        <v/>
      </c>
      <c r="NSC3" t="str">
        <f>IFERROR(IF($C3="","",SUMIFS(Ledger!$K$2:$K$4, Ledger!$B$2:$B$4, $A3, Ledger!$C$2:$C$4, NSC$2)),"****")</f>
        <v/>
      </c>
      <c r="NSD3" t="str">
        <f>IFERROR(IF($C3="","",SUMIFS(Ledger!$K$2:$K$4, Ledger!$B$2:$B$4, $A3, Ledger!$C$2:$C$4, NSD$2)),"****")</f>
        <v/>
      </c>
      <c r="NSE3" t="str">
        <f>IFERROR(IF($C3="","",SUMIFS(Ledger!$K$2:$K$4, Ledger!$B$2:$B$4, $A3, Ledger!$C$2:$C$4, NSE$2)),"****")</f>
        <v/>
      </c>
      <c r="NSF3" t="str">
        <f>IFERROR(IF($C3="","",SUMIFS(Ledger!$K$2:$K$4, Ledger!$B$2:$B$4, $A3, Ledger!$C$2:$C$4, NSF$2)),"****")</f>
        <v/>
      </c>
      <c r="NSG3" t="str">
        <f>IFERROR(IF($C3="","",SUMIFS(Ledger!$K$2:$K$4, Ledger!$B$2:$B$4, $A3, Ledger!$C$2:$C$4, NSG$2)),"****")</f>
        <v/>
      </c>
      <c r="NSH3" t="str">
        <f>IFERROR(IF($C3="","",SUMIFS(Ledger!$K$2:$K$4, Ledger!$B$2:$B$4, $A3, Ledger!$C$2:$C$4, NSH$2)),"****")</f>
        <v/>
      </c>
      <c r="NSI3" t="str">
        <f>IFERROR(IF($C3="","",SUMIFS(Ledger!$K$2:$K$4, Ledger!$B$2:$B$4, $A3, Ledger!$C$2:$C$4, NSI$2)),"****")</f>
        <v/>
      </c>
      <c r="NSJ3" t="str">
        <f>IFERROR(IF($C3="","",SUMIFS(Ledger!$K$2:$K$4, Ledger!$B$2:$B$4, $A3, Ledger!$C$2:$C$4, NSJ$2)),"****")</f>
        <v/>
      </c>
      <c r="NSK3" t="str">
        <f>IFERROR(IF($C3="","",SUMIFS(Ledger!$K$2:$K$4, Ledger!$B$2:$B$4, $A3, Ledger!$C$2:$C$4, NSK$2)),"****")</f>
        <v/>
      </c>
      <c r="NSL3" t="str">
        <f>IFERROR(IF($C3="","",SUMIFS(Ledger!$K$2:$K$4, Ledger!$B$2:$B$4, $A3, Ledger!$C$2:$C$4, NSL$2)),"****")</f>
        <v/>
      </c>
      <c r="NSM3" t="str">
        <f>IFERROR(IF($C3="","",SUMIFS(Ledger!$K$2:$K$4, Ledger!$B$2:$B$4, $A3, Ledger!$C$2:$C$4, NSM$2)),"****")</f>
        <v/>
      </c>
      <c r="NSN3" t="str">
        <f>IFERROR(IF($C3="","",SUMIFS(Ledger!$K$2:$K$4, Ledger!$B$2:$B$4, $A3, Ledger!$C$2:$C$4, NSN$2)),"****")</f>
        <v/>
      </c>
      <c r="NSO3" t="str">
        <f>IFERROR(IF($C3="","",SUMIFS(Ledger!$K$2:$K$4, Ledger!$B$2:$B$4, $A3, Ledger!$C$2:$C$4, NSO$2)),"****")</f>
        <v/>
      </c>
      <c r="NSP3" t="str">
        <f>IFERROR(IF($C3="","",SUMIFS(Ledger!$K$2:$K$4, Ledger!$B$2:$B$4, $A3, Ledger!$C$2:$C$4, NSP$2)),"****")</f>
        <v/>
      </c>
      <c r="NSQ3" t="str">
        <f>IFERROR(IF($C3="","",SUMIFS(Ledger!$K$2:$K$4, Ledger!$B$2:$B$4, $A3, Ledger!$C$2:$C$4, NSQ$2)),"****")</f>
        <v/>
      </c>
      <c r="NSR3" t="str">
        <f>IFERROR(IF($C3="","",SUMIFS(Ledger!$K$2:$K$4, Ledger!$B$2:$B$4, $A3, Ledger!$C$2:$C$4, NSR$2)),"****")</f>
        <v/>
      </c>
      <c r="NSS3" t="str">
        <f>IFERROR(IF($C3="","",SUMIFS(Ledger!$K$2:$K$4, Ledger!$B$2:$B$4, $A3, Ledger!$C$2:$C$4, NSS$2)),"****")</f>
        <v/>
      </c>
      <c r="NST3" t="str">
        <f>IFERROR(IF($C3="","",SUMIFS(Ledger!$K$2:$K$4, Ledger!$B$2:$B$4, $A3, Ledger!$C$2:$C$4, NST$2)),"****")</f>
        <v/>
      </c>
      <c r="NSU3" t="str">
        <f>IFERROR(IF($C3="","",SUMIFS(Ledger!$K$2:$K$4, Ledger!$B$2:$B$4, $A3, Ledger!$C$2:$C$4, NSU$2)),"****")</f>
        <v/>
      </c>
      <c r="NSV3" t="str">
        <f>IFERROR(IF($C3="","",SUMIFS(Ledger!$K$2:$K$4, Ledger!$B$2:$B$4, $A3, Ledger!$C$2:$C$4, NSV$2)),"****")</f>
        <v/>
      </c>
      <c r="NSW3" t="str">
        <f>IFERROR(IF($C3="","",SUMIFS(Ledger!$K$2:$K$4, Ledger!$B$2:$B$4, $A3, Ledger!$C$2:$C$4, NSW$2)),"****")</f>
        <v/>
      </c>
      <c r="NSX3" t="str">
        <f>IFERROR(IF($C3="","",SUMIFS(Ledger!$K$2:$K$4, Ledger!$B$2:$B$4, $A3, Ledger!$C$2:$C$4, NSX$2)),"****")</f>
        <v/>
      </c>
      <c r="NSY3" t="str">
        <f>IFERROR(IF($C3="","",SUMIFS(Ledger!$K$2:$K$4, Ledger!$B$2:$B$4, $A3, Ledger!$C$2:$C$4, NSY$2)),"****")</f>
        <v/>
      </c>
      <c r="NSZ3" t="str">
        <f>IFERROR(IF($C3="","",SUMIFS(Ledger!$K$2:$K$4, Ledger!$B$2:$B$4, $A3, Ledger!$C$2:$C$4, NSZ$2)),"****")</f>
        <v/>
      </c>
      <c r="NTA3" t="str">
        <f>IFERROR(IF($C3="","",SUMIFS(Ledger!$K$2:$K$4, Ledger!$B$2:$B$4, $A3, Ledger!$C$2:$C$4, NTA$2)),"****")</f>
        <v/>
      </c>
      <c r="NTB3" t="str">
        <f>IFERROR(IF($C3="","",SUMIFS(Ledger!$K$2:$K$4, Ledger!$B$2:$B$4, $A3, Ledger!$C$2:$C$4, NTB$2)),"****")</f>
        <v/>
      </c>
      <c r="NTC3" t="str">
        <f>IFERROR(IF($C3="","",SUMIFS(Ledger!$K$2:$K$4, Ledger!$B$2:$B$4, $A3, Ledger!$C$2:$C$4, NTC$2)),"****")</f>
        <v/>
      </c>
      <c r="NTD3" t="str">
        <f>IFERROR(IF($C3="","",SUMIFS(Ledger!$K$2:$K$4, Ledger!$B$2:$B$4, $A3, Ledger!$C$2:$C$4, NTD$2)),"****")</f>
        <v/>
      </c>
      <c r="NTE3" t="str">
        <f>IFERROR(IF($C3="","",SUMIFS(Ledger!$K$2:$K$4, Ledger!$B$2:$B$4, $A3, Ledger!$C$2:$C$4, NTE$2)),"****")</f>
        <v/>
      </c>
      <c r="NTF3" t="str">
        <f>IFERROR(IF($C3="","",SUMIFS(Ledger!$K$2:$K$4, Ledger!$B$2:$B$4, $A3, Ledger!$C$2:$C$4, NTF$2)),"****")</f>
        <v/>
      </c>
      <c r="NTG3" t="str">
        <f>IFERROR(IF($C3="","",SUMIFS(Ledger!$K$2:$K$4, Ledger!$B$2:$B$4, $A3, Ledger!$C$2:$C$4, NTG$2)),"****")</f>
        <v/>
      </c>
      <c r="NTH3" t="str">
        <f>IFERROR(IF($C3="","",SUMIFS(Ledger!$K$2:$K$4, Ledger!$B$2:$B$4, $A3, Ledger!$C$2:$C$4, NTH$2)),"****")</f>
        <v/>
      </c>
      <c r="NTI3" t="str">
        <f>IFERROR(IF($C3="","",SUMIFS(Ledger!$K$2:$K$4, Ledger!$B$2:$B$4, $A3, Ledger!$C$2:$C$4, NTI$2)),"****")</f>
        <v/>
      </c>
      <c r="NTJ3" t="str">
        <f>IFERROR(IF($C3="","",SUMIFS(Ledger!$K$2:$K$4, Ledger!$B$2:$B$4, $A3, Ledger!$C$2:$C$4, NTJ$2)),"****")</f>
        <v/>
      </c>
      <c r="NTK3" t="str">
        <f>IFERROR(IF($C3="","",SUMIFS(Ledger!$K$2:$K$4, Ledger!$B$2:$B$4, $A3, Ledger!$C$2:$C$4, NTK$2)),"****")</f>
        <v/>
      </c>
      <c r="NTL3" t="str">
        <f>IFERROR(IF($C3="","",SUMIFS(Ledger!$K$2:$K$4, Ledger!$B$2:$B$4, $A3, Ledger!$C$2:$C$4, NTL$2)),"****")</f>
        <v/>
      </c>
      <c r="NTM3" t="str">
        <f>IFERROR(IF($C3="","",SUMIFS(Ledger!$K$2:$K$4, Ledger!$B$2:$B$4, $A3, Ledger!$C$2:$C$4, NTM$2)),"****")</f>
        <v/>
      </c>
      <c r="NTN3" t="str">
        <f>IFERROR(IF($C3="","",SUMIFS(Ledger!$K$2:$K$4, Ledger!$B$2:$B$4, $A3, Ledger!$C$2:$C$4, NTN$2)),"****")</f>
        <v/>
      </c>
      <c r="NTO3" t="str">
        <f>IFERROR(IF($C3="","",SUMIFS(Ledger!$K$2:$K$4, Ledger!$B$2:$B$4, $A3, Ledger!$C$2:$C$4, NTO$2)),"****")</f>
        <v/>
      </c>
      <c r="NTP3" t="str">
        <f>IFERROR(IF($C3="","",SUMIFS(Ledger!$K$2:$K$4, Ledger!$B$2:$B$4, $A3, Ledger!$C$2:$C$4, NTP$2)),"****")</f>
        <v/>
      </c>
      <c r="NTQ3" t="str">
        <f>IFERROR(IF($C3="","",SUMIFS(Ledger!$K$2:$K$4, Ledger!$B$2:$B$4, $A3, Ledger!$C$2:$C$4, NTQ$2)),"****")</f>
        <v/>
      </c>
      <c r="NTR3" t="str">
        <f>IFERROR(IF($C3="","",SUMIFS(Ledger!$K$2:$K$4, Ledger!$B$2:$B$4, $A3, Ledger!$C$2:$C$4, NTR$2)),"****")</f>
        <v/>
      </c>
      <c r="NTS3" t="str">
        <f>IFERROR(IF($C3="","",SUMIFS(Ledger!$K$2:$K$4, Ledger!$B$2:$B$4, $A3, Ledger!$C$2:$C$4, NTS$2)),"****")</f>
        <v/>
      </c>
      <c r="NTT3" t="str">
        <f>IFERROR(IF($C3="","",SUMIFS(Ledger!$K$2:$K$4, Ledger!$B$2:$B$4, $A3, Ledger!$C$2:$C$4, NTT$2)),"****")</f>
        <v/>
      </c>
      <c r="NTU3" t="str">
        <f>IFERROR(IF($C3="","",SUMIFS(Ledger!$K$2:$K$4, Ledger!$B$2:$B$4, $A3, Ledger!$C$2:$C$4, NTU$2)),"****")</f>
        <v/>
      </c>
      <c r="NTV3" t="str">
        <f>IFERROR(IF($C3="","",SUMIFS(Ledger!$K$2:$K$4, Ledger!$B$2:$B$4, $A3, Ledger!$C$2:$C$4, NTV$2)),"****")</f>
        <v/>
      </c>
      <c r="NTW3" t="str">
        <f>IFERROR(IF($C3="","",SUMIFS(Ledger!$K$2:$K$4, Ledger!$B$2:$B$4, $A3, Ledger!$C$2:$C$4, NTW$2)),"****")</f>
        <v/>
      </c>
      <c r="NTX3" t="str">
        <f>IFERROR(IF($C3="","",SUMIFS(Ledger!$K$2:$K$4, Ledger!$B$2:$B$4, $A3, Ledger!$C$2:$C$4, NTX$2)),"****")</f>
        <v/>
      </c>
      <c r="NTY3" t="str">
        <f>IFERROR(IF($C3="","",SUMIFS(Ledger!$K$2:$K$4, Ledger!$B$2:$B$4, $A3, Ledger!$C$2:$C$4, NTY$2)),"****")</f>
        <v/>
      </c>
      <c r="NTZ3" t="str">
        <f>IFERROR(IF($C3="","",SUMIFS(Ledger!$K$2:$K$4, Ledger!$B$2:$B$4, $A3, Ledger!$C$2:$C$4, NTZ$2)),"****")</f>
        <v/>
      </c>
      <c r="NUA3" t="str">
        <f>IFERROR(IF($C3="","",SUMIFS(Ledger!$K$2:$K$4, Ledger!$B$2:$B$4, $A3, Ledger!$C$2:$C$4, NUA$2)),"****")</f>
        <v/>
      </c>
      <c r="NUB3" t="str">
        <f>IFERROR(IF($C3="","",SUMIFS(Ledger!$K$2:$K$4, Ledger!$B$2:$B$4, $A3, Ledger!$C$2:$C$4, NUB$2)),"****")</f>
        <v/>
      </c>
      <c r="NUC3" t="str">
        <f>IFERROR(IF($C3="","",SUMIFS(Ledger!$K$2:$K$4, Ledger!$B$2:$B$4, $A3, Ledger!$C$2:$C$4, NUC$2)),"****")</f>
        <v/>
      </c>
      <c r="NUD3" t="str">
        <f>IFERROR(IF($C3="","",SUMIFS(Ledger!$K$2:$K$4, Ledger!$B$2:$B$4, $A3, Ledger!$C$2:$C$4, NUD$2)),"****")</f>
        <v/>
      </c>
      <c r="NUE3" t="str">
        <f>IFERROR(IF($C3="","",SUMIFS(Ledger!$K$2:$K$4, Ledger!$B$2:$B$4, $A3, Ledger!$C$2:$C$4, NUE$2)),"****")</f>
        <v/>
      </c>
      <c r="NUF3" t="str">
        <f>IFERROR(IF($C3="","",SUMIFS(Ledger!$K$2:$K$4, Ledger!$B$2:$B$4, $A3, Ledger!$C$2:$C$4, NUF$2)),"****")</f>
        <v/>
      </c>
      <c r="NUG3" t="str">
        <f>IFERROR(IF($C3="","",SUMIFS(Ledger!$K$2:$K$4, Ledger!$B$2:$B$4, $A3, Ledger!$C$2:$C$4, NUG$2)),"****")</f>
        <v/>
      </c>
      <c r="NUH3" t="str">
        <f>IFERROR(IF($C3="","",SUMIFS(Ledger!$K$2:$K$4, Ledger!$B$2:$B$4, $A3, Ledger!$C$2:$C$4, NUH$2)),"****")</f>
        <v/>
      </c>
      <c r="NUI3" t="str">
        <f>IFERROR(IF($C3="","",SUMIFS(Ledger!$K$2:$K$4, Ledger!$B$2:$B$4, $A3, Ledger!$C$2:$C$4, NUI$2)),"****")</f>
        <v/>
      </c>
      <c r="NUJ3" t="str">
        <f>IFERROR(IF($C3="","",SUMIFS(Ledger!$K$2:$K$4, Ledger!$B$2:$B$4, $A3, Ledger!$C$2:$C$4, NUJ$2)),"****")</f>
        <v/>
      </c>
      <c r="NUK3" t="str">
        <f>IFERROR(IF($C3="","",SUMIFS(Ledger!$K$2:$K$4, Ledger!$B$2:$B$4, $A3, Ledger!$C$2:$C$4, NUK$2)),"****")</f>
        <v/>
      </c>
      <c r="NUL3" t="str">
        <f>IFERROR(IF($C3="","",SUMIFS(Ledger!$K$2:$K$4, Ledger!$B$2:$B$4, $A3, Ledger!$C$2:$C$4, NUL$2)),"****")</f>
        <v/>
      </c>
      <c r="NUM3" t="str">
        <f>IFERROR(IF($C3="","",SUMIFS(Ledger!$K$2:$K$4, Ledger!$B$2:$B$4, $A3, Ledger!$C$2:$C$4, NUM$2)),"****")</f>
        <v/>
      </c>
      <c r="NUN3" t="str">
        <f>IFERROR(IF($C3="","",SUMIFS(Ledger!$K$2:$K$4, Ledger!$B$2:$B$4, $A3, Ledger!$C$2:$C$4, NUN$2)),"****")</f>
        <v/>
      </c>
      <c r="NUO3" t="str">
        <f>IFERROR(IF($C3="","",SUMIFS(Ledger!$K$2:$K$4, Ledger!$B$2:$B$4, $A3, Ledger!$C$2:$C$4, NUO$2)),"****")</f>
        <v/>
      </c>
      <c r="NUP3" t="str">
        <f>IFERROR(IF($C3="","",SUMIFS(Ledger!$K$2:$K$4, Ledger!$B$2:$B$4, $A3, Ledger!$C$2:$C$4, NUP$2)),"****")</f>
        <v/>
      </c>
      <c r="NUQ3" t="str">
        <f>IFERROR(IF($C3="","",SUMIFS(Ledger!$K$2:$K$4, Ledger!$B$2:$B$4, $A3, Ledger!$C$2:$C$4, NUQ$2)),"****")</f>
        <v/>
      </c>
      <c r="NUR3" t="str">
        <f>IFERROR(IF($C3="","",SUMIFS(Ledger!$K$2:$K$4, Ledger!$B$2:$B$4, $A3, Ledger!$C$2:$C$4, NUR$2)),"****")</f>
        <v/>
      </c>
      <c r="NUS3" t="str">
        <f>IFERROR(IF($C3="","",SUMIFS(Ledger!$K$2:$K$4, Ledger!$B$2:$B$4, $A3, Ledger!$C$2:$C$4, NUS$2)),"****")</f>
        <v/>
      </c>
      <c r="NUT3" t="str">
        <f>IFERROR(IF($C3="","",SUMIFS(Ledger!$K$2:$K$4, Ledger!$B$2:$B$4, $A3, Ledger!$C$2:$C$4, NUT$2)),"****")</f>
        <v/>
      </c>
      <c r="NUU3" t="str">
        <f>IFERROR(IF($C3="","",SUMIFS(Ledger!$K$2:$K$4, Ledger!$B$2:$B$4, $A3, Ledger!$C$2:$C$4, NUU$2)),"****")</f>
        <v/>
      </c>
      <c r="NUV3" t="str">
        <f>IFERROR(IF($C3="","",SUMIFS(Ledger!$K$2:$K$4, Ledger!$B$2:$B$4, $A3, Ledger!$C$2:$C$4, NUV$2)),"****")</f>
        <v/>
      </c>
      <c r="NUW3" t="str">
        <f>IFERROR(IF($C3="","",SUMIFS(Ledger!$K$2:$K$4, Ledger!$B$2:$B$4, $A3, Ledger!$C$2:$C$4, NUW$2)),"****")</f>
        <v/>
      </c>
      <c r="NUX3" t="str">
        <f>IFERROR(IF($C3="","",SUMIFS(Ledger!$K$2:$K$4, Ledger!$B$2:$B$4, $A3, Ledger!$C$2:$C$4, NUX$2)),"****")</f>
        <v/>
      </c>
      <c r="NUY3" t="str">
        <f>IFERROR(IF($C3="","",SUMIFS(Ledger!$K$2:$K$4, Ledger!$B$2:$B$4, $A3, Ledger!$C$2:$C$4, NUY$2)),"****")</f>
        <v/>
      </c>
      <c r="NUZ3" t="str">
        <f>IFERROR(IF($C3="","",SUMIFS(Ledger!$K$2:$K$4, Ledger!$B$2:$B$4, $A3, Ledger!$C$2:$C$4, NUZ$2)),"****")</f>
        <v/>
      </c>
      <c r="NVA3" t="str">
        <f>IFERROR(IF($C3="","",SUMIFS(Ledger!$K$2:$K$4, Ledger!$B$2:$B$4, $A3, Ledger!$C$2:$C$4, NVA$2)),"****")</f>
        <v/>
      </c>
      <c r="NVB3" t="str">
        <f>IFERROR(IF($C3="","",SUMIFS(Ledger!$K$2:$K$4, Ledger!$B$2:$B$4, $A3, Ledger!$C$2:$C$4, NVB$2)),"****")</f>
        <v/>
      </c>
      <c r="NVC3" t="str">
        <f>IFERROR(IF($C3="","",SUMIFS(Ledger!$K$2:$K$4, Ledger!$B$2:$B$4, $A3, Ledger!$C$2:$C$4, NVC$2)),"****")</f>
        <v/>
      </c>
      <c r="NVD3" t="str">
        <f>IFERROR(IF($C3="","",SUMIFS(Ledger!$K$2:$K$4, Ledger!$B$2:$B$4, $A3, Ledger!$C$2:$C$4, NVD$2)),"****")</f>
        <v/>
      </c>
      <c r="NVE3" t="str">
        <f>IFERROR(IF($C3="","",SUMIFS(Ledger!$K$2:$K$4, Ledger!$B$2:$B$4, $A3, Ledger!$C$2:$C$4, NVE$2)),"****")</f>
        <v/>
      </c>
      <c r="NVF3" t="str">
        <f>IFERROR(IF($C3="","",SUMIFS(Ledger!$K$2:$K$4, Ledger!$B$2:$B$4, $A3, Ledger!$C$2:$C$4, NVF$2)),"****")</f>
        <v/>
      </c>
      <c r="NVG3" t="str">
        <f>IFERROR(IF($C3="","",SUMIFS(Ledger!$K$2:$K$4, Ledger!$B$2:$B$4, $A3, Ledger!$C$2:$C$4, NVG$2)),"****")</f>
        <v/>
      </c>
      <c r="NVH3" t="str">
        <f>IFERROR(IF($C3="","",SUMIFS(Ledger!$K$2:$K$4, Ledger!$B$2:$B$4, $A3, Ledger!$C$2:$C$4, NVH$2)),"****")</f>
        <v/>
      </c>
      <c r="NVI3" t="str">
        <f>IFERROR(IF($C3="","",SUMIFS(Ledger!$K$2:$K$4, Ledger!$B$2:$B$4, $A3, Ledger!$C$2:$C$4, NVI$2)),"****")</f>
        <v/>
      </c>
      <c r="NVJ3" t="str">
        <f>IFERROR(IF($C3="","",SUMIFS(Ledger!$K$2:$K$4, Ledger!$B$2:$B$4, $A3, Ledger!$C$2:$C$4, NVJ$2)),"****")</f>
        <v/>
      </c>
      <c r="NVK3" t="str">
        <f>IFERROR(IF($C3="","",SUMIFS(Ledger!$K$2:$K$4, Ledger!$B$2:$B$4, $A3, Ledger!$C$2:$C$4, NVK$2)),"****")</f>
        <v/>
      </c>
      <c r="NVL3" t="str">
        <f>IFERROR(IF($C3="","",SUMIFS(Ledger!$K$2:$K$4, Ledger!$B$2:$B$4, $A3, Ledger!$C$2:$C$4, NVL$2)),"****")</f>
        <v/>
      </c>
      <c r="NVM3" t="str">
        <f>IFERROR(IF($C3="","",SUMIFS(Ledger!$K$2:$K$4, Ledger!$B$2:$B$4, $A3, Ledger!$C$2:$C$4, NVM$2)),"****")</f>
        <v/>
      </c>
      <c r="NVN3" t="str">
        <f>IFERROR(IF($C3="","",SUMIFS(Ledger!$K$2:$K$4, Ledger!$B$2:$B$4, $A3, Ledger!$C$2:$C$4, NVN$2)),"****")</f>
        <v/>
      </c>
      <c r="NVO3" t="str">
        <f>IFERROR(IF($C3="","",SUMIFS(Ledger!$K$2:$K$4, Ledger!$B$2:$B$4, $A3, Ledger!$C$2:$C$4, NVO$2)),"****")</f>
        <v/>
      </c>
      <c r="NVP3" t="str">
        <f>IFERROR(IF($C3="","",SUMIFS(Ledger!$K$2:$K$4, Ledger!$B$2:$B$4, $A3, Ledger!$C$2:$C$4, NVP$2)),"****")</f>
        <v/>
      </c>
      <c r="NVQ3" t="str">
        <f>IFERROR(IF($C3="","",SUMIFS(Ledger!$K$2:$K$4, Ledger!$B$2:$B$4, $A3, Ledger!$C$2:$C$4, NVQ$2)),"****")</f>
        <v/>
      </c>
      <c r="NVR3" t="str">
        <f>IFERROR(IF($C3="","",SUMIFS(Ledger!$K$2:$K$4, Ledger!$B$2:$B$4, $A3, Ledger!$C$2:$C$4, NVR$2)),"****")</f>
        <v/>
      </c>
      <c r="NVS3" t="str">
        <f>IFERROR(IF($C3="","",SUMIFS(Ledger!$K$2:$K$4, Ledger!$B$2:$B$4, $A3, Ledger!$C$2:$C$4, NVS$2)),"****")</f>
        <v/>
      </c>
      <c r="NVT3" t="str">
        <f>IFERROR(IF($C3="","",SUMIFS(Ledger!$K$2:$K$4, Ledger!$B$2:$B$4, $A3, Ledger!$C$2:$C$4, NVT$2)),"****")</f>
        <v/>
      </c>
      <c r="NVU3" t="str">
        <f>IFERROR(IF($C3="","",SUMIFS(Ledger!$K$2:$K$4, Ledger!$B$2:$B$4, $A3, Ledger!$C$2:$C$4, NVU$2)),"****")</f>
        <v/>
      </c>
      <c r="NVV3" t="str">
        <f>IFERROR(IF($C3="","",SUMIFS(Ledger!$K$2:$K$4, Ledger!$B$2:$B$4, $A3, Ledger!$C$2:$C$4, NVV$2)),"****")</f>
        <v/>
      </c>
      <c r="NVW3" t="str">
        <f>IFERROR(IF($C3="","",SUMIFS(Ledger!$K$2:$K$4, Ledger!$B$2:$B$4, $A3, Ledger!$C$2:$C$4, NVW$2)),"****")</f>
        <v/>
      </c>
      <c r="NVX3" t="str">
        <f>IFERROR(IF($C3="","",SUMIFS(Ledger!$K$2:$K$4, Ledger!$B$2:$B$4, $A3, Ledger!$C$2:$C$4, NVX$2)),"****")</f>
        <v/>
      </c>
      <c r="NVY3" t="str">
        <f>IFERROR(IF($C3="","",SUMIFS(Ledger!$K$2:$K$4, Ledger!$B$2:$B$4, $A3, Ledger!$C$2:$C$4, NVY$2)),"****")</f>
        <v/>
      </c>
      <c r="NVZ3" t="str">
        <f>IFERROR(IF($C3="","",SUMIFS(Ledger!$K$2:$K$4, Ledger!$B$2:$B$4, $A3, Ledger!$C$2:$C$4, NVZ$2)),"****")</f>
        <v/>
      </c>
      <c r="NWA3" t="str">
        <f>IFERROR(IF($C3="","",SUMIFS(Ledger!$K$2:$K$4, Ledger!$B$2:$B$4, $A3, Ledger!$C$2:$C$4, NWA$2)),"****")</f>
        <v/>
      </c>
      <c r="NWB3" t="str">
        <f>IFERROR(IF($C3="","",SUMIFS(Ledger!$K$2:$K$4, Ledger!$B$2:$B$4, $A3, Ledger!$C$2:$C$4, NWB$2)),"****")</f>
        <v/>
      </c>
      <c r="NWC3" t="str">
        <f>IFERROR(IF($C3="","",SUMIFS(Ledger!$K$2:$K$4, Ledger!$B$2:$B$4, $A3, Ledger!$C$2:$C$4, NWC$2)),"****")</f>
        <v/>
      </c>
      <c r="NWD3" t="str">
        <f>IFERROR(IF($C3="","",SUMIFS(Ledger!$K$2:$K$4, Ledger!$B$2:$B$4, $A3, Ledger!$C$2:$C$4, NWD$2)),"****")</f>
        <v/>
      </c>
      <c r="NWE3" t="str">
        <f>IFERROR(IF($C3="","",SUMIFS(Ledger!$K$2:$K$4, Ledger!$B$2:$B$4, $A3, Ledger!$C$2:$C$4, NWE$2)),"****")</f>
        <v/>
      </c>
      <c r="NWF3" t="str">
        <f>IFERROR(IF($C3="","",SUMIFS(Ledger!$K$2:$K$4, Ledger!$B$2:$B$4, $A3, Ledger!$C$2:$C$4, NWF$2)),"****")</f>
        <v/>
      </c>
      <c r="NWG3" t="str">
        <f>IFERROR(IF($C3="","",SUMIFS(Ledger!$K$2:$K$4, Ledger!$B$2:$B$4, $A3, Ledger!$C$2:$C$4, NWG$2)),"****")</f>
        <v/>
      </c>
      <c r="NWH3" t="str">
        <f>IFERROR(IF($C3="","",SUMIFS(Ledger!$K$2:$K$4, Ledger!$B$2:$B$4, $A3, Ledger!$C$2:$C$4, NWH$2)),"****")</f>
        <v/>
      </c>
      <c r="NWI3" t="str">
        <f>IFERROR(IF($C3="","",SUMIFS(Ledger!$K$2:$K$4, Ledger!$B$2:$B$4, $A3, Ledger!$C$2:$C$4, NWI$2)),"****")</f>
        <v/>
      </c>
      <c r="NWJ3" t="str">
        <f>IFERROR(IF($C3="","",SUMIFS(Ledger!$K$2:$K$4, Ledger!$B$2:$B$4, $A3, Ledger!$C$2:$C$4, NWJ$2)),"****")</f>
        <v/>
      </c>
      <c r="NWK3" t="str">
        <f>IFERROR(IF($C3="","",SUMIFS(Ledger!$K$2:$K$4, Ledger!$B$2:$B$4, $A3, Ledger!$C$2:$C$4, NWK$2)),"****")</f>
        <v/>
      </c>
      <c r="NWL3" t="str">
        <f>IFERROR(IF($C3="","",SUMIFS(Ledger!$K$2:$K$4, Ledger!$B$2:$B$4, $A3, Ledger!$C$2:$C$4, NWL$2)),"****")</f>
        <v/>
      </c>
      <c r="NWM3" t="str">
        <f>IFERROR(IF($C3="","",SUMIFS(Ledger!$K$2:$K$4, Ledger!$B$2:$B$4, $A3, Ledger!$C$2:$C$4, NWM$2)),"****")</f>
        <v/>
      </c>
      <c r="NWN3" t="str">
        <f>IFERROR(IF($C3="","",SUMIFS(Ledger!$K$2:$K$4, Ledger!$B$2:$B$4, $A3, Ledger!$C$2:$C$4, NWN$2)),"****")</f>
        <v/>
      </c>
      <c r="NWO3" t="str">
        <f>IFERROR(IF($C3="","",SUMIFS(Ledger!$K$2:$K$4, Ledger!$B$2:$B$4, $A3, Ledger!$C$2:$C$4, NWO$2)),"****")</f>
        <v/>
      </c>
      <c r="NWP3" t="str">
        <f>IFERROR(IF($C3="","",SUMIFS(Ledger!$K$2:$K$4, Ledger!$B$2:$B$4, $A3, Ledger!$C$2:$C$4, NWP$2)),"****")</f>
        <v/>
      </c>
      <c r="NWQ3" t="str">
        <f>IFERROR(IF($C3="","",SUMIFS(Ledger!$K$2:$K$4, Ledger!$B$2:$B$4, $A3, Ledger!$C$2:$C$4, NWQ$2)),"****")</f>
        <v/>
      </c>
      <c r="NWR3" t="str">
        <f>IFERROR(IF($C3="","",SUMIFS(Ledger!$K$2:$K$4, Ledger!$B$2:$B$4, $A3, Ledger!$C$2:$C$4, NWR$2)),"****")</f>
        <v/>
      </c>
      <c r="NWS3" t="str">
        <f>IFERROR(IF($C3="","",SUMIFS(Ledger!$K$2:$K$4, Ledger!$B$2:$B$4, $A3, Ledger!$C$2:$C$4, NWS$2)),"****")</f>
        <v/>
      </c>
      <c r="NWT3" t="str">
        <f>IFERROR(IF($C3="","",SUMIFS(Ledger!$K$2:$K$4, Ledger!$B$2:$B$4, $A3, Ledger!$C$2:$C$4, NWT$2)),"****")</f>
        <v/>
      </c>
      <c r="NWU3" t="str">
        <f>IFERROR(IF($C3="","",SUMIFS(Ledger!$K$2:$K$4, Ledger!$B$2:$B$4, $A3, Ledger!$C$2:$C$4, NWU$2)),"****")</f>
        <v/>
      </c>
      <c r="NWV3" t="str">
        <f>IFERROR(IF($C3="","",SUMIFS(Ledger!$K$2:$K$4, Ledger!$B$2:$B$4, $A3, Ledger!$C$2:$C$4, NWV$2)),"****")</f>
        <v/>
      </c>
      <c r="NWW3" t="str">
        <f>IFERROR(IF($C3="","",SUMIFS(Ledger!$K$2:$K$4, Ledger!$B$2:$B$4, $A3, Ledger!$C$2:$C$4, NWW$2)),"****")</f>
        <v/>
      </c>
      <c r="NWX3" t="str">
        <f>IFERROR(IF($C3="","",SUMIFS(Ledger!$K$2:$K$4, Ledger!$B$2:$B$4, $A3, Ledger!$C$2:$C$4, NWX$2)),"****")</f>
        <v/>
      </c>
      <c r="NWY3" t="str">
        <f>IFERROR(IF($C3="","",SUMIFS(Ledger!$K$2:$K$4, Ledger!$B$2:$B$4, $A3, Ledger!$C$2:$C$4, NWY$2)),"****")</f>
        <v/>
      </c>
      <c r="NWZ3" t="str">
        <f>IFERROR(IF($C3="","",SUMIFS(Ledger!$K$2:$K$4, Ledger!$B$2:$B$4, $A3, Ledger!$C$2:$C$4, NWZ$2)),"****")</f>
        <v/>
      </c>
      <c r="NXA3" t="str">
        <f>IFERROR(IF($C3="","",SUMIFS(Ledger!$K$2:$K$4, Ledger!$B$2:$B$4, $A3, Ledger!$C$2:$C$4, NXA$2)),"****")</f>
        <v/>
      </c>
      <c r="NXB3" t="str">
        <f>IFERROR(IF($C3="","",SUMIFS(Ledger!$K$2:$K$4, Ledger!$B$2:$B$4, $A3, Ledger!$C$2:$C$4, NXB$2)),"****")</f>
        <v/>
      </c>
      <c r="NXC3" t="str">
        <f>IFERROR(IF($C3="","",SUMIFS(Ledger!$K$2:$K$4, Ledger!$B$2:$B$4, $A3, Ledger!$C$2:$C$4, NXC$2)),"****")</f>
        <v/>
      </c>
      <c r="NXD3" t="str">
        <f>IFERROR(IF($C3="","",SUMIFS(Ledger!$K$2:$K$4, Ledger!$B$2:$B$4, $A3, Ledger!$C$2:$C$4, NXD$2)),"****")</f>
        <v/>
      </c>
      <c r="NXE3" t="str">
        <f>IFERROR(IF($C3="","",SUMIFS(Ledger!$K$2:$K$4, Ledger!$B$2:$B$4, $A3, Ledger!$C$2:$C$4, NXE$2)),"****")</f>
        <v/>
      </c>
      <c r="NXF3" t="str">
        <f>IFERROR(IF($C3="","",SUMIFS(Ledger!$K$2:$K$4, Ledger!$B$2:$B$4, $A3, Ledger!$C$2:$C$4, NXF$2)),"****")</f>
        <v/>
      </c>
      <c r="NXG3" t="str">
        <f>IFERROR(IF($C3="","",SUMIFS(Ledger!$K$2:$K$4, Ledger!$B$2:$B$4, $A3, Ledger!$C$2:$C$4, NXG$2)),"****")</f>
        <v/>
      </c>
      <c r="NXH3" t="str">
        <f>IFERROR(IF($C3="","",SUMIFS(Ledger!$K$2:$K$4, Ledger!$B$2:$B$4, $A3, Ledger!$C$2:$C$4, NXH$2)),"****")</f>
        <v/>
      </c>
      <c r="NXI3" t="str">
        <f>IFERROR(IF($C3="","",SUMIFS(Ledger!$K$2:$K$4, Ledger!$B$2:$B$4, $A3, Ledger!$C$2:$C$4, NXI$2)),"****")</f>
        <v/>
      </c>
      <c r="NXJ3" t="str">
        <f>IFERROR(IF($C3="","",SUMIFS(Ledger!$K$2:$K$4, Ledger!$B$2:$B$4, $A3, Ledger!$C$2:$C$4, NXJ$2)),"****")</f>
        <v/>
      </c>
      <c r="NXK3" t="str">
        <f>IFERROR(IF($C3="","",SUMIFS(Ledger!$K$2:$K$4, Ledger!$B$2:$B$4, $A3, Ledger!$C$2:$C$4, NXK$2)),"****")</f>
        <v/>
      </c>
      <c r="NXL3" t="str">
        <f>IFERROR(IF($C3="","",SUMIFS(Ledger!$K$2:$K$4, Ledger!$B$2:$B$4, $A3, Ledger!$C$2:$C$4, NXL$2)),"****")</f>
        <v/>
      </c>
      <c r="NXM3" t="str">
        <f>IFERROR(IF($C3="","",SUMIFS(Ledger!$K$2:$K$4, Ledger!$B$2:$B$4, $A3, Ledger!$C$2:$C$4, NXM$2)),"****")</f>
        <v/>
      </c>
      <c r="NXN3" t="str">
        <f>IFERROR(IF($C3="","",SUMIFS(Ledger!$K$2:$K$4, Ledger!$B$2:$B$4, $A3, Ledger!$C$2:$C$4, NXN$2)),"****")</f>
        <v/>
      </c>
      <c r="NXO3" t="str">
        <f>IFERROR(IF($C3="","",SUMIFS(Ledger!$K$2:$K$4, Ledger!$B$2:$B$4, $A3, Ledger!$C$2:$C$4, NXO$2)),"****")</f>
        <v/>
      </c>
      <c r="NXP3" t="str">
        <f>IFERROR(IF($C3="","",SUMIFS(Ledger!$K$2:$K$4, Ledger!$B$2:$B$4, $A3, Ledger!$C$2:$C$4, NXP$2)),"****")</f>
        <v/>
      </c>
      <c r="NXQ3" t="str">
        <f>IFERROR(IF($C3="","",SUMIFS(Ledger!$K$2:$K$4, Ledger!$B$2:$B$4, $A3, Ledger!$C$2:$C$4, NXQ$2)),"****")</f>
        <v/>
      </c>
      <c r="NXR3" t="str">
        <f>IFERROR(IF($C3="","",SUMIFS(Ledger!$K$2:$K$4, Ledger!$B$2:$B$4, $A3, Ledger!$C$2:$C$4, NXR$2)),"****")</f>
        <v/>
      </c>
      <c r="NXS3" t="str">
        <f>IFERROR(IF($C3="","",SUMIFS(Ledger!$K$2:$K$4, Ledger!$B$2:$B$4, $A3, Ledger!$C$2:$C$4, NXS$2)),"****")</f>
        <v/>
      </c>
      <c r="NXT3" t="str">
        <f>IFERROR(IF($C3="","",SUMIFS(Ledger!$K$2:$K$4, Ledger!$B$2:$B$4, $A3, Ledger!$C$2:$C$4, NXT$2)),"****")</f>
        <v/>
      </c>
      <c r="NXU3" t="str">
        <f>IFERROR(IF($C3="","",SUMIFS(Ledger!$K$2:$K$4, Ledger!$B$2:$B$4, $A3, Ledger!$C$2:$C$4, NXU$2)),"****")</f>
        <v/>
      </c>
      <c r="NXV3" t="str">
        <f>IFERROR(IF($C3="","",SUMIFS(Ledger!$K$2:$K$4, Ledger!$B$2:$B$4, $A3, Ledger!$C$2:$C$4, NXV$2)),"****")</f>
        <v/>
      </c>
      <c r="NXW3" t="str">
        <f>IFERROR(IF($C3="","",SUMIFS(Ledger!$K$2:$K$4, Ledger!$B$2:$B$4, $A3, Ledger!$C$2:$C$4, NXW$2)),"****")</f>
        <v/>
      </c>
      <c r="NXX3" t="str">
        <f>IFERROR(IF($C3="","",SUMIFS(Ledger!$K$2:$K$4, Ledger!$B$2:$B$4, $A3, Ledger!$C$2:$C$4, NXX$2)),"****")</f>
        <v/>
      </c>
      <c r="NXY3" t="str">
        <f>IFERROR(IF($C3="","",SUMIFS(Ledger!$K$2:$K$4, Ledger!$B$2:$B$4, $A3, Ledger!$C$2:$C$4, NXY$2)),"****")</f>
        <v/>
      </c>
      <c r="NXZ3" t="str">
        <f>IFERROR(IF($C3="","",SUMIFS(Ledger!$K$2:$K$4, Ledger!$B$2:$B$4, $A3, Ledger!$C$2:$C$4, NXZ$2)),"****")</f>
        <v/>
      </c>
      <c r="NYA3" t="str">
        <f>IFERROR(IF($C3="","",SUMIFS(Ledger!$K$2:$K$4, Ledger!$B$2:$B$4, $A3, Ledger!$C$2:$C$4, NYA$2)),"****")</f>
        <v/>
      </c>
      <c r="NYB3" t="str">
        <f>IFERROR(IF($C3="","",SUMIFS(Ledger!$K$2:$K$4, Ledger!$B$2:$B$4, $A3, Ledger!$C$2:$C$4, NYB$2)),"****")</f>
        <v/>
      </c>
      <c r="NYC3" t="str">
        <f>IFERROR(IF($C3="","",SUMIFS(Ledger!$K$2:$K$4, Ledger!$B$2:$B$4, $A3, Ledger!$C$2:$C$4, NYC$2)),"****")</f>
        <v/>
      </c>
      <c r="NYD3" t="str">
        <f>IFERROR(IF($C3="","",SUMIFS(Ledger!$K$2:$K$4, Ledger!$B$2:$B$4, $A3, Ledger!$C$2:$C$4, NYD$2)),"****")</f>
        <v/>
      </c>
      <c r="NYE3" t="str">
        <f>IFERROR(IF($C3="","",SUMIFS(Ledger!$K$2:$K$4, Ledger!$B$2:$B$4, $A3, Ledger!$C$2:$C$4, NYE$2)),"****")</f>
        <v/>
      </c>
      <c r="NYF3" t="str">
        <f>IFERROR(IF($C3="","",SUMIFS(Ledger!$K$2:$K$4, Ledger!$B$2:$B$4, $A3, Ledger!$C$2:$C$4, NYF$2)),"****")</f>
        <v/>
      </c>
      <c r="NYG3" t="str">
        <f>IFERROR(IF($C3="","",SUMIFS(Ledger!$K$2:$K$4, Ledger!$B$2:$B$4, $A3, Ledger!$C$2:$C$4, NYG$2)),"****")</f>
        <v/>
      </c>
      <c r="NYH3" t="str">
        <f>IFERROR(IF($C3="","",SUMIFS(Ledger!$K$2:$K$4, Ledger!$B$2:$B$4, $A3, Ledger!$C$2:$C$4, NYH$2)),"****")</f>
        <v/>
      </c>
      <c r="NYI3" t="str">
        <f>IFERROR(IF($C3="","",SUMIFS(Ledger!$K$2:$K$4, Ledger!$B$2:$B$4, $A3, Ledger!$C$2:$C$4, NYI$2)),"****")</f>
        <v/>
      </c>
      <c r="NYJ3" t="str">
        <f>IFERROR(IF($C3="","",SUMIFS(Ledger!$K$2:$K$4, Ledger!$B$2:$B$4, $A3, Ledger!$C$2:$C$4, NYJ$2)),"****")</f>
        <v/>
      </c>
      <c r="NYK3" t="str">
        <f>IFERROR(IF($C3="","",SUMIFS(Ledger!$K$2:$K$4, Ledger!$B$2:$B$4, $A3, Ledger!$C$2:$C$4, NYK$2)),"****")</f>
        <v/>
      </c>
      <c r="NYL3" t="str">
        <f>IFERROR(IF($C3="","",SUMIFS(Ledger!$K$2:$K$4, Ledger!$B$2:$B$4, $A3, Ledger!$C$2:$C$4, NYL$2)),"****")</f>
        <v/>
      </c>
      <c r="NYM3" t="str">
        <f>IFERROR(IF($C3="","",SUMIFS(Ledger!$K$2:$K$4, Ledger!$B$2:$B$4, $A3, Ledger!$C$2:$C$4, NYM$2)),"****")</f>
        <v/>
      </c>
      <c r="NYN3" t="str">
        <f>IFERROR(IF($C3="","",SUMIFS(Ledger!$K$2:$K$4, Ledger!$B$2:$B$4, $A3, Ledger!$C$2:$C$4, NYN$2)),"****")</f>
        <v/>
      </c>
      <c r="NYO3" t="str">
        <f>IFERROR(IF($C3="","",SUMIFS(Ledger!$K$2:$K$4, Ledger!$B$2:$B$4, $A3, Ledger!$C$2:$C$4, NYO$2)),"****")</f>
        <v/>
      </c>
      <c r="NYP3" t="str">
        <f>IFERROR(IF($C3="","",SUMIFS(Ledger!$K$2:$K$4, Ledger!$B$2:$B$4, $A3, Ledger!$C$2:$C$4, NYP$2)),"****")</f>
        <v/>
      </c>
      <c r="NYQ3" t="str">
        <f>IFERROR(IF($C3="","",SUMIFS(Ledger!$K$2:$K$4, Ledger!$B$2:$B$4, $A3, Ledger!$C$2:$C$4, NYQ$2)),"****")</f>
        <v/>
      </c>
      <c r="NYR3" t="str">
        <f>IFERROR(IF($C3="","",SUMIFS(Ledger!$K$2:$K$4, Ledger!$B$2:$B$4, $A3, Ledger!$C$2:$C$4, NYR$2)),"****")</f>
        <v/>
      </c>
      <c r="NYS3" t="str">
        <f>IFERROR(IF($C3="","",SUMIFS(Ledger!$K$2:$K$4, Ledger!$B$2:$B$4, $A3, Ledger!$C$2:$C$4, NYS$2)),"****")</f>
        <v/>
      </c>
      <c r="NYT3" t="str">
        <f>IFERROR(IF($C3="","",SUMIFS(Ledger!$K$2:$K$4, Ledger!$B$2:$B$4, $A3, Ledger!$C$2:$C$4, NYT$2)),"****")</f>
        <v/>
      </c>
      <c r="NYU3" t="str">
        <f>IFERROR(IF($C3="","",SUMIFS(Ledger!$K$2:$K$4, Ledger!$B$2:$B$4, $A3, Ledger!$C$2:$C$4, NYU$2)),"****")</f>
        <v/>
      </c>
      <c r="NYV3" t="str">
        <f>IFERROR(IF($C3="","",SUMIFS(Ledger!$K$2:$K$4, Ledger!$B$2:$B$4, $A3, Ledger!$C$2:$C$4, NYV$2)),"****")</f>
        <v/>
      </c>
      <c r="NYW3" t="str">
        <f>IFERROR(IF($C3="","",SUMIFS(Ledger!$K$2:$K$4, Ledger!$B$2:$B$4, $A3, Ledger!$C$2:$C$4, NYW$2)),"****")</f>
        <v/>
      </c>
      <c r="NYX3" t="str">
        <f>IFERROR(IF($C3="","",SUMIFS(Ledger!$K$2:$K$4, Ledger!$B$2:$B$4, $A3, Ledger!$C$2:$C$4, NYX$2)),"****")</f>
        <v/>
      </c>
      <c r="NYY3" t="str">
        <f>IFERROR(IF($C3="","",SUMIFS(Ledger!$K$2:$K$4, Ledger!$B$2:$B$4, $A3, Ledger!$C$2:$C$4, NYY$2)),"****")</f>
        <v/>
      </c>
      <c r="NYZ3" t="str">
        <f>IFERROR(IF($C3="","",SUMIFS(Ledger!$K$2:$K$4, Ledger!$B$2:$B$4, $A3, Ledger!$C$2:$C$4, NYZ$2)),"****")</f>
        <v/>
      </c>
      <c r="NZA3" t="str">
        <f>IFERROR(IF($C3="","",SUMIFS(Ledger!$K$2:$K$4, Ledger!$B$2:$B$4, $A3, Ledger!$C$2:$C$4, NZA$2)),"****")</f>
        <v/>
      </c>
      <c r="NZB3" t="str">
        <f>IFERROR(IF($C3="","",SUMIFS(Ledger!$K$2:$K$4, Ledger!$B$2:$B$4, $A3, Ledger!$C$2:$C$4, NZB$2)),"****")</f>
        <v/>
      </c>
      <c r="NZC3" t="str">
        <f>IFERROR(IF($C3="","",SUMIFS(Ledger!$K$2:$K$4, Ledger!$B$2:$B$4, $A3, Ledger!$C$2:$C$4, NZC$2)),"****")</f>
        <v/>
      </c>
      <c r="NZD3" t="str">
        <f>IFERROR(IF($C3="","",SUMIFS(Ledger!$K$2:$K$4, Ledger!$B$2:$B$4, $A3, Ledger!$C$2:$C$4, NZD$2)),"****")</f>
        <v/>
      </c>
      <c r="NZE3" t="str">
        <f>IFERROR(IF($C3="","",SUMIFS(Ledger!$K$2:$K$4, Ledger!$B$2:$B$4, $A3, Ledger!$C$2:$C$4, NZE$2)),"****")</f>
        <v/>
      </c>
      <c r="NZF3" t="str">
        <f>IFERROR(IF($C3="","",SUMIFS(Ledger!$K$2:$K$4, Ledger!$B$2:$B$4, $A3, Ledger!$C$2:$C$4, NZF$2)),"****")</f>
        <v/>
      </c>
      <c r="NZG3" t="str">
        <f>IFERROR(IF($C3="","",SUMIFS(Ledger!$K$2:$K$4, Ledger!$B$2:$B$4, $A3, Ledger!$C$2:$C$4, NZG$2)),"****")</f>
        <v/>
      </c>
      <c r="NZH3" t="str">
        <f>IFERROR(IF($C3="","",SUMIFS(Ledger!$K$2:$K$4, Ledger!$B$2:$B$4, $A3, Ledger!$C$2:$C$4, NZH$2)),"****")</f>
        <v/>
      </c>
      <c r="NZI3" t="str">
        <f>IFERROR(IF($C3="","",SUMIFS(Ledger!$K$2:$K$4, Ledger!$B$2:$B$4, $A3, Ledger!$C$2:$C$4, NZI$2)),"****")</f>
        <v/>
      </c>
      <c r="NZJ3" t="str">
        <f>IFERROR(IF($C3="","",SUMIFS(Ledger!$K$2:$K$4, Ledger!$B$2:$B$4, $A3, Ledger!$C$2:$C$4, NZJ$2)),"****")</f>
        <v/>
      </c>
      <c r="NZK3" t="str">
        <f>IFERROR(IF($C3="","",SUMIFS(Ledger!$K$2:$K$4, Ledger!$B$2:$B$4, $A3, Ledger!$C$2:$C$4, NZK$2)),"****")</f>
        <v/>
      </c>
      <c r="NZL3" t="str">
        <f>IFERROR(IF($C3="","",SUMIFS(Ledger!$K$2:$K$4, Ledger!$B$2:$B$4, $A3, Ledger!$C$2:$C$4, NZL$2)),"****")</f>
        <v/>
      </c>
      <c r="NZM3" t="str">
        <f>IFERROR(IF($C3="","",SUMIFS(Ledger!$K$2:$K$4, Ledger!$B$2:$B$4, $A3, Ledger!$C$2:$C$4, NZM$2)),"****")</f>
        <v/>
      </c>
      <c r="NZN3" t="str">
        <f>IFERROR(IF($C3="","",SUMIFS(Ledger!$K$2:$K$4, Ledger!$B$2:$B$4, $A3, Ledger!$C$2:$C$4, NZN$2)),"****")</f>
        <v/>
      </c>
      <c r="NZO3" t="str">
        <f>IFERROR(IF($C3="","",SUMIFS(Ledger!$K$2:$K$4, Ledger!$B$2:$B$4, $A3, Ledger!$C$2:$C$4, NZO$2)),"****")</f>
        <v/>
      </c>
      <c r="NZP3" t="str">
        <f>IFERROR(IF($C3="","",SUMIFS(Ledger!$K$2:$K$4, Ledger!$B$2:$B$4, $A3, Ledger!$C$2:$C$4, NZP$2)),"****")</f>
        <v/>
      </c>
      <c r="NZQ3" t="str">
        <f>IFERROR(IF($C3="","",SUMIFS(Ledger!$K$2:$K$4, Ledger!$B$2:$B$4, $A3, Ledger!$C$2:$C$4, NZQ$2)),"****")</f>
        <v/>
      </c>
      <c r="NZR3" t="str">
        <f>IFERROR(IF($C3="","",SUMIFS(Ledger!$K$2:$K$4, Ledger!$B$2:$B$4, $A3, Ledger!$C$2:$C$4, NZR$2)),"****")</f>
        <v/>
      </c>
      <c r="NZS3" t="str">
        <f>IFERROR(IF($C3="","",SUMIFS(Ledger!$K$2:$K$4, Ledger!$B$2:$B$4, $A3, Ledger!$C$2:$C$4, NZS$2)),"****")</f>
        <v/>
      </c>
      <c r="NZT3" t="str">
        <f>IFERROR(IF($C3="","",SUMIFS(Ledger!$K$2:$K$4, Ledger!$B$2:$B$4, $A3, Ledger!$C$2:$C$4, NZT$2)),"****")</f>
        <v/>
      </c>
      <c r="NZU3" t="str">
        <f>IFERROR(IF($C3="","",SUMIFS(Ledger!$K$2:$K$4, Ledger!$B$2:$B$4, $A3, Ledger!$C$2:$C$4, NZU$2)),"****")</f>
        <v/>
      </c>
      <c r="NZV3" t="str">
        <f>IFERROR(IF($C3="","",SUMIFS(Ledger!$K$2:$K$4, Ledger!$B$2:$B$4, $A3, Ledger!$C$2:$C$4, NZV$2)),"****")</f>
        <v/>
      </c>
      <c r="NZW3" t="str">
        <f>IFERROR(IF($C3="","",SUMIFS(Ledger!$K$2:$K$4, Ledger!$B$2:$B$4, $A3, Ledger!$C$2:$C$4, NZW$2)),"****")</f>
        <v/>
      </c>
      <c r="NZX3" t="str">
        <f>IFERROR(IF($C3="","",SUMIFS(Ledger!$K$2:$K$4, Ledger!$B$2:$B$4, $A3, Ledger!$C$2:$C$4, NZX$2)),"****")</f>
        <v/>
      </c>
      <c r="NZY3" t="str">
        <f>IFERROR(IF($C3="","",SUMIFS(Ledger!$K$2:$K$4, Ledger!$B$2:$B$4, $A3, Ledger!$C$2:$C$4, NZY$2)),"****")</f>
        <v/>
      </c>
      <c r="NZZ3" t="str">
        <f>IFERROR(IF($C3="","",SUMIFS(Ledger!$K$2:$K$4, Ledger!$B$2:$B$4, $A3, Ledger!$C$2:$C$4, NZZ$2)),"****")</f>
        <v/>
      </c>
      <c r="OAA3" t="str">
        <f>IFERROR(IF($C3="","",SUMIFS(Ledger!$K$2:$K$4, Ledger!$B$2:$B$4, $A3, Ledger!$C$2:$C$4, OAA$2)),"****")</f>
        <v/>
      </c>
      <c r="OAB3" t="str">
        <f>IFERROR(IF($C3="","",SUMIFS(Ledger!$K$2:$K$4, Ledger!$B$2:$B$4, $A3, Ledger!$C$2:$C$4, OAB$2)),"****")</f>
        <v/>
      </c>
      <c r="OAC3" t="str">
        <f>IFERROR(IF($C3="","",SUMIFS(Ledger!$K$2:$K$4, Ledger!$B$2:$B$4, $A3, Ledger!$C$2:$C$4, OAC$2)),"****")</f>
        <v/>
      </c>
      <c r="OAD3" t="str">
        <f>IFERROR(IF($C3="","",SUMIFS(Ledger!$K$2:$K$4, Ledger!$B$2:$B$4, $A3, Ledger!$C$2:$C$4, OAD$2)),"****")</f>
        <v/>
      </c>
      <c r="OAE3" t="str">
        <f>IFERROR(IF($C3="","",SUMIFS(Ledger!$K$2:$K$4, Ledger!$B$2:$B$4, $A3, Ledger!$C$2:$C$4, OAE$2)),"****")</f>
        <v/>
      </c>
      <c r="OAF3" t="str">
        <f>IFERROR(IF($C3="","",SUMIFS(Ledger!$K$2:$K$4, Ledger!$B$2:$B$4, $A3, Ledger!$C$2:$C$4, OAF$2)),"****")</f>
        <v/>
      </c>
      <c r="OAG3" t="str">
        <f>IFERROR(IF($C3="","",SUMIFS(Ledger!$K$2:$K$4, Ledger!$B$2:$B$4, $A3, Ledger!$C$2:$C$4, OAG$2)),"****")</f>
        <v/>
      </c>
      <c r="OAH3" t="str">
        <f>IFERROR(IF($C3="","",SUMIFS(Ledger!$K$2:$K$4, Ledger!$B$2:$B$4, $A3, Ledger!$C$2:$C$4, OAH$2)),"****")</f>
        <v/>
      </c>
      <c r="OAI3" t="str">
        <f>IFERROR(IF($C3="","",SUMIFS(Ledger!$K$2:$K$4, Ledger!$B$2:$B$4, $A3, Ledger!$C$2:$C$4, OAI$2)),"****")</f>
        <v/>
      </c>
      <c r="OAJ3" t="str">
        <f>IFERROR(IF($C3="","",SUMIFS(Ledger!$K$2:$K$4, Ledger!$B$2:$B$4, $A3, Ledger!$C$2:$C$4, OAJ$2)),"****")</f>
        <v/>
      </c>
      <c r="OAK3" t="str">
        <f>IFERROR(IF($C3="","",SUMIFS(Ledger!$K$2:$K$4, Ledger!$B$2:$B$4, $A3, Ledger!$C$2:$C$4, OAK$2)),"****")</f>
        <v/>
      </c>
      <c r="OAL3" t="str">
        <f>IFERROR(IF($C3="","",SUMIFS(Ledger!$K$2:$K$4, Ledger!$B$2:$B$4, $A3, Ledger!$C$2:$C$4, OAL$2)),"****")</f>
        <v/>
      </c>
      <c r="OAM3" t="str">
        <f>IFERROR(IF($C3="","",SUMIFS(Ledger!$K$2:$K$4, Ledger!$B$2:$B$4, $A3, Ledger!$C$2:$C$4, OAM$2)),"****")</f>
        <v/>
      </c>
      <c r="OAN3" t="str">
        <f>IFERROR(IF($C3="","",SUMIFS(Ledger!$K$2:$K$4, Ledger!$B$2:$B$4, $A3, Ledger!$C$2:$C$4, OAN$2)),"****")</f>
        <v/>
      </c>
      <c r="OAO3" t="str">
        <f>IFERROR(IF($C3="","",SUMIFS(Ledger!$K$2:$K$4, Ledger!$B$2:$B$4, $A3, Ledger!$C$2:$C$4, OAO$2)),"****")</f>
        <v/>
      </c>
      <c r="OAP3" t="str">
        <f>IFERROR(IF($C3="","",SUMIFS(Ledger!$K$2:$K$4, Ledger!$B$2:$B$4, $A3, Ledger!$C$2:$C$4, OAP$2)),"****")</f>
        <v/>
      </c>
      <c r="OAQ3" t="str">
        <f>IFERROR(IF($C3="","",SUMIFS(Ledger!$K$2:$K$4, Ledger!$B$2:$B$4, $A3, Ledger!$C$2:$C$4, OAQ$2)),"****")</f>
        <v/>
      </c>
      <c r="OAR3" t="str">
        <f>IFERROR(IF($C3="","",SUMIFS(Ledger!$K$2:$K$4, Ledger!$B$2:$B$4, $A3, Ledger!$C$2:$C$4, OAR$2)),"****")</f>
        <v/>
      </c>
      <c r="OAS3" t="str">
        <f>IFERROR(IF($C3="","",SUMIFS(Ledger!$K$2:$K$4, Ledger!$B$2:$B$4, $A3, Ledger!$C$2:$C$4, OAS$2)),"****")</f>
        <v/>
      </c>
      <c r="OAT3" t="str">
        <f>IFERROR(IF($C3="","",SUMIFS(Ledger!$K$2:$K$4, Ledger!$B$2:$B$4, $A3, Ledger!$C$2:$C$4, OAT$2)),"****")</f>
        <v/>
      </c>
      <c r="OAU3" t="str">
        <f>IFERROR(IF($C3="","",SUMIFS(Ledger!$K$2:$K$4, Ledger!$B$2:$B$4, $A3, Ledger!$C$2:$C$4, OAU$2)),"****")</f>
        <v/>
      </c>
      <c r="OAV3" t="str">
        <f>IFERROR(IF($C3="","",SUMIFS(Ledger!$K$2:$K$4, Ledger!$B$2:$B$4, $A3, Ledger!$C$2:$C$4, OAV$2)),"****")</f>
        <v/>
      </c>
      <c r="OAW3" t="str">
        <f>IFERROR(IF($C3="","",SUMIFS(Ledger!$K$2:$K$4, Ledger!$B$2:$B$4, $A3, Ledger!$C$2:$C$4, OAW$2)),"****")</f>
        <v/>
      </c>
      <c r="OAX3" t="str">
        <f>IFERROR(IF($C3="","",SUMIFS(Ledger!$K$2:$K$4, Ledger!$B$2:$B$4, $A3, Ledger!$C$2:$C$4, OAX$2)),"****")</f>
        <v/>
      </c>
      <c r="OAY3" t="str">
        <f>IFERROR(IF($C3="","",SUMIFS(Ledger!$K$2:$K$4, Ledger!$B$2:$B$4, $A3, Ledger!$C$2:$C$4, OAY$2)),"****")</f>
        <v/>
      </c>
      <c r="OAZ3" t="str">
        <f>IFERROR(IF($C3="","",SUMIFS(Ledger!$K$2:$K$4, Ledger!$B$2:$B$4, $A3, Ledger!$C$2:$C$4, OAZ$2)),"****")</f>
        <v/>
      </c>
      <c r="OBA3" t="str">
        <f>IFERROR(IF($C3="","",SUMIFS(Ledger!$K$2:$K$4, Ledger!$B$2:$B$4, $A3, Ledger!$C$2:$C$4, OBA$2)),"****")</f>
        <v/>
      </c>
      <c r="OBB3" t="str">
        <f>IFERROR(IF($C3="","",SUMIFS(Ledger!$K$2:$K$4, Ledger!$B$2:$B$4, $A3, Ledger!$C$2:$C$4, OBB$2)),"****")</f>
        <v/>
      </c>
      <c r="OBC3" t="str">
        <f>IFERROR(IF($C3="","",SUMIFS(Ledger!$K$2:$K$4, Ledger!$B$2:$B$4, $A3, Ledger!$C$2:$C$4, OBC$2)),"****")</f>
        <v/>
      </c>
      <c r="OBD3" t="str">
        <f>IFERROR(IF($C3="","",SUMIFS(Ledger!$K$2:$K$4, Ledger!$B$2:$B$4, $A3, Ledger!$C$2:$C$4, OBD$2)),"****")</f>
        <v/>
      </c>
      <c r="OBE3" t="str">
        <f>IFERROR(IF($C3="","",SUMIFS(Ledger!$K$2:$K$4, Ledger!$B$2:$B$4, $A3, Ledger!$C$2:$C$4, OBE$2)),"****")</f>
        <v/>
      </c>
      <c r="OBF3" t="str">
        <f>IFERROR(IF($C3="","",SUMIFS(Ledger!$K$2:$K$4, Ledger!$B$2:$B$4, $A3, Ledger!$C$2:$C$4, OBF$2)),"****")</f>
        <v/>
      </c>
      <c r="OBG3" t="str">
        <f>IFERROR(IF($C3="","",SUMIFS(Ledger!$K$2:$K$4, Ledger!$B$2:$B$4, $A3, Ledger!$C$2:$C$4, OBG$2)),"****")</f>
        <v/>
      </c>
      <c r="OBH3" t="str">
        <f>IFERROR(IF($C3="","",SUMIFS(Ledger!$K$2:$K$4, Ledger!$B$2:$B$4, $A3, Ledger!$C$2:$C$4, OBH$2)),"****")</f>
        <v/>
      </c>
      <c r="OBI3" t="str">
        <f>IFERROR(IF($C3="","",SUMIFS(Ledger!$K$2:$K$4, Ledger!$B$2:$B$4, $A3, Ledger!$C$2:$C$4, OBI$2)),"****")</f>
        <v/>
      </c>
      <c r="OBJ3" t="str">
        <f>IFERROR(IF($C3="","",SUMIFS(Ledger!$K$2:$K$4, Ledger!$B$2:$B$4, $A3, Ledger!$C$2:$C$4, OBJ$2)),"****")</f>
        <v/>
      </c>
      <c r="OBK3" t="str">
        <f>IFERROR(IF($C3="","",SUMIFS(Ledger!$K$2:$K$4, Ledger!$B$2:$B$4, $A3, Ledger!$C$2:$C$4, OBK$2)),"****")</f>
        <v/>
      </c>
      <c r="OBL3" t="str">
        <f>IFERROR(IF($C3="","",SUMIFS(Ledger!$K$2:$K$4, Ledger!$B$2:$B$4, $A3, Ledger!$C$2:$C$4, OBL$2)),"****")</f>
        <v/>
      </c>
      <c r="OBM3" t="str">
        <f>IFERROR(IF($C3="","",SUMIFS(Ledger!$K$2:$K$4, Ledger!$B$2:$B$4, $A3, Ledger!$C$2:$C$4, OBM$2)),"****")</f>
        <v/>
      </c>
      <c r="OBN3" t="str">
        <f>IFERROR(IF($C3="","",SUMIFS(Ledger!$K$2:$K$4, Ledger!$B$2:$B$4, $A3, Ledger!$C$2:$C$4, OBN$2)),"****")</f>
        <v/>
      </c>
      <c r="OBO3" t="str">
        <f>IFERROR(IF($C3="","",SUMIFS(Ledger!$K$2:$K$4, Ledger!$B$2:$B$4, $A3, Ledger!$C$2:$C$4, OBO$2)),"****")</f>
        <v/>
      </c>
      <c r="OBP3" t="str">
        <f>IFERROR(IF($C3="","",SUMIFS(Ledger!$K$2:$K$4, Ledger!$B$2:$B$4, $A3, Ledger!$C$2:$C$4, OBP$2)),"****")</f>
        <v/>
      </c>
      <c r="OBQ3" t="str">
        <f>IFERROR(IF($C3="","",SUMIFS(Ledger!$K$2:$K$4, Ledger!$B$2:$B$4, $A3, Ledger!$C$2:$C$4, OBQ$2)),"****")</f>
        <v/>
      </c>
      <c r="OBR3" t="str">
        <f>IFERROR(IF($C3="","",SUMIFS(Ledger!$K$2:$K$4, Ledger!$B$2:$B$4, $A3, Ledger!$C$2:$C$4, OBR$2)),"****")</f>
        <v/>
      </c>
      <c r="OBS3" t="str">
        <f>IFERROR(IF($C3="","",SUMIFS(Ledger!$K$2:$K$4, Ledger!$B$2:$B$4, $A3, Ledger!$C$2:$C$4, OBS$2)),"****")</f>
        <v/>
      </c>
      <c r="OBT3" t="str">
        <f>IFERROR(IF($C3="","",SUMIFS(Ledger!$K$2:$K$4, Ledger!$B$2:$B$4, $A3, Ledger!$C$2:$C$4, OBT$2)),"****")</f>
        <v/>
      </c>
      <c r="OBU3" t="str">
        <f>IFERROR(IF($C3="","",SUMIFS(Ledger!$K$2:$K$4, Ledger!$B$2:$B$4, $A3, Ledger!$C$2:$C$4, OBU$2)),"****")</f>
        <v/>
      </c>
      <c r="OBV3" t="str">
        <f>IFERROR(IF($C3="","",SUMIFS(Ledger!$K$2:$K$4, Ledger!$B$2:$B$4, $A3, Ledger!$C$2:$C$4, OBV$2)),"****")</f>
        <v/>
      </c>
      <c r="OBW3" t="str">
        <f>IFERROR(IF($C3="","",SUMIFS(Ledger!$K$2:$K$4, Ledger!$B$2:$B$4, $A3, Ledger!$C$2:$C$4, OBW$2)),"****")</f>
        <v/>
      </c>
      <c r="OBX3" t="str">
        <f>IFERROR(IF($C3="","",SUMIFS(Ledger!$K$2:$K$4, Ledger!$B$2:$B$4, $A3, Ledger!$C$2:$C$4, OBX$2)),"****")</f>
        <v/>
      </c>
      <c r="OBY3" t="str">
        <f>IFERROR(IF($C3="","",SUMIFS(Ledger!$K$2:$K$4, Ledger!$B$2:$B$4, $A3, Ledger!$C$2:$C$4, OBY$2)),"****")</f>
        <v/>
      </c>
      <c r="OBZ3" t="str">
        <f>IFERROR(IF($C3="","",SUMIFS(Ledger!$K$2:$K$4, Ledger!$B$2:$B$4, $A3, Ledger!$C$2:$C$4, OBZ$2)),"****")</f>
        <v/>
      </c>
      <c r="OCA3" t="str">
        <f>IFERROR(IF($C3="","",SUMIFS(Ledger!$K$2:$K$4, Ledger!$B$2:$B$4, $A3, Ledger!$C$2:$C$4, OCA$2)),"****")</f>
        <v/>
      </c>
      <c r="OCB3" t="str">
        <f>IFERROR(IF($C3="","",SUMIFS(Ledger!$K$2:$K$4, Ledger!$B$2:$B$4, $A3, Ledger!$C$2:$C$4, OCB$2)),"****")</f>
        <v/>
      </c>
      <c r="OCC3" t="str">
        <f>IFERROR(IF($C3="","",SUMIFS(Ledger!$K$2:$K$4, Ledger!$B$2:$B$4, $A3, Ledger!$C$2:$C$4, OCC$2)),"****")</f>
        <v/>
      </c>
      <c r="OCD3" t="str">
        <f>IFERROR(IF($C3="","",SUMIFS(Ledger!$K$2:$K$4, Ledger!$B$2:$B$4, $A3, Ledger!$C$2:$C$4, OCD$2)),"****")</f>
        <v/>
      </c>
      <c r="OCE3" t="str">
        <f>IFERROR(IF($C3="","",SUMIFS(Ledger!$K$2:$K$4, Ledger!$B$2:$B$4, $A3, Ledger!$C$2:$C$4, OCE$2)),"****")</f>
        <v/>
      </c>
      <c r="OCF3" t="str">
        <f>IFERROR(IF($C3="","",SUMIFS(Ledger!$K$2:$K$4, Ledger!$B$2:$B$4, $A3, Ledger!$C$2:$C$4, OCF$2)),"****")</f>
        <v/>
      </c>
      <c r="OCG3" t="str">
        <f>IFERROR(IF($C3="","",SUMIFS(Ledger!$K$2:$K$4, Ledger!$B$2:$B$4, $A3, Ledger!$C$2:$C$4, OCG$2)),"****")</f>
        <v/>
      </c>
      <c r="OCH3" t="str">
        <f>IFERROR(IF($C3="","",SUMIFS(Ledger!$K$2:$K$4, Ledger!$B$2:$B$4, $A3, Ledger!$C$2:$C$4, OCH$2)),"****")</f>
        <v/>
      </c>
      <c r="OCI3" t="str">
        <f>IFERROR(IF($C3="","",SUMIFS(Ledger!$K$2:$K$4, Ledger!$B$2:$B$4, $A3, Ledger!$C$2:$C$4, OCI$2)),"****")</f>
        <v/>
      </c>
      <c r="OCJ3" t="str">
        <f>IFERROR(IF($C3="","",SUMIFS(Ledger!$K$2:$K$4, Ledger!$B$2:$B$4, $A3, Ledger!$C$2:$C$4, OCJ$2)),"****")</f>
        <v/>
      </c>
      <c r="OCK3" t="str">
        <f>IFERROR(IF($C3="","",SUMIFS(Ledger!$K$2:$K$4, Ledger!$B$2:$B$4, $A3, Ledger!$C$2:$C$4, OCK$2)),"****")</f>
        <v/>
      </c>
      <c r="OCL3" t="str">
        <f>IFERROR(IF($C3="","",SUMIFS(Ledger!$K$2:$K$4, Ledger!$B$2:$B$4, $A3, Ledger!$C$2:$C$4, OCL$2)),"****")</f>
        <v/>
      </c>
      <c r="OCM3" t="str">
        <f>IFERROR(IF($C3="","",SUMIFS(Ledger!$K$2:$K$4, Ledger!$B$2:$B$4, $A3, Ledger!$C$2:$C$4, OCM$2)),"****")</f>
        <v/>
      </c>
      <c r="OCN3" t="str">
        <f>IFERROR(IF($C3="","",SUMIFS(Ledger!$K$2:$K$4, Ledger!$B$2:$B$4, $A3, Ledger!$C$2:$C$4, OCN$2)),"****")</f>
        <v/>
      </c>
      <c r="OCO3" t="str">
        <f>IFERROR(IF($C3="","",SUMIFS(Ledger!$K$2:$K$4, Ledger!$B$2:$B$4, $A3, Ledger!$C$2:$C$4, OCO$2)),"****")</f>
        <v/>
      </c>
      <c r="OCP3" t="str">
        <f>IFERROR(IF($C3="","",SUMIFS(Ledger!$K$2:$K$4, Ledger!$B$2:$B$4, $A3, Ledger!$C$2:$C$4, OCP$2)),"****")</f>
        <v/>
      </c>
      <c r="OCQ3" t="str">
        <f>IFERROR(IF($C3="","",SUMIFS(Ledger!$K$2:$K$4, Ledger!$B$2:$B$4, $A3, Ledger!$C$2:$C$4, OCQ$2)),"****")</f>
        <v/>
      </c>
      <c r="OCR3" t="str">
        <f>IFERROR(IF($C3="","",SUMIFS(Ledger!$K$2:$K$4, Ledger!$B$2:$B$4, $A3, Ledger!$C$2:$C$4, OCR$2)),"****")</f>
        <v/>
      </c>
      <c r="OCS3" t="str">
        <f>IFERROR(IF($C3="","",SUMIFS(Ledger!$K$2:$K$4, Ledger!$B$2:$B$4, $A3, Ledger!$C$2:$C$4, OCS$2)),"****")</f>
        <v/>
      </c>
      <c r="OCT3" t="str">
        <f>IFERROR(IF($C3="","",SUMIFS(Ledger!$K$2:$K$4, Ledger!$B$2:$B$4, $A3, Ledger!$C$2:$C$4, OCT$2)),"****")</f>
        <v/>
      </c>
      <c r="OCU3" t="str">
        <f>IFERROR(IF($C3="","",SUMIFS(Ledger!$K$2:$K$4, Ledger!$B$2:$B$4, $A3, Ledger!$C$2:$C$4, OCU$2)),"****")</f>
        <v/>
      </c>
      <c r="OCV3" t="str">
        <f>IFERROR(IF($C3="","",SUMIFS(Ledger!$K$2:$K$4, Ledger!$B$2:$B$4, $A3, Ledger!$C$2:$C$4, OCV$2)),"****")</f>
        <v/>
      </c>
      <c r="OCW3" t="str">
        <f>IFERROR(IF($C3="","",SUMIFS(Ledger!$K$2:$K$4, Ledger!$B$2:$B$4, $A3, Ledger!$C$2:$C$4, OCW$2)),"****")</f>
        <v/>
      </c>
      <c r="OCX3" t="str">
        <f>IFERROR(IF($C3="","",SUMIFS(Ledger!$K$2:$K$4, Ledger!$B$2:$B$4, $A3, Ledger!$C$2:$C$4, OCX$2)),"****")</f>
        <v/>
      </c>
      <c r="OCY3" t="str">
        <f>IFERROR(IF($C3="","",SUMIFS(Ledger!$K$2:$K$4, Ledger!$B$2:$B$4, $A3, Ledger!$C$2:$C$4, OCY$2)),"****")</f>
        <v/>
      </c>
      <c r="OCZ3" t="str">
        <f>IFERROR(IF($C3="","",SUMIFS(Ledger!$K$2:$K$4, Ledger!$B$2:$B$4, $A3, Ledger!$C$2:$C$4, OCZ$2)),"****")</f>
        <v/>
      </c>
      <c r="ODA3" t="str">
        <f>IFERROR(IF($C3="","",SUMIFS(Ledger!$K$2:$K$4, Ledger!$B$2:$B$4, $A3, Ledger!$C$2:$C$4, ODA$2)),"****")</f>
        <v/>
      </c>
      <c r="ODB3" t="str">
        <f>IFERROR(IF($C3="","",SUMIFS(Ledger!$K$2:$K$4, Ledger!$B$2:$B$4, $A3, Ledger!$C$2:$C$4, ODB$2)),"****")</f>
        <v/>
      </c>
      <c r="ODC3" t="str">
        <f>IFERROR(IF($C3="","",SUMIFS(Ledger!$K$2:$K$4, Ledger!$B$2:$B$4, $A3, Ledger!$C$2:$C$4, ODC$2)),"****")</f>
        <v/>
      </c>
      <c r="ODD3" t="str">
        <f>IFERROR(IF($C3="","",SUMIFS(Ledger!$K$2:$K$4, Ledger!$B$2:$B$4, $A3, Ledger!$C$2:$C$4, ODD$2)),"****")</f>
        <v/>
      </c>
      <c r="ODE3" t="str">
        <f>IFERROR(IF($C3="","",SUMIFS(Ledger!$K$2:$K$4, Ledger!$B$2:$B$4, $A3, Ledger!$C$2:$C$4, ODE$2)),"****")</f>
        <v/>
      </c>
      <c r="ODF3" t="str">
        <f>IFERROR(IF($C3="","",SUMIFS(Ledger!$K$2:$K$4, Ledger!$B$2:$B$4, $A3, Ledger!$C$2:$C$4, ODF$2)),"****")</f>
        <v/>
      </c>
      <c r="ODG3" t="str">
        <f>IFERROR(IF($C3="","",SUMIFS(Ledger!$K$2:$K$4, Ledger!$B$2:$B$4, $A3, Ledger!$C$2:$C$4, ODG$2)),"****")</f>
        <v/>
      </c>
      <c r="ODH3" t="str">
        <f>IFERROR(IF($C3="","",SUMIFS(Ledger!$K$2:$K$4, Ledger!$B$2:$B$4, $A3, Ledger!$C$2:$C$4, ODH$2)),"****")</f>
        <v/>
      </c>
      <c r="ODI3" t="str">
        <f>IFERROR(IF($C3="","",SUMIFS(Ledger!$K$2:$K$4, Ledger!$B$2:$B$4, $A3, Ledger!$C$2:$C$4, ODI$2)),"****")</f>
        <v/>
      </c>
      <c r="ODJ3" t="str">
        <f>IFERROR(IF($C3="","",SUMIFS(Ledger!$K$2:$K$4, Ledger!$B$2:$B$4, $A3, Ledger!$C$2:$C$4, ODJ$2)),"****")</f>
        <v/>
      </c>
      <c r="ODK3" t="str">
        <f>IFERROR(IF($C3="","",SUMIFS(Ledger!$K$2:$K$4, Ledger!$B$2:$B$4, $A3, Ledger!$C$2:$C$4, ODK$2)),"****")</f>
        <v/>
      </c>
      <c r="ODL3" t="str">
        <f>IFERROR(IF($C3="","",SUMIFS(Ledger!$K$2:$K$4, Ledger!$B$2:$B$4, $A3, Ledger!$C$2:$C$4, ODL$2)),"****")</f>
        <v/>
      </c>
      <c r="ODM3" t="str">
        <f>IFERROR(IF($C3="","",SUMIFS(Ledger!$K$2:$K$4, Ledger!$B$2:$B$4, $A3, Ledger!$C$2:$C$4, ODM$2)),"****")</f>
        <v/>
      </c>
      <c r="ODN3" t="str">
        <f>IFERROR(IF($C3="","",SUMIFS(Ledger!$K$2:$K$4, Ledger!$B$2:$B$4, $A3, Ledger!$C$2:$C$4, ODN$2)),"****")</f>
        <v/>
      </c>
      <c r="ODO3" t="str">
        <f>IFERROR(IF($C3="","",SUMIFS(Ledger!$K$2:$K$4, Ledger!$B$2:$B$4, $A3, Ledger!$C$2:$C$4, ODO$2)),"****")</f>
        <v/>
      </c>
      <c r="ODP3" t="str">
        <f>IFERROR(IF($C3="","",SUMIFS(Ledger!$K$2:$K$4, Ledger!$B$2:$B$4, $A3, Ledger!$C$2:$C$4, ODP$2)),"****")</f>
        <v/>
      </c>
      <c r="ODQ3" t="str">
        <f>IFERROR(IF($C3="","",SUMIFS(Ledger!$K$2:$K$4, Ledger!$B$2:$B$4, $A3, Ledger!$C$2:$C$4, ODQ$2)),"****")</f>
        <v/>
      </c>
      <c r="ODR3" t="str">
        <f>IFERROR(IF($C3="","",SUMIFS(Ledger!$K$2:$K$4, Ledger!$B$2:$B$4, $A3, Ledger!$C$2:$C$4, ODR$2)),"****")</f>
        <v/>
      </c>
      <c r="ODS3" t="str">
        <f>IFERROR(IF($C3="","",SUMIFS(Ledger!$K$2:$K$4, Ledger!$B$2:$B$4, $A3, Ledger!$C$2:$C$4, ODS$2)),"****")</f>
        <v/>
      </c>
      <c r="ODT3" t="str">
        <f>IFERROR(IF($C3="","",SUMIFS(Ledger!$K$2:$K$4, Ledger!$B$2:$B$4, $A3, Ledger!$C$2:$C$4, ODT$2)),"****")</f>
        <v/>
      </c>
      <c r="ODU3" t="str">
        <f>IFERROR(IF($C3="","",SUMIFS(Ledger!$K$2:$K$4, Ledger!$B$2:$B$4, $A3, Ledger!$C$2:$C$4, ODU$2)),"****")</f>
        <v/>
      </c>
      <c r="ODV3" t="str">
        <f>IFERROR(IF($C3="","",SUMIFS(Ledger!$K$2:$K$4, Ledger!$B$2:$B$4, $A3, Ledger!$C$2:$C$4, ODV$2)),"****")</f>
        <v/>
      </c>
      <c r="ODW3" t="str">
        <f>IFERROR(IF($C3="","",SUMIFS(Ledger!$K$2:$K$4, Ledger!$B$2:$B$4, $A3, Ledger!$C$2:$C$4, ODW$2)),"****")</f>
        <v/>
      </c>
      <c r="ODX3" t="str">
        <f>IFERROR(IF($C3="","",SUMIFS(Ledger!$K$2:$K$4, Ledger!$B$2:$B$4, $A3, Ledger!$C$2:$C$4, ODX$2)),"****")</f>
        <v/>
      </c>
      <c r="ODY3" t="str">
        <f>IFERROR(IF($C3="","",SUMIFS(Ledger!$K$2:$K$4, Ledger!$B$2:$B$4, $A3, Ledger!$C$2:$C$4, ODY$2)),"****")</f>
        <v/>
      </c>
      <c r="ODZ3" t="str">
        <f>IFERROR(IF($C3="","",SUMIFS(Ledger!$K$2:$K$4, Ledger!$B$2:$B$4, $A3, Ledger!$C$2:$C$4, ODZ$2)),"****")</f>
        <v/>
      </c>
      <c r="OEA3" t="str">
        <f>IFERROR(IF($C3="","",SUMIFS(Ledger!$K$2:$K$4, Ledger!$B$2:$B$4, $A3, Ledger!$C$2:$C$4, OEA$2)),"****")</f>
        <v/>
      </c>
      <c r="OEB3" t="str">
        <f>IFERROR(IF($C3="","",SUMIFS(Ledger!$K$2:$K$4, Ledger!$B$2:$B$4, $A3, Ledger!$C$2:$C$4, OEB$2)),"****")</f>
        <v/>
      </c>
      <c r="OEC3" t="str">
        <f>IFERROR(IF($C3="","",SUMIFS(Ledger!$K$2:$K$4, Ledger!$B$2:$B$4, $A3, Ledger!$C$2:$C$4, OEC$2)),"****")</f>
        <v/>
      </c>
      <c r="OED3" t="str">
        <f>IFERROR(IF($C3="","",SUMIFS(Ledger!$K$2:$K$4, Ledger!$B$2:$B$4, $A3, Ledger!$C$2:$C$4, OED$2)),"****")</f>
        <v/>
      </c>
      <c r="OEE3" t="str">
        <f>IFERROR(IF($C3="","",SUMIFS(Ledger!$K$2:$K$4, Ledger!$B$2:$B$4, $A3, Ledger!$C$2:$C$4, OEE$2)),"****")</f>
        <v/>
      </c>
      <c r="OEF3" t="str">
        <f>IFERROR(IF($C3="","",SUMIFS(Ledger!$K$2:$K$4, Ledger!$B$2:$B$4, $A3, Ledger!$C$2:$C$4, OEF$2)),"****")</f>
        <v/>
      </c>
      <c r="OEG3" t="str">
        <f>IFERROR(IF($C3="","",SUMIFS(Ledger!$K$2:$K$4, Ledger!$B$2:$B$4, $A3, Ledger!$C$2:$C$4, OEG$2)),"****")</f>
        <v/>
      </c>
      <c r="OEH3" t="str">
        <f>IFERROR(IF($C3="","",SUMIFS(Ledger!$K$2:$K$4, Ledger!$B$2:$B$4, $A3, Ledger!$C$2:$C$4, OEH$2)),"****")</f>
        <v/>
      </c>
      <c r="OEI3" t="str">
        <f>IFERROR(IF($C3="","",SUMIFS(Ledger!$K$2:$K$4, Ledger!$B$2:$B$4, $A3, Ledger!$C$2:$C$4, OEI$2)),"****")</f>
        <v/>
      </c>
      <c r="OEJ3" t="str">
        <f>IFERROR(IF($C3="","",SUMIFS(Ledger!$K$2:$K$4, Ledger!$B$2:$B$4, $A3, Ledger!$C$2:$C$4, OEJ$2)),"****")</f>
        <v/>
      </c>
      <c r="OEK3" t="str">
        <f>IFERROR(IF($C3="","",SUMIFS(Ledger!$K$2:$K$4, Ledger!$B$2:$B$4, $A3, Ledger!$C$2:$C$4, OEK$2)),"****")</f>
        <v/>
      </c>
      <c r="OEL3" t="str">
        <f>IFERROR(IF($C3="","",SUMIFS(Ledger!$K$2:$K$4, Ledger!$B$2:$B$4, $A3, Ledger!$C$2:$C$4, OEL$2)),"****")</f>
        <v/>
      </c>
      <c r="OEM3" t="str">
        <f>IFERROR(IF($C3="","",SUMIFS(Ledger!$K$2:$K$4, Ledger!$B$2:$B$4, $A3, Ledger!$C$2:$C$4, OEM$2)),"****")</f>
        <v/>
      </c>
      <c r="OEN3" t="str">
        <f>IFERROR(IF($C3="","",SUMIFS(Ledger!$K$2:$K$4, Ledger!$B$2:$B$4, $A3, Ledger!$C$2:$C$4, OEN$2)),"****")</f>
        <v/>
      </c>
      <c r="OEO3" t="str">
        <f>IFERROR(IF($C3="","",SUMIFS(Ledger!$K$2:$K$4, Ledger!$B$2:$B$4, $A3, Ledger!$C$2:$C$4, OEO$2)),"****")</f>
        <v/>
      </c>
      <c r="OEP3" t="str">
        <f>IFERROR(IF($C3="","",SUMIFS(Ledger!$K$2:$K$4, Ledger!$B$2:$B$4, $A3, Ledger!$C$2:$C$4, OEP$2)),"****")</f>
        <v/>
      </c>
      <c r="OEQ3" t="str">
        <f>IFERROR(IF($C3="","",SUMIFS(Ledger!$K$2:$K$4, Ledger!$B$2:$B$4, $A3, Ledger!$C$2:$C$4, OEQ$2)),"****")</f>
        <v/>
      </c>
      <c r="OER3" t="str">
        <f>IFERROR(IF($C3="","",SUMIFS(Ledger!$K$2:$K$4, Ledger!$B$2:$B$4, $A3, Ledger!$C$2:$C$4, OER$2)),"****")</f>
        <v/>
      </c>
      <c r="OES3" t="str">
        <f>IFERROR(IF($C3="","",SUMIFS(Ledger!$K$2:$K$4, Ledger!$B$2:$B$4, $A3, Ledger!$C$2:$C$4, OES$2)),"****")</f>
        <v/>
      </c>
      <c r="OET3" t="str">
        <f>IFERROR(IF($C3="","",SUMIFS(Ledger!$K$2:$K$4, Ledger!$B$2:$B$4, $A3, Ledger!$C$2:$C$4, OET$2)),"****")</f>
        <v/>
      </c>
      <c r="OEU3" t="str">
        <f>IFERROR(IF($C3="","",SUMIFS(Ledger!$K$2:$K$4, Ledger!$B$2:$B$4, $A3, Ledger!$C$2:$C$4, OEU$2)),"****")</f>
        <v/>
      </c>
      <c r="OEV3" t="str">
        <f>IFERROR(IF($C3="","",SUMIFS(Ledger!$K$2:$K$4, Ledger!$B$2:$B$4, $A3, Ledger!$C$2:$C$4, OEV$2)),"****")</f>
        <v/>
      </c>
      <c r="OEW3" t="str">
        <f>IFERROR(IF($C3="","",SUMIFS(Ledger!$K$2:$K$4, Ledger!$B$2:$B$4, $A3, Ledger!$C$2:$C$4, OEW$2)),"****")</f>
        <v/>
      </c>
      <c r="OEX3" t="str">
        <f>IFERROR(IF($C3="","",SUMIFS(Ledger!$K$2:$K$4, Ledger!$B$2:$B$4, $A3, Ledger!$C$2:$C$4, OEX$2)),"****")</f>
        <v/>
      </c>
      <c r="OEY3" t="str">
        <f>IFERROR(IF($C3="","",SUMIFS(Ledger!$K$2:$K$4, Ledger!$B$2:$B$4, $A3, Ledger!$C$2:$C$4, OEY$2)),"****")</f>
        <v/>
      </c>
      <c r="OEZ3" t="str">
        <f>IFERROR(IF($C3="","",SUMIFS(Ledger!$K$2:$K$4, Ledger!$B$2:$B$4, $A3, Ledger!$C$2:$C$4, OEZ$2)),"****")</f>
        <v/>
      </c>
      <c r="OFA3" t="str">
        <f>IFERROR(IF($C3="","",SUMIFS(Ledger!$K$2:$K$4, Ledger!$B$2:$B$4, $A3, Ledger!$C$2:$C$4, OFA$2)),"****")</f>
        <v/>
      </c>
      <c r="OFB3" t="str">
        <f>IFERROR(IF($C3="","",SUMIFS(Ledger!$K$2:$K$4, Ledger!$B$2:$B$4, $A3, Ledger!$C$2:$C$4, OFB$2)),"****")</f>
        <v/>
      </c>
      <c r="OFC3" t="str">
        <f>IFERROR(IF($C3="","",SUMIFS(Ledger!$K$2:$K$4, Ledger!$B$2:$B$4, $A3, Ledger!$C$2:$C$4, OFC$2)),"****")</f>
        <v/>
      </c>
      <c r="OFD3" t="str">
        <f>IFERROR(IF($C3="","",SUMIFS(Ledger!$K$2:$K$4, Ledger!$B$2:$B$4, $A3, Ledger!$C$2:$C$4, OFD$2)),"****")</f>
        <v/>
      </c>
      <c r="OFE3" t="str">
        <f>IFERROR(IF($C3="","",SUMIFS(Ledger!$K$2:$K$4, Ledger!$B$2:$B$4, $A3, Ledger!$C$2:$C$4, OFE$2)),"****")</f>
        <v/>
      </c>
      <c r="OFF3" t="str">
        <f>IFERROR(IF($C3="","",SUMIFS(Ledger!$K$2:$K$4, Ledger!$B$2:$B$4, $A3, Ledger!$C$2:$C$4, OFF$2)),"****")</f>
        <v/>
      </c>
      <c r="OFG3" t="str">
        <f>IFERROR(IF($C3="","",SUMIFS(Ledger!$K$2:$K$4, Ledger!$B$2:$B$4, $A3, Ledger!$C$2:$C$4, OFG$2)),"****")</f>
        <v/>
      </c>
      <c r="OFH3" t="str">
        <f>IFERROR(IF($C3="","",SUMIFS(Ledger!$K$2:$K$4, Ledger!$B$2:$B$4, $A3, Ledger!$C$2:$C$4, OFH$2)),"****")</f>
        <v/>
      </c>
      <c r="OFI3" t="str">
        <f>IFERROR(IF($C3="","",SUMIFS(Ledger!$K$2:$K$4, Ledger!$B$2:$B$4, $A3, Ledger!$C$2:$C$4, OFI$2)),"****")</f>
        <v/>
      </c>
      <c r="OFJ3" t="str">
        <f>IFERROR(IF($C3="","",SUMIFS(Ledger!$K$2:$K$4, Ledger!$B$2:$B$4, $A3, Ledger!$C$2:$C$4, OFJ$2)),"****")</f>
        <v/>
      </c>
      <c r="OFK3" t="str">
        <f>IFERROR(IF($C3="","",SUMIFS(Ledger!$K$2:$K$4, Ledger!$B$2:$B$4, $A3, Ledger!$C$2:$C$4, OFK$2)),"****")</f>
        <v/>
      </c>
      <c r="OFL3" t="str">
        <f>IFERROR(IF($C3="","",SUMIFS(Ledger!$K$2:$K$4, Ledger!$B$2:$B$4, $A3, Ledger!$C$2:$C$4, OFL$2)),"****")</f>
        <v/>
      </c>
      <c r="OFM3" t="str">
        <f>IFERROR(IF($C3="","",SUMIFS(Ledger!$K$2:$K$4, Ledger!$B$2:$B$4, $A3, Ledger!$C$2:$C$4, OFM$2)),"****")</f>
        <v/>
      </c>
      <c r="OFN3" t="str">
        <f>IFERROR(IF($C3="","",SUMIFS(Ledger!$K$2:$K$4, Ledger!$B$2:$B$4, $A3, Ledger!$C$2:$C$4, OFN$2)),"****")</f>
        <v/>
      </c>
      <c r="OFO3" t="str">
        <f>IFERROR(IF($C3="","",SUMIFS(Ledger!$K$2:$K$4, Ledger!$B$2:$B$4, $A3, Ledger!$C$2:$C$4, OFO$2)),"****")</f>
        <v/>
      </c>
      <c r="OFP3" t="str">
        <f>IFERROR(IF($C3="","",SUMIFS(Ledger!$K$2:$K$4, Ledger!$B$2:$B$4, $A3, Ledger!$C$2:$C$4, OFP$2)),"****")</f>
        <v/>
      </c>
      <c r="OFQ3" t="str">
        <f>IFERROR(IF($C3="","",SUMIFS(Ledger!$K$2:$K$4, Ledger!$B$2:$B$4, $A3, Ledger!$C$2:$C$4, OFQ$2)),"****")</f>
        <v/>
      </c>
      <c r="OFR3" t="str">
        <f>IFERROR(IF($C3="","",SUMIFS(Ledger!$K$2:$K$4, Ledger!$B$2:$B$4, $A3, Ledger!$C$2:$C$4, OFR$2)),"****")</f>
        <v/>
      </c>
      <c r="OFS3" t="str">
        <f>IFERROR(IF($C3="","",SUMIFS(Ledger!$K$2:$K$4, Ledger!$B$2:$B$4, $A3, Ledger!$C$2:$C$4, OFS$2)),"****")</f>
        <v/>
      </c>
      <c r="OFT3" t="str">
        <f>IFERROR(IF($C3="","",SUMIFS(Ledger!$K$2:$K$4, Ledger!$B$2:$B$4, $A3, Ledger!$C$2:$C$4, OFT$2)),"****")</f>
        <v/>
      </c>
      <c r="OFU3" t="str">
        <f>IFERROR(IF($C3="","",SUMIFS(Ledger!$K$2:$K$4, Ledger!$B$2:$B$4, $A3, Ledger!$C$2:$C$4, OFU$2)),"****")</f>
        <v/>
      </c>
      <c r="OFV3" t="str">
        <f>IFERROR(IF($C3="","",SUMIFS(Ledger!$K$2:$K$4, Ledger!$B$2:$B$4, $A3, Ledger!$C$2:$C$4, OFV$2)),"****")</f>
        <v/>
      </c>
      <c r="OFW3" t="str">
        <f>IFERROR(IF($C3="","",SUMIFS(Ledger!$K$2:$K$4, Ledger!$B$2:$B$4, $A3, Ledger!$C$2:$C$4, OFW$2)),"****")</f>
        <v/>
      </c>
      <c r="OFX3" t="str">
        <f>IFERROR(IF($C3="","",SUMIFS(Ledger!$K$2:$K$4, Ledger!$B$2:$B$4, $A3, Ledger!$C$2:$C$4, OFX$2)),"****")</f>
        <v/>
      </c>
      <c r="OFY3" t="str">
        <f>IFERROR(IF($C3="","",SUMIFS(Ledger!$K$2:$K$4, Ledger!$B$2:$B$4, $A3, Ledger!$C$2:$C$4, OFY$2)),"****")</f>
        <v/>
      </c>
      <c r="OFZ3" t="str">
        <f>IFERROR(IF($C3="","",SUMIFS(Ledger!$K$2:$K$4, Ledger!$B$2:$B$4, $A3, Ledger!$C$2:$C$4, OFZ$2)),"****")</f>
        <v/>
      </c>
      <c r="OGA3" t="str">
        <f>IFERROR(IF($C3="","",SUMIFS(Ledger!$K$2:$K$4, Ledger!$B$2:$B$4, $A3, Ledger!$C$2:$C$4, OGA$2)),"****")</f>
        <v/>
      </c>
      <c r="OGB3" t="str">
        <f>IFERROR(IF($C3="","",SUMIFS(Ledger!$K$2:$K$4, Ledger!$B$2:$B$4, $A3, Ledger!$C$2:$C$4, OGB$2)),"****")</f>
        <v/>
      </c>
      <c r="OGC3" t="str">
        <f>IFERROR(IF($C3="","",SUMIFS(Ledger!$K$2:$K$4, Ledger!$B$2:$B$4, $A3, Ledger!$C$2:$C$4, OGC$2)),"****")</f>
        <v/>
      </c>
      <c r="OGD3" t="str">
        <f>IFERROR(IF($C3="","",SUMIFS(Ledger!$K$2:$K$4, Ledger!$B$2:$B$4, $A3, Ledger!$C$2:$C$4, OGD$2)),"****")</f>
        <v/>
      </c>
      <c r="OGE3" t="str">
        <f>IFERROR(IF($C3="","",SUMIFS(Ledger!$K$2:$K$4, Ledger!$B$2:$B$4, $A3, Ledger!$C$2:$C$4, OGE$2)),"****")</f>
        <v/>
      </c>
      <c r="OGF3" t="str">
        <f>IFERROR(IF($C3="","",SUMIFS(Ledger!$K$2:$K$4, Ledger!$B$2:$B$4, $A3, Ledger!$C$2:$C$4, OGF$2)),"****")</f>
        <v/>
      </c>
      <c r="OGG3" t="str">
        <f>IFERROR(IF($C3="","",SUMIFS(Ledger!$K$2:$K$4, Ledger!$B$2:$B$4, $A3, Ledger!$C$2:$C$4, OGG$2)),"****")</f>
        <v/>
      </c>
      <c r="OGH3" t="str">
        <f>IFERROR(IF($C3="","",SUMIFS(Ledger!$K$2:$K$4, Ledger!$B$2:$B$4, $A3, Ledger!$C$2:$C$4, OGH$2)),"****")</f>
        <v/>
      </c>
      <c r="OGI3" t="str">
        <f>IFERROR(IF($C3="","",SUMIFS(Ledger!$K$2:$K$4, Ledger!$B$2:$B$4, $A3, Ledger!$C$2:$C$4, OGI$2)),"****")</f>
        <v/>
      </c>
      <c r="OGJ3" t="str">
        <f>IFERROR(IF($C3="","",SUMIFS(Ledger!$K$2:$K$4, Ledger!$B$2:$B$4, $A3, Ledger!$C$2:$C$4, OGJ$2)),"****")</f>
        <v/>
      </c>
      <c r="OGK3" t="str">
        <f>IFERROR(IF($C3="","",SUMIFS(Ledger!$K$2:$K$4, Ledger!$B$2:$B$4, $A3, Ledger!$C$2:$C$4, OGK$2)),"****")</f>
        <v/>
      </c>
      <c r="OGL3" t="str">
        <f>IFERROR(IF($C3="","",SUMIFS(Ledger!$K$2:$K$4, Ledger!$B$2:$B$4, $A3, Ledger!$C$2:$C$4, OGL$2)),"****")</f>
        <v/>
      </c>
      <c r="OGM3" t="str">
        <f>IFERROR(IF($C3="","",SUMIFS(Ledger!$K$2:$K$4, Ledger!$B$2:$B$4, $A3, Ledger!$C$2:$C$4, OGM$2)),"****")</f>
        <v/>
      </c>
      <c r="OGN3" t="str">
        <f>IFERROR(IF($C3="","",SUMIFS(Ledger!$K$2:$K$4, Ledger!$B$2:$B$4, $A3, Ledger!$C$2:$C$4, OGN$2)),"****")</f>
        <v/>
      </c>
      <c r="OGO3" t="str">
        <f>IFERROR(IF($C3="","",SUMIFS(Ledger!$K$2:$K$4, Ledger!$B$2:$B$4, $A3, Ledger!$C$2:$C$4, OGO$2)),"****")</f>
        <v/>
      </c>
      <c r="OGP3" t="str">
        <f>IFERROR(IF($C3="","",SUMIFS(Ledger!$K$2:$K$4, Ledger!$B$2:$B$4, $A3, Ledger!$C$2:$C$4, OGP$2)),"****")</f>
        <v/>
      </c>
      <c r="OGQ3" t="str">
        <f>IFERROR(IF($C3="","",SUMIFS(Ledger!$K$2:$K$4, Ledger!$B$2:$B$4, $A3, Ledger!$C$2:$C$4, OGQ$2)),"****")</f>
        <v/>
      </c>
      <c r="OGR3" t="str">
        <f>IFERROR(IF($C3="","",SUMIFS(Ledger!$K$2:$K$4, Ledger!$B$2:$B$4, $A3, Ledger!$C$2:$C$4, OGR$2)),"****")</f>
        <v/>
      </c>
      <c r="OGS3" t="str">
        <f>IFERROR(IF($C3="","",SUMIFS(Ledger!$K$2:$K$4, Ledger!$B$2:$B$4, $A3, Ledger!$C$2:$C$4, OGS$2)),"****")</f>
        <v/>
      </c>
      <c r="OGT3" t="str">
        <f>IFERROR(IF($C3="","",SUMIFS(Ledger!$K$2:$K$4, Ledger!$B$2:$B$4, $A3, Ledger!$C$2:$C$4, OGT$2)),"****")</f>
        <v/>
      </c>
      <c r="OGU3" t="str">
        <f>IFERROR(IF($C3="","",SUMIFS(Ledger!$K$2:$K$4, Ledger!$B$2:$B$4, $A3, Ledger!$C$2:$C$4, OGU$2)),"****")</f>
        <v/>
      </c>
      <c r="OGV3" t="str">
        <f>IFERROR(IF($C3="","",SUMIFS(Ledger!$K$2:$K$4, Ledger!$B$2:$B$4, $A3, Ledger!$C$2:$C$4, OGV$2)),"****")</f>
        <v/>
      </c>
      <c r="OGW3" t="str">
        <f>IFERROR(IF($C3="","",SUMIFS(Ledger!$K$2:$K$4, Ledger!$B$2:$B$4, $A3, Ledger!$C$2:$C$4, OGW$2)),"****")</f>
        <v/>
      </c>
      <c r="OGX3" t="str">
        <f>IFERROR(IF($C3="","",SUMIFS(Ledger!$K$2:$K$4, Ledger!$B$2:$B$4, $A3, Ledger!$C$2:$C$4, OGX$2)),"****")</f>
        <v/>
      </c>
      <c r="OGY3" t="str">
        <f>IFERROR(IF($C3="","",SUMIFS(Ledger!$K$2:$K$4, Ledger!$B$2:$B$4, $A3, Ledger!$C$2:$C$4, OGY$2)),"****")</f>
        <v/>
      </c>
      <c r="OGZ3" t="str">
        <f>IFERROR(IF($C3="","",SUMIFS(Ledger!$K$2:$K$4, Ledger!$B$2:$B$4, $A3, Ledger!$C$2:$C$4, OGZ$2)),"****")</f>
        <v/>
      </c>
      <c r="OHA3" t="str">
        <f>IFERROR(IF($C3="","",SUMIFS(Ledger!$K$2:$K$4, Ledger!$B$2:$B$4, $A3, Ledger!$C$2:$C$4, OHA$2)),"****")</f>
        <v/>
      </c>
      <c r="OHB3" t="str">
        <f>IFERROR(IF($C3="","",SUMIFS(Ledger!$K$2:$K$4, Ledger!$B$2:$B$4, $A3, Ledger!$C$2:$C$4, OHB$2)),"****")</f>
        <v/>
      </c>
      <c r="OHC3" t="str">
        <f>IFERROR(IF($C3="","",SUMIFS(Ledger!$K$2:$K$4, Ledger!$B$2:$B$4, $A3, Ledger!$C$2:$C$4, OHC$2)),"****")</f>
        <v/>
      </c>
      <c r="OHD3" t="str">
        <f>IFERROR(IF($C3="","",SUMIFS(Ledger!$K$2:$K$4, Ledger!$B$2:$B$4, $A3, Ledger!$C$2:$C$4, OHD$2)),"****")</f>
        <v/>
      </c>
      <c r="OHE3" t="str">
        <f>IFERROR(IF($C3="","",SUMIFS(Ledger!$K$2:$K$4, Ledger!$B$2:$B$4, $A3, Ledger!$C$2:$C$4, OHE$2)),"****")</f>
        <v/>
      </c>
      <c r="OHF3" t="str">
        <f>IFERROR(IF($C3="","",SUMIFS(Ledger!$K$2:$K$4, Ledger!$B$2:$B$4, $A3, Ledger!$C$2:$C$4, OHF$2)),"****")</f>
        <v/>
      </c>
      <c r="OHG3" t="str">
        <f>IFERROR(IF($C3="","",SUMIFS(Ledger!$K$2:$K$4, Ledger!$B$2:$B$4, $A3, Ledger!$C$2:$C$4, OHG$2)),"****")</f>
        <v/>
      </c>
      <c r="OHH3" t="str">
        <f>IFERROR(IF($C3="","",SUMIFS(Ledger!$K$2:$K$4, Ledger!$B$2:$B$4, $A3, Ledger!$C$2:$C$4, OHH$2)),"****")</f>
        <v/>
      </c>
      <c r="OHI3" t="str">
        <f>IFERROR(IF($C3="","",SUMIFS(Ledger!$K$2:$K$4, Ledger!$B$2:$B$4, $A3, Ledger!$C$2:$C$4, OHI$2)),"****")</f>
        <v/>
      </c>
      <c r="OHJ3" t="str">
        <f>IFERROR(IF($C3="","",SUMIFS(Ledger!$K$2:$K$4, Ledger!$B$2:$B$4, $A3, Ledger!$C$2:$C$4, OHJ$2)),"****")</f>
        <v/>
      </c>
      <c r="OHK3" t="str">
        <f>IFERROR(IF($C3="","",SUMIFS(Ledger!$K$2:$K$4, Ledger!$B$2:$B$4, $A3, Ledger!$C$2:$C$4, OHK$2)),"****")</f>
        <v/>
      </c>
      <c r="OHL3" t="str">
        <f>IFERROR(IF($C3="","",SUMIFS(Ledger!$K$2:$K$4, Ledger!$B$2:$B$4, $A3, Ledger!$C$2:$C$4, OHL$2)),"****")</f>
        <v/>
      </c>
      <c r="OHM3" t="str">
        <f>IFERROR(IF($C3="","",SUMIFS(Ledger!$K$2:$K$4, Ledger!$B$2:$B$4, $A3, Ledger!$C$2:$C$4, OHM$2)),"****")</f>
        <v/>
      </c>
      <c r="OHN3" t="str">
        <f>IFERROR(IF($C3="","",SUMIFS(Ledger!$K$2:$K$4, Ledger!$B$2:$B$4, $A3, Ledger!$C$2:$C$4, OHN$2)),"****")</f>
        <v/>
      </c>
      <c r="OHO3" t="str">
        <f>IFERROR(IF($C3="","",SUMIFS(Ledger!$K$2:$K$4, Ledger!$B$2:$B$4, $A3, Ledger!$C$2:$C$4, OHO$2)),"****")</f>
        <v/>
      </c>
      <c r="OHP3" t="str">
        <f>IFERROR(IF($C3="","",SUMIFS(Ledger!$K$2:$K$4, Ledger!$B$2:$B$4, $A3, Ledger!$C$2:$C$4, OHP$2)),"****")</f>
        <v/>
      </c>
      <c r="OHQ3" t="str">
        <f>IFERROR(IF($C3="","",SUMIFS(Ledger!$K$2:$K$4, Ledger!$B$2:$B$4, $A3, Ledger!$C$2:$C$4, OHQ$2)),"****")</f>
        <v/>
      </c>
      <c r="OHR3" t="str">
        <f>IFERROR(IF($C3="","",SUMIFS(Ledger!$K$2:$K$4, Ledger!$B$2:$B$4, $A3, Ledger!$C$2:$C$4, OHR$2)),"****")</f>
        <v/>
      </c>
      <c r="OHS3" t="str">
        <f>IFERROR(IF($C3="","",SUMIFS(Ledger!$K$2:$K$4, Ledger!$B$2:$B$4, $A3, Ledger!$C$2:$C$4, OHS$2)),"****")</f>
        <v/>
      </c>
      <c r="OHT3" t="str">
        <f>IFERROR(IF($C3="","",SUMIFS(Ledger!$K$2:$K$4, Ledger!$B$2:$B$4, $A3, Ledger!$C$2:$C$4, OHT$2)),"****")</f>
        <v/>
      </c>
      <c r="OHU3" t="str">
        <f>IFERROR(IF($C3="","",SUMIFS(Ledger!$K$2:$K$4, Ledger!$B$2:$B$4, $A3, Ledger!$C$2:$C$4, OHU$2)),"****")</f>
        <v/>
      </c>
      <c r="OHV3" t="str">
        <f>IFERROR(IF($C3="","",SUMIFS(Ledger!$K$2:$K$4, Ledger!$B$2:$B$4, $A3, Ledger!$C$2:$C$4, OHV$2)),"****")</f>
        <v/>
      </c>
      <c r="OHW3" t="str">
        <f>IFERROR(IF($C3="","",SUMIFS(Ledger!$K$2:$K$4, Ledger!$B$2:$B$4, $A3, Ledger!$C$2:$C$4, OHW$2)),"****")</f>
        <v/>
      </c>
      <c r="OHX3" t="str">
        <f>IFERROR(IF($C3="","",SUMIFS(Ledger!$K$2:$K$4, Ledger!$B$2:$B$4, $A3, Ledger!$C$2:$C$4, OHX$2)),"****")</f>
        <v/>
      </c>
      <c r="OHY3" t="str">
        <f>IFERROR(IF($C3="","",SUMIFS(Ledger!$K$2:$K$4, Ledger!$B$2:$B$4, $A3, Ledger!$C$2:$C$4, OHY$2)),"****")</f>
        <v/>
      </c>
      <c r="OHZ3" t="str">
        <f>IFERROR(IF($C3="","",SUMIFS(Ledger!$K$2:$K$4, Ledger!$B$2:$B$4, $A3, Ledger!$C$2:$C$4, OHZ$2)),"****")</f>
        <v/>
      </c>
      <c r="OIA3" t="str">
        <f>IFERROR(IF($C3="","",SUMIFS(Ledger!$K$2:$K$4, Ledger!$B$2:$B$4, $A3, Ledger!$C$2:$C$4, OIA$2)),"****")</f>
        <v/>
      </c>
      <c r="OIB3" t="str">
        <f>IFERROR(IF($C3="","",SUMIFS(Ledger!$K$2:$K$4, Ledger!$B$2:$B$4, $A3, Ledger!$C$2:$C$4, OIB$2)),"****")</f>
        <v/>
      </c>
      <c r="OIC3" t="str">
        <f>IFERROR(IF($C3="","",SUMIFS(Ledger!$K$2:$K$4, Ledger!$B$2:$B$4, $A3, Ledger!$C$2:$C$4, OIC$2)),"****")</f>
        <v/>
      </c>
      <c r="OID3" t="str">
        <f>IFERROR(IF($C3="","",SUMIFS(Ledger!$K$2:$K$4, Ledger!$B$2:$B$4, $A3, Ledger!$C$2:$C$4, OID$2)),"****")</f>
        <v/>
      </c>
      <c r="OIE3" t="str">
        <f>IFERROR(IF($C3="","",SUMIFS(Ledger!$K$2:$K$4, Ledger!$B$2:$B$4, $A3, Ledger!$C$2:$C$4, OIE$2)),"****")</f>
        <v/>
      </c>
      <c r="OIF3" t="str">
        <f>IFERROR(IF($C3="","",SUMIFS(Ledger!$K$2:$K$4, Ledger!$B$2:$B$4, $A3, Ledger!$C$2:$C$4, OIF$2)),"****")</f>
        <v/>
      </c>
      <c r="OIG3" t="str">
        <f>IFERROR(IF($C3="","",SUMIFS(Ledger!$K$2:$K$4, Ledger!$B$2:$B$4, $A3, Ledger!$C$2:$C$4, OIG$2)),"****")</f>
        <v/>
      </c>
      <c r="OIH3" t="str">
        <f>IFERROR(IF($C3="","",SUMIFS(Ledger!$K$2:$K$4, Ledger!$B$2:$B$4, $A3, Ledger!$C$2:$C$4, OIH$2)),"****")</f>
        <v/>
      </c>
      <c r="OII3" t="str">
        <f>IFERROR(IF($C3="","",SUMIFS(Ledger!$K$2:$K$4, Ledger!$B$2:$B$4, $A3, Ledger!$C$2:$C$4, OII$2)),"****")</f>
        <v/>
      </c>
      <c r="OIJ3" t="str">
        <f>IFERROR(IF($C3="","",SUMIFS(Ledger!$K$2:$K$4, Ledger!$B$2:$B$4, $A3, Ledger!$C$2:$C$4, OIJ$2)),"****")</f>
        <v/>
      </c>
      <c r="OIK3" t="str">
        <f>IFERROR(IF($C3="","",SUMIFS(Ledger!$K$2:$K$4, Ledger!$B$2:$B$4, $A3, Ledger!$C$2:$C$4, OIK$2)),"****")</f>
        <v/>
      </c>
      <c r="OIL3" t="str">
        <f>IFERROR(IF($C3="","",SUMIFS(Ledger!$K$2:$K$4, Ledger!$B$2:$B$4, $A3, Ledger!$C$2:$C$4, OIL$2)),"****")</f>
        <v/>
      </c>
      <c r="OIM3" t="str">
        <f>IFERROR(IF($C3="","",SUMIFS(Ledger!$K$2:$K$4, Ledger!$B$2:$B$4, $A3, Ledger!$C$2:$C$4, OIM$2)),"****")</f>
        <v/>
      </c>
      <c r="OIN3" t="str">
        <f>IFERROR(IF($C3="","",SUMIFS(Ledger!$K$2:$K$4, Ledger!$B$2:$B$4, $A3, Ledger!$C$2:$C$4, OIN$2)),"****")</f>
        <v/>
      </c>
      <c r="OIO3" t="str">
        <f>IFERROR(IF($C3="","",SUMIFS(Ledger!$K$2:$K$4, Ledger!$B$2:$B$4, $A3, Ledger!$C$2:$C$4, OIO$2)),"****")</f>
        <v/>
      </c>
      <c r="OIP3" t="str">
        <f>IFERROR(IF($C3="","",SUMIFS(Ledger!$K$2:$K$4, Ledger!$B$2:$B$4, $A3, Ledger!$C$2:$C$4, OIP$2)),"****")</f>
        <v/>
      </c>
      <c r="OIQ3" t="str">
        <f>IFERROR(IF($C3="","",SUMIFS(Ledger!$K$2:$K$4, Ledger!$B$2:$B$4, $A3, Ledger!$C$2:$C$4, OIQ$2)),"****")</f>
        <v/>
      </c>
      <c r="OIR3" t="str">
        <f>IFERROR(IF($C3="","",SUMIFS(Ledger!$K$2:$K$4, Ledger!$B$2:$B$4, $A3, Ledger!$C$2:$C$4, OIR$2)),"****")</f>
        <v/>
      </c>
      <c r="OIS3" t="str">
        <f>IFERROR(IF($C3="","",SUMIFS(Ledger!$K$2:$K$4, Ledger!$B$2:$B$4, $A3, Ledger!$C$2:$C$4, OIS$2)),"****")</f>
        <v/>
      </c>
      <c r="OIT3" t="str">
        <f>IFERROR(IF($C3="","",SUMIFS(Ledger!$K$2:$K$4, Ledger!$B$2:$B$4, $A3, Ledger!$C$2:$C$4, OIT$2)),"****")</f>
        <v/>
      </c>
      <c r="OIU3" t="str">
        <f>IFERROR(IF($C3="","",SUMIFS(Ledger!$K$2:$K$4, Ledger!$B$2:$B$4, $A3, Ledger!$C$2:$C$4, OIU$2)),"****")</f>
        <v/>
      </c>
      <c r="OIV3" t="str">
        <f>IFERROR(IF($C3="","",SUMIFS(Ledger!$K$2:$K$4, Ledger!$B$2:$B$4, $A3, Ledger!$C$2:$C$4, OIV$2)),"****")</f>
        <v/>
      </c>
      <c r="OIW3" t="str">
        <f>IFERROR(IF($C3="","",SUMIFS(Ledger!$K$2:$K$4, Ledger!$B$2:$B$4, $A3, Ledger!$C$2:$C$4, OIW$2)),"****")</f>
        <v/>
      </c>
      <c r="OIX3" t="str">
        <f>IFERROR(IF($C3="","",SUMIFS(Ledger!$K$2:$K$4, Ledger!$B$2:$B$4, $A3, Ledger!$C$2:$C$4, OIX$2)),"****")</f>
        <v/>
      </c>
      <c r="OIY3" t="str">
        <f>IFERROR(IF($C3="","",SUMIFS(Ledger!$K$2:$K$4, Ledger!$B$2:$B$4, $A3, Ledger!$C$2:$C$4, OIY$2)),"****")</f>
        <v/>
      </c>
      <c r="OIZ3" t="str">
        <f>IFERROR(IF($C3="","",SUMIFS(Ledger!$K$2:$K$4, Ledger!$B$2:$B$4, $A3, Ledger!$C$2:$C$4, OIZ$2)),"****")</f>
        <v/>
      </c>
      <c r="OJA3" t="str">
        <f>IFERROR(IF($C3="","",SUMIFS(Ledger!$K$2:$K$4, Ledger!$B$2:$B$4, $A3, Ledger!$C$2:$C$4, OJA$2)),"****")</f>
        <v/>
      </c>
      <c r="OJB3" t="str">
        <f>IFERROR(IF($C3="","",SUMIFS(Ledger!$K$2:$K$4, Ledger!$B$2:$B$4, $A3, Ledger!$C$2:$C$4, OJB$2)),"****")</f>
        <v/>
      </c>
      <c r="OJC3" t="str">
        <f>IFERROR(IF($C3="","",SUMIFS(Ledger!$K$2:$K$4, Ledger!$B$2:$B$4, $A3, Ledger!$C$2:$C$4, OJC$2)),"****")</f>
        <v/>
      </c>
      <c r="OJD3" t="str">
        <f>IFERROR(IF($C3="","",SUMIFS(Ledger!$K$2:$K$4, Ledger!$B$2:$B$4, $A3, Ledger!$C$2:$C$4, OJD$2)),"****")</f>
        <v/>
      </c>
      <c r="OJE3" t="str">
        <f>IFERROR(IF($C3="","",SUMIFS(Ledger!$K$2:$K$4, Ledger!$B$2:$B$4, $A3, Ledger!$C$2:$C$4, OJE$2)),"****")</f>
        <v/>
      </c>
      <c r="OJF3" t="str">
        <f>IFERROR(IF($C3="","",SUMIFS(Ledger!$K$2:$K$4, Ledger!$B$2:$B$4, $A3, Ledger!$C$2:$C$4, OJF$2)),"****")</f>
        <v/>
      </c>
      <c r="OJG3" t="str">
        <f>IFERROR(IF($C3="","",SUMIFS(Ledger!$K$2:$K$4, Ledger!$B$2:$B$4, $A3, Ledger!$C$2:$C$4, OJG$2)),"****")</f>
        <v/>
      </c>
      <c r="OJH3" t="str">
        <f>IFERROR(IF($C3="","",SUMIFS(Ledger!$K$2:$K$4, Ledger!$B$2:$B$4, $A3, Ledger!$C$2:$C$4, OJH$2)),"****")</f>
        <v/>
      </c>
      <c r="OJI3" t="str">
        <f>IFERROR(IF($C3="","",SUMIFS(Ledger!$K$2:$K$4, Ledger!$B$2:$B$4, $A3, Ledger!$C$2:$C$4, OJI$2)),"****")</f>
        <v/>
      </c>
      <c r="OJJ3" t="str">
        <f>IFERROR(IF($C3="","",SUMIFS(Ledger!$K$2:$K$4, Ledger!$B$2:$B$4, $A3, Ledger!$C$2:$C$4, OJJ$2)),"****")</f>
        <v/>
      </c>
      <c r="OJK3" t="str">
        <f>IFERROR(IF($C3="","",SUMIFS(Ledger!$K$2:$K$4, Ledger!$B$2:$B$4, $A3, Ledger!$C$2:$C$4, OJK$2)),"****")</f>
        <v/>
      </c>
      <c r="OJL3" t="str">
        <f>IFERROR(IF($C3="","",SUMIFS(Ledger!$K$2:$K$4, Ledger!$B$2:$B$4, $A3, Ledger!$C$2:$C$4, OJL$2)),"****")</f>
        <v/>
      </c>
      <c r="OJM3" t="str">
        <f>IFERROR(IF($C3="","",SUMIFS(Ledger!$K$2:$K$4, Ledger!$B$2:$B$4, $A3, Ledger!$C$2:$C$4, OJM$2)),"****")</f>
        <v/>
      </c>
      <c r="OJN3" t="str">
        <f>IFERROR(IF($C3="","",SUMIFS(Ledger!$K$2:$K$4, Ledger!$B$2:$B$4, $A3, Ledger!$C$2:$C$4, OJN$2)),"****")</f>
        <v/>
      </c>
      <c r="OJO3" t="str">
        <f>IFERROR(IF($C3="","",SUMIFS(Ledger!$K$2:$K$4, Ledger!$B$2:$B$4, $A3, Ledger!$C$2:$C$4, OJO$2)),"****")</f>
        <v/>
      </c>
      <c r="OJP3" t="str">
        <f>IFERROR(IF($C3="","",SUMIFS(Ledger!$K$2:$K$4, Ledger!$B$2:$B$4, $A3, Ledger!$C$2:$C$4, OJP$2)),"****")</f>
        <v/>
      </c>
      <c r="OJQ3" t="str">
        <f>IFERROR(IF($C3="","",SUMIFS(Ledger!$K$2:$K$4, Ledger!$B$2:$B$4, $A3, Ledger!$C$2:$C$4, OJQ$2)),"****")</f>
        <v/>
      </c>
      <c r="OJR3" t="str">
        <f>IFERROR(IF($C3="","",SUMIFS(Ledger!$K$2:$K$4, Ledger!$B$2:$B$4, $A3, Ledger!$C$2:$C$4, OJR$2)),"****")</f>
        <v/>
      </c>
      <c r="OJS3" t="str">
        <f>IFERROR(IF($C3="","",SUMIFS(Ledger!$K$2:$K$4, Ledger!$B$2:$B$4, $A3, Ledger!$C$2:$C$4, OJS$2)),"****")</f>
        <v/>
      </c>
      <c r="OJT3" t="str">
        <f>IFERROR(IF($C3="","",SUMIFS(Ledger!$K$2:$K$4, Ledger!$B$2:$B$4, $A3, Ledger!$C$2:$C$4, OJT$2)),"****")</f>
        <v/>
      </c>
      <c r="OJU3" t="str">
        <f>IFERROR(IF($C3="","",SUMIFS(Ledger!$K$2:$K$4, Ledger!$B$2:$B$4, $A3, Ledger!$C$2:$C$4, OJU$2)),"****")</f>
        <v/>
      </c>
      <c r="OJV3" t="str">
        <f>IFERROR(IF($C3="","",SUMIFS(Ledger!$K$2:$K$4, Ledger!$B$2:$B$4, $A3, Ledger!$C$2:$C$4, OJV$2)),"****")</f>
        <v/>
      </c>
      <c r="OJW3" t="str">
        <f>IFERROR(IF($C3="","",SUMIFS(Ledger!$K$2:$K$4, Ledger!$B$2:$B$4, $A3, Ledger!$C$2:$C$4, OJW$2)),"****")</f>
        <v/>
      </c>
      <c r="OJX3" t="str">
        <f>IFERROR(IF($C3="","",SUMIFS(Ledger!$K$2:$K$4, Ledger!$B$2:$B$4, $A3, Ledger!$C$2:$C$4, OJX$2)),"****")</f>
        <v/>
      </c>
      <c r="OJY3" t="str">
        <f>IFERROR(IF($C3="","",SUMIFS(Ledger!$K$2:$K$4, Ledger!$B$2:$B$4, $A3, Ledger!$C$2:$C$4, OJY$2)),"****")</f>
        <v/>
      </c>
      <c r="OJZ3" t="str">
        <f>IFERROR(IF($C3="","",SUMIFS(Ledger!$K$2:$K$4, Ledger!$B$2:$B$4, $A3, Ledger!$C$2:$C$4, OJZ$2)),"****")</f>
        <v/>
      </c>
      <c r="OKA3" t="str">
        <f>IFERROR(IF($C3="","",SUMIFS(Ledger!$K$2:$K$4, Ledger!$B$2:$B$4, $A3, Ledger!$C$2:$C$4, OKA$2)),"****")</f>
        <v/>
      </c>
      <c r="OKB3" t="str">
        <f>IFERROR(IF($C3="","",SUMIFS(Ledger!$K$2:$K$4, Ledger!$B$2:$B$4, $A3, Ledger!$C$2:$C$4, OKB$2)),"****")</f>
        <v/>
      </c>
      <c r="OKC3" t="str">
        <f>IFERROR(IF($C3="","",SUMIFS(Ledger!$K$2:$K$4, Ledger!$B$2:$B$4, $A3, Ledger!$C$2:$C$4, OKC$2)),"****")</f>
        <v/>
      </c>
      <c r="OKD3" t="str">
        <f>IFERROR(IF($C3="","",SUMIFS(Ledger!$K$2:$K$4, Ledger!$B$2:$B$4, $A3, Ledger!$C$2:$C$4, OKD$2)),"****")</f>
        <v/>
      </c>
      <c r="OKE3" t="str">
        <f>IFERROR(IF($C3="","",SUMIFS(Ledger!$K$2:$K$4, Ledger!$B$2:$B$4, $A3, Ledger!$C$2:$C$4, OKE$2)),"****")</f>
        <v/>
      </c>
      <c r="OKF3" t="str">
        <f>IFERROR(IF($C3="","",SUMIFS(Ledger!$K$2:$K$4, Ledger!$B$2:$B$4, $A3, Ledger!$C$2:$C$4, OKF$2)),"****")</f>
        <v/>
      </c>
      <c r="OKG3" t="str">
        <f>IFERROR(IF($C3="","",SUMIFS(Ledger!$K$2:$K$4, Ledger!$B$2:$B$4, $A3, Ledger!$C$2:$C$4, OKG$2)),"****")</f>
        <v/>
      </c>
      <c r="OKH3" t="str">
        <f>IFERROR(IF($C3="","",SUMIFS(Ledger!$K$2:$K$4, Ledger!$B$2:$B$4, $A3, Ledger!$C$2:$C$4, OKH$2)),"****")</f>
        <v/>
      </c>
      <c r="OKI3" t="str">
        <f>IFERROR(IF($C3="","",SUMIFS(Ledger!$K$2:$K$4, Ledger!$B$2:$B$4, $A3, Ledger!$C$2:$C$4, OKI$2)),"****")</f>
        <v/>
      </c>
      <c r="OKJ3" t="str">
        <f>IFERROR(IF($C3="","",SUMIFS(Ledger!$K$2:$K$4, Ledger!$B$2:$B$4, $A3, Ledger!$C$2:$C$4, OKJ$2)),"****")</f>
        <v/>
      </c>
      <c r="OKK3" t="str">
        <f>IFERROR(IF($C3="","",SUMIFS(Ledger!$K$2:$K$4, Ledger!$B$2:$B$4, $A3, Ledger!$C$2:$C$4, OKK$2)),"****")</f>
        <v/>
      </c>
      <c r="OKL3" t="str">
        <f>IFERROR(IF($C3="","",SUMIFS(Ledger!$K$2:$K$4, Ledger!$B$2:$B$4, $A3, Ledger!$C$2:$C$4, OKL$2)),"****")</f>
        <v/>
      </c>
      <c r="OKM3" t="str">
        <f>IFERROR(IF($C3="","",SUMIFS(Ledger!$K$2:$K$4, Ledger!$B$2:$B$4, $A3, Ledger!$C$2:$C$4, OKM$2)),"****")</f>
        <v/>
      </c>
      <c r="OKN3" t="str">
        <f>IFERROR(IF($C3="","",SUMIFS(Ledger!$K$2:$K$4, Ledger!$B$2:$B$4, $A3, Ledger!$C$2:$C$4, OKN$2)),"****")</f>
        <v/>
      </c>
      <c r="OKO3" t="str">
        <f>IFERROR(IF($C3="","",SUMIFS(Ledger!$K$2:$K$4, Ledger!$B$2:$B$4, $A3, Ledger!$C$2:$C$4, OKO$2)),"****")</f>
        <v/>
      </c>
      <c r="OKP3" t="str">
        <f>IFERROR(IF($C3="","",SUMIFS(Ledger!$K$2:$K$4, Ledger!$B$2:$B$4, $A3, Ledger!$C$2:$C$4, OKP$2)),"****")</f>
        <v/>
      </c>
      <c r="OKQ3" t="str">
        <f>IFERROR(IF($C3="","",SUMIFS(Ledger!$K$2:$K$4, Ledger!$B$2:$B$4, $A3, Ledger!$C$2:$C$4, OKQ$2)),"****")</f>
        <v/>
      </c>
      <c r="OKR3" t="str">
        <f>IFERROR(IF($C3="","",SUMIFS(Ledger!$K$2:$K$4, Ledger!$B$2:$B$4, $A3, Ledger!$C$2:$C$4, OKR$2)),"****")</f>
        <v/>
      </c>
      <c r="OKS3" t="str">
        <f>IFERROR(IF($C3="","",SUMIFS(Ledger!$K$2:$K$4, Ledger!$B$2:$B$4, $A3, Ledger!$C$2:$C$4, OKS$2)),"****")</f>
        <v/>
      </c>
      <c r="OKT3" t="str">
        <f>IFERROR(IF($C3="","",SUMIFS(Ledger!$K$2:$K$4, Ledger!$B$2:$B$4, $A3, Ledger!$C$2:$C$4, OKT$2)),"****")</f>
        <v/>
      </c>
      <c r="OKU3" t="str">
        <f>IFERROR(IF($C3="","",SUMIFS(Ledger!$K$2:$K$4, Ledger!$B$2:$B$4, $A3, Ledger!$C$2:$C$4, OKU$2)),"****")</f>
        <v/>
      </c>
      <c r="OKV3" t="str">
        <f>IFERROR(IF($C3="","",SUMIFS(Ledger!$K$2:$K$4, Ledger!$B$2:$B$4, $A3, Ledger!$C$2:$C$4, OKV$2)),"****")</f>
        <v/>
      </c>
      <c r="OKW3" t="str">
        <f>IFERROR(IF($C3="","",SUMIFS(Ledger!$K$2:$K$4, Ledger!$B$2:$B$4, $A3, Ledger!$C$2:$C$4, OKW$2)),"****")</f>
        <v/>
      </c>
      <c r="OKX3" t="str">
        <f>IFERROR(IF($C3="","",SUMIFS(Ledger!$K$2:$K$4, Ledger!$B$2:$B$4, $A3, Ledger!$C$2:$C$4, OKX$2)),"****")</f>
        <v/>
      </c>
      <c r="OKY3" t="str">
        <f>IFERROR(IF($C3="","",SUMIFS(Ledger!$K$2:$K$4, Ledger!$B$2:$B$4, $A3, Ledger!$C$2:$C$4, OKY$2)),"****")</f>
        <v/>
      </c>
      <c r="OKZ3" t="str">
        <f>IFERROR(IF($C3="","",SUMIFS(Ledger!$K$2:$K$4, Ledger!$B$2:$B$4, $A3, Ledger!$C$2:$C$4, OKZ$2)),"****")</f>
        <v/>
      </c>
      <c r="OLA3" t="str">
        <f>IFERROR(IF($C3="","",SUMIFS(Ledger!$K$2:$K$4, Ledger!$B$2:$B$4, $A3, Ledger!$C$2:$C$4, OLA$2)),"****")</f>
        <v/>
      </c>
      <c r="OLB3" t="str">
        <f>IFERROR(IF($C3="","",SUMIFS(Ledger!$K$2:$K$4, Ledger!$B$2:$B$4, $A3, Ledger!$C$2:$C$4, OLB$2)),"****")</f>
        <v/>
      </c>
      <c r="OLC3" t="str">
        <f>IFERROR(IF($C3="","",SUMIFS(Ledger!$K$2:$K$4, Ledger!$B$2:$B$4, $A3, Ledger!$C$2:$C$4, OLC$2)),"****")</f>
        <v/>
      </c>
      <c r="OLD3" t="str">
        <f>IFERROR(IF($C3="","",SUMIFS(Ledger!$K$2:$K$4, Ledger!$B$2:$B$4, $A3, Ledger!$C$2:$C$4, OLD$2)),"****")</f>
        <v/>
      </c>
      <c r="OLE3" t="str">
        <f>IFERROR(IF($C3="","",SUMIFS(Ledger!$K$2:$K$4, Ledger!$B$2:$B$4, $A3, Ledger!$C$2:$C$4, OLE$2)),"****")</f>
        <v/>
      </c>
      <c r="OLF3" t="str">
        <f>IFERROR(IF($C3="","",SUMIFS(Ledger!$K$2:$K$4, Ledger!$B$2:$B$4, $A3, Ledger!$C$2:$C$4, OLF$2)),"****")</f>
        <v/>
      </c>
      <c r="OLG3" t="str">
        <f>IFERROR(IF($C3="","",SUMIFS(Ledger!$K$2:$K$4, Ledger!$B$2:$B$4, $A3, Ledger!$C$2:$C$4, OLG$2)),"****")</f>
        <v/>
      </c>
      <c r="OLH3" t="str">
        <f>IFERROR(IF($C3="","",SUMIFS(Ledger!$K$2:$K$4, Ledger!$B$2:$B$4, $A3, Ledger!$C$2:$C$4, OLH$2)),"****")</f>
        <v/>
      </c>
      <c r="OLI3" t="str">
        <f>IFERROR(IF($C3="","",SUMIFS(Ledger!$K$2:$K$4, Ledger!$B$2:$B$4, $A3, Ledger!$C$2:$C$4, OLI$2)),"****")</f>
        <v/>
      </c>
      <c r="OLJ3" t="str">
        <f>IFERROR(IF($C3="","",SUMIFS(Ledger!$K$2:$K$4, Ledger!$B$2:$B$4, $A3, Ledger!$C$2:$C$4, OLJ$2)),"****")</f>
        <v/>
      </c>
      <c r="OLK3" t="str">
        <f>IFERROR(IF($C3="","",SUMIFS(Ledger!$K$2:$K$4, Ledger!$B$2:$B$4, $A3, Ledger!$C$2:$C$4, OLK$2)),"****")</f>
        <v/>
      </c>
      <c r="OLL3" t="str">
        <f>IFERROR(IF($C3="","",SUMIFS(Ledger!$K$2:$K$4, Ledger!$B$2:$B$4, $A3, Ledger!$C$2:$C$4, OLL$2)),"****")</f>
        <v/>
      </c>
      <c r="OLM3" t="str">
        <f>IFERROR(IF($C3="","",SUMIFS(Ledger!$K$2:$K$4, Ledger!$B$2:$B$4, $A3, Ledger!$C$2:$C$4, OLM$2)),"****")</f>
        <v/>
      </c>
      <c r="OLN3" t="str">
        <f>IFERROR(IF($C3="","",SUMIFS(Ledger!$K$2:$K$4, Ledger!$B$2:$B$4, $A3, Ledger!$C$2:$C$4, OLN$2)),"****")</f>
        <v/>
      </c>
      <c r="OLO3" t="str">
        <f>IFERROR(IF($C3="","",SUMIFS(Ledger!$K$2:$K$4, Ledger!$B$2:$B$4, $A3, Ledger!$C$2:$C$4, OLO$2)),"****")</f>
        <v/>
      </c>
      <c r="OLP3" t="str">
        <f>IFERROR(IF($C3="","",SUMIFS(Ledger!$K$2:$K$4, Ledger!$B$2:$B$4, $A3, Ledger!$C$2:$C$4, OLP$2)),"****")</f>
        <v/>
      </c>
      <c r="OLQ3" t="str">
        <f>IFERROR(IF($C3="","",SUMIFS(Ledger!$K$2:$K$4, Ledger!$B$2:$B$4, $A3, Ledger!$C$2:$C$4, OLQ$2)),"****")</f>
        <v/>
      </c>
      <c r="OLR3" t="str">
        <f>IFERROR(IF($C3="","",SUMIFS(Ledger!$K$2:$K$4, Ledger!$B$2:$B$4, $A3, Ledger!$C$2:$C$4, OLR$2)),"****")</f>
        <v/>
      </c>
      <c r="OLS3" t="str">
        <f>IFERROR(IF($C3="","",SUMIFS(Ledger!$K$2:$K$4, Ledger!$B$2:$B$4, $A3, Ledger!$C$2:$C$4, OLS$2)),"****")</f>
        <v/>
      </c>
      <c r="OLT3" t="str">
        <f>IFERROR(IF($C3="","",SUMIFS(Ledger!$K$2:$K$4, Ledger!$B$2:$B$4, $A3, Ledger!$C$2:$C$4, OLT$2)),"****")</f>
        <v/>
      </c>
      <c r="OLU3" t="str">
        <f>IFERROR(IF($C3="","",SUMIFS(Ledger!$K$2:$K$4, Ledger!$B$2:$B$4, $A3, Ledger!$C$2:$C$4, OLU$2)),"****")</f>
        <v/>
      </c>
      <c r="OLV3" t="str">
        <f>IFERROR(IF($C3="","",SUMIFS(Ledger!$K$2:$K$4, Ledger!$B$2:$B$4, $A3, Ledger!$C$2:$C$4, OLV$2)),"****")</f>
        <v/>
      </c>
      <c r="OLW3" t="str">
        <f>IFERROR(IF($C3="","",SUMIFS(Ledger!$K$2:$K$4, Ledger!$B$2:$B$4, $A3, Ledger!$C$2:$C$4, OLW$2)),"****")</f>
        <v/>
      </c>
      <c r="OLX3" t="str">
        <f>IFERROR(IF($C3="","",SUMIFS(Ledger!$K$2:$K$4, Ledger!$B$2:$B$4, $A3, Ledger!$C$2:$C$4, OLX$2)),"****")</f>
        <v/>
      </c>
      <c r="OLY3" t="str">
        <f>IFERROR(IF($C3="","",SUMIFS(Ledger!$K$2:$K$4, Ledger!$B$2:$B$4, $A3, Ledger!$C$2:$C$4, OLY$2)),"****")</f>
        <v/>
      </c>
      <c r="OLZ3" t="str">
        <f>IFERROR(IF($C3="","",SUMIFS(Ledger!$K$2:$K$4, Ledger!$B$2:$B$4, $A3, Ledger!$C$2:$C$4, OLZ$2)),"****")</f>
        <v/>
      </c>
      <c r="OMA3" t="str">
        <f>IFERROR(IF($C3="","",SUMIFS(Ledger!$K$2:$K$4, Ledger!$B$2:$B$4, $A3, Ledger!$C$2:$C$4, OMA$2)),"****")</f>
        <v/>
      </c>
      <c r="OMB3" t="str">
        <f>IFERROR(IF($C3="","",SUMIFS(Ledger!$K$2:$K$4, Ledger!$B$2:$B$4, $A3, Ledger!$C$2:$C$4, OMB$2)),"****")</f>
        <v/>
      </c>
      <c r="OMC3" t="str">
        <f>IFERROR(IF($C3="","",SUMIFS(Ledger!$K$2:$K$4, Ledger!$B$2:$B$4, $A3, Ledger!$C$2:$C$4, OMC$2)),"****")</f>
        <v/>
      </c>
      <c r="OMD3" t="str">
        <f>IFERROR(IF($C3="","",SUMIFS(Ledger!$K$2:$K$4, Ledger!$B$2:$B$4, $A3, Ledger!$C$2:$C$4, OMD$2)),"****")</f>
        <v/>
      </c>
      <c r="OME3" t="str">
        <f>IFERROR(IF($C3="","",SUMIFS(Ledger!$K$2:$K$4, Ledger!$B$2:$B$4, $A3, Ledger!$C$2:$C$4, OME$2)),"****")</f>
        <v/>
      </c>
      <c r="OMF3" t="str">
        <f>IFERROR(IF($C3="","",SUMIFS(Ledger!$K$2:$K$4, Ledger!$B$2:$B$4, $A3, Ledger!$C$2:$C$4, OMF$2)),"****")</f>
        <v/>
      </c>
      <c r="OMG3" t="str">
        <f>IFERROR(IF($C3="","",SUMIFS(Ledger!$K$2:$K$4, Ledger!$B$2:$B$4, $A3, Ledger!$C$2:$C$4, OMG$2)),"****")</f>
        <v/>
      </c>
      <c r="OMH3" t="str">
        <f>IFERROR(IF($C3="","",SUMIFS(Ledger!$K$2:$K$4, Ledger!$B$2:$B$4, $A3, Ledger!$C$2:$C$4, OMH$2)),"****")</f>
        <v/>
      </c>
      <c r="OMI3" t="str">
        <f>IFERROR(IF($C3="","",SUMIFS(Ledger!$K$2:$K$4, Ledger!$B$2:$B$4, $A3, Ledger!$C$2:$C$4, OMI$2)),"****")</f>
        <v/>
      </c>
      <c r="OMJ3" t="str">
        <f>IFERROR(IF($C3="","",SUMIFS(Ledger!$K$2:$K$4, Ledger!$B$2:$B$4, $A3, Ledger!$C$2:$C$4, OMJ$2)),"****")</f>
        <v/>
      </c>
      <c r="OMK3" t="str">
        <f>IFERROR(IF($C3="","",SUMIFS(Ledger!$K$2:$K$4, Ledger!$B$2:$B$4, $A3, Ledger!$C$2:$C$4, OMK$2)),"****")</f>
        <v/>
      </c>
      <c r="OML3" t="str">
        <f>IFERROR(IF($C3="","",SUMIFS(Ledger!$K$2:$K$4, Ledger!$B$2:$B$4, $A3, Ledger!$C$2:$C$4, OML$2)),"****")</f>
        <v/>
      </c>
      <c r="OMM3" t="str">
        <f>IFERROR(IF($C3="","",SUMIFS(Ledger!$K$2:$K$4, Ledger!$B$2:$B$4, $A3, Ledger!$C$2:$C$4, OMM$2)),"****")</f>
        <v/>
      </c>
      <c r="OMN3" t="str">
        <f>IFERROR(IF($C3="","",SUMIFS(Ledger!$K$2:$K$4, Ledger!$B$2:$B$4, $A3, Ledger!$C$2:$C$4, OMN$2)),"****")</f>
        <v/>
      </c>
      <c r="OMO3" t="str">
        <f>IFERROR(IF($C3="","",SUMIFS(Ledger!$K$2:$K$4, Ledger!$B$2:$B$4, $A3, Ledger!$C$2:$C$4, OMO$2)),"****")</f>
        <v/>
      </c>
      <c r="OMP3" t="str">
        <f>IFERROR(IF($C3="","",SUMIFS(Ledger!$K$2:$K$4, Ledger!$B$2:$B$4, $A3, Ledger!$C$2:$C$4, OMP$2)),"****")</f>
        <v/>
      </c>
      <c r="OMQ3" t="str">
        <f>IFERROR(IF($C3="","",SUMIFS(Ledger!$K$2:$K$4, Ledger!$B$2:$B$4, $A3, Ledger!$C$2:$C$4, OMQ$2)),"****")</f>
        <v/>
      </c>
      <c r="OMR3" t="str">
        <f>IFERROR(IF($C3="","",SUMIFS(Ledger!$K$2:$K$4, Ledger!$B$2:$B$4, $A3, Ledger!$C$2:$C$4, OMR$2)),"****")</f>
        <v/>
      </c>
      <c r="OMS3" t="str">
        <f>IFERROR(IF($C3="","",SUMIFS(Ledger!$K$2:$K$4, Ledger!$B$2:$B$4, $A3, Ledger!$C$2:$C$4, OMS$2)),"****")</f>
        <v/>
      </c>
      <c r="OMT3" t="str">
        <f>IFERROR(IF($C3="","",SUMIFS(Ledger!$K$2:$K$4, Ledger!$B$2:$B$4, $A3, Ledger!$C$2:$C$4, OMT$2)),"****")</f>
        <v/>
      </c>
      <c r="OMU3" t="str">
        <f>IFERROR(IF($C3="","",SUMIFS(Ledger!$K$2:$K$4, Ledger!$B$2:$B$4, $A3, Ledger!$C$2:$C$4, OMU$2)),"****")</f>
        <v/>
      </c>
      <c r="OMV3" t="str">
        <f>IFERROR(IF($C3="","",SUMIFS(Ledger!$K$2:$K$4, Ledger!$B$2:$B$4, $A3, Ledger!$C$2:$C$4, OMV$2)),"****")</f>
        <v/>
      </c>
      <c r="OMW3" t="str">
        <f>IFERROR(IF($C3="","",SUMIFS(Ledger!$K$2:$K$4, Ledger!$B$2:$B$4, $A3, Ledger!$C$2:$C$4, OMW$2)),"****")</f>
        <v/>
      </c>
      <c r="OMX3" t="str">
        <f>IFERROR(IF($C3="","",SUMIFS(Ledger!$K$2:$K$4, Ledger!$B$2:$B$4, $A3, Ledger!$C$2:$C$4, OMX$2)),"****")</f>
        <v/>
      </c>
      <c r="OMY3" t="str">
        <f>IFERROR(IF($C3="","",SUMIFS(Ledger!$K$2:$K$4, Ledger!$B$2:$B$4, $A3, Ledger!$C$2:$C$4, OMY$2)),"****")</f>
        <v/>
      </c>
      <c r="OMZ3" t="str">
        <f>IFERROR(IF($C3="","",SUMIFS(Ledger!$K$2:$K$4, Ledger!$B$2:$B$4, $A3, Ledger!$C$2:$C$4, OMZ$2)),"****")</f>
        <v/>
      </c>
      <c r="ONA3" t="str">
        <f>IFERROR(IF($C3="","",SUMIFS(Ledger!$K$2:$K$4, Ledger!$B$2:$B$4, $A3, Ledger!$C$2:$C$4, ONA$2)),"****")</f>
        <v/>
      </c>
      <c r="ONB3" t="str">
        <f>IFERROR(IF($C3="","",SUMIFS(Ledger!$K$2:$K$4, Ledger!$B$2:$B$4, $A3, Ledger!$C$2:$C$4, ONB$2)),"****")</f>
        <v/>
      </c>
      <c r="ONC3" t="str">
        <f>IFERROR(IF($C3="","",SUMIFS(Ledger!$K$2:$K$4, Ledger!$B$2:$B$4, $A3, Ledger!$C$2:$C$4, ONC$2)),"****")</f>
        <v/>
      </c>
      <c r="OND3" t="str">
        <f>IFERROR(IF($C3="","",SUMIFS(Ledger!$K$2:$K$4, Ledger!$B$2:$B$4, $A3, Ledger!$C$2:$C$4, OND$2)),"****")</f>
        <v/>
      </c>
      <c r="ONE3" t="str">
        <f>IFERROR(IF($C3="","",SUMIFS(Ledger!$K$2:$K$4, Ledger!$B$2:$B$4, $A3, Ledger!$C$2:$C$4, ONE$2)),"****")</f>
        <v/>
      </c>
      <c r="ONF3" t="str">
        <f>IFERROR(IF($C3="","",SUMIFS(Ledger!$K$2:$K$4, Ledger!$B$2:$B$4, $A3, Ledger!$C$2:$C$4, ONF$2)),"****")</f>
        <v/>
      </c>
      <c r="ONG3" t="str">
        <f>IFERROR(IF($C3="","",SUMIFS(Ledger!$K$2:$K$4, Ledger!$B$2:$B$4, $A3, Ledger!$C$2:$C$4, ONG$2)),"****")</f>
        <v/>
      </c>
      <c r="ONH3" t="str">
        <f>IFERROR(IF($C3="","",SUMIFS(Ledger!$K$2:$K$4, Ledger!$B$2:$B$4, $A3, Ledger!$C$2:$C$4, ONH$2)),"****")</f>
        <v/>
      </c>
      <c r="ONI3" t="str">
        <f>IFERROR(IF($C3="","",SUMIFS(Ledger!$K$2:$K$4, Ledger!$B$2:$B$4, $A3, Ledger!$C$2:$C$4, ONI$2)),"****")</f>
        <v/>
      </c>
      <c r="ONJ3" t="str">
        <f>IFERROR(IF($C3="","",SUMIFS(Ledger!$K$2:$K$4, Ledger!$B$2:$B$4, $A3, Ledger!$C$2:$C$4, ONJ$2)),"****")</f>
        <v/>
      </c>
      <c r="ONK3" t="str">
        <f>IFERROR(IF($C3="","",SUMIFS(Ledger!$K$2:$K$4, Ledger!$B$2:$B$4, $A3, Ledger!$C$2:$C$4, ONK$2)),"****")</f>
        <v/>
      </c>
      <c r="ONL3" t="str">
        <f>IFERROR(IF($C3="","",SUMIFS(Ledger!$K$2:$K$4, Ledger!$B$2:$B$4, $A3, Ledger!$C$2:$C$4, ONL$2)),"****")</f>
        <v/>
      </c>
      <c r="ONM3" t="str">
        <f>IFERROR(IF($C3="","",SUMIFS(Ledger!$K$2:$K$4, Ledger!$B$2:$B$4, $A3, Ledger!$C$2:$C$4, ONM$2)),"****")</f>
        <v/>
      </c>
      <c r="ONN3" t="str">
        <f>IFERROR(IF($C3="","",SUMIFS(Ledger!$K$2:$K$4, Ledger!$B$2:$B$4, $A3, Ledger!$C$2:$C$4, ONN$2)),"****")</f>
        <v/>
      </c>
      <c r="ONO3" t="str">
        <f>IFERROR(IF($C3="","",SUMIFS(Ledger!$K$2:$K$4, Ledger!$B$2:$B$4, $A3, Ledger!$C$2:$C$4, ONO$2)),"****")</f>
        <v/>
      </c>
      <c r="ONP3" t="str">
        <f>IFERROR(IF($C3="","",SUMIFS(Ledger!$K$2:$K$4, Ledger!$B$2:$B$4, $A3, Ledger!$C$2:$C$4, ONP$2)),"****")</f>
        <v/>
      </c>
      <c r="ONQ3" t="str">
        <f>IFERROR(IF($C3="","",SUMIFS(Ledger!$K$2:$K$4, Ledger!$B$2:$B$4, $A3, Ledger!$C$2:$C$4, ONQ$2)),"****")</f>
        <v/>
      </c>
      <c r="ONR3" t="str">
        <f>IFERROR(IF($C3="","",SUMIFS(Ledger!$K$2:$K$4, Ledger!$B$2:$B$4, $A3, Ledger!$C$2:$C$4, ONR$2)),"****")</f>
        <v/>
      </c>
      <c r="ONS3" t="str">
        <f>IFERROR(IF($C3="","",SUMIFS(Ledger!$K$2:$K$4, Ledger!$B$2:$B$4, $A3, Ledger!$C$2:$C$4, ONS$2)),"****")</f>
        <v/>
      </c>
      <c r="ONT3" t="str">
        <f>IFERROR(IF($C3="","",SUMIFS(Ledger!$K$2:$K$4, Ledger!$B$2:$B$4, $A3, Ledger!$C$2:$C$4, ONT$2)),"****")</f>
        <v/>
      </c>
      <c r="ONU3" t="str">
        <f>IFERROR(IF($C3="","",SUMIFS(Ledger!$K$2:$K$4, Ledger!$B$2:$B$4, $A3, Ledger!$C$2:$C$4, ONU$2)),"****")</f>
        <v/>
      </c>
      <c r="ONV3" t="str">
        <f>IFERROR(IF($C3="","",SUMIFS(Ledger!$K$2:$K$4, Ledger!$B$2:$B$4, $A3, Ledger!$C$2:$C$4, ONV$2)),"****")</f>
        <v/>
      </c>
      <c r="ONW3" t="str">
        <f>IFERROR(IF($C3="","",SUMIFS(Ledger!$K$2:$K$4, Ledger!$B$2:$B$4, $A3, Ledger!$C$2:$C$4, ONW$2)),"****")</f>
        <v/>
      </c>
      <c r="ONX3" t="str">
        <f>IFERROR(IF($C3="","",SUMIFS(Ledger!$K$2:$K$4, Ledger!$B$2:$B$4, $A3, Ledger!$C$2:$C$4, ONX$2)),"****")</f>
        <v/>
      </c>
      <c r="ONY3" t="str">
        <f>IFERROR(IF($C3="","",SUMIFS(Ledger!$K$2:$K$4, Ledger!$B$2:$B$4, $A3, Ledger!$C$2:$C$4, ONY$2)),"****")</f>
        <v/>
      </c>
      <c r="ONZ3" t="str">
        <f>IFERROR(IF($C3="","",SUMIFS(Ledger!$K$2:$K$4, Ledger!$B$2:$B$4, $A3, Ledger!$C$2:$C$4, ONZ$2)),"****")</f>
        <v/>
      </c>
      <c r="OOA3" t="str">
        <f>IFERROR(IF($C3="","",SUMIFS(Ledger!$K$2:$K$4, Ledger!$B$2:$B$4, $A3, Ledger!$C$2:$C$4, OOA$2)),"****")</f>
        <v/>
      </c>
      <c r="OOB3" t="str">
        <f>IFERROR(IF($C3="","",SUMIFS(Ledger!$K$2:$K$4, Ledger!$B$2:$B$4, $A3, Ledger!$C$2:$C$4, OOB$2)),"****")</f>
        <v/>
      </c>
      <c r="OOC3" t="str">
        <f>IFERROR(IF($C3="","",SUMIFS(Ledger!$K$2:$K$4, Ledger!$B$2:$B$4, $A3, Ledger!$C$2:$C$4, OOC$2)),"****")</f>
        <v/>
      </c>
      <c r="OOD3" t="str">
        <f>IFERROR(IF($C3="","",SUMIFS(Ledger!$K$2:$K$4, Ledger!$B$2:$B$4, $A3, Ledger!$C$2:$C$4, OOD$2)),"****")</f>
        <v/>
      </c>
      <c r="OOE3" t="str">
        <f>IFERROR(IF($C3="","",SUMIFS(Ledger!$K$2:$K$4, Ledger!$B$2:$B$4, $A3, Ledger!$C$2:$C$4, OOE$2)),"****")</f>
        <v/>
      </c>
      <c r="OOF3" t="str">
        <f>IFERROR(IF($C3="","",SUMIFS(Ledger!$K$2:$K$4, Ledger!$B$2:$B$4, $A3, Ledger!$C$2:$C$4, OOF$2)),"****")</f>
        <v/>
      </c>
      <c r="OOG3" t="str">
        <f>IFERROR(IF($C3="","",SUMIFS(Ledger!$K$2:$K$4, Ledger!$B$2:$B$4, $A3, Ledger!$C$2:$C$4, OOG$2)),"****")</f>
        <v/>
      </c>
      <c r="OOH3" t="str">
        <f>IFERROR(IF($C3="","",SUMIFS(Ledger!$K$2:$K$4, Ledger!$B$2:$B$4, $A3, Ledger!$C$2:$C$4, OOH$2)),"****")</f>
        <v/>
      </c>
      <c r="OOI3" t="str">
        <f>IFERROR(IF($C3="","",SUMIFS(Ledger!$K$2:$K$4, Ledger!$B$2:$B$4, $A3, Ledger!$C$2:$C$4, OOI$2)),"****")</f>
        <v/>
      </c>
      <c r="OOJ3" t="str">
        <f>IFERROR(IF($C3="","",SUMIFS(Ledger!$K$2:$K$4, Ledger!$B$2:$B$4, $A3, Ledger!$C$2:$C$4, OOJ$2)),"****")</f>
        <v/>
      </c>
      <c r="OOK3" t="str">
        <f>IFERROR(IF($C3="","",SUMIFS(Ledger!$K$2:$K$4, Ledger!$B$2:$B$4, $A3, Ledger!$C$2:$C$4, OOK$2)),"****")</f>
        <v/>
      </c>
      <c r="OOL3" t="str">
        <f>IFERROR(IF($C3="","",SUMIFS(Ledger!$K$2:$K$4, Ledger!$B$2:$B$4, $A3, Ledger!$C$2:$C$4, OOL$2)),"****")</f>
        <v/>
      </c>
      <c r="OOM3" t="str">
        <f>IFERROR(IF($C3="","",SUMIFS(Ledger!$K$2:$K$4, Ledger!$B$2:$B$4, $A3, Ledger!$C$2:$C$4, OOM$2)),"****")</f>
        <v/>
      </c>
      <c r="OON3" t="str">
        <f>IFERROR(IF($C3="","",SUMIFS(Ledger!$K$2:$K$4, Ledger!$B$2:$B$4, $A3, Ledger!$C$2:$C$4, OON$2)),"****")</f>
        <v/>
      </c>
      <c r="OOO3" t="str">
        <f>IFERROR(IF($C3="","",SUMIFS(Ledger!$K$2:$K$4, Ledger!$B$2:$B$4, $A3, Ledger!$C$2:$C$4, OOO$2)),"****")</f>
        <v/>
      </c>
      <c r="OOP3" t="str">
        <f>IFERROR(IF($C3="","",SUMIFS(Ledger!$K$2:$K$4, Ledger!$B$2:$B$4, $A3, Ledger!$C$2:$C$4, OOP$2)),"****")</f>
        <v/>
      </c>
      <c r="OOQ3" t="str">
        <f>IFERROR(IF($C3="","",SUMIFS(Ledger!$K$2:$K$4, Ledger!$B$2:$B$4, $A3, Ledger!$C$2:$C$4, OOQ$2)),"****")</f>
        <v/>
      </c>
      <c r="OOR3" t="str">
        <f>IFERROR(IF($C3="","",SUMIFS(Ledger!$K$2:$K$4, Ledger!$B$2:$B$4, $A3, Ledger!$C$2:$C$4, OOR$2)),"****")</f>
        <v/>
      </c>
      <c r="OOS3" t="str">
        <f>IFERROR(IF($C3="","",SUMIFS(Ledger!$K$2:$K$4, Ledger!$B$2:$B$4, $A3, Ledger!$C$2:$C$4, OOS$2)),"****")</f>
        <v/>
      </c>
      <c r="OOT3" t="str">
        <f>IFERROR(IF($C3="","",SUMIFS(Ledger!$K$2:$K$4, Ledger!$B$2:$B$4, $A3, Ledger!$C$2:$C$4, OOT$2)),"****")</f>
        <v/>
      </c>
      <c r="OOU3" t="str">
        <f>IFERROR(IF($C3="","",SUMIFS(Ledger!$K$2:$K$4, Ledger!$B$2:$B$4, $A3, Ledger!$C$2:$C$4, OOU$2)),"****")</f>
        <v/>
      </c>
      <c r="OOV3" t="str">
        <f>IFERROR(IF($C3="","",SUMIFS(Ledger!$K$2:$K$4, Ledger!$B$2:$B$4, $A3, Ledger!$C$2:$C$4, OOV$2)),"****")</f>
        <v/>
      </c>
      <c r="OOW3" t="str">
        <f>IFERROR(IF($C3="","",SUMIFS(Ledger!$K$2:$K$4, Ledger!$B$2:$B$4, $A3, Ledger!$C$2:$C$4, OOW$2)),"****")</f>
        <v/>
      </c>
      <c r="OOX3" t="str">
        <f>IFERROR(IF($C3="","",SUMIFS(Ledger!$K$2:$K$4, Ledger!$B$2:$B$4, $A3, Ledger!$C$2:$C$4, OOX$2)),"****")</f>
        <v/>
      </c>
      <c r="OOY3" t="str">
        <f>IFERROR(IF($C3="","",SUMIFS(Ledger!$K$2:$K$4, Ledger!$B$2:$B$4, $A3, Ledger!$C$2:$C$4, OOY$2)),"****")</f>
        <v/>
      </c>
      <c r="OOZ3" t="str">
        <f>IFERROR(IF($C3="","",SUMIFS(Ledger!$K$2:$K$4, Ledger!$B$2:$B$4, $A3, Ledger!$C$2:$C$4, OOZ$2)),"****")</f>
        <v/>
      </c>
      <c r="OPA3" t="str">
        <f>IFERROR(IF($C3="","",SUMIFS(Ledger!$K$2:$K$4, Ledger!$B$2:$B$4, $A3, Ledger!$C$2:$C$4, OPA$2)),"****")</f>
        <v/>
      </c>
      <c r="OPB3" t="str">
        <f>IFERROR(IF($C3="","",SUMIFS(Ledger!$K$2:$K$4, Ledger!$B$2:$B$4, $A3, Ledger!$C$2:$C$4, OPB$2)),"****")</f>
        <v/>
      </c>
      <c r="OPC3" t="str">
        <f>IFERROR(IF($C3="","",SUMIFS(Ledger!$K$2:$K$4, Ledger!$B$2:$B$4, $A3, Ledger!$C$2:$C$4, OPC$2)),"****")</f>
        <v/>
      </c>
      <c r="OPD3" t="str">
        <f>IFERROR(IF($C3="","",SUMIFS(Ledger!$K$2:$K$4, Ledger!$B$2:$B$4, $A3, Ledger!$C$2:$C$4, OPD$2)),"****")</f>
        <v/>
      </c>
      <c r="OPE3" t="str">
        <f>IFERROR(IF($C3="","",SUMIFS(Ledger!$K$2:$K$4, Ledger!$B$2:$B$4, $A3, Ledger!$C$2:$C$4, OPE$2)),"****")</f>
        <v/>
      </c>
      <c r="OPF3" t="str">
        <f>IFERROR(IF($C3="","",SUMIFS(Ledger!$K$2:$K$4, Ledger!$B$2:$B$4, $A3, Ledger!$C$2:$C$4, OPF$2)),"****")</f>
        <v/>
      </c>
      <c r="OPG3" t="str">
        <f>IFERROR(IF($C3="","",SUMIFS(Ledger!$K$2:$K$4, Ledger!$B$2:$B$4, $A3, Ledger!$C$2:$C$4, OPG$2)),"****")</f>
        <v/>
      </c>
      <c r="OPH3" t="str">
        <f>IFERROR(IF($C3="","",SUMIFS(Ledger!$K$2:$K$4, Ledger!$B$2:$B$4, $A3, Ledger!$C$2:$C$4, OPH$2)),"****")</f>
        <v/>
      </c>
      <c r="OPI3" t="str">
        <f>IFERROR(IF($C3="","",SUMIFS(Ledger!$K$2:$K$4, Ledger!$B$2:$B$4, $A3, Ledger!$C$2:$C$4, OPI$2)),"****")</f>
        <v/>
      </c>
      <c r="OPJ3" t="str">
        <f>IFERROR(IF($C3="","",SUMIFS(Ledger!$K$2:$K$4, Ledger!$B$2:$B$4, $A3, Ledger!$C$2:$C$4, OPJ$2)),"****")</f>
        <v/>
      </c>
      <c r="OPK3" t="str">
        <f>IFERROR(IF($C3="","",SUMIFS(Ledger!$K$2:$K$4, Ledger!$B$2:$B$4, $A3, Ledger!$C$2:$C$4, OPK$2)),"****")</f>
        <v/>
      </c>
      <c r="OPL3" t="str">
        <f>IFERROR(IF($C3="","",SUMIFS(Ledger!$K$2:$K$4, Ledger!$B$2:$B$4, $A3, Ledger!$C$2:$C$4, OPL$2)),"****")</f>
        <v/>
      </c>
      <c r="OPM3" t="str">
        <f>IFERROR(IF($C3="","",SUMIFS(Ledger!$K$2:$K$4, Ledger!$B$2:$B$4, $A3, Ledger!$C$2:$C$4, OPM$2)),"****")</f>
        <v/>
      </c>
      <c r="OPN3" t="str">
        <f>IFERROR(IF($C3="","",SUMIFS(Ledger!$K$2:$K$4, Ledger!$B$2:$B$4, $A3, Ledger!$C$2:$C$4, OPN$2)),"****")</f>
        <v/>
      </c>
      <c r="OPO3" t="str">
        <f>IFERROR(IF($C3="","",SUMIFS(Ledger!$K$2:$K$4, Ledger!$B$2:$B$4, $A3, Ledger!$C$2:$C$4, OPO$2)),"****")</f>
        <v/>
      </c>
      <c r="OPP3" t="str">
        <f>IFERROR(IF($C3="","",SUMIFS(Ledger!$K$2:$K$4, Ledger!$B$2:$B$4, $A3, Ledger!$C$2:$C$4, OPP$2)),"****")</f>
        <v/>
      </c>
      <c r="OPQ3" t="str">
        <f>IFERROR(IF($C3="","",SUMIFS(Ledger!$K$2:$K$4, Ledger!$B$2:$B$4, $A3, Ledger!$C$2:$C$4, OPQ$2)),"****")</f>
        <v/>
      </c>
      <c r="OPR3" t="str">
        <f>IFERROR(IF($C3="","",SUMIFS(Ledger!$K$2:$K$4, Ledger!$B$2:$B$4, $A3, Ledger!$C$2:$C$4, OPR$2)),"****")</f>
        <v/>
      </c>
      <c r="OPS3" t="str">
        <f>IFERROR(IF($C3="","",SUMIFS(Ledger!$K$2:$K$4, Ledger!$B$2:$B$4, $A3, Ledger!$C$2:$C$4, OPS$2)),"****")</f>
        <v/>
      </c>
      <c r="OPT3" t="str">
        <f>IFERROR(IF($C3="","",SUMIFS(Ledger!$K$2:$K$4, Ledger!$B$2:$B$4, $A3, Ledger!$C$2:$C$4, OPT$2)),"****")</f>
        <v/>
      </c>
      <c r="OPU3" t="str">
        <f>IFERROR(IF($C3="","",SUMIFS(Ledger!$K$2:$K$4, Ledger!$B$2:$B$4, $A3, Ledger!$C$2:$C$4, OPU$2)),"****")</f>
        <v/>
      </c>
      <c r="OPV3" t="str">
        <f>IFERROR(IF($C3="","",SUMIFS(Ledger!$K$2:$K$4, Ledger!$B$2:$B$4, $A3, Ledger!$C$2:$C$4, OPV$2)),"****")</f>
        <v/>
      </c>
      <c r="OPW3" t="str">
        <f>IFERROR(IF($C3="","",SUMIFS(Ledger!$K$2:$K$4, Ledger!$B$2:$B$4, $A3, Ledger!$C$2:$C$4, OPW$2)),"****")</f>
        <v/>
      </c>
      <c r="OPX3" t="str">
        <f>IFERROR(IF($C3="","",SUMIFS(Ledger!$K$2:$K$4, Ledger!$B$2:$B$4, $A3, Ledger!$C$2:$C$4, OPX$2)),"****")</f>
        <v/>
      </c>
      <c r="OPY3" t="str">
        <f>IFERROR(IF($C3="","",SUMIFS(Ledger!$K$2:$K$4, Ledger!$B$2:$B$4, $A3, Ledger!$C$2:$C$4, OPY$2)),"****")</f>
        <v/>
      </c>
      <c r="OPZ3" t="str">
        <f>IFERROR(IF($C3="","",SUMIFS(Ledger!$K$2:$K$4, Ledger!$B$2:$B$4, $A3, Ledger!$C$2:$C$4, OPZ$2)),"****")</f>
        <v/>
      </c>
      <c r="OQA3" t="str">
        <f>IFERROR(IF($C3="","",SUMIFS(Ledger!$K$2:$K$4, Ledger!$B$2:$B$4, $A3, Ledger!$C$2:$C$4, OQA$2)),"****")</f>
        <v/>
      </c>
      <c r="OQB3" t="str">
        <f>IFERROR(IF($C3="","",SUMIFS(Ledger!$K$2:$K$4, Ledger!$B$2:$B$4, $A3, Ledger!$C$2:$C$4, OQB$2)),"****")</f>
        <v/>
      </c>
      <c r="OQC3" t="str">
        <f>IFERROR(IF($C3="","",SUMIFS(Ledger!$K$2:$K$4, Ledger!$B$2:$B$4, $A3, Ledger!$C$2:$C$4, OQC$2)),"****")</f>
        <v/>
      </c>
      <c r="OQD3" t="str">
        <f>IFERROR(IF($C3="","",SUMIFS(Ledger!$K$2:$K$4, Ledger!$B$2:$B$4, $A3, Ledger!$C$2:$C$4, OQD$2)),"****")</f>
        <v/>
      </c>
      <c r="OQE3" t="str">
        <f>IFERROR(IF($C3="","",SUMIFS(Ledger!$K$2:$K$4, Ledger!$B$2:$B$4, $A3, Ledger!$C$2:$C$4, OQE$2)),"****")</f>
        <v/>
      </c>
      <c r="OQF3" t="str">
        <f>IFERROR(IF($C3="","",SUMIFS(Ledger!$K$2:$K$4, Ledger!$B$2:$B$4, $A3, Ledger!$C$2:$C$4, OQF$2)),"****")</f>
        <v/>
      </c>
      <c r="OQG3" t="str">
        <f>IFERROR(IF($C3="","",SUMIFS(Ledger!$K$2:$K$4, Ledger!$B$2:$B$4, $A3, Ledger!$C$2:$C$4, OQG$2)),"****")</f>
        <v/>
      </c>
      <c r="OQH3" t="str">
        <f>IFERROR(IF($C3="","",SUMIFS(Ledger!$K$2:$K$4, Ledger!$B$2:$B$4, $A3, Ledger!$C$2:$C$4, OQH$2)),"****")</f>
        <v/>
      </c>
      <c r="OQI3" t="str">
        <f>IFERROR(IF($C3="","",SUMIFS(Ledger!$K$2:$K$4, Ledger!$B$2:$B$4, $A3, Ledger!$C$2:$C$4, OQI$2)),"****")</f>
        <v/>
      </c>
      <c r="OQJ3" t="str">
        <f>IFERROR(IF($C3="","",SUMIFS(Ledger!$K$2:$K$4, Ledger!$B$2:$B$4, $A3, Ledger!$C$2:$C$4, OQJ$2)),"****")</f>
        <v/>
      </c>
      <c r="OQK3" t="str">
        <f>IFERROR(IF($C3="","",SUMIFS(Ledger!$K$2:$K$4, Ledger!$B$2:$B$4, $A3, Ledger!$C$2:$C$4, OQK$2)),"****")</f>
        <v/>
      </c>
      <c r="OQL3" t="str">
        <f>IFERROR(IF($C3="","",SUMIFS(Ledger!$K$2:$K$4, Ledger!$B$2:$B$4, $A3, Ledger!$C$2:$C$4, OQL$2)),"****")</f>
        <v/>
      </c>
      <c r="OQM3" t="str">
        <f>IFERROR(IF($C3="","",SUMIFS(Ledger!$K$2:$K$4, Ledger!$B$2:$B$4, $A3, Ledger!$C$2:$C$4, OQM$2)),"****")</f>
        <v/>
      </c>
      <c r="OQN3" t="str">
        <f>IFERROR(IF($C3="","",SUMIFS(Ledger!$K$2:$K$4, Ledger!$B$2:$B$4, $A3, Ledger!$C$2:$C$4, OQN$2)),"****")</f>
        <v/>
      </c>
      <c r="OQO3" t="str">
        <f>IFERROR(IF($C3="","",SUMIFS(Ledger!$K$2:$K$4, Ledger!$B$2:$B$4, $A3, Ledger!$C$2:$C$4, OQO$2)),"****")</f>
        <v/>
      </c>
      <c r="OQP3" t="str">
        <f>IFERROR(IF($C3="","",SUMIFS(Ledger!$K$2:$K$4, Ledger!$B$2:$B$4, $A3, Ledger!$C$2:$C$4, OQP$2)),"****")</f>
        <v/>
      </c>
      <c r="OQQ3" t="str">
        <f>IFERROR(IF($C3="","",SUMIFS(Ledger!$K$2:$K$4, Ledger!$B$2:$B$4, $A3, Ledger!$C$2:$C$4, OQQ$2)),"****")</f>
        <v/>
      </c>
      <c r="OQR3" t="str">
        <f>IFERROR(IF($C3="","",SUMIFS(Ledger!$K$2:$K$4, Ledger!$B$2:$B$4, $A3, Ledger!$C$2:$C$4, OQR$2)),"****")</f>
        <v/>
      </c>
      <c r="OQS3" t="str">
        <f>IFERROR(IF($C3="","",SUMIFS(Ledger!$K$2:$K$4, Ledger!$B$2:$B$4, $A3, Ledger!$C$2:$C$4, OQS$2)),"****")</f>
        <v/>
      </c>
      <c r="OQT3" t="str">
        <f>IFERROR(IF($C3="","",SUMIFS(Ledger!$K$2:$K$4, Ledger!$B$2:$B$4, $A3, Ledger!$C$2:$C$4, OQT$2)),"****")</f>
        <v/>
      </c>
      <c r="OQU3" t="str">
        <f>IFERROR(IF($C3="","",SUMIFS(Ledger!$K$2:$K$4, Ledger!$B$2:$B$4, $A3, Ledger!$C$2:$C$4, OQU$2)),"****")</f>
        <v/>
      </c>
      <c r="OQV3" t="str">
        <f>IFERROR(IF($C3="","",SUMIFS(Ledger!$K$2:$K$4, Ledger!$B$2:$B$4, $A3, Ledger!$C$2:$C$4, OQV$2)),"****")</f>
        <v/>
      </c>
      <c r="OQW3" t="str">
        <f>IFERROR(IF($C3="","",SUMIFS(Ledger!$K$2:$K$4, Ledger!$B$2:$B$4, $A3, Ledger!$C$2:$C$4, OQW$2)),"****")</f>
        <v/>
      </c>
      <c r="OQX3" t="str">
        <f>IFERROR(IF($C3="","",SUMIFS(Ledger!$K$2:$K$4, Ledger!$B$2:$B$4, $A3, Ledger!$C$2:$C$4, OQX$2)),"****")</f>
        <v/>
      </c>
      <c r="OQY3" t="str">
        <f>IFERROR(IF($C3="","",SUMIFS(Ledger!$K$2:$K$4, Ledger!$B$2:$B$4, $A3, Ledger!$C$2:$C$4, OQY$2)),"****")</f>
        <v/>
      </c>
      <c r="OQZ3" t="str">
        <f>IFERROR(IF($C3="","",SUMIFS(Ledger!$K$2:$K$4, Ledger!$B$2:$B$4, $A3, Ledger!$C$2:$C$4, OQZ$2)),"****")</f>
        <v/>
      </c>
      <c r="ORA3" t="str">
        <f>IFERROR(IF($C3="","",SUMIFS(Ledger!$K$2:$K$4, Ledger!$B$2:$B$4, $A3, Ledger!$C$2:$C$4, ORA$2)),"****")</f>
        <v/>
      </c>
      <c r="ORB3" t="str">
        <f>IFERROR(IF($C3="","",SUMIFS(Ledger!$K$2:$K$4, Ledger!$B$2:$B$4, $A3, Ledger!$C$2:$C$4, ORB$2)),"****")</f>
        <v/>
      </c>
      <c r="ORC3" t="str">
        <f>IFERROR(IF($C3="","",SUMIFS(Ledger!$K$2:$K$4, Ledger!$B$2:$B$4, $A3, Ledger!$C$2:$C$4, ORC$2)),"****")</f>
        <v/>
      </c>
      <c r="ORD3" t="str">
        <f>IFERROR(IF($C3="","",SUMIFS(Ledger!$K$2:$K$4, Ledger!$B$2:$B$4, $A3, Ledger!$C$2:$C$4, ORD$2)),"****")</f>
        <v/>
      </c>
      <c r="ORE3" t="str">
        <f>IFERROR(IF($C3="","",SUMIFS(Ledger!$K$2:$K$4, Ledger!$B$2:$B$4, $A3, Ledger!$C$2:$C$4, ORE$2)),"****")</f>
        <v/>
      </c>
      <c r="ORF3" t="str">
        <f>IFERROR(IF($C3="","",SUMIFS(Ledger!$K$2:$K$4, Ledger!$B$2:$B$4, $A3, Ledger!$C$2:$C$4, ORF$2)),"****")</f>
        <v/>
      </c>
      <c r="ORG3" t="str">
        <f>IFERROR(IF($C3="","",SUMIFS(Ledger!$K$2:$K$4, Ledger!$B$2:$B$4, $A3, Ledger!$C$2:$C$4, ORG$2)),"****")</f>
        <v/>
      </c>
      <c r="ORH3" t="str">
        <f>IFERROR(IF($C3="","",SUMIFS(Ledger!$K$2:$K$4, Ledger!$B$2:$B$4, $A3, Ledger!$C$2:$C$4, ORH$2)),"****")</f>
        <v/>
      </c>
      <c r="ORI3" t="str">
        <f>IFERROR(IF($C3="","",SUMIFS(Ledger!$K$2:$K$4, Ledger!$B$2:$B$4, $A3, Ledger!$C$2:$C$4, ORI$2)),"****")</f>
        <v/>
      </c>
      <c r="ORJ3" t="str">
        <f>IFERROR(IF($C3="","",SUMIFS(Ledger!$K$2:$K$4, Ledger!$B$2:$B$4, $A3, Ledger!$C$2:$C$4, ORJ$2)),"****")</f>
        <v/>
      </c>
      <c r="ORK3" t="str">
        <f>IFERROR(IF($C3="","",SUMIFS(Ledger!$K$2:$K$4, Ledger!$B$2:$B$4, $A3, Ledger!$C$2:$C$4, ORK$2)),"****")</f>
        <v/>
      </c>
      <c r="ORL3" t="str">
        <f>IFERROR(IF($C3="","",SUMIFS(Ledger!$K$2:$K$4, Ledger!$B$2:$B$4, $A3, Ledger!$C$2:$C$4, ORL$2)),"****")</f>
        <v/>
      </c>
      <c r="ORM3" t="str">
        <f>IFERROR(IF($C3="","",SUMIFS(Ledger!$K$2:$K$4, Ledger!$B$2:$B$4, $A3, Ledger!$C$2:$C$4, ORM$2)),"****")</f>
        <v/>
      </c>
      <c r="ORN3" t="str">
        <f>IFERROR(IF($C3="","",SUMIFS(Ledger!$K$2:$K$4, Ledger!$B$2:$B$4, $A3, Ledger!$C$2:$C$4, ORN$2)),"****")</f>
        <v/>
      </c>
      <c r="ORO3" t="str">
        <f>IFERROR(IF($C3="","",SUMIFS(Ledger!$K$2:$K$4, Ledger!$B$2:$B$4, $A3, Ledger!$C$2:$C$4, ORO$2)),"****")</f>
        <v/>
      </c>
      <c r="ORP3" t="str">
        <f>IFERROR(IF($C3="","",SUMIFS(Ledger!$K$2:$K$4, Ledger!$B$2:$B$4, $A3, Ledger!$C$2:$C$4, ORP$2)),"****")</f>
        <v/>
      </c>
      <c r="ORQ3" t="str">
        <f>IFERROR(IF($C3="","",SUMIFS(Ledger!$K$2:$K$4, Ledger!$B$2:$B$4, $A3, Ledger!$C$2:$C$4, ORQ$2)),"****")</f>
        <v/>
      </c>
      <c r="ORR3" t="str">
        <f>IFERROR(IF($C3="","",SUMIFS(Ledger!$K$2:$K$4, Ledger!$B$2:$B$4, $A3, Ledger!$C$2:$C$4, ORR$2)),"****")</f>
        <v/>
      </c>
      <c r="ORS3" t="str">
        <f>IFERROR(IF($C3="","",SUMIFS(Ledger!$K$2:$K$4, Ledger!$B$2:$B$4, $A3, Ledger!$C$2:$C$4, ORS$2)),"****")</f>
        <v/>
      </c>
      <c r="ORT3" t="str">
        <f>IFERROR(IF($C3="","",SUMIFS(Ledger!$K$2:$K$4, Ledger!$B$2:$B$4, $A3, Ledger!$C$2:$C$4, ORT$2)),"****")</f>
        <v/>
      </c>
      <c r="ORU3" t="str">
        <f>IFERROR(IF($C3="","",SUMIFS(Ledger!$K$2:$K$4, Ledger!$B$2:$B$4, $A3, Ledger!$C$2:$C$4, ORU$2)),"****")</f>
        <v/>
      </c>
      <c r="ORV3" t="str">
        <f>IFERROR(IF($C3="","",SUMIFS(Ledger!$K$2:$K$4, Ledger!$B$2:$B$4, $A3, Ledger!$C$2:$C$4, ORV$2)),"****")</f>
        <v/>
      </c>
      <c r="ORW3" t="str">
        <f>IFERROR(IF($C3="","",SUMIFS(Ledger!$K$2:$K$4, Ledger!$B$2:$B$4, $A3, Ledger!$C$2:$C$4, ORW$2)),"****")</f>
        <v/>
      </c>
      <c r="ORX3" t="str">
        <f>IFERROR(IF($C3="","",SUMIFS(Ledger!$K$2:$K$4, Ledger!$B$2:$B$4, $A3, Ledger!$C$2:$C$4, ORX$2)),"****")</f>
        <v/>
      </c>
      <c r="ORY3" t="str">
        <f>IFERROR(IF($C3="","",SUMIFS(Ledger!$K$2:$K$4, Ledger!$B$2:$B$4, $A3, Ledger!$C$2:$C$4, ORY$2)),"****")</f>
        <v/>
      </c>
      <c r="ORZ3" t="str">
        <f>IFERROR(IF($C3="","",SUMIFS(Ledger!$K$2:$K$4, Ledger!$B$2:$B$4, $A3, Ledger!$C$2:$C$4, ORZ$2)),"****")</f>
        <v/>
      </c>
      <c r="OSA3" t="str">
        <f>IFERROR(IF($C3="","",SUMIFS(Ledger!$K$2:$K$4, Ledger!$B$2:$B$4, $A3, Ledger!$C$2:$C$4, OSA$2)),"****")</f>
        <v/>
      </c>
      <c r="OSB3" t="str">
        <f>IFERROR(IF($C3="","",SUMIFS(Ledger!$K$2:$K$4, Ledger!$B$2:$B$4, $A3, Ledger!$C$2:$C$4, OSB$2)),"****")</f>
        <v/>
      </c>
      <c r="OSC3" t="str">
        <f>IFERROR(IF($C3="","",SUMIFS(Ledger!$K$2:$K$4, Ledger!$B$2:$B$4, $A3, Ledger!$C$2:$C$4, OSC$2)),"****")</f>
        <v/>
      </c>
      <c r="OSD3" t="str">
        <f>IFERROR(IF($C3="","",SUMIFS(Ledger!$K$2:$K$4, Ledger!$B$2:$B$4, $A3, Ledger!$C$2:$C$4, OSD$2)),"****")</f>
        <v/>
      </c>
      <c r="OSE3" t="str">
        <f>IFERROR(IF($C3="","",SUMIFS(Ledger!$K$2:$K$4, Ledger!$B$2:$B$4, $A3, Ledger!$C$2:$C$4, OSE$2)),"****")</f>
        <v/>
      </c>
      <c r="OSF3" t="str">
        <f>IFERROR(IF($C3="","",SUMIFS(Ledger!$K$2:$K$4, Ledger!$B$2:$B$4, $A3, Ledger!$C$2:$C$4, OSF$2)),"****")</f>
        <v/>
      </c>
      <c r="OSG3" t="str">
        <f>IFERROR(IF($C3="","",SUMIFS(Ledger!$K$2:$K$4, Ledger!$B$2:$B$4, $A3, Ledger!$C$2:$C$4, OSG$2)),"****")</f>
        <v/>
      </c>
      <c r="OSH3" t="str">
        <f>IFERROR(IF($C3="","",SUMIFS(Ledger!$K$2:$K$4, Ledger!$B$2:$B$4, $A3, Ledger!$C$2:$C$4, OSH$2)),"****")</f>
        <v/>
      </c>
      <c r="OSI3" t="str">
        <f>IFERROR(IF($C3="","",SUMIFS(Ledger!$K$2:$K$4, Ledger!$B$2:$B$4, $A3, Ledger!$C$2:$C$4, OSI$2)),"****")</f>
        <v/>
      </c>
      <c r="OSJ3" t="str">
        <f>IFERROR(IF($C3="","",SUMIFS(Ledger!$K$2:$K$4, Ledger!$B$2:$B$4, $A3, Ledger!$C$2:$C$4, OSJ$2)),"****")</f>
        <v/>
      </c>
      <c r="OSK3" t="str">
        <f>IFERROR(IF($C3="","",SUMIFS(Ledger!$K$2:$K$4, Ledger!$B$2:$B$4, $A3, Ledger!$C$2:$C$4, OSK$2)),"****")</f>
        <v/>
      </c>
      <c r="OSL3" t="str">
        <f>IFERROR(IF($C3="","",SUMIFS(Ledger!$K$2:$K$4, Ledger!$B$2:$B$4, $A3, Ledger!$C$2:$C$4, OSL$2)),"****")</f>
        <v/>
      </c>
      <c r="OSM3" t="str">
        <f>IFERROR(IF($C3="","",SUMIFS(Ledger!$K$2:$K$4, Ledger!$B$2:$B$4, $A3, Ledger!$C$2:$C$4, OSM$2)),"****")</f>
        <v/>
      </c>
      <c r="OSN3" t="str">
        <f>IFERROR(IF($C3="","",SUMIFS(Ledger!$K$2:$K$4, Ledger!$B$2:$B$4, $A3, Ledger!$C$2:$C$4, OSN$2)),"****")</f>
        <v/>
      </c>
      <c r="OSO3" t="str">
        <f>IFERROR(IF($C3="","",SUMIFS(Ledger!$K$2:$K$4, Ledger!$B$2:$B$4, $A3, Ledger!$C$2:$C$4, OSO$2)),"****")</f>
        <v/>
      </c>
      <c r="OSP3" t="str">
        <f>IFERROR(IF($C3="","",SUMIFS(Ledger!$K$2:$K$4, Ledger!$B$2:$B$4, $A3, Ledger!$C$2:$C$4, OSP$2)),"****")</f>
        <v/>
      </c>
      <c r="OSQ3" t="str">
        <f>IFERROR(IF($C3="","",SUMIFS(Ledger!$K$2:$K$4, Ledger!$B$2:$B$4, $A3, Ledger!$C$2:$C$4, OSQ$2)),"****")</f>
        <v/>
      </c>
      <c r="OSR3" t="str">
        <f>IFERROR(IF($C3="","",SUMIFS(Ledger!$K$2:$K$4, Ledger!$B$2:$B$4, $A3, Ledger!$C$2:$C$4, OSR$2)),"****")</f>
        <v/>
      </c>
      <c r="OSS3" t="str">
        <f>IFERROR(IF($C3="","",SUMIFS(Ledger!$K$2:$K$4, Ledger!$B$2:$B$4, $A3, Ledger!$C$2:$C$4, OSS$2)),"****")</f>
        <v/>
      </c>
      <c r="OST3" t="str">
        <f>IFERROR(IF($C3="","",SUMIFS(Ledger!$K$2:$K$4, Ledger!$B$2:$B$4, $A3, Ledger!$C$2:$C$4, OST$2)),"****")</f>
        <v/>
      </c>
      <c r="OSU3" t="str">
        <f>IFERROR(IF($C3="","",SUMIFS(Ledger!$K$2:$K$4, Ledger!$B$2:$B$4, $A3, Ledger!$C$2:$C$4, OSU$2)),"****")</f>
        <v/>
      </c>
      <c r="OSV3" t="str">
        <f>IFERROR(IF($C3="","",SUMIFS(Ledger!$K$2:$K$4, Ledger!$B$2:$B$4, $A3, Ledger!$C$2:$C$4, OSV$2)),"****")</f>
        <v/>
      </c>
      <c r="OSW3" t="str">
        <f>IFERROR(IF($C3="","",SUMIFS(Ledger!$K$2:$K$4, Ledger!$B$2:$B$4, $A3, Ledger!$C$2:$C$4, OSW$2)),"****")</f>
        <v/>
      </c>
      <c r="OSX3" t="str">
        <f>IFERROR(IF($C3="","",SUMIFS(Ledger!$K$2:$K$4, Ledger!$B$2:$B$4, $A3, Ledger!$C$2:$C$4, OSX$2)),"****")</f>
        <v/>
      </c>
      <c r="OSY3" t="str">
        <f>IFERROR(IF($C3="","",SUMIFS(Ledger!$K$2:$K$4, Ledger!$B$2:$B$4, $A3, Ledger!$C$2:$C$4, OSY$2)),"****")</f>
        <v/>
      </c>
      <c r="OSZ3" t="str">
        <f>IFERROR(IF($C3="","",SUMIFS(Ledger!$K$2:$K$4, Ledger!$B$2:$B$4, $A3, Ledger!$C$2:$C$4, OSZ$2)),"****")</f>
        <v/>
      </c>
      <c r="OTA3" t="str">
        <f>IFERROR(IF($C3="","",SUMIFS(Ledger!$K$2:$K$4, Ledger!$B$2:$B$4, $A3, Ledger!$C$2:$C$4, OTA$2)),"****")</f>
        <v/>
      </c>
      <c r="OTB3" t="str">
        <f>IFERROR(IF($C3="","",SUMIFS(Ledger!$K$2:$K$4, Ledger!$B$2:$B$4, $A3, Ledger!$C$2:$C$4, OTB$2)),"****")</f>
        <v/>
      </c>
      <c r="OTC3" t="str">
        <f>IFERROR(IF($C3="","",SUMIFS(Ledger!$K$2:$K$4, Ledger!$B$2:$B$4, $A3, Ledger!$C$2:$C$4, OTC$2)),"****")</f>
        <v/>
      </c>
      <c r="OTD3" t="str">
        <f>IFERROR(IF($C3="","",SUMIFS(Ledger!$K$2:$K$4, Ledger!$B$2:$B$4, $A3, Ledger!$C$2:$C$4, OTD$2)),"****")</f>
        <v/>
      </c>
      <c r="OTE3" t="str">
        <f>IFERROR(IF($C3="","",SUMIFS(Ledger!$K$2:$K$4, Ledger!$B$2:$B$4, $A3, Ledger!$C$2:$C$4, OTE$2)),"****")</f>
        <v/>
      </c>
      <c r="OTF3" t="str">
        <f>IFERROR(IF($C3="","",SUMIFS(Ledger!$K$2:$K$4, Ledger!$B$2:$B$4, $A3, Ledger!$C$2:$C$4, OTF$2)),"****")</f>
        <v/>
      </c>
      <c r="OTG3" t="str">
        <f>IFERROR(IF($C3="","",SUMIFS(Ledger!$K$2:$K$4, Ledger!$B$2:$B$4, $A3, Ledger!$C$2:$C$4, OTG$2)),"****")</f>
        <v/>
      </c>
      <c r="OTH3" t="str">
        <f>IFERROR(IF($C3="","",SUMIFS(Ledger!$K$2:$K$4, Ledger!$B$2:$B$4, $A3, Ledger!$C$2:$C$4, OTH$2)),"****")</f>
        <v/>
      </c>
      <c r="OTI3" t="str">
        <f>IFERROR(IF($C3="","",SUMIFS(Ledger!$K$2:$K$4, Ledger!$B$2:$B$4, $A3, Ledger!$C$2:$C$4, OTI$2)),"****")</f>
        <v/>
      </c>
      <c r="OTJ3" t="str">
        <f>IFERROR(IF($C3="","",SUMIFS(Ledger!$K$2:$K$4, Ledger!$B$2:$B$4, $A3, Ledger!$C$2:$C$4, OTJ$2)),"****")</f>
        <v/>
      </c>
      <c r="OTK3" t="str">
        <f>IFERROR(IF($C3="","",SUMIFS(Ledger!$K$2:$K$4, Ledger!$B$2:$B$4, $A3, Ledger!$C$2:$C$4, OTK$2)),"****")</f>
        <v/>
      </c>
      <c r="OTL3" t="str">
        <f>IFERROR(IF($C3="","",SUMIFS(Ledger!$K$2:$K$4, Ledger!$B$2:$B$4, $A3, Ledger!$C$2:$C$4, OTL$2)),"****")</f>
        <v/>
      </c>
      <c r="OTM3" t="str">
        <f>IFERROR(IF($C3="","",SUMIFS(Ledger!$K$2:$K$4, Ledger!$B$2:$B$4, $A3, Ledger!$C$2:$C$4, OTM$2)),"****")</f>
        <v/>
      </c>
      <c r="OTN3" t="str">
        <f>IFERROR(IF($C3="","",SUMIFS(Ledger!$K$2:$K$4, Ledger!$B$2:$B$4, $A3, Ledger!$C$2:$C$4, OTN$2)),"****")</f>
        <v/>
      </c>
      <c r="OTO3" t="str">
        <f>IFERROR(IF($C3="","",SUMIFS(Ledger!$K$2:$K$4, Ledger!$B$2:$B$4, $A3, Ledger!$C$2:$C$4, OTO$2)),"****")</f>
        <v/>
      </c>
      <c r="OTP3" t="str">
        <f>IFERROR(IF($C3="","",SUMIFS(Ledger!$K$2:$K$4, Ledger!$B$2:$B$4, $A3, Ledger!$C$2:$C$4, OTP$2)),"****")</f>
        <v/>
      </c>
      <c r="OTQ3" t="str">
        <f>IFERROR(IF($C3="","",SUMIFS(Ledger!$K$2:$K$4, Ledger!$B$2:$B$4, $A3, Ledger!$C$2:$C$4, OTQ$2)),"****")</f>
        <v/>
      </c>
      <c r="OTR3" t="str">
        <f>IFERROR(IF($C3="","",SUMIFS(Ledger!$K$2:$K$4, Ledger!$B$2:$B$4, $A3, Ledger!$C$2:$C$4, OTR$2)),"****")</f>
        <v/>
      </c>
      <c r="OTS3" t="str">
        <f>IFERROR(IF($C3="","",SUMIFS(Ledger!$K$2:$K$4, Ledger!$B$2:$B$4, $A3, Ledger!$C$2:$C$4, OTS$2)),"****")</f>
        <v/>
      </c>
      <c r="OTT3" t="str">
        <f>IFERROR(IF($C3="","",SUMIFS(Ledger!$K$2:$K$4, Ledger!$B$2:$B$4, $A3, Ledger!$C$2:$C$4, OTT$2)),"****")</f>
        <v/>
      </c>
      <c r="OTU3" t="str">
        <f>IFERROR(IF($C3="","",SUMIFS(Ledger!$K$2:$K$4, Ledger!$B$2:$B$4, $A3, Ledger!$C$2:$C$4, OTU$2)),"****")</f>
        <v/>
      </c>
      <c r="OTV3" t="str">
        <f>IFERROR(IF($C3="","",SUMIFS(Ledger!$K$2:$K$4, Ledger!$B$2:$B$4, $A3, Ledger!$C$2:$C$4, OTV$2)),"****")</f>
        <v/>
      </c>
      <c r="OTW3" t="str">
        <f>IFERROR(IF($C3="","",SUMIFS(Ledger!$K$2:$K$4, Ledger!$B$2:$B$4, $A3, Ledger!$C$2:$C$4, OTW$2)),"****")</f>
        <v/>
      </c>
      <c r="OTX3" t="str">
        <f>IFERROR(IF($C3="","",SUMIFS(Ledger!$K$2:$K$4, Ledger!$B$2:$B$4, $A3, Ledger!$C$2:$C$4, OTX$2)),"****")</f>
        <v/>
      </c>
      <c r="OTY3" t="str">
        <f>IFERROR(IF($C3="","",SUMIFS(Ledger!$K$2:$K$4, Ledger!$B$2:$B$4, $A3, Ledger!$C$2:$C$4, OTY$2)),"****")</f>
        <v/>
      </c>
      <c r="OTZ3" t="str">
        <f>IFERROR(IF($C3="","",SUMIFS(Ledger!$K$2:$K$4, Ledger!$B$2:$B$4, $A3, Ledger!$C$2:$C$4, OTZ$2)),"****")</f>
        <v/>
      </c>
      <c r="OUA3" t="str">
        <f>IFERROR(IF($C3="","",SUMIFS(Ledger!$K$2:$K$4, Ledger!$B$2:$B$4, $A3, Ledger!$C$2:$C$4, OUA$2)),"****")</f>
        <v/>
      </c>
      <c r="OUB3" t="str">
        <f>IFERROR(IF($C3="","",SUMIFS(Ledger!$K$2:$K$4, Ledger!$B$2:$B$4, $A3, Ledger!$C$2:$C$4, OUB$2)),"****")</f>
        <v/>
      </c>
      <c r="OUC3" t="str">
        <f>IFERROR(IF($C3="","",SUMIFS(Ledger!$K$2:$K$4, Ledger!$B$2:$B$4, $A3, Ledger!$C$2:$C$4, OUC$2)),"****")</f>
        <v/>
      </c>
      <c r="OUD3" t="str">
        <f>IFERROR(IF($C3="","",SUMIFS(Ledger!$K$2:$K$4, Ledger!$B$2:$B$4, $A3, Ledger!$C$2:$C$4, OUD$2)),"****")</f>
        <v/>
      </c>
      <c r="OUE3" t="str">
        <f>IFERROR(IF($C3="","",SUMIFS(Ledger!$K$2:$K$4, Ledger!$B$2:$B$4, $A3, Ledger!$C$2:$C$4, OUE$2)),"****")</f>
        <v/>
      </c>
      <c r="OUF3" t="str">
        <f>IFERROR(IF($C3="","",SUMIFS(Ledger!$K$2:$K$4, Ledger!$B$2:$B$4, $A3, Ledger!$C$2:$C$4, OUF$2)),"****")</f>
        <v/>
      </c>
      <c r="OUG3" t="str">
        <f>IFERROR(IF($C3="","",SUMIFS(Ledger!$K$2:$K$4, Ledger!$B$2:$B$4, $A3, Ledger!$C$2:$C$4, OUG$2)),"****")</f>
        <v/>
      </c>
      <c r="OUH3" t="str">
        <f>IFERROR(IF($C3="","",SUMIFS(Ledger!$K$2:$K$4, Ledger!$B$2:$B$4, $A3, Ledger!$C$2:$C$4, OUH$2)),"****")</f>
        <v/>
      </c>
      <c r="OUI3" t="str">
        <f>IFERROR(IF($C3="","",SUMIFS(Ledger!$K$2:$K$4, Ledger!$B$2:$B$4, $A3, Ledger!$C$2:$C$4, OUI$2)),"****")</f>
        <v/>
      </c>
      <c r="OUJ3" t="str">
        <f>IFERROR(IF($C3="","",SUMIFS(Ledger!$K$2:$K$4, Ledger!$B$2:$B$4, $A3, Ledger!$C$2:$C$4, OUJ$2)),"****")</f>
        <v/>
      </c>
      <c r="OUK3" t="str">
        <f>IFERROR(IF($C3="","",SUMIFS(Ledger!$K$2:$K$4, Ledger!$B$2:$B$4, $A3, Ledger!$C$2:$C$4, OUK$2)),"****")</f>
        <v/>
      </c>
      <c r="OUL3" t="str">
        <f>IFERROR(IF($C3="","",SUMIFS(Ledger!$K$2:$K$4, Ledger!$B$2:$B$4, $A3, Ledger!$C$2:$C$4, OUL$2)),"****")</f>
        <v/>
      </c>
      <c r="OUM3" t="str">
        <f>IFERROR(IF($C3="","",SUMIFS(Ledger!$K$2:$K$4, Ledger!$B$2:$B$4, $A3, Ledger!$C$2:$C$4, OUM$2)),"****")</f>
        <v/>
      </c>
      <c r="OUN3" t="str">
        <f>IFERROR(IF($C3="","",SUMIFS(Ledger!$K$2:$K$4, Ledger!$B$2:$B$4, $A3, Ledger!$C$2:$C$4, OUN$2)),"****")</f>
        <v/>
      </c>
      <c r="OUO3" t="str">
        <f>IFERROR(IF($C3="","",SUMIFS(Ledger!$K$2:$K$4, Ledger!$B$2:$B$4, $A3, Ledger!$C$2:$C$4, OUO$2)),"****")</f>
        <v/>
      </c>
      <c r="OUP3" t="str">
        <f>IFERROR(IF($C3="","",SUMIFS(Ledger!$K$2:$K$4, Ledger!$B$2:$B$4, $A3, Ledger!$C$2:$C$4, OUP$2)),"****")</f>
        <v/>
      </c>
      <c r="OUQ3" t="str">
        <f>IFERROR(IF($C3="","",SUMIFS(Ledger!$K$2:$K$4, Ledger!$B$2:$B$4, $A3, Ledger!$C$2:$C$4, OUQ$2)),"****")</f>
        <v/>
      </c>
      <c r="OUR3" t="str">
        <f>IFERROR(IF($C3="","",SUMIFS(Ledger!$K$2:$K$4, Ledger!$B$2:$B$4, $A3, Ledger!$C$2:$C$4, OUR$2)),"****")</f>
        <v/>
      </c>
      <c r="OUS3" t="str">
        <f>IFERROR(IF($C3="","",SUMIFS(Ledger!$K$2:$K$4, Ledger!$B$2:$B$4, $A3, Ledger!$C$2:$C$4, OUS$2)),"****")</f>
        <v/>
      </c>
      <c r="OUT3" t="str">
        <f>IFERROR(IF($C3="","",SUMIFS(Ledger!$K$2:$K$4, Ledger!$B$2:$B$4, $A3, Ledger!$C$2:$C$4, OUT$2)),"****")</f>
        <v/>
      </c>
      <c r="OUU3" t="str">
        <f>IFERROR(IF($C3="","",SUMIFS(Ledger!$K$2:$K$4, Ledger!$B$2:$B$4, $A3, Ledger!$C$2:$C$4, OUU$2)),"****")</f>
        <v/>
      </c>
      <c r="OUV3" t="str">
        <f>IFERROR(IF($C3="","",SUMIFS(Ledger!$K$2:$K$4, Ledger!$B$2:$B$4, $A3, Ledger!$C$2:$C$4, OUV$2)),"****")</f>
        <v/>
      </c>
      <c r="OUW3" t="str">
        <f>IFERROR(IF($C3="","",SUMIFS(Ledger!$K$2:$K$4, Ledger!$B$2:$B$4, $A3, Ledger!$C$2:$C$4, OUW$2)),"****")</f>
        <v/>
      </c>
      <c r="OUX3" t="str">
        <f>IFERROR(IF($C3="","",SUMIFS(Ledger!$K$2:$K$4, Ledger!$B$2:$B$4, $A3, Ledger!$C$2:$C$4, OUX$2)),"****")</f>
        <v/>
      </c>
      <c r="OUY3" t="str">
        <f>IFERROR(IF($C3="","",SUMIFS(Ledger!$K$2:$K$4, Ledger!$B$2:$B$4, $A3, Ledger!$C$2:$C$4, OUY$2)),"****")</f>
        <v/>
      </c>
      <c r="OUZ3" t="str">
        <f>IFERROR(IF($C3="","",SUMIFS(Ledger!$K$2:$K$4, Ledger!$B$2:$B$4, $A3, Ledger!$C$2:$C$4, OUZ$2)),"****")</f>
        <v/>
      </c>
      <c r="OVA3" t="str">
        <f>IFERROR(IF($C3="","",SUMIFS(Ledger!$K$2:$K$4, Ledger!$B$2:$B$4, $A3, Ledger!$C$2:$C$4, OVA$2)),"****")</f>
        <v/>
      </c>
      <c r="OVB3" t="str">
        <f>IFERROR(IF($C3="","",SUMIFS(Ledger!$K$2:$K$4, Ledger!$B$2:$B$4, $A3, Ledger!$C$2:$C$4, OVB$2)),"****")</f>
        <v/>
      </c>
      <c r="OVC3" t="str">
        <f>IFERROR(IF($C3="","",SUMIFS(Ledger!$K$2:$K$4, Ledger!$B$2:$B$4, $A3, Ledger!$C$2:$C$4, OVC$2)),"****")</f>
        <v/>
      </c>
      <c r="OVD3" t="str">
        <f>IFERROR(IF($C3="","",SUMIFS(Ledger!$K$2:$K$4, Ledger!$B$2:$B$4, $A3, Ledger!$C$2:$C$4, OVD$2)),"****")</f>
        <v/>
      </c>
      <c r="OVE3" t="str">
        <f>IFERROR(IF($C3="","",SUMIFS(Ledger!$K$2:$K$4, Ledger!$B$2:$B$4, $A3, Ledger!$C$2:$C$4, OVE$2)),"****")</f>
        <v/>
      </c>
      <c r="OVF3" t="str">
        <f>IFERROR(IF($C3="","",SUMIFS(Ledger!$K$2:$K$4, Ledger!$B$2:$B$4, $A3, Ledger!$C$2:$C$4, OVF$2)),"****")</f>
        <v/>
      </c>
      <c r="OVG3" t="str">
        <f>IFERROR(IF($C3="","",SUMIFS(Ledger!$K$2:$K$4, Ledger!$B$2:$B$4, $A3, Ledger!$C$2:$C$4, OVG$2)),"****")</f>
        <v/>
      </c>
      <c r="OVH3" t="str">
        <f>IFERROR(IF($C3="","",SUMIFS(Ledger!$K$2:$K$4, Ledger!$B$2:$B$4, $A3, Ledger!$C$2:$C$4, OVH$2)),"****")</f>
        <v/>
      </c>
      <c r="OVI3" t="str">
        <f>IFERROR(IF($C3="","",SUMIFS(Ledger!$K$2:$K$4, Ledger!$B$2:$B$4, $A3, Ledger!$C$2:$C$4, OVI$2)),"****")</f>
        <v/>
      </c>
      <c r="OVJ3" t="str">
        <f>IFERROR(IF($C3="","",SUMIFS(Ledger!$K$2:$K$4, Ledger!$B$2:$B$4, $A3, Ledger!$C$2:$C$4, OVJ$2)),"****")</f>
        <v/>
      </c>
      <c r="OVK3" t="str">
        <f>IFERROR(IF($C3="","",SUMIFS(Ledger!$K$2:$K$4, Ledger!$B$2:$B$4, $A3, Ledger!$C$2:$C$4, OVK$2)),"****")</f>
        <v/>
      </c>
      <c r="OVL3" t="str">
        <f>IFERROR(IF($C3="","",SUMIFS(Ledger!$K$2:$K$4, Ledger!$B$2:$B$4, $A3, Ledger!$C$2:$C$4, OVL$2)),"****")</f>
        <v/>
      </c>
      <c r="OVM3" t="str">
        <f>IFERROR(IF($C3="","",SUMIFS(Ledger!$K$2:$K$4, Ledger!$B$2:$B$4, $A3, Ledger!$C$2:$C$4, OVM$2)),"****")</f>
        <v/>
      </c>
      <c r="OVN3" t="str">
        <f>IFERROR(IF($C3="","",SUMIFS(Ledger!$K$2:$K$4, Ledger!$B$2:$B$4, $A3, Ledger!$C$2:$C$4, OVN$2)),"****")</f>
        <v/>
      </c>
      <c r="OVO3" t="str">
        <f>IFERROR(IF($C3="","",SUMIFS(Ledger!$K$2:$K$4, Ledger!$B$2:$B$4, $A3, Ledger!$C$2:$C$4, OVO$2)),"****")</f>
        <v/>
      </c>
      <c r="OVP3" t="str">
        <f>IFERROR(IF($C3="","",SUMIFS(Ledger!$K$2:$K$4, Ledger!$B$2:$B$4, $A3, Ledger!$C$2:$C$4, OVP$2)),"****")</f>
        <v/>
      </c>
      <c r="OVQ3" t="str">
        <f>IFERROR(IF($C3="","",SUMIFS(Ledger!$K$2:$K$4, Ledger!$B$2:$B$4, $A3, Ledger!$C$2:$C$4, OVQ$2)),"****")</f>
        <v/>
      </c>
      <c r="OVR3" t="str">
        <f>IFERROR(IF($C3="","",SUMIFS(Ledger!$K$2:$K$4, Ledger!$B$2:$B$4, $A3, Ledger!$C$2:$C$4, OVR$2)),"****")</f>
        <v/>
      </c>
      <c r="OVS3" t="str">
        <f>IFERROR(IF($C3="","",SUMIFS(Ledger!$K$2:$K$4, Ledger!$B$2:$B$4, $A3, Ledger!$C$2:$C$4, OVS$2)),"****")</f>
        <v/>
      </c>
      <c r="OVT3" t="str">
        <f>IFERROR(IF($C3="","",SUMIFS(Ledger!$K$2:$K$4, Ledger!$B$2:$B$4, $A3, Ledger!$C$2:$C$4, OVT$2)),"****")</f>
        <v/>
      </c>
      <c r="OVU3" t="str">
        <f>IFERROR(IF($C3="","",SUMIFS(Ledger!$K$2:$K$4, Ledger!$B$2:$B$4, $A3, Ledger!$C$2:$C$4, OVU$2)),"****")</f>
        <v/>
      </c>
      <c r="OVV3" t="str">
        <f>IFERROR(IF($C3="","",SUMIFS(Ledger!$K$2:$K$4, Ledger!$B$2:$B$4, $A3, Ledger!$C$2:$C$4, OVV$2)),"****")</f>
        <v/>
      </c>
      <c r="OVW3" t="str">
        <f>IFERROR(IF($C3="","",SUMIFS(Ledger!$K$2:$K$4, Ledger!$B$2:$B$4, $A3, Ledger!$C$2:$C$4, OVW$2)),"****")</f>
        <v/>
      </c>
      <c r="OVX3" t="str">
        <f>IFERROR(IF($C3="","",SUMIFS(Ledger!$K$2:$K$4, Ledger!$B$2:$B$4, $A3, Ledger!$C$2:$C$4, OVX$2)),"****")</f>
        <v/>
      </c>
      <c r="OVY3" t="str">
        <f>IFERROR(IF($C3="","",SUMIFS(Ledger!$K$2:$K$4, Ledger!$B$2:$B$4, $A3, Ledger!$C$2:$C$4, OVY$2)),"****")</f>
        <v/>
      </c>
      <c r="OVZ3" t="str">
        <f>IFERROR(IF($C3="","",SUMIFS(Ledger!$K$2:$K$4, Ledger!$B$2:$B$4, $A3, Ledger!$C$2:$C$4, OVZ$2)),"****")</f>
        <v/>
      </c>
      <c r="OWA3" t="str">
        <f>IFERROR(IF($C3="","",SUMIFS(Ledger!$K$2:$K$4, Ledger!$B$2:$B$4, $A3, Ledger!$C$2:$C$4, OWA$2)),"****")</f>
        <v/>
      </c>
      <c r="OWB3" t="str">
        <f>IFERROR(IF($C3="","",SUMIFS(Ledger!$K$2:$K$4, Ledger!$B$2:$B$4, $A3, Ledger!$C$2:$C$4, OWB$2)),"****")</f>
        <v/>
      </c>
      <c r="OWC3" t="str">
        <f>IFERROR(IF($C3="","",SUMIFS(Ledger!$K$2:$K$4, Ledger!$B$2:$B$4, $A3, Ledger!$C$2:$C$4, OWC$2)),"****")</f>
        <v/>
      </c>
      <c r="OWD3" t="str">
        <f>IFERROR(IF($C3="","",SUMIFS(Ledger!$K$2:$K$4, Ledger!$B$2:$B$4, $A3, Ledger!$C$2:$C$4, OWD$2)),"****")</f>
        <v/>
      </c>
      <c r="OWE3" t="str">
        <f>IFERROR(IF($C3="","",SUMIFS(Ledger!$K$2:$K$4, Ledger!$B$2:$B$4, $A3, Ledger!$C$2:$C$4, OWE$2)),"****")</f>
        <v/>
      </c>
      <c r="OWF3" t="str">
        <f>IFERROR(IF($C3="","",SUMIFS(Ledger!$K$2:$K$4, Ledger!$B$2:$B$4, $A3, Ledger!$C$2:$C$4, OWF$2)),"****")</f>
        <v/>
      </c>
      <c r="OWG3" t="str">
        <f>IFERROR(IF($C3="","",SUMIFS(Ledger!$K$2:$K$4, Ledger!$B$2:$B$4, $A3, Ledger!$C$2:$C$4, OWG$2)),"****")</f>
        <v/>
      </c>
      <c r="OWH3" t="str">
        <f>IFERROR(IF($C3="","",SUMIFS(Ledger!$K$2:$K$4, Ledger!$B$2:$B$4, $A3, Ledger!$C$2:$C$4, OWH$2)),"****")</f>
        <v/>
      </c>
      <c r="OWI3" t="str">
        <f>IFERROR(IF($C3="","",SUMIFS(Ledger!$K$2:$K$4, Ledger!$B$2:$B$4, $A3, Ledger!$C$2:$C$4, OWI$2)),"****")</f>
        <v/>
      </c>
      <c r="OWJ3" t="str">
        <f>IFERROR(IF($C3="","",SUMIFS(Ledger!$K$2:$K$4, Ledger!$B$2:$B$4, $A3, Ledger!$C$2:$C$4, OWJ$2)),"****")</f>
        <v/>
      </c>
      <c r="OWK3" t="str">
        <f>IFERROR(IF($C3="","",SUMIFS(Ledger!$K$2:$K$4, Ledger!$B$2:$B$4, $A3, Ledger!$C$2:$C$4, OWK$2)),"****")</f>
        <v/>
      </c>
      <c r="OWL3" t="str">
        <f>IFERROR(IF($C3="","",SUMIFS(Ledger!$K$2:$K$4, Ledger!$B$2:$B$4, $A3, Ledger!$C$2:$C$4, OWL$2)),"****")</f>
        <v/>
      </c>
      <c r="OWM3" t="str">
        <f>IFERROR(IF($C3="","",SUMIFS(Ledger!$K$2:$K$4, Ledger!$B$2:$B$4, $A3, Ledger!$C$2:$C$4, OWM$2)),"****")</f>
        <v/>
      </c>
      <c r="OWN3" t="str">
        <f>IFERROR(IF($C3="","",SUMIFS(Ledger!$K$2:$K$4, Ledger!$B$2:$B$4, $A3, Ledger!$C$2:$C$4, OWN$2)),"****")</f>
        <v/>
      </c>
      <c r="OWO3" t="str">
        <f>IFERROR(IF($C3="","",SUMIFS(Ledger!$K$2:$K$4, Ledger!$B$2:$B$4, $A3, Ledger!$C$2:$C$4, OWO$2)),"****")</f>
        <v/>
      </c>
      <c r="OWP3" t="str">
        <f>IFERROR(IF($C3="","",SUMIFS(Ledger!$K$2:$K$4, Ledger!$B$2:$B$4, $A3, Ledger!$C$2:$C$4, OWP$2)),"****")</f>
        <v/>
      </c>
      <c r="OWQ3" t="str">
        <f>IFERROR(IF($C3="","",SUMIFS(Ledger!$K$2:$K$4, Ledger!$B$2:$B$4, $A3, Ledger!$C$2:$C$4, OWQ$2)),"****")</f>
        <v/>
      </c>
      <c r="OWR3" t="str">
        <f>IFERROR(IF($C3="","",SUMIFS(Ledger!$K$2:$K$4, Ledger!$B$2:$B$4, $A3, Ledger!$C$2:$C$4, OWR$2)),"****")</f>
        <v/>
      </c>
      <c r="OWS3" t="str">
        <f>IFERROR(IF($C3="","",SUMIFS(Ledger!$K$2:$K$4, Ledger!$B$2:$B$4, $A3, Ledger!$C$2:$C$4, OWS$2)),"****")</f>
        <v/>
      </c>
      <c r="OWT3" t="str">
        <f>IFERROR(IF($C3="","",SUMIFS(Ledger!$K$2:$K$4, Ledger!$B$2:$B$4, $A3, Ledger!$C$2:$C$4, OWT$2)),"****")</f>
        <v/>
      </c>
      <c r="OWU3" t="str">
        <f>IFERROR(IF($C3="","",SUMIFS(Ledger!$K$2:$K$4, Ledger!$B$2:$B$4, $A3, Ledger!$C$2:$C$4, OWU$2)),"****")</f>
        <v/>
      </c>
      <c r="OWV3" t="str">
        <f>IFERROR(IF($C3="","",SUMIFS(Ledger!$K$2:$K$4, Ledger!$B$2:$B$4, $A3, Ledger!$C$2:$C$4, OWV$2)),"****")</f>
        <v/>
      </c>
      <c r="OWW3" t="str">
        <f>IFERROR(IF($C3="","",SUMIFS(Ledger!$K$2:$K$4, Ledger!$B$2:$B$4, $A3, Ledger!$C$2:$C$4, OWW$2)),"****")</f>
        <v/>
      </c>
      <c r="OWX3" t="str">
        <f>IFERROR(IF($C3="","",SUMIFS(Ledger!$K$2:$K$4, Ledger!$B$2:$B$4, $A3, Ledger!$C$2:$C$4, OWX$2)),"****")</f>
        <v/>
      </c>
      <c r="OWY3" t="str">
        <f>IFERROR(IF($C3="","",SUMIFS(Ledger!$K$2:$K$4, Ledger!$B$2:$B$4, $A3, Ledger!$C$2:$C$4, OWY$2)),"****")</f>
        <v/>
      </c>
      <c r="OWZ3" t="str">
        <f>IFERROR(IF($C3="","",SUMIFS(Ledger!$K$2:$K$4, Ledger!$B$2:$B$4, $A3, Ledger!$C$2:$C$4, OWZ$2)),"****")</f>
        <v/>
      </c>
      <c r="OXA3" t="str">
        <f>IFERROR(IF($C3="","",SUMIFS(Ledger!$K$2:$K$4, Ledger!$B$2:$B$4, $A3, Ledger!$C$2:$C$4, OXA$2)),"****")</f>
        <v/>
      </c>
      <c r="OXB3" t="str">
        <f>IFERROR(IF($C3="","",SUMIFS(Ledger!$K$2:$K$4, Ledger!$B$2:$B$4, $A3, Ledger!$C$2:$C$4, OXB$2)),"****")</f>
        <v/>
      </c>
      <c r="OXC3" t="str">
        <f>IFERROR(IF($C3="","",SUMIFS(Ledger!$K$2:$K$4, Ledger!$B$2:$B$4, $A3, Ledger!$C$2:$C$4, OXC$2)),"****")</f>
        <v/>
      </c>
      <c r="OXD3" t="str">
        <f>IFERROR(IF($C3="","",SUMIFS(Ledger!$K$2:$K$4, Ledger!$B$2:$B$4, $A3, Ledger!$C$2:$C$4, OXD$2)),"****")</f>
        <v/>
      </c>
      <c r="OXE3" t="str">
        <f>IFERROR(IF($C3="","",SUMIFS(Ledger!$K$2:$K$4, Ledger!$B$2:$B$4, $A3, Ledger!$C$2:$C$4, OXE$2)),"****")</f>
        <v/>
      </c>
      <c r="OXF3" t="str">
        <f>IFERROR(IF($C3="","",SUMIFS(Ledger!$K$2:$K$4, Ledger!$B$2:$B$4, $A3, Ledger!$C$2:$C$4, OXF$2)),"****")</f>
        <v/>
      </c>
      <c r="OXG3" t="str">
        <f>IFERROR(IF($C3="","",SUMIFS(Ledger!$K$2:$K$4, Ledger!$B$2:$B$4, $A3, Ledger!$C$2:$C$4, OXG$2)),"****")</f>
        <v/>
      </c>
      <c r="OXH3" t="str">
        <f>IFERROR(IF($C3="","",SUMIFS(Ledger!$K$2:$K$4, Ledger!$B$2:$B$4, $A3, Ledger!$C$2:$C$4, OXH$2)),"****")</f>
        <v/>
      </c>
      <c r="OXI3" t="str">
        <f>IFERROR(IF($C3="","",SUMIFS(Ledger!$K$2:$K$4, Ledger!$B$2:$B$4, $A3, Ledger!$C$2:$C$4, OXI$2)),"****")</f>
        <v/>
      </c>
      <c r="OXJ3" t="str">
        <f>IFERROR(IF($C3="","",SUMIFS(Ledger!$K$2:$K$4, Ledger!$B$2:$B$4, $A3, Ledger!$C$2:$C$4, OXJ$2)),"****")</f>
        <v/>
      </c>
      <c r="OXK3" t="str">
        <f>IFERROR(IF($C3="","",SUMIFS(Ledger!$K$2:$K$4, Ledger!$B$2:$B$4, $A3, Ledger!$C$2:$C$4, OXK$2)),"****")</f>
        <v/>
      </c>
      <c r="OXL3" t="str">
        <f>IFERROR(IF($C3="","",SUMIFS(Ledger!$K$2:$K$4, Ledger!$B$2:$B$4, $A3, Ledger!$C$2:$C$4, OXL$2)),"****")</f>
        <v/>
      </c>
      <c r="OXM3" t="str">
        <f>IFERROR(IF($C3="","",SUMIFS(Ledger!$K$2:$K$4, Ledger!$B$2:$B$4, $A3, Ledger!$C$2:$C$4, OXM$2)),"****")</f>
        <v/>
      </c>
      <c r="OXN3" t="str">
        <f>IFERROR(IF($C3="","",SUMIFS(Ledger!$K$2:$K$4, Ledger!$B$2:$B$4, $A3, Ledger!$C$2:$C$4, OXN$2)),"****")</f>
        <v/>
      </c>
      <c r="OXO3" t="str">
        <f>IFERROR(IF($C3="","",SUMIFS(Ledger!$K$2:$K$4, Ledger!$B$2:$B$4, $A3, Ledger!$C$2:$C$4, OXO$2)),"****")</f>
        <v/>
      </c>
      <c r="OXP3" t="str">
        <f>IFERROR(IF($C3="","",SUMIFS(Ledger!$K$2:$K$4, Ledger!$B$2:$B$4, $A3, Ledger!$C$2:$C$4, OXP$2)),"****")</f>
        <v/>
      </c>
      <c r="OXQ3" t="str">
        <f>IFERROR(IF($C3="","",SUMIFS(Ledger!$K$2:$K$4, Ledger!$B$2:$B$4, $A3, Ledger!$C$2:$C$4, OXQ$2)),"****")</f>
        <v/>
      </c>
      <c r="OXR3" t="str">
        <f>IFERROR(IF($C3="","",SUMIFS(Ledger!$K$2:$K$4, Ledger!$B$2:$B$4, $A3, Ledger!$C$2:$C$4, OXR$2)),"****")</f>
        <v/>
      </c>
      <c r="OXS3" t="str">
        <f>IFERROR(IF($C3="","",SUMIFS(Ledger!$K$2:$K$4, Ledger!$B$2:$B$4, $A3, Ledger!$C$2:$C$4, OXS$2)),"****")</f>
        <v/>
      </c>
      <c r="OXT3" t="str">
        <f>IFERROR(IF($C3="","",SUMIFS(Ledger!$K$2:$K$4, Ledger!$B$2:$B$4, $A3, Ledger!$C$2:$C$4, OXT$2)),"****")</f>
        <v/>
      </c>
      <c r="OXU3" t="str">
        <f>IFERROR(IF($C3="","",SUMIFS(Ledger!$K$2:$K$4, Ledger!$B$2:$B$4, $A3, Ledger!$C$2:$C$4, OXU$2)),"****")</f>
        <v/>
      </c>
      <c r="OXV3" t="str">
        <f>IFERROR(IF($C3="","",SUMIFS(Ledger!$K$2:$K$4, Ledger!$B$2:$B$4, $A3, Ledger!$C$2:$C$4, OXV$2)),"****")</f>
        <v/>
      </c>
      <c r="OXW3" t="str">
        <f>IFERROR(IF($C3="","",SUMIFS(Ledger!$K$2:$K$4, Ledger!$B$2:$B$4, $A3, Ledger!$C$2:$C$4, OXW$2)),"****")</f>
        <v/>
      </c>
      <c r="OXX3" t="str">
        <f>IFERROR(IF($C3="","",SUMIFS(Ledger!$K$2:$K$4, Ledger!$B$2:$B$4, $A3, Ledger!$C$2:$C$4, OXX$2)),"****")</f>
        <v/>
      </c>
      <c r="OXY3" t="str">
        <f>IFERROR(IF($C3="","",SUMIFS(Ledger!$K$2:$K$4, Ledger!$B$2:$B$4, $A3, Ledger!$C$2:$C$4, OXY$2)),"****")</f>
        <v/>
      </c>
      <c r="OXZ3" t="str">
        <f>IFERROR(IF($C3="","",SUMIFS(Ledger!$K$2:$K$4, Ledger!$B$2:$B$4, $A3, Ledger!$C$2:$C$4, OXZ$2)),"****")</f>
        <v/>
      </c>
      <c r="OYA3" t="str">
        <f>IFERROR(IF($C3="","",SUMIFS(Ledger!$K$2:$K$4, Ledger!$B$2:$B$4, $A3, Ledger!$C$2:$C$4, OYA$2)),"****")</f>
        <v/>
      </c>
      <c r="OYB3" t="str">
        <f>IFERROR(IF($C3="","",SUMIFS(Ledger!$K$2:$K$4, Ledger!$B$2:$B$4, $A3, Ledger!$C$2:$C$4, OYB$2)),"****")</f>
        <v/>
      </c>
      <c r="OYC3" t="str">
        <f>IFERROR(IF($C3="","",SUMIFS(Ledger!$K$2:$K$4, Ledger!$B$2:$B$4, $A3, Ledger!$C$2:$C$4, OYC$2)),"****")</f>
        <v/>
      </c>
      <c r="OYD3" t="str">
        <f>IFERROR(IF($C3="","",SUMIFS(Ledger!$K$2:$K$4, Ledger!$B$2:$B$4, $A3, Ledger!$C$2:$C$4, OYD$2)),"****")</f>
        <v/>
      </c>
      <c r="OYE3" t="str">
        <f>IFERROR(IF($C3="","",SUMIFS(Ledger!$K$2:$K$4, Ledger!$B$2:$B$4, $A3, Ledger!$C$2:$C$4, OYE$2)),"****")</f>
        <v/>
      </c>
      <c r="OYF3" t="str">
        <f>IFERROR(IF($C3="","",SUMIFS(Ledger!$K$2:$K$4, Ledger!$B$2:$B$4, $A3, Ledger!$C$2:$C$4, OYF$2)),"****")</f>
        <v/>
      </c>
      <c r="OYG3" t="str">
        <f>IFERROR(IF($C3="","",SUMIFS(Ledger!$K$2:$K$4, Ledger!$B$2:$B$4, $A3, Ledger!$C$2:$C$4, OYG$2)),"****")</f>
        <v/>
      </c>
      <c r="OYH3" t="str">
        <f>IFERROR(IF($C3="","",SUMIFS(Ledger!$K$2:$K$4, Ledger!$B$2:$B$4, $A3, Ledger!$C$2:$C$4, OYH$2)),"****")</f>
        <v/>
      </c>
      <c r="OYI3" t="str">
        <f>IFERROR(IF($C3="","",SUMIFS(Ledger!$K$2:$K$4, Ledger!$B$2:$B$4, $A3, Ledger!$C$2:$C$4, OYI$2)),"****")</f>
        <v/>
      </c>
      <c r="OYJ3" t="str">
        <f>IFERROR(IF($C3="","",SUMIFS(Ledger!$K$2:$K$4, Ledger!$B$2:$B$4, $A3, Ledger!$C$2:$C$4, OYJ$2)),"****")</f>
        <v/>
      </c>
      <c r="OYK3" t="str">
        <f>IFERROR(IF($C3="","",SUMIFS(Ledger!$K$2:$K$4, Ledger!$B$2:$B$4, $A3, Ledger!$C$2:$C$4, OYK$2)),"****")</f>
        <v/>
      </c>
      <c r="OYL3" t="str">
        <f>IFERROR(IF($C3="","",SUMIFS(Ledger!$K$2:$K$4, Ledger!$B$2:$B$4, $A3, Ledger!$C$2:$C$4, OYL$2)),"****")</f>
        <v/>
      </c>
      <c r="OYM3" t="str">
        <f>IFERROR(IF($C3="","",SUMIFS(Ledger!$K$2:$K$4, Ledger!$B$2:$B$4, $A3, Ledger!$C$2:$C$4, OYM$2)),"****")</f>
        <v/>
      </c>
      <c r="OYN3" t="str">
        <f>IFERROR(IF($C3="","",SUMIFS(Ledger!$K$2:$K$4, Ledger!$B$2:$B$4, $A3, Ledger!$C$2:$C$4, OYN$2)),"****")</f>
        <v/>
      </c>
      <c r="OYO3" t="str">
        <f>IFERROR(IF($C3="","",SUMIFS(Ledger!$K$2:$K$4, Ledger!$B$2:$B$4, $A3, Ledger!$C$2:$C$4, OYO$2)),"****")</f>
        <v/>
      </c>
      <c r="OYP3" t="str">
        <f>IFERROR(IF($C3="","",SUMIFS(Ledger!$K$2:$K$4, Ledger!$B$2:$B$4, $A3, Ledger!$C$2:$C$4, OYP$2)),"****")</f>
        <v/>
      </c>
      <c r="OYQ3" t="str">
        <f>IFERROR(IF($C3="","",SUMIFS(Ledger!$K$2:$K$4, Ledger!$B$2:$B$4, $A3, Ledger!$C$2:$C$4, OYQ$2)),"****")</f>
        <v/>
      </c>
      <c r="OYR3" t="str">
        <f>IFERROR(IF($C3="","",SUMIFS(Ledger!$K$2:$K$4, Ledger!$B$2:$B$4, $A3, Ledger!$C$2:$C$4, OYR$2)),"****")</f>
        <v/>
      </c>
      <c r="OYS3" t="str">
        <f>IFERROR(IF($C3="","",SUMIFS(Ledger!$K$2:$K$4, Ledger!$B$2:$B$4, $A3, Ledger!$C$2:$C$4, OYS$2)),"****")</f>
        <v/>
      </c>
      <c r="OYT3" t="str">
        <f>IFERROR(IF($C3="","",SUMIFS(Ledger!$K$2:$K$4, Ledger!$B$2:$B$4, $A3, Ledger!$C$2:$C$4, OYT$2)),"****")</f>
        <v/>
      </c>
      <c r="OYU3" t="str">
        <f>IFERROR(IF($C3="","",SUMIFS(Ledger!$K$2:$K$4, Ledger!$B$2:$B$4, $A3, Ledger!$C$2:$C$4, OYU$2)),"****")</f>
        <v/>
      </c>
      <c r="OYV3" t="str">
        <f>IFERROR(IF($C3="","",SUMIFS(Ledger!$K$2:$K$4, Ledger!$B$2:$B$4, $A3, Ledger!$C$2:$C$4, OYV$2)),"****")</f>
        <v/>
      </c>
      <c r="OYW3" t="str">
        <f>IFERROR(IF($C3="","",SUMIFS(Ledger!$K$2:$K$4, Ledger!$B$2:$B$4, $A3, Ledger!$C$2:$C$4, OYW$2)),"****")</f>
        <v/>
      </c>
      <c r="OYX3" t="str">
        <f>IFERROR(IF($C3="","",SUMIFS(Ledger!$K$2:$K$4, Ledger!$B$2:$B$4, $A3, Ledger!$C$2:$C$4, OYX$2)),"****")</f>
        <v/>
      </c>
      <c r="OYY3" t="str">
        <f>IFERROR(IF($C3="","",SUMIFS(Ledger!$K$2:$K$4, Ledger!$B$2:$B$4, $A3, Ledger!$C$2:$C$4, OYY$2)),"****")</f>
        <v/>
      </c>
      <c r="OYZ3" t="str">
        <f>IFERROR(IF($C3="","",SUMIFS(Ledger!$K$2:$K$4, Ledger!$B$2:$B$4, $A3, Ledger!$C$2:$C$4, OYZ$2)),"****")</f>
        <v/>
      </c>
      <c r="OZA3" t="str">
        <f>IFERROR(IF($C3="","",SUMIFS(Ledger!$K$2:$K$4, Ledger!$B$2:$B$4, $A3, Ledger!$C$2:$C$4, OZA$2)),"****")</f>
        <v/>
      </c>
      <c r="OZB3" t="str">
        <f>IFERROR(IF($C3="","",SUMIFS(Ledger!$K$2:$K$4, Ledger!$B$2:$B$4, $A3, Ledger!$C$2:$C$4, OZB$2)),"****")</f>
        <v/>
      </c>
      <c r="OZC3" t="str">
        <f>IFERROR(IF($C3="","",SUMIFS(Ledger!$K$2:$K$4, Ledger!$B$2:$B$4, $A3, Ledger!$C$2:$C$4, OZC$2)),"****")</f>
        <v/>
      </c>
      <c r="OZD3" t="str">
        <f>IFERROR(IF($C3="","",SUMIFS(Ledger!$K$2:$K$4, Ledger!$B$2:$B$4, $A3, Ledger!$C$2:$C$4, OZD$2)),"****")</f>
        <v/>
      </c>
      <c r="OZE3" t="str">
        <f>IFERROR(IF($C3="","",SUMIFS(Ledger!$K$2:$K$4, Ledger!$B$2:$B$4, $A3, Ledger!$C$2:$C$4, OZE$2)),"****")</f>
        <v/>
      </c>
      <c r="OZF3" t="str">
        <f>IFERROR(IF($C3="","",SUMIFS(Ledger!$K$2:$K$4, Ledger!$B$2:$B$4, $A3, Ledger!$C$2:$C$4, OZF$2)),"****")</f>
        <v/>
      </c>
      <c r="OZG3" t="str">
        <f>IFERROR(IF($C3="","",SUMIFS(Ledger!$K$2:$K$4, Ledger!$B$2:$B$4, $A3, Ledger!$C$2:$C$4, OZG$2)),"****")</f>
        <v/>
      </c>
      <c r="OZH3" t="str">
        <f>IFERROR(IF($C3="","",SUMIFS(Ledger!$K$2:$K$4, Ledger!$B$2:$B$4, $A3, Ledger!$C$2:$C$4, OZH$2)),"****")</f>
        <v/>
      </c>
      <c r="OZI3" t="str">
        <f>IFERROR(IF($C3="","",SUMIFS(Ledger!$K$2:$K$4, Ledger!$B$2:$B$4, $A3, Ledger!$C$2:$C$4, OZI$2)),"****")</f>
        <v/>
      </c>
      <c r="OZJ3" t="str">
        <f>IFERROR(IF($C3="","",SUMIFS(Ledger!$K$2:$K$4, Ledger!$B$2:$B$4, $A3, Ledger!$C$2:$C$4, OZJ$2)),"****")</f>
        <v/>
      </c>
      <c r="OZK3" t="str">
        <f>IFERROR(IF($C3="","",SUMIFS(Ledger!$K$2:$K$4, Ledger!$B$2:$B$4, $A3, Ledger!$C$2:$C$4, OZK$2)),"****")</f>
        <v/>
      </c>
      <c r="OZL3" t="str">
        <f>IFERROR(IF($C3="","",SUMIFS(Ledger!$K$2:$K$4, Ledger!$B$2:$B$4, $A3, Ledger!$C$2:$C$4, OZL$2)),"****")</f>
        <v/>
      </c>
      <c r="OZM3" t="str">
        <f>IFERROR(IF($C3="","",SUMIFS(Ledger!$K$2:$K$4, Ledger!$B$2:$B$4, $A3, Ledger!$C$2:$C$4, OZM$2)),"****")</f>
        <v/>
      </c>
      <c r="OZN3" t="str">
        <f>IFERROR(IF($C3="","",SUMIFS(Ledger!$K$2:$K$4, Ledger!$B$2:$B$4, $A3, Ledger!$C$2:$C$4, OZN$2)),"****")</f>
        <v/>
      </c>
      <c r="OZO3" t="str">
        <f>IFERROR(IF($C3="","",SUMIFS(Ledger!$K$2:$K$4, Ledger!$B$2:$B$4, $A3, Ledger!$C$2:$C$4, OZO$2)),"****")</f>
        <v/>
      </c>
      <c r="OZP3" t="str">
        <f>IFERROR(IF($C3="","",SUMIFS(Ledger!$K$2:$K$4, Ledger!$B$2:$B$4, $A3, Ledger!$C$2:$C$4, OZP$2)),"****")</f>
        <v/>
      </c>
      <c r="OZQ3" t="str">
        <f>IFERROR(IF($C3="","",SUMIFS(Ledger!$K$2:$K$4, Ledger!$B$2:$B$4, $A3, Ledger!$C$2:$C$4, OZQ$2)),"****")</f>
        <v/>
      </c>
      <c r="OZR3" t="str">
        <f>IFERROR(IF($C3="","",SUMIFS(Ledger!$K$2:$K$4, Ledger!$B$2:$B$4, $A3, Ledger!$C$2:$C$4, OZR$2)),"****")</f>
        <v/>
      </c>
      <c r="OZS3" t="str">
        <f>IFERROR(IF($C3="","",SUMIFS(Ledger!$K$2:$K$4, Ledger!$B$2:$B$4, $A3, Ledger!$C$2:$C$4, OZS$2)),"****")</f>
        <v/>
      </c>
      <c r="OZT3" t="str">
        <f>IFERROR(IF($C3="","",SUMIFS(Ledger!$K$2:$K$4, Ledger!$B$2:$B$4, $A3, Ledger!$C$2:$C$4, OZT$2)),"****")</f>
        <v/>
      </c>
      <c r="OZU3" t="str">
        <f>IFERROR(IF($C3="","",SUMIFS(Ledger!$K$2:$K$4, Ledger!$B$2:$B$4, $A3, Ledger!$C$2:$C$4, OZU$2)),"****")</f>
        <v/>
      </c>
      <c r="OZV3" t="str">
        <f>IFERROR(IF($C3="","",SUMIFS(Ledger!$K$2:$K$4, Ledger!$B$2:$B$4, $A3, Ledger!$C$2:$C$4, OZV$2)),"****")</f>
        <v/>
      </c>
      <c r="OZW3" t="str">
        <f>IFERROR(IF($C3="","",SUMIFS(Ledger!$K$2:$K$4, Ledger!$B$2:$B$4, $A3, Ledger!$C$2:$C$4, OZW$2)),"****")</f>
        <v/>
      </c>
      <c r="OZX3" t="str">
        <f>IFERROR(IF($C3="","",SUMIFS(Ledger!$K$2:$K$4, Ledger!$B$2:$B$4, $A3, Ledger!$C$2:$C$4, OZX$2)),"****")</f>
        <v/>
      </c>
      <c r="OZY3" t="str">
        <f>IFERROR(IF($C3="","",SUMIFS(Ledger!$K$2:$K$4, Ledger!$B$2:$B$4, $A3, Ledger!$C$2:$C$4, OZY$2)),"****")</f>
        <v/>
      </c>
      <c r="OZZ3" t="str">
        <f>IFERROR(IF($C3="","",SUMIFS(Ledger!$K$2:$K$4, Ledger!$B$2:$B$4, $A3, Ledger!$C$2:$C$4, OZZ$2)),"****")</f>
        <v/>
      </c>
      <c r="PAA3" t="str">
        <f>IFERROR(IF($C3="","",SUMIFS(Ledger!$K$2:$K$4, Ledger!$B$2:$B$4, $A3, Ledger!$C$2:$C$4, PAA$2)),"****")</f>
        <v/>
      </c>
      <c r="PAB3" t="str">
        <f>IFERROR(IF($C3="","",SUMIFS(Ledger!$K$2:$K$4, Ledger!$B$2:$B$4, $A3, Ledger!$C$2:$C$4, PAB$2)),"****")</f>
        <v/>
      </c>
      <c r="PAC3" t="str">
        <f>IFERROR(IF($C3="","",SUMIFS(Ledger!$K$2:$K$4, Ledger!$B$2:$B$4, $A3, Ledger!$C$2:$C$4, PAC$2)),"****")</f>
        <v/>
      </c>
      <c r="PAD3" t="str">
        <f>IFERROR(IF($C3="","",SUMIFS(Ledger!$K$2:$K$4, Ledger!$B$2:$B$4, $A3, Ledger!$C$2:$C$4, PAD$2)),"****")</f>
        <v/>
      </c>
      <c r="PAE3" t="str">
        <f>IFERROR(IF($C3="","",SUMIFS(Ledger!$K$2:$K$4, Ledger!$B$2:$B$4, $A3, Ledger!$C$2:$C$4, PAE$2)),"****")</f>
        <v/>
      </c>
      <c r="PAF3" t="str">
        <f>IFERROR(IF($C3="","",SUMIFS(Ledger!$K$2:$K$4, Ledger!$B$2:$B$4, $A3, Ledger!$C$2:$C$4, PAF$2)),"****")</f>
        <v/>
      </c>
      <c r="PAG3" t="str">
        <f>IFERROR(IF($C3="","",SUMIFS(Ledger!$K$2:$K$4, Ledger!$B$2:$B$4, $A3, Ledger!$C$2:$C$4, PAG$2)),"****")</f>
        <v/>
      </c>
      <c r="PAH3" t="str">
        <f>IFERROR(IF($C3="","",SUMIFS(Ledger!$K$2:$K$4, Ledger!$B$2:$B$4, $A3, Ledger!$C$2:$C$4, PAH$2)),"****")</f>
        <v/>
      </c>
      <c r="PAI3" t="str">
        <f>IFERROR(IF($C3="","",SUMIFS(Ledger!$K$2:$K$4, Ledger!$B$2:$B$4, $A3, Ledger!$C$2:$C$4, PAI$2)),"****")</f>
        <v/>
      </c>
      <c r="PAJ3" t="str">
        <f>IFERROR(IF($C3="","",SUMIFS(Ledger!$K$2:$K$4, Ledger!$B$2:$B$4, $A3, Ledger!$C$2:$C$4, PAJ$2)),"****")</f>
        <v/>
      </c>
      <c r="PAK3" t="str">
        <f>IFERROR(IF($C3="","",SUMIFS(Ledger!$K$2:$K$4, Ledger!$B$2:$B$4, $A3, Ledger!$C$2:$C$4, PAK$2)),"****")</f>
        <v/>
      </c>
      <c r="PAL3" t="str">
        <f>IFERROR(IF($C3="","",SUMIFS(Ledger!$K$2:$K$4, Ledger!$B$2:$B$4, $A3, Ledger!$C$2:$C$4, PAL$2)),"****")</f>
        <v/>
      </c>
      <c r="PAM3" t="str">
        <f>IFERROR(IF($C3="","",SUMIFS(Ledger!$K$2:$K$4, Ledger!$B$2:$B$4, $A3, Ledger!$C$2:$C$4, PAM$2)),"****")</f>
        <v/>
      </c>
      <c r="PAN3" t="str">
        <f>IFERROR(IF($C3="","",SUMIFS(Ledger!$K$2:$K$4, Ledger!$B$2:$B$4, $A3, Ledger!$C$2:$C$4, PAN$2)),"****")</f>
        <v/>
      </c>
      <c r="PAO3" t="str">
        <f>IFERROR(IF($C3="","",SUMIFS(Ledger!$K$2:$K$4, Ledger!$B$2:$B$4, $A3, Ledger!$C$2:$C$4, PAO$2)),"****")</f>
        <v/>
      </c>
      <c r="PAP3" t="str">
        <f>IFERROR(IF($C3="","",SUMIFS(Ledger!$K$2:$K$4, Ledger!$B$2:$B$4, $A3, Ledger!$C$2:$C$4, PAP$2)),"****")</f>
        <v/>
      </c>
      <c r="PAQ3" t="str">
        <f>IFERROR(IF($C3="","",SUMIFS(Ledger!$K$2:$K$4, Ledger!$B$2:$B$4, $A3, Ledger!$C$2:$C$4, PAQ$2)),"****")</f>
        <v/>
      </c>
      <c r="PAR3" t="str">
        <f>IFERROR(IF($C3="","",SUMIFS(Ledger!$K$2:$K$4, Ledger!$B$2:$B$4, $A3, Ledger!$C$2:$C$4, PAR$2)),"****")</f>
        <v/>
      </c>
      <c r="PAS3" t="str">
        <f>IFERROR(IF($C3="","",SUMIFS(Ledger!$K$2:$K$4, Ledger!$B$2:$B$4, $A3, Ledger!$C$2:$C$4, PAS$2)),"****")</f>
        <v/>
      </c>
      <c r="PAT3" t="str">
        <f>IFERROR(IF($C3="","",SUMIFS(Ledger!$K$2:$K$4, Ledger!$B$2:$B$4, $A3, Ledger!$C$2:$C$4, PAT$2)),"****")</f>
        <v/>
      </c>
      <c r="PAU3" t="str">
        <f>IFERROR(IF($C3="","",SUMIFS(Ledger!$K$2:$K$4, Ledger!$B$2:$B$4, $A3, Ledger!$C$2:$C$4, PAU$2)),"****")</f>
        <v/>
      </c>
      <c r="PAV3" t="str">
        <f>IFERROR(IF($C3="","",SUMIFS(Ledger!$K$2:$K$4, Ledger!$B$2:$B$4, $A3, Ledger!$C$2:$C$4, PAV$2)),"****")</f>
        <v/>
      </c>
      <c r="PAW3" t="str">
        <f>IFERROR(IF($C3="","",SUMIFS(Ledger!$K$2:$K$4, Ledger!$B$2:$B$4, $A3, Ledger!$C$2:$C$4, PAW$2)),"****")</f>
        <v/>
      </c>
      <c r="PAX3" t="str">
        <f>IFERROR(IF($C3="","",SUMIFS(Ledger!$K$2:$K$4, Ledger!$B$2:$B$4, $A3, Ledger!$C$2:$C$4, PAX$2)),"****")</f>
        <v/>
      </c>
      <c r="PAY3" t="str">
        <f>IFERROR(IF($C3="","",SUMIFS(Ledger!$K$2:$K$4, Ledger!$B$2:$B$4, $A3, Ledger!$C$2:$C$4, PAY$2)),"****")</f>
        <v/>
      </c>
      <c r="PAZ3" t="str">
        <f>IFERROR(IF($C3="","",SUMIFS(Ledger!$K$2:$K$4, Ledger!$B$2:$B$4, $A3, Ledger!$C$2:$C$4, PAZ$2)),"****")</f>
        <v/>
      </c>
      <c r="PBA3" t="str">
        <f>IFERROR(IF($C3="","",SUMIFS(Ledger!$K$2:$K$4, Ledger!$B$2:$B$4, $A3, Ledger!$C$2:$C$4, PBA$2)),"****")</f>
        <v/>
      </c>
      <c r="PBB3" t="str">
        <f>IFERROR(IF($C3="","",SUMIFS(Ledger!$K$2:$K$4, Ledger!$B$2:$B$4, $A3, Ledger!$C$2:$C$4, PBB$2)),"****")</f>
        <v/>
      </c>
      <c r="PBC3" t="str">
        <f>IFERROR(IF($C3="","",SUMIFS(Ledger!$K$2:$K$4, Ledger!$B$2:$B$4, $A3, Ledger!$C$2:$C$4, PBC$2)),"****")</f>
        <v/>
      </c>
      <c r="PBD3" t="str">
        <f>IFERROR(IF($C3="","",SUMIFS(Ledger!$K$2:$K$4, Ledger!$B$2:$B$4, $A3, Ledger!$C$2:$C$4, PBD$2)),"****")</f>
        <v/>
      </c>
      <c r="PBE3" t="str">
        <f>IFERROR(IF($C3="","",SUMIFS(Ledger!$K$2:$K$4, Ledger!$B$2:$B$4, $A3, Ledger!$C$2:$C$4, PBE$2)),"****")</f>
        <v/>
      </c>
      <c r="PBF3" t="str">
        <f>IFERROR(IF($C3="","",SUMIFS(Ledger!$K$2:$K$4, Ledger!$B$2:$B$4, $A3, Ledger!$C$2:$C$4, PBF$2)),"****")</f>
        <v/>
      </c>
      <c r="PBG3" t="str">
        <f>IFERROR(IF($C3="","",SUMIFS(Ledger!$K$2:$K$4, Ledger!$B$2:$B$4, $A3, Ledger!$C$2:$C$4, PBG$2)),"****")</f>
        <v/>
      </c>
      <c r="PBH3" t="str">
        <f>IFERROR(IF($C3="","",SUMIFS(Ledger!$K$2:$K$4, Ledger!$B$2:$B$4, $A3, Ledger!$C$2:$C$4, PBH$2)),"****")</f>
        <v/>
      </c>
      <c r="PBI3" t="str">
        <f>IFERROR(IF($C3="","",SUMIFS(Ledger!$K$2:$K$4, Ledger!$B$2:$B$4, $A3, Ledger!$C$2:$C$4, PBI$2)),"****")</f>
        <v/>
      </c>
      <c r="PBJ3" t="str">
        <f>IFERROR(IF($C3="","",SUMIFS(Ledger!$K$2:$K$4, Ledger!$B$2:$B$4, $A3, Ledger!$C$2:$C$4, PBJ$2)),"****")</f>
        <v/>
      </c>
      <c r="PBK3" t="str">
        <f>IFERROR(IF($C3="","",SUMIFS(Ledger!$K$2:$K$4, Ledger!$B$2:$B$4, $A3, Ledger!$C$2:$C$4, PBK$2)),"****")</f>
        <v/>
      </c>
      <c r="PBL3" t="str">
        <f>IFERROR(IF($C3="","",SUMIFS(Ledger!$K$2:$K$4, Ledger!$B$2:$B$4, $A3, Ledger!$C$2:$C$4, PBL$2)),"****")</f>
        <v/>
      </c>
      <c r="PBM3" t="str">
        <f>IFERROR(IF($C3="","",SUMIFS(Ledger!$K$2:$K$4, Ledger!$B$2:$B$4, $A3, Ledger!$C$2:$C$4, PBM$2)),"****")</f>
        <v/>
      </c>
      <c r="PBN3" t="str">
        <f>IFERROR(IF($C3="","",SUMIFS(Ledger!$K$2:$K$4, Ledger!$B$2:$B$4, $A3, Ledger!$C$2:$C$4, PBN$2)),"****")</f>
        <v/>
      </c>
      <c r="PBO3" t="str">
        <f>IFERROR(IF($C3="","",SUMIFS(Ledger!$K$2:$K$4, Ledger!$B$2:$B$4, $A3, Ledger!$C$2:$C$4, PBO$2)),"****")</f>
        <v/>
      </c>
      <c r="PBP3" t="str">
        <f>IFERROR(IF($C3="","",SUMIFS(Ledger!$K$2:$K$4, Ledger!$B$2:$B$4, $A3, Ledger!$C$2:$C$4, PBP$2)),"****")</f>
        <v/>
      </c>
      <c r="PBQ3" t="str">
        <f>IFERROR(IF($C3="","",SUMIFS(Ledger!$K$2:$K$4, Ledger!$B$2:$B$4, $A3, Ledger!$C$2:$C$4, PBQ$2)),"****")</f>
        <v/>
      </c>
      <c r="PBR3" t="str">
        <f>IFERROR(IF($C3="","",SUMIFS(Ledger!$K$2:$K$4, Ledger!$B$2:$B$4, $A3, Ledger!$C$2:$C$4, PBR$2)),"****")</f>
        <v/>
      </c>
      <c r="PBS3" t="str">
        <f>IFERROR(IF($C3="","",SUMIFS(Ledger!$K$2:$K$4, Ledger!$B$2:$B$4, $A3, Ledger!$C$2:$C$4, PBS$2)),"****")</f>
        <v/>
      </c>
      <c r="PBT3" t="str">
        <f>IFERROR(IF($C3="","",SUMIFS(Ledger!$K$2:$K$4, Ledger!$B$2:$B$4, $A3, Ledger!$C$2:$C$4, PBT$2)),"****")</f>
        <v/>
      </c>
      <c r="PBU3" t="str">
        <f>IFERROR(IF($C3="","",SUMIFS(Ledger!$K$2:$K$4, Ledger!$B$2:$B$4, $A3, Ledger!$C$2:$C$4, PBU$2)),"****")</f>
        <v/>
      </c>
      <c r="PBV3" t="str">
        <f>IFERROR(IF($C3="","",SUMIFS(Ledger!$K$2:$K$4, Ledger!$B$2:$B$4, $A3, Ledger!$C$2:$C$4, PBV$2)),"****")</f>
        <v/>
      </c>
      <c r="PBW3" t="str">
        <f>IFERROR(IF($C3="","",SUMIFS(Ledger!$K$2:$K$4, Ledger!$B$2:$B$4, $A3, Ledger!$C$2:$C$4, PBW$2)),"****")</f>
        <v/>
      </c>
      <c r="PBX3" t="str">
        <f>IFERROR(IF($C3="","",SUMIFS(Ledger!$K$2:$K$4, Ledger!$B$2:$B$4, $A3, Ledger!$C$2:$C$4, PBX$2)),"****")</f>
        <v/>
      </c>
      <c r="PBY3" t="str">
        <f>IFERROR(IF($C3="","",SUMIFS(Ledger!$K$2:$K$4, Ledger!$B$2:$B$4, $A3, Ledger!$C$2:$C$4, PBY$2)),"****")</f>
        <v/>
      </c>
      <c r="PBZ3" t="str">
        <f>IFERROR(IF($C3="","",SUMIFS(Ledger!$K$2:$K$4, Ledger!$B$2:$B$4, $A3, Ledger!$C$2:$C$4, PBZ$2)),"****")</f>
        <v/>
      </c>
      <c r="PCA3" t="str">
        <f>IFERROR(IF($C3="","",SUMIFS(Ledger!$K$2:$K$4, Ledger!$B$2:$B$4, $A3, Ledger!$C$2:$C$4, PCA$2)),"****")</f>
        <v/>
      </c>
      <c r="PCB3" t="str">
        <f>IFERROR(IF($C3="","",SUMIFS(Ledger!$K$2:$K$4, Ledger!$B$2:$B$4, $A3, Ledger!$C$2:$C$4, PCB$2)),"****")</f>
        <v/>
      </c>
      <c r="PCC3" t="str">
        <f>IFERROR(IF($C3="","",SUMIFS(Ledger!$K$2:$K$4, Ledger!$B$2:$B$4, $A3, Ledger!$C$2:$C$4, PCC$2)),"****")</f>
        <v/>
      </c>
      <c r="PCD3" t="str">
        <f>IFERROR(IF($C3="","",SUMIFS(Ledger!$K$2:$K$4, Ledger!$B$2:$B$4, $A3, Ledger!$C$2:$C$4, PCD$2)),"****")</f>
        <v/>
      </c>
      <c r="PCE3" t="str">
        <f>IFERROR(IF($C3="","",SUMIFS(Ledger!$K$2:$K$4, Ledger!$B$2:$B$4, $A3, Ledger!$C$2:$C$4, PCE$2)),"****")</f>
        <v/>
      </c>
      <c r="PCF3" t="str">
        <f>IFERROR(IF($C3="","",SUMIFS(Ledger!$K$2:$K$4, Ledger!$B$2:$B$4, $A3, Ledger!$C$2:$C$4, PCF$2)),"****")</f>
        <v/>
      </c>
      <c r="PCG3" t="str">
        <f>IFERROR(IF($C3="","",SUMIFS(Ledger!$K$2:$K$4, Ledger!$B$2:$B$4, $A3, Ledger!$C$2:$C$4, PCG$2)),"****")</f>
        <v/>
      </c>
      <c r="PCH3" t="str">
        <f>IFERROR(IF($C3="","",SUMIFS(Ledger!$K$2:$K$4, Ledger!$B$2:$B$4, $A3, Ledger!$C$2:$C$4, PCH$2)),"****")</f>
        <v/>
      </c>
      <c r="PCI3" t="str">
        <f>IFERROR(IF($C3="","",SUMIFS(Ledger!$K$2:$K$4, Ledger!$B$2:$B$4, $A3, Ledger!$C$2:$C$4, PCI$2)),"****")</f>
        <v/>
      </c>
      <c r="PCJ3" t="str">
        <f>IFERROR(IF($C3="","",SUMIFS(Ledger!$K$2:$K$4, Ledger!$B$2:$B$4, $A3, Ledger!$C$2:$C$4, PCJ$2)),"****")</f>
        <v/>
      </c>
      <c r="PCK3" t="str">
        <f>IFERROR(IF($C3="","",SUMIFS(Ledger!$K$2:$K$4, Ledger!$B$2:$B$4, $A3, Ledger!$C$2:$C$4, PCK$2)),"****")</f>
        <v/>
      </c>
      <c r="PCL3" t="str">
        <f>IFERROR(IF($C3="","",SUMIFS(Ledger!$K$2:$K$4, Ledger!$B$2:$B$4, $A3, Ledger!$C$2:$C$4, PCL$2)),"****")</f>
        <v/>
      </c>
      <c r="PCM3" t="str">
        <f>IFERROR(IF($C3="","",SUMIFS(Ledger!$K$2:$K$4, Ledger!$B$2:$B$4, $A3, Ledger!$C$2:$C$4, PCM$2)),"****")</f>
        <v/>
      </c>
      <c r="PCN3" t="str">
        <f>IFERROR(IF($C3="","",SUMIFS(Ledger!$K$2:$K$4, Ledger!$B$2:$B$4, $A3, Ledger!$C$2:$C$4, PCN$2)),"****")</f>
        <v/>
      </c>
      <c r="PCO3" t="str">
        <f>IFERROR(IF($C3="","",SUMIFS(Ledger!$K$2:$K$4, Ledger!$B$2:$B$4, $A3, Ledger!$C$2:$C$4, PCO$2)),"****")</f>
        <v/>
      </c>
      <c r="PCP3" t="str">
        <f>IFERROR(IF($C3="","",SUMIFS(Ledger!$K$2:$K$4, Ledger!$B$2:$B$4, $A3, Ledger!$C$2:$C$4, PCP$2)),"****")</f>
        <v/>
      </c>
      <c r="PCQ3" t="str">
        <f>IFERROR(IF($C3="","",SUMIFS(Ledger!$K$2:$K$4, Ledger!$B$2:$B$4, $A3, Ledger!$C$2:$C$4, PCQ$2)),"****")</f>
        <v/>
      </c>
      <c r="PCR3" t="str">
        <f>IFERROR(IF($C3="","",SUMIFS(Ledger!$K$2:$K$4, Ledger!$B$2:$B$4, $A3, Ledger!$C$2:$C$4, PCR$2)),"****")</f>
        <v/>
      </c>
      <c r="PCS3" t="str">
        <f>IFERROR(IF($C3="","",SUMIFS(Ledger!$K$2:$K$4, Ledger!$B$2:$B$4, $A3, Ledger!$C$2:$C$4, PCS$2)),"****")</f>
        <v/>
      </c>
      <c r="PCT3" t="str">
        <f>IFERROR(IF($C3="","",SUMIFS(Ledger!$K$2:$K$4, Ledger!$B$2:$B$4, $A3, Ledger!$C$2:$C$4, PCT$2)),"****")</f>
        <v/>
      </c>
      <c r="PCU3" t="str">
        <f>IFERROR(IF($C3="","",SUMIFS(Ledger!$K$2:$K$4, Ledger!$B$2:$B$4, $A3, Ledger!$C$2:$C$4, PCU$2)),"****")</f>
        <v/>
      </c>
      <c r="PCV3" t="str">
        <f>IFERROR(IF($C3="","",SUMIFS(Ledger!$K$2:$K$4, Ledger!$B$2:$B$4, $A3, Ledger!$C$2:$C$4, PCV$2)),"****")</f>
        <v/>
      </c>
      <c r="PCW3" t="str">
        <f>IFERROR(IF($C3="","",SUMIFS(Ledger!$K$2:$K$4, Ledger!$B$2:$B$4, $A3, Ledger!$C$2:$C$4, PCW$2)),"****")</f>
        <v/>
      </c>
      <c r="PCX3" t="str">
        <f>IFERROR(IF($C3="","",SUMIFS(Ledger!$K$2:$K$4, Ledger!$B$2:$B$4, $A3, Ledger!$C$2:$C$4, PCX$2)),"****")</f>
        <v/>
      </c>
      <c r="PCY3" t="str">
        <f>IFERROR(IF($C3="","",SUMIFS(Ledger!$K$2:$K$4, Ledger!$B$2:$B$4, $A3, Ledger!$C$2:$C$4, PCY$2)),"****")</f>
        <v/>
      </c>
      <c r="PCZ3" t="str">
        <f>IFERROR(IF($C3="","",SUMIFS(Ledger!$K$2:$K$4, Ledger!$B$2:$B$4, $A3, Ledger!$C$2:$C$4, PCZ$2)),"****")</f>
        <v/>
      </c>
      <c r="PDA3" t="str">
        <f>IFERROR(IF($C3="","",SUMIFS(Ledger!$K$2:$K$4, Ledger!$B$2:$B$4, $A3, Ledger!$C$2:$C$4, PDA$2)),"****")</f>
        <v/>
      </c>
      <c r="PDB3" t="str">
        <f>IFERROR(IF($C3="","",SUMIFS(Ledger!$K$2:$K$4, Ledger!$B$2:$B$4, $A3, Ledger!$C$2:$C$4, PDB$2)),"****")</f>
        <v/>
      </c>
      <c r="PDC3" t="str">
        <f>IFERROR(IF($C3="","",SUMIFS(Ledger!$K$2:$K$4, Ledger!$B$2:$B$4, $A3, Ledger!$C$2:$C$4, PDC$2)),"****")</f>
        <v/>
      </c>
      <c r="PDD3" t="str">
        <f>IFERROR(IF($C3="","",SUMIFS(Ledger!$K$2:$K$4, Ledger!$B$2:$B$4, $A3, Ledger!$C$2:$C$4, PDD$2)),"****")</f>
        <v/>
      </c>
      <c r="PDE3" t="str">
        <f>IFERROR(IF($C3="","",SUMIFS(Ledger!$K$2:$K$4, Ledger!$B$2:$B$4, $A3, Ledger!$C$2:$C$4, PDE$2)),"****")</f>
        <v/>
      </c>
      <c r="PDF3" t="str">
        <f>IFERROR(IF($C3="","",SUMIFS(Ledger!$K$2:$K$4, Ledger!$B$2:$B$4, $A3, Ledger!$C$2:$C$4, PDF$2)),"****")</f>
        <v/>
      </c>
      <c r="PDG3" t="str">
        <f>IFERROR(IF($C3="","",SUMIFS(Ledger!$K$2:$K$4, Ledger!$B$2:$B$4, $A3, Ledger!$C$2:$C$4, PDG$2)),"****")</f>
        <v/>
      </c>
      <c r="PDH3" t="str">
        <f>IFERROR(IF($C3="","",SUMIFS(Ledger!$K$2:$K$4, Ledger!$B$2:$B$4, $A3, Ledger!$C$2:$C$4, PDH$2)),"****")</f>
        <v/>
      </c>
      <c r="PDI3" t="str">
        <f>IFERROR(IF($C3="","",SUMIFS(Ledger!$K$2:$K$4, Ledger!$B$2:$B$4, $A3, Ledger!$C$2:$C$4, PDI$2)),"****")</f>
        <v/>
      </c>
      <c r="PDJ3" t="str">
        <f>IFERROR(IF($C3="","",SUMIFS(Ledger!$K$2:$K$4, Ledger!$B$2:$B$4, $A3, Ledger!$C$2:$C$4, PDJ$2)),"****")</f>
        <v/>
      </c>
      <c r="PDK3" t="str">
        <f>IFERROR(IF($C3="","",SUMIFS(Ledger!$K$2:$K$4, Ledger!$B$2:$B$4, $A3, Ledger!$C$2:$C$4, PDK$2)),"****")</f>
        <v/>
      </c>
      <c r="PDL3" t="str">
        <f>IFERROR(IF($C3="","",SUMIFS(Ledger!$K$2:$K$4, Ledger!$B$2:$B$4, $A3, Ledger!$C$2:$C$4, PDL$2)),"****")</f>
        <v/>
      </c>
      <c r="PDM3" t="str">
        <f>IFERROR(IF($C3="","",SUMIFS(Ledger!$K$2:$K$4, Ledger!$B$2:$B$4, $A3, Ledger!$C$2:$C$4, PDM$2)),"****")</f>
        <v/>
      </c>
      <c r="PDN3" t="str">
        <f>IFERROR(IF($C3="","",SUMIFS(Ledger!$K$2:$K$4, Ledger!$B$2:$B$4, $A3, Ledger!$C$2:$C$4, PDN$2)),"****")</f>
        <v/>
      </c>
      <c r="PDO3" t="str">
        <f>IFERROR(IF($C3="","",SUMIFS(Ledger!$K$2:$K$4, Ledger!$B$2:$B$4, $A3, Ledger!$C$2:$C$4, PDO$2)),"****")</f>
        <v/>
      </c>
      <c r="PDP3" t="str">
        <f>IFERROR(IF($C3="","",SUMIFS(Ledger!$K$2:$K$4, Ledger!$B$2:$B$4, $A3, Ledger!$C$2:$C$4, PDP$2)),"****")</f>
        <v/>
      </c>
      <c r="PDQ3" t="str">
        <f>IFERROR(IF($C3="","",SUMIFS(Ledger!$K$2:$K$4, Ledger!$B$2:$B$4, $A3, Ledger!$C$2:$C$4, PDQ$2)),"****")</f>
        <v/>
      </c>
      <c r="PDR3" t="str">
        <f>IFERROR(IF($C3="","",SUMIFS(Ledger!$K$2:$K$4, Ledger!$B$2:$B$4, $A3, Ledger!$C$2:$C$4, PDR$2)),"****")</f>
        <v/>
      </c>
      <c r="PDS3" t="str">
        <f>IFERROR(IF($C3="","",SUMIFS(Ledger!$K$2:$K$4, Ledger!$B$2:$B$4, $A3, Ledger!$C$2:$C$4, PDS$2)),"****")</f>
        <v/>
      </c>
      <c r="PDT3" t="str">
        <f>IFERROR(IF($C3="","",SUMIFS(Ledger!$K$2:$K$4, Ledger!$B$2:$B$4, $A3, Ledger!$C$2:$C$4, PDT$2)),"****")</f>
        <v/>
      </c>
      <c r="PDU3" t="str">
        <f>IFERROR(IF($C3="","",SUMIFS(Ledger!$K$2:$K$4, Ledger!$B$2:$B$4, $A3, Ledger!$C$2:$C$4, PDU$2)),"****")</f>
        <v/>
      </c>
      <c r="PDV3" t="str">
        <f>IFERROR(IF($C3="","",SUMIFS(Ledger!$K$2:$K$4, Ledger!$B$2:$B$4, $A3, Ledger!$C$2:$C$4, PDV$2)),"****")</f>
        <v/>
      </c>
      <c r="PDW3" t="str">
        <f>IFERROR(IF($C3="","",SUMIFS(Ledger!$K$2:$K$4, Ledger!$B$2:$B$4, $A3, Ledger!$C$2:$C$4, PDW$2)),"****")</f>
        <v/>
      </c>
      <c r="PDX3" t="str">
        <f>IFERROR(IF($C3="","",SUMIFS(Ledger!$K$2:$K$4, Ledger!$B$2:$B$4, $A3, Ledger!$C$2:$C$4, PDX$2)),"****")</f>
        <v/>
      </c>
      <c r="PDY3" t="str">
        <f>IFERROR(IF($C3="","",SUMIFS(Ledger!$K$2:$K$4, Ledger!$B$2:$B$4, $A3, Ledger!$C$2:$C$4, PDY$2)),"****")</f>
        <v/>
      </c>
      <c r="PDZ3" t="str">
        <f>IFERROR(IF($C3="","",SUMIFS(Ledger!$K$2:$K$4, Ledger!$B$2:$B$4, $A3, Ledger!$C$2:$C$4, PDZ$2)),"****")</f>
        <v/>
      </c>
      <c r="PEA3" t="str">
        <f>IFERROR(IF($C3="","",SUMIFS(Ledger!$K$2:$K$4, Ledger!$B$2:$B$4, $A3, Ledger!$C$2:$C$4, PEA$2)),"****")</f>
        <v/>
      </c>
      <c r="PEB3" t="str">
        <f>IFERROR(IF($C3="","",SUMIFS(Ledger!$K$2:$K$4, Ledger!$B$2:$B$4, $A3, Ledger!$C$2:$C$4, PEB$2)),"****")</f>
        <v/>
      </c>
      <c r="PEC3" t="str">
        <f>IFERROR(IF($C3="","",SUMIFS(Ledger!$K$2:$K$4, Ledger!$B$2:$B$4, $A3, Ledger!$C$2:$C$4, PEC$2)),"****")</f>
        <v/>
      </c>
      <c r="PED3" t="str">
        <f>IFERROR(IF($C3="","",SUMIFS(Ledger!$K$2:$K$4, Ledger!$B$2:$B$4, $A3, Ledger!$C$2:$C$4, PED$2)),"****")</f>
        <v/>
      </c>
      <c r="PEE3" t="str">
        <f>IFERROR(IF($C3="","",SUMIFS(Ledger!$K$2:$K$4, Ledger!$B$2:$B$4, $A3, Ledger!$C$2:$C$4, PEE$2)),"****")</f>
        <v/>
      </c>
      <c r="PEF3" t="str">
        <f>IFERROR(IF($C3="","",SUMIFS(Ledger!$K$2:$K$4, Ledger!$B$2:$B$4, $A3, Ledger!$C$2:$C$4, PEF$2)),"****")</f>
        <v/>
      </c>
      <c r="PEG3" t="str">
        <f>IFERROR(IF($C3="","",SUMIFS(Ledger!$K$2:$K$4, Ledger!$B$2:$B$4, $A3, Ledger!$C$2:$C$4, PEG$2)),"****")</f>
        <v/>
      </c>
      <c r="PEH3" t="str">
        <f>IFERROR(IF($C3="","",SUMIFS(Ledger!$K$2:$K$4, Ledger!$B$2:$B$4, $A3, Ledger!$C$2:$C$4, PEH$2)),"****")</f>
        <v/>
      </c>
      <c r="PEI3" t="str">
        <f>IFERROR(IF($C3="","",SUMIFS(Ledger!$K$2:$K$4, Ledger!$B$2:$B$4, $A3, Ledger!$C$2:$C$4, PEI$2)),"****")</f>
        <v/>
      </c>
      <c r="PEJ3" t="str">
        <f>IFERROR(IF($C3="","",SUMIFS(Ledger!$K$2:$K$4, Ledger!$B$2:$B$4, $A3, Ledger!$C$2:$C$4, PEJ$2)),"****")</f>
        <v/>
      </c>
      <c r="PEK3" t="str">
        <f>IFERROR(IF($C3="","",SUMIFS(Ledger!$K$2:$K$4, Ledger!$B$2:$B$4, $A3, Ledger!$C$2:$C$4, PEK$2)),"****")</f>
        <v/>
      </c>
      <c r="PEL3" t="str">
        <f>IFERROR(IF($C3="","",SUMIFS(Ledger!$K$2:$K$4, Ledger!$B$2:$B$4, $A3, Ledger!$C$2:$C$4, PEL$2)),"****")</f>
        <v/>
      </c>
      <c r="PEM3" t="str">
        <f>IFERROR(IF($C3="","",SUMIFS(Ledger!$K$2:$K$4, Ledger!$B$2:$B$4, $A3, Ledger!$C$2:$C$4, PEM$2)),"****")</f>
        <v/>
      </c>
      <c r="PEN3" t="str">
        <f>IFERROR(IF($C3="","",SUMIFS(Ledger!$K$2:$K$4, Ledger!$B$2:$B$4, $A3, Ledger!$C$2:$C$4, PEN$2)),"****")</f>
        <v/>
      </c>
      <c r="PEO3" t="str">
        <f>IFERROR(IF($C3="","",SUMIFS(Ledger!$K$2:$K$4, Ledger!$B$2:$B$4, $A3, Ledger!$C$2:$C$4, PEO$2)),"****")</f>
        <v/>
      </c>
      <c r="PEP3" t="str">
        <f>IFERROR(IF($C3="","",SUMIFS(Ledger!$K$2:$K$4, Ledger!$B$2:$B$4, $A3, Ledger!$C$2:$C$4, PEP$2)),"****")</f>
        <v/>
      </c>
      <c r="PEQ3" t="str">
        <f>IFERROR(IF($C3="","",SUMIFS(Ledger!$K$2:$K$4, Ledger!$B$2:$B$4, $A3, Ledger!$C$2:$C$4, PEQ$2)),"****")</f>
        <v/>
      </c>
      <c r="PER3" t="str">
        <f>IFERROR(IF($C3="","",SUMIFS(Ledger!$K$2:$K$4, Ledger!$B$2:$B$4, $A3, Ledger!$C$2:$C$4, PER$2)),"****")</f>
        <v/>
      </c>
      <c r="PES3" t="str">
        <f>IFERROR(IF($C3="","",SUMIFS(Ledger!$K$2:$K$4, Ledger!$B$2:$B$4, $A3, Ledger!$C$2:$C$4, PES$2)),"****")</f>
        <v/>
      </c>
      <c r="PET3" t="str">
        <f>IFERROR(IF($C3="","",SUMIFS(Ledger!$K$2:$K$4, Ledger!$B$2:$B$4, $A3, Ledger!$C$2:$C$4, PET$2)),"****")</f>
        <v/>
      </c>
      <c r="PEU3" t="str">
        <f>IFERROR(IF($C3="","",SUMIFS(Ledger!$K$2:$K$4, Ledger!$B$2:$B$4, $A3, Ledger!$C$2:$C$4, PEU$2)),"****")</f>
        <v/>
      </c>
      <c r="PEV3" t="str">
        <f>IFERROR(IF($C3="","",SUMIFS(Ledger!$K$2:$K$4, Ledger!$B$2:$B$4, $A3, Ledger!$C$2:$C$4, PEV$2)),"****")</f>
        <v/>
      </c>
      <c r="PEW3" t="str">
        <f>IFERROR(IF($C3="","",SUMIFS(Ledger!$K$2:$K$4, Ledger!$B$2:$B$4, $A3, Ledger!$C$2:$C$4, PEW$2)),"****")</f>
        <v/>
      </c>
      <c r="PEX3" t="str">
        <f>IFERROR(IF($C3="","",SUMIFS(Ledger!$K$2:$K$4, Ledger!$B$2:$B$4, $A3, Ledger!$C$2:$C$4, PEX$2)),"****")</f>
        <v/>
      </c>
      <c r="PEY3" t="str">
        <f>IFERROR(IF($C3="","",SUMIFS(Ledger!$K$2:$K$4, Ledger!$B$2:$B$4, $A3, Ledger!$C$2:$C$4, PEY$2)),"****")</f>
        <v/>
      </c>
      <c r="PEZ3" t="str">
        <f>IFERROR(IF($C3="","",SUMIFS(Ledger!$K$2:$K$4, Ledger!$B$2:$B$4, $A3, Ledger!$C$2:$C$4, PEZ$2)),"****")</f>
        <v/>
      </c>
      <c r="PFA3" t="str">
        <f>IFERROR(IF($C3="","",SUMIFS(Ledger!$K$2:$K$4, Ledger!$B$2:$B$4, $A3, Ledger!$C$2:$C$4, PFA$2)),"****")</f>
        <v/>
      </c>
      <c r="PFB3" t="str">
        <f>IFERROR(IF($C3="","",SUMIFS(Ledger!$K$2:$K$4, Ledger!$B$2:$B$4, $A3, Ledger!$C$2:$C$4, PFB$2)),"****")</f>
        <v/>
      </c>
      <c r="PFC3" t="str">
        <f>IFERROR(IF($C3="","",SUMIFS(Ledger!$K$2:$K$4, Ledger!$B$2:$B$4, $A3, Ledger!$C$2:$C$4, PFC$2)),"****")</f>
        <v/>
      </c>
      <c r="PFD3" t="str">
        <f>IFERROR(IF($C3="","",SUMIFS(Ledger!$K$2:$K$4, Ledger!$B$2:$B$4, $A3, Ledger!$C$2:$C$4, PFD$2)),"****")</f>
        <v/>
      </c>
      <c r="PFE3" t="str">
        <f>IFERROR(IF($C3="","",SUMIFS(Ledger!$K$2:$K$4, Ledger!$B$2:$B$4, $A3, Ledger!$C$2:$C$4, PFE$2)),"****")</f>
        <v/>
      </c>
      <c r="PFF3" t="str">
        <f>IFERROR(IF($C3="","",SUMIFS(Ledger!$K$2:$K$4, Ledger!$B$2:$B$4, $A3, Ledger!$C$2:$C$4, PFF$2)),"****")</f>
        <v/>
      </c>
      <c r="PFG3" t="str">
        <f>IFERROR(IF($C3="","",SUMIFS(Ledger!$K$2:$K$4, Ledger!$B$2:$B$4, $A3, Ledger!$C$2:$C$4, PFG$2)),"****")</f>
        <v/>
      </c>
      <c r="PFH3" t="str">
        <f>IFERROR(IF($C3="","",SUMIFS(Ledger!$K$2:$K$4, Ledger!$B$2:$B$4, $A3, Ledger!$C$2:$C$4, PFH$2)),"****")</f>
        <v/>
      </c>
      <c r="PFI3" t="str">
        <f>IFERROR(IF($C3="","",SUMIFS(Ledger!$K$2:$K$4, Ledger!$B$2:$B$4, $A3, Ledger!$C$2:$C$4, PFI$2)),"****")</f>
        <v/>
      </c>
      <c r="PFJ3" t="str">
        <f>IFERROR(IF($C3="","",SUMIFS(Ledger!$K$2:$K$4, Ledger!$B$2:$B$4, $A3, Ledger!$C$2:$C$4, PFJ$2)),"****")</f>
        <v/>
      </c>
      <c r="PFK3" t="str">
        <f>IFERROR(IF($C3="","",SUMIFS(Ledger!$K$2:$K$4, Ledger!$B$2:$B$4, $A3, Ledger!$C$2:$C$4, PFK$2)),"****")</f>
        <v/>
      </c>
      <c r="PFL3" t="str">
        <f>IFERROR(IF($C3="","",SUMIFS(Ledger!$K$2:$K$4, Ledger!$B$2:$B$4, $A3, Ledger!$C$2:$C$4, PFL$2)),"****")</f>
        <v/>
      </c>
      <c r="PFM3" t="str">
        <f>IFERROR(IF($C3="","",SUMIFS(Ledger!$K$2:$K$4, Ledger!$B$2:$B$4, $A3, Ledger!$C$2:$C$4, PFM$2)),"****")</f>
        <v/>
      </c>
      <c r="PFN3" t="str">
        <f>IFERROR(IF($C3="","",SUMIFS(Ledger!$K$2:$K$4, Ledger!$B$2:$B$4, $A3, Ledger!$C$2:$C$4, PFN$2)),"****")</f>
        <v/>
      </c>
      <c r="PFO3" t="str">
        <f>IFERROR(IF($C3="","",SUMIFS(Ledger!$K$2:$K$4, Ledger!$B$2:$B$4, $A3, Ledger!$C$2:$C$4, PFO$2)),"****")</f>
        <v/>
      </c>
      <c r="PFP3" t="str">
        <f>IFERROR(IF($C3="","",SUMIFS(Ledger!$K$2:$K$4, Ledger!$B$2:$B$4, $A3, Ledger!$C$2:$C$4, PFP$2)),"****")</f>
        <v/>
      </c>
      <c r="PFQ3" t="str">
        <f>IFERROR(IF($C3="","",SUMIFS(Ledger!$K$2:$K$4, Ledger!$B$2:$B$4, $A3, Ledger!$C$2:$C$4, PFQ$2)),"****")</f>
        <v/>
      </c>
      <c r="PFR3" t="str">
        <f>IFERROR(IF($C3="","",SUMIFS(Ledger!$K$2:$K$4, Ledger!$B$2:$B$4, $A3, Ledger!$C$2:$C$4, PFR$2)),"****")</f>
        <v/>
      </c>
      <c r="PFS3" t="str">
        <f>IFERROR(IF($C3="","",SUMIFS(Ledger!$K$2:$K$4, Ledger!$B$2:$B$4, $A3, Ledger!$C$2:$C$4, PFS$2)),"****")</f>
        <v/>
      </c>
      <c r="PFT3" t="str">
        <f>IFERROR(IF($C3="","",SUMIFS(Ledger!$K$2:$K$4, Ledger!$B$2:$B$4, $A3, Ledger!$C$2:$C$4, PFT$2)),"****")</f>
        <v/>
      </c>
      <c r="PFU3" t="str">
        <f>IFERROR(IF($C3="","",SUMIFS(Ledger!$K$2:$K$4, Ledger!$B$2:$B$4, $A3, Ledger!$C$2:$C$4, PFU$2)),"****")</f>
        <v/>
      </c>
      <c r="PFV3" t="str">
        <f>IFERROR(IF($C3="","",SUMIFS(Ledger!$K$2:$K$4, Ledger!$B$2:$B$4, $A3, Ledger!$C$2:$C$4, PFV$2)),"****")</f>
        <v/>
      </c>
      <c r="PFW3" t="str">
        <f>IFERROR(IF($C3="","",SUMIFS(Ledger!$K$2:$K$4, Ledger!$B$2:$B$4, $A3, Ledger!$C$2:$C$4, PFW$2)),"****")</f>
        <v/>
      </c>
      <c r="PFX3" t="str">
        <f>IFERROR(IF($C3="","",SUMIFS(Ledger!$K$2:$K$4, Ledger!$B$2:$B$4, $A3, Ledger!$C$2:$C$4, PFX$2)),"****")</f>
        <v/>
      </c>
      <c r="PFY3" t="str">
        <f>IFERROR(IF($C3="","",SUMIFS(Ledger!$K$2:$K$4, Ledger!$B$2:$B$4, $A3, Ledger!$C$2:$C$4, PFY$2)),"****")</f>
        <v/>
      </c>
      <c r="PFZ3" t="str">
        <f>IFERROR(IF($C3="","",SUMIFS(Ledger!$K$2:$K$4, Ledger!$B$2:$B$4, $A3, Ledger!$C$2:$C$4, PFZ$2)),"****")</f>
        <v/>
      </c>
      <c r="PGA3" t="str">
        <f>IFERROR(IF($C3="","",SUMIFS(Ledger!$K$2:$K$4, Ledger!$B$2:$B$4, $A3, Ledger!$C$2:$C$4, PGA$2)),"****")</f>
        <v/>
      </c>
      <c r="PGB3" t="str">
        <f>IFERROR(IF($C3="","",SUMIFS(Ledger!$K$2:$K$4, Ledger!$B$2:$B$4, $A3, Ledger!$C$2:$C$4, PGB$2)),"****")</f>
        <v/>
      </c>
      <c r="PGC3" t="str">
        <f>IFERROR(IF($C3="","",SUMIFS(Ledger!$K$2:$K$4, Ledger!$B$2:$B$4, $A3, Ledger!$C$2:$C$4, PGC$2)),"****")</f>
        <v/>
      </c>
      <c r="PGD3" t="str">
        <f>IFERROR(IF($C3="","",SUMIFS(Ledger!$K$2:$K$4, Ledger!$B$2:$B$4, $A3, Ledger!$C$2:$C$4, PGD$2)),"****")</f>
        <v/>
      </c>
      <c r="PGE3" t="str">
        <f>IFERROR(IF($C3="","",SUMIFS(Ledger!$K$2:$K$4, Ledger!$B$2:$B$4, $A3, Ledger!$C$2:$C$4, PGE$2)),"****")</f>
        <v/>
      </c>
      <c r="PGF3" t="str">
        <f>IFERROR(IF($C3="","",SUMIFS(Ledger!$K$2:$K$4, Ledger!$B$2:$B$4, $A3, Ledger!$C$2:$C$4, PGF$2)),"****")</f>
        <v/>
      </c>
      <c r="PGG3" t="str">
        <f>IFERROR(IF($C3="","",SUMIFS(Ledger!$K$2:$K$4, Ledger!$B$2:$B$4, $A3, Ledger!$C$2:$C$4, PGG$2)),"****")</f>
        <v/>
      </c>
      <c r="PGH3" t="str">
        <f>IFERROR(IF($C3="","",SUMIFS(Ledger!$K$2:$K$4, Ledger!$B$2:$B$4, $A3, Ledger!$C$2:$C$4, PGH$2)),"****")</f>
        <v/>
      </c>
      <c r="PGI3" t="str">
        <f>IFERROR(IF($C3="","",SUMIFS(Ledger!$K$2:$K$4, Ledger!$B$2:$B$4, $A3, Ledger!$C$2:$C$4, PGI$2)),"****")</f>
        <v/>
      </c>
      <c r="PGJ3" t="str">
        <f>IFERROR(IF($C3="","",SUMIFS(Ledger!$K$2:$K$4, Ledger!$B$2:$B$4, $A3, Ledger!$C$2:$C$4, PGJ$2)),"****")</f>
        <v/>
      </c>
      <c r="PGK3" t="str">
        <f>IFERROR(IF($C3="","",SUMIFS(Ledger!$K$2:$K$4, Ledger!$B$2:$B$4, $A3, Ledger!$C$2:$C$4, PGK$2)),"****")</f>
        <v/>
      </c>
      <c r="PGL3" t="str">
        <f>IFERROR(IF($C3="","",SUMIFS(Ledger!$K$2:$K$4, Ledger!$B$2:$B$4, $A3, Ledger!$C$2:$C$4, PGL$2)),"****")</f>
        <v/>
      </c>
      <c r="PGM3" t="str">
        <f>IFERROR(IF($C3="","",SUMIFS(Ledger!$K$2:$K$4, Ledger!$B$2:$B$4, $A3, Ledger!$C$2:$C$4, PGM$2)),"****")</f>
        <v/>
      </c>
      <c r="PGN3" t="str">
        <f>IFERROR(IF($C3="","",SUMIFS(Ledger!$K$2:$K$4, Ledger!$B$2:$B$4, $A3, Ledger!$C$2:$C$4, PGN$2)),"****")</f>
        <v/>
      </c>
      <c r="PGO3" t="str">
        <f>IFERROR(IF($C3="","",SUMIFS(Ledger!$K$2:$K$4, Ledger!$B$2:$B$4, $A3, Ledger!$C$2:$C$4, PGO$2)),"****")</f>
        <v/>
      </c>
      <c r="PGP3" t="str">
        <f>IFERROR(IF($C3="","",SUMIFS(Ledger!$K$2:$K$4, Ledger!$B$2:$B$4, $A3, Ledger!$C$2:$C$4, PGP$2)),"****")</f>
        <v/>
      </c>
      <c r="PGQ3" t="str">
        <f>IFERROR(IF($C3="","",SUMIFS(Ledger!$K$2:$K$4, Ledger!$B$2:$B$4, $A3, Ledger!$C$2:$C$4, PGQ$2)),"****")</f>
        <v/>
      </c>
      <c r="PGR3" t="str">
        <f>IFERROR(IF($C3="","",SUMIFS(Ledger!$K$2:$K$4, Ledger!$B$2:$B$4, $A3, Ledger!$C$2:$C$4, PGR$2)),"****")</f>
        <v/>
      </c>
      <c r="PGS3" t="str">
        <f>IFERROR(IF($C3="","",SUMIFS(Ledger!$K$2:$K$4, Ledger!$B$2:$B$4, $A3, Ledger!$C$2:$C$4, PGS$2)),"****")</f>
        <v/>
      </c>
      <c r="PGT3" t="str">
        <f>IFERROR(IF($C3="","",SUMIFS(Ledger!$K$2:$K$4, Ledger!$B$2:$B$4, $A3, Ledger!$C$2:$C$4, PGT$2)),"****")</f>
        <v/>
      </c>
      <c r="PGU3" t="str">
        <f>IFERROR(IF($C3="","",SUMIFS(Ledger!$K$2:$K$4, Ledger!$B$2:$B$4, $A3, Ledger!$C$2:$C$4, PGU$2)),"****")</f>
        <v/>
      </c>
      <c r="PGV3" t="str">
        <f>IFERROR(IF($C3="","",SUMIFS(Ledger!$K$2:$K$4, Ledger!$B$2:$B$4, $A3, Ledger!$C$2:$C$4, PGV$2)),"****")</f>
        <v/>
      </c>
      <c r="PGW3" t="str">
        <f>IFERROR(IF($C3="","",SUMIFS(Ledger!$K$2:$K$4, Ledger!$B$2:$B$4, $A3, Ledger!$C$2:$C$4, PGW$2)),"****")</f>
        <v/>
      </c>
      <c r="PGX3" t="str">
        <f>IFERROR(IF($C3="","",SUMIFS(Ledger!$K$2:$K$4, Ledger!$B$2:$B$4, $A3, Ledger!$C$2:$C$4, PGX$2)),"****")</f>
        <v/>
      </c>
      <c r="PGY3" t="str">
        <f>IFERROR(IF($C3="","",SUMIFS(Ledger!$K$2:$K$4, Ledger!$B$2:$B$4, $A3, Ledger!$C$2:$C$4, PGY$2)),"****")</f>
        <v/>
      </c>
      <c r="PGZ3" t="str">
        <f>IFERROR(IF($C3="","",SUMIFS(Ledger!$K$2:$K$4, Ledger!$B$2:$B$4, $A3, Ledger!$C$2:$C$4, PGZ$2)),"****")</f>
        <v/>
      </c>
      <c r="PHA3" t="str">
        <f>IFERROR(IF($C3="","",SUMIFS(Ledger!$K$2:$K$4, Ledger!$B$2:$B$4, $A3, Ledger!$C$2:$C$4, PHA$2)),"****")</f>
        <v/>
      </c>
      <c r="PHB3" t="str">
        <f>IFERROR(IF($C3="","",SUMIFS(Ledger!$K$2:$K$4, Ledger!$B$2:$B$4, $A3, Ledger!$C$2:$C$4, PHB$2)),"****")</f>
        <v/>
      </c>
      <c r="PHC3" t="str">
        <f>IFERROR(IF($C3="","",SUMIFS(Ledger!$K$2:$K$4, Ledger!$B$2:$B$4, $A3, Ledger!$C$2:$C$4, PHC$2)),"****")</f>
        <v/>
      </c>
      <c r="PHD3" t="str">
        <f>IFERROR(IF($C3="","",SUMIFS(Ledger!$K$2:$K$4, Ledger!$B$2:$B$4, $A3, Ledger!$C$2:$C$4, PHD$2)),"****")</f>
        <v/>
      </c>
      <c r="PHE3" t="str">
        <f>IFERROR(IF($C3="","",SUMIFS(Ledger!$K$2:$K$4, Ledger!$B$2:$B$4, $A3, Ledger!$C$2:$C$4, PHE$2)),"****")</f>
        <v/>
      </c>
      <c r="PHF3" t="str">
        <f>IFERROR(IF($C3="","",SUMIFS(Ledger!$K$2:$K$4, Ledger!$B$2:$B$4, $A3, Ledger!$C$2:$C$4, PHF$2)),"****")</f>
        <v/>
      </c>
      <c r="PHG3" t="str">
        <f>IFERROR(IF($C3="","",SUMIFS(Ledger!$K$2:$K$4, Ledger!$B$2:$B$4, $A3, Ledger!$C$2:$C$4, PHG$2)),"****")</f>
        <v/>
      </c>
      <c r="PHH3" t="str">
        <f>IFERROR(IF($C3="","",SUMIFS(Ledger!$K$2:$K$4, Ledger!$B$2:$B$4, $A3, Ledger!$C$2:$C$4, PHH$2)),"****")</f>
        <v/>
      </c>
      <c r="PHI3" t="str">
        <f>IFERROR(IF($C3="","",SUMIFS(Ledger!$K$2:$K$4, Ledger!$B$2:$B$4, $A3, Ledger!$C$2:$C$4, PHI$2)),"****")</f>
        <v/>
      </c>
      <c r="PHJ3" t="str">
        <f>IFERROR(IF($C3="","",SUMIFS(Ledger!$K$2:$K$4, Ledger!$B$2:$B$4, $A3, Ledger!$C$2:$C$4, PHJ$2)),"****")</f>
        <v/>
      </c>
      <c r="PHK3" t="str">
        <f>IFERROR(IF($C3="","",SUMIFS(Ledger!$K$2:$K$4, Ledger!$B$2:$B$4, $A3, Ledger!$C$2:$C$4, PHK$2)),"****")</f>
        <v/>
      </c>
      <c r="PHL3" t="str">
        <f>IFERROR(IF($C3="","",SUMIFS(Ledger!$K$2:$K$4, Ledger!$B$2:$B$4, $A3, Ledger!$C$2:$C$4, PHL$2)),"****")</f>
        <v/>
      </c>
      <c r="PHM3" t="str">
        <f>IFERROR(IF($C3="","",SUMIFS(Ledger!$K$2:$K$4, Ledger!$B$2:$B$4, $A3, Ledger!$C$2:$C$4, PHM$2)),"****")</f>
        <v/>
      </c>
      <c r="PHN3" t="str">
        <f>IFERROR(IF($C3="","",SUMIFS(Ledger!$K$2:$K$4, Ledger!$B$2:$B$4, $A3, Ledger!$C$2:$C$4, PHN$2)),"****")</f>
        <v/>
      </c>
      <c r="PHO3" t="str">
        <f>IFERROR(IF($C3="","",SUMIFS(Ledger!$K$2:$K$4, Ledger!$B$2:$B$4, $A3, Ledger!$C$2:$C$4, PHO$2)),"****")</f>
        <v/>
      </c>
      <c r="PHP3" t="str">
        <f>IFERROR(IF($C3="","",SUMIFS(Ledger!$K$2:$K$4, Ledger!$B$2:$B$4, $A3, Ledger!$C$2:$C$4, PHP$2)),"****")</f>
        <v/>
      </c>
      <c r="PHQ3" t="str">
        <f>IFERROR(IF($C3="","",SUMIFS(Ledger!$K$2:$K$4, Ledger!$B$2:$B$4, $A3, Ledger!$C$2:$C$4, PHQ$2)),"****")</f>
        <v/>
      </c>
      <c r="PHR3" t="str">
        <f>IFERROR(IF($C3="","",SUMIFS(Ledger!$K$2:$K$4, Ledger!$B$2:$B$4, $A3, Ledger!$C$2:$C$4, PHR$2)),"****")</f>
        <v/>
      </c>
      <c r="PHS3" t="str">
        <f>IFERROR(IF($C3="","",SUMIFS(Ledger!$K$2:$K$4, Ledger!$B$2:$B$4, $A3, Ledger!$C$2:$C$4, PHS$2)),"****")</f>
        <v/>
      </c>
      <c r="PHT3" t="str">
        <f>IFERROR(IF($C3="","",SUMIFS(Ledger!$K$2:$K$4, Ledger!$B$2:$B$4, $A3, Ledger!$C$2:$C$4, PHT$2)),"****")</f>
        <v/>
      </c>
      <c r="PHU3" t="str">
        <f>IFERROR(IF($C3="","",SUMIFS(Ledger!$K$2:$K$4, Ledger!$B$2:$B$4, $A3, Ledger!$C$2:$C$4, PHU$2)),"****")</f>
        <v/>
      </c>
      <c r="PHV3" t="str">
        <f>IFERROR(IF($C3="","",SUMIFS(Ledger!$K$2:$K$4, Ledger!$B$2:$B$4, $A3, Ledger!$C$2:$C$4, PHV$2)),"****")</f>
        <v/>
      </c>
      <c r="PHW3" t="str">
        <f>IFERROR(IF($C3="","",SUMIFS(Ledger!$K$2:$K$4, Ledger!$B$2:$B$4, $A3, Ledger!$C$2:$C$4, PHW$2)),"****")</f>
        <v/>
      </c>
      <c r="PHX3" t="str">
        <f>IFERROR(IF($C3="","",SUMIFS(Ledger!$K$2:$K$4, Ledger!$B$2:$B$4, $A3, Ledger!$C$2:$C$4, PHX$2)),"****")</f>
        <v/>
      </c>
      <c r="PHY3" t="str">
        <f>IFERROR(IF($C3="","",SUMIFS(Ledger!$K$2:$K$4, Ledger!$B$2:$B$4, $A3, Ledger!$C$2:$C$4, PHY$2)),"****")</f>
        <v/>
      </c>
      <c r="PHZ3" t="str">
        <f>IFERROR(IF($C3="","",SUMIFS(Ledger!$K$2:$K$4, Ledger!$B$2:$B$4, $A3, Ledger!$C$2:$C$4, PHZ$2)),"****")</f>
        <v/>
      </c>
      <c r="PIA3" t="str">
        <f>IFERROR(IF($C3="","",SUMIFS(Ledger!$K$2:$K$4, Ledger!$B$2:$B$4, $A3, Ledger!$C$2:$C$4, PIA$2)),"****")</f>
        <v/>
      </c>
      <c r="PIB3" t="str">
        <f>IFERROR(IF($C3="","",SUMIFS(Ledger!$K$2:$K$4, Ledger!$B$2:$B$4, $A3, Ledger!$C$2:$C$4, PIB$2)),"****")</f>
        <v/>
      </c>
      <c r="PIC3" t="str">
        <f>IFERROR(IF($C3="","",SUMIFS(Ledger!$K$2:$K$4, Ledger!$B$2:$B$4, $A3, Ledger!$C$2:$C$4, PIC$2)),"****")</f>
        <v/>
      </c>
      <c r="PID3" t="str">
        <f>IFERROR(IF($C3="","",SUMIFS(Ledger!$K$2:$K$4, Ledger!$B$2:$B$4, $A3, Ledger!$C$2:$C$4, PID$2)),"****")</f>
        <v/>
      </c>
      <c r="PIE3" t="str">
        <f>IFERROR(IF($C3="","",SUMIFS(Ledger!$K$2:$K$4, Ledger!$B$2:$B$4, $A3, Ledger!$C$2:$C$4, PIE$2)),"****")</f>
        <v/>
      </c>
      <c r="PIF3" t="str">
        <f>IFERROR(IF($C3="","",SUMIFS(Ledger!$K$2:$K$4, Ledger!$B$2:$B$4, $A3, Ledger!$C$2:$C$4, PIF$2)),"****")</f>
        <v/>
      </c>
      <c r="PIG3" t="str">
        <f>IFERROR(IF($C3="","",SUMIFS(Ledger!$K$2:$K$4, Ledger!$B$2:$B$4, $A3, Ledger!$C$2:$C$4, PIG$2)),"****")</f>
        <v/>
      </c>
      <c r="PIH3" t="str">
        <f>IFERROR(IF($C3="","",SUMIFS(Ledger!$K$2:$K$4, Ledger!$B$2:$B$4, $A3, Ledger!$C$2:$C$4, PIH$2)),"****")</f>
        <v/>
      </c>
      <c r="PII3" t="str">
        <f>IFERROR(IF($C3="","",SUMIFS(Ledger!$K$2:$K$4, Ledger!$B$2:$B$4, $A3, Ledger!$C$2:$C$4, PII$2)),"****")</f>
        <v/>
      </c>
      <c r="PIJ3" t="str">
        <f>IFERROR(IF($C3="","",SUMIFS(Ledger!$K$2:$K$4, Ledger!$B$2:$B$4, $A3, Ledger!$C$2:$C$4, PIJ$2)),"****")</f>
        <v/>
      </c>
      <c r="PIK3" t="str">
        <f>IFERROR(IF($C3="","",SUMIFS(Ledger!$K$2:$K$4, Ledger!$B$2:$B$4, $A3, Ledger!$C$2:$C$4, PIK$2)),"****")</f>
        <v/>
      </c>
      <c r="PIL3" t="str">
        <f>IFERROR(IF($C3="","",SUMIFS(Ledger!$K$2:$K$4, Ledger!$B$2:$B$4, $A3, Ledger!$C$2:$C$4, PIL$2)),"****")</f>
        <v/>
      </c>
      <c r="PIM3" t="str">
        <f>IFERROR(IF($C3="","",SUMIFS(Ledger!$K$2:$K$4, Ledger!$B$2:$B$4, $A3, Ledger!$C$2:$C$4, PIM$2)),"****")</f>
        <v/>
      </c>
      <c r="PIN3" t="str">
        <f>IFERROR(IF($C3="","",SUMIFS(Ledger!$K$2:$K$4, Ledger!$B$2:$B$4, $A3, Ledger!$C$2:$C$4, PIN$2)),"****")</f>
        <v/>
      </c>
      <c r="PIO3" t="str">
        <f>IFERROR(IF($C3="","",SUMIFS(Ledger!$K$2:$K$4, Ledger!$B$2:$B$4, $A3, Ledger!$C$2:$C$4, PIO$2)),"****")</f>
        <v/>
      </c>
      <c r="PIP3" t="str">
        <f>IFERROR(IF($C3="","",SUMIFS(Ledger!$K$2:$K$4, Ledger!$B$2:$B$4, $A3, Ledger!$C$2:$C$4, PIP$2)),"****")</f>
        <v/>
      </c>
      <c r="PIQ3" t="str">
        <f>IFERROR(IF($C3="","",SUMIFS(Ledger!$K$2:$K$4, Ledger!$B$2:$B$4, $A3, Ledger!$C$2:$C$4, PIQ$2)),"****")</f>
        <v/>
      </c>
      <c r="PIR3" t="str">
        <f>IFERROR(IF($C3="","",SUMIFS(Ledger!$K$2:$K$4, Ledger!$B$2:$B$4, $A3, Ledger!$C$2:$C$4, PIR$2)),"****")</f>
        <v/>
      </c>
      <c r="PIS3" t="str">
        <f>IFERROR(IF($C3="","",SUMIFS(Ledger!$K$2:$K$4, Ledger!$B$2:$B$4, $A3, Ledger!$C$2:$C$4, PIS$2)),"****")</f>
        <v/>
      </c>
      <c r="PIT3" t="str">
        <f>IFERROR(IF($C3="","",SUMIFS(Ledger!$K$2:$K$4, Ledger!$B$2:$B$4, $A3, Ledger!$C$2:$C$4, PIT$2)),"****")</f>
        <v/>
      </c>
      <c r="PIU3" t="str">
        <f>IFERROR(IF($C3="","",SUMIFS(Ledger!$K$2:$K$4, Ledger!$B$2:$B$4, $A3, Ledger!$C$2:$C$4, PIU$2)),"****")</f>
        <v/>
      </c>
      <c r="PIV3" t="str">
        <f>IFERROR(IF($C3="","",SUMIFS(Ledger!$K$2:$K$4, Ledger!$B$2:$B$4, $A3, Ledger!$C$2:$C$4, PIV$2)),"****")</f>
        <v/>
      </c>
      <c r="PIW3" t="str">
        <f>IFERROR(IF($C3="","",SUMIFS(Ledger!$K$2:$K$4, Ledger!$B$2:$B$4, $A3, Ledger!$C$2:$C$4, PIW$2)),"****")</f>
        <v/>
      </c>
      <c r="PIX3" t="str">
        <f>IFERROR(IF($C3="","",SUMIFS(Ledger!$K$2:$K$4, Ledger!$B$2:$B$4, $A3, Ledger!$C$2:$C$4, PIX$2)),"****")</f>
        <v/>
      </c>
      <c r="PIY3" t="str">
        <f>IFERROR(IF($C3="","",SUMIFS(Ledger!$K$2:$K$4, Ledger!$B$2:$B$4, $A3, Ledger!$C$2:$C$4, PIY$2)),"****")</f>
        <v/>
      </c>
      <c r="PIZ3" t="str">
        <f>IFERROR(IF($C3="","",SUMIFS(Ledger!$K$2:$K$4, Ledger!$B$2:$B$4, $A3, Ledger!$C$2:$C$4, PIZ$2)),"****")</f>
        <v/>
      </c>
      <c r="PJA3" t="str">
        <f>IFERROR(IF($C3="","",SUMIFS(Ledger!$K$2:$K$4, Ledger!$B$2:$B$4, $A3, Ledger!$C$2:$C$4, PJA$2)),"****")</f>
        <v/>
      </c>
      <c r="PJB3" t="str">
        <f>IFERROR(IF($C3="","",SUMIFS(Ledger!$K$2:$K$4, Ledger!$B$2:$B$4, $A3, Ledger!$C$2:$C$4, PJB$2)),"****")</f>
        <v/>
      </c>
      <c r="PJC3" t="str">
        <f>IFERROR(IF($C3="","",SUMIFS(Ledger!$K$2:$K$4, Ledger!$B$2:$B$4, $A3, Ledger!$C$2:$C$4, PJC$2)),"****")</f>
        <v/>
      </c>
      <c r="PJD3" t="str">
        <f>IFERROR(IF($C3="","",SUMIFS(Ledger!$K$2:$K$4, Ledger!$B$2:$B$4, $A3, Ledger!$C$2:$C$4, PJD$2)),"****")</f>
        <v/>
      </c>
      <c r="PJE3" t="str">
        <f>IFERROR(IF($C3="","",SUMIFS(Ledger!$K$2:$K$4, Ledger!$B$2:$B$4, $A3, Ledger!$C$2:$C$4, PJE$2)),"****")</f>
        <v/>
      </c>
      <c r="PJF3" t="str">
        <f>IFERROR(IF($C3="","",SUMIFS(Ledger!$K$2:$K$4, Ledger!$B$2:$B$4, $A3, Ledger!$C$2:$C$4, PJF$2)),"****")</f>
        <v/>
      </c>
      <c r="PJG3" t="str">
        <f>IFERROR(IF($C3="","",SUMIFS(Ledger!$K$2:$K$4, Ledger!$B$2:$B$4, $A3, Ledger!$C$2:$C$4, PJG$2)),"****")</f>
        <v/>
      </c>
      <c r="PJH3" t="str">
        <f>IFERROR(IF($C3="","",SUMIFS(Ledger!$K$2:$K$4, Ledger!$B$2:$B$4, $A3, Ledger!$C$2:$C$4, PJH$2)),"****")</f>
        <v/>
      </c>
      <c r="PJI3" t="str">
        <f>IFERROR(IF($C3="","",SUMIFS(Ledger!$K$2:$K$4, Ledger!$B$2:$B$4, $A3, Ledger!$C$2:$C$4, PJI$2)),"****")</f>
        <v/>
      </c>
      <c r="PJJ3" t="str">
        <f>IFERROR(IF($C3="","",SUMIFS(Ledger!$K$2:$K$4, Ledger!$B$2:$B$4, $A3, Ledger!$C$2:$C$4, PJJ$2)),"****")</f>
        <v/>
      </c>
      <c r="PJK3" t="str">
        <f>IFERROR(IF($C3="","",SUMIFS(Ledger!$K$2:$K$4, Ledger!$B$2:$B$4, $A3, Ledger!$C$2:$C$4, PJK$2)),"****")</f>
        <v/>
      </c>
      <c r="PJL3" t="str">
        <f>IFERROR(IF($C3="","",SUMIFS(Ledger!$K$2:$K$4, Ledger!$B$2:$B$4, $A3, Ledger!$C$2:$C$4, PJL$2)),"****")</f>
        <v/>
      </c>
      <c r="PJM3" t="str">
        <f>IFERROR(IF($C3="","",SUMIFS(Ledger!$K$2:$K$4, Ledger!$B$2:$B$4, $A3, Ledger!$C$2:$C$4, PJM$2)),"****")</f>
        <v/>
      </c>
      <c r="PJN3" t="str">
        <f>IFERROR(IF($C3="","",SUMIFS(Ledger!$K$2:$K$4, Ledger!$B$2:$B$4, $A3, Ledger!$C$2:$C$4, PJN$2)),"****")</f>
        <v/>
      </c>
      <c r="PJO3" t="str">
        <f>IFERROR(IF($C3="","",SUMIFS(Ledger!$K$2:$K$4, Ledger!$B$2:$B$4, $A3, Ledger!$C$2:$C$4, PJO$2)),"****")</f>
        <v/>
      </c>
      <c r="PJP3" t="str">
        <f>IFERROR(IF($C3="","",SUMIFS(Ledger!$K$2:$K$4, Ledger!$B$2:$B$4, $A3, Ledger!$C$2:$C$4, PJP$2)),"****")</f>
        <v/>
      </c>
      <c r="PJQ3" t="str">
        <f>IFERROR(IF($C3="","",SUMIFS(Ledger!$K$2:$K$4, Ledger!$B$2:$B$4, $A3, Ledger!$C$2:$C$4, PJQ$2)),"****")</f>
        <v/>
      </c>
      <c r="PJR3" t="str">
        <f>IFERROR(IF($C3="","",SUMIFS(Ledger!$K$2:$K$4, Ledger!$B$2:$B$4, $A3, Ledger!$C$2:$C$4, PJR$2)),"****")</f>
        <v/>
      </c>
      <c r="PJS3" t="str">
        <f>IFERROR(IF($C3="","",SUMIFS(Ledger!$K$2:$K$4, Ledger!$B$2:$B$4, $A3, Ledger!$C$2:$C$4, PJS$2)),"****")</f>
        <v/>
      </c>
      <c r="PJT3" t="str">
        <f>IFERROR(IF($C3="","",SUMIFS(Ledger!$K$2:$K$4, Ledger!$B$2:$B$4, $A3, Ledger!$C$2:$C$4, PJT$2)),"****")</f>
        <v/>
      </c>
      <c r="PJU3" t="str">
        <f>IFERROR(IF($C3="","",SUMIFS(Ledger!$K$2:$K$4, Ledger!$B$2:$B$4, $A3, Ledger!$C$2:$C$4, PJU$2)),"****")</f>
        <v/>
      </c>
      <c r="PJV3" t="str">
        <f>IFERROR(IF($C3="","",SUMIFS(Ledger!$K$2:$K$4, Ledger!$B$2:$B$4, $A3, Ledger!$C$2:$C$4, PJV$2)),"****")</f>
        <v/>
      </c>
      <c r="PJW3" t="str">
        <f>IFERROR(IF($C3="","",SUMIFS(Ledger!$K$2:$K$4, Ledger!$B$2:$B$4, $A3, Ledger!$C$2:$C$4, PJW$2)),"****")</f>
        <v/>
      </c>
      <c r="PJX3" t="str">
        <f>IFERROR(IF($C3="","",SUMIFS(Ledger!$K$2:$K$4, Ledger!$B$2:$B$4, $A3, Ledger!$C$2:$C$4, PJX$2)),"****")</f>
        <v/>
      </c>
      <c r="PJY3" t="str">
        <f>IFERROR(IF($C3="","",SUMIFS(Ledger!$K$2:$K$4, Ledger!$B$2:$B$4, $A3, Ledger!$C$2:$C$4, PJY$2)),"****")</f>
        <v/>
      </c>
      <c r="PJZ3" t="str">
        <f>IFERROR(IF($C3="","",SUMIFS(Ledger!$K$2:$K$4, Ledger!$B$2:$B$4, $A3, Ledger!$C$2:$C$4, PJZ$2)),"****")</f>
        <v/>
      </c>
      <c r="PKA3" t="str">
        <f>IFERROR(IF($C3="","",SUMIFS(Ledger!$K$2:$K$4, Ledger!$B$2:$B$4, $A3, Ledger!$C$2:$C$4, PKA$2)),"****")</f>
        <v/>
      </c>
      <c r="PKB3" t="str">
        <f>IFERROR(IF($C3="","",SUMIFS(Ledger!$K$2:$K$4, Ledger!$B$2:$B$4, $A3, Ledger!$C$2:$C$4, PKB$2)),"****")</f>
        <v/>
      </c>
      <c r="PKC3" t="str">
        <f>IFERROR(IF($C3="","",SUMIFS(Ledger!$K$2:$K$4, Ledger!$B$2:$B$4, $A3, Ledger!$C$2:$C$4, PKC$2)),"****")</f>
        <v/>
      </c>
      <c r="PKD3" t="str">
        <f>IFERROR(IF($C3="","",SUMIFS(Ledger!$K$2:$K$4, Ledger!$B$2:$B$4, $A3, Ledger!$C$2:$C$4, PKD$2)),"****")</f>
        <v/>
      </c>
      <c r="PKE3" t="str">
        <f>IFERROR(IF($C3="","",SUMIFS(Ledger!$K$2:$K$4, Ledger!$B$2:$B$4, $A3, Ledger!$C$2:$C$4, PKE$2)),"****")</f>
        <v/>
      </c>
      <c r="PKF3" t="str">
        <f>IFERROR(IF($C3="","",SUMIFS(Ledger!$K$2:$K$4, Ledger!$B$2:$B$4, $A3, Ledger!$C$2:$C$4, PKF$2)),"****")</f>
        <v/>
      </c>
      <c r="PKG3" t="str">
        <f>IFERROR(IF($C3="","",SUMIFS(Ledger!$K$2:$K$4, Ledger!$B$2:$B$4, $A3, Ledger!$C$2:$C$4, PKG$2)),"****")</f>
        <v/>
      </c>
      <c r="PKH3" t="str">
        <f>IFERROR(IF($C3="","",SUMIFS(Ledger!$K$2:$K$4, Ledger!$B$2:$B$4, $A3, Ledger!$C$2:$C$4, PKH$2)),"****")</f>
        <v/>
      </c>
      <c r="PKI3" t="str">
        <f>IFERROR(IF($C3="","",SUMIFS(Ledger!$K$2:$K$4, Ledger!$B$2:$B$4, $A3, Ledger!$C$2:$C$4, PKI$2)),"****")</f>
        <v/>
      </c>
      <c r="PKJ3" t="str">
        <f>IFERROR(IF($C3="","",SUMIFS(Ledger!$K$2:$K$4, Ledger!$B$2:$B$4, $A3, Ledger!$C$2:$C$4, PKJ$2)),"****")</f>
        <v/>
      </c>
      <c r="PKK3" t="str">
        <f>IFERROR(IF($C3="","",SUMIFS(Ledger!$K$2:$K$4, Ledger!$B$2:$B$4, $A3, Ledger!$C$2:$C$4, PKK$2)),"****")</f>
        <v/>
      </c>
      <c r="PKL3" t="str">
        <f>IFERROR(IF($C3="","",SUMIFS(Ledger!$K$2:$K$4, Ledger!$B$2:$B$4, $A3, Ledger!$C$2:$C$4, PKL$2)),"****")</f>
        <v/>
      </c>
      <c r="PKM3" t="str">
        <f>IFERROR(IF($C3="","",SUMIFS(Ledger!$K$2:$K$4, Ledger!$B$2:$B$4, $A3, Ledger!$C$2:$C$4, PKM$2)),"****")</f>
        <v/>
      </c>
      <c r="PKN3" t="str">
        <f>IFERROR(IF($C3="","",SUMIFS(Ledger!$K$2:$K$4, Ledger!$B$2:$B$4, $A3, Ledger!$C$2:$C$4, PKN$2)),"****")</f>
        <v/>
      </c>
      <c r="PKO3" t="str">
        <f>IFERROR(IF($C3="","",SUMIFS(Ledger!$K$2:$K$4, Ledger!$B$2:$B$4, $A3, Ledger!$C$2:$C$4, PKO$2)),"****")</f>
        <v/>
      </c>
      <c r="PKP3" t="str">
        <f>IFERROR(IF($C3="","",SUMIFS(Ledger!$K$2:$K$4, Ledger!$B$2:$B$4, $A3, Ledger!$C$2:$C$4, PKP$2)),"****")</f>
        <v/>
      </c>
      <c r="PKQ3" t="str">
        <f>IFERROR(IF($C3="","",SUMIFS(Ledger!$K$2:$K$4, Ledger!$B$2:$B$4, $A3, Ledger!$C$2:$C$4, PKQ$2)),"****")</f>
        <v/>
      </c>
      <c r="PKR3" t="str">
        <f>IFERROR(IF($C3="","",SUMIFS(Ledger!$K$2:$K$4, Ledger!$B$2:$B$4, $A3, Ledger!$C$2:$C$4, PKR$2)),"****")</f>
        <v/>
      </c>
      <c r="PKS3" t="str">
        <f>IFERROR(IF($C3="","",SUMIFS(Ledger!$K$2:$K$4, Ledger!$B$2:$B$4, $A3, Ledger!$C$2:$C$4, PKS$2)),"****")</f>
        <v/>
      </c>
      <c r="PKT3" t="str">
        <f>IFERROR(IF($C3="","",SUMIFS(Ledger!$K$2:$K$4, Ledger!$B$2:$B$4, $A3, Ledger!$C$2:$C$4, PKT$2)),"****")</f>
        <v/>
      </c>
      <c r="PKU3" t="str">
        <f>IFERROR(IF($C3="","",SUMIFS(Ledger!$K$2:$K$4, Ledger!$B$2:$B$4, $A3, Ledger!$C$2:$C$4, PKU$2)),"****")</f>
        <v/>
      </c>
      <c r="PKV3" t="str">
        <f>IFERROR(IF($C3="","",SUMIFS(Ledger!$K$2:$K$4, Ledger!$B$2:$B$4, $A3, Ledger!$C$2:$C$4, PKV$2)),"****")</f>
        <v/>
      </c>
      <c r="PKW3" t="str">
        <f>IFERROR(IF($C3="","",SUMIFS(Ledger!$K$2:$K$4, Ledger!$B$2:$B$4, $A3, Ledger!$C$2:$C$4, PKW$2)),"****")</f>
        <v/>
      </c>
      <c r="PKX3" t="str">
        <f>IFERROR(IF($C3="","",SUMIFS(Ledger!$K$2:$K$4, Ledger!$B$2:$B$4, $A3, Ledger!$C$2:$C$4, PKX$2)),"****")</f>
        <v/>
      </c>
      <c r="PKY3" t="str">
        <f>IFERROR(IF($C3="","",SUMIFS(Ledger!$K$2:$K$4, Ledger!$B$2:$B$4, $A3, Ledger!$C$2:$C$4, PKY$2)),"****")</f>
        <v/>
      </c>
      <c r="PKZ3" t="str">
        <f>IFERROR(IF($C3="","",SUMIFS(Ledger!$K$2:$K$4, Ledger!$B$2:$B$4, $A3, Ledger!$C$2:$C$4, PKZ$2)),"****")</f>
        <v/>
      </c>
      <c r="PLA3" t="str">
        <f>IFERROR(IF($C3="","",SUMIFS(Ledger!$K$2:$K$4, Ledger!$B$2:$B$4, $A3, Ledger!$C$2:$C$4, PLA$2)),"****")</f>
        <v/>
      </c>
      <c r="PLB3" t="str">
        <f>IFERROR(IF($C3="","",SUMIFS(Ledger!$K$2:$K$4, Ledger!$B$2:$B$4, $A3, Ledger!$C$2:$C$4, PLB$2)),"****")</f>
        <v/>
      </c>
      <c r="PLC3" t="str">
        <f>IFERROR(IF($C3="","",SUMIFS(Ledger!$K$2:$K$4, Ledger!$B$2:$B$4, $A3, Ledger!$C$2:$C$4, PLC$2)),"****")</f>
        <v/>
      </c>
      <c r="PLD3" t="str">
        <f>IFERROR(IF($C3="","",SUMIFS(Ledger!$K$2:$K$4, Ledger!$B$2:$B$4, $A3, Ledger!$C$2:$C$4, PLD$2)),"****")</f>
        <v/>
      </c>
      <c r="PLE3" t="str">
        <f>IFERROR(IF($C3="","",SUMIFS(Ledger!$K$2:$K$4, Ledger!$B$2:$B$4, $A3, Ledger!$C$2:$C$4, PLE$2)),"****")</f>
        <v/>
      </c>
      <c r="PLF3" t="str">
        <f>IFERROR(IF($C3="","",SUMIFS(Ledger!$K$2:$K$4, Ledger!$B$2:$B$4, $A3, Ledger!$C$2:$C$4, PLF$2)),"****")</f>
        <v/>
      </c>
      <c r="PLG3" t="str">
        <f>IFERROR(IF($C3="","",SUMIFS(Ledger!$K$2:$K$4, Ledger!$B$2:$B$4, $A3, Ledger!$C$2:$C$4, PLG$2)),"****")</f>
        <v/>
      </c>
      <c r="PLH3" t="str">
        <f>IFERROR(IF($C3="","",SUMIFS(Ledger!$K$2:$K$4, Ledger!$B$2:$B$4, $A3, Ledger!$C$2:$C$4, PLH$2)),"****")</f>
        <v/>
      </c>
      <c r="PLI3" t="str">
        <f>IFERROR(IF($C3="","",SUMIFS(Ledger!$K$2:$K$4, Ledger!$B$2:$B$4, $A3, Ledger!$C$2:$C$4, PLI$2)),"****")</f>
        <v/>
      </c>
      <c r="PLJ3" t="str">
        <f>IFERROR(IF($C3="","",SUMIFS(Ledger!$K$2:$K$4, Ledger!$B$2:$B$4, $A3, Ledger!$C$2:$C$4, PLJ$2)),"****")</f>
        <v/>
      </c>
      <c r="PLK3" t="str">
        <f>IFERROR(IF($C3="","",SUMIFS(Ledger!$K$2:$K$4, Ledger!$B$2:$B$4, $A3, Ledger!$C$2:$C$4, PLK$2)),"****")</f>
        <v/>
      </c>
      <c r="PLL3" t="str">
        <f>IFERROR(IF($C3="","",SUMIFS(Ledger!$K$2:$K$4, Ledger!$B$2:$B$4, $A3, Ledger!$C$2:$C$4, PLL$2)),"****")</f>
        <v/>
      </c>
      <c r="PLM3" t="str">
        <f>IFERROR(IF($C3="","",SUMIFS(Ledger!$K$2:$K$4, Ledger!$B$2:$B$4, $A3, Ledger!$C$2:$C$4, PLM$2)),"****")</f>
        <v/>
      </c>
      <c r="PLN3" t="str">
        <f>IFERROR(IF($C3="","",SUMIFS(Ledger!$K$2:$K$4, Ledger!$B$2:$B$4, $A3, Ledger!$C$2:$C$4, PLN$2)),"****")</f>
        <v/>
      </c>
      <c r="PLO3" t="str">
        <f>IFERROR(IF($C3="","",SUMIFS(Ledger!$K$2:$K$4, Ledger!$B$2:$B$4, $A3, Ledger!$C$2:$C$4, PLO$2)),"****")</f>
        <v/>
      </c>
      <c r="PLP3" t="str">
        <f>IFERROR(IF($C3="","",SUMIFS(Ledger!$K$2:$K$4, Ledger!$B$2:$B$4, $A3, Ledger!$C$2:$C$4, PLP$2)),"****")</f>
        <v/>
      </c>
      <c r="PLQ3" t="str">
        <f>IFERROR(IF($C3="","",SUMIFS(Ledger!$K$2:$K$4, Ledger!$B$2:$B$4, $A3, Ledger!$C$2:$C$4, PLQ$2)),"****")</f>
        <v/>
      </c>
      <c r="PLR3" t="str">
        <f>IFERROR(IF($C3="","",SUMIFS(Ledger!$K$2:$K$4, Ledger!$B$2:$B$4, $A3, Ledger!$C$2:$C$4, PLR$2)),"****")</f>
        <v/>
      </c>
      <c r="PLS3" t="str">
        <f>IFERROR(IF($C3="","",SUMIFS(Ledger!$K$2:$K$4, Ledger!$B$2:$B$4, $A3, Ledger!$C$2:$C$4, PLS$2)),"****")</f>
        <v/>
      </c>
      <c r="PLT3" t="str">
        <f>IFERROR(IF($C3="","",SUMIFS(Ledger!$K$2:$K$4, Ledger!$B$2:$B$4, $A3, Ledger!$C$2:$C$4, PLT$2)),"****")</f>
        <v/>
      </c>
      <c r="PLU3" t="str">
        <f>IFERROR(IF($C3="","",SUMIFS(Ledger!$K$2:$K$4, Ledger!$B$2:$B$4, $A3, Ledger!$C$2:$C$4, PLU$2)),"****")</f>
        <v/>
      </c>
      <c r="PLV3" t="str">
        <f>IFERROR(IF($C3="","",SUMIFS(Ledger!$K$2:$K$4, Ledger!$B$2:$B$4, $A3, Ledger!$C$2:$C$4, PLV$2)),"****")</f>
        <v/>
      </c>
      <c r="PLW3" t="str">
        <f>IFERROR(IF($C3="","",SUMIFS(Ledger!$K$2:$K$4, Ledger!$B$2:$B$4, $A3, Ledger!$C$2:$C$4, PLW$2)),"****")</f>
        <v/>
      </c>
      <c r="PLX3" t="str">
        <f>IFERROR(IF($C3="","",SUMIFS(Ledger!$K$2:$K$4, Ledger!$B$2:$B$4, $A3, Ledger!$C$2:$C$4, PLX$2)),"****")</f>
        <v/>
      </c>
      <c r="PLY3" t="str">
        <f>IFERROR(IF($C3="","",SUMIFS(Ledger!$K$2:$K$4, Ledger!$B$2:$B$4, $A3, Ledger!$C$2:$C$4, PLY$2)),"****")</f>
        <v/>
      </c>
      <c r="PLZ3" t="str">
        <f>IFERROR(IF($C3="","",SUMIFS(Ledger!$K$2:$K$4, Ledger!$B$2:$B$4, $A3, Ledger!$C$2:$C$4, PLZ$2)),"****")</f>
        <v/>
      </c>
      <c r="PMA3" t="str">
        <f>IFERROR(IF($C3="","",SUMIFS(Ledger!$K$2:$K$4, Ledger!$B$2:$B$4, $A3, Ledger!$C$2:$C$4, PMA$2)),"****")</f>
        <v/>
      </c>
      <c r="PMB3" t="str">
        <f>IFERROR(IF($C3="","",SUMIFS(Ledger!$K$2:$K$4, Ledger!$B$2:$B$4, $A3, Ledger!$C$2:$C$4, PMB$2)),"****")</f>
        <v/>
      </c>
      <c r="PMC3" t="str">
        <f>IFERROR(IF($C3="","",SUMIFS(Ledger!$K$2:$K$4, Ledger!$B$2:$B$4, $A3, Ledger!$C$2:$C$4, PMC$2)),"****")</f>
        <v/>
      </c>
      <c r="PMD3" t="str">
        <f>IFERROR(IF($C3="","",SUMIFS(Ledger!$K$2:$K$4, Ledger!$B$2:$B$4, $A3, Ledger!$C$2:$C$4, PMD$2)),"****")</f>
        <v/>
      </c>
      <c r="PME3" t="str">
        <f>IFERROR(IF($C3="","",SUMIFS(Ledger!$K$2:$K$4, Ledger!$B$2:$B$4, $A3, Ledger!$C$2:$C$4, PME$2)),"****")</f>
        <v/>
      </c>
      <c r="PMF3" t="str">
        <f>IFERROR(IF($C3="","",SUMIFS(Ledger!$K$2:$K$4, Ledger!$B$2:$B$4, $A3, Ledger!$C$2:$C$4, PMF$2)),"****")</f>
        <v/>
      </c>
      <c r="PMG3" t="str">
        <f>IFERROR(IF($C3="","",SUMIFS(Ledger!$K$2:$K$4, Ledger!$B$2:$B$4, $A3, Ledger!$C$2:$C$4, PMG$2)),"****")</f>
        <v/>
      </c>
      <c r="PMH3" t="str">
        <f>IFERROR(IF($C3="","",SUMIFS(Ledger!$K$2:$K$4, Ledger!$B$2:$B$4, $A3, Ledger!$C$2:$C$4, PMH$2)),"****")</f>
        <v/>
      </c>
      <c r="PMI3" t="str">
        <f>IFERROR(IF($C3="","",SUMIFS(Ledger!$K$2:$K$4, Ledger!$B$2:$B$4, $A3, Ledger!$C$2:$C$4, PMI$2)),"****")</f>
        <v/>
      </c>
      <c r="PMJ3" t="str">
        <f>IFERROR(IF($C3="","",SUMIFS(Ledger!$K$2:$K$4, Ledger!$B$2:$B$4, $A3, Ledger!$C$2:$C$4, PMJ$2)),"****")</f>
        <v/>
      </c>
      <c r="PMK3" t="str">
        <f>IFERROR(IF($C3="","",SUMIFS(Ledger!$K$2:$K$4, Ledger!$B$2:$B$4, $A3, Ledger!$C$2:$C$4, PMK$2)),"****")</f>
        <v/>
      </c>
      <c r="PML3" t="str">
        <f>IFERROR(IF($C3="","",SUMIFS(Ledger!$K$2:$K$4, Ledger!$B$2:$B$4, $A3, Ledger!$C$2:$C$4, PML$2)),"****")</f>
        <v/>
      </c>
      <c r="PMM3" t="str">
        <f>IFERROR(IF($C3="","",SUMIFS(Ledger!$K$2:$K$4, Ledger!$B$2:$B$4, $A3, Ledger!$C$2:$C$4, PMM$2)),"****")</f>
        <v/>
      </c>
      <c r="PMN3" t="str">
        <f>IFERROR(IF($C3="","",SUMIFS(Ledger!$K$2:$K$4, Ledger!$B$2:$B$4, $A3, Ledger!$C$2:$C$4, PMN$2)),"****")</f>
        <v/>
      </c>
      <c r="PMO3" t="str">
        <f>IFERROR(IF($C3="","",SUMIFS(Ledger!$K$2:$K$4, Ledger!$B$2:$B$4, $A3, Ledger!$C$2:$C$4, PMO$2)),"****")</f>
        <v/>
      </c>
      <c r="PMP3" t="str">
        <f>IFERROR(IF($C3="","",SUMIFS(Ledger!$K$2:$K$4, Ledger!$B$2:$B$4, $A3, Ledger!$C$2:$C$4, PMP$2)),"****")</f>
        <v/>
      </c>
      <c r="PMQ3" t="str">
        <f>IFERROR(IF($C3="","",SUMIFS(Ledger!$K$2:$K$4, Ledger!$B$2:$B$4, $A3, Ledger!$C$2:$C$4, PMQ$2)),"****")</f>
        <v/>
      </c>
      <c r="PMR3" t="str">
        <f>IFERROR(IF($C3="","",SUMIFS(Ledger!$K$2:$K$4, Ledger!$B$2:$B$4, $A3, Ledger!$C$2:$C$4, PMR$2)),"****")</f>
        <v/>
      </c>
      <c r="PMS3" t="str">
        <f>IFERROR(IF($C3="","",SUMIFS(Ledger!$K$2:$K$4, Ledger!$B$2:$B$4, $A3, Ledger!$C$2:$C$4, PMS$2)),"****")</f>
        <v/>
      </c>
      <c r="PMT3" t="str">
        <f>IFERROR(IF($C3="","",SUMIFS(Ledger!$K$2:$K$4, Ledger!$B$2:$B$4, $A3, Ledger!$C$2:$C$4, PMT$2)),"****")</f>
        <v/>
      </c>
      <c r="PMU3" t="str">
        <f>IFERROR(IF($C3="","",SUMIFS(Ledger!$K$2:$K$4, Ledger!$B$2:$B$4, $A3, Ledger!$C$2:$C$4, PMU$2)),"****")</f>
        <v/>
      </c>
      <c r="PMV3" t="str">
        <f>IFERROR(IF($C3="","",SUMIFS(Ledger!$K$2:$K$4, Ledger!$B$2:$B$4, $A3, Ledger!$C$2:$C$4, PMV$2)),"****")</f>
        <v/>
      </c>
      <c r="PMW3" t="str">
        <f>IFERROR(IF($C3="","",SUMIFS(Ledger!$K$2:$K$4, Ledger!$B$2:$B$4, $A3, Ledger!$C$2:$C$4, PMW$2)),"****")</f>
        <v/>
      </c>
      <c r="PMX3" t="str">
        <f>IFERROR(IF($C3="","",SUMIFS(Ledger!$K$2:$K$4, Ledger!$B$2:$B$4, $A3, Ledger!$C$2:$C$4, PMX$2)),"****")</f>
        <v/>
      </c>
      <c r="PMY3" t="str">
        <f>IFERROR(IF($C3="","",SUMIFS(Ledger!$K$2:$K$4, Ledger!$B$2:$B$4, $A3, Ledger!$C$2:$C$4, PMY$2)),"****")</f>
        <v/>
      </c>
      <c r="PMZ3" t="str">
        <f>IFERROR(IF($C3="","",SUMIFS(Ledger!$K$2:$K$4, Ledger!$B$2:$B$4, $A3, Ledger!$C$2:$C$4, PMZ$2)),"****")</f>
        <v/>
      </c>
      <c r="PNA3" t="str">
        <f>IFERROR(IF($C3="","",SUMIFS(Ledger!$K$2:$K$4, Ledger!$B$2:$B$4, $A3, Ledger!$C$2:$C$4, PNA$2)),"****")</f>
        <v/>
      </c>
      <c r="PNB3" t="str">
        <f>IFERROR(IF($C3="","",SUMIFS(Ledger!$K$2:$K$4, Ledger!$B$2:$B$4, $A3, Ledger!$C$2:$C$4, PNB$2)),"****")</f>
        <v/>
      </c>
      <c r="PNC3" t="str">
        <f>IFERROR(IF($C3="","",SUMIFS(Ledger!$K$2:$K$4, Ledger!$B$2:$B$4, $A3, Ledger!$C$2:$C$4, PNC$2)),"****")</f>
        <v/>
      </c>
      <c r="PND3" t="str">
        <f>IFERROR(IF($C3="","",SUMIFS(Ledger!$K$2:$K$4, Ledger!$B$2:$B$4, $A3, Ledger!$C$2:$C$4, PND$2)),"****")</f>
        <v/>
      </c>
      <c r="PNE3" t="str">
        <f>IFERROR(IF($C3="","",SUMIFS(Ledger!$K$2:$K$4, Ledger!$B$2:$B$4, $A3, Ledger!$C$2:$C$4, PNE$2)),"****")</f>
        <v/>
      </c>
      <c r="PNF3" t="str">
        <f>IFERROR(IF($C3="","",SUMIFS(Ledger!$K$2:$K$4, Ledger!$B$2:$B$4, $A3, Ledger!$C$2:$C$4, PNF$2)),"****")</f>
        <v/>
      </c>
      <c r="PNG3" t="str">
        <f>IFERROR(IF($C3="","",SUMIFS(Ledger!$K$2:$K$4, Ledger!$B$2:$B$4, $A3, Ledger!$C$2:$C$4, PNG$2)),"****")</f>
        <v/>
      </c>
      <c r="PNH3" t="str">
        <f>IFERROR(IF($C3="","",SUMIFS(Ledger!$K$2:$K$4, Ledger!$B$2:$B$4, $A3, Ledger!$C$2:$C$4, PNH$2)),"****")</f>
        <v/>
      </c>
      <c r="PNI3" t="str">
        <f>IFERROR(IF($C3="","",SUMIFS(Ledger!$K$2:$K$4, Ledger!$B$2:$B$4, $A3, Ledger!$C$2:$C$4, PNI$2)),"****")</f>
        <v/>
      </c>
      <c r="PNJ3" t="str">
        <f>IFERROR(IF($C3="","",SUMIFS(Ledger!$K$2:$K$4, Ledger!$B$2:$B$4, $A3, Ledger!$C$2:$C$4, PNJ$2)),"****")</f>
        <v/>
      </c>
      <c r="PNK3" t="str">
        <f>IFERROR(IF($C3="","",SUMIFS(Ledger!$K$2:$K$4, Ledger!$B$2:$B$4, $A3, Ledger!$C$2:$C$4, PNK$2)),"****")</f>
        <v/>
      </c>
      <c r="PNL3" t="str">
        <f>IFERROR(IF($C3="","",SUMIFS(Ledger!$K$2:$K$4, Ledger!$B$2:$B$4, $A3, Ledger!$C$2:$C$4, PNL$2)),"****")</f>
        <v/>
      </c>
      <c r="PNM3" t="str">
        <f>IFERROR(IF($C3="","",SUMIFS(Ledger!$K$2:$K$4, Ledger!$B$2:$B$4, $A3, Ledger!$C$2:$C$4, PNM$2)),"****")</f>
        <v/>
      </c>
      <c r="PNN3" t="str">
        <f>IFERROR(IF($C3="","",SUMIFS(Ledger!$K$2:$K$4, Ledger!$B$2:$B$4, $A3, Ledger!$C$2:$C$4, PNN$2)),"****")</f>
        <v/>
      </c>
      <c r="PNO3" t="str">
        <f>IFERROR(IF($C3="","",SUMIFS(Ledger!$K$2:$K$4, Ledger!$B$2:$B$4, $A3, Ledger!$C$2:$C$4, PNO$2)),"****")</f>
        <v/>
      </c>
      <c r="PNP3" t="str">
        <f>IFERROR(IF($C3="","",SUMIFS(Ledger!$K$2:$K$4, Ledger!$B$2:$B$4, $A3, Ledger!$C$2:$C$4, PNP$2)),"****")</f>
        <v/>
      </c>
      <c r="PNQ3" t="str">
        <f>IFERROR(IF($C3="","",SUMIFS(Ledger!$K$2:$K$4, Ledger!$B$2:$B$4, $A3, Ledger!$C$2:$C$4, PNQ$2)),"****")</f>
        <v/>
      </c>
      <c r="PNR3" t="str">
        <f>IFERROR(IF($C3="","",SUMIFS(Ledger!$K$2:$K$4, Ledger!$B$2:$B$4, $A3, Ledger!$C$2:$C$4, PNR$2)),"****")</f>
        <v/>
      </c>
      <c r="PNS3" t="str">
        <f>IFERROR(IF($C3="","",SUMIFS(Ledger!$K$2:$K$4, Ledger!$B$2:$B$4, $A3, Ledger!$C$2:$C$4, PNS$2)),"****")</f>
        <v/>
      </c>
      <c r="PNT3" t="str">
        <f>IFERROR(IF($C3="","",SUMIFS(Ledger!$K$2:$K$4, Ledger!$B$2:$B$4, $A3, Ledger!$C$2:$C$4, PNT$2)),"****")</f>
        <v/>
      </c>
      <c r="PNU3" t="str">
        <f>IFERROR(IF($C3="","",SUMIFS(Ledger!$K$2:$K$4, Ledger!$B$2:$B$4, $A3, Ledger!$C$2:$C$4, PNU$2)),"****")</f>
        <v/>
      </c>
      <c r="PNV3" t="str">
        <f>IFERROR(IF($C3="","",SUMIFS(Ledger!$K$2:$K$4, Ledger!$B$2:$B$4, $A3, Ledger!$C$2:$C$4, PNV$2)),"****")</f>
        <v/>
      </c>
      <c r="PNW3" t="str">
        <f>IFERROR(IF($C3="","",SUMIFS(Ledger!$K$2:$K$4, Ledger!$B$2:$B$4, $A3, Ledger!$C$2:$C$4, PNW$2)),"****")</f>
        <v/>
      </c>
      <c r="PNX3" t="str">
        <f>IFERROR(IF($C3="","",SUMIFS(Ledger!$K$2:$K$4, Ledger!$B$2:$B$4, $A3, Ledger!$C$2:$C$4, PNX$2)),"****")</f>
        <v/>
      </c>
      <c r="PNY3" t="str">
        <f>IFERROR(IF($C3="","",SUMIFS(Ledger!$K$2:$K$4, Ledger!$B$2:$B$4, $A3, Ledger!$C$2:$C$4, PNY$2)),"****")</f>
        <v/>
      </c>
      <c r="PNZ3" t="str">
        <f>IFERROR(IF($C3="","",SUMIFS(Ledger!$K$2:$K$4, Ledger!$B$2:$B$4, $A3, Ledger!$C$2:$C$4, PNZ$2)),"****")</f>
        <v/>
      </c>
      <c r="POA3" t="str">
        <f>IFERROR(IF($C3="","",SUMIFS(Ledger!$K$2:$K$4, Ledger!$B$2:$B$4, $A3, Ledger!$C$2:$C$4, POA$2)),"****")</f>
        <v/>
      </c>
      <c r="POB3" t="str">
        <f>IFERROR(IF($C3="","",SUMIFS(Ledger!$K$2:$K$4, Ledger!$B$2:$B$4, $A3, Ledger!$C$2:$C$4, POB$2)),"****")</f>
        <v/>
      </c>
      <c r="POC3" t="str">
        <f>IFERROR(IF($C3="","",SUMIFS(Ledger!$K$2:$K$4, Ledger!$B$2:$B$4, $A3, Ledger!$C$2:$C$4, POC$2)),"****")</f>
        <v/>
      </c>
      <c r="POD3" t="str">
        <f>IFERROR(IF($C3="","",SUMIFS(Ledger!$K$2:$K$4, Ledger!$B$2:$B$4, $A3, Ledger!$C$2:$C$4, POD$2)),"****")</f>
        <v/>
      </c>
      <c r="POE3" t="str">
        <f>IFERROR(IF($C3="","",SUMIFS(Ledger!$K$2:$K$4, Ledger!$B$2:$B$4, $A3, Ledger!$C$2:$C$4, POE$2)),"****")</f>
        <v/>
      </c>
      <c r="POF3" t="str">
        <f>IFERROR(IF($C3="","",SUMIFS(Ledger!$K$2:$K$4, Ledger!$B$2:$B$4, $A3, Ledger!$C$2:$C$4, POF$2)),"****")</f>
        <v/>
      </c>
      <c r="POG3" t="str">
        <f>IFERROR(IF($C3="","",SUMIFS(Ledger!$K$2:$K$4, Ledger!$B$2:$B$4, $A3, Ledger!$C$2:$C$4, POG$2)),"****")</f>
        <v/>
      </c>
      <c r="POH3" t="str">
        <f>IFERROR(IF($C3="","",SUMIFS(Ledger!$K$2:$K$4, Ledger!$B$2:$B$4, $A3, Ledger!$C$2:$C$4, POH$2)),"****")</f>
        <v/>
      </c>
      <c r="POI3" t="str">
        <f>IFERROR(IF($C3="","",SUMIFS(Ledger!$K$2:$K$4, Ledger!$B$2:$B$4, $A3, Ledger!$C$2:$C$4, POI$2)),"****")</f>
        <v/>
      </c>
      <c r="POJ3" t="str">
        <f>IFERROR(IF($C3="","",SUMIFS(Ledger!$K$2:$K$4, Ledger!$B$2:$B$4, $A3, Ledger!$C$2:$C$4, POJ$2)),"****")</f>
        <v/>
      </c>
      <c r="POK3" t="str">
        <f>IFERROR(IF($C3="","",SUMIFS(Ledger!$K$2:$K$4, Ledger!$B$2:$B$4, $A3, Ledger!$C$2:$C$4, POK$2)),"****")</f>
        <v/>
      </c>
      <c r="POL3" t="str">
        <f>IFERROR(IF($C3="","",SUMIFS(Ledger!$K$2:$K$4, Ledger!$B$2:$B$4, $A3, Ledger!$C$2:$C$4, POL$2)),"****")</f>
        <v/>
      </c>
      <c r="POM3" t="str">
        <f>IFERROR(IF($C3="","",SUMIFS(Ledger!$K$2:$K$4, Ledger!$B$2:$B$4, $A3, Ledger!$C$2:$C$4, POM$2)),"****")</f>
        <v/>
      </c>
      <c r="PON3" t="str">
        <f>IFERROR(IF($C3="","",SUMIFS(Ledger!$K$2:$K$4, Ledger!$B$2:$B$4, $A3, Ledger!$C$2:$C$4, PON$2)),"****")</f>
        <v/>
      </c>
      <c r="POO3" t="str">
        <f>IFERROR(IF($C3="","",SUMIFS(Ledger!$K$2:$K$4, Ledger!$B$2:$B$4, $A3, Ledger!$C$2:$C$4, POO$2)),"****")</f>
        <v/>
      </c>
      <c r="POP3" t="str">
        <f>IFERROR(IF($C3="","",SUMIFS(Ledger!$K$2:$K$4, Ledger!$B$2:$B$4, $A3, Ledger!$C$2:$C$4, POP$2)),"****")</f>
        <v/>
      </c>
      <c r="POQ3" t="str">
        <f>IFERROR(IF($C3="","",SUMIFS(Ledger!$K$2:$K$4, Ledger!$B$2:$B$4, $A3, Ledger!$C$2:$C$4, POQ$2)),"****")</f>
        <v/>
      </c>
      <c r="POR3" t="str">
        <f>IFERROR(IF($C3="","",SUMIFS(Ledger!$K$2:$K$4, Ledger!$B$2:$B$4, $A3, Ledger!$C$2:$C$4, POR$2)),"****")</f>
        <v/>
      </c>
      <c r="POS3" t="str">
        <f>IFERROR(IF($C3="","",SUMIFS(Ledger!$K$2:$K$4, Ledger!$B$2:$B$4, $A3, Ledger!$C$2:$C$4, POS$2)),"****")</f>
        <v/>
      </c>
      <c r="POT3" t="str">
        <f>IFERROR(IF($C3="","",SUMIFS(Ledger!$K$2:$K$4, Ledger!$B$2:$B$4, $A3, Ledger!$C$2:$C$4, POT$2)),"****")</f>
        <v/>
      </c>
      <c r="POU3" t="str">
        <f>IFERROR(IF($C3="","",SUMIFS(Ledger!$K$2:$K$4, Ledger!$B$2:$B$4, $A3, Ledger!$C$2:$C$4, POU$2)),"****")</f>
        <v/>
      </c>
      <c r="POV3" t="str">
        <f>IFERROR(IF($C3="","",SUMIFS(Ledger!$K$2:$K$4, Ledger!$B$2:$B$4, $A3, Ledger!$C$2:$C$4, POV$2)),"****")</f>
        <v/>
      </c>
      <c r="POW3" t="str">
        <f>IFERROR(IF($C3="","",SUMIFS(Ledger!$K$2:$K$4, Ledger!$B$2:$B$4, $A3, Ledger!$C$2:$C$4, POW$2)),"****")</f>
        <v/>
      </c>
      <c r="POX3" t="str">
        <f>IFERROR(IF($C3="","",SUMIFS(Ledger!$K$2:$K$4, Ledger!$B$2:$B$4, $A3, Ledger!$C$2:$C$4, POX$2)),"****")</f>
        <v/>
      </c>
      <c r="POY3" t="str">
        <f>IFERROR(IF($C3="","",SUMIFS(Ledger!$K$2:$K$4, Ledger!$B$2:$B$4, $A3, Ledger!$C$2:$C$4, POY$2)),"****")</f>
        <v/>
      </c>
      <c r="POZ3" t="str">
        <f>IFERROR(IF($C3="","",SUMIFS(Ledger!$K$2:$K$4, Ledger!$B$2:$B$4, $A3, Ledger!$C$2:$C$4, POZ$2)),"****")</f>
        <v/>
      </c>
      <c r="PPA3" t="str">
        <f>IFERROR(IF($C3="","",SUMIFS(Ledger!$K$2:$K$4, Ledger!$B$2:$B$4, $A3, Ledger!$C$2:$C$4, PPA$2)),"****")</f>
        <v/>
      </c>
      <c r="PPB3" t="str">
        <f>IFERROR(IF($C3="","",SUMIFS(Ledger!$K$2:$K$4, Ledger!$B$2:$B$4, $A3, Ledger!$C$2:$C$4, PPB$2)),"****")</f>
        <v/>
      </c>
      <c r="PPC3" t="str">
        <f>IFERROR(IF($C3="","",SUMIFS(Ledger!$K$2:$K$4, Ledger!$B$2:$B$4, $A3, Ledger!$C$2:$C$4, PPC$2)),"****")</f>
        <v/>
      </c>
      <c r="PPD3" t="str">
        <f>IFERROR(IF($C3="","",SUMIFS(Ledger!$K$2:$K$4, Ledger!$B$2:$B$4, $A3, Ledger!$C$2:$C$4, PPD$2)),"****")</f>
        <v/>
      </c>
      <c r="PPE3" t="str">
        <f>IFERROR(IF($C3="","",SUMIFS(Ledger!$K$2:$K$4, Ledger!$B$2:$B$4, $A3, Ledger!$C$2:$C$4, PPE$2)),"****")</f>
        <v/>
      </c>
      <c r="PPF3" t="str">
        <f>IFERROR(IF($C3="","",SUMIFS(Ledger!$K$2:$K$4, Ledger!$B$2:$B$4, $A3, Ledger!$C$2:$C$4, PPF$2)),"****")</f>
        <v/>
      </c>
      <c r="PPG3" t="str">
        <f>IFERROR(IF($C3="","",SUMIFS(Ledger!$K$2:$K$4, Ledger!$B$2:$B$4, $A3, Ledger!$C$2:$C$4, PPG$2)),"****")</f>
        <v/>
      </c>
      <c r="PPH3" t="str">
        <f>IFERROR(IF($C3="","",SUMIFS(Ledger!$K$2:$K$4, Ledger!$B$2:$B$4, $A3, Ledger!$C$2:$C$4, PPH$2)),"****")</f>
        <v/>
      </c>
      <c r="PPI3" t="str">
        <f>IFERROR(IF($C3="","",SUMIFS(Ledger!$K$2:$K$4, Ledger!$B$2:$B$4, $A3, Ledger!$C$2:$C$4, PPI$2)),"****")</f>
        <v/>
      </c>
      <c r="PPJ3" t="str">
        <f>IFERROR(IF($C3="","",SUMIFS(Ledger!$K$2:$K$4, Ledger!$B$2:$B$4, $A3, Ledger!$C$2:$C$4, PPJ$2)),"****")</f>
        <v/>
      </c>
      <c r="PPK3" t="str">
        <f>IFERROR(IF($C3="","",SUMIFS(Ledger!$K$2:$K$4, Ledger!$B$2:$B$4, $A3, Ledger!$C$2:$C$4, PPK$2)),"****")</f>
        <v/>
      </c>
      <c r="PPL3" t="str">
        <f>IFERROR(IF($C3="","",SUMIFS(Ledger!$K$2:$K$4, Ledger!$B$2:$B$4, $A3, Ledger!$C$2:$C$4, PPL$2)),"****")</f>
        <v/>
      </c>
      <c r="PPM3" t="str">
        <f>IFERROR(IF($C3="","",SUMIFS(Ledger!$K$2:$K$4, Ledger!$B$2:$B$4, $A3, Ledger!$C$2:$C$4, PPM$2)),"****")</f>
        <v/>
      </c>
      <c r="PPN3" t="str">
        <f>IFERROR(IF($C3="","",SUMIFS(Ledger!$K$2:$K$4, Ledger!$B$2:$B$4, $A3, Ledger!$C$2:$C$4, PPN$2)),"****")</f>
        <v/>
      </c>
      <c r="PPO3" t="str">
        <f>IFERROR(IF($C3="","",SUMIFS(Ledger!$K$2:$K$4, Ledger!$B$2:$B$4, $A3, Ledger!$C$2:$C$4, PPO$2)),"****")</f>
        <v/>
      </c>
      <c r="PPP3" t="str">
        <f>IFERROR(IF($C3="","",SUMIFS(Ledger!$K$2:$K$4, Ledger!$B$2:$B$4, $A3, Ledger!$C$2:$C$4, PPP$2)),"****")</f>
        <v/>
      </c>
      <c r="PPQ3" t="str">
        <f>IFERROR(IF($C3="","",SUMIFS(Ledger!$K$2:$K$4, Ledger!$B$2:$B$4, $A3, Ledger!$C$2:$C$4, PPQ$2)),"****")</f>
        <v/>
      </c>
      <c r="PPR3" t="str">
        <f>IFERROR(IF($C3="","",SUMIFS(Ledger!$K$2:$K$4, Ledger!$B$2:$B$4, $A3, Ledger!$C$2:$C$4, PPR$2)),"****")</f>
        <v/>
      </c>
      <c r="PPS3" t="str">
        <f>IFERROR(IF($C3="","",SUMIFS(Ledger!$K$2:$K$4, Ledger!$B$2:$B$4, $A3, Ledger!$C$2:$C$4, PPS$2)),"****")</f>
        <v/>
      </c>
      <c r="PPT3" t="str">
        <f>IFERROR(IF($C3="","",SUMIFS(Ledger!$K$2:$K$4, Ledger!$B$2:$B$4, $A3, Ledger!$C$2:$C$4, PPT$2)),"****")</f>
        <v/>
      </c>
      <c r="PPU3" t="str">
        <f>IFERROR(IF($C3="","",SUMIFS(Ledger!$K$2:$K$4, Ledger!$B$2:$B$4, $A3, Ledger!$C$2:$C$4, PPU$2)),"****")</f>
        <v/>
      </c>
      <c r="PPV3" t="str">
        <f>IFERROR(IF($C3="","",SUMIFS(Ledger!$K$2:$K$4, Ledger!$B$2:$B$4, $A3, Ledger!$C$2:$C$4, PPV$2)),"****")</f>
        <v/>
      </c>
      <c r="PPW3" t="str">
        <f>IFERROR(IF($C3="","",SUMIFS(Ledger!$K$2:$K$4, Ledger!$B$2:$B$4, $A3, Ledger!$C$2:$C$4, PPW$2)),"****")</f>
        <v/>
      </c>
      <c r="PPX3" t="str">
        <f>IFERROR(IF($C3="","",SUMIFS(Ledger!$K$2:$K$4, Ledger!$B$2:$B$4, $A3, Ledger!$C$2:$C$4, PPX$2)),"****")</f>
        <v/>
      </c>
      <c r="PPY3" t="str">
        <f>IFERROR(IF($C3="","",SUMIFS(Ledger!$K$2:$K$4, Ledger!$B$2:$B$4, $A3, Ledger!$C$2:$C$4, PPY$2)),"****")</f>
        <v/>
      </c>
      <c r="PPZ3" t="str">
        <f>IFERROR(IF($C3="","",SUMIFS(Ledger!$K$2:$K$4, Ledger!$B$2:$B$4, $A3, Ledger!$C$2:$C$4, PPZ$2)),"****")</f>
        <v/>
      </c>
      <c r="PQA3" t="str">
        <f>IFERROR(IF($C3="","",SUMIFS(Ledger!$K$2:$K$4, Ledger!$B$2:$B$4, $A3, Ledger!$C$2:$C$4, PQA$2)),"****")</f>
        <v/>
      </c>
      <c r="PQB3" t="str">
        <f>IFERROR(IF($C3="","",SUMIFS(Ledger!$K$2:$K$4, Ledger!$B$2:$B$4, $A3, Ledger!$C$2:$C$4, PQB$2)),"****")</f>
        <v/>
      </c>
      <c r="PQC3" t="str">
        <f>IFERROR(IF($C3="","",SUMIFS(Ledger!$K$2:$K$4, Ledger!$B$2:$B$4, $A3, Ledger!$C$2:$C$4, PQC$2)),"****")</f>
        <v/>
      </c>
      <c r="PQD3" t="str">
        <f>IFERROR(IF($C3="","",SUMIFS(Ledger!$K$2:$K$4, Ledger!$B$2:$B$4, $A3, Ledger!$C$2:$C$4, PQD$2)),"****")</f>
        <v/>
      </c>
      <c r="PQE3" t="str">
        <f>IFERROR(IF($C3="","",SUMIFS(Ledger!$K$2:$K$4, Ledger!$B$2:$B$4, $A3, Ledger!$C$2:$C$4, PQE$2)),"****")</f>
        <v/>
      </c>
      <c r="PQF3" t="str">
        <f>IFERROR(IF($C3="","",SUMIFS(Ledger!$K$2:$K$4, Ledger!$B$2:$B$4, $A3, Ledger!$C$2:$C$4, PQF$2)),"****")</f>
        <v/>
      </c>
      <c r="PQG3" t="str">
        <f>IFERROR(IF($C3="","",SUMIFS(Ledger!$K$2:$K$4, Ledger!$B$2:$B$4, $A3, Ledger!$C$2:$C$4, PQG$2)),"****")</f>
        <v/>
      </c>
      <c r="PQH3" t="str">
        <f>IFERROR(IF($C3="","",SUMIFS(Ledger!$K$2:$K$4, Ledger!$B$2:$B$4, $A3, Ledger!$C$2:$C$4, PQH$2)),"****")</f>
        <v/>
      </c>
      <c r="PQI3" t="str">
        <f>IFERROR(IF($C3="","",SUMIFS(Ledger!$K$2:$K$4, Ledger!$B$2:$B$4, $A3, Ledger!$C$2:$C$4, PQI$2)),"****")</f>
        <v/>
      </c>
      <c r="PQJ3" t="str">
        <f>IFERROR(IF($C3="","",SUMIFS(Ledger!$K$2:$K$4, Ledger!$B$2:$B$4, $A3, Ledger!$C$2:$C$4, PQJ$2)),"****")</f>
        <v/>
      </c>
      <c r="PQK3" t="str">
        <f>IFERROR(IF($C3="","",SUMIFS(Ledger!$K$2:$K$4, Ledger!$B$2:$B$4, $A3, Ledger!$C$2:$C$4, PQK$2)),"****")</f>
        <v/>
      </c>
      <c r="PQL3" t="str">
        <f>IFERROR(IF($C3="","",SUMIFS(Ledger!$K$2:$K$4, Ledger!$B$2:$B$4, $A3, Ledger!$C$2:$C$4, PQL$2)),"****")</f>
        <v/>
      </c>
      <c r="PQM3" t="str">
        <f>IFERROR(IF($C3="","",SUMIFS(Ledger!$K$2:$K$4, Ledger!$B$2:$B$4, $A3, Ledger!$C$2:$C$4, PQM$2)),"****")</f>
        <v/>
      </c>
      <c r="PQN3" t="str">
        <f>IFERROR(IF($C3="","",SUMIFS(Ledger!$K$2:$K$4, Ledger!$B$2:$B$4, $A3, Ledger!$C$2:$C$4, PQN$2)),"****")</f>
        <v/>
      </c>
      <c r="PQO3" t="str">
        <f>IFERROR(IF($C3="","",SUMIFS(Ledger!$K$2:$K$4, Ledger!$B$2:$B$4, $A3, Ledger!$C$2:$C$4, PQO$2)),"****")</f>
        <v/>
      </c>
      <c r="PQP3" t="str">
        <f>IFERROR(IF($C3="","",SUMIFS(Ledger!$K$2:$K$4, Ledger!$B$2:$B$4, $A3, Ledger!$C$2:$C$4, PQP$2)),"****")</f>
        <v/>
      </c>
      <c r="PQQ3" t="str">
        <f>IFERROR(IF($C3="","",SUMIFS(Ledger!$K$2:$K$4, Ledger!$B$2:$B$4, $A3, Ledger!$C$2:$C$4, PQQ$2)),"****")</f>
        <v/>
      </c>
      <c r="PQR3" t="str">
        <f>IFERROR(IF($C3="","",SUMIFS(Ledger!$K$2:$K$4, Ledger!$B$2:$B$4, $A3, Ledger!$C$2:$C$4, PQR$2)),"****")</f>
        <v/>
      </c>
      <c r="PQS3" t="str">
        <f>IFERROR(IF($C3="","",SUMIFS(Ledger!$K$2:$K$4, Ledger!$B$2:$B$4, $A3, Ledger!$C$2:$C$4, PQS$2)),"****")</f>
        <v/>
      </c>
      <c r="PQT3" t="str">
        <f>IFERROR(IF($C3="","",SUMIFS(Ledger!$K$2:$K$4, Ledger!$B$2:$B$4, $A3, Ledger!$C$2:$C$4, PQT$2)),"****")</f>
        <v/>
      </c>
      <c r="PQU3" t="str">
        <f>IFERROR(IF($C3="","",SUMIFS(Ledger!$K$2:$K$4, Ledger!$B$2:$B$4, $A3, Ledger!$C$2:$C$4, PQU$2)),"****")</f>
        <v/>
      </c>
      <c r="PQV3" t="str">
        <f>IFERROR(IF($C3="","",SUMIFS(Ledger!$K$2:$K$4, Ledger!$B$2:$B$4, $A3, Ledger!$C$2:$C$4, PQV$2)),"****")</f>
        <v/>
      </c>
      <c r="PQW3" t="str">
        <f>IFERROR(IF($C3="","",SUMIFS(Ledger!$K$2:$K$4, Ledger!$B$2:$B$4, $A3, Ledger!$C$2:$C$4, PQW$2)),"****")</f>
        <v/>
      </c>
      <c r="PQX3" t="str">
        <f>IFERROR(IF($C3="","",SUMIFS(Ledger!$K$2:$K$4, Ledger!$B$2:$B$4, $A3, Ledger!$C$2:$C$4, PQX$2)),"****")</f>
        <v/>
      </c>
      <c r="PQY3" t="str">
        <f>IFERROR(IF($C3="","",SUMIFS(Ledger!$K$2:$K$4, Ledger!$B$2:$B$4, $A3, Ledger!$C$2:$C$4, PQY$2)),"****")</f>
        <v/>
      </c>
      <c r="PQZ3" t="str">
        <f>IFERROR(IF($C3="","",SUMIFS(Ledger!$K$2:$K$4, Ledger!$B$2:$B$4, $A3, Ledger!$C$2:$C$4, PQZ$2)),"****")</f>
        <v/>
      </c>
      <c r="PRA3" t="str">
        <f>IFERROR(IF($C3="","",SUMIFS(Ledger!$K$2:$K$4, Ledger!$B$2:$B$4, $A3, Ledger!$C$2:$C$4, PRA$2)),"****")</f>
        <v/>
      </c>
      <c r="PRB3" t="str">
        <f>IFERROR(IF($C3="","",SUMIFS(Ledger!$K$2:$K$4, Ledger!$B$2:$B$4, $A3, Ledger!$C$2:$C$4, PRB$2)),"****")</f>
        <v/>
      </c>
      <c r="PRC3" t="str">
        <f>IFERROR(IF($C3="","",SUMIFS(Ledger!$K$2:$K$4, Ledger!$B$2:$B$4, $A3, Ledger!$C$2:$C$4, PRC$2)),"****")</f>
        <v/>
      </c>
      <c r="PRD3" t="str">
        <f>IFERROR(IF($C3="","",SUMIFS(Ledger!$K$2:$K$4, Ledger!$B$2:$B$4, $A3, Ledger!$C$2:$C$4, PRD$2)),"****")</f>
        <v/>
      </c>
      <c r="PRE3" t="str">
        <f>IFERROR(IF($C3="","",SUMIFS(Ledger!$K$2:$K$4, Ledger!$B$2:$B$4, $A3, Ledger!$C$2:$C$4, PRE$2)),"****")</f>
        <v/>
      </c>
      <c r="PRF3" t="str">
        <f>IFERROR(IF($C3="","",SUMIFS(Ledger!$K$2:$K$4, Ledger!$B$2:$B$4, $A3, Ledger!$C$2:$C$4, PRF$2)),"****")</f>
        <v/>
      </c>
      <c r="PRG3" t="str">
        <f>IFERROR(IF($C3="","",SUMIFS(Ledger!$K$2:$K$4, Ledger!$B$2:$B$4, $A3, Ledger!$C$2:$C$4, PRG$2)),"****")</f>
        <v/>
      </c>
      <c r="PRH3" t="str">
        <f>IFERROR(IF($C3="","",SUMIFS(Ledger!$K$2:$K$4, Ledger!$B$2:$B$4, $A3, Ledger!$C$2:$C$4, PRH$2)),"****")</f>
        <v/>
      </c>
      <c r="PRI3" t="str">
        <f>IFERROR(IF($C3="","",SUMIFS(Ledger!$K$2:$K$4, Ledger!$B$2:$B$4, $A3, Ledger!$C$2:$C$4, PRI$2)),"****")</f>
        <v/>
      </c>
      <c r="PRJ3" t="str">
        <f>IFERROR(IF($C3="","",SUMIFS(Ledger!$K$2:$K$4, Ledger!$B$2:$B$4, $A3, Ledger!$C$2:$C$4, PRJ$2)),"****")</f>
        <v/>
      </c>
      <c r="PRK3" t="str">
        <f>IFERROR(IF($C3="","",SUMIFS(Ledger!$K$2:$K$4, Ledger!$B$2:$B$4, $A3, Ledger!$C$2:$C$4, PRK$2)),"****")</f>
        <v/>
      </c>
      <c r="PRL3" t="str">
        <f>IFERROR(IF($C3="","",SUMIFS(Ledger!$K$2:$K$4, Ledger!$B$2:$B$4, $A3, Ledger!$C$2:$C$4, PRL$2)),"****")</f>
        <v/>
      </c>
      <c r="PRM3" t="str">
        <f>IFERROR(IF($C3="","",SUMIFS(Ledger!$K$2:$K$4, Ledger!$B$2:$B$4, $A3, Ledger!$C$2:$C$4, PRM$2)),"****")</f>
        <v/>
      </c>
      <c r="PRN3" t="str">
        <f>IFERROR(IF($C3="","",SUMIFS(Ledger!$K$2:$K$4, Ledger!$B$2:$B$4, $A3, Ledger!$C$2:$C$4, PRN$2)),"****")</f>
        <v/>
      </c>
      <c r="PRO3" t="str">
        <f>IFERROR(IF($C3="","",SUMIFS(Ledger!$K$2:$K$4, Ledger!$B$2:$B$4, $A3, Ledger!$C$2:$C$4, PRO$2)),"****")</f>
        <v/>
      </c>
      <c r="PRP3" t="str">
        <f>IFERROR(IF($C3="","",SUMIFS(Ledger!$K$2:$K$4, Ledger!$B$2:$B$4, $A3, Ledger!$C$2:$C$4, PRP$2)),"****")</f>
        <v/>
      </c>
      <c r="PRQ3" t="str">
        <f>IFERROR(IF($C3="","",SUMIFS(Ledger!$K$2:$K$4, Ledger!$B$2:$B$4, $A3, Ledger!$C$2:$C$4, PRQ$2)),"****")</f>
        <v/>
      </c>
      <c r="PRR3" t="str">
        <f>IFERROR(IF($C3="","",SUMIFS(Ledger!$K$2:$K$4, Ledger!$B$2:$B$4, $A3, Ledger!$C$2:$C$4, PRR$2)),"****")</f>
        <v/>
      </c>
      <c r="PRS3" t="str">
        <f>IFERROR(IF($C3="","",SUMIFS(Ledger!$K$2:$K$4, Ledger!$B$2:$B$4, $A3, Ledger!$C$2:$C$4, PRS$2)),"****")</f>
        <v/>
      </c>
      <c r="PRT3" t="str">
        <f>IFERROR(IF($C3="","",SUMIFS(Ledger!$K$2:$K$4, Ledger!$B$2:$B$4, $A3, Ledger!$C$2:$C$4, PRT$2)),"****")</f>
        <v/>
      </c>
      <c r="PRU3" t="str">
        <f>IFERROR(IF($C3="","",SUMIFS(Ledger!$K$2:$K$4, Ledger!$B$2:$B$4, $A3, Ledger!$C$2:$C$4, PRU$2)),"****")</f>
        <v/>
      </c>
      <c r="PRV3" t="str">
        <f>IFERROR(IF($C3="","",SUMIFS(Ledger!$K$2:$K$4, Ledger!$B$2:$B$4, $A3, Ledger!$C$2:$C$4, PRV$2)),"****")</f>
        <v/>
      </c>
      <c r="PRW3" t="str">
        <f>IFERROR(IF($C3="","",SUMIFS(Ledger!$K$2:$K$4, Ledger!$B$2:$B$4, $A3, Ledger!$C$2:$C$4, PRW$2)),"****")</f>
        <v/>
      </c>
      <c r="PRX3" t="str">
        <f>IFERROR(IF($C3="","",SUMIFS(Ledger!$K$2:$K$4, Ledger!$B$2:$B$4, $A3, Ledger!$C$2:$C$4, PRX$2)),"****")</f>
        <v/>
      </c>
      <c r="PRY3" t="str">
        <f>IFERROR(IF($C3="","",SUMIFS(Ledger!$K$2:$K$4, Ledger!$B$2:$B$4, $A3, Ledger!$C$2:$C$4, PRY$2)),"****")</f>
        <v/>
      </c>
      <c r="PRZ3" t="str">
        <f>IFERROR(IF($C3="","",SUMIFS(Ledger!$K$2:$K$4, Ledger!$B$2:$B$4, $A3, Ledger!$C$2:$C$4, PRZ$2)),"****")</f>
        <v/>
      </c>
      <c r="PSA3" t="str">
        <f>IFERROR(IF($C3="","",SUMIFS(Ledger!$K$2:$K$4, Ledger!$B$2:$B$4, $A3, Ledger!$C$2:$C$4, PSA$2)),"****")</f>
        <v/>
      </c>
      <c r="PSB3" t="str">
        <f>IFERROR(IF($C3="","",SUMIFS(Ledger!$K$2:$K$4, Ledger!$B$2:$B$4, $A3, Ledger!$C$2:$C$4, PSB$2)),"****")</f>
        <v/>
      </c>
      <c r="PSC3" t="str">
        <f>IFERROR(IF($C3="","",SUMIFS(Ledger!$K$2:$K$4, Ledger!$B$2:$B$4, $A3, Ledger!$C$2:$C$4, PSC$2)),"****")</f>
        <v/>
      </c>
      <c r="PSD3" t="str">
        <f>IFERROR(IF($C3="","",SUMIFS(Ledger!$K$2:$K$4, Ledger!$B$2:$B$4, $A3, Ledger!$C$2:$C$4, PSD$2)),"****")</f>
        <v/>
      </c>
      <c r="PSE3" t="str">
        <f>IFERROR(IF($C3="","",SUMIFS(Ledger!$K$2:$K$4, Ledger!$B$2:$B$4, $A3, Ledger!$C$2:$C$4, PSE$2)),"****")</f>
        <v/>
      </c>
      <c r="PSF3" t="str">
        <f>IFERROR(IF($C3="","",SUMIFS(Ledger!$K$2:$K$4, Ledger!$B$2:$B$4, $A3, Ledger!$C$2:$C$4, PSF$2)),"****")</f>
        <v/>
      </c>
      <c r="PSG3" t="str">
        <f>IFERROR(IF($C3="","",SUMIFS(Ledger!$K$2:$K$4, Ledger!$B$2:$B$4, $A3, Ledger!$C$2:$C$4, PSG$2)),"****")</f>
        <v/>
      </c>
      <c r="PSH3" t="str">
        <f>IFERROR(IF($C3="","",SUMIFS(Ledger!$K$2:$K$4, Ledger!$B$2:$B$4, $A3, Ledger!$C$2:$C$4, PSH$2)),"****")</f>
        <v/>
      </c>
      <c r="PSI3" t="str">
        <f>IFERROR(IF($C3="","",SUMIFS(Ledger!$K$2:$K$4, Ledger!$B$2:$B$4, $A3, Ledger!$C$2:$C$4, PSI$2)),"****")</f>
        <v/>
      </c>
      <c r="PSJ3" t="str">
        <f>IFERROR(IF($C3="","",SUMIFS(Ledger!$K$2:$K$4, Ledger!$B$2:$B$4, $A3, Ledger!$C$2:$C$4, PSJ$2)),"****")</f>
        <v/>
      </c>
      <c r="PSK3" t="str">
        <f>IFERROR(IF($C3="","",SUMIFS(Ledger!$K$2:$K$4, Ledger!$B$2:$B$4, $A3, Ledger!$C$2:$C$4, PSK$2)),"****")</f>
        <v/>
      </c>
      <c r="PSL3" t="str">
        <f>IFERROR(IF($C3="","",SUMIFS(Ledger!$K$2:$K$4, Ledger!$B$2:$B$4, $A3, Ledger!$C$2:$C$4, PSL$2)),"****")</f>
        <v/>
      </c>
      <c r="PSM3" t="str">
        <f>IFERROR(IF($C3="","",SUMIFS(Ledger!$K$2:$K$4, Ledger!$B$2:$B$4, $A3, Ledger!$C$2:$C$4, PSM$2)),"****")</f>
        <v/>
      </c>
      <c r="PSN3" t="str">
        <f>IFERROR(IF($C3="","",SUMIFS(Ledger!$K$2:$K$4, Ledger!$B$2:$B$4, $A3, Ledger!$C$2:$C$4, PSN$2)),"****")</f>
        <v/>
      </c>
      <c r="PSO3" t="str">
        <f>IFERROR(IF($C3="","",SUMIFS(Ledger!$K$2:$K$4, Ledger!$B$2:$B$4, $A3, Ledger!$C$2:$C$4, PSO$2)),"****")</f>
        <v/>
      </c>
      <c r="PSP3" t="str">
        <f>IFERROR(IF($C3="","",SUMIFS(Ledger!$K$2:$K$4, Ledger!$B$2:$B$4, $A3, Ledger!$C$2:$C$4, PSP$2)),"****")</f>
        <v/>
      </c>
      <c r="PSQ3" t="str">
        <f>IFERROR(IF($C3="","",SUMIFS(Ledger!$K$2:$K$4, Ledger!$B$2:$B$4, $A3, Ledger!$C$2:$C$4, PSQ$2)),"****")</f>
        <v/>
      </c>
      <c r="PSR3" t="str">
        <f>IFERROR(IF($C3="","",SUMIFS(Ledger!$K$2:$K$4, Ledger!$B$2:$B$4, $A3, Ledger!$C$2:$C$4, PSR$2)),"****")</f>
        <v/>
      </c>
      <c r="PSS3" t="str">
        <f>IFERROR(IF($C3="","",SUMIFS(Ledger!$K$2:$K$4, Ledger!$B$2:$B$4, $A3, Ledger!$C$2:$C$4, PSS$2)),"****")</f>
        <v/>
      </c>
      <c r="PST3" t="str">
        <f>IFERROR(IF($C3="","",SUMIFS(Ledger!$K$2:$K$4, Ledger!$B$2:$B$4, $A3, Ledger!$C$2:$C$4, PST$2)),"****")</f>
        <v/>
      </c>
      <c r="PSU3" t="str">
        <f>IFERROR(IF($C3="","",SUMIFS(Ledger!$K$2:$K$4, Ledger!$B$2:$B$4, $A3, Ledger!$C$2:$C$4, PSU$2)),"****")</f>
        <v/>
      </c>
      <c r="PSV3" t="str">
        <f>IFERROR(IF($C3="","",SUMIFS(Ledger!$K$2:$K$4, Ledger!$B$2:$B$4, $A3, Ledger!$C$2:$C$4, PSV$2)),"****")</f>
        <v/>
      </c>
      <c r="PSW3" t="str">
        <f>IFERROR(IF($C3="","",SUMIFS(Ledger!$K$2:$K$4, Ledger!$B$2:$B$4, $A3, Ledger!$C$2:$C$4, PSW$2)),"****")</f>
        <v/>
      </c>
      <c r="PSX3" t="str">
        <f>IFERROR(IF($C3="","",SUMIFS(Ledger!$K$2:$K$4, Ledger!$B$2:$B$4, $A3, Ledger!$C$2:$C$4, PSX$2)),"****")</f>
        <v/>
      </c>
      <c r="PSY3" t="str">
        <f>IFERROR(IF($C3="","",SUMIFS(Ledger!$K$2:$K$4, Ledger!$B$2:$B$4, $A3, Ledger!$C$2:$C$4, PSY$2)),"****")</f>
        <v/>
      </c>
      <c r="PSZ3" t="str">
        <f>IFERROR(IF($C3="","",SUMIFS(Ledger!$K$2:$K$4, Ledger!$B$2:$B$4, $A3, Ledger!$C$2:$C$4, PSZ$2)),"****")</f>
        <v/>
      </c>
      <c r="PTA3" t="str">
        <f>IFERROR(IF($C3="","",SUMIFS(Ledger!$K$2:$K$4, Ledger!$B$2:$B$4, $A3, Ledger!$C$2:$C$4, PTA$2)),"****")</f>
        <v/>
      </c>
      <c r="PTB3" t="str">
        <f>IFERROR(IF($C3="","",SUMIFS(Ledger!$K$2:$K$4, Ledger!$B$2:$B$4, $A3, Ledger!$C$2:$C$4, PTB$2)),"****")</f>
        <v/>
      </c>
      <c r="PTC3" t="str">
        <f>IFERROR(IF($C3="","",SUMIFS(Ledger!$K$2:$K$4, Ledger!$B$2:$B$4, $A3, Ledger!$C$2:$C$4, PTC$2)),"****")</f>
        <v/>
      </c>
      <c r="PTD3" t="str">
        <f>IFERROR(IF($C3="","",SUMIFS(Ledger!$K$2:$K$4, Ledger!$B$2:$B$4, $A3, Ledger!$C$2:$C$4, PTD$2)),"****")</f>
        <v/>
      </c>
      <c r="PTE3" t="str">
        <f>IFERROR(IF($C3="","",SUMIFS(Ledger!$K$2:$K$4, Ledger!$B$2:$B$4, $A3, Ledger!$C$2:$C$4, PTE$2)),"****")</f>
        <v/>
      </c>
      <c r="PTF3" t="str">
        <f>IFERROR(IF($C3="","",SUMIFS(Ledger!$K$2:$K$4, Ledger!$B$2:$B$4, $A3, Ledger!$C$2:$C$4, PTF$2)),"****")</f>
        <v/>
      </c>
      <c r="PTG3" t="str">
        <f>IFERROR(IF($C3="","",SUMIFS(Ledger!$K$2:$K$4, Ledger!$B$2:$B$4, $A3, Ledger!$C$2:$C$4, PTG$2)),"****")</f>
        <v/>
      </c>
      <c r="PTH3" t="str">
        <f>IFERROR(IF($C3="","",SUMIFS(Ledger!$K$2:$K$4, Ledger!$B$2:$B$4, $A3, Ledger!$C$2:$C$4, PTH$2)),"****")</f>
        <v/>
      </c>
      <c r="PTI3" t="str">
        <f>IFERROR(IF($C3="","",SUMIFS(Ledger!$K$2:$K$4, Ledger!$B$2:$B$4, $A3, Ledger!$C$2:$C$4, PTI$2)),"****")</f>
        <v/>
      </c>
      <c r="PTJ3" t="str">
        <f>IFERROR(IF($C3="","",SUMIFS(Ledger!$K$2:$K$4, Ledger!$B$2:$B$4, $A3, Ledger!$C$2:$C$4, PTJ$2)),"****")</f>
        <v/>
      </c>
      <c r="PTK3" t="str">
        <f>IFERROR(IF($C3="","",SUMIFS(Ledger!$K$2:$K$4, Ledger!$B$2:$B$4, $A3, Ledger!$C$2:$C$4, PTK$2)),"****")</f>
        <v/>
      </c>
      <c r="PTL3" t="str">
        <f>IFERROR(IF($C3="","",SUMIFS(Ledger!$K$2:$K$4, Ledger!$B$2:$B$4, $A3, Ledger!$C$2:$C$4, PTL$2)),"****")</f>
        <v/>
      </c>
      <c r="PTM3" t="str">
        <f>IFERROR(IF($C3="","",SUMIFS(Ledger!$K$2:$K$4, Ledger!$B$2:$B$4, $A3, Ledger!$C$2:$C$4, PTM$2)),"****")</f>
        <v/>
      </c>
      <c r="PTN3" t="str">
        <f>IFERROR(IF($C3="","",SUMIFS(Ledger!$K$2:$K$4, Ledger!$B$2:$B$4, $A3, Ledger!$C$2:$C$4, PTN$2)),"****")</f>
        <v/>
      </c>
      <c r="PTO3" t="str">
        <f>IFERROR(IF($C3="","",SUMIFS(Ledger!$K$2:$K$4, Ledger!$B$2:$B$4, $A3, Ledger!$C$2:$C$4, PTO$2)),"****")</f>
        <v/>
      </c>
      <c r="PTP3" t="str">
        <f>IFERROR(IF($C3="","",SUMIFS(Ledger!$K$2:$K$4, Ledger!$B$2:$B$4, $A3, Ledger!$C$2:$C$4, PTP$2)),"****")</f>
        <v/>
      </c>
      <c r="PTQ3" t="str">
        <f>IFERROR(IF($C3="","",SUMIFS(Ledger!$K$2:$K$4, Ledger!$B$2:$B$4, $A3, Ledger!$C$2:$C$4, PTQ$2)),"****")</f>
        <v/>
      </c>
      <c r="PTR3" t="str">
        <f>IFERROR(IF($C3="","",SUMIFS(Ledger!$K$2:$K$4, Ledger!$B$2:$B$4, $A3, Ledger!$C$2:$C$4, PTR$2)),"****")</f>
        <v/>
      </c>
      <c r="PTS3" t="str">
        <f>IFERROR(IF($C3="","",SUMIFS(Ledger!$K$2:$K$4, Ledger!$B$2:$B$4, $A3, Ledger!$C$2:$C$4, PTS$2)),"****")</f>
        <v/>
      </c>
      <c r="PTT3" t="str">
        <f>IFERROR(IF($C3="","",SUMIFS(Ledger!$K$2:$K$4, Ledger!$B$2:$B$4, $A3, Ledger!$C$2:$C$4, PTT$2)),"****")</f>
        <v/>
      </c>
      <c r="PTU3" t="str">
        <f>IFERROR(IF($C3="","",SUMIFS(Ledger!$K$2:$K$4, Ledger!$B$2:$B$4, $A3, Ledger!$C$2:$C$4, PTU$2)),"****")</f>
        <v/>
      </c>
      <c r="PTV3" t="str">
        <f>IFERROR(IF($C3="","",SUMIFS(Ledger!$K$2:$K$4, Ledger!$B$2:$B$4, $A3, Ledger!$C$2:$C$4, PTV$2)),"****")</f>
        <v/>
      </c>
      <c r="PTW3" t="str">
        <f>IFERROR(IF($C3="","",SUMIFS(Ledger!$K$2:$K$4, Ledger!$B$2:$B$4, $A3, Ledger!$C$2:$C$4, PTW$2)),"****")</f>
        <v/>
      </c>
      <c r="PTX3" t="str">
        <f>IFERROR(IF($C3="","",SUMIFS(Ledger!$K$2:$K$4, Ledger!$B$2:$B$4, $A3, Ledger!$C$2:$C$4, PTX$2)),"****")</f>
        <v/>
      </c>
      <c r="PTY3" t="str">
        <f>IFERROR(IF($C3="","",SUMIFS(Ledger!$K$2:$K$4, Ledger!$B$2:$B$4, $A3, Ledger!$C$2:$C$4, PTY$2)),"****")</f>
        <v/>
      </c>
      <c r="PTZ3" t="str">
        <f>IFERROR(IF($C3="","",SUMIFS(Ledger!$K$2:$K$4, Ledger!$B$2:$B$4, $A3, Ledger!$C$2:$C$4, PTZ$2)),"****")</f>
        <v/>
      </c>
      <c r="PUA3" t="str">
        <f>IFERROR(IF($C3="","",SUMIFS(Ledger!$K$2:$K$4, Ledger!$B$2:$B$4, $A3, Ledger!$C$2:$C$4, PUA$2)),"****")</f>
        <v/>
      </c>
      <c r="PUB3" t="str">
        <f>IFERROR(IF($C3="","",SUMIFS(Ledger!$K$2:$K$4, Ledger!$B$2:$B$4, $A3, Ledger!$C$2:$C$4, PUB$2)),"****")</f>
        <v/>
      </c>
      <c r="PUC3" t="str">
        <f>IFERROR(IF($C3="","",SUMIFS(Ledger!$K$2:$K$4, Ledger!$B$2:$B$4, $A3, Ledger!$C$2:$C$4, PUC$2)),"****")</f>
        <v/>
      </c>
      <c r="PUD3" t="str">
        <f>IFERROR(IF($C3="","",SUMIFS(Ledger!$K$2:$K$4, Ledger!$B$2:$B$4, $A3, Ledger!$C$2:$C$4, PUD$2)),"****")</f>
        <v/>
      </c>
      <c r="PUE3" t="str">
        <f>IFERROR(IF($C3="","",SUMIFS(Ledger!$K$2:$K$4, Ledger!$B$2:$B$4, $A3, Ledger!$C$2:$C$4, PUE$2)),"****")</f>
        <v/>
      </c>
      <c r="PUF3" t="str">
        <f>IFERROR(IF($C3="","",SUMIFS(Ledger!$K$2:$K$4, Ledger!$B$2:$B$4, $A3, Ledger!$C$2:$C$4, PUF$2)),"****")</f>
        <v/>
      </c>
      <c r="PUG3" t="str">
        <f>IFERROR(IF($C3="","",SUMIFS(Ledger!$K$2:$K$4, Ledger!$B$2:$B$4, $A3, Ledger!$C$2:$C$4, PUG$2)),"****")</f>
        <v/>
      </c>
      <c r="PUH3" t="str">
        <f>IFERROR(IF($C3="","",SUMIFS(Ledger!$K$2:$K$4, Ledger!$B$2:$B$4, $A3, Ledger!$C$2:$C$4, PUH$2)),"****")</f>
        <v/>
      </c>
      <c r="PUI3" t="str">
        <f>IFERROR(IF($C3="","",SUMIFS(Ledger!$K$2:$K$4, Ledger!$B$2:$B$4, $A3, Ledger!$C$2:$C$4, PUI$2)),"****")</f>
        <v/>
      </c>
      <c r="PUJ3" t="str">
        <f>IFERROR(IF($C3="","",SUMIFS(Ledger!$K$2:$K$4, Ledger!$B$2:$B$4, $A3, Ledger!$C$2:$C$4, PUJ$2)),"****")</f>
        <v/>
      </c>
      <c r="PUK3" t="str">
        <f>IFERROR(IF($C3="","",SUMIFS(Ledger!$K$2:$K$4, Ledger!$B$2:$B$4, $A3, Ledger!$C$2:$C$4, PUK$2)),"****")</f>
        <v/>
      </c>
      <c r="PUL3" t="str">
        <f>IFERROR(IF($C3="","",SUMIFS(Ledger!$K$2:$K$4, Ledger!$B$2:$B$4, $A3, Ledger!$C$2:$C$4, PUL$2)),"****")</f>
        <v/>
      </c>
      <c r="PUM3" t="str">
        <f>IFERROR(IF($C3="","",SUMIFS(Ledger!$K$2:$K$4, Ledger!$B$2:$B$4, $A3, Ledger!$C$2:$C$4, PUM$2)),"****")</f>
        <v/>
      </c>
      <c r="PUN3" t="str">
        <f>IFERROR(IF($C3="","",SUMIFS(Ledger!$K$2:$K$4, Ledger!$B$2:$B$4, $A3, Ledger!$C$2:$C$4, PUN$2)),"****")</f>
        <v/>
      </c>
      <c r="PUO3" t="str">
        <f>IFERROR(IF($C3="","",SUMIFS(Ledger!$K$2:$K$4, Ledger!$B$2:$B$4, $A3, Ledger!$C$2:$C$4, PUO$2)),"****")</f>
        <v/>
      </c>
      <c r="PUP3" t="str">
        <f>IFERROR(IF($C3="","",SUMIFS(Ledger!$K$2:$K$4, Ledger!$B$2:$B$4, $A3, Ledger!$C$2:$C$4, PUP$2)),"****")</f>
        <v/>
      </c>
      <c r="PUQ3" t="str">
        <f>IFERROR(IF($C3="","",SUMIFS(Ledger!$K$2:$K$4, Ledger!$B$2:$B$4, $A3, Ledger!$C$2:$C$4, PUQ$2)),"****")</f>
        <v/>
      </c>
      <c r="PUR3" t="str">
        <f>IFERROR(IF($C3="","",SUMIFS(Ledger!$K$2:$K$4, Ledger!$B$2:$B$4, $A3, Ledger!$C$2:$C$4, PUR$2)),"****")</f>
        <v/>
      </c>
      <c r="PUS3" t="str">
        <f>IFERROR(IF($C3="","",SUMIFS(Ledger!$K$2:$K$4, Ledger!$B$2:$B$4, $A3, Ledger!$C$2:$C$4, PUS$2)),"****")</f>
        <v/>
      </c>
      <c r="PUT3" t="str">
        <f>IFERROR(IF($C3="","",SUMIFS(Ledger!$K$2:$K$4, Ledger!$B$2:$B$4, $A3, Ledger!$C$2:$C$4, PUT$2)),"****")</f>
        <v/>
      </c>
      <c r="PUU3" t="str">
        <f>IFERROR(IF($C3="","",SUMIFS(Ledger!$K$2:$K$4, Ledger!$B$2:$B$4, $A3, Ledger!$C$2:$C$4, PUU$2)),"****")</f>
        <v/>
      </c>
      <c r="PUV3" t="str">
        <f>IFERROR(IF($C3="","",SUMIFS(Ledger!$K$2:$K$4, Ledger!$B$2:$B$4, $A3, Ledger!$C$2:$C$4, PUV$2)),"****")</f>
        <v/>
      </c>
      <c r="PUW3" t="str">
        <f>IFERROR(IF($C3="","",SUMIFS(Ledger!$K$2:$K$4, Ledger!$B$2:$B$4, $A3, Ledger!$C$2:$C$4, PUW$2)),"****")</f>
        <v/>
      </c>
      <c r="PUX3" t="str">
        <f>IFERROR(IF($C3="","",SUMIFS(Ledger!$K$2:$K$4, Ledger!$B$2:$B$4, $A3, Ledger!$C$2:$C$4, PUX$2)),"****")</f>
        <v/>
      </c>
      <c r="PUY3" t="str">
        <f>IFERROR(IF($C3="","",SUMIFS(Ledger!$K$2:$K$4, Ledger!$B$2:$B$4, $A3, Ledger!$C$2:$C$4, PUY$2)),"****")</f>
        <v/>
      </c>
      <c r="PUZ3" t="str">
        <f>IFERROR(IF($C3="","",SUMIFS(Ledger!$K$2:$K$4, Ledger!$B$2:$B$4, $A3, Ledger!$C$2:$C$4, PUZ$2)),"****")</f>
        <v/>
      </c>
      <c r="PVA3" t="str">
        <f>IFERROR(IF($C3="","",SUMIFS(Ledger!$K$2:$K$4, Ledger!$B$2:$B$4, $A3, Ledger!$C$2:$C$4, PVA$2)),"****")</f>
        <v/>
      </c>
      <c r="PVB3" t="str">
        <f>IFERROR(IF($C3="","",SUMIFS(Ledger!$K$2:$K$4, Ledger!$B$2:$B$4, $A3, Ledger!$C$2:$C$4, PVB$2)),"****")</f>
        <v/>
      </c>
      <c r="PVC3" t="str">
        <f>IFERROR(IF($C3="","",SUMIFS(Ledger!$K$2:$K$4, Ledger!$B$2:$B$4, $A3, Ledger!$C$2:$C$4, PVC$2)),"****")</f>
        <v/>
      </c>
      <c r="PVD3" t="str">
        <f>IFERROR(IF($C3="","",SUMIFS(Ledger!$K$2:$K$4, Ledger!$B$2:$B$4, $A3, Ledger!$C$2:$C$4, PVD$2)),"****")</f>
        <v/>
      </c>
      <c r="PVE3" t="str">
        <f>IFERROR(IF($C3="","",SUMIFS(Ledger!$K$2:$K$4, Ledger!$B$2:$B$4, $A3, Ledger!$C$2:$C$4, PVE$2)),"****")</f>
        <v/>
      </c>
      <c r="PVF3" t="str">
        <f>IFERROR(IF($C3="","",SUMIFS(Ledger!$K$2:$K$4, Ledger!$B$2:$B$4, $A3, Ledger!$C$2:$C$4, PVF$2)),"****")</f>
        <v/>
      </c>
      <c r="PVG3" t="str">
        <f>IFERROR(IF($C3="","",SUMIFS(Ledger!$K$2:$K$4, Ledger!$B$2:$B$4, $A3, Ledger!$C$2:$C$4, PVG$2)),"****")</f>
        <v/>
      </c>
      <c r="PVH3" t="str">
        <f>IFERROR(IF($C3="","",SUMIFS(Ledger!$K$2:$K$4, Ledger!$B$2:$B$4, $A3, Ledger!$C$2:$C$4, PVH$2)),"****")</f>
        <v/>
      </c>
      <c r="PVI3" t="str">
        <f>IFERROR(IF($C3="","",SUMIFS(Ledger!$K$2:$K$4, Ledger!$B$2:$B$4, $A3, Ledger!$C$2:$C$4, PVI$2)),"****")</f>
        <v/>
      </c>
      <c r="PVJ3" t="str">
        <f>IFERROR(IF($C3="","",SUMIFS(Ledger!$K$2:$K$4, Ledger!$B$2:$B$4, $A3, Ledger!$C$2:$C$4, PVJ$2)),"****")</f>
        <v/>
      </c>
      <c r="PVK3" t="str">
        <f>IFERROR(IF($C3="","",SUMIFS(Ledger!$K$2:$K$4, Ledger!$B$2:$B$4, $A3, Ledger!$C$2:$C$4, PVK$2)),"****")</f>
        <v/>
      </c>
      <c r="PVL3" t="str">
        <f>IFERROR(IF($C3="","",SUMIFS(Ledger!$K$2:$K$4, Ledger!$B$2:$B$4, $A3, Ledger!$C$2:$C$4, PVL$2)),"****")</f>
        <v/>
      </c>
      <c r="PVM3" t="str">
        <f>IFERROR(IF($C3="","",SUMIFS(Ledger!$K$2:$K$4, Ledger!$B$2:$B$4, $A3, Ledger!$C$2:$C$4, PVM$2)),"****")</f>
        <v/>
      </c>
      <c r="PVN3" t="str">
        <f>IFERROR(IF($C3="","",SUMIFS(Ledger!$K$2:$K$4, Ledger!$B$2:$B$4, $A3, Ledger!$C$2:$C$4, PVN$2)),"****")</f>
        <v/>
      </c>
      <c r="PVO3" t="str">
        <f>IFERROR(IF($C3="","",SUMIFS(Ledger!$K$2:$K$4, Ledger!$B$2:$B$4, $A3, Ledger!$C$2:$C$4, PVO$2)),"****")</f>
        <v/>
      </c>
      <c r="PVP3" t="str">
        <f>IFERROR(IF($C3="","",SUMIFS(Ledger!$K$2:$K$4, Ledger!$B$2:$B$4, $A3, Ledger!$C$2:$C$4, PVP$2)),"****")</f>
        <v/>
      </c>
      <c r="PVQ3" t="str">
        <f>IFERROR(IF($C3="","",SUMIFS(Ledger!$K$2:$K$4, Ledger!$B$2:$B$4, $A3, Ledger!$C$2:$C$4, PVQ$2)),"****")</f>
        <v/>
      </c>
      <c r="PVR3" t="str">
        <f>IFERROR(IF($C3="","",SUMIFS(Ledger!$K$2:$K$4, Ledger!$B$2:$B$4, $A3, Ledger!$C$2:$C$4, PVR$2)),"****")</f>
        <v/>
      </c>
      <c r="PVS3" t="str">
        <f>IFERROR(IF($C3="","",SUMIFS(Ledger!$K$2:$K$4, Ledger!$B$2:$B$4, $A3, Ledger!$C$2:$C$4, PVS$2)),"****")</f>
        <v/>
      </c>
      <c r="PVT3" t="str">
        <f>IFERROR(IF($C3="","",SUMIFS(Ledger!$K$2:$K$4, Ledger!$B$2:$B$4, $A3, Ledger!$C$2:$C$4, PVT$2)),"****")</f>
        <v/>
      </c>
      <c r="PVU3" t="str">
        <f>IFERROR(IF($C3="","",SUMIFS(Ledger!$K$2:$K$4, Ledger!$B$2:$B$4, $A3, Ledger!$C$2:$C$4, PVU$2)),"****")</f>
        <v/>
      </c>
      <c r="PVV3" t="str">
        <f>IFERROR(IF($C3="","",SUMIFS(Ledger!$K$2:$K$4, Ledger!$B$2:$B$4, $A3, Ledger!$C$2:$C$4, PVV$2)),"****")</f>
        <v/>
      </c>
      <c r="PVW3" t="str">
        <f>IFERROR(IF($C3="","",SUMIFS(Ledger!$K$2:$K$4, Ledger!$B$2:$B$4, $A3, Ledger!$C$2:$C$4, PVW$2)),"****")</f>
        <v/>
      </c>
      <c r="PVX3" t="str">
        <f>IFERROR(IF($C3="","",SUMIFS(Ledger!$K$2:$K$4, Ledger!$B$2:$B$4, $A3, Ledger!$C$2:$C$4, PVX$2)),"****")</f>
        <v/>
      </c>
      <c r="PVY3" t="str">
        <f>IFERROR(IF($C3="","",SUMIFS(Ledger!$K$2:$K$4, Ledger!$B$2:$B$4, $A3, Ledger!$C$2:$C$4, PVY$2)),"****")</f>
        <v/>
      </c>
      <c r="PVZ3" t="str">
        <f>IFERROR(IF($C3="","",SUMIFS(Ledger!$K$2:$K$4, Ledger!$B$2:$B$4, $A3, Ledger!$C$2:$C$4, PVZ$2)),"****")</f>
        <v/>
      </c>
      <c r="PWA3" t="str">
        <f>IFERROR(IF($C3="","",SUMIFS(Ledger!$K$2:$K$4, Ledger!$B$2:$B$4, $A3, Ledger!$C$2:$C$4, PWA$2)),"****")</f>
        <v/>
      </c>
      <c r="PWB3" t="str">
        <f>IFERROR(IF($C3="","",SUMIFS(Ledger!$K$2:$K$4, Ledger!$B$2:$B$4, $A3, Ledger!$C$2:$C$4, PWB$2)),"****")</f>
        <v/>
      </c>
      <c r="PWC3" t="str">
        <f>IFERROR(IF($C3="","",SUMIFS(Ledger!$K$2:$K$4, Ledger!$B$2:$B$4, $A3, Ledger!$C$2:$C$4, PWC$2)),"****")</f>
        <v/>
      </c>
      <c r="PWD3" t="str">
        <f>IFERROR(IF($C3="","",SUMIFS(Ledger!$K$2:$K$4, Ledger!$B$2:$B$4, $A3, Ledger!$C$2:$C$4, PWD$2)),"****")</f>
        <v/>
      </c>
      <c r="PWE3" t="str">
        <f>IFERROR(IF($C3="","",SUMIFS(Ledger!$K$2:$K$4, Ledger!$B$2:$B$4, $A3, Ledger!$C$2:$C$4, PWE$2)),"****")</f>
        <v/>
      </c>
      <c r="PWF3" t="str">
        <f>IFERROR(IF($C3="","",SUMIFS(Ledger!$K$2:$K$4, Ledger!$B$2:$B$4, $A3, Ledger!$C$2:$C$4, PWF$2)),"****")</f>
        <v/>
      </c>
      <c r="PWG3" t="str">
        <f>IFERROR(IF($C3="","",SUMIFS(Ledger!$K$2:$K$4, Ledger!$B$2:$B$4, $A3, Ledger!$C$2:$C$4, PWG$2)),"****")</f>
        <v/>
      </c>
      <c r="PWH3" t="str">
        <f>IFERROR(IF($C3="","",SUMIFS(Ledger!$K$2:$K$4, Ledger!$B$2:$B$4, $A3, Ledger!$C$2:$C$4, PWH$2)),"****")</f>
        <v/>
      </c>
      <c r="PWI3" t="str">
        <f>IFERROR(IF($C3="","",SUMIFS(Ledger!$K$2:$K$4, Ledger!$B$2:$B$4, $A3, Ledger!$C$2:$C$4, PWI$2)),"****")</f>
        <v/>
      </c>
      <c r="PWJ3" t="str">
        <f>IFERROR(IF($C3="","",SUMIFS(Ledger!$K$2:$K$4, Ledger!$B$2:$B$4, $A3, Ledger!$C$2:$C$4, PWJ$2)),"****")</f>
        <v/>
      </c>
      <c r="PWK3" t="str">
        <f>IFERROR(IF($C3="","",SUMIFS(Ledger!$K$2:$K$4, Ledger!$B$2:$B$4, $A3, Ledger!$C$2:$C$4, PWK$2)),"****")</f>
        <v/>
      </c>
      <c r="PWL3" t="str">
        <f>IFERROR(IF($C3="","",SUMIFS(Ledger!$K$2:$K$4, Ledger!$B$2:$B$4, $A3, Ledger!$C$2:$C$4, PWL$2)),"****")</f>
        <v/>
      </c>
      <c r="PWM3" t="str">
        <f>IFERROR(IF($C3="","",SUMIFS(Ledger!$K$2:$K$4, Ledger!$B$2:$B$4, $A3, Ledger!$C$2:$C$4, PWM$2)),"****")</f>
        <v/>
      </c>
      <c r="PWN3" t="str">
        <f>IFERROR(IF($C3="","",SUMIFS(Ledger!$K$2:$K$4, Ledger!$B$2:$B$4, $A3, Ledger!$C$2:$C$4, PWN$2)),"****")</f>
        <v/>
      </c>
      <c r="PWO3" t="str">
        <f>IFERROR(IF($C3="","",SUMIFS(Ledger!$K$2:$K$4, Ledger!$B$2:$B$4, $A3, Ledger!$C$2:$C$4, PWO$2)),"****")</f>
        <v/>
      </c>
      <c r="PWP3" t="str">
        <f>IFERROR(IF($C3="","",SUMIFS(Ledger!$K$2:$K$4, Ledger!$B$2:$B$4, $A3, Ledger!$C$2:$C$4, PWP$2)),"****")</f>
        <v/>
      </c>
      <c r="PWQ3" t="str">
        <f>IFERROR(IF($C3="","",SUMIFS(Ledger!$K$2:$K$4, Ledger!$B$2:$B$4, $A3, Ledger!$C$2:$C$4, PWQ$2)),"****")</f>
        <v/>
      </c>
      <c r="PWR3" t="str">
        <f>IFERROR(IF($C3="","",SUMIFS(Ledger!$K$2:$K$4, Ledger!$B$2:$B$4, $A3, Ledger!$C$2:$C$4, PWR$2)),"****")</f>
        <v/>
      </c>
      <c r="PWS3" t="str">
        <f>IFERROR(IF($C3="","",SUMIFS(Ledger!$K$2:$K$4, Ledger!$B$2:$B$4, $A3, Ledger!$C$2:$C$4, PWS$2)),"****")</f>
        <v/>
      </c>
      <c r="PWT3" t="str">
        <f>IFERROR(IF($C3="","",SUMIFS(Ledger!$K$2:$K$4, Ledger!$B$2:$B$4, $A3, Ledger!$C$2:$C$4, PWT$2)),"****")</f>
        <v/>
      </c>
      <c r="PWU3" t="str">
        <f>IFERROR(IF($C3="","",SUMIFS(Ledger!$K$2:$K$4, Ledger!$B$2:$B$4, $A3, Ledger!$C$2:$C$4, PWU$2)),"****")</f>
        <v/>
      </c>
      <c r="PWV3" t="str">
        <f>IFERROR(IF($C3="","",SUMIFS(Ledger!$K$2:$K$4, Ledger!$B$2:$B$4, $A3, Ledger!$C$2:$C$4, PWV$2)),"****")</f>
        <v/>
      </c>
      <c r="PWW3" t="str">
        <f>IFERROR(IF($C3="","",SUMIFS(Ledger!$K$2:$K$4, Ledger!$B$2:$B$4, $A3, Ledger!$C$2:$C$4, PWW$2)),"****")</f>
        <v/>
      </c>
      <c r="PWX3" t="str">
        <f>IFERROR(IF($C3="","",SUMIFS(Ledger!$K$2:$K$4, Ledger!$B$2:$B$4, $A3, Ledger!$C$2:$C$4, PWX$2)),"****")</f>
        <v/>
      </c>
      <c r="PWY3" t="str">
        <f>IFERROR(IF($C3="","",SUMIFS(Ledger!$K$2:$K$4, Ledger!$B$2:$B$4, $A3, Ledger!$C$2:$C$4, PWY$2)),"****")</f>
        <v/>
      </c>
      <c r="PWZ3" t="str">
        <f>IFERROR(IF($C3="","",SUMIFS(Ledger!$K$2:$K$4, Ledger!$B$2:$B$4, $A3, Ledger!$C$2:$C$4, PWZ$2)),"****")</f>
        <v/>
      </c>
      <c r="PXA3" t="str">
        <f>IFERROR(IF($C3="","",SUMIFS(Ledger!$K$2:$K$4, Ledger!$B$2:$B$4, $A3, Ledger!$C$2:$C$4, PXA$2)),"****")</f>
        <v/>
      </c>
      <c r="PXB3" t="str">
        <f>IFERROR(IF($C3="","",SUMIFS(Ledger!$K$2:$K$4, Ledger!$B$2:$B$4, $A3, Ledger!$C$2:$C$4, PXB$2)),"****")</f>
        <v/>
      </c>
      <c r="PXC3" t="str">
        <f>IFERROR(IF($C3="","",SUMIFS(Ledger!$K$2:$K$4, Ledger!$B$2:$B$4, $A3, Ledger!$C$2:$C$4, PXC$2)),"****")</f>
        <v/>
      </c>
      <c r="PXD3" t="str">
        <f>IFERROR(IF($C3="","",SUMIFS(Ledger!$K$2:$K$4, Ledger!$B$2:$B$4, $A3, Ledger!$C$2:$C$4, PXD$2)),"****")</f>
        <v/>
      </c>
      <c r="PXE3" t="str">
        <f>IFERROR(IF($C3="","",SUMIFS(Ledger!$K$2:$K$4, Ledger!$B$2:$B$4, $A3, Ledger!$C$2:$C$4, PXE$2)),"****")</f>
        <v/>
      </c>
      <c r="PXF3" t="str">
        <f>IFERROR(IF($C3="","",SUMIFS(Ledger!$K$2:$K$4, Ledger!$B$2:$B$4, $A3, Ledger!$C$2:$C$4, PXF$2)),"****")</f>
        <v/>
      </c>
      <c r="PXG3" t="str">
        <f>IFERROR(IF($C3="","",SUMIFS(Ledger!$K$2:$K$4, Ledger!$B$2:$B$4, $A3, Ledger!$C$2:$C$4, PXG$2)),"****")</f>
        <v/>
      </c>
      <c r="PXH3" t="str">
        <f>IFERROR(IF($C3="","",SUMIFS(Ledger!$K$2:$K$4, Ledger!$B$2:$B$4, $A3, Ledger!$C$2:$C$4, PXH$2)),"****")</f>
        <v/>
      </c>
      <c r="PXI3" t="str">
        <f>IFERROR(IF($C3="","",SUMIFS(Ledger!$K$2:$K$4, Ledger!$B$2:$B$4, $A3, Ledger!$C$2:$C$4, PXI$2)),"****")</f>
        <v/>
      </c>
      <c r="PXJ3" t="str">
        <f>IFERROR(IF($C3="","",SUMIFS(Ledger!$K$2:$K$4, Ledger!$B$2:$B$4, $A3, Ledger!$C$2:$C$4, PXJ$2)),"****")</f>
        <v/>
      </c>
      <c r="PXK3" t="str">
        <f>IFERROR(IF($C3="","",SUMIFS(Ledger!$K$2:$K$4, Ledger!$B$2:$B$4, $A3, Ledger!$C$2:$C$4, PXK$2)),"****")</f>
        <v/>
      </c>
      <c r="PXL3" t="str">
        <f>IFERROR(IF($C3="","",SUMIFS(Ledger!$K$2:$K$4, Ledger!$B$2:$B$4, $A3, Ledger!$C$2:$C$4, PXL$2)),"****")</f>
        <v/>
      </c>
      <c r="PXM3" t="str">
        <f>IFERROR(IF($C3="","",SUMIFS(Ledger!$K$2:$K$4, Ledger!$B$2:$B$4, $A3, Ledger!$C$2:$C$4, PXM$2)),"****")</f>
        <v/>
      </c>
      <c r="PXN3" t="str">
        <f>IFERROR(IF($C3="","",SUMIFS(Ledger!$K$2:$K$4, Ledger!$B$2:$B$4, $A3, Ledger!$C$2:$C$4, PXN$2)),"****")</f>
        <v/>
      </c>
      <c r="PXO3" t="str">
        <f>IFERROR(IF($C3="","",SUMIFS(Ledger!$K$2:$K$4, Ledger!$B$2:$B$4, $A3, Ledger!$C$2:$C$4, PXO$2)),"****")</f>
        <v/>
      </c>
      <c r="PXP3" t="str">
        <f>IFERROR(IF($C3="","",SUMIFS(Ledger!$K$2:$K$4, Ledger!$B$2:$B$4, $A3, Ledger!$C$2:$C$4, PXP$2)),"****")</f>
        <v/>
      </c>
      <c r="PXQ3" t="str">
        <f>IFERROR(IF($C3="","",SUMIFS(Ledger!$K$2:$K$4, Ledger!$B$2:$B$4, $A3, Ledger!$C$2:$C$4, PXQ$2)),"****")</f>
        <v/>
      </c>
      <c r="PXR3" t="str">
        <f>IFERROR(IF($C3="","",SUMIFS(Ledger!$K$2:$K$4, Ledger!$B$2:$B$4, $A3, Ledger!$C$2:$C$4, PXR$2)),"****")</f>
        <v/>
      </c>
      <c r="PXS3" t="str">
        <f>IFERROR(IF($C3="","",SUMIFS(Ledger!$K$2:$K$4, Ledger!$B$2:$B$4, $A3, Ledger!$C$2:$C$4, PXS$2)),"****")</f>
        <v/>
      </c>
      <c r="PXT3" t="str">
        <f>IFERROR(IF($C3="","",SUMIFS(Ledger!$K$2:$K$4, Ledger!$B$2:$B$4, $A3, Ledger!$C$2:$C$4, PXT$2)),"****")</f>
        <v/>
      </c>
      <c r="PXU3" t="str">
        <f>IFERROR(IF($C3="","",SUMIFS(Ledger!$K$2:$K$4, Ledger!$B$2:$B$4, $A3, Ledger!$C$2:$C$4, PXU$2)),"****")</f>
        <v/>
      </c>
      <c r="PXV3" t="str">
        <f>IFERROR(IF($C3="","",SUMIFS(Ledger!$K$2:$K$4, Ledger!$B$2:$B$4, $A3, Ledger!$C$2:$C$4, PXV$2)),"****")</f>
        <v/>
      </c>
      <c r="PXW3" t="str">
        <f>IFERROR(IF($C3="","",SUMIFS(Ledger!$K$2:$K$4, Ledger!$B$2:$B$4, $A3, Ledger!$C$2:$C$4, PXW$2)),"****")</f>
        <v/>
      </c>
      <c r="PXX3" t="str">
        <f>IFERROR(IF($C3="","",SUMIFS(Ledger!$K$2:$K$4, Ledger!$B$2:$B$4, $A3, Ledger!$C$2:$C$4, PXX$2)),"****")</f>
        <v/>
      </c>
      <c r="PXY3" t="str">
        <f>IFERROR(IF($C3="","",SUMIFS(Ledger!$K$2:$K$4, Ledger!$B$2:$B$4, $A3, Ledger!$C$2:$C$4, PXY$2)),"****")</f>
        <v/>
      </c>
      <c r="PXZ3" t="str">
        <f>IFERROR(IF($C3="","",SUMIFS(Ledger!$K$2:$K$4, Ledger!$B$2:$B$4, $A3, Ledger!$C$2:$C$4, PXZ$2)),"****")</f>
        <v/>
      </c>
      <c r="PYA3" t="str">
        <f>IFERROR(IF($C3="","",SUMIFS(Ledger!$K$2:$K$4, Ledger!$B$2:$B$4, $A3, Ledger!$C$2:$C$4, PYA$2)),"****")</f>
        <v/>
      </c>
      <c r="PYB3" t="str">
        <f>IFERROR(IF($C3="","",SUMIFS(Ledger!$K$2:$K$4, Ledger!$B$2:$B$4, $A3, Ledger!$C$2:$C$4, PYB$2)),"****")</f>
        <v/>
      </c>
      <c r="PYC3" t="str">
        <f>IFERROR(IF($C3="","",SUMIFS(Ledger!$K$2:$K$4, Ledger!$B$2:$B$4, $A3, Ledger!$C$2:$C$4, PYC$2)),"****")</f>
        <v/>
      </c>
      <c r="PYD3" t="str">
        <f>IFERROR(IF($C3="","",SUMIFS(Ledger!$K$2:$K$4, Ledger!$B$2:$B$4, $A3, Ledger!$C$2:$C$4, PYD$2)),"****")</f>
        <v/>
      </c>
      <c r="PYE3" t="str">
        <f>IFERROR(IF($C3="","",SUMIFS(Ledger!$K$2:$K$4, Ledger!$B$2:$B$4, $A3, Ledger!$C$2:$C$4, PYE$2)),"****")</f>
        <v/>
      </c>
      <c r="PYF3" t="str">
        <f>IFERROR(IF($C3="","",SUMIFS(Ledger!$K$2:$K$4, Ledger!$B$2:$B$4, $A3, Ledger!$C$2:$C$4, PYF$2)),"****")</f>
        <v/>
      </c>
      <c r="PYG3" t="str">
        <f>IFERROR(IF($C3="","",SUMIFS(Ledger!$K$2:$K$4, Ledger!$B$2:$B$4, $A3, Ledger!$C$2:$C$4, PYG$2)),"****")</f>
        <v/>
      </c>
      <c r="PYH3" t="str">
        <f>IFERROR(IF($C3="","",SUMIFS(Ledger!$K$2:$K$4, Ledger!$B$2:$B$4, $A3, Ledger!$C$2:$C$4, PYH$2)),"****")</f>
        <v/>
      </c>
      <c r="PYI3" t="str">
        <f>IFERROR(IF($C3="","",SUMIFS(Ledger!$K$2:$K$4, Ledger!$B$2:$B$4, $A3, Ledger!$C$2:$C$4, PYI$2)),"****")</f>
        <v/>
      </c>
      <c r="PYJ3" t="str">
        <f>IFERROR(IF($C3="","",SUMIFS(Ledger!$K$2:$K$4, Ledger!$B$2:$B$4, $A3, Ledger!$C$2:$C$4, PYJ$2)),"****")</f>
        <v/>
      </c>
      <c r="PYK3" t="str">
        <f>IFERROR(IF($C3="","",SUMIFS(Ledger!$K$2:$K$4, Ledger!$B$2:$B$4, $A3, Ledger!$C$2:$C$4, PYK$2)),"****")</f>
        <v/>
      </c>
      <c r="PYL3" t="str">
        <f>IFERROR(IF($C3="","",SUMIFS(Ledger!$K$2:$K$4, Ledger!$B$2:$B$4, $A3, Ledger!$C$2:$C$4, PYL$2)),"****")</f>
        <v/>
      </c>
      <c r="PYM3" t="str">
        <f>IFERROR(IF($C3="","",SUMIFS(Ledger!$K$2:$K$4, Ledger!$B$2:$B$4, $A3, Ledger!$C$2:$C$4, PYM$2)),"****")</f>
        <v/>
      </c>
      <c r="PYN3" t="str">
        <f>IFERROR(IF($C3="","",SUMIFS(Ledger!$K$2:$K$4, Ledger!$B$2:$B$4, $A3, Ledger!$C$2:$C$4, PYN$2)),"****")</f>
        <v/>
      </c>
      <c r="PYO3" t="str">
        <f>IFERROR(IF($C3="","",SUMIFS(Ledger!$K$2:$K$4, Ledger!$B$2:$B$4, $A3, Ledger!$C$2:$C$4, PYO$2)),"****")</f>
        <v/>
      </c>
      <c r="PYP3" t="str">
        <f>IFERROR(IF($C3="","",SUMIFS(Ledger!$K$2:$K$4, Ledger!$B$2:$B$4, $A3, Ledger!$C$2:$C$4, PYP$2)),"****")</f>
        <v/>
      </c>
      <c r="PYQ3" t="str">
        <f>IFERROR(IF($C3="","",SUMIFS(Ledger!$K$2:$K$4, Ledger!$B$2:$B$4, $A3, Ledger!$C$2:$C$4, PYQ$2)),"****")</f>
        <v/>
      </c>
      <c r="PYR3" t="str">
        <f>IFERROR(IF($C3="","",SUMIFS(Ledger!$K$2:$K$4, Ledger!$B$2:$B$4, $A3, Ledger!$C$2:$C$4, PYR$2)),"****")</f>
        <v/>
      </c>
      <c r="PYS3" t="str">
        <f>IFERROR(IF($C3="","",SUMIFS(Ledger!$K$2:$K$4, Ledger!$B$2:$B$4, $A3, Ledger!$C$2:$C$4, PYS$2)),"****")</f>
        <v/>
      </c>
      <c r="PYT3" t="str">
        <f>IFERROR(IF($C3="","",SUMIFS(Ledger!$K$2:$K$4, Ledger!$B$2:$B$4, $A3, Ledger!$C$2:$C$4, PYT$2)),"****")</f>
        <v/>
      </c>
      <c r="PYU3" t="str">
        <f>IFERROR(IF($C3="","",SUMIFS(Ledger!$K$2:$K$4, Ledger!$B$2:$B$4, $A3, Ledger!$C$2:$C$4, PYU$2)),"****")</f>
        <v/>
      </c>
      <c r="PYV3" t="str">
        <f>IFERROR(IF($C3="","",SUMIFS(Ledger!$K$2:$K$4, Ledger!$B$2:$B$4, $A3, Ledger!$C$2:$C$4, PYV$2)),"****")</f>
        <v/>
      </c>
      <c r="PYW3" t="str">
        <f>IFERROR(IF($C3="","",SUMIFS(Ledger!$K$2:$K$4, Ledger!$B$2:$B$4, $A3, Ledger!$C$2:$C$4, PYW$2)),"****")</f>
        <v/>
      </c>
      <c r="PYX3" t="str">
        <f>IFERROR(IF($C3="","",SUMIFS(Ledger!$K$2:$K$4, Ledger!$B$2:$B$4, $A3, Ledger!$C$2:$C$4, PYX$2)),"****")</f>
        <v/>
      </c>
      <c r="PYY3" t="str">
        <f>IFERROR(IF($C3="","",SUMIFS(Ledger!$K$2:$K$4, Ledger!$B$2:$B$4, $A3, Ledger!$C$2:$C$4, PYY$2)),"****")</f>
        <v/>
      </c>
      <c r="PYZ3" t="str">
        <f>IFERROR(IF($C3="","",SUMIFS(Ledger!$K$2:$K$4, Ledger!$B$2:$B$4, $A3, Ledger!$C$2:$C$4, PYZ$2)),"****")</f>
        <v/>
      </c>
      <c r="PZA3" t="str">
        <f>IFERROR(IF($C3="","",SUMIFS(Ledger!$K$2:$K$4, Ledger!$B$2:$B$4, $A3, Ledger!$C$2:$C$4, PZA$2)),"****")</f>
        <v/>
      </c>
      <c r="PZB3" t="str">
        <f>IFERROR(IF($C3="","",SUMIFS(Ledger!$K$2:$K$4, Ledger!$B$2:$B$4, $A3, Ledger!$C$2:$C$4, PZB$2)),"****")</f>
        <v/>
      </c>
      <c r="PZC3" t="str">
        <f>IFERROR(IF($C3="","",SUMIFS(Ledger!$K$2:$K$4, Ledger!$B$2:$B$4, $A3, Ledger!$C$2:$C$4, PZC$2)),"****")</f>
        <v/>
      </c>
      <c r="PZD3" t="str">
        <f>IFERROR(IF($C3="","",SUMIFS(Ledger!$K$2:$K$4, Ledger!$B$2:$B$4, $A3, Ledger!$C$2:$C$4, PZD$2)),"****")</f>
        <v/>
      </c>
      <c r="PZE3" t="str">
        <f>IFERROR(IF($C3="","",SUMIFS(Ledger!$K$2:$K$4, Ledger!$B$2:$B$4, $A3, Ledger!$C$2:$C$4, PZE$2)),"****")</f>
        <v/>
      </c>
      <c r="PZF3" t="str">
        <f>IFERROR(IF($C3="","",SUMIFS(Ledger!$K$2:$K$4, Ledger!$B$2:$B$4, $A3, Ledger!$C$2:$C$4, PZF$2)),"****")</f>
        <v/>
      </c>
      <c r="PZG3" t="str">
        <f>IFERROR(IF($C3="","",SUMIFS(Ledger!$K$2:$K$4, Ledger!$B$2:$B$4, $A3, Ledger!$C$2:$C$4, PZG$2)),"****")</f>
        <v/>
      </c>
      <c r="PZH3" t="str">
        <f>IFERROR(IF($C3="","",SUMIFS(Ledger!$K$2:$K$4, Ledger!$B$2:$B$4, $A3, Ledger!$C$2:$C$4, PZH$2)),"****")</f>
        <v/>
      </c>
      <c r="PZI3" t="str">
        <f>IFERROR(IF($C3="","",SUMIFS(Ledger!$K$2:$K$4, Ledger!$B$2:$B$4, $A3, Ledger!$C$2:$C$4, PZI$2)),"****")</f>
        <v/>
      </c>
      <c r="PZJ3" t="str">
        <f>IFERROR(IF($C3="","",SUMIFS(Ledger!$K$2:$K$4, Ledger!$B$2:$B$4, $A3, Ledger!$C$2:$C$4, PZJ$2)),"****")</f>
        <v/>
      </c>
      <c r="PZK3" t="str">
        <f>IFERROR(IF($C3="","",SUMIFS(Ledger!$K$2:$K$4, Ledger!$B$2:$B$4, $A3, Ledger!$C$2:$C$4, PZK$2)),"****")</f>
        <v/>
      </c>
      <c r="PZL3" t="str">
        <f>IFERROR(IF($C3="","",SUMIFS(Ledger!$K$2:$K$4, Ledger!$B$2:$B$4, $A3, Ledger!$C$2:$C$4, PZL$2)),"****")</f>
        <v/>
      </c>
      <c r="PZM3" t="str">
        <f>IFERROR(IF($C3="","",SUMIFS(Ledger!$K$2:$K$4, Ledger!$B$2:$B$4, $A3, Ledger!$C$2:$C$4, PZM$2)),"****")</f>
        <v/>
      </c>
      <c r="PZN3" t="str">
        <f>IFERROR(IF($C3="","",SUMIFS(Ledger!$K$2:$K$4, Ledger!$B$2:$B$4, $A3, Ledger!$C$2:$C$4, PZN$2)),"****")</f>
        <v/>
      </c>
      <c r="PZO3" t="str">
        <f>IFERROR(IF($C3="","",SUMIFS(Ledger!$K$2:$K$4, Ledger!$B$2:$B$4, $A3, Ledger!$C$2:$C$4, PZO$2)),"****")</f>
        <v/>
      </c>
      <c r="PZP3" t="str">
        <f>IFERROR(IF($C3="","",SUMIFS(Ledger!$K$2:$K$4, Ledger!$B$2:$B$4, $A3, Ledger!$C$2:$C$4, PZP$2)),"****")</f>
        <v/>
      </c>
      <c r="PZQ3" t="str">
        <f>IFERROR(IF($C3="","",SUMIFS(Ledger!$K$2:$K$4, Ledger!$B$2:$B$4, $A3, Ledger!$C$2:$C$4, PZQ$2)),"****")</f>
        <v/>
      </c>
      <c r="PZR3" t="str">
        <f>IFERROR(IF($C3="","",SUMIFS(Ledger!$K$2:$K$4, Ledger!$B$2:$B$4, $A3, Ledger!$C$2:$C$4, PZR$2)),"****")</f>
        <v/>
      </c>
      <c r="PZS3" t="str">
        <f>IFERROR(IF($C3="","",SUMIFS(Ledger!$K$2:$K$4, Ledger!$B$2:$B$4, $A3, Ledger!$C$2:$C$4, PZS$2)),"****")</f>
        <v/>
      </c>
      <c r="PZT3" t="str">
        <f>IFERROR(IF($C3="","",SUMIFS(Ledger!$K$2:$K$4, Ledger!$B$2:$B$4, $A3, Ledger!$C$2:$C$4, PZT$2)),"****")</f>
        <v/>
      </c>
      <c r="PZU3" t="str">
        <f>IFERROR(IF($C3="","",SUMIFS(Ledger!$K$2:$K$4, Ledger!$B$2:$B$4, $A3, Ledger!$C$2:$C$4, PZU$2)),"****")</f>
        <v/>
      </c>
      <c r="PZV3" t="str">
        <f>IFERROR(IF($C3="","",SUMIFS(Ledger!$K$2:$K$4, Ledger!$B$2:$B$4, $A3, Ledger!$C$2:$C$4, PZV$2)),"****")</f>
        <v/>
      </c>
      <c r="PZW3" t="str">
        <f>IFERROR(IF($C3="","",SUMIFS(Ledger!$K$2:$K$4, Ledger!$B$2:$B$4, $A3, Ledger!$C$2:$C$4, PZW$2)),"****")</f>
        <v/>
      </c>
      <c r="PZX3" t="str">
        <f>IFERROR(IF($C3="","",SUMIFS(Ledger!$K$2:$K$4, Ledger!$B$2:$B$4, $A3, Ledger!$C$2:$C$4, PZX$2)),"****")</f>
        <v/>
      </c>
      <c r="PZY3" t="str">
        <f>IFERROR(IF($C3="","",SUMIFS(Ledger!$K$2:$K$4, Ledger!$B$2:$B$4, $A3, Ledger!$C$2:$C$4, PZY$2)),"****")</f>
        <v/>
      </c>
      <c r="PZZ3" t="str">
        <f>IFERROR(IF($C3="","",SUMIFS(Ledger!$K$2:$K$4, Ledger!$B$2:$B$4, $A3, Ledger!$C$2:$C$4, PZZ$2)),"****")</f>
        <v/>
      </c>
      <c r="QAA3" t="str">
        <f>IFERROR(IF($C3="","",SUMIFS(Ledger!$K$2:$K$4, Ledger!$B$2:$B$4, $A3, Ledger!$C$2:$C$4, QAA$2)),"****")</f>
        <v/>
      </c>
      <c r="QAB3" t="str">
        <f>IFERROR(IF($C3="","",SUMIFS(Ledger!$K$2:$K$4, Ledger!$B$2:$B$4, $A3, Ledger!$C$2:$C$4, QAB$2)),"****")</f>
        <v/>
      </c>
      <c r="QAC3" t="str">
        <f>IFERROR(IF($C3="","",SUMIFS(Ledger!$K$2:$K$4, Ledger!$B$2:$B$4, $A3, Ledger!$C$2:$C$4, QAC$2)),"****")</f>
        <v/>
      </c>
      <c r="QAD3" t="str">
        <f>IFERROR(IF($C3="","",SUMIFS(Ledger!$K$2:$K$4, Ledger!$B$2:$B$4, $A3, Ledger!$C$2:$C$4, QAD$2)),"****")</f>
        <v/>
      </c>
      <c r="QAE3" t="str">
        <f>IFERROR(IF($C3="","",SUMIFS(Ledger!$K$2:$K$4, Ledger!$B$2:$B$4, $A3, Ledger!$C$2:$C$4, QAE$2)),"****")</f>
        <v/>
      </c>
      <c r="QAF3" t="str">
        <f>IFERROR(IF($C3="","",SUMIFS(Ledger!$K$2:$K$4, Ledger!$B$2:$B$4, $A3, Ledger!$C$2:$C$4, QAF$2)),"****")</f>
        <v/>
      </c>
      <c r="QAG3" t="str">
        <f>IFERROR(IF($C3="","",SUMIFS(Ledger!$K$2:$K$4, Ledger!$B$2:$B$4, $A3, Ledger!$C$2:$C$4, QAG$2)),"****")</f>
        <v/>
      </c>
      <c r="QAH3" t="str">
        <f>IFERROR(IF($C3="","",SUMIFS(Ledger!$K$2:$K$4, Ledger!$B$2:$B$4, $A3, Ledger!$C$2:$C$4, QAH$2)),"****")</f>
        <v/>
      </c>
      <c r="QAI3" t="str">
        <f>IFERROR(IF($C3="","",SUMIFS(Ledger!$K$2:$K$4, Ledger!$B$2:$B$4, $A3, Ledger!$C$2:$C$4, QAI$2)),"****")</f>
        <v/>
      </c>
      <c r="QAJ3" t="str">
        <f>IFERROR(IF($C3="","",SUMIFS(Ledger!$K$2:$K$4, Ledger!$B$2:$B$4, $A3, Ledger!$C$2:$C$4, QAJ$2)),"****")</f>
        <v/>
      </c>
      <c r="QAK3" t="str">
        <f>IFERROR(IF($C3="","",SUMIFS(Ledger!$K$2:$K$4, Ledger!$B$2:$B$4, $A3, Ledger!$C$2:$C$4, QAK$2)),"****")</f>
        <v/>
      </c>
      <c r="QAL3" t="str">
        <f>IFERROR(IF($C3="","",SUMIFS(Ledger!$K$2:$K$4, Ledger!$B$2:$B$4, $A3, Ledger!$C$2:$C$4, QAL$2)),"****")</f>
        <v/>
      </c>
      <c r="QAM3" t="str">
        <f>IFERROR(IF($C3="","",SUMIFS(Ledger!$K$2:$K$4, Ledger!$B$2:$B$4, $A3, Ledger!$C$2:$C$4, QAM$2)),"****")</f>
        <v/>
      </c>
      <c r="QAN3" t="str">
        <f>IFERROR(IF($C3="","",SUMIFS(Ledger!$K$2:$K$4, Ledger!$B$2:$B$4, $A3, Ledger!$C$2:$C$4, QAN$2)),"****")</f>
        <v/>
      </c>
      <c r="QAO3" t="str">
        <f>IFERROR(IF($C3="","",SUMIFS(Ledger!$K$2:$K$4, Ledger!$B$2:$B$4, $A3, Ledger!$C$2:$C$4, QAO$2)),"****")</f>
        <v/>
      </c>
      <c r="QAP3" t="str">
        <f>IFERROR(IF($C3="","",SUMIFS(Ledger!$K$2:$K$4, Ledger!$B$2:$B$4, $A3, Ledger!$C$2:$C$4, QAP$2)),"****")</f>
        <v/>
      </c>
      <c r="QAQ3" t="str">
        <f>IFERROR(IF($C3="","",SUMIFS(Ledger!$K$2:$K$4, Ledger!$B$2:$B$4, $A3, Ledger!$C$2:$C$4, QAQ$2)),"****")</f>
        <v/>
      </c>
      <c r="QAR3" t="str">
        <f>IFERROR(IF($C3="","",SUMIFS(Ledger!$K$2:$K$4, Ledger!$B$2:$B$4, $A3, Ledger!$C$2:$C$4, QAR$2)),"****")</f>
        <v/>
      </c>
      <c r="QAS3" t="str">
        <f>IFERROR(IF($C3="","",SUMIFS(Ledger!$K$2:$K$4, Ledger!$B$2:$B$4, $A3, Ledger!$C$2:$C$4, QAS$2)),"****")</f>
        <v/>
      </c>
      <c r="QAT3" t="str">
        <f>IFERROR(IF($C3="","",SUMIFS(Ledger!$K$2:$K$4, Ledger!$B$2:$B$4, $A3, Ledger!$C$2:$C$4, QAT$2)),"****")</f>
        <v/>
      </c>
      <c r="QAU3" t="str">
        <f>IFERROR(IF($C3="","",SUMIFS(Ledger!$K$2:$K$4, Ledger!$B$2:$B$4, $A3, Ledger!$C$2:$C$4, QAU$2)),"****")</f>
        <v/>
      </c>
      <c r="QAV3" t="str">
        <f>IFERROR(IF($C3="","",SUMIFS(Ledger!$K$2:$K$4, Ledger!$B$2:$B$4, $A3, Ledger!$C$2:$C$4, QAV$2)),"****")</f>
        <v/>
      </c>
      <c r="QAW3" t="str">
        <f>IFERROR(IF($C3="","",SUMIFS(Ledger!$K$2:$K$4, Ledger!$B$2:$B$4, $A3, Ledger!$C$2:$C$4, QAW$2)),"****")</f>
        <v/>
      </c>
      <c r="QAX3" t="str">
        <f>IFERROR(IF($C3="","",SUMIFS(Ledger!$K$2:$K$4, Ledger!$B$2:$B$4, $A3, Ledger!$C$2:$C$4, QAX$2)),"****")</f>
        <v/>
      </c>
      <c r="QAY3" t="str">
        <f>IFERROR(IF($C3="","",SUMIFS(Ledger!$K$2:$K$4, Ledger!$B$2:$B$4, $A3, Ledger!$C$2:$C$4, QAY$2)),"****")</f>
        <v/>
      </c>
      <c r="QAZ3" t="str">
        <f>IFERROR(IF($C3="","",SUMIFS(Ledger!$K$2:$K$4, Ledger!$B$2:$B$4, $A3, Ledger!$C$2:$C$4, QAZ$2)),"****")</f>
        <v/>
      </c>
      <c r="QBA3" t="str">
        <f>IFERROR(IF($C3="","",SUMIFS(Ledger!$K$2:$K$4, Ledger!$B$2:$B$4, $A3, Ledger!$C$2:$C$4, QBA$2)),"****")</f>
        <v/>
      </c>
      <c r="QBB3" t="str">
        <f>IFERROR(IF($C3="","",SUMIFS(Ledger!$K$2:$K$4, Ledger!$B$2:$B$4, $A3, Ledger!$C$2:$C$4, QBB$2)),"****")</f>
        <v/>
      </c>
      <c r="QBC3" t="str">
        <f>IFERROR(IF($C3="","",SUMIFS(Ledger!$K$2:$K$4, Ledger!$B$2:$B$4, $A3, Ledger!$C$2:$C$4, QBC$2)),"****")</f>
        <v/>
      </c>
      <c r="QBD3" t="str">
        <f>IFERROR(IF($C3="","",SUMIFS(Ledger!$K$2:$K$4, Ledger!$B$2:$B$4, $A3, Ledger!$C$2:$C$4, QBD$2)),"****")</f>
        <v/>
      </c>
      <c r="QBE3" t="str">
        <f>IFERROR(IF($C3="","",SUMIFS(Ledger!$K$2:$K$4, Ledger!$B$2:$B$4, $A3, Ledger!$C$2:$C$4, QBE$2)),"****")</f>
        <v/>
      </c>
      <c r="QBF3" t="str">
        <f>IFERROR(IF($C3="","",SUMIFS(Ledger!$K$2:$K$4, Ledger!$B$2:$B$4, $A3, Ledger!$C$2:$C$4, QBF$2)),"****")</f>
        <v/>
      </c>
      <c r="QBG3" t="str">
        <f>IFERROR(IF($C3="","",SUMIFS(Ledger!$K$2:$K$4, Ledger!$B$2:$B$4, $A3, Ledger!$C$2:$C$4, QBG$2)),"****")</f>
        <v/>
      </c>
      <c r="QBH3" t="str">
        <f>IFERROR(IF($C3="","",SUMIFS(Ledger!$K$2:$K$4, Ledger!$B$2:$B$4, $A3, Ledger!$C$2:$C$4, QBH$2)),"****")</f>
        <v/>
      </c>
      <c r="QBI3" t="str">
        <f>IFERROR(IF($C3="","",SUMIFS(Ledger!$K$2:$K$4, Ledger!$B$2:$B$4, $A3, Ledger!$C$2:$C$4, QBI$2)),"****")</f>
        <v/>
      </c>
      <c r="QBJ3" t="str">
        <f>IFERROR(IF($C3="","",SUMIFS(Ledger!$K$2:$K$4, Ledger!$B$2:$B$4, $A3, Ledger!$C$2:$C$4, QBJ$2)),"****")</f>
        <v/>
      </c>
      <c r="QBK3" t="str">
        <f>IFERROR(IF($C3="","",SUMIFS(Ledger!$K$2:$K$4, Ledger!$B$2:$B$4, $A3, Ledger!$C$2:$C$4, QBK$2)),"****")</f>
        <v/>
      </c>
      <c r="QBL3" t="str">
        <f>IFERROR(IF($C3="","",SUMIFS(Ledger!$K$2:$K$4, Ledger!$B$2:$B$4, $A3, Ledger!$C$2:$C$4, QBL$2)),"****")</f>
        <v/>
      </c>
      <c r="QBM3" t="str">
        <f>IFERROR(IF($C3="","",SUMIFS(Ledger!$K$2:$K$4, Ledger!$B$2:$B$4, $A3, Ledger!$C$2:$C$4, QBM$2)),"****")</f>
        <v/>
      </c>
      <c r="QBN3" t="str">
        <f>IFERROR(IF($C3="","",SUMIFS(Ledger!$K$2:$K$4, Ledger!$B$2:$B$4, $A3, Ledger!$C$2:$C$4, QBN$2)),"****")</f>
        <v/>
      </c>
      <c r="QBO3" t="str">
        <f>IFERROR(IF($C3="","",SUMIFS(Ledger!$K$2:$K$4, Ledger!$B$2:$B$4, $A3, Ledger!$C$2:$C$4, QBO$2)),"****")</f>
        <v/>
      </c>
      <c r="QBP3" t="str">
        <f>IFERROR(IF($C3="","",SUMIFS(Ledger!$K$2:$K$4, Ledger!$B$2:$B$4, $A3, Ledger!$C$2:$C$4, QBP$2)),"****")</f>
        <v/>
      </c>
      <c r="QBQ3" t="str">
        <f>IFERROR(IF($C3="","",SUMIFS(Ledger!$K$2:$K$4, Ledger!$B$2:$B$4, $A3, Ledger!$C$2:$C$4, QBQ$2)),"****")</f>
        <v/>
      </c>
      <c r="QBR3" t="str">
        <f>IFERROR(IF($C3="","",SUMIFS(Ledger!$K$2:$K$4, Ledger!$B$2:$B$4, $A3, Ledger!$C$2:$C$4, QBR$2)),"****")</f>
        <v/>
      </c>
      <c r="QBS3" t="str">
        <f>IFERROR(IF($C3="","",SUMIFS(Ledger!$K$2:$K$4, Ledger!$B$2:$B$4, $A3, Ledger!$C$2:$C$4, QBS$2)),"****")</f>
        <v/>
      </c>
      <c r="QBT3" t="str">
        <f>IFERROR(IF($C3="","",SUMIFS(Ledger!$K$2:$K$4, Ledger!$B$2:$B$4, $A3, Ledger!$C$2:$C$4, QBT$2)),"****")</f>
        <v/>
      </c>
      <c r="QBU3" t="str">
        <f>IFERROR(IF($C3="","",SUMIFS(Ledger!$K$2:$K$4, Ledger!$B$2:$B$4, $A3, Ledger!$C$2:$C$4, QBU$2)),"****")</f>
        <v/>
      </c>
      <c r="QBV3" t="str">
        <f>IFERROR(IF($C3="","",SUMIFS(Ledger!$K$2:$K$4, Ledger!$B$2:$B$4, $A3, Ledger!$C$2:$C$4, QBV$2)),"****")</f>
        <v/>
      </c>
      <c r="QBW3" t="str">
        <f>IFERROR(IF($C3="","",SUMIFS(Ledger!$K$2:$K$4, Ledger!$B$2:$B$4, $A3, Ledger!$C$2:$C$4, QBW$2)),"****")</f>
        <v/>
      </c>
      <c r="QBX3" t="str">
        <f>IFERROR(IF($C3="","",SUMIFS(Ledger!$K$2:$K$4, Ledger!$B$2:$B$4, $A3, Ledger!$C$2:$C$4, QBX$2)),"****")</f>
        <v/>
      </c>
      <c r="QBY3" t="str">
        <f>IFERROR(IF($C3="","",SUMIFS(Ledger!$K$2:$K$4, Ledger!$B$2:$B$4, $A3, Ledger!$C$2:$C$4, QBY$2)),"****")</f>
        <v/>
      </c>
      <c r="QBZ3" t="str">
        <f>IFERROR(IF($C3="","",SUMIFS(Ledger!$K$2:$K$4, Ledger!$B$2:$B$4, $A3, Ledger!$C$2:$C$4, QBZ$2)),"****")</f>
        <v/>
      </c>
      <c r="QCA3" t="str">
        <f>IFERROR(IF($C3="","",SUMIFS(Ledger!$K$2:$K$4, Ledger!$B$2:$B$4, $A3, Ledger!$C$2:$C$4, QCA$2)),"****")</f>
        <v/>
      </c>
      <c r="QCB3" t="str">
        <f>IFERROR(IF($C3="","",SUMIFS(Ledger!$K$2:$K$4, Ledger!$B$2:$B$4, $A3, Ledger!$C$2:$C$4, QCB$2)),"****")</f>
        <v/>
      </c>
      <c r="QCC3" t="str">
        <f>IFERROR(IF($C3="","",SUMIFS(Ledger!$K$2:$K$4, Ledger!$B$2:$B$4, $A3, Ledger!$C$2:$C$4, QCC$2)),"****")</f>
        <v/>
      </c>
      <c r="QCD3" t="str">
        <f>IFERROR(IF($C3="","",SUMIFS(Ledger!$K$2:$K$4, Ledger!$B$2:$B$4, $A3, Ledger!$C$2:$C$4, QCD$2)),"****")</f>
        <v/>
      </c>
      <c r="QCE3" t="str">
        <f>IFERROR(IF($C3="","",SUMIFS(Ledger!$K$2:$K$4, Ledger!$B$2:$B$4, $A3, Ledger!$C$2:$C$4, QCE$2)),"****")</f>
        <v/>
      </c>
      <c r="QCF3" t="str">
        <f>IFERROR(IF($C3="","",SUMIFS(Ledger!$K$2:$K$4, Ledger!$B$2:$B$4, $A3, Ledger!$C$2:$C$4, QCF$2)),"****")</f>
        <v/>
      </c>
      <c r="QCG3" t="str">
        <f>IFERROR(IF($C3="","",SUMIFS(Ledger!$K$2:$K$4, Ledger!$B$2:$B$4, $A3, Ledger!$C$2:$C$4, QCG$2)),"****")</f>
        <v/>
      </c>
      <c r="QCH3" t="str">
        <f>IFERROR(IF($C3="","",SUMIFS(Ledger!$K$2:$K$4, Ledger!$B$2:$B$4, $A3, Ledger!$C$2:$C$4, QCH$2)),"****")</f>
        <v/>
      </c>
      <c r="QCI3" t="str">
        <f>IFERROR(IF($C3="","",SUMIFS(Ledger!$K$2:$K$4, Ledger!$B$2:$B$4, $A3, Ledger!$C$2:$C$4, QCI$2)),"****")</f>
        <v/>
      </c>
      <c r="QCJ3" t="str">
        <f>IFERROR(IF($C3="","",SUMIFS(Ledger!$K$2:$K$4, Ledger!$B$2:$B$4, $A3, Ledger!$C$2:$C$4, QCJ$2)),"****")</f>
        <v/>
      </c>
      <c r="QCK3" t="str">
        <f>IFERROR(IF($C3="","",SUMIFS(Ledger!$K$2:$K$4, Ledger!$B$2:$B$4, $A3, Ledger!$C$2:$C$4, QCK$2)),"****")</f>
        <v/>
      </c>
      <c r="QCL3" t="str">
        <f>IFERROR(IF($C3="","",SUMIFS(Ledger!$K$2:$K$4, Ledger!$B$2:$B$4, $A3, Ledger!$C$2:$C$4, QCL$2)),"****")</f>
        <v/>
      </c>
      <c r="QCM3" t="str">
        <f>IFERROR(IF($C3="","",SUMIFS(Ledger!$K$2:$K$4, Ledger!$B$2:$B$4, $A3, Ledger!$C$2:$C$4, QCM$2)),"****")</f>
        <v/>
      </c>
      <c r="QCN3" t="str">
        <f>IFERROR(IF($C3="","",SUMIFS(Ledger!$K$2:$K$4, Ledger!$B$2:$B$4, $A3, Ledger!$C$2:$C$4, QCN$2)),"****")</f>
        <v/>
      </c>
      <c r="QCO3" t="str">
        <f>IFERROR(IF($C3="","",SUMIFS(Ledger!$K$2:$K$4, Ledger!$B$2:$B$4, $A3, Ledger!$C$2:$C$4, QCO$2)),"****")</f>
        <v/>
      </c>
      <c r="QCP3" t="str">
        <f>IFERROR(IF($C3="","",SUMIFS(Ledger!$K$2:$K$4, Ledger!$B$2:$B$4, $A3, Ledger!$C$2:$C$4, QCP$2)),"****")</f>
        <v/>
      </c>
      <c r="QCQ3" t="str">
        <f>IFERROR(IF($C3="","",SUMIFS(Ledger!$K$2:$K$4, Ledger!$B$2:$B$4, $A3, Ledger!$C$2:$C$4, QCQ$2)),"****")</f>
        <v/>
      </c>
      <c r="QCR3" t="str">
        <f>IFERROR(IF($C3="","",SUMIFS(Ledger!$K$2:$K$4, Ledger!$B$2:$B$4, $A3, Ledger!$C$2:$C$4, QCR$2)),"****")</f>
        <v/>
      </c>
      <c r="QCS3" t="str">
        <f>IFERROR(IF($C3="","",SUMIFS(Ledger!$K$2:$K$4, Ledger!$B$2:$B$4, $A3, Ledger!$C$2:$C$4, QCS$2)),"****")</f>
        <v/>
      </c>
      <c r="QCT3" t="str">
        <f>IFERROR(IF($C3="","",SUMIFS(Ledger!$K$2:$K$4, Ledger!$B$2:$B$4, $A3, Ledger!$C$2:$C$4, QCT$2)),"****")</f>
        <v/>
      </c>
      <c r="QCU3" t="str">
        <f>IFERROR(IF($C3="","",SUMIFS(Ledger!$K$2:$K$4, Ledger!$B$2:$B$4, $A3, Ledger!$C$2:$C$4, QCU$2)),"****")</f>
        <v/>
      </c>
      <c r="QCV3" t="str">
        <f>IFERROR(IF($C3="","",SUMIFS(Ledger!$K$2:$K$4, Ledger!$B$2:$B$4, $A3, Ledger!$C$2:$C$4, QCV$2)),"****")</f>
        <v/>
      </c>
      <c r="QCW3" t="str">
        <f>IFERROR(IF($C3="","",SUMIFS(Ledger!$K$2:$K$4, Ledger!$B$2:$B$4, $A3, Ledger!$C$2:$C$4, QCW$2)),"****")</f>
        <v/>
      </c>
      <c r="QCX3" t="str">
        <f>IFERROR(IF($C3="","",SUMIFS(Ledger!$K$2:$K$4, Ledger!$B$2:$B$4, $A3, Ledger!$C$2:$C$4, QCX$2)),"****")</f>
        <v/>
      </c>
      <c r="QCY3" t="str">
        <f>IFERROR(IF($C3="","",SUMIFS(Ledger!$K$2:$K$4, Ledger!$B$2:$B$4, $A3, Ledger!$C$2:$C$4, QCY$2)),"****")</f>
        <v/>
      </c>
      <c r="QCZ3" t="str">
        <f>IFERROR(IF($C3="","",SUMIFS(Ledger!$K$2:$K$4, Ledger!$B$2:$B$4, $A3, Ledger!$C$2:$C$4, QCZ$2)),"****")</f>
        <v/>
      </c>
      <c r="QDA3" t="str">
        <f>IFERROR(IF($C3="","",SUMIFS(Ledger!$K$2:$K$4, Ledger!$B$2:$B$4, $A3, Ledger!$C$2:$C$4, QDA$2)),"****")</f>
        <v/>
      </c>
      <c r="QDB3" t="str">
        <f>IFERROR(IF($C3="","",SUMIFS(Ledger!$K$2:$K$4, Ledger!$B$2:$B$4, $A3, Ledger!$C$2:$C$4, QDB$2)),"****")</f>
        <v/>
      </c>
      <c r="QDC3" t="str">
        <f>IFERROR(IF($C3="","",SUMIFS(Ledger!$K$2:$K$4, Ledger!$B$2:$B$4, $A3, Ledger!$C$2:$C$4, QDC$2)),"****")</f>
        <v/>
      </c>
      <c r="QDD3" t="str">
        <f>IFERROR(IF($C3="","",SUMIFS(Ledger!$K$2:$K$4, Ledger!$B$2:$B$4, $A3, Ledger!$C$2:$C$4, QDD$2)),"****")</f>
        <v/>
      </c>
      <c r="QDE3" t="str">
        <f>IFERROR(IF($C3="","",SUMIFS(Ledger!$K$2:$K$4, Ledger!$B$2:$B$4, $A3, Ledger!$C$2:$C$4, QDE$2)),"****")</f>
        <v/>
      </c>
      <c r="QDF3" t="str">
        <f>IFERROR(IF($C3="","",SUMIFS(Ledger!$K$2:$K$4, Ledger!$B$2:$B$4, $A3, Ledger!$C$2:$C$4, QDF$2)),"****")</f>
        <v/>
      </c>
      <c r="QDG3" t="str">
        <f>IFERROR(IF($C3="","",SUMIFS(Ledger!$K$2:$K$4, Ledger!$B$2:$B$4, $A3, Ledger!$C$2:$C$4, QDG$2)),"****")</f>
        <v/>
      </c>
      <c r="QDH3" t="str">
        <f>IFERROR(IF($C3="","",SUMIFS(Ledger!$K$2:$K$4, Ledger!$B$2:$B$4, $A3, Ledger!$C$2:$C$4, QDH$2)),"****")</f>
        <v/>
      </c>
      <c r="QDI3" t="str">
        <f>IFERROR(IF($C3="","",SUMIFS(Ledger!$K$2:$K$4, Ledger!$B$2:$B$4, $A3, Ledger!$C$2:$C$4, QDI$2)),"****")</f>
        <v/>
      </c>
      <c r="QDJ3" t="str">
        <f>IFERROR(IF($C3="","",SUMIFS(Ledger!$K$2:$K$4, Ledger!$B$2:$B$4, $A3, Ledger!$C$2:$C$4, QDJ$2)),"****")</f>
        <v/>
      </c>
      <c r="QDK3" t="str">
        <f>IFERROR(IF($C3="","",SUMIFS(Ledger!$K$2:$K$4, Ledger!$B$2:$B$4, $A3, Ledger!$C$2:$C$4, QDK$2)),"****")</f>
        <v/>
      </c>
      <c r="QDL3" t="str">
        <f>IFERROR(IF($C3="","",SUMIFS(Ledger!$K$2:$K$4, Ledger!$B$2:$B$4, $A3, Ledger!$C$2:$C$4, QDL$2)),"****")</f>
        <v/>
      </c>
      <c r="QDM3" t="str">
        <f>IFERROR(IF($C3="","",SUMIFS(Ledger!$K$2:$K$4, Ledger!$B$2:$B$4, $A3, Ledger!$C$2:$C$4, QDM$2)),"****")</f>
        <v/>
      </c>
      <c r="QDN3" t="str">
        <f>IFERROR(IF($C3="","",SUMIFS(Ledger!$K$2:$K$4, Ledger!$B$2:$B$4, $A3, Ledger!$C$2:$C$4, QDN$2)),"****")</f>
        <v/>
      </c>
      <c r="QDO3" t="str">
        <f>IFERROR(IF($C3="","",SUMIFS(Ledger!$K$2:$K$4, Ledger!$B$2:$B$4, $A3, Ledger!$C$2:$C$4, QDO$2)),"****")</f>
        <v/>
      </c>
      <c r="QDP3" t="str">
        <f>IFERROR(IF($C3="","",SUMIFS(Ledger!$K$2:$K$4, Ledger!$B$2:$B$4, $A3, Ledger!$C$2:$C$4, QDP$2)),"****")</f>
        <v/>
      </c>
      <c r="QDQ3" t="str">
        <f>IFERROR(IF($C3="","",SUMIFS(Ledger!$K$2:$K$4, Ledger!$B$2:$B$4, $A3, Ledger!$C$2:$C$4, QDQ$2)),"****")</f>
        <v/>
      </c>
      <c r="QDR3" t="str">
        <f>IFERROR(IF($C3="","",SUMIFS(Ledger!$K$2:$K$4, Ledger!$B$2:$B$4, $A3, Ledger!$C$2:$C$4, QDR$2)),"****")</f>
        <v/>
      </c>
      <c r="QDS3" t="str">
        <f>IFERROR(IF($C3="","",SUMIFS(Ledger!$K$2:$K$4, Ledger!$B$2:$B$4, $A3, Ledger!$C$2:$C$4, QDS$2)),"****")</f>
        <v/>
      </c>
      <c r="QDT3" t="str">
        <f>IFERROR(IF($C3="","",SUMIFS(Ledger!$K$2:$K$4, Ledger!$B$2:$B$4, $A3, Ledger!$C$2:$C$4, QDT$2)),"****")</f>
        <v/>
      </c>
      <c r="QDU3" t="str">
        <f>IFERROR(IF($C3="","",SUMIFS(Ledger!$K$2:$K$4, Ledger!$B$2:$B$4, $A3, Ledger!$C$2:$C$4, QDU$2)),"****")</f>
        <v/>
      </c>
      <c r="QDV3" t="str">
        <f>IFERROR(IF($C3="","",SUMIFS(Ledger!$K$2:$K$4, Ledger!$B$2:$B$4, $A3, Ledger!$C$2:$C$4, QDV$2)),"****")</f>
        <v/>
      </c>
      <c r="QDW3" t="str">
        <f>IFERROR(IF($C3="","",SUMIFS(Ledger!$K$2:$K$4, Ledger!$B$2:$B$4, $A3, Ledger!$C$2:$C$4, QDW$2)),"****")</f>
        <v/>
      </c>
      <c r="QDX3" t="str">
        <f>IFERROR(IF($C3="","",SUMIFS(Ledger!$K$2:$K$4, Ledger!$B$2:$B$4, $A3, Ledger!$C$2:$C$4, QDX$2)),"****")</f>
        <v/>
      </c>
      <c r="QDY3" t="str">
        <f>IFERROR(IF($C3="","",SUMIFS(Ledger!$K$2:$K$4, Ledger!$B$2:$B$4, $A3, Ledger!$C$2:$C$4, QDY$2)),"****")</f>
        <v/>
      </c>
      <c r="QDZ3" t="str">
        <f>IFERROR(IF($C3="","",SUMIFS(Ledger!$K$2:$K$4, Ledger!$B$2:$B$4, $A3, Ledger!$C$2:$C$4, QDZ$2)),"****")</f>
        <v/>
      </c>
      <c r="QEA3" t="str">
        <f>IFERROR(IF($C3="","",SUMIFS(Ledger!$K$2:$K$4, Ledger!$B$2:$B$4, $A3, Ledger!$C$2:$C$4, QEA$2)),"****")</f>
        <v/>
      </c>
      <c r="QEB3" t="str">
        <f>IFERROR(IF($C3="","",SUMIFS(Ledger!$K$2:$K$4, Ledger!$B$2:$B$4, $A3, Ledger!$C$2:$C$4, QEB$2)),"****")</f>
        <v/>
      </c>
      <c r="QEC3" t="str">
        <f>IFERROR(IF($C3="","",SUMIFS(Ledger!$K$2:$K$4, Ledger!$B$2:$B$4, $A3, Ledger!$C$2:$C$4, QEC$2)),"****")</f>
        <v/>
      </c>
      <c r="QED3" t="str">
        <f>IFERROR(IF($C3="","",SUMIFS(Ledger!$K$2:$K$4, Ledger!$B$2:$B$4, $A3, Ledger!$C$2:$C$4, QED$2)),"****")</f>
        <v/>
      </c>
      <c r="QEE3" t="str">
        <f>IFERROR(IF($C3="","",SUMIFS(Ledger!$K$2:$K$4, Ledger!$B$2:$B$4, $A3, Ledger!$C$2:$C$4, QEE$2)),"****")</f>
        <v/>
      </c>
      <c r="QEF3" t="str">
        <f>IFERROR(IF($C3="","",SUMIFS(Ledger!$K$2:$K$4, Ledger!$B$2:$B$4, $A3, Ledger!$C$2:$C$4, QEF$2)),"****")</f>
        <v/>
      </c>
      <c r="QEG3" t="str">
        <f>IFERROR(IF($C3="","",SUMIFS(Ledger!$K$2:$K$4, Ledger!$B$2:$B$4, $A3, Ledger!$C$2:$C$4, QEG$2)),"****")</f>
        <v/>
      </c>
      <c r="QEH3" t="str">
        <f>IFERROR(IF($C3="","",SUMIFS(Ledger!$K$2:$K$4, Ledger!$B$2:$B$4, $A3, Ledger!$C$2:$C$4, QEH$2)),"****")</f>
        <v/>
      </c>
      <c r="QEI3" t="str">
        <f>IFERROR(IF($C3="","",SUMIFS(Ledger!$K$2:$K$4, Ledger!$B$2:$B$4, $A3, Ledger!$C$2:$C$4, QEI$2)),"****")</f>
        <v/>
      </c>
      <c r="QEJ3" t="str">
        <f>IFERROR(IF($C3="","",SUMIFS(Ledger!$K$2:$K$4, Ledger!$B$2:$B$4, $A3, Ledger!$C$2:$C$4, QEJ$2)),"****")</f>
        <v/>
      </c>
      <c r="QEK3" t="str">
        <f>IFERROR(IF($C3="","",SUMIFS(Ledger!$K$2:$K$4, Ledger!$B$2:$B$4, $A3, Ledger!$C$2:$C$4, QEK$2)),"****")</f>
        <v/>
      </c>
      <c r="QEL3" t="str">
        <f>IFERROR(IF($C3="","",SUMIFS(Ledger!$K$2:$K$4, Ledger!$B$2:$B$4, $A3, Ledger!$C$2:$C$4, QEL$2)),"****")</f>
        <v/>
      </c>
      <c r="QEM3" t="str">
        <f>IFERROR(IF($C3="","",SUMIFS(Ledger!$K$2:$K$4, Ledger!$B$2:$B$4, $A3, Ledger!$C$2:$C$4, QEM$2)),"****")</f>
        <v/>
      </c>
      <c r="QEN3" t="str">
        <f>IFERROR(IF($C3="","",SUMIFS(Ledger!$K$2:$K$4, Ledger!$B$2:$B$4, $A3, Ledger!$C$2:$C$4, QEN$2)),"****")</f>
        <v/>
      </c>
      <c r="QEO3" t="str">
        <f>IFERROR(IF($C3="","",SUMIFS(Ledger!$K$2:$K$4, Ledger!$B$2:$B$4, $A3, Ledger!$C$2:$C$4, QEO$2)),"****")</f>
        <v/>
      </c>
      <c r="QEP3" t="str">
        <f>IFERROR(IF($C3="","",SUMIFS(Ledger!$K$2:$K$4, Ledger!$B$2:$B$4, $A3, Ledger!$C$2:$C$4, QEP$2)),"****")</f>
        <v/>
      </c>
      <c r="QEQ3" t="str">
        <f>IFERROR(IF($C3="","",SUMIFS(Ledger!$K$2:$K$4, Ledger!$B$2:$B$4, $A3, Ledger!$C$2:$C$4, QEQ$2)),"****")</f>
        <v/>
      </c>
      <c r="QER3" t="str">
        <f>IFERROR(IF($C3="","",SUMIFS(Ledger!$K$2:$K$4, Ledger!$B$2:$B$4, $A3, Ledger!$C$2:$C$4, QER$2)),"****")</f>
        <v/>
      </c>
      <c r="QES3" t="str">
        <f>IFERROR(IF($C3="","",SUMIFS(Ledger!$K$2:$K$4, Ledger!$B$2:$B$4, $A3, Ledger!$C$2:$C$4, QES$2)),"****")</f>
        <v/>
      </c>
      <c r="QET3" t="str">
        <f>IFERROR(IF($C3="","",SUMIFS(Ledger!$K$2:$K$4, Ledger!$B$2:$B$4, $A3, Ledger!$C$2:$C$4, QET$2)),"****")</f>
        <v/>
      </c>
      <c r="QEU3" t="str">
        <f>IFERROR(IF($C3="","",SUMIFS(Ledger!$K$2:$K$4, Ledger!$B$2:$B$4, $A3, Ledger!$C$2:$C$4, QEU$2)),"****")</f>
        <v/>
      </c>
      <c r="QEV3" t="str">
        <f>IFERROR(IF($C3="","",SUMIFS(Ledger!$K$2:$K$4, Ledger!$B$2:$B$4, $A3, Ledger!$C$2:$C$4, QEV$2)),"****")</f>
        <v/>
      </c>
      <c r="QEW3" t="str">
        <f>IFERROR(IF($C3="","",SUMIFS(Ledger!$K$2:$K$4, Ledger!$B$2:$B$4, $A3, Ledger!$C$2:$C$4, QEW$2)),"****")</f>
        <v/>
      </c>
      <c r="QEX3" t="str">
        <f>IFERROR(IF($C3="","",SUMIFS(Ledger!$K$2:$K$4, Ledger!$B$2:$B$4, $A3, Ledger!$C$2:$C$4, QEX$2)),"****")</f>
        <v/>
      </c>
      <c r="QEY3" t="str">
        <f>IFERROR(IF($C3="","",SUMIFS(Ledger!$K$2:$K$4, Ledger!$B$2:$B$4, $A3, Ledger!$C$2:$C$4, QEY$2)),"****")</f>
        <v/>
      </c>
      <c r="QEZ3" t="str">
        <f>IFERROR(IF($C3="","",SUMIFS(Ledger!$K$2:$K$4, Ledger!$B$2:$B$4, $A3, Ledger!$C$2:$C$4, QEZ$2)),"****")</f>
        <v/>
      </c>
      <c r="QFA3" t="str">
        <f>IFERROR(IF($C3="","",SUMIFS(Ledger!$K$2:$K$4, Ledger!$B$2:$B$4, $A3, Ledger!$C$2:$C$4, QFA$2)),"****")</f>
        <v/>
      </c>
      <c r="QFB3" t="str">
        <f>IFERROR(IF($C3="","",SUMIFS(Ledger!$K$2:$K$4, Ledger!$B$2:$B$4, $A3, Ledger!$C$2:$C$4, QFB$2)),"****")</f>
        <v/>
      </c>
      <c r="QFC3" t="str">
        <f>IFERROR(IF($C3="","",SUMIFS(Ledger!$K$2:$K$4, Ledger!$B$2:$B$4, $A3, Ledger!$C$2:$C$4, QFC$2)),"****")</f>
        <v/>
      </c>
      <c r="QFD3" t="str">
        <f>IFERROR(IF($C3="","",SUMIFS(Ledger!$K$2:$K$4, Ledger!$B$2:$B$4, $A3, Ledger!$C$2:$C$4, QFD$2)),"****")</f>
        <v/>
      </c>
      <c r="QFE3" t="str">
        <f>IFERROR(IF($C3="","",SUMIFS(Ledger!$K$2:$K$4, Ledger!$B$2:$B$4, $A3, Ledger!$C$2:$C$4, QFE$2)),"****")</f>
        <v/>
      </c>
      <c r="QFF3" t="str">
        <f>IFERROR(IF($C3="","",SUMIFS(Ledger!$K$2:$K$4, Ledger!$B$2:$B$4, $A3, Ledger!$C$2:$C$4, QFF$2)),"****")</f>
        <v/>
      </c>
      <c r="QFG3" t="str">
        <f>IFERROR(IF($C3="","",SUMIFS(Ledger!$K$2:$K$4, Ledger!$B$2:$B$4, $A3, Ledger!$C$2:$C$4, QFG$2)),"****")</f>
        <v/>
      </c>
      <c r="QFH3" t="str">
        <f>IFERROR(IF($C3="","",SUMIFS(Ledger!$K$2:$K$4, Ledger!$B$2:$B$4, $A3, Ledger!$C$2:$C$4, QFH$2)),"****")</f>
        <v/>
      </c>
      <c r="QFI3" t="str">
        <f>IFERROR(IF($C3="","",SUMIFS(Ledger!$K$2:$K$4, Ledger!$B$2:$B$4, $A3, Ledger!$C$2:$C$4, QFI$2)),"****")</f>
        <v/>
      </c>
      <c r="QFJ3" t="str">
        <f>IFERROR(IF($C3="","",SUMIFS(Ledger!$K$2:$K$4, Ledger!$B$2:$B$4, $A3, Ledger!$C$2:$C$4, QFJ$2)),"****")</f>
        <v/>
      </c>
      <c r="QFK3" t="str">
        <f>IFERROR(IF($C3="","",SUMIFS(Ledger!$K$2:$K$4, Ledger!$B$2:$B$4, $A3, Ledger!$C$2:$C$4, QFK$2)),"****")</f>
        <v/>
      </c>
      <c r="QFL3" t="str">
        <f>IFERROR(IF($C3="","",SUMIFS(Ledger!$K$2:$K$4, Ledger!$B$2:$B$4, $A3, Ledger!$C$2:$C$4, QFL$2)),"****")</f>
        <v/>
      </c>
      <c r="QFM3" t="str">
        <f>IFERROR(IF($C3="","",SUMIFS(Ledger!$K$2:$K$4, Ledger!$B$2:$B$4, $A3, Ledger!$C$2:$C$4, QFM$2)),"****")</f>
        <v/>
      </c>
      <c r="QFN3" t="str">
        <f>IFERROR(IF($C3="","",SUMIFS(Ledger!$K$2:$K$4, Ledger!$B$2:$B$4, $A3, Ledger!$C$2:$C$4, QFN$2)),"****")</f>
        <v/>
      </c>
      <c r="QFO3" t="str">
        <f>IFERROR(IF($C3="","",SUMIFS(Ledger!$K$2:$K$4, Ledger!$B$2:$B$4, $A3, Ledger!$C$2:$C$4, QFO$2)),"****")</f>
        <v/>
      </c>
      <c r="QFP3" t="str">
        <f>IFERROR(IF($C3="","",SUMIFS(Ledger!$K$2:$K$4, Ledger!$B$2:$B$4, $A3, Ledger!$C$2:$C$4, QFP$2)),"****")</f>
        <v/>
      </c>
      <c r="QFQ3" t="str">
        <f>IFERROR(IF($C3="","",SUMIFS(Ledger!$K$2:$K$4, Ledger!$B$2:$B$4, $A3, Ledger!$C$2:$C$4, QFQ$2)),"****")</f>
        <v/>
      </c>
      <c r="QFR3" t="str">
        <f>IFERROR(IF($C3="","",SUMIFS(Ledger!$K$2:$K$4, Ledger!$B$2:$B$4, $A3, Ledger!$C$2:$C$4, QFR$2)),"****")</f>
        <v/>
      </c>
      <c r="QFS3" t="str">
        <f>IFERROR(IF($C3="","",SUMIFS(Ledger!$K$2:$K$4, Ledger!$B$2:$B$4, $A3, Ledger!$C$2:$C$4, QFS$2)),"****")</f>
        <v/>
      </c>
      <c r="QFT3" t="str">
        <f>IFERROR(IF($C3="","",SUMIFS(Ledger!$K$2:$K$4, Ledger!$B$2:$B$4, $A3, Ledger!$C$2:$C$4, QFT$2)),"****")</f>
        <v/>
      </c>
      <c r="QFU3" t="str">
        <f>IFERROR(IF($C3="","",SUMIFS(Ledger!$K$2:$K$4, Ledger!$B$2:$B$4, $A3, Ledger!$C$2:$C$4, QFU$2)),"****")</f>
        <v/>
      </c>
      <c r="QFV3" t="str">
        <f>IFERROR(IF($C3="","",SUMIFS(Ledger!$K$2:$K$4, Ledger!$B$2:$B$4, $A3, Ledger!$C$2:$C$4, QFV$2)),"****")</f>
        <v/>
      </c>
      <c r="QFW3" t="str">
        <f>IFERROR(IF($C3="","",SUMIFS(Ledger!$K$2:$K$4, Ledger!$B$2:$B$4, $A3, Ledger!$C$2:$C$4, QFW$2)),"****")</f>
        <v/>
      </c>
      <c r="QFX3" t="str">
        <f>IFERROR(IF($C3="","",SUMIFS(Ledger!$K$2:$K$4, Ledger!$B$2:$B$4, $A3, Ledger!$C$2:$C$4, QFX$2)),"****")</f>
        <v/>
      </c>
      <c r="QFY3" t="str">
        <f>IFERROR(IF($C3="","",SUMIFS(Ledger!$K$2:$K$4, Ledger!$B$2:$B$4, $A3, Ledger!$C$2:$C$4, QFY$2)),"****")</f>
        <v/>
      </c>
      <c r="QFZ3" t="str">
        <f>IFERROR(IF($C3="","",SUMIFS(Ledger!$K$2:$K$4, Ledger!$B$2:$B$4, $A3, Ledger!$C$2:$C$4, QFZ$2)),"****")</f>
        <v/>
      </c>
      <c r="QGA3" t="str">
        <f>IFERROR(IF($C3="","",SUMIFS(Ledger!$K$2:$K$4, Ledger!$B$2:$B$4, $A3, Ledger!$C$2:$C$4, QGA$2)),"****")</f>
        <v/>
      </c>
      <c r="QGB3" t="str">
        <f>IFERROR(IF($C3="","",SUMIFS(Ledger!$K$2:$K$4, Ledger!$B$2:$B$4, $A3, Ledger!$C$2:$C$4, QGB$2)),"****")</f>
        <v/>
      </c>
      <c r="QGC3" t="str">
        <f>IFERROR(IF($C3="","",SUMIFS(Ledger!$K$2:$K$4, Ledger!$B$2:$B$4, $A3, Ledger!$C$2:$C$4, QGC$2)),"****")</f>
        <v/>
      </c>
      <c r="QGD3" t="str">
        <f>IFERROR(IF($C3="","",SUMIFS(Ledger!$K$2:$K$4, Ledger!$B$2:$B$4, $A3, Ledger!$C$2:$C$4, QGD$2)),"****")</f>
        <v/>
      </c>
      <c r="QGE3" t="str">
        <f>IFERROR(IF($C3="","",SUMIFS(Ledger!$K$2:$K$4, Ledger!$B$2:$B$4, $A3, Ledger!$C$2:$C$4, QGE$2)),"****")</f>
        <v/>
      </c>
      <c r="QGF3" t="str">
        <f>IFERROR(IF($C3="","",SUMIFS(Ledger!$K$2:$K$4, Ledger!$B$2:$B$4, $A3, Ledger!$C$2:$C$4, QGF$2)),"****")</f>
        <v/>
      </c>
      <c r="QGG3" t="str">
        <f>IFERROR(IF($C3="","",SUMIFS(Ledger!$K$2:$K$4, Ledger!$B$2:$B$4, $A3, Ledger!$C$2:$C$4, QGG$2)),"****")</f>
        <v/>
      </c>
      <c r="QGH3" t="str">
        <f>IFERROR(IF($C3="","",SUMIFS(Ledger!$K$2:$K$4, Ledger!$B$2:$B$4, $A3, Ledger!$C$2:$C$4, QGH$2)),"****")</f>
        <v/>
      </c>
      <c r="QGI3" t="str">
        <f>IFERROR(IF($C3="","",SUMIFS(Ledger!$K$2:$K$4, Ledger!$B$2:$B$4, $A3, Ledger!$C$2:$C$4, QGI$2)),"****")</f>
        <v/>
      </c>
      <c r="QGJ3" t="str">
        <f>IFERROR(IF($C3="","",SUMIFS(Ledger!$K$2:$K$4, Ledger!$B$2:$B$4, $A3, Ledger!$C$2:$C$4, QGJ$2)),"****")</f>
        <v/>
      </c>
      <c r="QGK3" t="str">
        <f>IFERROR(IF($C3="","",SUMIFS(Ledger!$K$2:$K$4, Ledger!$B$2:$B$4, $A3, Ledger!$C$2:$C$4, QGK$2)),"****")</f>
        <v/>
      </c>
      <c r="QGL3" t="str">
        <f>IFERROR(IF($C3="","",SUMIFS(Ledger!$K$2:$K$4, Ledger!$B$2:$B$4, $A3, Ledger!$C$2:$C$4, QGL$2)),"****")</f>
        <v/>
      </c>
      <c r="QGM3" t="str">
        <f>IFERROR(IF($C3="","",SUMIFS(Ledger!$K$2:$K$4, Ledger!$B$2:$B$4, $A3, Ledger!$C$2:$C$4, QGM$2)),"****")</f>
        <v/>
      </c>
      <c r="QGN3" t="str">
        <f>IFERROR(IF($C3="","",SUMIFS(Ledger!$K$2:$K$4, Ledger!$B$2:$B$4, $A3, Ledger!$C$2:$C$4, QGN$2)),"****")</f>
        <v/>
      </c>
      <c r="QGO3" t="str">
        <f>IFERROR(IF($C3="","",SUMIFS(Ledger!$K$2:$K$4, Ledger!$B$2:$B$4, $A3, Ledger!$C$2:$C$4, QGO$2)),"****")</f>
        <v/>
      </c>
      <c r="QGP3" t="str">
        <f>IFERROR(IF($C3="","",SUMIFS(Ledger!$K$2:$K$4, Ledger!$B$2:$B$4, $A3, Ledger!$C$2:$C$4, QGP$2)),"****")</f>
        <v/>
      </c>
      <c r="QGQ3" t="str">
        <f>IFERROR(IF($C3="","",SUMIFS(Ledger!$K$2:$K$4, Ledger!$B$2:$B$4, $A3, Ledger!$C$2:$C$4, QGQ$2)),"****")</f>
        <v/>
      </c>
      <c r="QGR3" t="str">
        <f>IFERROR(IF($C3="","",SUMIFS(Ledger!$K$2:$K$4, Ledger!$B$2:$B$4, $A3, Ledger!$C$2:$C$4, QGR$2)),"****")</f>
        <v/>
      </c>
      <c r="QGS3" t="str">
        <f>IFERROR(IF($C3="","",SUMIFS(Ledger!$K$2:$K$4, Ledger!$B$2:$B$4, $A3, Ledger!$C$2:$C$4, QGS$2)),"****")</f>
        <v/>
      </c>
      <c r="QGT3" t="str">
        <f>IFERROR(IF($C3="","",SUMIFS(Ledger!$K$2:$K$4, Ledger!$B$2:$B$4, $A3, Ledger!$C$2:$C$4, QGT$2)),"****")</f>
        <v/>
      </c>
      <c r="QGU3" t="str">
        <f>IFERROR(IF($C3="","",SUMIFS(Ledger!$K$2:$K$4, Ledger!$B$2:$B$4, $A3, Ledger!$C$2:$C$4, QGU$2)),"****")</f>
        <v/>
      </c>
      <c r="QGV3" t="str">
        <f>IFERROR(IF($C3="","",SUMIFS(Ledger!$K$2:$K$4, Ledger!$B$2:$B$4, $A3, Ledger!$C$2:$C$4, QGV$2)),"****")</f>
        <v/>
      </c>
      <c r="QGW3" t="str">
        <f>IFERROR(IF($C3="","",SUMIFS(Ledger!$K$2:$K$4, Ledger!$B$2:$B$4, $A3, Ledger!$C$2:$C$4, QGW$2)),"****")</f>
        <v/>
      </c>
      <c r="QGX3" t="str">
        <f>IFERROR(IF($C3="","",SUMIFS(Ledger!$K$2:$K$4, Ledger!$B$2:$B$4, $A3, Ledger!$C$2:$C$4, QGX$2)),"****")</f>
        <v/>
      </c>
      <c r="QGY3" t="str">
        <f>IFERROR(IF($C3="","",SUMIFS(Ledger!$K$2:$K$4, Ledger!$B$2:$B$4, $A3, Ledger!$C$2:$C$4, QGY$2)),"****")</f>
        <v/>
      </c>
      <c r="QGZ3" t="str">
        <f>IFERROR(IF($C3="","",SUMIFS(Ledger!$K$2:$K$4, Ledger!$B$2:$B$4, $A3, Ledger!$C$2:$C$4, QGZ$2)),"****")</f>
        <v/>
      </c>
      <c r="QHA3" t="str">
        <f>IFERROR(IF($C3="","",SUMIFS(Ledger!$K$2:$K$4, Ledger!$B$2:$B$4, $A3, Ledger!$C$2:$C$4, QHA$2)),"****")</f>
        <v/>
      </c>
      <c r="QHB3" t="str">
        <f>IFERROR(IF($C3="","",SUMIFS(Ledger!$K$2:$K$4, Ledger!$B$2:$B$4, $A3, Ledger!$C$2:$C$4, QHB$2)),"****")</f>
        <v/>
      </c>
      <c r="QHC3" t="str">
        <f>IFERROR(IF($C3="","",SUMIFS(Ledger!$K$2:$K$4, Ledger!$B$2:$B$4, $A3, Ledger!$C$2:$C$4, QHC$2)),"****")</f>
        <v/>
      </c>
      <c r="QHD3" t="str">
        <f>IFERROR(IF($C3="","",SUMIFS(Ledger!$K$2:$K$4, Ledger!$B$2:$B$4, $A3, Ledger!$C$2:$C$4, QHD$2)),"****")</f>
        <v/>
      </c>
      <c r="QHE3" t="str">
        <f>IFERROR(IF($C3="","",SUMIFS(Ledger!$K$2:$K$4, Ledger!$B$2:$B$4, $A3, Ledger!$C$2:$C$4, QHE$2)),"****")</f>
        <v/>
      </c>
      <c r="QHF3" t="str">
        <f>IFERROR(IF($C3="","",SUMIFS(Ledger!$K$2:$K$4, Ledger!$B$2:$B$4, $A3, Ledger!$C$2:$C$4, QHF$2)),"****")</f>
        <v/>
      </c>
      <c r="QHG3" t="str">
        <f>IFERROR(IF($C3="","",SUMIFS(Ledger!$K$2:$K$4, Ledger!$B$2:$B$4, $A3, Ledger!$C$2:$C$4, QHG$2)),"****")</f>
        <v/>
      </c>
      <c r="QHH3" t="str">
        <f>IFERROR(IF($C3="","",SUMIFS(Ledger!$K$2:$K$4, Ledger!$B$2:$B$4, $A3, Ledger!$C$2:$C$4, QHH$2)),"****")</f>
        <v/>
      </c>
      <c r="QHI3" t="str">
        <f>IFERROR(IF($C3="","",SUMIFS(Ledger!$K$2:$K$4, Ledger!$B$2:$B$4, $A3, Ledger!$C$2:$C$4, QHI$2)),"****")</f>
        <v/>
      </c>
      <c r="QHJ3" t="str">
        <f>IFERROR(IF($C3="","",SUMIFS(Ledger!$K$2:$K$4, Ledger!$B$2:$B$4, $A3, Ledger!$C$2:$C$4, QHJ$2)),"****")</f>
        <v/>
      </c>
      <c r="QHK3" t="str">
        <f>IFERROR(IF($C3="","",SUMIFS(Ledger!$K$2:$K$4, Ledger!$B$2:$B$4, $A3, Ledger!$C$2:$C$4, QHK$2)),"****")</f>
        <v/>
      </c>
      <c r="QHL3" t="str">
        <f>IFERROR(IF($C3="","",SUMIFS(Ledger!$K$2:$K$4, Ledger!$B$2:$B$4, $A3, Ledger!$C$2:$C$4, QHL$2)),"****")</f>
        <v/>
      </c>
      <c r="QHM3" t="str">
        <f>IFERROR(IF($C3="","",SUMIFS(Ledger!$K$2:$K$4, Ledger!$B$2:$B$4, $A3, Ledger!$C$2:$C$4, QHM$2)),"****")</f>
        <v/>
      </c>
      <c r="QHN3" t="str">
        <f>IFERROR(IF($C3="","",SUMIFS(Ledger!$K$2:$K$4, Ledger!$B$2:$B$4, $A3, Ledger!$C$2:$C$4, QHN$2)),"****")</f>
        <v/>
      </c>
      <c r="QHO3" t="str">
        <f>IFERROR(IF($C3="","",SUMIFS(Ledger!$K$2:$K$4, Ledger!$B$2:$B$4, $A3, Ledger!$C$2:$C$4, QHO$2)),"****")</f>
        <v/>
      </c>
      <c r="QHP3" t="str">
        <f>IFERROR(IF($C3="","",SUMIFS(Ledger!$K$2:$K$4, Ledger!$B$2:$B$4, $A3, Ledger!$C$2:$C$4, QHP$2)),"****")</f>
        <v/>
      </c>
      <c r="QHQ3" t="str">
        <f>IFERROR(IF($C3="","",SUMIFS(Ledger!$K$2:$K$4, Ledger!$B$2:$B$4, $A3, Ledger!$C$2:$C$4, QHQ$2)),"****")</f>
        <v/>
      </c>
      <c r="QHR3" t="str">
        <f>IFERROR(IF($C3="","",SUMIFS(Ledger!$K$2:$K$4, Ledger!$B$2:$B$4, $A3, Ledger!$C$2:$C$4, QHR$2)),"****")</f>
        <v/>
      </c>
      <c r="QHS3" t="str">
        <f>IFERROR(IF($C3="","",SUMIFS(Ledger!$K$2:$K$4, Ledger!$B$2:$B$4, $A3, Ledger!$C$2:$C$4, QHS$2)),"****")</f>
        <v/>
      </c>
      <c r="QHT3" t="str">
        <f>IFERROR(IF($C3="","",SUMIFS(Ledger!$K$2:$K$4, Ledger!$B$2:$B$4, $A3, Ledger!$C$2:$C$4, QHT$2)),"****")</f>
        <v/>
      </c>
      <c r="QHU3" t="str">
        <f>IFERROR(IF($C3="","",SUMIFS(Ledger!$K$2:$K$4, Ledger!$B$2:$B$4, $A3, Ledger!$C$2:$C$4, QHU$2)),"****")</f>
        <v/>
      </c>
      <c r="QHV3" t="str">
        <f>IFERROR(IF($C3="","",SUMIFS(Ledger!$K$2:$K$4, Ledger!$B$2:$B$4, $A3, Ledger!$C$2:$C$4, QHV$2)),"****")</f>
        <v/>
      </c>
      <c r="QHW3" t="str">
        <f>IFERROR(IF($C3="","",SUMIFS(Ledger!$K$2:$K$4, Ledger!$B$2:$B$4, $A3, Ledger!$C$2:$C$4, QHW$2)),"****")</f>
        <v/>
      </c>
      <c r="QHX3" t="str">
        <f>IFERROR(IF($C3="","",SUMIFS(Ledger!$K$2:$K$4, Ledger!$B$2:$B$4, $A3, Ledger!$C$2:$C$4, QHX$2)),"****")</f>
        <v/>
      </c>
      <c r="QHY3" t="str">
        <f>IFERROR(IF($C3="","",SUMIFS(Ledger!$K$2:$K$4, Ledger!$B$2:$B$4, $A3, Ledger!$C$2:$C$4, QHY$2)),"****")</f>
        <v/>
      </c>
      <c r="QHZ3" t="str">
        <f>IFERROR(IF($C3="","",SUMIFS(Ledger!$K$2:$K$4, Ledger!$B$2:$B$4, $A3, Ledger!$C$2:$C$4, QHZ$2)),"****")</f>
        <v/>
      </c>
      <c r="QIA3" t="str">
        <f>IFERROR(IF($C3="","",SUMIFS(Ledger!$K$2:$K$4, Ledger!$B$2:$B$4, $A3, Ledger!$C$2:$C$4, QIA$2)),"****")</f>
        <v/>
      </c>
      <c r="QIB3" t="str">
        <f>IFERROR(IF($C3="","",SUMIFS(Ledger!$K$2:$K$4, Ledger!$B$2:$B$4, $A3, Ledger!$C$2:$C$4, QIB$2)),"****")</f>
        <v/>
      </c>
      <c r="QIC3" t="str">
        <f>IFERROR(IF($C3="","",SUMIFS(Ledger!$K$2:$K$4, Ledger!$B$2:$B$4, $A3, Ledger!$C$2:$C$4, QIC$2)),"****")</f>
        <v/>
      </c>
      <c r="QID3" t="str">
        <f>IFERROR(IF($C3="","",SUMIFS(Ledger!$K$2:$K$4, Ledger!$B$2:$B$4, $A3, Ledger!$C$2:$C$4, QID$2)),"****")</f>
        <v/>
      </c>
      <c r="QIE3" t="str">
        <f>IFERROR(IF($C3="","",SUMIFS(Ledger!$K$2:$K$4, Ledger!$B$2:$B$4, $A3, Ledger!$C$2:$C$4, QIE$2)),"****")</f>
        <v/>
      </c>
      <c r="QIF3" t="str">
        <f>IFERROR(IF($C3="","",SUMIFS(Ledger!$K$2:$K$4, Ledger!$B$2:$B$4, $A3, Ledger!$C$2:$C$4, QIF$2)),"****")</f>
        <v/>
      </c>
      <c r="QIG3" t="str">
        <f>IFERROR(IF($C3="","",SUMIFS(Ledger!$K$2:$K$4, Ledger!$B$2:$B$4, $A3, Ledger!$C$2:$C$4, QIG$2)),"****")</f>
        <v/>
      </c>
      <c r="QIH3" t="str">
        <f>IFERROR(IF($C3="","",SUMIFS(Ledger!$K$2:$K$4, Ledger!$B$2:$B$4, $A3, Ledger!$C$2:$C$4, QIH$2)),"****")</f>
        <v/>
      </c>
      <c r="QII3" t="str">
        <f>IFERROR(IF($C3="","",SUMIFS(Ledger!$K$2:$K$4, Ledger!$B$2:$B$4, $A3, Ledger!$C$2:$C$4, QII$2)),"****")</f>
        <v/>
      </c>
      <c r="QIJ3" t="str">
        <f>IFERROR(IF($C3="","",SUMIFS(Ledger!$K$2:$K$4, Ledger!$B$2:$B$4, $A3, Ledger!$C$2:$C$4, QIJ$2)),"****")</f>
        <v/>
      </c>
      <c r="QIK3" t="str">
        <f>IFERROR(IF($C3="","",SUMIFS(Ledger!$K$2:$K$4, Ledger!$B$2:$B$4, $A3, Ledger!$C$2:$C$4, QIK$2)),"****")</f>
        <v/>
      </c>
      <c r="QIL3" t="str">
        <f>IFERROR(IF($C3="","",SUMIFS(Ledger!$K$2:$K$4, Ledger!$B$2:$B$4, $A3, Ledger!$C$2:$C$4, QIL$2)),"****")</f>
        <v/>
      </c>
      <c r="QIM3" t="str">
        <f>IFERROR(IF($C3="","",SUMIFS(Ledger!$K$2:$K$4, Ledger!$B$2:$B$4, $A3, Ledger!$C$2:$C$4, QIM$2)),"****")</f>
        <v/>
      </c>
      <c r="QIN3" t="str">
        <f>IFERROR(IF($C3="","",SUMIFS(Ledger!$K$2:$K$4, Ledger!$B$2:$B$4, $A3, Ledger!$C$2:$C$4, QIN$2)),"****")</f>
        <v/>
      </c>
      <c r="QIO3" t="str">
        <f>IFERROR(IF($C3="","",SUMIFS(Ledger!$K$2:$K$4, Ledger!$B$2:$B$4, $A3, Ledger!$C$2:$C$4, QIO$2)),"****")</f>
        <v/>
      </c>
      <c r="QIP3" t="str">
        <f>IFERROR(IF($C3="","",SUMIFS(Ledger!$K$2:$K$4, Ledger!$B$2:$B$4, $A3, Ledger!$C$2:$C$4, QIP$2)),"****")</f>
        <v/>
      </c>
      <c r="QIQ3" t="str">
        <f>IFERROR(IF($C3="","",SUMIFS(Ledger!$K$2:$K$4, Ledger!$B$2:$B$4, $A3, Ledger!$C$2:$C$4, QIQ$2)),"****")</f>
        <v/>
      </c>
      <c r="QIR3" t="str">
        <f>IFERROR(IF($C3="","",SUMIFS(Ledger!$K$2:$K$4, Ledger!$B$2:$B$4, $A3, Ledger!$C$2:$C$4, QIR$2)),"****")</f>
        <v/>
      </c>
      <c r="QIS3" t="str">
        <f>IFERROR(IF($C3="","",SUMIFS(Ledger!$K$2:$K$4, Ledger!$B$2:$B$4, $A3, Ledger!$C$2:$C$4, QIS$2)),"****")</f>
        <v/>
      </c>
      <c r="QIT3" t="str">
        <f>IFERROR(IF($C3="","",SUMIFS(Ledger!$K$2:$K$4, Ledger!$B$2:$B$4, $A3, Ledger!$C$2:$C$4, QIT$2)),"****")</f>
        <v/>
      </c>
      <c r="QIU3" t="str">
        <f>IFERROR(IF($C3="","",SUMIFS(Ledger!$K$2:$K$4, Ledger!$B$2:$B$4, $A3, Ledger!$C$2:$C$4, QIU$2)),"****")</f>
        <v/>
      </c>
      <c r="QIV3" t="str">
        <f>IFERROR(IF($C3="","",SUMIFS(Ledger!$K$2:$K$4, Ledger!$B$2:$B$4, $A3, Ledger!$C$2:$C$4, QIV$2)),"****")</f>
        <v/>
      </c>
      <c r="QIW3" t="str">
        <f>IFERROR(IF($C3="","",SUMIFS(Ledger!$K$2:$K$4, Ledger!$B$2:$B$4, $A3, Ledger!$C$2:$C$4, QIW$2)),"****")</f>
        <v/>
      </c>
      <c r="QIX3" t="str">
        <f>IFERROR(IF($C3="","",SUMIFS(Ledger!$K$2:$K$4, Ledger!$B$2:$B$4, $A3, Ledger!$C$2:$C$4, QIX$2)),"****")</f>
        <v/>
      </c>
      <c r="QIY3" t="str">
        <f>IFERROR(IF($C3="","",SUMIFS(Ledger!$K$2:$K$4, Ledger!$B$2:$B$4, $A3, Ledger!$C$2:$C$4, QIY$2)),"****")</f>
        <v/>
      </c>
      <c r="QIZ3" t="str">
        <f>IFERROR(IF($C3="","",SUMIFS(Ledger!$K$2:$K$4, Ledger!$B$2:$B$4, $A3, Ledger!$C$2:$C$4, QIZ$2)),"****")</f>
        <v/>
      </c>
      <c r="QJA3" t="str">
        <f>IFERROR(IF($C3="","",SUMIFS(Ledger!$K$2:$K$4, Ledger!$B$2:$B$4, $A3, Ledger!$C$2:$C$4, QJA$2)),"****")</f>
        <v/>
      </c>
      <c r="QJB3" t="str">
        <f>IFERROR(IF($C3="","",SUMIFS(Ledger!$K$2:$K$4, Ledger!$B$2:$B$4, $A3, Ledger!$C$2:$C$4, QJB$2)),"****")</f>
        <v/>
      </c>
      <c r="QJC3" t="str">
        <f>IFERROR(IF($C3="","",SUMIFS(Ledger!$K$2:$K$4, Ledger!$B$2:$B$4, $A3, Ledger!$C$2:$C$4, QJC$2)),"****")</f>
        <v/>
      </c>
      <c r="QJD3" t="str">
        <f>IFERROR(IF($C3="","",SUMIFS(Ledger!$K$2:$K$4, Ledger!$B$2:$B$4, $A3, Ledger!$C$2:$C$4, QJD$2)),"****")</f>
        <v/>
      </c>
      <c r="QJE3" t="str">
        <f>IFERROR(IF($C3="","",SUMIFS(Ledger!$K$2:$K$4, Ledger!$B$2:$B$4, $A3, Ledger!$C$2:$C$4, QJE$2)),"****")</f>
        <v/>
      </c>
      <c r="QJF3" t="str">
        <f>IFERROR(IF($C3="","",SUMIFS(Ledger!$K$2:$K$4, Ledger!$B$2:$B$4, $A3, Ledger!$C$2:$C$4, QJF$2)),"****")</f>
        <v/>
      </c>
      <c r="QJG3" t="str">
        <f>IFERROR(IF($C3="","",SUMIFS(Ledger!$K$2:$K$4, Ledger!$B$2:$B$4, $A3, Ledger!$C$2:$C$4, QJG$2)),"****")</f>
        <v/>
      </c>
      <c r="QJH3" t="str">
        <f>IFERROR(IF($C3="","",SUMIFS(Ledger!$K$2:$K$4, Ledger!$B$2:$B$4, $A3, Ledger!$C$2:$C$4, QJH$2)),"****")</f>
        <v/>
      </c>
      <c r="QJI3" t="str">
        <f>IFERROR(IF($C3="","",SUMIFS(Ledger!$K$2:$K$4, Ledger!$B$2:$B$4, $A3, Ledger!$C$2:$C$4, QJI$2)),"****")</f>
        <v/>
      </c>
      <c r="QJJ3" t="str">
        <f>IFERROR(IF($C3="","",SUMIFS(Ledger!$K$2:$K$4, Ledger!$B$2:$B$4, $A3, Ledger!$C$2:$C$4, QJJ$2)),"****")</f>
        <v/>
      </c>
      <c r="QJK3" t="str">
        <f>IFERROR(IF($C3="","",SUMIFS(Ledger!$K$2:$K$4, Ledger!$B$2:$B$4, $A3, Ledger!$C$2:$C$4, QJK$2)),"****")</f>
        <v/>
      </c>
      <c r="QJL3" t="str">
        <f>IFERROR(IF($C3="","",SUMIFS(Ledger!$K$2:$K$4, Ledger!$B$2:$B$4, $A3, Ledger!$C$2:$C$4, QJL$2)),"****")</f>
        <v/>
      </c>
      <c r="QJM3" t="str">
        <f>IFERROR(IF($C3="","",SUMIFS(Ledger!$K$2:$K$4, Ledger!$B$2:$B$4, $A3, Ledger!$C$2:$C$4, QJM$2)),"****")</f>
        <v/>
      </c>
      <c r="QJN3" t="str">
        <f>IFERROR(IF($C3="","",SUMIFS(Ledger!$K$2:$K$4, Ledger!$B$2:$B$4, $A3, Ledger!$C$2:$C$4, QJN$2)),"****")</f>
        <v/>
      </c>
      <c r="QJO3" t="str">
        <f>IFERROR(IF($C3="","",SUMIFS(Ledger!$K$2:$K$4, Ledger!$B$2:$B$4, $A3, Ledger!$C$2:$C$4, QJO$2)),"****")</f>
        <v/>
      </c>
      <c r="QJP3" t="str">
        <f>IFERROR(IF($C3="","",SUMIFS(Ledger!$K$2:$K$4, Ledger!$B$2:$B$4, $A3, Ledger!$C$2:$C$4, QJP$2)),"****")</f>
        <v/>
      </c>
      <c r="QJQ3" t="str">
        <f>IFERROR(IF($C3="","",SUMIFS(Ledger!$K$2:$K$4, Ledger!$B$2:$B$4, $A3, Ledger!$C$2:$C$4, QJQ$2)),"****")</f>
        <v/>
      </c>
      <c r="QJR3" t="str">
        <f>IFERROR(IF($C3="","",SUMIFS(Ledger!$K$2:$K$4, Ledger!$B$2:$B$4, $A3, Ledger!$C$2:$C$4, QJR$2)),"****")</f>
        <v/>
      </c>
      <c r="QJS3" t="str">
        <f>IFERROR(IF($C3="","",SUMIFS(Ledger!$K$2:$K$4, Ledger!$B$2:$B$4, $A3, Ledger!$C$2:$C$4, QJS$2)),"****")</f>
        <v/>
      </c>
      <c r="QJT3" t="str">
        <f>IFERROR(IF($C3="","",SUMIFS(Ledger!$K$2:$K$4, Ledger!$B$2:$B$4, $A3, Ledger!$C$2:$C$4, QJT$2)),"****")</f>
        <v/>
      </c>
      <c r="QJU3" t="str">
        <f>IFERROR(IF($C3="","",SUMIFS(Ledger!$K$2:$K$4, Ledger!$B$2:$B$4, $A3, Ledger!$C$2:$C$4, QJU$2)),"****")</f>
        <v/>
      </c>
      <c r="QJV3" t="str">
        <f>IFERROR(IF($C3="","",SUMIFS(Ledger!$K$2:$K$4, Ledger!$B$2:$B$4, $A3, Ledger!$C$2:$C$4, QJV$2)),"****")</f>
        <v/>
      </c>
      <c r="QJW3" t="str">
        <f>IFERROR(IF($C3="","",SUMIFS(Ledger!$K$2:$K$4, Ledger!$B$2:$B$4, $A3, Ledger!$C$2:$C$4, QJW$2)),"****")</f>
        <v/>
      </c>
      <c r="QJX3" t="str">
        <f>IFERROR(IF($C3="","",SUMIFS(Ledger!$K$2:$K$4, Ledger!$B$2:$B$4, $A3, Ledger!$C$2:$C$4, QJX$2)),"****")</f>
        <v/>
      </c>
      <c r="QJY3" t="str">
        <f>IFERROR(IF($C3="","",SUMIFS(Ledger!$K$2:$K$4, Ledger!$B$2:$B$4, $A3, Ledger!$C$2:$C$4, QJY$2)),"****")</f>
        <v/>
      </c>
      <c r="QJZ3" t="str">
        <f>IFERROR(IF($C3="","",SUMIFS(Ledger!$K$2:$K$4, Ledger!$B$2:$B$4, $A3, Ledger!$C$2:$C$4, QJZ$2)),"****")</f>
        <v/>
      </c>
      <c r="QKA3" t="str">
        <f>IFERROR(IF($C3="","",SUMIFS(Ledger!$K$2:$K$4, Ledger!$B$2:$B$4, $A3, Ledger!$C$2:$C$4, QKA$2)),"****")</f>
        <v/>
      </c>
      <c r="QKB3" t="str">
        <f>IFERROR(IF($C3="","",SUMIFS(Ledger!$K$2:$K$4, Ledger!$B$2:$B$4, $A3, Ledger!$C$2:$C$4, QKB$2)),"****")</f>
        <v/>
      </c>
      <c r="QKC3" t="str">
        <f>IFERROR(IF($C3="","",SUMIFS(Ledger!$K$2:$K$4, Ledger!$B$2:$B$4, $A3, Ledger!$C$2:$C$4, QKC$2)),"****")</f>
        <v/>
      </c>
      <c r="QKD3" t="str">
        <f>IFERROR(IF($C3="","",SUMIFS(Ledger!$K$2:$K$4, Ledger!$B$2:$B$4, $A3, Ledger!$C$2:$C$4, QKD$2)),"****")</f>
        <v/>
      </c>
      <c r="QKE3" t="str">
        <f>IFERROR(IF($C3="","",SUMIFS(Ledger!$K$2:$K$4, Ledger!$B$2:$B$4, $A3, Ledger!$C$2:$C$4, QKE$2)),"****")</f>
        <v/>
      </c>
      <c r="QKF3" t="str">
        <f>IFERROR(IF($C3="","",SUMIFS(Ledger!$K$2:$K$4, Ledger!$B$2:$B$4, $A3, Ledger!$C$2:$C$4, QKF$2)),"****")</f>
        <v/>
      </c>
      <c r="QKG3" t="str">
        <f>IFERROR(IF($C3="","",SUMIFS(Ledger!$K$2:$K$4, Ledger!$B$2:$B$4, $A3, Ledger!$C$2:$C$4, QKG$2)),"****")</f>
        <v/>
      </c>
      <c r="QKH3" t="str">
        <f>IFERROR(IF($C3="","",SUMIFS(Ledger!$K$2:$K$4, Ledger!$B$2:$B$4, $A3, Ledger!$C$2:$C$4, QKH$2)),"****")</f>
        <v/>
      </c>
      <c r="QKI3" t="str">
        <f>IFERROR(IF($C3="","",SUMIFS(Ledger!$K$2:$K$4, Ledger!$B$2:$B$4, $A3, Ledger!$C$2:$C$4, QKI$2)),"****")</f>
        <v/>
      </c>
      <c r="QKJ3" t="str">
        <f>IFERROR(IF($C3="","",SUMIFS(Ledger!$K$2:$K$4, Ledger!$B$2:$B$4, $A3, Ledger!$C$2:$C$4, QKJ$2)),"****")</f>
        <v/>
      </c>
      <c r="QKK3" t="str">
        <f>IFERROR(IF($C3="","",SUMIFS(Ledger!$K$2:$K$4, Ledger!$B$2:$B$4, $A3, Ledger!$C$2:$C$4, QKK$2)),"****")</f>
        <v/>
      </c>
      <c r="QKL3" t="str">
        <f>IFERROR(IF($C3="","",SUMIFS(Ledger!$K$2:$K$4, Ledger!$B$2:$B$4, $A3, Ledger!$C$2:$C$4, QKL$2)),"****")</f>
        <v/>
      </c>
      <c r="QKM3" t="str">
        <f>IFERROR(IF($C3="","",SUMIFS(Ledger!$K$2:$K$4, Ledger!$B$2:$B$4, $A3, Ledger!$C$2:$C$4, QKM$2)),"****")</f>
        <v/>
      </c>
      <c r="QKN3" t="str">
        <f>IFERROR(IF($C3="","",SUMIFS(Ledger!$K$2:$K$4, Ledger!$B$2:$B$4, $A3, Ledger!$C$2:$C$4, QKN$2)),"****")</f>
        <v/>
      </c>
      <c r="QKO3" t="str">
        <f>IFERROR(IF($C3="","",SUMIFS(Ledger!$K$2:$K$4, Ledger!$B$2:$B$4, $A3, Ledger!$C$2:$C$4, QKO$2)),"****")</f>
        <v/>
      </c>
      <c r="QKP3" t="str">
        <f>IFERROR(IF($C3="","",SUMIFS(Ledger!$K$2:$K$4, Ledger!$B$2:$B$4, $A3, Ledger!$C$2:$C$4, QKP$2)),"****")</f>
        <v/>
      </c>
      <c r="QKQ3" t="str">
        <f>IFERROR(IF($C3="","",SUMIFS(Ledger!$K$2:$K$4, Ledger!$B$2:$B$4, $A3, Ledger!$C$2:$C$4, QKQ$2)),"****")</f>
        <v/>
      </c>
      <c r="QKR3" t="str">
        <f>IFERROR(IF($C3="","",SUMIFS(Ledger!$K$2:$K$4, Ledger!$B$2:$B$4, $A3, Ledger!$C$2:$C$4, QKR$2)),"****")</f>
        <v/>
      </c>
      <c r="QKS3" t="str">
        <f>IFERROR(IF($C3="","",SUMIFS(Ledger!$K$2:$K$4, Ledger!$B$2:$B$4, $A3, Ledger!$C$2:$C$4, QKS$2)),"****")</f>
        <v/>
      </c>
      <c r="QKT3" t="str">
        <f>IFERROR(IF($C3="","",SUMIFS(Ledger!$K$2:$K$4, Ledger!$B$2:$B$4, $A3, Ledger!$C$2:$C$4, QKT$2)),"****")</f>
        <v/>
      </c>
      <c r="QKU3" t="str">
        <f>IFERROR(IF($C3="","",SUMIFS(Ledger!$K$2:$K$4, Ledger!$B$2:$B$4, $A3, Ledger!$C$2:$C$4, QKU$2)),"****")</f>
        <v/>
      </c>
      <c r="QKV3" t="str">
        <f>IFERROR(IF($C3="","",SUMIFS(Ledger!$K$2:$K$4, Ledger!$B$2:$B$4, $A3, Ledger!$C$2:$C$4, QKV$2)),"****")</f>
        <v/>
      </c>
      <c r="QKW3" t="str">
        <f>IFERROR(IF($C3="","",SUMIFS(Ledger!$K$2:$K$4, Ledger!$B$2:$B$4, $A3, Ledger!$C$2:$C$4, QKW$2)),"****")</f>
        <v/>
      </c>
      <c r="QKX3" t="str">
        <f>IFERROR(IF($C3="","",SUMIFS(Ledger!$K$2:$K$4, Ledger!$B$2:$B$4, $A3, Ledger!$C$2:$C$4, QKX$2)),"****")</f>
        <v/>
      </c>
      <c r="QKY3" t="str">
        <f>IFERROR(IF($C3="","",SUMIFS(Ledger!$K$2:$K$4, Ledger!$B$2:$B$4, $A3, Ledger!$C$2:$C$4, QKY$2)),"****")</f>
        <v/>
      </c>
      <c r="QKZ3" t="str">
        <f>IFERROR(IF($C3="","",SUMIFS(Ledger!$K$2:$K$4, Ledger!$B$2:$B$4, $A3, Ledger!$C$2:$C$4, QKZ$2)),"****")</f>
        <v/>
      </c>
      <c r="QLA3" t="str">
        <f>IFERROR(IF($C3="","",SUMIFS(Ledger!$K$2:$K$4, Ledger!$B$2:$B$4, $A3, Ledger!$C$2:$C$4, QLA$2)),"****")</f>
        <v/>
      </c>
      <c r="QLB3" t="str">
        <f>IFERROR(IF($C3="","",SUMIFS(Ledger!$K$2:$K$4, Ledger!$B$2:$B$4, $A3, Ledger!$C$2:$C$4, QLB$2)),"****")</f>
        <v/>
      </c>
      <c r="QLC3" t="str">
        <f>IFERROR(IF($C3="","",SUMIFS(Ledger!$K$2:$K$4, Ledger!$B$2:$B$4, $A3, Ledger!$C$2:$C$4, QLC$2)),"****")</f>
        <v/>
      </c>
      <c r="QLD3" t="str">
        <f>IFERROR(IF($C3="","",SUMIFS(Ledger!$K$2:$K$4, Ledger!$B$2:$B$4, $A3, Ledger!$C$2:$C$4, QLD$2)),"****")</f>
        <v/>
      </c>
      <c r="QLE3" t="str">
        <f>IFERROR(IF($C3="","",SUMIFS(Ledger!$K$2:$K$4, Ledger!$B$2:$B$4, $A3, Ledger!$C$2:$C$4, QLE$2)),"****")</f>
        <v/>
      </c>
      <c r="QLF3" t="str">
        <f>IFERROR(IF($C3="","",SUMIFS(Ledger!$K$2:$K$4, Ledger!$B$2:$B$4, $A3, Ledger!$C$2:$C$4, QLF$2)),"****")</f>
        <v/>
      </c>
      <c r="QLG3" t="str">
        <f>IFERROR(IF($C3="","",SUMIFS(Ledger!$K$2:$K$4, Ledger!$B$2:$B$4, $A3, Ledger!$C$2:$C$4, QLG$2)),"****")</f>
        <v/>
      </c>
      <c r="QLH3" t="str">
        <f>IFERROR(IF($C3="","",SUMIFS(Ledger!$K$2:$K$4, Ledger!$B$2:$B$4, $A3, Ledger!$C$2:$C$4, QLH$2)),"****")</f>
        <v/>
      </c>
      <c r="QLI3" t="str">
        <f>IFERROR(IF($C3="","",SUMIFS(Ledger!$K$2:$K$4, Ledger!$B$2:$B$4, $A3, Ledger!$C$2:$C$4, QLI$2)),"****")</f>
        <v/>
      </c>
      <c r="QLJ3" t="str">
        <f>IFERROR(IF($C3="","",SUMIFS(Ledger!$K$2:$K$4, Ledger!$B$2:$B$4, $A3, Ledger!$C$2:$C$4, QLJ$2)),"****")</f>
        <v/>
      </c>
      <c r="QLK3" t="str">
        <f>IFERROR(IF($C3="","",SUMIFS(Ledger!$K$2:$K$4, Ledger!$B$2:$B$4, $A3, Ledger!$C$2:$C$4, QLK$2)),"****")</f>
        <v/>
      </c>
      <c r="QLL3" t="str">
        <f>IFERROR(IF($C3="","",SUMIFS(Ledger!$K$2:$K$4, Ledger!$B$2:$B$4, $A3, Ledger!$C$2:$C$4, QLL$2)),"****")</f>
        <v/>
      </c>
      <c r="QLM3" t="str">
        <f>IFERROR(IF($C3="","",SUMIFS(Ledger!$K$2:$K$4, Ledger!$B$2:$B$4, $A3, Ledger!$C$2:$C$4, QLM$2)),"****")</f>
        <v/>
      </c>
      <c r="QLN3" t="str">
        <f>IFERROR(IF($C3="","",SUMIFS(Ledger!$K$2:$K$4, Ledger!$B$2:$B$4, $A3, Ledger!$C$2:$C$4, QLN$2)),"****")</f>
        <v/>
      </c>
      <c r="QLO3" t="str">
        <f>IFERROR(IF($C3="","",SUMIFS(Ledger!$K$2:$K$4, Ledger!$B$2:$B$4, $A3, Ledger!$C$2:$C$4, QLO$2)),"****")</f>
        <v/>
      </c>
      <c r="QLP3" t="str">
        <f>IFERROR(IF($C3="","",SUMIFS(Ledger!$K$2:$K$4, Ledger!$B$2:$B$4, $A3, Ledger!$C$2:$C$4, QLP$2)),"****")</f>
        <v/>
      </c>
      <c r="QLQ3" t="str">
        <f>IFERROR(IF($C3="","",SUMIFS(Ledger!$K$2:$K$4, Ledger!$B$2:$B$4, $A3, Ledger!$C$2:$C$4, QLQ$2)),"****")</f>
        <v/>
      </c>
      <c r="QLR3" t="str">
        <f>IFERROR(IF($C3="","",SUMIFS(Ledger!$K$2:$K$4, Ledger!$B$2:$B$4, $A3, Ledger!$C$2:$C$4, QLR$2)),"****")</f>
        <v/>
      </c>
      <c r="QLS3" t="str">
        <f>IFERROR(IF($C3="","",SUMIFS(Ledger!$K$2:$K$4, Ledger!$B$2:$B$4, $A3, Ledger!$C$2:$C$4, QLS$2)),"****")</f>
        <v/>
      </c>
      <c r="QLT3" t="str">
        <f>IFERROR(IF($C3="","",SUMIFS(Ledger!$K$2:$K$4, Ledger!$B$2:$B$4, $A3, Ledger!$C$2:$C$4, QLT$2)),"****")</f>
        <v/>
      </c>
      <c r="QLU3" t="str">
        <f>IFERROR(IF($C3="","",SUMIFS(Ledger!$K$2:$K$4, Ledger!$B$2:$B$4, $A3, Ledger!$C$2:$C$4, QLU$2)),"****")</f>
        <v/>
      </c>
      <c r="QLV3" t="str">
        <f>IFERROR(IF($C3="","",SUMIFS(Ledger!$K$2:$K$4, Ledger!$B$2:$B$4, $A3, Ledger!$C$2:$C$4, QLV$2)),"****")</f>
        <v/>
      </c>
      <c r="QLW3" t="str">
        <f>IFERROR(IF($C3="","",SUMIFS(Ledger!$K$2:$K$4, Ledger!$B$2:$B$4, $A3, Ledger!$C$2:$C$4, QLW$2)),"****")</f>
        <v/>
      </c>
      <c r="QLX3" t="str">
        <f>IFERROR(IF($C3="","",SUMIFS(Ledger!$K$2:$K$4, Ledger!$B$2:$B$4, $A3, Ledger!$C$2:$C$4, QLX$2)),"****")</f>
        <v/>
      </c>
      <c r="QLY3" t="str">
        <f>IFERROR(IF($C3="","",SUMIFS(Ledger!$K$2:$K$4, Ledger!$B$2:$B$4, $A3, Ledger!$C$2:$C$4, QLY$2)),"****")</f>
        <v/>
      </c>
      <c r="QLZ3" t="str">
        <f>IFERROR(IF($C3="","",SUMIFS(Ledger!$K$2:$K$4, Ledger!$B$2:$B$4, $A3, Ledger!$C$2:$C$4, QLZ$2)),"****")</f>
        <v/>
      </c>
      <c r="QMA3" t="str">
        <f>IFERROR(IF($C3="","",SUMIFS(Ledger!$K$2:$K$4, Ledger!$B$2:$B$4, $A3, Ledger!$C$2:$C$4, QMA$2)),"****")</f>
        <v/>
      </c>
      <c r="QMB3" t="str">
        <f>IFERROR(IF($C3="","",SUMIFS(Ledger!$K$2:$K$4, Ledger!$B$2:$B$4, $A3, Ledger!$C$2:$C$4, QMB$2)),"****")</f>
        <v/>
      </c>
      <c r="QMC3" t="str">
        <f>IFERROR(IF($C3="","",SUMIFS(Ledger!$K$2:$K$4, Ledger!$B$2:$B$4, $A3, Ledger!$C$2:$C$4, QMC$2)),"****")</f>
        <v/>
      </c>
      <c r="QMD3" t="str">
        <f>IFERROR(IF($C3="","",SUMIFS(Ledger!$K$2:$K$4, Ledger!$B$2:$B$4, $A3, Ledger!$C$2:$C$4, QMD$2)),"****")</f>
        <v/>
      </c>
      <c r="QME3" t="str">
        <f>IFERROR(IF($C3="","",SUMIFS(Ledger!$K$2:$K$4, Ledger!$B$2:$B$4, $A3, Ledger!$C$2:$C$4, QME$2)),"****")</f>
        <v/>
      </c>
      <c r="QMF3" t="str">
        <f>IFERROR(IF($C3="","",SUMIFS(Ledger!$K$2:$K$4, Ledger!$B$2:$B$4, $A3, Ledger!$C$2:$C$4, QMF$2)),"****")</f>
        <v/>
      </c>
      <c r="QMG3" t="str">
        <f>IFERROR(IF($C3="","",SUMIFS(Ledger!$K$2:$K$4, Ledger!$B$2:$B$4, $A3, Ledger!$C$2:$C$4, QMG$2)),"****")</f>
        <v/>
      </c>
      <c r="QMH3" t="str">
        <f>IFERROR(IF($C3="","",SUMIFS(Ledger!$K$2:$K$4, Ledger!$B$2:$B$4, $A3, Ledger!$C$2:$C$4, QMH$2)),"****")</f>
        <v/>
      </c>
      <c r="QMI3" t="str">
        <f>IFERROR(IF($C3="","",SUMIFS(Ledger!$K$2:$K$4, Ledger!$B$2:$B$4, $A3, Ledger!$C$2:$C$4, QMI$2)),"****")</f>
        <v/>
      </c>
      <c r="QMJ3" t="str">
        <f>IFERROR(IF($C3="","",SUMIFS(Ledger!$K$2:$K$4, Ledger!$B$2:$B$4, $A3, Ledger!$C$2:$C$4, QMJ$2)),"****")</f>
        <v/>
      </c>
      <c r="QMK3" t="str">
        <f>IFERROR(IF($C3="","",SUMIFS(Ledger!$K$2:$K$4, Ledger!$B$2:$B$4, $A3, Ledger!$C$2:$C$4, QMK$2)),"****")</f>
        <v/>
      </c>
      <c r="QML3" t="str">
        <f>IFERROR(IF($C3="","",SUMIFS(Ledger!$K$2:$K$4, Ledger!$B$2:$B$4, $A3, Ledger!$C$2:$C$4, QML$2)),"****")</f>
        <v/>
      </c>
      <c r="QMM3" t="str">
        <f>IFERROR(IF($C3="","",SUMIFS(Ledger!$K$2:$K$4, Ledger!$B$2:$B$4, $A3, Ledger!$C$2:$C$4, QMM$2)),"****")</f>
        <v/>
      </c>
      <c r="QMN3" t="str">
        <f>IFERROR(IF($C3="","",SUMIFS(Ledger!$K$2:$K$4, Ledger!$B$2:$B$4, $A3, Ledger!$C$2:$C$4, QMN$2)),"****")</f>
        <v/>
      </c>
      <c r="QMO3" t="str">
        <f>IFERROR(IF($C3="","",SUMIFS(Ledger!$K$2:$K$4, Ledger!$B$2:$B$4, $A3, Ledger!$C$2:$C$4, QMO$2)),"****")</f>
        <v/>
      </c>
      <c r="QMP3" t="str">
        <f>IFERROR(IF($C3="","",SUMIFS(Ledger!$K$2:$K$4, Ledger!$B$2:$B$4, $A3, Ledger!$C$2:$C$4, QMP$2)),"****")</f>
        <v/>
      </c>
      <c r="QMQ3" t="str">
        <f>IFERROR(IF($C3="","",SUMIFS(Ledger!$K$2:$K$4, Ledger!$B$2:$B$4, $A3, Ledger!$C$2:$C$4, QMQ$2)),"****")</f>
        <v/>
      </c>
      <c r="QMR3" t="str">
        <f>IFERROR(IF($C3="","",SUMIFS(Ledger!$K$2:$K$4, Ledger!$B$2:$B$4, $A3, Ledger!$C$2:$C$4, QMR$2)),"****")</f>
        <v/>
      </c>
      <c r="QMS3" t="str">
        <f>IFERROR(IF($C3="","",SUMIFS(Ledger!$K$2:$K$4, Ledger!$B$2:$B$4, $A3, Ledger!$C$2:$C$4, QMS$2)),"****")</f>
        <v/>
      </c>
      <c r="QMT3" t="str">
        <f>IFERROR(IF($C3="","",SUMIFS(Ledger!$K$2:$K$4, Ledger!$B$2:$B$4, $A3, Ledger!$C$2:$C$4, QMT$2)),"****")</f>
        <v/>
      </c>
      <c r="QMU3" t="str">
        <f>IFERROR(IF($C3="","",SUMIFS(Ledger!$K$2:$K$4, Ledger!$B$2:$B$4, $A3, Ledger!$C$2:$C$4, QMU$2)),"****")</f>
        <v/>
      </c>
      <c r="QMV3" t="str">
        <f>IFERROR(IF($C3="","",SUMIFS(Ledger!$K$2:$K$4, Ledger!$B$2:$B$4, $A3, Ledger!$C$2:$C$4, QMV$2)),"****")</f>
        <v/>
      </c>
      <c r="QMW3" t="str">
        <f>IFERROR(IF($C3="","",SUMIFS(Ledger!$K$2:$K$4, Ledger!$B$2:$B$4, $A3, Ledger!$C$2:$C$4, QMW$2)),"****")</f>
        <v/>
      </c>
      <c r="QMX3" t="str">
        <f>IFERROR(IF($C3="","",SUMIFS(Ledger!$K$2:$K$4, Ledger!$B$2:$B$4, $A3, Ledger!$C$2:$C$4, QMX$2)),"****")</f>
        <v/>
      </c>
      <c r="QMY3" t="str">
        <f>IFERROR(IF($C3="","",SUMIFS(Ledger!$K$2:$K$4, Ledger!$B$2:$B$4, $A3, Ledger!$C$2:$C$4, QMY$2)),"****")</f>
        <v/>
      </c>
      <c r="QMZ3" t="str">
        <f>IFERROR(IF($C3="","",SUMIFS(Ledger!$K$2:$K$4, Ledger!$B$2:$B$4, $A3, Ledger!$C$2:$C$4, QMZ$2)),"****")</f>
        <v/>
      </c>
      <c r="QNA3" t="str">
        <f>IFERROR(IF($C3="","",SUMIFS(Ledger!$K$2:$K$4, Ledger!$B$2:$B$4, $A3, Ledger!$C$2:$C$4, QNA$2)),"****")</f>
        <v/>
      </c>
      <c r="QNB3" t="str">
        <f>IFERROR(IF($C3="","",SUMIFS(Ledger!$K$2:$K$4, Ledger!$B$2:$B$4, $A3, Ledger!$C$2:$C$4, QNB$2)),"****")</f>
        <v/>
      </c>
      <c r="QNC3" t="str">
        <f>IFERROR(IF($C3="","",SUMIFS(Ledger!$K$2:$K$4, Ledger!$B$2:$B$4, $A3, Ledger!$C$2:$C$4, QNC$2)),"****")</f>
        <v/>
      </c>
      <c r="QND3" t="str">
        <f>IFERROR(IF($C3="","",SUMIFS(Ledger!$K$2:$K$4, Ledger!$B$2:$B$4, $A3, Ledger!$C$2:$C$4, QND$2)),"****")</f>
        <v/>
      </c>
      <c r="QNE3" t="str">
        <f>IFERROR(IF($C3="","",SUMIFS(Ledger!$K$2:$K$4, Ledger!$B$2:$B$4, $A3, Ledger!$C$2:$C$4, QNE$2)),"****")</f>
        <v/>
      </c>
      <c r="QNF3" t="str">
        <f>IFERROR(IF($C3="","",SUMIFS(Ledger!$K$2:$K$4, Ledger!$B$2:$B$4, $A3, Ledger!$C$2:$C$4, QNF$2)),"****")</f>
        <v/>
      </c>
      <c r="QNG3" t="str">
        <f>IFERROR(IF($C3="","",SUMIFS(Ledger!$K$2:$K$4, Ledger!$B$2:$B$4, $A3, Ledger!$C$2:$C$4, QNG$2)),"****")</f>
        <v/>
      </c>
      <c r="QNH3" t="str">
        <f>IFERROR(IF($C3="","",SUMIFS(Ledger!$K$2:$K$4, Ledger!$B$2:$B$4, $A3, Ledger!$C$2:$C$4, QNH$2)),"****")</f>
        <v/>
      </c>
      <c r="QNI3" t="str">
        <f>IFERROR(IF($C3="","",SUMIFS(Ledger!$K$2:$K$4, Ledger!$B$2:$B$4, $A3, Ledger!$C$2:$C$4, QNI$2)),"****")</f>
        <v/>
      </c>
      <c r="QNJ3" t="str">
        <f>IFERROR(IF($C3="","",SUMIFS(Ledger!$K$2:$K$4, Ledger!$B$2:$B$4, $A3, Ledger!$C$2:$C$4, QNJ$2)),"****")</f>
        <v/>
      </c>
      <c r="QNK3" t="str">
        <f>IFERROR(IF($C3="","",SUMIFS(Ledger!$K$2:$K$4, Ledger!$B$2:$B$4, $A3, Ledger!$C$2:$C$4, QNK$2)),"****")</f>
        <v/>
      </c>
      <c r="QNL3" t="str">
        <f>IFERROR(IF($C3="","",SUMIFS(Ledger!$K$2:$K$4, Ledger!$B$2:$B$4, $A3, Ledger!$C$2:$C$4, QNL$2)),"****")</f>
        <v/>
      </c>
      <c r="QNM3" t="str">
        <f>IFERROR(IF($C3="","",SUMIFS(Ledger!$K$2:$K$4, Ledger!$B$2:$B$4, $A3, Ledger!$C$2:$C$4, QNM$2)),"****")</f>
        <v/>
      </c>
      <c r="QNN3" t="str">
        <f>IFERROR(IF($C3="","",SUMIFS(Ledger!$K$2:$K$4, Ledger!$B$2:$B$4, $A3, Ledger!$C$2:$C$4, QNN$2)),"****")</f>
        <v/>
      </c>
      <c r="QNO3" t="str">
        <f>IFERROR(IF($C3="","",SUMIFS(Ledger!$K$2:$K$4, Ledger!$B$2:$B$4, $A3, Ledger!$C$2:$C$4, QNO$2)),"****")</f>
        <v/>
      </c>
      <c r="QNP3" t="str">
        <f>IFERROR(IF($C3="","",SUMIFS(Ledger!$K$2:$K$4, Ledger!$B$2:$B$4, $A3, Ledger!$C$2:$C$4, QNP$2)),"****")</f>
        <v/>
      </c>
      <c r="QNQ3" t="str">
        <f>IFERROR(IF($C3="","",SUMIFS(Ledger!$K$2:$K$4, Ledger!$B$2:$B$4, $A3, Ledger!$C$2:$C$4, QNQ$2)),"****")</f>
        <v/>
      </c>
      <c r="QNR3" t="str">
        <f>IFERROR(IF($C3="","",SUMIFS(Ledger!$K$2:$K$4, Ledger!$B$2:$B$4, $A3, Ledger!$C$2:$C$4, QNR$2)),"****")</f>
        <v/>
      </c>
      <c r="QNS3" t="str">
        <f>IFERROR(IF($C3="","",SUMIFS(Ledger!$K$2:$K$4, Ledger!$B$2:$B$4, $A3, Ledger!$C$2:$C$4, QNS$2)),"****")</f>
        <v/>
      </c>
      <c r="QNT3" t="str">
        <f>IFERROR(IF($C3="","",SUMIFS(Ledger!$K$2:$K$4, Ledger!$B$2:$B$4, $A3, Ledger!$C$2:$C$4, QNT$2)),"****")</f>
        <v/>
      </c>
      <c r="QNU3" t="str">
        <f>IFERROR(IF($C3="","",SUMIFS(Ledger!$K$2:$K$4, Ledger!$B$2:$B$4, $A3, Ledger!$C$2:$C$4, QNU$2)),"****")</f>
        <v/>
      </c>
      <c r="QNV3" t="str">
        <f>IFERROR(IF($C3="","",SUMIFS(Ledger!$K$2:$K$4, Ledger!$B$2:$B$4, $A3, Ledger!$C$2:$C$4, QNV$2)),"****")</f>
        <v/>
      </c>
      <c r="QNW3" t="str">
        <f>IFERROR(IF($C3="","",SUMIFS(Ledger!$K$2:$K$4, Ledger!$B$2:$B$4, $A3, Ledger!$C$2:$C$4, QNW$2)),"****")</f>
        <v/>
      </c>
      <c r="QNX3" t="str">
        <f>IFERROR(IF($C3="","",SUMIFS(Ledger!$K$2:$K$4, Ledger!$B$2:$B$4, $A3, Ledger!$C$2:$C$4, QNX$2)),"****")</f>
        <v/>
      </c>
      <c r="QNY3" t="str">
        <f>IFERROR(IF($C3="","",SUMIFS(Ledger!$K$2:$K$4, Ledger!$B$2:$B$4, $A3, Ledger!$C$2:$C$4, QNY$2)),"****")</f>
        <v/>
      </c>
      <c r="QNZ3" t="str">
        <f>IFERROR(IF($C3="","",SUMIFS(Ledger!$K$2:$K$4, Ledger!$B$2:$B$4, $A3, Ledger!$C$2:$C$4, QNZ$2)),"****")</f>
        <v/>
      </c>
      <c r="QOA3" t="str">
        <f>IFERROR(IF($C3="","",SUMIFS(Ledger!$K$2:$K$4, Ledger!$B$2:$B$4, $A3, Ledger!$C$2:$C$4, QOA$2)),"****")</f>
        <v/>
      </c>
      <c r="QOB3" t="str">
        <f>IFERROR(IF($C3="","",SUMIFS(Ledger!$K$2:$K$4, Ledger!$B$2:$B$4, $A3, Ledger!$C$2:$C$4, QOB$2)),"****")</f>
        <v/>
      </c>
      <c r="QOC3" t="str">
        <f>IFERROR(IF($C3="","",SUMIFS(Ledger!$K$2:$K$4, Ledger!$B$2:$B$4, $A3, Ledger!$C$2:$C$4, QOC$2)),"****")</f>
        <v/>
      </c>
      <c r="QOD3" t="str">
        <f>IFERROR(IF($C3="","",SUMIFS(Ledger!$K$2:$K$4, Ledger!$B$2:$B$4, $A3, Ledger!$C$2:$C$4, QOD$2)),"****")</f>
        <v/>
      </c>
      <c r="QOE3" t="str">
        <f>IFERROR(IF($C3="","",SUMIFS(Ledger!$K$2:$K$4, Ledger!$B$2:$B$4, $A3, Ledger!$C$2:$C$4, QOE$2)),"****")</f>
        <v/>
      </c>
      <c r="QOF3" t="str">
        <f>IFERROR(IF($C3="","",SUMIFS(Ledger!$K$2:$K$4, Ledger!$B$2:$B$4, $A3, Ledger!$C$2:$C$4, QOF$2)),"****")</f>
        <v/>
      </c>
      <c r="QOG3" t="str">
        <f>IFERROR(IF($C3="","",SUMIFS(Ledger!$K$2:$K$4, Ledger!$B$2:$B$4, $A3, Ledger!$C$2:$C$4, QOG$2)),"****")</f>
        <v/>
      </c>
      <c r="QOH3" t="str">
        <f>IFERROR(IF($C3="","",SUMIFS(Ledger!$K$2:$K$4, Ledger!$B$2:$B$4, $A3, Ledger!$C$2:$C$4, QOH$2)),"****")</f>
        <v/>
      </c>
      <c r="QOI3" t="str">
        <f>IFERROR(IF($C3="","",SUMIFS(Ledger!$K$2:$K$4, Ledger!$B$2:$B$4, $A3, Ledger!$C$2:$C$4, QOI$2)),"****")</f>
        <v/>
      </c>
      <c r="QOJ3" t="str">
        <f>IFERROR(IF($C3="","",SUMIFS(Ledger!$K$2:$K$4, Ledger!$B$2:$B$4, $A3, Ledger!$C$2:$C$4, QOJ$2)),"****")</f>
        <v/>
      </c>
      <c r="QOK3" t="str">
        <f>IFERROR(IF($C3="","",SUMIFS(Ledger!$K$2:$K$4, Ledger!$B$2:$B$4, $A3, Ledger!$C$2:$C$4, QOK$2)),"****")</f>
        <v/>
      </c>
      <c r="QOL3" t="str">
        <f>IFERROR(IF($C3="","",SUMIFS(Ledger!$K$2:$K$4, Ledger!$B$2:$B$4, $A3, Ledger!$C$2:$C$4, QOL$2)),"****")</f>
        <v/>
      </c>
      <c r="QOM3" t="str">
        <f>IFERROR(IF($C3="","",SUMIFS(Ledger!$K$2:$K$4, Ledger!$B$2:$B$4, $A3, Ledger!$C$2:$C$4, QOM$2)),"****")</f>
        <v/>
      </c>
      <c r="QON3" t="str">
        <f>IFERROR(IF($C3="","",SUMIFS(Ledger!$K$2:$K$4, Ledger!$B$2:$B$4, $A3, Ledger!$C$2:$C$4, QON$2)),"****")</f>
        <v/>
      </c>
      <c r="QOO3" t="str">
        <f>IFERROR(IF($C3="","",SUMIFS(Ledger!$K$2:$K$4, Ledger!$B$2:$B$4, $A3, Ledger!$C$2:$C$4, QOO$2)),"****")</f>
        <v/>
      </c>
      <c r="QOP3" t="str">
        <f>IFERROR(IF($C3="","",SUMIFS(Ledger!$K$2:$K$4, Ledger!$B$2:$B$4, $A3, Ledger!$C$2:$C$4, QOP$2)),"****")</f>
        <v/>
      </c>
      <c r="QOQ3" t="str">
        <f>IFERROR(IF($C3="","",SUMIFS(Ledger!$K$2:$K$4, Ledger!$B$2:$B$4, $A3, Ledger!$C$2:$C$4, QOQ$2)),"****")</f>
        <v/>
      </c>
      <c r="QOR3" t="str">
        <f>IFERROR(IF($C3="","",SUMIFS(Ledger!$K$2:$K$4, Ledger!$B$2:$B$4, $A3, Ledger!$C$2:$C$4, QOR$2)),"****")</f>
        <v/>
      </c>
      <c r="QOS3" t="str">
        <f>IFERROR(IF($C3="","",SUMIFS(Ledger!$K$2:$K$4, Ledger!$B$2:$B$4, $A3, Ledger!$C$2:$C$4, QOS$2)),"****")</f>
        <v/>
      </c>
      <c r="QOT3" t="str">
        <f>IFERROR(IF($C3="","",SUMIFS(Ledger!$K$2:$K$4, Ledger!$B$2:$B$4, $A3, Ledger!$C$2:$C$4, QOT$2)),"****")</f>
        <v/>
      </c>
      <c r="QOU3" t="str">
        <f>IFERROR(IF($C3="","",SUMIFS(Ledger!$K$2:$K$4, Ledger!$B$2:$B$4, $A3, Ledger!$C$2:$C$4, QOU$2)),"****")</f>
        <v/>
      </c>
      <c r="QOV3" t="str">
        <f>IFERROR(IF($C3="","",SUMIFS(Ledger!$K$2:$K$4, Ledger!$B$2:$B$4, $A3, Ledger!$C$2:$C$4, QOV$2)),"****")</f>
        <v/>
      </c>
      <c r="QOW3" t="str">
        <f>IFERROR(IF($C3="","",SUMIFS(Ledger!$K$2:$K$4, Ledger!$B$2:$B$4, $A3, Ledger!$C$2:$C$4, QOW$2)),"****")</f>
        <v/>
      </c>
      <c r="QOX3" t="str">
        <f>IFERROR(IF($C3="","",SUMIFS(Ledger!$K$2:$K$4, Ledger!$B$2:$B$4, $A3, Ledger!$C$2:$C$4, QOX$2)),"****")</f>
        <v/>
      </c>
      <c r="QOY3" t="str">
        <f>IFERROR(IF($C3="","",SUMIFS(Ledger!$K$2:$K$4, Ledger!$B$2:$B$4, $A3, Ledger!$C$2:$C$4, QOY$2)),"****")</f>
        <v/>
      </c>
      <c r="QOZ3" t="str">
        <f>IFERROR(IF($C3="","",SUMIFS(Ledger!$K$2:$K$4, Ledger!$B$2:$B$4, $A3, Ledger!$C$2:$C$4, QOZ$2)),"****")</f>
        <v/>
      </c>
      <c r="QPA3" t="str">
        <f>IFERROR(IF($C3="","",SUMIFS(Ledger!$K$2:$K$4, Ledger!$B$2:$B$4, $A3, Ledger!$C$2:$C$4, QPA$2)),"****")</f>
        <v/>
      </c>
      <c r="QPB3" t="str">
        <f>IFERROR(IF($C3="","",SUMIFS(Ledger!$K$2:$K$4, Ledger!$B$2:$B$4, $A3, Ledger!$C$2:$C$4, QPB$2)),"****")</f>
        <v/>
      </c>
      <c r="QPC3" t="str">
        <f>IFERROR(IF($C3="","",SUMIFS(Ledger!$K$2:$K$4, Ledger!$B$2:$B$4, $A3, Ledger!$C$2:$C$4, QPC$2)),"****")</f>
        <v/>
      </c>
      <c r="QPD3" t="str">
        <f>IFERROR(IF($C3="","",SUMIFS(Ledger!$K$2:$K$4, Ledger!$B$2:$B$4, $A3, Ledger!$C$2:$C$4, QPD$2)),"****")</f>
        <v/>
      </c>
      <c r="QPE3" t="str">
        <f>IFERROR(IF($C3="","",SUMIFS(Ledger!$K$2:$K$4, Ledger!$B$2:$B$4, $A3, Ledger!$C$2:$C$4, QPE$2)),"****")</f>
        <v/>
      </c>
      <c r="QPF3" t="str">
        <f>IFERROR(IF($C3="","",SUMIFS(Ledger!$K$2:$K$4, Ledger!$B$2:$B$4, $A3, Ledger!$C$2:$C$4, QPF$2)),"****")</f>
        <v/>
      </c>
      <c r="QPG3" t="str">
        <f>IFERROR(IF($C3="","",SUMIFS(Ledger!$K$2:$K$4, Ledger!$B$2:$B$4, $A3, Ledger!$C$2:$C$4, QPG$2)),"****")</f>
        <v/>
      </c>
      <c r="QPH3" t="str">
        <f>IFERROR(IF($C3="","",SUMIFS(Ledger!$K$2:$K$4, Ledger!$B$2:$B$4, $A3, Ledger!$C$2:$C$4, QPH$2)),"****")</f>
        <v/>
      </c>
      <c r="QPI3" t="str">
        <f>IFERROR(IF($C3="","",SUMIFS(Ledger!$K$2:$K$4, Ledger!$B$2:$B$4, $A3, Ledger!$C$2:$C$4, QPI$2)),"****")</f>
        <v/>
      </c>
      <c r="QPJ3" t="str">
        <f>IFERROR(IF($C3="","",SUMIFS(Ledger!$K$2:$K$4, Ledger!$B$2:$B$4, $A3, Ledger!$C$2:$C$4, QPJ$2)),"****")</f>
        <v/>
      </c>
      <c r="QPK3" t="str">
        <f>IFERROR(IF($C3="","",SUMIFS(Ledger!$K$2:$K$4, Ledger!$B$2:$B$4, $A3, Ledger!$C$2:$C$4, QPK$2)),"****")</f>
        <v/>
      </c>
      <c r="QPL3" t="str">
        <f>IFERROR(IF($C3="","",SUMIFS(Ledger!$K$2:$K$4, Ledger!$B$2:$B$4, $A3, Ledger!$C$2:$C$4, QPL$2)),"****")</f>
        <v/>
      </c>
      <c r="QPM3" t="str">
        <f>IFERROR(IF($C3="","",SUMIFS(Ledger!$K$2:$K$4, Ledger!$B$2:$B$4, $A3, Ledger!$C$2:$C$4, QPM$2)),"****")</f>
        <v/>
      </c>
      <c r="QPN3" t="str">
        <f>IFERROR(IF($C3="","",SUMIFS(Ledger!$K$2:$K$4, Ledger!$B$2:$B$4, $A3, Ledger!$C$2:$C$4, QPN$2)),"****")</f>
        <v/>
      </c>
      <c r="QPO3" t="str">
        <f>IFERROR(IF($C3="","",SUMIFS(Ledger!$K$2:$K$4, Ledger!$B$2:$B$4, $A3, Ledger!$C$2:$C$4, QPO$2)),"****")</f>
        <v/>
      </c>
      <c r="QPP3" t="str">
        <f>IFERROR(IF($C3="","",SUMIFS(Ledger!$K$2:$K$4, Ledger!$B$2:$B$4, $A3, Ledger!$C$2:$C$4, QPP$2)),"****")</f>
        <v/>
      </c>
      <c r="QPQ3" t="str">
        <f>IFERROR(IF($C3="","",SUMIFS(Ledger!$K$2:$K$4, Ledger!$B$2:$B$4, $A3, Ledger!$C$2:$C$4, QPQ$2)),"****")</f>
        <v/>
      </c>
      <c r="QPR3" t="str">
        <f>IFERROR(IF($C3="","",SUMIFS(Ledger!$K$2:$K$4, Ledger!$B$2:$B$4, $A3, Ledger!$C$2:$C$4, QPR$2)),"****")</f>
        <v/>
      </c>
      <c r="QPS3" t="str">
        <f>IFERROR(IF($C3="","",SUMIFS(Ledger!$K$2:$K$4, Ledger!$B$2:$B$4, $A3, Ledger!$C$2:$C$4, QPS$2)),"****")</f>
        <v/>
      </c>
      <c r="QPT3" t="str">
        <f>IFERROR(IF($C3="","",SUMIFS(Ledger!$K$2:$K$4, Ledger!$B$2:$B$4, $A3, Ledger!$C$2:$C$4, QPT$2)),"****")</f>
        <v/>
      </c>
      <c r="QPU3" t="str">
        <f>IFERROR(IF($C3="","",SUMIFS(Ledger!$K$2:$K$4, Ledger!$B$2:$B$4, $A3, Ledger!$C$2:$C$4, QPU$2)),"****")</f>
        <v/>
      </c>
      <c r="QPV3" t="str">
        <f>IFERROR(IF($C3="","",SUMIFS(Ledger!$K$2:$K$4, Ledger!$B$2:$B$4, $A3, Ledger!$C$2:$C$4, QPV$2)),"****")</f>
        <v/>
      </c>
      <c r="QPW3" t="str">
        <f>IFERROR(IF($C3="","",SUMIFS(Ledger!$K$2:$K$4, Ledger!$B$2:$B$4, $A3, Ledger!$C$2:$C$4, QPW$2)),"****")</f>
        <v/>
      </c>
      <c r="QPX3" t="str">
        <f>IFERROR(IF($C3="","",SUMIFS(Ledger!$K$2:$K$4, Ledger!$B$2:$B$4, $A3, Ledger!$C$2:$C$4, QPX$2)),"****")</f>
        <v/>
      </c>
      <c r="QPY3" t="str">
        <f>IFERROR(IF($C3="","",SUMIFS(Ledger!$K$2:$K$4, Ledger!$B$2:$B$4, $A3, Ledger!$C$2:$C$4, QPY$2)),"****")</f>
        <v/>
      </c>
      <c r="QPZ3" t="str">
        <f>IFERROR(IF($C3="","",SUMIFS(Ledger!$K$2:$K$4, Ledger!$B$2:$B$4, $A3, Ledger!$C$2:$C$4, QPZ$2)),"****")</f>
        <v/>
      </c>
      <c r="QQA3" t="str">
        <f>IFERROR(IF($C3="","",SUMIFS(Ledger!$K$2:$K$4, Ledger!$B$2:$B$4, $A3, Ledger!$C$2:$C$4, QQA$2)),"****")</f>
        <v/>
      </c>
      <c r="QQB3" t="str">
        <f>IFERROR(IF($C3="","",SUMIFS(Ledger!$K$2:$K$4, Ledger!$B$2:$B$4, $A3, Ledger!$C$2:$C$4, QQB$2)),"****")</f>
        <v/>
      </c>
      <c r="QQC3" t="str">
        <f>IFERROR(IF($C3="","",SUMIFS(Ledger!$K$2:$K$4, Ledger!$B$2:$B$4, $A3, Ledger!$C$2:$C$4, QQC$2)),"****")</f>
        <v/>
      </c>
      <c r="QQD3" t="str">
        <f>IFERROR(IF($C3="","",SUMIFS(Ledger!$K$2:$K$4, Ledger!$B$2:$B$4, $A3, Ledger!$C$2:$C$4, QQD$2)),"****")</f>
        <v/>
      </c>
      <c r="QQE3" t="str">
        <f>IFERROR(IF($C3="","",SUMIFS(Ledger!$K$2:$K$4, Ledger!$B$2:$B$4, $A3, Ledger!$C$2:$C$4, QQE$2)),"****")</f>
        <v/>
      </c>
      <c r="QQF3" t="str">
        <f>IFERROR(IF($C3="","",SUMIFS(Ledger!$K$2:$K$4, Ledger!$B$2:$B$4, $A3, Ledger!$C$2:$C$4, QQF$2)),"****")</f>
        <v/>
      </c>
      <c r="QQG3" t="str">
        <f>IFERROR(IF($C3="","",SUMIFS(Ledger!$K$2:$K$4, Ledger!$B$2:$B$4, $A3, Ledger!$C$2:$C$4, QQG$2)),"****")</f>
        <v/>
      </c>
      <c r="QQH3" t="str">
        <f>IFERROR(IF($C3="","",SUMIFS(Ledger!$K$2:$K$4, Ledger!$B$2:$B$4, $A3, Ledger!$C$2:$C$4, QQH$2)),"****")</f>
        <v/>
      </c>
      <c r="QQI3" t="str">
        <f>IFERROR(IF($C3="","",SUMIFS(Ledger!$K$2:$K$4, Ledger!$B$2:$B$4, $A3, Ledger!$C$2:$C$4, QQI$2)),"****")</f>
        <v/>
      </c>
      <c r="QQJ3" t="str">
        <f>IFERROR(IF($C3="","",SUMIFS(Ledger!$K$2:$K$4, Ledger!$B$2:$B$4, $A3, Ledger!$C$2:$C$4, QQJ$2)),"****")</f>
        <v/>
      </c>
      <c r="QQK3" t="str">
        <f>IFERROR(IF($C3="","",SUMIFS(Ledger!$K$2:$K$4, Ledger!$B$2:$B$4, $A3, Ledger!$C$2:$C$4, QQK$2)),"****")</f>
        <v/>
      </c>
      <c r="QQL3" t="str">
        <f>IFERROR(IF($C3="","",SUMIFS(Ledger!$K$2:$K$4, Ledger!$B$2:$B$4, $A3, Ledger!$C$2:$C$4, QQL$2)),"****")</f>
        <v/>
      </c>
      <c r="QQM3" t="str">
        <f>IFERROR(IF($C3="","",SUMIFS(Ledger!$K$2:$K$4, Ledger!$B$2:$B$4, $A3, Ledger!$C$2:$C$4, QQM$2)),"****")</f>
        <v/>
      </c>
      <c r="QQN3" t="str">
        <f>IFERROR(IF($C3="","",SUMIFS(Ledger!$K$2:$K$4, Ledger!$B$2:$B$4, $A3, Ledger!$C$2:$C$4, QQN$2)),"****")</f>
        <v/>
      </c>
      <c r="QQO3" t="str">
        <f>IFERROR(IF($C3="","",SUMIFS(Ledger!$K$2:$K$4, Ledger!$B$2:$B$4, $A3, Ledger!$C$2:$C$4, QQO$2)),"****")</f>
        <v/>
      </c>
      <c r="QQP3" t="str">
        <f>IFERROR(IF($C3="","",SUMIFS(Ledger!$K$2:$K$4, Ledger!$B$2:$B$4, $A3, Ledger!$C$2:$C$4, QQP$2)),"****")</f>
        <v/>
      </c>
      <c r="QQQ3" t="str">
        <f>IFERROR(IF($C3="","",SUMIFS(Ledger!$K$2:$K$4, Ledger!$B$2:$B$4, $A3, Ledger!$C$2:$C$4, QQQ$2)),"****")</f>
        <v/>
      </c>
      <c r="QQR3" t="str">
        <f>IFERROR(IF($C3="","",SUMIFS(Ledger!$K$2:$K$4, Ledger!$B$2:$B$4, $A3, Ledger!$C$2:$C$4, QQR$2)),"****")</f>
        <v/>
      </c>
      <c r="QQS3" t="str">
        <f>IFERROR(IF($C3="","",SUMIFS(Ledger!$K$2:$K$4, Ledger!$B$2:$B$4, $A3, Ledger!$C$2:$C$4, QQS$2)),"****")</f>
        <v/>
      </c>
      <c r="QQT3" t="str">
        <f>IFERROR(IF($C3="","",SUMIFS(Ledger!$K$2:$K$4, Ledger!$B$2:$B$4, $A3, Ledger!$C$2:$C$4, QQT$2)),"****")</f>
        <v/>
      </c>
      <c r="QQU3" t="str">
        <f>IFERROR(IF($C3="","",SUMIFS(Ledger!$K$2:$K$4, Ledger!$B$2:$B$4, $A3, Ledger!$C$2:$C$4, QQU$2)),"****")</f>
        <v/>
      </c>
      <c r="QQV3" t="str">
        <f>IFERROR(IF($C3="","",SUMIFS(Ledger!$K$2:$K$4, Ledger!$B$2:$B$4, $A3, Ledger!$C$2:$C$4, QQV$2)),"****")</f>
        <v/>
      </c>
      <c r="QQW3" t="str">
        <f>IFERROR(IF($C3="","",SUMIFS(Ledger!$K$2:$K$4, Ledger!$B$2:$B$4, $A3, Ledger!$C$2:$C$4, QQW$2)),"****")</f>
        <v/>
      </c>
      <c r="QQX3" t="str">
        <f>IFERROR(IF($C3="","",SUMIFS(Ledger!$K$2:$K$4, Ledger!$B$2:$B$4, $A3, Ledger!$C$2:$C$4, QQX$2)),"****")</f>
        <v/>
      </c>
      <c r="QQY3" t="str">
        <f>IFERROR(IF($C3="","",SUMIFS(Ledger!$K$2:$K$4, Ledger!$B$2:$B$4, $A3, Ledger!$C$2:$C$4, QQY$2)),"****")</f>
        <v/>
      </c>
      <c r="QQZ3" t="str">
        <f>IFERROR(IF($C3="","",SUMIFS(Ledger!$K$2:$K$4, Ledger!$B$2:$B$4, $A3, Ledger!$C$2:$C$4, QQZ$2)),"****")</f>
        <v/>
      </c>
      <c r="QRA3" t="str">
        <f>IFERROR(IF($C3="","",SUMIFS(Ledger!$K$2:$K$4, Ledger!$B$2:$B$4, $A3, Ledger!$C$2:$C$4, QRA$2)),"****")</f>
        <v/>
      </c>
      <c r="QRB3" t="str">
        <f>IFERROR(IF($C3="","",SUMIFS(Ledger!$K$2:$K$4, Ledger!$B$2:$B$4, $A3, Ledger!$C$2:$C$4, QRB$2)),"****")</f>
        <v/>
      </c>
      <c r="QRC3" t="str">
        <f>IFERROR(IF($C3="","",SUMIFS(Ledger!$K$2:$K$4, Ledger!$B$2:$B$4, $A3, Ledger!$C$2:$C$4, QRC$2)),"****")</f>
        <v/>
      </c>
      <c r="QRD3" t="str">
        <f>IFERROR(IF($C3="","",SUMIFS(Ledger!$K$2:$K$4, Ledger!$B$2:$B$4, $A3, Ledger!$C$2:$C$4, QRD$2)),"****")</f>
        <v/>
      </c>
      <c r="QRE3" t="str">
        <f>IFERROR(IF($C3="","",SUMIFS(Ledger!$K$2:$K$4, Ledger!$B$2:$B$4, $A3, Ledger!$C$2:$C$4, QRE$2)),"****")</f>
        <v/>
      </c>
      <c r="QRF3" t="str">
        <f>IFERROR(IF($C3="","",SUMIFS(Ledger!$K$2:$K$4, Ledger!$B$2:$B$4, $A3, Ledger!$C$2:$C$4, QRF$2)),"****")</f>
        <v/>
      </c>
      <c r="QRG3" t="str">
        <f>IFERROR(IF($C3="","",SUMIFS(Ledger!$K$2:$K$4, Ledger!$B$2:$B$4, $A3, Ledger!$C$2:$C$4, QRG$2)),"****")</f>
        <v/>
      </c>
      <c r="QRH3" t="str">
        <f>IFERROR(IF($C3="","",SUMIFS(Ledger!$K$2:$K$4, Ledger!$B$2:$B$4, $A3, Ledger!$C$2:$C$4, QRH$2)),"****")</f>
        <v/>
      </c>
      <c r="QRI3" t="str">
        <f>IFERROR(IF($C3="","",SUMIFS(Ledger!$K$2:$K$4, Ledger!$B$2:$B$4, $A3, Ledger!$C$2:$C$4, QRI$2)),"****")</f>
        <v/>
      </c>
      <c r="QRJ3" t="str">
        <f>IFERROR(IF($C3="","",SUMIFS(Ledger!$K$2:$K$4, Ledger!$B$2:$B$4, $A3, Ledger!$C$2:$C$4, QRJ$2)),"****")</f>
        <v/>
      </c>
      <c r="QRK3" t="str">
        <f>IFERROR(IF($C3="","",SUMIFS(Ledger!$K$2:$K$4, Ledger!$B$2:$B$4, $A3, Ledger!$C$2:$C$4, QRK$2)),"****")</f>
        <v/>
      </c>
      <c r="QRL3" t="str">
        <f>IFERROR(IF($C3="","",SUMIFS(Ledger!$K$2:$K$4, Ledger!$B$2:$B$4, $A3, Ledger!$C$2:$C$4, QRL$2)),"****")</f>
        <v/>
      </c>
      <c r="QRM3" t="str">
        <f>IFERROR(IF($C3="","",SUMIFS(Ledger!$K$2:$K$4, Ledger!$B$2:$B$4, $A3, Ledger!$C$2:$C$4, QRM$2)),"****")</f>
        <v/>
      </c>
      <c r="QRN3" t="str">
        <f>IFERROR(IF($C3="","",SUMIFS(Ledger!$K$2:$K$4, Ledger!$B$2:$B$4, $A3, Ledger!$C$2:$C$4, QRN$2)),"****")</f>
        <v/>
      </c>
      <c r="QRO3" t="str">
        <f>IFERROR(IF($C3="","",SUMIFS(Ledger!$K$2:$K$4, Ledger!$B$2:$B$4, $A3, Ledger!$C$2:$C$4, QRO$2)),"****")</f>
        <v/>
      </c>
      <c r="QRP3" t="str">
        <f>IFERROR(IF($C3="","",SUMIFS(Ledger!$K$2:$K$4, Ledger!$B$2:$B$4, $A3, Ledger!$C$2:$C$4, QRP$2)),"****")</f>
        <v/>
      </c>
      <c r="QRQ3" t="str">
        <f>IFERROR(IF($C3="","",SUMIFS(Ledger!$K$2:$K$4, Ledger!$B$2:$B$4, $A3, Ledger!$C$2:$C$4, QRQ$2)),"****")</f>
        <v/>
      </c>
      <c r="QRR3" t="str">
        <f>IFERROR(IF($C3="","",SUMIFS(Ledger!$K$2:$K$4, Ledger!$B$2:$B$4, $A3, Ledger!$C$2:$C$4, QRR$2)),"****")</f>
        <v/>
      </c>
      <c r="QRS3" t="str">
        <f>IFERROR(IF($C3="","",SUMIFS(Ledger!$K$2:$K$4, Ledger!$B$2:$B$4, $A3, Ledger!$C$2:$C$4, QRS$2)),"****")</f>
        <v/>
      </c>
      <c r="QRT3" t="str">
        <f>IFERROR(IF($C3="","",SUMIFS(Ledger!$K$2:$K$4, Ledger!$B$2:$B$4, $A3, Ledger!$C$2:$C$4, QRT$2)),"****")</f>
        <v/>
      </c>
      <c r="QRU3" t="str">
        <f>IFERROR(IF($C3="","",SUMIFS(Ledger!$K$2:$K$4, Ledger!$B$2:$B$4, $A3, Ledger!$C$2:$C$4, QRU$2)),"****")</f>
        <v/>
      </c>
      <c r="QRV3" t="str">
        <f>IFERROR(IF($C3="","",SUMIFS(Ledger!$K$2:$K$4, Ledger!$B$2:$B$4, $A3, Ledger!$C$2:$C$4, QRV$2)),"****")</f>
        <v/>
      </c>
      <c r="QRW3" t="str">
        <f>IFERROR(IF($C3="","",SUMIFS(Ledger!$K$2:$K$4, Ledger!$B$2:$B$4, $A3, Ledger!$C$2:$C$4, QRW$2)),"****")</f>
        <v/>
      </c>
      <c r="QRX3" t="str">
        <f>IFERROR(IF($C3="","",SUMIFS(Ledger!$K$2:$K$4, Ledger!$B$2:$B$4, $A3, Ledger!$C$2:$C$4, QRX$2)),"****")</f>
        <v/>
      </c>
      <c r="QRY3" t="str">
        <f>IFERROR(IF($C3="","",SUMIFS(Ledger!$K$2:$K$4, Ledger!$B$2:$B$4, $A3, Ledger!$C$2:$C$4, QRY$2)),"****")</f>
        <v/>
      </c>
      <c r="QRZ3" t="str">
        <f>IFERROR(IF($C3="","",SUMIFS(Ledger!$K$2:$K$4, Ledger!$B$2:$B$4, $A3, Ledger!$C$2:$C$4, QRZ$2)),"****")</f>
        <v/>
      </c>
      <c r="QSA3" t="str">
        <f>IFERROR(IF($C3="","",SUMIFS(Ledger!$K$2:$K$4, Ledger!$B$2:$B$4, $A3, Ledger!$C$2:$C$4, QSA$2)),"****")</f>
        <v/>
      </c>
      <c r="QSB3" t="str">
        <f>IFERROR(IF($C3="","",SUMIFS(Ledger!$K$2:$K$4, Ledger!$B$2:$B$4, $A3, Ledger!$C$2:$C$4, QSB$2)),"****")</f>
        <v/>
      </c>
      <c r="QSC3" t="str">
        <f>IFERROR(IF($C3="","",SUMIFS(Ledger!$K$2:$K$4, Ledger!$B$2:$B$4, $A3, Ledger!$C$2:$C$4, QSC$2)),"****")</f>
        <v/>
      </c>
      <c r="QSD3" t="str">
        <f>IFERROR(IF($C3="","",SUMIFS(Ledger!$K$2:$K$4, Ledger!$B$2:$B$4, $A3, Ledger!$C$2:$C$4, QSD$2)),"****")</f>
        <v/>
      </c>
      <c r="QSE3" t="str">
        <f>IFERROR(IF($C3="","",SUMIFS(Ledger!$K$2:$K$4, Ledger!$B$2:$B$4, $A3, Ledger!$C$2:$C$4, QSE$2)),"****")</f>
        <v/>
      </c>
      <c r="QSF3" t="str">
        <f>IFERROR(IF($C3="","",SUMIFS(Ledger!$K$2:$K$4, Ledger!$B$2:$B$4, $A3, Ledger!$C$2:$C$4, QSF$2)),"****")</f>
        <v/>
      </c>
      <c r="QSG3" t="str">
        <f>IFERROR(IF($C3="","",SUMIFS(Ledger!$K$2:$K$4, Ledger!$B$2:$B$4, $A3, Ledger!$C$2:$C$4, QSG$2)),"****")</f>
        <v/>
      </c>
      <c r="QSH3" t="str">
        <f>IFERROR(IF($C3="","",SUMIFS(Ledger!$K$2:$K$4, Ledger!$B$2:$B$4, $A3, Ledger!$C$2:$C$4, QSH$2)),"****")</f>
        <v/>
      </c>
      <c r="QSI3" t="str">
        <f>IFERROR(IF($C3="","",SUMIFS(Ledger!$K$2:$K$4, Ledger!$B$2:$B$4, $A3, Ledger!$C$2:$C$4, QSI$2)),"****")</f>
        <v/>
      </c>
      <c r="QSJ3" t="str">
        <f>IFERROR(IF($C3="","",SUMIFS(Ledger!$K$2:$K$4, Ledger!$B$2:$B$4, $A3, Ledger!$C$2:$C$4, QSJ$2)),"****")</f>
        <v/>
      </c>
      <c r="QSK3" t="str">
        <f>IFERROR(IF($C3="","",SUMIFS(Ledger!$K$2:$K$4, Ledger!$B$2:$B$4, $A3, Ledger!$C$2:$C$4, QSK$2)),"****")</f>
        <v/>
      </c>
      <c r="QSL3" t="str">
        <f>IFERROR(IF($C3="","",SUMIFS(Ledger!$K$2:$K$4, Ledger!$B$2:$B$4, $A3, Ledger!$C$2:$C$4, QSL$2)),"****")</f>
        <v/>
      </c>
      <c r="QSM3" t="str">
        <f>IFERROR(IF($C3="","",SUMIFS(Ledger!$K$2:$K$4, Ledger!$B$2:$B$4, $A3, Ledger!$C$2:$C$4, QSM$2)),"****")</f>
        <v/>
      </c>
      <c r="QSN3" t="str">
        <f>IFERROR(IF($C3="","",SUMIFS(Ledger!$K$2:$K$4, Ledger!$B$2:$B$4, $A3, Ledger!$C$2:$C$4, QSN$2)),"****")</f>
        <v/>
      </c>
      <c r="QSO3" t="str">
        <f>IFERROR(IF($C3="","",SUMIFS(Ledger!$K$2:$K$4, Ledger!$B$2:$B$4, $A3, Ledger!$C$2:$C$4, QSO$2)),"****")</f>
        <v/>
      </c>
      <c r="QSP3" t="str">
        <f>IFERROR(IF($C3="","",SUMIFS(Ledger!$K$2:$K$4, Ledger!$B$2:$B$4, $A3, Ledger!$C$2:$C$4, QSP$2)),"****")</f>
        <v/>
      </c>
      <c r="QSQ3" t="str">
        <f>IFERROR(IF($C3="","",SUMIFS(Ledger!$K$2:$K$4, Ledger!$B$2:$B$4, $A3, Ledger!$C$2:$C$4, QSQ$2)),"****")</f>
        <v/>
      </c>
      <c r="QSR3" t="str">
        <f>IFERROR(IF($C3="","",SUMIFS(Ledger!$K$2:$K$4, Ledger!$B$2:$B$4, $A3, Ledger!$C$2:$C$4, QSR$2)),"****")</f>
        <v/>
      </c>
      <c r="QSS3" t="str">
        <f>IFERROR(IF($C3="","",SUMIFS(Ledger!$K$2:$K$4, Ledger!$B$2:$B$4, $A3, Ledger!$C$2:$C$4, QSS$2)),"****")</f>
        <v/>
      </c>
      <c r="QST3" t="str">
        <f>IFERROR(IF($C3="","",SUMIFS(Ledger!$K$2:$K$4, Ledger!$B$2:$B$4, $A3, Ledger!$C$2:$C$4, QST$2)),"****")</f>
        <v/>
      </c>
      <c r="QSU3" t="str">
        <f>IFERROR(IF($C3="","",SUMIFS(Ledger!$K$2:$K$4, Ledger!$B$2:$B$4, $A3, Ledger!$C$2:$C$4, QSU$2)),"****")</f>
        <v/>
      </c>
      <c r="QSV3" t="str">
        <f>IFERROR(IF($C3="","",SUMIFS(Ledger!$K$2:$K$4, Ledger!$B$2:$B$4, $A3, Ledger!$C$2:$C$4, QSV$2)),"****")</f>
        <v/>
      </c>
      <c r="QSW3" t="str">
        <f>IFERROR(IF($C3="","",SUMIFS(Ledger!$K$2:$K$4, Ledger!$B$2:$B$4, $A3, Ledger!$C$2:$C$4, QSW$2)),"****")</f>
        <v/>
      </c>
      <c r="QSX3" t="str">
        <f>IFERROR(IF($C3="","",SUMIFS(Ledger!$K$2:$K$4, Ledger!$B$2:$B$4, $A3, Ledger!$C$2:$C$4, QSX$2)),"****")</f>
        <v/>
      </c>
      <c r="QSY3" t="str">
        <f>IFERROR(IF($C3="","",SUMIFS(Ledger!$K$2:$K$4, Ledger!$B$2:$B$4, $A3, Ledger!$C$2:$C$4, QSY$2)),"****")</f>
        <v/>
      </c>
      <c r="QSZ3" t="str">
        <f>IFERROR(IF($C3="","",SUMIFS(Ledger!$K$2:$K$4, Ledger!$B$2:$B$4, $A3, Ledger!$C$2:$C$4, QSZ$2)),"****")</f>
        <v/>
      </c>
      <c r="QTA3" t="str">
        <f>IFERROR(IF($C3="","",SUMIFS(Ledger!$K$2:$K$4, Ledger!$B$2:$B$4, $A3, Ledger!$C$2:$C$4, QTA$2)),"****")</f>
        <v/>
      </c>
      <c r="QTB3" t="str">
        <f>IFERROR(IF($C3="","",SUMIFS(Ledger!$K$2:$K$4, Ledger!$B$2:$B$4, $A3, Ledger!$C$2:$C$4, QTB$2)),"****")</f>
        <v/>
      </c>
      <c r="QTC3" t="str">
        <f>IFERROR(IF($C3="","",SUMIFS(Ledger!$K$2:$K$4, Ledger!$B$2:$B$4, $A3, Ledger!$C$2:$C$4, QTC$2)),"****")</f>
        <v/>
      </c>
      <c r="QTD3" t="str">
        <f>IFERROR(IF($C3="","",SUMIFS(Ledger!$K$2:$K$4, Ledger!$B$2:$B$4, $A3, Ledger!$C$2:$C$4, QTD$2)),"****")</f>
        <v/>
      </c>
      <c r="QTE3" t="str">
        <f>IFERROR(IF($C3="","",SUMIFS(Ledger!$K$2:$K$4, Ledger!$B$2:$B$4, $A3, Ledger!$C$2:$C$4, QTE$2)),"****")</f>
        <v/>
      </c>
      <c r="QTF3" t="str">
        <f>IFERROR(IF($C3="","",SUMIFS(Ledger!$K$2:$K$4, Ledger!$B$2:$B$4, $A3, Ledger!$C$2:$C$4, QTF$2)),"****")</f>
        <v/>
      </c>
      <c r="QTG3" t="str">
        <f>IFERROR(IF($C3="","",SUMIFS(Ledger!$K$2:$K$4, Ledger!$B$2:$B$4, $A3, Ledger!$C$2:$C$4, QTG$2)),"****")</f>
        <v/>
      </c>
      <c r="QTH3" t="str">
        <f>IFERROR(IF($C3="","",SUMIFS(Ledger!$K$2:$K$4, Ledger!$B$2:$B$4, $A3, Ledger!$C$2:$C$4, QTH$2)),"****")</f>
        <v/>
      </c>
      <c r="QTI3" t="str">
        <f>IFERROR(IF($C3="","",SUMIFS(Ledger!$K$2:$K$4, Ledger!$B$2:$B$4, $A3, Ledger!$C$2:$C$4, QTI$2)),"****")</f>
        <v/>
      </c>
      <c r="QTJ3" t="str">
        <f>IFERROR(IF($C3="","",SUMIFS(Ledger!$K$2:$K$4, Ledger!$B$2:$B$4, $A3, Ledger!$C$2:$C$4, QTJ$2)),"****")</f>
        <v/>
      </c>
      <c r="QTK3" t="str">
        <f>IFERROR(IF($C3="","",SUMIFS(Ledger!$K$2:$K$4, Ledger!$B$2:$B$4, $A3, Ledger!$C$2:$C$4, QTK$2)),"****")</f>
        <v/>
      </c>
      <c r="QTL3" t="str">
        <f>IFERROR(IF($C3="","",SUMIFS(Ledger!$K$2:$K$4, Ledger!$B$2:$B$4, $A3, Ledger!$C$2:$C$4, QTL$2)),"****")</f>
        <v/>
      </c>
      <c r="QTM3" t="str">
        <f>IFERROR(IF($C3="","",SUMIFS(Ledger!$K$2:$K$4, Ledger!$B$2:$B$4, $A3, Ledger!$C$2:$C$4, QTM$2)),"****")</f>
        <v/>
      </c>
      <c r="QTN3" t="str">
        <f>IFERROR(IF($C3="","",SUMIFS(Ledger!$K$2:$K$4, Ledger!$B$2:$B$4, $A3, Ledger!$C$2:$C$4, QTN$2)),"****")</f>
        <v/>
      </c>
      <c r="QTO3" t="str">
        <f>IFERROR(IF($C3="","",SUMIFS(Ledger!$K$2:$K$4, Ledger!$B$2:$B$4, $A3, Ledger!$C$2:$C$4, QTO$2)),"****")</f>
        <v/>
      </c>
      <c r="QTP3" t="str">
        <f>IFERROR(IF($C3="","",SUMIFS(Ledger!$K$2:$K$4, Ledger!$B$2:$B$4, $A3, Ledger!$C$2:$C$4, QTP$2)),"****")</f>
        <v/>
      </c>
      <c r="QTQ3" t="str">
        <f>IFERROR(IF($C3="","",SUMIFS(Ledger!$K$2:$K$4, Ledger!$B$2:$B$4, $A3, Ledger!$C$2:$C$4, QTQ$2)),"****")</f>
        <v/>
      </c>
      <c r="QTR3" t="str">
        <f>IFERROR(IF($C3="","",SUMIFS(Ledger!$K$2:$K$4, Ledger!$B$2:$B$4, $A3, Ledger!$C$2:$C$4, QTR$2)),"****")</f>
        <v/>
      </c>
      <c r="QTS3" t="str">
        <f>IFERROR(IF($C3="","",SUMIFS(Ledger!$K$2:$K$4, Ledger!$B$2:$B$4, $A3, Ledger!$C$2:$C$4, QTS$2)),"****")</f>
        <v/>
      </c>
      <c r="QTT3" t="str">
        <f>IFERROR(IF($C3="","",SUMIFS(Ledger!$K$2:$K$4, Ledger!$B$2:$B$4, $A3, Ledger!$C$2:$C$4, QTT$2)),"****")</f>
        <v/>
      </c>
      <c r="QTU3" t="str">
        <f>IFERROR(IF($C3="","",SUMIFS(Ledger!$K$2:$K$4, Ledger!$B$2:$B$4, $A3, Ledger!$C$2:$C$4, QTU$2)),"****")</f>
        <v/>
      </c>
      <c r="QTV3" t="str">
        <f>IFERROR(IF($C3="","",SUMIFS(Ledger!$K$2:$K$4, Ledger!$B$2:$B$4, $A3, Ledger!$C$2:$C$4, QTV$2)),"****")</f>
        <v/>
      </c>
      <c r="QTW3" t="str">
        <f>IFERROR(IF($C3="","",SUMIFS(Ledger!$K$2:$K$4, Ledger!$B$2:$B$4, $A3, Ledger!$C$2:$C$4, QTW$2)),"****")</f>
        <v/>
      </c>
      <c r="QTX3" t="str">
        <f>IFERROR(IF($C3="","",SUMIFS(Ledger!$K$2:$K$4, Ledger!$B$2:$B$4, $A3, Ledger!$C$2:$C$4, QTX$2)),"****")</f>
        <v/>
      </c>
      <c r="QTY3" t="str">
        <f>IFERROR(IF($C3="","",SUMIFS(Ledger!$K$2:$K$4, Ledger!$B$2:$B$4, $A3, Ledger!$C$2:$C$4, QTY$2)),"****")</f>
        <v/>
      </c>
      <c r="QTZ3" t="str">
        <f>IFERROR(IF($C3="","",SUMIFS(Ledger!$K$2:$K$4, Ledger!$B$2:$B$4, $A3, Ledger!$C$2:$C$4, QTZ$2)),"****")</f>
        <v/>
      </c>
      <c r="QUA3" t="str">
        <f>IFERROR(IF($C3="","",SUMIFS(Ledger!$K$2:$K$4, Ledger!$B$2:$B$4, $A3, Ledger!$C$2:$C$4, QUA$2)),"****")</f>
        <v/>
      </c>
      <c r="QUB3" t="str">
        <f>IFERROR(IF($C3="","",SUMIFS(Ledger!$K$2:$K$4, Ledger!$B$2:$B$4, $A3, Ledger!$C$2:$C$4, QUB$2)),"****")</f>
        <v/>
      </c>
      <c r="QUC3" t="str">
        <f>IFERROR(IF($C3="","",SUMIFS(Ledger!$K$2:$K$4, Ledger!$B$2:$B$4, $A3, Ledger!$C$2:$C$4, QUC$2)),"****")</f>
        <v/>
      </c>
      <c r="QUD3" t="str">
        <f>IFERROR(IF($C3="","",SUMIFS(Ledger!$K$2:$K$4, Ledger!$B$2:$B$4, $A3, Ledger!$C$2:$C$4, QUD$2)),"****")</f>
        <v/>
      </c>
      <c r="QUE3" t="str">
        <f>IFERROR(IF($C3="","",SUMIFS(Ledger!$K$2:$K$4, Ledger!$B$2:$B$4, $A3, Ledger!$C$2:$C$4, QUE$2)),"****")</f>
        <v/>
      </c>
      <c r="QUF3" t="str">
        <f>IFERROR(IF($C3="","",SUMIFS(Ledger!$K$2:$K$4, Ledger!$B$2:$B$4, $A3, Ledger!$C$2:$C$4, QUF$2)),"****")</f>
        <v/>
      </c>
      <c r="QUG3" t="str">
        <f>IFERROR(IF($C3="","",SUMIFS(Ledger!$K$2:$K$4, Ledger!$B$2:$B$4, $A3, Ledger!$C$2:$C$4, QUG$2)),"****")</f>
        <v/>
      </c>
      <c r="QUH3" t="str">
        <f>IFERROR(IF($C3="","",SUMIFS(Ledger!$K$2:$K$4, Ledger!$B$2:$B$4, $A3, Ledger!$C$2:$C$4, QUH$2)),"****")</f>
        <v/>
      </c>
      <c r="QUI3" t="str">
        <f>IFERROR(IF($C3="","",SUMIFS(Ledger!$K$2:$K$4, Ledger!$B$2:$B$4, $A3, Ledger!$C$2:$C$4, QUI$2)),"****")</f>
        <v/>
      </c>
      <c r="QUJ3" t="str">
        <f>IFERROR(IF($C3="","",SUMIFS(Ledger!$K$2:$K$4, Ledger!$B$2:$B$4, $A3, Ledger!$C$2:$C$4, QUJ$2)),"****")</f>
        <v/>
      </c>
      <c r="QUK3" t="str">
        <f>IFERROR(IF($C3="","",SUMIFS(Ledger!$K$2:$K$4, Ledger!$B$2:$B$4, $A3, Ledger!$C$2:$C$4, QUK$2)),"****")</f>
        <v/>
      </c>
      <c r="QUL3" t="str">
        <f>IFERROR(IF($C3="","",SUMIFS(Ledger!$K$2:$K$4, Ledger!$B$2:$B$4, $A3, Ledger!$C$2:$C$4, QUL$2)),"****")</f>
        <v/>
      </c>
      <c r="QUM3" t="str">
        <f>IFERROR(IF($C3="","",SUMIFS(Ledger!$K$2:$K$4, Ledger!$B$2:$B$4, $A3, Ledger!$C$2:$C$4, QUM$2)),"****")</f>
        <v/>
      </c>
      <c r="QUN3" t="str">
        <f>IFERROR(IF($C3="","",SUMIFS(Ledger!$K$2:$K$4, Ledger!$B$2:$B$4, $A3, Ledger!$C$2:$C$4, QUN$2)),"****")</f>
        <v/>
      </c>
      <c r="QUO3" t="str">
        <f>IFERROR(IF($C3="","",SUMIFS(Ledger!$K$2:$K$4, Ledger!$B$2:$B$4, $A3, Ledger!$C$2:$C$4, QUO$2)),"****")</f>
        <v/>
      </c>
      <c r="QUP3" t="str">
        <f>IFERROR(IF($C3="","",SUMIFS(Ledger!$K$2:$K$4, Ledger!$B$2:$B$4, $A3, Ledger!$C$2:$C$4, QUP$2)),"****")</f>
        <v/>
      </c>
      <c r="QUQ3" t="str">
        <f>IFERROR(IF($C3="","",SUMIFS(Ledger!$K$2:$K$4, Ledger!$B$2:$B$4, $A3, Ledger!$C$2:$C$4, QUQ$2)),"****")</f>
        <v/>
      </c>
      <c r="QUR3" t="str">
        <f>IFERROR(IF($C3="","",SUMIFS(Ledger!$K$2:$K$4, Ledger!$B$2:$B$4, $A3, Ledger!$C$2:$C$4, QUR$2)),"****")</f>
        <v/>
      </c>
      <c r="QUS3" t="str">
        <f>IFERROR(IF($C3="","",SUMIFS(Ledger!$K$2:$K$4, Ledger!$B$2:$B$4, $A3, Ledger!$C$2:$C$4, QUS$2)),"****")</f>
        <v/>
      </c>
      <c r="QUT3" t="str">
        <f>IFERROR(IF($C3="","",SUMIFS(Ledger!$K$2:$K$4, Ledger!$B$2:$B$4, $A3, Ledger!$C$2:$C$4, QUT$2)),"****")</f>
        <v/>
      </c>
      <c r="QUU3" t="str">
        <f>IFERROR(IF($C3="","",SUMIFS(Ledger!$K$2:$K$4, Ledger!$B$2:$B$4, $A3, Ledger!$C$2:$C$4, QUU$2)),"****")</f>
        <v/>
      </c>
      <c r="QUV3" t="str">
        <f>IFERROR(IF($C3="","",SUMIFS(Ledger!$K$2:$K$4, Ledger!$B$2:$B$4, $A3, Ledger!$C$2:$C$4, QUV$2)),"****")</f>
        <v/>
      </c>
      <c r="QUW3" t="str">
        <f>IFERROR(IF($C3="","",SUMIFS(Ledger!$K$2:$K$4, Ledger!$B$2:$B$4, $A3, Ledger!$C$2:$C$4, QUW$2)),"****")</f>
        <v/>
      </c>
      <c r="QUX3" t="str">
        <f>IFERROR(IF($C3="","",SUMIFS(Ledger!$K$2:$K$4, Ledger!$B$2:$B$4, $A3, Ledger!$C$2:$C$4, QUX$2)),"****")</f>
        <v/>
      </c>
      <c r="QUY3" t="str">
        <f>IFERROR(IF($C3="","",SUMIFS(Ledger!$K$2:$K$4, Ledger!$B$2:$B$4, $A3, Ledger!$C$2:$C$4, QUY$2)),"****")</f>
        <v/>
      </c>
      <c r="QUZ3" t="str">
        <f>IFERROR(IF($C3="","",SUMIFS(Ledger!$K$2:$K$4, Ledger!$B$2:$B$4, $A3, Ledger!$C$2:$C$4, QUZ$2)),"****")</f>
        <v/>
      </c>
      <c r="QVA3" t="str">
        <f>IFERROR(IF($C3="","",SUMIFS(Ledger!$K$2:$K$4, Ledger!$B$2:$B$4, $A3, Ledger!$C$2:$C$4, QVA$2)),"****")</f>
        <v/>
      </c>
      <c r="QVB3" t="str">
        <f>IFERROR(IF($C3="","",SUMIFS(Ledger!$K$2:$K$4, Ledger!$B$2:$B$4, $A3, Ledger!$C$2:$C$4, QVB$2)),"****")</f>
        <v/>
      </c>
      <c r="QVC3" t="str">
        <f>IFERROR(IF($C3="","",SUMIFS(Ledger!$K$2:$K$4, Ledger!$B$2:$B$4, $A3, Ledger!$C$2:$C$4, QVC$2)),"****")</f>
        <v/>
      </c>
      <c r="QVD3" t="str">
        <f>IFERROR(IF($C3="","",SUMIFS(Ledger!$K$2:$K$4, Ledger!$B$2:$B$4, $A3, Ledger!$C$2:$C$4, QVD$2)),"****")</f>
        <v/>
      </c>
      <c r="QVE3" t="str">
        <f>IFERROR(IF($C3="","",SUMIFS(Ledger!$K$2:$K$4, Ledger!$B$2:$B$4, $A3, Ledger!$C$2:$C$4, QVE$2)),"****")</f>
        <v/>
      </c>
      <c r="QVF3" t="str">
        <f>IFERROR(IF($C3="","",SUMIFS(Ledger!$K$2:$K$4, Ledger!$B$2:$B$4, $A3, Ledger!$C$2:$C$4, QVF$2)),"****")</f>
        <v/>
      </c>
      <c r="QVG3" t="str">
        <f>IFERROR(IF($C3="","",SUMIFS(Ledger!$K$2:$K$4, Ledger!$B$2:$B$4, $A3, Ledger!$C$2:$C$4, QVG$2)),"****")</f>
        <v/>
      </c>
      <c r="QVH3" t="str">
        <f>IFERROR(IF($C3="","",SUMIFS(Ledger!$K$2:$K$4, Ledger!$B$2:$B$4, $A3, Ledger!$C$2:$C$4, QVH$2)),"****")</f>
        <v/>
      </c>
      <c r="QVI3" t="str">
        <f>IFERROR(IF($C3="","",SUMIFS(Ledger!$K$2:$K$4, Ledger!$B$2:$B$4, $A3, Ledger!$C$2:$C$4, QVI$2)),"****")</f>
        <v/>
      </c>
      <c r="QVJ3" t="str">
        <f>IFERROR(IF($C3="","",SUMIFS(Ledger!$K$2:$K$4, Ledger!$B$2:$B$4, $A3, Ledger!$C$2:$C$4, QVJ$2)),"****")</f>
        <v/>
      </c>
      <c r="QVK3" t="str">
        <f>IFERROR(IF($C3="","",SUMIFS(Ledger!$K$2:$K$4, Ledger!$B$2:$B$4, $A3, Ledger!$C$2:$C$4, QVK$2)),"****")</f>
        <v/>
      </c>
      <c r="QVL3" t="str">
        <f>IFERROR(IF($C3="","",SUMIFS(Ledger!$K$2:$K$4, Ledger!$B$2:$B$4, $A3, Ledger!$C$2:$C$4, QVL$2)),"****")</f>
        <v/>
      </c>
      <c r="QVM3" t="str">
        <f>IFERROR(IF($C3="","",SUMIFS(Ledger!$K$2:$K$4, Ledger!$B$2:$B$4, $A3, Ledger!$C$2:$C$4, QVM$2)),"****")</f>
        <v/>
      </c>
      <c r="QVN3" t="str">
        <f>IFERROR(IF($C3="","",SUMIFS(Ledger!$K$2:$K$4, Ledger!$B$2:$B$4, $A3, Ledger!$C$2:$C$4, QVN$2)),"****")</f>
        <v/>
      </c>
      <c r="QVO3" t="str">
        <f>IFERROR(IF($C3="","",SUMIFS(Ledger!$K$2:$K$4, Ledger!$B$2:$B$4, $A3, Ledger!$C$2:$C$4, QVO$2)),"****")</f>
        <v/>
      </c>
      <c r="QVP3" t="str">
        <f>IFERROR(IF($C3="","",SUMIFS(Ledger!$K$2:$K$4, Ledger!$B$2:$B$4, $A3, Ledger!$C$2:$C$4, QVP$2)),"****")</f>
        <v/>
      </c>
      <c r="QVQ3" t="str">
        <f>IFERROR(IF($C3="","",SUMIFS(Ledger!$K$2:$K$4, Ledger!$B$2:$B$4, $A3, Ledger!$C$2:$C$4, QVQ$2)),"****")</f>
        <v/>
      </c>
      <c r="QVR3" t="str">
        <f>IFERROR(IF($C3="","",SUMIFS(Ledger!$K$2:$K$4, Ledger!$B$2:$B$4, $A3, Ledger!$C$2:$C$4, QVR$2)),"****")</f>
        <v/>
      </c>
      <c r="QVS3" t="str">
        <f>IFERROR(IF($C3="","",SUMIFS(Ledger!$K$2:$K$4, Ledger!$B$2:$B$4, $A3, Ledger!$C$2:$C$4, QVS$2)),"****")</f>
        <v/>
      </c>
      <c r="QVT3" t="str">
        <f>IFERROR(IF($C3="","",SUMIFS(Ledger!$K$2:$K$4, Ledger!$B$2:$B$4, $A3, Ledger!$C$2:$C$4, QVT$2)),"****")</f>
        <v/>
      </c>
      <c r="QVU3" t="str">
        <f>IFERROR(IF($C3="","",SUMIFS(Ledger!$K$2:$K$4, Ledger!$B$2:$B$4, $A3, Ledger!$C$2:$C$4, QVU$2)),"****")</f>
        <v/>
      </c>
      <c r="QVV3" t="str">
        <f>IFERROR(IF($C3="","",SUMIFS(Ledger!$K$2:$K$4, Ledger!$B$2:$B$4, $A3, Ledger!$C$2:$C$4, QVV$2)),"****")</f>
        <v/>
      </c>
      <c r="QVW3" t="str">
        <f>IFERROR(IF($C3="","",SUMIFS(Ledger!$K$2:$K$4, Ledger!$B$2:$B$4, $A3, Ledger!$C$2:$C$4, QVW$2)),"****")</f>
        <v/>
      </c>
      <c r="QVX3" t="str">
        <f>IFERROR(IF($C3="","",SUMIFS(Ledger!$K$2:$K$4, Ledger!$B$2:$B$4, $A3, Ledger!$C$2:$C$4, QVX$2)),"****")</f>
        <v/>
      </c>
      <c r="QVY3" t="str">
        <f>IFERROR(IF($C3="","",SUMIFS(Ledger!$K$2:$K$4, Ledger!$B$2:$B$4, $A3, Ledger!$C$2:$C$4, QVY$2)),"****")</f>
        <v/>
      </c>
      <c r="QVZ3" t="str">
        <f>IFERROR(IF($C3="","",SUMIFS(Ledger!$K$2:$K$4, Ledger!$B$2:$B$4, $A3, Ledger!$C$2:$C$4, QVZ$2)),"****")</f>
        <v/>
      </c>
      <c r="QWA3" t="str">
        <f>IFERROR(IF($C3="","",SUMIFS(Ledger!$K$2:$K$4, Ledger!$B$2:$B$4, $A3, Ledger!$C$2:$C$4, QWA$2)),"****")</f>
        <v/>
      </c>
      <c r="QWB3" t="str">
        <f>IFERROR(IF($C3="","",SUMIFS(Ledger!$K$2:$K$4, Ledger!$B$2:$B$4, $A3, Ledger!$C$2:$C$4, QWB$2)),"****")</f>
        <v/>
      </c>
      <c r="QWC3" t="str">
        <f>IFERROR(IF($C3="","",SUMIFS(Ledger!$K$2:$K$4, Ledger!$B$2:$B$4, $A3, Ledger!$C$2:$C$4, QWC$2)),"****")</f>
        <v/>
      </c>
      <c r="QWD3" t="str">
        <f>IFERROR(IF($C3="","",SUMIFS(Ledger!$K$2:$K$4, Ledger!$B$2:$B$4, $A3, Ledger!$C$2:$C$4, QWD$2)),"****")</f>
        <v/>
      </c>
      <c r="QWE3" t="str">
        <f>IFERROR(IF($C3="","",SUMIFS(Ledger!$K$2:$K$4, Ledger!$B$2:$B$4, $A3, Ledger!$C$2:$C$4, QWE$2)),"****")</f>
        <v/>
      </c>
      <c r="QWF3" t="str">
        <f>IFERROR(IF($C3="","",SUMIFS(Ledger!$K$2:$K$4, Ledger!$B$2:$B$4, $A3, Ledger!$C$2:$C$4, QWF$2)),"****")</f>
        <v/>
      </c>
      <c r="QWG3" t="str">
        <f>IFERROR(IF($C3="","",SUMIFS(Ledger!$K$2:$K$4, Ledger!$B$2:$B$4, $A3, Ledger!$C$2:$C$4, QWG$2)),"****")</f>
        <v/>
      </c>
      <c r="QWH3" t="str">
        <f>IFERROR(IF($C3="","",SUMIFS(Ledger!$K$2:$K$4, Ledger!$B$2:$B$4, $A3, Ledger!$C$2:$C$4, QWH$2)),"****")</f>
        <v/>
      </c>
      <c r="QWI3" t="str">
        <f>IFERROR(IF($C3="","",SUMIFS(Ledger!$K$2:$K$4, Ledger!$B$2:$B$4, $A3, Ledger!$C$2:$C$4, QWI$2)),"****")</f>
        <v/>
      </c>
      <c r="QWJ3" t="str">
        <f>IFERROR(IF($C3="","",SUMIFS(Ledger!$K$2:$K$4, Ledger!$B$2:$B$4, $A3, Ledger!$C$2:$C$4, QWJ$2)),"****")</f>
        <v/>
      </c>
      <c r="QWK3" t="str">
        <f>IFERROR(IF($C3="","",SUMIFS(Ledger!$K$2:$K$4, Ledger!$B$2:$B$4, $A3, Ledger!$C$2:$C$4, QWK$2)),"****")</f>
        <v/>
      </c>
      <c r="QWL3" t="str">
        <f>IFERROR(IF($C3="","",SUMIFS(Ledger!$K$2:$K$4, Ledger!$B$2:$B$4, $A3, Ledger!$C$2:$C$4, QWL$2)),"****")</f>
        <v/>
      </c>
      <c r="QWM3" t="str">
        <f>IFERROR(IF($C3="","",SUMIFS(Ledger!$K$2:$K$4, Ledger!$B$2:$B$4, $A3, Ledger!$C$2:$C$4, QWM$2)),"****")</f>
        <v/>
      </c>
      <c r="QWN3" t="str">
        <f>IFERROR(IF($C3="","",SUMIFS(Ledger!$K$2:$K$4, Ledger!$B$2:$B$4, $A3, Ledger!$C$2:$C$4, QWN$2)),"****")</f>
        <v/>
      </c>
      <c r="QWO3" t="str">
        <f>IFERROR(IF($C3="","",SUMIFS(Ledger!$K$2:$K$4, Ledger!$B$2:$B$4, $A3, Ledger!$C$2:$C$4, QWO$2)),"****")</f>
        <v/>
      </c>
      <c r="QWP3" t="str">
        <f>IFERROR(IF($C3="","",SUMIFS(Ledger!$K$2:$K$4, Ledger!$B$2:$B$4, $A3, Ledger!$C$2:$C$4, QWP$2)),"****")</f>
        <v/>
      </c>
      <c r="QWQ3" t="str">
        <f>IFERROR(IF($C3="","",SUMIFS(Ledger!$K$2:$K$4, Ledger!$B$2:$B$4, $A3, Ledger!$C$2:$C$4, QWQ$2)),"****")</f>
        <v/>
      </c>
      <c r="QWR3" t="str">
        <f>IFERROR(IF($C3="","",SUMIFS(Ledger!$K$2:$K$4, Ledger!$B$2:$B$4, $A3, Ledger!$C$2:$C$4, QWR$2)),"****")</f>
        <v/>
      </c>
      <c r="QWS3" t="str">
        <f>IFERROR(IF($C3="","",SUMIFS(Ledger!$K$2:$K$4, Ledger!$B$2:$B$4, $A3, Ledger!$C$2:$C$4, QWS$2)),"****")</f>
        <v/>
      </c>
      <c r="QWT3" t="str">
        <f>IFERROR(IF($C3="","",SUMIFS(Ledger!$K$2:$K$4, Ledger!$B$2:$B$4, $A3, Ledger!$C$2:$C$4, QWT$2)),"****")</f>
        <v/>
      </c>
      <c r="QWU3" t="str">
        <f>IFERROR(IF($C3="","",SUMIFS(Ledger!$K$2:$K$4, Ledger!$B$2:$B$4, $A3, Ledger!$C$2:$C$4, QWU$2)),"****")</f>
        <v/>
      </c>
      <c r="QWV3" t="str">
        <f>IFERROR(IF($C3="","",SUMIFS(Ledger!$K$2:$K$4, Ledger!$B$2:$B$4, $A3, Ledger!$C$2:$C$4, QWV$2)),"****")</f>
        <v/>
      </c>
      <c r="QWW3" t="str">
        <f>IFERROR(IF($C3="","",SUMIFS(Ledger!$K$2:$K$4, Ledger!$B$2:$B$4, $A3, Ledger!$C$2:$C$4, QWW$2)),"****")</f>
        <v/>
      </c>
      <c r="QWX3" t="str">
        <f>IFERROR(IF($C3="","",SUMIFS(Ledger!$K$2:$K$4, Ledger!$B$2:$B$4, $A3, Ledger!$C$2:$C$4, QWX$2)),"****")</f>
        <v/>
      </c>
      <c r="QWY3" t="str">
        <f>IFERROR(IF($C3="","",SUMIFS(Ledger!$K$2:$K$4, Ledger!$B$2:$B$4, $A3, Ledger!$C$2:$C$4, QWY$2)),"****")</f>
        <v/>
      </c>
      <c r="QWZ3" t="str">
        <f>IFERROR(IF($C3="","",SUMIFS(Ledger!$K$2:$K$4, Ledger!$B$2:$B$4, $A3, Ledger!$C$2:$C$4, QWZ$2)),"****")</f>
        <v/>
      </c>
      <c r="QXA3" t="str">
        <f>IFERROR(IF($C3="","",SUMIFS(Ledger!$K$2:$K$4, Ledger!$B$2:$B$4, $A3, Ledger!$C$2:$C$4, QXA$2)),"****")</f>
        <v/>
      </c>
      <c r="QXB3" t="str">
        <f>IFERROR(IF($C3="","",SUMIFS(Ledger!$K$2:$K$4, Ledger!$B$2:$B$4, $A3, Ledger!$C$2:$C$4, QXB$2)),"****")</f>
        <v/>
      </c>
      <c r="QXC3" t="str">
        <f>IFERROR(IF($C3="","",SUMIFS(Ledger!$K$2:$K$4, Ledger!$B$2:$B$4, $A3, Ledger!$C$2:$C$4, QXC$2)),"****")</f>
        <v/>
      </c>
      <c r="QXD3" t="str">
        <f>IFERROR(IF($C3="","",SUMIFS(Ledger!$K$2:$K$4, Ledger!$B$2:$B$4, $A3, Ledger!$C$2:$C$4, QXD$2)),"****")</f>
        <v/>
      </c>
      <c r="QXE3" t="str">
        <f>IFERROR(IF($C3="","",SUMIFS(Ledger!$K$2:$K$4, Ledger!$B$2:$B$4, $A3, Ledger!$C$2:$C$4, QXE$2)),"****")</f>
        <v/>
      </c>
      <c r="QXF3" t="str">
        <f>IFERROR(IF($C3="","",SUMIFS(Ledger!$K$2:$K$4, Ledger!$B$2:$B$4, $A3, Ledger!$C$2:$C$4, QXF$2)),"****")</f>
        <v/>
      </c>
      <c r="QXG3" t="str">
        <f>IFERROR(IF($C3="","",SUMIFS(Ledger!$K$2:$K$4, Ledger!$B$2:$B$4, $A3, Ledger!$C$2:$C$4, QXG$2)),"****")</f>
        <v/>
      </c>
      <c r="QXH3" t="str">
        <f>IFERROR(IF($C3="","",SUMIFS(Ledger!$K$2:$K$4, Ledger!$B$2:$B$4, $A3, Ledger!$C$2:$C$4, QXH$2)),"****")</f>
        <v/>
      </c>
      <c r="QXI3" t="str">
        <f>IFERROR(IF($C3="","",SUMIFS(Ledger!$K$2:$K$4, Ledger!$B$2:$B$4, $A3, Ledger!$C$2:$C$4, QXI$2)),"****")</f>
        <v/>
      </c>
      <c r="QXJ3" t="str">
        <f>IFERROR(IF($C3="","",SUMIFS(Ledger!$K$2:$K$4, Ledger!$B$2:$B$4, $A3, Ledger!$C$2:$C$4, QXJ$2)),"****")</f>
        <v/>
      </c>
      <c r="QXK3" t="str">
        <f>IFERROR(IF($C3="","",SUMIFS(Ledger!$K$2:$K$4, Ledger!$B$2:$B$4, $A3, Ledger!$C$2:$C$4, QXK$2)),"****")</f>
        <v/>
      </c>
      <c r="QXL3" t="str">
        <f>IFERROR(IF($C3="","",SUMIFS(Ledger!$K$2:$K$4, Ledger!$B$2:$B$4, $A3, Ledger!$C$2:$C$4, QXL$2)),"****")</f>
        <v/>
      </c>
      <c r="QXM3" t="str">
        <f>IFERROR(IF($C3="","",SUMIFS(Ledger!$K$2:$K$4, Ledger!$B$2:$B$4, $A3, Ledger!$C$2:$C$4, QXM$2)),"****")</f>
        <v/>
      </c>
      <c r="QXN3" t="str">
        <f>IFERROR(IF($C3="","",SUMIFS(Ledger!$K$2:$K$4, Ledger!$B$2:$B$4, $A3, Ledger!$C$2:$C$4, QXN$2)),"****")</f>
        <v/>
      </c>
      <c r="QXO3" t="str">
        <f>IFERROR(IF($C3="","",SUMIFS(Ledger!$K$2:$K$4, Ledger!$B$2:$B$4, $A3, Ledger!$C$2:$C$4, QXO$2)),"****")</f>
        <v/>
      </c>
      <c r="QXP3" t="str">
        <f>IFERROR(IF($C3="","",SUMIFS(Ledger!$K$2:$K$4, Ledger!$B$2:$B$4, $A3, Ledger!$C$2:$C$4, QXP$2)),"****")</f>
        <v/>
      </c>
      <c r="QXQ3" t="str">
        <f>IFERROR(IF($C3="","",SUMIFS(Ledger!$K$2:$K$4, Ledger!$B$2:$B$4, $A3, Ledger!$C$2:$C$4, QXQ$2)),"****")</f>
        <v/>
      </c>
      <c r="QXR3" t="str">
        <f>IFERROR(IF($C3="","",SUMIFS(Ledger!$K$2:$K$4, Ledger!$B$2:$B$4, $A3, Ledger!$C$2:$C$4, QXR$2)),"****")</f>
        <v/>
      </c>
      <c r="QXS3" t="str">
        <f>IFERROR(IF($C3="","",SUMIFS(Ledger!$K$2:$K$4, Ledger!$B$2:$B$4, $A3, Ledger!$C$2:$C$4, QXS$2)),"****")</f>
        <v/>
      </c>
      <c r="QXT3" t="str">
        <f>IFERROR(IF($C3="","",SUMIFS(Ledger!$K$2:$K$4, Ledger!$B$2:$B$4, $A3, Ledger!$C$2:$C$4, QXT$2)),"****")</f>
        <v/>
      </c>
      <c r="QXU3" t="str">
        <f>IFERROR(IF($C3="","",SUMIFS(Ledger!$K$2:$K$4, Ledger!$B$2:$B$4, $A3, Ledger!$C$2:$C$4, QXU$2)),"****")</f>
        <v/>
      </c>
      <c r="QXV3" t="str">
        <f>IFERROR(IF($C3="","",SUMIFS(Ledger!$K$2:$K$4, Ledger!$B$2:$B$4, $A3, Ledger!$C$2:$C$4, QXV$2)),"****")</f>
        <v/>
      </c>
      <c r="QXW3" t="str">
        <f>IFERROR(IF($C3="","",SUMIFS(Ledger!$K$2:$K$4, Ledger!$B$2:$B$4, $A3, Ledger!$C$2:$C$4, QXW$2)),"****")</f>
        <v/>
      </c>
      <c r="QXX3" t="str">
        <f>IFERROR(IF($C3="","",SUMIFS(Ledger!$K$2:$K$4, Ledger!$B$2:$B$4, $A3, Ledger!$C$2:$C$4, QXX$2)),"****")</f>
        <v/>
      </c>
      <c r="QXY3" t="str">
        <f>IFERROR(IF($C3="","",SUMIFS(Ledger!$K$2:$K$4, Ledger!$B$2:$B$4, $A3, Ledger!$C$2:$C$4, QXY$2)),"****")</f>
        <v/>
      </c>
      <c r="QXZ3" t="str">
        <f>IFERROR(IF($C3="","",SUMIFS(Ledger!$K$2:$K$4, Ledger!$B$2:$B$4, $A3, Ledger!$C$2:$C$4, QXZ$2)),"****")</f>
        <v/>
      </c>
      <c r="QYA3" t="str">
        <f>IFERROR(IF($C3="","",SUMIFS(Ledger!$K$2:$K$4, Ledger!$B$2:$B$4, $A3, Ledger!$C$2:$C$4, QYA$2)),"****")</f>
        <v/>
      </c>
      <c r="QYB3" t="str">
        <f>IFERROR(IF($C3="","",SUMIFS(Ledger!$K$2:$K$4, Ledger!$B$2:$B$4, $A3, Ledger!$C$2:$C$4, QYB$2)),"****")</f>
        <v/>
      </c>
      <c r="QYC3" t="str">
        <f>IFERROR(IF($C3="","",SUMIFS(Ledger!$K$2:$K$4, Ledger!$B$2:$B$4, $A3, Ledger!$C$2:$C$4, QYC$2)),"****")</f>
        <v/>
      </c>
      <c r="QYD3" t="str">
        <f>IFERROR(IF($C3="","",SUMIFS(Ledger!$K$2:$K$4, Ledger!$B$2:$B$4, $A3, Ledger!$C$2:$C$4, QYD$2)),"****")</f>
        <v/>
      </c>
      <c r="QYE3" t="str">
        <f>IFERROR(IF($C3="","",SUMIFS(Ledger!$K$2:$K$4, Ledger!$B$2:$B$4, $A3, Ledger!$C$2:$C$4, QYE$2)),"****")</f>
        <v/>
      </c>
      <c r="QYF3" t="str">
        <f>IFERROR(IF($C3="","",SUMIFS(Ledger!$K$2:$K$4, Ledger!$B$2:$B$4, $A3, Ledger!$C$2:$C$4, QYF$2)),"****")</f>
        <v/>
      </c>
      <c r="QYG3" t="str">
        <f>IFERROR(IF($C3="","",SUMIFS(Ledger!$K$2:$K$4, Ledger!$B$2:$B$4, $A3, Ledger!$C$2:$C$4, QYG$2)),"****")</f>
        <v/>
      </c>
      <c r="QYH3" t="str">
        <f>IFERROR(IF($C3="","",SUMIFS(Ledger!$K$2:$K$4, Ledger!$B$2:$B$4, $A3, Ledger!$C$2:$C$4, QYH$2)),"****")</f>
        <v/>
      </c>
      <c r="QYI3" t="str">
        <f>IFERROR(IF($C3="","",SUMIFS(Ledger!$K$2:$K$4, Ledger!$B$2:$B$4, $A3, Ledger!$C$2:$C$4, QYI$2)),"****")</f>
        <v/>
      </c>
      <c r="QYJ3" t="str">
        <f>IFERROR(IF($C3="","",SUMIFS(Ledger!$K$2:$K$4, Ledger!$B$2:$B$4, $A3, Ledger!$C$2:$C$4, QYJ$2)),"****")</f>
        <v/>
      </c>
      <c r="QYK3" t="str">
        <f>IFERROR(IF($C3="","",SUMIFS(Ledger!$K$2:$K$4, Ledger!$B$2:$B$4, $A3, Ledger!$C$2:$C$4, QYK$2)),"****")</f>
        <v/>
      </c>
      <c r="QYL3" t="str">
        <f>IFERROR(IF($C3="","",SUMIFS(Ledger!$K$2:$K$4, Ledger!$B$2:$B$4, $A3, Ledger!$C$2:$C$4, QYL$2)),"****")</f>
        <v/>
      </c>
      <c r="QYM3" t="str">
        <f>IFERROR(IF($C3="","",SUMIFS(Ledger!$K$2:$K$4, Ledger!$B$2:$B$4, $A3, Ledger!$C$2:$C$4, QYM$2)),"****")</f>
        <v/>
      </c>
      <c r="QYN3" t="str">
        <f>IFERROR(IF($C3="","",SUMIFS(Ledger!$K$2:$K$4, Ledger!$B$2:$B$4, $A3, Ledger!$C$2:$C$4, QYN$2)),"****")</f>
        <v/>
      </c>
      <c r="QYO3" t="str">
        <f>IFERROR(IF($C3="","",SUMIFS(Ledger!$K$2:$K$4, Ledger!$B$2:$B$4, $A3, Ledger!$C$2:$C$4, QYO$2)),"****")</f>
        <v/>
      </c>
      <c r="QYP3" t="str">
        <f>IFERROR(IF($C3="","",SUMIFS(Ledger!$K$2:$K$4, Ledger!$B$2:$B$4, $A3, Ledger!$C$2:$C$4, QYP$2)),"****")</f>
        <v/>
      </c>
      <c r="QYQ3" t="str">
        <f>IFERROR(IF($C3="","",SUMIFS(Ledger!$K$2:$K$4, Ledger!$B$2:$B$4, $A3, Ledger!$C$2:$C$4, QYQ$2)),"****")</f>
        <v/>
      </c>
      <c r="QYR3" t="str">
        <f>IFERROR(IF($C3="","",SUMIFS(Ledger!$K$2:$K$4, Ledger!$B$2:$B$4, $A3, Ledger!$C$2:$C$4, QYR$2)),"****")</f>
        <v/>
      </c>
      <c r="QYS3" t="str">
        <f>IFERROR(IF($C3="","",SUMIFS(Ledger!$K$2:$K$4, Ledger!$B$2:$B$4, $A3, Ledger!$C$2:$C$4, QYS$2)),"****")</f>
        <v/>
      </c>
      <c r="QYT3" t="str">
        <f>IFERROR(IF($C3="","",SUMIFS(Ledger!$K$2:$K$4, Ledger!$B$2:$B$4, $A3, Ledger!$C$2:$C$4, QYT$2)),"****")</f>
        <v/>
      </c>
      <c r="QYU3" t="str">
        <f>IFERROR(IF($C3="","",SUMIFS(Ledger!$K$2:$K$4, Ledger!$B$2:$B$4, $A3, Ledger!$C$2:$C$4, QYU$2)),"****")</f>
        <v/>
      </c>
      <c r="QYV3" t="str">
        <f>IFERROR(IF($C3="","",SUMIFS(Ledger!$K$2:$K$4, Ledger!$B$2:$B$4, $A3, Ledger!$C$2:$C$4, QYV$2)),"****")</f>
        <v/>
      </c>
      <c r="QYW3" t="str">
        <f>IFERROR(IF($C3="","",SUMIFS(Ledger!$K$2:$K$4, Ledger!$B$2:$B$4, $A3, Ledger!$C$2:$C$4, QYW$2)),"****")</f>
        <v/>
      </c>
      <c r="QYX3" t="str">
        <f>IFERROR(IF($C3="","",SUMIFS(Ledger!$K$2:$K$4, Ledger!$B$2:$B$4, $A3, Ledger!$C$2:$C$4, QYX$2)),"****")</f>
        <v/>
      </c>
      <c r="QYY3" t="str">
        <f>IFERROR(IF($C3="","",SUMIFS(Ledger!$K$2:$K$4, Ledger!$B$2:$B$4, $A3, Ledger!$C$2:$C$4, QYY$2)),"****")</f>
        <v/>
      </c>
      <c r="QYZ3" t="str">
        <f>IFERROR(IF($C3="","",SUMIFS(Ledger!$K$2:$K$4, Ledger!$B$2:$B$4, $A3, Ledger!$C$2:$C$4, QYZ$2)),"****")</f>
        <v/>
      </c>
      <c r="QZA3" t="str">
        <f>IFERROR(IF($C3="","",SUMIFS(Ledger!$K$2:$K$4, Ledger!$B$2:$B$4, $A3, Ledger!$C$2:$C$4, QZA$2)),"****")</f>
        <v/>
      </c>
      <c r="QZB3" t="str">
        <f>IFERROR(IF($C3="","",SUMIFS(Ledger!$K$2:$K$4, Ledger!$B$2:$B$4, $A3, Ledger!$C$2:$C$4, QZB$2)),"****")</f>
        <v/>
      </c>
      <c r="QZC3" t="str">
        <f>IFERROR(IF($C3="","",SUMIFS(Ledger!$K$2:$K$4, Ledger!$B$2:$B$4, $A3, Ledger!$C$2:$C$4, QZC$2)),"****")</f>
        <v/>
      </c>
      <c r="QZD3" t="str">
        <f>IFERROR(IF($C3="","",SUMIFS(Ledger!$K$2:$K$4, Ledger!$B$2:$B$4, $A3, Ledger!$C$2:$C$4, QZD$2)),"****")</f>
        <v/>
      </c>
      <c r="QZE3" t="str">
        <f>IFERROR(IF($C3="","",SUMIFS(Ledger!$K$2:$K$4, Ledger!$B$2:$B$4, $A3, Ledger!$C$2:$C$4, QZE$2)),"****")</f>
        <v/>
      </c>
      <c r="QZF3" t="str">
        <f>IFERROR(IF($C3="","",SUMIFS(Ledger!$K$2:$K$4, Ledger!$B$2:$B$4, $A3, Ledger!$C$2:$C$4, QZF$2)),"****")</f>
        <v/>
      </c>
      <c r="QZG3" t="str">
        <f>IFERROR(IF($C3="","",SUMIFS(Ledger!$K$2:$K$4, Ledger!$B$2:$B$4, $A3, Ledger!$C$2:$C$4, QZG$2)),"****")</f>
        <v/>
      </c>
      <c r="QZH3" t="str">
        <f>IFERROR(IF($C3="","",SUMIFS(Ledger!$K$2:$K$4, Ledger!$B$2:$B$4, $A3, Ledger!$C$2:$C$4, QZH$2)),"****")</f>
        <v/>
      </c>
      <c r="QZI3" t="str">
        <f>IFERROR(IF($C3="","",SUMIFS(Ledger!$K$2:$K$4, Ledger!$B$2:$B$4, $A3, Ledger!$C$2:$C$4, QZI$2)),"****")</f>
        <v/>
      </c>
      <c r="QZJ3" t="str">
        <f>IFERROR(IF($C3="","",SUMIFS(Ledger!$K$2:$K$4, Ledger!$B$2:$B$4, $A3, Ledger!$C$2:$C$4, QZJ$2)),"****")</f>
        <v/>
      </c>
      <c r="QZK3" t="str">
        <f>IFERROR(IF($C3="","",SUMIFS(Ledger!$K$2:$K$4, Ledger!$B$2:$B$4, $A3, Ledger!$C$2:$C$4, QZK$2)),"****")</f>
        <v/>
      </c>
      <c r="QZL3" t="str">
        <f>IFERROR(IF($C3="","",SUMIFS(Ledger!$K$2:$K$4, Ledger!$B$2:$B$4, $A3, Ledger!$C$2:$C$4, QZL$2)),"****")</f>
        <v/>
      </c>
      <c r="QZM3" t="str">
        <f>IFERROR(IF($C3="","",SUMIFS(Ledger!$K$2:$K$4, Ledger!$B$2:$B$4, $A3, Ledger!$C$2:$C$4, QZM$2)),"****")</f>
        <v/>
      </c>
      <c r="QZN3" t="str">
        <f>IFERROR(IF($C3="","",SUMIFS(Ledger!$K$2:$K$4, Ledger!$B$2:$B$4, $A3, Ledger!$C$2:$C$4, QZN$2)),"****")</f>
        <v/>
      </c>
      <c r="QZO3" t="str">
        <f>IFERROR(IF($C3="","",SUMIFS(Ledger!$K$2:$K$4, Ledger!$B$2:$B$4, $A3, Ledger!$C$2:$C$4, QZO$2)),"****")</f>
        <v/>
      </c>
      <c r="QZP3" t="str">
        <f>IFERROR(IF($C3="","",SUMIFS(Ledger!$K$2:$K$4, Ledger!$B$2:$B$4, $A3, Ledger!$C$2:$C$4, QZP$2)),"****")</f>
        <v/>
      </c>
      <c r="QZQ3" t="str">
        <f>IFERROR(IF($C3="","",SUMIFS(Ledger!$K$2:$K$4, Ledger!$B$2:$B$4, $A3, Ledger!$C$2:$C$4, QZQ$2)),"****")</f>
        <v/>
      </c>
      <c r="QZR3" t="str">
        <f>IFERROR(IF($C3="","",SUMIFS(Ledger!$K$2:$K$4, Ledger!$B$2:$B$4, $A3, Ledger!$C$2:$C$4, QZR$2)),"****")</f>
        <v/>
      </c>
      <c r="QZS3" t="str">
        <f>IFERROR(IF($C3="","",SUMIFS(Ledger!$K$2:$K$4, Ledger!$B$2:$B$4, $A3, Ledger!$C$2:$C$4, QZS$2)),"****")</f>
        <v/>
      </c>
      <c r="QZT3" t="str">
        <f>IFERROR(IF($C3="","",SUMIFS(Ledger!$K$2:$K$4, Ledger!$B$2:$B$4, $A3, Ledger!$C$2:$C$4, QZT$2)),"****")</f>
        <v/>
      </c>
      <c r="QZU3" t="str">
        <f>IFERROR(IF($C3="","",SUMIFS(Ledger!$K$2:$K$4, Ledger!$B$2:$B$4, $A3, Ledger!$C$2:$C$4, QZU$2)),"****")</f>
        <v/>
      </c>
      <c r="QZV3" t="str">
        <f>IFERROR(IF($C3="","",SUMIFS(Ledger!$K$2:$K$4, Ledger!$B$2:$B$4, $A3, Ledger!$C$2:$C$4, QZV$2)),"****")</f>
        <v/>
      </c>
      <c r="QZW3" t="str">
        <f>IFERROR(IF($C3="","",SUMIFS(Ledger!$K$2:$K$4, Ledger!$B$2:$B$4, $A3, Ledger!$C$2:$C$4, QZW$2)),"****")</f>
        <v/>
      </c>
      <c r="QZX3" t="str">
        <f>IFERROR(IF($C3="","",SUMIFS(Ledger!$K$2:$K$4, Ledger!$B$2:$B$4, $A3, Ledger!$C$2:$C$4, QZX$2)),"****")</f>
        <v/>
      </c>
      <c r="QZY3" t="str">
        <f>IFERROR(IF($C3="","",SUMIFS(Ledger!$K$2:$K$4, Ledger!$B$2:$B$4, $A3, Ledger!$C$2:$C$4, QZY$2)),"****")</f>
        <v/>
      </c>
      <c r="QZZ3" t="str">
        <f>IFERROR(IF($C3="","",SUMIFS(Ledger!$K$2:$K$4, Ledger!$B$2:$B$4, $A3, Ledger!$C$2:$C$4, QZZ$2)),"****")</f>
        <v/>
      </c>
      <c r="RAA3" t="str">
        <f>IFERROR(IF($C3="","",SUMIFS(Ledger!$K$2:$K$4, Ledger!$B$2:$B$4, $A3, Ledger!$C$2:$C$4, RAA$2)),"****")</f>
        <v/>
      </c>
      <c r="RAB3" t="str">
        <f>IFERROR(IF($C3="","",SUMIFS(Ledger!$K$2:$K$4, Ledger!$B$2:$B$4, $A3, Ledger!$C$2:$C$4, RAB$2)),"****")</f>
        <v/>
      </c>
      <c r="RAC3" t="str">
        <f>IFERROR(IF($C3="","",SUMIFS(Ledger!$K$2:$K$4, Ledger!$B$2:$B$4, $A3, Ledger!$C$2:$C$4, RAC$2)),"****")</f>
        <v/>
      </c>
      <c r="RAD3" t="str">
        <f>IFERROR(IF($C3="","",SUMIFS(Ledger!$K$2:$K$4, Ledger!$B$2:$B$4, $A3, Ledger!$C$2:$C$4, RAD$2)),"****")</f>
        <v/>
      </c>
      <c r="RAE3" t="str">
        <f>IFERROR(IF($C3="","",SUMIFS(Ledger!$K$2:$K$4, Ledger!$B$2:$B$4, $A3, Ledger!$C$2:$C$4, RAE$2)),"****")</f>
        <v/>
      </c>
      <c r="RAF3" t="str">
        <f>IFERROR(IF($C3="","",SUMIFS(Ledger!$K$2:$K$4, Ledger!$B$2:$B$4, $A3, Ledger!$C$2:$C$4, RAF$2)),"****")</f>
        <v/>
      </c>
      <c r="RAG3" t="str">
        <f>IFERROR(IF($C3="","",SUMIFS(Ledger!$K$2:$K$4, Ledger!$B$2:$B$4, $A3, Ledger!$C$2:$C$4, RAG$2)),"****")</f>
        <v/>
      </c>
      <c r="RAH3" t="str">
        <f>IFERROR(IF($C3="","",SUMIFS(Ledger!$K$2:$K$4, Ledger!$B$2:$B$4, $A3, Ledger!$C$2:$C$4, RAH$2)),"****")</f>
        <v/>
      </c>
      <c r="RAI3" t="str">
        <f>IFERROR(IF($C3="","",SUMIFS(Ledger!$K$2:$K$4, Ledger!$B$2:$B$4, $A3, Ledger!$C$2:$C$4, RAI$2)),"****")</f>
        <v/>
      </c>
      <c r="RAJ3" t="str">
        <f>IFERROR(IF($C3="","",SUMIFS(Ledger!$K$2:$K$4, Ledger!$B$2:$B$4, $A3, Ledger!$C$2:$C$4, RAJ$2)),"****")</f>
        <v/>
      </c>
      <c r="RAK3" t="str">
        <f>IFERROR(IF($C3="","",SUMIFS(Ledger!$K$2:$K$4, Ledger!$B$2:$B$4, $A3, Ledger!$C$2:$C$4, RAK$2)),"****")</f>
        <v/>
      </c>
      <c r="RAL3" t="str">
        <f>IFERROR(IF($C3="","",SUMIFS(Ledger!$K$2:$K$4, Ledger!$B$2:$B$4, $A3, Ledger!$C$2:$C$4, RAL$2)),"****")</f>
        <v/>
      </c>
      <c r="RAM3" t="str">
        <f>IFERROR(IF($C3="","",SUMIFS(Ledger!$K$2:$K$4, Ledger!$B$2:$B$4, $A3, Ledger!$C$2:$C$4, RAM$2)),"****")</f>
        <v/>
      </c>
      <c r="RAN3" t="str">
        <f>IFERROR(IF($C3="","",SUMIFS(Ledger!$K$2:$K$4, Ledger!$B$2:$B$4, $A3, Ledger!$C$2:$C$4, RAN$2)),"****")</f>
        <v/>
      </c>
      <c r="RAO3" t="str">
        <f>IFERROR(IF($C3="","",SUMIFS(Ledger!$K$2:$K$4, Ledger!$B$2:$B$4, $A3, Ledger!$C$2:$C$4, RAO$2)),"****")</f>
        <v/>
      </c>
      <c r="RAP3" t="str">
        <f>IFERROR(IF($C3="","",SUMIFS(Ledger!$K$2:$K$4, Ledger!$B$2:$B$4, $A3, Ledger!$C$2:$C$4, RAP$2)),"****")</f>
        <v/>
      </c>
      <c r="RAQ3" t="str">
        <f>IFERROR(IF($C3="","",SUMIFS(Ledger!$K$2:$K$4, Ledger!$B$2:$B$4, $A3, Ledger!$C$2:$C$4, RAQ$2)),"****")</f>
        <v/>
      </c>
      <c r="RAR3" t="str">
        <f>IFERROR(IF($C3="","",SUMIFS(Ledger!$K$2:$K$4, Ledger!$B$2:$B$4, $A3, Ledger!$C$2:$C$4, RAR$2)),"****")</f>
        <v/>
      </c>
      <c r="RAS3" t="str">
        <f>IFERROR(IF($C3="","",SUMIFS(Ledger!$K$2:$K$4, Ledger!$B$2:$B$4, $A3, Ledger!$C$2:$C$4, RAS$2)),"****")</f>
        <v/>
      </c>
      <c r="RAT3" t="str">
        <f>IFERROR(IF($C3="","",SUMIFS(Ledger!$K$2:$K$4, Ledger!$B$2:$B$4, $A3, Ledger!$C$2:$C$4, RAT$2)),"****")</f>
        <v/>
      </c>
      <c r="RAU3" t="str">
        <f>IFERROR(IF($C3="","",SUMIFS(Ledger!$K$2:$K$4, Ledger!$B$2:$B$4, $A3, Ledger!$C$2:$C$4, RAU$2)),"****")</f>
        <v/>
      </c>
      <c r="RAV3" t="str">
        <f>IFERROR(IF($C3="","",SUMIFS(Ledger!$K$2:$K$4, Ledger!$B$2:$B$4, $A3, Ledger!$C$2:$C$4, RAV$2)),"****")</f>
        <v/>
      </c>
      <c r="RAW3" t="str">
        <f>IFERROR(IF($C3="","",SUMIFS(Ledger!$K$2:$K$4, Ledger!$B$2:$B$4, $A3, Ledger!$C$2:$C$4, RAW$2)),"****")</f>
        <v/>
      </c>
      <c r="RAX3" t="str">
        <f>IFERROR(IF($C3="","",SUMIFS(Ledger!$K$2:$K$4, Ledger!$B$2:$B$4, $A3, Ledger!$C$2:$C$4, RAX$2)),"****")</f>
        <v/>
      </c>
      <c r="RAY3" t="str">
        <f>IFERROR(IF($C3="","",SUMIFS(Ledger!$K$2:$K$4, Ledger!$B$2:$B$4, $A3, Ledger!$C$2:$C$4, RAY$2)),"****")</f>
        <v/>
      </c>
      <c r="RAZ3" t="str">
        <f>IFERROR(IF($C3="","",SUMIFS(Ledger!$K$2:$K$4, Ledger!$B$2:$B$4, $A3, Ledger!$C$2:$C$4, RAZ$2)),"****")</f>
        <v/>
      </c>
      <c r="RBA3" t="str">
        <f>IFERROR(IF($C3="","",SUMIFS(Ledger!$K$2:$K$4, Ledger!$B$2:$B$4, $A3, Ledger!$C$2:$C$4, RBA$2)),"****")</f>
        <v/>
      </c>
      <c r="RBB3" t="str">
        <f>IFERROR(IF($C3="","",SUMIFS(Ledger!$K$2:$K$4, Ledger!$B$2:$B$4, $A3, Ledger!$C$2:$C$4, RBB$2)),"****")</f>
        <v/>
      </c>
      <c r="RBC3" t="str">
        <f>IFERROR(IF($C3="","",SUMIFS(Ledger!$K$2:$K$4, Ledger!$B$2:$B$4, $A3, Ledger!$C$2:$C$4, RBC$2)),"****")</f>
        <v/>
      </c>
      <c r="RBD3" t="str">
        <f>IFERROR(IF($C3="","",SUMIFS(Ledger!$K$2:$K$4, Ledger!$B$2:$B$4, $A3, Ledger!$C$2:$C$4, RBD$2)),"****")</f>
        <v/>
      </c>
      <c r="RBE3" t="str">
        <f>IFERROR(IF($C3="","",SUMIFS(Ledger!$K$2:$K$4, Ledger!$B$2:$B$4, $A3, Ledger!$C$2:$C$4, RBE$2)),"****")</f>
        <v/>
      </c>
      <c r="RBF3" t="str">
        <f>IFERROR(IF($C3="","",SUMIFS(Ledger!$K$2:$K$4, Ledger!$B$2:$B$4, $A3, Ledger!$C$2:$C$4, RBF$2)),"****")</f>
        <v/>
      </c>
      <c r="RBG3" t="str">
        <f>IFERROR(IF($C3="","",SUMIFS(Ledger!$K$2:$K$4, Ledger!$B$2:$B$4, $A3, Ledger!$C$2:$C$4, RBG$2)),"****")</f>
        <v/>
      </c>
      <c r="RBH3" t="str">
        <f>IFERROR(IF($C3="","",SUMIFS(Ledger!$K$2:$K$4, Ledger!$B$2:$B$4, $A3, Ledger!$C$2:$C$4, RBH$2)),"****")</f>
        <v/>
      </c>
      <c r="RBI3" t="str">
        <f>IFERROR(IF($C3="","",SUMIFS(Ledger!$K$2:$K$4, Ledger!$B$2:$B$4, $A3, Ledger!$C$2:$C$4, RBI$2)),"****")</f>
        <v/>
      </c>
      <c r="RBJ3" t="str">
        <f>IFERROR(IF($C3="","",SUMIFS(Ledger!$K$2:$K$4, Ledger!$B$2:$B$4, $A3, Ledger!$C$2:$C$4, RBJ$2)),"****")</f>
        <v/>
      </c>
      <c r="RBK3" t="str">
        <f>IFERROR(IF($C3="","",SUMIFS(Ledger!$K$2:$K$4, Ledger!$B$2:$B$4, $A3, Ledger!$C$2:$C$4, RBK$2)),"****")</f>
        <v/>
      </c>
      <c r="RBL3" t="str">
        <f>IFERROR(IF($C3="","",SUMIFS(Ledger!$K$2:$K$4, Ledger!$B$2:$B$4, $A3, Ledger!$C$2:$C$4, RBL$2)),"****")</f>
        <v/>
      </c>
      <c r="RBM3" t="str">
        <f>IFERROR(IF($C3="","",SUMIFS(Ledger!$K$2:$K$4, Ledger!$B$2:$B$4, $A3, Ledger!$C$2:$C$4, RBM$2)),"****")</f>
        <v/>
      </c>
      <c r="RBN3" t="str">
        <f>IFERROR(IF($C3="","",SUMIFS(Ledger!$K$2:$K$4, Ledger!$B$2:$B$4, $A3, Ledger!$C$2:$C$4, RBN$2)),"****")</f>
        <v/>
      </c>
      <c r="RBO3" t="str">
        <f>IFERROR(IF($C3="","",SUMIFS(Ledger!$K$2:$K$4, Ledger!$B$2:$B$4, $A3, Ledger!$C$2:$C$4, RBO$2)),"****")</f>
        <v/>
      </c>
      <c r="RBP3" t="str">
        <f>IFERROR(IF($C3="","",SUMIFS(Ledger!$K$2:$K$4, Ledger!$B$2:$B$4, $A3, Ledger!$C$2:$C$4, RBP$2)),"****")</f>
        <v/>
      </c>
      <c r="RBQ3" t="str">
        <f>IFERROR(IF($C3="","",SUMIFS(Ledger!$K$2:$K$4, Ledger!$B$2:$B$4, $A3, Ledger!$C$2:$C$4, RBQ$2)),"****")</f>
        <v/>
      </c>
      <c r="RBR3" t="str">
        <f>IFERROR(IF($C3="","",SUMIFS(Ledger!$K$2:$K$4, Ledger!$B$2:$B$4, $A3, Ledger!$C$2:$C$4, RBR$2)),"****")</f>
        <v/>
      </c>
      <c r="RBS3" t="str">
        <f>IFERROR(IF($C3="","",SUMIFS(Ledger!$K$2:$K$4, Ledger!$B$2:$B$4, $A3, Ledger!$C$2:$C$4, RBS$2)),"****")</f>
        <v/>
      </c>
      <c r="RBT3" t="str">
        <f>IFERROR(IF($C3="","",SUMIFS(Ledger!$K$2:$K$4, Ledger!$B$2:$B$4, $A3, Ledger!$C$2:$C$4, RBT$2)),"****")</f>
        <v/>
      </c>
      <c r="RBU3" t="str">
        <f>IFERROR(IF($C3="","",SUMIFS(Ledger!$K$2:$K$4, Ledger!$B$2:$B$4, $A3, Ledger!$C$2:$C$4, RBU$2)),"****")</f>
        <v/>
      </c>
      <c r="RBV3" t="str">
        <f>IFERROR(IF($C3="","",SUMIFS(Ledger!$K$2:$K$4, Ledger!$B$2:$B$4, $A3, Ledger!$C$2:$C$4, RBV$2)),"****")</f>
        <v/>
      </c>
      <c r="RBW3" t="str">
        <f>IFERROR(IF($C3="","",SUMIFS(Ledger!$K$2:$K$4, Ledger!$B$2:$B$4, $A3, Ledger!$C$2:$C$4, RBW$2)),"****")</f>
        <v/>
      </c>
      <c r="RBX3" t="str">
        <f>IFERROR(IF($C3="","",SUMIFS(Ledger!$K$2:$K$4, Ledger!$B$2:$B$4, $A3, Ledger!$C$2:$C$4, RBX$2)),"****")</f>
        <v/>
      </c>
      <c r="RBY3" t="str">
        <f>IFERROR(IF($C3="","",SUMIFS(Ledger!$K$2:$K$4, Ledger!$B$2:$B$4, $A3, Ledger!$C$2:$C$4, RBY$2)),"****")</f>
        <v/>
      </c>
      <c r="RBZ3" t="str">
        <f>IFERROR(IF($C3="","",SUMIFS(Ledger!$K$2:$K$4, Ledger!$B$2:$B$4, $A3, Ledger!$C$2:$C$4, RBZ$2)),"****")</f>
        <v/>
      </c>
      <c r="RCA3" t="str">
        <f>IFERROR(IF($C3="","",SUMIFS(Ledger!$K$2:$K$4, Ledger!$B$2:$B$4, $A3, Ledger!$C$2:$C$4, RCA$2)),"****")</f>
        <v/>
      </c>
      <c r="RCB3" t="str">
        <f>IFERROR(IF($C3="","",SUMIFS(Ledger!$K$2:$K$4, Ledger!$B$2:$B$4, $A3, Ledger!$C$2:$C$4, RCB$2)),"****")</f>
        <v/>
      </c>
      <c r="RCC3" t="str">
        <f>IFERROR(IF($C3="","",SUMIFS(Ledger!$K$2:$K$4, Ledger!$B$2:$B$4, $A3, Ledger!$C$2:$C$4, RCC$2)),"****")</f>
        <v/>
      </c>
      <c r="RCD3" t="str">
        <f>IFERROR(IF($C3="","",SUMIFS(Ledger!$K$2:$K$4, Ledger!$B$2:$B$4, $A3, Ledger!$C$2:$C$4, RCD$2)),"****")</f>
        <v/>
      </c>
      <c r="RCE3" t="str">
        <f>IFERROR(IF($C3="","",SUMIFS(Ledger!$K$2:$K$4, Ledger!$B$2:$B$4, $A3, Ledger!$C$2:$C$4, RCE$2)),"****")</f>
        <v/>
      </c>
      <c r="RCF3" t="str">
        <f>IFERROR(IF($C3="","",SUMIFS(Ledger!$K$2:$K$4, Ledger!$B$2:$B$4, $A3, Ledger!$C$2:$C$4, RCF$2)),"****")</f>
        <v/>
      </c>
      <c r="RCG3" t="str">
        <f>IFERROR(IF($C3="","",SUMIFS(Ledger!$K$2:$K$4, Ledger!$B$2:$B$4, $A3, Ledger!$C$2:$C$4, RCG$2)),"****")</f>
        <v/>
      </c>
      <c r="RCH3" t="str">
        <f>IFERROR(IF($C3="","",SUMIFS(Ledger!$K$2:$K$4, Ledger!$B$2:$B$4, $A3, Ledger!$C$2:$C$4, RCH$2)),"****")</f>
        <v/>
      </c>
      <c r="RCI3" t="str">
        <f>IFERROR(IF($C3="","",SUMIFS(Ledger!$K$2:$K$4, Ledger!$B$2:$B$4, $A3, Ledger!$C$2:$C$4, RCI$2)),"****")</f>
        <v/>
      </c>
      <c r="RCJ3" t="str">
        <f>IFERROR(IF($C3="","",SUMIFS(Ledger!$K$2:$K$4, Ledger!$B$2:$B$4, $A3, Ledger!$C$2:$C$4, RCJ$2)),"****")</f>
        <v/>
      </c>
      <c r="RCK3" t="str">
        <f>IFERROR(IF($C3="","",SUMIFS(Ledger!$K$2:$K$4, Ledger!$B$2:$B$4, $A3, Ledger!$C$2:$C$4, RCK$2)),"****")</f>
        <v/>
      </c>
      <c r="RCL3" t="str">
        <f>IFERROR(IF($C3="","",SUMIFS(Ledger!$K$2:$K$4, Ledger!$B$2:$B$4, $A3, Ledger!$C$2:$C$4, RCL$2)),"****")</f>
        <v/>
      </c>
      <c r="RCM3" t="str">
        <f>IFERROR(IF($C3="","",SUMIFS(Ledger!$K$2:$K$4, Ledger!$B$2:$B$4, $A3, Ledger!$C$2:$C$4, RCM$2)),"****")</f>
        <v/>
      </c>
      <c r="RCN3" t="str">
        <f>IFERROR(IF($C3="","",SUMIFS(Ledger!$K$2:$K$4, Ledger!$B$2:$B$4, $A3, Ledger!$C$2:$C$4, RCN$2)),"****")</f>
        <v/>
      </c>
      <c r="RCO3" t="str">
        <f>IFERROR(IF($C3="","",SUMIFS(Ledger!$K$2:$K$4, Ledger!$B$2:$B$4, $A3, Ledger!$C$2:$C$4, RCO$2)),"****")</f>
        <v/>
      </c>
      <c r="RCP3" t="str">
        <f>IFERROR(IF($C3="","",SUMIFS(Ledger!$K$2:$K$4, Ledger!$B$2:$B$4, $A3, Ledger!$C$2:$C$4, RCP$2)),"****")</f>
        <v/>
      </c>
      <c r="RCQ3" t="str">
        <f>IFERROR(IF($C3="","",SUMIFS(Ledger!$K$2:$K$4, Ledger!$B$2:$B$4, $A3, Ledger!$C$2:$C$4, RCQ$2)),"****")</f>
        <v/>
      </c>
      <c r="RCR3" t="str">
        <f>IFERROR(IF($C3="","",SUMIFS(Ledger!$K$2:$K$4, Ledger!$B$2:$B$4, $A3, Ledger!$C$2:$C$4, RCR$2)),"****")</f>
        <v/>
      </c>
      <c r="RCS3" t="str">
        <f>IFERROR(IF($C3="","",SUMIFS(Ledger!$K$2:$K$4, Ledger!$B$2:$B$4, $A3, Ledger!$C$2:$C$4, RCS$2)),"****")</f>
        <v/>
      </c>
      <c r="RCT3" t="str">
        <f>IFERROR(IF($C3="","",SUMIFS(Ledger!$K$2:$K$4, Ledger!$B$2:$B$4, $A3, Ledger!$C$2:$C$4, RCT$2)),"****")</f>
        <v/>
      </c>
      <c r="RCU3" t="str">
        <f>IFERROR(IF($C3="","",SUMIFS(Ledger!$K$2:$K$4, Ledger!$B$2:$B$4, $A3, Ledger!$C$2:$C$4, RCU$2)),"****")</f>
        <v/>
      </c>
      <c r="RCV3" t="str">
        <f>IFERROR(IF($C3="","",SUMIFS(Ledger!$K$2:$K$4, Ledger!$B$2:$B$4, $A3, Ledger!$C$2:$C$4, RCV$2)),"****")</f>
        <v/>
      </c>
      <c r="RCW3" t="str">
        <f>IFERROR(IF($C3="","",SUMIFS(Ledger!$K$2:$K$4, Ledger!$B$2:$B$4, $A3, Ledger!$C$2:$C$4, RCW$2)),"****")</f>
        <v/>
      </c>
      <c r="RCX3" t="str">
        <f>IFERROR(IF($C3="","",SUMIFS(Ledger!$K$2:$K$4, Ledger!$B$2:$B$4, $A3, Ledger!$C$2:$C$4, RCX$2)),"****")</f>
        <v/>
      </c>
      <c r="RCY3" t="str">
        <f>IFERROR(IF($C3="","",SUMIFS(Ledger!$K$2:$K$4, Ledger!$B$2:$B$4, $A3, Ledger!$C$2:$C$4, RCY$2)),"****")</f>
        <v/>
      </c>
      <c r="RCZ3" t="str">
        <f>IFERROR(IF($C3="","",SUMIFS(Ledger!$K$2:$K$4, Ledger!$B$2:$B$4, $A3, Ledger!$C$2:$C$4, RCZ$2)),"****")</f>
        <v/>
      </c>
      <c r="RDA3" t="str">
        <f>IFERROR(IF($C3="","",SUMIFS(Ledger!$K$2:$K$4, Ledger!$B$2:$B$4, $A3, Ledger!$C$2:$C$4, RDA$2)),"****")</f>
        <v/>
      </c>
      <c r="RDB3" t="str">
        <f>IFERROR(IF($C3="","",SUMIFS(Ledger!$K$2:$K$4, Ledger!$B$2:$B$4, $A3, Ledger!$C$2:$C$4, RDB$2)),"****")</f>
        <v/>
      </c>
      <c r="RDC3" t="str">
        <f>IFERROR(IF($C3="","",SUMIFS(Ledger!$K$2:$K$4, Ledger!$B$2:$B$4, $A3, Ledger!$C$2:$C$4, RDC$2)),"****")</f>
        <v/>
      </c>
      <c r="RDD3" t="str">
        <f>IFERROR(IF($C3="","",SUMIFS(Ledger!$K$2:$K$4, Ledger!$B$2:$B$4, $A3, Ledger!$C$2:$C$4, RDD$2)),"****")</f>
        <v/>
      </c>
      <c r="RDE3" t="str">
        <f>IFERROR(IF($C3="","",SUMIFS(Ledger!$K$2:$K$4, Ledger!$B$2:$B$4, $A3, Ledger!$C$2:$C$4, RDE$2)),"****")</f>
        <v/>
      </c>
      <c r="RDF3" t="str">
        <f>IFERROR(IF($C3="","",SUMIFS(Ledger!$K$2:$K$4, Ledger!$B$2:$B$4, $A3, Ledger!$C$2:$C$4, RDF$2)),"****")</f>
        <v/>
      </c>
      <c r="RDG3" t="str">
        <f>IFERROR(IF($C3="","",SUMIFS(Ledger!$K$2:$K$4, Ledger!$B$2:$B$4, $A3, Ledger!$C$2:$C$4, RDG$2)),"****")</f>
        <v/>
      </c>
      <c r="RDH3" t="str">
        <f>IFERROR(IF($C3="","",SUMIFS(Ledger!$K$2:$K$4, Ledger!$B$2:$B$4, $A3, Ledger!$C$2:$C$4, RDH$2)),"****")</f>
        <v/>
      </c>
      <c r="RDI3" t="str">
        <f>IFERROR(IF($C3="","",SUMIFS(Ledger!$K$2:$K$4, Ledger!$B$2:$B$4, $A3, Ledger!$C$2:$C$4, RDI$2)),"****")</f>
        <v/>
      </c>
      <c r="RDJ3" t="str">
        <f>IFERROR(IF($C3="","",SUMIFS(Ledger!$K$2:$K$4, Ledger!$B$2:$B$4, $A3, Ledger!$C$2:$C$4, RDJ$2)),"****")</f>
        <v/>
      </c>
      <c r="RDK3" t="str">
        <f>IFERROR(IF($C3="","",SUMIFS(Ledger!$K$2:$K$4, Ledger!$B$2:$B$4, $A3, Ledger!$C$2:$C$4, RDK$2)),"****")</f>
        <v/>
      </c>
      <c r="RDL3" t="str">
        <f>IFERROR(IF($C3="","",SUMIFS(Ledger!$K$2:$K$4, Ledger!$B$2:$B$4, $A3, Ledger!$C$2:$C$4, RDL$2)),"****")</f>
        <v/>
      </c>
      <c r="RDM3" t="str">
        <f>IFERROR(IF($C3="","",SUMIFS(Ledger!$K$2:$K$4, Ledger!$B$2:$B$4, $A3, Ledger!$C$2:$C$4, RDM$2)),"****")</f>
        <v/>
      </c>
      <c r="RDN3" t="str">
        <f>IFERROR(IF($C3="","",SUMIFS(Ledger!$K$2:$K$4, Ledger!$B$2:$B$4, $A3, Ledger!$C$2:$C$4, RDN$2)),"****")</f>
        <v/>
      </c>
      <c r="RDO3" t="str">
        <f>IFERROR(IF($C3="","",SUMIFS(Ledger!$K$2:$K$4, Ledger!$B$2:$B$4, $A3, Ledger!$C$2:$C$4, RDO$2)),"****")</f>
        <v/>
      </c>
      <c r="RDP3" t="str">
        <f>IFERROR(IF($C3="","",SUMIFS(Ledger!$K$2:$K$4, Ledger!$B$2:$B$4, $A3, Ledger!$C$2:$C$4, RDP$2)),"****")</f>
        <v/>
      </c>
      <c r="RDQ3" t="str">
        <f>IFERROR(IF($C3="","",SUMIFS(Ledger!$K$2:$K$4, Ledger!$B$2:$B$4, $A3, Ledger!$C$2:$C$4, RDQ$2)),"****")</f>
        <v/>
      </c>
      <c r="RDR3" t="str">
        <f>IFERROR(IF($C3="","",SUMIFS(Ledger!$K$2:$K$4, Ledger!$B$2:$B$4, $A3, Ledger!$C$2:$C$4, RDR$2)),"****")</f>
        <v/>
      </c>
      <c r="RDS3" t="str">
        <f>IFERROR(IF($C3="","",SUMIFS(Ledger!$K$2:$K$4, Ledger!$B$2:$B$4, $A3, Ledger!$C$2:$C$4, RDS$2)),"****")</f>
        <v/>
      </c>
      <c r="RDT3" t="str">
        <f>IFERROR(IF($C3="","",SUMIFS(Ledger!$K$2:$K$4, Ledger!$B$2:$B$4, $A3, Ledger!$C$2:$C$4, RDT$2)),"****")</f>
        <v/>
      </c>
      <c r="RDU3" t="str">
        <f>IFERROR(IF($C3="","",SUMIFS(Ledger!$K$2:$K$4, Ledger!$B$2:$B$4, $A3, Ledger!$C$2:$C$4, RDU$2)),"****")</f>
        <v/>
      </c>
      <c r="RDV3" t="str">
        <f>IFERROR(IF($C3="","",SUMIFS(Ledger!$K$2:$K$4, Ledger!$B$2:$B$4, $A3, Ledger!$C$2:$C$4, RDV$2)),"****")</f>
        <v/>
      </c>
      <c r="RDW3" t="str">
        <f>IFERROR(IF($C3="","",SUMIFS(Ledger!$K$2:$K$4, Ledger!$B$2:$B$4, $A3, Ledger!$C$2:$C$4, RDW$2)),"****")</f>
        <v/>
      </c>
      <c r="RDX3" t="str">
        <f>IFERROR(IF($C3="","",SUMIFS(Ledger!$K$2:$K$4, Ledger!$B$2:$B$4, $A3, Ledger!$C$2:$C$4, RDX$2)),"****")</f>
        <v/>
      </c>
      <c r="RDY3" t="str">
        <f>IFERROR(IF($C3="","",SUMIFS(Ledger!$K$2:$K$4, Ledger!$B$2:$B$4, $A3, Ledger!$C$2:$C$4, RDY$2)),"****")</f>
        <v/>
      </c>
      <c r="RDZ3" t="str">
        <f>IFERROR(IF($C3="","",SUMIFS(Ledger!$K$2:$K$4, Ledger!$B$2:$B$4, $A3, Ledger!$C$2:$C$4, RDZ$2)),"****")</f>
        <v/>
      </c>
      <c r="REA3" t="str">
        <f>IFERROR(IF($C3="","",SUMIFS(Ledger!$K$2:$K$4, Ledger!$B$2:$B$4, $A3, Ledger!$C$2:$C$4, REA$2)),"****")</f>
        <v/>
      </c>
      <c r="REB3" t="str">
        <f>IFERROR(IF($C3="","",SUMIFS(Ledger!$K$2:$K$4, Ledger!$B$2:$B$4, $A3, Ledger!$C$2:$C$4, REB$2)),"****")</f>
        <v/>
      </c>
      <c r="REC3" t="str">
        <f>IFERROR(IF($C3="","",SUMIFS(Ledger!$K$2:$K$4, Ledger!$B$2:$B$4, $A3, Ledger!$C$2:$C$4, REC$2)),"****")</f>
        <v/>
      </c>
      <c r="RED3" t="str">
        <f>IFERROR(IF($C3="","",SUMIFS(Ledger!$K$2:$K$4, Ledger!$B$2:$B$4, $A3, Ledger!$C$2:$C$4, RED$2)),"****")</f>
        <v/>
      </c>
      <c r="REE3" t="str">
        <f>IFERROR(IF($C3="","",SUMIFS(Ledger!$K$2:$K$4, Ledger!$B$2:$B$4, $A3, Ledger!$C$2:$C$4, REE$2)),"****")</f>
        <v/>
      </c>
      <c r="REF3" t="str">
        <f>IFERROR(IF($C3="","",SUMIFS(Ledger!$K$2:$K$4, Ledger!$B$2:$B$4, $A3, Ledger!$C$2:$C$4, REF$2)),"****")</f>
        <v/>
      </c>
      <c r="REG3" t="str">
        <f>IFERROR(IF($C3="","",SUMIFS(Ledger!$K$2:$K$4, Ledger!$B$2:$B$4, $A3, Ledger!$C$2:$C$4, REG$2)),"****")</f>
        <v/>
      </c>
      <c r="REH3" t="str">
        <f>IFERROR(IF($C3="","",SUMIFS(Ledger!$K$2:$K$4, Ledger!$B$2:$B$4, $A3, Ledger!$C$2:$C$4, REH$2)),"****")</f>
        <v/>
      </c>
      <c r="REI3" t="str">
        <f>IFERROR(IF($C3="","",SUMIFS(Ledger!$K$2:$K$4, Ledger!$B$2:$B$4, $A3, Ledger!$C$2:$C$4, REI$2)),"****")</f>
        <v/>
      </c>
      <c r="REJ3" t="str">
        <f>IFERROR(IF($C3="","",SUMIFS(Ledger!$K$2:$K$4, Ledger!$B$2:$B$4, $A3, Ledger!$C$2:$C$4, REJ$2)),"****")</f>
        <v/>
      </c>
      <c r="REK3" t="str">
        <f>IFERROR(IF($C3="","",SUMIFS(Ledger!$K$2:$K$4, Ledger!$B$2:$B$4, $A3, Ledger!$C$2:$C$4, REK$2)),"****")</f>
        <v/>
      </c>
      <c r="REL3" t="str">
        <f>IFERROR(IF($C3="","",SUMIFS(Ledger!$K$2:$K$4, Ledger!$B$2:$B$4, $A3, Ledger!$C$2:$C$4, REL$2)),"****")</f>
        <v/>
      </c>
      <c r="REM3" t="str">
        <f>IFERROR(IF($C3="","",SUMIFS(Ledger!$K$2:$K$4, Ledger!$B$2:$B$4, $A3, Ledger!$C$2:$C$4, REM$2)),"****")</f>
        <v/>
      </c>
      <c r="REN3" t="str">
        <f>IFERROR(IF($C3="","",SUMIFS(Ledger!$K$2:$K$4, Ledger!$B$2:$B$4, $A3, Ledger!$C$2:$C$4, REN$2)),"****")</f>
        <v/>
      </c>
      <c r="REO3" t="str">
        <f>IFERROR(IF($C3="","",SUMIFS(Ledger!$K$2:$K$4, Ledger!$B$2:$B$4, $A3, Ledger!$C$2:$C$4, REO$2)),"****")</f>
        <v/>
      </c>
      <c r="REP3" t="str">
        <f>IFERROR(IF($C3="","",SUMIFS(Ledger!$K$2:$K$4, Ledger!$B$2:$B$4, $A3, Ledger!$C$2:$C$4, REP$2)),"****")</f>
        <v/>
      </c>
      <c r="REQ3" t="str">
        <f>IFERROR(IF($C3="","",SUMIFS(Ledger!$K$2:$K$4, Ledger!$B$2:$B$4, $A3, Ledger!$C$2:$C$4, REQ$2)),"****")</f>
        <v/>
      </c>
      <c r="RER3" t="str">
        <f>IFERROR(IF($C3="","",SUMIFS(Ledger!$K$2:$K$4, Ledger!$B$2:$B$4, $A3, Ledger!$C$2:$C$4, RER$2)),"****")</f>
        <v/>
      </c>
      <c r="RES3" t="str">
        <f>IFERROR(IF($C3="","",SUMIFS(Ledger!$K$2:$K$4, Ledger!$B$2:$B$4, $A3, Ledger!$C$2:$C$4, RES$2)),"****")</f>
        <v/>
      </c>
      <c r="RET3" t="str">
        <f>IFERROR(IF($C3="","",SUMIFS(Ledger!$K$2:$K$4, Ledger!$B$2:$B$4, $A3, Ledger!$C$2:$C$4, RET$2)),"****")</f>
        <v/>
      </c>
      <c r="REU3" t="str">
        <f>IFERROR(IF($C3="","",SUMIFS(Ledger!$K$2:$K$4, Ledger!$B$2:$B$4, $A3, Ledger!$C$2:$C$4, REU$2)),"****")</f>
        <v/>
      </c>
      <c r="REV3" t="str">
        <f>IFERROR(IF($C3="","",SUMIFS(Ledger!$K$2:$K$4, Ledger!$B$2:$B$4, $A3, Ledger!$C$2:$C$4, REV$2)),"****")</f>
        <v/>
      </c>
      <c r="REW3" t="str">
        <f>IFERROR(IF($C3="","",SUMIFS(Ledger!$K$2:$K$4, Ledger!$B$2:$B$4, $A3, Ledger!$C$2:$C$4, REW$2)),"****")</f>
        <v/>
      </c>
      <c r="REX3" t="str">
        <f>IFERROR(IF($C3="","",SUMIFS(Ledger!$K$2:$K$4, Ledger!$B$2:$B$4, $A3, Ledger!$C$2:$C$4, REX$2)),"****")</f>
        <v/>
      </c>
      <c r="REY3" t="str">
        <f>IFERROR(IF($C3="","",SUMIFS(Ledger!$K$2:$K$4, Ledger!$B$2:$B$4, $A3, Ledger!$C$2:$C$4, REY$2)),"****")</f>
        <v/>
      </c>
      <c r="REZ3" t="str">
        <f>IFERROR(IF($C3="","",SUMIFS(Ledger!$K$2:$K$4, Ledger!$B$2:$B$4, $A3, Ledger!$C$2:$C$4, REZ$2)),"****")</f>
        <v/>
      </c>
      <c r="RFA3" t="str">
        <f>IFERROR(IF($C3="","",SUMIFS(Ledger!$K$2:$K$4, Ledger!$B$2:$B$4, $A3, Ledger!$C$2:$C$4, RFA$2)),"****")</f>
        <v/>
      </c>
      <c r="RFB3" t="str">
        <f>IFERROR(IF($C3="","",SUMIFS(Ledger!$K$2:$K$4, Ledger!$B$2:$B$4, $A3, Ledger!$C$2:$C$4, RFB$2)),"****")</f>
        <v/>
      </c>
      <c r="RFC3" t="str">
        <f>IFERROR(IF($C3="","",SUMIFS(Ledger!$K$2:$K$4, Ledger!$B$2:$B$4, $A3, Ledger!$C$2:$C$4, RFC$2)),"****")</f>
        <v/>
      </c>
      <c r="RFD3" t="str">
        <f>IFERROR(IF($C3="","",SUMIFS(Ledger!$K$2:$K$4, Ledger!$B$2:$B$4, $A3, Ledger!$C$2:$C$4, RFD$2)),"****")</f>
        <v/>
      </c>
      <c r="RFE3" t="str">
        <f>IFERROR(IF($C3="","",SUMIFS(Ledger!$K$2:$K$4, Ledger!$B$2:$B$4, $A3, Ledger!$C$2:$C$4, RFE$2)),"****")</f>
        <v/>
      </c>
      <c r="RFF3" t="str">
        <f>IFERROR(IF($C3="","",SUMIFS(Ledger!$K$2:$K$4, Ledger!$B$2:$B$4, $A3, Ledger!$C$2:$C$4, RFF$2)),"****")</f>
        <v/>
      </c>
      <c r="RFG3" t="str">
        <f>IFERROR(IF($C3="","",SUMIFS(Ledger!$K$2:$K$4, Ledger!$B$2:$B$4, $A3, Ledger!$C$2:$C$4, RFG$2)),"****")</f>
        <v/>
      </c>
      <c r="RFH3" t="str">
        <f>IFERROR(IF($C3="","",SUMIFS(Ledger!$K$2:$K$4, Ledger!$B$2:$B$4, $A3, Ledger!$C$2:$C$4, RFH$2)),"****")</f>
        <v/>
      </c>
      <c r="RFI3" t="str">
        <f>IFERROR(IF($C3="","",SUMIFS(Ledger!$K$2:$K$4, Ledger!$B$2:$B$4, $A3, Ledger!$C$2:$C$4, RFI$2)),"****")</f>
        <v/>
      </c>
      <c r="RFJ3" t="str">
        <f>IFERROR(IF($C3="","",SUMIFS(Ledger!$K$2:$K$4, Ledger!$B$2:$B$4, $A3, Ledger!$C$2:$C$4, RFJ$2)),"****")</f>
        <v/>
      </c>
      <c r="RFK3" t="str">
        <f>IFERROR(IF($C3="","",SUMIFS(Ledger!$K$2:$K$4, Ledger!$B$2:$B$4, $A3, Ledger!$C$2:$C$4, RFK$2)),"****")</f>
        <v/>
      </c>
      <c r="RFL3" t="str">
        <f>IFERROR(IF($C3="","",SUMIFS(Ledger!$K$2:$K$4, Ledger!$B$2:$B$4, $A3, Ledger!$C$2:$C$4, RFL$2)),"****")</f>
        <v/>
      </c>
      <c r="RFM3" t="str">
        <f>IFERROR(IF($C3="","",SUMIFS(Ledger!$K$2:$K$4, Ledger!$B$2:$B$4, $A3, Ledger!$C$2:$C$4, RFM$2)),"****")</f>
        <v/>
      </c>
      <c r="RFN3" t="str">
        <f>IFERROR(IF($C3="","",SUMIFS(Ledger!$K$2:$K$4, Ledger!$B$2:$B$4, $A3, Ledger!$C$2:$C$4, RFN$2)),"****")</f>
        <v/>
      </c>
      <c r="RFO3" t="str">
        <f>IFERROR(IF($C3="","",SUMIFS(Ledger!$K$2:$K$4, Ledger!$B$2:$B$4, $A3, Ledger!$C$2:$C$4, RFO$2)),"****")</f>
        <v/>
      </c>
      <c r="RFP3" t="str">
        <f>IFERROR(IF($C3="","",SUMIFS(Ledger!$K$2:$K$4, Ledger!$B$2:$B$4, $A3, Ledger!$C$2:$C$4, RFP$2)),"****")</f>
        <v/>
      </c>
      <c r="RFQ3" t="str">
        <f>IFERROR(IF($C3="","",SUMIFS(Ledger!$K$2:$K$4, Ledger!$B$2:$B$4, $A3, Ledger!$C$2:$C$4, RFQ$2)),"****")</f>
        <v/>
      </c>
      <c r="RFR3" t="str">
        <f>IFERROR(IF($C3="","",SUMIFS(Ledger!$K$2:$K$4, Ledger!$B$2:$B$4, $A3, Ledger!$C$2:$C$4, RFR$2)),"****")</f>
        <v/>
      </c>
      <c r="RFS3" t="str">
        <f>IFERROR(IF($C3="","",SUMIFS(Ledger!$K$2:$K$4, Ledger!$B$2:$B$4, $A3, Ledger!$C$2:$C$4, RFS$2)),"****")</f>
        <v/>
      </c>
      <c r="RFT3" t="str">
        <f>IFERROR(IF($C3="","",SUMIFS(Ledger!$K$2:$K$4, Ledger!$B$2:$B$4, $A3, Ledger!$C$2:$C$4, RFT$2)),"****")</f>
        <v/>
      </c>
      <c r="RFU3" t="str">
        <f>IFERROR(IF($C3="","",SUMIFS(Ledger!$K$2:$K$4, Ledger!$B$2:$B$4, $A3, Ledger!$C$2:$C$4, RFU$2)),"****")</f>
        <v/>
      </c>
      <c r="RFV3" t="str">
        <f>IFERROR(IF($C3="","",SUMIFS(Ledger!$K$2:$K$4, Ledger!$B$2:$B$4, $A3, Ledger!$C$2:$C$4, RFV$2)),"****")</f>
        <v/>
      </c>
      <c r="RFW3" t="str">
        <f>IFERROR(IF($C3="","",SUMIFS(Ledger!$K$2:$K$4, Ledger!$B$2:$B$4, $A3, Ledger!$C$2:$C$4, RFW$2)),"****")</f>
        <v/>
      </c>
      <c r="RFX3" t="str">
        <f>IFERROR(IF($C3="","",SUMIFS(Ledger!$K$2:$K$4, Ledger!$B$2:$B$4, $A3, Ledger!$C$2:$C$4, RFX$2)),"****")</f>
        <v/>
      </c>
      <c r="RFY3" t="str">
        <f>IFERROR(IF($C3="","",SUMIFS(Ledger!$K$2:$K$4, Ledger!$B$2:$B$4, $A3, Ledger!$C$2:$C$4, RFY$2)),"****")</f>
        <v/>
      </c>
      <c r="RFZ3" t="str">
        <f>IFERROR(IF($C3="","",SUMIFS(Ledger!$K$2:$K$4, Ledger!$B$2:$B$4, $A3, Ledger!$C$2:$C$4, RFZ$2)),"****")</f>
        <v/>
      </c>
      <c r="RGA3" t="str">
        <f>IFERROR(IF($C3="","",SUMIFS(Ledger!$K$2:$K$4, Ledger!$B$2:$B$4, $A3, Ledger!$C$2:$C$4, RGA$2)),"****")</f>
        <v/>
      </c>
      <c r="RGB3" t="str">
        <f>IFERROR(IF($C3="","",SUMIFS(Ledger!$K$2:$K$4, Ledger!$B$2:$B$4, $A3, Ledger!$C$2:$C$4, RGB$2)),"****")</f>
        <v/>
      </c>
      <c r="RGC3" t="str">
        <f>IFERROR(IF($C3="","",SUMIFS(Ledger!$K$2:$K$4, Ledger!$B$2:$B$4, $A3, Ledger!$C$2:$C$4, RGC$2)),"****")</f>
        <v/>
      </c>
      <c r="RGD3" t="str">
        <f>IFERROR(IF($C3="","",SUMIFS(Ledger!$K$2:$K$4, Ledger!$B$2:$B$4, $A3, Ledger!$C$2:$C$4, RGD$2)),"****")</f>
        <v/>
      </c>
      <c r="RGE3" t="str">
        <f>IFERROR(IF($C3="","",SUMIFS(Ledger!$K$2:$K$4, Ledger!$B$2:$B$4, $A3, Ledger!$C$2:$C$4, RGE$2)),"****")</f>
        <v/>
      </c>
      <c r="RGF3" t="str">
        <f>IFERROR(IF($C3="","",SUMIFS(Ledger!$K$2:$K$4, Ledger!$B$2:$B$4, $A3, Ledger!$C$2:$C$4, RGF$2)),"****")</f>
        <v/>
      </c>
      <c r="RGG3" t="str">
        <f>IFERROR(IF($C3="","",SUMIFS(Ledger!$K$2:$K$4, Ledger!$B$2:$B$4, $A3, Ledger!$C$2:$C$4, RGG$2)),"****")</f>
        <v/>
      </c>
      <c r="RGH3" t="str">
        <f>IFERROR(IF($C3="","",SUMIFS(Ledger!$K$2:$K$4, Ledger!$B$2:$B$4, $A3, Ledger!$C$2:$C$4, RGH$2)),"****")</f>
        <v/>
      </c>
      <c r="RGI3" t="str">
        <f>IFERROR(IF($C3="","",SUMIFS(Ledger!$K$2:$K$4, Ledger!$B$2:$B$4, $A3, Ledger!$C$2:$C$4, RGI$2)),"****")</f>
        <v/>
      </c>
      <c r="RGJ3" t="str">
        <f>IFERROR(IF($C3="","",SUMIFS(Ledger!$K$2:$K$4, Ledger!$B$2:$B$4, $A3, Ledger!$C$2:$C$4, RGJ$2)),"****")</f>
        <v/>
      </c>
      <c r="RGK3" t="str">
        <f>IFERROR(IF($C3="","",SUMIFS(Ledger!$K$2:$K$4, Ledger!$B$2:$B$4, $A3, Ledger!$C$2:$C$4, RGK$2)),"****")</f>
        <v/>
      </c>
      <c r="RGL3" t="str">
        <f>IFERROR(IF($C3="","",SUMIFS(Ledger!$K$2:$K$4, Ledger!$B$2:$B$4, $A3, Ledger!$C$2:$C$4, RGL$2)),"****")</f>
        <v/>
      </c>
      <c r="RGM3" t="str">
        <f>IFERROR(IF($C3="","",SUMIFS(Ledger!$K$2:$K$4, Ledger!$B$2:$B$4, $A3, Ledger!$C$2:$C$4, RGM$2)),"****")</f>
        <v/>
      </c>
      <c r="RGN3" t="str">
        <f>IFERROR(IF($C3="","",SUMIFS(Ledger!$K$2:$K$4, Ledger!$B$2:$B$4, $A3, Ledger!$C$2:$C$4, RGN$2)),"****")</f>
        <v/>
      </c>
      <c r="RGO3" t="str">
        <f>IFERROR(IF($C3="","",SUMIFS(Ledger!$K$2:$K$4, Ledger!$B$2:$B$4, $A3, Ledger!$C$2:$C$4, RGO$2)),"****")</f>
        <v/>
      </c>
      <c r="RGP3" t="str">
        <f>IFERROR(IF($C3="","",SUMIFS(Ledger!$K$2:$K$4, Ledger!$B$2:$B$4, $A3, Ledger!$C$2:$C$4, RGP$2)),"****")</f>
        <v/>
      </c>
      <c r="RGQ3" t="str">
        <f>IFERROR(IF($C3="","",SUMIFS(Ledger!$K$2:$K$4, Ledger!$B$2:$B$4, $A3, Ledger!$C$2:$C$4, RGQ$2)),"****")</f>
        <v/>
      </c>
      <c r="RGR3" t="str">
        <f>IFERROR(IF($C3="","",SUMIFS(Ledger!$K$2:$K$4, Ledger!$B$2:$B$4, $A3, Ledger!$C$2:$C$4, RGR$2)),"****")</f>
        <v/>
      </c>
      <c r="RGS3" t="str">
        <f>IFERROR(IF($C3="","",SUMIFS(Ledger!$K$2:$K$4, Ledger!$B$2:$B$4, $A3, Ledger!$C$2:$C$4, RGS$2)),"****")</f>
        <v/>
      </c>
      <c r="RGT3" t="str">
        <f>IFERROR(IF($C3="","",SUMIFS(Ledger!$K$2:$K$4, Ledger!$B$2:$B$4, $A3, Ledger!$C$2:$C$4, RGT$2)),"****")</f>
        <v/>
      </c>
      <c r="RGU3" t="str">
        <f>IFERROR(IF($C3="","",SUMIFS(Ledger!$K$2:$K$4, Ledger!$B$2:$B$4, $A3, Ledger!$C$2:$C$4, RGU$2)),"****")</f>
        <v/>
      </c>
      <c r="RGV3" t="str">
        <f>IFERROR(IF($C3="","",SUMIFS(Ledger!$K$2:$K$4, Ledger!$B$2:$B$4, $A3, Ledger!$C$2:$C$4, RGV$2)),"****")</f>
        <v/>
      </c>
      <c r="RGW3" t="str">
        <f>IFERROR(IF($C3="","",SUMIFS(Ledger!$K$2:$K$4, Ledger!$B$2:$B$4, $A3, Ledger!$C$2:$C$4, RGW$2)),"****")</f>
        <v/>
      </c>
      <c r="RGX3" t="str">
        <f>IFERROR(IF($C3="","",SUMIFS(Ledger!$K$2:$K$4, Ledger!$B$2:$B$4, $A3, Ledger!$C$2:$C$4, RGX$2)),"****")</f>
        <v/>
      </c>
      <c r="RGY3" t="str">
        <f>IFERROR(IF($C3="","",SUMIFS(Ledger!$K$2:$K$4, Ledger!$B$2:$B$4, $A3, Ledger!$C$2:$C$4, RGY$2)),"****")</f>
        <v/>
      </c>
      <c r="RGZ3" t="str">
        <f>IFERROR(IF($C3="","",SUMIFS(Ledger!$K$2:$K$4, Ledger!$B$2:$B$4, $A3, Ledger!$C$2:$C$4, RGZ$2)),"****")</f>
        <v/>
      </c>
      <c r="RHA3" t="str">
        <f>IFERROR(IF($C3="","",SUMIFS(Ledger!$K$2:$K$4, Ledger!$B$2:$B$4, $A3, Ledger!$C$2:$C$4, RHA$2)),"****")</f>
        <v/>
      </c>
      <c r="RHB3" t="str">
        <f>IFERROR(IF($C3="","",SUMIFS(Ledger!$K$2:$K$4, Ledger!$B$2:$B$4, $A3, Ledger!$C$2:$C$4, RHB$2)),"****")</f>
        <v/>
      </c>
      <c r="RHC3" t="str">
        <f>IFERROR(IF($C3="","",SUMIFS(Ledger!$K$2:$K$4, Ledger!$B$2:$B$4, $A3, Ledger!$C$2:$C$4, RHC$2)),"****")</f>
        <v/>
      </c>
      <c r="RHD3" t="str">
        <f>IFERROR(IF($C3="","",SUMIFS(Ledger!$K$2:$K$4, Ledger!$B$2:$B$4, $A3, Ledger!$C$2:$C$4, RHD$2)),"****")</f>
        <v/>
      </c>
      <c r="RHE3" t="str">
        <f>IFERROR(IF($C3="","",SUMIFS(Ledger!$K$2:$K$4, Ledger!$B$2:$B$4, $A3, Ledger!$C$2:$C$4, RHE$2)),"****")</f>
        <v/>
      </c>
      <c r="RHF3" t="str">
        <f>IFERROR(IF($C3="","",SUMIFS(Ledger!$K$2:$K$4, Ledger!$B$2:$B$4, $A3, Ledger!$C$2:$C$4, RHF$2)),"****")</f>
        <v/>
      </c>
      <c r="RHG3" t="str">
        <f>IFERROR(IF($C3="","",SUMIFS(Ledger!$K$2:$K$4, Ledger!$B$2:$B$4, $A3, Ledger!$C$2:$C$4, RHG$2)),"****")</f>
        <v/>
      </c>
      <c r="RHH3" t="str">
        <f>IFERROR(IF($C3="","",SUMIFS(Ledger!$K$2:$K$4, Ledger!$B$2:$B$4, $A3, Ledger!$C$2:$C$4, RHH$2)),"****")</f>
        <v/>
      </c>
      <c r="RHI3" t="str">
        <f>IFERROR(IF($C3="","",SUMIFS(Ledger!$K$2:$K$4, Ledger!$B$2:$B$4, $A3, Ledger!$C$2:$C$4, RHI$2)),"****")</f>
        <v/>
      </c>
      <c r="RHJ3" t="str">
        <f>IFERROR(IF($C3="","",SUMIFS(Ledger!$K$2:$K$4, Ledger!$B$2:$B$4, $A3, Ledger!$C$2:$C$4, RHJ$2)),"****")</f>
        <v/>
      </c>
      <c r="RHK3" t="str">
        <f>IFERROR(IF($C3="","",SUMIFS(Ledger!$K$2:$K$4, Ledger!$B$2:$B$4, $A3, Ledger!$C$2:$C$4, RHK$2)),"****")</f>
        <v/>
      </c>
      <c r="RHL3" t="str">
        <f>IFERROR(IF($C3="","",SUMIFS(Ledger!$K$2:$K$4, Ledger!$B$2:$B$4, $A3, Ledger!$C$2:$C$4, RHL$2)),"****")</f>
        <v/>
      </c>
      <c r="RHM3" t="str">
        <f>IFERROR(IF($C3="","",SUMIFS(Ledger!$K$2:$K$4, Ledger!$B$2:$B$4, $A3, Ledger!$C$2:$C$4, RHM$2)),"****")</f>
        <v/>
      </c>
      <c r="RHN3" t="str">
        <f>IFERROR(IF($C3="","",SUMIFS(Ledger!$K$2:$K$4, Ledger!$B$2:$B$4, $A3, Ledger!$C$2:$C$4, RHN$2)),"****")</f>
        <v/>
      </c>
      <c r="RHO3" t="str">
        <f>IFERROR(IF($C3="","",SUMIFS(Ledger!$K$2:$K$4, Ledger!$B$2:$B$4, $A3, Ledger!$C$2:$C$4, RHO$2)),"****")</f>
        <v/>
      </c>
      <c r="RHP3" t="str">
        <f>IFERROR(IF($C3="","",SUMIFS(Ledger!$K$2:$K$4, Ledger!$B$2:$B$4, $A3, Ledger!$C$2:$C$4, RHP$2)),"****")</f>
        <v/>
      </c>
      <c r="RHQ3" t="str">
        <f>IFERROR(IF($C3="","",SUMIFS(Ledger!$K$2:$K$4, Ledger!$B$2:$B$4, $A3, Ledger!$C$2:$C$4, RHQ$2)),"****")</f>
        <v/>
      </c>
      <c r="RHR3" t="str">
        <f>IFERROR(IF($C3="","",SUMIFS(Ledger!$K$2:$K$4, Ledger!$B$2:$B$4, $A3, Ledger!$C$2:$C$4, RHR$2)),"****")</f>
        <v/>
      </c>
      <c r="RHS3" t="str">
        <f>IFERROR(IF($C3="","",SUMIFS(Ledger!$K$2:$K$4, Ledger!$B$2:$B$4, $A3, Ledger!$C$2:$C$4, RHS$2)),"****")</f>
        <v/>
      </c>
      <c r="RHT3" t="str">
        <f>IFERROR(IF($C3="","",SUMIFS(Ledger!$K$2:$K$4, Ledger!$B$2:$B$4, $A3, Ledger!$C$2:$C$4, RHT$2)),"****")</f>
        <v/>
      </c>
      <c r="RHU3" t="str">
        <f>IFERROR(IF($C3="","",SUMIFS(Ledger!$K$2:$K$4, Ledger!$B$2:$B$4, $A3, Ledger!$C$2:$C$4, RHU$2)),"****")</f>
        <v/>
      </c>
      <c r="RHV3" t="str">
        <f>IFERROR(IF($C3="","",SUMIFS(Ledger!$K$2:$K$4, Ledger!$B$2:$B$4, $A3, Ledger!$C$2:$C$4, RHV$2)),"****")</f>
        <v/>
      </c>
      <c r="RHW3" t="str">
        <f>IFERROR(IF($C3="","",SUMIFS(Ledger!$K$2:$K$4, Ledger!$B$2:$B$4, $A3, Ledger!$C$2:$C$4, RHW$2)),"****")</f>
        <v/>
      </c>
      <c r="RHX3" t="str">
        <f>IFERROR(IF($C3="","",SUMIFS(Ledger!$K$2:$K$4, Ledger!$B$2:$B$4, $A3, Ledger!$C$2:$C$4, RHX$2)),"****")</f>
        <v/>
      </c>
      <c r="RHY3" t="str">
        <f>IFERROR(IF($C3="","",SUMIFS(Ledger!$K$2:$K$4, Ledger!$B$2:$B$4, $A3, Ledger!$C$2:$C$4, RHY$2)),"****")</f>
        <v/>
      </c>
      <c r="RHZ3" t="str">
        <f>IFERROR(IF($C3="","",SUMIFS(Ledger!$K$2:$K$4, Ledger!$B$2:$B$4, $A3, Ledger!$C$2:$C$4, RHZ$2)),"****")</f>
        <v/>
      </c>
      <c r="RIA3" t="str">
        <f>IFERROR(IF($C3="","",SUMIFS(Ledger!$K$2:$K$4, Ledger!$B$2:$B$4, $A3, Ledger!$C$2:$C$4, RIA$2)),"****")</f>
        <v/>
      </c>
      <c r="RIB3" t="str">
        <f>IFERROR(IF($C3="","",SUMIFS(Ledger!$K$2:$K$4, Ledger!$B$2:$B$4, $A3, Ledger!$C$2:$C$4, RIB$2)),"****")</f>
        <v/>
      </c>
      <c r="RIC3" t="str">
        <f>IFERROR(IF($C3="","",SUMIFS(Ledger!$K$2:$K$4, Ledger!$B$2:$B$4, $A3, Ledger!$C$2:$C$4, RIC$2)),"****")</f>
        <v/>
      </c>
      <c r="RID3" t="str">
        <f>IFERROR(IF($C3="","",SUMIFS(Ledger!$K$2:$K$4, Ledger!$B$2:$B$4, $A3, Ledger!$C$2:$C$4, RID$2)),"****")</f>
        <v/>
      </c>
      <c r="RIE3" t="str">
        <f>IFERROR(IF($C3="","",SUMIFS(Ledger!$K$2:$K$4, Ledger!$B$2:$B$4, $A3, Ledger!$C$2:$C$4, RIE$2)),"****")</f>
        <v/>
      </c>
      <c r="RIF3" t="str">
        <f>IFERROR(IF($C3="","",SUMIFS(Ledger!$K$2:$K$4, Ledger!$B$2:$B$4, $A3, Ledger!$C$2:$C$4, RIF$2)),"****")</f>
        <v/>
      </c>
      <c r="RIG3" t="str">
        <f>IFERROR(IF($C3="","",SUMIFS(Ledger!$K$2:$K$4, Ledger!$B$2:$B$4, $A3, Ledger!$C$2:$C$4, RIG$2)),"****")</f>
        <v/>
      </c>
      <c r="RIH3" t="str">
        <f>IFERROR(IF($C3="","",SUMIFS(Ledger!$K$2:$K$4, Ledger!$B$2:$B$4, $A3, Ledger!$C$2:$C$4, RIH$2)),"****")</f>
        <v/>
      </c>
      <c r="RII3" t="str">
        <f>IFERROR(IF($C3="","",SUMIFS(Ledger!$K$2:$K$4, Ledger!$B$2:$B$4, $A3, Ledger!$C$2:$C$4, RII$2)),"****")</f>
        <v/>
      </c>
      <c r="RIJ3" t="str">
        <f>IFERROR(IF($C3="","",SUMIFS(Ledger!$K$2:$K$4, Ledger!$B$2:$B$4, $A3, Ledger!$C$2:$C$4, RIJ$2)),"****")</f>
        <v/>
      </c>
      <c r="RIK3" t="str">
        <f>IFERROR(IF($C3="","",SUMIFS(Ledger!$K$2:$K$4, Ledger!$B$2:$B$4, $A3, Ledger!$C$2:$C$4, RIK$2)),"****")</f>
        <v/>
      </c>
      <c r="RIL3" t="str">
        <f>IFERROR(IF($C3="","",SUMIFS(Ledger!$K$2:$K$4, Ledger!$B$2:$B$4, $A3, Ledger!$C$2:$C$4, RIL$2)),"****")</f>
        <v/>
      </c>
      <c r="RIM3" t="str">
        <f>IFERROR(IF($C3="","",SUMIFS(Ledger!$K$2:$K$4, Ledger!$B$2:$B$4, $A3, Ledger!$C$2:$C$4, RIM$2)),"****")</f>
        <v/>
      </c>
      <c r="RIN3" t="str">
        <f>IFERROR(IF($C3="","",SUMIFS(Ledger!$K$2:$K$4, Ledger!$B$2:$B$4, $A3, Ledger!$C$2:$C$4, RIN$2)),"****")</f>
        <v/>
      </c>
      <c r="RIO3" t="str">
        <f>IFERROR(IF($C3="","",SUMIFS(Ledger!$K$2:$K$4, Ledger!$B$2:$B$4, $A3, Ledger!$C$2:$C$4, RIO$2)),"****")</f>
        <v/>
      </c>
      <c r="RIP3" t="str">
        <f>IFERROR(IF($C3="","",SUMIFS(Ledger!$K$2:$K$4, Ledger!$B$2:$B$4, $A3, Ledger!$C$2:$C$4, RIP$2)),"****")</f>
        <v/>
      </c>
      <c r="RIQ3" t="str">
        <f>IFERROR(IF($C3="","",SUMIFS(Ledger!$K$2:$K$4, Ledger!$B$2:$B$4, $A3, Ledger!$C$2:$C$4, RIQ$2)),"****")</f>
        <v/>
      </c>
      <c r="RIR3" t="str">
        <f>IFERROR(IF($C3="","",SUMIFS(Ledger!$K$2:$K$4, Ledger!$B$2:$B$4, $A3, Ledger!$C$2:$C$4, RIR$2)),"****")</f>
        <v/>
      </c>
      <c r="RIS3" t="str">
        <f>IFERROR(IF($C3="","",SUMIFS(Ledger!$K$2:$K$4, Ledger!$B$2:$B$4, $A3, Ledger!$C$2:$C$4, RIS$2)),"****")</f>
        <v/>
      </c>
      <c r="RIT3" t="str">
        <f>IFERROR(IF($C3="","",SUMIFS(Ledger!$K$2:$K$4, Ledger!$B$2:$B$4, $A3, Ledger!$C$2:$C$4, RIT$2)),"****")</f>
        <v/>
      </c>
      <c r="RIU3" t="str">
        <f>IFERROR(IF($C3="","",SUMIFS(Ledger!$K$2:$K$4, Ledger!$B$2:$B$4, $A3, Ledger!$C$2:$C$4, RIU$2)),"****")</f>
        <v/>
      </c>
      <c r="RIV3" t="str">
        <f>IFERROR(IF($C3="","",SUMIFS(Ledger!$K$2:$K$4, Ledger!$B$2:$B$4, $A3, Ledger!$C$2:$C$4, RIV$2)),"****")</f>
        <v/>
      </c>
      <c r="RIW3" t="str">
        <f>IFERROR(IF($C3="","",SUMIFS(Ledger!$K$2:$K$4, Ledger!$B$2:$B$4, $A3, Ledger!$C$2:$C$4, RIW$2)),"****")</f>
        <v/>
      </c>
      <c r="RIX3" t="str">
        <f>IFERROR(IF($C3="","",SUMIFS(Ledger!$K$2:$K$4, Ledger!$B$2:$B$4, $A3, Ledger!$C$2:$C$4, RIX$2)),"****")</f>
        <v/>
      </c>
      <c r="RIY3" t="str">
        <f>IFERROR(IF($C3="","",SUMIFS(Ledger!$K$2:$K$4, Ledger!$B$2:$B$4, $A3, Ledger!$C$2:$C$4, RIY$2)),"****")</f>
        <v/>
      </c>
      <c r="RIZ3" t="str">
        <f>IFERROR(IF($C3="","",SUMIFS(Ledger!$K$2:$K$4, Ledger!$B$2:$B$4, $A3, Ledger!$C$2:$C$4, RIZ$2)),"****")</f>
        <v/>
      </c>
      <c r="RJA3" t="str">
        <f>IFERROR(IF($C3="","",SUMIFS(Ledger!$K$2:$K$4, Ledger!$B$2:$B$4, $A3, Ledger!$C$2:$C$4, RJA$2)),"****")</f>
        <v/>
      </c>
      <c r="RJB3" t="str">
        <f>IFERROR(IF($C3="","",SUMIFS(Ledger!$K$2:$K$4, Ledger!$B$2:$B$4, $A3, Ledger!$C$2:$C$4, RJB$2)),"****")</f>
        <v/>
      </c>
      <c r="RJC3" t="str">
        <f>IFERROR(IF($C3="","",SUMIFS(Ledger!$K$2:$K$4, Ledger!$B$2:$B$4, $A3, Ledger!$C$2:$C$4, RJC$2)),"****")</f>
        <v/>
      </c>
      <c r="RJD3" t="str">
        <f>IFERROR(IF($C3="","",SUMIFS(Ledger!$K$2:$K$4, Ledger!$B$2:$B$4, $A3, Ledger!$C$2:$C$4, RJD$2)),"****")</f>
        <v/>
      </c>
      <c r="RJE3" t="str">
        <f>IFERROR(IF($C3="","",SUMIFS(Ledger!$K$2:$K$4, Ledger!$B$2:$B$4, $A3, Ledger!$C$2:$C$4, RJE$2)),"****")</f>
        <v/>
      </c>
      <c r="RJF3" t="str">
        <f>IFERROR(IF($C3="","",SUMIFS(Ledger!$K$2:$K$4, Ledger!$B$2:$B$4, $A3, Ledger!$C$2:$C$4, RJF$2)),"****")</f>
        <v/>
      </c>
      <c r="RJG3" t="str">
        <f>IFERROR(IF($C3="","",SUMIFS(Ledger!$K$2:$K$4, Ledger!$B$2:$B$4, $A3, Ledger!$C$2:$C$4, RJG$2)),"****")</f>
        <v/>
      </c>
      <c r="RJH3" t="str">
        <f>IFERROR(IF($C3="","",SUMIFS(Ledger!$K$2:$K$4, Ledger!$B$2:$B$4, $A3, Ledger!$C$2:$C$4, RJH$2)),"****")</f>
        <v/>
      </c>
      <c r="RJI3" t="str">
        <f>IFERROR(IF($C3="","",SUMIFS(Ledger!$K$2:$K$4, Ledger!$B$2:$B$4, $A3, Ledger!$C$2:$C$4, RJI$2)),"****")</f>
        <v/>
      </c>
      <c r="RJJ3" t="str">
        <f>IFERROR(IF($C3="","",SUMIFS(Ledger!$K$2:$K$4, Ledger!$B$2:$B$4, $A3, Ledger!$C$2:$C$4, RJJ$2)),"****")</f>
        <v/>
      </c>
      <c r="RJK3" t="str">
        <f>IFERROR(IF($C3="","",SUMIFS(Ledger!$K$2:$K$4, Ledger!$B$2:$B$4, $A3, Ledger!$C$2:$C$4, RJK$2)),"****")</f>
        <v/>
      </c>
      <c r="RJL3" t="str">
        <f>IFERROR(IF($C3="","",SUMIFS(Ledger!$K$2:$K$4, Ledger!$B$2:$B$4, $A3, Ledger!$C$2:$C$4, RJL$2)),"****")</f>
        <v/>
      </c>
      <c r="RJM3" t="str">
        <f>IFERROR(IF($C3="","",SUMIFS(Ledger!$K$2:$K$4, Ledger!$B$2:$B$4, $A3, Ledger!$C$2:$C$4, RJM$2)),"****")</f>
        <v/>
      </c>
      <c r="RJN3" t="str">
        <f>IFERROR(IF($C3="","",SUMIFS(Ledger!$K$2:$K$4, Ledger!$B$2:$B$4, $A3, Ledger!$C$2:$C$4, RJN$2)),"****")</f>
        <v/>
      </c>
      <c r="RJO3" t="str">
        <f>IFERROR(IF($C3="","",SUMIFS(Ledger!$K$2:$K$4, Ledger!$B$2:$B$4, $A3, Ledger!$C$2:$C$4, RJO$2)),"****")</f>
        <v/>
      </c>
      <c r="RJP3" t="str">
        <f>IFERROR(IF($C3="","",SUMIFS(Ledger!$K$2:$K$4, Ledger!$B$2:$B$4, $A3, Ledger!$C$2:$C$4, RJP$2)),"****")</f>
        <v/>
      </c>
      <c r="RJQ3" t="str">
        <f>IFERROR(IF($C3="","",SUMIFS(Ledger!$K$2:$K$4, Ledger!$B$2:$B$4, $A3, Ledger!$C$2:$C$4, RJQ$2)),"****")</f>
        <v/>
      </c>
      <c r="RJR3" t="str">
        <f>IFERROR(IF($C3="","",SUMIFS(Ledger!$K$2:$K$4, Ledger!$B$2:$B$4, $A3, Ledger!$C$2:$C$4, RJR$2)),"****")</f>
        <v/>
      </c>
      <c r="RJS3" t="str">
        <f>IFERROR(IF($C3="","",SUMIFS(Ledger!$K$2:$K$4, Ledger!$B$2:$B$4, $A3, Ledger!$C$2:$C$4, RJS$2)),"****")</f>
        <v/>
      </c>
      <c r="RJT3" t="str">
        <f>IFERROR(IF($C3="","",SUMIFS(Ledger!$K$2:$K$4, Ledger!$B$2:$B$4, $A3, Ledger!$C$2:$C$4, RJT$2)),"****")</f>
        <v/>
      </c>
      <c r="RJU3" t="str">
        <f>IFERROR(IF($C3="","",SUMIFS(Ledger!$K$2:$K$4, Ledger!$B$2:$B$4, $A3, Ledger!$C$2:$C$4, RJU$2)),"****")</f>
        <v/>
      </c>
      <c r="RJV3" t="str">
        <f>IFERROR(IF($C3="","",SUMIFS(Ledger!$K$2:$K$4, Ledger!$B$2:$B$4, $A3, Ledger!$C$2:$C$4, RJV$2)),"****")</f>
        <v/>
      </c>
      <c r="RJW3" t="str">
        <f>IFERROR(IF($C3="","",SUMIFS(Ledger!$K$2:$K$4, Ledger!$B$2:$B$4, $A3, Ledger!$C$2:$C$4, RJW$2)),"****")</f>
        <v/>
      </c>
      <c r="RJX3" t="str">
        <f>IFERROR(IF($C3="","",SUMIFS(Ledger!$K$2:$K$4, Ledger!$B$2:$B$4, $A3, Ledger!$C$2:$C$4, RJX$2)),"****")</f>
        <v/>
      </c>
      <c r="RJY3" t="str">
        <f>IFERROR(IF($C3="","",SUMIFS(Ledger!$K$2:$K$4, Ledger!$B$2:$B$4, $A3, Ledger!$C$2:$C$4, RJY$2)),"****")</f>
        <v/>
      </c>
      <c r="RJZ3" t="str">
        <f>IFERROR(IF($C3="","",SUMIFS(Ledger!$K$2:$K$4, Ledger!$B$2:$B$4, $A3, Ledger!$C$2:$C$4, RJZ$2)),"****")</f>
        <v/>
      </c>
      <c r="RKA3" t="str">
        <f>IFERROR(IF($C3="","",SUMIFS(Ledger!$K$2:$K$4, Ledger!$B$2:$B$4, $A3, Ledger!$C$2:$C$4, RKA$2)),"****")</f>
        <v/>
      </c>
      <c r="RKB3" t="str">
        <f>IFERROR(IF($C3="","",SUMIFS(Ledger!$K$2:$K$4, Ledger!$B$2:$B$4, $A3, Ledger!$C$2:$C$4, RKB$2)),"****")</f>
        <v/>
      </c>
      <c r="RKC3" t="str">
        <f>IFERROR(IF($C3="","",SUMIFS(Ledger!$K$2:$K$4, Ledger!$B$2:$B$4, $A3, Ledger!$C$2:$C$4, RKC$2)),"****")</f>
        <v/>
      </c>
      <c r="RKD3" t="str">
        <f>IFERROR(IF($C3="","",SUMIFS(Ledger!$K$2:$K$4, Ledger!$B$2:$B$4, $A3, Ledger!$C$2:$C$4, RKD$2)),"****")</f>
        <v/>
      </c>
      <c r="RKE3" t="str">
        <f>IFERROR(IF($C3="","",SUMIFS(Ledger!$K$2:$K$4, Ledger!$B$2:$B$4, $A3, Ledger!$C$2:$C$4, RKE$2)),"****")</f>
        <v/>
      </c>
      <c r="RKF3" t="str">
        <f>IFERROR(IF($C3="","",SUMIFS(Ledger!$K$2:$K$4, Ledger!$B$2:$B$4, $A3, Ledger!$C$2:$C$4, RKF$2)),"****")</f>
        <v/>
      </c>
      <c r="RKG3" t="str">
        <f>IFERROR(IF($C3="","",SUMIFS(Ledger!$K$2:$K$4, Ledger!$B$2:$B$4, $A3, Ledger!$C$2:$C$4, RKG$2)),"****")</f>
        <v/>
      </c>
      <c r="RKH3" t="str">
        <f>IFERROR(IF($C3="","",SUMIFS(Ledger!$K$2:$K$4, Ledger!$B$2:$B$4, $A3, Ledger!$C$2:$C$4, RKH$2)),"****")</f>
        <v/>
      </c>
      <c r="RKI3" t="str">
        <f>IFERROR(IF($C3="","",SUMIFS(Ledger!$K$2:$K$4, Ledger!$B$2:$B$4, $A3, Ledger!$C$2:$C$4, RKI$2)),"****")</f>
        <v/>
      </c>
      <c r="RKJ3" t="str">
        <f>IFERROR(IF($C3="","",SUMIFS(Ledger!$K$2:$K$4, Ledger!$B$2:$B$4, $A3, Ledger!$C$2:$C$4, RKJ$2)),"****")</f>
        <v/>
      </c>
      <c r="RKK3" t="str">
        <f>IFERROR(IF($C3="","",SUMIFS(Ledger!$K$2:$K$4, Ledger!$B$2:$B$4, $A3, Ledger!$C$2:$C$4, RKK$2)),"****")</f>
        <v/>
      </c>
      <c r="RKL3" t="str">
        <f>IFERROR(IF($C3="","",SUMIFS(Ledger!$K$2:$K$4, Ledger!$B$2:$B$4, $A3, Ledger!$C$2:$C$4, RKL$2)),"****")</f>
        <v/>
      </c>
      <c r="RKM3" t="str">
        <f>IFERROR(IF($C3="","",SUMIFS(Ledger!$K$2:$K$4, Ledger!$B$2:$B$4, $A3, Ledger!$C$2:$C$4, RKM$2)),"****")</f>
        <v/>
      </c>
      <c r="RKN3" t="str">
        <f>IFERROR(IF($C3="","",SUMIFS(Ledger!$K$2:$K$4, Ledger!$B$2:$B$4, $A3, Ledger!$C$2:$C$4, RKN$2)),"****")</f>
        <v/>
      </c>
      <c r="RKO3" t="str">
        <f>IFERROR(IF($C3="","",SUMIFS(Ledger!$K$2:$K$4, Ledger!$B$2:$B$4, $A3, Ledger!$C$2:$C$4, RKO$2)),"****")</f>
        <v/>
      </c>
      <c r="RKP3" t="str">
        <f>IFERROR(IF($C3="","",SUMIFS(Ledger!$K$2:$K$4, Ledger!$B$2:$B$4, $A3, Ledger!$C$2:$C$4, RKP$2)),"****")</f>
        <v/>
      </c>
      <c r="RKQ3" t="str">
        <f>IFERROR(IF($C3="","",SUMIFS(Ledger!$K$2:$K$4, Ledger!$B$2:$B$4, $A3, Ledger!$C$2:$C$4, RKQ$2)),"****")</f>
        <v/>
      </c>
      <c r="RKR3" t="str">
        <f>IFERROR(IF($C3="","",SUMIFS(Ledger!$K$2:$K$4, Ledger!$B$2:$B$4, $A3, Ledger!$C$2:$C$4, RKR$2)),"****")</f>
        <v/>
      </c>
      <c r="RKS3" t="str">
        <f>IFERROR(IF($C3="","",SUMIFS(Ledger!$K$2:$K$4, Ledger!$B$2:$B$4, $A3, Ledger!$C$2:$C$4, RKS$2)),"****")</f>
        <v/>
      </c>
      <c r="RKT3" t="str">
        <f>IFERROR(IF($C3="","",SUMIFS(Ledger!$K$2:$K$4, Ledger!$B$2:$B$4, $A3, Ledger!$C$2:$C$4, RKT$2)),"****")</f>
        <v/>
      </c>
      <c r="RKU3" t="str">
        <f>IFERROR(IF($C3="","",SUMIFS(Ledger!$K$2:$K$4, Ledger!$B$2:$B$4, $A3, Ledger!$C$2:$C$4, RKU$2)),"****")</f>
        <v/>
      </c>
      <c r="RKV3" t="str">
        <f>IFERROR(IF($C3="","",SUMIFS(Ledger!$K$2:$K$4, Ledger!$B$2:$B$4, $A3, Ledger!$C$2:$C$4, RKV$2)),"****")</f>
        <v/>
      </c>
      <c r="RKW3" t="str">
        <f>IFERROR(IF($C3="","",SUMIFS(Ledger!$K$2:$K$4, Ledger!$B$2:$B$4, $A3, Ledger!$C$2:$C$4, RKW$2)),"****")</f>
        <v/>
      </c>
      <c r="RKX3" t="str">
        <f>IFERROR(IF($C3="","",SUMIFS(Ledger!$K$2:$K$4, Ledger!$B$2:$B$4, $A3, Ledger!$C$2:$C$4, RKX$2)),"****")</f>
        <v/>
      </c>
      <c r="RKY3" t="str">
        <f>IFERROR(IF($C3="","",SUMIFS(Ledger!$K$2:$K$4, Ledger!$B$2:$B$4, $A3, Ledger!$C$2:$C$4, RKY$2)),"****")</f>
        <v/>
      </c>
      <c r="RKZ3" t="str">
        <f>IFERROR(IF($C3="","",SUMIFS(Ledger!$K$2:$K$4, Ledger!$B$2:$B$4, $A3, Ledger!$C$2:$C$4, RKZ$2)),"****")</f>
        <v/>
      </c>
      <c r="RLA3" t="str">
        <f>IFERROR(IF($C3="","",SUMIFS(Ledger!$K$2:$K$4, Ledger!$B$2:$B$4, $A3, Ledger!$C$2:$C$4, RLA$2)),"****")</f>
        <v/>
      </c>
      <c r="RLB3" t="str">
        <f>IFERROR(IF($C3="","",SUMIFS(Ledger!$K$2:$K$4, Ledger!$B$2:$B$4, $A3, Ledger!$C$2:$C$4, RLB$2)),"****")</f>
        <v/>
      </c>
      <c r="RLC3" t="str">
        <f>IFERROR(IF($C3="","",SUMIFS(Ledger!$K$2:$K$4, Ledger!$B$2:$B$4, $A3, Ledger!$C$2:$C$4, RLC$2)),"****")</f>
        <v/>
      </c>
      <c r="RLD3" t="str">
        <f>IFERROR(IF($C3="","",SUMIFS(Ledger!$K$2:$K$4, Ledger!$B$2:$B$4, $A3, Ledger!$C$2:$C$4, RLD$2)),"****")</f>
        <v/>
      </c>
      <c r="RLE3" t="str">
        <f>IFERROR(IF($C3="","",SUMIFS(Ledger!$K$2:$K$4, Ledger!$B$2:$B$4, $A3, Ledger!$C$2:$C$4, RLE$2)),"****")</f>
        <v/>
      </c>
      <c r="RLF3" t="str">
        <f>IFERROR(IF($C3="","",SUMIFS(Ledger!$K$2:$K$4, Ledger!$B$2:$B$4, $A3, Ledger!$C$2:$C$4, RLF$2)),"****")</f>
        <v/>
      </c>
      <c r="RLG3" t="str">
        <f>IFERROR(IF($C3="","",SUMIFS(Ledger!$K$2:$K$4, Ledger!$B$2:$B$4, $A3, Ledger!$C$2:$C$4, RLG$2)),"****")</f>
        <v/>
      </c>
      <c r="RLH3" t="str">
        <f>IFERROR(IF($C3="","",SUMIFS(Ledger!$K$2:$K$4, Ledger!$B$2:$B$4, $A3, Ledger!$C$2:$C$4, RLH$2)),"****")</f>
        <v/>
      </c>
      <c r="RLI3" t="str">
        <f>IFERROR(IF($C3="","",SUMIFS(Ledger!$K$2:$K$4, Ledger!$B$2:$B$4, $A3, Ledger!$C$2:$C$4, RLI$2)),"****")</f>
        <v/>
      </c>
      <c r="RLJ3" t="str">
        <f>IFERROR(IF($C3="","",SUMIFS(Ledger!$K$2:$K$4, Ledger!$B$2:$B$4, $A3, Ledger!$C$2:$C$4, RLJ$2)),"****")</f>
        <v/>
      </c>
      <c r="RLK3" t="str">
        <f>IFERROR(IF($C3="","",SUMIFS(Ledger!$K$2:$K$4, Ledger!$B$2:$B$4, $A3, Ledger!$C$2:$C$4, RLK$2)),"****")</f>
        <v/>
      </c>
      <c r="RLL3" t="str">
        <f>IFERROR(IF($C3="","",SUMIFS(Ledger!$K$2:$K$4, Ledger!$B$2:$B$4, $A3, Ledger!$C$2:$C$4, RLL$2)),"****")</f>
        <v/>
      </c>
      <c r="RLM3" t="str">
        <f>IFERROR(IF($C3="","",SUMIFS(Ledger!$K$2:$K$4, Ledger!$B$2:$B$4, $A3, Ledger!$C$2:$C$4, RLM$2)),"****")</f>
        <v/>
      </c>
      <c r="RLN3" t="str">
        <f>IFERROR(IF($C3="","",SUMIFS(Ledger!$K$2:$K$4, Ledger!$B$2:$B$4, $A3, Ledger!$C$2:$C$4, RLN$2)),"****")</f>
        <v/>
      </c>
      <c r="RLO3" t="str">
        <f>IFERROR(IF($C3="","",SUMIFS(Ledger!$K$2:$K$4, Ledger!$B$2:$B$4, $A3, Ledger!$C$2:$C$4, RLO$2)),"****")</f>
        <v/>
      </c>
      <c r="RLP3" t="str">
        <f>IFERROR(IF($C3="","",SUMIFS(Ledger!$K$2:$K$4, Ledger!$B$2:$B$4, $A3, Ledger!$C$2:$C$4, RLP$2)),"****")</f>
        <v/>
      </c>
      <c r="RLQ3" t="str">
        <f>IFERROR(IF($C3="","",SUMIFS(Ledger!$K$2:$K$4, Ledger!$B$2:$B$4, $A3, Ledger!$C$2:$C$4, RLQ$2)),"****")</f>
        <v/>
      </c>
      <c r="RLR3" t="str">
        <f>IFERROR(IF($C3="","",SUMIFS(Ledger!$K$2:$K$4, Ledger!$B$2:$B$4, $A3, Ledger!$C$2:$C$4, RLR$2)),"****")</f>
        <v/>
      </c>
      <c r="RLS3" t="str">
        <f>IFERROR(IF($C3="","",SUMIFS(Ledger!$K$2:$K$4, Ledger!$B$2:$B$4, $A3, Ledger!$C$2:$C$4, RLS$2)),"****")</f>
        <v/>
      </c>
      <c r="RLT3" t="str">
        <f>IFERROR(IF($C3="","",SUMIFS(Ledger!$K$2:$K$4, Ledger!$B$2:$B$4, $A3, Ledger!$C$2:$C$4, RLT$2)),"****")</f>
        <v/>
      </c>
      <c r="RLU3" t="str">
        <f>IFERROR(IF($C3="","",SUMIFS(Ledger!$K$2:$K$4, Ledger!$B$2:$B$4, $A3, Ledger!$C$2:$C$4, RLU$2)),"****")</f>
        <v/>
      </c>
      <c r="RLV3" t="str">
        <f>IFERROR(IF($C3="","",SUMIFS(Ledger!$K$2:$K$4, Ledger!$B$2:$B$4, $A3, Ledger!$C$2:$C$4, RLV$2)),"****")</f>
        <v/>
      </c>
      <c r="RLW3" t="str">
        <f>IFERROR(IF($C3="","",SUMIFS(Ledger!$K$2:$K$4, Ledger!$B$2:$B$4, $A3, Ledger!$C$2:$C$4, RLW$2)),"****")</f>
        <v/>
      </c>
      <c r="RLX3" t="str">
        <f>IFERROR(IF($C3="","",SUMIFS(Ledger!$K$2:$K$4, Ledger!$B$2:$B$4, $A3, Ledger!$C$2:$C$4, RLX$2)),"****")</f>
        <v/>
      </c>
      <c r="RLY3" t="str">
        <f>IFERROR(IF($C3="","",SUMIFS(Ledger!$K$2:$K$4, Ledger!$B$2:$B$4, $A3, Ledger!$C$2:$C$4, RLY$2)),"****")</f>
        <v/>
      </c>
      <c r="RLZ3" t="str">
        <f>IFERROR(IF($C3="","",SUMIFS(Ledger!$K$2:$K$4, Ledger!$B$2:$B$4, $A3, Ledger!$C$2:$C$4, RLZ$2)),"****")</f>
        <v/>
      </c>
      <c r="RMA3" t="str">
        <f>IFERROR(IF($C3="","",SUMIFS(Ledger!$K$2:$K$4, Ledger!$B$2:$B$4, $A3, Ledger!$C$2:$C$4, RMA$2)),"****")</f>
        <v/>
      </c>
      <c r="RMB3" t="str">
        <f>IFERROR(IF($C3="","",SUMIFS(Ledger!$K$2:$K$4, Ledger!$B$2:$B$4, $A3, Ledger!$C$2:$C$4, RMB$2)),"****")</f>
        <v/>
      </c>
      <c r="RMC3" t="str">
        <f>IFERROR(IF($C3="","",SUMIFS(Ledger!$K$2:$K$4, Ledger!$B$2:$B$4, $A3, Ledger!$C$2:$C$4, RMC$2)),"****")</f>
        <v/>
      </c>
      <c r="RMD3" t="str">
        <f>IFERROR(IF($C3="","",SUMIFS(Ledger!$K$2:$K$4, Ledger!$B$2:$B$4, $A3, Ledger!$C$2:$C$4, RMD$2)),"****")</f>
        <v/>
      </c>
      <c r="RME3" t="str">
        <f>IFERROR(IF($C3="","",SUMIFS(Ledger!$K$2:$K$4, Ledger!$B$2:$B$4, $A3, Ledger!$C$2:$C$4, RME$2)),"****")</f>
        <v/>
      </c>
      <c r="RMF3" t="str">
        <f>IFERROR(IF($C3="","",SUMIFS(Ledger!$K$2:$K$4, Ledger!$B$2:$B$4, $A3, Ledger!$C$2:$C$4, RMF$2)),"****")</f>
        <v/>
      </c>
      <c r="RMG3" t="str">
        <f>IFERROR(IF($C3="","",SUMIFS(Ledger!$K$2:$K$4, Ledger!$B$2:$B$4, $A3, Ledger!$C$2:$C$4, RMG$2)),"****")</f>
        <v/>
      </c>
      <c r="RMH3" t="str">
        <f>IFERROR(IF($C3="","",SUMIFS(Ledger!$K$2:$K$4, Ledger!$B$2:$B$4, $A3, Ledger!$C$2:$C$4, RMH$2)),"****")</f>
        <v/>
      </c>
      <c r="RMI3" t="str">
        <f>IFERROR(IF($C3="","",SUMIFS(Ledger!$K$2:$K$4, Ledger!$B$2:$B$4, $A3, Ledger!$C$2:$C$4, RMI$2)),"****")</f>
        <v/>
      </c>
      <c r="RMJ3" t="str">
        <f>IFERROR(IF($C3="","",SUMIFS(Ledger!$K$2:$K$4, Ledger!$B$2:$B$4, $A3, Ledger!$C$2:$C$4, RMJ$2)),"****")</f>
        <v/>
      </c>
      <c r="RMK3" t="str">
        <f>IFERROR(IF($C3="","",SUMIFS(Ledger!$K$2:$K$4, Ledger!$B$2:$B$4, $A3, Ledger!$C$2:$C$4, RMK$2)),"****")</f>
        <v/>
      </c>
      <c r="RML3" t="str">
        <f>IFERROR(IF($C3="","",SUMIFS(Ledger!$K$2:$K$4, Ledger!$B$2:$B$4, $A3, Ledger!$C$2:$C$4, RML$2)),"****")</f>
        <v/>
      </c>
      <c r="RMM3" t="str">
        <f>IFERROR(IF($C3="","",SUMIFS(Ledger!$K$2:$K$4, Ledger!$B$2:$B$4, $A3, Ledger!$C$2:$C$4, RMM$2)),"****")</f>
        <v/>
      </c>
      <c r="RMN3" t="str">
        <f>IFERROR(IF($C3="","",SUMIFS(Ledger!$K$2:$K$4, Ledger!$B$2:$B$4, $A3, Ledger!$C$2:$C$4, RMN$2)),"****")</f>
        <v/>
      </c>
      <c r="RMO3" t="str">
        <f>IFERROR(IF($C3="","",SUMIFS(Ledger!$K$2:$K$4, Ledger!$B$2:$B$4, $A3, Ledger!$C$2:$C$4, RMO$2)),"****")</f>
        <v/>
      </c>
      <c r="RMP3" t="str">
        <f>IFERROR(IF($C3="","",SUMIFS(Ledger!$K$2:$K$4, Ledger!$B$2:$B$4, $A3, Ledger!$C$2:$C$4, RMP$2)),"****")</f>
        <v/>
      </c>
      <c r="RMQ3" t="str">
        <f>IFERROR(IF($C3="","",SUMIFS(Ledger!$K$2:$K$4, Ledger!$B$2:$B$4, $A3, Ledger!$C$2:$C$4, RMQ$2)),"****")</f>
        <v/>
      </c>
      <c r="RMR3" t="str">
        <f>IFERROR(IF($C3="","",SUMIFS(Ledger!$K$2:$K$4, Ledger!$B$2:$B$4, $A3, Ledger!$C$2:$C$4, RMR$2)),"****")</f>
        <v/>
      </c>
      <c r="RMS3" t="str">
        <f>IFERROR(IF($C3="","",SUMIFS(Ledger!$K$2:$K$4, Ledger!$B$2:$B$4, $A3, Ledger!$C$2:$C$4, RMS$2)),"****")</f>
        <v/>
      </c>
      <c r="RMT3" t="str">
        <f>IFERROR(IF($C3="","",SUMIFS(Ledger!$K$2:$K$4, Ledger!$B$2:$B$4, $A3, Ledger!$C$2:$C$4, RMT$2)),"****")</f>
        <v/>
      </c>
      <c r="RMU3" t="str">
        <f>IFERROR(IF($C3="","",SUMIFS(Ledger!$K$2:$K$4, Ledger!$B$2:$B$4, $A3, Ledger!$C$2:$C$4, RMU$2)),"****")</f>
        <v/>
      </c>
      <c r="RMV3" t="str">
        <f>IFERROR(IF($C3="","",SUMIFS(Ledger!$K$2:$K$4, Ledger!$B$2:$B$4, $A3, Ledger!$C$2:$C$4, RMV$2)),"****")</f>
        <v/>
      </c>
      <c r="RMW3" t="str">
        <f>IFERROR(IF($C3="","",SUMIFS(Ledger!$K$2:$K$4, Ledger!$B$2:$B$4, $A3, Ledger!$C$2:$C$4, RMW$2)),"****")</f>
        <v/>
      </c>
      <c r="RMX3" t="str">
        <f>IFERROR(IF($C3="","",SUMIFS(Ledger!$K$2:$K$4, Ledger!$B$2:$B$4, $A3, Ledger!$C$2:$C$4, RMX$2)),"****")</f>
        <v/>
      </c>
      <c r="RMY3" t="str">
        <f>IFERROR(IF($C3="","",SUMIFS(Ledger!$K$2:$K$4, Ledger!$B$2:$B$4, $A3, Ledger!$C$2:$C$4, RMY$2)),"****")</f>
        <v/>
      </c>
      <c r="RMZ3" t="str">
        <f>IFERROR(IF($C3="","",SUMIFS(Ledger!$K$2:$K$4, Ledger!$B$2:$B$4, $A3, Ledger!$C$2:$C$4, RMZ$2)),"****")</f>
        <v/>
      </c>
      <c r="RNA3" t="str">
        <f>IFERROR(IF($C3="","",SUMIFS(Ledger!$K$2:$K$4, Ledger!$B$2:$B$4, $A3, Ledger!$C$2:$C$4, RNA$2)),"****")</f>
        <v/>
      </c>
      <c r="RNB3" t="str">
        <f>IFERROR(IF($C3="","",SUMIFS(Ledger!$K$2:$K$4, Ledger!$B$2:$B$4, $A3, Ledger!$C$2:$C$4, RNB$2)),"****")</f>
        <v/>
      </c>
      <c r="RNC3" t="str">
        <f>IFERROR(IF($C3="","",SUMIFS(Ledger!$K$2:$K$4, Ledger!$B$2:$B$4, $A3, Ledger!$C$2:$C$4, RNC$2)),"****")</f>
        <v/>
      </c>
      <c r="RND3" t="str">
        <f>IFERROR(IF($C3="","",SUMIFS(Ledger!$K$2:$K$4, Ledger!$B$2:$B$4, $A3, Ledger!$C$2:$C$4, RND$2)),"****")</f>
        <v/>
      </c>
      <c r="RNE3" t="str">
        <f>IFERROR(IF($C3="","",SUMIFS(Ledger!$K$2:$K$4, Ledger!$B$2:$B$4, $A3, Ledger!$C$2:$C$4, RNE$2)),"****")</f>
        <v/>
      </c>
      <c r="RNF3" t="str">
        <f>IFERROR(IF($C3="","",SUMIFS(Ledger!$K$2:$K$4, Ledger!$B$2:$B$4, $A3, Ledger!$C$2:$C$4, RNF$2)),"****")</f>
        <v/>
      </c>
      <c r="RNG3" t="str">
        <f>IFERROR(IF($C3="","",SUMIFS(Ledger!$K$2:$K$4, Ledger!$B$2:$B$4, $A3, Ledger!$C$2:$C$4, RNG$2)),"****")</f>
        <v/>
      </c>
      <c r="RNH3" t="str">
        <f>IFERROR(IF($C3="","",SUMIFS(Ledger!$K$2:$K$4, Ledger!$B$2:$B$4, $A3, Ledger!$C$2:$C$4, RNH$2)),"****")</f>
        <v/>
      </c>
      <c r="RNI3" t="str">
        <f>IFERROR(IF($C3="","",SUMIFS(Ledger!$K$2:$K$4, Ledger!$B$2:$B$4, $A3, Ledger!$C$2:$C$4, RNI$2)),"****")</f>
        <v/>
      </c>
      <c r="RNJ3" t="str">
        <f>IFERROR(IF($C3="","",SUMIFS(Ledger!$K$2:$K$4, Ledger!$B$2:$B$4, $A3, Ledger!$C$2:$C$4, RNJ$2)),"****")</f>
        <v/>
      </c>
      <c r="RNK3" t="str">
        <f>IFERROR(IF($C3="","",SUMIFS(Ledger!$K$2:$K$4, Ledger!$B$2:$B$4, $A3, Ledger!$C$2:$C$4, RNK$2)),"****")</f>
        <v/>
      </c>
      <c r="RNL3" t="str">
        <f>IFERROR(IF($C3="","",SUMIFS(Ledger!$K$2:$K$4, Ledger!$B$2:$B$4, $A3, Ledger!$C$2:$C$4, RNL$2)),"****")</f>
        <v/>
      </c>
      <c r="RNM3" t="str">
        <f>IFERROR(IF($C3="","",SUMIFS(Ledger!$K$2:$K$4, Ledger!$B$2:$B$4, $A3, Ledger!$C$2:$C$4, RNM$2)),"****")</f>
        <v/>
      </c>
      <c r="RNN3" t="str">
        <f>IFERROR(IF($C3="","",SUMIFS(Ledger!$K$2:$K$4, Ledger!$B$2:$B$4, $A3, Ledger!$C$2:$C$4, RNN$2)),"****")</f>
        <v/>
      </c>
      <c r="RNO3" t="str">
        <f>IFERROR(IF($C3="","",SUMIFS(Ledger!$K$2:$K$4, Ledger!$B$2:$B$4, $A3, Ledger!$C$2:$C$4, RNO$2)),"****")</f>
        <v/>
      </c>
      <c r="RNP3" t="str">
        <f>IFERROR(IF($C3="","",SUMIFS(Ledger!$K$2:$K$4, Ledger!$B$2:$B$4, $A3, Ledger!$C$2:$C$4, RNP$2)),"****")</f>
        <v/>
      </c>
      <c r="RNQ3" t="str">
        <f>IFERROR(IF($C3="","",SUMIFS(Ledger!$K$2:$K$4, Ledger!$B$2:$B$4, $A3, Ledger!$C$2:$C$4, RNQ$2)),"****")</f>
        <v/>
      </c>
      <c r="RNR3" t="str">
        <f>IFERROR(IF($C3="","",SUMIFS(Ledger!$K$2:$K$4, Ledger!$B$2:$B$4, $A3, Ledger!$C$2:$C$4, RNR$2)),"****")</f>
        <v/>
      </c>
      <c r="RNS3" t="str">
        <f>IFERROR(IF($C3="","",SUMIFS(Ledger!$K$2:$K$4, Ledger!$B$2:$B$4, $A3, Ledger!$C$2:$C$4, RNS$2)),"****")</f>
        <v/>
      </c>
      <c r="RNT3" t="str">
        <f>IFERROR(IF($C3="","",SUMIFS(Ledger!$K$2:$K$4, Ledger!$B$2:$B$4, $A3, Ledger!$C$2:$C$4, RNT$2)),"****")</f>
        <v/>
      </c>
      <c r="RNU3" t="str">
        <f>IFERROR(IF($C3="","",SUMIFS(Ledger!$K$2:$K$4, Ledger!$B$2:$B$4, $A3, Ledger!$C$2:$C$4, RNU$2)),"****")</f>
        <v/>
      </c>
      <c r="RNV3" t="str">
        <f>IFERROR(IF($C3="","",SUMIFS(Ledger!$K$2:$K$4, Ledger!$B$2:$B$4, $A3, Ledger!$C$2:$C$4, RNV$2)),"****")</f>
        <v/>
      </c>
      <c r="RNW3" t="str">
        <f>IFERROR(IF($C3="","",SUMIFS(Ledger!$K$2:$K$4, Ledger!$B$2:$B$4, $A3, Ledger!$C$2:$C$4, RNW$2)),"****")</f>
        <v/>
      </c>
      <c r="RNX3" t="str">
        <f>IFERROR(IF($C3="","",SUMIFS(Ledger!$K$2:$K$4, Ledger!$B$2:$B$4, $A3, Ledger!$C$2:$C$4, RNX$2)),"****")</f>
        <v/>
      </c>
      <c r="RNY3" t="str">
        <f>IFERROR(IF($C3="","",SUMIFS(Ledger!$K$2:$K$4, Ledger!$B$2:$B$4, $A3, Ledger!$C$2:$C$4, RNY$2)),"****")</f>
        <v/>
      </c>
      <c r="RNZ3" t="str">
        <f>IFERROR(IF($C3="","",SUMIFS(Ledger!$K$2:$K$4, Ledger!$B$2:$B$4, $A3, Ledger!$C$2:$C$4, RNZ$2)),"****")</f>
        <v/>
      </c>
      <c r="ROA3" t="str">
        <f>IFERROR(IF($C3="","",SUMIFS(Ledger!$K$2:$K$4, Ledger!$B$2:$B$4, $A3, Ledger!$C$2:$C$4, ROA$2)),"****")</f>
        <v/>
      </c>
      <c r="ROB3" t="str">
        <f>IFERROR(IF($C3="","",SUMIFS(Ledger!$K$2:$K$4, Ledger!$B$2:$B$4, $A3, Ledger!$C$2:$C$4, ROB$2)),"****")</f>
        <v/>
      </c>
      <c r="ROC3" t="str">
        <f>IFERROR(IF($C3="","",SUMIFS(Ledger!$K$2:$K$4, Ledger!$B$2:$B$4, $A3, Ledger!$C$2:$C$4, ROC$2)),"****")</f>
        <v/>
      </c>
      <c r="ROD3" t="str">
        <f>IFERROR(IF($C3="","",SUMIFS(Ledger!$K$2:$K$4, Ledger!$B$2:$B$4, $A3, Ledger!$C$2:$C$4, ROD$2)),"****")</f>
        <v/>
      </c>
      <c r="ROE3" t="str">
        <f>IFERROR(IF($C3="","",SUMIFS(Ledger!$K$2:$K$4, Ledger!$B$2:$B$4, $A3, Ledger!$C$2:$C$4, ROE$2)),"****")</f>
        <v/>
      </c>
      <c r="ROF3" t="str">
        <f>IFERROR(IF($C3="","",SUMIFS(Ledger!$K$2:$K$4, Ledger!$B$2:$B$4, $A3, Ledger!$C$2:$C$4, ROF$2)),"****")</f>
        <v/>
      </c>
      <c r="ROG3" t="str">
        <f>IFERROR(IF($C3="","",SUMIFS(Ledger!$K$2:$K$4, Ledger!$B$2:$B$4, $A3, Ledger!$C$2:$C$4, ROG$2)),"****")</f>
        <v/>
      </c>
      <c r="ROH3" t="str">
        <f>IFERROR(IF($C3="","",SUMIFS(Ledger!$K$2:$K$4, Ledger!$B$2:$B$4, $A3, Ledger!$C$2:$C$4, ROH$2)),"****")</f>
        <v/>
      </c>
      <c r="ROI3" t="str">
        <f>IFERROR(IF($C3="","",SUMIFS(Ledger!$K$2:$K$4, Ledger!$B$2:$B$4, $A3, Ledger!$C$2:$C$4, ROI$2)),"****")</f>
        <v/>
      </c>
      <c r="ROJ3" t="str">
        <f>IFERROR(IF($C3="","",SUMIFS(Ledger!$K$2:$K$4, Ledger!$B$2:$B$4, $A3, Ledger!$C$2:$C$4, ROJ$2)),"****")</f>
        <v/>
      </c>
      <c r="ROK3" t="str">
        <f>IFERROR(IF($C3="","",SUMIFS(Ledger!$K$2:$K$4, Ledger!$B$2:$B$4, $A3, Ledger!$C$2:$C$4, ROK$2)),"****")</f>
        <v/>
      </c>
      <c r="ROL3" t="str">
        <f>IFERROR(IF($C3="","",SUMIFS(Ledger!$K$2:$K$4, Ledger!$B$2:$B$4, $A3, Ledger!$C$2:$C$4, ROL$2)),"****")</f>
        <v/>
      </c>
      <c r="ROM3" t="str">
        <f>IFERROR(IF($C3="","",SUMIFS(Ledger!$K$2:$K$4, Ledger!$B$2:$B$4, $A3, Ledger!$C$2:$C$4, ROM$2)),"****")</f>
        <v/>
      </c>
      <c r="RON3" t="str">
        <f>IFERROR(IF($C3="","",SUMIFS(Ledger!$K$2:$K$4, Ledger!$B$2:$B$4, $A3, Ledger!$C$2:$C$4, RON$2)),"****")</f>
        <v/>
      </c>
      <c r="ROO3" t="str">
        <f>IFERROR(IF($C3="","",SUMIFS(Ledger!$K$2:$K$4, Ledger!$B$2:$B$4, $A3, Ledger!$C$2:$C$4, ROO$2)),"****")</f>
        <v/>
      </c>
      <c r="ROP3" t="str">
        <f>IFERROR(IF($C3="","",SUMIFS(Ledger!$K$2:$K$4, Ledger!$B$2:$B$4, $A3, Ledger!$C$2:$C$4, ROP$2)),"****")</f>
        <v/>
      </c>
      <c r="ROQ3" t="str">
        <f>IFERROR(IF($C3="","",SUMIFS(Ledger!$K$2:$K$4, Ledger!$B$2:$B$4, $A3, Ledger!$C$2:$C$4, ROQ$2)),"****")</f>
        <v/>
      </c>
      <c r="ROR3" t="str">
        <f>IFERROR(IF($C3="","",SUMIFS(Ledger!$K$2:$K$4, Ledger!$B$2:$B$4, $A3, Ledger!$C$2:$C$4, ROR$2)),"****")</f>
        <v/>
      </c>
      <c r="ROS3" t="str">
        <f>IFERROR(IF($C3="","",SUMIFS(Ledger!$K$2:$K$4, Ledger!$B$2:$B$4, $A3, Ledger!$C$2:$C$4, ROS$2)),"****")</f>
        <v/>
      </c>
      <c r="ROT3" t="str">
        <f>IFERROR(IF($C3="","",SUMIFS(Ledger!$K$2:$K$4, Ledger!$B$2:$B$4, $A3, Ledger!$C$2:$C$4, ROT$2)),"****")</f>
        <v/>
      </c>
      <c r="ROU3" t="str">
        <f>IFERROR(IF($C3="","",SUMIFS(Ledger!$K$2:$K$4, Ledger!$B$2:$B$4, $A3, Ledger!$C$2:$C$4, ROU$2)),"****")</f>
        <v/>
      </c>
      <c r="ROV3" t="str">
        <f>IFERROR(IF($C3="","",SUMIFS(Ledger!$K$2:$K$4, Ledger!$B$2:$B$4, $A3, Ledger!$C$2:$C$4, ROV$2)),"****")</f>
        <v/>
      </c>
      <c r="ROW3" t="str">
        <f>IFERROR(IF($C3="","",SUMIFS(Ledger!$K$2:$K$4, Ledger!$B$2:$B$4, $A3, Ledger!$C$2:$C$4, ROW$2)),"****")</f>
        <v/>
      </c>
      <c r="ROX3" t="str">
        <f>IFERROR(IF($C3="","",SUMIFS(Ledger!$K$2:$K$4, Ledger!$B$2:$B$4, $A3, Ledger!$C$2:$C$4, ROX$2)),"****")</f>
        <v/>
      </c>
      <c r="ROY3" t="str">
        <f>IFERROR(IF($C3="","",SUMIFS(Ledger!$K$2:$K$4, Ledger!$B$2:$B$4, $A3, Ledger!$C$2:$C$4, ROY$2)),"****")</f>
        <v/>
      </c>
      <c r="ROZ3" t="str">
        <f>IFERROR(IF($C3="","",SUMIFS(Ledger!$K$2:$K$4, Ledger!$B$2:$B$4, $A3, Ledger!$C$2:$C$4, ROZ$2)),"****")</f>
        <v/>
      </c>
      <c r="RPA3" t="str">
        <f>IFERROR(IF($C3="","",SUMIFS(Ledger!$K$2:$K$4, Ledger!$B$2:$B$4, $A3, Ledger!$C$2:$C$4, RPA$2)),"****")</f>
        <v/>
      </c>
      <c r="RPB3" t="str">
        <f>IFERROR(IF($C3="","",SUMIFS(Ledger!$K$2:$K$4, Ledger!$B$2:$B$4, $A3, Ledger!$C$2:$C$4, RPB$2)),"****")</f>
        <v/>
      </c>
      <c r="RPC3" t="str">
        <f>IFERROR(IF($C3="","",SUMIFS(Ledger!$K$2:$K$4, Ledger!$B$2:$B$4, $A3, Ledger!$C$2:$C$4, RPC$2)),"****")</f>
        <v/>
      </c>
      <c r="RPD3" t="str">
        <f>IFERROR(IF($C3="","",SUMIFS(Ledger!$K$2:$K$4, Ledger!$B$2:$B$4, $A3, Ledger!$C$2:$C$4, RPD$2)),"****")</f>
        <v/>
      </c>
      <c r="RPE3" t="str">
        <f>IFERROR(IF($C3="","",SUMIFS(Ledger!$K$2:$K$4, Ledger!$B$2:$B$4, $A3, Ledger!$C$2:$C$4, RPE$2)),"****")</f>
        <v/>
      </c>
      <c r="RPF3" t="str">
        <f>IFERROR(IF($C3="","",SUMIFS(Ledger!$K$2:$K$4, Ledger!$B$2:$B$4, $A3, Ledger!$C$2:$C$4, RPF$2)),"****")</f>
        <v/>
      </c>
      <c r="RPG3" t="str">
        <f>IFERROR(IF($C3="","",SUMIFS(Ledger!$K$2:$K$4, Ledger!$B$2:$B$4, $A3, Ledger!$C$2:$C$4, RPG$2)),"****")</f>
        <v/>
      </c>
      <c r="RPH3" t="str">
        <f>IFERROR(IF($C3="","",SUMIFS(Ledger!$K$2:$K$4, Ledger!$B$2:$B$4, $A3, Ledger!$C$2:$C$4, RPH$2)),"****")</f>
        <v/>
      </c>
      <c r="RPI3" t="str">
        <f>IFERROR(IF($C3="","",SUMIFS(Ledger!$K$2:$K$4, Ledger!$B$2:$B$4, $A3, Ledger!$C$2:$C$4, RPI$2)),"****")</f>
        <v/>
      </c>
      <c r="RPJ3" t="str">
        <f>IFERROR(IF($C3="","",SUMIFS(Ledger!$K$2:$K$4, Ledger!$B$2:$B$4, $A3, Ledger!$C$2:$C$4, RPJ$2)),"****")</f>
        <v/>
      </c>
      <c r="RPK3" t="str">
        <f>IFERROR(IF($C3="","",SUMIFS(Ledger!$K$2:$K$4, Ledger!$B$2:$B$4, $A3, Ledger!$C$2:$C$4, RPK$2)),"****")</f>
        <v/>
      </c>
      <c r="RPL3" t="str">
        <f>IFERROR(IF($C3="","",SUMIFS(Ledger!$K$2:$K$4, Ledger!$B$2:$B$4, $A3, Ledger!$C$2:$C$4, RPL$2)),"****")</f>
        <v/>
      </c>
      <c r="RPM3" t="str">
        <f>IFERROR(IF($C3="","",SUMIFS(Ledger!$K$2:$K$4, Ledger!$B$2:$B$4, $A3, Ledger!$C$2:$C$4, RPM$2)),"****")</f>
        <v/>
      </c>
      <c r="RPN3" t="str">
        <f>IFERROR(IF($C3="","",SUMIFS(Ledger!$K$2:$K$4, Ledger!$B$2:$B$4, $A3, Ledger!$C$2:$C$4, RPN$2)),"****")</f>
        <v/>
      </c>
      <c r="RPO3" t="str">
        <f>IFERROR(IF($C3="","",SUMIFS(Ledger!$K$2:$K$4, Ledger!$B$2:$B$4, $A3, Ledger!$C$2:$C$4, RPO$2)),"****")</f>
        <v/>
      </c>
      <c r="RPP3" t="str">
        <f>IFERROR(IF($C3="","",SUMIFS(Ledger!$K$2:$K$4, Ledger!$B$2:$B$4, $A3, Ledger!$C$2:$C$4, RPP$2)),"****")</f>
        <v/>
      </c>
      <c r="RPQ3" t="str">
        <f>IFERROR(IF($C3="","",SUMIFS(Ledger!$K$2:$K$4, Ledger!$B$2:$B$4, $A3, Ledger!$C$2:$C$4, RPQ$2)),"****")</f>
        <v/>
      </c>
      <c r="RPR3" t="str">
        <f>IFERROR(IF($C3="","",SUMIFS(Ledger!$K$2:$K$4, Ledger!$B$2:$B$4, $A3, Ledger!$C$2:$C$4, RPR$2)),"****")</f>
        <v/>
      </c>
      <c r="RPS3" t="str">
        <f>IFERROR(IF($C3="","",SUMIFS(Ledger!$K$2:$K$4, Ledger!$B$2:$B$4, $A3, Ledger!$C$2:$C$4, RPS$2)),"****")</f>
        <v/>
      </c>
      <c r="RPT3" t="str">
        <f>IFERROR(IF($C3="","",SUMIFS(Ledger!$K$2:$K$4, Ledger!$B$2:$B$4, $A3, Ledger!$C$2:$C$4, RPT$2)),"****")</f>
        <v/>
      </c>
      <c r="RPU3" t="str">
        <f>IFERROR(IF($C3="","",SUMIFS(Ledger!$K$2:$K$4, Ledger!$B$2:$B$4, $A3, Ledger!$C$2:$C$4, RPU$2)),"****")</f>
        <v/>
      </c>
      <c r="RPV3" t="str">
        <f>IFERROR(IF($C3="","",SUMIFS(Ledger!$K$2:$K$4, Ledger!$B$2:$B$4, $A3, Ledger!$C$2:$C$4, RPV$2)),"****")</f>
        <v/>
      </c>
      <c r="RPW3" t="str">
        <f>IFERROR(IF($C3="","",SUMIFS(Ledger!$K$2:$K$4, Ledger!$B$2:$B$4, $A3, Ledger!$C$2:$C$4, RPW$2)),"****")</f>
        <v/>
      </c>
      <c r="RPX3" t="str">
        <f>IFERROR(IF($C3="","",SUMIFS(Ledger!$K$2:$K$4, Ledger!$B$2:$B$4, $A3, Ledger!$C$2:$C$4, RPX$2)),"****")</f>
        <v/>
      </c>
      <c r="RPY3" t="str">
        <f>IFERROR(IF($C3="","",SUMIFS(Ledger!$K$2:$K$4, Ledger!$B$2:$B$4, $A3, Ledger!$C$2:$C$4, RPY$2)),"****")</f>
        <v/>
      </c>
      <c r="RPZ3" t="str">
        <f>IFERROR(IF($C3="","",SUMIFS(Ledger!$K$2:$K$4, Ledger!$B$2:$B$4, $A3, Ledger!$C$2:$C$4, RPZ$2)),"****")</f>
        <v/>
      </c>
      <c r="RQA3" t="str">
        <f>IFERROR(IF($C3="","",SUMIFS(Ledger!$K$2:$K$4, Ledger!$B$2:$B$4, $A3, Ledger!$C$2:$C$4, RQA$2)),"****")</f>
        <v/>
      </c>
      <c r="RQB3" t="str">
        <f>IFERROR(IF($C3="","",SUMIFS(Ledger!$K$2:$K$4, Ledger!$B$2:$B$4, $A3, Ledger!$C$2:$C$4, RQB$2)),"****")</f>
        <v/>
      </c>
      <c r="RQC3" t="str">
        <f>IFERROR(IF($C3="","",SUMIFS(Ledger!$K$2:$K$4, Ledger!$B$2:$B$4, $A3, Ledger!$C$2:$C$4, RQC$2)),"****")</f>
        <v/>
      </c>
      <c r="RQD3" t="str">
        <f>IFERROR(IF($C3="","",SUMIFS(Ledger!$K$2:$K$4, Ledger!$B$2:$B$4, $A3, Ledger!$C$2:$C$4, RQD$2)),"****")</f>
        <v/>
      </c>
      <c r="RQE3" t="str">
        <f>IFERROR(IF($C3="","",SUMIFS(Ledger!$K$2:$K$4, Ledger!$B$2:$B$4, $A3, Ledger!$C$2:$C$4, RQE$2)),"****")</f>
        <v/>
      </c>
      <c r="RQF3" t="str">
        <f>IFERROR(IF($C3="","",SUMIFS(Ledger!$K$2:$K$4, Ledger!$B$2:$B$4, $A3, Ledger!$C$2:$C$4, RQF$2)),"****")</f>
        <v/>
      </c>
      <c r="RQG3" t="str">
        <f>IFERROR(IF($C3="","",SUMIFS(Ledger!$K$2:$K$4, Ledger!$B$2:$B$4, $A3, Ledger!$C$2:$C$4, RQG$2)),"****")</f>
        <v/>
      </c>
      <c r="RQH3" t="str">
        <f>IFERROR(IF($C3="","",SUMIFS(Ledger!$K$2:$K$4, Ledger!$B$2:$B$4, $A3, Ledger!$C$2:$C$4, RQH$2)),"****")</f>
        <v/>
      </c>
      <c r="RQI3" t="str">
        <f>IFERROR(IF($C3="","",SUMIFS(Ledger!$K$2:$K$4, Ledger!$B$2:$B$4, $A3, Ledger!$C$2:$C$4, RQI$2)),"****")</f>
        <v/>
      </c>
      <c r="RQJ3" t="str">
        <f>IFERROR(IF($C3="","",SUMIFS(Ledger!$K$2:$K$4, Ledger!$B$2:$B$4, $A3, Ledger!$C$2:$C$4, RQJ$2)),"****")</f>
        <v/>
      </c>
      <c r="RQK3" t="str">
        <f>IFERROR(IF($C3="","",SUMIFS(Ledger!$K$2:$K$4, Ledger!$B$2:$B$4, $A3, Ledger!$C$2:$C$4, RQK$2)),"****")</f>
        <v/>
      </c>
      <c r="RQL3" t="str">
        <f>IFERROR(IF($C3="","",SUMIFS(Ledger!$K$2:$K$4, Ledger!$B$2:$B$4, $A3, Ledger!$C$2:$C$4, RQL$2)),"****")</f>
        <v/>
      </c>
      <c r="RQM3" t="str">
        <f>IFERROR(IF($C3="","",SUMIFS(Ledger!$K$2:$K$4, Ledger!$B$2:$B$4, $A3, Ledger!$C$2:$C$4, RQM$2)),"****")</f>
        <v/>
      </c>
      <c r="RQN3" t="str">
        <f>IFERROR(IF($C3="","",SUMIFS(Ledger!$K$2:$K$4, Ledger!$B$2:$B$4, $A3, Ledger!$C$2:$C$4, RQN$2)),"****")</f>
        <v/>
      </c>
      <c r="RQO3" t="str">
        <f>IFERROR(IF($C3="","",SUMIFS(Ledger!$K$2:$K$4, Ledger!$B$2:$B$4, $A3, Ledger!$C$2:$C$4, RQO$2)),"****")</f>
        <v/>
      </c>
      <c r="RQP3" t="str">
        <f>IFERROR(IF($C3="","",SUMIFS(Ledger!$K$2:$K$4, Ledger!$B$2:$B$4, $A3, Ledger!$C$2:$C$4, RQP$2)),"****")</f>
        <v/>
      </c>
      <c r="RQQ3" t="str">
        <f>IFERROR(IF($C3="","",SUMIFS(Ledger!$K$2:$K$4, Ledger!$B$2:$B$4, $A3, Ledger!$C$2:$C$4, RQQ$2)),"****")</f>
        <v/>
      </c>
      <c r="RQR3" t="str">
        <f>IFERROR(IF($C3="","",SUMIFS(Ledger!$K$2:$K$4, Ledger!$B$2:$B$4, $A3, Ledger!$C$2:$C$4, RQR$2)),"****")</f>
        <v/>
      </c>
      <c r="RQS3" t="str">
        <f>IFERROR(IF($C3="","",SUMIFS(Ledger!$K$2:$K$4, Ledger!$B$2:$B$4, $A3, Ledger!$C$2:$C$4, RQS$2)),"****")</f>
        <v/>
      </c>
      <c r="RQT3" t="str">
        <f>IFERROR(IF($C3="","",SUMIFS(Ledger!$K$2:$K$4, Ledger!$B$2:$B$4, $A3, Ledger!$C$2:$C$4, RQT$2)),"****")</f>
        <v/>
      </c>
      <c r="RQU3" t="str">
        <f>IFERROR(IF($C3="","",SUMIFS(Ledger!$K$2:$K$4, Ledger!$B$2:$B$4, $A3, Ledger!$C$2:$C$4, RQU$2)),"****")</f>
        <v/>
      </c>
      <c r="RQV3" t="str">
        <f>IFERROR(IF($C3="","",SUMIFS(Ledger!$K$2:$K$4, Ledger!$B$2:$B$4, $A3, Ledger!$C$2:$C$4, RQV$2)),"****")</f>
        <v/>
      </c>
      <c r="RQW3" t="str">
        <f>IFERROR(IF($C3="","",SUMIFS(Ledger!$K$2:$K$4, Ledger!$B$2:$B$4, $A3, Ledger!$C$2:$C$4, RQW$2)),"****")</f>
        <v/>
      </c>
      <c r="RQX3" t="str">
        <f>IFERROR(IF($C3="","",SUMIFS(Ledger!$K$2:$K$4, Ledger!$B$2:$B$4, $A3, Ledger!$C$2:$C$4, RQX$2)),"****")</f>
        <v/>
      </c>
      <c r="RQY3" t="str">
        <f>IFERROR(IF($C3="","",SUMIFS(Ledger!$K$2:$K$4, Ledger!$B$2:$B$4, $A3, Ledger!$C$2:$C$4, RQY$2)),"****")</f>
        <v/>
      </c>
      <c r="RQZ3" t="str">
        <f>IFERROR(IF($C3="","",SUMIFS(Ledger!$K$2:$K$4, Ledger!$B$2:$B$4, $A3, Ledger!$C$2:$C$4, RQZ$2)),"****")</f>
        <v/>
      </c>
      <c r="RRA3" t="str">
        <f>IFERROR(IF($C3="","",SUMIFS(Ledger!$K$2:$K$4, Ledger!$B$2:$B$4, $A3, Ledger!$C$2:$C$4, RRA$2)),"****")</f>
        <v/>
      </c>
      <c r="RRB3" t="str">
        <f>IFERROR(IF($C3="","",SUMIFS(Ledger!$K$2:$K$4, Ledger!$B$2:$B$4, $A3, Ledger!$C$2:$C$4, RRB$2)),"****")</f>
        <v/>
      </c>
      <c r="RRC3" t="str">
        <f>IFERROR(IF($C3="","",SUMIFS(Ledger!$K$2:$K$4, Ledger!$B$2:$B$4, $A3, Ledger!$C$2:$C$4, RRC$2)),"****")</f>
        <v/>
      </c>
      <c r="RRD3" t="str">
        <f>IFERROR(IF($C3="","",SUMIFS(Ledger!$K$2:$K$4, Ledger!$B$2:$B$4, $A3, Ledger!$C$2:$C$4, RRD$2)),"****")</f>
        <v/>
      </c>
      <c r="RRE3" t="str">
        <f>IFERROR(IF($C3="","",SUMIFS(Ledger!$K$2:$K$4, Ledger!$B$2:$B$4, $A3, Ledger!$C$2:$C$4, RRE$2)),"****")</f>
        <v/>
      </c>
      <c r="RRF3" t="str">
        <f>IFERROR(IF($C3="","",SUMIFS(Ledger!$K$2:$K$4, Ledger!$B$2:$B$4, $A3, Ledger!$C$2:$C$4, RRF$2)),"****")</f>
        <v/>
      </c>
      <c r="RRG3" t="str">
        <f>IFERROR(IF($C3="","",SUMIFS(Ledger!$K$2:$K$4, Ledger!$B$2:$B$4, $A3, Ledger!$C$2:$C$4, RRG$2)),"****")</f>
        <v/>
      </c>
      <c r="RRH3" t="str">
        <f>IFERROR(IF($C3="","",SUMIFS(Ledger!$K$2:$K$4, Ledger!$B$2:$B$4, $A3, Ledger!$C$2:$C$4, RRH$2)),"****")</f>
        <v/>
      </c>
      <c r="RRI3" t="str">
        <f>IFERROR(IF($C3="","",SUMIFS(Ledger!$K$2:$K$4, Ledger!$B$2:$B$4, $A3, Ledger!$C$2:$C$4, RRI$2)),"****")</f>
        <v/>
      </c>
      <c r="RRJ3" t="str">
        <f>IFERROR(IF($C3="","",SUMIFS(Ledger!$K$2:$K$4, Ledger!$B$2:$B$4, $A3, Ledger!$C$2:$C$4, RRJ$2)),"****")</f>
        <v/>
      </c>
      <c r="RRK3" t="str">
        <f>IFERROR(IF($C3="","",SUMIFS(Ledger!$K$2:$K$4, Ledger!$B$2:$B$4, $A3, Ledger!$C$2:$C$4, RRK$2)),"****")</f>
        <v/>
      </c>
      <c r="RRL3" t="str">
        <f>IFERROR(IF($C3="","",SUMIFS(Ledger!$K$2:$K$4, Ledger!$B$2:$B$4, $A3, Ledger!$C$2:$C$4, RRL$2)),"****")</f>
        <v/>
      </c>
      <c r="RRM3" t="str">
        <f>IFERROR(IF($C3="","",SUMIFS(Ledger!$K$2:$K$4, Ledger!$B$2:$B$4, $A3, Ledger!$C$2:$C$4, RRM$2)),"****")</f>
        <v/>
      </c>
      <c r="RRN3" t="str">
        <f>IFERROR(IF($C3="","",SUMIFS(Ledger!$K$2:$K$4, Ledger!$B$2:$B$4, $A3, Ledger!$C$2:$C$4, RRN$2)),"****")</f>
        <v/>
      </c>
      <c r="RRO3" t="str">
        <f>IFERROR(IF($C3="","",SUMIFS(Ledger!$K$2:$K$4, Ledger!$B$2:$B$4, $A3, Ledger!$C$2:$C$4, RRO$2)),"****")</f>
        <v/>
      </c>
      <c r="RRP3" t="str">
        <f>IFERROR(IF($C3="","",SUMIFS(Ledger!$K$2:$K$4, Ledger!$B$2:$B$4, $A3, Ledger!$C$2:$C$4, RRP$2)),"****")</f>
        <v/>
      </c>
      <c r="RRQ3" t="str">
        <f>IFERROR(IF($C3="","",SUMIFS(Ledger!$K$2:$K$4, Ledger!$B$2:$B$4, $A3, Ledger!$C$2:$C$4, RRQ$2)),"****")</f>
        <v/>
      </c>
      <c r="RRR3" t="str">
        <f>IFERROR(IF($C3="","",SUMIFS(Ledger!$K$2:$K$4, Ledger!$B$2:$B$4, $A3, Ledger!$C$2:$C$4, RRR$2)),"****")</f>
        <v/>
      </c>
      <c r="RRS3" t="str">
        <f>IFERROR(IF($C3="","",SUMIFS(Ledger!$K$2:$K$4, Ledger!$B$2:$B$4, $A3, Ledger!$C$2:$C$4, RRS$2)),"****")</f>
        <v/>
      </c>
      <c r="RRT3" t="str">
        <f>IFERROR(IF($C3="","",SUMIFS(Ledger!$K$2:$K$4, Ledger!$B$2:$B$4, $A3, Ledger!$C$2:$C$4, RRT$2)),"****")</f>
        <v/>
      </c>
      <c r="RRU3" t="str">
        <f>IFERROR(IF($C3="","",SUMIFS(Ledger!$K$2:$K$4, Ledger!$B$2:$B$4, $A3, Ledger!$C$2:$C$4, RRU$2)),"****")</f>
        <v/>
      </c>
      <c r="RRV3" t="str">
        <f>IFERROR(IF($C3="","",SUMIFS(Ledger!$K$2:$K$4, Ledger!$B$2:$B$4, $A3, Ledger!$C$2:$C$4, RRV$2)),"****")</f>
        <v/>
      </c>
      <c r="RRW3" t="str">
        <f>IFERROR(IF($C3="","",SUMIFS(Ledger!$K$2:$K$4, Ledger!$B$2:$B$4, $A3, Ledger!$C$2:$C$4, RRW$2)),"****")</f>
        <v/>
      </c>
      <c r="RRX3" t="str">
        <f>IFERROR(IF($C3="","",SUMIFS(Ledger!$K$2:$K$4, Ledger!$B$2:$B$4, $A3, Ledger!$C$2:$C$4, RRX$2)),"****")</f>
        <v/>
      </c>
      <c r="RRY3" t="str">
        <f>IFERROR(IF($C3="","",SUMIFS(Ledger!$K$2:$K$4, Ledger!$B$2:$B$4, $A3, Ledger!$C$2:$C$4, RRY$2)),"****")</f>
        <v/>
      </c>
      <c r="RRZ3" t="str">
        <f>IFERROR(IF($C3="","",SUMIFS(Ledger!$K$2:$K$4, Ledger!$B$2:$B$4, $A3, Ledger!$C$2:$C$4, RRZ$2)),"****")</f>
        <v/>
      </c>
      <c r="RSA3" t="str">
        <f>IFERROR(IF($C3="","",SUMIFS(Ledger!$K$2:$K$4, Ledger!$B$2:$B$4, $A3, Ledger!$C$2:$C$4, RSA$2)),"****")</f>
        <v/>
      </c>
      <c r="RSB3" t="str">
        <f>IFERROR(IF($C3="","",SUMIFS(Ledger!$K$2:$K$4, Ledger!$B$2:$B$4, $A3, Ledger!$C$2:$C$4, RSB$2)),"****")</f>
        <v/>
      </c>
      <c r="RSC3" t="str">
        <f>IFERROR(IF($C3="","",SUMIFS(Ledger!$K$2:$K$4, Ledger!$B$2:$B$4, $A3, Ledger!$C$2:$C$4, RSC$2)),"****")</f>
        <v/>
      </c>
      <c r="RSD3" t="str">
        <f>IFERROR(IF($C3="","",SUMIFS(Ledger!$K$2:$K$4, Ledger!$B$2:$B$4, $A3, Ledger!$C$2:$C$4, RSD$2)),"****")</f>
        <v/>
      </c>
      <c r="RSE3" t="str">
        <f>IFERROR(IF($C3="","",SUMIFS(Ledger!$K$2:$K$4, Ledger!$B$2:$B$4, $A3, Ledger!$C$2:$C$4, RSE$2)),"****")</f>
        <v/>
      </c>
      <c r="RSF3" t="str">
        <f>IFERROR(IF($C3="","",SUMIFS(Ledger!$K$2:$K$4, Ledger!$B$2:$B$4, $A3, Ledger!$C$2:$C$4, RSF$2)),"****")</f>
        <v/>
      </c>
      <c r="RSG3" t="str">
        <f>IFERROR(IF($C3="","",SUMIFS(Ledger!$K$2:$K$4, Ledger!$B$2:$B$4, $A3, Ledger!$C$2:$C$4, RSG$2)),"****")</f>
        <v/>
      </c>
      <c r="RSH3" t="str">
        <f>IFERROR(IF($C3="","",SUMIFS(Ledger!$K$2:$K$4, Ledger!$B$2:$B$4, $A3, Ledger!$C$2:$C$4, RSH$2)),"****")</f>
        <v/>
      </c>
      <c r="RSI3" t="str">
        <f>IFERROR(IF($C3="","",SUMIFS(Ledger!$K$2:$K$4, Ledger!$B$2:$B$4, $A3, Ledger!$C$2:$C$4, RSI$2)),"****")</f>
        <v/>
      </c>
      <c r="RSJ3" t="str">
        <f>IFERROR(IF($C3="","",SUMIFS(Ledger!$K$2:$K$4, Ledger!$B$2:$B$4, $A3, Ledger!$C$2:$C$4, RSJ$2)),"****")</f>
        <v/>
      </c>
      <c r="RSK3" t="str">
        <f>IFERROR(IF($C3="","",SUMIFS(Ledger!$K$2:$K$4, Ledger!$B$2:$B$4, $A3, Ledger!$C$2:$C$4, RSK$2)),"****")</f>
        <v/>
      </c>
      <c r="RSL3" t="str">
        <f>IFERROR(IF($C3="","",SUMIFS(Ledger!$K$2:$K$4, Ledger!$B$2:$B$4, $A3, Ledger!$C$2:$C$4, RSL$2)),"****")</f>
        <v/>
      </c>
      <c r="RSM3" t="str">
        <f>IFERROR(IF($C3="","",SUMIFS(Ledger!$K$2:$K$4, Ledger!$B$2:$B$4, $A3, Ledger!$C$2:$C$4, RSM$2)),"****")</f>
        <v/>
      </c>
      <c r="RSN3" t="str">
        <f>IFERROR(IF($C3="","",SUMIFS(Ledger!$K$2:$K$4, Ledger!$B$2:$B$4, $A3, Ledger!$C$2:$C$4, RSN$2)),"****")</f>
        <v/>
      </c>
      <c r="RSO3" t="str">
        <f>IFERROR(IF($C3="","",SUMIFS(Ledger!$K$2:$K$4, Ledger!$B$2:$B$4, $A3, Ledger!$C$2:$C$4, RSO$2)),"****")</f>
        <v/>
      </c>
      <c r="RSP3" t="str">
        <f>IFERROR(IF($C3="","",SUMIFS(Ledger!$K$2:$K$4, Ledger!$B$2:$B$4, $A3, Ledger!$C$2:$C$4, RSP$2)),"****")</f>
        <v/>
      </c>
      <c r="RSQ3" t="str">
        <f>IFERROR(IF($C3="","",SUMIFS(Ledger!$K$2:$K$4, Ledger!$B$2:$B$4, $A3, Ledger!$C$2:$C$4, RSQ$2)),"****")</f>
        <v/>
      </c>
      <c r="RSR3" t="str">
        <f>IFERROR(IF($C3="","",SUMIFS(Ledger!$K$2:$K$4, Ledger!$B$2:$B$4, $A3, Ledger!$C$2:$C$4, RSR$2)),"****")</f>
        <v/>
      </c>
      <c r="RSS3" t="str">
        <f>IFERROR(IF($C3="","",SUMIFS(Ledger!$K$2:$K$4, Ledger!$B$2:$B$4, $A3, Ledger!$C$2:$C$4, RSS$2)),"****")</f>
        <v/>
      </c>
      <c r="RST3" t="str">
        <f>IFERROR(IF($C3="","",SUMIFS(Ledger!$K$2:$K$4, Ledger!$B$2:$B$4, $A3, Ledger!$C$2:$C$4, RST$2)),"****")</f>
        <v/>
      </c>
      <c r="RSU3" t="str">
        <f>IFERROR(IF($C3="","",SUMIFS(Ledger!$K$2:$K$4, Ledger!$B$2:$B$4, $A3, Ledger!$C$2:$C$4, RSU$2)),"****")</f>
        <v/>
      </c>
      <c r="RSV3" t="str">
        <f>IFERROR(IF($C3="","",SUMIFS(Ledger!$K$2:$K$4, Ledger!$B$2:$B$4, $A3, Ledger!$C$2:$C$4, RSV$2)),"****")</f>
        <v/>
      </c>
      <c r="RSW3" t="str">
        <f>IFERROR(IF($C3="","",SUMIFS(Ledger!$K$2:$K$4, Ledger!$B$2:$B$4, $A3, Ledger!$C$2:$C$4, RSW$2)),"****")</f>
        <v/>
      </c>
      <c r="RSX3" t="str">
        <f>IFERROR(IF($C3="","",SUMIFS(Ledger!$K$2:$K$4, Ledger!$B$2:$B$4, $A3, Ledger!$C$2:$C$4, RSX$2)),"****")</f>
        <v/>
      </c>
      <c r="RSY3" t="str">
        <f>IFERROR(IF($C3="","",SUMIFS(Ledger!$K$2:$K$4, Ledger!$B$2:$B$4, $A3, Ledger!$C$2:$C$4, RSY$2)),"****")</f>
        <v/>
      </c>
      <c r="RSZ3" t="str">
        <f>IFERROR(IF($C3="","",SUMIFS(Ledger!$K$2:$K$4, Ledger!$B$2:$B$4, $A3, Ledger!$C$2:$C$4, RSZ$2)),"****")</f>
        <v/>
      </c>
      <c r="RTA3" t="str">
        <f>IFERROR(IF($C3="","",SUMIFS(Ledger!$K$2:$K$4, Ledger!$B$2:$B$4, $A3, Ledger!$C$2:$C$4, RTA$2)),"****")</f>
        <v/>
      </c>
      <c r="RTB3" t="str">
        <f>IFERROR(IF($C3="","",SUMIFS(Ledger!$K$2:$K$4, Ledger!$B$2:$B$4, $A3, Ledger!$C$2:$C$4, RTB$2)),"****")</f>
        <v/>
      </c>
      <c r="RTC3" t="str">
        <f>IFERROR(IF($C3="","",SUMIFS(Ledger!$K$2:$K$4, Ledger!$B$2:$B$4, $A3, Ledger!$C$2:$C$4, RTC$2)),"****")</f>
        <v/>
      </c>
      <c r="RTD3" t="str">
        <f>IFERROR(IF($C3="","",SUMIFS(Ledger!$K$2:$K$4, Ledger!$B$2:$B$4, $A3, Ledger!$C$2:$C$4, RTD$2)),"****")</f>
        <v/>
      </c>
      <c r="RTE3" t="str">
        <f>IFERROR(IF($C3="","",SUMIFS(Ledger!$K$2:$K$4, Ledger!$B$2:$B$4, $A3, Ledger!$C$2:$C$4, RTE$2)),"****")</f>
        <v/>
      </c>
      <c r="RTF3" t="str">
        <f>IFERROR(IF($C3="","",SUMIFS(Ledger!$K$2:$K$4, Ledger!$B$2:$B$4, $A3, Ledger!$C$2:$C$4, RTF$2)),"****")</f>
        <v/>
      </c>
      <c r="RTG3" t="str">
        <f>IFERROR(IF($C3="","",SUMIFS(Ledger!$K$2:$K$4, Ledger!$B$2:$B$4, $A3, Ledger!$C$2:$C$4, RTG$2)),"****")</f>
        <v/>
      </c>
      <c r="RTH3" t="str">
        <f>IFERROR(IF($C3="","",SUMIFS(Ledger!$K$2:$K$4, Ledger!$B$2:$B$4, $A3, Ledger!$C$2:$C$4, RTH$2)),"****")</f>
        <v/>
      </c>
      <c r="RTI3" t="str">
        <f>IFERROR(IF($C3="","",SUMIFS(Ledger!$K$2:$K$4, Ledger!$B$2:$B$4, $A3, Ledger!$C$2:$C$4, RTI$2)),"****")</f>
        <v/>
      </c>
      <c r="RTJ3" t="str">
        <f>IFERROR(IF($C3="","",SUMIFS(Ledger!$K$2:$K$4, Ledger!$B$2:$B$4, $A3, Ledger!$C$2:$C$4, RTJ$2)),"****")</f>
        <v/>
      </c>
      <c r="RTK3" t="str">
        <f>IFERROR(IF($C3="","",SUMIFS(Ledger!$K$2:$K$4, Ledger!$B$2:$B$4, $A3, Ledger!$C$2:$C$4, RTK$2)),"****")</f>
        <v/>
      </c>
      <c r="RTL3" t="str">
        <f>IFERROR(IF($C3="","",SUMIFS(Ledger!$K$2:$K$4, Ledger!$B$2:$B$4, $A3, Ledger!$C$2:$C$4, RTL$2)),"****")</f>
        <v/>
      </c>
      <c r="RTM3" t="str">
        <f>IFERROR(IF($C3="","",SUMIFS(Ledger!$K$2:$K$4, Ledger!$B$2:$B$4, $A3, Ledger!$C$2:$C$4, RTM$2)),"****")</f>
        <v/>
      </c>
      <c r="RTN3" t="str">
        <f>IFERROR(IF($C3="","",SUMIFS(Ledger!$K$2:$K$4, Ledger!$B$2:$B$4, $A3, Ledger!$C$2:$C$4, RTN$2)),"****")</f>
        <v/>
      </c>
      <c r="RTO3" t="str">
        <f>IFERROR(IF($C3="","",SUMIFS(Ledger!$K$2:$K$4, Ledger!$B$2:$B$4, $A3, Ledger!$C$2:$C$4, RTO$2)),"****")</f>
        <v/>
      </c>
      <c r="RTP3" t="str">
        <f>IFERROR(IF($C3="","",SUMIFS(Ledger!$K$2:$K$4, Ledger!$B$2:$B$4, $A3, Ledger!$C$2:$C$4, RTP$2)),"****")</f>
        <v/>
      </c>
      <c r="RTQ3" t="str">
        <f>IFERROR(IF($C3="","",SUMIFS(Ledger!$K$2:$K$4, Ledger!$B$2:$B$4, $A3, Ledger!$C$2:$C$4, RTQ$2)),"****")</f>
        <v/>
      </c>
      <c r="RTR3" t="str">
        <f>IFERROR(IF($C3="","",SUMIFS(Ledger!$K$2:$K$4, Ledger!$B$2:$B$4, $A3, Ledger!$C$2:$C$4, RTR$2)),"****")</f>
        <v/>
      </c>
      <c r="RTS3" t="str">
        <f>IFERROR(IF($C3="","",SUMIFS(Ledger!$K$2:$K$4, Ledger!$B$2:$B$4, $A3, Ledger!$C$2:$C$4, RTS$2)),"****")</f>
        <v/>
      </c>
      <c r="RTT3" t="str">
        <f>IFERROR(IF($C3="","",SUMIFS(Ledger!$K$2:$K$4, Ledger!$B$2:$B$4, $A3, Ledger!$C$2:$C$4, RTT$2)),"****")</f>
        <v/>
      </c>
      <c r="RTU3" t="str">
        <f>IFERROR(IF($C3="","",SUMIFS(Ledger!$K$2:$K$4, Ledger!$B$2:$B$4, $A3, Ledger!$C$2:$C$4, RTU$2)),"****")</f>
        <v/>
      </c>
      <c r="RTV3" t="str">
        <f>IFERROR(IF($C3="","",SUMIFS(Ledger!$K$2:$K$4, Ledger!$B$2:$B$4, $A3, Ledger!$C$2:$C$4, RTV$2)),"****")</f>
        <v/>
      </c>
      <c r="RTW3" t="str">
        <f>IFERROR(IF($C3="","",SUMIFS(Ledger!$K$2:$K$4, Ledger!$B$2:$B$4, $A3, Ledger!$C$2:$C$4, RTW$2)),"****")</f>
        <v/>
      </c>
      <c r="RTX3" t="str">
        <f>IFERROR(IF($C3="","",SUMIFS(Ledger!$K$2:$K$4, Ledger!$B$2:$B$4, $A3, Ledger!$C$2:$C$4, RTX$2)),"****")</f>
        <v/>
      </c>
      <c r="RTY3" t="str">
        <f>IFERROR(IF($C3="","",SUMIFS(Ledger!$K$2:$K$4, Ledger!$B$2:$B$4, $A3, Ledger!$C$2:$C$4, RTY$2)),"****")</f>
        <v/>
      </c>
      <c r="RTZ3" t="str">
        <f>IFERROR(IF($C3="","",SUMIFS(Ledger!$K$2:$K$4, Ledger!$B$2:$B$4, $A3, Ledger!$C$2:$C$4, RTZ$2)),"****")</f>
        <v/>
      </c>
      <c r="RUA3" t="str">
        <f>IFERROR(IF($C3="","",SUMIFS(Ledger!$K$2:$K$4, Ledger!$B$2:$B$4, $A3, Ledger!$C$2:$C$4, RUA$2)),"****")</f>
        <v/>
      </c>
      <c r="RUB3" t="str">
        <f>IFERROR(IF($C3="","",SUMIFS(Ledger!$K$2:$K$4, Ledger!$B$2:$B$4, $A3, Ledger!$C$2:$C$4, RUB$2)),"****")</f>
        <v/>
      </c>
      <c r="RUC3" t="str">
        <f>IFERROR(IF($C3="","",SUMIFS(Ledger!$K$2:$K$4, Ledger!$B$2:$B$4, $A3, Ledger!$C$2:$C$4, RUC$2)),"****")</f>
        <v/>
      </c>
      <c r="RUD3" t="str">
        <f>IFERROR(IF($C3="","",SUMIFS(Ledger!$K$2:$K$4, Ledger!$B$2:$B$4, $A3, Ledger!$C$2:$C$4, RUD$2)),"****")</f>
        <v/>
      </c>
      <c r="RUE3" t="str">
        <f>IFERROR(IF($C3="","",SUMIFS(Ledger!$K$2:$K$4, Ledger!$B$2:$B$4, $A3, Ledger!$C$2:$C$4, RUE$2)),"****")</f>
        <v/>
      </c>
      <c r="RUF3" t="str">
        <f>IFERROR(IF($C3="","",SUMIFS(Ledger!$K$2:$K$4, Ledger!$B$2:$B$4, $A3, Ledger!$C$2:$C$4, RUF$2)),"****")</f>
        <v/>
      </c>
      <c r="RUG3" t="str">
        <f>IFERROR(IF($C3="","",SUMIFS(Ledger!$K$2:$K$4, Ledger!$B$2:$B$4, $A3, Ledger!$C$2:$C$4, RUG$2)),"****")</f>
        <v/>
      </c>
      <c r="RUH3" t="str">
        <f>IFERROR(IF($C3="","",SUMIFS(Ledger!$K$2:$K$4, Ledger!$B$2:$B$4, $A3, Ledger!$C$2:$C$4, RUH$2)),"****")</f>
        <v/>
      </c>
      <c r="RUI3" t="str">
        <f>IFERROR(IF($C3="","",SUMIFS(Ledger!$K$2:$K$4, Ledger!$B$2:$B$4, $A3, Ledger!$C$2:$C$4, RUI$2)),"****")</f>
        <v/>
      </c>
      <c r="RUJ3" t="str">
        <f>IFERROR(IF($C3="","",SUMIFS(Ledger!$K$2:$K$4, Ledger!$B$2:$B$4, $A3, Ledger!$C$2:$C$4, RUJ$2)),"****")</f>
        <v/>
      </c>
      <c r="RUK3" t="str">
        <f>IFERROR(IF($C3="","",SUMIFS(Ledger!$K$2:$K$4, Ledger!$B$2:$B$4, $A3, Ledger!$C$2:$C$4, RUK$2)),"****")</f>
        <v/>
      </c>
      <c r="RUL3" t="str">
        <f>IFERROR(IF($C3="","",SUMIFS(Ledger!$K$2:$K$4, Ledger!$B$2:$B$4, $A3, Ledger!$C$2:$C$4, RUL$2)),"****")</f>
        <v/>
      </c>
      <c r="RUM3" t="str">
        <f>IFERROR(IF($C3="","",SUMIFS(Ledger!$K$2:$K$4, Ledger!$B$2:$B$4, $A3, Ledger!$C$2:$C$4, RUM$2)),"****")</f>
        <v/>
      </c>
      <c r="RUN3" t="str">
        <f>IFERROR(IF($C3="","",SUMIFS(Ledger!$K$2:$K$4, Ledger!$B$2:$B$4, $A3, Ledger!$C$2:$C$4, RUN$2)),"****")</f>
        <v/>
      </c>
      <c r="RUO3" t="str">
        <f>IFERROR(IF($C3="","",SUMIFS(Ledger!$K$2:$K$4, Ledger!$B$2:$B$4, $A3, Ledger!$C$2:$C$4, RUO$2)),"****")</f>
        <v/>
      </c>
      <c r="RUP3" t="str">
        <f>IFERROR(IF($C3="","",SUMIFS(Ledger!$K$2:$K$4, Ledger!$B$2:$B$4, $A3, Ledger!$C$2:$C$4, RUP$2)),"****")</f>
        <v/>
      </c>
      <c r="RUQ3" t="str">
        <f>IFERROR(IF($C3="","",SUMIFS(Ledger!$K$2:$K$4, Ledger!$B$2:$B$4, $A3, Ledger!$C$2:$C$4, RUQ$2)),"****")</f>
        <v/>
      </c>
      <c r="RUR3" t="str">
        <f>IFERROR(IF($C3="","",SUMIFS(Ledger!$K$2:$K$4, Ledger!$B$2:$B$4, $A3, Ledger!$C$2:$C$4, RUR$2)),"****")</f>
        <v/>
      </c>
      <c r="RUS3" t="str">
        <f>IFERROR(IF($C3="","",SUMIFS(Ledger!$K$2:$K$4, Ledger!$B$2:$B$4, $A3, Ledger!$C$2:$C$4, RUS$2)),"****")</f>
        <v/>
      </c>
      <c r="RUT3" t="str">
        <f>IFERROR(IF($C3="","",SUMIFS(Ledger!$K$2:$K$4, Ledger!$B$2:$B$4, $A3, Ledger!$C$2:$C$4, RUT$2)),"****")</f>
        <v/>
      </c>
      <c r="RUU3" t="str">
        <f>IFERROR(IF($C3="","",SUMIFS(Ledger!$K$2:$K$4, Ledger!$B$2:$B$4, $A3, Ledger!$C$2:$C$4, RUU$2)),"****")</f>
        <v/>
      </c>
      <c r="RUV3" t="str">
        <f>IFERROR(IF($C3="","",SUMIFS(Ledger!$K$2:$K$4, Ledger!$B$2:$B$4, $A3, Ledger!$C$2:$C$4, RUV$2)),"****")</f>
        <v/>
      </c>
      <c r="RUW3" t="str">
        <f>IFERROR(IF($C3="","",SUMIFS(Ledger!$K$2:$K$4, Ledger!$B$2:$B$4, $A3, Ledger!$C$2:$C$4, RUW$2)),"****")</f>
        <v/>
      </c>
      <c r="RUX3" t="str">
        <f>IFERROR(IF($C3="","",SUMIFS(Ledger!$K$2:$K$4, Ledger!$B$2:$B$4, $A3, Ledger!$C$2:$C$4, RUX$2)),"****")</f>
        <v/>
      </c>
      <c r="RUY3" t="str">
        <f>IFERROR(IF($C3="","",SUMIFS(Ledger!$K$2:$K$4, Ledger!$B$2:$B$4, $A3, Ledger!$C$2:$C$4, RUY$2)),"****")</f>
        <v/>
      </c>
      <c r="RUZ3" t="str">
        <f>IFERROR(IF($C3="","",SUMIFS(Ledger!$K$2:$K$4, Ledger!$B$2:$B$4, $A3, Ledger!$C$2:$C$4, RUZ$2)),"****")</f>
        <v/>
      </c>
      <c r="RVA3" t="str">
        <f>IFERROR(IF($C3="","",SUMIFS(Ledger!$K$2:$K$4, Ledger!$B$2:$B$4, $A3, Ledger!$C$2:$C$4, RVA$2)),"****")</f>
        <v/>
      </c>
      <c r="RVB3" t="str">
        <f>IFERROR(IF($C3="","",SUMIFS(Ledger!$K$2:$K$4, Ledger!$B$2:$B$4, $A3, Ledger!$C$2:$C$4, RVB$2)),"****")</f>
        <v/>
      </c>
      <c r="RVC3" t="str">
        <f>IFERROR(IF($C3="","",SUMIFS(Ledger!$K$2:$K$4, Ledger!$B$2:$B$4, $A3, Ledger!$C$2:$C$4, RVC$2)),"****")</f>
        <v/>
      </c>
      <c r="RVD3" t="str">
        <f>IFERROR(IF($C3="","",SUMIFS(Ledger!$K$2:$K$4, Ledger!$B$2:$B$4, $A3, Ledger!$C$2:$C$4, RVD$2)),"****")</f>
        <v/>
      </c>
      <c r="RVE3" t="str">
        <f>IFERROR(IF($C3="","",SUMIFS(Ledger!$K$2:$K$4, Ledger!$B$2:$B$4, $A3, Ledger!$C$2:$C$4, RVE$2)),"****")</f>
        <v/>
      </c>
      <c r="RVF3" t="str">
        <f>IFERROR(IF($C3="","",SUMIFS(Ledger!$K$2:$K$4, Ledger!$B$2:$B$4, $A3, Ledger!$C$2:$C$4, RVF$2)),"****")</f>
        <v/>
      </c>
      <c r="RVG3" t="str">
        <f>IFERROR(IF($C3="","",SUMIFS(Ledger!$K$2:$K$4, Ledger!$B$2:$B$4, $A3, Ledger!$C$2:$C$4, RVG$2)),"****")</f>
        <v/>
      </c>
      <c r="RVH3" t="str">
        <f>IFERROR(IF($C3="","",SUMIFS(Ledger!$K$2:$K$4, Ledger!$B$2:$B$4, $A3, Ledger!$C$2:$C$4, RVH$2)),"****")</f>
        <v/>
      </c>
      <c r="RVI3" t="str">
        <f>IFERROR(IF($C3="","",SUMIFS(Ledger!$K$2:$K$4, Ledger!$B$2:$B$4, $A3, Ledger!$C$2:$C$4, RVI$2)),"****")</f>
        <v/>
      </c>
      <c r="RVJ3" t="str">
        <f>IFERROR(IF($C3="","",SUMIFS(Ledger!$K$2:$K$4, Ledger!$B$2:$B$4, $A3, Ledger!$C$2:$C$4, RVJ$2)),"****")</f>
        <v/>
      </c>
      <c r="RVK3" t="str">
        <f>IFERROR(IF($C3="","",SUMIFS(Ledger!$K$2:$K$4, Ledger!$B$2:$B$4, $A3, Ledger!$C$2:$C$4, RVK$2)),"****")</f>
        <v/>
      </c>
      <c r="RVL3" t="str">
        <f>IFERROR(IF($C3="","",SUMIFS(Ledger!$K$2:$K$4, Ledger!$B$2:$B$4, $A3, Ledger!$C$2:$C$4, RVL$2)),"****")</f>
        <v/>
      </c>
      <c r="RVM3" t="str">
        <f>IFERROR(IF($C3="","",SUMIFS(Ledger!$K$2:$K$4, Ledger!$B$2:$B$4, $A3, Ledger!$C$2:$C$4, RVM$2)),"****")</f>
        <v/>
      </c>
      <c r="RVN3" t="str">
        <f>IFERROR(IF($C3="","",SUMIFS(Ledger!$K$2:$K$4, Ledger!$B$2:$B$4, $A3, Ledger!$C$2:$C$4, RVN$2)),"****")</f>
        <v/>
      </c>
      <c r="RVO3" t="str">
        <f>IFERROR(IF($C3="","",SUMIFS(Ledger!$K$2:$K$4, Ledger!$B$2:$B$4, $A3, Ledger!$C$2:$C$4, RVO$2)),"****")</f>
        <v/>
      </c>
      <c r="RVP3" t="str">
        <f>IFERROR(IF($C3="","",SUMIFS(Ledger!$K$2:$K$4, Ledger!$B$2:$B$4, $A3, Ledger!$C$2:$C$4, RVP$2)),"****")</f>
        <v/>
      </c>
      <c r="RVQ3" t="str">
        <f>IFERROR(IF($C3="","",SUMIFS(Ledger!$K$2:$K$4, Ledger!$B$2:$B$4, $A3, Ledger!$C$2:$C$4, RVQ$2)),"****")</f>
        <v/>
      </c>
      <c r="RVR3" t="str">
        <f>IFERROR(IF($C3="","",SUMIFS(Ledger!$K$2:$K$4, Ledger!$B$2:$B$4, $A3, Ledger!$C$2:$C$4, RVR$2)),"****")</f>
        <v/>
      </c>
      <c r="RVS3" t="str">
        <f>IFERROR(IF($C3="","",SUMIFS(Ledger!$K$2:$K$4, Ledger!$B$2:$B$4, $A3, Ledger!$C$2:$C$4, RVS$2)),"****")</f>
        <v/>
      </c>
      <c r="RVT3" t="str">
        <f>IFERROR(IF($C3="","",SUMIFS(Ledger!$K$2:$K$4, Ledger!$B$2:$B$4, $A3, Ledger!$C$2:$C$4, RVT$2)),"****")</f>
        <v/>
      </c>
      <c r="RVU3" t="str">
        <f>IFERROR(IF($C3="","",SUMIFS(Ledger!$K$2:$K$4, Ledger!$B$2:$B$4, $A3, Ledger!$C$2:$C$4, RVU$2)),"****")</f>
        <v/>
      </c>
      <c r="RVV3" t="str">
        <f>IFERROR(IF($C3="","",SUMIFS(Ledger!$K$2:$K$4, Ledger!$B$2:$B$4, $A3, Ledger!$C$2:$C$4, RVV$2)),"****")</f>
        <v/>
      </c>
      <c r="RVW3" t="str">
        <f>IFERROR(IF($C3="","",SUMIFS(Ledger!$K$2:$K$4, Ledger!$B$2:$B$4, $A3, Ledger!$C$2:$C$4, RVW$2)),"****")</f>
        <v/>
      </c>
      <c r="RVX3" t="str">
        <f>IFERROR(IF($C3="","",SUMIFS(Ledger!$K$2:$K$4, Ledger!$B$2:$B$4, $A3, Ledger!$C$2:$C$4, RVX$2)),"****")</f>
        <v/>
      </c>
      <c r="RVY3" t="str">
        <f>IFERROR(IF($C3="","",SUMIFS(Ledger!$K$2:$K$4, Ledger!$B$2:$B$4, $A3, Ledger!$C$2:$C$4, RVY$2)),"****")</f>
        <v/>
      </c>
      <c r="RVZ3" t="str">
        <f>IFERROR(IF($C3="","",SUMIFS(Ledger!$K$2:$K$4, Ledger!$B$2:$B$4, $A3, Ledger!$C$2:$C$4, RVZ$2)),"****")</f>
        <v/>
      </c>
      <c r="RWA3" t="str">
        <f>IFERROR(IF($C3="","",SUMIFS(Ledger!$K$2:$K$4, Ledger!$B$2:$B$4, $A3, Ledger!$C$2:$C$4, RWA$2)),"****")</f>
        <v/>
      </c>
      <c r="RWB3" t="str">
        <f>IFERROR(IF($C3="","",SUMIFS(Ledger!$K$2:$K$4, Ledger!$B$2:$B$4, $A3, Ledger!$C$2:$C$4, RWB$2)),"****")</f>
        <v/>
      </c>
      <c r="RWC3" t="str">
        <f>IFERROR(IF($C3="","",SUMIFS(Ledger!$K$2:$K$4, Ledger!$B$2:$B$4, $A3, Ledger!$C$2:$C$4, RWC$2)),"****")</f>
        <v/>
      </c>
      <c r="RWD3" t="str">
        <f>IFERROR(IF($C3="","",SUMIFS(Ledger!$K$2:$K$4, Ledger!$B$2:$B$4, $A3, Ledger!$C$2:$C$4, RWD$2)),"****")</f>
        <v/>
      </c>
      <c r="RWE3" t="str">
        <f>IFERROR(IF($C3="","",SUMIFS(Ledger!$K$2:$K$4, Ledger!$B$2:$B$4, $A3, Ledger!$C$2:$C$4, RWE$2)),"****")</f>
        <v/>
      </c>
      <c r="RWF3" t="str">
        <f>IFERROR(IF($C3="","",SUMIFS(Ledger!$K$2:$K$4, Ledger!$B$2:$B$4, $A3, Ledger!$C$2:$C$4, RWF$2)),"****")</f>
        <v/>
      </c>
      <c r="RWG3" t="str">
        <f>IFERROR(IF($C3="","",SUMIFS(Ledger!$K$2:$K$4, Ledger!$B$2:$B$4, $A3, Ledger!$C$2:$C$4, RWG$2)),"****")</f>
        <v/>
      </c>
      <c r="RWH3" t="str">
        <f>IFERROR(IF($C3="","",SUMIFS(Ledger!$K$2:$K$4, Ledger!$B$2:$B$4, $A3, Ledger!$C$2:$C$4, RWH$2)),"****")</f>
        <v/>
      </c>
      <c r="RWI3" t="str">
        <f>IFERROR(IF($C3="","",SUMIFS(Ledger!$K$2:$K$4, Ledger!$B$2:$B$4, $A3, Ledger!$C$2:$C$4, RWI$2)),"****")</f>
        <v/>
      </c>
      <c r="RWJ3" t="str">
        <f>IFERROR(IF($C3="","",SUMIFS(Ledger!$K$2:$K$4, Ledger!$B$2:$B$4, $A3, Ledger!$C$2:$C$4, RWJ$2)),"****")</f>
        <v/>
      </c>
      <c r="RWK3" t="str">
        <f>IFERROR(IF($C3="","",SUMIFS(Ledger!$K$2:$K$4, Ledger!$B$2:$B$4, $A3, Ledger!$C$2:$C$4, RWK$2)),"****")</f>
        <v/>
      </c>
      <c r="RWL3" t="str">
        <f>IFERROR(IF($C3="","",SUMIFS(Ledger!$K$2:$K$4, Ledger!$B$2:$B$4, $A3, Ledger!$C$2:$C$4, RWL$2)),"****")</f>
        <v/>
      </c>
      <c r="RWM3" t="str">
        <f>IFERROR(IF($C3="","",SUMIFS(Ledger!$K$2:$K$4, Ledger!$B$2:$B$4, $A3, Ledger!$C$2:$C$4, RWM$2)),"****")</f>
        <v/>
      </c>
      <c r="RWN3" t="str">
        <f>IFERROR(IF($C3="","",SUMIFS(Ledger!$K$2:$K$4, Ledger!$B$2:$B$4, $A3, Ledger!$C$2:$C$4, RWN$2)),"****")</f>
        <v/>
      </c>
      <c r="RWO3" t="str">
        <f>IFERROR(IF($C3="","",SUMIFS(Ledger!$K$2:$K$4, Ledger!$B$2:$B$4, $A3, Ledger!$C$2:$C$4, RWO$2)),"****")</f>
        <v/>
      </c>
      <c r="RWP3" t="str">
        <f>IFERROR(IF($C3="","",SUMIFS(Ledger!$K$2:$K$4, Ledger!$B$2:$B$4, $A3, Ledger!$C$2:$C$4, RWP$2)),"****")</f>
        <v/>
      </c>
      <c r="RWQ3" t="str">
        <f>IFERROR(IF($C3="","",SUMIFS(Ledger!$K$2:$K$4, Ledger!$B$2:$B$4, $A3, Ledger!$C$2:$C$4, RWQ$2)),"****")</f>
        <v/>
      </c>
      <c r="RWR3" t="str">
        <f>IFERROR(IF($C3="","",SUMIFS(Ledger!$K$2:$K$4, Ledger!$B$2:$B$4, $A3, Ledger!$C$2:$C$4, RWR$2)),"****")</f>
        <v/>
      </c>
      <c r="RWS3" t="str">
        <f>IFERROR(IF($C3="","",SUMIFS(Ledger!$K$2:$K$4, Ledger!$B$2:$B$4, $A3, Ledger!$C$2:$C$4, RWS$2)),"****")</f>
        <v/>
      </c>
      <c r="RWT3" t="str">
        <f>IFERROR(IF($C3="","",SUMIFS(Ledger!$K$2:$K$4, Ledger!$B$2:$B$4, $A3, Ledger!$C$2:$C$4, RWT$2)),"****")</f>
        <v/>
      </c>
      <c r="RWU3" t="str">
        <f>IFERROR(IF($C3="","",SUMIFS(Ledger!$K$2:$K$4, Ledger!$B$2:$B$4, $A3, Ledger!$C$2:$C$4, RWU$2)),"****")</f>
        <v/>
      </c>
      <c r="RWV3" t="str">
        <f>IFERROR(IF($C3="","",SUMIFS(Ledger!$K$2:$K$4, Ledger!$B$2:$B$4, $A3, Ledger!$C$2:$C$4, RWV$2)),"****")</f>
        <v/>
      </c>
      <c r="RWW3" t="str">
        <f>IFERROR(IF($C3="","",SUMIFS(Ledger!$K$2:$K$4, Ledger!$B$2:$B$4, $A3, Ledger!$C$2:$C$4, RWW$2)),"****")</f>
        <v/>
      </c>
      <c r="RWX3" t="str">
        <f>IFERROR(IF($C3="","",SUMIFS(Ledger!$K$2:$K$4, Ledger!$B$2:$B$4, $A3, Ledger!$C$2:$C$4, RWX$2)),"****")</f>
        <v/>
      </c>
      <c r="RWY3" t="str">
        <f>IFERROR(IF($C3="","",SUMIFS(Ledger!$K$2:$K$4, Ledger!$B$2:$B$4, $A3, Ledger!$C$2:$C$4, RWY$2)),"****")</f>
        <v/>
      </c>
      <c r="RWZ3" t="str">
        <f>IFERROR(IF($C3="","",SUMIFS(Ledger!$K$2:$K$4, Ledger!$B$2:$B$4, $A3, Ledger!$C$2:$C$4, RWZ$2)),"****")</f>
        <v/>
      </c>
      <c r="RXA3" t="str">
        <f>IFERROR(IF($C3="","",SUMIFS(Ledger!$K$2:$K$4, Ledger!$B$2:$B$4, $A3, Ledger!$C$2:$C$4, RXA$2)),"****")</f>
        <v/>
      </c>
      <c r="RXB3" t="str">
        <f>IFERROR(IF($C3="","",SUMIFS(Ledger!$K$2:$K$4, Ledger!$B$2:$B$4, $A3, Ledger!$C$2:$C$4, RXB$2)),"****")</f>
        <v/>
      </c>
      <c r="RXC3" t="str">
        <f>IFERROR(IF($C3="","",SUMIFS(Ledger!$K$2:$K$4, Ledger!$B$2:$B$4, $A3, Ledger!$C$2:$C$4, RXC$2)),"****")</f>
        <v/>
      </c>
      <c r="RXD3" t="str">
        <f>IFERROR(IF($C3="","",SUMIFS(Ledger!$K$2:$K$4, Ledger!$B$2:$B$4, $A3, Ledger!$C$2:$C$4, RXD$2)),"****")</f>
        <v/>
      </c>
      <c r="RXE3" t="str">
        <f>IFERROR(IF($C3="","",SUMIFS(Ledger!$K$2:$K$4, Ledger!$B$2:$B$4, $A3, Ledger!$C$2:$C$4, RXE$2)),"****")</f>
        <v/>
      </c>
      <c r="RXF3" t="str">
        <f>IFERROR(IF($C3="","",SUMIFS(Ledger!$K$2:$K$4, Ledger!$B$2:$B$4, $A3, Ledger!$C$2:$C$4, RXF$2)),"****")</f>
        <v/>
      </c>
      <c r="RXG3" t="str">
        <f>IFERROR(IF($C3="","",SUMIFS(Ledger!$K$2:$K$4, Ledger!$B$2:$B$4, $A3, Ledger!$C$2:$C$4, RXG$2)),"****")</f>
        <v/>
      </c>
      <c r="RXH3" t="str">
        <f>IFERROR(IF($C3="","",SUMIFS(Ledger!$K$2:$K$4, Ledger!$B$2:$B$4, $A3, Ledger!$C$2:$C$4, RXH$2)),"****")</f>
        <v/>
      </c>
      <c r="RXI3" t="str">
        <f>IFERROR(IF($C3="","",SUMIFS(Ledger!$K$2:$K$4, Ledger!$B$2:$B$4, $A3, Ledger!$C$2:$C$4, RXI$2)),"****")</f>
        <v/>
      </c>
      <c r="RXJ3" t="str">
        <f>IFERROR(IF($C3="","",SUMIFS(Ledger!$K$2:$K$4, Ledger!$B$2:$B$4, $A3, Ledger!$C$2:$C$4, RXJ$2)),"****")</f>
        <v/>
      </c>
      <c r="RXK3" t="str">
        <f>IFERROR(IF($C3="","",SUMIFS(Ledger!$K$2:$K$4, Ledger!$B$2:$B$4, $A3, Ledger!$C$2:$C$4, RXK$2)),"****")</f>
        <v/>
      </c>
      <c r="RXL3" t="str">
        <f>IFERROR(IF($C3="","",SUMIFS(Ledger!$K$2:$K$4, Ledger!$B$2:$B$4, $A3, Ledger!$C$2:$C$4, RXL$2)),"****")</f>
        <v/>
      </c>
      <c r="RXM3" t="str">
        <f>IFERROR(IF($C3="","",SUMIFS(Ledger!$K$2:$K$4, Ledger!$B$2:$B$4, $A3, Ledger!$C$2:$C$4, RXM$2)),"****")</f>
        <v/>
      </c>
      <c r="RXN3" t="str">
        <f>IFERROR(IF($C3="","",SUMIFS(Ledger!$K$2:$K$4, Ledger!$B$2:$B$4, $A3, Ledger!$C$2:$C$4, RXN$2)),"****")</f>
        <v/>
      </c>
      <c r="RXO3" t="str">
        <f>IFERROR(IF($C3="","",SUMIFS(Ledger!$K$2:$K$4, Ledger!$B$2:$B$4, $A3, Ledger!$C$2:$C$4, RXO$2)),"****")</f>
        <v/>
      </c>
      <c r="RXP3" t="str">
        <f>IFERROR(IF($C3="","",SUMIFS(Ledger!$K$2:$K$4, Ledger!$B$2:$B$4, $A3, Ledger!$C$2:$C$4, RXP$2)),"****")</f>
        <v/>
      </c>
      <c r="RXQ3" t="str">
        <f>IFERROR(IF($C3="","",SUMIFS(Ledger!$K$2:$K$4, Ledger!$B$2:$B$4, $A3, Ledger!$C$2:$C$4, RXQ$2)),"****")</f>
        <v/>
      </c>
      <c r="RXR3" t="str">
        <f>IFERROR(IF($C3="","",SUMIFS(Ledger!$K$2:$K$4, Ledger!$B$2:$B$4, $A3, Ledger!$C$2:$C$4, RXR$2)),"****")</f>
        <v/>
      </c>
      <c r="RXS3" t="str">
        <f>IFERROR(IF($C3="","",SUMIFS(Ledger!$K$2:$K$4, Ledger!$B$2:$B$4, $A3, Ledger!$C$2:$C$4, RXS$2)),"****")</f>
        <v/>
      </c>
      <c r="RXT3" t="str">
        <f>IFERROR(IF($C3="","",SUMIFS(Ledger!$K$2:$K$4, Ledger!$B$2:$B$4, $A3, Ledger!$C$2:$C$4, RXT$2)),"****")</f>
        <v/>
      </c>
      <c r="RXU3" t="str">
        <f>IFERROR(IF($C3="","",SUMIFS(Ledger!$K$2:$K$4, Ledger!$B$2:$B$4, $A3, Ledger!$C$2:$C$4, RXU$2)),"****")</f>
        <v/>
      </c>
      <c r="RXV3" t="str">
        <f>IFERROR(IF($C3="","",SUMIFS(Ledger!$K$2:$K$4, Ledger!$B$2:$B$4, $A3, Ledger!$C$2:$C$4, RXV$2)),"****")</f>
        <v/>
      </c>
      <c r="RXW3" t="str">
        <f>IFERROR(IF($C3="","",SUMIFS(Ledger!$K$2:$K$4, Ledger!$B$2:$B$4, $A3, Ledger!$C$2:$C$4, RXW$2)),"****")</f>
        <v/>
      </c>
      <c r="RXX3" t="str">
        <f>IFERROR(IF($C3="","",SUMIFS(Ledger!$K$2:$K$4, Ledger!$B$2:$B$4, $A3, Ledger!$C$2:$C$4, RXX$2)),"****")</f>
        <v/>
      </c>
      <c r="RXY3" t="str">
        <f>IFERROR(IF($C3="","",SUMIFS(Ledger!$K$2:$K$4, Ledger!$B$2:$B$4, $A3, Ledger!$C$2:$C$4, RXY$2)),"****")</f>
        <v/>
      </c>
      <c r="RXZ3" t="str">
        <f>IFERROR(IF($C3="","",SUMIFS(Ledger!$K$2:$K$4, Ledger!$B$2:$B$4, $A3, Ledger!$C$2:$C$4, RXZ$2)),"****")</f>
        <v/>
      </c>
      <c r="RYA3" t="str">
        <f>IFERROR(IF($C3="","",SUMIFS(Ledger!$K$2:$K$4, Ledger!$B$2:$B$4, $A3, Ledger!$C$2:$C$4, RYA$2)),"****")</f>
        <v/>
      </c>
      <c r="RYB3" t="str">
        <f>IFERROR(IF($C3="","",SUMIFS(Ledger!$K$2:$K$4, Ledger!$B$2:$B$4, $A3, Ledger!$C$2:$C$4, RYB$2)),"****")</f>
        <v/>
      </c>
      <c r="RYC3" t="str">
        <f>IFERROR(IF($C3="","",SUMIFS(Ledger!$K$2:$K$4, Ledger!$B$2:$B$4, $A3, Ledger!$C$2:$C$4, RYC$2)),"****")</f>
        <v/>
      </c>
      <c r="RYD3" t="str">
        <f>IFERROR(IF($C3="","",SUMIFS(Ledger!$K$2:$K$4, Ledger!$B$2:$B$4, $A3, Ledger!$C$2:$C$4, RYD$2)),"****")</f>
        <v/>
      </c>
      <c r="RYE3" t="str">
        <f>IFERROR(IF($C3="","",SUMIFS(Ledger!$K$2:$K$4, Ledger!$B$2:$B$4, $A3, Ledger!$C$2:$C$4, RYE$2)),"****")</f>
        <v/>
      </c>
      <c r="RYF3" t="str">
        <f>IFERROR(IF($C3="","",SUMIFS(Ledger!$K$2:$K$4, Ledger!$B$2:$B$4, $A3, Ledger!$C$2:$C$4, RYF$2)),"****")</f>
        <v/>
      </c>
      <c r="RYG3" t="str">
        <f>IFERROR(IF($C3="","",SUMIFS(Ledger!$K$2:$K$4, Ledger!$B$2:$B$4, $A3, Ledger!$C$2:$C$4, RYG$2)),"****")</f>
        <v/>
      </c>
      <c r="RYH3" t="str">
        <f>IFERROR(IF($C3="","",SUMIFS(Ledger!$K$2:$K$4, Ledger!$B$2:$B$4, $A3, Ledger!$C$2:$C$4, RYH$2)),"****")</f>
        <v/>
      </c>
      <c r="RYI3" t="str">
        <f>IFERROR(IF($C3="","",SUMIFS(Ledger!$K$2:$K$4, Ledger!$B$2:$B$4, $A3, Ledger!$C$2:$C$4, RYI$2)),"****")</f>
        <v/>
      </c>
      <c r="RYJ3" t="str">
        <f>IFERROR(IF($C3="","",SUMIFS(Ledger!$K$2:$K$4, Ledger!$B$2:$B$4, $A3, Ledger!$C$2:$C$4, RYJ$2)),"****")</f>
        <v/>
      </c>
      <c r="RYK3" t="str">
        <f>IFERROR(IF($C3="","",SUMIFS(Ledger!$K$2:$K$4, Ledger!$B$2:$B$4, $A3, Ledger!$C$2:$C$4, RYK$2)),"****")</f>
        <v/>
      </c>
      <c r="RYL3" t="str">
        <f>IFERROR(IF($C3="","",SUMIFS(Ledger!$K$2:$K$4, Ledger!$B$2:$B$4, $A3, Ledger!$C$2:$C$4, RYL$2)),"****")</f>
        <v/>
      </c>
      <c r="RYM3" t="str">
        <f>IFERROR(IF($C3="","",SUMIFS(Ledger!$K$2:$K$4, Ledger!$B$2:$B$4, $A3, Ledger!$C$2:$C$4, RYM$2)),"****")</f>
        <v/>
      </c>
      <c r="RYN3" t="str">
        <f>IFERROR(IF($C3="","",SUMIFS(Ledger!$K$2:$K$4, Ledger!$B$2:$B$4, $A3, Ledger!$C$2:$C$4, RYN$2)),"****")</f>
        <v/>
      </c>
      <c r="RYO3" t="str">
        <f>IFERROR(IF($C3="","",SUMIFS(Ledger!$K$2:$K$4, Ledger!$B$2:$B$4, $A3, Ledger!$C$2:$C$4, RYO$2)),"****")</f>
        <v/>
      </c>
      <c r="RYP3" t="str">
        <f>IFERROR(IF($C3="","",SUMIFS(Ledger!$K$2:$K$4, Ledger!$B$2:$B$4, $A3, Ledger!$C$2:$C$4, RYP$2)),"****")</f>
        <v/>
      </c>
      <c r="RYQ3" t="str">
        <f>IFERROR(IF($C3="","",SUMIFS(Ledger!$K$2:$K$4, Ledger!$B$2:$B$4, $A3, Ledger!$C$2:$C$4, RYQ$2)),"****")</f>
        <v/>
      </c>
      <c r="RYR3" t="str">
        <f>IFERROR(IF($C3="","",SUMIFS(Ledger!$K$2:$K$4, Ledger!$B$2:$B$4, $A3, Ledger!$C$2:$C$4, RYR$2)),"****")</f>
        <v/>
      </c>
      <c r="RYS3" t="str">
        <f>IFERROR(IF($C3="","",SUMIFS(Ledger!$K$2:$K$4, Ledger!$B$2:$B$4, $A3, Ledger!$C$2:$C$4, RYS$2)),"****")</f>
        <v/>
      </c>
      <c r="RYT3" t="str">
        <f>IFERROR(IF($C3="","",SUMIFS(Ledger!$K$2:$K$4, Ledger!$B$2:$B$4, $A3, Ledger!$C$2:$C$4, RYT$2)),"****")</f>
        <v/>
      </c>
      <c r="RYU3" t="str">
        <f>IFERROR(IF($C3="","",SUMIFS(Ledger!$K$2:$K$4, Ledger!$B$2:$B$4, $A3, Ledger!$C$2:$C$4, RYU$2)),"****")</f>
        <v/>
      </c>
      <c r="RYV3" t="str">
        <f>IFERROR(IF($C3="","",SUMIFS(Ledger!$K$2:$K$4, Ledger!$B$2:$B$4, $A3, Ledger!$C$2:$C$4, RYV$2)),"****")</f>
        <v/>
      </c>
      <c r="RYW3" t="str">
        <f>IFERROR(IF($C3="","",SUMIFS(Ledger!$K$2:$K$4, Ledger!$B$2:$B$4, $A3, Ledger!$C$2:$C$4, RYW$2)),"****")</f>
        <v/>
      </c>
      <c r="RYX3" t="str">
        <f>IFERROR(IF($C3="","",SUMIFS(Ledger!$K$2:$K$4, Ledger!$B$2:$B$4, $A3, Ledger!$C$2:$C$4, RYX$2)),"****")</f>
        <v/>
      </c>
      <c r="RYY3" t="str">
        <f>IFERROR(IF($C3="","",SUMIFS(Ledger!$K$2:$K$4, Ledger!$B$2:$B$4, $A3, Ledger!$C$2:$C$4, RYY$2)),"****")</f>
        <v/>
      </c>
      <c r="RYZ3" t="str">
        <f>IFERROR(IF($C3="","",SUMIFS(Ledger!$K$2:$K$4, Ledger!$B$2:$B$4, $A3, Ledger!$C$2:$C$4, RYZ$2)),"****")</f>
        <v/>
      </c>
      <c r="RZA3" t="str">
        <f>IFERROR(IF($C3="","",SUMIFS(Ledger!$K$2:$K$4, Ledger!$B$2:$B$4, $A3, Ledger!$C$2:$C$4, RZA$2)),"****")</f>
        <v/>
      </c>
      <c r="RZB3" t="str">
        <f>IFERROR(IF($C3="","",SUMIFS(Ledger!$K$2:$K$4, Ledger!$B$2:$B$4, $A3, Ledger!$C$2:$C$4, RZB$2)),"****")</f>
        <v/>
      </c>
      <c r="RZC3" t="str">
        <f>IFERROR(IF($C3="","",SUMIFS(Ledger!$K$2:$K$4, Ledger!$B$2:$B$4, $A3, Ledger!$C$2:$C$4, RZC$2)),"****")</f>
        <v/>
      </c>
      <c r="RZD3" t="str">
        <f>IFERROR(IF($C3="","",SUMIFS(Ledger!$K$2:$K$4, Ledger!$B$2:$B$4, $A3, Ledger!$C$2:$C$4, RZD$2)),"****")</f>
        <v/>
      </c>
      <c r="RZE3" t="str">
        <f>IFERROR(IF($C3="","",SUMIFS(Ledger!$K$2:$K$4, Ledger!$B$2:$B$4, $A3, Ledger!$C$2:$C$4, RZE$2)),"****")</f>
        <v/>
      </c>
      <c r="RZF3" t="str">
        <f>IFERROR(IF($C3="","",SUMIFS(Ledger!$K$2:$K$4, Ledger!$B$2:$B$4, $A3, Ledger!$C$2:$C$4, RZF$2)),"****")</f>
        <v/>
      </c>
      <c r="RZG3" t="str">
        <f>IFERROR(IF($C3="","",SUMIFS(Ledger!$K$2:$K$4, Ledger!$B$2:$B$4, $A3, Ledger!$C$2:$C$4, RZG$2)),"****")</f>
        <v/>
      </c>
      <c r="RZH3" t="str">
        <f>IFERROR(IF($C3="","",SUMIFS(Ledger!$K$2:$K$4, Ledger!$B$2:$B$4, $A3, Ledger!$C$2:$C$4, RZH$2)),"****")</f>
        <v/>
      </c>
      <c r="RZI3" t="str">
        <f>IFERROR(IF($C3="","",SUMIFS(Ledger!$K$2:$K$4, Ledger!$B$2:$B$4, $A3, Ledger!$C$2:$C$4, RZI$2)),"****")</f>
        <v/>
      </c>
      <c r="RZJ3" t="str">
        <f>IFERROR(IF($C3="","",SUMIFS(Ledger!$K$2:$K$4, Ledger!$B$2:$B$4, $A3, Ledger!$C$2:$C$4, RZJ$2)),"****")</f>
        <v/>
      </c>
      <c r="RZK3" t="str">
        <f>IFERROR(IF($C3="","",SUMIFS(Ledger!$K$2:$K$4, Ledger!$B$2:$B$4, $A3, Ledger!$C$2:$C$4, RZK$2)),"****")</f>
        <v/>
      </c>
      <c r="RZL3" t="str">
        <f>IFERROR(IF($C3="","",SUMIFS(Ledger!$K$2:$K$4, Ledger!$B$2:$B$4, $A3, Ledger!$C$2:$C$4, RZL$2)),"****")</f>
        <v/>
      </c>
      <c r="RZM3" t="str">
        <f>IFERROR(IF($C3="","",SUMIFS(Ledger!$K$2:$K$4, Ledger!$B$2:$B$4, $A3, Ledger!$C$2:$C$4, RZM$2)),"****")</f>
        <v/>
      </c>
      <c r="RZN3" t="str">
        <f>IFERROR(IF($C3="","",SUMIFS(Ledger!$K$2:$K$4, Ledger!$B$2:$B$4, $A3, Ledger!$C$2:$C$4, RZN$2)),"****")</f>
        <v/>
      </c>
      <c r="RZO3" t="str">
        <f>IFERROR(IF($C3="","",SUMIFS(Ledger!$K$2:$K$4, Ledger!$B$2:$B$4, $A3, Ledger!$C$2:$C$4, RZO$2)),"****")</f>
        <v/>
      </c>
      <c r="RZP3" t="str">
        <f>IFERROR(IF($C3="","",SUMIFS(Ledger!$K$2:$K$4, Ledger!$B$2:$B$4, $A3, Ledger!$C$2:$C$4, RZP$2)),"****")</f>
        <v/>
      </c>
      <c r="RZQ3" t="str">
        <f>IFERROR(IF($C3="","",SUMIFS(Ledger!$K$2:$K$4, Ledger!$B$2:$B$4, $A3, Ledger!$C$2:$C$4, RZQ$2)),"****")</f>
        <v/>
      </c>
      <c r="RZR3" t="str">
        <f>IFERROR(IF($C3="","",SUMIFS(Ledger!$K$2:$K$4, Ledger!$B$2:$B$4, $A3, Ledger!$C$2:$C$4, RZR$2)),"****")</f>
        <v/>
      </c>
      <c r="RZS3" t="str">
        <f>IFERROR(IF($C3="","",SUMIFS(Ledger!$K$2:$K$4, Ledger!$B$2:$B$4, $A3, Ledger!$C$2:$C$4, RZS$2)),"****")</f>
        <v/>
      </c>
      <c r="RZT3" t="str">
        <f>IFERROR(IF($C3="","",SUMIFS(Ledger!$K$2:$K$4, Ledger!$B$2:$B$4, $A3, Ledger!$C$2:$C$4, RZT$2)),"****")</f>
        <v/>
      </c>
      <c r="RZU3" t="str">
        <f>IFERROR(IF($C3="","",SUMIFS(Ledger!$K$2:$K$4, Ledger!$B$2:$B$4, $A3, Ledger!$C$2:$C$4, RZU$2)),"****")</f>
        <v/>
      </c>
      <c r="RZV3" t="str">
        <f>IFERROR(IF($C3="","",SUMIFS(Ledger!$K$2:$K$4, Ledger!$B$2:$B$4, $A3, Ledger!$C$2:$C$4, RZV$2)),"****")</f>
        <v/>
      </c>
      <c r="RZW3" t="str">
        <f>IFERROR(IF($C3="","",SUMIFS(Ledger!$K$2:$K$4, Ledger!$B$2:$B$4, $A3, Ledger!$C$2:$C$4, RZW$2)),"****")</f>
        <v/>
      </c>
      <c r="RZX3" t="str">
        <f>IFERROR(IF($C3="","",SUMIFS(Ledger!$K$2:$K$4, Ledger!$B$2:$B$4, $A3, Ledger!$C$2:$C$4, RZX$2)),"****")</f>
        <v/>
      </c>
      <c r="RZY3" t="str">
        <f>IFERROR(IF($C3="","",SUMIFS(Ledger!$K$2:$K$4, Ledger!$B$2:$B$4, $A3, Ledger!$C$2:$C$4, RZY$2)),"****")</f>
        <v/>
      </c>
      <c r="RZZ3" t="str">
        <f>IFERROR(IF($C3="","",SUMIFS(Ledger!$K$2:$K$4, Ledger!$B$2:$B$4, $A3, Ledger!$C$2:$C$4, RZZ$2)),"****")</f>
        <v/>
      </c>
      <c r="SAA3" t="str">
        <f>IFERROR(IF($C3="","",SUMIFS(Ledger!$K$2:$K$4, Ledger!$B$2:$B$4, $A3, Ledger!$C$2:$C$4, SAA$2)),"****")</f>
        <v/>
      </c>
      <c r="SAB3" t="str">
        <f>IFERROR(IF($C3="","",SUMIFS(Ledger!$K$2:$K$4, Ledger!$B$2:$B$4, $A3, Ledger!$C$2:$C$4, SAB$2)),"****")</f>
        <v/>
      </c>
      <c r="SAC3" t="str">
        <f>IFERROR(IF($C3="","",SUMIFS(Ledger!$K$2:$K$4, Ledger!$B$2:$B$4, $A3, Ledger!$C$2:$C$4, SAC$2)),"****")</f>
        <v/>
      </c>
      <c r="SAD3" t="str">
        <f>IFERROR(IF($C3="","",SUMIFS(Ledger!$K$2:$K$4, Ledger!$B$2:$B$4, $A3, Ledger!$C$2:$C$4, SAD$2)),"****")</f>
        <v/>
      </c>
      <c r="SAE3" t="str">
        <f>IFERROR(IF($C3="","",SUMIFS(Ledger!$K$2:$K$4, Ledger!$B$2:$B$4, $A3, Ledger!$C$2:$C$4, SAE$2)),"****")</f>
        <v/>
      </c>
      <c r="SAF3" t="str">
        <f>IFERROR(IF($C3="","",SUMIFS(Ledger!$K$2:$K$4, Ledger!$B$2:$B$4, $A3, Ledger!$C$2:$C$4, SAF$2)),"****")</f>
        <v/>
      </c>
      <c r="SAG3" t="str">
        <f>IFERROR(IF($C3="","",SUMIFS(Ledger!$K$2:$K$4, Ledger!$B$2:$B$4, $A3, Ledger!$C$2:$C$4, SAG$2)),"****")</f>
        <v/>
      </c>
      <c r="SAH3" t="str">
        <f>IFERROR(IF($C3="","",SUMIFS(Ledger!$K$2:$K$4, Ledger!$B$2:$B$4, $A3, Ledger!$C$2:$C$4, SAH$2)),"****")</f>
        <v/>
      </c>
      <c r="SAI3" t="str">
        <f>IFERROR(IF($C3="","",SUMIFS(Ledger!$K$2:$K$4, Ledger!$B$2:$B$4, $A3, Ledger!$C$2:$C$4, SAI$2)),"****")</f>
        <v/>
      </c>
      <c r="SAJ3" t="str">
        <f>IFERROR(IF($C3="","",SUMIFS(Ledger!$K$2:$K$4, Ledger!$B$2:$B$4, $A3, Ledger!$C$2:$C$4, SAJ$2)),"****")</f>
        <v/>
      </c>
      <c r="SAK3" t="str">
        <f>IFERROR(IF($C3="","",SUMIFS(Ledger!$K$2:$K$4, Ledger!$B$2:$B$4, $A3, Ledger!$C$2:$C$4, SAK$2)),"****")</f>
        <v/>
      </c>
      <c r="SAL3" t="str">
        <f>IFERROR(IF($C3="","",SUMIFS(Ledger!$K$2:$K$4, Ledger!$B$2:$B$4, $A3, Ledger!$C$2:$C$4, SAL$2)),"****")</f>
        <v/>
      </c>
      <c r="SAM3" t="str">
        <f>IFERROR(IF($C3="","",SUMIFS(Ledger!$K$2:$K$4, Ledger!$B$2:$B$4, $A3, Ledger!$C$2:$C$4, SAM$2)),"****")</f>
        <v/>
      </c>
      <c r="SAN3" t="str">
        <f>IFERROR(IF($C3="","",SUMIFS(Ledger!$K$2:$K$4, Ledger!$B$2:$B$4, $A3, Ledger!$C$2:$C$4, SAN$2)),"****")</f>
        <v/>
      </c>
      <c r="SAO3" t="str">
        <f>IFERROR(IF($C3="","",SUMIFS(Ledger!$K$2:$K$4, Ledger!$B$2:$B$4, $A3, Ledger!$C$2:$C$4, SAO$2)),"****")</f>
        <v/>
      </c>
      <c r="SAP3" t="str">
        <f>IFERROR(IF($C3="","",SUMIFS(Ledger!$K$2:$K$4, Ledger!$B$2:$B$4, $A3, Ledger!$C$2:$C$4, SAP$2)),"****")</f>
        <v/>
      </c>
      <c r="SAQ3" t="str">
        <f>IFERROR(IF($C3="","",SUMIFS(Ledger!$K$2:$K$4, Ledger!$B$2:$B$4, $A3, Ledger!$C$2:$C$4, SAQ$2)),"****")</f>
        <v/>
      </c>
      <c r="SAR3" t="str">
        <f>IFERROR(IF($C3="","",SUMIFS(Ledger!$K$2:$K$4, Ledger!$B$2:$B$4, $A3, Ledger!$C$2:$C$4, SAR$2)),"****")</f>
        <v/>
      </c>
      <c r="SAS3" t="str">
        <f>IFERROR(IF($C3="","",SUMIFS(Ledger!$K$2:$K$4, Ledger!$B$2:$B$4, $A3, Ledger!$C$2:$C$4, SAS$2)),"****")</f>
        <v/>
      </c>
      <c r="SAT3" t="str">
        <f>IFERROR(IF($C3="","",SUMIFS(Ledger!$K$2:$K$4, Ledger!$B$2:$B$4, $A3, Ledger!$C$2:$C$4, SAT$2)),"****")</f>
        <v/>
      </c>
      <c r="SAU3" t="str">
        <f>IFERROR(IF($C3="","",SUMIFS(Ledger!$K$2:$K$4, Ledger!$B$2:$B$4, $A3, Ledger!$C$2:$C$4, SAU$2)),"****")</f>
        <v/>
      </c>
      <c r="SAV3" t="str">
        <f>IFERROR(IF($C3="","",SUMIFS(Ledger!$K$2:$K$4, Ledger!$B$2:$B$4, $A3, Ledger!$C$2:$C$4, SAV$2)),"****")</f>
        <v/>
      </c>
      <c r="SAW3" t="str">
        <f>IFERROR(IF($C3="","",SUMIFS(Ledger!$K$2:$K$4, Ledger!$B$2:$B$4, $A3, Ledger!$C$2:$C$4, SAW$2)),"****")</f>
        <v/>
      </c>
      <c r="SAX3" t="str">
        <f>IFERROR(IF($C3="","",SUMIFS(Ledger!$K$2:$K$4, Ledger!$B$2:$B$4, $A3, Ledger!$C$2:$C$4, SAX$2)),"****")</f>
        <v/>
      </c>
      <c r="SAY3" t="str">
        <f>IFERROR(IF($C3="","",SUMIFS(Ledger!$K$2:$K$4, Ledger!$B$2:$B$4, $A3, Ledger!$C$2:$C$4, SAY$2)),"****")</f>
        <v/>
      </c>
      <c r="SAZ3" t="str">
        <f>IFERROR(IF($C3="","",SUMIFS(Ledger!$K$2:$K$4, Ledger!$B$2:$B$4, $A3, Ledger!$C$2:$C$4, SAZ$2)),"****")</f>
        <v/>
      </c>
      <c r="SBA3" t="str">
        <f>IFERROR(IF($C3="","",SUMIFS(Ledger!$K$2:$K$4, Ledger!$B$2:$B$4, $A3, Ledger!$C$2:$C$4, SBA$2)),"****")</f>
        <v/>
      </c>
      <c r="SBB3" t="str">
        <f>IFERROR(IF($C3="","",SUMIFS(Ledger!$K$2:$K$4, Ledger!$B$2:$B$4, $A3, Ledger!$C$2:$C$4, SBB$2)),"****")</f>
        <v/>
      </c>
      <c r="SBC3" t="str">
        <f>IFERROR(IF($C3="","",SUMIFS(Ledger!$K$2:$K$4, Ledger!$B$2:$B$4, $A3, Ledger!$C$2:$C$4, SBC$2)),"****")</f>
        <v/>
      </c>
      <c r="SBD3" t="str">
        <f>IFERROR(IF($C3="","",SUMIFS(Ledger!$K$2:$K$4, Ledger!$B$2:$B$4, $A3, Ledger!$C$2:$C$4, SBD$2)),"****")</f>
        <v/>
      </c>
      <c r="SBE3" t="str">
        <f>IFERROR(IF($C3="","",SUMIFS(Ledger!$K$2:$K$4, Ledger!$B$2:$B$4, $A3, Ledger!$C$2:$C$4, SBE$2)),"****")</f>
        <v/>
      </c>
      <c r="SBF3" t="str">
        <f>IFERROR(IF($C3="","",SUMIFS(Ledger!$K$2:$K$4, Ledger!$B$2:$B$4, $A3, Ledger!$C$2:$C$4, SBF$2)),"****")</f>
        <v/>
      </c>
      <c r="SBG3" t="str">
        <f>IFERROR(IF($C3="","",SUMIFS(Ledger!$K$2:$K$4, Ledger!$B$2:$B$4, $A3, Ledger!$C$2:$C$4, SBG$2)),"****")</f>
        <v/>
      </c>
      <c r="SBH3" t="str">
        <f>IFERROR(IF($C3="","",SUMIFS(Ledger!$K$2:$K$4, Ledger!$B$2:$B$4, $A3, Ledger!$C$2:$C$4, SBH$2)),"****")</f>
        <v/>
      </c>
      <c r="SBI3" t="str">
        <f>IFERROR(IF($C3="","",SUMIFS(Ledger!$K$2:$K$4, Ledger!$B$2:$B$4, $A3, Ledger!$C$2:$C$4, SBI$2)),"****")</f>
        <v/>
      </c>
      <c r="SBJ3" t="str">
        <f>IFERROR(IF($C3="","",SUMIFS(Ledger!$K$2:$K$4, Ledger!$B$2:$B$4, $A3, Ledger!$C$2:$C$4, SBJ$2)),"****")</f>
        <v/>
      </c>
      <c r="SBK3" t="str">
        <f>IFERROR(IF($C3="","",SUMIFS(Ledger!$K$2:$K$4, Ledger!$B$2:$B$4, $A3, Ledger!$C$2:$C$4, SBK$2)),"****")</f>
        <v/>
      </c>
      <c r="SBL3" t="str">
        <f>IFERROR(IF($C3="","",SUMIFS(Ledger!$K$2:$K$4, Ledger!$B$2:$B$4, $A3, Ledger!$C$2:$C$4, SBL$2)),"****")</f>
        <v/>
      </c>
      <c r="SBM3" t="str">
        <f>IFERROR(IF($C3="","",SUMIFS(Ledger!$K$2:$K$4, Ledger!$B$2:$B$4, $A3, Ledger!$C$2:$C$4, SBM$2)),"****")</f>
        <v/>
      </c>
      <c r="SBN3" t="str">
        <f>IFERROR(IF($C3="","",SUMIFS(Ledger!$K$2:$K$4, Ledger!$B$2:$B$4, $A3, Ledger!$C$2:$C$4, SBN$2)),"****")</f>
        <v/>
      </c>
      <c r="SBO3" t="str">
        <f>IFERROR(IF($C3="","",SUMIFS(Ledger!$K$2:$K$4, Ledger!$B$2:$B$4, $A3, Ledger!$C$2:$C$4, SBO$2)),"****")</f>
        <v/>
      </c>
      <c r="SBP3" t="str">
        <f>IFERROR(IF($C3="","",SUMIFS(Ledger!$K$2:$K$4, Ledger!$B$2:$B$4, $A3, Ledger!$C$2:$C$4, SBP$2)),"****")</f>
        <v/>
      </c>
      <c r="SBQ3" t="str">
        <f>IFERROR(IF($C3="","",SUMIFS(Ledger!$K$2:$K$4, Ledger!$B$2:$B$4, $A3, Ledger!$C$2:$C$4, SBQ$2)),"****")</f>
        <v/>
      </c>
      <c r="SBR3" t="str">
        <f>IFERROR(IF($C3="","",SUMIFS(Ledger!$K$2:$K$4, Ledger!$B$2:$B$4, $A3, Ledger!$C$2:$C$4, SBR$2)),"****")</f>
        <v/>
      </c>
      <c r="SBS3" t="str">
        <f>IFERROR(IF($C3="","",SUMIFS(Ledger!$K$2:$K$4, Ledger!$B$2:$B$4, $A3, Ledger!$C$2:$C$4, SBS$2)),"****")</f>
        <v/>
      </c>
      <c r="SBT3" t="str">
        <f>IFERROR(IF($C3="","",SUMIFS(Ledger!$K$2:$K$4, Ledger!$B$2:$B$4, $A3, Ledger!$C$2:$C$4, SBT$2)),"****")</f>
        <v/>
      </c>
      <c r="SBU3" t="str">
        <f>IFERROR(IF($C3="","",SUMIFS(Ledger!$K$2:$K$4, Ledger!$B$2:$B$4, $A3, Ledger!$C$2:$C$4, SBU$2)),"****")</f>
        <v/>
      </c>
      <c r="SBV3" t="str">
        <f>IFERROR(IF($C3="","",SUMIFS(Ledger!$K$2:$K$4, Ledger!$B$2:$B$4, $A3, Ledger!$C$2:$C$4, SBV$2)),"****")</f>
        <v/>
      </c>
      <c r="SBW3" t="str">
        <f>IFERROR(IF($C3="","",SUMIFS(Ledger!$K$2:$K$4, Ledger!$B$2:$B$4, $A3, Ledger!$C$2:$C$4, SBW$2)),"****")</f>
        <v/>
      </c>
      <c r="SBX3" t="str">
        <f>IFERROR(IF($C3="","",SUMIFS(Ledger!$K$2:$K$4, Ledger!$B$2:$B$4, $A3, Ledger!$C$2:$C$4, SBX$2)),"****")</f>
        <v/>
      </c>
      <c r="SBY3" t="str">
        <f>IFERROR(IF($C3="","",SUMIFS(Ledger!$K$2:$K$4, Ledger!$B$2:$B$4, $A3, Ledger!$C$2:$C$4, SBY$2)),"****")</f>
        <v/>
      </c>
      <c r="SBZ3" t="str">
        <f>IFERROR(IF($C3="","",SUMIFS(Ledger!$K$2:$K$4, Ledger!$B$2:$B$4, $A3, Ledger!$C$2:$C$4, SBZ$2)),"****")</f>
        <v/>
      </c>
      <c r="SCA3" t="str">
        <f>IFERROR(IF($C3="","",SUMIFS(Ledger!$K$2:$K$4, Ledger!$B$2:$B$4, $A3, Ledger!$C$2:$C$4, SCA$2)),"****")</f>
        <v/>
      </c>
      <c r="SCB3" t="str">
        <f>IFERROR(IF($C3="","",SUMIFS(Ledger!$K$2:$K$4, Ledger!$B$2:$B$4, $A3, Ledger!$C$2:$C$4, SCB$2)),"****")</f>
        <v/>
      </c>
      <c r="SCC3" t="str">
        <f>IFERROR(IF($C3="","",SUMIFS(Ledger!$K$2:$K$4, Ledger!$B$2:$B$4, $A3, Ledger!$C$2:$C$4, SCC$2)),"****")</f>
        <v/>
      </c>
      <c r="SCD3" t="str">
        <f>IFERROR(IF($C3="","",SUMIFS(Ledger!$K$2:$K$4, Ledger!$B$2:$B$4, $A3, Ledger!$C$2:$C$4, SCD$2)),"****")</f>
        <v/>
      </c>
      <c r="SCE3" t="str">
        <f>IFERROR(IF($C3="","",SUMIFS(Ledger!$K$2:$K$4, Ledger!$B$2:$B$4, $A3, Ledger!$C$2:$C$4, SCE$2)),"****")</f>
        <v/>
      </c>
      <c r="SCF3" t="str">
        <f>IFERROR(IF($C3="","",SUMIFS(Ledger!$K$2:$K$4, Ledger!$B$2:$B$4, $A3, Ledger!$C$2:$C$4, SCF$2)),"****")</f>
        <v/>
      </c>
      <c r="SCG3" t="str">
        <f>IFERROR(IF($C3="","",SUMIFS(Ledger!$K$2:$K$4, Ledger!$B$2:$B$4, $A3, Ledger!$C$2:$C$4, SCG$2)),"****")</f>
        <v/>
      </c>
      <c r="SCH3" t="str">
        <f>IFERROR(IF($C3="","",SUMIFS(Ledger!$K$2:$K$4, Ledger!$B$2:$B$4, $A3, Ledger!$C$2:$C$4, SCH$2)),"****")</f>
        <v/>
      </c>
      <c r="SCI3" t="str">
        <f>IFERROR(IF($C3="","",SUMIFS(Ledger!$K$2:$K$4, Ledger!$B$2:$B$4, $A3, Ledger!$C$2:$C$4, SCI$2)),"****")</f>
        <v/>
      </c>
      <c r="SCJ3" t="str">
        <f>IFERROR(IF($C3="","",SUMIFS(Ledger!$K$2:$K$4, Ledger!$B$2:$B$4, $A3, Ledger!$C$2:$C$4, SCJ$2)),"****")</f>
        <v/>
      </c>
      <c r="SCK3" t="str">
        <f>IFERROR(IF($C3="","",SUMIFS(Ledger!$K$2:$K$4, Ledger!$B$2:$B$4, $A3, Ledger!$C$2:$C$4, SCK$2)),"****")</f>
        <v/>
      </c>
      <c r="SCL3" t="str">
        <f>IFERROR(IF($C3="","",SUMIFS(Ledger!$K$2:$K$4, Ledger!$B$2:$B$4, $A3, Ledger!$C$2:$C$4, SCL$2)),"****")</f>
        <v/>
      </c>
      <c r="SCM3" t="str">
        <f>IFERROR(IF($C3="","",SUMIFS(Ledger!$K$2:$K$4, Ledger!$B$2:$B$4, $A3, Ledger!$C$2:$C$4, SCM$2)),"****")</f>
        <v/>
      </c>
      <c r="SCN3" t="str">
        <f>IFERROR(IF($C3="","",SUMIFS(Ledger!$K$2:$K$4, Ledger!$B$2:$B$4, $A3, Ledger!$C$2:$C$4, SCN$2)),"****")</f>
        <v/>
      </c>
      <c r="SCO3" t="str">
        <f>IFERROR(IF($C3="","",SUMIFS(Ledger!$K$2:$K$4, Ledger!$B$2:$B$4, $A3, Ledger!$C$2:$C$4, SCO$2)),"****")</f>
        <v/>
      </c>
      <c r="SCP3" t="str">
        <f>IFERROR(IF($C3="","",SUMIFS(Ledger!$K$2:$K$4, Ledger!$B$2:$B$4, $A3, Ledger!$C$2:$C$4, SCP$2)),"****")</f>
        <v/>
      </c>
      <c r="SCQ3" t="str">
        <f>IFERROR(IF($C3="","",SUMIFS(Ledger!$K$2:$K$4, Ledger!$B$2:$B$4, $A3, Ledger!$C$2:$C$4, SCQ$2)),"****")</f>
        <v/>
      </c>
      <c r="SCR3" t="str">
        <f>IFERROR(IF($C3="","",SUMIFS(Ledger!$K$2:$K$4, Ledger!$B$2:$B$4, $A3, Ledger!$C$2:$C$4, SCR$2)),"****")</f>
        <v/>
      </c>
      <c r="SCS3" t="str">
        <f>IFERROR(IF($C3="","",SUMIFS(Ledger!$K$2:$K$4, Ledger!$B$2:$B$4, $A3, Ledger!$C$2:$C$4, SCS$2)),"****")</f>
        <v/>
      </c>
      <c r="SCT3" t="str">
        <f>IFERROR(IF($C3="","",SUMIFS(Ledger!$K$2:$K$4, Ledger!$B$2:$B$4, $A3, Ledger!$C$2:$C$4, SCT$2)),"****")</f>
        <v/>
      </c>
      <c r="SCU3" t="str">
        <f>IFERROR(IF($C3="","",SUMIFS(Ledger!$K$2:$K$4, Ledger!$B$2:$B$4, $A3, Ledger!$C$2:$C$4, SCU$2)),"****")</f>
        <v/>
      </c>
      <c r="SCV3" t="str">
        <f>IFERROR(IF($C3="","",SUMIFS(Ledger!$K$2:$K$4, Ledger!$B$2:$B$4, $A3, Ledger!$C$2:$C$4, SCV$2)),"****")</f>
        <v/>
      </c>
      <c r="SCW3" t="str">
        <f>IFERROR(IF($C3="","",SUMIFS(Ledger!$K$2:$K$4, Ledger!$B$2:$B$4, $A3, Ledger!$C$2:$C$4, SCW$2)),"****")</f>
        <v/>
      </c>
      <c r="SCX3" t="str">
        <f>IFERROR(IF($C3="","",SUMIFS(Ledger!$K$2:$K$4, Ledger!$B$2:$B$4, $A3, Ledger!$C$2:$C$4, SCX$2)),"****")</f>
        <v/>
      </c>
      <c r="SCY3" t="str">
        <f>IFERROR(IF($C3="","",SUMIFS(Ledger!$K$2:$K$4, Ledger!$B$2:$B$4, $A3, Ledger!$C$2:$C$4, SCY$2)),"****")</f>
        <v/>
      </c>
      <c r="SCZ3" t="str">
        <f>IFERROR(IF($C3="","",SUMIFS(Ledger!$K$2:$K$4, Ledger!$B$2:$B$4, $A3, Ledger!$C$2:$C$4, SCZ$2)),"****")</f>
        <v/>
      </c>
      <c r="SDA3" t="str">
        <f>IFERROR(IF($C3="","",SUMIFS(Ledger!$K$2:$K$4, Ledger!$B$2:$B$4, $A3, Ledger!$C$2:$C$4, SDA$2)),"****")</f>
        <v/>
      </c>
      <c r="SDB3" t="str">
        <f>IFERROR(IF($C3="","",SUMIFS(Ledger!$K$2:$K$4, Ledger!$B$2:$B$4, $A3, Ledger!$C$2:$C$4, SDB$2)),"****")</f>
        <v/>
      </c>
      <c r="SDC3" t="str">
        <f>IFERROR(IF($C3="","",SUMIFS(Ledger!$K$2:$K$4, Ledger!$B$2:$B$4, $A3, Ledger!$C$2:$C$4, SDC$2)),"****")</f>
        <v/>
      </c>
      <c r="SDD3" t="str">
        <f>IFERROR(IF($C3="","",SUMIFS(Ledger!$K$2:$K$4, Ledger!$B$2:$B$4, $A3, Ledger!$C$2:$C$4, SDD$2)),"****")</f>
        <v/>
      </c>
      <c r="SDE3" t="str">
        <f>IFERROR(IF($C3="","",SUMIFS(Ledger!$K$2:$K$4, Ledger!$B$2:$B$4, $A3, Ledger!$C$2:$C$4, SDE$2)),"****")</f>
        <v/>
      </c>
      <c r="SDF3" t="str">
        <f>IFERROR(IF($C3="","",SUMIFS(Ledger!$K$2:$K$4, Ledger!$B$2:$B$4, $A3, Ledger!$C$2:$C$4, SDF$2)),"****")</f>
        <v/>
      </c>
      <c r="SDG3" t="str">
        <f>IFERROR(IF($C3="","",SUMIFS(Ledger!$K$2:$K$4, Ledger!$B$2:$B$4, $A3, Ledger!$C$2:$C$4, SDG$2)),"****")</f>
        <v/>
      </c>
      <c r="SDH3" t="str">
        <f>IFERROR(IF($C3="","",SUMIFS(Ledger!$K$2:$K$4, Ledger!$B$2:$B$4, $A3, Ledger!$C$2:$C$4, SDH$2)),"****")</f>
        <v/>
      </c>
      <c r="SDI3" t="str">
        <f>IFERROR(IF($C3="","",SUMIFS(Ledger!$K$2:$K$4, Ledger!$B$2:$B$4, $A3, Ledger!$C$2:$C$4, SDI$2)),"****")</f>
        <v/>
      </c>
      <c r="SDJ3" t="str">
        <f>IFERROR(IF($C3="","",SUMIFS(Ledger!$K$2:$K$4, Ledger!$B$2:$B$4, $A3, Ledger!$C$2:$C$4, SDJ$2)),"****")</f>
        <v/>
      </c>
      <c r="SDK3" t="str">
        <f>IFERROR(IF($C3="","",SUMIFS(Ledger!$K$2:$K$4, Ledger!$B$2:$B$4, $A3, Ledger!$C$2:$C$4, SDK$2)),"****")</f>
        <v/>
      </c>
      <c r="SDL3" t="str">
        <f>IFERROR(IF($C3="","",SUMIFS(Ledger!$K$2:$K$4, Ledger!$B$2:$B$4, $A3, Ledger!$C$2:$C$4, SDL$2)),"****")</f>
        <v/>
      </c>
      <c r="SDM3" t="str">
        <f>IFERROR(IF($C3="","",SUMIFS(Ledger!$K$2:$K$4, Ledger!$B$2:$B$4, $A3, Ledger!$C$2:$C$4, SDM$2)),"****")</f>
        <v/>
      </c>
      <c r="SDN3" t="str">
        <f>IFERROR(IF($C3="","",SUMIFS(Ledger!$K$2:$K$4, Ledger!$B$2:$B$4, $A3, Ledger!$C$2:$C$4, SDN$2)),"****")</f>
        <v/>
      </c>
      <c r="SDO3" t="str">
        <f>IFERROR(IF($C3="","",SUMIFS(Ledger!$K$2:$K$4, Ledger!$B$2:$B$4, $A3, Ledger!$C$2:$C$4, SDO$2)),"****")</f>
        <v/>
      </c>
      <c r="SDP3" t="str">
        <f>IFERROR(IF($C3="","",SUMIFS(Ledger!$K$2:$K$4, Ledger!$B$2:$B$4, $A3, Ledger!$C$2:$C$4, SDP$2)),"****")</f>
        <v/>
      </c>
      <c r="SDQ3" t="str">
        <f>IFERROR(IF($C3="","",SUMIFS(Ledger!$K$2:$K$4, Ledger!$B$2:$B$4, $A3, Ledger!$C$2:$C$4, SDQ$2)),"****")</f>
        <v/>
      </c>
      <c r="SDR3" t="str">
        <f>IFERROR(IF($C3="","",SUMIFS(Ledger!$K$2:$K$4, Ledger!$B$2:$B$4, $A3, Ledger!$C$2:$C$4, SDR$2)),"****")</f>
        <v/>
      </c>
      <c r="SDS3" t="str">
        <f>IFERROR(IF($C3="","",SUMIFS(Ledger!$K$2:$K$4, Ledger!$B$2:$B$4, $A3, Ledger!$C$2:$C$4, SDS$2)),"****")</f>
        <v/>
      </c>
      <c r="SDT3" t="str">
        <f>IFERROR(IF($C3="","",SUMIFS(Ledger!$K$2:$K$4, Ledger!$B$2:$B$4, $A3, Ledger!$C$2:$C$4, SDT$2)),"****")</f>
        <v/>
      </c>
      <c r="SDU3" t="str">
        <f>IFERROR(IF($C3="","",SUMIFS(Ledger!$K$2:$K$4, Ledger!$B$2:$B$4, $A3, Ledger!$C$2:$C$4, SDU$2)),"****")</f>
        <v/>
      </c>
      <c r="SDV3" t="str">
        <f>IFERROR(IF($C3="","",SUMIFS(Ledger!$K$2:$K$4, Ledger!$B$2:$B$4, $A3, Ledger!$C$2:$C$4, SDV$2)),"****")</f>
        <v/>
      </c>
      <c r="SDW3" t="str">
        <f>IFERROR(IF($C3="","",SUMIFS(Ledger!$K$2:$K$4, Ledger!$B$2:$B$4, $A3, Ledger!$C$2:$C$4, SDW$2)),"****")</f>
        <v/>
      </c>
      <c r="SDX3" t="str">
        <f>IFERROR(IF($C3="","",SUMIFS(Ledger!$K$2:$K$4, Ledger!$B$2:$B$4, $A3, Ledger!$C$2:$C$4, SDX$2)),"****")</f>
        <v/>
      </c>
      <c r="SDY3" t="str">
        <f>IFERROR(IF($C3="","",SUMIFS(Ledger!$K$2:$K$4, Ledger!$B$2:$B$4, $A3, Ledger!$C$2:$C$4, SDY$2)),"****")</f>
        <v/>
      </c>
      <c r="SDZ3" t="str">
        <f>IFERROR(IF($C3="","",SUMIFS(Ledger!$K$2:$K$4, Ledger!$B$2:$B$4, $A3, Ledger!$C$2:$C$4, SDZ$2)),"****")</f>
        <v/>
      </c>
      <c r="SEA3" t="str">
        <f>IFERROR(IF($C3="","",SUMIFS(Ledger!$K$2:$K$4, Ledger!$B$2:$B$4, $A3, Ledger!$C$2:$C$4, SEA$2)),"****")</f>
        <v/>
      </c>
      <c r="SEB3" t="str">
        <f>IFERROR(IF($C3="","",SUMIFS(Ledger!$K$2:$K$4, Ledger!$B$2:$B$4, $A3, Ledger!$C$2:$C$4, SEB$2)),"****")</f>
        <v/>
      </c>
      <c r="SEC3" t="str">
        <f>IFERROR(IF($C3="","",SUMIFS(Ledger!$K$2:$K$4, Ledger!$B$2:$B$4, $A3, Ledger!$C$2:$C$4, SEC$2)),"****")</f>
        <v/>
      </c>
      <c r="SED3" t="str">
        <f>IFERROR(IF($C3="","",SUMIFS(Ledger!$K$2:$K$4, Ledger!$B$2:$B$4, $A3, Ledger!$C$2:$C$4, SED$2)),"****")</f>
        <v/>
      </c>
      <c r="SEE3" t="str">
        <f>IFERROR(IF($C3="","",SUMIFS(Ledger!$K$2:$K$4, Ledger!$B$2:$B$4, $A3, Ledger!$C$2:$C$4, SEE$2)),"****")</f>
        <v/>
      </c>
      <c r="SEF3" t="str">
        <f>IFERROR(IF($C3="","",SUMIFS(Ledger!$K$2:$K$4, Ledger!$B$2:$B$4, $A3, Ledger!$C$2:$C$4, SEF$2)),"****")</f>
        <v/>
      </c>
      <c r="SEG3" t="str">
        <f>IFERROR(IF($C3="","",SUMIFS(Ledger!$K$2:$K$4, Ledger!$B$2:$B$4, $A3, Ledger!$C$2:$C$4, SEG$2)),"****")</f>
        <v/>
      </c>
      <c r="SEH3" t="str">
        <f>IFERROR(IF($C3="","",SUMIFS(Ledger!$K$2:$K$4, Ledger!$B$2:$B$4, $A3, Ledger!$C$2:$C$4, SEH$2)),"****")</f>
        <v/>
      </c>
      <c r="SEI3" t="str">
        <f>IFERROR(IF($C3="","",SUMIFS(Ledger!$K$2:$K$4, Ledger!$B$2:$B$4, $A3, Ledger!$C$2:$C$4, SEI$2)),"****")</f>
        <v/>
      </c>
      <c r="SEJ3" t="str">
        <f>IFERROR(IF($C3="","",SUMIFS(Ledger!$K$2:$K$4, Ledger!$B$2:$B$4, $A3, Ledger!$C$2:$C$4, SEJ$2)),"****")</f>
        <v/>
      </c>
      <c r="SEK3" t="str">
        <f>IFERROR(IF($C3="","",SUMIFS(Ledger!$K$2:$K$4, Ledger!$B$2:$B$4, $A3, Ledger!$C$2:$C$4, SEK$2)),"****")</f>
        <v/>
      </c>
      <c r="SEL3" t="str">
        <f>IFERROR(IF($C3="","",SUMIFS(Ledger!$K$2:$K$4, Ledger!$B$2:$B$4, $A3, Ledger!$C$2:$C$4, SEL$2)),"****")</f>
        <v/>
      </c>
      <c r="SEM3" t="str">
        <f>IFERROR(IF($C3="","",SUMIFS(Ledger!$K$2:$K$4, Ledger!$B$2:$B$4, $A3, Ledger!$C$2:$C$4, SEM$2)),"****")</f>
        <v/>
      </c>
      <c r="SEN3" t="str">
        <f>IFERROR(IF($C3="","",SUMIFS(Ledger!$K$2:$K$4, Ledger!$B$2:$B$4, $A3, Ledger!$C$2:$C$4, SEN$2)),"****")</f>
        <v/>
      </c>
      <c r="SEO3" t="str">
        <f>IFERROR(IF($C3="","",SUMIFS(Ledger!$K$2:$K$4, Ledger!$B$2:$B$4, $A3, Ledger!$C$2:$C$4, SEO$2)),"****")</f>
        <v/>
      </c>
      <c r="SEP3" t="str">
        <f>IFERROR(IF($C3="","",SUMIFS(Ledger!$K$2:$K$4, Ledger!$B$2:$B$4, $A3, Ledger!$C$2:$C$4, SEP$2)),"****")</f>
        <v/>
      </c>
      <c r="SEQ3" t="str">
        <f>IFERROR(IF($C3="","",SUMIFS(Ledger!$K$2:$K$4, Ledger!$B$2:$B$4, $A3, Ledger!$C$2:$C$4, SEQ$2)),"****")</f>
        <v/>
      </c>
      <c r="SER3" t="str">
        <f>IFERROR(IF($C3="","",SUMIFS(Ledger!$K$2:$K$4, Ledger!$B$2:$B$4, $A3, Ledger!$C$2:$C$4, SER$2)),"****")</f>
        <v/>
      </c>
      <c r="SES3" t="str">
        <f>IFERROR(IF($C3="","",SUMIFS(Ledger!$K$2:$K$4, Ledger!$B$2:$B$4, $A3, Ledger!$C$2:$C$4, SES$2)),"****")</f>
        <v/>
      </c>
      <c r="SET3" t="str">
        <f>IFERROR(IF($C3="","",SUMIFS(Ledger!$K$2:$K$4, Ledger!$B$2:$B$4, $A3, Ledger!$C$2:$C$4, SET$2)),"****")</f>
        <v/>
      </c>
      <c r="SEU3" t="str">
        <f>IFERROR(IF($C3="","",SUMIFS(Ledger!$K$2:$K$4, Ledger!$B$2:$B$4, $A3, Ledger!$C$2:$C$4, SEU$2)),"****")</f>
        <v/>
      </c>
      <c r="SEV3" t="str">
        <f>IFERROR(IF($C3="","",SUMIFS(Ledger!$K$2:$K$4, Ledger!$B$2:$B$4, $A3, Ledger!$C$2:$C$4, SEV$2)),"****")</f>
        <v/>
      </c>
      <c r="SEW3" t="str">
        <f>IFERROR(IF($C3="","",SUMIFS(Ledger!$K$2:$K$4, Ledger!$B$2:$B$4, $A3, Ledger!$C$2:$C$4, SEW$2)),"****")</f>
        <v/>
      </c>
      <c r="SEX3" t="str">
        <f>IFERROR(IF($C3="","",SUMIFS(Ledger!$K$2:$K$4, Ledger!$B$2:$B$4, $A3, Ledger!$C$2:$C$4, SEX$2)),"****")</f>
        <v/>
      </c>
      <c r="SEY3" t="str">
        <f>IFERROR(IF($C3="","",SUMIFS(Ledger!$K$2:$K$4, Ledger!$B$2:$B$4, $A3, Ledger!$C$2:$C$4, SEY$2)),"****")</f>
        <v/>
      </c>
      <c r="SEZ3" t="str">
        <f>IFERROR(IF($C3="","",SUMIFS(Ledger!$K$2:$K$4, Ledger!$B$2:$B$4, $A3, Ledger!$C$2:$C$4, SEZ$2)),"****")</f>
        <v/>
      </c>
      <c r="SFA3" t="str">
        <f>IFERROR(IF($C3="","",SUMIFS(Ledger!$K$2:$K$4, Ledger!$B$2:$B$4, $A3, Ledger!$C$2:$C$4, SFA$2)),"****")</f>
        <v/>
      </c>
      <c r="SFB3" t="str">
        <f>IFERROR(IF($C3="","",SUMIFS(Ledger!$K$2:$K$4, Ledger!$B$2:$B$4, $A3, Ledger!$C$2:$C$4, SFB$2)),"****")</f>
        <v/>
      </c>
      <c r="SFC3" t="str">
        <f>IFERROR(IF($C3="","",SUMIFS(Ledger!$K$2:$K$4, Ledger!$B$2:$B$4, $A3, Ledger!$C$2:$C$4, SFC$2)),"****")</f>
        <v/>
      </c>
      <c r="SFD3" t="str">
        <f>IFERROR(IF($C3="","",SUMIFS(Ledger!$K$2:$K$4, Ledger!$B$2:$B$4, $A3, Ledger!$C$2:$C$4, SFD$2)),"****")</f>
        <v/>
      </c>
      <c r="SFE3" t="str">
        <f>IFERROR(IF($C3="","",SUMIFS(Ledger!$K$2:$K$4, Ledger!$B$2:$B$4, $A3, Ledger!$C$2:$C$4, SFE$2)),"****")</f>
        <v/>
      </c>
      <c r="SFF3" t="str">
        <f>IFERROR(IF($C3="","",SUMIFS(Ledger!$K$2:$K$4, Ledger!$B$2:$B$4, $A3, Ledger!$C$2:$C$4, SFF$2)),"****")</f>
        <v/>
      </c>
      <c r="SFG3" t="str">
        <f>IFERROR(IF($C3="","",SUMIFS(Ledger!$K$2:$K$4, Ledger!$B$2:$B$4, $A3, Ledger!$C$2:$C$4, SFG$2)),"****")</f>
        <v/>
      </c>
      <c r="SFH3" t="str">
        <f>IFERROR(IF($C3="","",SUMIFS(Ledger!$K$2:$K$4, Ledger!$B$2:$B$4, $A3, Ledger!$C$2:$C$4, SFH$2)),"****")</f>
        <v/>
      </c>
      <c r="SFI3" t="str">
        <f>IFERROR(IF($C3="","",SUMIFS(Ledger!$K$2:$K$4, Ledger!$B$2:$B$4, $A3, Ledger!$C$2:$C$4, SFI$2)),"****")</f>
        <v/>
      </c>
      <c r="SFJ3" t="str">
        <f>IFERROR(IF($C3="","",SUMIFS(Ledger!$K$2:$K$4, Ledger!$B$2:$B$4, $A3, Ledger!$C$2:$C$4, SFJ$2)),"****")</f>
        <v/>
      </c>
      <c r="SFK3" t="str">
        <f>IFERROR(IF($C3="","",SUMIFS(Ledger!$K$2:$K$4, Ledger!$B$2:$B$4, $A3, Ledger!$C$2:$C$4, SFK$2)),"****")</f>
        <v/>
      </c>
      <c r="SFL3" t="str">
        <f>IFERROR(IF($C3="","",SUMIFS(Ledger!$K$2:$K$4, Ledger!$B$2:$B$4, $A3, Ledger!$C$2:$C$4, SFL$2)),"****")</f>
        <v/>
      </c>
      <c r="SFM3" t="str">
        <f>IFERROR(IF($C3="","",SUMIFS(Ledger!$K$2:$K$4, Ledger!$B$2:$B$4, $A3, Ledger!$C$2:$C$4, SFM$2)),"****")</f>
        <v/>
      </c>
      <c r="SFN3" t="str">
        <f>IFERROR(IF($C3="","",SUMIFS(Ledger!$K$2:$K$4, Ledger!$B$2:$B$4, $A3, Ledger!$C$2:$C$4, SFN$2)),"****")</f>
        <v/>
      </c>
      <c r="SFO3" t="str">
        <f>IFERROR(IF($C3="","",SUMIFS(Ledger!$K$2:$K$4, Ledger!$B$2:$B$4, $A3, Ledger!$C$2:$C$4, SFO$2)),"****")</f>
        <v/>
      </c>
      <c r="SFP3" t="str">
        <f>IFERROR(IF($C3="","",SUMIFS(Ledger!$K$2:$K$4, Ledger!$B$2:$B$4, $A3, Ledger!$C$2:$C$4, SFP$2)),"****")</f>
        <v/>
      </c>
      <c r="SFQ3" t="str">
        <f>IFERROR(IF($C3="","",SUMIFS(Ledger!$K$2:$K$4, Ledger!$B$2:$B$4, $A3, Ledger!$C$2:$C$4, SFQ$2)),"****")</f>
        <v/>
      </c>
      <c r="SFR3" t="str">
        <f>IFERROR(IF($C3="","",SUMIFS(Ledger!$K$2:$K$4, Ledger!$B$2:$B$4, $A3, Ledger!$C$2:$C$4, SFR$2)),"****")</f>
        <v/>
      </c>
      <c r="SFS3" t="str">
        <f>IFERROR(IF($C3="","",SUMIFS(Ledger!$K$2:$K$4, Ledger!$B$2:$B$4, $A3, Ledger!$C$2:$C$4, SFS$2)),"****")</f>
        <v/>
      </c>
      <c r="SFT3" t="str">
        <f>IFERROR(IF($C3="","",SUMIFS(Ledger!$K$2:$K$4, Ledger!$B$2:$B$4, $A3, Ledger!$C$2:$C$4, SFT$2)),"****")</f>
        <v/>
      </c>
      <c r="SFU3" t="str">
        <f>IFERROR(IF($C3="","",SUMIFS(Ledger!$K$2:$K$4, Ledger!$B$2:$B$4, $A3, Ledger!$C$2:$C$4, SFU$2)),"****")</f>
        <v/>
      </c>
      <c r="SFV3" t="str">
        <f>IFERROR(IF($C3="","",SUMIFS(Ledger!$K$2:$K$4, Ledger!$B$2:$B$4, $A3, Ledger!$C$2:$C$4, SFV$2)),"****")</f>
        <v/>
      </c>
      <c r="SFW3" t="str">
        <f>IFERROR(IF($C3="","",SUMIFS(Ledger!$K$2:$K$4, Ledger!$B$2:$B$4, $A3, Ledger!$C$2:$C$4, SFW$2)),"****")</f>
        <v/>
      </c>
      <c r="SFX3" t="str">
        <f>IFERROR(IF($C3="","",SUMIFS(Ledger!$K$2:$K$4, Ledger!$B$2:$B$4, $A3, Ledger!$C$2:$C$4, SFX$2)),"****")</f>
        <v/>
      </c>
      <c r="SFY3" t="str">
        <f>IFERROR(IF($C3="","",SUMIFS(Ledger!$K$2:$K$4, Ledger!$B$2:$B$4, $A3, Ledger!$C$2:$C$4, SFY$2)),"****")</f>
        <v/>
      </c>
      <c r="SFZ3" t="str">
        <f>IFERROR(IF($C3="","",SUMIFS(Ledger!$K$2:$K$4, Ledger!$B$2:$B$4, $A3, Ledger!$C$2:$C$4, SFZ$2)),"****")</f>
        <v/>
      </c>
      <c r="SGA3" t="str">
        <f>IFERROR(IF($C3="","",SUMIFS(Ledger!$K$2:$K$4, Ledger!$B$2:$B$4, $A3, Ledger!$C$2:$C$4, SGA$2)),"****")</f>
        <v/>
      </c>
      <c r="SGB3" t="str">
        <f>IFERROR(IF($C3="","",SUMIFS(Ledger!$K$2:$K$4, Ledger!$B$2:$B$4, $A3, Ledger!$C$2:$C$4, SGB$2)),"****")</f>
        <v/>
      </c>
      <c r="SGC3" t="str">
        <f>IFERROR(IF($C3="","",SUMIFS(Ledger!$K$2:$K$4, Ledger!$B$2:$B$4, $A3, Ledger!$C$2:$C$4, SGC$2)),"****")</f>
        <v/>
      </c>
      <c r="SGD3" t="str">
        <f>IFERROR(IF($C3="","",SUMIFS(Ledger!$K$2:$K$4, Ledger!$B$2:$B$4, $A3, Ledger!$C$2:$C$4, SGD$2)),"****")</f>
        <v/>
      </c>
      <c r="SGE3" t="str">
        <f>IFERROR(IF($C3="","",SUMIFS(Ledger!$K$2:$K$4, Ledger!$B$2:$B$4, $A3, Ledger!$C$2:$C$4, SGE$2)),"****")</f>
        <v/>
      </c>
      <c r="SGF3" t="str">
        <f>IFERROR(IF($C3="","",SUMIFS(Ledger!$K$2:$K$4, Ledger!$B$2:$B$4, $A3, Ledger!$C$2:$C$4, SGF$2)),"****")</f>
        <v/>
      </c>
      <c r="SGG3" t="str">
        <f>IFERROR(IF($C3="","",SUMIFS(Ledger!$K$2:$K$4, Ledger!$B$2:$B$4, $A3, Ledger!$C$2:$C$4, SGG$2)),"****")</f>
        <v/>
      </c>
      <c r="SGH3" t="str">
        <f>IFERROR(IF($C3="","",SUMIFS(Ledger!$K$2:$K$4, Ledger!$B$2:$B$4, $A3, Ledger!$C$2:$C$4, SGH$2)),"****")</f>
        <v/>
      </c>
      <c r="SGI3" t="str">
        <f>IFERROR(IF($C3="","",SUMIFS(Ledger!$K$2:$K$4, Ledger!$B$2:$B$4, $A3, Ledger!$C$2:$C$4, SGI$2)),"****")</f>
        <v/>
      </c>
      <c r="SGJ3" t="str">
        <f>IFERROR(IF($C3="","",SUMIFS(Ledger!$K$2:$K$4, Ledger!$B$2:$B$4, $A3, Ledger!$C$2:$C$4, SGJ$2)),"****")</f>
        <v/>
      </c>
      <c r="SGK3" t="str">
        <f>IFERROR(IF($C3="","",SUMIFS(Ledger!$K$2:$K$4, Ledger!$B$2:$B$4, $A3, Ledger!$C$2:$C$4, SGK$2)),"****")</f>
        <v/>
      </c>
      <c r="SGL3" t="str">
        <f>IFERROR(IF($C3="","",SUMIFS(Ledger!$K$2:$K$4, Ledger!$B$2:$B$4, $A3, Ledger!$C$2:$C$4, SGL$2)),"****")</f>
        <v/>
      </c>
      <c r="SGM3" t="str">
        <f>IFERROR(IF($C3="","",SUMIFS(Ledger!$K$2:$K$4, Ledger!$B$2:$B$4, $A3, Ledger!$C$2:$C$4, SGM$2)),"****")</f>
        <v/>
      </c>
      <c r="SGN3" t="str">
        <f>IFERROR(IF($C3="","",SUMIFS(Ledger!$K$2:$K$4, Ledger!$B$2:$B$4, $A3, Ledger!$C$2:$C$4, SGN$2)),"****")</f>
        <v/>
      </c>
      <c r="SGO3" t="str">
        <f>IFERROR(IF($C3="","",SUMIFS(Ledger!$K$2:$K$4, Ledger!$B$2:$B$4, $A3, Ledger!$C$2:$C$4, SGO$2)),"****")</f>
        <v/>
      </c>
      <c r="SGP3" t="str">
        <f>IFERROR(IF($C3="","",SUMIFS(Ledger!$K$2:$K$4, Ledger!$B$2:$B$4, $A3, Ledger!$C$2:$C$4, SGP$2)),"****")</f>
        <v/>
      </c>
      <c r="SGQ3" t="str">
        <f>IFERROR(IF($C3="","",SUMIFS(Ledger!$K$2:$K$4, Ledger!$B$2:$B$4, $A3, Ledger!$C$2:$C$4, SGQ$2)),"****")</f>
        <v/>
      </c>
      <c r="SGR3" t="str">
        <f>IFERROR(IF($C3="","",SUMIFS(Ledger!$K$2:$K$4, Ledger!$B$2:$B$4, $A3, Ledger!$C$2:$C$4, SGR$2)),"****")</f>
        <v/>
      </c>
      <c r="SGS3" t="str">
        <f>IFERROR(IF($C3="","",SUMIFS(Ledger!$K$2:$K$4, Ledger!$B$2:$B$4, $A3, Ledger!$C$2:$C$4, SGS$2)),"****")</f>
        <v/>
      </c>
      <c r="SGT3" t="str">
        <f>IFERROR(IF($C3="","",SUMIFS(Ledger!$K$2:$K$4, Ledger!$B$2:$B$4, $A3, Ledger!$C$2:$C$4, SGT$2)),"****")</f>
        <v/>
      </c>
      <c r="SGU3" t="str">
        <f>IFERROR(IF($C3="","",SUMIFS(Ledger!$K$2:$K$4, Ledger!$B$2:$B$4, $A3, Ledger!$C$2:$C$4, SGU$2)),"****")</f>
        <v/>
      </c>
      <c r="SGV3" t="str">
        <f>IFERROR(IF($C3="","",SUMIFS(Ledger!$K$2:$K$4, Ledger!$B$2:$B$4, $A3, Ledger!$C$2:$C$4, SGV$2)),"****")</f>
        <v/>
      </c>
      <c r="SGW3" t="str">
        <f>IFERROR(IF($C3="","",SUMIFS(Ledger!$K$2:$K$4, Ledger!$B$2:$B$4, $A3, Ledger!$C$2:$C$4, SGW$2)),"****")</f>
        <v/>
      </c>
      <c r="SGX3" t="str">
        <f>IFERROR(IF($C3="","",SUMIFS(Ledger!$K$2:$K$4, Ledger!$B$2:$B$4, $A3, Ledger!$C$2:$C$4, SGX$2)),"****")</f>
        <v/>
      </c>
      <c r="SGY3" t="str">
        <f>IFERROR(IF($C3="","",SUMIFS(Ledger!$K$2:$K$4, Ledger!$B$2:$B$4, $A3, Ledger!$C$2:$C$4, SGY$2)),"****")</f>
        <v/>
      </c>
      <c r="SGZ3" t="str">
        <f>IFERROR(IF($C3="","",SUMIFS(Ledger!$K$2:$K$4, Ledger!$B$2:$B$4, $A3, Ledger!$C$2:$C$4, SGZ$2)),"****")</f>
        <v/>
      </c>
      <c r="SHA3" t="str">
        <f>IFERROR(IF($C3="","",SUMIFS(Ledger!$K$2:$K$4, Ledger!$B$2:$B$4, $A3, Ledger!$C$2:$C$4, SHA$2)),"****")</f>
        <v/>
      </c>
      <c r="SHB3" t="str">
        <f>IFERROR(IF($C3="","",SUMIFS(Ledger!$K$2:$K$4, Ledger!$B$2:$B$4, $A3, Ledger!$C$2:$C$4, SHB$2)),"****")</f>
        <v/>
      </c>
      <c r="SHC3" t="str">
        <f>IFERROR(IF($C3="","",SUMIFS(Ledger!$K$2:$K$4, Ledger!$B$2:$B$4, $A3, Ledger!$C$2:$C$4, SHC$2)),"****")</f>
        <v/>
      </c>
      <c r="SHD3" t="str">
        <f>IFERROR(IF($C3="","",SUMIFS(Ledger!$K$2:$K$4, Ledger!$B$2:$B$4, $A3, Ledger!$C$2:$C$4, SHD$2)),"****")</f>
        <v/>
      </c>
      <c r="SHE3" t="str">
        <f>IFERROR(IF($C3="","",SUMIFS(Ledger!$K$2:$K$4, Ledger!$B$2:$B$4, $A3, Ledger!$C$2:$C$4, SHE$2)),"****")</f>
        <v/>
      </c>
      <c r="SHF3" t="str">
        <f>IFERROR(IF($C3="","",SUMIFS(Ledger!$K$2:$K$4, Ledger!$B$2:$B$4, $A3, Ledger!$C$2:$C$4, SHF$2)),"****")</f>
        <v/>
      </c>
      <c r="SHG3" t="str">
        <f>IFERROR(IF($C3="","",SUMIFS(Ledger!$K$2:$K$4, Ledger!$B$2:$B$4, $A3, Ledger!$C$2:$C$4, SHG$2)),"****")</f>
        <v/>
      </c>
      <c r="SHH3" t="str">
        <f>IFERROR(IF($C3="","",SUMIFS(Ledger!$K$2:$K$4, Ledger!$B$2:$B$4, $A3, Ledger!$C$2:$C$4, SHH$2)),"****")</f>
        <v/>
      </c>
      <c r="SHI3" t="str">
        <f>IFERROR(IF($C3="","",SUMIFS(Ledger!$K$2:$K$4, Ledger!$B$2:$B$4, $A3, Ledger!$C$2:$C$4, SHI$2)),"****")</f>
        <v/>
      </c>
      <c r="SHJ3" t="str">
        <f>IFERROR(IF($C3="","",SUMIFS(Ledger!$K$2:$K$4, Ledger!$B$2:$B$4, $A3, Ledger!$C$2:$C$4, SHJ$2)),"****")</f>
        <v/>
      </c>
      <c r="SHK3" t="str">
        <f>IFERROR(IF($C3="","",SUMIFS(Ledger!$K$2:$K$4, Ledger!$B$2:$B$4, $A3, Ledger!$C$2:$C$4, SHK$2)),"****")</f>
        <v/>
      </c>
      <c r="SHL3" t="str">
        <f>IFERROR(IF($C3="","",SUMIFS(Ledger!$K$2:$K$4, Ledger!$B$2:$B$4, $A3, Ledger!$C$2:$C$4, SHL$2)),"****")</f>
        <v/>
      </c>
      <c r="SHM3" t="str">
        <f>IFERROR(IF($C3="","",SUMIFS(Ledger!$K$2:$K$4, Ledger!$B$2:$B$4, $A3, Ledger!$C$2:$C$4, SHM$2)),"****")</f>
        <v/>
      </c>
      <c r="SHN3" t="str">
        <f>IFERROR(IF($C3="","",SUMIFS(Ledger!$K$2:$K$4, Ledger!$B$2:$B$4, $A3, Ledger!$C$2:$C$4, SHN$2)),"****")</f>
        <v/>
      </c>
      <c r="SHO3" t="str">
        <f>IFERROR(IF($C3="","",SUMIFS(Ledger!$K$2:$K$4, Ledger!$B$2:$B$4, $A3, Ledger!$C$2:$C$4, SHO$2)),"****")</f>
        <v/>
      </c>
      <c r="SHP3" t="str">
        <f>IFERROR(IF($C3="","",SUMIFS(Ledger!$K$2:$K$4, Ledger!$B$2:$B$4, $A3, Ledger!$C$2:$C$4, SHP$2)),"****")</f>
        <v/>
      </c>
      <c r="SHQ3" t="str">
        <f>IFERROR(IF($C3="","",SUMIFS(Ledger!$K$2:$K$4, Ledger!$B$2:$B$4, $A3, Ledger!$C$2:$C$4, SHQ$2)),"****")</f>
        <v/>
      </c>
      <c r="SHR3" t="str">
        <f>IFERROR(IF($C3="","",SUMIFS(Ledger!$K$2:$K$4, Ledger!$B$2:$B$4, $A3, Ledger!$C$2:$C$4, SHR$2)),"****")</f>
        <v/>
      </c>
      <c r="SHS3" t="str">
        <f>IFERROR(IF($C3="","",SUMIFS(Ledger!$K$2:$K$4, Ledger!$B$2:$B$4, $A3, Ledger!$C$2:$C$4, SHS$2)),"****")</f>
        <v/>
      </c>
      <c r="SHT3" t="str">
        <f>IFERROR(IF($C3="","",SUMIFS(Ledger!$K$2:$K$4, Ledger!$B$2:$B$4, $A3, Ledger!$C$2:$C$4, SHT$2)),"****")</f>
        <v/>
      </c>
      <c r="SHU3" t="str">
        <f>IFERROR(IF($C3="","",SUMIFS(Ledger!$K$2:$K$4, Ledger!$B$2:$B$4, $A3, Ledger!$C$2:$C$4, SHU$2)),"****")</f>
        <v/>
      </c>
      <c r="SHV3" t="str">
        <f>IFERROR(IF($C3="","",SUMIFS(Ledger!$K$2:$K$4, Ledger!$B$2:$B$4, $A3, Ledger!$C$2:$C$4, SHV$2)),"****")</f>
        <v/>
      </c>
      <c r="SHW3" t="str">
        <f>IFERROR(IF($C3="","",SUMIFS(Ledger!$K$2:$K$4, Ledger!$B$2:$B$4, $A3, Ledger!$C$2:$C$4, SHW$2)),"****")</f>
        <v/>
      </c>
      <c r="SHX3" t="str">
        <f>IFERROR(IF($C3="","",SUMIFS(Ledger!$K$2:$K$4, Ledger!$B$2:$B$4, $A3, Ledger!$C$2:$C$4, SHX$2)),"****")</f>
        <v/>
      </c>
      <c r="SHY3" t="str">
        <f>IFERROR(IF($C3="","",SUMIFS(Ledger!$K$2:$K$4, Ledger!$B$2:$B$4, $A3, Ledger!$C$2:$C$4, SHY$2)),"****")</f>
        <v/>
      </c>
      <c r="SHZ3" t="str">
        <f>IFERROR(IF($C3="","",SUMIFS(Ledger!$K$2:$K$4, Ledger!$B$2:$B$4, $A3, Ledger!$C$2:$C$4, SHZ$2)),"****")</f>
        <v/>
      </c>
      <c r="SIA3" t="str">
        <f>IFERROR(IF($C3="","",SUMIFS(Ledger!$K$2:$K$4, Ledger!$B$2:$B$4, $A3, Ledger!$C$2:$C$4, SIA$2)),"****")</f>
        <v/>
      </c>
      <c r="SIB3" t="str">
        <f>IFERROR(IF($C3="","",SUMIFS(Ledger!$K$2:$K$4, Ledger!$B$2:$B$4, $A3, Ledger!$C$2:$C$4, SIB$2)),"****")</f>
        <v/>
      </c>
      <c r="SIC3" t="str">
        <f>IFERROR(IF($C3="","",SUMIFS(Ledger!$K$2:$K$4, Ledger!$B$2:$B$4, $A3, Ledger!$C$2:$C$4, SIC$2)),"****")</f>
        <v/>
      </c>
      <c r="SID3" t="str">
        <f>IFERROR(IF($C3="","",SUMIFS(Ledger!$K$2:$K$4, Ledger!$B$2:$B$4, $A3, Ledger!$C$2:$C$4, SID$2)),"****")</f>
        <v/>
      </c>
      <c r="SIE3" t="str">
        <f>IFERROR(IF($C3="","",SUMIFS(Ledger!$K$2:$K$4, Ledger!$B$2:$B$4, $A3, Ledger!$C$2:$C$4, SIE$2)),"****")</f>
        <v/>
      </c>
      <c r="SIF3" t="str">
        <f>IFERROR(IF($C3="","",SUMIFS(Ledger!$K$2:$K$4, Ledger!$B$2:$B$4, $A3, Ledger!$C$2:$C$4, SIF$2)),"****")</f>
        <v/>
      </c>
      <c r="SIG3" t="str">
        <f>IFERROR(IF($C3="","",SUMIFS(Ledger!$K$2:$K$4, Ledger!$B$2:$B$4, $A3, Ledger!$C$2:$C$4, SIG$2)),"****")</f>
        <v/>
      </c>
      <c r="SIH3" t="str">
        <f>IFERROR(IF($C3="","",SUMIFS(Ledger!$K$2:$K$4, Ledger!$B$2:$B$4, $A3, Ledger!$C$2:$C$4, SIH$2)),"****")</f>
        <v/>
      </c>
      <c r="SII3" t="str">
        <f>IFERROR(IF($C3="","",SUMIFS(Ledger!$K$2:$K$4, Ledger!$B$2:$B$4, $A3, Ledger!$C$2:$C$4, SII$2)),"****")</f>
        <v/>
      </c>
      <c r="SIJ3" t="str">
        <f>IFERROR(IF($C3="","",SUMIFS(Ledger!$K$2:$K$4, Ledger!$B$2:$B$4, $A3, Ledger!$C$2:$C$4, SIJ$2)),"****")</f>
        <v/>
      </c>
      <c r="SIK3" t="str">
        <f>IFERROR(IF($C3="","",SUMIFS(Ledger!$K$2:$K$4, Ledger!$B$2:$B$4, $A3, Ledger!$C$2:$C$4, SIK$2)),"****")</f>
        <v/>
      </c>
      <c r="SIL3" t="str">
        <f>IFERROR(IF($C3="","",SUMIFS(Ledger!$K$2:$K$4, Ledger!$B$2:$B$4, $A3, Ledger!$C$2:$C$4, SIL$2)),"****")</f>
        <v/>
      </c>
      <c r="SIM3" t="str">
        <f>IFERROR(IF($C3="","",SUMIFS(Ledger!$K$2:$K$4, Ledger!$B$2:$B$4, $A3, Ledger!$C$2:$C$4, SIM$2)),"****")</f>
        <v/>
      </c>
      <c r="SIN3" t="str">
        <f>IFERROR(IF($C3="","",SUMIFS(Ledger!$K$2:$K$4, Ledger!$B$2:$B$4, $A3, Ledger!$C$2:$C$4, SIN$2)),"****")</f>
        <v/>
      </c>
      <c r="SIO3" t="str">
        <f>IFERROR(IF($C3="","",SUMIFS(Ledger!$K$2:$K$4, Ledger!$B$2:$B$4, $A3, Ledger!$C$2:$C$4, SIO$2)),"****")</f>
        <v/>
      </c>
      <c r="SIP3" t="str">
        <f>IFERROR(IF($C3="","",SUMIFS(Ledger!$K$2:$K$4, Ledger!$B$2:$B$4, $A3, Ledger!$C$2:$C$4, SIP$2)),"****")</f>
        <v/>
      </c>
      <c r="SIQ3" t="str">
        <f>IFERROR(IF($C3="","",SUMIFS(Ledger!$K$2:$K$4, Ledger!$B$2:$B$4, $A3, Ledger!$C$2:$C$4, SIQ$2)),"****")</f>
        <v/>
      </c>
      <c r="SIR3" t="str">
        <f>IFERROR(IF($C3="","",SUMIFS(Ledger!$K$2:$K$4, Ledger!$B$2:$B$4, $A3, Ledger!$C$2:$C$4, SIR$2)),"****")</f>
        <v/>
      </c>
      <c r="SIS3" t="str">
        <f>IFERROR(IF($C3="","",SUMIFS(Ledger!$K$2:$K$4, Ledger!$B$2:$B$4, $A3, Ledger!$C$2:$C$4, SIS$2)),"****")</f>
        <v/>
      </c>
      <c r="SIT3" t="str">
        <f>IFERROR(IF($C3="","",SUMIFS(Ledger!$K$2:$K$4, Ledger!$B$2:$B$4, $A3, Ledger!$C$2:$C$4, SIT$2)),"****")</f>
        <v/>
      </c>
      <c r="SIU3" t="str">
        <f>IFERROR(IF($C3="","",SUMIFS(Ledger!$K$2:$K$4, Ledger!$B$2:$B$4, $A3, Ledger!$C$2:$C$4, SIU$2)),"****")</f>
        <v/>
      </c>
      <c r="SIV3" t="str">
        <f>IFERROR(IF($C3="","",SUMIFS(Ledger!$K$2:$K$4, Ledger!$B$2:$B$4, $A3, Ledger!$C$2:$C$4, SIV$2)),"****")</f>
        <v/>
      </c>
      <c r="SIW3" t="str">
        <f>IFERROR(IF($C3="","",SUMIFS(Ledger!$K$2:$K$4, Ledger!$B$2:$B$4, $A3, Ledger!$C$2:$C$4, SIW$2)),"****")</f>
        <v/>
      </c>
      <c r="SIX3" t="str">
        <f>IFERROR(IF($C3="","",SUMIFS(Ledger!$K$2:$K$4, Ledger!$B$2:$B$4, $A3, Ledger!$C$2:$C$4, SIX$2)),"****")</f>
        <v/>
      </c>
      <c r="SIY3" t="str">
        <f>IFERROR(IF($C3="","",SUMIFS(Ledger!$K$2:$K$4, Ledger!$B$2:$B$4, $A3, Ledger!$C$2:$C$4, SIY$2)),"****")</f>
        <v/>
      </c>
      <c r="SIZ3" t="str">
        <f>IFERROR(IF($C3="","",SUMIFS(Ledger!$K$2:$K$4, Ledger!$B$2:$B$4, $A3, Ledger!$C$2:$C$4, SIZ$2)),"****")</f>
        <v/>
      </c>
      <c r="SJA3" t="str">
        <f>IFERROR(IF($C3="","",SUMIFS(Ledger!$K$2:$K$4, Ledger!$B$2:$B$4, $A3, Ledger!$C$2:$C$4, SJA$2)),"****")</f>
        <v/>
      </c>
      <c r="SJB3" t="str">
        <f>IFERROR(IF($C3="","",SUMIFS(Ledger!$K$2:$K$4, Ledger!$B$2:$B$4, $A3, Ledger!$C$2:$C$4, SJB$2)),"****")</f>
        <v/>
      </c>
      <c r="SJC3" t="str">
        <f>IFERROR(IF($C3="","",SUMIFS(Ledger!$K$2:$K$4, Ledger!$B$2:$B$4, $A3, Ledger!$C$2:$C$4, SJC$2)),"****")</f>
        <v/>
      </c>
      <c r="SJD3" t="str">
        <f>IFERROR(IF($C3="","",SUMIFS(Ledger!$K$2:$K$4, Ledger!$B$2:$B$4, $A3, Ledger!$C$2:$C$4, SJD$2)),"****")</f>
        <v/>
      </c>
      <c r="SJE3" t="str">
        <f>IFERROR(IF($C3="","",SUMIFS(Ledger!$K$2:$K$4, Ledger!$B$2:$B$4, $A3, Ledger!$C$2:$C$4, SJE$2)),"****")</f>
        <v/>
      </c>
      <c r="SJF3" t="str">
        <f>IFERROR(IF($C3="","",SUMIFS(Ledger!$K$2:$K$4, Ledger!$B$2:$B$4, $A3, Ledger!$C$2:$C$4, SJF$2)),"****")</f>
        <v/>
      </c>
      <c r="SJG3" t="str">
        <f>IFERROR(IF($C3="","",SUMIFS(Ledger!$K$2:$K$4, Ledger!$B$2:$B$4, $A3, Ledger!$C$2:$C$4, SJG$2)),"****")</f>
        <v/>
      </c>
      <c r="SJH3" t="str">
        <f>IFERROR(IF($C3="","",SUMIFS(Ledger!$K$2:$K$4, Ledger!$B$2:$B$4, $A3, Ledger!$C$2:$C$4, SJH$2)),"****")</f>
        <v/>
      </c>
      <c r="SJI3" t="str">
        <f>IFERROR(IF($C3="","",SUMIFS(Ledger!$K$2:$K$4, Ledger!$B$2:$B$4, $A3, Ledger!$C$2:$C$4, SJI$2)),"****")</f>
        <v/>
      </c>
      <c r="SJJ3" t="str">
        <f>IFERROR(IF($C3="","",SUMIFS(Ledger!$K$2:$K$4, Ledger!$B$2:$B$4, $A3, Ledger!$C$2:$C$4, SJJ$2)),"****")</f>
        <v/>
      </c>
      <c r="SJK3" t="str">
        <f>IFERROR(IF($C3="","",SUMIFS(Ledger!$K$2:$K$4, Ledger!$B$2:$B$4, $A3, Ledger!$C$2:$C$4, SJK$2)),"****")</f>
        <v/>
      </c>
      <c r="SJL3" t="str">
        <f>IFERROR(IF($C3="","",SUMIFS(Ledger!$K$2:$K$4, Ledger!$B$2:$B$4, $A3, Ledger!$C$2:$C$4, SJL$2)),"****")</f>
        <v/>
      </c>
      <c r="SJM3" t="str">
        <f>IFERROR(IF($C3="","",SUMIFS(Ledger!$K$2:$K$4, Ledger!$B$2:$B$4, $A3, Ledger!$C$2:$C$4, SJM$2)),"****")</f>
        <v/>
      </c>
      <c r="SJN3" t="str">
        <f>IFERROR(IF($C3="","",SUMIFS(Ledger!$K$2:$K$4, Ledger!$B$2:$B$4, $A3, Ledger!$C$2:$C$4, SJN$2)),"****")</f>
        <v/>
      </c>
      <c r="SJO3" t="str">
        <f>IFERROR(IF($C3="","",SUMIFS(Ledger!$K$2:$K$4, Ledger!$B$2:$B$4, $A3, Ledger!$C$2:$C$4, SJO$2)),"****")</f>
        <v/>
      </c>
      <c r="SJP3" t="str">
        <f>IFERROR(IF($C3="","",SUMIFS(Ledger!$K$2:$K$4, Ledger!$B$2:$B$4, $A3, Ledger!$C$2:$C$4, SJP$2)),"****")</f>
        <v/>
      </c>
      <c r="SJQ3" t="str">
        <f>IFERROR(IF($C3="","",SUMIFS(Ledger!$K$2:$K$4, Ledger!$B$2:$B$4, $A3, Ledger!$C$2:$C$4, SJQ$2)),"****")</f>
        <v/>
      </c>
      <c r="SJR3" t="str">
        <f>IFERROR(IF($C3="","",SUMIFS(Ledger!$K$2:$K$4, Ledger!$B$2:$B$4, $A3, Ledger!$C$2:$C$4, SJR$2)),"****")</f>
        <v/>
      </c>
      <c r="SJS3" t="str">
        <f>IFERROR(IF($C3="","",SUMIFS(Ledger!$K$2:$K$4, Ledger!$B$2:$B$4, $A3, Ledger!$C$2:$C$4, SJS$2)),"****")</f>
        <v/>
      </c>
      <c r="SJT3" t="str">
        <f>IFERROR(IF($C3="","",SUMIFS(Ledger!$K$2:$K$4, Ledger!$B$2:$B$4, $A3, Ledger!$C$2:$C$4, SJT$2)),"****")</f>
        <v/>
      </c>
      <c r="SJU3" t="str">
        <f>IFERROR(IF($C3="","",SUMIFS(Ledger!$K$2:$K$4, Ledger!$B$2:$B$4, $A3, Ledger!$C$2:$C$4, SJU$2)),"****")</f>
        <v/>
      </c>
      <c r="SJV3" t="str">
        <f>IFERROR(IF($C3="","",SUMIFS(Ledger!$K$2:$K$4, Ledger!$B$2:$B$4, $A3, Ledger!$C$2:$C$4, SJV$2)),"****")</f>
        <v/>
      </c>
      <c r="SJW3" t="str">
        <f>IFERROR(IF($C3="","",SUMIFS(Ledger!$K$2:$K$4, Ledger!$B$2:$B$4, $A3, Ledger!$C$2:$C$4, SJW$2)),"****")</f>
        <v/>
      </c>
      <c r="SJX3" t="str">
        <f>IFERROR(IF($C3="","",SUMIFS(Ledger!$K$2:$K$4, Ledger!$B$2:$B$4, $A3, Ledger!$C$2:$C$4, SJX$2)),"****")</f>
        <v/>
      </c>
      <c r="SJY3" t="str">
        <f>IFERROR(IF($C3="","",SUMIFS(Ledger!$K$2:$K$4, Ledger!$B$2:$B$4, $A3, Ledger!$C$2:$C$4, SJY$2)),"****")</f>
        <v/>
      </c>
      <c r="SJZ3" t="str">
        <f>IFERROR(IF($C3="","",SUMIFS(Ledger!$K$2:$K$4, Ledger!$B$2:$B$4, $A3, Ledger!$C$2:$C$4, SJZ$2)),"****")</f>
        <v/>
      </c>
      <c r="SKA3" t="str">
        <f>IFERROR(IF($C3="","",SUMIFS(Ledger!$K$2:$K$4, Ledger!$B$2:$B$4, $A3, Ledger!$C$2:$C$4, SKA$2)),"****")</f>
        <v/>
      </c>
      <c r="SKB3" t="str">
        <f>IFERROR(IF($C3="","",SUMIFS(Ledger!$K$2:$K$4, Ledger!$B$2:$B$4, $A3, Ledger!$C$2:$C$4, SKB$2)),"****")</f>
        <v/>
      </c>
      <c r="SKC3" t="str">
        <f>IFERROR(IF($C3="","",SUMIFS(Ledger!$K$2:$K$4, Ledger!$B$2:$B$4, $A3, Ledger!$C$2:$C$4, SKC$2)),"****")</f>
        <v/>
      </c>
      <c r="SKD3" t="str">
        <f>IFERROR(IF($C3="","",SUMIFS(Ledger!$K$2:$K$4, Ledger!$B$2:$B$4, $A3, Ledger!$C$2:$C$4, SKD$2)),"****")</f>
        <v/>
      </c>
      <c r="SKE3" t="str">
        <f>IFERROR(IF($C3="","",SUMIFS(Ledger!$K$2:$K$4, Ledger!$B$2:$B$4, $A3, Ledger!$C$2:$C$4, SKE$2)),"****")</f>
        <v/>
      </c>
      <c r="SKF3" t="str">
        <f>IFERROR(IF($C3="","",SUMIFS(Ledger!$K$2:$K$4, Ledger!$B$2:$B$4, $A3, Ledger!$C$2:$C$4, SKF$2)),"****")</f>
        <v/>
      </c>
      <c r="SKG3" t="str">
        <f>IFERROR(IF($C3="","",SUMIFS(Ledger!$K$2:$K$4, Ledger!$B$2:$B$4, $A3, Ledger!$C$2:$C$4, SKG$2)),"****")</f>
        <v/>
      </c>
      <c r="SKH3" t="str">
        <f>IFERROR(IF($C3="","",SUMIFS(Ledger!$K$2:$K$4, Ledger!$B$2:$B$4, $A3, Ledger!$C$2:$C$4, SKH$2)),"****")</f>
        <v/>
      </c>
      <c r="SKI3" t="str">
        <f>IFERROR(IF($C3="","",SUMIFS(Ledger!$K$2:$K$4, Ledger!$B$2:$B$4, $A3, Ledger!$C$2:$C$4, SKI$2)),"****")</f>
        <v/>
      </c>
      <c r="SKJ3" t="str">
        <f>IFERROR(IF($C3="","",SUMIFS(Ledger!$K$2:$K$4, Ledger!$B$2:$B$4, $A3, Ledger!$C$2:$C$4, SKJ$2)),"****")</f>
        <v/>
      </c>
      <c r="SKK3" t="str">
        <f>IFERROR(IF($C3="","",SUMIFS(Ledger!$K$2:$K$4, Ledger!$B$2:$B$4, $A3, Ledger!$C$2:$C$4, SKK$2)),"****")</f>
        <v/>
      </c>
      <c r="SKL3" t="str">
        <f>IFERROR(IF($C3="","",SUMIFS(Ledger!$K$2:$K$4, Ledger!$B$2:$B$4, $A3, Ledger!$C$2:$C$4, SKL$2)),"****")</f>
        <v/>
      </c>
      <c r="SKM3" t="str">
        <f>IFERROR(IF($C3="","",SUMIFS(Ledger!$K$2:$K$4, Ledger!$B$2:$B$4, $A3, Ledger!$C$2:$C$4, SKM$2)),"****")</f>
        <v/>
      </c>
      <c r="SKN3" t="str">
        <f>IFERROR(IF($C3="","",SUMIFS(Ledger!$K$2:$K$4, Ledger!$B$2:$B$4, $A3, Ledger!$C$2:$C$4, SKN$2)),"****")</f>
        <v/>
      </c>
      <c r="SKO3" t="str">
        <f>IFERROR(IF($C3="","",SUMIFS(Ledger!$K$2:$K$4, Ledger!$B$2:$B$4, $A3, Ledger!$C$2:$C$4, SKO$2)),"****")</f>
        <v/>
      </c>
      <c r="SKP3" t="str">
        <f>IFERROR(IF($C3="","",SUMIFS(Ledger!$K$2:$K$4, Ledger!$B$2:$B$4, $A3, Ledger!$C$2:$C$4, SKP$2)),"****")</f>
        <v/>
      </c>
      <c r="SKQ3" t="str">
        <f>IFERROR(IF($C3="","",SUMIFS(Ledger!$K$2:$K$4, Ledger!$B$2:$B$4, $A3, Ledger!$C$2:$C$4, SKQ$2)),"****")</f>
        <v/>
      </c>
      <c r="SKR3" t="str">
        <f>IFERROR(IF($C3="","",SUMIFS(Ledger!$K$2:$K$4, Ledger!$B$2:$B$4, $A3, Ledger!$C$2:$C$4, SKR$2)),"****")</f>
        <v/>
      </c>
      <c r="SKS3" t="str">
        <f>IFERROR(IF($C3="","",SUMIFS(Ledger!$K$2:$K$4, Ledger!$B$2:$B$4, $A3, Ledger!$C$2:$C$4, SKS$2)),"****")</f>
        <v/>
      </c>
      <c r="SKT3" t="str">
        <f>IFERROR(IF($C3="","",SUMIFS(Ledger!$K$2:$K$4, Ledger!$B$2:$B$4, $A3, Ledger!$C$2:$C$4, SKT$2)),"****")</f>
        <v/>
      </c>
      <c r="SKU3" t="str">
        <f>IFERROR(IF($C3="","",SUMIFS(Ledger!$K$2:$K$4, Ledger!$B$2:$B$4, $A3, Ledger!$C$2:$C$4, SKU$2)),"****")</f>
        <v/>
      </c>
      <c r="SKV3" t="str">
        <f>IFERROR(IF($C3="","",SUMIFS(Ledger!$K$2:$K$4, Ledger!$B$2:$B$4, $A3, Ledger!$C$2:$C$4, SKV$2)),"****")</f>
        <v/>
      </c>
      <c r="SKW3" t="str">
        <f>IFERROR(IF($C3="","",SUMIFS(Ledger!$K$2:$K$4, Ledger!$B$2:$B$4, $A3, Ledger!$C$2:$C$4, SKW$2)),"****")</f>
        <v/>
      </c>
      <c r="SKX3" t="str">
        <f>IFERROR(IF($C3="","",SUMIFS(Ledger!$K$2:$K$4, Ledger!$B$2:$B$4, $A3, Ledger!$C$2:$C$4, SKX$2)),"****")</f>
        <v/>
      </c>
      <c r="SKY3" t="str">
        <f>IFERROR(IF($C3="","",SUMIFS(Ledger!$K$2:$K$4, Ledger!$B$2:$B$4, $A3, Ledger!$C$2:$C$4, SKY$2)),"****")</f>
        <v/>
      </c>
      <c r="SKZ3" t="str">
        <f>IFERROR(IF($C3="","",SUMIFS(Ledger!$K$2:$K$4, Ledger!$B$2:$B$4, $A3, Ledger!$C$2:$C$4, SKZ$2)),"****")</f>
        <v/>
      </c>
      <c r="SLA3" t="str">
        <f>IFERROR(IF($C3="","",SUMIFS(Ledger!$K$2:$K$4, Ledger!$B$2:$B$4, $A3, Ledger!$C$2:$C$4, SLA$2)),"****")</f>
        <v/>
      </c>
      <c r="SLB3" t="str">
        <f>IFERROR(IF($C3="","",SUMIFS(Ledger!$K$2:$K$4, Ledger!$B$2:$B$4, $A3, Ledger!$C$2:$C$4, SLB$2)),"****")</f>
        <v/>
      </c>
      <c r="SLC3" t="str">
        <f>IFERROR(IF($C3="","",SUMIFS(Ledger!$K$2:$K$4, Ledger!$B$2:$B$4, $A3, Ledger!$C$2:$C$4, SLC$2)),"****")</f>
        <v/>
      </c>
      <c r="SLD3" t="str">
        <f>IFERROR(IF($C3="","",SUMIFS(Ledger!$K$2:$K$4, Ledger!$B$2:$B$4, $A3, Ledger!$C$2:$C$4, SLD$2)),"****")</f>
        <v/>
      </c>
      <c r="SLE3" t="str">
        <f>IFERROR(IF($C3="","",SUMIFS(Ledger!$K$2:$K$4, Ledger!$B$2:$B$4, $A3, Ledger!$C$2:$C$4, SLE$2)),"****")</f>
        <v/>
      </c>
      <c r="SLF3" t="str">
        <f>IFERROR(IF($C3="","",SUMIFS(Ledger!$K$2:$K$4, Ledger!$B$2:$B$4, $A3, Ledger!$C$2:$C$4, SLF$2)),"****")</f>
        <v/>
      </c>
      <c r="SLG3" t="str">
        <f>IFERROR(IF($C3="","",SUMIFS(Ledger!$K$2:$K$4, Ledger!$B$2:$B$4, $A3, Ledger!$C$2:$C$4, SLG$2)),"****")</f>
        <v/>
      </c>
      <c r="SLH3" t="str">
        <f>IFERROR(IF($C3="","",SUMIFS(Ledger!$K$2:$K$4, Ledger!$B$2:$B$4, $A3, Ledger!$C$2:$C$4, SLH$2)),"****")</f>
        <v/>
      </c>
      <c r="SLI3" t="str">
        <f>IFERROR(IF($C3="","",SUMIFS(Ledger!$K$2:$K$4, Ledger!$B$2:$B$4, $A3, Ledger!$C$2:$C$4, SLI$2)),"****")</f>
        <v/>
      </c>
      <c r="SLJ3" t="str">
        <f>IFERROR(IF($C3="","",SUMIFS(Ledger!$K$2:$K$4, Ledger!$B$2:$B$4, $A3, Ledger!$C$2:$C$4, SLJ$2)),"****")</f>
        <v/>
      </c>
      <c r="SLK3" t="str">
        <f>IFERROR(IF($C3="","",SUMIFS(Ledger!$K$2:$K$4, Ledger!$B$2:$B$4, $A3, Ledger!$C$2:$C$4, SLK$2)),"****")</f>
        <v/>
      </c>
      <c r="SLL3" t="str">
        <f>IFERROR(IF($C3="","",SUMIFS(Ledger!$K$2:$K$4, Ledger!$B$2:$B$4, $A3, Ledger!$C$2:$C$4, SLL$2)),"****")</f>
        <v/>
      </c>
      <c r="SLM3" t="str">
        <f>IFERROR(IF($C3="","",SUMIFS(Ledger!$K$2:$K$4, Ledger!$B$2:$B$4, $A3, Ledger!$C$2:$C$4, SLM$2)),"****")</f>
        <v/>
      </c>
      <c r="SLN3" t="str">
        <f>IFERROR(IF($C3="","",SUMIFS(Ledger!$K$2:$K$4, Ledger!$B$2:$B$4, $A3, Ledger!$C$2:$C$4, SLN$2)),"****")</f>
        <v/>
      </c>
      <c r="SLO3" t="str">
        <f>IFERROR(IF($C3="","",SUMIFS(Ledger!$K$2:$K$4, Ledger!$B$2:$B$4, $A3, Ledger!$C$2:$C$4, SLO$2)),"****")</f>
        <v/>
      </c>
      <c r="SLP3" t="str">
        <f>IFERROR(IF($C3="","",SUMIFS(Ledger!$K$2:$K$4, Ledger!$B$2:$B$4, $A3, Ledger!$C$2:$C$4, SLP$2)),"****")</f>
        <v/>
      </c>
      <c r="SLQ3" t="str">
        <f>IFERROR(IF($C3="","",SUMIFS(Ledger!$K$2:$K$4, Ledger!$B$2:$B$4, $A3, Ledger!$C$2:$C$4, SLQ$2)),"****")</f>
        <v/>
      </c>
      <c r="SLR3" t="str">
        <f>IFERROR(IF($C3="","",SUMIFS(Ledger!$K$2:$K$4, Ledger!$B$2:$B$4, $A3, Ledger!$C$2:$C$4, SLR$2)),"****")</f>
        <v/>
      </c>
      <c r="SLS3" t="str">
        <f>IFERROR(IF($C3="","",SUMIFS(Ledger!$K$2:$K$4, Ledger!$B$2:$B$4, $A3, Ledger!$C$2:$C$4, SLS$2)),"****")</f>
        <v/>
      </c>
      <c r="SLT3" t="str">
        <f>IFERROR(IF($C3="","",SUMIFS(Ledger!$K$2:$K$4, Ledger!$B$2:$B$4, $A3, Ledger!$C$2:$C$4, SLT$2)),"****")</f>
        <v/>
      </c>
      <c r="SLU3" t="str">
        <f>IFERROR(IF($C3="","",SUMIFS(Ledger!$K$2:$K$4, Ledger!$B$2:$B$4, $A3, Ledger!$C$2:$C$4, SLU$2)),"****")</f>
        <v/>
      </c>
      <c r="SLV3" t="str">
        <f>IFERROR(IF($C3="","",SUMIFS(Ledger!$K$2:$K$4, Ledger!$B$2:$B$4, $A3, Ledger!$C$2:$C$4, SLV$2)),"****")</f>
        <v/>
      </c>
      <c r="SLW3" t="str">
        <f>IFERROR(IF($C3="","",SUMIFS(Ledger!$K$2:$K$4, Ledger!$B$2:$B$4, $A3, Ledger!$C$2:$C$4, SLW$2)),"****")</f>
        <v/>
      </c>
      <c r="SLX3" t="str">
        <f>IFERROR(IF($C3="","",SUMIFS(Ledger!$K$2:$K$4, Ledger!$B$2:$B$4, $A3, Ledger!$C$2:$C$4, SLX$2)),"****")</f>
        <v/>
      </c>
      <c r="SLY3" t="str">
        <f>IFERROR(IF($C3="","",SUMIFS(Ledger!$K$2:$K$4, Ledger!$B$2:$B$4, $A3, Ledger!$C$2:$C$4, SLY$2)),"****")</f>
        <v/>
      </c>
      <c r="SLZ3" t="str">
        <f>IFERROR(IF($C3="","",SUMIFS(Ledger!$K$2:$K$4, Ledger!$B$2:$B$4, $A3, Ledger!$C$2:$C$4, SLZ$2)),"****")</f>
        <v/>
      </c>
      <c r="SMA3" t="str">
        <f>IFERROR(IF($C3="","",SUMIFS(Ledger!$K$2:$K$4, Ledger!$B$2:$B$4, $A3, Ledger!$C$2:$C$4, SMA$2)),"****")</f>
        <v/>
      </c>
      <c r="SMB3" t="str">
        <f>IFERROR(IF($C3="","",SUMIFS(Ledger!$K$2:$K$4, Ledger!$B$2:$B$4, $A3, Ledger!$C$2:$C$4, SMB$2)),"****")</f>
        <v/>
      </c>
      <c r="SMC3" t="str">
        <f>IFERROR(IF($C3="","",SUMIFS(Ledger!$K$2:$K$4, Ledger!$B$2:$B$4, $A3, Ledger!$C$2:$C$4, SMC$2)),"****")</f>
        <v/>
      </c>
      <c r="SMD3" t="str">
        <f>IFERROR(IF($C3="","",SUMIFS(Ledger!$K$2:$K$4, Ledger!$B$2:$B$4, $A3, Ledger!$C$2:$C$4, SMD$2)),"****")</f>
        <v/>
      </c>
      <c r="SME3" t="str">
        <f>IFERROR(IF($C3="","",SUMIFS(Ledger!$K$2:$K$4, Ledger!$B$2:$B$4, $A3, Ledger!$C$2:$C$4, SME$2)),"****")</f>
        <v/>
      </c>
      <c r="SMF3" t="str">
        <f>IFERROR(IF($C3="","",SUMIFS(Ledger!$K$2:$K$4, Ledger!$B$2:$B$4, $A3, Ledger!$C$2:$C$4, SMF$2)),"****")</f>
        <v/>
      </c>
      <c r="SMG3" t="str">
        <f>IFERROR(IF($C3="","",SUMIFS(Ledger!$K$2:$K$4, Ledger!$B$2:$B$4, $A3, Ledger!$C$2:$C$4, SMG$2)),"****")</f>
        <v/>
      </c>
      <c r="SMH3" t="str">
        <f>IFERROR(IF($C3="","",SUMIFS(Ledger!$K$2:$K$4, Ledger!$B$2:$B$4, $A3, Ledger!$C$2:$C$4, SMH$2)),"****")</f>
        <v/>
      </c>
      <c r="SMI3" t="str">
        <f>IFERROR(IF($C3="","",SUMIFS(Ledger!$K$2:$K$4, Ledger!$B$2:$B$4, $A3, Ledger!$C$2:$C$4, SMI$2)),"****")</f>
        <v/>
      </c>
      <c r="SMJ3" t="str">
        <f>IFERROR(IF($C3="","",SUMIFS(Ledger!$K$2:$K$4, Ledger!$B$2:$B$4, $A3, Ledger!$C$2:$C$4, SMJ$2)),"****")</f>
        <v/>
      </c>
      <c r="SMK3" t="str">
        <f>IFERROR(IF($C3="","",SUMIFS(Ledger!$K$2:$K$4, Ledger!$B$2:$B$4, $A3, Ledger!$C$2:$C$4, SMK$2)),"****")</f>
        <v/>
      </c>
      <c r="SML3" t="str">
        <f>IFERROR(IF($C3="","",SUMIFS(Ledger!$K$2:$K$4, Ledger!$B$2:$B$4, $A3, Ledger!$C$2:$C$4, SML$2)),"****")</f>
        <v/>
      </c>
      <c r="SMM3" t="str">
        <f>IFERROR(IF($C3="","",SUMIFS(Ledger!$K$2:$K$4, Ledger!$B$2:$B$4, $A3, Ledger!$C$2:$C$4, SMM$2)),"****")</f>
        <v/>
      </c>
      <c r="SMN3" t="str">
        <f>IFERROR(IF($C3="","",SUMIFS(Ledger!$K$2:$K$4, Ledger!$B$2:$B$4, $A3, Ledger!$C$2:$C$4, SMN$2)),"****")</f>
        <v/>
      </c>
      <c r="SMO3" t="str">
        <f>IFERROR(IF($C3="","",SUMIFS(Ledger!$K$2:$K$4, Ledger!$B$2:$B$4, $A3, Ledger!$C$2:$C$4, SMO$2)),"****")</f>
        <v/>
      </c>
      <c r="SMP3" t="str">
        <f>IFERROR(IF($C3="","",SUMIFS(Ledger!$K$2:$K$4, Ledger!$B$2:$B$4, $A3, Ledger!$C$2:$C$4, SMP$2)),"****")</f>
        <v/>
      </c>
      <c r="SMQ3" t="str">
        <f>IFERROR(IF($C3="","",SUMIFS(Ledger!$K$2:$K$4, Ledger!$B$2:$B$4, $A3, Ledger!$C$2:$C$4, SMQ$2)),"****")</f>
        <v/>
      </c>
      <c r="SMR3" t="str">
        <f>IFERROR(IF($C3="","",SUMIFS(Ledger!$K$2:$K$4, Ledger!$B$2:$B$4, $A3, Ledger!$C$2:$C$4, SMR$2)),"****")</f>
        <v/>
      </c>
      <c r="SMS3" t="str">
        <f>IFERROR(IF($C3="","",SUMIFS(Ledger!$K$2:$K$4, Ledger!$B$2:$B$4, $A3, Ledger!$C$2:$C$4, SMS$2)),"****")</f>
        <v/>
      </c>
      <c r="SMT3" t="str">
        <f>IFERROR(IF($C3="","",SUMIFS(Ledger!$K$2:$K$4, Ledger!$B$2:$B$4, $A3, Ledger!$C$2:$C$4, SMT$2)),"****")</f>
        <v/>
      </c>
      <c r="SMU3" t="str">
        <f>IFERROR(IF($C3="","",SUMIFS(Ledger!$K$2:$K$4, Ledger!$B$2:$B$4, $A3, Ledger!$C$2:$C$4, SMU$2)),"****")</f>
        <v/>
      </c>
      <c r="SMV3" t="str">
        <f>IFERROR(IF($C3="","",SUMIFS(Ledger!$K$2:$K$4, Ledger!$B$2:$B$4, $A3, Ledger!$C$2:$C$4, SMV$2)),"****")</f>
        <v/>
      </c>
      <c r="SMW3" t="str">
        <f>IFERROR(IF($C3="","",SUMIFS(Ledger!$K$2:$K$4, Ledger!$B$2:$B$4, $A3, Ledger!$C$2:$C$4, SMW$2)),"****")</f>
        <v/>
      </c>
      <c r="SMX3" t="str">
        <f>IFERROR(IF($C3="","",SUMIFS(Ledger!$K$2:$K$4, Ledger!$B$2:$B$4, $A3, Ledger!$C$2:$C$4, SMX$2)),"****")</f>
        <v/>
      </c>
      <c r="SMY3" t="str">
        <f>IFERROR(IF($C3="","",SUMIFS(Ledger!$K$2:$K$4, Ledger!$B$2:$B$4, $A3, Ledger!$C$2:$C$4, SMY$2)),"****")</f>
        <v/>
      </c>
      <c r="SMZ3" t="str">
        <f>IFERROR(IF($C3="","",SUMIFS(Ledger!$K$2:$K$4, Ledger!$B$2:$B$4, $A3, Ledger!$C$2:$C$4, SMZ$2)),"****")</f>
        <v/>
      </c>
      <c r="SNA3" t="str">
        <f>IFERROR(IF($C3="","",SUMIFS(Ledger!$K$2:$K$4, Ledger!$B$2:$B$4, $A3, Ledger!$C$2:$C$4, SNA$2)),"****")</f>
        <v/>
      </c>
      <c r="SNB3" t="str">
        <f>IFERROR(IF($C3="","",SUMIFS(Ledger!$K$2:$K$4, Ledger!$B$2:$B$4, $A3, Ledger!$C$2:$C$4, SNB$2)),"****")</f>
        <v/>
      </c>
      <c r="SNC3" t="str">
        <f>IFERROR(IF($C3="","",SUMIFS(Ledger!$K$2:$K$4, Ledger!$B$2:$B$4, $A3, Ledger!$C$2:$C$4, SNC$2)),"****")</f>
        <v/>
      </c>
      <c r="SND3" t="str">
        <f>IFERROR(IF($C3="","",SUMIFS(Ledger!$K$2:$K$4, Ledger!$B$2:$B$4, $A3, Ledger!$C$2:$C$4, SND$2)),"****")</f>
        <v/>
      </c>
      <c r="SNE3" t="str">
        <f>IFERROR(IF($C3="","",SUMIFS(Ledger!$K$2:$K$4, Ledger!$B$2:$B$4, $A3, Ledger!$C$2:$C$4, SNE$2)),"****")</f>
        <v/>
      </c>
      <c r="SNF3" t="str">
        <f>IFERROR(IF($C3="","",SUMIFS(Ledger!$K$2:$K$4, Ledger!$B$2:$B$4, $A3, Ledger!$C$2:$C$4, SNF$2)),"****")</f>
        <v/>
      </c>
      <c r="SNG3" t="str">
        <f>IFERROR(IF($C3="","",SUMIFS(Ledger!$K$2:$K$4, Ledger!$B$2:$B$4, $A3, Ledger!$C$2:$C$4, SNG$2)),"****")</f>
        <v/>
      </c>
      <c r="SNH3" t="str">
        <f>IFERROR(IF($C3="","",SUMIFS(Ledger!$K$2:$K$4, Ledger!$B$2:$B$4, $A3, Ledger!$C$2:$C$4, SNH$2)),"****")</f>
        <v/>
      </c>
      <c r="SNI3" t="str">
        <f>IFERROR(IF($C3="","",SUMIFS(Ledger!$K$2:$K$4, Ledger!$B$2:$B$4, $A3, Ledger!$C$2:$C$4, SNI$2)),"****")</f>
        <v/>
      </c>
      <c r="SNJ3" t="str">
        <f>IFERROR(IF($C3="","",SUMIFS(Ledger!$K$2:$K$4, Ledger!$B$2:$B$4, $A3, Ledger!$C$2:$C$4, SNJ$2)),"****")</f>
        <v/>
      </c>
      <c r="SNK3" t="str">
        <f>IFERROR(IF($C3="","",SUMIFS(Ledger!$K$2:$K$4, Ledger!$B$2:$B$4, $A3, Ledger!$C$2:$C$4, SNK$2)),"****")</f>
        <v/>
      </c>
      <c r="SNL3" t="str">
        <f>IFERROR(IF($C3="","",SUMIFS(Ledger!$K$2:$K$4, Ledger!$B$2:$B$4, $A3, Ledger!$C$2:$C$4, SNL$2)),"****")</f>
        <v/>
      </c>
      <c r="SNM3" t="str">
        <f>IFERROR(IF($C3="","",SUMIFS(Ledger!$K$2:$K$4, Ledger!$B$2:$B$4, $A3, Ledger!$C$2:$C$4, SNM$2)),"****")</f>
        <v/>
      </c>
      <c r="SNN3" t="str">
        <f>IFERROR(IF($C3="","",SUMIFS(Ledger!$K$2:$K$4, Ledger!$B$2:$B$4, $A3, Ledger!$C$2:$C$4, SNN$2)),"****")</f>
        <v/>
      </c>
      <c r="SNO3" t="str">
        <f>IFERROR(IF($C3="","",SUMIFS(Ledger!$K$2:$K$4, Ledger!$B$2:$B$4, $A3, Ledger!$C$2:$C$4, SNO$2)),"****")</f>
        <v/>
      </c>
      <c r="SNP3" t="str">
        <f>IFERROR(IF($C3="","",SUMIFS(Ledger!$K$2:$K$4, Ledger!$B$2:$B$4, $A3, Ledger!$C$2:$C$4, SNP$2)),"****")</f>
        <v/>
      </c>
      <c r="SNQ3" t="str">
        <f>IFERROR(IF($C3="","",SUMIFS(Ledger!$K$2:$K$4, Ledger!$B$2:$B$4, $A3, Ledger!$C$2:$C$4, SNQ$2)),"****")</f>
        <v/>
      </c>
      <c r="SNR3" t="str">
        <f>IFERROR(IF($C3="","",SUMIFS(Ledger!$K$2:$K$4, Ledger!$B$2:$B$4, $A3, Ledger!$C$2:$C$4, SNR$2)),"****")</f>
        <v/>
      </c>
      <c r="SNS3" t="str">
        <f>IFERROR(IF($C3="","",SUMIFS(Ledger!$K$2:$K$4, Ledger!$B$2:$B$4, $A3, Ledger!$C$2:$C$4, SNS$2)),"****")</f>
        <v/>
      </c>
      <c r="SNT3" t="str">
        <f>IFERROR(IF($C3="","",SUMIFS(Ledger!$K$2:$K$4, Ledger!$B$2:$B$4, $A3, Ledger!$C$2:$C$4, SNT$2)),"****")</f>
        <v/>
      </c>
      <c r="SNU3" t="str">
        <f>IFERROR(IF($C3="","",SUMIFS(Ledger!$K$2:$K$4, Ledger!$B$2:$B$4, $A3, Ledger!$C$2:$C$4, SNU$2)),"****")</f>
        <v/>
      </c>
      <c r="SNV3" t="str">
        <f>IFERROR(IF($C3="","",SUMIFS(Ledger!$K$2:$K$4, Ledger!$B$2:$B$4, $A3, Ledger!$C$2:$C$4, SNV$2)),"****")</f>
        <v/>
      </c>
      <c r="SNW3" t="str">
        <f>IFERROR(IF($C3="","",SUMIFS(Ledger!$K$2:$K$4, Ledger!$B$2:$B$4, $A3, Ledger!$C$2:$C$4, SNW$2)),"****")</f>
        <v/>
      </c>
      <c r="SNX3" t="str">
        <f>IFERROR(IF($C3="","",SUMIFS(Ledger!$K$2:$K$4, Ledger!$B$2:$B$4, $A3, Ledger!$C$2:$C$4, SNX$2)),"****")</f>
        <v/>
      </c>
      <c r="SNY3" t="str">
        <f>IFERROR(IF($C3="","",SUMIFS(Ledger!$K$2:$K$4, Ledger!$B$2:$B$4, $A3, Ledger!$C$2:$C$4, SNY$2)),"****")</f>
        <v/>
      </c>
      <c r="SNZ3" t="str">
        <f>IFERROR(IF($C3="","",SUMIFS(Ledger!$K$2:$K$4, Ledger!$B$2:$B$4, $A3, Ledger!$C$2:$C$4, SNZ$2)),"****")</f>
        <v/>
      </c>
      <c r="SOA3" t="str">
        <f>IFERROR(IF($C3="","",SUMIFS(Ledger!$K$2:$K$4, Ledger!$B$2:$B$4, $A3, Ledger!$C$2:$C$4, SOA$2)),"****")</f>
        <v/>
      </c>
      <c r="SOB3" t="str">
        <f>IFERROR(IF($C3="","",SUMIFS(Ledger!$K$2:$K$4, Ledger!$B$2:$B$4, $A3, Ledger!$C$2:$C$4, SOB$2)),"****")</f>
        <v/>
      </c>
      <c r="SOC3" t="str">
        <f>IFERROR(IF($C3="","",SUMIFS(Ledger!$K$2:$K$4, Ledger!$B$2:$B$4, $A3, Ledger!$C$2:$C$4, SOC$2)),"****")</f>
        <v/>
      </c>
      <c r="SOD3" t="str">
        <f>IFERROR(IF($C3="","",SUMIFS(Ledger!$K$2:$K$4, Ledger!$B$2:$B$4, $A3, Ledger!$C$2:$C$4, SOD$2)),"****")</f>
        <v/>
      </c>
      <c r="SOE3" t="str">
        <f>IFERROR(IF($C3="","",SUMIFS(Ledger!$K$2:$K$4, Ledger!$B$2:$B$4, $A3, Ledger!$C$2:$C$4, SOE$2)),"****")</f>
        <v/>
      </c>
      <c r="SOF3" t="str">
        <f>IFERROR(IF($C3="","",SUMIFS(Ledger!$K$2:$K$4, Ledger!$B$2:$B$4, $A3, Ledger!$C$2:$C$4, SOF$2)),"****")</f>
        <v/>
      </c>
      <c r="SOG3" t="str">
        <f>IFERROR(IF($C3="","",SUMIFS(Ledger!$K$2:$K$4, Ledger!$B$2:$B$4, $A3, Ledger!$C$2:$C$4, SOG$2)),"****")</f>
        <v/>
      </c>
      <c r="SOH3" t="str">
        <f>IFERROR(IF($C3="","",SUMIFS(Ledger!$K$2:$K$4, Ledger!$B$2:$B$4, $A3, Ledger!$C$2:$C$4, SOH$2)),"****")</f>
        <v/>
      </c>
      <c r="SOI3" t="str">
        <f>IFERROR(IF($C3="","",SUMIFS(Ledger!$K$2:$K$4, Ledger!$B$2:$B$4, $A3, Ledger!$C$2:$C$4, SOI$2)),"****")</f>
        <v/>
      </c>
      <c r="SOJ3" t="str">
        <f>IFERROR(IF($C3="","",SUMIFS(Ledger!$K$2:$K$4, Ledger!$B$2:$B$4, $A3, Ledger!$C$2:$C$4, SOJ$2)),"****")</f>
        <v/>
      </c>
      <c r="SOK3" t="str">
        <f>IFERROR(IF($C3="","",SUMIFS(Ledger!$K$2:$K$4, Ledger!$B$2:$B$4, $A3, Ledger!$C$2:$C$4, SOK$2)),"****")</f>
        <v/>
      </c>
      <c r="SOL3" t="str">
        <f>IFERROR(IF($C3="","",SUMIFS(Ledger!$K$2:$K$4, Ledger!$B$2:$B$4, $A3, Ledger!$C$2:$C$4, SOL$2)),"****")</f>
        <v/>
      </c>
      <c r="SOM3" t="str">
        <f>IFERROR(IF($C3="","",SUMIFS(Ledger!$K$2:$K$4, Ledger!$B$2:$B$4, $A3, Ledger!$C$2:$C$4, SOM$2)),"****")</f>
        <v/>
      </c>
      <c r="SON3" t="str">
        <f>IFERROR(IF($C3="","",SUMIFS(Ledger!$K$2:$K$4, Ledger!$B$2:$B$4, $A3, Ledger!$C$2:$C$4, SON$2)),"****")</f>
        <v/>
      </c>
      <c r="SOO3" t="str">
        <f>IFERROR(IF($C3="","",SUMIFS(Ledger!$K$2:$K$4, Ledger!$B$2:$B$4, $A3, Ledger!$C$2:$C$4, SOO$2)),"****")</f>
        <v/>
      </c>
      <c r="SOP3" t="str">
        <f>IFERROR(IF($C3="","",SUMIFS(Ledger!$K$2:$K$4, Ledger!$B$2:$B$4, $A3, Ledger!$C$2:$C$4, SOP$2)),"****")</f>
        <v/>
      </c>
      <c r="SOQ3" t="str">
        <f>IFERROR(IF($C3="","",SUMIFS(Ledger!$K$2:$K$4, Ledger!$B$2:$B$4, $A3, Ledger!$C$2:$C$4, SOQ$2)),"****")</f>
        <v/>
      </c>
      <c r="SOR3" t="str">
        <f>IFERROR(IF($C3="","",SUMIFS(Ledger!$K$2:$K$4, Ledger!$B$2:$B$4, $A3, Ledger!$C$2:$C$4, SOR$2)),"****")</f>
        <v/>
      </c>
      <c r="SOS3" t="str">
        <f>IFERROR(IF($C3="","",SUMIFS(Ledger!$K$2:$K$4, Ledger!$B$2:$B$4, $A3, Ledger!$C$2:$C$4, SOS$2)),"****")</f>
        <v/>
      </c>
      <c r="SOT3" t="str">
        <f>IFERROR(IF($C3="","",SUMIFS(Ledger!$K$2:$K$4, Ledger!$B$2:$B$4, $A3, Ledger!$C$2:$C$4, SOT$2)),"****")</f>
        <v/>
      </c>
      <c r="SOU3" t="str">
        <f>IFERROR(IF($C3="","",SUMIFS(Ledger!$K$2:$K$4, Ledger!$B$2:$B$4, $A3, Ledger!$C$2:$C$4, SOU$2)),"****")</f>
        <v/>
      </c>
      <c r="SOV3" t="str">
        <f>IFERROR(IF($C3="","",SUMIFS(Ledger!$K$2:$K$4, Ledger!$B$2:$B$4, $A3, Ledger!$C$2:$C$4, SOV$2)),"****")</f>
        <v/>
      </c>
      <c r="SOW3" t="str">
        <f>IFERROR(IF($C3="","",SUMIFS(Ledger!$K$2:$K$4, Ledger!$B$2:$B$4, $A3, Ledger!$C$2:$C$4, SOW$2)),"****")</f>
        <v/>
      </c>
      <c r="SOX3" t="str">
        <f>IFERROR(IF($C3="","",SUMIFS(Ledger!$K$2:$K$4, Ledger!$B$2:$B$4, $A3, Ledger!$C$2:$C$4, SOX$2)),"****")</f>
        <v/>
      </c>
      <c r="SOY3" t="str">
        <f>IFERROR(IF($C3="","",SUMIFS(Ledger!$K$2:$K$4, Ledger!$B$2:$B$4, $A3, Ledger!$C$2:$C$4, SOY$2)),"****")</f>
        <v/>
      </c>
      <c r="SOZ3" t="str">
        <f>IFERROR(IF($C3="","",SUMIFS(Ledger!$K$2:$K$4, Ledger!$B$2:$B$4, $A3, Ledger!$C$2:$C$4, SOZ$2)),"****")</f>
        <v/>
      </c>
      <c r="SPA3" t="str">
        <f>IFERROR(IF($C3="","",SUMIFS(Ledger!$K$2:$K$4, Ledger!$B$2:$B$4, $A3, Ledger!$C$2:$C$4, SPA$2)),"****")</f>
        <v/>
      </c>
      <c r="SPB3" t="str">
        <f>IFERROR(IF($C3="","",SUMIFS(Ledger!$K$2:$K$4, Ledger!$B$2:$B$4, $A3, Ledger!$C$2:$C$4, SPB$2)),"****")</f>
        <v/>
      </c>
      <c r="SPC3" t="str">
        <f>IFERROR(IF($C3="","",SUMIFS(Ledger!$K$2:$K$4, Ledger!$B$2:$B$4, $A3, Ledger!$C$2:$C$4, SPC$2)),"****")</f>
        <v/>
      </c>
      <c r="SPD3" t="str">
        <f>IFERROR(IF($C3="","",SUMIFS(Ledger!$K$2:$K$4, Ledger!$B$2:$B$4, $A3, Ledger!$C$2:$C$4, SPD$2)),"****")</f>
        <v/>
      </c>
      <c r="SPE3" t="str">
        <f>IFERROR(IF($C3="","",SUMIFS(Ledger!$K$2:$K$4, Ledger!$B$2:$B$4, $A3, Ledger!$C$2:$C$4, SPE$2)),"****")</f>
        <v/>
      </c>
      <c r="SPF3" t="str">
        <f>IFERROR(IF($C3="","",SUMIFS(Ledger!$K$2:$K$4, Ledger!$B$2:$B$4, $A3, Ledger!$C$2:$C$4, SPF$2)),"****")</f>
        <v/>
      </c>
      <c r="SPG3" t="str">
        <f>IFERROR(IF($C3="","",SUMIFS(Ledger!$K$2:$K$4, Ledger!$B$2:$B$4, $A3, Ledger!$C$2:$C$4, SPG$2)),"****")</f>
        <v/>
      </c>
      <c r="SPH3" t="str">
        <f>IFERROR(IF($C3="","",SUMIFS(Ledger!$K$2:$K$4, Ledger!$B$2:$B$4, $A3, Ledger!$C$2:$C$4, SPH$2)),"****")</f>
        <v/>
      </c>
      <c r="SPI3" t="str">
        <f>IFERROR(IF($C3="","",SUMIFS(Ledger!$K$2:$K$4, Ledger!$B$2:$B$4, $A3, Ledger!$C$2:$C$4, SPI$2)),"****")</f>
        <v/>
      </c>
      <c r="SPJ3" t="str">
        <f>IFERROR(IF($C3="","",SUMIFS(Ledger!$K$2:$K$4, Ledger!$B$2:$B$4, $A3, Ledger!$C$2:$C$4, SPJ$2)),"****")</f>
        <v/>
      </c>
      <c r="SPK3" t="str">
        <f>IFERROR(IF($C3="","",SUMIFS(Ledger!$K$2:$K$4, Ledger!$B$2:$B$4, $A3, Ledger!$C$2:$C$4, SPK$2)),"****")</f>
        <v/>
      </c>
      <c r="SPL3" t="str">
        <f>IFERROR(IF($C3="","",SUMIFS(Ledger!$K$2:$K$4, Ledger!$B$2:$B$4, $A3, Ledger!$C$2:$C$4, SPL$2)),"****")</f>
        <v/>
      </c>
      <c r="SPM3" t="str">
        <f>IFERROR(IF($C3="","",SUMIFS(Ledger!$K$2:$K$4, Ledger!$B$2:$B$4, $A3, Ledger!$C$2:$C$4, SPM$2)),"****")</f>
        <v/>
      </c>
      <c r="SPN3" t="str">
        <f>IFERROR(IF($C3="","",SUMIFS(Ledger!$K$2:$K$4, Ledger!$B$2:$B$4, $A3, Ledger!$C$2:$C$4, SPN$2)),"****")</f>
        <v/>
      </c>
      <c r="SPO3" t="str">
        <f>IFERROR(IF($C3="","",SUMIFS(Ledger!$K$2:$K$4, Ledger!$B$2:$B$4, $A3, Ledger!$C$2:$C$4, SPO$2)),"****")</f>
        <v/>
      </c>
      <c r="SPP3" t="str">
        <f>IFERROR(IF($C3="","",SUMIFS(Ledger!$K$2:$K$4, Ledger!$B$2:$B$4, $A3, Ledger!$C$2:$C$4, SPP$2)),"****")</f>
        <v/>
      </c>
      <c r="SPQ3" t="str">
        <f>IFERROR(IF($C3="","",SUMIFS(Ledger!$K$2:$K$4, Ledger!$B$2:$B$4, $A3, Ledger!$C$2:$C$4, SPQ$2)),"****")</f>
        <v/>
      </c>
      <c r="SPR3" t="str">
        <f>IFERROR(IF($C3="","",SUMIFS(Ledger!$K$2:$K$4, Ledger!$B$2:$B$4, $A3, Ledger!$C$2:$C$4, SPR$2)),"****")</f>
        <v/>
      </c>
      <c r="SPS3" t="str">
        <f>IFERROR(IF($C3="","",SUMIFS(Ledger!$K$2:$K$4, Ledger!$B$2:$B$4, $A3, Ledger!$C$2:$C$4, SPS$2)),"****")</f>
        <v/>
      </c>
      <c r="SPT3" t="str">
        <f>IFERROR(IF($C3="","",SUMIFS(Ledger!$K$2:$K$4, Ledger!$B$2:$B$4, $A3, Ledger!$C$2:$C$4, SPT$2)),"****")</f>
        <v/>
      </c>
      <c r="SPU3" t="str">
        <f>IFERROR(IF($C3="","",SUMIFS(Ledger!$K$2:$K$4, Ledger!$B$2:$B$4, $A3, Ledger!$C$2:$C$4, SPU$2)),"****")</f>
        <v/>
      </c>
      <c r="SPV3" t="str">
        <f>IFERROR(IF($C3="","",SUMIFS(Ledger!$K$2:$K$4, Ledger!$B$2:$B$4, $A3, Ledger!$C$2:$C$4, SPV$2)),"****")</f>
        <v/>
      </c>
      <c r="SPW3" t="str">
        <f>IFERROR(IF($C3="","",SUMIFS(Ledger!$K$2:$K$4, Ledger!$B$2:$B$4, $A3, Ledger!$C$2:$C$4, SPW$2)),"****")</f>
        <v/>
      </c>
      <c r="SPX3" t="str">
        <f>IFERROR(IF($C3="","",SUMIFS(Ledger!$K$2:$K$4, Ledger!$B$2:$B$4, $A3, Ledger!$C$2:$C$4, SPX$2)),"****")</f>
        <v/>
      </c>
      <c r="SPY3" t="str">
        <f>IFERROR(IF($C3="","",SUMIFS(Ledger!$K$2:$K$4, Ledger!$B$2:$B$4, $A3, Ledger!$C$2:$C$4, SPY$2)),"****")</f>
        <v/>
      </c>
      <c r="SPZ3" t="str">
        <f>IFERROR(IF($C3="","",SUMIFS(Ledger!$K$2:$K$4, Ledger!$B$2:$B$4, $A3, Ledger!$C$2:$C$4, SPZ$2)),"****")</f>
        <v/>
      </c>
      <c r="SQA3" t="str">
        <f>IFERROR(IF($C3="","",SUMIFS(Ledger!$K$2:$K$4, Ledger!$B$2:$B$4, $A3, Ledger!$C$2:$C$4, SQA$2)),"****")</f>
        <v/>
      </c>
      <c r="SQB3" t="str">
        <f>IFERROR(IF($C3="","",SUMIFS(Ledger!$K$2:$K$4, Ledger!$B$2:$B$4, $A3, Ledger!$C$2:$C$4, SQB$2)),"****")</f>
        <v/>
      </c>
      <c r="SQC3" t="str">
        <f>IFERROR(IF($C3="","",SUMIFS(Ledger!$K$2:$K$4, Ledger!$B$2:$B$4, $A3, Ledger!$C$2:$C$4, SQC$2)),"****")</f>
        <v/>
      </c>
      <c r="SQD3" t="str">
        <f>IFERROR(IF($C3="","",SUMIFS(Ledger!$K$2:$K$4, Ledger!$B$2:$B$4, $A3, Ledger!$C$2:$C$4, SQD$2)),"****")</f>
        <v/>
      </c>
      <c r="SQE3" t="str">
        <f>IFERROR(IF($C3="","",SUMIFS(Ledger!$K$2:$K$4, Ledger!$B$2:$B$4, $A3, Ledger!$C$2:$C$4, SQE$2)),"****")</f>
        <v/>
      </c>
      <c r="SQF3" t="str">
        <f>IFERROR(IF($C3="","",SUMIFS(Ledger!$K$2:$K$4, Ledger!$B$2:$B$4, $A3, Ledger!$C$2:$C$4, SQF$2)),"****")</f>
        <v/>
      </c>
      <c r="SQG3" t="str">
        <f>IFERROR(IF($C3="","",SUMIFS(Ledger!$K$2:$K$4, Ledger!$B$2:$B$4, $A3, Ledger!$C$2:$C$4, SQG$2)),"****")</f>
        <v/>
      </c>
      <c r="SQH3" t="str">
        <f>IFERROR(IF($C3="","",SUMIFS(Ledger!$K$2:$K$4, Ledger!$B$2:$B$4, $A3, Ledger!$C$2:$C$4, SQH$2)),"****")</f>
        <v/>
      </c>
      <c r="SQI3" t="str">
        <f>IFERROR(IF($C3="","",SUMIFS(Ledger!$K$2:$K$4, Ledger!$B$2:$B$4, $A3, Ledger!$C$2:$C$4, SQI$2)),"****")</f>
        <v/>
      </c>
      <c r="SQJ3" t="str">
        <f>IFERROR(IF($C3="","",SUMIFS(Ledger!$K$2:$K$4, Ledger!$B$2:$B$4, $A3, Ledger!$C$2:$C$4, SQJ$2)),"****")</f>
        <v/>
      </c>
      <c r="SQK3" t="str">
        <f>IFERROR(IF($C3="","",SUMIFS(Ledger!$K$2:$K$4, Ledger!$B$2:$B$4, $A3, Ledger!$C$2:$C$4, SQK$2)),"****")</f>
        <v/>
      </c>
      <c r="SQL3" t="str">
        <f>IFERROR(IF($C3="","",SUMIFS(Ledger!$K$2:$K$4, Ledger!$B$2:$B$4, $A3, Ledger!$C$2:$C$4, SQL$2)),"****")</f>
        <v/>
      </c>
      <c r="SQM3" t="str">
        <f>IFERROR(IF($C3="","",SUMIFS(Ledger!$K$2:$K$4, Ledger!$B$2:$B$4, $A3, Ledger!$C$2:$C$4, SQM$2)),"****")</f>
        <v/>
      </c>
      <c r="SQN3" t="str">
        <f>IFERROR(IF($C3="","",SUMIFS(Ledger!$K$2:$K$4, Ledger!$B$2:$B$4, $A3, Ledger!$C$2:$C$4, SQN$2)),"****")</f>
        <v/>
      </c>
      <c r="SQO3" t="str">
        <f>IFERROR(IF($C3="","",SUMIFS(Ledger!$K$2:$K$4, Ledger!$B$2:$B$4, $A3, Ledger!$C$2:$C$4, SQO$2)),"****")</f>
        <v/>
      </c>
      <c r="SQP3" t="str">
        <f>IFERROR(IF($C3="","",SUMIFS(Ledger!$K$2:$K$4, Ledger!$B$2:$B$4, $A3, Ledger!$C$2:$C$4, SQP$2)),"****")</f>
        <v/>
      </c>
      <c r="SQQ3" t="str">
        <f>IFERROR(IF($C3="","",SUMIFS(Ledger!$K$2:$K$4, Ledger!$B$2:$B$4, $A3, Ledger!$C$2:$C$4, SQQ$2)),"****")</f>
        <v/>
      </c>
      <c r="SQR3" t="str">
        <f>IFERROR(IF($C3="","",SUMIFS(Ledger!$K$2:$K$4, Ledger!$B$2:$B$4, $A3, Ledger!$C$2:$C$4, SQR$2)),"****")</f>
        <v/>
      </c>
      <c r="SQS3" t="str">
        <f>IFERROR(IF($C3="","",SUMIFS(Ledger!$K$2:$K$4, Ledger!$B$2:$B$4, $A3, Ledger!$C$2:$C$4, SQS$2)),"****")</f>
        <v/>
      </c>
      <c r="SQT3" t="str">
        <f>IFERROR(IF($C3="","",SUMIFS(Ledger!$K$2:$K$4, Ledger!$B$2:$B$4, $A3, Ledger!$C$2:$C$4, SQT$2)),"****")</f>
        <v/>
      </c>
      <c r="SQU3" t="str">
        <f>IFERROR(IF($C3="","",SUMIFS(Ledger!$K$2:$K$4, Ledger!$B$2:$B$4, $A3, Ledger!$C$2:$C$4, SQU$2)),"****")</f>
        <v/>
      </c>
      <c r="SQV3" t="str">
        <f>IFERROR(IF($C3="","",SUMIFS(Ledger!$K$2:$K$4, Ledger!$B$2:$B$4, $A3, Ledger!$C$2:$C$4, SQV$2)),"****")</f>
        <v/>
      </c>
      <c r="SQW3" t="str">
        <f>IFERROR(IF($C3="","",SUMIFS(Ledger!$K$2:$K$4, Ledger!$B$2:$B$4, $A3, Ledger!$C$2:$C$4, SQW$2)),"****")</f>
        <v/>
      </c>
      <c r="SQX3" t="str">
        <f>IFERROR(IF($C3="","",SUMIFS(Ledger!$K$2:$K$4, Ledger!$B$2:$B$4, $A3, Ledger!$C$2:$C$4, SQX$2)),"****")</f>
        <v/>
      </c>
      <c r="SQY3" t="str">
        <f>IFERROR(IF($C3="","",SUMIFS(Ledger!$K$2:$K$4, Ledger!$B$2:$B$4, $A3, Ledger!$C$2:$C$4, SQY$2)),"****")</f>
        <v/>
      </c>
      <c r="SQZ3" t="str">
        <f>IFERROR(IF($C3="","",SUMIFS(Ledger!$K$2:$K$4, Ledger!$B$2:$B$4, $A3, Ledger!$C$2:$C$4, SQZ$2)),"****")</f>
        <v/>
      </c>
      <c r="SRA3" t="str">
        <f>IFERROR(IF($C3="","",SUMIFS(Ledger!$K$2:$K$4, Ledger!$B$2:$B$4, $A3, Ledger!$C$2:$C$4, SRA$2)),"****")</f>
        <v/>
      </c>
      <c r="SRB3" t="str">
        <f>IFERROR(IF($C3="","",SUMIFS(Ledger!$K$2:$K$4, Ledger!$B$2:$B$4, $A3, Ledger!$C$2:$C$4, SRB$2)),"****")</f>
        <v/>
      </c>
      <c r="SRC3" t="str">
        <f>IFERROR(IF($C3="","",SUMIFS(Ledger!$K$2:$K$4, Ledger!$B$2:$B$4, $A3, Ledger!$C$2:$C$4, SRC$2)),"****")</f>
        <v/>
      </c>
      <c r="SRD3" t="str">
        <f>IFERROR(IF($C3="","",SUMIFS(Ledger!$K$2:$K$4, Ledger!$B$2:$B$4, $A3, Ledger!$C$2:$C$4, SRD$2)),"****")</f>
        <v/>
      </c>
      <c r="SRE3" t="str">
        <f>IFERROR(IF($C3="","",SUMIFS(Ledger!$K$2:$K$4, Ledger!$B$2:$B$4, $A3, Ledger!$C$2:$C$4, SRE$2)),"****")</f>
        <v/>
      </c>
      <c r="SRF3" t="str">
        <f>IFERROR(IF($C3="","",SUMIFS(Ledger!$K$2:$K$4, Ledger!$B$2:$B$4, $A3, Ledger!$C$2:$C$4, SRF$2)),"****")</f>
        <v/>
      </c>
      <c r="SRG3" t="str">
        <f>IFERROR(IF($C3="","",SUMIFS(Ledger!$K$2:$K$4, Ledger!$B$2:$B$4, $A3, Ledger!$C$2:$C$4, SRG$2)),"****")</f>
        <v/>
      </c>
      <c r="SRH3" t="str">
        <f>IFERROR(IF($C3="","",SUMIFS(Ledger!$K$2:$K$4, Ledger!$B$2:$B$4, $A3, Ledger!$C$2:$C$4, SRH$2)),"****")</f>
        <v/>
      </c>
      <c r="SRI3" t="str">
        <f>IFERROR(IF($C3="","",SUMIFS(Ledger!$K$2:$K$4, Ledger!$B$2:$B$4, $A3, Ledger!$C$2:$C$4, SRI$2)),"****")</f>
        <v/>
      </c>
      <c r="SRJ3" t="str">
        <f>IFERROR(IF($C3="","",SUMIFS(Ledger!$K$2:$K$4, Ledger!$B$2:$B$4, $A3, Ledger!$C$2:$C$4, SRJ$2)),"****")</f>
        <v/>
      </c>
      <c r="SRK3" t="str">
        <f>IFERROR(IF($C3="","",SUMIFS(Ledger!$K$2:$K$4, Ledger!$B$2:$B$4, $A3, Ledger!$C$2:$C$4, SRK$2)),"****")</f>
        <v/>
      </c>
      <c r="SRL3" t="str">
        <f>IFERROR(IF($C3="","",SUMIFS(Ledger!$K$2:$K$4, Ledger!$B$2:$B$4, $A3, Ledger!$C$2:$C$4, SRL$2)),"****")</f>
        <v/>
      </c>
      <c r="SRM3" t="str">
        <f>IFERROR(IF($C3="","",SUMIFS(Ledger!$K$2:$K$4, Ledger!$B$2:$B$4, $A3, Ledger!$C$2:$C$4, SRM$2)),"****")</f>
        <v/>
      </c>
      <c r="SRN3" t="str">
        <f>IFERROR(IF($C3="","",SUMIFS(Ledger!$K$2:$K$4, Ledger!$B$2:$B$4, $A3, Ledger!$C$2:$C$4, SRN$2)),"****")</f>
        <v/>
      </c>
      <c r="SRO3" t="str">
        <f>IFERROR(IF($C3="","",SUMIFS(Ledger!$K$2:$K$4, Ledger!$B$2:$B$4, $A3, Ledger!$C$2:$C$4, SRO$2)),"****")</f>
        <v/>
      </c>
      <c r="SRP3" t="str">
        <f>IFERROR(IF($C3="","",SUMIFS(Ledger!$K$2:$K$4, Ledger!$B$2:$B$4, $A3, Ledger!$C$2:$C$4, SRP$2)),"****")</f>
        <v/>
      </c>
      <c r="SRQ3" t="str">
        <f>IFERROR(IF($C3="","",SUMIFS(Ledger!$K$2:$K$4, Ledger!$B$2:$B$4, $A3, Ledger!$C$2:$C$4, SRQ$2)),"****")</f>
        <v/>
      </c>
      <c r="SRR3" t="str">
        <f>IFERROR(IF($C3="","",SUMIFS(Ledger!$K$2:$K$4, Ledger!$B$2:$B$4, $A3, Ledger!$C$2:$C$4, SRR$2)),"****")</f>
        <v/>
      </c>
      <c r="SRS3" t="str">
        <f>IFERROR(IF($C3="","",SUMIFS(Ledger!$K$2:$K$4, Ledger!$B$2:$B$4, $A3, Ledger!$C$2:$C$4, SRS$2)),"****")</f>
        <v/>
      </c>
      <c r="SRT3" t="str">
        <f>IFERROR(IF($C3="","",SUMIFS(Ledger!$K$2:$K$4, Ledger!$B$2:$B$4, $A3, Ledger!$C$2:$C$4, SRT$2)),"****")</f>
        <v/>
      </c>
      <c r="SRU3" t="str">
        <f>IFERROR(IF($C3="","",SUMIFS(Ledger!$K$2:$K$4, Ledger!$B$2:$B$4, $A3, Ledger!$C$2:$C$4, SRU$2)),"****")</f>
        <v/>
      </c>
      <c r="SRV3" t="str">
        <f>IFERROR(IF($C3="","",SUMIFS(Ledger!$K$2:$K$4, Ledger!$B$2:$B$4, $A3, Ledger!$C$2:$C$4, SRV$2)),"****")</f>
        <v/>
      </c>
      <c r="SRW3" t="str">
        <f>IFERROR(IF($C3="","",SUMIFS(Ledger!$K$2:$K$4, Ledger!$B$2:$B$4, $A3, Ledger!$C$2:$C$4, SRW$2)),"****")</f>
        <v/>
      </c>
      <c r="SRX3" t="str">
        <f>IFERROR(IF($C3="","",SUMIFS(Ledger!$K$2:$K$4, Ledger!$B$2:$B$4, $A3, Ledger!$C$2:$C$4, SRX$2)),"****")</f>
        <v/>
      </c>
      <c r="SRY3" t="str">
        <f>IFERROR(IF($C3="","",SUMIFS(Ledger!$K$2:$K$4, Ledger!$B$2:$B$4, $A3, Ledger!$C$2:$C$4, SRY$2)),"****")</f>
        <v/>
      </c>
      <c r="SRZ3" t="str">
        <f>IFERROR(IF($C3="","",SUMIFS(Ledger!$K$2:$K$4, Ledger!$B$2:$B$4, $A3, Ledger!$C$2:$C$4, SRZ$2)),"****")</f>
        <v/>
      </c>
      <c r="SSA3" t="str">
        <f>IFERROR(IF($C3="","",SUMIFS(Ledger!$K$2:$K$4, Ledger!$B$2:$B$4, $A3, Ledger!$C$2:$C$4, SSA$2)),"****")</f>
        <v/>
      </c>
      <c r="SSB3" t="str">
        <f>IFERROR(IF($C3="","",SUMIFS(Ledger!$K$2:$K$4, Ledger!$B$2:$B$4, $A3, Ledger!$C$2:$C$4, SSB$2)),"****")</f>
        <v/>
      </c>
      <c r="SSC3" t="str">
        <f>IFERROR(IF($C3="","",SUMIFS(Ledger!$K$2:$K$4, Ledger!$B$2:$B$4, $A3, Ledger!$C$2:$C$4, SSC$2)),"****")</f>
        <v/>
      </c>
      <c r="SSD3" t="str">
        <f>IFERROR(IF($C3="","",SUMIFS(Ledger!$K$2:$K$4, Ledger!$B$2:$B$4, $A3, Ledger!$C$2:$C$4, SSD$2)),"****")</f>
        <v/>
      </c>
      <c r="SSE3" t="str">
        <f>IFERROR(IF($C3="","",SUMIFS(Ledger!$K$2:$K$4, Ledger!$B$2:$B$4, $A3, Ledger!$C$2:$C$4, SSE$2)),"****")</f>
        <v/>
      </c>
      <c r="SSF3" t="str">
        <f>IFERROR(IF($C3="","",SUMIFS(Ledger!$K$2:$K$4, Ledger!$B$2:$B$4, $A3, Ledger!$C$2:$C$4, SSF$2)),"****")</f>
        <v/>
      </c>
      <c r="SSG3" t="str">
        <f>IFERROR(IF($C3="","",SUMIFS(Ledger!$K$2:$K$4, Ledger!$B$2:$B$4, $A3, Ledger!$C$2:$C$4, SSG$2)),"****")</f>
        <v/>
      </c>
      <c r="SSH3" t="str">
        <f>IFERROR(IF($C3="","",SUMIFS(Ledger!$K$2:$K$4, Ledger!$B$2:$B$4, $A3, Ledger!$C$2:$C$4, SSH$2)),"****")</f>
        <v/>
      </c>
      <c r="SSI3" t="str">
        <f>IFERROR(IF($C3="","",SUMIFS(Ledger!$K$2:$K$4, Ledger!$B$2:$B$4, $A3, Ledger!$C$2:$C$4, SSI$2)),"****")</f>
        <v/>
      </c>
      <c r="SSJ3" t="str">
        <f>IFERROR(IF($C3="","",SUMIFS(Ledger!$K$2:$K$4, Ledger!$B$2:$B$4, $A3, Ledger!$C$2:$C$4, SSJ$2)),"****")</f>
        <v/>
      </c>
      <c r="SSK3" t="str">
        <f>IFERROR(IF($C3="","",SUMIFS(Ledger!$K$2:$K$4, Ledger!$B$2:$B$4, $A3, Ledger!$C$2:$C$4, SSK$2)),"****")</f>
        <v/>
      </c>
      <c r="SSL3" t="str">
        <f>IFERROR(IF($C3="","",SUMIFS(Ledger!$K$2:$K$4, Ledger!$B$2:$B$4, $A3, Ledger!$C$2:$C$4, SSL$2)),"****")</f>
        <v/>
      </c>
      <c r="SSM3" t="str">
        <f>IFERROR(IF($C3="","",SUMIFS(Ledger!$K$2:$K$4, Ledger!$B$2:$B$4, $A3, Ledger!$C$2:$C$4, SSM$2)),"****")</f>
        <v/>
      </c>
      <c r="SSN3" t="str">
        <f>IFERROR(IF($C3="","",SUMIFS(Ledger!$K$2:$K$4, Ledger!$B$2:$B$4, $A3, Ledger!$C$2:$C$4, SSN$2)),"****")</f>
        <v/>
      </c>
      <c r="SSO3" t="str">
        <f>IFERROR(IF($C3="","",SUMIFS(Ledger!$K$2:$K$4, Ledger!$B$2:$B$4, $A3, Ledger!$C$2:$C$4, SSO$2)),"****")</f>
        <v/>
      </c>
      <c r="SSP3" t="str">
        <f>IFERROR(IF($C3="","",SUMIFS(Ledger!$K$2:$K$4, Ledger!$B$2:$B$4, $A3, Ledger!$C$2:$C$4, SSP$2)),"****")</f>
        <v/>
      </c>
      <c r="SSQ3" t="str">
        <f>IFERROR(IF($C3="","",SUMIFS(Ledger!$K$2:$K$4, Ledger!$B$2:$B$4, $A3, Ledger!$C$2:$C$4, SSQ$2)),"****")</f>
        <v/>
      </c>
      <c r="SSR3" t="str">
        <f>IFERROR(IF($C3="","",SUMIFS(Ledger!$K$2:$K$4, Ledger!$B$2:$B$4, $A3, Ledger!$C$2:$C$4, SSR$2)),"****")</f>
        <v/>
      </c>
      <c r="SSS3" t="str">
        <f>IFERROR(IF($C3="","",SUMIFS(Ledger!$K$2:$K$4, Ledger!$B$2:$B$4, $A3, Ledger!$C$2:$C$4, SSS$2)),"****")</f>
        <v/>
      </c>
      <c r="SST3" t="str">
        <f>IFERROR(IF($C3="","",SUMIFS(Ledger!$K$2:$K$4, Ledger!$B$2:$B$4, $A3, Ledger!$C$2:$C$4, SST$2)),"****")</f>
        <v/>
      </c>
      <c r="SSU3" t="str">
        <f>IFERROR(IF($C3="","",SUMIFS(Ledger!$K$2:$K$4, Ledger!$B$2:$B$4, $A3, Ledger!$C$2:$C$4, SSU$2)),"****")</f>
        <v/>
      </c>
      <c r="SSV3" t="str">
        <f>IFERROR(IF($C3="","",SUMIFS(Ledger!$K$2:$K$4, Ledger!$B$2:$B$4, $A3, Ledger!$C$2:$C$4, SSV$2)),"****")</f>
        <v/>
      </c>
      <c r="SSW3" t="str">
        <f>IFERROR(IF($C3="","",SUMIFS(Ledger!$K$2:$K$4, Ledger!$B$2:$B$4, $A3, Ledger!$C$2:$C$4, SSW$2)),"****")</f>
        <v/>
      </c>
      <c r="SSX3" t="str">
        <f>IFERROR(IF($C3="","",SUMIFS(Ledger!$K$2:$K$4, Ledger!$B$2:$B$4, $A3, Ledger!$C$2:$C$4, SSX$2)),"****")</f>
        <v/>
      </c>
      <c r="SSY3" t="str">
        <f>IFERROR(IF($C3="","",SUMIFS(Ledger!$K$2:$K$4, Ledger!$B$2:$B$4, $A3, Ledger!$C$2:$C$4, SSY$2)),"****")</f>
        <v/>
      </c>
      <c r="SSZ3" t="str">
        <f>IFERROR(IF($C3="","",SUMIFS(Ledger!$K$2:$K$4, Ledger!$B$2:$B$4, $A3, Ledger!$C$2:$C$4, SSZ$2)),"****")</f>
        <v/>
      </c>
      <c r="STA3" t="str">
        <f>IFERROR(IF($C3="","",SUMIFS(Ledger!$K$2:$K$4, Ledger!$B$2:$B$4, $A3, Ledger!$C$2:$C$4, STA$2)),"****")</f>
        <v/>
      </c>
      <c r="STB3" t="str">
        <f>IFERROR(IF($C3="","",SUMIFS(Ledger!$K$2:$K$4, Ledger!$B$2:$B$4, $A3, Ledger!$C$2:$C$4, STB$2)),"****")</f>
        <v/>
      </c>
      <c r="STC3" t="str">
        <f>IFERROR(IF($C3="","",SUMIFS(Ledger!$K$2:$K$4, Ledger!$B$2:$B$4, $A3, Ledger!$C$2:$C$4, STC$2)),"****")</f>
        <v/>
      </c>
      <c r="STD3" t="str">
        <f>IFERROR(IF($C3="","",SUMIFS(Ledger!$K$2:$K$4, Ledger!$B$2:$B$4, $A3, Ledger!$C$2:$C$4, STD$2)),"****")</f>
        <v/>
      </c>
      <c r="STE3" t="str">
        <f>IFERROR(IF($C3="","",SUMIFS(Ledger!$K$2:$K$4, Ledger!$B$2:$B$4, $A3, Ledger!$C$2:$C$4, STE$2)),"****")</f>
        <v/>
      </c>
      <c r="STF3" t="str">
        <f>IFERROR(IF($C3="","",SUMIFS(Ledger!$K$2:$K$4, Ledger!$B$2:$B$4, $A3, Ledger!$C$2:$C$4, STF$2)),"****")</f>
        <v/>
      </c>
      <c r="STG3" t="str">
        <f>IFERROR(IF($C3="","",SUMIFS(Ledger!$K$2:$K$4, Ledger!$B$2:$B$4, $A3, Ledger!$C$2:$C$4, STG$2)),"****")</f>
        <v/>
      </c>
      <c r="STH3" t="str">
        <f>IFERROR(IF($C3="","",SUMIFS(Ledger!$K$2:$K$4, Ledger!$B$2:$B$4, $A3, Ledger!$C$2:$C$4, STH$2)),"****")</f>
        <v/>
      </c>
      <c r="STI3" t="str">
        <f>IFERROR(IF($C3="","",SUMIFS(Ledger!$K$2:$K$4, Ledger!$B$2:$B$4, $A3, Ledger!$C$2:$C$4, STI$2)),"****")</f>
        <v/>
      </c>
      <c r="STJ3" t="str">
        <f>IFERROR(IF($C3="","",SUMIFS(Ledger!$K$2:$K$4, Ledger!$B$2:$B$4, $A3, Ledger!$C$2:$C$4, STJ$2)),"****")</f>
        <v/>
      </c>
      <c r="STK3" t="str">
        <f>IFERROR(IF($C3="","",SUMIFS(Ledger!$K$2:$K$4, Ledger!$B$2:$B$4, $A3, Ledger!$C$2:$C$4, STK$2)),"****")</f>
        <v/>
      </c>
      <c r="STL3" t="str">
        <f>IFERROR(IF($C3="","",SUMIFS(Ledger!$K$2:$K$4, Ledger!$B$2:$B$4, $A3, Ledger!$C$2:$C$4, STL$2)),"****")</f>
        <v/>
      </c>
      <c r="STM3" t="str">
        <f>IFERROR(IF($C3="","",SUMIFS(Ledger!$K$2:$K$4, Ledger!$B$2:$B$4, $A3, Ledger!$C$2:$C$4, STM$2)),"****")</f>
        <v/>
      </c>
      <c r="STN3" t="str">
        <f>IFERROR(IF($C3="","",SUMIFS(Ledger!$K$2:$K$4, Ledger!$B$2:$B$4, $A3, Ledger!$C$2:$C$4, STN$2)),"****")</f>
        <v/>
      </c>
      <c r="STO3" t="str">
        <f>IFERROR(IF($C3="","",SUMIFS(Ledger!$K$2:$K$4, Ledger!$B$2:$B$4, $A3, Ledger!$C$2:$C$4, STO$2)),"****")</f>
        <v/>
      </c>
      <c r="STP3" t="str">
        <f>IFERROR(IF($C3="","",SUMIFS(Ledger!$K$2:$K$4, Ledger!$B$2:$B$4, $A3, Ledger!$C$2:$C$4, STP$2)),"****")</f>
        <v/>
      </c>
      <c r="STQ3" t="str">
        <f>IFERROR(IF($C3="","",SUMIFS(Ledger!$K$2:$K$4, Ledger!$B$2:$B$4, $A3, Ledger!$C$2:$C$4, STQ$2)),"****")</f>
        <v/>
      </c>
      <c r="STR3" t="str">
        <f>IFERROR(IF($C3="","",SUMIFS(Ledger!$K$2:$K$4, Ledger!$B$2:$B$4, $A3, Ledger!$C$2:$C$4, STR$2)),"****")</f>
        <v/>
      </c>
      <c r="STS3" t="str">
        <f>IFERROR(IF($C3="","",SUMIFS(Ledger!$K$2:$K$4, Ledger!$B$2:$B$4, $A3, Ledger!$C$2:$C$4, STS$2)),"****")</f>
        <v/>
      </c>
      <c r="STT3" t="str">
        <f>IFERROR(IF($C3="","",SUMIFS(Ledger!$K$2:$K$4, Ledger!$B$2:$B$4, $A3, Ledger!$C$2:$C$4, STT$2)),"****")</f>
        <v/>
      </c>
      <c r="STU3" t="str">
        <f>IFERROR(IF($C3="","",SUMIFS(Ledger!$K$2:$K$4, Ledger!$B$2:$B$4, $A3, Ledger!$C$2:$C$4, STU$2)),"****")</f>
        <v/>
      </c>
      <c r="STV3" t="str">
        <f>IFERROR(IF($C3="","",SUMIFS(Ledger!$K$2:$K$4, Ledger!$B$2:$B$4, $A3, Ledger!$C$2:$C$4, STV$2)),"****")</f>
        <v/>
      </c>
      <c r="STW3" t="str">
        <f>IFERROR(IF($C3="","",SUMIFS(Ledger!$K$2:$K$4, Ledger!$B$2:$B$4, $A3, Ledger!$C$2:$C$4, STW$2)),"****")</f>
        <v/>
      </c>
      <c r="STX3" t="str">
        <f>IFERROR(IF($C3="","",SUMIFS(Ledger!$K$2:$K$4, Ledger!$B$2:$B$4, $A3, Ledger!$C$2:$C$4, STX$2)),"****")</f>
        <v/>
      </c>
      <c r="STY3" t="str">
        <f>IFERROR(IF($C3="","",SUMIFS(Ledger!$K$2:$K$4, Ledger!$B$2:$B$4, $A3, Ledger!$C$2:$C$4, STY$2)),"****")</f>
        <v/>
      </c>
      <c r="STZ3" t="str">
        <f>IFERROR(IF($C3="","",SUMIFS(Ledger!$K$2:$K$4, Ledger!$B$2:$B$4, $A3, Ledger!$C$2:$C$4, STZ$2)),"****")</f>
        <v/>
      </c>
      <c r="SUA3" t="str">
        <f>IFERROR(IF($C3="","",SUMIFS(Ledger!$K$2:$K$4, Ledger!$B$2:$B$4, $A3, Ledger!$C$2:$C$4, SUA$2)),"****")</f>
        <v/>
      </c>
      <c r="SUB3" t="str">
        <f>IFERROR(IF($C3="","",SUMIFS(Ledger!$K$2:$K$4, Ledger!$B$2:$B$4, $A3, Ledger!$C$2:$C$4, SUB$2)),"****")</f>
        <v/>
      </c>
      <c r="SUC3" t="str">
        <f>IFERROR(IF($C3="","",SUMIFS(Ledger!$K$2:$K$4, Ledger!$B$2:$B$4, $A3, Ledger!$C$2:$C$4, SUC$2)),"****")</f>
        <v/>
      </c>
      <c r="SUD3" t="str">
        <f>IFERROR(IF($C3="","",SUMIFS(Ledger!$K$2:$K$4, Ledger!$B$2:$B$4, $A3, Ledger!$C$2:$C$4, SUD$2)),"****")</f>
        <v/>
      </c>
      <c r="SUE3" t="str">
        <f>IFERROR(IF($C3="","",SUMIFS(Ledger!$K$2:$K$4, Ledger!$B$2:$B$4, $A3, Ledger!$C$2:$C$4, SUE$2)),"****")</f>
        <v/>
      </c>
      <c r="SUF3" t="str">
        <f>IFERROR(IF($C3="","",SUMIFS(Ledger!$K$2:$K$4, Ledger!$B$2:$B$4, $A3, Ledger!$C$2:$C$4, SUF$2)),"****")</f>
        <v/>
      </c>
      <c r="SUG3" t="str">
        <f>IFERROR(IF($C3="","",SUMIFS(Ledger!$K$2:$K$4, Ledger!$B$2:$B$4, $A3, Ledger!$C$2:$C$4, SUG$2)),"****")</f>
        <v/>
      </c>
      <c r="SUH3" t="str">
        <f>IFERROR(IF($C3="","",SUMIFS(Ledger!$K$2:$K$4, Ledger!$B$2:$B$4, $A3, Ledger!$C$2:$C$4, SUH$2)),"****")</f>
        <v/>
      </c>
      <c r="SUI3" t="str">
        <f>IFERROR(IF($C3="","",SUMIFS(Ledger!$K$2:$K$4, Ledger!$B$2:$B$4, $A3, Ledger!$C$2:$C$4, SUI$2)),"****")</f>
        <v/>
      </c>
      <c r="SUJ3" t="str">
        <f>IFERROR(IF($C3="","",SUMIFS(Ledger!$K$2:$K$4, Ledger!$B$2:$B$4, $A3, Ledger!$C$2:$C$4, SUJ$2)),"****")</f>
        <v/>
      </c>
      <c r="SUK3" t="str">
        <f>IFERROR(IF($C3="","",SUMIFS(Ledger!$K$2:$K$4, Ledger!$B$2:$B$4, $A3, Ledger!$C$2:$C$4, SUK$2)),"****")</f>
        <v/>
      </c>
      <c r="SUL3" t="str">
        <f>IFERROR(IF($C3="","",SUMIFS(Ledger!$K$2:$K$4, Ledger!$B$2:$B$4, $A3, Ledger!$C$2:$C$4, SUL$2)),"****")</f>
        <v/>
      </c>
      <c r="SUM3" t="str">
        <f>IFERROR(IF($C3="","",SUMIFS(Ledger!$K$2:$K$4, Ledger!$B$2:$B$4, $A3, Ledger!$C$2:$C$4, SUM$2)),"****")</f>
        <v/>
      </c>
      <c r="SUN3" t="str">
        <f>IFERROR(IF($C3="","",SUMIFS(Ledger!$K$2:$K$4, Ledger!$B$2:$B$4, $A3, Ledger!$C$2:$C$4, SUN$2)),"****")</f>
        <v/>
      </c>
      <c r="SUO3" t="str">
        <f>IFERROR(IF($C3="","",SUMIFS(Ledger!$K$2:$K$4, Ledger!$B$2:$B$4, $A3, Ledger!$C$2:$C$4, SUO$2)),"****")</f>
        <v/>
      </c>
      <c r="SUP3" t="str">
        <f>IFERROR(IF($C3="","",SUMIFS(Ledger!$K$2:$K$4, Ledger!$B$2:$B$4, $A3, Ledger!$C$2:$C$4, SUP$2)),"****")</f>
        <v/>
      </c>
      <c r="SUQ3" t="str">
        <f>IFERROR(IF($C3="","",SUMIFS(Ledger!$K$2:$K$4, Ledger!$B$2:$B$4, $A3, Ledger!$C$2:$C$4, SUQ$2)),"****")</f>
        <v/>
      </c>
      <c r="SUR3" t="str">
        <f>IFERROR(IF($C3="","",SUMIFS(Ledger!$K$2:$K$4, Ledger!$B$2:$B$4, $A3, Ledger!$C$2:$C$4, SUR$2)),"****")</f>
        <v/>
      </c>
      <c r="SUS3" t="str">
        <f>IFERROR(IF($C3="","",SUMIFS(Ledger!$K$2:$K$4, Ledger!$B$2:$B$4, $A3, Ledger!$C$2:$C$4, SUS$2)),"****")</f>
        <v/>
      </c>
      <c r="SUT3" t="str">
        <f>IFERROR(IF($C3="","",SUMIFS(Ledger!$K$2:$K$4, Ledger!$B$2:$B$4, $A3, Ledger!$C$2:$C$4, SUT$2)),"****")</f>
        <v/>
      </c>
      <c r="SUU3" t="str">
        <f>IFERROR(IF($C3="","",SUMIFS(Ledger!$K$2:$K$4, Ledger!$B$2:$B$4, $A3, Ledger!$C$2:$C$4, SUU$2)),"****")</f>
        <v/>
      </c>
      <c r="SUV3" t="str">
        <f>IFERROR(IF($C3="","",SUMIFS(Ledger!$K$2:$K$4, Ledger!$B$2:$B$4, $A3, Ledger!$C$2:$C$4, SUV$2)),"****")</f>
        <v/>
      </c>
      <c r="SUW3" t="str">
        <f>IFERROR(IF($C3="","",SUMIFS(Ledger!$K$2:$K$4, Ledger!$B$2:$B$4, $A3, Ledger!$C$2:$C$4, SUW$2)),"****")</f>
        <v/>
      </c>
      <c r="SUX3" t="str">
        <f>IFERROR(IF($C3="","",SUMIFS(Ledger!$K$2:$K$4, Ledger!$B$2:$B$4, $A3, Ledger!$C$2:$C$4, SUX$2)),"****")</f>
        <v/>
      </c>
      <c r="SUY3" t="str">
        <f>IFERROR(IF($C3="","",SUMIFS(Ledger!$K$2:$K$4, Ledger!$B$2:$B$4, $A3, Ledger!$C$2:$C$4, SUY$2)),"****")</f>
        <v/>
      </c>
      <c r="SUZ3" t="str">
        <f>IFERROR(IF($C3="","",SUMIFS(Ledger!$K$2:$K$4, Ledger!$B$2:$B$4, $A3, Ledger!$C$2:$C$4, SUZ$2)),"****")</f>
        <v/>
      </c>
      <c r="SVA3" t="str">
        <f>IFERROR(IF($C3="","",SUMIFS(Ledger!$K$2:$K$4, Ledger!$B$2:$B$4, $A3, Ledger!$C$2:$C$4, SVA$2)),"****")</f>
        <v/>
      </c>
      <c r="SVB3" t="str">
        <f>IFERROR(IF($C3="","",SUMIFS(Ledger!$K$2:$K$4, Ledger!$B$2:$B$4, $A3, Ledger!$C$2:$C$4, SVB$2)),"****")</f>
        <v/>
      </c>
      <c r="SVC3" t="str">
        <f>IFERROR(IF($C3="","",SUMIFS(Ledger!$K$2:$K$4, Ledger!$B$2:$B$4, $A3, Ledger!$C$2:$C$4, SVC$2)),"****")</f>
        <v/>
      </c>
      <c r="SVD3" t="str">
        <f>IFERROR(IF($C3="","",SUMIFS(Ledger!$K$2:$K$4, Ledger!$B$2:$B$4, $A3, Ledger!$C$2:$C$4, SVD$2)),"****")</f>
        <v/>
      </c>
      <c r="SVE3" t="str">
        <f>IFERROR(IF($C3="","",SUMIFS(Ledger!$K$2:$K$4, Ledger!$B$2:$B$4, $A3, Ledger!$C$2:$C$4, SVE$2)),"****")</f>
        <v/>
      </c>
      <c r="SVF3" t="str">
        <f>IFERROR(IF($C3="","",SUMIFS(Ledger!$K$2:$K$4, Ledger!$B$2:$B$4, $A3, Ledger!$C$2:$C$4, SVF$2)),"****")</f>
        <v/>
      </c>
      <c r="SVG3" t="str">
        <f>IFERROR(IF($C3="","",SUMIFS(Ledger!$K$2:$K$4, Ledger!$B$2:$B$4, $A3, Ledger!$C$2:$C$4, SVG$2)),"****")</f>
        <v/>
      </c>
      <c r="SVH3" t="str">
        <f>IFERROR(IF($C3="","",SUMIFS(Ledger!$K$2:$K$4, Ledger!$B$2:$B$4, $A3, Ledger!$C$2:$C$4, SVH$2)),"****")</f>
        <v/>
      </c>
      <c r="SVI3" t="str">
        <f>IFERROR(IF($C3="","",SUMIFS(Ledger!$K$2:$K$4, Ledger!$B$2:$B$4, $A3, Ledger!$C$2:$C$4, SVI$2)),"****")</f>
        <v/>
      </c>
      <c r="SVJ3" t="str">
        <f>IFERROR(IF($C3="","",SUMIFS(Ledger!$K$2:$K$4, Ledger!$B$2:$B$4, $A3, Ledger!$C$2:$C$4, SVJ$2)),"****")</f>
        <v/>
      </c>
      <c r="SVK3" t="str">
        <f>IFERROR(IF($C3="","",SUMIFS(Ledger!$K$2:$K$4, Ledger!$B$2:$B$4, $A3, Ledger!$C$2:$C$4, SVK$2)),"****")</f>
        <v/>
      </c>
      <c r="SVL3" t="str">
        <f>IFERROR(IF($C3="","",SUMIFS(Ledger!$K$2:$K$4, Ledger!$B$2:$B$4, $A3, Ledger!$C$2:$C$4, SVL$2)),"****")</f>
        <v/>
      </c>
      <c r="SVM3" t="str">
        <f>IFERROR(IF($C3="","",SUMIFS(Ledger!$K$2:$K$4, Ledger!$B$2:$B$4, $A3, Ledger!$C$2:$C$4, SVM$2)),"****")</f>
        <v/>
      </c>
      <c r="SVN3" t="str">
        <f>IFERROR(IF($C3="","",SUMIFS(Ledger!$K$2:$K$4, Ledger!$B$2:$B$4, $A3, Ledger!$C$2:$C$4, SVN$2)),"****")</f>
        <v/>
      </c>
      <c r="SVO3" t="str">
        <f>IFERROR(IF($C3="","",SUMIFS(Ledger!$K$2:$K$4, Ledger!$B$2:$B$4, $A3, Ledger!$C$2:$C$4, SVO$2)),"****")</f>
        <v/>
      </c>
      <c r="SVP3" t="str">
        <f>IFERROR(IF($C3="","",SUMIFS(Ledger!$K$2:$K$4, Ledger!$B$2:$B$4, $A3, Ledger!$C$2:$C$4, SVP$2)),"****")</f>
        <v/>
      </c>
      <c r="SVQ3" t="str">
        <f>IFERROR(IF($C3="","",SUMIFS(Ledger!$K$2:$K$4, Ledger!$B$2:$B$4, $A3, Ledger!$C$2:$C$4, SVQ$2)),"****")</f>
        <v/>
      </c>
      <c r="SVR3" t="str">
        <f>IFERROR(IF($C3="","",SUMIFS(Ledger!$K$2:$K$4, Ledger!$B$2:$B$4, $A3, Ledger!$C$2:$C$4, SVR$2)),"****")</f>
        <v/>
      </c>
      <c r="SVS3" t="str">
        <f>IFERROR(IF($C3="","",SUMIFS(Ledger!$K$2:$K$4, Ledger!$B$2:$B$4, $A3, Ledger!$C$2:$C$4, SVS$2)),"****")</f>
        <v/>
      </c>
      <c r="SVT3" t="str">
        <f>IFERROR(IF($C3="","",SUMIFS(Ledger!$K$2:$K$4, Ledger!$B$2:$B$4, $A3, Ledger!$C$2:$C$4, SVT$2)),"****")</f>
        <v/>
      </c>
      <c r="SVU3" t="str">
        <f>IFERROR(IF($C3="","",SUMIFS(Ledger!$K$2:$K$4, Ledger!$B$2:$B$4, $A3, Ledger!$C$2:$C$4, SVU$2)),"****")</f>
        <v/>
      </c>
      <c r="SVV3" t="str">
        <f>IFERROR(IF($C3="","",SUMIFS(Ledger!$K$2:$K$4, Ledger!$B$2:$B$4, $A3, Ledger!$C$2:$C$4, SVV$2)),"****")</f>
        <v/>
      </c>
      <c r="SVW3" t="str">
        <f>IFERROR(IF($C3="","",SUMIFS(Ledger!$K$2:$K$4, Ledger!$B$2:$B$4, $A3, Ledger!$C$2:$C$4, SVW$2)),"****")</f>
        <v/>
      </c>
      <c r="SVX3" t="str">
        <f>IFERROR(IF($C3="","",SUMIFS(Ledger!$K$2:$K$4, Ledger!$B$2:$B$4, $A3, Ledger!$C$2:$C$4, SVX$2)),"****")</f>
        <v/>
      </c>
      <c r="SVY3" t="str">
        <f>IFERROR(IF($C3="","",SUMIFS(Ledger!$K$2:$K$4, Ledger!$B$2:$B$4, $A3, Ledger!$C$2:$C$4, SVY$2)),"****")</f>
        <v/>
      </c>
      <c r="SVZ3" t="str">
        <f>IFERROR(IF($C3="","",SUMIFS(Ledger!$K$2:$K$4, Ledger!$B$2:$B$4, $A3, Ledger!$C$2:$C$4, SVZ$2)),"****")</f>
        <v/>
      </c>
      <c r="SWA3" t="str">
        <f>IFERROR(IF($C3="","",SUMIFS(Ledger!$K$2:$K$4, Ledger!$B$2:$B$4, $A3, Ledger!$C$2:$C$4, SWA$2)),"****")</f>
        <v/>
      </c>
      <c r="SWB3" t="str">
        <f>IFERROR(IF($C3="","",SUMIFS(Ledger!$K$2:$K$4, Ledger!$B$2:$B$4, $A3, Ledger!$C$2:$C$4, SWB$2)),"****")</f>
        <v/>
      </c>
      <c r="SWC3" t="str">
        <f>IFERROR(IF($C3="","",SUMIFS(Ledger!$K$2:$K$4, Ledger!$B$2:$B$4, $A3, Ledger!$C$2:$C$4, SWC$2)),"****")</f>
        <v/>
      </c>
      <c r="SWD3" t="str">
        <f>IFERROR(IF($C3="","",SUMIFS(Ledger!$K$2:$K$4, Ledger!$B$2:$B$4, $A3, Ledger!$C$2:$C$4, SWD$2)),"****")</f>
        <v/>
      </c>
      <c r="SWE3" t="str">
        <f>IFERROR(IF($C3="","",SUMIFS(Ledger!$K$2:$K$4, Ledger!$B$2:$B$4, $A3, Ledger!$C$2:$C$4, SWE$2)),"****")</f>
        <v/>
      </c>
      <c r="SWF3" t="str">
        <f>IFERROR(IF($C3="","",SUMIFS(Ledger!$K$2:$K$4, Ledger!$B$2:$B$4, $A3, Ledger!$C$2:$C$4, SWF$2)),"****")</f>
        <v/>
      </c>
      <c r="SWG3" t="str">
        <f>IFERROR(IF($C3="","",SUMIFS(Ledger!$K$2:$K$4, Ledger!$B$2:$B$4, $A3, Ledger!$C$2:$C$4, SWG$2)),"****")</f>
        <v/>
      </c>
      <c r="SWH3" t="str">
        <f>IFERROR(IF($C3="","",SUMIFS(Ledger!$K$2:$K$4, Ledger!$B$2:$B$4, $A3, Ledger!$C$2:$C$4, SWH$2)),"****")</f>
        <v/>
      </c>
      <c r="SWI3" t="str">
        <f>IFERROR(IF($C3="","",SUMIFS(Ledger!$K$2:$K$4, Ledger!$B$2:$B$4, $A3, Ledger!$C$2:$C$4, SWI$2)),"****")</f>
        <v/>
      </c>
      <c r="SWJ3" t="str">
        <f>IFERROR(IF($C3="","",SUMIFS(Ledger!$K$2:$K$4, Ledger!$B$2:$B$4, $A3, Ledger!$C$2:$C$4, SWJ$2)),"****")</f>
        <v/>
      </c>
      <c r="SWK3" t="str">
        <f>IFERROR(IF($C3="","",SUMIFS(Ledger!$K$2:$K$4, Ledger!$B$2:$B$4, $A3, Ledger!$C$2:$C$4, SWK$2)),"****")</f>
        <v/>
      </c>
      <c r="SWL3" t="str">
        <f>IFERROR(IF($C3="","",SUMIFS(Ledger!$K$2:$K$4, Ledger!$B$2:$B$4, $A3, Ledger!$C$2:$C$4, SWL$2)),"****")</f>
        <v/>
      </c>
      <c r="SWM3" t="str">
        <f>IFERROR(IF($C3="","",SUMIFS(Ledger!$K$2:$K$4, Ledger!$B$2:$B$4, $A3, Ledger!$C$2:$C$4, SWM$2)),"****")</f>
        <v/>
      </c>
      <c r="SWN3" t="str">
        <f>IFERROR(IF($C3="","",SUMIFS(Ledger!$K$2:$K$4, Ledger!$B$2:$B$4, $A3, Ledger!$C$2:$C$4, SWN$2)),"****")</f>
        <v/>
      </c>
      <c r="SWO3" t="str">
        <f>IFERROR(IF($C3="","",SUMIFS(Ledger!$K$2:$K$4, Ledger!$B$2:$B$4, $A3, Ledger!$C$2:$C$4, SWO$2)),"****")</f>
        <v/>
      </c>
      <c r="SWP3" t="str">
        <f>IFERROR(IF($C3="","",SUMIFS(Ledger!$K$2:$K$4, Ledger!$B$2:$B$4, $A3, Ledger!$C$2:$C$4, SWP$2)),"****")</f>
        <v/>
      </c>
      <c r="SWQ3" t="str">
        <f>IFERROR(IF($C3="","",SUMIFS(Ledger!$K$2:$K$4, Ledger!$B$2:$B$4, $A3, Ledger!$C$2:$C$4, SWQ$2)),"****")</f>
        <v/>
      </c>
      <c r="SWR3" t="str">
        <f>IFERROR(IF($C3="","",SUMIFS(Ledger!$K$2:$K$4, Ledger!$B$2:$B$4, $A3, Ledger!$C$2:$C$4, SWR$2)),"****")</f>
        <v/>
      </c>
      <c r="SWS3" t="str">
        <f>IFERROR(IF($C3="","",SUMIFS(Ledger!$K$2:$K$4, Ledger!$B$2:$B$4, $A3, Ledger!$C$2:$C$4, SWS$2)),"****")</f>
        <v/>
      </c>
      <c r="SWT3" t="str">
        <f>IFERROR(IF($C3="","",SUMIFS(Ledger!$K$2:$K$4, Ledger!$B$2:$B$4, $A3, Ledger!$C$2:$C$4, SWT$2)),"****")</f>
        <v/>
      </c>
      <c r="SWU3" t="str">
        <f>IFERROR(IF($C3="","",SUMIFS(Ledger!$K$2:$K$4, Ledger!$B$2:$B$4, $A3, Ledger!$C$2:$C$4, SWU$2)),"****")</f>
        <v/>
      </c>
      <c r="SWV3" t="str">
        <f>IFERROR(IF($C3="","",SUMIFS(Ledger!$K$2:$K$4, Ledger!$B$2:$B$4, $A3, Ledger!$C$2:$C$4, SWV$2)),"****")</f>
        <v/>
      </c>
      <c r="SWW3" t="str">
        <f>IFERROR(IF($C3="","",SUMIFS(Ledger!$K$2:$K$4, Ledger!$B$2:$B$4, $A3, Ledger!$C$2:$C$4, SWW$2)),"****")</f>
        <v/>
      </c>
      <c r="SWX3" t="str">
        <f>IFERROR(IF($C3="","",SUMIFS(Ledger!$K$2:$K$4, Ledger!$B$2:$B$4, $A3, Ledger!$C$2:$C$4, SWX$2)),"****")</f>
        <v/>
      </c>
      <c r="SWY3" t="str">
        <f>IFERROR(IF($C3="","",SUMIFS(Ledger!$K$2:$K$4, Ledger!$B$2:$B$4, $A3, Ledger!$C$2:$C$4, SWY$2)),"****")</f>
        <v/>
      </c>
      <c r="SWZ3" t="str">
        <f>IFERROR(IF($C3="","",SUMIFS(Ledger!$K$2:$K$4, Ledger!$B$2:$B$4, $A3, Ledger!$C$2:$C$4, SWZ$2)),"****")</f>
        <v/>
      </c>
      <c r="SXA3" t="str">
        <f>IFERROR(IF($C3="","",SUMIFS(Ledger!$K$2:$K$4, Ledger!$B$2:$B$4, $A3, Ledger!$C$2:$C$4, SXA$2)),"****")</f>
        <v/>
      </c>
      <c r="SXB3" t="str">
        <f>IFERROR(IF($C3="","",SUMIFS(Ledger!$K$2:$K$4, Ledger!$B$2:$B$4, $A3, Ledger!$C$2:$C$4, SXB$2)),"****")</f>
        <v/>
      </c>
      <c r="SXC3" t="str">
        <f>IFERROR(IF($C3="","",SUMIFS(Ledger!$K$2:$K$4, Ledger!$B$2:$B$4, $A3, Ledger!$C$2:$C$4, SXC$2)),"****")</f>
        <v/>
      </c>
      <c r="SXD3" t="str">
        <f>IFERROR(IF($C3="","",SUMIFS(Ledger!$K$2:$K$4, Ledger!$B$2:$B$4, $A3, Ledger!$C$2:$C$4, SXD$2)),"****")</f>
        <v/>
      </c>
      <c r="SXE3" t="str">
        <f>IFERROR(IF($C3="","",SUMIFS(Ledger!$K$2:$K$4, Ledger!$B$2:$B$4, $A3, Ledger!$C$2:$C$4, SXE$2)),"****")</f>
        <v/>
      </c>
      <c r="SXF3" t="str">
        <f>IFERROR(IF($C3="","",SUMIFS(Ledger!$K$2:$K$4, Ledger!$B$2:$B$4, $A3, Ledger!$C$2:$C$4, SXF$2)),"****")</f>
        <v/>
      </c>
      <c r="SXG3" t="str">
        <f>IFERROR(IF($C3="","",SUMIFS(Ledger!$K$2:$K$4, Ledger!$B$2:$B$4, $A3, Ledger!$C$2:$C$4, SXG$2)),"****")</f>
        <v/>
      </c>
      <c r="SXH3" t="str">
        <f>IFERROR(IF($C3="","",SUMIFS(Ledger!$K$2:$K$4, Ledger!$B$2:$B$4, $A3, Ledger!$C$2:$C$4, SXH$2)),"****")</f>
        <v/>
      </c>
      <c r="SXI3" t="str">
        <f>IFERROR(IF($C3="","",SUMIFS(Ledger!$K$2:$K$4, Ledger!$B$2:$B$4, $A3, Ledger!$C$2:$C$4, SXI$2)),"****")</f>
        <v/>
      </c>
      <c r="SXJ3" t="str">
        <f>IFERROR(IF($C3="","",SUMIFS(Ledger!$K$2:$K$4, Ledger!$B$2:$B$4, $A3, Ledger!$C$2:$C$4, SXJ$2)),"****")</f>
        <v/>
      </c>
      <c r="SXK3" t="str">
        <f>IFERROR(IF($C3="","",SUMIFS(Ledger!$K$2:$K$4, Ledger!$B$2:$B$4, $A3, Ledger!$C$2:$C$4, SXK$2)),"****")</f>
        <v/>
      </c>
      <c r="SXL3" t="str">
        <f>IFERROR(IF($C3="","",SUMIFS(Ledger!$K$2:$K$4, Ledger!$B$2:$B$4, $A3, Ledger!$C$2:$C$4, SXL$2)),"****")</f>
        <v/>
      </c>
      <c r="SXM3" t="str">
        <f>IFERROR(IF($C3="","",SUMIFS(Ledger!$K$2:$K$4, Ledger!$B$2:$B$4, $A3, Ledger!$C$2:$C$4, SXM$2)),"****")</f>
        <v/>
      </c>
      <c r="SXN3" t="str">
        <f>IFERROR(IF($C3="","",SUMIFS(Ledger!$K$2:$K$4, Ledger!$B$2:$B$4, $A3, Ledger!$C$2:$C$4, SXN$2)),"****")</f>
        <v/>
      </c>
      <c r="SXO3" t="str">
        <f>IFERROR(IF($C3="","",SUMIFS(Ledger!$K$2:$K$4, Ledger!$B$2:$B$4, $A3, Ledger!$C$2:$C$4, SXO$2)),"****")</f>
        <v/>
      </c>
      <c r="SXP3" t="str">
        <f>IFERROR(IF($C3="","",SUMIFS(Ledger!$K$2:$K$4, Ledger!$B$2:$B$4, $A3, Ledger!$C$2:$C$4, SXP$2)),"****")</f>
        <v/>
      </c>
      <c r="SXQ3" t="str">
        <f>IFERROR(IF($C3="","",SUMIFS(Ledger!$K$2:$K$4, Ledger!$B$2:$B$4, $A3, Ledger!$C$2:$C$4, SXQ$2)),"****")</f>
        <v/>
      </c>
      <c r="SXR3" t="str">
        <f>IFERROR(IF($C3="","",SUMIFS(Ledger!$K$2:$K$4, Ledger!$B$2:$B$4, $A3, Ledger!$C$2:$C$4, SXR$2)),"****")</f>
        <v/>
      </c>
      <c r="SXS3" t="str">
        <f>IFERROR(IF($C3="","",SUMIFS(Ledger!$K$2:$K$4, Ledger!$B$2:$B$4, $A3, Ledger!$C$2:$C$4, SXS$2)),"****")</f>
        <v/>
      </c>
      <c r="SXT3" t="str">
        <f>IFERROR(IF($C3="","",SUMIFS(Ledger!$K$2:$K$4, Ledger!$B$2:$B$4, $A3, Ledger!$C$2:$C$4, SXT$2)),"****")</f>
        <v/>
      </c>
      <c r="SXU3" t="str">
        <f>IFERROR(IF($C3="","",SUMIFS(Ledger!$K$2:$K$4, Ledger!$B$2:$B$4, $A3, Ledger!$C$2:$C$4, SXU$2)),"****")</f>
        <v/>
      </c>
      <c r="SXV3" t="str">
        <f>IFERROR(IF($C3="","",SUMIFS(Ledger!$K$2:$K$4, Ledger!$B$2:$B$4, $A3, Ledger!$C$2:$C$4, SXV$2)),"****")</f>
        <v/>
      </c>
      <c r="SXW3" t="str">
        <f>IFERROR(IF($C3="","",SUMIFS(Ledger!$K$2:$K$4, Ledger!$B$2:$B$4, $A3, Ledger!$C$2:$C$4, SXW$2)),"****")</f>
        <v/>
      </c>
      <c r="SXX3" t="str">
        <f>IFERROR(IF($C3="","",SUMIFS(Ledger!$K$2:$K$4, Ledger!$B$2:$B$4, $A3, Ledger!$C$2:$C$4, SXX$2)),"****")</f>
        <v/>
      </c>
      <c r="SXY3" t="str">
        <f>IFERROR(IF($C3="","",SUMIFS(Ledger!$K$2:$K$4, Ledger!$B$2:$B$4, $A3, Ledger!$C$2:$C$4, SXY$2)),"****")</f>
        <v/>
      </c>
      <c r="SXZ3" t="str">
        <f>IFERROR(IF($C3="","",SUMIFS(Ledger!$K$2:$K$4, Ledger!$B$2:$B$4, $A3, Ledger!$C$2:$C$4, SXZ$2)),"****")</f>
        <v/>
      </c>
      <c r="SYA3" t="str">
        <f>IFERROR(IF($C3="","",SUMIFS(Ledger!$K$2:$K$4, Ledger!$B$2:$B$4, $A3, Ledger!$C$2:$C$4, SYA$2)),"****")</f>
        <v/>
      </c>
      <c r="SYB3" t="str">
        <f>IFERROR(IF($C3="","",SUMIFS(Ledger!$K$2:$K$4, Ledger!$B$2:$B$4, $A3, Ledger!$C$2:$C$4, SYB$2)),"****")</f>
        <v/>
      </c>
      <c r="SYC3" t="str">
        <f>IFERROR(IF($C3="","",SUMIFS(Ledger!$K$2:$K$4, Ledger!$B$2:$B$4, $A3, Ledger!$C$2:$C$4, SYC$2)),"****")</f>
        <v/>
      </c>
      <c r="SYD3" t="str">
        <f>IFERROR(IF($C3="","",SUMIFS(Ledger!$K$2:$K$4, Ledger!$B$2:$B$4, $A3, Ledger!$C$2:$C$4, SYD$2)),"****")</f>
        <v/>
      </c>
      <c r="SYE3" t="str">
        <f>IFERROR(IF($C3="","",SUMIFS(Ledger!$K$2:$K$4, Ledger!$B$2:$B$4, $A3, Ledger!$C$2:$C$4, SYE$2)),"****")</f>
        <v/>
      </c>
      <c r="SYF3" t="str">
        <f>IFERROR(IF($C3="","",SUMIFS(Ledger!$K$2:$K$4, Ledger!$B$2:$B$4, $A3, Ledger!$C$2:$C$4, SYF$2)),"****")</f>
        <v/>
      </c>
      <c r="SYG3" t="str">
        <f>IFERROR(IF($C3="","",SUMIFS(Ledger!$K$2:$K$4, Ledger!$B$2:$B$4, $A3, Ledger!$C$2:$C$4, SYG$2)),"****")</f>
        <v/>
      </c>
      <c r="SYH3" t="str">
        <f>IFERROR(IF($C3="","",SUMIFS(Ledger!$K$2:$K$4, Ledger!$B$2:$B$4, $A3, Ledger!$C$2:$C$4, SYH$2)),"****")</f>
        <v/>
      </c>
      <c r="SYI3" t="str">
        <f>IFERROR(IF($C3="","",SUMIFS(Ledger!$K$2:$K$4, Ledger!$B$2:$B$4, $A3, Ledger!$C$2:$C$4, SYI$2)),"****")</f>
        <v/>
      </c>
      <c r="SYJ3" t="str">
        <f>IFERROR(IF($C3="","",SUMIFS(Ledger!$K$2:$K$4, Ledger!$B$2:$B$4, $A3, Ledger!$C$2:$C$4, SYJ$2)),"****")</f>
        <v/>
      </c>
      <c r="SYK3" t="str">
        <f>IFERROR(IF($C3="","",SUMIFS(Ledger!$K$2:$K$4, Ledger!$B$2:$B$4, $A3, Ledger!$C$2:$C$4, SYK$2)),"****")</f>
        <v/>
      </c>
      <c r="SYL3" t="str">
        <f>IFERROR(IF($C3="","",SUMIFS(Ledger!$K$2:$K$4, Ledger!$B$2:$B$4, $A3, Ledger!$C$2:$C$4, SYL$2)),"****")</f>
        <v/>
      </c>
      <c r="SYM3" t="str">
        <f>IFERROR(IF($C3="","",SUMIFS(Ledger!$K$2:$K$4, Ledger!$B$2:$B$4, $A3, Ledger!$C$2:$C$4, SYM$2)),"****")</f>
        <v/>
      </c>
      <c r="SYN3" t="str">
        <f>IFERROR(IF($C3="","",SUMIFS(Ledger!$K$2:$K$4, Ledger!$B$2:$B$4, $A3, Ledger!$C$2:$C$4, SYN$2)),"****")</f>
        <v/>
      </c>
      <c r="SYO3" t="str">
        <f>IFERROR(IF($C3="","",SUMIFS(Ledger!$K$2:$K$4, Ledger!$B$2:$B$4, $A3, Ledger!$C$2:$C$4, SYO$2)),"****")</f>
        <v/>
      </c>
      <c r="SYP3" t="str">
        <f>IFERROR(IF($C3="","",SUMIFS(Ledger!$K$2:$K$4, Ledger!$B$2:$B$4, $A3, Ledger!$C$2:$C$4, SYP$2)),"****")</f>
        <v/>
      </c>
      <c r="SYQ3" t="str">
        <f>IFERROR(IF($C3="","",SUMIFS(Ledger!$K$2:$K$4, Ledger!$B$2:$B$4, $A3, Ledger!$C$2:$C$4, SYQ$2)),"****")</f>
        <v/>
      </c>
      <c r="SYR3" t="str">
        <f>IFERROR(IF($C3="","",SUMIFS(Ledger!$K$2:$K$4, Ledger!$B$2:$B$4, $A3, Ledger!$C$2:$C$4, SYR$2)),"****")</f>
        <v/>
      </c>
      <c r="SYS3" t="str">
        <f>IFERROR(IF($C3="","",SUMIFS(Ledger!$K$2:$K$4, Ledger!$B$2:$B$4, $A3, Ledger!$C$2:$C$4, SYS$2)),"****")</f>
        <v/>
      </c>
      <c r="SYT3" t="str">
        <f>IFERROR(IF($C3="","",SUMIFS(Ledger!$K$2:$K$4, Ledger!$B$2:$B$4, $A3, Ledger!$C$2:$C$4, SYT$2)),"****")</f>
        <v/>
      </c>
      <c r="SYU3" t="str">
        <f>IFERROR(IF($C3="","",SUMIFS(Ledger!$K$2:$K$4, Ledger!$B$2:$B$4, $A3, Ledger!$C$2:$C$4, SYU$2)),"****")</f>
        <v/>
      </c>
      <c r="SYV3" t="str">
        <f>IFERROR(IF($C3="","",SUMIFS(Ledger!$K$2:$K$4, Ledger!$B$2:$B$4, $A3, Ledger!$C$2:$C$4, SYV$2)),"****")</f>
        <v/>
      </c>
      <c r="SYW3" t="str">
        <f>IFERROR(IF($C3="","",SUMIFS(Ledger!$K$2:$K$4, Ledger!$B$2:$B$4, $A3, Ledger!$C$2:$C$4, SYW$2)),"****")</f>
        <v/>
      </c>
      <c r="SYX3" t="str">
        <f>IFERROR(IF($C3="","",SUMIFS(Ledger!$K$2:$K$4, Ledger!$B$2:$B$4, $A3, Ledger!$C$2:$C$4, SYX$2)),"****")</f>
        <v/>
      </c>
      <c r="SYY3" t="str">
        <f>IFERROR(IF($C3="","",SUMIFS(Ledger!$K$2:$K$4, Ledger!$B$2:$B$4, $A3, Ledger!$C$2:$C$4, SYY$2)),"****")</f>
        <v/>
      </c>
      <c r="SYZ3" t="str">
        <f>IFERROR(IF($C3="","",SUMIFS(Ledger!$K$2:$K$4, Ledger!$B$2:$B$4, $A3, Ledger!$C$2:$C$4, SYZ$2)),"****")</f>
        <v/>
      </c>
      <c r="SZA3" t="str">
        <f>IFERROR(IF($C3="","",SUMIFS(Ledger!$K$2:$K$4, Ledger!$B$2:$B$4, $A3, Ledger!$C$2:$C$4, SZA$2)),"****")</f>
        <v/>
      </c>
      <c r="SZB3" t="str">
        <f>IFERROR(IF($C3="","",SUMIFS(Ledger!$K$2:$K$4, Ledger!$B$2:$B$4, $A3, Ledger!$C$2:$C$4, SZB$2)),"****")</f>
        <v/>
      </c>
      <c r="SZC3" t="str">
        <f>IFERROR(IF($C3="","",SUMIFS(Ledger!$K$2:$K$4, Ledger!$B$2:$B$4, $A3, Ledger!$C$2:$C$4, SZC$2)),"****")</f>
        <v/>
      </c>
      <c r="SZD3" t="str">
        <f>IFERROR(IF($C3="","",SUMIFS(Ledger!$K$2:$K$4, Ledger!$B$2:$B$4, $A3, Ledger!$C$2:$C$4, SZD$2)),"****")</f>
        <v/>
      </c>
      <c r="SZE3" t="str">
        <f>IFERROR(IF($C3="","",SUMIFS(Ledger!$K$2:$K$4, Ledger!$B$2:$B$4, $A3, Ledger!$C$2:$C$4, SZE$2)),"****")</f>
        <v/>
      </c>
      <c r="SZF3" t="str">
        <f>IFERROR(IF($C3="","",SUMIFS(Ledger!$K$2:$K$4, Ledger!$B$2:$B$4, $A3, Ledger!$C$2:$C$4, SZF$2)),"****")</f>
        <v/>
      </c>
      <c r="SZG3" t="str">
        <f>IFERROR(IF($C3="","",SUMIFS(Ledger!$K$2:$K$4, Ledger!$B$2:$B$4, $A3, Ledger!$C$2:$C$4, SZG$2)),"****")</f>
        <v/>
      </c>
      <c r="SZH3" t="str">
        <f>IFERROR(IF($C3="","",SUMIFS(Ledger!$K$2:$K$4, Ledger!$B$2:$B$4, $A3, Ledger!$C$2:$C$4, SZH$2)),"****")</f>
        <v/>
      </c>
      <c r="SZI3" t="str">
        <f>IFERROR(IF($C3="","",SUMIFS(Ledger!$K$2:$K$4, Ledger!$B$2:$B$4, $A3, Ledger!$C$2:$C$4, SZI$2)),"****")</f>
        <v/>
      </c>
      <c r="SZJ3" t="str">
        <f>IFERROR(IF($C3="","",SUMIFS(Ledger!$K$2:$K$4, Ledger!$B$2:$B$4, $A3, Ledger!$C$2:$C$4, SZJ$2)),"****")</f>
        <v/>
      </c>
      <c r="SZK3" t="str">
        <f>IFERROR(IF($C3="","",SUMIFS(Ledger!$K$2:$K$4, Ledger!$B$2:$B$4, $A3, Ledger!$C$2:$C$4, SZK$2)),"****")</f>
        <v/>
      </c>
      <c r="SZL3" t="str">
        <f>IFERROR(IF($C3="","",SUMIFS(Ledger!$K$2:$K$4, Ledger!$B$2:$B$4, $A3, Ledger!$C$2:$C$4, SZL$2)),"****")</f>
        <v/>
      </c>
      <c r="SZM3" t="str">
        <f>IFERROR(IF($C3="","",SUMIFS(Ledger!$K$2:$K$4, Ledger!$B$2:$B$4, $A3, Ledger!$C$2:$C$4, SZM$2)),"****")</f>
        <v/>
      </c>
      <c r="SZN3" t="str">
        <f>IFERROR(IF($C3="","",SUMIFS(Ledger!$K$2:$K$4, Ledger!$B$2:$B$4, $A3, Ledger!$C$2:$C$4, SZN$2)),"****")</f>
        <v/>
      </c>
      <c r="SZO3" t="str">
        <f>IFERROR(IF($C3="","",SUMIFS(Ledger!$K$2:$K$4, Ledger!$B$2:$B$4, $A3, Ledger!$C$2:$C$4, SZO$2)),"****")</f>
        <v/>
      </c>
      <c r="SZP3" t="str">
        <f>IFERROR(IF($C3="","",SUMIFS(Ledger!$K$2:$K$4, Ledger!$B$2:$B$4, $A3, Ledger!$C$2:$C$4, SZP$2)),"****")</f>
        <v/>
      </c>
      <c r="SZQ3" t="str">
        <f>IFERROR(IF($C3="","",SUMIFS(Ledger!$K$2:$K$4, Ledger!$B$2:$B$4, $A3, Ledger!$C$2:$C$4, SZQ$2)),"****")</f>
        <v/>
      </c>
      <c r="SZR3" t="str">
        <f>IFERROR(IF($C3="","",SUMIFS(Ledger!$K$2:$K$4, Ledger!$B$2:$B$4, $A3, Ledger!$C$2:$C$4, SZR$2)),"****")</f>
        <v/>
      </c>
      <c r="SZS3" t="str">
        <f>IFERROR(IF($C3="","",SUMIFS(Ledger!$K$2:$K$4, Ledger!$B$2:$B$4, $A3, Ledger!$C$2:$C$4, SZS$2)),"****")</f>
        <v/>
      </c>
      <c r="SZT3" t="str">
        <f>IFERROR(IF($C3="","",SUMIFS(Ledger!$K$2:$K$4, Ledger!$B$2:$B$4, $A3, Ledger!$C$2:$C$4, SZT$2)),"****")</f>
        <v/>
      </c>
      <c r="SZU3" t="str">
        <f>IFERROR(IF($C3="","",SUMIFS(Ledger!$K$2:$K$4, Ledger!$B$2:$B$4, $A3, Ledger!$C$2:$C$4, SZU$2)),"****")</f>
        <v/>
      </c>
      <c r="SZV3" t="str">
        <f>IFERROR(IF($C3="","",SUMIFS(Ledger!$K$2:$K$4, Ledger!$B$2:$B$4, $A3, Ledger!$C$2:$C$4, SZV$2)),"****")</f>
        <v/>
      </c>
      <c r="SZW3" t="str">
        <f>IFERROR(IF($C3="","",SUMIFS(Ledger!$K$2:$K$4, Ledger!$B$2:$B$4, $A3, Ledger!$C$2:$C$4, SZW$2)),"****")</f>
        <v/>
      </c>
      <c r="SZX3" t="str">
        <f>IFERROR(IF($C3="","",SUMIFS(Ledger!$K$2:$K$4, Ledger!$B$2:$B$4, $A3, Ledger!$C$2:$C$4, SZX$2)),"****")</f>
        <v/>
      </c>
      <c r="SZY3" t="str">
        <f>IFERROR(IF($C3="","",SUMIFS(Ledger!$K$2:$K$4, Ledger!$B$2:$B$4, $A3, Ledger!$C$2:$C$4, SZY$2)),"****")</f>
        <v/>
      </c>
      <c r="SZZ3" t="str">
        <f>IFERROR(IF($C3="","",SUMIFS(Ledger!$K$2:$K$4, Ledger!$B$2:$B$4, $A3, Ledger!$C$2:$C$4, SZZ$2)),"****")</f>
        <v/>
      </c>
      <c r="TAA3" t="str">
        <f>IFERROR(IF($C3="","",SUMIFS(Ledger!$K$2:$K$4, Ledger!$B$2:$B$4, $A3, Ledger!$C$2:$C$4, TAA$2)),"****")</f>
        <v/>
      </c>
      <c r="TAB3" t="str">
        <f>IFERROR(IF($C3="","",SUMIFS(Ledger!$K$2:$K$4, Ledger!$B$2:$B$4, $A3, Ledger!$C$2:$C$4, TAB$2)),"****")</f>
        <v/>
      </c>
      <c r="TAC3" t="str">
        <f>IFERROR(IF($C3="","",SUMIFS(Ledger!$K$2:$K$4, Ledger!$B$2:$B$4, $A3, Ledger!$C$2:$C$4, TAC$2)),"****")</f>
        <v/>
      </c>
      <c r="TAD3" t="str">
        <f>IFERROR(IF($C3="","",SUMIFS(Ledger!$K$2:$K$4, Ledger!$B$2:$B$4, $A3, Ledger!$C$2:$C$4, TAD$2)),"****")</f>
        <v/>
      </c>
      <c r="TAE3" t="str">
        <f>IFERROR(IF($C3="","",SUMIFS(Ledger!$K$2:$K$4, Ledger!$B$2:$B$4, $A3, Ledger!$C$2:$C$4, TAE$2)),"****")</f>
        <v/>
      </c>
      <c r="TAF3" t="str">
        <f>IFERROR(IF($C3="","",SUMIFS(Ledger!$K$2:$K$4, Ledger!$B$2:$B$4, $A3, Ledger!$C$2:$C$4, TAF$2)),"****")</f>
        <v/>
      </c>
      <c r="TAG3" t="str">
        <f>IFERROR(IF($C3="","",SUMIFS(Ledger!$K$2:$K$4, Ledger!$B$2:$B$4, $A3, Ledger!$C$2:$C$4, TAG$2)),"****")</f>
        <v/>
      </c>
      <c r="TAH3" t="str">
        <f>IFERROR(IF($C3="","",SUMIFS(Ledger!$K$2:$K$4, Ledger!$B$2:$B$4, $A3, Ledger!$C$2:$C$4, TAH$2)),"****")</f>
        <v/>
      </c>
      <c r="TAI3" t="str">
        <f>IFERROR(IF($C3="","",SUMIFS(Ledger!$K$2:$K$4, Ledger!$B$2:$B$4, $A3, Ledger!$C$2:$C$4, TAI$2)),"****")</f>
        <v/>
      </c>
      <c r="TAJ3" t="str">
        <f>IFERROR(IF($C3="","",SUMIFS(Ledger!$K$2:$K$4, Ledger!$B$2:$B$4, $A3, Ledger!$C$2:$C$4, TAJ$2)),"****")</f>
        <v/>
      </c>
      <c r="TAK3" t="str">
        <f>IFERROR(IF($C3="","",SUMIFS(Ledger!$K$2:$K$4, Ledger!$B$2:$B$4, $A3, Ledger!$C$2:$C$4, TAK$2)),"****")</f>
        <v/>
      </c>
      <c r="TAL3" t="str">
        <f>IFERROR(IF($C3="","",SUMIFS(Ledger!$K$2:$K$4, Ledger!$B$2:$B$4, $A3, Ledger!$C$2:$C$4, TAL$2)),"****")</f>
        <v/>
      </c>
      <c r="TAM3" t="str">
        <f>IFERROR(IF($C3="","",SUMIFS(Ledger!$K$2:$K$4, Ledger!$B$2:$B$4, $A3, Ledger!$C$2:$C$4, TAM$2)),"****")</f>
        <v/>
      </c>
      <c r="TAN3" t="str">
        <f>IFERROR(IF($C3="","",SUMIFS(Ledger!$K$2:$K$4, Ledger!$B$2:$B$4, $A3, Ledger!$C$2:$C$4, TAN$2)),"****")</f>
        <v/>
      </c>
      <c r="TAO3" t="str">
        <f>IFERROR(IF($C3="","",SUMIFS(Ledger!$K$2:$K$4, Ledger!$B$2:$B$4, $A3, Ledger!$C$2:$C$4, TAO$2)),"****")</f>
        <v/>
      </c>
      <c r="TAP3" t="str">
        <f>IFERROR(IF($C3="","",SUMIFS(Ledger!$K$2:$K$4, Ledger!$B$2:$B$4, $A3, Ledger!$C$2:$C$4, TAP$2)),"****")</f>
        <v/>
      </c>
      <c r="TAQ3" t="str">
        <f>IFERROR(IF($C3="","",SUMIFS(Ledger!$K$2:$K$4, Ledger!$B$2:$B$4, $A3, Ledger!$C$2:$C$4, TAQ$2)),"****")</f>
        <v/>
      </c>
      <c r="TAR3" t="str">
        <f>IFERROR(IF($C3="","",SUMIFS(Ledger!$K$2:$K$4, Ledger!$B$2:$B$4, $A3, Ledger!$C$2:$C$4, TAR$2)),"****")</f>
        <v/>
      </c>
      <c r="TAS3" t="str">
        <f>IFERROR(IF($C3="","",SUMIFS(Ledger!$K$2:$K$4, Ledger!$B$2:$B$4, $A3, Ledger!$C$2:$C$4, TAS$2)),"****")</f>
        <v/>
      </c>
      <c r="TAT3" t="str">
        <f>IFERROR(IF($C3="","",SUMIFS(Ledger!$K$2:$K$4, Ledger!$B$2:$B$4, $A3, Ledger!$C$2:$C$4, TAT$2)),"****")</f>
        <v/>
      </c>
      <c r="TAU3" t="str">
        <f>IFERROR(IF($C3="","",SUMIFS(Ledger!$K$2:$K$4, Ledger!$B$2:$B$4, $A3, Ledger!$C$2:$C$4, TAU$2)),"****")</f>
        <v/>
      </c>
      <c r="TAV3" t="str">
        <f>IFERROR(IF($C3="","",SUMIFS(Ledger!$K$2:$K$4, Ledger!$B$2:$B$4, $A3, Ledger!$C$2:$C$4, TAV$2)),"****")</f>
        <v/>
      </c>
      <c r="TAW3" t="str">
        <f>IFERROR(IF($C3="","",SUMIFS(Ledger!$K$2:$K$4, Ledger!$B$2:$B$4, $A3, Ledger!$C$2:$C$4, TAW$2)),"****")</f>
        <v/>
      </c>
      <c r="TAX3" t="str">
        <f>IFERROR(IF($C3="","",SUMIFS(Ledger!$K$2:$K$4, Ledger!$B$2:$B$4, $A3, Ledger!$C$2:$C$4, TAX$2)),"****")</f>
        <v/>
      </c>
      <c r="TAY3" t="str">
        <f>IFERROR(IF($C3="","",SUMIFS(Ledger!$K$2:$K$4, Ledger!$B$2:$B$4, $A3, Ledger!$C$2:$C$4, TAY$2)),"****")</f>
        <v/>
      </c>
      <c r="TAZ3" t="str">
        <f>IFERROR(IF($C3="","",SUMIFS(Ledger!$K$2:$K$4, Ledger!$B$2:$B$4, $A3, Ledger!$C$2:$C$4, TAZ$2)),"****")</f>
        <v/>
      </c>
      <c r="TBA3" t="str">
        <f>IFERROR(IF($C3="","",SUMIFS(Ledger!$K$2:$K$4, Ledger!$B$2:$B$4, $A3, Ledger!$C$2:$C$4, TBA$2)),"****")</f>
        <v/>
      </c>
      <c r="TBB3" t="str">
        <f>IFERROR(IF($C3="","",SUMIFS(Ledger!$K$2:$K$4, Ledger!$B$2:$B$4, $A3, Ledger!$C$2:$C$4, TBB$2)),"****")</f>
        <v/>
      </c>
      <c r="TBC3" t="str">
        <f>IFERROR(IF($C3="","",SUMIFS(Ledger!$K$2:$K$4, Ledger!$B$2:$B$4, $A3, Ledger!$C$2:$C$4, TBC$2)),"****")</f>
        <v/>
      </c>
      <c r="TBD3" t="str">
        <f>IFERROR(IF($C3="","",SUMIFS(Ledger!$K$2:$K$4, Ledger!$B$2:$B$4, $A3, Ledger!$C$2:$C$4, TBD$2)),"****")</f>
        <v/>
      </c>
      <c r="TBE3" t="str">
        <f>IFERROR(IF($C3="","",SUMIFS(Ledger!$K$2:$K$4, Ledger!$B$2:$B$4, $A3, Ledger!$C$2:$C$4, TBE$2)),"****")</f>
        <v/>
      </c>
      <c r="TBF3" t="str">
        <f>IFERROR(IF($C3="","",SUMIFS(Ledger!$K$2:$K$4, Ledger!$B$2:$B$4, $A3, Ledger!$C$2:$C$4, TBF$2)),"****")</f>
        <v/>
      </c>
      <c r="TBG3" t="str">
        <f>IFERROR(IF($C3="","",SUMIFS(Ledger!$K$2:$K$4, Ledger!$B$2:$B$4, $A3, Ledger!$C$2:$C$4, TBG$2)),"****")</f>
        <v/>
      </c>
      <c r="TBH3" t="str">
        <f>IFERROR(IF($C3="","",SUMIFS(Ledger!$K$2:$K$4, Ledger!$B$2:$B$4, $A3, Ledger!$C$2:$C$4, TBH$2)),"****")</f>
        <v/>
      </c>
      <c r="TBI3" t="str">
        <f>IFERROR(IF($C3="","",SUMIFS(Ledger!$K$2:$K$4, Ledger!$B$2:$B$4, $A3, Ledger!$C$2:$C$4, TBI$2)),"****")</f>
        <v/>
      </c>
      <c r="TBJ3" t="str">
        <f>IFERROR(IF($C3="","",SUMIFS(Ledger!$K$2:$K$4, Ledger!$B$2:$B$4, $A3, Ledger!$C$2:$C$4, TBJ$2)),"****")</f>
        <v/>
      </c>
      <c r="TBK3" t="str">
        <f>IFERROR(IF($C3="","",SUMIFS(Ledger!$K$2:$K$4, Ledger!$B$2:$B$4, $A3, Ledger!$C$2:$C$4, TBK$2)),"****")</f>
        <v/>
      </c>
      <c r="TBL3" t="str">
        <f>IFERROR(IF($C3="","",SUMIFS(Ledger!$K$2:$K$4, Ledger!$B$2:$B$4, $A3, Ledger!$C$2:$C$4, TBL$2)),"****")</f>
        <v/>
      </c>
      <c r="TBM3" t="str">
        <f>IFERROR(IF($C3="","",SUMIFS(Ledger!$K$2:$K$4, Ledger!$B$2:$B$4, $A3, Ledger!$C$2:$C$4, TBM$2)),"****")</f>
        <v/>
      </c>
      <c r="TBN3" t="str">
        <f>IFERROR(IF($C3="","",SUMIFS(Ledger!$K$2:$K$4, Ledger!$B$2:$B$4, $A3, Ledger!$C$2:$C$4, TBN$2)),"****")</f>
        <v/>
      </c>
      <c r="TBO3" t="str">
        <f>IFERROR(IF($C3="","",SUMIFS(Ledger!$K$2:$K$4, Ledger!$B$2:$B$4, $A3, Ledger!$C$2:$C$4, TBO$2)),"****")</f>
        <v/>
      </c>
      <c r="TBP3" t="str">
        <f>IFERROR(IF($C3="","",SUMIFS(Ledger!$K$2:$K$4, Ledger!$B$2:$B$4, $A3, Ledger!$C$2:$C$4, TBP$2)),"****")</f>
        <v/>
      </c>
      <c r="TBQ3" t="str">
        <f>IFERROR(IF($C3="","",SUMIFS(Ledger!$K$2:$K$4, Ledger!$B$2:$B$4, $A3, Ledger!$C$2:$C$4, TBQ$2)),"****")</f>
        <v/>
      </c>
      <c r="TBR3" t="str">
        <f>IFERROR(IF($C3="","",SUMIFS(Ledger!$K$2:$K$4, Ledger!$B$2:$B$4, $A3, Ledger!$C$2:$C$4, TBR$2)),"****")</f>
        <v/>
      </c>
      <c r="TBS3" t="str">
        <f>IFERROR(IF($C3="","",SUMIFS(Ledger!$K$2:$K$4, Ledger!$B$2:$B$4, $A3, Ledger!$C$2:$C$4, TBS$2)),"****")</f>
        <v/>
      </c>
      <c r="TBT3" t="str">
        <f>IFERROR(IF($C3="","",SUMIFS(Ledger!$K$2:$K$4, Ledger!$B$2:$B$4, $A3, Ledger!$C$2:$C$4, TBT$2)),"****")</f>
        <v/>
      </c>
      <c r="TBU3" t="str">
        <f>IFERROR(IF($C3="","",SUMIFS(Ledger!$K$2:$K$4, Ledger!$B$2:$B$4, $A3, Ledger!$C$2:$C$4, TBU$2)),"****")</f>
        <v/>
      </c>
      <c r="TBV3" t="str">
        <f>IFERROR(IF($C3="","",SUMIFS(Ledger!$K$2:$K$4, Ledger!$B$2:$B$4, $A3, Ledger!$C$2:$C$4, TBV$2)),"****")</f>
        <v/>
      </c>
      <c r="TBW3" t="str">
        <f>IFERROR(IF($C3="","",SUMIFS(Ledger!$K$2:$K$4, Ledger!$B$2:$B$4, $A3, Ledger!$C$2:$C$4, TBW$2)),"****")</f>
        <v/>
      </c>
      <c r="TBX3" t="str">
        <f>IFERROR(IF($C3="","",SUMIFS(Ledger!$K$2:$K$4, Ledger!$B$2:$B$4, $A3, Ledger!$C$2:$C$4, TBX$2)),"****")</f>
        <v/>
      </c>
      <c r="TBY3" t="str">
        <f>IFERROR(IF($C3="","",SUMIFS(Ledger!$K$2:$K$4, Ledger!$B$2:$B$4, $A3, Ledger!$C$2:$C$4, TBY$2)),"****")</f>
        <v/>
      </c>
      <c r="TBZ3" t="str">
        <f>IFERROR(IF($C3="","",SUMIFS(Ledger!$K$2:$K$4, Ledger!$B$2:$B$4, $A3, Ledger!$C$2:$C$4, TBZ$2)),"****")</f>
        <v/>
      </c>
      <c r="TCA3" t="str">
        <f>IFERROR(IF($C3="","",SUMIFS(Ledger!$K$2:$K$4, Ledger!$B$2:$B$4, $A3, Ledger!$C$2:$C$4, TCA$2)),"****")</f>
        <v/>
      </c>
      <c r="TCB3" t="str">
        <f>IFERROR(IF($C3="","",SUMIFS(Ledger!$K$2:$K$4, Ledger!$B$2:$B$4, $A3, Ledger!$C$2:$C$4, TCB$2)),"****")</f>
        <v/>
      </c>
      <c r="TCC3" t="str">
        <f>IFERROR(IF($C3="","",SUMIFS(Ledger!$K$2:$K$4, Ledger!$B$2:$B$4, $A3, Ledger!$C$2:$C$4, TCC$2)),"****")</f>
        <v/>
      </c>
      <c r="TCD3" t="str">
        <f>IFERROR(IF($C3="","",SUMIFS(Ledger!$K$2:$K$4, Ledger!$B$2:$B$4, $A3, Ledger!$C$2:$C$4, TCD$2)),"****")</f>
        <v/>
      </c>
      <c r="TCE3" t="str">
        <f>IFERROR(IF($C3="","",SUMIFS(Ledger!$K$2:$K$4, Ledger!$B$2:$B$4, $A3, Ledger!$C$2:$C$4, TCE$2)),"****")</f>
        <v/>
      </c>
      <c r="TCF3" t="str">
        <f>IFERROR(IF($C3="","",SUMIFS(Ledger!$K$2:$K$4, Ledger!$B$2:$B$4, $A3, Ledger!$C$2:$C$4, TCF$2)),"****")</f>
        <v/>
      </c>
      <c r="TCG3" t="str">
        <f>IFERROR(IF($C3="","",SUMIFS(Ledger!$K$2:$K$4, Ledger!$B$2:$B$4, $A3, Ledger!$C$2:$C$4, TCG$2)),"****")</f>
        <v/>
      </c>
      <c r="TCH3" t="str">
        <f>IFERROR(IF($C3="","",SUMIFS(Ledger!$K$2:$K$4, Ledger!$B$2:$B$4, $A3, Ledger!$C$2:$C$4, TCH$2)),"****")</f>
        <v/>
      </c>
      <c r="TCI3" t="str">
        <f>IFERROR(IF($C3="","",SUMIFS(Ledger!$K$2:$K$4, Ledger!$B$2:$B$4, $A3, Ledger!$C$2:$C$4, TCI$2)),"****")</f>
        <v/>
      </c>
      <c r="TCJ3" t="str">
        <f>IFERROR(IF($C3="","",SUMIFS(Ledger!$K$2:$K$4, Ledger!$B$2:$B$4, $A3, Ledger!$C$2:$C$4, TCJ$2)),"****")</f>
        <v/>
      </c>
      <c r="TCK3" t="str">
        <f>IFERROR(IF($C3="","",SUMIFS(Ledger!$K$2:$K$4, Ledger!$B$2:$B$4, $A3, Ledger!$C$2:$C$4, TCK$2)),"****")</f>
        <v/>
      </c>
      <c r="TCL3" t="str">
        <f>IFERROR(IF($C3="","",SUMIFS(Ledger!$K$2:$K$4, Ledger!$B$2:$B$4, $A3, Ledger!$C$2:$C$4, TCL$2)),"****")</f>
        <v/>
      </c>
      <c r="TCM3" t="str">
        <f>IFERROR(IF($C3="","",SUMIFS(Ledger!$K$2:$K$4, Ledger!$B$2:$B$4, $A3, Ledger!$C$2:$C$4, TCM$2)),"****")</f>
        <v/>
      </c>
      <c r="TCN3" t="str">
        <f>IFERROR(IF($C3="","",SUMIFS(Ledger!$K$2:$K$4, Ledger!$B$2:$B$4, $A3, Ledger!$C$2:$C$4, TCN$2)),"****")</f>
        <v/>
      </c>
      <c r="TCO3" t="str">
        <f>IFERROR(IF($C3="","",SUMIFS(Ledger!$K$2:$K$4, Ledger!$B$2:$B$4, $A3, Ledger!$C$2:$C$4, TCO$2)),"****")</f>
        <v/>
      </c>
      <c r="TCP3" t="str">
        <f>IFERROR(IF($C3="","",SUMIFS(Ledger!$K$2:$K$4, Ledger!$B$2:$B$4, $A3, Ledger!$C$2:$C$4, TCP$2)),"****")</f>
        <v/>
      </c>
      <c r="TCQ3" t="str">
        <f>IFERROR(IF($C3="","",SUMIFS(Ledger!$K$2:$K$4, Ledger!$B$2:$B$4, $A3, Ledger!$C$2:$C$4, TCQ$2)),"****")</f>
        <v/>
      </c>
      <c r="TCR3" t="str">
        <f>IFERROR(IF($C3="","",SUMIFS(Ledger!$K$2:$K$4, Ledger!$B$2:$B$4, $A3, Ledger!$C$2:$C$4, TCR$2)),"****")</f>
        <v/>
      </c>
      <c r="TCS3" t="str">
        <f>IFERROR(IF($C3="","",SUMIFS(Ledger!$K$2:$K$4, Ledger!$B$2:$B$4, $A3, Ledger!$C$2:$C$4, TCS$2)),"****")</f>
        <v/>
      </c>
      <c r="TCT3" t="str">
        <f>IFERROR(IF($C3="","",SUMIFS(Ledger!$K$2:$K$4, Ledger!$B$2:$B$4, $A3, Ledger!$C$2:$C$4, TCT$2)),"****")</f>
        <v/>
      </c>
      <c r="TCU3" t="str">
        <f>IFERROR(IF($C3="","",SUMIFS(Ledger!$K$2:$K$4, Ledger!$B$2:$B$4, $A3, Ledger!$C$2:$C$4, TCU$2)),"****")</f>
        <v/>
      </c>
      <c r="TCV3" t="str">
        <f>IFERROR(IF($C3="","",SUMIFS(Ledger!$K$2:$K$4, Ledger!$B$2:$B$4, $A3, Ledger!$C$2:$C$4, TCV$2)),"****")</f>
        <v/>
      </c>
      <c r="TCW3" t="str">
        <f>IFERROR(IF($C3="","",SUMIFS(Ledger!$K$2:$K$4, Ledger!$B$2:$B$4, $A3, Ledger!$C$2:$C$4, TCW$2)),"****")</f>
        <v/>
      </c>
      <c r="TCX3" t="str">
        <f>IFERROR(IF($C3="","",SUMIFS(Ledger!$K$2:$K$4, Ledger!$B$2:$B$4, $A3, Ledger!$C$2:$C$4, TCX$2)),"****")</f>
        <v/>
      </c>
      <c r="TCY3" t="str">
        <f>IFERROR(IF($C3="","",SUMIFS(Ledger!$K$2:$K$4, Ledger!$B$2:$B$4, $A3, Ledger!$C$2:$C$4, TCY$2)),"****")</f>
        <v/>
      </c>
      <c r="TCZ3" t="str">
        <f>IFERROR(IF($C3="","",SUMIFS(Ledger!$K$2:$K$4, Ledger!$B$2:$B$4, $A3, Ledger!$C$2:$C$4, TCZ$2)),"****")</f>
        <v/>
      </c>
      <c r="TDA3" t="str">
        <f>IFERROR(IF($C3="","",SUMIFS(Ledger!$K$2:$K$4, Ledger!$B$2:$B$4, $A3, Ledger!$C$2:$C$4, TDA$2)),"****")</f>
        <v/>
      </c>
      <c r="TDB3" t="str">
        <f>IFERROR(IF($C3="","",SUMIFS(Ledger!$K$2:$K$4, Ledger!$B$2:$B$4, $A3, Ledger!$C$2:$C$4, TDB$2)),"****")</f>
        <v/>
      </c>
      <c r="TDC3" t="str">
        <f>IFERROR(IF($C3="","",SUMIFS(Ledger!$K$2:$K$4, Ledger!$B$2:$B$4, $A3, Ledger!$C$2:$C$4, TDC$2)),"****")</f>
        <v/>
      </c>
      <c r="TDD3" t="str">
        <f>IFERROR(IF($C3="","",SUMIFS(Ledger!$K$2:$K$4, Ledger!$B$2:$B$4, $A3, Ledger!$C$2:$C$4, TDD$2)),"****")</f>
        <v/>
      </c>
      <c r="TDE3" t="str">
        <f>IFERROR(IF($C3="","",SUMIFS(Ledger!$K$2:$K$4, Ledger!$B$2:$B$4, $A3, Ledger!$C$2:$C$4, TDE$2)),"****")</f>
        <v/>
      </c>
      <c r="TDF3" t="str">
        <f>IFERROR(IF($C3="","",SUMIFS(Ledger!$K$2:$K$4, Ledger!$B$2:$B$4, $A3, Ledger!$C$2:$C$4, TDF$2)),"****")</f>
        <v/>
      </c>
      <c r="TDG3" t="str">
        <f>IFERROR(IF($C3="","",SUMIFS(Ledger!$K$2:$K$4, Ledger!$B$2:$B$4, $A3, Ledger!$C$2:$C$4, TDG$2)),"****")</f>
        <v/>
      </c>
      <c r="TDH3" t="str">
        <f>IFERROR(IF($C3="","",SUMIFS(Ledger!$K$2:$K$4, Ledger!$B$2:$B$4, $A3, Ledger!$C$2:$C$4, TDH$2)),"****")</f>
        <v/>
      </c>
      <c r="TDI3" t="str">
        <f>IFERROR(IF($C3="","",SUMIFS(Ledger!$K$2:$K$4, Ledger!$B$2:$B$4, $A3, Ledger!$C$2:$C$4, TDI$2)),"****")</f>
        <v/>
      </c>
      <c r="TDJ3" t="str">
        <f>IFERROR(IF($C3="","",SUMIFS(Ledger!$K$2:$K$4, Ledger!$B$2:$B$4, $A3, Ledger!$C$2:$C$4, TDJ$2)),"****")</f>
        <v/>
      </c>
      <c r="TDK3" t="str">
        <f>IFERROR(IF($C3="","",SUMIFS(Ledger!$K$2:$K$4, Ledger!$B$2:$B$4, $A3, Ledger!$C$2:$C$4, TDK$2)),"****")</f>
        <v/>
      </c>
      <c r="TDL3" t="str">
        <f>IFERROR(IF($C3="","",SUMIFS(Ledger!$K$2:$K$4, Ledger!$B$2:$B$4, $A3, Ledger!$C$2:$C$4, TDL$2)),"****")</f>
        <v/>
      </c>
      <c r="TDM3" t="str">
        <f>IFERROR(IF($C3="","",SUMIFS(Ledger!$K$2:$K$4, Ledger!$B$2:$B$4, $A3, Ledger!$C$2:$C$4, TDM$2)),"****")</f>
        <v/>
      </c>
      <c r="TDN3" t="str">
        <f>IFERROR(IF($C3="","",SUMIFS(Ledger!$K$2:$K$4, Ledger!$B$2:$B$4, $A3, Ledger!$C$2:$C$4, TDN$2)),"****")</f>
        <v/>
      </c>
      <c r="TDO3" t="str">
        <f>IFERROR(IF($C3="","",SUMIFS(Ledger!$K$2:$K$4, Ledger!$B$2:$B$4, $A3, Ledger!$C$2:$C$4, TDO$2)),"****")</f>
        <v/>
      </c>
      <c r="TDP3" t="str">
        <f>IFERROR(IF($C3="","",SUMIFS(Ledger!$K$2:$K$4, Ledger!$B$2:$B$4, $A3, Ledger!$C$2:$C$4, TDP$2)),"****")</f>
        <v/>
      </c>
      <c r="TDQ3" t="str">
        <f>IFERROR(IF($C3="","",SUMIFS(Ledger!$K$2:$K$4, Ledger!$B$2:$B$4, $A3, Ledger!$C$2:$C$4, TDQ$2)),"****")</f>
        <v/>
      </c>
      <c r="TDR3" t="str">
        <f>IFERROR(IF($C3="","",SUMIFS(Ledger!$K$2:$K$4, Ledger!$B$2:$B$4, $A3, Ledger!$C$2:$C$4, TDR$2)),"****")</f>
        <v/>
      </c>
      <c r="TDS3" t="str">
        <f>IFERROR(IF($C3="","",SUMIFS(Ledger!$K$2:$K$4, Ledger!$B$2:$B$4, $A3, Ledger!$C$2:$C$4, TDS$2)),"****")</f>
        <v/>
      </c>
      <c r="TDT3" t="str">
        <f>IFERROR(IF($C3="","",SUMIFS(Ledger!$K$2:$K$4, Ledger!$B$2:$B$4, $A3, Ledger!$C$2:$C$4, TDT$2)),"****")</f>
        <v/>
      </c>
      <c r="TDU3" t="str">
        <f>IFERROR(IF($C3="","",SUMIFS(Ledger!$K$2:$K$4, Ledger!$B$2:$B$4, $A3, Ledger!$C$2:$C$4, TDU$2)),"****")</f>
        <v/>
      </c>
      <c r="TDV3" t="str">
        <f>IFERROR(IF($C3="","",SUMIFS(Ledger!$K$2:$K$4, Ledger!$B$2:$B$4, $A3, Ledger!$C$2:$C$4, TDV$2)),"****")</f>
        <v/>
      </c>
      <c r="TDW3" t="str">
        <f>IFERROR(IF($C3="","",SUMIFS(Ledger!$K$2:$K$4, Ledger!$B$2:$B$4, $A3, Ledger!$C$2:$C$4, TDW$2)),"****")</f>
        <v/>
      </c>
      <c r="TDX3" t="str">
        <f>IFERROR(IF($C3="","",SUMIFS(Ledger!$K$2:$K$4, Ledger!$B$2:$B$4, $A3, Ledger!$C$2:$C$4, TDX$2)),"****")</f>
        <v/>
      </c>
      <c r="TDY3" t="str">
        <f>IFERROR(IF($C3="","",SUMIFS(Ledger!$K$2:$K$4, Ledger!$B$2:$B$4, $A3, Ledger!$C$2:$C$4, TDY$2)),"****")</f>
        <v/>
      </c>
      <c r="TDZ3" t="str">
        <f>IFERROR(IF($C3="","",SUMIFS(Ledger!$K$2:$K$4, Ledger!$B$2:$B$4, $A3, Ledger!$C$2:$C$4, TDZ$2)),"****")</f>
        <v/>
      </c>
      <c r="TEA3" t="str">
        <f>IFERROR(IF($C3="","",SUMIFS(Ledger!$K$2:$K$4, Ledger!$B$2:$B$4, $A3, Ledger!$C$2:$C$4, TEA$2)),"****")</f>
        <v/>
      </c>
      <c r="TEB3" t="str">
        <f>IFERROR(IF($C3="","",SUMIFS(Ledger!$K$2:$K$4, Ledger!$B$2:$B$4, $A3, Ledger!$C$2:$C$4, TEB$2)),"****")</f>
        <v/>
      </c>
      <c r="TEC3" t="str">
        <f>IFERROR(IF($C3="","",SUMIFS(Ledger!$K$2:$K$4, Ledger!$B$2:$B$4, $A3, Ledger!$C$2:$C$4, TEC$2)),"****")</f>
        <v/>
      </c>
      <c r="TED3" t="str">
        <f>IFERROR(IF($C3="","",SUMIFS(Ledger!$K$2:$K$4, Ledger!$B$2:$B$4, $A3, Ledger!$C$2:$C$4, TED$2)),"****")</f>
        <v/>
      </c>
      <c r="TEE3" t="str">
        <f>IFERROR(IF($C3="","",SUMIFS(Ledger!$K$2:$K$4, Ledger!$B$2:$B$4, $A3, Ledger!$C$2:$C$4, TEE$2)),"****")</f>
        <v/>
      </c>
      <c r="TEF3" t="str">
        <f>IFERROR(IF($C3="","",SUMIFS(Ledger!$K$2:$K$4, Ledger!$B$2:$B$4, $A3, Ledger!$C$2:$C$4, TEF$2)),"****")</f>
        <v/>
      </c>
      <c r="TEG3" t="str">
        <f>IFERROR(IF($C3="","",SUMIFS(Ledger!$K$2:$K$4, Ledger!$B$2:$B$4, $A3, Ledger!$C$2:$C$4, TEG$2)),"****")</f>
        <v/>
      </c>
      <c r="TEH3" t="str">
        <f>IFERROR(IF($C3="","",SUMIFS(Ledger!$K$2:$K$4, Ledger!$B$2:$B$4, $A3, Ledger!$C$2:$C$4, TEH$2)),"****")</f>
        <v/>
      </c>
      <c r="TEI3" t="str">
        <f>IFERROR(IF($C3="","",SUMIFS(Ledger!$K$2:$K$4, Ledger!$B$2:$B$4, $A3, Ledger!$C$2:$C$4, TEI$2)),"****")</f>
        <v/>
      </c>
      <c r="TEJ3" t="str">
        <f>IFERROR(IF($C3="","",SUMIFS(Ledger!$K$2:$K$4, Ledger!$B$2:$B$4, $A3, Ledger!$C$2:$C$4, TEJ$2)),"****")</f>
        <v/>
      </c>
      <c r="TEK3" t="str">
        <f>IFERROR(IF($C3="","",SUMIFS(Ledger!$K$2:$K$4, Ledger!$B$2:$B$4, $A3, Ledger!$C$2:$C$4, TEK$2)),"****")</f>
        <v/>
      </c>
      <c r="TEL3" t="str">
        <f>IFERROR(IF($C3="","",SUMIFS(Ledger!$K$2:$K$4, Ledger!$B$2:$B$4, $A3, Ledger!$C$2:$C$4, TEL$2)),"****")</f>
        <v/>
      </c>
      <c r="TEM3" t="str">
        <f>IFERROR(IF($C3="","",SUMIFS(Ledger!$K$2:$K$4, Ledger!$B$2:$B$4, $A3, Ledger!$C$2:$C$4, TEM$2)),"****")</f>
        <v/>
      </c>
      <c r="TEN3" t="str">
        <f>IFERROR(IF($C3="","",SUMIFS(Ledger!$K$2:$K$4, Ledger!$B$2:$B$4, $A3, Ledger!$C$2:$C$4, TEN$2)),"****")</f>
        <v/>
      </c>
      <c r="TEO3" t="str">
        <f>IFERROR(IF($C3="","",SUMIFS(Ledger!$K$2:$K$4, Ledger!$B$2:$B$4, $A3, Ledger!$C$2:$C$4, TEO$2)),"****")</f>
        <v/>
      </c>
      <c r="TEP3" t="str">
        <f>IFERROR(IF($C3="","",SUMIFS(Ledger!$K$2:$K$4, Ledger!$B$2:$B$4, $A3, Ledger!$C$2:$C$4, TEP$2)),"****")</f>
        <v/>
      </c>
      <c r="TEQ3" t="str">
        <f>IFERROR(IF($C3="","",SUMIFS(Ledger!$K$2:$K$4, Ledger!$B$2:$B$4, $A3, Ledger!$C$2:$C$4, TEQ$2)),"****")</f>
        <v/>
      </c>
      <c r="TER3" t="str">
        <f>IFERROR(IF($C3="","",SUMIFS(Ledger!$K$2:$K$4, Ledger!$B$2:$B$4, $A3, Ledger!$C$2:$C$4, TER$2)),"****")</f>
        <v/>
      </c>
      <c r="TES3" t="str">
        <f>IFERROR(IF($C3="","",SUMIFS(Ledger!$K$2:$K$4, Ledger!$B$2:$B$4, $A3, Ledger!$C$2:$C$4, TES$2)),"****")</f>
        <v/>
      </c>
      <c r="TET3" t="str">
        <f>IFERROR(IF($C3="","",SUMIFS(Ledger!$K$2:$K$4, Ledger!$B$2:$B$4, $A3, Ledger!$C$2:$C$4, TET$2)),"****")</f>
        <v/>
      </c>
      <c r="TEU3" t="str">
        <f>IFERROR(IF($C3="","",SUMIFS(Ledger!$K$2:$K$4, Ledger!$B$2:$B$4, $A3, Ledger!$C$2:$C$4, TEU$2)),"****")</f>
        <v/>
      </c>
      <c r="TEV3" t="str">
        <f>IFERROR(IF($C3="","",SUMIFS(Ledger!$K$2:$K$4, Ledger!$B$2:$B$4, $A3, Ledger!$C$2:$C$4, TEV$2)),"****")</f>
        <v/>
      </c>
      <c r="TEW3" t="str">
        <f>IFERROR(IF($C3="","",SUMIFS(Ledger!$K$2:$K$4, Ledger!$B$2:$B$4, $A3, Ledger!$C$2:$C$4, TEW$2)),"****")</f>
        <v/>
      </c>
      <c r="TEX3" t="str">
        <f>IFERROR(IF($C3="","",SUMIFS(Ledger!$K$2:$K$4, Ledger!$B$2:$B$4, $A3, Ledger!$C$2:$C$4, TEX$2)),"****")</f>
        <v/>
      </c>
      <c r="TEY3" t="str">
        <f>IFERROR(IF($C3="","",SUMIFS(Ledger!$K$2:$K$4, Ledger!$B$2:$B$4, $A3, Ledger!$C$2:$C$4, TEY$2)),"****")</f>
        <v/>
      </c>
      <c r="TEZ3" t="str">
        <f>IFERROR(IF($C3="","",SUMIFS(Ledger!$K$2:$K$4, Ledger!$B$2:$B$4, $A3, Ledger!$C$2:$C$4, TEZ$2)),"****")</f>
        <v/>
      </c>
      <c r="TFA3" t="str">
        <f>IFERROR(IF($C3="","",SUMIFS(Ledger!$K$2:$K$4, Ledger!$B$2:$B$4, $A3, Ledger!$C$2:$C$4, TFA$2)),"****")</f>
        <v/>
      </c>
      <c r="TFB3" t="str">
        <f>IFERROR(IF($C3="","",SUMIFS(Ledger!$K$2:$K$4, Ledger!$B$2:$B$4, $A3, Ledger!$C$2:$C$4, TFB$2)),"****")</f>
        <v/>
      </c>
      <c r="TFC3" t="str">
        <f>IFERROR(IF($C3="","",SUMIFS(Ledger!$K$2:$K$4, Ledger!$B$2:$B$4, $A3, Ledger!$C$2:$C$4, TFC$2)),"****")</f>
        <v/>
      </c>
      <c r="TFD3" t="str">
        <f>IFERROR(IF($C3="","",SUMIFS(Ledger!$K$2:$K$4, Ledger!$B$2:$B$4, $A3, Ledger!$C$2:$C$4, TFD$2)),"****")</f>
        <v/>
      </c>
      <c r="TFE3" t="str">
        <f>IFERROR(IF($C3="","",SUMIFS(Ledger!$K$2:$K$4, Ledger!$B$2:$B$4, $A3, Ledger!$C$2:$C$4, TFE$2)),"****")</f>
        <v/>
      </c>
      <c r="TFF3" t="str">
        <f>IFERROR(IF($C3="","",SUMIFS(Ledger!$K$2:$K$4, Ledger!$B$2:$B$4, $A3, Ledger!$C$2:$C$4, TFF$2)),"****")</f>
        <v/>
      </c>
      <c r="TFG3" t="str">
        <f>IFERROR(IF($C3="","",SUMIFS(Ledger!$K$2:$K$4, Ledger!$B$2:$B$4, $A3, Ledger!$C$2:$C$4, TFG$2)),"****")</f>
        <v/>
      </c>
      <c r="TFH3" t="str">
        <f>IFERROR(IF($C3="","",SUMIFS(Ledger!$K$2:$K$4, Ledger!$B$2:$B$4, $A3, Ledger!$C$2:$C$4, TFH$2)),"****")</f>
        <v/>
      </c>
      <c r="TFI3" t="str">
        <f>IFERROR(IF($C3="","",SUMIFS(Ledger!$K$2:$K$4, Ledger!$B$2:$B$4, $A3, Ledger!$C$2:$C$4, TFI$2)),"****")</f>
        <v/>
      </c>
      <c r="TFJ3" t="str">
        <f>IFERROR(IF($C3="","",SUMIFS(Ledger!$K$2:$K$4, Ledger!$B$2:$B$4, $A3, Ledger!$C$2:$C$4, TFJ$2)),"****")</f>
        <v/>
      </c>
      <c r="TFK3" t="str">
        <f>IFERROR(IF($C3="","",SUMIFS(Ledger!$K$2:$K$4, Ledger!$B$2:$B$4, $A3, Ledger!$C$2:$C$4, TFK$2)),"****")</f>
        <v/>
      </c>
      <c r="TFL3" t="str">
        <f>IFERROR(IF($C3="","",SUMIFS(Ledger!$K$2:$K$4, Ledger!$B$2:$B$4, $A3, Ledger!$C$2:$C$4, TFL$2)),"****")</f>
        <v/>
      </c>
      <c r="TFM3" t="str">
        <f>IFERROR(IF($C3="","",SUMIFS(Ledger!$K$2:$K$4, Ledger!$B$2:$B$4, $A3, Ledger!$C$2:$C$4, TFM$2)),"****")</f>
        <v/>
      </c>
      <c r="TFN3" t="str">
        <f>IFERROR(IF($C3="","",SUMIFS(Ledger!$K$2:$K$4, Ledger!$B$2:$B$4, $A3, Ledger!$C$2:$C$4, TFN$2)),"****")</f>
        <v/>
      </c>
      <c r="TFO3" t="str">
        <f>IFERROR(IF($C3="","",SUMIFS(Ledger!$K$2:$K$4, Ledger!$B$2:$B$4, $A3, Ledger!$C$2:$C$4, TFO$2)),"****")</f>
        <v/>
      </c>
      <c r="TFP3" t="str">
        <f>IFERROR(IF($C3="","",SUMIFS(Ledger!$K$2:$K$4, Ledger!$B$2:$B$4, $A3, Ledger!$C$2:$C$4, TFP$2)),"****")</f>
        <v/>
      </c>
      <c r="TFQ3" t="str">
        <f>IFERROR(IF($C3="","",SUMIFS(Ledger!$K$2:$K$4, Ledger!$B$2:$B$4, $A3, Ledger!$C$2:$C$4, TFQ$2)),"****")</f>
        <v/>
      </c>
      <c r="TFR3" t="str">
        <f>IFERROR(IF($C3="","",SUMIFS(Ledger!$K$2:$K$4, Ledger!$B$2:$B$4, $A3, Ledger!$C$2:$C$4, TFR$2)),"****")</f>
        <v/>
      </c>
      <c r="TFS3" t="str">
        <f>IFERROR(IF($C3="","",SUMIFS(Ledger!$K$2:$K$4, Ledger!$B$2:$B$4, $A3, Ledger!$C$2:$C$4, TFS$2)),"****")</f>
        <v/>
      </c>
      <c r="TFT3" t="str">
        <f>IFERROR(IF($C3="","",SUMIFS(Ledger!$K$2:$K$4, Ledger!$B$2:$B$4, $A3, Ledger!$C$2:$C$4, TFT$2)),"****")</f>
        <v/>
      </c>
      <c r="TFU3" t="str">
        <f>IFERROR(IF($C3="","",SUMIFS(Ledger!$K$2:$K$4, Ledger!$B$2:$B$4, $A3, Ledger!$C$2:$C$4, TFU$2)),"****")</f>
        <v/>
      </c>
      <c r="TFV3" t="str">
        <f>IFERROR(IF($C3="","",SUMIFS(Ledger!$K$2:$K$4, Ledger!$B$2:$B$4, $A3, Ledger!$C$2:$C$4, TFV$2)),"****")</f>
        <v/>
      </c>
      <c r="TFW3" t="str">
        <f>IFERROR(IF($C3="","",SUMIFS(Ledger!$K$2:$K$4, Ledger!$B$2:$B$4, $A3, Ledger!$C$2:$C$4, TFW$2)),"****")</f>
        <v/>
      </c>
      <c r="TFX3" t="str">
        <f>IFERROR(IF($C3="","",SUMIFS(Ledger!$K$2:$K$4, Ledger!$B$2:$B$4, $A3, Ledger!$C$2:$C$4, TFX$2)),"****")</f>
        <v/>
      </c>
      <c r="TFY3" t="str">
        <f>IFERROR(IF($C3="","",SUMIFS(Ledger!$K$2:$K$4, Ledger!$B$2:$B$4, $A3, Ledger!$C$2:$C$4, TFY$2)),"****")</f>
        <v/>
      </c>
      <c r="TFZ3" t="str">
        <f>IFERROR(IF($C3="","",SUMIFS(Ledger!$K$2:$K$4, Ledger!$B$2:$B$4, $A3, Ledger!$C$2:$C$4, TFZ$2)),"****")</f>
        <v/>
      </c>
      <c r="TGA3" t="str">
        <f>IFERROR(IF($C3="","",SUMIFS(Ledger!$K$2:$K$4, Ledger!$B$2:$B$4, $A3, Ledger!$C$2:$C$4, TGA$2)),"****")</f>
        <v/>
      </c>
      <c r="TGB3" t="str">
        <f>IFERROR(IF($C3="","",SUMIFS(Ledger!$K$2:$K$4, Ledger!$B$2:$B$4, $A3, Ledger!$C$2:$C$4, TGB$2)),"****")</f>
        <v/>
      </c>
      <c r="TGC3" t="str">
        <f>IFERROR(IF($C3="","",SUMIFS(Ledger!$K$2:$K$4, Ledger!$B$2:$B$4, $A3, Ledger!$C$2:$C$4, TGC$2)),"****")</f>
        <v/>
      </c>
      <c r="TGD3" t="str">
        <f>IFERROR(IF($C3="","",SUMIFS(Ledger!$K$2:$K$4, Ledger!$B$2:$B$4, $A3, Ledger!$C$2:$C$4, TGD$2)),"****")</f>
        <v/>
      </c>
      <c r="TGE3" t="str">
        <f>IFERROR(IF($C3="","",SUMIFS(Ledger!$K$2:$K$4, Ledger!$B$2:$B$4, $A3, Ledger!$C$2:$C$4, TGE$2)),"****")</f>
        <v/>
      </c>
      <c r="TGF3" t="str">
        <f>IFERROR(IF($C3="","",SUMIFS(Ledger!$K$2:$K$4, Ledger!$B$2:$B$4, $A3, Ledger!$C$2:$C$4, TGF$2)),"****")</f>
        <v/>
      </c>
      <c r="TGG3" t="str">
        <f>IFERROR(IF($C3="","",SUMIFS(Ledger!$K$2:$K$4, Ledger!$B$2:$B$4, $A3, Ledger!$C$2:$C$4, TGG$2)),"****")</f>
        <v/>
      </c>
      <c r="TGH3" t="str">
        <f>IFERROR(IF($C3="","",SUMIFS(Ledger!$K$2:$K$4, Ledger!$B$2:$B$4, $A3, Ledger!$C$2:$C$4, TGH$2)),"****")</f>
        <v/>
      </c>
      <c r="TGI3" t="str">
        <f>IFERROR(IF($C3="","",SUMIFS(Ledger!$K$2:$K$4, Ledger!$B$2:$B$4, $A3, Ledger!$C$2:$C$4, TGI$2)),"****")</f>
        <v/>
      </c>
      <c r="TGJ3" t="str">
        <f>IFERROR(IF($C3="","",SUMIFS(Ledger!$K$2:$K$4, Ledger!$B$2:$B$4, $A3, Ledger!$C$2:$C$4, TGJ$2)),"****")</f>
        <v/>
      </c>
      <c r="TGK3" t="str">
        <f>IFERROR(IF($C3="","",SUMIFS(Ledger!$K$2:$K$4, Ledger!$B$2:$B$4, $A3, Ledger!$C$2:$C$4, TGK$2)),"****")</f>
        <v/>
      </c>
      <c r="TGL3" t="str">
        <f>IFERROR(IF($C3="","",SUMIFS(Ledger!$K$2:$K$4, Ledger!$B$2:$B$4, $A3, Ledger!$C$2:$C$4, TGL$2)),"****")</f>
        <v/>
      </c>
      <c r="TGM3" t="str">
        <f>IFERROR(IF($C3="","",SUMIFS(Ledger!$K$2:$K$4, Ledger!$B$2:$B$4, $A3, Ledger!$C$2:$C$4, TGM$2)),"****")</f>
        <v/>
      </c>
      <c r="TGN3" t="str">
        <f>IFERROR(IF($C3="","",SUMIFS(Ledger!$K$2:$K$4, Ledger!$B$2:$B$4, $A3, Ledger!$C$2:$C$4, TGN$2)),"****")</f>
        <v/>
      </c>
      <c r="TGO3" t="str">
        <f>IFERROR(IF($C3="","",SUMIFS(Ledger!$K$2:$K$4, Ledger!$B$2:$B$4, $A3, Ledger!$C$2:$C$4, TGO$2)),"****")</f>
        <v/>
      </c>
      <c r="TGP3" t="str">
        <f>IFERROR(IF($C3="","",SUMIFS(Ledger!$K$2:$K$4, Ledger!$B$2:$B$4, $A3, Ledger!$C$2:$C$4, TGP$2)),"****")</f>
        <v/>
      </c>
      <c r="TGQ3" t="str">
        <f>IFERROR(IF($C3="","",SUMIFS(Ledger!$K$2:$K$4, Ledger!$B$2:$B$4, $A3, Ledger!$C$2:$C$4, TGQ$2)),"****")</f>
        <v/>
      </c>
      <c r="TGR3" t="str">
        <f>IFERROR(IF($C3="","",SUMIFS(Ledger!$K$2:$K$4, Ledger!$B$2:$B$4, $A3, Ledger!$C$2:$C$4, TGR$2)),"****")</f>
        <v/>
      </c>
      <c r="TGS3" t="str">
        <f>IFERROR(IF($C3="","",SUMIFS(Ledger!$K$2:$K$4, Ledger!$B$2:$B$4, $A3, Ledger!$C$2:$C$4, TGS$2)),"****")</f>
        <v/>
      </c>
      <c r="TGT3" t="str">
        <f>IFERROR(IF($C3="","",SUMIFS(Ledger!$K$2:$K$4, Ledger!$B$2:$B$4, $A3, Ledger!$C$2:$C$4, TGT$2)),"****")</f>
        <v/>
      </c>
      <c r="TGU3" t="str">
        <f>IFERROR(IF($C3="","",SUMIFS(Ledger!$K$2:$K$4, Ledger!$B$2:$B$4, $A3, Ledger!$C$2:$C$4, TGU$2)),"****")</f>
        <v/>
      </c>
      <c r="TGV3" t="str">
        <f>IFERROR(IF($C3="","",SUMIFS(Ledger!$K$2:$K$4, Ledger!$B$2:$B$4, $A3, Ledger!$C$2:$C$4, TGV$2)),"****")</f>
        <v/>
      </c>
      <c r="TGW3" t="str">
        <f>IFERROR(IF($C3="","",SUMIFS(Ledger!$K$2:$K$4, Ledger!$B$2:$B$4, $A3, Ledger!$C$2:$C$4, TGW$2)),"****")</f>
        <v/>
      </c>
      <c r="TGX3" t="str">
        <f>IFERROR(IF($C3="","",SUMIFS(Ledger!$K$2:$K$4, Ledger!$B$2:$B$4, $A3, Ledger!$C$2:$C$4, TGX$2)),"****")</f>
        <v/>
      </c>
      <c r="TGY3" t="str">
        <f>IFERROR(IF($C3="","",SUMIFS(Ledger!$K$2:$K$4, Ledger!$B$2:$B$4, $A3, Ledger!$C$2:$C$4, TGY$2)),"****")</f>
        <v/>
      </c>
      <c r="TGZ3" t="str">
        <f>IFERROR(IF($C3="","",SUMIFS(Ledger!$K$2:$K$4, Ledger!$B$2:$B$4, $A3, Ledger!$C$2:$C$4, TGZ$2)),"****")</f>
        <v/>
      </c>
      <c r="THA3" t="str">
        <f>IFERROR(IF($C3="","",SUMIFS(Ledger!$K$2:$K$4, Ledger!$B$2:$B$4, $A3, Ledger!$C$2:$C$4, THA$2)),"****")</f>
        <v/>
      </c>
      <c r="THB3" t="str">
        <f>IFERROR(IF($C3="","",SUMIFS(Ledger!$K$2:$K$4, Ledger!$B$2:$B$4, $A3, Ledger!$C$2:$C$4, THB$2)),"****")</f>
        <v/>
      </c>
      <c r="THC3" t="str">
        <f>IFERROR(IF($C3="","",SUMIFS(Ledger!$K$2:$K$4, Ledger!$B$2:$B$4, $A3, Ledger!$C$2:$C$4, THC$2)),"****")</f>
        <v/>
      </c>
      <c r="THD3" t="str">
        <f>IFERROR(IF($C3="","",SUMIFS(Ledger!$K$2:$K$4, Ledger!$B$2:$B$4, $A3, Ledger!$C$2:$C$4, THD$2)),"****")</f>
        <v/>
      </c>
      <c r="THE3" t="str">
        <f>IFERROR(IF($C3="","",SUMIFS(Ledger!$K$2:$K$4, Ledger!$B$2:$B$4, $A3, Ledger!$C$2:$C$4, THE$2)),"****")</f>
        <v/>
      </c>
      <c r="THF3" t="str">
        <f>IFERROR(IF($C3="","",SUMIFS(Ledger!$K$2:$K$4, Ledger!$B$2:$B$4, $A3, Ledger!$C$2:$C$4, THF$2)),"****")</f>
        <v/>
      </c>
      <c r="THG3" t="str">
        <f>IFERROR(IF($C3="","",SUMIFS(Ledger!$K$2:$K$4, Ledger!$B$2:$B$4, $A3, Ledger!$C$2:$C$4, THG$2)),"****")</f>
        <v/>
      </c>
      <c r="THH3" t="str">
        <f>IFERROR(IF($C3="","",SUMIFS(Ledger!$K$2:$K$4, Ledger!$B$2:$B$4, $A3, Ledger!$C$2:$C$4, THH$2)),"****")</f>
        <v/>
      </c>
      <c r="THI3" t="str">
        <f>IFERROR(IF($C3="","",SUMIFS(Ledger!$K$2:$K$4, Ledger!$B$2:$B$4, $A3, Ledger!$C$2:$C$4, THI$2)),"****")</f>
        <v/>
      </c>
      <c r="THJ3" t="str">
        <f>IFERROR(IF($C3="","",SUMIFS(Ledger!$K$2:$K$4, Ledger!$B$2:$B$4, $A3, Ledger!$C$2:$C$4, THJ$2)),"****")</f>
        <v/>
      </c>
      <c r="THK3" t="str">
        <f>IFERROR(IF($C3="","",SUMIFS(Ledger!$K$2:$K$4, Ledger!$B$2:$B$4, $A3, Ledger!$C$2:$C$4, THK$2)),"****")</f>
        <v/>
      </c>
      <c r="THL3" t="str">
        <f>IFERROR(IF($C3="","",SUMIFS(Ledger!$K$2:$K$4, Ledger!$B$2:$B$4, $A3, Ledger!$C$2:$C$4, THL$2)),"****")</f>
        <v/>
      </c>
      <c r="THM3" t="str">
        <f>IFERROR(IF($C3="","",SUMIFS(Ledger!$K$2:$K$4, Ledger!$B$2:$B$4, $A3, Ledger!$C$2:$C$4, THM$2)),"****")</f>
        <v/>
      </c>
      <c r="THN3" t="str">
        <f>IFERROR(IF($C3="","",SUMIFS(Ledger!$K$2:$K$4, Ledger!$B$2:$B$4, $A3, Ledger!$C$2:$C$4, THN$2)),"****")</f>
        <v/>
      </c>
      <c r="THO3" t="str">
        <f>IFERROR(IF($C3="","",SUMIFS(Ledger!$K$2:$K$4, Ledger!$B$2:$B$4, $A3, Ledger!$C$2:$C$4, THO$2)),"****")</f>
        <v/>
      </c>
      <c r="THP3" t="str">
        <f>IFERROR(IF($C3="","",SUMIFS(Ledger!$K$2:$K$4, Ledger!$B$2:$B$4, $A3, Ledger!$C$2:$C$4, THP$2)),"****")</f>
        <v/>
      </c>
      <c r="THQ3" t="str">
        <f>IFERROR(IF($C3="","",SUMIFS(Ledger!$K$2:$K$4, Ledger!$B$2:$B$4, $A3, Ledger!$C$2:$C$4, THQ$2)),"****")</f>
        <v/>
      </c>
      <c r="THR3" t="str">
        <f>IFERROR(IF($C3="","",SUMIFS(Ledger!$K$2:$K$4, Ledger!$B$2:$B$4, $A3, Ledger!$C$2:$C$4, THR$2)),"****")</f>
        <v/>
      </c>
      <c r="THS3" t="str">
        <f>IFERROR(IF($C3="","",SUMIFS(Ledger!$K$2:$K$4, Ledger!$B$2:$B$4, $A3, Ledger!$C$2:$C$4, THS$2)),"****")</f>
        <v/>
      </c>
      <c r="THT3" t="str">
        <f>IFERROR(IF($C3="","",SUMIFS(Ledger!$K$2:$K$4, Ledger!$B$2:$B$4, $A3, Ledger!$C$2:$C$4, THT$2)),"****")</f>
        <v/>
      </c>
      <c r="THU3" t="str">
        <f>IFERROR(IF($C3="","",SUMIFS(Ledger!$K$2:$K$4, Ledger!$B$2:$B$4, $A3, Ledger!$C$2:$C$4, THU$2)),"****")</f>
        <v/>
      </c>
      <c r="THV3" t="str">
        <f>IFERROR(IF($C3="","",SUMIFS(Ledger!$K$2:$K$4, Ledger!$B$2:$B$4, $A3, Ledger!$C$2:$C$4, THV$2)),"****")</f>
        <v/>
      </c>
      <c r="THW3" t="str">
        <f>IFERROR(IF($C3="","",SUMIFS(Ledger!$K$2:$K$4, Ledger!$B$2:$B$4, $A3, Ledger!$C$2:$C$4, THW$2)),"****")</f>
        <v/>
      </c>
      <c r="THX3" t="str">
        <f>IFERROR(IF($C3="","",SUMIFS(Ledger!$K$2:$K$4, Ledger!$B$2:$B$4, $A3, Ledger!$C$2:$C$4, THX$2)),"****")</f>
        <v/>
      </c>
      <c r="THY3" t="str">
        <f>IFERROR(IF($C3="","",SUMIFS(Ledger!$K$2:$K$4, Ledger!$B$2:$B$4, $A3, Ledger!$C$2:$C$4, THY$2)),"****")</f>
        <v/>
      </c>
      <c r="THZ3" t="str">
        <f>IFERROR(IF($C3="","",SUMIFS(Ledger!$K$2:$K$4, Ledger!$B$2:$B$4, $A3, Ledger!$C$2:$C$4, THZ$2)),"****")</f>
        <v/>
      </c>
      <c r="TIA3" t="str">
        <f>IFERROR(IF($C3="","",SUMIFS(Ledger!$K$2:$K$4, Ledger!$B$2:$B$4, $A3, Ledger!$C$2:$C$4, TIA$2)),"****")</f>
        <v/>
      </c>
      <c r="TIB3" t="str">
        <f>IFERROR(IF($C3="","",SUMIFS(Ledger!$K$2:$K$4, Ledger!$B$2:$B$4, $A3, Ledger!$C$2:$C$4, TIB$2)),"****")</f>
        <v/>
      </c>
      <c r="TIC3" t="str">
        <f>IFERROR(IF($C3="","",SUMIFS(Ledger!$K$2:$K$4, Ledger!$B$2:$B$4, $A3, Ledger!$C$2:$C$4, TIC$2)),"****")</f>
        <v/>
      </c>
      <c r="TID3" t="str">
        <f>IFERROR(IF($C3="","",SUMIFS(Ledger!$K$2:$K$4, Ledger!$B$2:$B$4, $A3, Ledger!$C$2:$C$4, TID$2)),"****")</f>
        <v/>
      </c>
      <c r="TIE3" t="str">
        <f>IFERROR(IF($C3="","",SUMIFS(Ledger!$K$2:$K$4, Ledger!$B$2:$B$4, $A3, Ledger!$C$2:$C$4, TIE$2)),"****")</f>
        <v/>
      </c>
      <c r="TIF3" t="str">
        <f>IFERROR(IF($C3="","",SUMIFS(Ledger!$K$2:$K$4, Ledger!$B$2:$B$4, $A3, Ledger!$C$2:$C$4, TIF$2)),"****")</f>
        <v/>
      </c>
      <c r="TIG3" t="str">
        <f>IFERROR(IF($C3="","",SUMIFS(Ledger!$K$2:$K$4, Ledger!$B$2:$B$4, $A3, Ledger!$C$2:$C$4, TIG$2)),"****")</f>
        <v/>
      </c>
      <c r="TIH3" t="str">
        <f>IFERROR(IF($C3="","",SUMIFS(Ledger!$K$2:$K$4, Ledger!$B$2:$B$4, $A3, Ledger!$C$2:$C$4, TIH$2)),"****")</f>
        <v/>
      </c>
      <c r="TII3" t="str">
        <f>IFERROR(IF($C3="","",SUMIFS(Ledger!$K$2:$K$4, Ledger!$B$2:$B$4, $A3, Ledger!$C$2:$C$4, TII$2)),"****")</f>
        <v/>
      </c>
      <c r="TIJ3" t="str">
        <f>IFERROR(IF($C3="","",SUMIFS(Ledger!$K$2:$K$4, Ledger!$B$2:$B$4, $A3, Ledger!$C$2:$C$4, TIJ$2)),"****")</f>
        <v/>
      </c>
      <c r="TIK3" t="str">
        <f>IFERROR(IF($C3="","",SUMIFS(Ledger!$K$2:$K$4, Ledger!$B$2:$B$4, $A3, Ledger!$C$2:$C$4, TIK$2)),"****")</f>
        <v/>
      </c>
      <c r="TIL3" t="str">
        <f>IFERROR(IF($C3="","",SUMIFS(Ledger!$K$2:$K$4, Ledger!$B$2:$B$4, $A3, Ledger!$C$2:$C$4, TIL$2)),"****")</f>
        <v/>
      </c>
      <c r="TIM3" t="str">
        <f>IFERROR(IF($C3="","",SUMIFS(Ledger!$K$2:$K$4, Ledger!$B$2:$B$4, $A3, Ledger!$C$2:$C$4, TIM$2)),"****")</f>
        <v/>
      </c>
      <c r="TIN3" t="str">
        <f>IFERROR(IF($C3="","",SUMIFS(Ledger!$K$2:$K$4, Ledger!$B$2:$B$4, $A3, Ledger!$C$2:$C$4, TIN$2)),"****")</f>
        <v/>
      </c>
      <c r="TIO3" t="str">
        <f>IFERROR(IF($C3="","",SUMIFS(Ledger!$K$2:$K$4, Ledger!$B$2:$B$4, $A3, Ledger!$C$2:$C$4, TIO$2)),"****")</f>
        <v/>
      </c>
      <c r="TIP3" t="str">
        <f>IFERROR(IF($C3="","",SUMIFS(Ledger!$K$2:$K$4, Ledger!$B$2:$B$4, $A3, Ledger!$C$2:$C$4, TIP$2)),"****")</f>
        <v/>
      </c>
      <c r="TIQ3" t="str">
        <f>IFERROR(IF($C3="","",SUMIFS(Ledger!$K$2:$K$4, Ledger!$B$2:$B$4, $A3, Ledger!$C$2:$C$4, TIQ$2)),"****")</f>
        <v/>
      </c>
      <c r="TIR3" t="str">
        <f>IFERROR(IF($C3="","",SUMIFS(Ledger!$K$2:$K$4, Ledger!$B$2:$B$4, $A3, Ledger!$C$2:$C$4, TIR$2)),"****")</f>
        <v/>
      </c>
      <c r="TIS3" t="str">
        <f>IFERROR(IF($C3="","",SUMIFS(Ledger!$K$2:$K$4, Ledger!$B$2:$B$4, $A3, Ledger!$C$2:$C$4, TIS$2)),"****")</f>
        <v/>
      </c>
      <c r="TIT3" t="str">
        <f>IFERROR(IF($C3="","",SUMIFS(Ledger!$K$2:$K$4, Ledger!$B$2:$B$4, $A3, Ledger!$C$2:$C$4, TIT$2)),"****")</f>
        <v/>
      </c>
      <c r="TIU3" t="str">
        <f>IFERROR(IF($C3="","",SUMIFS(Ledger!$K$2:$K$4, Ledger!$B$2:$B$4, $A3, Ledger!$C$2:$C$4, TIU$2)),"****")</f>
        <v/>
      </c>
      <c r="TIV3" t="str">
        <f>IFERROR(IF($C3="","",SUMIFS(Ledger!$K$2:$K$4, Ledger!$B$2:$B$4, $A3, Ledger!$C$2:$C$4, TIV$2)),"****")</f>
        <v/>
      </c>
      <c r="TIW3" t="str">
        <f>IFERROR(IF($C3="","",SUMIFS(Ledger!$K$2:$K$4, Ledger!$B$2:$B$4, $A3, Ledger!$C$2:$C$4, TIW$2)),"****")</f>
        <v/>
      </c>
      <c r="TIX3" t="str">
        <f>IFERROR(IF($C3="","",SUMIFS(Ledger!$K$2:$K$4, Ledger!$B$2:$B$4, $A3, Ledger!$C$2:$C$4, TIX$2)),"****")</f>
        <v/>
      </c>
      <c r="TIY3" t="str">
        <f>IFERROR(IF($C3="","",SUMIFS(Ledger!$K$2:$K$4, Ledger!$B$2:$B$4, $A3, Ledger!$C$2:$C$4, TIY$2)),"****")</f>
        <v/>
      </c>
      <c r="TIZ3" t="str">
        <f>IFERROR(IF($C3="","",SUMIFS(Ledger!$K$2:$K$4, Ledger!$B$2:$B$4, $A3, Ledger!$C$2:$C$4, TIZ$2)),"****")</f>
        <v/>
      </c>
      <c r="TJA3" t="str">
        <f>IFERROR(IF($C3="","",SUMIFS(Ledger!$K$2:$K$4, Ledger!$B$2:$B$4, $A3, Ledger!$C$2:$C$4, TJA$2)),"****")</f>
        <v/>
      </c>
      <c r="TJB3" t="str">
        <f>IFERROR(IF($C3="","",SUMIFS(Ledger!$K$2:$K$4, Ledger!$B$2:$B$4, $A3, Ledger!$C$2:$C$4, TJB$2)),"****")</f>
        <v/>
      </c>
      <c r="TJC3" t="str">
        <f>IFERROR(IF($C3="","",SUMIFS(Ledger!$K$2:$K$4, Ledger!$B$2:$B$4, $A3, Ledger!$C$2:$C$4, TJC$2)),"****")</f>
        <v/>
      </c>
      <c r="TJD3" t="str">
        <f>IFERROR(IF($C3="","",SUMIFS(Ledger!$K$2:$K$4, Ledger!$B$2:$B$4, $A3, Ledger!$C$2:$C$4, TJD$2)),"****")</f>
        <v/>
      </c>
      <c r="TJE3" t="str">
        <f>IFERROR(IF($C3="","",SUMIFS(Ledger!$K$2:$K$4, Ledger!$B$2:$B$4, $A3, Ledger!$C$2:$C$4, TJE$2)),"****")</f>
        <v/>
      </c>
      <c r="TJF3" t="str">
        <f>IFERROR(IF($C3="","",SUMIFS(Ledger!$K$2:$K$4, Ledger!$B$2:$B$4, $A3, Ledger!$C$2:$C$4, TJF$2)),"****")</f>
        <v/>
      </c>
      <c r="TJG3" t="str">
        <f>IFERROR(IF($C3="","",SUMIFS(Ledger!$K$2:$K$4, Ledger!$B$2:$B$4, $A3, Ledger!$C$2:$C$4, TJG$2)),"****")</f>
        <v/>
      </c>
      <c r="TJH3" t="str">
        <f>IFERROR(IF($C3="","",SUMIFS(Ledger!$K$2:$K$4, Ledger!$B$2:$B$4, $A3, Ledger!$C$2:$C$4, TJH$2)),"****")</f>
        <v/>
      </c>
      <c r="TJI3" t="str">
        <f>IFERROR(IF($C3="","",SUMIFS(Ledger!$K$2:$K$4, Ledger!$B$2:$B$4, $A3, Ledger!$C$2:$C$4, TJI$2)),"****")</f>
        <v/>
      </c>
      <c r="TJJ3" t="str">
        <f>IFERROR(IF($C3="","",SUMIFS(Ledger!$K$2:$K$4, Ledger!$B$2:$B$4, $A3, Ledger!$C$2:$C$4, TJJ$2)),"****")</f>
        <v/>
      </c>
      <c r="TJK3" t="str">
        <f>IFERROR(IF($C3="","",SUMIFS(Ledger!$K$2:$K$4, Ledger!$B$2:$B$4, $A3, Ledger!$C$2:$C$4, TJK$2)),"****")</f>
        <v/>
      </c>
      <c r="TJL3" t="str">
        <f>IFERROR(IF($C3="","",SUMIFS(Ledger!$K$2:$K$4, Ledger!$B$2:$B$4, $A3, Ledger!$C$2:$C$4, TJL$2)),"****")</f>
        <v/>
      </c>
      <c r="TJM3" t="str">
        <f>IFERROR(IF($C3="","",SUMIFS(Ledger!$K$2:$K$4, Ledger!$B$2:$B$4, $A3, Ledger!$C$2:$C$4, TJM$2)),"****")</f>
        <v/>
      </c>
      <c r="TJN3" t="str">
        <f>IFERROR(IF($C3="","",SUMIFS(Ledger!$K$2:$K$4, Ledger!$B$2:$B$4, $A3, Ledger!$C$2:$C$4, TJN$2)),"****")</f>
        <v/>
      </c>
      <c r="TJO3" t="str">
        <f>IFERROR(IF($C3="","",SUMIFS(Ledger!$K$2:$K$4, Ledger!$B$2:$B$4, $A3, Ledger!$C$2:$C$4, TJO$2)),"****")</f>
        <v/>
      </c>
      <c r="TJP3" t="str">
        <f>IFERROR(IF($C3="","",SUMIFS(Ledger!$K$2:$K$4, Ledger!$B$2:$B$4, $A3, Ledger!$C$2:$C$4, TJP$2)),"****")</f>
        <v/>
      </c>
      <c r="TJQ3" t="str">
        <f>IFERROR(IF($C3="","",SUMIFS(Ledger!$K$2:$K$4, Ledger!$B$2:$B$4, $A3, Ledger!$C$2:$C$4, TJQ$2)),"****")</f>
        <v/>
      </c>
      <c r="TJR3" t="str">
        <f>IFERROR(IF($C3="","",SUMIFS(Ledger!$K$2:$K$4, Ledger!$B$2:$B$4, $A3, Ledger!$C$2:$C$4, TJR$2)),"****")</f>
        <v/>
      </c>
      <c r="TJS3" t="str">
        <f>IFERROR(IF($C3="","",SUMIFS(Ledger!$K$2:$K$4, Ledger!$B$2:$B$4, $A3, Ledger!$C$2:$C$4, TJS$2)),"****")</f>
        <v/>
      </c>
      <c r="TJT3" t="str">
        <f>IFERROR(IF($C3="","",SUMIFS(Ledger!$K$2:$K$4, Ledger!$B$2:$B$4, $A3, Ledger!$C$2:$C$4, TJT$2)),"****")</f>
        <v/>
      </c>
      <c r="TJU3" t="str">
        <f>IFERROR(IF($C3="","",SUMIFS(Ledger!$K$2:$K$4, Ledger!$B$2:$B$4, $A3, Ledger!$C$2:$C$4, TJU$2)),"****")</f>
        <v/>
      </c>
      <c r="TJV3" t="str">
        <f>IFERROR(IF($C3="","",SUMIFS(Ledger!$K$2:$K$4, Ledger!$B$2:$B$4, $A3, Ledger!$C$2:$C$4, TJV$2)),"****")</f>
        <v/>
      </c>
      <c r="TJW3" t="str">
        <f>IFERROR(IF($C3="","",SUMIFS(Ledger!$K$2:$K$4, Ledger!$B$2:$B$4, $A3, Ledger!$C$2:$C$4, TJW$2)),"****")</f>
        <v/>
      </c>
      <c r="TJX3" t="str">
        <f>IFERROR(IF($C3="","",SUMIFS(Ledger!$K$2:$K$4, Ledger!$B$2:$B$4, $A3, Ledger!$C$2:$C$4, TJX$2)),"****")</f>
        <v/>
      </c>
      <c r="TJY3" t="str">
        <f>IFERROR(IF($C3="","",SUMIFS(Ledger!$K$2:$K$4, Ledger!$B$2:$B$4, $A3, Ledger!$C$2:$C$4, TJY$2)),"****")</f>
        <v/>
      </c>
      <c r="TJZ3" t="str">
        <f>IFERROR(IF($C3="","",SUMIFS(Ledger!$K$2:$K$4, Ledger!$B$2:$B$4, $A3, Ledger!$C$2:$C$4, TJZ$2)),"****")</f>
        <v/>
      </c>
      <c r="TKA3" t="str">
        <f>IFERROR(IF($C3="","",SUMIFS(Ledger!$K$2:$K$4, Ledger!$B$2:$B$4, $A3, Ledger!$C$2:$C$4, TKA$2)),"****")</f>
        <v/>
      </c>
      <c r="TKB3" t="str">
        <f>IFERROR(IF($C3="","",SUMIFS(Ledger!$K$2:$K$4, Ledger!$B$2:$B$4, $A3, Ledger!$C$2:$C$4, TKB$2)),"****")</f>
        <v/>
      </c>
      <c r="TKC3" t="str">
        <f>IFERROR(IF($C3="","",SUMIFS(Ledger!$K$2:$K$4, Ledger!$B$2:$B$4, $A3, Ledger!$C$2:$C$4, TKC$2)),"****")</f>
        <v/>
      </c>
      <c r="TKD3" t="str">
        <f>IFERROR(IF($C3="","",SUMIFS(Ledger!$K$2:$K$4, Ledger!$B$2:$B$4, $A3, Ledger!$C$2:$C$4, TKD$2)),"****")</f>
        <v/>
      </c>
      <c r="TKE3" t="str">
        <f>IFERROR(IF($C3="","",SUMIFS(Ledger!$K$2:$K$4, Ledger!$B$2:$B$4, $A3, Ledger!$C$2:$C$4, TKE$2)),"****")</f>
        <v/>
      </c>
      <c r="TKF3" t="str">
        <f>IFERROR(IF($C3="","",SUMIFS(Ledger!$K$2:$K$4, Ledger!$B$2:$B$4, $A3, Ledger!$C$2:$C$4, TKF$2)),"****")</f>
        <v/>
      </c>
      <c r="TKG3" t="str">
        <f>IFERROR(IF($C3="","",SUMIFS(Ledger!$K$2:$K$4, Ledger!$B$2:$B$4, $A3, Ledger!$C$2:$C$4, TKG$2)),"****")</f>
        <v/>
      </c>
      <c r="TKH3" t="str">
        <f>IFERROR(IF($C3="","",SUMIFS(Ledger!$K$2:$K$4, Ledger!$B$2:$B$4, $A3, Ledger!$C$2:$C$4, TKH$2)),"****")</f>
        <v/>
      </c>
      <c r="TKI3" t="str">
        <f>IFERROR(IF($C3="","",SUMIFS(Ledger!$K$2:$K$4, Ledger!$B$2:$B$4, $A3, Ledger!$C$2:$C$4, TKI$2)),"****")</f>
        <v/>
      </c>
      <c r="TKJ3" t="str">
        <f>IFERROR(IF($C3="","",SUMIFS(Ledger!$K$2:$K$4, Ledger!$B$2:$B$4, $A3, Ledger!$C$2:$C$4, TKJ$2)),"****")</f>
        <v/>
      </c>
      <c r="TKK3" t="str">
        <f>IFERROR(IF($C3="","",SUMIFS(Ledger!$K$2:$K$4, Ledger!$B$2:$B$4, $A3, Ledger!$C$2:$C$4, TKK$2)),"****")</f>
        <v/>
      </c>
      <c r="TKL3" t="str">
        <f>IFERROR(IF($C3="","",SUMIFS(Ledger!$K$2:$K$4, Ledger!$B$2:$B$4, $A3, Ledger!$C$2:$C$4, TKL$2)),"****")</f>
        <v/>
      </c>
      <c r="TKM3" t="str">
        <f>IFERROR(IF($C3="","",SUMIFS(Ledger!$K$2:$K$4, Ledger!$B$2:$B$4, $A3, Ledger!$C$2:$C$4, TKM$2)),"****")</f>
        <v/>
      </c>
      <c r="TKN3" t="str">
        <f>IFERROR(IF($C3="","",SUMIFS(Ledger!$K$2:$K$4, Ledger!$B$2:$B$4, $A3, Ledger!$C$2:$C$4, TKN$2)),"****")</f>
        <v/>
      </c>
      <c r="TKO3" t="str">
        <f>IFERROR(IF($C3="","",SUMIFS(Ledger!$K$2:$K$4, Ledger!$B$2:$B$4, $A3, Ledger!$C$2:$C$4, TKO$2)),"****")</f>
        <v/>
      </c>
      <c r="TKP3" t="str">
        <f>IFERROR(IF($C3="","",SUMIFS(Ledger!$K$2:$K$4, Ledger!$B$2:$B$4, $A3, Ledger!$C$2:$C$4, TKP$2)),"****")</f>
        <v/>
      </c>
      <c r="TKQ3" t="str">
        <f>IFERROR(IF($C3="","",SUMIFS(Ledger!$K$2:$K$4, Ledger!$B$2:$B$4, $A3, Ledger!$C$2:$C$4, TKQ$2)),"****")</f>
        <v/>
      </c>
      <c r="TKR3" t="str">
        <f>IFERROR(IF($C3="","",SUMIFS(Ledger!$K$2:$K$4, Ledger!$B$2:$B$4, $A3, Ledger!$C$2:$C$4, TKR$2)),"****")</f>
        <v/>
      </c>
      <c r="TKS3" t="str">
        <f>IFERROR(IF($C3="","",SUMIFS(Ledger!$K$2:$K$4, Ledger!$B$2:$B$4, $A3, Ledger!$C$2:$C$4, TKS$2)),"****")</f>
        <v/>
      </c>
      <c r="TKT3" t="str">
        <f>IFERROR(IF($C3="","",SUMIFS(Ledger!$K$2:$K$4, Ledger!$B$2:$B$4, $A3, Ledger!$C$2:$C$4, TKT$2)),"****")</f>
        <v/>
      </c>
      <c r="TKU3" t="str">
        <f>IFERROR(IF($C3="","",SUMIFS(Ledger!$K$2:$K$4, Ledger!$B$2:$B$4, $A3, Ledger!$C$2:$C$4, TKU$2)),"****")</f>
        <v/>
      </c>
      <c r="TKV3" t="str">
        <f>IFERROR(IF($C3="","",SUMIFS(Ledger!$K$2:$K$4, Ledger!$B$2:$B$4, $A3, Ledger!$C$2:$C$4, TKV$2)),"****")</f>
        <v/>
      </c>
      <c r="TKW3" t="str">
        <f>IFERROR(IF($C3="","",SUMIFS(Ledger!$K$2:$K$4, Ledger!$B$2:$B$4, $A3, Ledger!$C$2:$C$4, TKW$2)),"****")</f>
        <v/>
      </c>
      <c r="TKX3" t="str">
        <f>IFERROR(IF($C3="","",SUMIFS(Ledger!$K$2:$K$4, Ledger!$B$2:$B$4, $A3, Ledger!$C$2:$C$4, TKX$2)),"****")</f>
        <v/>
      </c>
      <c r="TKY3" t="str">
        <f>IFERROR(IF($C3="","",SUMIFS(Ledger!$K$2:$K$4, Ledger!$B$2:$B$4, $A3, Ledger!$C$2:$C$4, TKY$2)),"****")</f>
        <v/>
      </c>
      <c r="TKZ3" t="str">
        <f>IFERROR(IF($C3="","",SUMIFS(Ledger!$K$2:$K$4, Ledger!$B$2:$B$4, $A3, Ledger!$C$2:$C$4, TKZ$2)),"****")</f>
        <v/>
      </c>
      <c r="TLA3" t="str">
        <f>IFERROR(IF($C3="","",SUMIFS(Ledger!$K$2:$K$4, Ledger!$B$2:$B$4, $A3, Ledger!$C$2:$C$4, TLA$2)),"****")</f>
        <v/>
      </c>
      <c r="TLB3" t="str">
        <f>IFERROR(IF($C3="","",SUMIFS(Ledger!$K$2:$K$4, Ledger!$B$2:$B$4, $A3, Ledger!$C$2:$C$4, TLB$2)),"****")</f>
        <v/>
      </c>
      <c r="TLC3" t="str">
        <f>IFERROR(IF($C3="","",SUMIFS(Ledger!$K$2:$K$4, Ledger!$B$2:$B$4, $A3, Ledger!$C$2:$C$4, TLC$2)),"****")</f>
        <v/>
      </c>
      <c r="TLD3" t="str">
        <f>IFERROR(IF($C3="","",SUMIFS(Ledger!$K$2:$K$4, Ledger!$B$2:$B$4, $A3, Ledger!$C$2:$C$4, TLD$2)),"****")</f>
        <v/>
      </c>
      <c r="TLE3" t="str">
        <f>IFERROR(IF($C3="","",SUMIFS(Ledger!$K$2:$K$4, Ledger!$B$2:$B$4, $A3, Ledger!$C$2:$C$4, TLE$2)),"****")</f>
        <v/>
      </c>
      <c r="TLF3" t="str">
        <f>IFERROR(IF($C3="","",SUMIFS(Ledger!$K$2:$K$4, Ledger!$B$2:$B$4, $A3, Ledger!$C$2:$C$4, TLF$2)),"****")</f>
        <v/>
      </c>
      <c r="TLG3" t="str">
        <f>IFERROR(IF($C3="","",SUMIFS(Ledger!$K$2:$K$4, Ledger!$B$2:$B$4, $A3, Ledger!$C$2:$C$4, TLG$2)),"****")</f>
        <v/>
      </c>
      <c r="TLH3" t="str">
        <f>IFERROR(IF($C3="","",SUMIFS(Ledger!$K$2:$K$4, Ledger!$B$2:$B$4, $A3, Ledger!$C$2:$C$4, TLH$2)),"****")</f>
        <v/>
      </c>
      <c r="TLI3" t="str">
        <f>IFERROR(IF($C3="","",SUMIFS(Ledger!$K$2:$K$4, Ledger!$B$2:$B$4, $A3, Ledger!$C$2:$C$4, TLI$2)),"****")</f>
        <v/>
      </c>
      <c r="TLJ3" t="str">
        <f>IFERROR(IF($C3="","",SUMIFS(Ledger!$K$2:$K$4, Ledger!$B$2:$B$4, $A3, Ledger!$C$2:$C$4, TLJ$2)),"****")</f>
        <v/>
      </c>
      <c r="TLK3" t="str">
        <f>IFERROR(IF($C3="","",SUMIFS(Ledger!$K$2:$K$4, Ledger!$B$2:$B$4, $A3, Ledger!$C$2:$C$4, TLK$2)),"****")</f>
        <v/>
      </c>
      <c r="TLL3" t="str">
        <f>IFERROR(IF($C3="","",SUMIFS(Ledger!$K$2:$K$4, Ledger!$B$2:$B$4, $A3, Ledger!$C$2:$C$4, TLL$2)),"****")</f>
        <v/>
      </c>
      <c r="TLM3" t="str">
        <f>IFERROR(IF($C3="","",SUMIFS(Ledger!$K$2:$K$4, Ledger!$B$2:$B$4, $A3, Ledger!$C$2:$C$4, TLM$2)),"****")</f>
        <v/>
      </c>
      <c r="TLN3" t="str">
        <f>IFERROR(IF($C3="","",SUMIFS(Ledger!$K$2:$K$4, Ledger!$B$2:$B$4, $A3, Ledger!$C$2:$C$4, TLN$2)),"****")</f>
        <v/>
      </c>
      <c r="TLO3" t="str">
        <f>IFERROR(IF($C3="","",SUMIFS(Ledger!$K$2:$K$4, Ledger!$B$2:$B$4, $A3, Ledger!$C$2:$C$4, TLO$2)),"****")</f>
        <v/>
      </c>
      <c r="TLP3" t="str">
        <f>IFERROR(IF($C3="","",SUMIFS(Ledger!$K$2:$K$4, Ledger!$B$2:$B$4, $A3, Ledger!$C$2:$C$4, TLP$2)),"****")</f>
        <v/>
      </c>
      <c r="TLQ3" t="str">
        <f>IFERROR(IF($C3="","",SUMIFS(Ledger!$K$2:$K$4, Ledger!$B$2:$B$4, $A3, Ledger!$C$2:$C$4, TLQ$2)),"****")</f>
        <v/>
      </c>
      <c r="TLR3" t="str">
        <f>IFERROR(IF($C3="","",SUMIFS(Ledger!$K$2:$K$4, Ledger!$B$2:$B$4, $A3, Ledger!$C$2:$C$4, TLR$2)),"****")</f>
        <v/>
      </c>
      <c r="TLS3" t="str">
        <f>IFERROR(IF($C3="","",SUMIFS(Ledger!$K$2:$K$4, Ledger!$B$2:$B$4, $A3, Ledger!$C$2:$C$4, TLS$2)),"****")</f>
        <v/>
      </c>
      <c r="TLT3" t="str">
        <f>IFERROR(IF($C3="","",SUMIFS(Ledger!$K$2:$K$4, Ledger!$B$2:$B$4, $A3, Ledger!$C$2:$C$4, TLT$2)),"****")</f>
        <v/>
      </c>
      <c r="TLU3" t="str">
        <f>IFERROR(IF($C3="","",SUMIFS(Ledger!$K$2:$K$4, Ledger!$B$2:$B$4, $A3, Ledger!$C$2:$C$4, TLU$2)),"****")</f>
        <v/>
      </c>
      <c r="TLV3" t="str">
        <f>IFERROR(IF($C3="","",SUMIFS(Ledger!$K$2:$K$4, Ledger!$B$2:$B$4, $A3, Ledger!$C$2:$C$4, TLV$2)),"****")</f>
        <v/>
      </c>
      <c r="TLW3" t="str">
        <f>IFERROR(IF($C3="","",SUMIFS(Ledger!$K$2:$K$4, Ledger!$B$2:$B$4, $A3, Ledger!$C$2:$C$4, TLW$2)),"****")</f>
        <v/>
      </c>
      <c r="TLX3" t="str">
        <f>IFERROR(IF($C3="","",SUMIFS(Ledger!$K$2:$K$4, Ledger!$B$2:$B$4, $A3, Ledger!$C$2:$C$4, TLX$2)),"****")</f>
        <v/>
      </c>
      <c r="TLY3" t="str">
        <f>IFERROR(IF($C3="","",SUMIFS(Ledger!$K$2:$K$4, Ledger!$B$2:$B$4, $A3, Ledger!$C$2:$C$4, TLY$2)),"****")</f>
        <v/>
      </c>
      <c r="TLZ3" t="str">
        <f>IFERROR(IF($C3="","",SUMIFS(Ledger!$K$2:$K$4, Ledger!$B$2:$B$4, $A3, Ledger!$C$2:$C$4, TLZ$2)),"****")</f>
        <v/>
      </c>
      <c r="TMA3" t="str">
        <f>IFERROR(IF($C3="","",SUMIFS(Ledger!$K$2:$K$4, Ledger!$B$2:$B$4, $A3, Ledger!$C$2:$C$4, TMA$2)),"****")</f>
        <v/>
      </c>
      <c r="TMB3" t="str">
        <f>IFERROR(IF($C3="","",SUMIFS(Ledger!$K$2:$K$4, Ledger!$B$2:$B$4, $A3, Ledger!$C$2:$C$4, TMB$2)),"****")</f>
        <v/>
      </c>
      <c r="TMC3" t="str">
        <f>IFERROR(IF($C3="","",SUMIFS(Ledger!$K$2:$K$4, Ledger!$B$2:$B$4, $A3, Ledger!$C$2:$C$4, TMC$2)),"****")</f>
        <v/>
      </c>
      <c r="TMD3" t="str">
        <f>IFERROR(IF($C3="","",SUMIFS(Ledger!$K$2:$K$4, Ledger!$B$2:$B$4, $A3, Ledger!$C$2:$C$4, TMD$2)),"****")</f>
        <v/>
      </c>
      <c r="TME3" t="str">
        <f>IFERROR(IF($C3="","",SUMIFS(Ledger!$K$2:$K$4, Ledger!$B$2:$B$4, $A3, Ledger!$C$2:$C$4, TME$2)),"****")</f>
        <v/>
      </c>
      <c r="TMF3" t="str">
        <f>IFERROR(IF($C3="","",SUMIFS(Ledger!$K$2:$K$4, Ledger!$B$2:$B$4, $A3, Ledger!$C$2:$C$4, TMF$2)),"****")</f>
        <v/>
      </c>
      <c r="TMG3" t="str">
        <f>IFERROR(IF($C3="","",SUMIFS(Ledger!$K$2:$K$4, Ledger!$B$2:$B$4, $A3, Ledger!$C$2:$C$4, TMG$2)),"****")</f>
        <v/>
      </c>
      <c r="TMH3" t="str">
        <f>IFERROR(IF($C3="","",SUMIFS(Ledger!$K$2:$K$4, Ledger!$B$2:$B$4, $A3, Ledger!$C$2:$C$4, TMH$2)),"****")</f>
        <v/>
      </c>
      <c r="TMI3" t="str">
        <f>IFERROR(IF($C3="","",SUMIFS(Ledger!$K$2:$K$4, Ledger!$B$2:$B$4, $A3, Ledger!$C$2:$C$4, TMI$2)),"****")</f>
        <v/>
      </c>
      <c r="TMJ3" t="str">
        <f>IFERROR(IF($C3="","",SUMIFS(Ledger!$K$2:$K$4, Ledger!$B$2:$B$4, $A3, Ledger!$C$2:$C$4, TMJ$2)),"****")</f>
        <v/>
      </c>
      <c r="TMK3" t="str">
        <f>IFERROR(IF($C3="","",SUMIFS(Ledger!$K$2:$K$4, Ledger!$B$2:$B$4, $A3, Ledger!$C$2:$C$4, TMK$2)),"****")</f>
        <v/>
      </c>
      <c r="TML3" t="str">
        <f>IFERROR(IF($C3="","",SUMIFS(Ledger!$K$2:$K$4, Ledger!$B$2:$B$4, $A3, Ledger!$C$2:$C$4, TML$2)),"****")</f>
        <v/>
      </c>
      <c r="TMM3" t="str">
        <f>IFERROR(IF($C3="","",SUMIFS(Ledger!$K$2:$K$4, Ledger!$B$2:$B$4, $A3, Ledger!$C$2:$C$4, TMM$2)),"****")</f>
        <v/>
      </c>
      <c r="TMN3" t="str">
        <f>IFERROR(IF($C3="","",SUMIFS(Ledger!$K$2:$K$4, Ledger!$B$2:$B$4, $A3, Ledger!$C$2:$C$4, TMN$2)),"****")</f>
        <v/>
      </c>
      <c r="TMO3" t="str">
        <f>IFERROR(IF($C3="","",SUMIFS(Ledger!$K$2:$K$4, Ledger!$B$2:$B$4, $A3, Ledger!$C$2:$C$4, TMO$2)),"****")</f>
        <v/>
      </c>
      <c r="TMP3" t="str">
        <f>IFERROR(IF($C3="","",SUMIFS(Ledger!$K$2:$K$4, Ledger!$B$2:$B$4, $A3, Ledger!$C$2:$C$4, TMP$2)),"****")</f>
        <v/>
      </c>
      <c r="TMQ3" t="str">
        <f>IFERROR(IF($C3="","",SUMIFS(Ledger!$K$2:$K$4, Ledger!$B$2:$B$4, $A3, Ledger!$C$2:$C$4, TMQ$2)),"****")</f>
        <v/>
      </c>
      <c r="TMR3" t="str">
        <f>IFERROR(IF($C3="","",SUMIFS(Ledger!$K$2:$K$4, Ledger!$B$2:$B$4, $A3, Ledger!$C$2:$C$4, TMR$2)),"****")</f>
        <v/>
      </c>
      <c r="TMS3" t="str">
        <f>IFERROR(IF($C3="","",SUMIFS(Ledger!$K$2:$K$4, Ledger!$B$2:$B$4, $A3, Ledger!$C$2:$C$4, TMS$2)),"****")</f>
        <v/>
      </c>
      <c r="TMT3" t="str">
        <f>IFERROR(IF($C3="","",SUMIFS(Ledger!$K$2:$K$4, Ledger!$B$2:$B$4, $A3, Ledger!$C$2:$C$4, TMT$2)),"****")</f>
        <v/>
      </c>
      <c r="TMU3" t="str">
        <f>IFERROR(IF($C3="","",SUMIFS(Ledger!$K$2:$K$4, Ledger!$B$2:$B$4, $A3, Ledger!$C$2:$C$4, TMU$2)),"****")</f>
        <v/>
      </c>
      <c r="TMV3" t="str">
        <f>IFERROR(IF($C3="","",SUMIFS(Ledger!$K$2:$K$4, Ledger!$B$2:$B$4, $A3, Ledger!$C$2:$C$4, TMV$2)),"****")</f>
        <v/>
      </c>
      <c r="TMW3" t="str">
        <f>IFERROR(IF($C3="","",SUMIFS(Ledger!$K$2:$K$4, Ledger!$B$2:$B$4, $A3, Ledger!$C$2:$C$4, TMW$2)),"****")</f>
        <v/>
      </c>
      <c r="TMX3" t="str">
        <f>IFERROR(IF($C3="","",SUMIFS(Ledger!$K$2:$K$4, Ledger!$B$2:$B$4, $A3, Ledger!$C$2:$C$4, TMX$2)),"****")</f>
        <v/>
      </c>
      <c r="TMY3" t="str">
        <f>IFERROR(IF($C3="","",SUMIFS(Ledger!$K$2:$K$4, Ledger!$B$2:$B$4, $A3, Ledger!$C$2:$C$4, TMY$2)),"****")</f>
        <v/>
      </c>
      <c r="TMZ3" t="str">
        <f>IFERROR(IF($C3="","",SUMIFS(Ledger!$K$2:$K$4, Ledger!$B$2:$B$4, $A3, Ledger!$C$2:$C$4, TMZ$2)),"****")</f>
        <v/>
      </c>
      <c r="TNA3" t="str">
        <f>IFERROR(IF($C3="","",SUMIFS(Ledger!$K$2:$K$4, Ledger!$B$2:$B$4, $A3, Ledger!$C$2:$C$4, TNA$2)),"****")</f>
        <v/>
      </c>
      <c r="TNB3" t="str">
        <f>IFERROR(IF($C3="","",SUMIFS(Ledger!$K$2:$K$4, Ledger!$B$2:$B$4, $A3, Ledger!$C$2:$C$4, TNB$2)),"****")</f>
        <v/>
      </c>
      <c r="TNC3" t="str">
        <f>IFERROR(IF($C3="","",SUMIFS(Ledger!$K$2:$K$4, Ledger!$B$2:$B$4, $A3, Ledger!$C$2:$C$4, TNC$2)),"****")</f>
        <v/>
      </c>
      <c r="TND3" t="str">
        <f>IFERROR(IF($C3="","",SUMIFS(Ledger!$K$2:$K$4, Ledger!$B$2:$B$4, $A3, Ledger!$C$2:$C$4, TND$2)),"****")</f>
        <v/>
      </c>
      <c r="TNE3" t="str">
        <f>IFERROR(IF($C3="","",SUMIFS(Ledger!$K$2:$K$4, Ledger!$B$2:$B$4, $A3, Ledger!$C$2:$C$4, TNE$2)),"****")</f>
        <v/>
      </c>
      <c r="TNF3" t="str">
        <f>IFERROR(IF($C3="","",SUMIFS(Ledger!$K$2:$K$4, Ledger!$B$2:$B$4, $A3, Ledger!$C$2:$C$4, TNF$2)),"****")</f>
        <v/>
      </c>
      <c r="TNG3" t="str">
        <f>IFERROR(IF($C3="","",SUMIFS(Ledger!$K$2:$K$4, Ledger!$B$2:$B$4, $A3, Ledger!$C$2:$C$4, TNG$2)),"****")</f>
        <v/>
      </c>
      <c r="TNH3" t="str">
        <f>IFERROR(IF($C3="","",SUMIFS(Ledger!$K$2:$K$4, Ledger!$B$2:$B$4, $A3, Ledger!$C$2:$C$4, TNH$2)),"****")</f>
        <v/>
      </c>
      <c r="TNI3" t="str">
        <f>IFERROR(IF($C3="","",SUMIFS(Ledger!$K$2:$K$4, Ledger!$B$2:$B$4, $A3, Ledger!$C$2:$C$4, TNI$2)),"****")</f>
        <v/>
      </c>
      <c r="TNJ3" t="str">
        <f>IFERROR(IF($C3="","",SUMIFS(Ledger!$K$2:$K$4, Ledger!$B$2:$B$4, $A3, Ledger!$C$2:$C$4, TNJ$2)),"****")</f>
        <v/>
      </c>
      <c r="TNK3" t="str">
        <f>IFERROR(IF($C3="","",SUMIFS(Ledger!$K$2:$K$4, Ledger!$B$2:$B$4, $A3, Ledger!$C$2:$C$4, TNK$2)),"****")</f>
        <v/>
      </c>
      <c r="TNL3" t="str">
        <f>IFERROR(IF($C3="","",SUMIFS(Ledger!$K$2:$K$4, Ledger!$B$2:$B$4, $A3, Ledger!$C$2:$C$4, TNL$2)),"****")</f>
        <v/>
      </c>
      <c r="TNM3" t="str">
        <f>IFERROR(IF($C3="","",SUMIFS(Ledger!$K$2:$K$4, Ledger!$B$2:$B$4, $A3, Ledger!$C$2:$C$4, TNM$2)),"****")</f>
        <v/>
      </c>
      <c r="TNN3" t="str">
        <f>IFERROR(IF($C3="","",SUMIFS(Ledger!$K$2:$K$4, Ledger!$B$2:$B$4, $A3, Ledger!$C$2:$C$4, TNN$2)),"****")</f>
        <v/>
      </c>
      <c r="TNO3" t="str">
        <f>IFERROR(IF($C3="","",SUMIFS(Ledger!$K$2:$K$4, Ledger!$B$2:$B$4, $A3, Ledger!$C$2:$C$4, TNO$2)),"****")</f>
        <v/>
      </c>
      <c r="TNP3" t="str">
        <f>IFERROR(IF($C3="","",SUMIFS(Ledger!$K$2:$K$4, Ledger!$B$2:$B$4, $A3, Ledger!$C$2:$C$4, TNP$2)),"****")</f>
        <v/>
      </c>
      <c r="TNQ3" t="str">
        <f>IFERROR(IF($C3="","",SUMIFS(Ledger!$K$2:$K$4, Ledger!$B$2:$B$4, $A3, Ledger!$C$2:$C$4, TNQ$2)),"****")</f>
        <v/>
      </c>
      <c r="TNR3" t="str">
        <f>IFERROR(IF($C3="","",SUMIFS(Ledger!$K$2:$K$4, Ledger!$B$2:$B$4, $A3, Ledger!$C$2:$C$4, TNR$2)),"****")</f>
        <v/>
      </c>
      <c r="TNS3" t="str">
        <f>IFERROR(IF($C3="","",SUMIFS(Ledger!$K$2:$K$4, Ledger!$B$2:$B$4, $A3, Ledger!$C$2:$C$4, TNS$2)),"****")</f>
        <v/>
      </c>
      <c r="TNT3" t="str">
        <f>IFERROR(IF($C3="","",SUMIFS(Ledger!$K$2:$K$4, Ledger!$B$2:$B$4, $A3, Ledger!$C$2:$C$4, TNT$2)),"****")</f>
        <v/>
      </c>
      <c r="TNU3" t="str">
        <f>IFERROR(IF($C3="","",SUMIFS(Ledger!$K$2:$K$4, Ledger!$B$2:$B$4, $A3, Ledger!$C$2:$C$4, TNU$2)),"****")</f>
        <v/>
      </c>
      <c r="TNV3" t="str">
        <f>IFERROR(IF($C3="","",SUMIFS(Ledger!$K$2:$K$4, Ledger!$B$2:$B$4, $A3, Ledger!$C$2:$C$4, TNV$2)),"****")</f>
        <v/>
      </c>
      <c r="TNW3" t="str">
        <f>IFERROR(IF($C3="","",SUMIFS(Ledger!$K$2:$K$4, Ledger!$B$2:$B$4, $A3, Ledger!$C$2:$C$4, TNW$2)),"****")</f>
        <v/>
      </c>
      <c r="TNX3" t="str">
        <f>IFERROR(IF($C3="","",SUMIFS(Ledger!$K$2:$K$4, Ledger!$B$2:$B$4, $A3, Ledger!$C$2:$C$4, TNX$2)),"****")</f>
        <v/>
      </c>
      <c r="TNY3" t="str">
        <f>IFERROR(IF($C3="","",SUMIFS(Ledger!$K$2:$K$4, Ledger!$B$2:$B$4, $A3, Ledger!$C$2:$C$4, TNY$2)),"****")</f>
        <v/>
      </c>
      <c r="TNZ3" t="str">
        <f>IFERROR(IF($C3="","",SUMIFS(Ledger!$K$2:$K$4, Ledger!$B$2:$B$4, $A3, Ledger!$C$2:$C$4, TNZ$2)),"****")</f>
        <v/>
      </c>
      <c r="TOA3" t="str">
        <f>IFERROR(IF($C3="","",SUMIFS(Ledger!$K$2:$K$4, Ledger!$B$2:$B$4, $A3, Ledger!$C$2:$C$4, TOA$2)),"****")</f>
        <v/>
      </c>
      <c r="TOB3" t="str">
        <f>IFERROR(IF($C3="","",SUMIFS(Ledger!$K$2:$K$4, Ledger!$B$2:$B$4, $A3, Ledger!$C$2:$C$4, TOB$2)),"****")</f>
        <v/>
      </c>
      <c r="TOC3" t="str">
        <f>IFERROR(IF($C3="","",SUMIFS(Ledger!$K$2:$K$4, Ledger!$B$2:$B$4, $A3, Ledger!$C$2:$C$4, TOC$2)),"****")</f>
        <v/>
      </c>
      <c r="TOD3" t="str">
        <f>IFERROR(IF($C3="","",SUMIFS(Ledger!$K$2:$K$4, Ledger!$B$2:$B$4, $A3, Ledger!$C$2:$C$4, TOD$2)),"****")</f>
        <v/>
      </c>
      <c r="TOE3" t="str">
        <f>IFERROR(IF($C3="","",SUMIFS(Ledger!$K$2:$K$4, Ledger!$B$2:$B$4, $A3, Ledger!$C$2:$C$4, TOE$2)),"****")</f>
        <v/>
      </c>
      <c r="TOF3" t="str">
        <f>IFERROR(IF($C3="","",SUMIFS(Ledger!$K$2:$K$4, Ledger!$B$2:$B$4, $A3, Ledger!$C$2:$C$4, TOF$2)),"****")</f>
        <v/>
      </c>
      <c r="TOG3" t="str">
        <f>IFERROR(IF($C3="","",SUMIFS(Ledger!$K$2:$K$4, Ledger!$B$2:$B$4, $A3, Ledger!$C$2:$C$4, TOG$2)),"****")</f>
        <v/>
      </c>
      <c r="TOH3" t="str">
        <f>IFERROR(IF($C3="","",SUMIFS(Ledger!$K$2:$K$4, Ledger!$B$2:$B$4, $A3, Ledger!$C$2:$C$4, TOH$2)),"****")</f>
        <v/>
      </c>
      <c r="TOI3" t="str">
        <f>IFERROR(IF($C3="","",SUMIFS(Ledger!$K$2:$K$4, Ledger!$B$2:$B$4, $A3, Ledger!$C$2:$C$4, TOI$2)),"****")</f>
        <v/>
      </c>
      <c r="TOJ3" t="str">
        <f>IFERROR(IF($C3="","",SUMIFS(Ledger!$K$2:$K$4, Ledger!$B$2:$B$4, $A3, Ledger!$C$2:$C$4, TOJ$2)),"****")</f>
        <v/>
      </c>
      <c r="TOK3" t="str">
        <f>IFERROR(IF($C3="","",SUMIFS(Ledger!$K$2:$K$4, Ledger!$B$2:$B$4, $A3, Ledger!$C$2:$C$4, TOK$2)),"****")</f>
        <v/>
      </c>
      <c r="TOL3" t="str">
        <f>IFERROR(IF($C3="","",SUMIFS(Ledger!$K$2:$K$4, Ledger!$B$2:$B$4, $A3, Ledger!$C$2:$C$4, TOL$2)),"****")</f>
        <v/>
      </c>
      <c r="TOM3" t="str">
        <f>IFERROR(IF($C3="","",SUMIFS(Ledger!$K$2:$K$4, Ledger!$B$2:$B$4, $A3, Ledger!$C$2:$C$4, TOM$2)),"****")</f>
        <v/>
      </c>
      <c r="TON3" t="str">
        <f>IFERROR(IF($C3="","",SUMIFS(Ledger!$K$2:$K$4, Ledger!$B$2:$B$4, $A3, Ledger!$C$2:$C$4, TON$2)),"****")</f>
        <v/>
      </c>
      <c r="TOO3" t="str">
        <f>IFERROR(IF($C3="","",SUMIFS(Ledger!$K$2:$K$4, Ledger!$B$2:$B$4, $A3, Ledger!$C$2:$C$4, TOO$2)),"****")</f>
        <v/>
      </c>
      <c r="TOP3" t="str">
        <f>IFERROR(IF($C3="","",SUMIFS(Ledger!$K$2:$K$4, Ledger!$B$2:$B$4, $A3, Ledger!$C$2:$C$4, TOP$2)),"****")</f>
        <v/>
      </c>
      <c r="TOQ3" t="str">
        <f>IFERROR(IF($C3="","",SUMIFS(Ledger!$K$2:$K$4, Ledger!$B$2:$B$4, $A3, Ledger!$C$2:$C$4, TOQ$2)),"****")</f>
        <v/>
      </c>
      <c r="TOR3" t="str">
        <f>IFERROR(IF($C3="","",SUMIFS(Ledger!$K$2:$K$4, Ledger!$B$2:$B$4, $A3, Ledger!$C$2:$C$4, TOR$2)),"****")</f>
        <v/>
      </c>
      <c r="TOS3" t="str">
        <f>IFERROR(IF($C3="","",SUMIFS(Ledger!$K$2:$K$4, Ledger!$B$2:$B$4, $A3, Ledger!$C$2:$C$4, TOS$2)),"****")</f>
        <v/>
      </c>
      <c r="TOT3" t="str">
        <f>IFERROR(IF($C3="","",SUMIFS(Ledger!$K$2:$K$4, Ledger!$B$2:$B$4, $A3, Ledger!$C$2:$C$4, TOT$2)),"****")</f>
        <v/>
      </c>
      <c r="TOU3" t="str">
        <f>IFERROR(IF($C3="","",SUMIFS(Ledger!$K$2:$K$4, Ledger!$B$2:$B$4, $A3, Ledger!$C$2:$C$4, TOU$2)),"****")</f>
        <v/>
      </c>
      <c r="TOV3" t="str">
        <f>IFERROR(IF($C3="","",SUMIFS(Ledger!$K$2:$K$4, Ledger!$B$2:$B$4, $A3, Ledger!$C$2:$C$4, TOV$2)),"****")</f>
        <v/>
      </c>
      <c r="TOW3" t="str">
        <f>IFERROR(IF($C3="","",SUMIFS(Ledger!$K$2:$K$4, Ledger!$B$2:$B$4, $A3, Ledger!$C$2:$C$4, TOW$2)),"****")</f>
        <v/>
      </c>
      <c r="TOX3" t="str">
        <f>IFERROR(IF($C3="","",SUMIFS(Ledger!$K$2:$K$4, Ledger!$B$2:$B$4, $A3, Ledger!$C$2:$C$4, TOX$2)),"****")</f>
        <v/>
      </c>
      <c r="TOY3" t="str">
        <f>IFERROR(IF($C3="","",SUMIFS(Ledger!$K$2:$K$4, Ledger!$B$2:$B$4, $A3, Ledger!$C$2:$C$4, TOY$2)),"****")</f>
        <v/>
      </c>
      <c r="TOZ3" t="str">
        <f>IFERROR(IF($C3="","",SUMIFS(Ledger!$K$2:$K$4, Ledger!$B$2:$B$4, $A3, Ledger!$C$2:$C$4, TOZ$2)),"****")</f>
        <v/>
      </c>
      <c r="TPA3" t="str">
        <f>IFERROR(IF($C3="","",SUMIFS(Ledger!$K$2:$K$4, Ledger!$B$2:$B$4, $A3, Ledger!$C$2:$C$4, TPA$2)),"****")</f>
        <v/>
      </c>
      <c r="TPB3" t="str">
        <f>IFERROR(IF($C3="","",SUMIFS(Ledger!$K$2:$K$4, Ledger!$B$2:$B$4, $A3, Ledger!$C$2:$C$4, TPB$2)),"****")</f>
        <v/>
      </c>
      <c r="TPC3" t="str">
        <f>IFERROR(IF($C3="","",SUMIFS(Ledger!$K$2:$K$4, Ledger!$B$2:$B$4, $A3, Ledger!$C$2:$C$4, TPC$2)),"****")</f>
        <v/>
      </c>
      <c r="TPD3" t="str">
        <f>IFERROR(IF($C3="","",SUMIFS(Ledger!$K$2:$K$4, Ledger!$B$2:$B$4, $A3, Ledger!$C$2:$C$4, TPD$2)),"****")</f>
        <v/>
      </c>
      <c r="TPE3" t="str">
        <f>IFERROR(IF($C3="","",SUMIFS(Ledger!$K$2:$K$4, Ledger!$B$2:$B$4, $A3, Ledger!$C$2:$C$4, TPE$2)),"****")</f>
        <v/>
      </c>
      <c r="TPF3" t="str">
        <f>IFERROR(IF($C3="","",SUMIFS(Ledger!$K$2:$K$4, Ledger!$B$2:$B$4, $A3, Ledger!$C$2:$C$4, TPF$2)),"****")</f>
        <v/>
      </c>
      <c r="TPG3" t="str">
        <f>IFERROR(IF($C3="","",SUMIFS(Ledger!$K$2:$K$4, Ledger!$B$2:$B$4, $A3, Ledger!$C$2:$C$4, TPG$2)),"****")</f>
        <v/>
      </c>
      <c r="TPH3" t="str">
        <f>IFERROR(IF($C3="","",SUMIFS(Ledger!$K$2:$K$4, Ledger!$B$2:$B$4, $A3, Ledger!$C$2:$C$4, TPH$2)),"****")</f>
        <v/>
      </c>
      <c r="TPI3" t="str">
        <f>IFERROR(IF($C3="","",SUMIFS(Ledger!$K$2:$K$4, Ledger!$B$2:$B$4, $A3, Ledger!$C$2:$C$4, TPI$2)),"****")</f>
        <v/>
      </c>
      <c r="TPJ3" t="str">
        <f>IFERROR(IF($C3="","",SUMIFS(Ledger!$K$2:$K$4, Ledger!$B$2:$B$4, $A3, Ledger!$C$2:$C$4, TPJ$2)),"****")</f>
        <v/>
      </c>
      <c r="TPK3" t="str">
        <f>IFERROR(IF($C3="","",SUMIFS(Ledger!$K$2:$K$4, Ledger!$B$2:$B$4, $A3, Ledger!$C$2:$C$4, TPK$2)),"****")</f>
        <v/>
      </c>
      <c r="TPL3" t="str">
        <f>IFERROR(IF($C3="","",SUMIFS(Ledger!$K$2:$K$4, Ledger!$B$2:$B$4, $A3, Ledger!$C$2:$C$4, TPL$2)),"****")</f>
        <v/>
      </c>
      <c r="TPM3" t="str">
        <f>IFERROR(IF($C3="","",SUMIFS(Ledger!$K$2:$K$4, Ledger!$B$2:$B$4, $A3, Ledger!$C$2:$C$4, TPM$2)),"****")</f>
        <v/>
      </c>
      <c r="TPN3" t="str">
        <f>IFERROR(IF($C3="","",SUMIFS(Ledger!$K$2:$K$4, Ledger!$B$2:$B$4, $A3, Ledger!$C$2:$C$4, TPN$2)),"****")</f>
        <v/>
      </c>
      <c r="TPO3" t="str">
        <f>IFERROR(IF($C3="","",SUMIFS(Ledger!$K$2:$K$4, Ledger!$B$2:$B$4, $A3, Ledger!$C$2:$C$4, TPO$2)),"****")</f>
        <v/>
      </c>
      <c r="TPP3" t="str">
        <f>IFERROR(IF($C3="","",SUMIFS(Ledger!$K$2:$K$4, Ledger!$B$2:$B$4, $A3, Ledger!$C$2:$C$4, TPP$2)),"****")</f>
        <v/>
      </c>
      <c r="TPQ3" t="str">
        <f>IFERROR(IF($C3="","",SUMIFS(Ledger!$K$2:$K$4, Ledger!$B$2:$B$4, $A3, Ledger!$C$2:$C$4, TPQ$2)),"****")</f>
        <v/>
      </c>
      <c r="TPR3" t="str">
        <f>IFERROR(IF($C3="","",SUMIFS(Ledger!$K$2:$K$4, Ledger!$B$2:$B$4, $A3, Ledger!$C$2:$C$4, TPR$2)),"****")</f>
        <v/>
      </c>
      <c r="TPS3" t="str">
        <f>IFERROR(IF($C3="","",SUMIFS(Ledger!$K$2:$K$4, Ledger!$B$2:$B$4, $A3, Ledger!$C$2:$C$4, TPS$2)),"****")</f>
        <v/>
      </c>
      <c r="TPT3" t="str">
        <f>IFERROR(IF($C3="","",SUMIFS(Ledger!$K$2:$K$4, Ledger!$B$2:$B$4, $A3, Ledger!$C$2:$C$4, TPT$2)),"****")</f>
        <v/>
      </c>
      <c r="TPU3" t="str">
        <f>IFERROR(IF($C3="","",SUMIFS(Ledger!$K$2:$K$4, Ledger!$B$2:$B$4, $A3, Ledger!$C$2:$C$4, TPU$2)),"****")</f>
        <v/>
      </c>
      <c r="TPV3" t="str">
        <f>IFERROR(IF($C3="","",SUMIFS(Ledger!$K$2:$K$4, Ledger!$B$2:$B$4, $A3, Ledger!$C$2:$C$4, TPV$2)),"****")</f>
        <v/>
      </c>
      <c r="TPW3" t="str">
        <f>IFERROR(IF($C3="","",SUMIFS(Ledger!$K$2:$K$4, Ledger!$B$2:$B$4, $A3, Ledger!$C$2:$C$4, TPW$2)),"****")</f>
        <v/>
      </c>
      <c r="TPX3" t="str">
        <f>IFERROR(IF($C3="","",SUMIFS(Ledger!$K$2:$K$4, Ledger!$B$2:$B$4, $A3, Ledger!$C$2:$C$4, TPX$2)),"****")</f>
        <v/>
      </c>
      <c r="TPY3" t="str">
        <f>IFERROR(IF($C3="","",SUMIFS(Ledger!$K$2:$K$4, Ledger!$B$2:$B$4, $A3, Ledger!$C$2:$C$4, TPY$2)),"****")</f>
        <v/>
      </c>
      <c r="TPZ3" t="str">
        <f>IFERROR(IF($C3="","",SUMIFS(Ledger!$K$2:$K$4, Ledger!$B$2:$B$4, $A3, Ledger!$C$2:$C$4, TPZ$2)),"****")</f>
        <v/>
      </c>
      <c r="TQA3" t="str">
        <f>IFERROR(IF($C3="","",SUMIFS(Ledger!$K$2:$K$4, Ledger!$B$2:$B$4, $A3, Ledger!$C$2:$C$4, TQA$2)),"****")</f>
        <v/>
      </c>
      <c r="TQB3" t="str">
        <f>IFERROR(IF($C3="","",SUMIFS(Ledger!$K$2:$K$4, Ledger!$B$2:$B$4, $A3, Ledger!$C$2:$C$4, TQB$2)),"****")</f>
        <v/>
      </c>
      <c r="TQC3" t="str">
        <f>IFERROR(IF($C3="","",SUMIFS(Ledger!$K$2:$K$4, Ledger!$B$2:$B$4, $A3, Ledger!$C$2:$C$4, TQC$2)),"****")</f>
        <v/>
      </c>
      <c r="TQD3" t="str">
        <f>IFERROR(IF($C3="","",SUMIFS(Ledger!$K$2:$K$4, Ledger!$B$2:$B$4, $A3, Ledger!$C$2:$C$4, TQD$2)),"****")</f>
        <v/>
      </c>
      <c r="TQE3" t="str">
        <f>IFERROR(IF($C3="","",SUMIFS(Ledger!$K$2:$K$4, Ledger!$B$2:$B$4, $A3, Ledger!$C$2:$C$4, TQE$2)),"****")</f>
        <v/>
      </c>
      <c r="TQF3" t="str">
        <f>IFERROR(IF($C3="","",SUMIFS(Ledger!$K$2:$K$4, Ledger!$B$2:$B$4, $A3, Ledger!$C$2:$C$4, TQF$2)),"****")</f>
        <v/>
      </c>
      <c r="TQG3" t="str">
        <f>IFERROR(IF($C3="","",SUMIFS(Ledger!$K$2:$K$4, Ledger!$B$2:$B$4, $A3, Ledger!$C$2:$C$4, TQG$2)),"****")</f>
        <v/>
      </c>
      <c r="TQH3" t="str">
        <f>IFERROR(IF($C3="","",SUMIFS(Ledger!$K$2:$K$4, Ledger!$B$2:$B$4, $A3, Ledger!$C$2:$C$4, TQH$2)),"****")</f>
        <v/>
      </c>
      <c r="TQI3" t="str">
        <f>IFERROR(IF($C3="","",SUMIFS(Ledger!$K$2:$K$4, Ledger!$B$2:$B$4, $A3, Ledger!$C$2:$C$4, TQI$2)),"****")</f>
        <v/>
      </c>
      <c r="TQJ3" t="str">
        <f>IFERROR(IF($C3="","",SUMIFS(Ledger!$K$2:$K$4, Ledger!$B$2:$B$4, $A3, Ledger!$C$2:$C$4, TQJ$2)),"****")</f>
        <v/>
      </c>
      <c r="TQK3" t="str">
        <f>IFERROR(IF($C3="","",SUMIFS(Ledger!$K$2:$K$4, Ledger!$B$2:$B$4, $A3, Ledger!$C$2:$C$4, TQK$2)),"****")</f>
        <v/>
      </c>
      <c r="TQL3" t="str">
        <f>IFERROR(IF($C3="","",SUMIFS(Ledger!$K$2:$K$4, Ledger!$B$2:$B$4, $A3, Ledger!$C$2:$C$4, TQL$2)),"****")</f>
        <v/>
      </c>
      <c r="TQM3" t="str">
        <f>IFERROR(IF($C3="","",SUMIFS(Ledger!$K$2:$K$4, Ledger!$B$2:$B$4, $A3, Ledger!$C$2:$C$4, TQM$2)),"****")</f>
        <v/>
      </c>
      <c r="TQN3" t="str">
        <f>IFERROR(IF($C3="","",SUMIFS(Ledger!$K$2:$K$4, Ledger!$B$2:$B$4, $A3, Ledger!$C$2:$C$4, TQN$2)),"****")</f>
        <v/>
      </c>
      <c r="TQO3" t="str">
        <f>IFERROR(IF($C3="","",SUMIFS(Ledger!$K$2:$K$4, Ledger!$B$2:$B$4, $A3, Ledger!$C$2:$C$4, TQO$2)),"****")</f>
        <v/>
      </c>
      <c r="TQP3" t="str">
        <f>IFERROR(IF($C3="","",SUMIFS(Ledger!$K$2:$K$4, Ledger!$B$2:$B$4, $A3, Ledger!$C$2:$C$4, TQP$2)),"****")</f>
        <v/>
      </c>
      <c r="TQQ3" t="str">
        <f>IFERROR(IF($C3="","",SUMIFS(Ledger!$K$2:$K$4, Ledger!$B$2:$B$4, $A3, Ledger!$C$2:$C$4, TQQ$2)),"****")</f>
        <v/>
      </c>
      <c r="TQR3" t="str">
        <f>IFERROR(IF($C3="","",SUMIFS(Ledger!$K$2:$K$4, Ledger!$B$2:$B$4, $A3, Ledger!$C$2:$C$4, TQR$2)),"****")</f>
        <v/>
      </c>
      <c r="TQS3" t="str">
        <f>IFERROR(IF($C3="","",SUMIFS(Ledger!$K$2:$K$4, Ledger!$B$2:$B$4, $A3, Ledger!$C$2:$C$4, TQS$2)),"****")</f>
        <v/>
      </c>
      <c r="TQT3" t="str">
        <f>IFERROR(IF($C3="","",SUMIFS(Ledger!$K$2:$K$4, Ledger!$B$2:$B$4, $A3, Ledger!$C$2:$C$4, TQT$2)),"****")</f>
        <v/>
      </c>
      <c r="TQU3" t="str">
        <f>IFERROR(IF($C3="","",SUMIFS(Ledger!$K$2:$K$4, Ledger!$B$2:$B$4, $A3, Ledger!$C$2:$C$4, TQU$2)),"****")</f>
        <v/>
      </c>
      <c r="TQV3" t="str">
        <f>IFERROR(IF($C3="","",SUMIFS(Ledger!$K$2:$K$4, Ledger!$B$2:$B$4, $A3, Ledger!$C$2:$C$4, TQV$2)),"****")</f>
        <v/>
      </c>
      <c r="TQW3" t="str">
        <f>IFERROR(IF($C3="","",SUMIFS(Ledger!$K$2:$K$4, Ledger!$B$2:$B$4, $A3, Ledger!$C$2:$C$4, TQW$2)),"****")</f>
        <v/>
      </c>
      <c r="TQX3" t="str">
        <f>IFERROR(IF($C3="","",SUMIFS(Ledger!$K$2:$K$4, Ledger!$B$2:$B$4, $A3, Ledger!$C$2:$C$4, TQX$2)),"****")</f>
        <v/>
      </c>
      <c r="TQY3" t="str">
        <f>IFERROR(IF($C3="","",SUMIFS(Ledger!$K$2:$K$4, Ledger!$B$2:$B$4, $A3, Ledger!$C$2:$C$4, TQY$2)),"****")</f>
        <v/>
      </c>
      <c r="TQZ3" t="str">
        <f>IFERROR(IF($C3="","",SUMIFS(Ledger!$K$2:$K$4, Ledger!$B$2:$B$4, $A3, Ledger!$C$2:$C$4, TQZ$2)),"****")</f>
        <v/>
      </c>
      <c r="TRA3" t="str">
        <f>IFERROR(IF($C3="","",SUMIFS(Ledger!$K$2:$K$4, Ledger!$B$2:$B$4, $A3, Ledger!$C$2:$C$4, TRA$2)),"****")</f>
        <v/>
      </c>
      <c r="TRB3" t="str">
        <f>IFERROR(IF($C3="","",SUMIFS(Ledger!$K$2:$K$4, Ledger!$B$2:$B$4, $A3, Ledger!$C$2:$C$4, TRB$2)),"****")</f>
        <v/>
      </c>
      <c r="TRC3" t="str">
        <f>IFERROR(IF($C3="","",SUMIFS(Ledger!$K$2:$K$4, Ledger!$B$2:$B$4, $A3, Ledger!$C$2:$C$4, TRC$2)),"****")</f>
        <v/>
      </c>
      <c r="TRD3" t="str">
        <f>IFERROR(IF($C3="","",SUMIFS(Ledger!$K$2:$K$4, Ledger!$B$2:$B$4, $A3, Ledger!$C$2:$C$4, TRD$2)),"****")</f>
        <v/>
      </c>
      <c r="TRE3" t="str">
        <f>IFERROR(IF($C3="","",SUMIFS(Ledger!$K$2:$K$4, Ledger!$B$2:$B$4, $A3, Ledger!$C$2:$C$4, TRE$2)),"****")</f>
        <v/>
      </c>
      <c r="TRF3" t="str">
        <f>IFERROR(IF($C3="","",SUMIFS(Ledger!$K$2:$K$4, Ledger!$B$2:$B$4, $A3, Ledger!$C$2:$C$4, TRF$2)),"****")</f>
        <v/>
      </c>
      <c r="TRG3" t="str">
        <f>IFERROR(IF($C3="","",SUMIFS(Ledger!$K$2:$K$4, Ledger!$B$2:$B$4, $A3, Ledger!$C$2:$C$4, TRG$2)),"****")</f>
        <v/>
      </c>
      <c r="TRH3" t="str">
        <f>IFERROR(IF($C3="","",SUMIFS(Ledger!$K$2:$K$4, Ledger!$B$2:$B$4, $A3, Ledger!$C$2:$C$4, TRH$2)),"****")</f>
        <v/>
      </c>
      <c r="TRI3" t="str">
        <f>IFERROR(IF($C3="","",SUMIFS(Ledger!$K$2:$K$4, Ledger!$B$2:$B$4, $A3, Ledger!$C$2:$C$4, TRI$2)),"****")</f>
        <v/>
      </c>
      <c r="TRJ3" t="str">
        <f>IFERROR(IF($C3="","",SUMIFS(Ledger!$K$2:$K$4, Ledger!$B$2:$B$4, $A3, Ledger!$C$2:$C$4, TRJ$2)),"****")</f>
        <v/>
      </c>
      <c r="TRK3" t="str">
        <f>IFERROR(IF($C3="","",SUMIFS(Ledger!$K$2:$K$4, Ledger!$B$2:$B$4, $A3, Ledger!$C$2:$C$4, TRK$2)),"****")</f>
        <v/>
      </c>
      <c r="TRL3" t="str">
        <f>IFERROR(IF($C3="","",SUMIFS(Ledger!$K$2:$K$4, Ledger!$B$2:$B$4, $A3, Ledger!$C$2:$C$4, TRL$2)),"****")</f>
        <v/>
      </c>
      <c r="TRM3" t="str">
        <f>IFERROR(IF($C3="","",SUMIFS(Ledger!$K$2:$K$4, Ledger!$B$2:$B$4, $A3, Ledger!$C$2:$C$4, TRM$2)),"****")</f>
        <v/>
      </c>
      <c r="TRN3" t="str">
        <f>IFERROR(IF($C3="","",SUMIFS(Ledger!$K$2:$K$4, Ledger!$B$2:$B$4, $A3, Ledger!$C$2:$C$4, TRN$2)),"****")</f>
        <v/>
      </c>
      <c r="TRO3" t="str">
        <f>IFERROR(IF($C3="","",SUMIFS(Ledger!$K$2:$K$4, Ledger!$B$2:$B$4, $A3, Ledger!$C$2:$C$4, TRO$2)),"****")</f>
        <v/>
      </c>
      <c r="TRP3" t="str">
        <f>IFERROR(IF($C3="","",SUMIFS(Ledger!$K$2:$K$4, Ledger!$B$2:$B$4, $A3, Ledger!$C$2:$C$4, TRP$2)),"****")</f>
        <v/>
      </c>
      <c r="TRQ3" t="str">
        <f>IFERROR(IF($C3="","",SUMIFS(Ledger!$K$2:$K$4, Ledger!$B$2:$B$4, $A3, Ledger!$C$2:$C$4, TRQ$2)),"****")</f>
        <v/>
      </c>
      <c r="TRR3" t="str">
        <f>IFERROR(IF($C3="","",SUMIFS(Ledger!$K$2:$K$4, Ledger!$B$2:$B$4, $A3, Ledger!$C$2:$C$4, TRR$2)),"****")</f>
        <v/>
      </c>
      <c r="TRS3" t="str">
        <f>IFERROR(IF($C3="","",SUMIFS(Ledger!$K$2:$K$4, Ledger!$B$2:$B$4, $A3, Ledger!$C$2:$C$4, TRS$2)),"****")</f>
        <v/>
      </c>
      <c r="TRT3" t="str">
        <f>IFERROR(IF($C3="","",SUMIFS(Ledger!$K$2:$K$4, Ledger!$B$2:$B$4, $A3, Ledger!$C$2:$C$4, TRT$2)),"****")</f>
        <v/>
      </c>
      <c r="TRU3" t="str">
        <f>IFERROR(IF($C3="","",SUMIFS(Ledger!$K$2:$K$4, Ledger!$B$2:$B$4, $A3, Ledger!$C$2:$C$4, TRU$2)),"****")</f>
        <v/>
      </c>
      <c r="TRV3" t="str">
        <f>IFERROR(IF($C3="","",SUMIFS(Ledger!$K$2:$K$4, Ledger!$B$2:$B$4, $A3, Ledger!$C$2:$C$4, TRV$2)),"****")</f>
        <v/>
      </c>
      <c r="TRW3" t="str">
        <f>IFERROR(IF($C3="","",SUMIFS(Ledger!$K$2:$K$4, Ledger!$B$2:$B$4, $A3, Ledger!$C$2:$C$4, TRW$2)),"****")</f>
        <v/>
      </c>
      <c r="TRX3" t="str">
        <f>IFERROR(IF($C3="","",SUMIFS(Ledger!$K$2:$K$4, Ledger!$B$2:$B$4, $A3, Ledger!$C$2:$C$4, TRX$2)),"****")</f>
        <v/>
      </c>
      <c r="TRY3" t="str">
        <f>IFERROR(IF($C3="","",SUMIFS(Ledger!$K$2:$K$4, Ledger!$B$2:$B$4, $A3, Ledger!$C$2:$C$4, TRY$2)),"****")</f>
        <v/>
      </c>
      <c r="TRZ3" t="str">
        <f>IFERROR(IF($C3="","",SUMIFS(Ledger!$K$2:$K$4, Ledger!$B$2:$B$4, $A3, Ledger!$C$2:$C$4, TRZ$2)),"****")</f>
        <v/>
      </c>
      <c r="TSA3" t="str">
        <f>IFERROR(IF($C3="","",SUMIFS(Ledger!$K$2:$K$4, Ledger!$B$2:$B$4, $A3, Ledger!$C$2:$C$4, TSA$2)),"****")</f>
        <v/>
      </c>
      <c r="TSB3" t="str">
        <f>IFERROR(IF($C3="","",SUMIFS(Ledger!$K$2:$K$4, Ledger!$B$2:$B$4, $A3, Ledger!$C$2:$C$4, TSB$2)),"****")</f>
        <v/>
      </c>
      <c r="TSC3" t="str">
        <f>IFERROR(IF($C3="","",SUMIFS(Ledger!$K$2:$K$4, Ledger!$B$2:$B$4, $A3, Ledger!$C$2:$C$4, TSC$2)),"****")</f>
        <v/>
      </c>
      <c r="TSD3" t="str">
        <f>IFERROR(IF($C3="","",SUMIFS(Ledger!$K$2:$K$4, Ledger!$B$2:$B$4, $A3, Ledger!$C$2:$C$4, TSD$2)),"****")</f>
        <v/>
      </c>
      <c r="TSE3" t="str">
        <f>IFERROR(IF($C3="","",SUMIFS(Ledger!$K$2:$K$4, Ledger!$B$2:$B$4, $A3, Ledger!$C$2:$C$4, TSE$2)),"****")</f>
        <v/>
      </c>
      <c r="TSF3" t="str">
        <f>IFERROR(IF($C3="","",SUMIFS(Ledger!$K$2:$K$4, Ledger!$B$2:$B$4, $A3, Ledger!$C$2:$C$4, TSF$2)),"****")</f>
        <v/>
      </c>
      <c r="TSG3" t="str">
        <f>IFERROR(IF($C3="","",SUMIFS(Ledger!$K$2:$K$4, Ledger!$B$2:$B$4, $A3, Ledger!$C$2:$C$4, TSG$2)),"****")</f>
        <v/>
      </c>
      <c r="TSH3" t="str">
        <f>IFERROR(IF($C3="","",SUMIFS(Ledger!$K$2:$K$4, Ledger!$B$2:$B$4, $A3, Ledger!$C$2:$C$4, TSH$2)),"****")</f>
        <v/>
      </c>
      <c r="TSI3" t="str">
        <f>IFERROR(IF($C3="","",SUMIFS(Ledger!$K$2:$K$4, Ledger!$B$2:$B$4, $A3, Ledger!$C$2:$C$4, TSI$2)),"****")</f>
        <v/>
      </c>
      <c r="TSJ3" t="str">
        <f>IFERROR(IF($C3="","",SUMIFS(Ledger!$K$2:$K$4, Ledger!$B$2:$B$4, $A3, Ledger!$C$2:$C$4, TSJ$2)),"****")</f>
        <v/>
      </c>
      <c r="TSK3" t="str">
        <f>IFERROR(IF($C3="","",SUMIFS(Ledger!$K$2:$K$4, Ledger!$B$2:$B$4, $A3, Ledger!$C$2:$C$4, TSK$2)),"****")</f>
        <v/>
      </c>
      <c r="TSL3" t="str">
        <f>IFERROR(IF($C3="","",SUMIFS(Ledger!$K$2:$K$4, Ledger!$B$2:$B$4, $A3, Ledger!$C$2:$C$4, TSL$2)),"****")</f>
        <v/>
      </c>
      <c r="TSM3" t="str">
        <f>IFERROR(IF($C3="","",SUMIFS(Ledger!$K$2:$K$4, Ledger!$B$2:$B$4, $A3, Ledger!$C$2:$C$4, TSM$2)),"****")</f>
        <v/>
      </c>
      <c r="TSN3" t="str">
        <f>IFERROR(IF($C3="","",SUMIFS(Ledger!$K$2:$K$4, Ledger!$B$2:$B$4, $A3, Ledger!$C$2:$C$4, TSN$2)),"****")</f>
        <v/>
      </c>
      <c r="TSO3" t="str">
        <f>IFERROR(IF($C3="","",SUMIFS(Ledger!$K$2:$K$4, Ledger!$B$2:$B$4, $A3, Ledger!$C$2:$C$4, TSO$2)),"****")</f>
        <v/>
      </c>
      <c r="TSP3" t="str">
        <f>IFERROR(IF($C3="","",SUMIFS(Ledger!$K$2:$K$4, Ledger!$B$2:$B$4, $A3, Ledger!$C$2:$C$4, TSP$2)),"****")</f>
        <v/>
      </c>
      <c r="TSQ3" t="str">
        <f>IFERROR(IF($C3="","",SUMIFS(Ledger!$K$2:$K$4, Ledger!$B$2:$B$4, $A3, Ledger!$C$2:$C$4, TSQ$2)),"****")</f>
        <v/>
      </c>
      <c r="TSR3" t="str">
        <f>IFERROR(IF($C3="","",SUMIFS(Ledger!$K$2:$K$4, Ledger!$B$2:$B$4, $A3, Ledger!$C$2:$C$4, TSR$2)),"****")</f>
        <v/>
      </c>
      <c r="TSS3" t="str">
        <f>IFERROR(IF($C3="","",SUMIFS(Ledger!$K$2:$K$4, Ledger!$B$2:$B$4, $A3, Ledger!$C$2:$C$4, TSS$2)),"****")</f>
        <v/>
      </c>
      <c r="TST3" t="str">
        <f>IFERROR(IF($C3="","",SUMIFS(Ledger!$K$2:$K$4, Ledger!$B$2:$B$4, $A3, Ledger!$C$2:$C$4, TST$2)),"****")</f>
        <v/>
      </c>
      <c r="TSU3" t="str">
        <f>IFERROR(IF($C3="","",SUMIFS(Ledger!$K$2:$K$4, Ledger!$B$2:$B$4, $A3, Ledger!$C$2:$C$4, TSU$2)),"****")</f>
        <v/>
      </c>
      <c r="TSV3" t="str">
        <f>IFERROR(IF($C3="","",SUMIFS(Ledger!$K$2:$K$4, Ledger!$B$2:$B$4, $A3, Ledger!$C$2:$C$4, TSV$2)),"****")</f>
        <v/>
      </c>
      <c r="TSW3" t="str">
        <f>IFERROR(IF($C3="","",SUMIFS(Ledger!$K$2:$K$4, Ledger!$B$2:$B$4, $A3, Ledger!$C$2:$C$4, TSW$2)),"****")</f>
        <v/>
      </c>
      <c r="TSX3" t="str">
        <f>IFERROR(IF($C3="","",SUMIFS(Ledger!$K$2:$K$4, Ledger!$B$2:$B$4, $A3, Ledger!$C$2:$C$4, TSX$2)),"****")</f>
        <v/>
      </c>
      <c r="TSY3" t="str">
        <f>IFERROR(IF($C3="","",SUMIFS(Ledger!$K$2:$K$4, Ledger!$B$2:$B$4, $A3, Ledger!$C$2:$C$4, TSY$2)),"****")</f>
        <v/>
      </c>
      <c r="TSZ3" t="str">
        <f>IFERROR(IF($C3="","",SUMIFS(Ledger!$K$2:$K$4, Ledger!$B$2:$B$4, $A3, Ledger!$C$2:$C$4, TSZ$2)),"****")</f>
        <v/>
      </c>
      <c r="TTA3" t="str">
        <f>IFERROR(IF($C3="","",SUMIFS(Ledger!$K$2:$K$4, Ledger!$B$2:$B$4, $A3, Ledger!$C$2:$C$4, TTA$2)),"****")</f>
        <v/>
      </c>
      <c r="TTB3" t="str">
        <f>IFERROR(IF($C3="","",SUMIFS(Ledger!$K$2:$K$4, Ledger!$B$2:$B$4, $A3, Ledger!$C$2:$C$4, TTB$2)),"****")</f>
        <v/>
      </c>
      <c r="TTC3" t="str">
        <f>IFERROR(IF($C3="","",SUMIFS(Ledger!$K$2:$K$4, Ledger!$B$2:$B$4, $A3, Ledger!$C$2:$C$4, TTC$2)),"****")</f>
        <v/>
      </c>
      <c r="TTD3" t="str">
        <f>IFERROR(IF($C3="","",SUMIFS(Ledger!$K$2:$K$4, Ledger!$B$2:$B$4, $A3, Ledger!$C$2:$C$4, TTD$2)),"****")</f>
        <v/>
      </c>
      <c r="TTE3" t="str">
        <f>IFERROR(IF($C3="","",SUMIFS(Ledger!$K$2:$K$4, Ledger!$B$2:$B$4, $A3, Ledger!$C$2:$C$4, TTE$2)),"****")</f>
        <v/>
      </c>
      <c r="TTF3" t="str">
        <f>IFERROR(IF($C3="","",SUMIFS(Ledger!$K$2:$K$4, Ledger!$B$2:$B$4, $A3, Ledger!$C$2:$C$4, TTF$2)),"****")</f>
        <v/>
      </c>
      <c r="TTG3" t="str">
        <f>IFERROR(IF($C3="","",SUMIFS(Ledger!$K$2:$K$4, Ledger!$B$2:$B$4, $A3, Ledger!$C$2:$C$4, TTG$2)),"****")</f>
        <v/>
      </c>
      <c r="TTH3" t="str">
        <f>IFERROR(IF($C3="","",SUMIFS(Ledger!$K$2:$K$4, Ledger!$B$2:$B$4, $A3, Ledger!$C$2:$C$4, TTH$2)),"****")</f>
        <v/>
      </c>
      <c r="TTI3" t="str">
        <f>IFERROR(IF($C3="","",SUMIFS(Ledger!$K$2:$K$4, Ledger!$B$2:$B$4, $A3, Ledger!$C$2:$C$4, TTI$2)),"****")</f>
        <v/>
      </c>
      <c r="TTJ3" t="str">
        <f>IFERROR(IF($C3="","",SUMIFS(Ledger!$K$2:$K$4, Ledger!$B$2:$B$4, $A3, Ledger!$C$2:$C$4, TTJ$2)),"****")</f>
        <v/>
      </c>
      <c r="TTK3" t="str">
        <f>IFERROR(IF($C3="","",SUMIFS(Ledger!$K$2:$K$4, Ledger!$B$2:$B$4, $A3, Ledger!$C$2:$C$4, TTK$2)),"****")</f>
        <v/>
      </c>
      <c r="TTL3" t="str">
        <f>IFERROR(IF($C3="","",SUMIFS(Ledger!$K$2:$K$4, Ledger!$B$2:$B$4, $A3, Ledger!$C$2:$C$4, TTL$2)),"****")</f>
        <v/>
      </c>
      <c r="TTM3" t="str">
        <f>IFERROR(IF($C3="","",SUMIFS(Ledger!$K$2:$K$4, Ledger!$B$2:$B$4, $A3, Ledger!$C$2:$C$4, TTM$2)),"****")</f>
        <v/>
      </c>
      <c r="TTN3" t="str">
        <f>IFERROR(IF($C3="","",SUMIFS(Ledger!$K$2:$K$4, Ledger!$B$2:$B$4, $A3, Ledger!$C$2:$C$4, TTN$2)),"****")</f>
        <v/>
      </c>
      <c r="TTO3" t="str">
        <f>IFERROR(IF($C3="","",SUMIFS(Ledger!$K$2:$K$4, Ledger!$B$2:$B$4, $A3, Ledger!$C$2:$C$4, TTO$2)),"****")</f>
        <v/>
      </c>
      <c r="TTP3" t="str">
        <f>IFERROR(IF($C3="","",SUMIFS(Ledger!$K$2:$K$4, Ledger!$B$2:$B$4, $A3, Ledger!$C$2:$C$4, TTP$2)),"****")</f>
        <v/>
      </c>
      <c r="TTQ3" t="str">
        <f>IFERROR(IF($C3="","",SUMIFS(Ledger!$K$2:$K$4, Ledger!$B$2:$B$4, $A3, Ledger!$C$2:$C$4, TTQ$2)),"****")</f>
        <v/>
      </c>
      <c r="TTR3" t="str">
        <f>IFERROR(IF($C3="","",SUMIFS(Ledger!$K$2:$K$4, Ledger!$B$2:$B$4, $A3, Ledger!$C$2:$C$4, TTR$2)),"****")</f>
        <v/>
      </c>
      <c r="TTS3" t="str">
        <f>IFERROR(IF($C3="","",SUMIFS(Ledger!$K$2:$K$4, Ledger!$B$2:$B$4, $A3, Ledger!$C$2:$C$4, TTS$2)),"****")</f>
        <v/>
      </c>
      <c r="TTT3" t="str">
        <f>IFERROR(IF($C3="","",SUMIFS(Ledger!$K$2:$K$4, Ledger!$B$2:$B$4, $A3, Ledger!$C$2:$C$4, TTT$2)),"****")</f>
        <v/>
      </c>
      <c r="TTU3" t="str">
        <f>IFERROR(IF($C3="","",SUMIFS(Ledger!$K$2:$K$4, Ledger!$B$2:$B$4, $A3, Ledger!$C$2:$C$4, TTU$2)),"****")</f>
        <v/>
      </c>
      <c r="TTV3" t="str">
        <f>IFERROR(IF($C3="","",SUMIFS(Ledger!$K$2:$K$4, Ledger!$B$2:$B$4, $A3, Ledger!$C$2:$C$4, TTV$2)),"****")</f>
        <v/>
      </c>
      <c r="TTW3" t="str">
        <f>IFERROR(IF($C3="","",SUMIFS(Ledger!$K$2:$K$4, Ledger!$B$2:$B$4, $A3, Ledger!$C$2:$C$4, TTW$2)),"****")</f>
        <v/>
      </c>
      <c r="TTX3" t="str">
        <f>IFERROR(IF($C3="","",SUMIFS(Ledger!$K$2:$K$4, Ledger!$B$2:$B$4, $A3, Ledger!$C$2:$C$4, TTX$2)),"****")</f>
        <v/>
      </c>
      <c r="TTY3" t="str">
        <f>IFERROR(IF($C3="","",SUMIFS(Ledger!$K$2:$K$4, Ledger!$B$2:$B$4, $A3, Ledger!$C$2:$C$4, TTY$2)),"****")</f>
        <v/>
      </c>
      <c r="TTZ3" t="str">
        <f>IFERROR(IF($C3="","",SUMIFS(Ledger!$K$2:$K$4, Ledger!$B$2:$B$4, $A3, Ledger!$C$2:$C$4, TTZ$2)),"****")</f>
        <v/>
      </c>
      <c r="TUA3" t="str">
        <f>IFERROR(IF($C3="","",SUMIFS(Ledger!$K$2:$K$4, Ledger!$B$2:$B$4, $A3, Ledger!$C$2:$C$4, TUA$2)),"****")</f>
        <v/>
      </c>
      <c r="TUB3" t="str">
        <f>IFERROR(IF($C3="","",SUMIFS(Ledger!$K$2:$K$4, Ledger!$B$2:$B$4, $A3, Ledger!$C$2:$C$4, TUB$2)),"****")</f>
        <v/>
      </c>
      <c r="TUC3" t="str">
        <f>IFERROR(IF($C3="","",SUMIFS(Ledger!$K$2:$K$4, Ledger!$B$2:$B$4, $A3, Ledger!$C$2:$C$4, TUC$2)),"****")</f>
        <v/>
      </c>
      <c r="TUD3" t="str">
        <f>IFERROR(IF($C3="","",SUMIFS(Ledger!$K$2:$K$4, Ledger!$B$2:$B$4, $A3, Ledger!$C$2:$C$4, TUD$2)),"****")</f>
        <v/>
      </c>
      <c r="TUE3" t="str">
        <f>IFERROR(IF($C3="","",SUMIFS(Ledger!$K$2:$K$4, Ledger!$B$2:$B$4, $A3, Ledger!$C$2:$C$4, TUE$2)),"****")</f>
        <v/>
      </c>
      <c r="TUF3" t="str">
        <f>IFERROR(IF($C3="","",SUMIFS(Ledger!$K$2:$K$4, Ledger!$B$2:$B$4, $A3, Ledger!$C$2:$C$4, TUF$2)),"****")</f>
        <v/>
      </c>
      <c r="TUG3" t="str">
        <f>IFERROR(IF($C3="","",SUMIFS(Ledger!$K$2:$K$4, Ledger!$B$2:$B$4, $A3, Ledger!$C$2:$C$4, TUG$2)),"****")</f>
        <v/>
      </c>
      <c r="TUH3" t="str">
        <f>IFERROR(IF($C3="","",SUMIFS(Ledger!$K$2:$K$4, Ledger!$B$2:$B$4, $A3, Ledger!$C$2:$C$4, TUH$2)),"****")</f>
        <v/>
      </c>
      <c r="TUI3" t="str">
        <f>IFERROR(IF($C3="","",SUMIFS(Ledger!$K$2:$K$4, Ledger!$B$2:$B$4, $A3, Ledger!$C$2:$C$4, TUI$2)),"****")</f>
        <v/>
      </c>
      <c r="TUJ3" t="str">
        <f>IFERROR(IF($C3="","",SUMIFS(Ledger!$K$2:$K$4, Ledger!$B$2:$B$4, $A3, Ledger!$C$2:$C$4, TUJ$2)),"****")</f>
        <v/>
      </c>
      <c r="TUK3" t="str">
        <f>IFERROR(IF($C3="","",SUMIFS(Ledger!$K$2:$K$4, Ledger!$B$2:$B$4, $A3, Ledger!$C$2:$C$4, TUK$2)),"****")</f>
        <v/>
      </c>
      <c r="TUL3" t="str">
        <f>IFERROR(IF($C3="","",SUMIFS(Ledger!$K$2:$K$4, Ledger!$B$2:$B$4, $A3, Ledger!$C$2:$C$4, TUL$2)),"****")</f>
        <v/>
      </c>
      <c r="TUM3" t="str">
        <f>IFERROR(IF($C3="","",SUMIFS(Ledger!$K$2:$K$4, Ledger!$B$2:$B$4, $A3, Ledger!$C$2:$C$4, TUM$2)),"****")</f>
        <v/>
      </c>
      <c r="TUN3" t="str">
        <f>IFERROR(IF($C3="","",SUMIFS(Ledger!$K$2:$K$4, Ledger!$B$2:$B$4, $A3, Ledger!$C$2:$C$4, TUN$2)),"****")</f>
        <v/>
      </c>
      <c r="TUO3" t="str">
        <f>IFERROR(IF($C3="","",SUMIFS(Ledger!$K$2:$K$4, Ledger!$B$2:$B$4, $A3, Ledger!$C$2:$C$4, TUO$2)),"****")</f>
        <v/>
      </c>
      <c r="TUP3" t="str">
        <f>IFERROR(IF($C3="","",SUMIFS(Ledger!$K$2:$K$4, Ledger!$B$2:$B$4, $A3, Ledger!$C$2:$C$4, TUP$2)),"****")</f>
        <v/>
      </c>
      <c r="TUQ3" t="str">
        <f>IFERROR(IF($C3="","",SUMIFS(Ledger!$K$2:$K$4, Ledger!$B$2:$B$4, $A3, Ledger!$C$2:$C$4, TUQ$2)),"****")</f>
        <v/>
      </c>
      <c r="TUR3" t="str">
        <f>IFERROR(IF($C3="","",SUMIFS(Ledger!$K$2:$K$4, Ledger!$B$2:$B$4, $A3, Ledger!$C$2:$C$4, TUR$2)),"****")</f>
        <v/>
      </c>
      <c r="TUS3" t="str">
        <f>IFERROR(IF($C3="","",SUMIFS(Ledger!$K$2:$K$4, Ledger!$B$2:$B$4, $A3, Ledger!$C$2:$C$4, TUS$2)),"****")</f>
        <v/>
      </c>
      <c r="TUT3" t="str">
        <f>IFERROR(IF($C3="","",SUMIFS(Ledger!$K$2:$K$4, Ledger!$B$2:$B$4, $A3, Ledger!$C$2:$C$4, TUT$2)),"****")</f>
        <v/>
      </c>
      <c r="TUU3" t="str">
        <f>IFERROR(IF($C3="","",SUMIFS(Ledger!$K$2:$K$4, Ledger!$B$2:$B$4, $A3, Ledger!$C$2:$C$4, TUU$2)),"****")</f>
        <v/>
      </c>
      <c r="TUV3" t="str">
        <f>IFERROR(IF($C3="","",SUMIFS(Ledger!$K$2:$K$4, Ledger!$B$2:$B$4, $A3, Ledger!$C$2:$C$4, TUV$2)),"****")</f>
        <v/>
      </c>
      <c r="TUW3" t="str">
        <f>IFERROR(IF($C3="","",SUMIFS(Ledger!$K$2:$K$4, Ledger!$B$2:$B$4, $A3, Ledger!$C$2:$C$4, TUW$2)),"****")</f>
        <v/>
      </c>
      <c r="TUX3" t="str">
        <f>IFERROR(IF($C3="","",SUMIFS(Ledger!$K$2:$K$4, Ledger!$B$2:$B$4, $A3, Ledger!$C$2:$C$4, TUX$2)),"****")</f>
        <v/>
      </c>
      <c r="TUY3" t="str">
        <f>IFERROR(IF($C3="","",SUMIFS(Ledger!$K$2:$K$4, Ledger!$B$2:$B$4, $A3, Ledger!$C$2:$C$4, TUY$2)),"****")</f>
        <v/>
      </c>
      <c r="TUZ3" t="str">
        <f>IFERROR(IF($C3="","",SUMIFS(Ledger!$K$2:$K$4, Ledger!$B$2:$B$4, $A3, Ledger!$C$2:$C$4, TUZ$2)),"****")</f>
        <v/>
      </c>
      <c r="TVA3" t="str">
        <f>IFERROR(IF($C3="","",SUMIFS(Ledger!$K$2:$K$4, Ledger!$B$2:$B$4, $A3, Ledger!$C$2:$C$4, TVA$2)),"****")</f>
        <v/>
      </c>
      <c r="TVB3" t="str">
        <f>IFERROR(IF($C3="","",SUMIFS(Ledger!$K$2:$K$4, Ledger!$B$2:$B$4, $A3, Ledger!$C$2:$C$4, TVB$2)),"****")</f>
        <v/>
      </c>
      <c r="TVC3" t="str">
        <f>IFERROR(IF($C3="","",SUMIFS(Ledger!$K$2:$K$4, Ledger!$B$2:$B$4, $A3, Ledger!$C$2:$C$4, TVC$2)),"****")</f>
        <v/>
      </c>
      <c r="TVD3" t="str">
        <f>IFERROR(IF($C3="","",SUMIFS(Ledger!$K$2:$K$4, Ledger!$B$2:$B$4, $A3, Ledger!$C$2:$C$4, TVD$2)),"****")</f>
        <v/>
      </c>
      <c r="TVE3" t="str">
        <f>IFERROR(IF($C3="","",SUMIFS(Ledger!$K$2:$K$4, Ledger!$B$2:$B$4, $A3, Ledger!$C$2:$C$4, TVE$2)),"****")</f>
        <v/>
      </c>
      <c r="TVF3" t="str">
        <f>IFERROR(IF($C3="","",SUMIFS(Ledger!$K$2:$K$4, Ledger!$B$2:$B$4, $A3, Ledger!$C$2:$C$4, TVF$2)),"****")</f>
        <v/>
      </c>
      <c r="TVG3" t="str">
        <f>IFERROR(IF($C3="","",SUMIFS(Ledger!$K$2:$K$4, Ledger!$B$2:$B$4, $A3, Ledger!$C$2:$C$4, TVG$2)),"****")</f>
        <v/>
      </c>
      <c r="TVH3" t="str">
        <f>IFERROR(IF($C3="","",SUMIFS(Ledger!$K$2:$K$4, Ledger!$B$2:$B$4, $A3, Ledger!$C$2:$C$4, TVH$2)),"****")</f>
        <v/>
      </c>
      <c r="TVI3" t="str">
        <f>IFERROR(IF($C3="","",SUMIFS(Ledger!$K$2:$K$4, Ledger!$B$2:$B$4, $A3, Ledger!$C$2:$C$4, TVI$2)),"****")</f>
        <v/>
      </c>
      <c r="TVJ3" t="str">
        <f>IFERROR(IF($C3="","",SUMIFS(Ledger!$K$2:$K$4, Ledger!$B$2:$B$4, $A3, Ledger!$C$2:$C$4, TVJ$2)),"****")</f>
        <v/>
      </c>
      <c r="TVK3" t="str">
        <f>IFERROR(IF($C3="","",SUMIFS(Ledger!$K$2:$K$4, Ledger!$B$2:$B$4, $A3, Ledger!$C$2:$C$4, TVK$2)),"****")</f>
        <v/>
      </c>
      <c r="TVL3" t="str">
        <f>IFERROR(IF($C3="","",SUMIFS(Ledger!$K$2:$K$4, Ledger!$B$2:$B$4, $A3, Ledger!$C$2:$C$4, TVL$2)),"****")</f>
        <v/>
      </c>
      <c r="TVM3" t="str">
        <f>IFERROR(IF($C3="","",SUMIFS(Ledger!$K$2:$K$4, Ledger!$B$2:$B$4, $A3, Ledger!$C$2:$C$4, TVM$2)),"****")</f>
        <v/>
      </c>
      <c r="TVN3" t="str">
        <f>IFERROR(IF($C3="","",SUMIFS(Ledger!$K$2:$K$4, Ledger!$B$2:$B$4, $A3, Ledger!$C$2:$C$4, TVN$2)),"****")</f>
        <v/>
      </c>
      <c r="TVO3" t="str">
        <f>IFERROR(IF($C3="","",SUMIFS(Ledger!$K$2:$K$4, Ledger!$B$2:$B$4, $A3, Ledger!$C$2:$C$4, TVO$2)),"****")</f>
        <v/>
      </c>
      <c r="TVP3" t="str">
        <f>IFERROR(IF($C3="","",SUMIFS(Ledger!$K$2:$K$4, Ledger!$B$2:$B$4, $A3, Ledger!$C$2:$C$4, TVP$2)),"****")</f>
        <v/>
      </c>
      <c r="TVQ3" t="str">
        <f>IFERROR(IF($C3="","",SUMIFS(Ledger!$K$2:$K$4, Ledger!$B$2:$B$4, $A3, Ledger!$C$2:$C$4, TVQ$2)),"****")</f>
        <v/>
      </c>
      <c r="TVR3" t="str">
        <f>IFERROR(IF($C3="","",SUMIFS(Ledger!$K$2:$K$4, Ledger!$B$2:$B$4, $A3, Ledger!$C$2:$C$4, TVR$2)),"****")</f>
        <v/>
      </c>
      <c r="TVS3" t="str">
        <f>IFERROR(IF($C3="","",SUMIFS(Ledger!$K$2:$K$4, Ledger!$B$2:$B$4, $A3, Ledger!$C$2:$C$4, TVS$2)),"****")</f>
        <v/>
      </c>
      <c r="TVT3" t="str">
        <f>IFERROR(IF($C3="","",SUMIFS(Ledger!$K$2:$K$4, Ledger!$B$2:$B$4, $A3, Ledger!$C$2:$C$4, TVT$2)),"****")</f>
        <v/>
      </c>
      <c r="TVU3" t="str">
        <f>IFERROR(IF($C3="","",SUMIFS(Ledger!$K$2:$K$4, Ledger!$B$2:$B$4, $A3, Ledger!$C$2:$C$4, TVU$2)),"****")</f>
        <v/>
      </c>
      <c r="TVV3" t="str">
        <f>IFERROR(IF($C3="","",SUMIFS(Ledger!$K$2:$K$4, Ledger!$B$2:$B$4, $A3, Ledger!$C$2:$C$4, TVV$2)),"****")</f>
        <v/>
      </c>
      <c r="TVW3" t="str">
        <f>IFERROR(IF($C3="","",SUMIFS(Ledger!$K$2:$K$4, Ledger!$B$2:$B$4, $A3, Ledger!$C$2:$C$4, TVW$2)),"****")</f>
        <v/>
      </c>
      <c r="TVX3" t="str">
        <f>IFERROR(IF($C3="","",SUMIFS(Ledger!$K$2:$K$4, Ledger!$B$2:$B$4, $A3, Ledger!$C$2:$C$4, TVX$2)),"****")</f>
        <v/>
      </c>
      <c r="TVY3" t="str">
        <f>IFERROR(IF($C3="","",SUMIFS(Ledger!$K$2:$K$4, Ledger!$B$2:$B$4, $A3, Ledger!$C$2:$C$4, TVY$2)),"****")</f>
        <v/>
      </c>
      <c r="TVZ3" t="str">
        <f>IFERROR(IF($C3="","",SUMIFS(Ledger!$K$2:$K$4, Ledger!$B$2:$B$4, $A3, Ledger!$C$2:$C$4, TVZ$2)),"****")</f>
        <v/>
      </c>
      <c r="TWA3" t="str">
        <f>IFERROR(IF($C3="","",SUMIFS(Ledger!$K$2:$K$4, Ledger!$B$2:$B$4, $A3, Ledger!$C$2:$C$4, TWA$2)),"****")</f>
        <v/>
      </c>
      <c r="TWB3" t="str">
        <f>IFERROR(IF($C3="","",SUMIFS(Ledger!$K$2:$K$4, Ledger!$B$2:$B$4, $A3, Ledger!$C$2:$C$4, TWB$2)),"****")</f>
        <v/>
      </c>
      <c r="TWC3" t="str">
        <f>IFERROR(IF($C3="","",SUMIFS(Ledger!$K$2:$K$4, Ledger!$B$2:$B$4, $A3, Ledger!$C$2:$C$4, TWC$2)),"****")</f>
        <v/>
      </c>
      <c r="TWD3" t="str">
        <f>IFERROR(IF($C3="","",SUMIFS(Ledger!$K$2:$K$4, Ledger!$B$2:$B$4, $A3, Ledger!$C$2:$C$4, TWD$2)),"****")</f>
        <v/>
      </c>
      <c r="TWE3" t="str">
        <f>IFERROR(IF($C3="","",SUMIFS(Ledger!$K$2:$K$4, Ledger!$B$2:$B$4, $A3, Ledger!$C$2:$C$4, TWE$2)),"****")</f>
        <v/>
      </c>
      <c r="TWF3" t="str">
        <f>IFERROR(IF($C3="","",SUMIFS(Ledger!$K$2:$K$4, Ledger!$B$2:$B$4, $A3, Ledger!$C$2:$C$4, TWF$2)),"****")</f>
        <v/>
      </c>
      <c r="TWG3" t="str">
        <f>IFERROR(IF($C3="","",SUMIFS(Ledger!$K$2:$K$4, Ledger!$B$2:$B$4, $A3, Ledger!$C$2:$C$4, TWG$2)),"****")</f>
        <v/>
      </c>
      <c r="TWH3" t="str">
        <f>IFERROR(IF($C3="","",SUMIFS(Ledger!$K$2:$K$4, Ledger!$B$2:$B$4, $A3, Ledger!$C$2:$C$4, TWH$2)),"****")</f>
        <v/>
      </c>
      <c r="TWI3" t="str">
        <f>IFERROR(IF($C3="","",SUMIFS(Ledger!$K$2:$K$4, Ledger!$B$2:$B$4, $A3, Ledger!$C$2:$C$4, TWI$2)),"****")</f>
        <v/>
      </c>
      <c r="TWJ3" t="str">
        <f>IFERROR(IF($C3="","",SUMIFS(Ledger!$K$2:$K$4, Ledger!$B$2:$B$4, $A3, Ledger!$C$2:$C$4, TWJ$2)),"****")</f>
        <v/>
      </c>
      <c r="TWK3" t="str">
        <f>IFERROR(IF($C3="","",SUMIFS(Ledger!$K$2:$K$4, Ledger!$B$2:$B$4, $A3, Ledger!$C$2:$C$4, TWK$2)),"****")</f>
        <v/>
      </c>
      <c r="TWL3" t="str">
        <f>IFERROR(IF($C3="","",SUMIFS(Ledger!$K$2:$K$4, Ledger!$B$2:$B$4, $A3, Ledger!$C$2:$C$4, TWL$2)),"****")</f>
        <v/>
      </c>
      <c r="TWM3" t="str">
        <f>IFERROR(IF($C3="","",SUMIFS(Ledger!$K$2:$K$4, Ledger!$B$2:$B$4, $A3, Ledger!$C$2:$C$4, TWM$2)),"****")</f>
        <v/>
      </c>
      <c r="TWN3" t="str">
        <f>IFERROR(IF($C3="","",SUMIFS(Ledger!$K$2:$K$4, Ledger!$B$2:$B$4, $A3, Ledger!$C$2:$C$4, TWN$2)),"****")</f>
        <v/>
      </c>
      <c r="TWO3" t="str">
        <f>IFERROR(IF($C3="","",SUMIFS(Ledger!$K$2:$K$4, Ledger!$B$2:$B$4, $A3, Ledger!$C$2:$C$4, TWO$2)),"****")</f>
        <v/>
      </c>
      <c r="TWP3" t="str">
        <f>IFERROR(IF($C3="","",SUMIFS(Ledger!$K$2:$K$4, Ledger!$B$2:$B$4, $A3, Ledger!$C$2:$C$4, TWP$2)),"****")</f>
        <v/>
      </c>
      <c r="TWQ3" t="str">
        <f>IFERROR(IF($C3="","",SUMIFS(Ledger!$K$2:$K$4, Ledger!$B$2:$B$4, $A3, Ledger!$C$2:$C$4, TWQ$2)),"****")</f>
        <v/>
      </c>
      <c r="TWR3" t="str">
        <f>IFERROR(IF($C3="","",SUMIFS(Ledger!$K$2:$K$4, Ledger!$B$2:$B$4, $A3, Ledger!$C$2:$C$4, TWR$2)),"****")</f>
        <v/>
      </c>
      <c r="TWS3" t="str">
        <f>IFERROR(IF($C3="","",SUMIFS(Ledger!$K$2:$K$4, Ledger!$B$2:$B$4, $A3, Ledger!$C$2:$C$4, TWS$2)),"****")</f>
        <v/>
      </c>
      <c r="TWT3" t="str">
        <f>IFERROR(IF($C3="","",SUMIFS(Ledger!$K$2:$K$4, Ledger!$B$2:$B$4, $A3, Ledger!$C$2:$C$4, TWT$2)),"****")</f>
        <v/>
      </c>
      <c r="TWU3" t="str">
        <f>IFERROR(IF($C3="","",SUMIFS(Ledger!$K$2:$K$4, Ledger!$B$2:$B$4, $A3, Ledger!$C$2:$C$4, TWU$2)),"****")</f>
        <v/>
      </c>
      <c r="TWV3" t="str">
        <f>IFERROR(IF($C3="","",SUMIFS(Ledger!$K$2:$K$4, Ledger!$B$2:$B$4, $A3, Ledger!$C$2:$C$4, TWV$2)),"****")</f>
        <v/>
      </c>
      <c r="TWW3" t="str">
        <f>IFERROR(IF($C3="","",SUMIFS(Ledger!$K$2:$K$4, Ledger!$B$2:$B$4, $A3, Ledger!$C$2:$C$4, TWW$2)),"****")</f>
        <v/>
      </c>
      <c r="TWX3" t="str">
        <f>IFERROR(IF($C3="","",SUMIFS(Ledger!$K$2:$K$4, Ledger!$B$2:$B$4, $A3, Ledger!$C$2:$C$4, TWX$2)),"****")</f>
        <v/>
      </c>
      <c r="TWY3" t="str">
        <f>IFERROR(IF($C3="","",SUMIFS(Ledger!$K$2:$K$4, Ledger!$B$2:$B$4, $A3, Ledger!$C$2:$C$4, TWY$2)),"****")</f>
        <v/>
      </c>
      <c r="TWZ3" t="str">
        <f>IFERROR(IF($C3="","",SUMIFS(Ledger!$K$2:$K$4, Ledger!$B$2:$B$4, $A3, Ledger!$C$2:$C$4, TWZ$2)),"****")</f>
        <v/>
      </c>
      <c r="TXA3" t="str">
        <f>IFERROR(IF($C3="","",SUMIFS(Ledger!$K$2:$K$4, Ledger!$B$2:$B$4, $A3, Ledger!$C$2:$C$4, TXA$2)),"****")</f>
        <v/>
      </c>
      <c r="TXB3" t="str">
        <f>IFERROR(IF($C3="","",SUMIFS(Ledger!$K$2:$K$4, Ledger!$B$2:$B$4, $A3, Ledger!$C$2:$C$4, TXB$2)),"****")</f>
        <v/>
      </c>
      <c r="TXC3" t="str">
        <f>IFERROR(IF($C3="","",SUMIFS(Ledger!$K$2:$K$4, Ledger!$B$2:$B$4, $A3, Ledger!$C$2:$C$4, TXC$2)),"****")</f>
        <v/>
      </c>
      <c r="TXD3" t="str">
        <f>IFERROR(IF($C3="","",SUMIFS(Ledger!$K$2:$K$4, Ledger!$B$2:$B$4, $A3, Ledger!$C$2:$C$4, TXD$2)),"****")</f>
        <v/>
      </c>
      <c r="TXE3" t="str">
        <f>IFERROR(IF($C3="","",SUMIFS(Ledger!$K$2:$K$4, Ledger!$B$2:$B$4, $A3, Ledger!$C$2:$C$4, TXE$2)),"****")</f>
        <v/>
      </c>
      <c r="TXF3" t="str">
        <f>IFERROR(IF($C3="","",SUMIFS(Ledger!$K$2:$K$4, Ledger!$B$2:$B$4, $A3, Ledger!$C$2:$C$4, TXF$2)),"****")</f>
        <v/>
      </c>
      <c r="TXG3" t="str">
        <f>IFERROR(IF($C3="","",SUMIFS(Ledger!$K$2:$K$4, Ledger!$B$2:$B$4, $A3, Ledger!$C$2:$C$4, TXG$2)),"****")</f>
        <v/>
      </c>
      <c r="TXH3" t="str">
        <f>IFERROR(IF($C3="","",SUMIFS(Ledger!$K$2:$K$4, Ledger!$B$2:$B$4, $A3, Ledger!$C$2:$C$4, TXH$2)),"****")</f>
        <v/>
      </c>
      <c r="TXI3" t="str">
        <f>IFERROR(IF($C3="","",SUMIFS(Ledger!$K$2:$K$4, Ledger!$B$2:$B$4, $A3, Ledger!$C$2:$C$4, TXI$2)),"****")</f>
        <v/>
      </c>
      <c r="TXJ3" t="str">
        <f>IFERROR(IF($C3="","",SUMIFS(Ledger!$K$2:$K$4, Ledger!$B$2:$B$4, $A3, Ledger!$C$2:$C$4, TXJ$2)),"****")</f>
        <v/>
      </c>
      <c r="TXK3" t="str">
        <f>IFERROR(IF($C3="","",SUMIFS(Ledger!$K$2:$K$4, Ledger!$B$2:$B$4, $A3, Ledger!$C$2:$C$4, TXK$2)),"****")</f>
        <v/>
      </c>
      <c r="TXL3" t="str">
        <f>IFERROR(IF($C3="","",SUMIFS(Ledger!$K$2:$K$4, Ledger!$B$2:$B$4, $A3, Ledger!$C$2:$C$4, TXL$2)),"****")</f>
        <v/>
      </c>
      <c r="TXM3" t="str">
        <f>IFERROR(IF($C3="","",SUMIFS(Ledger!$K$2:$K$4, Ledger!$B$2:$B$4, $A3, Ledger!$C$2:$C$4, TXM$2)),"****")</f>
        <v/>
      </c>
      <c r="TXN3" t="str">
        <f>IFERROR(IF($C3="","",SUMIFS(Ledger!$K$2:$K$4, Ledger!$B$2:$B$4, $A3, Ledger!$C$2:$C$4, TXN$2)),"****")</f>
        <v/>
      </c>
      <c r="TXO3" t="str">
        <f>IFERROR(IF($C3="","",SUMIFS(Ledger!$K$2:$K$4, Ledger!$B$2:$B$4, $A3, Ledger!$C$2:$C$4, TXO$2)),"****")</f>
        <v/>
      </c>
      <c r="TXP3" t="str">
        <f>IFERROR(IF($C3="","",SUMIFS(Ledger!$K$2:$K$4, Ledger!$B$2:$B$4, $A3, Ledger!$C$2:$C$4, TXP$2)),"****")</f>
        <v/>
      </c>
      <c r="TXQ3" t="str">
        <f>IFERROR(IF($C3="","",SUMIFS(Ledger!$K$2:$K$4, Ledger!$B$2:$B$4, $A3, Ledger!$C$2:$C$4, TXQ$2)),"****")</f>
        <v/>
      </c>
      <c r="TXR3" t="str">
        <f>IFERROR(IF($C3="","",SUMIFS(Ledger!$K$2:$K$4, Ledger!$B$2:$B$4, $A3, Ledger!$C$2:$C$4, TXR$2)),"****")</f>
        <v/>
      </c>
      <c r="TXS3" t="str">
        <f>IFERROR(IF($C3="","",SUMIFS(Ledger!$K$2:$K$4, Ledger!$B$2:$B$4, $A3, Ledger!$C$2:$C$4, TXS$2)),"****")</f>
        <v/>
      </c>
      <c r="TXT3" t="str">
        <f>IFERROR(IF($C3="","",SUMIFS(Ledger!$K$2:$K$4, Ledger!$B$2:$B$4, $A3, Ledger!$C$2:$C$4, TXT$2)),"****")</f>
        <v/>
      </c>
      <c r="TXU3" t="str">
        <f>IFERROR(IF($C3="","",SUMIFS(Ledger!$K$2:$K$4, Ledger!$B$2:$B$4, $A3, Ledger!$C$2:$C$4, TXU$2)),"****")</f>
        <v/>
      </c>
      <c r="TXV3" t="str">
        <f>IFERROR(IF($C3="","",SUMIFS(Ledger!$K$2:$K$4, Ledger!$B$2:$B$4, $A3, Ledger!$C$2:$C$4, TXV$2)),"****")</f>
        <v/>
      </c>
      <c r="TXW3" t="str">
        <f>IFERROR(IF($C3="","",SUMIFS(Ledger!$K$2:$K$4, Ledger!$B$2:$B$4, $A3, Ledger!$C$2:$C$4, TXW$2)),"****")</f>
        <v/>
      </c>
      <c r="TXX3" t="str">
        <f>IFERROR(IF($C3="","",SUMIFS(Ledger!$K$2:$K$4, Ledger!$B$2:$B$4, $A3, Ledger!$C$2:$C$4, TXX$2)),"****")</f>
        <v/>
      </c>
      <c r="TXY3" t="str">
        <f>IFERROR(IF($C3="","",SUMIFS(Ledger!$K$2:$K$4, Ledger!$B$2:$B$4, $A3, Ledger!$C$2:$C$4, TXY$2)),"****")</f>
        <v/>
      </c>
      <c r="TXZ3" t="str">
        <f>IFERROR(IF($C3="","",SUMIFS(Ledger!$K$2:$K$4, Ledger!$B$2:$B$4, $A3, Ledger!$C$2:$C$4, TXZ$2)),"****")</f>
        <v/>
      </c>
      <c r="TYA3" t="str">
        <f>IFERROR(IF($C3="","",SUMIFS(Ledger!$K$2:$K$4, Ledger!$B$2:$B$4, $A3, Ledger!$C$2:$C$4, TYA$2)),"****")</f>
        <v/>
      </c>
      <c r="TYB3" t="str">
        <f>IFERROR(IF($C3="","",SUMIFS(Ledger!$K$2:$K$4, Ledger!$B$2:$B$4, $A3, Ledger!$C$2:$C$4, TYB$2)),"****")</f>
        <v/>
      </c>
      <c r="TYC3" t="str">
        <f>IFERROR(IF($C3="","",SUMIFS(Ledger!$K$2:$K$4, Ledger!$B$2:$B$4, $A3, Ledger!$C$2:$C$4, TYC$2)),"****")</f>
        <v/>
      </c>
      <c r="TYD3" t="str">
        <f>IFERROR(IF($C3="","",SUMIFS(Ledger!$K$2:$K$4, Ledger!$B$2:$B$4, $A3, Ledger!$C$2:$C$4, TYD$2)),"****")</f>
        <v/>
      </c>
      <c r="TYE3" t="str">
        <f>IFERROR(IF($C3="","",SUMIFS(Ledger!$K$2:$K$4, Ledger!$B$2:$B$4, $A3, Ledger!$C$2:$C$4, TYE$2)),"****")</f>
        <v/>
      </c>
      <c r="TYF3" t="str">
        <f>IFERROR(IF($C3="","",SUMIFS(Ledger!$K$2:$K$4, Ledger!$B$2:$B$4, $A3, Ledger!$C$2:$C$4, TYF$2)),"****")</f>
        <v/>
      </c>
      <c r="TYG3" t="str">
        <f>IFERROR(IF($C3="","",SUMIFS(Ledger!$K$2:$K$4, Ledger!$B$2:$B$4, $A3, Ledger!$C$2:$C$4, TYG$2)),"****")</f>
        <v/>
      </c>
      <c r="TYH3" t="str">
        <f>IFERROR(IF($C3="","",SUMIFS(Ledger!$K$2:$K$4, Ledger!$B$2:$B$4, $A3, Ledger!$C$2:$C$4, TYH$2)),"****")</f>
        <v/>
      </c>
      <c r="TYI3" t="str">
        <f>IFERROR(IF($C3="","",SUMIFS(Ledger!$K$2:$K$4, Ledger!$B$2:$B$4, $A3, Ledger!$C$2:$C$4, TYI$2)),"****")</f>
        <v/>
      </c>
      <c r="TYJ3" t="str">
        <f>IFERROR(IF($C3="","",SUMIFS(Ledger!$K$2:$K$4, Ledger!$B$2:$B$4, $A3, Ledger!$C$2:$C$4, TYJ$2)),"****")</f>
        <v/>
      </c>
      <c r="TYK3" t="str">
        <f>IFERROR(IF($C3="","",SUMIFS(Ledger!$K$2:$K$4, Ledger!$B$2:$B$4, $A3, Ledger!$C$2:$C$4, TYK$2)),"****")</f>
        <v/>
      </c>
      <c r="TYL3" t="str">
        <f>IFERROR(IF($C3="","",SUMIFS(Ledger!$K$2:$K$4, Ledger!$B$2:$B$4, $A3, Ledger!$C$2:$C$4, TYL$2)),"****")</f>
        <v/>
      </c>
      <c r="TYM3" t="str">
        <f>IFERROR(IF($C3="","",SUMIFS(Ledger!$K$2:$K$4, Ledger!$B$2:$B$4, $A3, Ledger!$C$2:$C$4, TYM$2)),"****")</f>
        <v/>
      </c>
      <c r="TYN3" t="str">
        <f>IFERROR(IF($C3="","",SUMIFS(Ledger!$K$2:$K$4, Ledger!$B$2:$B$4, $A3, Ledger!$C$2:$C$4, TYN$2)),"****")</f>
        <v/>
      </c>
      <c r="TYO3" t="str">
        <f>IFERROR(IF($C3="","",SUMIFS(Ledger!$K$2:$K$4, Ledger!$B$2:$B$4, $A3, Ledger!$C$2:$C$4, TYO$2)),"****")</f>
        <v/>
      </c>
      <c r="TYP3" t="str">
        <f>IFERROR(IF($C3="","",SUMIFS(Ledger!$K$2:$K$4, Ledger!$B$2:$B$4, $A3, Ledger!$C$2:$C$4, TYP$2)),"****")</f>
        <v/>
      </c>
      <c r="TYQ3" t="str">
        <f>IFERROR(IF($C3="","",SUMIFS(Ledger!$K$2:$K$4, Ledger!$B$2:$B$4, $A3, Ledger!$C$2:$C$4, TYQ$2)),"****")</f>
        <v/>
      </c>
      <c r="TYR3" t="str">
        <f>IFERROR(IF($C3="","",SUMIFS(Ledger!$K$2:$K$4, Ledger!$B$2:$B$4, $A3, Ledger!$C$2:$C$4, TYR$2)),"****")</f>
        <v/>
      </c>
      <c r="TYS3" t="str">
        <f>IFERROR(IF($C3="","",SUMIFS(Ledger!$K$2:$K$4, Ledger!$B$2:$B$4, $A3, Ledger!$C$2:$C$4, TYS$2)),"****")</f>
        <v/>
      </c>
      <c r="TYT3" t="str">
        <f>IFERROR(IF($C3="","",SUMIFS(Ledger!$K$2:$K$4, Ledger!$B$2:$B$4, $A3, Ledger!$C$2:$C$4, TYT$2)),"****")</f>
        <v/>
      </c>
      <c r="TYU3" t="str">
        <f>IFERROR(IF($C3="","",SUMIFS(Ledger!$K$2:$K$4, Ledger!$B$2:$B$4, $A3, Ledger!$C$2:$C$4, TYU$2)),"****")</f>
        <v/>
      </c>
      <c r="TYV3" t="str">
        <f>IFERROR(IF($C3="","",SUMIFS(Ledger!$K$2:$K$4, Ledger!$B$2:$B$4, $A3, Ledger!$C$2:$C$4, TYV$2)),"****")</f>
        <v/>
      </c>
      <c r="TYW3" t="str">
        <f>IFERROR(IF($C3="","",SUMIFS(Ledger!$K$2:$K$4, Ledger!$B$2:$B$4, $A3, Ledger!$C$2:$C$4, TYW$2)),"****")</f>
        <v/>
      </c>
      <c r="TYX3" t="str">
        <f>IFERROR(IF($C3="","",SUMIFS(Ledger!$K$2:$K$4, Ledger!$B$2:$B$4, $A3, Ledger!$C$2:$C$4, TYX$2)),"****")</f>
        <v/>
      </c>
      <c r="TYY3" t="str">
        <f>IFERROR(IF($C3="","",SUMIFS(Ledger!$K$2:$K$4, Ledger!$B$2:$B$4, $A3, Ledger!$C$2:$C$4, TYY$2)),"****")</f>
        <v/>
      </c>
      <c r="TYZ3" t="str">
        <f>IFERROR(IF($C3="","",SUMIFS(Ledger!$K$2:$K$4, Ledger!$B$2:$B$4, $A3, Ledger!$C$2:$C$4, TYZ$2)),"****")</f>
        <v/>
      </c>
      <c r="TZA3" t="str">
        <f>IFERROR(IF($C3="","",SUMIFS(Ledger!$K$2:$K$4, Ledger!$B$2:$B$4, $A3, Ledger!$C$2:$C$4, TZA$2)),"****")</f>
        <v/>
      </c>
      <c r="TZB3" t="str">
        <f>IFERROR(IF($C3="","",SUMIFS(Ledger!$K$2:$K$4, Ledger!$B$2:$B$4, $A3, Ledger!$C$2:$C$4, TZB$2)),"****")</f>
        <v/>
      </c>
      <c r="TZC3" t="str">
        <f>IFERROR(IF($C3="","",SUMIFS(Ledger!$K$2:$K$4, Ledger!$B$2:$B$4, $A3, Ledger!$C$2:$C$4, TZC$2)),"****")</f>
        <v/>
      </c>
      <c r="TZD3" t="str">
        <f>IFERROR(IF($C3="","",SUMIFS(Ledger!$K$2:$K$4, Ledger!$B$2:$B$4, $A3, Ledger!$C$2:$C$4, TZD$2)),"****")</f>
        <v/>
      </c>
      <c r="TZE3" t="str">
        <f>IFERROR(IF($C3="","",SUMIFS(Ledger!$K$2:$K$4, Ledger!$B$2:$B$4, $A3, Ledger!$C$2:$C$4, TZE$2)),"****")</f>
        <v/>
      </c>
      <c r="TZF3" t="str">
        <f>IFERROR(IF($C3="","",SUMIFS(Ledger!$K$2:$K$4, Ledger!$B$2:$B$4, $A3, Ledger!$C$2:$C$4, TZF$2)),"****")</f>
        <v/>
      </c>
      <c r="TZG3" t="str">
        <f>IFERROR(IF($C3="","",SUMIFS(Ledger!$K$2:$K$4, Ledger!$B$2:$B$4, $A3, Ledger!$C$2:$C$4, TZG$2)),"****")</f>
        <v/>
      </c>
      <c r="TZH3" t="str">
        <f>IFERROR(IF($C3="","",SUMIFS(Ledger!$K$2:$K$4, Ledger!$B$2:$B$4, $A3, Ledger!$C$2:$C$4, TZH$2)),"****")</f>
        <v/>
      </c>
      <c r="TZI3" t="str">
        <f>IFERROR(IF($C3="","",SUMIFS(Ledger!$K$2:$K$4, Ledger!$B$2:$B$4, $A3, Ledger!$C$2:$C$4, TZI$2)),"****")</f>
        <v/>
      </c>
      <c r="TZJ3" t="str">
        <f>IFERROR(IF($C3="","",SUMIFS(Ledger!$K$2:$K$4, Ledger!$B$2:$B$4, $A3, Ledger!$C$2:$C$4, TZJ$2)),"****")</f>
        <v/>
      </c>
      <c r="TZK3" t="str">
        <f>IFERROR(IF($C3="","",SUMIFS(Ledger!$K$2:$K$4, Ledger!$B$2:$B$4, $A3, Ledger!$C$2:$C$4, TZK$2)),"****")</f>
        <v/>
      </c>
      <c r="TZL3" t="str">
        <f>IFERROR(IF($C3="","",SUMIFS(Ledger!$K$2:$K$4, Ledger!$B$2:$B$4, $A3, Ledger!$C$2:$C$4, TZL$2)),"****")</f>
        <v/>
      </c>
      <c r="TZM3" t="str">
        <f>IFERROR(IF($C3="","",SUMIFS(Ledger!$K$2:$K$4, Ledger!$B$2:$B$4, $A3, Ledger!$C$2:$C$4, TZM$2)),"****")</f>
        <v/>
      </c>
      <c r="TZN3" t="str">
        <f>IFERROR(IF($C3="","",SUMIFS(Ledger!$K$2:$K$4, Ledger!$B$2:$B$4, $A3, Ledger!$C$2:$C$4, TZN$2)),"****")</f>
        <v/>
      </c>
      <c r="TZO3" t="str">
        <f>IFERROR(IF($C3="","",SUMIFS(Ledger!$K$2:$K$4, Ledger!$B$2:$B$4, $A3, Ledger!$C$2:$C$4, TZO$2)),"****")</f>
        <v/>
      </c>
      <c r="TZP3" t="str">
        <f>IFERROR(IF($C3="","",SUMIFS(Ledger!$K$2:$K$4, Ledger!$B$2:$B$4, $A3, Ledger!$C$2:$C$4, TZP$2)),"****")</f>
        <v/>
      </c>
      <c r="TZQ3" t="str">
        <f>IFERROR(IF($C3="","",SUMIFS(Ledger!$K$2:$K$4, Ledger!$B$2:$B$4, $A3, Ledger!$C$2:$C$4, TZQ$2)),"****")</f>
        <v/>
      </c>
      <c r="TZR3" t="str">
        <f>IFERROR(IF($C3="","",SUMIFS(Ledger!$K$2:$K$4, Ledger!$B$2:$B$4, $A3, Ledger!$C$2:$C$4, TZR$2)),"****")</f>
        <v/>
      </c>
      <c r="TZS3" t="str">
        <f>IFERROR(IF($C3="","",SUMIFS(Ledger!$K$2:$K$4, Ledger!$B$2:$B$4, $A3, Ledger!$C$2:$C$4, TZS$2)),"****")</f>
        <v/>
      </c>
      <c r="TZT3" t="str">
        <f>IFERROR(IF($C3="","",SUMIFS(Ledger!$K$2:$K$4, Ledger!$B$2:$B$4, $A3, Ledger!$C$2:$C$4, TZT$2)),"****")</f>
        <v/>
      </c>
      <c r="TZU3" t="str">
        <f>IFERROR(IF($C3="","",SUMIFS(Ledger!$K$2:$K$4, Ledger!$B$2:$B$4, $A3, Ledger!$C$2:$C$4, TZU$2)),"****")</f>
        <v/>
      </c>
      <c r="TZV3" t="str">
        <f>IFERROR(IF($C3="","",SUMIFS(Ledger!$K$2:$K$4, Ledger!$B$2:$B$4, $A3, Ledger!$C$2:$C$4, TZV$2)),"****")</f>
        <v/>
      </c>
      <c r="TZW3" t="str">
        <f>IFERROR(IF($C3="","",SUMIFS(Ledger!$K$2:$K$4, Ledger!$B$2:$B$4, $A3, Ledger!$C$2:$C$4, TZW$2)),"****")</f>
        <v/>
      </c>
      <c r="TZX3" t="str">
        <f>IFERROR(IF($C3="","",SUMIFS(Ledger!$K$2:$K$4, Ledger!$B$2:$B$4, $A3, Ledger!$C$2:$C$4, TZX$2)),"****")</f>
        <v/>
      </c>
      <c r="TZY3" t="str">
        <f>IFERROR(IF($C3="","",SUMIFS(Ledger!$K$2:$K$4, Ledger!$B$2:$B$4, $A3, Ledger!$C$2:$C$4, TZY$2)),"****")</f>
        <v/>
      </c>
      <c r="TZZ3" t="str">
        <f>IFERROR(IF($C3="","",SUMIFS(Ledger!$K$2:$K$4, Ledger!$B$2:$B$4, $A3, Ledger!$C$2:$C$4, TZZ$2)),"****")</f>
        <v/>
      </c>
      <c r="UAA3" t="str">
        <f>IFERROR(IF($C3="","",SUMIFS(Ledger!$K$2:$K$4, Ledger!$B$2:$B$4, $A3, Ledger!$C$2:$C$4, UAA$2)),"****")</f>
        <v/>
      </c>
      <c r="UAB3" t="str">
        <f>IFERROR(IF($C3="","",SUMIFS(Ledger!$K$2:$K$4, Ledger!$B$2:$B$4, $A3, Ledger!$C$2:$C$4, UAB$2)),"****")</f>
        <v/>
      </c>
      <c r="UAC3" t="str">
        <f>IFERROR(IF($C3="","",SUMIFS(Ledger!$K$2:$K$4, Ledger!$B$2:$B$4, $A3, Ledger!$C$2:$C$4, UAC$2)),"****")</f>
        <v/>
      </c>
      <c r="UAD3" t="str">
        <f>IFERROR(IF($C3="","",SUMIFS(Ledger!$K$2:$K$4, Ledger!$B$2:$B$4, $A3, Ledger!$C$2:$C$4, UAD$2)),"****")</f>
        <v/>
      </c>
      <c r="UAE3" t="str">
        <f>IFERROR(IF($C3="","",SUMIFS(Ledger!$K$2:$K$4, Ledger!$B$2:$B$4, $A3, Ledger!$C$2:$C$4, UAE$2)),"****")</f>
        <v/>
      </c>
      <c r="UAF3" t="str">
        <f>IFERROR(IF($C3="","",SUMIFS(Ledger!$K$2:$K$4, Ledger!$B$2:$B$4, $A3, Ledger!$C$2:$C$4, UAF$2)),"****")</f>
        <v/>
      </c>
      <c r="UAG3" t="str">
        <f>IFERROR(IF($C3="","",SUMIFS(Ledger!$K$2:$K$4, Ledger!$B$2:$B$4, $A3, Ledger!$C$2:$C$4, UAG$2)),"****")</f>
        <v/>
      </c>
      <c r="UAH3" t="str">
        <f>IFERROR(IF($C3="","",SUMIFS(Ledger!$K$2:$K$4, Ledger!$B$2:$B$4, $A3, Ledger!$C$2:$C$4, UAH$2)),"****")</f>
        <v/>
      </c>
      <c r="UAI3" t="str">
        <f>IFERROR(IF($C3="","",SUMIFS(Ledger!$K$2:$K$4, Ledger!$B$2:$B$4, $A3, Ledger!$C$2:$C$4, UAI$2)),"****")</f>
        <v/>
      </c>
      <c r="UAJ3" t="str">
        <f>IFERROR(IF($C3="","",SUMIFS(Ledger!$K$2:$K$4, Ledger!$B$2:$B$4, $A3, Ledger!$C$2:$C$4, UAJ$2)),"****")</f>
        <v/>
      </c>
      <c r="UAK3" t="str">
        <f>IFERROR(IF($C3="","",SUMIFS(Ledger!$K$2:$K$4, Ledger!$B$2:$B$4, $A3, Ledger!$C$2:$C$4, UAK$2)),"****")</f>
        <v/>
      </c>
      <c r="UAL3" t="str">
        <f>IFERROR(IF($C3="","",SUMIFS(Ledger!$K$2:$K$4, Ledger!$B$2:$B$4, $A3, Ledger!$C$2:$C$4, UAL$2)),"****")</f>
        <v/>
      </c>
      <c r="UAM3" t="str">
        <f>IFERROR(IF($C3="","",SUMIFS(Ledger!$K$2:$K$4, Ledger!$B$2:$B$4, $A3, Ledger!$C$2:$C$4, UAM$2)),"****")</f>
        <v/>
      </c>
      <c r="UAN3" t="str">
        <f>IFERROR(IF($C3="","",SUMIFS(Ledger!$K$2:$K$4, Ledger!$B$2:$B$4, $A3, Ledger!$C$2:$C$4, UAN$2)),"****")</f>
        <v/>
      </c>
      <c r="UAO3" t="str">
        <f>IFERROR(IF($C3="","",SUMIFS(Ledger!$K$2:$K$4, Ledger!$B$2:$B$4, $A3, Ledger!$C$2:$C$4, UAO$2)),"****")</f>
        <v/>
      </c>
      <c r="UAP3" t="str">
        <f>IFERROR(IF($C3="","",SUMIFS(Ledger!$K$2:$K$4, Ledger!$B$2:$B$4, $A3, Ledger!$C$2:$C$4, UAP$2)),"****")</f>
        <v/>
      </c>
      <c r="UAQ3" t="str">
        <f>IFERROR(IF($C3="","",SUMIFS(Ledger!$K$2:$K$4, Ledger!$B$2:$B$4, $A3, Ledger!$C$2:$C$4, UAQ$2)),"****")</f>
        <v/>
      </c>
      <c r="UAR3" t="str">
        <f>IFERROR(IF($C3="","",SUMIFS(Ledger!$K$2:$K$4, Ledger!$B$2:$B$4, $A3, Ledger!$C$2:$C$4, UAR$2)),"****")</f>
        <v/>
      </c>
      <c r="UAS3" t="str">
        <f>IFERROR(IF($C3="","",SUMIFS(Ledger!$K$2:$K$4, Ledger!$B$2:$B$4, $A3, Ledger!$C$2:$C$4, UAS$2)),"****")</f>
        <v/>
      </c>
      <c r="UAT3" t="str">
        <f>IFERROR(IF($C3="","",SUMIFS(Ledger!$K$2:$K$4, Ledger!$B$2:$B$4, $A3, Ledger!$C$2:$C$4, UAT$2)),"****")</f>
        <v/>
      </c>
      <c r="UAU3" t="str">
        <f>IFERROR(IF($C3="","",SUMIFS(Ledger!$K$2:$K$4, Ledger!$B$2:$B$4, $A3, Ledger!$C$2:$C$4, UAU$2)),"****")</f>
        <v/>
      </c>
      <c r="UAV3" t="str">
        <f>IFERROR(IF($C3="","",SUMIFS(Ledger!$K$2:$K$4, Ledger!$B$2:$B$4, $A3, Ledger!$C$2:$C$4, UAV$2)),"****")</f>
        <v/>
      </c>
      <c r="UAW3" t="str">
        <f>IFERROR(IF($C3="","",SUMIFS(Ledger!$K$2:$K$4, Ledger!$B$2:$B$4, $A3, Ledger!$C$2:$C$4, UAW$2)),"****")</f>
        <v/>
      </c>
      <c r="UAX3" t="str">
        <f>IFERROR(IF($C3="","",SUMIFS(Ledger!$K$2:$K$4, Ledger!$B$2:$B$4, $A3, Ledger!$C$2:$C$4, UAX$2)),"****")</f>
        <v/>
      </c>
      <c r="UAY3" t="str">
        <f>IFERROR(IF($C3="","",SUMIFS(Ledger!$K$2:$K$4, Ledger!$B$2:$B$4, $A3, Ledger!$C$2:$C$4, UAY$2)),"****")</f>
        <v/>
      </c>
      <c r="UAZ3" t="str">
        <f>IFERROR(IF($C3="","",SUMIFS(Ledger!$K$2:$K$4, Ledger!$B$2:$B$4, $A3, Ledger!$C$2:$C$4, UAZ$2)),"****")</f>
        <v/>
      </c>
      <c r="UBA3" t="str">
        <f>IFERROR(IF($C3="","",SUMIFS(Ledger!$K$2:$K$4, Ledger!$B$2:$B$4, $A3, Ledger!$C$2:$C$4, UBA$2)),"****")</f>
        <v/>
      </c>
      <c r="UBB3" t="str">
        <f>IFERROR(IF($C3="","",SUMIFS(Ledger!$K$2:$K$4, Ledger!$B$2:$B$4, $A3, Ledger!$C$2:$C$4, UBB$2)),"****")</f>
        <v/>
      </c>
      <c r="UBC3" t="str">
        <f>IFERROR(IF($C3="","",SUMIFS(Ledger!$K$2:$K$4, Ledger!$B$2:$B$4, $A3, Ledger!$C$2:$C$4, UBC$2)),"****")</f>
        <v/>
      </c>
      <c r="UBD3" t="str">
        <f>IFERROR(IF($C3="","",SUMIFS(Ledger!$K$2:$K$4, Ledger!$B$2:$B$4, $A3, Ledger!$C$2:$C$4, UBD$2)),"****")</f>
        <v/>
      </c>
      <c r="UBE3" t="str">
        <f>IFERROR(IF($C3="","",SUMIFS(Ledger!$K$2:$K$4, Ledger!$B$2:$B$4, $A3, Ledger!$C$2:$C$4, UBE$2)),"****")</f>
        <v/>
      </c>
      <c r="UBF3" t="str">
        <f>IFERROR(IF($C3="","",SUMIFS(Ledger!$K$2:$K$4, Ledger!$B$2:$B$4, $A3, Ledger!$C$2:$C$4, UBF$2)),"****")</f>
        <v/>
      </c>
      <c r="UBG3" t="str">
        <f>IFERROR(IF($C3="","",SUMIFS(Ledger!$K$2:$K$4, Ledger!$B$2:$B$4, $A3, Ledger!$C$2:$C$4, UBG$2)),"****")</f>
        <v/>
      </c>
      <c r="UBH3" t="str">
        <f>IFERROR(IF($C3="","",SUMIFS(Ledger!$K$2:$K$4, Ledger!$B$2:$B$4, $A3, Ledger!$C$2:$C$4, UBH$2)),"****")</f>
        <v/>
      </c>
      <c r="UBI3" t="str">
        <f>IFERROR(IF($C3="","",SUMIFS(Ledger!$K$2:$K$4, Ledger!$B$2:$B$4, $A3, Ledger!$C$2:$C$4, UBI$2)),"****")</f>
        <v/>
      </c>
      <c r="UBJ3" t="str">
        <f>IFERROR(IF($C3="","",SUMIFS(Ledger!$K$2:$K$4, Ledger!$B$2:$B$4, $A3, Ledger!$C$2:$C$4, UBJ$2)),"****")</f>
        <v/>
      </c>
      <c r="UBK3" t="str">
        <f>IFERROR(IF($C3="","",SUMIFS(Ledger!$K$2:$K$4, Ledger!$B$2:$B$4, $A3, Ledger!$C$2:$C$4, UBK$2)),"****")</f>
        <v/>
      </c>
      <c r="UBL3" t="str">
        <f>IFERROR(IF($C3="","",SUMIFS(Ledger!$K$2:$K$4, Ledger!$B$2:$B$4, $A3, Ledger!$C$2:$C$4, UBL$2)),"****")</f>
        <v/>
      </c>
      <c r="UBM3" t="str">
        <f>IFERROR(IF($C3="","",SUMIFS(Ledger!$K$2:$K$4, Ledger!$B$2:$B$4, $A3, Ledger!$C$2:$C$4, UBM$2)),"****")</f>
        <v/>
      </c>
      <c r="UBN3" t="str">
        <f>IFERROR(IF($C3="","",SUMIFS(Ledger!$K$2:$K$4, Ledger!$B$2:$B$4, $A3, Ledger!$C$2:$C$4, UBN$2)),"****")</f>
        <v/>
      </c>
      <c r="UBO3" t="str">
        <f>IFERROR(IF($C3="","",SUMIFS(Ledger!$K$2:$K$4, Ledger!$B$2:$B$4, $A3, Ledger!$C$2:$C$4, UBO$2)),"****")</f>
        <v/>
      </c>
      <c r="UBP3" t="str">
        <f>IFERROR(IF($C3="","",SUMIFS(Ledger!$K$2:$K$4, Ledger!$B$2:$B$4, $A3, Ledger!$C$2:$C$4, UBP$2)),"****")</f>
        <v/>
      </c>
      <c r="UBQ3" t="str">
        <f>IFERROR(IF($C3="","",SUMIFS(Ledger!$K$2:$K$4, Ledger!$B$2:$B$4, $A3, Ledger!$C$2:$C$4, UBQ$2)),"****")</f>
        <v/>
      </c>
      <c r="UBR3" t="str">
        <f>IFERROR(IF($C3="","",SUMIFS(Ledger!$K$2:$K$4, Ledger!$B$2:$B$4, $A3, Ledger!$C$2:$C$4, UBR$2)),"****")</f>
        <v/>
      </c>
      <c r="UBS3" t="str">
        <f>IFERROR(IF($C3="","",SUMIFS(Ledger!$K$2:$K$4, Ledger!$B$2:$B$4, $A3, Ledger!$C$2:$C$4, UBS$2)),"****")</f>
        <v/>
      </c>
      <c r="UBT3" t="str">
        <f>IFERROR(IF($C3="","",SUMIFS(Ledger!$K$2:$K$4, Ledger!$B$2:$B$4, $A3, Ledger!$C$2:$C$4, UBT$2)),"****")</f>
        <v/>
      </c>
      <c r="UBU3" t="str">
        <f>IFERROR(IF($C3="","",SUMIFS(Ledger!$K$2:$K$4, Ledger!$B$2:$B$4, $A3, Ledger!$C$2:$C$4, UBU$2)),"****")</f>
        <v/>
      </c>
      <c r="UBV3" t="str">
        <f>IFERROR(IF($C3="","",SUMIFS(Ledger!$K$2:$K$4, Ledger!$B$2:$B$4, $A3, Ledger!$C$2:$C$4, UBV$2)),"****")</f>
        <v/>
      </c>
      <c r="UBW3" t="str">
        <f>IFERROR(IF($C3="","",SUMIFS(Ledger!$K$2:$K$4, Ledger!$B$2:$B$4, $A3, Ledger!$C$2:$C$4, UBW$2)),"****")</f>
        <v/>
      </c>
      <c r="UBX3" t="str">
        <f>IFERROR(IF($C3="","",SUMIFS(Ledger!$K$2:$K$4, Ledger!$B$2:$B$4, $A3, Ledger!$C$2:$C$4, UBX$2)),"****")</f>
        <v/>
      </c>
      <c r="UBY3" t="str">
        <f>IFERROR(IF($C3="","",SUMIFS(Ledger!$K$2:$K$4, Ledger!$B$2:$B$4, $A3, Ledger!$C$2:$C$4, UBY$2)),"****")</f>
        <v/>
      </c>
      <c r="UBZ3" t="str">
        <f>IFERROR(IF($C3="","",SUMIFS(Ledger!$K$2:$K$4, Ledger!$B$2:$B$4, $A3, Ledger!$C$2:$C$4, UBZ$2)),"****")</f>
        <v/>
      </c>
      <c r="UCA3" t="str">
        <f>IFERROR(IF($C3="","",SUMIFS(Ledger!$K$2:$K$4, Ledger!$B$2:$B$4, $A3, Ledger!$C$2:$C$4, UCA$2)),"****")</f>
        <v/>
      </c>
      <c r="UCB3" t="str">
        <f>IFERROR(IF($C3="","",SUMIFS(Ledger!$K$2:$K$4, Ledger!$B$2:$B$4, $A3, Ledger!$C$2:$C$4, UCB$2)),"****")</f>
        <v/>
      </c>
      <c r="UCC3" t="str">
        <f>IFERROR(IF($C3="","",SUMIFS(Ledger!$K$2:$K$4, Ledger!$B$2:$B$4, $A3, Ledger!$C$2:$C$4, UCC$2)),"****")</f>
        <v/>
      </c>
      <c r="UCD3" t="str">
        <f>IFERROR(IF($C3="","",SUMIFS(Ledger!$K$2:$K$4, Ledger!$B$2:$B$4, $A3, Ledger!$C$2:$C$4, UCD$2)),"****")</f>
        <v/>
      </c>
      <c r="UCE3" t="str">
        <f>IFERROR(IF($C3="","",SUMIFS(Ledger!$K$2:$K$4, Ledger!$B$2:$B$4, $A3, Ledger!$C$2:$C$4, UCE$2)),"****")</f>
        <v/>
      </c>
      <c r="UCF3" t="str">
        <f>IFERROR(IF($C3="","",SUMIFS(Ledger!$K$2:$K$4, Ledger!$B$2:$B$4, $A3, Ledger!$C$2:$C$4, UCF$2)),"****")</f>
        <v/>
      </c>
      <c r="UCG3" t="str">
        <f>IFERROR(IF($C3="","",SUMIFS(Ledger!$K$2:$K$4, Ledger!$B$2:$B$4, $A3, Ledger!$C$2:$C$4, UCG$2)),"****")</f>
        <v/>
      </c>
      <c r="UCH3" t="str">
        <f>IFERROR(IF($C3="","",SUMIFS(Ledger!$K$2:$K$4, Ledger!$B$2:$B$4, $A3, Ledger!$C$2:$C$4, UCH$2)),"****")</f>
        <v/>
      </c>
      <c r="UCI3" t="str">
        <f>IFERROR(IF($C3="","",SUMIFS(Ledger!$K$2:$K$4, Ledger!$B$2:$B$4, $A3, Ledger!$C$2:$C$4, UCI$2)),"****")</f>
        <v/>
      </c>
      <c r="UCJ3" t="str">
        <f>IFERROR(IF($C3="","",SUMIFS(Ledger!$K$2:$K$4, Ledger!$B$2:$B$4, $A3, Ledger!$C$2:$C$4, UCJ$2)),"****")</f>
        <v/>
      </c>
      <c r="UCK3" t="str">
        <f>IFERROR(IF($C3="","",SUMIFS(Ledger!$K$2:$K$4, Ledger!$B$2:$B$4, $A3, Ledger!$C$2:$C$4, UCK$2)),"****")</f>
        <v/>
      </c>
      <c r="UCL3" t="str">
        <f>IFERROR(IF($C3="","",SUMIFS(Ledger!$K$2:$K$4, Ledger!$B$2:$B$4, $A3, Ledger!$C$2:$C$4, UCL$2)),"****")</f>
        <v/>
      </c>
      <c r="UCM3" t="str">
        <f>IFERROR(IF($C3="","",SUMIFS(Ledger!$K$2:$K$4, Ledger!$B$2:$B$4, $A3, Ledger!$C$2:$C$4, UCM$2)),"****")</f>
        <v/>
      </c>
      <c r="UCN3" t="str">
        <f>IFERROR(IF($C3="","",SUMIFS(Ledger!$K$2:$K$4, Ledger!$B$2:$B$4, $A3, Ledger!$C$2:$C$4, UCN$2)),"****")</f>
        <v/>
      </c>
      <c r="UCO3" t="str">
        <f>IFERROR(IF($C3="","",SUMIFS(Ledger!$K$2:$K$4, Ledger!$B$2:$B$4, $A3, Ledger!$C$2:$C$4, UCO$2)),"****")</f>
        <v/>
      </c>
      <c r="UCP3" t="str">
        <f>IFERROR(IF($C3="","",SUMIFS(Ledger!$K$2:$K$4, Ledger!$B$2:$B$4, $A3, Ledger!$C$2:$C$4, UCP$2)),"****")</f>
        <v/>
      </c>
      <c r="UCQ3" t="str">
        <f>IFERROR(IF($C3="","",SUMIFS(Ledger!$K$2:$K$4, Ledger!$B$2:$B$4, $A3, Ledger!$C$2:$C$4, UCQ$2)),"****")</f>
        <v/>
      </c>
      <c r="UCR3" t="str">
        <f>IFERROR(IF($C3="","",SUMIFS(Ledger!$K$2:$K$4, Ledger!$B$2:$B$4, $A3, Ledger!$C$2:$C$4, UCR$2)),"****")</f>
        <v/>
      </c>
      <c r="UCS3" t="str">
        <f>IFERROR(IF($C3="","",SUMIFS(Ledger!$K$2:$K$4, Ledger!$B$2:$B$4, $A3, Ledger!$C$2:$C$4, UCS$2)),"****")</f>
        <v/>
      </c>
      <c r="UCT3" t="str">
        <f>IFERROR(IF($C3="","",SUMIFS(Ledger!$K$2:$K$4, Ledger!$B$2:$B$4, $A3, Ledger!$C$2:$C$4, UCT$2)),"****")</f>
        <v/>
      </c>
      <c r="UCU3" t="str">
        <f>IFERROR(IF($C3="","",SUMIFS(Ledger!$K$2:$K$4, Ledger!$B$2:$B$4, $A3, Ledger!$C$2:$C$4, UCU$2)),"****")</f>
        <v/>
      </c>
      <c r="UCV3" t="str">
        <f>IFERROR(IF($C3="","",SUMIFS(Ledger!$K$2:$K$4, Ledger!$B$2:$B$4, $A3, Ledger!$C$2:$C$4, UCV$2)),"****")</f>
        <v/>
      </c>
      <c r="UCW3" t="str">
        <f>IFERROR(IF($C3="","",SUMIFS(Ledger!$K$2:$K$4, Ledger!$B$2:$B$4, $A3, Ledger!$C$2:$C$4, UCW$2)),"****")</f>
        <v/>
      </c>
      <c r="UCX3" t="str">
        <f>IFERROR(IF($C3="","",SUMIFS(Ledger!$K$2:$K$4, Ledger!$B$2:$B$4, $A3, Ledger!$C$2:$C$4, UCX$2)),"****")</f>
        <v/>
      </c>
      <c r="UCY3" t="str">
        <f>IFERROR(IF($C3="","",SUMIFS(Ledger!$K$2:$K$4, Ledger!$B$2:$B$4, $A3, Ledger!$C$2:$C$4, UCY$2)),"****")</f>
        <v/>
      </c>
      <c r="UCZ3" t="str">
        <f>IFERROR(IF($C3="","",SUMIFS(Ledger!$K$2:$K$4, Ledger!$B$2:$B$4, $A3, Ledger!$C$2:$C$4, UCZ$2)),"****")</f>
        <v/>
      </c>
      <c r="UDA3" t="str">
        <f>IFERROR(IF($C3="","",SUMIFS(Ledger!$K$2:$K$4, Ledger!$B$2:$B$4, $A3, Ledger!$C$2:$C$4, UDA$2)),"****")</f>
        <v/>
      </c>
      <c r="UDB3" t="str">
        <f>IFERROR(IF($C3="","",SUMIFS(Ledger!$K$2:$K$4, Ledger!$B$2:$B$4, $A3, Ledger!$C$2:$C$4, UDB$2)),"****")</f>
        <v/>
      </c>
      <c r="UDC3" t="str">
        <f>IFERROR(IF($C3="","",SUMIFS(Ledger!$K$2:$K$4, Ledger!$B$2:$B$4, $A3, Ledger!$C$2:$C$4, UDC$2)),"****")</f>
        <v/>
      </c>
      <c r="UDD3" t="str">
        <f>IFERROR(IF($C3="","",SUMIFS(Ledger!$K$2:$K$4, Ledger!$B$2:$B$4, $A3, Ledger!$C$2:$C$4, UDD$2)),"****")</f>
        <v/>
      </c>
      <c r="UDE3" t="str">
        <f>IFERROR(IF($C3="","",SUMIFS(Ledger!$K$2:$K$4, Ledger!$B$2:$B$4, $A3, Ledger!$C$2:$C$4, UDE$2)),"****")</f>
        <v/>
      </c>
      <c r="UDF3" t="str">
        <f>IFERROR(IF($C3="","",SUMIFS(Ledger!$K$2:$K$4, Ledger!$B$2:$B$4, $A3, Ledger!$C$2:$C$4, UDF$2)),"****")</f>
        <v/>
      </c>
      <c r="UDG3" t="str">
        <f>IFERROR(IF($C3="","",SUMIFS(Ledger!$K$2:$K$4, Ledger!$B$2:$B$4, $A3, Ledger!$C$2:$C$4, UDG$2)),"****")</f>
        <v/>
      </c>
      <c r="UDH3" t="str">
        <f>IFERROR(IF($C3="","",SUMIFS(Ledger!$K$2:$K$4, Ledger!$B$2:$B$4, $A3, Ledger!$C$2:$C$4, UDH$2)),"****")</f>
        <v/>
      </c>
      <c r="UDI3" t="str">
        <f>IFERROR(IF($C3="","",SUMIFS(Ledger!$K$2:$K$4, Ledger!$B$2:$B$4, $A3, Ledger!$C$2:$C$4, UDI$2)),"****")</f>
        <v/>
      </c>
      <c r="UDJ3" t="str">
        <f>IFERROR(IF($C3="","",SUMIFS(Ledger!$K$2:$K$4, Ledger!$B$2:$B$4, $A3, Ledger!$C$2:$C$4, UDJ$2)),"****")</f>
        <v/>
      </c>
      <c r="UDK3" t="str">
        <f>IFERROR(IF($C3="","",SUMIFS(Ledger!$K$2:$K$4, Ledger!$B$2:$B$4, $A3, Ledger!$C$2:$C$4, UDK$2)),"****")</f>
        <v/>
      </c>
      <c r="UDL3" t="str">
        <f>IFERROR(IF($C3="","",SUMIFS(Ledger!$K$2:$K$4, Ledger!$B$2:$B$4, $A3, Ledger!$C$2:$C$4, UDL$2)),"****")</f>
        <v/>
      </c>
      <c r="UDM3" t="str">
        <f>IFERROR(IF($C3="","",SUMIFS(Ledger!$K$2:$K$4, Ledger!$B$2:$B$4, $A3, Ledger!$C$2:$C$4, UDM$2)),"****")</f>
        <v/>
      </c>
      <c r="UDN3" t="str">
        <f>IFERROR(IF($C3="","",SUMIFS(Ledger!$K$2:$K$4, Ledger!$B$2:$B$4, $A3, Ledger!$C$2:$C$4, UDN$2)),"****")</f>
        <v/>
      </c>
      <c r="UDO3" t="str">
        <f>IFERROR(IF($C3="","",SUMIFS(Ledger!$K$2:$K$4, Ledger!$B$2:$B$4, $A3, Ledger!$C$2:$C$4, UDO$2)),"****")</f>
        <v/>
      </c>
      <c r="UDP3" t="str">
        <f>IFERROR(IF($C3="","",SUMIFS(Ledger!$K$2:$K$4, Ledger!$B$2:$B$4, $A3, Ledger!$C$2:$C$4, UDP$2)),"****")</f>
        <v/>
      </c>
      <c r="UDQ3" t="str">
        <f>IFERROR(IF($C3="","",SUMIFS(Ledger!$K$2:$K$4, Ledger!$B$2:$B$4, $A3, Ledger!$C$2:$C$4, UDQ$2)),"****")</f>
        <v/>
      </c>
      <c r="UDR3" t="str">
        <f>IFERROR(IF($C3="","",SUMIFS(Ledger!$K$2:$K$4, Ledger!$B$2:$B$4, $A3, Ledger!$C$2:$C$4, UDR$2)),"****")</f>
        <v/>
      </c>
      <c r="UDS3" t="str">
        <f>IFERROR(IF($C3="","",SUMIFS(Ledger!$K$2:$K$4, Ledger!$B$2:$B$4, $A3, Ledger!$C$2:$C$4, UDS$2)),"****")</f>
        <v/>
      </c>
      <c r="UDT3" t="str">
        <f>IFERROR(IF($C3="","",SUMIFS(Ledger!$K$2:$K$4, Ledger!$B$2:$B$4, $A3, Ledger!$C$2:$C$4, UDT$2)),"****")</f>
        <v/>
      </c>
      <c r="UDU3" t="str">
        <f>IFERROR(IF($C3="","",SUMIFS(Ledger!$K$2:$K$4, Ledger!$B$2:$B$4, $A3, Ledger!$C$2:$C$4, UDU$2)),"****")</f>
        <v/>
      </c>
      <c r="UDV3" t="str">
        <f>IFERROR(IF($C3="","",SUMIFS(Ledger!$K$2:$K$4, Ledger!$B$2:$B$4, $A3, Ledger!$C$2:$C$4, UDV$2)),"****")</f>
        <v/>
      </c>
      <c r="UDW3" t="str">
        <f>IFERROR(IF($C3="","",SUMIFS(Ledger!$K$2:$K$4, Ledger!$B$2:$B$4, $A3, Ledger!$C$2:$C$4, UDW$2)),"****")</f>
        <v/>
      </c>
      <c r="UDX3" t="str">
        <f>IFERROR(IF($C3="","",SUMIFS(Ledger!$K$2:$K$4, Ledger!$B$2:$B$4, $A3, Ledger!$C$2:$C$4, UDX$2)),"****")</f>
        <v/>
      </c>
      <c r="UDY3" t="str">
        <f>IFERROR(IF($C3="","",SUMIFS(Ledger!$K$2:$K$4, Ledger!$B$2:$B$4, $A3, Ledger!$C$2:$C$4, UDY$2)),"****")</f>
        <v/>
      </c>
      <c r="UDZ3" t="str">
        <f>IFERROR(IF($C3="","",SUMIFS(Ledger!$K$2:$K$4, Ledger!$B$2:$B$4, $A3, Ledger!$C$2:$C$4, UDZ$2)),"****")</f>
        <v/>
      </c>
      <c r="UEA3" t="str">
        <f>IFERROR(IF($C3="","",SUMIFS(Ledger!$K$2:$K$4, Ledger!$B$2:$B$4, $A3, Ledger!$C$2:$C$4, UEA$2)),"****")</f>
        <v/>
      </c>
      <c r="UEB3" t="str">
        <f>IFERROR(IF($C3="","",SUMIFS(Ledger!$K$2:$K$4, Ledger!$B$2:$B$4, $A3, Ledger!$C$2:$C$4, UEB$2)),"****")</f>
        <v/>
      </c>
      <c r="UEC3" t="str">
        <f>IFERROR(IF($C3="","",SUMIFS(Ledger!$K$2:$K$4, Ledger!$B$2:$B$4, $A3, Ledger!$C$2:$C$4, UEC$2)),"****")</f>
        <v/>
      </c>
      <c r="UED3" t="str">
        <f>IFERROR(IF($C3="","",SUMIFS(Ledger!$K$2:$K$4, Ledger!$B$2:$B$4, $A3, Ledger!$C$2:$C$4, UED$2)),"****")</f>
        <v/>
      </c>
      <c r="UEE3" t="str">
        <f>IFERROR(IF($C3="","",SUMIFS(Ledger!$K$2:$K$4, Ledger!$B$2:$B$4, $A3, Ledger!$C$2:$C$4, UEE$2)),"****")</f>
        <v/>
      </c>
      <c r="UEF3" t="str">
        <f>IFERROR(IF($C3="","",SUMIFS(Ledger!$K$2:$K$4, Ledger!$B$2:$B$4, $A3, Ledger!$C$2:$C$4, UEF$2)),"****")</f>
        <v/>
      </c>
      <c r="UEG3" t="str">
        <f>IFERROR(IF($C3="","",SUMIFS(Ledger!$K$2:$K$4, Ledger!$B$2:$B$4, $A3, Ledger!$C$2:$C$4, UEG$2)),"****")</f>
        <v/>
      </c>
      <c r="UEH3" t="str">
        <f>IFERROR(IF($C3="","",SUMIFS(Ledger!$K$2:$K$4, Ledger!$B$2:$B$4, $A3, Ledger!$C$2:$C$4, UEH$2)),"****")</f>
        <v/>
      </c>
      <c r="UEI3" t="str">
        <f>IFERROR(IF($C3="","",SUMIFS(Ledger!$K$2:$K$4, Ledger!$B$2:$B$4, $A3, Ledger!$C$2:$C$4, UEI$2)),"****")</f>
        <v/>
      </c>
      <c r="UEJ3" t="str">
        <f>IFERROR(IF($C3="","",SUMIFS(Ledger!$K$2:$K$4, Ledger!$B$2:$B$4, $A3, Ledger!$C$2:$C$4, UEJ$2)),"****")</f>
        <v/>
      </c>
      <c r="UEK3" t="str">
        <f>IFERROR(IF($C3="","",SUMIFS(Ledger!$K$2:$K$4, Ledger!$B$2:$B$4, $A3, Ledger!$C$2:$C$4, UEK$2)),"****")</f>
        <v/>
      </c>
      <c r="UEL3" t="str">
        <f>IFERROR(IF($C3="","",SUMIFS(Ledger!$K$2:$K$4, Ledger!$B$2:$B$4, $A3, Ledger!$C$2:$C$4, UEL$2)),"****")</f>
        <v/>
      </c>
      <c r="UEM3" t="str">
        <f>IFERROR(IF($C3="","",SUMIFS(Ledger!$K$2:$K$4, Ledger!$B$2:$B$4, $A3, Ledger!$C$2:$C$4, UEM$2)),"****")</f>
        <v/>
      </c>
      <c r="UEN3" t="str">
        <f>IFERROR(IF($C3="","",SUMIFS(Ledger!$K$2:$K$4, Ledger!$B$2:$B$4, $A3, Ledger!$C$2:$C$4, UEN$2)),"****")</f>
        <v/>
      </c>
      <c r="UEO3" t="str">
        <f>IFERROR(IF($C3="","",SUMIFS(Ledger!$K$2:$K$4, Ledger!$B$2:$B$4, $A3, Ledger!$C$2:$C$4, UEO$2)),"****")</f>
        <v/>
      </c>
      <c r="UEP3" t="str">
        <f>IFERROR(IF($C3="","",SUMIFS(Ledger!$K$2:$K$4, Ledger!$B$2:$B$4, $A3, Ledger!$C$2:$C$4, UEP$2)),"****")</f>
        <v/>
      </c>
      <c r="UEQ3" t="str">
        <f>IFERROR(IF($C3="","",SUMIFS(Ledger!$K$2:$K$4, Ledger!$B$2:$B$4, $A3, Ledger!$C$2:$C$4, UEQ$2)),"****")</f>
        <v/>
      </c>
      <c r="UER3" t="str">
        <f>IFERROR(IF($C3="","",SUMIFS(Ledger!$K$2:$K$4, Ledger!$B$2:$B$4, $A3, Ledger!$C$2:$C$4, UER$2)),"****")</f>
        <v/>
      </c>
      <c r="UES3" t="str">
        <f>IFERROR(IF($C3="","",SUMIFS(Ledger!$K$2:$K$4, Ledger!$B$2:$B$4, $A3, Ledger!$C$2:$C$4, UES$2)),"****")</f>
        <v/>
      </c>
      <c r="UET3" t="str">
        <f>IFERROR(IF($C3="","",SUMIFS(Ledger!$K$2:$K$4, Ledger!$B$2:$B$4, $A3, Ledger!$C$2:$C$4, UET$2)),"****")</f>
        <v/>
      </c>
      <c r="UEU3" t="str">
        <f>IFERROR(IF($C3="","",SUMIFS(Ledger!$K$2:$K$4, Ledger!$B$2:$B$4, $A3, Ledger!$C$2:$C$4, UEU$2)),"****")</f>
        <v/>
      </c>
      <c r="UEV3" t="str">
        <f>IFERROR(IF($C3="","",SUMIFS(Ledger!$K$2:$K$4, Ledger!$B$2:$B$4, $A3, Ledger!$C$2:$C$4, UEV$2)),"****")</f>
        <v/>
      </c>
      <c r="UEW3" t="str">
        <f>IFERROR(IF($C3="","",SUMIFS(Ledger!$K$2:$K$4, Ledger!$B$2:$B$4, $A3, Ledger!$C$2:$C$4, UEW$2)),"****")</f>
        <v/>
      </c>
      <c r="UEX3" t="str">
        <f>IFERROR(IF($C3="","",SUMIFS(Ledger!$K$2:$K$4, Ledger!$B$2:$B$4, $A3, Ledger!$C$2:$C$4, UEX$2)),"****")</f>
        <v/>
      </c>
      <c r="UEY3" t="str">
        <f>IFERROR(IF($C3="","",SUMIFS(Ledger!$K$2:$K$4, Ledger!$B$2:$B$4, $A3, Ledger!$C$2:$C$4, UEY$2)),"****")</f>
        <v/>
      </c>
      <c r="UEZ3" t="str">
        <f>IFERROR(IF($C3="","",SUMIFS(Ledger!$K$2:$K$4, Ledger!$B$2:$B$4, $A3, Ledger!$C$2:$C$4, UEZ$2)),"****")</f>
        <v/>
      </c>
      <c r="UFA3" t="str">
        <f>IFERROR(IF($C3="","",SUMIFS(Ledger!$K$2:$K$4, Ledger!$B$2:$B$4, $A3, Ledger!$C$2:$C$4, UFA$2)),"****")</f>
        <v/>
      </c>
      <c r="UFB3" t="str">
        <f>IFERROR(IF($C3="","",SUMIFS(Ledger!$K$2:$K$4, Ledger!$B$2:$B$4, $A3, Ledger!$C$2:$C$4, UFB$2)),"****")</f>
        <v/>
      </c>
      <c r="UFC3" t="str">
        <f>IFERROR(IF($C3="","",SUMIFS(Ledger!$K$2:$K$4, Ledger!$B$2:$B$4, $A3, Ledger!$C$2:$C$4, UFC$2)),"****")</f>
        <v/>
      </c>
      <c r="UFD3" t="str">
        <f>IFERROR(IF($C3="","",SUMIFS(Ledger!$K$2:$K$4, Ledger!$B$2:$B$4, $A3, Ledger!$C$2:$C$4, UFD$2)),"****")</f>
        <v/>
      </c>
      <c r="UFE3" t="str">
        <f>IFERROR(IF($C3="","",SUMIFS(Ledger!$K$2:$K$4, Ledger!$B$2:$B$4, $A3, Ledger!$C$2:$C$4, UFE$2)),"****")</f>
        <v/>
      </c>
      <c r="UFF3" t="str">
        <f>IFERROR(IF($C3="","",SUMIFS(Ledger!$K$2:$K$4, Ledger!$B$2:$B$4, $A3, Ledger!$C$2:$C$4, UFF$2)),"****")</f>
        <v/>
      </c>
      <c r="UFG3" t="str">
        <f>IFERROR(IF($C3="","",SUMIFS(Ledger!$K$2:$K$4, Ledger!$B$2:$B$4, $A3, Ledger!$C$2:$C$4, UFG$2)),"****")</f>
        <v/>
      </c>
      <c r="UFH3" t="str">
        <f>IFERROR(IF($C3="","",SUMIFS(Ledger!$K$2:$K$4, Ledger!$B$2:$B$4, $A3, Ledger!$C$2:$C$4, UFH$2)),"****")</f>
        <v/>
      </c>
      <c r="UFI3" t="str">
        <f>IFERROR(IF($C3="","",SUMIFS(Ledger!$K$2:$K$4, Ledger!$B$2:$B$4, $A3, Ledger!$C$2:$C$4, UFI$2)),"****")</f>
        <v/>
      </c>
      <c r="UFJ3" t="str">
        <f>IFERROR(IF($C3="","",SUMIFS(Ledger!$K$2:$K$4, Ledger!$B$2:$B$4, $A3, Ledger!$C$2:$C$4, UFJ$2)),"****")</f>
        <v/>
      </c>
      <c r="UFK3" t="str">
        <f>IFERROR(IF($C3="","",SUMIFS(Ledger!$K$2:$K$4, Ledger!$B$2:$B$4, $A3, Ledger!$C$2:$C$4, UFK$2)),"****")</f>
        <v/>
      </c>
      <c r="UFL3" t="str">
        <f>IFERROR(IF($C3="","",SUMIFS(Ledger!$K$2:$K$4, Ledger!$B$2:$B$4, $A3, Ledger!$C$2:$C$4, UFL$2)),"****")</f>
        <v/>
      </c>
      <c r="UFM3" t="str">
        <f>IFERROR(IF($C3="","",SUMIFS(Ledger!$K$2:$K$4, Ledger!$B$2:$B$4, $A3, Ledger!$C$2:$C$4, UFM$2)),"****")</f>
        <v/>
      </c>
      <c r="UFN3" t="str">
        <f>IFERROR(IF($C3="","",SUMIFS(Ledger!$K$2:$K$4, Ledger!$B$2:$B$4, $A3, Ledger!$C$2:$C$4, UFN$2)),"****")</f>
        <v/>
      </c>
      <c r="UFO3" t="str">
        <f>IFERROR(IF($C3="","",SUMIFS(Ledger!$K$2:$K$4, Ledger!$B$2:$B$4, $A3, Ledger!$C$2:$C$4, UFO$2)),"****")</f>
        <v/>
      </c>
      <c r="UFP3" t="str">
        <f>IFERROR(IF($C3="","",SUMIFS(Ledger!$K$2:$K$4, Ledger!$B$2:$B$4, $A3, Ledger!$C$2:$C$4, UFP$2)),"****")</f>
        <v/>
      </c>
      <c r="UFQ3" t="str">
        <f>IFERROR(IF($C3="","",SUMIFS(Ledger!$K$2:$K$4, Ledger!$B$2:$B$4, $A3, Ledger!$C$2:$C$4, UFQ$2)),"****")</f>
        <v/>
      </c>
      <c r="UFR3" t="str">
        <f>IFERROR(IF($C3="","",SUMIFS(Ledger!$K$2:$K$4, Ledger!$B$2:$B$4, $A3, Ledger!$C$2:$C$4, UFR$2)),"****")</f>
        <v/>
      </c>
      <c r="UFS3" t="str">
        <f>IFERROR(IF($C3="","",SUMIFS(Ledger!$K$2:$K$4, Ledger!$B$2:$B$4, $A3, Ledger!$C$2:$C$4, UFS$2)),"****")</f>
        <v/>
      </c>
      <c r="UFT3" t="str">
        <f>IFERROR(IF($C3="","",SUMIFS(Ledger!$K$2:$K$4, Ledger!$B$2:$B$4, $A3, Ledger!$C$2:$C$4, UFT$2)),"****")</f>
        <v/>
      </c>
      <c r="UFU3" t="str">
        <f>IFERROR(IF($C3="","",SUMIFS(Ledger!$K$2:$K$4, Ledger!$B$2:$B$4, $A3, Ledger!$C$2:$C$4, UFU$2)),"****")</f>
        <v/>
      </c>
      <c r="UFV3" t="str">
        <f>IFERROR(IF($C3="","",SUMIFS(Ledger!$K$2:$K$4, Ledger!$B$2:$B$4, $A3, Ledger!$C$2:$C$4, UFV$2)),"****")</f>
        <v/>
      </c>
      <c r="UFW3" t="str">
        <f>IFERROR(IF($C3="","",SUMIFS(Ledger!$K$2:$K$4, Ledger!$B$2:$B$4, $A3, Ledger!$C$2:$C$4, UFW$2)),"****")</f>
        <v/>
      </c>
      <c r="UFX3" t="str">
        <f>IFERROR(IF($C3="","",SUMIFS(Ledger!$K$2:$K$4, Ledger!$B$2:$B$4, $A3, Ledger!$C$2:$C$4, UFX$2)),"****")</f>
        <v/>
      </c>
      <c r="UFY3" t="str">
        <f>IFERROR(IF($C3="","",SUMIFS(Ledger!$K$2:$K$4, Ledger!$B$2:$B$4, $A3, Ledger!$C$2:$C$4, UFY$2)),"****")</f>
        <v/>
      </c>
      <c r="UFZ3" t="str">
        <f>IFERROR(IF($C3="","",SUMIFS(Ledger!$K$2:$K$4, Ledger!$B$2:$B$4, $A3, Ledger!$C$2:$C$4, UFZ$2)),"****")</f>
        <v/>
      </c>
      <c r="UGA3" t="str">
        <f>IFERROR(IF($C3="","",SUMIFS(Ledger!$K$2:$K$4, Ledger!$B$2:$B$4, $A3, Ledger!$C$2:$C$4, UGA$2)),"****")</f>
        <v/>
      </c>
      <c r="UGB3" t="str">
        <f>IFERROR(IF($C3="","",SUMIFS(Ledger!$K$2:$K$4, Ledger!$B$2:$B$4, $A3, Ledger!$C$2:$C$4, UGB$2)),"****")</f>
        <v/>
      </c>
      <c r="UGC3" t="str">
        <f>IFERROR(IF($C3="","",SUMIFS(Ledger!$K$2:$K$4, Ledger!$B$2:$B$4, $A3, Ledger!$C$2:$C$4, UGC$2)),"****")</f>
        <v/>
      </c>
      <c r="UGD3" t="str">
        <f>IFERROR(IF($C3="","",SUMIFS(Ledger!$K$2:$K$4, Ledger!$B$2:$B$4, $A3, Ledger!$C$2:$C$4, UGD$2)),"****")</f>
        <v/>
      </c>
      <c r="UGE3" t="str">
        <f>IFERROR(IF($C3="","",SUMIFS(Ledger!$K$2:$K$4, Ledger!$B$2:$B$4, $A3, Ledger!$C$2:$C$4, UGE$2)),"****")</f>
        <v/>
      </c>
      <c r="UGF3" t="str">
        <f>IFERROR(IF($C3="","",SUMIFS(Ledger!$K$2:$K$4, Ledger!$B$2:$B$4, $A3, Ledger!$C$2:$C$4, UGF$2)),"****")</f>
        <v/>
      </c>
      <c r="UGG3" t="str">
        <f>IFERROR(IF($C3="","",SUMIFS(Ledger!$K$2:$K$4, Ledger!$B$2:$B$4, $A3, Ledger!$C$2:$C$4, UGG$2)),"****")</f>
        <v/>
      </c>
      <c r="UGH3" t="str">
        <f>IFERROR(IF($C3="","",SUMIFS(Ledger!$K$2:$K$4, Ledger!$B$2:$B$4, $A3, Ledger!$C$2:$C$4, UGH$2)),"****")</f>
        <v/>
      </c>
      <c r="UGI3" t="str">
        <f>IFERROR(IF($C3="","",SUMIFS(Ledger!$K$2:$K$4, Ledger!$B$2:$B$4, $A3, Ledger!$C$2:$C$4, UGI$2)),"****")</f>
        <v/>
      </c>
      <c r="UGJ3" t="str">
        <f>IFERROR(IF($C3="","",SUMIFS(Ledger!$K$2:$K$4, Ledger!$B$2:$B$4, $A3, Ledger!$C$2:$C$4, UGJ$2)),"****")</f>
        <v/>
      </c>
      <c r="UGK3" t="str">
        <f>IFERROR(IF($C3="","",SUMIFS(Ledger!$K$2:$K$4, Ledger!$B$2:$B$4, $A3, Ledger!$C$2:$C$4, UGK$2)),"****")</f>
        <v/>
      </c>
      <c r="UGL3" t="str">
        <f>IFERROR(IF($C3="","",SUMIFS(Ledger!$K$2:$K$4, Ledger!$B$2:$B$4, $A3, Ledger!$C$2:$C$4, UGL$2)),"****")</f>
        <v/>
      </c>
      <c r="UGM3" t="str">
        <f>IFERROR(IF($C3="","",SUMIFS(Ledger!$K$2:$K$4, Ledger!$B$2:$B$4, $A3, Ledger!$C$2:$C$4, UGM$2)),"****")</f>
        <v/>
      </c>
      <c r="UGN3" t="str">
        <f>IFERROR(IF($C3="","",SUMIFS(Ledger!$K$2:$K$4, Ledger!$B$2:$B$4, $A3, Ledger!$C$2:$C$4, UGN$2)),"****")</f>
        <v/>
      </c>
      <c r="UGO3" t="str">
        <f>IFERROR(IF($C3="","",SUMIFS(Ledger!$K$2:$K$4, Ledger!$B$2:$B$4, $A3, Ledger!$C$2:$C$4, UGO$2)),"****")</f>
        <v/>
      </c>
      <c r="UGP3" t="str">
        <f>IFERROR(IF($C3="","",SUMIFS(Ledger!$K$2:$K$4, Ledger!$B$2:$B$4, $A3, Ledger!$C$2:$C$4, UGP$2)),"****")</f>
        <v/>
      </c>
      <c r="UGQ3" t="str">
        <f>IFERROR(IF($C3="","",SUMIFS(Ledger!$K$2:$K$4, Ledger!$B$2:$B$4, $A3, Ledger!$C$2:$C$4, UGQ$2)),"****")</f>
        <v/>
      </c>
      <c r="UGR3" t="str">
        <f>IFERROR(IF($C3="","",SUMIFS(Ledger!$K$2:$K$4, Ledger!$B$2:$B$4, $A3, Ledger!$C$2:$C$4, UGR$2)),"****")</f>
        <v/>
      </c>
      <c r="UGS3" t="str">
        <f>IFERROR(IF($C3="","",SUMIFS(Ledger!$K$2:$K$4, Ledger!$B$2:$B$4, $A3, Ledger!$C$2:$C$4, UGS$2)),"****")</f>
        <v/>
      </c>
      <c r="UGT3" t="str">
        <f>IFERROR(IF($C3="","",SUMIFS(Ledger!$K$2:$K$4, Ledger!$B$2:$B$4, $A3, Ledger!$C$2:$C$4, UGT$2)),"****")</f>
        <v/>
      </c>
      <c r="UGU3" t="str">
        <f>IFERROR(IF($C3="","",SUMIFS(Ledger!$K$2:$K$4, Ledger!$B$2:$B$4, $A3, Ledger!$C$2:$C$4, UGU$2)),"****")</f>
        <v/>
      </c>
      <c r="UGV3" t="str">
        <f>IFERROR(IF($C3="","",SUMIFS(Ledger!$K$2:$K$4, Ledger!$B$2:$B$4, $A3, Ledger!$C$2:$C$4, UGV$2)),"****")</f>
        <v/>
      </c>
      <c r="UGW3" t="str">
        <f>IFERROR(IF($C3="","",SUMIFS(Ledger!$K$2:$K$4, Ledger!$B$2:$B$4, $A3, Ledger!$C$2:$C$4, UGW$2)),"****")</f>
        <v/>
      </c>
      <c r="UGX3" t="str">
        <f>IFERROR(IF($C3="","",SUMIFS(Ledger!$K$2:$K$4, Ledger!$B$2:$B$4, $A3, Ledger!$C$2:$C$4, UGX$2)),"****")</f>
        <v/>
      </c>
      <c r="UGY3" t="str">
        <f>IFERROR(IF($C3="","",SUMIFS(Ledger!$K$2:$K$4, Ledger!$B$2:$B$4, $A3, Ledger!$C$2:$C$4, UGY$2)),"****")</f>
        <v/>
      </c>
      <c r="UGZ3" t="str">
        <f>IFERROR(IF($C3="","",SUMIFS(Ledger!$K$2:$K$4, Ledger!$B$2:$B$4, $A3, Ledger!$C$2:$C$4, UGZ$2)),"****")</f>
        <v/>
      </c>
      <c r="UHA3" t="str">
        <f>IFERROR(IF($C3="","",SUMIFS(Ledger!$K$2:$K$4, Ledger!$B$2:$B$4, $A3, Ledger!$C$2:$C$4, UHA$2)),"****")</f>
        <v/>
      </c>
      <c r="UHB3" t="str">
        <f>IFERROR(IF($C3="","",SUMIFS(Ledger!$K$2:$K$4, Ledger!$B$2:$B$4, $A3, Ledger!$C$2:$C$4, UHB$2)),"****")</f>
        <v/>
      </c>
      <c r="UHC3" t="str">
        <f>IFERROR(IF($C3="","",SUMIFS(Ledger!$K$2:$K$4, Ledger!$B$2:$B$4, $A3, Ledger!$C$2:$C$4, UHC$2)),"****")</f>
        <v/>
      </c>
      <c r="UHD3" t="str">
        <f>IFERROR(IF($C3="","",SUMIFS(Ledger!$K$2:$K$4, Ledger!$B$2:$B$4, $A3, Ledger!$C$2:$C$4, UHD$2)),"****")</f>
        <v/>
      </c>
      <c r="UHE3" t="str">
        <f>IFERROR(IF($C3="","",SUMIFS(Ledger!$K$2:$K$4, Ledger!$B$2:$B$4, $A3, Ledger!$C$2:$C$4, UHE$2)),"****")</f>
        <v/>
      </c>
      <c r="UHF3" t="str">
        <f>IFERROR(IF($C3="","",SUMIFS(Ledger!$K$2:$K$4, Ledger!$B$2:$B$4, $A3, Ledger!$C$2:$C$4, UHF$2)),"****")</f>
        <v/>
      </c>
      <c r="UHG3" t="str">
        <f>IFERROR(IF($C3="","",SUMIFS(Ledger!$K$2:$K$4, Ledger!$B$2:$B$4, $A3, Ledger!$C$2:$C$4, UHG$2)),"****")</f>
        <v/>
      </c>
      <c r="UHH3" t="str">
        <f>IFERROR(IF($C3="","",SUMIFS(Ledger!$K$2:$K$4, Ledger!$B$2:$B$4, $A3, Ledger!$C$2:$C$4, UHH$2)),"****")</f>
        <v/>
      </c>
      <c r="UHI3" t="str">
        <f>IFERROR(IF($C3="","",SUMIFS(Ledger!$K$2:$K$4, Ledger!$B$2:$B$4, $A3, Ledger!$C$2:$C$4, UHI$2)),"****")</f>
        <v/>
      </c>
      <c r="UHJ3" t="str">
        <f>IFERROR(IF($C3="","",SUMIFS(Ledger!$K$2:$K$4, Ledger!$B$2:$B$4, $A3, Ledger!$C$2:$C$4, UHJ$2)),"****")</f>
        <v/>
      </c>
      <c r="UHK3" t="str">
        <f>IFERROR(IF($C3="","",SUMIFS(Ledger!$K$2:$K$4, Ledger!$B$2:$B$4, $A3, Ledger!$C$2:$C$4, UHK$2)),"****")</f>
        <v/>
      </c>
      <c r="UHL3" t="str">
        <f>IFERROR(IF($C3="","",SUMIFS(Ledger!$K$2:$K$4, Ledger!$B$2:$B$4, $A3, Ledger!$C$2:$C$4, UHL$2)),"****")</f>
        <v/>
      </c>
      <c r="UHM3" t="str">
        <f>IFERROR(IF($C3="","",SUMIFS(Ledger!$K$2:$K$4, Ledger!$B$2:$B$4, $A3, Ledger!$C$2:$C$4, UHM$2)),"****")</f>
        <v/>
      </c>
      <c r="UHN3" t="str">
        <f>IFERROR(IF($C3="","",SUMIFS(Ledger!$K$2:$K$4, Ledger!$B$2:$B$4, $A3, Ledger!$C$2:$C$4, UHN$2)),"****")</f>
        <v/>
      </c>
      <c r="UHO3" t="str">
        <f>IFERROR(IF($C3="","",SUMIFS(Ledger!$K$2:$K$4, Ledger!$B$2:$B$4, $A3, Ledger!$C$2:$C$4, UHO$2)),"****")</f>
        <v/>
      </c>
      <c r="UHP3" t="str">
        <f>IFERROR(IF($C3="","",SUMIFS(Ledger!$K$2:$K$4, Ledger!$B$2:$B$4, $A3, Ledger!$C$2:$C$4, UHP$2)),"****")</f>
        <v/>
      </c>
      <c r="UHQ3" t="str">
        <f>IFERROR(IF($C3="","",SUMIFS(Ledger!$K$2:$K$4, Ledger!$B$2:$B$4, $A3, Ledger!$C$2:$C$4, UHQ$2)),"****")</f>
        <v/>
      </c>
      <c r="UHR3" t="str">
        <f>IFERROR(IF($C3="","",SUMIFS(Ledger!$K$2:$K$4, Ledger!$B$2:$B$4, $A3, Ledger!$C$2:$C$4, UHR$2)),"****")</f>
        <v/>
      </c>
      <c r="UHS3" t="str">
        <f>IFERROR(IF($C3="","",SUMIFS(Ledger!$K$2:$K$4, Ledger!$B$2:$B$4, $A3, Ledger!$C$2:$C$4, UHS$2)),"****")</f>
        <v/>
      </c>
      <c r="UHT3" t="str">
        <f>IFERROR(IF($C3="","",SUMIFS(Ledger!$K$2:$K$4, Ledger!$B$2:$B$4, $A3, Ledger!$C$2:$C$4, UHT$2)),"****")</f>
        <v/>
      </c>
      <c r="UHU3" t="str">
        <f>IFERROR(IF($C3="","",SUMIFS(Ledger!$K$2:$K$4, Ledger!$B$2:$B$4, $A3, Ledger!$C$2:$C$4, UHU$2)),"****")</f>
        <v/>
      </c>
      <c r="UHV3" t="str">
        <f>IFERROR(IF($C3="","",SUMIFS(Ledger!$K$2:$K$4, Ledger!$B$2:$B$4, $A3, Ledger!$C$2:$C$4, UHV$2)),"****")</f>
        <v/>
      </c>
      <c r="UHW3" t="str">
        <f>IFERROR(IF($C3="","",SUMIFS(Ledger!$K$2:$K$4, Ledger!$B$2:$B$4, $A3, Ledger!$C$2:$C$4, UHW$2)),"****")</f>
        <v/>
      </c>
      <c r="UHX3" t="str">
        <f>IFERROR(IF($C3="","",SUMIFS(Ledger!$K$2:$K$4, Ledger!$B$2:$B$4, $A3, Ledger!$C$2:$C$4, UHX$2)),"****")</f>
        <v/>
      </c>
      <c r="UHY3" t="str">
        <f>IFERROR(IF($C3="","",SUMIFS(Ledger!$K$2:$K$4, Ledger!$B$2:$B$4, $A3, Ledger!$C$2:$C$4, UHY$2)),"****")</f>
        <v/>
      </c>
      <c r="UHZ3" t="str">
        <f>IFERROR(IF($C3="","",SUMIFS(Ledger!$K$2:$K$4, Ledger!$B$2:$B$4, $A3, Ledger!$C$2:$C$4, UHZ$2)),"****")</f>
        <v/>
      </c>
      <c r="UIA3" t="str">
        <f>IFERROR(IF($C3="","",SUMIFS(Ledger!$K$2:$K$4, Ledger!$B$2:$B$4, $A3, Ledger!$C$2:$C$4, UIA$2)),"****")</f>
        <v/>
      </c>
      <c r="UIB3" t="str">
        <f>IFERROR(IF($C3="","",SUMIFS(Ledger!$K$2:$K$4, Ledger!$B$2:$B$4, $A3, Ledger!$C$2:$C$4, UIB$2)),"****")</f>
        <v/>
      </c>
      <c r="UIC3" t="str">
        <f>IFERROR(IF($C3="","",SUMIFS(Ledger!$K$2:$K$4, Ledger!$B$2:$B$4, $A3, Ledger!$C$2:$C$4, UIC$2)),"****")</f>
        <v/>
      </c>
      <c r="UID3" t="str">
        <f>IFERROR(IF($C3="","",SUMIFS(Ledger!$K$2:$K$4, Ledger!$B$2:$B$4, $A3, Ledger!$C$2:$C$4, UID$2)),"****")</f>
        <v/>
      </c>
      <c r="UIE3" t="str">
        <f>IFERROR(IF($C3="","",SUMIFS(Ledger!$K$2:$K$4, Ledger!$B$2:$B$4, $A3, Ledger!$C$2:$C$4, UIE$2)),"****")</f>
        <v/>
      </c>
      <c r="UIF3" t="str">
        <f>IFERROR(IF($C3="","",SUMIFS(Ledger!$K$2:$K$4, Ledger!$B$2:$B$4, $A3, Ledger!$C$2:$C$4, UIF$2)),"****")</f>
        <v/>
      </c>
      <c r="UIG3" t="str">
        <f>IFERROR(IF($C3="","",SUMIFS(Ledger!$K$2:$K$4, Ledger!$B$2:$B$4, $A3, Ledger!$C$2:$C$4, UIG$2)),"****")</f>
        <v/>
      </c>
      <c r="UIH3" t="str">
        <f>IFERROR(IF($C3="","",SUMIFS(Ledger!$K$2:$K$4, Ledger!$B$2:$B$4, $A3, Ledger!$C$2:$C$4, UIH$2)),"****")</f>
        <v/>
      </c>
      <c r="UII3" t="str">
        <f>IFERROR(IF($C3="","",SUMIFS(Ledger!$K$2:$K$4, Ledger!$B$2:$B$4, $A3, Ledger!$C$2:$C$4, UII$2)),"****")</f>
        <v/>
      </c>
      <c r="UIJ3" t="str">
        <f>IFERROR(IF($C3="","",SUMIFS(Ledger!$K$2:$K$4, Ledger!$B$2:$B$4, $A3, Ledger!$C$2:$C$4, UIJ$2)),"****")</f>
        <v/>
      </c>
      <c r="UIK3" t="str">
        <f>IFERROR(IF($C3="","",SUMIFS(Ledger!$K$2:$K$4, Ledger!$B$2:$B$4, $A3, Ledger!$C$2:$C$4, UIK$2)),"****")</f>
        <v/>
      </c>
      <c r="UIL3" t="str">
        <f>IFERROR(IF($C3="","",SUMIFS(Ledger!$K$2:$K$4, Ledger!$B$2:$B$4, $A3, Ledger!$C$2:$C$4, UIL$2)),"****")</f>
        <v/>
      </c>
      <c r="UIM3" t="str">
        <f>IFERROR(IF($C3="","",SUMIFS(Ledger!$K$2:$K$4, Ledger!$B$2:$B$4, $A3, Ledger!$C$2:$C$4, UIM$2)),"****")</f>
        <v/>
      </c>
      <c r="UIN3" t="str">
        <f>IFERROR(IF($C3="","",SUMIFS(Ledger!$K$2:$K$4, Ledger!$B$2:$B$4, $A3, Ledger!$C$2:$C$4, UIN$2)),"****")</f>
        <v/>
      </c>
      <c r="UIO3" t="str">
        <f>IFERROR(IF($C3="","",SUMIFS(Ledger!$K$2:$K$4, Ledger!$B$2:$B$4, $A3, Ledger!$C$2:$C$4, UIO$2)),"****")</f>
        <v/>
      </c>
      <c r="UIP3" t="str">
        <f>IFERROR(IF($C3="","",SUMIFS(Ledger!$K$2:$K$4, Ledger!$B$2:$B$4, $A3, Ledger!$C$2:$C$4, UIP$2)),"****")</f>
        <v/>
      </c>
      <c r="UIQ3" t="str">
        <f>IFERROR(IF($C3="","",SUMIFS(Ledger!$K$2:$K$4, Ledger!$B$2:$B$4, $A3, Ledger!$C$2:$C$4, UIQ$2)),"****")</f>
        <v/>
      </c>
      <c r="UIR3" t="str">
        <f>IFERROR(IF($C3="","",SUMIFS(Ledger!$K$2:$K$4, Ledger!$B$2:$B$4, $A3, Ledger!$C$2:$C$4, UIR$2)),"****")</f>
        <v/>
      </c>
      <c r="UIS3" t="str">
        <f>IFERROR(IF($C3="","",SUMIFS(Ledger!$K$2:$K$4, Ledger!$B$2:$B$4, $A3, Ledger!$C$2:$C$4, UIS$2)),"****")</f>
        <v/>
      </c>
      <c r="UIT3" t="str">
        <f>IFERROR(IF($C3="","",SUMIFS(Ledger!$K$2:$K$4, Ledger!$B$2:$B$4, $A3, Ledger!$C$2:$C$4, UIT$2)),"****")</f>
        <v/>
      </c>
      <c r="UIU3" t="str">
        <f>IFERROR(IF($C3="","",SUMIFS(Ledger!$K$2:$K$4, Ledger!$B$2:$B$4, $A3, Ledger!$C$2:$C$4, UIU$2)),"****")</f>
        <v/>
      </c>
      <c r="UIV3" t="str">
        <f>IFERROR(IF($C3="","",SUMIFS(Ledger!$K$2:$K$4, Ledger!$B$2:$B$4, $A3, Ledger!$C$2:$C$4, UIV$2)),"****")</f>
        <v/>
      </c>
      <c r="UIW3" t="str">
        <f>IFERROR(IF($C3="","",SUMIFS(Ledger!$K$2:$K$4, Ledger!$B$2:$B$4, $A3, Ledger!$C$2:$C$4, UIW$2)),"****")</f>
        <v/>
      </c>
      <c r="UIX3" t="str">
        <f>IFERROR(IF($C3="","",SUMIFS(Ledger!$K$2:$K$4, Ledger!$B$2:$B$4, $A3, Ledger!$C$2:$C$4, UIX$2)),"****")</f>
        <v/>
      </c>
      <c r="UIY3" t="str">
        <f>IFERROR(IF($C3="","",SUMIFS(Ledger!$K$2:$K$4, Ledger!$B$2:$B$4, $A3, Ledger!$C$2:$C$4, UIY$2)),"****")</f>
        <v/>
      </c>
      <c r="UIZ3" t="str">
        <f>IFERROR(IF($C3="","",SUMIFS(Ledger!$K$2:$K$4, Ledger!$B$2:$B$4, $A3, Ledger!$C$2:$C$4, UIZ$2)),"****")</f>
        <v/>
      </c>
      <c r="UJA3" t="str">
        <f>IFERROR(IF($C3="","",SUMIFS(Ledger!$K$2:$K$4, Ledger!$B$2:$B$4, $A3, Ledger!$C$2:$C$4, UJA$2)),"****")</f>
        <v/>
      </c>
      <c r="UJB3" t="str">
        <f>IFERROR(IF($C3="","",SUMIFS(Ledger!$K$2:$K$4, Ledger!$B$2:$B$4, $A3, Ledger!$C$2:$C$4, UJB$2)),"****")</f>
        <v/>
      </c>
      <c r="UJC3" t="str">
        <f>IFERROR(IF($C3="","",SUMIFS(Ledger!$K$2:$K$4, Ledger!$B$2:$B$4, $A3, Ledger!$C$2:$C$4, UJC$2)),"****")</f>
        <v/>
      </c>
      <c r="UJD3" t="str">
        <f>IFERROR(IF($C3="","",SUMIFS(Ledger!$K$2:$K$4, Ledger!$B$2:$B$4, $A3, Ledger!$C$2:$C$4, UJD$2)),"****")</f>
        <v/>
      </c>
      <c r="UJE3" t="str">
        <f>IFERROR(IF($C3="","",SUMIFS(Ledger!$K$2:$K$4, Ledger!$B$2:$B$4, $A3, Ledger!$C$2:$C$4, UJE$2)),"****")</f>
        <v/>
      </c>
      <c r="UJF3" t="str">
        <f>IFERROR(IF($C3="","",SUMIFS(Ledger!$K$2:$K$4, Ledger!$B$2:$B$4, $A3, Ledger!$C$2:$C$4, UJF$2)),"****")</f>
        <v/>
      </c>
      <c r="UJG3" t="str">
        <f>IFERROR(IF($C3="","",SUMIFS(Ledger!$K$2:$K$4, Ledger!$B$2:$B$4, $A3, Ledger!$C$2:$C$4, UJG$2)),"****")</f>
        <v/>
      </c>
      <c r="UJH3" t="str">
        <f>IFERROR(IF($C3="","",SUMIFS(Ledger!$K$2:$K$4, Ledger!$B$2:$B$4, $A3, Ledger!$C$2:$C$4, UJH$2)),"****")</f>
        <v/>
      </c>
      <c r="UJI3" t="str">
        <f>IFERROR(IF($C3="","",SUMIFS(Ledger!$K$2:$K$4, Ledger!$B$2:$B$4, $A3, Ledger!$C$2:$C$4, UJI$2)),"****")</f>
        <v/>
      </c>
      <c r="UJJ3" t="str">
        <f>IFERROR(IF($C3="","",SUMIFS(Ledger!$K$2:$K$4, Ledger!$B$2:$B$4, $A3, Ledger!$C$2:$C$4, UJJ$2)),"****")</f>
        <v/>
      </c>
      <c r="UJK3" t="str">
        <f>IFERROR(IF($C3="","",SUMIFS(Ledger!$K$2:$K$4, Ledger!$B$2:$B$4, $A3, Ledger!$C$2:$C$4, UJK$2)),"****")</f>
        <v/>
      </c>
      <c r="UJL3" t="str">
        <f>IFERROR(IF($C3="","",SUMIFS(Ledger!$K$2:$K$4, Ledger!$B$2:$B$4, $A3, Ledger!$C$2:$C$4, UJL$2)),"****")</f>
        <v/>
      </c>
      <c r="UJM3" t="str">
        <f>IFERROR(IF($C3="","",SUMIFS(Ledger!$K$2:$K$4, Ledger!$B$2:$B$4, $A3, Ledger!$C$2:$C$4, UJM$2)),"****")</f>
        <v/>
      </c>
      <c r="UJN3" t="str">
        <f>IFERROR(IF($C3="","",SUMIFS(Ledger!$K$2:$K$4, Ledger!$B$2:$B$4, $A3, Ledger!$C$2:$C$4, UJN$2)),"****")</f>
        <v/>
      </c>
      <c r="UJO3" t="str">
        <f>IFERROR(IF($C3="","",SUMIFS(Ledger!$K$2:$K$4, Ledger!$B$2:$B$4, $A3, Ledger!$C$2:$C$4, UJO$2)),"****")</f>
        <v/>
      </c>
      <c r="UJP3" t="str">
        <f>IFERROR(IF($C3="","",SUMIFS(Ledger!$K$2:$K$4, Ledger!$B$2:$B$4, $A3, Ledger!$C$2:$C$4, UJP$2)),"****")</f>
        <v/>
      </c>
      <c r="UJQ3" t="str">
        <f>IFERROR(IF($C3="","",SUMIFS(Ledger!$K$2:$K$4, Ledger!$B$2:$B$4, $A3, Ledger!$C$2:$C$4, UJQ$2)),"****")</f>
        <v/>
      </c>
      <c r="UJR3" t="str">
        <f>IFERROR(IF($C3="","",SUMIFS(Ledger!$K$2:$K$4, Ledger!$B$2:$B$4, $A3, Ledger!$C$2:$C$4, UJR$2)),"****")</f>
        <v/>
      </c>
      <c r="UJS3" t="str">
        <f>IFERROR(IF($C3="","",SUMIFS(Ledger!$K$2:$K$4, Ledger!$B$2:$B$4, $A3, Ledger!$C$2:$C$4, UJS$2)),"****")</f>
        <v/>
      </c>
      <c r="UJT3" t="str">
        <f>IFERROR(IF($C3="","",SUMIFS(Ledger!$K$2:$K$4, Ledger!$B$2:$B$4, $A3, Ledger!$C$2:$C$4, UJT$2)),"****")</f>
        <v/>
      </c>
      <c r="UJU3" t="str">
        <f>IFERROR(IF($C3="","",SUMIFS(Ledger!$K$2:$K$4, Ledger!$B$2:$B$4, $A3, Ledger!$C$2:$C$4, UJU$2)),"****")</f>
        <v/>
      </c>
      <c r="UJV3" t="str">
        <f>IFERROR(IF($C3="","",SUMIFS(Ledger!$K$2:$K$4, Ledger!$B$2:$B$4, $A3, Ledger!$C$2:$C$4, UJV$2)),"****")</f>
        <v/>
      </c>
      <c r="UJW3" t="str">
        <f>IFERROR(IF($C3="","",SUMIFS(Ledger!$K$2:$K$4, Ledger!$B$2:$B$4, $A3, Ledger!$C$2:$C$4, UJW$2)),"****")</f>
        <v/>
      </c>
      <c r="UJX3" t="str">
        <f>IFERROR(IF($C3="","",SUMIFS(Ledger!$K$2:$K$4, Ledger!$B$2:$B$4, $A3, Ledger!$C$2:$C$4, UJX$2)),"****")</f>
        <v/>
      </c>
      <c r="UJY3" t="str">
        <f>IFERROR(IF($C3="","",SUMIFS(Ledger!$K$2:$K$4, Ledger!$B$2:$B$4, $A3, Ledger!$C$2:$C$4, UJY$2)),"****")</f>
        <v/>
      </c>
      <c r="UJZ3" t="str">
        <f>IFERROR(IF($C3="","",SUMIFS(Ledger!$K$2:$K$4, Ledger!$B$2:$B$4, $A3, Ledger!$C$2:$C$4, UJZ$2)),"****")</f>
        <v/>
      </c>
      <c r="UKA3" t="str">
        <f>IFERROR(IF($C3="","",SUMIFS(Ledger!$K$2:$K$4, Ledger!$B$2:$B$4, $A3, Ledger!$C$2:$C$4, UKA$2)),"****")</f>
        <v/>
      </c>
      <c r="UKB3" t="str">
        <f>IFERROR(IF($C3="","",SUMIFS(Ledger!$K$2:$K$4, Ledger!$B$2:$B$4, $A3, Ledger!$C$2:$C$4, UKB$2)),"****")</f>
        <v/>
      </c>
      <c r="UKC3" t="str">
        <f>IFERROR(IF($C3="","",SUMIFS(Ledger!$K$2:$K$4, Ledger!$B$2:$B$4, $A3, Ledger!$C$2:$C$4, UKC$2)),"****")</f>
        <v/>
      </c>
      <c r="UKD3" t="str">
        <f>IFERROR(IF($C3="","",SUMIFS(Ledger!$K$2:$K$4, Ledger!$B$2:$B$4, $A3, Ledger!$C$2:$C$4, UKD$2)),"****")</f>
        <v/>
      </c>
      <c r="UKE3" t="str">
        <f>IFERROR(IF($C3="","",SUMIFS(Ledger!$K$2:$K$4, Ledger!$B$2:$B$4, $A3, Ledger!$C$2:$C$4, UKE$2)),"****")</f>
        <v/>
      </c>
      <c r="UKF3" t="str">
        <f>IFERROR(IF($C3="","",SUMIFS(Ledger!$K$2:$K$4, Ledger!$B$2:$B$4, $A3, Ledger!$C$2:$C$4, UKF$2)),"****")</f>
        <v/>
      </c>
      <c r="UKG3" t="str">
        <f>IFERROR(IF($C3="","",SUMIFS(Ledger!$K$2:$K$4, Ledger!$B$2:$B$4, $A3, Ledger!$C$2:$C$4, UKG$2)),"****")</f>
        <v/>
      </c>
      <c r="UKH3" t="str">
        <f>IFERROR(IF($C3="","",SUMIFS(Ledger!$K$2:$K$4, Ledger!$B$2:$B$4, $A3, Ledger!$C$2:$C$4, UKH$2)),"****")</f>
        <v/>
      </c>
      <c r="UKI3" t="str">
        <f>IFERROR(IF($C3="","",SUMIFS(Ledger!$K$2:$K$4, Ledger!$B$2:$B$4, $A3, Ledger!$C$2:$C$4, UKI$2)),"****")</f>
        <v/>
      </c>
      <c r="UKJ3" t="str">
        <f>IFERROR(IF($C3="","",SUMIFS(Ledger!$K$2:$K$4, Ledger!$B$2:$B$4, $A3, Ledger!$C$2:$C$4, UKJ$2)),"****")</f>
        <v/>
      </c>
      <c r="UKK3" t="str">
        <f>IFERROR(IF($C3="","",SUMIFS(Ledger!$K$2:$K$4, Ledger!$B$2:$B$4, $A3, Ledger!$C$2:$C$4, UKK$2)),"****")</f>
        <v/>
      </c>
      <c r="UKL3" t="str">
        <f>IFERROR(IF($C3="","",SUMIFS(Ledger!$K$2:$K$4, Ledger!$B$2:$B$4, $A3, Ledger!$C$2:$C$4, UKL$2)),"****")</f>
        <v/>
      </c>
      <c r="UKM3" t="str">
        <f>IFERROR(IF($C3="","",SUMIFS(Ledger!$K$2:$K$4, Ledger!$B$2:$B$4, $A3, Ledger!$C$2:$C$4, UKM$2)),"****")</f>
        <v/>
      </c>
      <c r="UKN3" t="str">
        <f>IFERROR(IF($C3="","",SUMIFS(Ledger!$K$2:$K$4, Ledger!$B$2:$B$4, $A3, Ledger!$C$2:$C$4, UKN$2)),"****")</f>
        <v/>
      </c>
      <c r="UKO3" t="str">
        <f>IFERROR(IF($C3="","",SUMIFS(Ledger!$K$2:$K$4, Ledger!$B$2:$B$4, $A3, Ledger!$C$2:$C$4, UKO$2)),"****")</f>
        <v/>
      </c>
      <c r="UKP3" t="str">
        <f>IFERROR(IF($C3="","",SUMIFS(Ledger!$K$2:$K$4, Ledger!$B$2:$B$4, $A3, Ledger!$C$2:$C$4, UKP$2)),"****")</f>
        <v/>
      </c>
      <c r="UKQ3" t="str">
        <f>IFERROR(IF($C3="","",SUMIFS(Ledger!$K$2:$K$4, Ledger!$B$2:$B$4, $A3, Ledger!$C$2:$C$4, UKQ$2)),"****")</f>
        <v/>
      </c>
      <c r="UKR3" t="str">
        <f>IFERROR(IF($C3="","",SUMIFS(Ledger!$K$2:$K$4, Ledger!$B$2:$B$4, $A3, Ledger!$C$2:$C$4, UKR$2)),"****")</f>
        <v/>
      </c>
      <c r="UKS3" t="str">
        <f>IFERROR(IF($C3="","",SUMIFS(Ledger!$K$2:$K$4, Ledger!$B$2:$B$4, $A3, Ledger!$C$2:$C$4, UKS$2)),"****")</f>
        <v/>
      </c>
      <c r="UKT3" t="str">
        <f>IFERROR(IF($C3="","",SUMIFS(Ledger!$K$2:$K$4, Ledger!$B$2:$B$4, $A3, Ledger!$C$2:$C$4, UKT$2)),"****")</f>
        <v/>
      </c>
      <c r="UKU3" t="str">
        <f>IFERROR(IF($C3="","",SUMIFS(Ledger!$K$2:$K$4, Ledger!$B$2:$B$4, $A3, Ledger!$C$2:$C$4, UKU$2)),"****")</f>
        <v/>
      </c>
      <c r="UKV3" t="str">
        <f>IFERROR(IF($C3="","",SUMIFS(Ledger!$K$2:$K$4, Ledger!$B$2:$B$4, $A3, Ledger!$C$2:$C$4, UKV$2)),"****")</f>
        <v/>
      </c>
      <c r="UKW3" t="str">
        <f>IFERROR(IF($C3="","",SUMIFS(Ledger!$K$2:$K$4, Ledger!$B$2:$B$4, $A3, Ledger!$C$2:$C$4, UKW$2)),"****")</f>
        <v/>
      </c>
      <c r="UKX3" t="str">
        <f>IFERROR(IF($C3="","",SUMIFS(Ledger!$K$2:$K$4, Ledger!$B$2:$B$4, $A3, Ledger!$C$2:$C$4, UKX$2)),"****")</f>
        <v/>
      </c>
      <c r="UKY3" t="str">
        <f>IFERROR(IF($C3="","",SUMIFS(Ledger!$K$2:$K$4, Ledger!$B$2:$B$4, $A3, Ledger!$C$2:$C$4, UKY$2)),"****")</f>
        <v/>
      </c>
      <c r="UKZ3" t="str">
        <f>IFERROR(IF($C3="","",SUMIFS(Ledger!$K$2:$K$4, Ledger!$B$2:$B$4, $A3, Ledger!$C$2:$C$4, UKZ$2)),"****")</f>
        <v/>
      </c>
      <c r="ULA3" t="str">
        <f>IFERROR(IF($C3="","",SUMIFS(Ledger!$K$2:$K$4, Ledger!$B$2:$B$4, $A3, Ledger!$C$2:$C$4, ULA$2)),"****")</f>
        <v/>
      </c>
      <c r="ULB3" t="str">
        <f>IFERROR(IF($C3="","",SUMIFS(Ledger!$K$2:$K$4, Ledger!$B$2:$B$4, $A3, Ledger!$C$2:$C$4, ULB$2)),"****")</f>
        <v/>
      </c>
      <c r="ULC3" t="str">
        <f>IFERROR(IF($C3="","",SUMIFS(Ledger!$K$2:$K$4, Ledger!$B$2:$B$4, $A3, Ledger!$C$2:$C$4, ULC$2)),"****")</f>
        <v/>
      </c>
      <c r="ULD3" t="str">
        <f>IFERROR(IF($C3="","",SUMIFS(Ledger!$K$2:$K$4, Ledger!$B$2:$B$4, $A3, Ledger!$C$2:$C$4, ULD$2)),"****")</f>
        <v/>
      </c>
      <c r="ULE3" t="str">
        <f>IFERROR(IF($C3="","",SUMIFS(Ledger!$K$2:$K$4, Ledger!$B$2:$B$4, $A3, Ledger!$C$2:$C$4, ULE$2)),"****")</f>
        <v/>
      </c>
      <c r="ULF3" t="str">
        <f>IFERROR(IF($C3="","",SUMIFS(Ledger!$K$2:$K$4, Ledger!$B$2:$B$4, $A3, Ledger!$C$2:$C$4, ULF$2)),"****")</f>
        <v/>
      </c>
      <c r="ULG3" t="str">
        <f>IFERROR(IF($C3="","",SUMIFS(Ledger!$K$2:$K$4, Ledger!$B$2:$B$4, $A3, Ledger!$C$2:$C$4, ULG$2)),"****")</f>
        <v/>
      </c>
      <c r="ULH3" t="str">
        <f>IFERROR(IF($C3="","",SUMIFS(Ledger!$K$2:$K$4, Ledger!$B$2:$B$4, $A3, Ledger!$C$2:$C$4, ULH$2)),"****")</f>
        <v/>
      </c>
      <c r="ULI3" t="str">
        <f>IFERROR(IF($C3="","",SUMIFS(Ledger!$K$2:$K$4, Ledger!$B$2:$B$4, $A3, Ledger!$C$2:$C$4, ULI$2)),"****")</f>
        <v/>
      </c>
      <c r="ULJ3" t="str">
        <f>IFERROR(IF($C3="","",SUMIFS(Ledger!$K$2:$K$4, Ledger!$B$2:$B$4, $A3, Ledger!$C$2:$C$4, ULJ$2)),"****")</f>
        <v/>
      </c>
      <c r="ULK3" t="str">
        <f>IFERROR(IF($C3="","",SUMIFS(Ledger!$K$2:$K$4, Ledger!$B$2:$B$4, $A3, Ledger!$C$2:$C$4, ULK$2)),"****")</f>
        <v/>
      </c>
      <c r="ULL3" t="str">
        <f>IFERROR(IF($C3="","",SUMIFS(Ledger!$K$2:$K$4, Ledger!$B$2:$B$4, $A3, Ledger!$C$2:$C$4, ULL$2)),"****")</f>
        <v/>
      </c>
      <c r="ULM3" t="str">
        <f>IFERROR(IF($C3="","",SUMIFS(Ledger!$K$2:$K$4, Ledger!$B$2:$B$4, $A3, Ledger!$C$2:$C$4, ULM$2)),"****")</f>
        <v/>
      </c>
      <c r="ULN3" t="str">
        <f>IFERROR(IF($C3="","",SUMIFS(Ledger!$K$2:$K$4, Ledger!$B$2:$B$4, $A3, Ledger!$C$2:$C$4, ULN$2)),"****")</f>
        <v/>
      </c>
      <c r="ULO3" t="str">
        <f>IFERROR(IF($C3="","",SUMIFS(Ledger!$K$2:$K$4, Ledger!$B$2:$B$4, $A3, Ledger!$C$2:$C$4, ULO$2)),"****")</f>
        <v/>
      </c>
      <c r="ULP3" t="str">
        <f>IFERROR(IF($C3="","",SUMIFS(Ledger!$K$2:$K$4, Ledger!$B$2:$B$4, $A3, Ledger!$C$2:$C$4, ULP$2)),"****")</f>
        <v/>
      </c>
      <c r="ULQ3" t="str">
        <f>IFERROR(IF($C3="","",SUMIFS(Ledger!$K$2:$K$4, Ledger!$B$2:$B$4, $A3, Ledger!$C$2:$C$4, ULQ$2)),"****")</f>
        <v/>
      </c>
      <c r="ULR3" t="str">
        <f>IFERROR(IF($C3="","",SUMIFS(Ledger!$K$2:$K$4, Ledger!$B$2:$B$4, $A3, Ledger!$C$2:$C$4, ULR$2)),"****")</f>
        <v/>
      </c>
      <c r="ULS3" t="str">
        <f>IFERROR(IF($C3="","",SUMIFS(Ledger!$K$2:$K$4, Ledger!$B$2:$B$4, $A3, Ledger!$C$2:$C$4, ULS$2)),"****")</f>
        <v/>
      </c>
      <c r="ULT3" t="str">
        <f>IFERROR(IF($C3="","",SUMIFS(Ledger!$K$2:$K$4, Ledger!$B$2:$B$4, $A3, Ledger!$C$2:$C$4, ULT$2)),"****")</f>
        <v/>
      </c>
      <c r="ULU3" t="str">
        <f>IFERROR(IF($C3="","",SUMIFS(Ledger!$K$2:$K$4, Ledger!$B$2:$B$4, $A3, Ledger!$C$2:$C$4, ULU$2)),"****")</f>
        <v/>
      </c>
      <c r="ULV3" t="str">
        <f>IFERROR(IF($C3="","",SUMIFS(Ledger!$K$2:$K$4, Ledger!$B$2:$B$4, $A3, Ledger!$C$2:$C$4, ULV$2)),"****")</f>
        <v/>
      </c>
      <c r="ULW3" t="str">
        <f>IFERROR(IF($C3="","",SUMIFS(Ledger!$K$2:$K$4, Ledger!$B$2:$B$4, $A3, Ledger!$C$2:$C$4, ULW$2)),"****")</f>
        <v/>
      </c>
      <c r="ULX3" t="str">
        <f>IFERROR(IF($C3="","",SUMIFS(Ledger!$K$2:$K$4, Ledger!$B$2:$B$4, $A3, Ledger!$C$2:$C$4, ULX$2)),"****")</f>
        <v/>
      </c>
      <c r="ULY3" t="str">
        <f>IFERROR(IF($C3="","",SUMIFS(Ledger!$K$2:$K$4, Ledger!$B$2:$B$4, $A3, Ledger!$C$2:$C$4, ULY$2)),"****")</f>
        <v/>
      </c>
      <c r="ULZ3" t="str">
        <f>IFERROR(IF($C3="","",SUMIFS(Ledger!$K$2:$K$4, Ledger!$B$2:$B$4, $A3, Ledger!$C$2:$C$4, ULZ$2)),"****")</f>
        <v/>
      </c>
      <c r="UMA3" t="str">
        <f>IFERROR(IF($C3="","",SUMIFS(Ledger!$K$2:$K$4, Ledger!$B$2:$B$4, $A3, Ledger!$C$2:$C$4, UMA$2)),"****")</f>
        <v/>
      </c>
      <c r="UMB3" t="str">
        <f>IFERROR(IF($C3="","",SUMIFS(Ledger!$K$2:$K$4, Ledger!$B$2:$B$4, $A3, Ledger!$C$2:$C$4, UMB$2)),"****")</f>
        <v/>
      </c>
      <c r="UMC3" t="str">
        <f>IFERROR(IF($C3="","",SUMIFS(Ledger!$K$2:$K$4, Ledger!$B$2:$B$4, $A3, Ledger!$C$2:$C$4, UMC$2)),"****")</f>
        <v/>
      </c>
      <c r="UMD3" t="str">
        <f>IFERROR(IF($C3="","",SUMIFS(Ledger!$K$2:$K$4, Ledger!$B$2:$B$4, $A3, Ledger!$C$2:$C$4, UMD$2)),"****")</f>
        <v/>
      </c>
      <c r="UME3" t="str">
        <f>IFERROR(IF($C3="","",SUMIFS(Ledger!$K$2:$K$4, Ledger!$B$2:$B$4, $A3, Ledger!$C$2:$C$4, UME$2)),"****")</f>
        <v/>
      </c>
      <c r="UMF3" t="str">
        <f>IFERROR(IF($C3="","",SUMIFS(Ledger!$K$2:$K$4, Ledger!$B$2:$B$4, $A3, Ledger!$C$2:$C$4, UMF$2)),"****")</f>
        <v/>
      </c>
      <c r="UMG3" t="str">
        <f>IFERROR(IF($C3="","",SUMIFS(Ledger!$K$2:$K$4, Ledger!$B$2:$B$4, $A3, Ledger!$C$2:$C$4, UMG$2)),"****")</f>
        <v/>
      </c>
      <c r="UMH3" t="str">
        <f>IFERROR(IF($C3="","",SUMIFS(Ledger!$K$2:$K$4, Ledger!$B$2:$B$4, $A3, Ledger!$C$2:$C$4, UMH$2)),"****")</f>
        <v/>
      </c>
      <c r="UMI3" t="str">
        <f>IFERROR(IF($C3="","",SUMIFS(Ledger!$K$2:$K$4, Ledger!$B$2:$B$4, $A3, Ledger!$C$2:$C$4, UMI$2)),"****")</f>
        <v/>
      </c>
      <c r="UMJ3" t="str">
        <f>IFERROR(IF($C3="","",SUMIFS(Ledger!$K$2:$K$4, Ledger!$B$2:$B$4, $A3, Ledger!$C$2:$C$4, UMJ$2)),"****")</f>
        <v/>
      </c>
      <c r="UMK3" t="str">
        <f>IFERROR(IF($C3="","",SUMIFS(Ledger!$K$2:$K$4, Ledger!$B$2:$B$4, $A3, Ledger!$C$2:$C$4, UMK$2)),"****")</f>
        <v/>
      </c>
      <c r="UML3" t="str">
        <f>IFERROR(IF($C3="","",SUMIFS(Ledger!$K$2:$K$4, Ledger!$B$2:$B$4, $A3, Ledger!$C$2:$C$4, UML$2)),"****")</f>
        <v/>
      </c>
      <c r="UMM3" t="str">
        <f>IFERROR(IF($C3="","",SUMIFS(Ledger!$K$2:$K$4, Ledger!$B$2:$B$4, $A3, Ledger!$C$2:$C$4, UMM$2)),"****")</f>
        <v/>
      </c>
      <c r="UMN3" t="str">
        <f>IFERROR(IF($C3="","",SUMIFS(Ledger!$K$2:$K$4, Ledger!$B$2:$B$4, $A3, Ledger!$C$2:$C$4, UMN$2)),"****")</f>
        <v/>
      </c>
      <c r="UMO3" t="str">
        <f>IFERROR(IF($C3="","",SUMIFS(Ledger!$K$2:$K$4, Ledger!$B$2:$B$4, $A3, Ledger!$C$2:$C$4, UMO$2)),"****")</f>
        <v/>
      </c>
      <c r="UMP3" t="str">
        <f>IFERROR(IF($C3="","",SUMIFS(Ledger!$K$2:$K$4, Ledger!$B$2:$B$4, $A3, Ledger!$C$2:$C$4, UMP$2)),"****")</f>
        <v/>
      </c>
      <c r="UMQ3" t="str">
        <f>IFERROR(IF($C3="","",SUMIFS(Ledger!$K$2:$K$4, Ledger!$B$2:$B$4, $A3, Ledger!$C$2:$C$4, UMQ$2)),"****")</f>
        <v/>
      </c>
      <c r="UMR3" t="str">
        <f>IFERROR(IF($C3="","",SUMIFS(Ledger!$K$2:$K$4, Ledger!$B$2:$B$4, $A3, Ledger!$C$2:$C$4, UMR$2)),"****")</f>
        <v/>
      </c>
      <c r="UMS3" t="str">
        <f>IFERROR(IF($C3="","",SUMIFS(Ledger!$K$2:$K$4, Ledger!$B$2:$B$4, $A3, Ledger!$C$2:$C$4, UMS$2)),"****")</f>
        <v/>
      </c>
      <c r="UMT3" t="str">
        <f>IFERROR(IF($C3="","",SUMIFS(Ledger!$K$2:$K$4, Ledger!$B$2:$B$4, $A3, Ledger!$C$2:$C$4, UMT$2)),"****")</f>
        <v/>
      </c>
      <c r="UMU3" t="str">
        <f>IFERROR(IF($C3="","",SUMIFS(Ledger!$K$2:$K$4, Ledger!$B$2:$B$4, $A3, Ledger!$C$2:$C$4, UMU$2)),"****")</f>
        <v/>
      </c>
      <c r="UMV3" t="str">
        <f>IFERROR(IF($C3="","",SUMIFS(Ledger!$K$2:$K$4, Ledger!$B$2:$B$4, $A3, Ledger!$C$2:$C$4, UMV$2)),"****")</f>
        <v/>
      </c>
      <c r="UMW3" t="str">
        <f>IFERROR(IF($C3="","",SUMIFS(Ledger!$K$2:$K$4, Ledger!$B$2:$B$4, $A3, Ledger!$C$2:$C$4, UMW$2)),"****")</f>
        <v/>
      </c>
      <c r="UMX3" t="str">
        <f>IFERROR(IF($C3="","",SUMIFS(Ledger!$K$2:$K$4, Ledger!$B$2:$B$4, $A3, Ledger!$C$2:$C$4, UMX$2)),"****")</f>
        <v/>
      </c>
      <c r="UMY3" t="str">
        <f>IFERROR(IF($C3="","",SUMIFS(Ledger!$K$2:$K$4, Ledger!$B$2:$B$4, $A3, Ledger!$C$2:$C$4, UMY$2)),"****")</f>
        <v/>
      </c>
      <c r="UMZ3" t="str">
        <f>IFERROR(IF($C3="","",SUMIFS(Ledger!$K$2:$K$4, Ledger!$B$2:$B$4, $A3, Ledger!$C$2:$C$4, UMZ$2)),"****")</f>
        <v/>
      </c>
      <c r="UNA3" t="str">
        <f>IFERROR(IF($C3="","",SUMIFS(Ledger!$K$2:$K$4, Ledger!$B$2:$B$4, $A3, Ledger!$C$2:$C$4, UNA$2)),"****")</f>
        <v/>
      </c>
      <c r="UNB3" t="str">
        <f>IFERROR(IF($C3="","",SUMIFS(Ledger!$K$2:$K$4, Ledger!$B$2:$B$4, $A3, Ledger!$C$2:$C$4, UNB$2)),"****")</f>
        <v/>
      </c>
      <c r="UNC3" t="str">
        <f>IFERROR(IF($C3="","",SUMIFS(Ledger!$K$2:$K$4, Ledger!$B$2:$B$4, $A3, Ledger!$C$2:$C$4, UNC$2)),"****")</f>
        <v/>
      </c>
      <c r="UND3" t="str">
        <f>IFERROR(IF($C3="","",SUMIFS(Ledger!$K$2:$K$4, Ledger!$B$2:$B$4, $A3, Ledger!$C$2:$C$4, UND$2)),"****")</f>
        <v/>
      </c>
      <c r="UNE3" t="str">
        <f>IFERROR(IF($C3="","",SUMIFS(Ledger!$K$2:$K$4, Ledger!$B$2:$B$4, $A3, Ledger!$C$2:$C$4, UNE$2)),"****")</f>
        <v/>
      </c>
      <c r="UNF3" t="str">
        <f>IFERROR(IF($C3="","",SUMIFS(Ledger!$K$2:$K$4, Ledger!$B$2:$B$4, $A3, Ledger!$C$2:$C$4, UNF$2)),"****")</f>
        <v/>
      </c>
      <c r="UNG3" t="str">
        <f>IFERROR(IF($C3="","",SUMIFS(Ledger!$K$2:$K$4, Ledger!$B$2:$B$4, $A3, Ledger!$C$2:$C$4, UNG$2)),"****")</f>
        <v/>
      </c>
      <c r="UNH3" t="str">
        <f>IFERROR(IF($C3="","",SUMIFS(Ledger!$K$2:$K$4, Ledger!$B$2:$B$4, $A3, Ledger!$C$2:$C$4, UNH$2)),"****")</f>
        <v/>
      </c>
      <c r="UNI3" t="str">
        <f>IFERROR(IF($C3="","",SUMIFS(Ledger!$K$2:$K$4, Ledger!$B$2:$B$4, $A3, Ledger!$C$2:$C$4, UNI$2)),"****")</f>
        <v/>
      </c>
      <c r="UNJ3" t="str">
        <f>IFERROR(IF($C3="","",SUMIFS(Ledger!$K$2:$K$4, Ledger!$B$2:$B$4, $A3, Ledger!$C$2:$C$4, UNJ$2)),"****")</f>
        <v/>
      </c>
      <c r="UNK3" t="str">
        <f>IFERROR(IF($C3="","",SUMIFS(Ledger!$K$2:$K$4, Ledger!$B$2:$B$4, $A3, Ledger!$C$2:$C$4, UNK$2)),"****")</f>
        <v/>
      </c>
      <c r="UNL3" t="str">
        <f>IFERROR(IF($C3="","",SUMIFS(Ledger!$K$2:$K$4, Ledger!$B$2:$B$4, $A3, Ledger!$C$2:$C$4, UNL$2)),"****")</f>
        <v/>
      </c>
      <c r="UNM3" t="str">
        <f>IFERROR(IF($C3="","",SUMIFS(Ledger!$K$2:$K$4, Ledger!$B$2:$B$4, $A3, Ledger!$C$2:$C$4, UNM$2)),"****")</f>
        <v/>
      </c>
      <c r="UNN3" t="str">
        <f>IFERROR(IF($C3="","",SUMIFS(Ledger!$K$2:$K$4, Ledger!$B$2:$B$4, $A3, Ledger!$C$2:$C$4, UNN$2)),"****")</f>
        <v/>
      </c>
      <c r="UNO3" t="str">
        <f>IFERROR(IF($C3="","",SUMIFS(Ledger!$K$2:$K$4, Ledger!$B$2:$B$4, $A3, Ledger!$C$2:$C$4, UNO$2)),"****")</f>
        <v/>
      </c>
      <c r="UNP3" t="str">
        <f>IFERROR(IF($C3="","",SUMIFS(Ledger!$K$2:$K$4, Ledger!$B$2:$B$4, $A3, Ledger!$C$2:$C$4, UNP$2)),"****")</f>
        <v/>
      </c>
      <c r="UNQ3" t="str">
        <f>IFERROR(IF($C3="","",SUMIFS(Ledger!$K$2:$K$4, Ledger!$B$2:$B$4, $A3, Ledger!$C$2:$C$4, UNQ$2)),"****")</f>
        <v/>
      </c>
      <c r="UNR3" t="str">
        <f>IFERROR(IF($C3="","",SUMIFS(Ledger!$K$2:$K$4, Ledger!$B$2:$B$4, $A3, Ledger!$C$2:$C$4, UNR$2)),"****")</f>
        <v/>
      </c>
      <c r="UNS3" t="str">
        <f>IFERROR(IF($C3="","",SUMIFS(Ledger!$K$2:$K$4, Ledger!$B$2:$B$4, $A3, Ledger!$C$2:$C$4, UNS$2)),"****")</f>
        <v/>
      </c>
      <c r="UNT3" t="str">
        <f>IFERROR(IF($C3="","",SUMIFS(Ledger!$K$2:$K$4, Ledger!$B$2:$B$4, $A3, Ledger!$C$2:$C$4, UNT$2)),"****")</f>
        <v/>
      </c>
      <c r="UNU3" t="str">
        <f>IFERROR(IF($C3="","",SUMIFS(Ledger!$K$2:$K$4, Ledger!$B$2:$B$4, $A3, Ledger!$C$2:$C$4, UNU$2)),"****")</f>
        <v/>
      </c>
      <c r="UNV3" t="str">
        <f>IFERROR(IF($C3="","",SUMIFS(Ledger!$K$2:$K$4, Ledger!$B$2:$B$4, $A3, Ledger!$C$2:$C$4, UNV$2)),"****")</f>
        <v/>
      </c>
      <c r="UNW3" t="str">
        <f>IFERROR(IF($C3="","",SUMIFS(Ledger!$K$2:$K$4, Ledger!$B$2:$B$4, $A3, Ledger!$C$2:$C$4, UNW$2)),"****")</f>
        <v/>
      </c>
      <c r="UNX3" t="str">
        <f>IFERROR(IF($C3="","",SUMIFS(Ledger!$K$2:$K$4, Ledger!$B$2:$B$4, $A3, Ledger!$C$2:$C$4, UNX$2)),"****")</f>
        <v/>
      </c>
      <c r="UNY3" t="str">
        <f>IFERROR(IF($C3="","",SUMIFS(Ledger!$K$2:$K$4, Ledger!$B$2:$B$4, $A3, Ledger!$C$2:$C$4, UNY$2)),"****")</f>
        <v/>
      </c>
      <c r="UNZ3" t="str">
        <f>IFERROR(IF($C3="","",SUMIFS(Ledger!$K$2:$K$4, Ledger!$B$2:$B$4, $A3, Ledger!$C$2:$C$4, UNZ$2)),"****")</f>
        <v/>
      </c>
      <c r="UOA3" t="str">
        <f>IFERROR(IF($C3="","",SUMIFS(Ledger!$K$2:$K$4, Ledger!$B$2:$B$4, $A3, Ledger!$C$2:$C$4, UOA$2)),"****")</f>
        <v/>
      </c>
      <c r="UOB3" t="str">
        <f>IFERROR(IF($C3="","",SUMIFS(Ledger!$K$2:$K$4, Ledger!$B$2:$B$4, $A3, Ledger!$C$2:$C$4, UOB$2)),"****")</f>
        <v/>
      </c>
      <c r="UOC3" t="str">
        <f>IFERROR(IF($C3="","",SUMIFS(Ledger!$K$2:$K$4, Ledger!$B$2:$B$4, $A3, Ledger!$C$2:$C$4, UOC$2)),"****")</f>
        <v/>
      </c>
      <c r="UOD3" t="str">
        <f>IFERROR(IF($C3="","",SUMIFS(Ledger!$K$2:$K$4, Ledger!$B$2:$B$4, $A3, Ledger!$C$2:$C$4, UOD$2)),"****")</f>
        <v/>
      </c>
      <c r="UOE3" t="str">
        <f>IFERROR(IF($C3="","",SUMIFS(Ledger!$K$2:$K$4, Ledger!$B$2:$B$4, $A3, Ledger!$C$2:$C$4, UOE$2)),"****")</f>
        <v/>
      </c>
      <c r="UOF3" t="str">
        <f>IFERROR(IF($C3="","",SUMIFS(Ledger!$K$2:$K$4, Ledger!$B$2:$B$4, $A3, Ledger!$C$2:$C$4, UOF$2)),"****")</f>
        <v/>
      </c>
      <c r="UOG3" t="str">
        <f>IFERROR(IF($C3="","",SUMIFS(Ledger!$K$2:$K$4, Ledger!$B$2:$B$4, $A3, Ledger!$C$2:$C$4, UOG$2)),"****")</f>
        <v/>
      </c>
      <c r="UOH3" t="str">
        <f>IFERROR(IF($C3="","",SUMIFS(Ledger!$K$2:$K$4, Ledger!$B$2:$B$4, $A3, Ledger!$C$2:$C$4, UOH$2)),"****")</f>
        <v/>
      </c>
      <c r="UOI3" t="str">
        <f>IFERROR(IF($C3="","",SUMIFS(Ledger!$K$2:$K$4, Ledger!$B$2:$B$4, $A3, Ledger!$C$2:$C$4, UOI$2)),"****")</f>
        <v/>
      </c>
      <c r="UOJ3" t="str">
        <f>IFERROR(IF($C3="","",SUMIFS(Ledger!$K$2:$K$4, Ledger!$B$2:$B$4, $A3, Ledger!$C$2:$C$4, UOJ$2)),"****")</f>
        <v/>
      </c>
      <c r="UOK3" t="str">
        <f>IFERROR(IF($C3="","",SUMIFS(Ledger!$K$2:$K$4, Ledger!$B$2:$B$4, $A3, Ledger!$C$2:$C$4, UOK$2)),"****")</f>
        <v/>
      </c>
      <c r="UOL3" t="str">
        <f>IFERROR(IF($C3="","",SUMIFS(Ledger!$K$2:$K$4, Ledger!$B$2:$B$4, $A3, Ledger!$C$2:$C$4, UOL$2)),"****")</f>
        <v/>
      </c>
      <c r="UOM3" t="str">
        <f>IFERROR(IF($C3="","",SUMIFS(Ledger!$K$2:$K$4, Ledger!$B$2:$B$4, $A3, Ledger!$C$2:$C$4, UOM$2)),"****")</f>
        <v/>
      </c>
      <c r="UON3" t="str">
        <f>IFERROR(IF($C3="","",SUMIFS(Ledger!$K$2:$K$4, Ledger!$B$2:$B$4, $A3, Ledger!$C$2:$C$4, UON$2)),"****")</f>
        <v/>
      </c>
      <c r="UOO3" t="str">
        <f>IFERROR(IF($C3="","",SUMIFS(Ledger!$K$2:$K$4, Ledger!$B$2:$B$4, $A3, Ledger!$C$2:$C$4, UOO$2)),"****")</f>
        <v/>
      </c>
      <c r="UOP3" t="str">
        <f>IFERROR(IF($C3="","",SUMIFS(Ledger!$K$2:$K$4, Ledger!$B$2:$B$4, $A3, Ledger!$C$2:$C$4, UOP$2)),"****")</f>
        <v/>
      </c>
      <c r="UOQ3" t="str">
        <f>IFERROR(IF($C3="","",SUMIFS(Ledger!$K$2:$K$4, Ledger!$B$2:$B$4, $A3, Ledger!$C$2:$C$4, UOQ$2)),"****")</f>
        <v/>
      </c>
      <c r="UOR3" t="str">
        <f>IFERROR(IF($C3="","",SUMIFS(Ledger!$K$2:$K$4, Ledger!$B$2:$B$4, $A3, Ledger!$C$2:$C$4, UOR$2)),"****")</f>
        <v/>
      </c>
      <c r="UOS3" t="str">
        <f>IFERROR(IF($C3="","",SUMIFS(Ledger!$K$2:$K$4, Ledger!$B$2:$B$4, $A3, Ledger!$C$2:$C$4, UOS$2)),"****")</f>
        <v/>
      </c>
      <c r="UOT3" t="str">
        <f>IFERROR(IF($C3="","",SUMIFS(Ledger!$K$2:$K$4, Ledger!$B$2:$B$4, $A3, Ledger!$C$2:$C$4, UOT$2)),"****")</f>
        <v/>
      </c>
      <c r="UOU3" t="str">
        <f>IFERROR(IF($C3="","",SUMIFS(Ledger!$K$2:$K$4, Ledger!$B$2:$B$4, $A3, Ledger!$C$2:$C$4, UOU$2)),"****")</f>
        <v/>
      </c>
      <c r="UOV3" t="str">
        <f>IFERROR(IF($C3="","",SUMIFS(Ledger!$K$2:$K$4, Ledger!$B$2:$B$4, $A3, Ledger!$C$2:$C$4, UOV$2)),"****")</f>
        <v/>
      </c>
      <c r="UOW3" t="str">
        <f>IFERROR(IF($C3="","",SUMIFS(Ledger!$K$2:$K$4, Ledger!$B$2:$B$4, $A3, Ledger!$C$2:$C$4, UOW$2)),"****")</f>
        <v/>
      </c>
      <c r="UOX3" t="str">
        <f>IFERROR(IF($C3="","",SUMIFS(Ledger!$K$2:$K$4, Ledger!$B$2:$B$4, $A3, Ledger!$C$2:$C$4, UOX$2)),"****")</f>
        <v/>
      </c>
      <c r="UOY3" t="str">
        <f>IFERROR(IF($C3="","",SUMIFS(Ledger!$K$2:$K$4, Ledger!$B$2:$B$4, $A3, Ledger!$C$2:$C$4, UOY$2)),"****")</f>
        <v/>
      </c>
      <c r="UOZ3" t="str">
        <f>IFERROR(IF($C3="","",SUMIFS(Ledger!$K$2:$K$4, Ledger!$B$2:$B$4, $A3, Ledger!$C$2:$C$4, UOZ$2)),"****")</f>
        <v/>
      </c>
      <c r="UPA3" t="str">
        <f>IFERROR(IF($C3="","",SUMIFS(Ledger!$K$2:$K$4, Ledger!$B$2:$B$4, $A3, Ledger!$C$2:$C$4, UPA$2)),"****")</f>
        <v/>
      </c>
      <c r="UPB3" t="str">
        <f>IFERROR(IF($C3="","",SUMIFS(Ledger!$K$2:$K$4, Ledger!$B$2:$B$4, $A3, Ledger!$C$2:$C$4, UPB$2)),"****")</f>
        <v/>
      </c>
      <c r="UPC3" t="str">
        <f>IFERROR(IF($C3="","",SUMIFS(Ledger!$K$2:$K$4, Ledger!$B$2:$B$4, $A3, Ledger!$C$2:$C$4, UPC$2)),"****")</f>
        <v/>
      </c>
      <c r="UPD3" t="str">
        <f>IFERROR(IF($C3="","",SUMIFS(Ledger!$K$2:$K$4, Ledger!$B$2:$B$4, $A3, Ledger!$C$2:$C$4, UPD$2)),"****")</f>
        <v/>
      </c>
      <c r="UPE3" t="str">
        <f>IFERROR(IF($C3="","",SUMIFS(Ledger!$K$2:$K$4, Ledger!$B$2:$B$4, $A3, Ledger!$C$2:$C$4, UPE$2)),"****")</f>
        <v/>
      </c>
      <c r="UPF3" t="str">
        <f>IFERROR(IF($C3="","",SUMIFS(Ledger!$K$2:$K$4, Ledger!$B$2:$B$4, $A3, Ledger!$C$2:$C$4, UPF$2)),"****")</f>
        <v/>
      </c>
      <c r="UPG3" t="str">
        <f>IFERROR(IF($C3="","",SUMIFS(Ledger!$K$2:$K$4, Ledger!$B$2:$B$4, $A3, Ledger!$C$2:$C$4, UPG$2)),"****")</f>
        <v/>
      </c>
      <c r="UPH3" t="str">
        <f>IFERROR(IF($C3="","",SUMIFS(Ledger!$K$2:$K$4, Ledger!$B$2:$B$4, $A3, Ledger!$C$2:$C$4, UPH$2)),"****")</f>
        <v/>
      </c>
      <c r="UPI3" t="str">
        <f>IFERROR(IF($C3="","",SUMIFS(Ledger!$K$2:$K$4, Ledger!$B$2:$B$4, $A3, Ledger!$C$2:$C$4, UPI$2)),"****")</f>
        <v/>
      </c>
      <c r="UPJ3" t="str">
        <f>IFERROR(IF($C3="","",SUMIFS(Ledger!$K$2:$K$4, Ledger!$B$2:$B$4, $A3, Ledger!$C$2:$C$4, UPJ$2)),"****")</f>
        <v/>
      </c>
      <c r="UPK3" t="str">
        <f>IFERROR(IF($C3="","",SUMIFS(Ledger!$K$2:$K$4, Ledger!$B$2:$B$4, $A3, Ledger!$C$2:$C$4, UPK$2)),"****")</f>
        <v/>
      </c>
      <c r="UPL3" t="str">
        <f>IFERROR(IF($C3="","",SUMIFS(Ledger!$K$2:$K$4, Ledger!$B$2:$B$4, $A3, Ledger!$C$2:$C$4, UPL$2)),"****")</f>
        <v/>
      </c>
      <c r="UPM3" t="str">
        <f>IFERROR(IF($C3="","",SUMIFS(Ledger!$K$2:$K$4, Ledger!$B$2:$B$4, $A3, Ledger!$C$2:$C$4, UPM$2)),"****")</f>
        <v/>
      </c>
      <c r="UPN3" t="str">
        <f>IFERROR(IF($C3="","",SUMIFS(Ledger!$K$2:$K$4, Ledger!$B$2:$B$4, $A3, Ledger!$C$2:$C$4, UPN$2)),"****")</f>
        <v/>
      </c>
      <c r="UPO3" t="str">
        <f>IFERROR(IF($C3="","",SUMIFS(Ledger!$K$2:$K$4, Ledger!$B$2:$B$4, $A3, Ledger!$C$2:$C$4, UPO$2)),"****")</f>
        <v/>
      </c>
      <c r="UPP3" t="str">
        <f>IFERROR(IF($C3="","",SUMIFS(Ledger!$K$2:$K$4, Ledger!$B$2:$B$4, $A3, Ledger!$C$2:$C$4, UPP$2)),"****")</f>
        <v/>
      </c>
      <c r="UPQ3" t="str">
        <f>IFERROR(IF($C3="","",SUMIFS(Ledger!$K$2:$K$4, Ledger!$B$2:$B$4, $A3, Ledger!$C$2:$C$4, UPQ$2)),"****")</f>
        <v/>
      </c>
      <c r="UPR3" t="str">
        <f>IFERROR(IF($C3="","",SUMIFS(Ledger!$K$2:$K$4, Ledger!$B$2:$B$4, $A3, Ledger!$C$2:$C$4, UPR$2)),"****")</f>
        <v/>
      </c>
      <c r="UPS3" t="str">
        <f>IFERROR(IF($C3="","",SUMIFS(Ledger!$K$2:$K$4, Ledger!$B$2:$B$4, $A3, Ledger!$C$2:$C$4, UPS$2)),"****")</f>
        <v/>
      </c>
      <c r="UPT3" t="str">
        <f>IFERROR(IF($C3="","",SUMIFS(Ledger!$K$2:$K$4, Ledger!$B$2:$B$4, $A3, Ledger!$C$2:$C$4, UPT$2)),"****")</f>
        <v/>
      </c>
      <c r="UPU3" t="str">
        <f>IFERROR(IF($C3="","",SUMIFS(Ledger!$K$2:$K$4, Ledger!$B$2:$B$4, $A3, Ledger!$C$2:$C$4, UPU$2)),"****")</f>
        <v/>
      </c>
      <c r="UPV3" t="str">
        <f>IFERROR(IF($C3="","",SUMIFS(Ledger!$K$2:$K$4, Ledger!$B$2:$B$4, $A3, Ledger!$C$2:$C$4, UPV$2)),"****")</f>
        <v/>
      </c>
      <c r="UPW3" t="str">
        <f>IFERROR(IF($C3="","",SUMIFS(Ledger!$K$2:$K$4, Ledger!$B$2:$B$4, $A3, Ledger!$C$2:$C$4, UPW$2)),"****")</f>
        <v/>
      </c>
      <c r="UPX3" t="str">
        <f>IFERROR(IF($C3="","",SUMIFS(Ledger!$K$2:$K$4, Ledger!$B$2:$B$4, $A3, Ledger!$C$2:$C$4, UPX$2)),"****")</f>
        <v/>
      </c>
      <c r="UPY3" t="str">
        <f>IFERROR(IF($C3="","",SUMIFS(Ledger!$K$2:$K$4, Ledger!$B$2:$B$4, $A3, Ledger!$C$2:$C$4, UPY$2)),"****")</f>
        <v/>
      </c>
      <c r="UPZ3" t="str">
        <f>IFERROR(IF($C3="","",SUMIFS(Ledger!$K$2:$K$4, Ledger!$B$2:$B$4, $A3, Ledger!$C$2:$C$4, UPZ$2)),"****")</f>
        <v/>
      </c>
      <c r="UQA3" t="str">
        <f>IFERROR(IF($C3="","",SUMIFS(Ledger!$K$2:$K$4, Ledger!$B$2:$B$4, $A3, Ledger!$C$2:$C$4, UQA$2)),"****")</f>
        <v/>
      </c>
      <c r="UQB3" t="str">
        <f>IFERROR(IF($C3="","",SUMIFS(Ledger!$K$2:$K$4, Ledger!$B$2:$B$4, $A3, Ledger!$C$2:$C$4, UQB$2)),"****")</f>
        <v/>
      </c>
      <c r="UQC3" t="str">
        <f>IFERROR(IF($C3="","",SUMIFS(Ledger!$K$2:$K$4, Ledger!$B$2:$B$4, $A3, Ledger!$C$2:$C$4, UQC$2)),"****")</f>
        <v/>
      </c>
      <c r="UQD3" t="str">
        <f>IFERROR(IF($C3="","",SUMIFS(Ledger!$K$2:$K$4, Ledger!$B$2:$B$4, $A3, Ledger!$C$2:$C$4, UQD$2)),"****")</f>
        <v/>
      </c>
      <c r="UQE3" t="str">
        <f>IFERROR(IF($C3="","",SUMIFS(Ledger!$K$2:$K$4, Ledger!$B$2:$B$4, $A3, Ledger!$C$2:$C$4, UQE$2)),"****")</f>
        <v/>
      </c>
      <c r="UQF3" t="str">
        <f>IFERROR(IF($C3="","",SUMIFS(Ledger!$K$2:$K$4, Ledger!$B$2:$B$4, $A3, Ledger!$C$2:$C$4, UQF$2)),"****")</f>
        <v/>
      </c>
      <c r="UQG3" t="str">
        <f>IFERROR(IF($C3="","",SUMIFS(Ledger!$K$2:$K$4, Ledger!$B$2:$B$4, $A3, Ledger!$C$2:$C$4, UQG$2)),"****")</f>
        <v/>
      </c>
      <c r="UQH3" t="str">
        <f>IFERROR(IF($C3="","",SUMIFS(Ledger!$K$2:$K$4, Ledger!$B$2:$B$4, $A3, Ledger!$C$2:$C$4, UQH$2)),"****")</f>
        <v/>
      </c>
      <c r="UQI3" t="str">
        <f>IFERROR(IF($C3="","",SUMIFS(Ledger!$K$2:$K$4, Ledger!$B$2:$B$4, $A3, Ledger!$C$2:$C$4, UQI$2)),"****")</f>
        <v/>
      </c>
      <c r="UQJ3" t="str">
        <f>IFERROR(IF($C3="","",SUMIFS(Ledger!$K$2:$K$4, Ledger!$B$2:$B$4, $A3, Ledger!$C$2:$C$4, UQJ$2)),"****")</f>
        <v/>
      </c>
      <c r="UQK3" t="str">
        <f>IFERROR(IF($C3="","",SUMIFS(Ledger!$K$2:$K$4, Ledger!$B$2:$B$4, $A3, Ledger!$C$2:$C$4, UQK$2)),"****")</f>
        <v/>
      </c>
      <c r="UQL3" t="str">
        <f>IFERROR(IF($C3="","",SUMIFS(Ledger!$K$2:$K$4, Ledger!$B$2:$B$4, $A3, Ledger!$C$2:$C$4, UQL$2)),"****")</f>
        <v/>
      </c>
      <c r="UQM3" t="str">
        <f>IFERROR(IF($C3="","",SUMIFS(Ledger!$K$2:$K$4, Ledger!$B$2:$B$4, $A3, Ledger!$C$2:$C$4, UQM$2)),"****")</f>
        <v/>
      </c>
      <c r="UQN3" t="str">
        <f>IFERROR(IF($C3="","",SUMIFS(Ledger!$K$2:$K$4, Ledger!$B$2:$B$4, $A3, Ledger!$C$2:$C$4, UQN$2)),"****")</f>
        <v/>
      </c>
      <c r="UQO3" t="str">
        <f>IFERROR(IF($C3="","",SUMIFS(Ledger!$K$2:$K$4, Ledger!$B$2:$B$4, $A3, Ledger!$C$2:$C$4, UQO$2)),"****")</f>
        <v/>
      </c>
      <c r="UQP3" t="str">
        <f>IFERROR(IF($C3="","",SUMIFS(Ledger!$K$2:$K$4, Ledger!$B$2:$B$4, $A3, Ledger!$C$2:$C$4, UQP$2)),"****")</f>
        <v/>
      </c>
      <c r="UQQ3" t="str">
        <f>IFERROR(IF($C3="","",SUMIFS(Ledger!$K$2:$K$4, Ledger!$B$2:$B$4, $A3, Ledger!$C$2:$C$4, UQQ$2)),"****")</f>
        <v/>
      </c>
      <c r="UQR3" t="str">
        <f>IFERROR(IF($C3="","",SUMIFS(Ledger!$K$2:$K$4, Ledger!$B$2:$B$4, $A3, Ledger!$C$2:$C$4, UQR$2)),"****")</f>
        <v/>
      </c>
      <c r="UQS3" t="str">
        <f>IFERROR(IF($C3="","",SUMIFS(Ledger!$K$2:$K$4, Ledger!$B$2:$B$4, $A3, Ledger!$C$2:$C$4, UQS$2)),"****")</f>
        <v/>
      </c>
      <c r="UQT3" t="str">
        <f>IFERROR(IF($C3="","",SUMIFS(Ledger!$K$2:$K$4, Ledger!$B$2:$B$4, $A3, Ledger!$C$2:$C$4, UQT$2)),"****")</f>
        <v/>
      </c>
      <c r="UQU3" t="str">
        <f>IFERROR(IF($C3="","",SUMIFS(Ledger!$K$2:$K$4, Ledger!$B$2:$B$4, $A3, Ledger!$C$2:$C$4, UQU$2)),"****")</f>
        <v/>
      </c>
      <c r="UQV3" t="str">
        <f>IFERROR(IF($C3="","",SUMIFS(Ledger!$K$2:$K$4, Ledger!$B$2:$B$4, $A3, Ledger!$C$2:$C$4, UQV$2)),"****")</f>
        <v/>
      </c>
      <c r="UQW3" t="str">
        <f>IFERROR(IF($C3="","",SUMIFS(Ledger!$K$2:$K$4, Ledger!$B$2:$B$4, $A3, Ledger!$C$2:$C$4, UQW$2)),"****")</f>
        <v/>
      </c>
      <c r="UQX3" t="str">
        <f>IFERROR(IF($C3="","",SUMIFS(Ledger!$K$2:$K$4, Ledger!$B$2:$B$4, $A3, Ledger!$C$2:$C$4, UQX$2)),"****")</f>
        <v/>
      </c>
      <c r="UQY3" t="str">
        <f>IFERROR(IF($C3="","",SUMIFS(Ledger!$K$2:$K$4, Ledger!$B$2:$B$4, $A3, Ledger!$C$2:$C$4, UQY$2)),"****")</f>
        <v/>
      </c>
      <c r="UQZ3" t="str">
        <f>IFERROR(IF($C3="","",SUMIFS(Ledger!$K$2:$K$4, Ledger!$B$2:$B$4, $A3, Ledger!$C$2:$C$4, UQZ$2)),"****")</f>
        <v/>
      </c>
      <c r="URA3" t="str">
        <f>IFERROR(IF($C3="","",SUMIFS(Ledger!$K$2:$K$4, Ledger!$B$2:$B$4, $A3, Ledger!$C$2:$C$4, URA$2)),"****")</f>
        <v/>
      </c>
      <c r="URB3" t="str">
        <f>IFERROR(IF($C3="","",SUMIFS(Ledger!$K$2:$K$4, Ledger!$B$2:$B$4, $A3, Ledger!$C$2:$C$4, URB$2)),"****")</f>
        <v/>
      </c>
      <c r="URC3" t="str">
        <f>IFERROR(IF($C3="","",SUMIFS(Ledger!$K$2:$K$4, Ledger!$B$2:$B$4, $A3, Ledger!$C$2:$C$4, URC$2)),"****")</f>
        <v/>
      </c>
      <c r="URD3" t="str">
        <f>IFERROR(IF($C3="","",SUMIFS(Ledger!$K$2:$K$4, Ledger!$B$2:$B$4, $A3, Ledger!$C$2:$C$4, URD$2)),"****")</f>
        <v/>
      </c>
      <c r="URE3" t="str">
        <f>IFERROR(IF($C3="","",SUMIFS(Ledger!$K$2:$K$4, Ledger!$B$2:$B$4, $A3, Ledger!$C$2:$C$4, URE$2)),"****")</f>
        <v/>
      </c>
      <c r="URF3" t="str">
        <f>IFERROR(IF($C3="","",SUMIFS(Ledger!$K$2:$K$4, Ledger!$B$2:$B$4, $A3, Ledger!$C$2:$C$4, URF$2)),"****")</f>
        <v/>
      </c>
      <c r="URG3" t="str">
        <f>IFERROR(IF($C3="","",SUMIFS(Ledger!$K$2:$K$4, Ledger!$B$2:$B$4, $A3, Ledger!$C$2:$C$4, URG$2)),"****")</f>
        <v/>
      </c>
      <c r="URH3" t="str">
        <f>IFERROR(IF($C3="","",SUMIFS(Ledger!$K$2:$K$4, Ledger!$B$2:$B$4, $A3, Ledger!$C$2:$C$4, URH$2)),"****")</f>
        <v/>
      </c>
      <c r="URI3" t="str">
        <f>IFERROR(IF($C3="","",SUMIFS(Ledger!$K$2:$K$4, Ledger!$B$2:$B$4, $A3, Ledger!$C$2:$C$4, URI$2)),"****")</f>
        <v/>
      </c>
      <c r="URJ3" t="str">
        <f>IFERROR(IF($C3="","",SUMIFS(Ledger!$K$2:$K$4, Ledger!$B$2:$B$4, $A3, Ledger!$C$2:$C$4, URJ$2)),"****")</f>
        <v/>
      </c>
      <c r="URK3" t="str">
        <f>IFERROR(IF($C3="","",SUMIFS(Ledger!$K$2:$K$4, Ledger!$B$2:$B$4, $A3, Ledger!$C$2:$C$4, URK$2)),"****")</f>
        <v/>
      </c>
      <c r="URL3" t="str">
        <f>IFERROR(IF($C3="","",SUMIFS(Ledger!$K$2:$K$4, Ledger!$B$2:$B$4, $A3, Ledger!$C$2:$C$4, URL$2)),"****")</f>
        <v/>
      </c>
      <c r="URM3" t="str">
        <f>IFERROR(IF($C3="","",SUMIFS(Ledger!$K$2:$K$4, Ledger!$B$2:$B$4, $A3, Ledger!$C$2:$C$4, URM$2)),"****")</f>
        <v/>
      </c>
      <c r="URN3" t="str">
        <f>IFERROR(IF($C3="","",SUMIFS(Ledger!$K$2:$K$4, Ledger!$B$2:$B$4, $A3, Ledger!$C$2:$C$4, URN$2)),"****")</f>
        <v/>
      </c>
      <c r="URO3" t="str">
        <f>IFERROR(IF($C3="","",SUMIFS(Ledger!$K$2:$K$4, Ledger!$B$2:$B$4, $A3, Ledger!$C$2:$C$4, URO$2)),"****")</f>
        <v/>
      </c>
      <c r="URP3" t="str">
        <f>IFERROR(IF($C3="","",SUMIFS(Ledger!$K$2:$K$4, Ledger!$B$2:$B$4, $A3, Ledger!$C$2:$C$4, URP$2)),"****")</f>
        <v/>
      </c>
      <c r="URQ3" t="str">
        <f>IFERROR(IF($C3="","",SUMIFS(Ledger!$K$2:$K$4, Ledger!$B$2:$B$4, $A3, Ledger!$C$2:$C$4, URQ$2)),"****")</f>
        <v/>
      </c>
      <c r="URR3" t="str">
        <f>IFERROR(IF($C3="","",SUMIFS(Ledger!$K$2:$K$4, Ledger!$B$2:$B$4, $A3, Ledger!$C$2:$C$4, URR$2)),"****")</f>
        <v/>
      </c>
      <c r="URS3" t="str">
        <f>IFERROR(IF($C3="","",SUMIFS(Ledger!$K$2:$K$4, Ledger!$B$2:$B$4, $A3, Ledger!$C$2:$C$4, URS$2)),"****")</f>
        <v/>
      </c>
      <c r="URT3" t="str">
        <f>IFERROR(IF($C3="","",SUMIFS(Ledger!$K$2:$K$4, Ledger!$B$2:$B$4, $A3, Ledger!$C$2:$C$4, URT$2)),"****")</f>
        <v/>
      </c>
      <c r="URU3" t="str">
        <f>IFERROR(IF($C3="","",SUMIFS(Ledger!$K$2:$K$4, Ledger!$B$2:$B$4, $A3, Ledger!$C$2:$C$4, URU$2)),"****")</f>
        <v/>
      </c>
      <c r="URV3" t="str">
        <f>IFERROR(IF($C3="","",SUMIFS(Ledger!$K$2:$K$4, Ledger!$B$2:$B$4, $A3, Ledger!$C$2:$C$4, URV$2)),"****")</f>
        <v/>
      </c>
      <c r="URW3" t="str">
        <f>IFERROR(IF($C3="","",SUMIFS(Ledger!$K$2:$K$4, Ledger!$B$2:$B$4, $A3, Ledger!$C$2:$C$4, URW$2)),"****")</f>
        <v/>
      </c>
      <c r="URX3" t="str">
        <f>IFERROR(IF($C3="","",SUMIFS(Ledger!$K$2:$K$4, Ledger!$B$2:$B$4, $A3, Ledger!$C$2:$C$4, URX$2)),"****")</f>
        <v/>
      </c>
      <c r="URY3" t="str">
        <f>IFERROR(IF($C3="","",SUMIFS(Ledger!$K$2:$K$4, Ledger!$B$2:$B$4, $A3, Ledger!$C$2:$C$4, URY$2)),"****")</f>
        <v/>
      </c>
      <c r="URZ3" t="str">
        <f>IFERROR(IF($C3="","",SUMIFS(Ledger!$K$2:$K$4, Ledger!$B$2:$B$4, $A3, Ledger!$C$2:$C$4, URZ$2)),"****")</f>
        <v/>
      </c>
      <c r="USA3" t="str">
        <f>IFERROR(IF($C3="","",SUMIFS(Ledger!$K$2:$K$4, Ledger!$B$2:$B$4, $A3, Ledger!$C$2:$C$4, USA$2)),"****")</f>
        <v/>
      </c>
      <c r="USB3" t="str">
        <f>IFERROR(IF($C3="","",SUMIFS(Ledger!$K$2:$K$4, Ledger!$B$2:$B$4, $A3, Ledger!$C$2:$C$4, USB$2)),"****")</f>
        <v/>
      </c>
      <c r="USC3" t="str">
        <f>IFERROR(IF($C3="","",SUMIFS(Ledger!$K$2:$K$4, Ledger!$B$2:$B$4, $A3, Ledger!$C$2:$C$4, USC$2)),"****")</f>
        <v/>
      </c>
      <c r="USD3" t="str">
        <f>IFERROR(IF($C3="","",SUMIFS(Ledger!$K$2:$K$4, Ledger!$B$2:$B$4, $A3, Ledger!$C$2:$C$4, USD$2)),"****")</f>
        <v/>
      </c>
      <c r="USE3" t="str">
        <f>IFERROR(IF($C3="","",SUMIFS(Ledger!$K$2:$K$4, Ledger!$B$2:$B$4, $A3, Ledger!$C$2:$C$4, USE$2)),"****")</f>
        <v/>
      </c>
      <c r="USF3" t="str">
        <f>IFERROR(IF($C3="","",SUMIFS(Ledger!$K$2:$K$4, Ledger!$B$2:$B$4, $A3, Ledger!$C$2:$C$4, USF$2)),"****")</f>
        <v/>
      </c>
      <c r="USG3" t="str">
        <f>IFERROR(IF($C3="","",SUMIFS(Ledger!$K$2:$K$4, Ledger!$B$2:$B$4, $A3, Ledger!$C$2:$C$4, USG$2)),"****")</f>
        <v/>
      </c>
      <c r="USH3" t="str">
        <f>IFERROR(IF($C3="","",SUMIFS(Ledger!$K$2:$K$4, Ledger!$B$2:$B$4, $A3, Ledger!$C$2:$C$4, USH$2)),"****")</f>
        <v/>
      </c>
      <c r="USI3" t="str">
        <f>IFERROR(IF($C3="","",SUMIFS(Ledger!$K$2:$K$4, Ledger!$B$2:$B$4, $A3, Ledger!$C$2:$C$4, USI$2)),"****")</f>
        <v/>
      </c>
      <c r="USJ3" t="str">
        <f>IFERROR(IF($C3="","",SUMIFS(Ledger!$K$2:$K$4, Ledger!$B$2:$B$4, $A3, Ledger!$C$2:$C$4, USJ$2)),"****")</f>
        <v/>
      </c>
      <c r="USK3" t="str">
        <f>IFERROR(IF($C3="","",SUMIFS(Ledger!$K$2:$K$4, Ledger!$B$2:$B$4, $A3, Ledger!$C$2:$C$4, USK$2)),"****")</f>
        <v/>
      </c>
      <c r="USL3" t="str">
        <f>IFERROR(IF($C3="","",SUMIFS(Ledger!$K$2:$K$4, Ledger!$B$2:$B$4, $A3, Ledger!$C$2:$C$4, USL$2)),"****")</f>
        <v/>
      </c>
      <c r="USM3" t="str">
        <f>IFERROR(IF($C3="","",SUMIFS(Ledger!$K$2:$K$4, Ledger!$B$2:$B$4, $A3, Ledger!$C$2:$C$4, USM$2)),"****")</f>
        <v/>
      </c>
      <c r="USN3" t="str">
        <f>IFERROR(IF($C3="","",SUMIFS(Ledger!$K$2:$K$4, Ledger!$B$2:$B$4, $A3, Ledger!$C$2:$C$4, USN$2)),"****")</f>
        <v/>
      </c>
      <c r="USO3" t="str">
        <f>IFERROR(IF($C3="","",SUMIFS(Ledger!$K$2:$K$4, Ledger!$B$2:$B$4, $A3, Ledger!$C$2:$C$4, USO$2)),"****")</f>
        <v/>
      </c>
      <c r="USP3" t="str">
        <f>IFERROR(IF($C3="","",SUMIFS(Ledger!$K$2:$K$4, Ledger!$B$2:$B$4, $A3, Ledger!$C$2:$C$4, USP$2)),"****")</f>
        <v/>
      </c>
      <c r="USQ3" t="str">
        <f>IFERROR(IF($C3="","",SUMIFS(Ledger!$K$2:$K$4, Ledger!$B$2:$B$4, $A3, Ledger!$C$2:$C$4, USQ$2)),"****")</f>
        <v/>
      </c>
      <c r="USR3" t="str">
        <f>IFERROR(IF($C3="","",SUMIFS(Ledger!$K$2:$K$4, Ledger!$B$2:$B$4, $A3, Ledger!$C$2:$C$4, USR$2)),"****")</f>
        <v/>
      </c>
      <c r="USS3" t="str">
        <f>IFERROR(IF($C3="","",SUMIFS(Ledger!$K$2:$K$4, Ledger!$B$2:$B$4, $A3, Ledger!$C$2:$C$4, USS$2)),"****")</f>
        <v/>
      </c>
      <c r="UST3" t="str">
        <f>IFERROR(IF($C3="","",SUMIFS(Ledger!$K$2:$K$4, Ledger!$B$2:$B$4, $A3, Ledger!$C$2:$C$4, UST$2)),"****")</f>
        <v/>
      </c>
      <c r="USU3" t="str">
        <f>IFERROR(IF($C3="","",SUMIFS(Ledger!$K$2:$K$4, Ledger!$B$2:$B$4, $A3, Ledger!$C$2:$C$4, USU$2)),"****")</f>
        <v/>
      </c>
      <c r="USV3" t="str">
        <f>IFERROR(IF($C3="","",SUMIFS(Ledger!$K$2:$K$4, Ledger!$B$2:$B$4, $A3, Ledger!$C$2:$C$4, USV$2)),"****")</f>
        <v/>
      </c>
      <c r="USW3" t="str">
        <f>IFERROR(IF($C3="","",SUMIFS(Ledger!$K$2:$K$4, Ledger!$B$2:$B$4, $A3, Ledger!$C$2:$C$4, USW$2)),"****")</f>
        <v/>
      </c>
      <c r="USX3" t="str">
        <f>IFERROR(IF($C3="","",SUMIFS(Ledger!$K$2:$K$4, Ledger!$B$2:$B$4, $A3, Ledger!$C$2:$C$4, USX$2)),"****")</f>
        <v/>
      </c>
      <c r="USY3" t="str">
        <f>IFERROR(IF($C3="","",SUMIFS(Ledger!$K$2:$K$4, Ledger!$B$2:$B$4, $A3, Ledger!$C$2:$C$4, USY$2)),"****")</f>
        <v/>
      </c>
      <c r="USZ3" t="str">
        <f>IFERROR(IF($C3="","",SUMIFS(Ledger!$K$2:$K$4, Ledger!$B$2:$B$4, $A3, Ledger!$C$2:$C$4, USZ$2)),"****")</f>
        <v/>
      </c>
      <c r="UTA3" t="str">
        <f>IFERROR(IF($C3="","",SUMIFS(Ledger!$K$2:$K$4, Ledger!$B$2:$B$4, $A3, Ledger!$C$2:$C$4, UTA$2)),"****")</f>
        <v/>
      </c>
      <c r="UTB3" t="str">
        <f>IFERROR(IF($C3="","",SUMIFS(Ledger!$K$2:$K$4, Ledger!$B$2:$B$4, $A3, Ledger!$C$2:$C$4, UTB$2)),"****")</f>
        <v/>
      </c>
      <c r="UTC3" t="str">
        <f>IFERROR(IF($C3="","",SUMIFS(Ledger!$K$2:$K$4, Ledger!$B$2:$B$4, $A3, Ledger!$C$2:$C$4, UTC$2)),"****")</f>
        <v/>
      </c>
      <c r="UTD3" t="str">
        <f>IFERROR(IF($C3="","",SUMIFS(Ledger!$K$2:$K$4, Ledger!$B$2:$B$4, $A3, Ledger!$C$2:$C$4, UTD$2)),"****")</f>
        <v/>
      </c>
      <c r="UTE3" t="str">
        <f>IFERROR(IF($C3="","",SUMIFS(Ledger!$K$2:$K$4, Ledger!$B$2:$B$4, $A3, Ledger!$C$2:$C$4, UTE$2)),"****")</f>
        <v/>
      </c>
      <c r="UTF3" t="str">
        <f>IFERROR(IF($C3="","",SUMIFS(Ledger!$K$2:$K$4, Ledger!$B$2:$B$4, $A3, Ledger!$C$2:$C$4, UTF$2)),"****")</f>
        <v/>
      </c>
      <c r="UTG3" t="str">
        <f>IFERROR(IF($C3="","",SUMIFS(Ledger!$K$2:$K$4, Ledger!$B$2:$B$4, $A3, Ledger!$C$2:$C$4, UTG$2)),"****")</f>
        <v/>
      </c>
      <c r="UTH3" t="str">
        <f>IFERROR(IF($C3="","",SUMIFS(Ledger!$K$2:$K$4, Ledger!$B$2:$B$4, $A3, Ledger!$C$2:$C$4, UTH$2)),"****")</f>
        <v/>
      </c>
      <c r="UTI3" t="str">
        <f>IFERROR(IF($C3="","",SUMIFS(Ledger!$K$2:$K$4, Ledger!$B$2:$B$4, $A3, Ledger!$C$2:$C$4, UTI$2)),"****")</f>
        <v/>
      </c>
      <c r="UTJ3" t="str">
        <f>IFERROR(IF($C3="","",SUMIFS(Ledger!$K$2:$K$4, Ledger!$B$2:$B$4, $A3, Ledger!$C$2:$C$4, UTJ$2)),"****")</f>
        <v/>
      </c>
      <c r="UTK3" t="str">
        <f>IFERROR(IF($C3="","",SUMIFS(Ledger!$K$2:$K$4, Ledger!$B$2:$B$4, $A3, Ledger!$C$2:$C$4, UTK$2)),"****")</f>
        <v/>
      </c>
      <c r="UTL3" t="str">
        <f>IFERROR(IF($C3="","",SUMIFS(Ledger!$K$2:$K$4, Ledger!$B$2:$B$4, $A3, Ledger!$C$2:$C$4, UTL$2)),"****")</f>
        <v/>
      </c>
      <c r="UTM3" t="str">
        <f>IFERROR(IF($C3="","",SUMIFS(Ledger!$K$2:$K$4, Ledger!$B$2:$B$4, $A3, Ledger!$C$2:$C$4, UTM$2)),"****")</f>
        <v/>
      </c>
      <c r="UTN3" t="str">
        <f>IFERROR(IF($C3="","",SUMIFS(Ledger!$K$2:$K$4, Ledger!$B$2:$B$4, $A3, Ledger!$C$2:$C$4, UTN$2)),"****")</f>
        <v/>
      </c>
      <c r="UTO3" t="str">
        <f>IFERROR(IF($C3="","",SUMIFS(Ledger!$K$2:$K$4, Ledger!$B$2:$B$4, $A3, Ledger!$C$2:$C$4, UTO$2)),"****")</f>
        <v/>
      </c>
      <c r="UTP3" t="str">
        <f>IFERROR(IF($C3="","",SUMIFS(Ledger!$K$2:$K$4, Ledger!$B$2:$B$4, $A3, Ledger!$C$2:$C$4, UTP$2)),"****")</f>
        <v/>
      </c>
      <c r="UTQ3" t="str">
        <f>IFERROR(IF($C3="","",SUMIFS(Ledger!$K$2:$K$4, Ledger!$B$2:$B$4, $A3, Ledger!$C$2:$C$4, UTQ$2)),"****")</f>
        <v/>
      </c>
      <c r="UTR3" t="str">
        <f>IFERROR(IF($C3="","",SUMIFS(Ledger!$K$2:$K$4, Ledger!$B$2:$B$4, $A3, Ledger!$C$2:$C$4, UTR$2)),"****")</f>
        <v/>
      </c>
      <c r="UTS3" t="str">
        <f>IFERROR(IF($C3="","",SUMIFS(Ledger!$K$2:$K$4, Ledger!$B$2:$B$4, $A3, Ledger!$C$2:$C$4, UTS$2)),"****")</f>
        <v/>
      </c>
      <c r="UTT3" t="str">
        <f>IFERROR(IF($C3="","",SUMIFS(Ledger!$K$2:$K$4, Ledger!$B$2:$B$4, $A3, Ledger!$C$2:$C$4, UTT$2)),"****")</f>
        <v/>
      </c>
      <c r="UTU3" t="str">
        <f>IFERROR(IF($C3="","",SUMIFS(Ledger!$K$2:$K$4, Ledger!$B$2:$B$4, $A3, Ledger!$C$2:$C$4, UTU$2)),"****")</f>
        <v/>
      </c>
      <c r="UTV3" t="str">
        <f>IFERROR(IF($C3="","",SUMIFS(Ledger!$K$2:$K$4, Ledger!$B$2:$B$4, $A3, Ledger!$C$2:$C$4, UTV$2)),"****")</f>
        <v/>
      </c>
      <c r="UTW3" t="str">
        <f>IFERROR(IF($C3="","",SUMIFS(Ledger!$K$2:$K$4, Ledger!$B$2:$B$4, $A3, Ledger!$C$2:$C$4, UTW$2)),"****")</f>
        <v/>
      </c>
      <c r="UTX3" t="str">
        <f>IFERROR(IF($C3="","",SUMIFS(Ledger!$K$2:$K$4, Ledger!$B$2:$B$4, $A3, Ledger!$C$2:$C$4, UTX$2)),"****")</f>
        <v/>
      </c>
      <c r="UTY3" t="str">
        <f>IFERROR(IF($C3="","",SUMIFS(Ledger!$K$2:$K$4, Ledger!$B$2:$B$4, $A3, Ledger!$C$2:$C$4, UTY$2)),"****")</f>
        <v/>
      </c>
      <c r="UTZ3" t="str">
        <f>IFERROR(IF($C3="","",SUMIFS(Ledger!$K$2:$K$4, Ledger!$B$2:$B$4, $A3, Ledger!$C$2:$C$4, UTZ$2)),"****")</f>
        <v/>
      </c>
      <c r="UUA3" t="str">
        <f>IFERROR(IF($C3="","",SUMIFS(Ledger!$K$2:$K$4, Ledger!$B$2:$B$4, $A3, Ledger!$C$2:$C$4, UUA$2)),"****")</f>
        <v/>
      </c>
      <c r="UUB3" t="str">
        <f>IFERROR(IF($C3="","",SUMIFS(Ledger!$K$2:$K$4, Ledger!$B$2:$B$4, $A3, Ledger!$C$2:$C$4, UUB$2)),"****")</f>
        <v/>
      </c>
      <c r="UUC3" t="str">
        <f>IFERROR(IF($C3="","",SUMIFS(Ledger!$K$2:$K$4, Ledger!$B$2:$B$4, $A3, Ledger!$C$2:$C$4, UUC$2)),"****")</f>
        <v/>
      </c>
      <c r="UUD3" t="str">
        <f>IFERROR(IF($C3="","",SUMIFS(Ledger!$K$2:$K$4, Ledger!$B$2:$B$4, $A3, Ledger!$C$2:$C$4, UUD$2)),"****")</f>
        <v/>
      </c>
      <c r="UUE3" t="str">
        <f>IFERROR(IF($C3="","",SUMIFS(Ledger!$K$2:$K$4, Ledger!$B$2:$B$4, $A3, Ledger!$C$2:$C$4, UUE$2)),"****")</f>
        <v/>
      </c>
      <c r="UUF3" t="str">
        <f>IFERROR(IF($C3="","",SUMIFS(Ledger!$K$2:$K$4, Ledger!$B$2:$B$4, $A3, Ledger!$C$2:$C$4, UUF$2)),"****")</f>
        <v/>
      </c>
      <c r="UUG3" t="str">
        <f>IFERROR(IF($C3="","",SUMIFS(Ledger!$K$2:$K$4, Ledger!$B$2:$B$4, $A3, Ledger!$C$2:$C$4, UUG$2)),"****")</f>
        <v/>
      </c>
      <c r="UUH3" t="str">
        <f>IFERROR(IF($C3="","",SUMIFS(Ledger!$K$2:$K$4, Ledger!$B$2:$B$4, $A3, Ledger!$C$2:$C$4, UUH$2)),"****")</f>
        <v/>
      </c>
      <c r="UUI3" t="str">
        <f>IFERROR(IF($C3="","",SUMIFS(Ledger!$K$2:$K$4, Ledger!$B$2:$B$4, $A3, Ledger!$C$2:$C$4, UUI$2)),"****")</f>
        <v/>
      </c>
      <c r="UUJ3" t="str">
        <f>IFERROR(IF($C3="","",SUMIFS(Ledger!$K$2:$K$4, Ledger!$B$2:$B$4, $A3, Ledger!$C$2:$C$4, UUJ$2)),"****")</f>
        <v/>
      </c>
      <c r="UUK3" t="str">
        <f>IFERROR(IF($C3="","",SUMIFS(Ledger!$K$2:$K$4, Ledger!$B$2:$B$4, $A3, Ledger!$C$2:$C$4, UUK$2)),"****")</f>
        <v/>
      </c>
      <c r="UUL3" t="str">
        <f>IFERROR(IF($C3="","",SUMIFS(Ledger!$K$2:$K$4, Ledger!$B$2:$B$4, $A3, Ledger!$C$2:$C$4, UUL$2)),"****")</f>
        <v/>
      </c>
      <c r="UUM3" t="str">
        <f>IFERROR(IF($C3="","",SUMIFS(Ledger!$K$2:$K$4, Ledger!$B$2:$B$4, $A3, Ledger!$C$2:$C$4, UUM$2)),"****")</f>
        <v/>
      </c>
      <c r="UUN3" t="str">
        <f>IFERROR(IF($C3="","",SUMIFS(Ledger!$K$2:$K$4, Ledger!$B$2:$B$4, $A3, Ledger!$C$2:$C$4, UUN$2)),"****")</f>
        <v/>
      </c>
      <c r="UUO3" t="str">
        <f>IFERROR(IF($C3="","",SUMIFS(Ledger!$K$2:$K$4, Ledger!$B$2:$B$4, $A3, Ledger!$C$2:$C$4, UUO$2)),"****")</f>
        <v/>
      </c>
      <c r="UUP3" t="str">
        <f>IFERROR(IF($C3="","",SUMIFS(Ledger!$K$2:$K$4, Ledger!$B$2:$B$4, $A3, Ledger!$C$2:$C$4, UUP$2)),"****")</f>
        <v/>
      </c>
      <c r="UUQ3" t="str">
        <f>IFERROR(IF($C3="","",SUMIFS(Ledger!$K$2:$K$4, Ledger!$B$2:$B$4, $A3, Ledger!$C$2:$C$4, UUQ$2)),"****")</f>
        <v/>
      </c>
      <c r="UUR3" t="str">
        <f>IFERROR(IF($C3="","",SUMIFS(Ledger!$K$2:$K$4, Ledger!$B$2:$B$4, $A3, Ledger!$C$2:$C$4, UUR$2)),"****")</f>
        <v/>
      </c>
      <c r="UUS3" t="str">
        <f>IFERROR(IF($C3="","",SUMIFS(Ledger!$K$2:$K$4, Ledger!$B$2:$B$4, $A3, Ledger!$C$2:$C$4, UUS$2)),"****")</f>
        <v/>
      </c>
      <c r="UUT3" t="str">
        <f>IFERROR(IF($C3="","",SUMIFS(Ledger!$K$2:$K$4, Ledger!$B$2:$B$4, $A3, Ledger!$C$2:$C$4, UUT$2)),"****")</f>
        <v/>
      </c>
      <c r="UUU3" t="str">
        <f>IFERROR(IF($C3="","",SUMIFS(Ledger!$K$2:$K$4, Ledger!$B$2:$B$4, $A3, Ledger!$C$2:$C$4, UUU$2)),"****")</f>
        <v/>
      </c>
      <c r="UUV3" t="str">
        <f>IFERROR(IF($C3="","",SUMIFS(Ledger!$K$2:$K$4, Ledger!$B$2:$B$4, $A3, Ledger!$C$2:$C$4, UUV$2)),"****")</f>
        <v/>
      </c>
      <c r="UUW3" t="str">
        <f>IFERROR(IF($C3="","",SUMIFS(Ledger!$K$2:$K$4, Ledger!$B$2:$B$4, $A3, Ledger!$C$2:$C$4, UUW$2)),"****")</f>
        <v/>
      </c>
      <c r="UUX3" t="str">
        <f>IFERROR(IF($C3="","",SUMIFS(Ledger!$K$2:$K$4, Ledger!$B$2:$B$4, $A3, Ledger!$C$2:$C$4, UUX$2)),"****")</f>
        <v/>
      </c>
      <c r="UUY3" t="str">
        <f>IFERROR(IF($C3="","",SUMIFS(Ledger!$K$2:$K$4, Ledger!$B$2:$B$4, $A3, Ledger!$C$2:$C$4, UUY$2)),"****")</f>
        <v/>
      </c>
      <c r="UUZ3" t="str">
        <f>IFERROR(IF($C3="","",SUMIFS(Ledger!$K$2:$K$4, Ledger!$B$2:$B$4, $A3, Ledger!$C$2:$C$4, UUZ$2)),"****")</f>
        <v/>
      </c>
      <c r="UVA3" t="str">
        <f>IFERROR(IF($C3="","",SUMIFS(Ledger!$K$2:$K$4, Ledger!$B$2:$B$4, $A3, Ledger!$C$2:$C$4, UVA$2)),"****")</f>
        <v/>
      </c>
      <c r="UVB3" t="str">
        <f>IFERROR(IF($C3="","",SUMIFS(Ledger!$K$2:$K$4, Ledger!$B$2:$B$4, $A3, Ledger!$C$2:$C$4, UVB$2)),"****")</f>
        <v/>
      </c>
      <c r="UVC3" t="str">
        <f>IFERROR(IF($C3="","",SUMIFS(Ledger!$K$2:$K$4, Ledger!$B$2:$B$4, $A3, Ledger!$C$2:$C$4, UVC$2)),"****")</f>
        <v/>
      </c>
      <c r="UVD3" t="str">
        <f>IFERROR(IF($C3="","",SUMIFS(Ledger!$K$2:$K$4, Ledger!$B$2:$B$4, $A3, Ledger!$C$2:$C$4, UVD$2)),"****")</f>
        <v/>
      </c>
      <c r="UVE3" t="str">
        <f>IFERROR(IF($C3="","",SUMIFS(Ledger!$K$2:$K$4, Ledger!$B$2:$B$4, $A3, Ledger!$C$2:$C$4, UVE$2)),"****")</f>
        <v/>
      </c>
      <c r="UVF3" t="str">
        <f>IFERROR(IF($C3="","",SUMIFS(Ledger!$K$2:$K$4, Ledger!$B$2:$B$4, $A3, Ledger!$C$2:$C$4, UVF$2)),"****")</f>
        <v/>
      </c>
      <c r="UVG3" t="str">
        <f>IFERROR(IF($C3="","",SUMIFS(Ledger!$K$2:$K$4, Ledger!$B$2:$B$4, $A3, Ledger!$C$2:$C$4, UVG$2)),"****")</f>
        <v/>
      </c>
      <c r="UVH3" t="str">
        <f>IFERROR(IF($C3="","",SUMIFS(Ledger!$K$2:$K$4, Ledger!$B$2:$B$4, $A3, Ledger!$C$2:$C$4, UVH$2)),"****")</f>
        <v/>
      </c>
      <c r="UVI3" t="str">
        <f>IFERROR(IF($C3="","",SUMIFS(Ledger!$K$2:$K$4, Ledger!$B$2:$B$4, $A3, Ledger!$C$2:$C$4, UVI$2)),"****")</f>
        <v/>
      </c>
      <c r="UVJ3" t="str">
        <f>IFERROR(IF($C3="","",SUMIFS(Ledger!$K$2:$K$4, Ledger!$B$2:$B$4, $A3, Ledger!$C$2:$C$4, UVJ$2)),"****")</f>
        <v/>
      </c>
      <c r="UVK3" t="str">
        <f>IFERROR(IF($C3="","",SUMIFS(Ledger!$K$2:$K$4, Ledger!$B$2:$B$4, $A3, Ledger!$C$2:$C$4, UVK$2)),"****")</f>
        <v/>
      </c>
      <c r="UVL3" t="str">
        <f>IFERROR(IF($C3="","",SUMIFS(Ledger!$K$2:$K$4, Ledger!$B$2:$B$4, $A3, Ledger!$C$2:$C$4, UVL$2)),"****")</f>
        <v/>
      </c>
      <c r="UVM3" t="str">
        <f>IFERROR(IF($C3="","",SUMIFS(Ledger!$K$2:$K$4, Ledger!$B$2:$B$4, $A3, Ledger!$C$2:$C$4, UVM$2)),"****")</f>
        <v/>
      </c>
      <c r="UVN3" t="str">
        <f>IFERROR(IF($C3="","",SUMIFS(Ledger!$K$2:$K$4, Ledger!$B$2:$B$4, $A3, Ledger!$C$2:$C$4, UVN$2)),"****")</f>
        <v/>
      </c>
      <c r="UVO3" t="str">
        <f>IFERROR(IF($C3="","",SUMIFS(Ledger!$K$2:$K$4, Ledger!$B$2:$B$4, $A3, Ledger!$C$2:$C$4, UVO$2)),"****")</f>
        <v/>
      </c>
      <c r="UVP3" t="str">
        <f>IFERROR(IF($C3="","",SUMIFS(Ledger!$K$2:$K$4, Ledger!$B$2:$B$4, $A3, Ledger!$C$2:$C$4, UVP$2)),"****")</f>
        <v/>
      </c>
      <c r="UVQ3" t="str">
        <f>IFERROR(IF($C3="","",SUMIFS(Ledger!$K$2:$K$4, Ledger!$B$2:$B$4, $A3, Ledger!$C$2:$C$4, UVQ$2)),"****")</f>
        <v/>
      </c>
      <c r="UVR3" t="str">
        <f>IFERROR(IF($C3="","",SUMIFS(Ledger!$K$2:$K$4, Ledger!$B$2:$B$4, $A3, Ledger!$C$2:$C$4, UVR$2)),"****")</f>
        <v/>
      </c>
      <c r="UVS3" t="str">
        <f>IFERROR(IF($C3="","",SUMIFS(Ledger!$K$2:$K$4, Ledger!$B$2:$B$4, $A3, Ledger!$C$2:$C$4, UVS$2)),"****")</f>
        <v/>
      </c>
      <c r="UVT3" t="str">
        <f>IFERROR(IF($C3="","",SUMIFS(Ledger!$K$2:$K$4, Ledger!$B$2:$B$4, $A3, Ledger!$C$2:$C$4, UVT$2)),"****")</f>
        <v/>
      </c>
      <c r="UVU3" t="str">
        <f>IFERROR(IF($C3="","",SUMIFS(Ledger!$K$2:$K$4, Ledger!$B$2:$B$4, $A3, Ledger!$C$2:$C$4, UVU$2)),"****")</f>
        <v/>
      </c>
      <c r="UVV3" t="str">
        <f>IFERROR(IF($C3="","",SUMIFS(Ledger!$K$2:$K$4, Ledger!$B$2:$B$4, $A3, Ledger!$C$2:$C$4, UVV$2)),"****")</f>
        <v/>
      </c>
      <c r="UVW3" t="str">
        <f>IFERROR(IF($C3="","",SUMIFS(Ledger!$K$2:$K$4, Ledger!$B$2:$B$4, $A3, Ledger!$C$2:$C$4, UVW$2)),"****")</f>
        <v/>
      </c>
      <c r="UVX3" t="str">
        <f>IFERROR(IF($C3="","",SUMIFS(Ledger!$K$2:$K$4, Ledger!$B$2:$B$4, $A3, Ledger!$C$2:$C$4, UVX$2)),"****")</f>
        <v/>
      </c>
      <c r="UVY3" t="str">
        <f>IFERROR(IF($C3="","",SUMIFS(Ledger!$K$2:$K$4, Ledger!$B$2:$B$4, $A3, Ledger!$C$2:$C$4, UVY$2)),"****")</f>
        <v/>
      </c>
      <c r="UVZ3" t="str">
        <f>IFERROR(IF($C3="","",SUMIFS(Ledger!$K$2:$K$4, Ledger!$B$2:$B$4, $A3, Ledger!$C$2:$C$4, UVZ$2)),"****")</f>
        <v/>
      </c>
      <c r="UWA3" t="str">
        <f>IFERROR(IF($C3="","",SUMIFS(Ledger!$K$2:$K$4, Ledger!$B$2:$B$4, $A3, Ledger!$C$2:$C$4, UWA$2)),"****")</f>
        <v/>
      </c>
      <c r="UWB3" t="str">
        <f>IFERROR(IF($C3="","",SUMIFS(Ledger!$K$2:$K$4, Ledger!$B$2:$B$4, $A3, Ledger!$C$2:$C$4, UWB$2)),"****")</f>
        <v/>
      </c>
      <c r="UWC3" t="str">
        <f>IFERROR(IF($C3="","",SUMIFS(Ledger!$K$2:$K$4, Ledger!$B$2:$B$4, $A3, Ledger!$C$2:$C$4, UWC$2)),"****")</f>
        <v/>
      </c>
      <c r="UWD3" t="str">
        <f>IFERROR(IF($C3="","",SUMIFS(Ledger!$K$2:$K$4, Ledger!$B$2:$B$4, $A3, Ledger!$C$2:$C$4, UWD$2)),"****")</f>
        <v/>
      </c>
      <c r="UWE3" t="str">
        <f>IFERROR(IF($C3="","",SUMIFS(Ledger!$K$2:$K$4, Ledger!$B$2:$B$4, $A3, Ledger!$C$2:$C$4, UWE$2)),"****")</f>
        <v/>
      </c>
      <c r="UWF3" t="str">
        <f>IFERROR(IF($C3="","",SUMIFS(Ledger!$K$2:$K$4, Ledger!$B$2:$B$4, $A3, Ledger!$C$2:$C$4, UWF$2)),"****")</f>
        <v/>
      </c>
      <c r="UWG3" t="str">
        <f>IFERROR(IF($C3="","",SUMIFS(Ledger!$K$2:$K$4, Ledger!$B$2:$B$4, $A3, Ledger!$C$2:$C$4, UWG$2)),"****")</f>
        <v/>
      </c>
      <c r="UWH3" t="str">
        <f>IFERROR(IF($C3="","",SUMIFS(Ledger!$K$2:$K$4, Ledger!$B$2:$B$4, $A3, Ledger!$C$2:$C$4, UWH$2)),"****")</f>
        <v/>
      </c>
      <c r="UWI3" t="str">
        <f>IFERROR(IF($C3="","",SUMIFS(Ledger!$K$2:$K$4, Ledger!$B$2:$B$4, $A3, Ledger!$C$2:$C$4, UWI$2)),"****")</f>
        <v/>
      </c>
      <c r="UWJ3" t="str">
        <f>IFERROR(IF($C3="","",SUMIFS(Ledger!$K$2:$K$4, Ledger!$B$2:$B$4, $A3, Ledger!$C$2:$C$4, UWJ$2)),"****")</f>
        <v/>
      </c>
      <c r="UWK3" t="str">
        <f>IFERROR(IF($C3="","",SUMIFS(Ledger!$K$2:$K$4, Ledger!$B$2:$B$4, $A3, Ledger!$C$2:$C$4, UWK$2)),"****")</f>
        <v/>
      </c>
      <c r="UWL3" t="str">
        <f>IFERROR(IF($C3="","",SUMIFS(Ledger!$K$2:$K$4, Ledger!$B$2:$B$4, $A3, Ledger!$C$2:$C$4, UWL$2)),"****")</f>
        <v/>
      </c>
      <c r="UWM3" t="str">
        <f>IFERROR(IF($C3="","",SUMIFS(Ledger!$K$2:$K$4, Ledger!$B$2:$B$4, $A3, Ledger!$C$2:$C$4, UWM$2)),"****")</f>
        <v/>
      </c>
      <c r="UWN3" t="str">
        <f>IFERROR(IF($C3="","",SUMIFS(Ledger!$K$2:$K$4, Ledger!$B$2:$B$4, $A3, Ledger!$C$2:$C$4, UWN$2)),"****")</f>
        <v/>
      </c>
      <c r="UWO3" t="str">
        <f>IFERROR(IF($C3="","",SUMIFS(Ledger!$K$2:$K$4, Ledger!$B$2:$B$4, $A3, Ledger!$C$2:$C$4, UWO$2)),"****")</f>
        <v/>
      </c>
      <c r="UWP3" t="str">
        <f>IFERROR(IF($C3="","",SUMIFS(Ledger!$K$2:$K$4, Ledger!$B$2:$B$4, $A3, Ledger!$C$2:$C$4, UWP$2)),"****")</f>
        <v/>
      </c>
      <c r="UWQ3" t="str">
        <f>IFERROR(IF($C3="","",SUMIFS(Ledger!$K$2:$K$4, Ledger!$B$2:$B$4, $A3, Ledger!$C$2:$C$4, UWQ$2)),"****")</f>
        <v/>
      </c>
      <c r="UWR3" t="str">
        <f>IFERROR(IF($C3="","",SUMIFS(Ledger!$K$2:$K$4, Ledger!$B$2:$B$4, $A3, Ledger!$C$2:$C$4, UWR$2)),"****")</f>
        <v/>
      </c>
      <c r="UWS3" t="str">
        <f>IFERROR(IF($C3="","",SUMIFS(Ledger!$K$2:$K$4, Ledger!$B$2:$B$4, $A3, Ledger!$C$2:$C$4, UWS$2)),"****")</f>
        <v/>
      </c>
      <c r="UWT3" t="str">
        <f>IFERROR(IF($C3="","",SUMIFS(Ledger!$K$2:$K$4, Ledger!$B$2:$B$4, $A3, Ledger!$C$2:$C$4, UWT$2)),"****")</f>
        <v/>
      </c>
      <c r="UWU3" t="str">
        <f>IFERROR(IF($C3="","",SUMIFS(Ledger!$K$2:$K$4, Ledger!$B$2:$B$4, $A3, Ledger!$C$2:$C$4, UWU$2)),"****")</f>
        <v/>
      </c>
      <c r="UWV3" t="str">
        <f>IFERROR(IF($C3="","",SUMIFS(Ledger!$K$2:$K$4, Ledger!$B$2:$B$4, $A3, Ledger!$C$2:$C$4, UWV$2)),"****")</f>
        <v/>
      </c>
      <c r="UWW3" t="str">
        <f>IFERROR(IF($C3="","",SUMIFS(Ledger!$K$2:$K$4, Ledger!$B$2:$B$4, $A3, Ledger!$C$2:$C$4, UWW$2)),"****")</f>
        <v/>
      </c>
      <c r="UWX3" t="str">
        <f>IFERROR(IF($C3="","",SUMIFS(Ledger!$K$2:$K$4, Ledger!$B$2:$B$4, $A3, Ledger!$C$2:$C$4, UWX$2)),"****")</f>
        <v/>
      </c>
      <c r="UWY3" t="str">
        <f>IFERROR(IF($C3="","",SUMIFS(Ledger!$K$2:$K$4, Ledger!$B$2:$B$4, $A3, Ledger!$C$2:$C$4, UWY$2)),"****")</f>
        <v/>
      </c>
      <c r="UWZ3" t="str">
        <f>IFERROR(IF($C3="","",SUMIFS(Ledger!$K$2:$K$4, Ledger!$B$2:$B$4, $A3, Ledger!$C$2:$C$4, UWZ$2)),"****")</f>
        <v/>
      </c>
      <c r="UXA3" t="str">
        <f>IFERROR(IF($C3="","",SUMIFS(Ledger!$K$2:$K$4, Ledger!$B$2:$B$4, $A3, Ledger!$C$2:$C$4, UXA$2)),"****")</f>
        <v/>
      </c>
      <c r="UXB3" t="str">
        <f>IFERROR(IF($C3="","",SUMIFS(Ledger!$K$2:$K$4, Ledger!$B$2:$B$4, $A3, Ledger!$C$2:$C$4, UXB$2)),"****")</f>
        <v/>
      </c>
      <c r="UXC3" t="str">
        <f>IFERROR(IF($C3="","",SUMIFS(Ledger!$K$2:$K$4, Ledger!$B$2:$B$4, $A3, Ledger!$C$2:$C$4, UXC$2)),"****")</f>
        <v/>
      </c>
      <c r="UXD3" t="str">
        <f>IFERROR(IF($C3="","",SUMIFS(Ledger!$K$2:$K$4, Ledger!$B$2:$B$4, $A3, Ledger!$C$2:$C$4, UXD$2)),"****")</f>
        <v/>
      </c>
      <c r="UXE3" t="str">
        <f>IFERROR(IF($C3="","",SUMIFS(Ledger!$K$2:$K$4, Ledger!$B$2:$B$4, $A3, Ledger!$C$2:$C$4, UXE$2)),"****")</f>
        <v/>
      </c>
      <c r="UXF3" t="str">
        <f>IFERROR(IF($C3="","",SUMIFS(Ledger!$K$2:$K$4, Ledger!$B$2:$B$4, $A3, Ledger!$C$2:$C$4, UXF$2)),"****")</f>
        <v/>
      </c>
      <c r="UXG3" t="str">
        <f>IFERROR(IF($C3="","",SUMIFS(Ledger!$K$2:$K$4, Ledger!$B$2:$B$4, $A3, Ledger!$C$2:$C$4, UXG$2)),"****")</f>
        <v/>
      </c>
      <c r="UXH3" t="str">
        <f>IFERROR(IF($C3="","",SUMIFS(Ledger!$K$2:$K$4, Ledger!$B$2:$B$4, $A3, Ledger!$C$2:$C$4, UXH$2)),"****")</f>
        <v/>
      </c>
      <c r="UXI3" t="str">
        <f>IFERROR(IF($C3="","",SUMIFS(Ledger!$K$2:$K$4, Ledger!$B$2:$B$4, $A3, Ledger!$C$2:$C$4, UXI$2)),"****")</f>
        <v/>
      </c>
      <c r="UXJ3" t="str">
        <f>IFERROR(IF($C3="","",SUMIFS(Ledger!$K$2:$K$4, Ledger!$B$2:$B$4, $A3, Ledger!$C$2:$C$4, UXJ$2)),"****")</f>
        <v/>
      </c>
      <c r="UXK3" t="str">
        <f>IFERROR(IF($C3="","",SUMIFS(Ledger!$K$2:$K$4, Ledger!$B$2:$B$4, $A3, Ledger!$C$2:$C$4, UXK$2)),"****")</f>
        <v/>
      </c>
      <c r="UXL3" t="str">
        <f>IFERROR(IF($C3="","",SUMIFS(Ledger!$K$2:$K$4, Ledger!$B$2:$B$4, $A3, Ledger!$C$2:$C$4, UXL$2)),"****")</f>
        <v/>
      </c>
      <c r="UXM3" t="str">
        <f>IFERROR(IF($C3="","",SUMIFS(Ledger!$K$2:$K$4, Ledger!$B$2:$B$4, $A3, Ledger!$C$2:$C$4, UXM$2)),"****")</f>
        <v/>
      </c>
      <c r="UXN3" t="str">
        <f>IFERROR(IF($C3="","",SUMIFS(Ledger!$K$2:$K$4, Ledger!$B$2:$B$4, $A3, Ledger!$C$2:$C$4, UXN$2)),"****")</f>
        <v/>
      </c>
      <c r="UXO3" t="str">
        <f>IFERROR(IF($C3="","",SUMIFS(Ledger!$K$2:$K$4, Ledger!$B$2:$B$4, $A3, Ledger!$C$2:$C$4, UXO$2)),"****")</f>
        <v/>
      </c>
      <c r="UXP3" t="str">
        <f>IFERROR(IF($C3="","",SUMIFS(Ledger!$K$2:$K$4, Ledger!$B$2:$B$4, $A3, Ledger!$C$2:$C$4, UXP$2)),"****")</f>
        <v/>
      </c>
      <c r="UXQ3" t="str">
        <f>IFERROR(IF($C3="","",SUMIFS(Ledger!$K$2:$K$4, Ledger!$B$2:$B$4, $A3, Ledger!$C$2:$C$4, UXQ$2)),"****")</f>
        <v/>
      </c>
      <c r="UXR3" t="str">
        <f>IFERROR(IF($C3="","",SUMIFS(Ledger!$K$2:$K$4, Ledger!$B$2:$B$4, $A3, Ledger!$C$2:$C$4, UXR$2)),"****")</f>
        <v/>
      </c>
      <c r="UXS3" t="str">
        <f>IFERROR(IF($C3="","",SUMIFS(Ledger!$K$2:$K$4, Ledger!$B$2:$B$4, $A3, Ledger!$C$2:$C$4, UXS$2)),"****")</f>
        <v/>
      </c>
      <c r="UXT3" t="str">
        <f>IFERROR(IF($C3="","",SUMIFS(Ledger!$K$2:$K$4, Ledger!$B$2:$B$4, $A3, Ledger!$C$2:$C$4, UXT$2)),"****")</f>
        <v/>
      </c>
      <c r="UXU3" t="str">
        <f>IFERROR(IF($C3="","",SUMIFS(Ledger!$K$2:$K$4, Ledger!$B$2:$B$4, $A3, Ledger!$C$2:$C$4, UXU$2)),"****")</f>
        <v/>
      </c>
      <c r="UXV3" t="str">
        <f>IFERROR(IF($C3="","",SUMIFS(Ledger!$K$2:$K$4, Ledger!$B$2:$B$4, $A3, Ledger!$C$2:$C$4, UXV$2)),"****")</f>
        <v/>
      </c>
      <c r="UXW3" t="str">
        <f>IFERROR(IF($C3="","",SUMIFS(Ledger!$K$2:$K$4, Ledger!$B$2:$B$4, $A3, Ledger!$C$2:$C$4, UXW$2)),"****")</f>
        <v/>
      </c>
      <c r="UXX3" t="str">
        <f>IFERROR(IF($C3="","",SUMIFS(Ledger!$K$2:$K$4, Ledger!$B$2:$B$4, $A3, Ledger!$C$2:$C$4, UXX$2)),"****")</f>
        <v/>
      </c>
      <c r="UXY3" t="str">
        <f>IFERROR(IF($C3="","",SUMIFS(Ledger!$K$2:$K$4, Ledger!$B$2:$B$4, $A3, Ledger!$C$2:$C$4, UXY$2)),"****")</f>
        <v/>
      </c>
      <c r="UXZ3" t="str">
        <f>IFERROR(IF($C3="","",SUMIFS(Ledger!$K$2:$K$4, Ledger!$B$2:$B$4, $A3, Ledger!$C$2:$C$4, UXZ$2)),"****")</f>
        <v/>
      </c>
      <c r="UYA3" t="str">
        <f>IFERROR(IF($C3="","",SUMIFS(Ledger!$K$2:$K$4, Ledger!$B$2:$B$4, $A3, Ledger!$C$2:$C$4, UYA$2)),"****")</f>
        <v/>
      </c>
      <c r="UYB3" t="str">
        <f>IFERROR(IF($C3="","",SUMIFS(Ledger!$K$2:$K$4, Ledger!$B$2:$B$4, $A3, Ledger!$C$2:$C$4, UYB$2)),"****")</f>
        <v/>
      </c>
      <c r="UYC3" t="str">
        <f>IFERROR(IF($C3="","",SUMIFS(Ledger!$K$2:$K$4, Ledger!$B$2:$B$4, $A3, Ledger!$C$2:$C$4, UYC$2)),"****")</f>
        <v/>
      </c>
      <c r="UYD3" t="str">
        <f>IFERROR(IF($C3="","",SUMIFS(Ledger!$K$2:$K$4, Ledger!$B$2:$B$4, $A3, Ledger!$C$2:$C$4, UYD$2)),"****")</f>
        <v/>
      </c>
      <c r="UYE3" t="str">
        <f>IFERROR(IF($C3="","",SUMIFS(Ledger!$K$2:$K$4, Ledger!$B$2:$B$4, $A3, Ledger!$C$2:$C$4, UYE$2)),"****")</f>
        <v/>
      </c>
      <c r="UYF3" t="str">
        <f>IFERROR(IF($C3="","",SUMIFS(Ledger!$K$2:$K$4, Ledger!$B$2:$B$4, $A3, Ledger!$C$2:$C$4, UYF$2)),"****")</f>
        <v/>
      </c>
      <c r="UYG3" t="str">
        <f>IFERROR(IF($C3="","",SUMIFS(Ledger!$K$2:$K$4, Ledger!$B$2:$B$4, $A3, Ledger!$C$2:$C$4, UYG$2)),"****")</f>
        <v/>
      </c>
      <c r="UYH3" t="str">
        <f>IFERROR(IF($C3="","",SUMIFS(Ledger!$K$2:$K$4, Ledger!$B$2:$B$4, $A3, Ledger!$C$2:$C$4, UYH$2)),"****")</f>
        <v/>
      </c>
      <c r="UYI3" t="str">
        <f>IFERROR(IF($C3="","",SUMIFS(Ledger!$K$2:$K$4, Ledger!$B$2:$B$4, $A3, Ledger!$C$2:$C$4, UYI$2)),"****")</f>
        <v/>
      </c>
      <c r="UYJ3" t="str">
        <f>IFERROR(IF($C3="","",SUMIFS(Ledger!$K$2:$K$4, Ledger!$B$2:$B$4, $A3, Ledger!$C$2:$C$4, UYJ$2)),"****")</f>
        <v/>
      </c>
      <c r="UYK3" t="str">
        <f>IFERROR(IF($C3="","",SUMIFS(Ledger!$K$2:$K$4, Ledger!$B$2:$B$4, $A3, Ledger!$C$2:$C$4, UYK$2)),"****")</f>
        <v/>
      </c>
      <c r="UYL3" t="str">
        <f>IFERROR(IF($C3="","",SUMIFS(Ledger!$K$2:$K$4, Ledger!$B$2:$B$4, $A3, Ledger!$C$2:$C$4, UYL$2)),"****")</f>
        <v/>
      </c>
      <c r="UYM3" t="str">
        <f>IFERROR(IF($C3="","",SUMIFS(Ledger!$K$2:$K$4, Ledger!$B$2:$B$4, $A3, Ledger!$C$2:$C$4, UYM$2)),"****")</f>
        <v/>
      </c>
      <c r="UYN3" t="str">
        <f>IFERROR(IF($C3="","",SUMIFS(Ledger!$K$2:$K$4, Ledger!$B$2:$B$4, $A3, Ledger!$C$2:$C$4, UYN$2)),"****")</f>
        <v/>
      </c>
      <c r="UYO3" t="str">
        <f>IFERROR(IF($C3="","",SUMIFS(Ledger!$K$2:$K$4, Ledger!$B$2:$B$4, $A3, Ledger!$C$2:$C$4, UYO$2)),"****")</f>
        <v/>
      </c>
      <c r="UYP3" t="str">
        <f>IFERROR(IF($C3="","",SUMIFS(Ledger!$K$2:$K$4, Ledger!$B$2:$B$4, $A3, Ledger!$C$2:$C$4, UYP$2)),"****")</f>
        <v/>
      </c>
      <c r="UYQ3" t="str">
        <f>IFERROR(IF($C3="","",SUMIFS(Ledger!$K$2:$K$4, Ledger!$B$2:$B$4, $A3, Ledger!$C$2:$C$4, UYQ$2)),"****")</f>
        <v/>
      </c>
      <c r="UYR3" t="str">
        <f>IFERROR(IF($C3="","",SUMIFS(Ledger!$K$2:$K$4, Ledger!$B$2:$B$4, $A3, Ledger!$C$2:$C$4, UYR$2)),"****")</f>
        <v/>
      </c>
      <c r="UYS3" t="str">
        <f>IFERROR(IF($C3="","",SUMIFS(Ledger!$K$2:$K$4, Ledger!$B$2:$B$4, $A3, Ledger!$C$2:$C$4, UYS$2)),"****")</f>
        <v/>
      </c>
      <c r="UYT3" t="str">
        <f>IFERROR(IF($C3="","",SUMIFS(Ledger!$K$2:$K$4, Ledger!$B$2:$B$4, $A3, Ledger!$C$2:$C$4, UYT$2)),"****")</f>
        <v/>
      </c>
      <c r="UYU3" t="str">
        <f>IFERROR(IF($C3="","",SUMIFS(Ledger!$K$2:$K$4, Ledger!$B$2:$B$4, $A3, Ledger!$C$2:$C$4, UYU$2)),"****")</f>
        <v/>
      </c>
      <c r="UYV3" t="str">
        <f>IFERROR(IF($C3="","",SUMIFS(Ledger!$K$2:$K$4, Ledger!$B$2:$B$4, $A3, Ledger!$C$2:$C$4, UYV$2)),"****")</f>
        <v/>
      </c>
      <c r="UYW3" t="str">
        <f>IFERROR(IF($C3="","",SUMIFS(Ledger!$K$2:$K$4, Ledger!$B$2:$B$4, $A3, Ledger!$C$2:$C$4, UYW$2)),"****")</f>
        <v/>
      </c>
      <c r="UYX3" t="str">
        <f>IFERROR(IF($C3="","",SUMIFS(Ledger!$K$2:$K$4, Ledger!$B$2:$B$4, $A3, Ledger!$C$2:$C$4, UYX$2)),"****")</f>
        <v/>
      </c>
      <c r="UYY3" t="str">
        <f>IFERROR(IF($C3="","",SUMIFS(Ledger!$K$2:$K$4, Ledger!$B$2:$B$4, $A3, Ledger!$C$2:$C$4, UYY$2)),"****")</f>
        <v/>
      </c>
      <c r="UYZ3" t="str">
        <f>IFERROR(IF($C3="","",SUMIFS(Ledger!$K$2:$K$4, Ledger!$B$2:$B$4, $A3, Ledger!$C$2:$C$4, UYZ$2)),"****")</f>
        <v/>
      </c>
      <c r="UZA3" t="str">
        <f>IFERROR(IF($C3="","",SUMIFS(Ledger!$K$2:$K$4, Ledger!$B$2:$B$4, $A3, Ledger!$C$2:$C$4, UZA$2)),"****")</f>
        <v/>
      </c>
      <c r="UZB3" t="str">
        <f>IFERROR(IF($C3="","",SUMIFS(Ledger!$K$2:$K$4, Ledger!$B$2:$B$4, $A3, Ledger!$C$2:$C$4, UZB$2)),"****")</f>
        <v/>
      </c>
      <c r="UZC3" t="str">
        <f>IFERROR(IF($C3="","",SUMIFS(Ledger!$K$2:$K$4, Ledger!$B$2:$B$4, $A3, Ledger!$C$2:$C$4, UZC$2)),"****")</f>
        <v/>
      </c>
      <c r="UZD3" t="str">
        <f>IFERROR(IF($C3="","",SUMIFS(Ledger!$K$2:$K$4, Ledger!$B$2:$B$4, $A3, Ledger!$C$2:$C$4, UZD$2)),"****")</f>
        <v/>
      </c>
      <c r="UZE3" t="str">
        <f>IFERROR(IF($C3="","",SUMIFS(Ledger!$K$2:$K$4, Ledger!$B$2:$B$4, $A3, Ledger!$C$2:$C$4, UZE$2)),"****")</f>
        <v/>
      </c>
      <c r="UZF3" t="str">
        <f>IFERROR(IF($C3="","",SUMIFS(Ledger!$K$2:$K$4, Ledger!$B$2:$B$4, $A3, Ledger!$C$2:$C$4, UZF$2)),"****")</f>
        <v/>
      </c>
      <c r="UZG3" t="str">
        <f>IFERROR(IF($C3="","",SUMIFS(Ledger!$K$2:$K$4, Ledger!$B$2:$B$4, $A3, Ledger!$C$2:$C$4, UZG$2)),"****")</f>
        <v/>
      </c>
      <c r="UZH3" t="str">
        <f>IFERROR(IF($C3="","",SUMIFS(Ledger!$K$2:$K$4, Ledger!$B$2:$B$4, $A3, Ledger!$C$2:$C$4, UZH$2)),"****")</f>
        <v/>
      </c>
      <c r="UZI3" t="str">
        <f>IFERROR(IF($C3="","",SUMIFS(Ledger!$K$2:$K$4, Ledger!$B$2:$B$4, $A3, Ledger!$C$2:$C$4, UZI$2)),"****")</f>
        <v/>
      </c>
      <c r="UZJ3" t="str">
        <f>IFERROR(IF($C3="","",SUMIFS(Ledger!$K$2:$K$4, Ledger!$B$2:$B$4, $A3, Ledger!$C$2:$C$4, UZJ$2)),"****")</f>
        <v/>
      </c>
      <c r="UZK3" t="str">
        <f>IFERROR(IF($C3="","",SUMIFS(Ledger!$K$2:$K$4, Ledger!$B$2:$B$4, $A3, Ledger!$C$2:$C$4, UZK$2)),"****")</f>
        <v/>
      </c>
      <c r="UZL3" t="str">
        <f>IFERROR(IF($C3="","",SUMIFS(Ledger!$K$2:$K$4, Ledger!$B$2:$B$4, $A3, Ledger!$C$2:$C$4, UZL$2)),"****")</f>
        <v/>
      </c>
      <c r="UZM3" t="str">
        <f>IFERROR(IF($C3="","",SUMIFS(Ledger!$K$2:$K$4, Ledger!$B$2:$B$4, $A3, Ledger!$C$2:$C$4, UZM$2)),"****")</f>
        <v/>
      </c>
      <c r="UZN3" t="str">
        <f>IFERROR(IF($C3="","",SUMIFS(Ledger!$K$2:$K$4, Ledger!$B$2:$B$4, $A3, Ledger!$C$2:$C$4, UZN$2)),"****")</f>
        <v/>
      </c>
      <c r="UZO3" t="str">
        <f>IFERROR(IF($C3="","",SUMIFS(Ledger!$K$2:$K$4, Ledger!$B$2:$B$4, $A3, Ledger!$C$2:$C$4, UZO$2)),"****")</f>
        <v/>
      </c>
      <c r="UZP3" t="str">
        <f>IFERROR(IF($C3="","",SUMIFS(Ledger!$K$2:$K$4, Ledger!$B$2:$B$4, $A3, Ledger!$C$2:$C$4, UZP$2)),"****")</f>
        <v/>
      </c>
      <c r="UZQ3" t="str">
        <f>IFERROR(IF($C3="","",SUMIFS(Ledger!$K$2:$K$4, Ledger!$B$2:$B$4, $A3, Ledger!$C$2:$C$4, UZQ$2)),"****")</f>
        <v/>
      </c>
      <c r="UZR3" t="str">
        <f>IFERROR(IF($C3="","",SUMIFS(Ledger!$K$2:$K$4, Ledger!$B$2:$B$4, $A3, Ledger!$C$2:$C$4, UZR$2)),"****")</f>
        <v/>
      </c>
      <c r="UZS3" t="str">
        <f>IFERROR(IF($C3="","",SUMIFS(Ledger!$K$2:$K$4, Ledger!$B$2:$B$4, $A3, Ledger!$C$2:$C$4, UZS$2)),"****")</f>
        <v/>
      </c>
      <c r="UZT3" t="str">
        <f>IFERROR(IF($C3="","",SUMIFS(Ledger!$K$2:$K$4, Ledger!$B$2:$B$4, $A3, Ledger!$C$2:$C$4, UZT$2)),"****")</f>
        <v/>
      </c>
      <c r="UZU3" t="str">
        <f>IFERROR(IF($C3="","",SUMIFS(Ledger!$K$2:$K$4, Ledger!$B$2:$B$4, $A3, Ledger!$C$2:$C$4, UZU$2)),"****")</f>
        <v/>
      </c>
      <c r="UZV3" t="str">
        <f>IFERROR(IF($C3="","",SUMIFS(Ledger!$K$2:$K$4, Ledger!$B$2:$B$4, $A3, Ledger!$C$2:$C$4, UZV$2)),"****")</f>
        <v/>
      </c>
      <c r="UZW3" t="str">
        <f>IFERROR(IF($C3="","",SUMIFS(Ledger!$K$2:$K$4, Ledger!$B$2:$B$4, $A3, Ledger!$C$2:$C$4, UZW$2)),"****")</f>
        <v/>
      </c>
      <c r="UZX3" t="str">
        <f>IFERROR(IF($C3="","",SUMIFS(Ledger!$K$2:$K$4, Ledger!$B$2:$B$4, $A3, Ledger!$C$2:$C$4, UZX$2)),"****")</f>
        <v/>
      </c>
      <c r="UZY3" t="str">
        <f>IFERROR(IF($C3="","",SUMIFS(Ledger!$K$2:$K$4, Ledger!$B$2:$B$4, $A3, Ledger!$C$2:$C$4, UZY$2)),"****")</f>
        <v/>
      </c>
      <c r="UZZ3" t="str">
        <f>IFERROR(IF($C3="","",SUMIFS(Ledger!$K$2:$K$4, Ledger!$B$2:$B$4, $A3, Ledger!$C$2:$C$4, UZZ$2)),"****")</f>
        <v/>
      </c>
      <c r="VAA3" t="str">
        <f>IFERROR(IF($C3="","",SUMIFS(Ledger!$K$2:$K$4, Ledger!$B$2:$B$4, $A3, Ledger!$C$2:$C$4, VAA$2)),"****")</f>
        <v/>
      </c>
      <c r="VAB3" t="str">
        <f>IFERROR(IF($C3="","",SUMIFS(Ledger!$K$2:$K$4, Ledger!$B$2:$B$4, $A3, Ledger!$C$2:$C$4, VAB$2)),"****")</f>
        <v/>
      </c>
      <c r="VAC3" t="str">
        <f>IFERROR(IF($C3="","",SUMIFS(Ledger!$K$2:$K$4, Ledger!$B$2:$B$4, $A3, Ledger!$C$2:$C$4, VAC$2)),"****")</f>
        <v/>
      </c>
      <c r="VAD3" t="str">
        <f>IFERROR(IF($C3="","",SUMIFS(Ledger!$K$2:$K$4, Ledger!$B$2:$B$4, $A3, Ledger!$C$2:$C$4, VAD$2)),"****")</f>
        <v/>
      </c>
      <c r="VAE3" t="str">
        <f>IFERROR(IF($C3="","",SUMIFS(Ledger!$K$2:$K$4, Ledger!$B$2:$B$4, $A3, Ledger!$C$2:$C$4, VAE$2)),"****")</f>
        <v/>
      </c>
      <c r="VAF3" t="str">
        <f>IFERROR(IF($C3="","",SUMIFS(Ledger!$K$2:$K$4, Ledger!$B$2:$B$4, $A3, Ledger!$C$2:$C$4, VAF$2)),"****")</f>
        <v/>
      </c>
      <c r="VAG3" t="str">
        <f>IFERROR(IF($C3="","",SUMIFS(Ledger!$K$2:$K$4, Ledger!$B$2:$B$4, $A3, Ledger!$C$2:$C$4, VAG$2)),"****")</f>
        <v/>
      </c>
      <c r="VAH3" t="str">
        <f>IFERROR(IF($C3="","",SUMIFS(Ledger!$K$2:$K$4, Ledger!$B$2:$B$4, $A3, Ledger!$C$2:$C$4, VAH$2)),"****")</f>
        <v/>
      </c>
      <c r="VAI3" t="str">
        <f>IFERROR(IF($C3="","",SUMIFS(Ledger!$K$2:$K$4, Ledger!$B$2:$B$4, $A3, Ledger!$C$2:$C$4, VAI$2)),"****")</f>
        <v/>
      </c>
      <c r="VAJ3" t="str">
        <f>IFERROR(IF($C3="","",SUMIFS(Ledger!$K$2:$K$4, Ledger!$B$2:$B$4, $A3, Ledger!$C$2:$C$4, VAJ$2)),"****")</f>
        <v/>
      </c>
      <c r="VAK3" t="str">
        <f>IFERROR(IF($C3="","",SUMIFS(Ledger!$K$2:$K$4, Ledger!$B$2:$B$4, $A3, Ledger!$C$2:$C$4, VAK$2)),"****")</f>
        <v/>
      </c>
      <c r="VAL3" t="str">
        <f>IFERROR(IF($C3="","",SUMIFS(Ledger!$K$2:$K$4, Ledger!$B$2:$B$4, $A3, Ledger!$C$2:$C$4, VAL$2)),"****")</f>
        <v/>
      </c>
      <c r="VAM3" t="str">
        <f>IFERROR(IF($C3="","",SUMIFS(Ledger!$K$2:$K$4, Ledger!$B$2:$B$4, $A3, Ledger!$C$2:$C$4, VAM$2)),"****")</f>
        <v/>
      </c>
      <c r="VAN3" t="str">
        <f>IFERROR(IF($C3="","",SUMIFS(Ledger!$K$2:$K$4, Ledger!$B$2:$B$4, $A3, Ledger!$C$2:$C$4, VAN$2)),"****")</f>
        <v/>
      </c>
      <c r="VAO3" t="str">
        <f>IFERROR(IF($C3="","",SUMIFS(Ledger!$K$2:$K$4, Ledger!$B$2:$B$4, $A3, Ledger!$C$2:$C$4, VAO$2)),"****")</f>
        <v/>
      </c>
      <c r="VAP3" t="str">
        <f>IFERROR(IF($C3="","",SUMIFS(Ledger!$K$2:$K$4, Ledger!$B$2:$B$4, $A3, Ledger!$C$2:$C$4, VAP$2)),"****")</f>
        <v/>
      </c>
      <c r="VAQ3" t="str">
        <f>IFERROR(IF($C3="","",SUMIFS(Ledger!$K$2:$K$4, Ledger!$B$2:$B$4, $A3, Ledger!$C$2:$C$4, VAQ$2)),"****")</f>
        <v/>
      </c>
      <c r="VAR3" t="str">
        <f>IFERROR(IF($C3="","",SUMIFS(Ledger!$K$2:$K$4, Ledger!$B$2:$B$4, $A3, Ledger!$C$2:$C$4, VAR$2)),"****")</f>
        <v/>
      </c>
      <c r="VAS3" t="str">
        <f>IFERROR(IF($C3="","",SUMIFS(Ledger!$K$2:$K$4, Ledger!$B$2:$B$4, $A3, Ledger!$C$2:$C$4, VAS$2)),"****")</f>
        <v/>
      </c>
      <c r="VAT3" t="str">
        <f>IFERROR(IF($C3="","",SUMIFS(Ledger!$K$2:$K$4, Ledger!$B$2:$B$4, $A3, Ledger!$C$2:$C$4, VAT$2)),"****")</f>
        <v/>
      </c>
      <c r="VAU3" t="str">
        <f>IFERROR(IF($C3="","",SUMIFS(Ledger!$K$2:$K$4, Ledger!$B$2:$B$4, $A3, Ledger!$C$2:$C$4, VAU$2)),"****")</f>
        <v/>
      </c>
      <c r="VAV3" t="str">
        <f>IFERROR(IF($C3="","",SUMIFS(Ledger!$K$2:$K$4, Ledger!$B$2:$B$4, $A3, Ledger!$C$2:$C$4, VAV$2)),"****")</f>
        <v/>
      </c>
      <c r="VAW3" t="str">
        <f>IFERROR(IF($C3="","",SUMIFS(Ledger!$K$2:$K$4, Ledger!$B$2:$B$4, $A3, Ledger!$C$2:$C$4, VAW$2)),"****")</f>
        <v/>
      </c>
      <c r="VAX3" t="str">
        <f>IFERROR(IF($C3="","",SUMIFS(Ledger!$K$2:$K$4, Ledger!$B$2:$B$4, $A3, Ledger!$C$2:$C$4, VAX$2)),"****")</f>
        <v/>
      </c>
      <c r="VAY3" t="str">
        <f>IFERROR(IF($C3="","",SUMIFS(Ledger!$K$2:$K$4, Ledger!$B$2:$B$4, $A3, Ledger!$C$2:$C$4, VAY$2)),"****")</f>
        <v/>
      </c>
      <c r="VAZ3" t="str">
        <f>IFERROR(IF($C3="","",SUMIFS(Ledger!$K$2:$K$4, Ledger!$B$2:$B$4, $A3, Ledger!$C$2:$C$4, VAZ$2)),"****")</f>
        <v/>
      </c>
      <c r="VBA3" t="str">
        <f>IFERROR(IF($C3="","",SUMIFS(Ledger!$K$2:$K$4, Ledger!$B$2:$B$4, $A3, Ledger!$C$2:$C$4, VBA$2)),"****")</f>
        <v/>
      </c>
      <c r="VBB3" t="str">
        <f>IFERROR(IF($C3="","",SUMIFS(Ledger!$K$2:$K$4, Ledger!$B$2:$B$4, $A3, Ledger!$C$2:$C$4, VBB$2)),"****")</f>
        <v/>
      </c>
      <c r="VBC3" t="str">
        <f>IFERROR(IF($C3="","",SUMIFS(Ledger!$K$2:$K$4, Ledger!$B$2:$B$4, $A3, Ledger!$C$2:$C$4, VBC$2)),"****")</f>
        <v/>
      </c>
      <c r="VBD3" t="str">
        <f>IFERROR(IF($C3="","",SUMIFS(Ledger!$K$2:$K$4, Ledger!$B$2:$B$4, $A3, Ledger!$C$2:$C$4, VBD$2)),"****")</f>
        <v/>
      </c>
      <c r="VBE3" t="str">
        <f>IFERROR(IF($C3="","",SUMIFS(Ledger!$K$2:$K$4, Ledger!$B$2:$B$4, $A3, Ledger!$C$2:$C$4, VBE$2)),"****")</f>
        <v/>
      </c>
      <c r="VBF3" t="str">
        <f>IFERROR(IF($C3="","",SUMIFS(Ledger!$K$2:$K$4, Ledger!$B$2:$B$4, $A3, Ledger!$C$2:$C$4, VBF$2)),"****")</f>
        <v/>
      </c>
      <c r="VBG3" t="str">
        <f>IFERROR(IF($C3="","",SUMIFS(Ledger!$K$2:$K$4, Ledger!$B$2:$B$4, $A3, Ledger!$C$2:$C$4, VBG$2)),"****")</f>
        <v/>
      </c>
      <c r="VBH3" t="str">
        <f>IFERROR(IF($C3="","",SUMIFS(Ledger!$K$2:$K$4, Ledger!$B$2:$B$4, $A3, Ledger!$C$2:$C$4, VBH$2)),"****")</f>
        <v/>
      </c>
      <c r="VBI3" t="str">
        <f>IFERROR(IF($C3="","",SUMIFS(Ledger!$K$2:$K$4, Ledger!$B$2:$B$4, $A3, Ledger!$C$2:$C$4, VBI$2)),"****")</f>
        <v/>
      </c>
      <c r="VBJ3" t="str">
        <f>IFERROR(IF($C3="","",SUMIFS(Ledger!$K$2:$K$4, Ledger!$B$2:$B$4, $A3, Ledger!$C$2:$C$4, VBJ$2)),"****")</f>
        <v/>
      </c>
      <c r="VBK3" t="str">
        <f>IFERROR(IF($C3="","",SUMIFS(Ledger!$K$2:$K$4, Ledger!$B$2:$B$4, $A3, Ledger!$C$2:$C$4, VBK$2)),"****")</f>
        <v/>
      </c>
      <c r="VBL3" t="str">
        <f>IFERROR(IF($C3="","",SUMIFS(Ledger!$K$2:$K$4, Ledger!$B$2:$B$4, $A3, Ledger!$C$2:$C$4, VBL$2)),"****")</f>
        <v/>
      </c>
      <c r="VBM3" t="str">
        <f>IFERROR(IF($C3="","",SUMIFS(Ledger!$K$2:$K$4, Ledger!$B$2:$B$4, $A3, Ledger!$C$2:$C$4, VBM$2)),"****")</f>
        <v/>
      </c>
      <c r="VBN3" t="str">
        <f>IFERROR(IF($C3="","",SUMIFS(Ledger!$K$2:$K$4, Ledger!$B$2:$B$4, $A3, Ledger!$C$2:$C$4, VBN$2)),"****")</f>
        <v/>
      </c>
      <c r="VBO3" t="str">
        <f>IFERROR(IF($C3="","",SUMIFS(Ledger!$K$2:$K$4, Ledger!$B$2:$B$4, $A3, Ledger!$C$2:$C$4, VBO$2)),"****")</f>
        <v/>
      </c>
      <c r="VBP3" t="str">
        <f>IFERROR(IF($C3="","",SUMIFS(Ledger!$K$2:$K$4, Ledger!$B$2:$B$4, $A3, Ledger!$C$2:$C$4, VBP$2)),"****")</f>
        <v/>
      </c>
      <c r="VBQ3" t="str">
        <f>IFERROR(IF($C3="","",SUMIFS(Ledger!$K$2:$K$4, Ledger!$B$2:$B$4, $A3, Ledger!$C$2:$C$4, VBQ$2)),"****")</f>
        <v/>
      </c>
      <c r="VBR3" t="str">
        <f>IFERROR(IF($C3="","",SUMIFS(Ledger!$K$2:$K$4, Ledger!$B$2:$B$4, $A3, Ledger!$C$2:$C$4, VBR$2)),"****")</f>
        <v/>
      </c>
      <c r="VBS3" t="str">
        <f>IFERROR(IF($C3="","",SUMIFS(Ledger!$K$2:$K$4, Ledger!$B$2:$B$4, $A3, Ledger!$C$2:$C$4, VBS$2)),"****")</f>
        <v/>
      </c>
      <c r="VBT3" t="str">
        <f>IFERROR(IF($C3="","",SUMIFS(Ledger!$K$2:$K$4, Ledger!$B$2:$B$4, $A3, Ledger!$C$2:$C$4, VBT$2)),"****")</f>
        <v/>
      </c>
      <c r="VBU3" t="str">
        <f>IFERROR(IF($C3="","",SUMIFS(Ledger!$K$2:$K$4, Ledger!$B$2:$B$4, $A3, Ledger!$C$2:$C$4, VBU$2)),"****")</f>
        <v/>
      </c>
      <c r="VBV3" t="str">
        <f>IFERROR(IF($C3="","",SUMIFS(Ledger!$K$2:$K$4, Ledger!$B$2:$B$4, $A3, Ledger!$C$2:$C$4, VBV$2)),"****")</f>
        <v/>
      </c>
      <c r="VBW3" t="str">
        <f>IFERROR(IF($C3="","",SUMIFS(Ledger!$K$2:$K$4, Ledger!$B$2:$B$4, $A3, Ledger!$C$2:$C$4, VBW$2)),"****")</f>
        <v/>
      </c>
      <c r="VBX3" t="str">
        <f>IFERROR(IF($C3="","",SUMIFS(Ledger!$K$2:$K$4, Ledger!$B$2:$B$4, $A3, Ledger!$C$2:$C$4, VBX$2)),"****")</f>
        <v/>
      </c>
      <c r="VBY3" t="str">
        <f>IFERROR(IF($C3="","",SUMIFS(Ledger!$K$2:$K$4, Ledger!$B$2:$B$4, $A3, Ledger!$C$2:$C$4, VBY$2)),"****")</f>
        <v/>
      </c>
      <c r="VBZ3" t="str">
        <f>IFERROR(IF($C3="","",SUMIFS(Ledger!$K$2:$K$4, Ledger!$B$2:$B$4, $A3, Ledger!$C$2:$C$4, VBZ$2)),"****")</f>
        <v/>
      </c>
      <c r="VCA3" t="str">
        <f>IFERROR(IF($C3="","",SUMIFS(Ledger!$K$2:$K$4, Ledger!$B$2:$B$4, $A3, Ledger!$C$2:$C$4, VCA$2)),"****")</f>
        <v/>
      </c>
      <c r="VCB3" t="str">
        <f>IFERROR(IF($C3="","",SUMIFS(Ledger!$K$2:$K$4, Ledger!$B$2:$B$4, $A3, Ledger!$C$2:$C$4, VCB$2)),"****")</f>
        <v/>
      </c>
      <c r="VCC3" t="str">
        <f>IFERROR(IF($C3="","",SUMIFS(Ledger!$K$2:$K$4, Ledger!$B$2:$B$4, $A3, Ledger!$C$2:$C$4, VCC$2)),"****")</f>
        <v/>
      </c>
      <c r="VCD3" t="str">
        <f>IFERROR(IF($C3="","",SUMIFS(Ledger!$K$2:$K$4, Ledger!$B$2:$B$4, $A3, Ledger!$C$2:$C$4, VCD$2)),"****")</f>
        <v/>
      </c>
      <c r="VCE3" t="str">
        <f>IFERROR(IF($C3="","",SUMIFS(Ledger!$K$2:$K$4, Ledger!$B$2:$B$4, $A3, Ledger!$C$2:$C$4, VCE$2)),"****")</f>
        <v/>
      </c>
      <c r="VCF3" t="str">
        <f>IFERROR(IF($C3="","",SUMIFS(Ledger!$K$2:$K$4, Ledger!$B$2:$B$4, $A3, Ledger!$C$2:$C$4, VCF$2)),"****")</f>
        <v/>
      </c>
      <c r="VCG3" t="str">
        <f>IFERROR(IF($C3="","",SUMIFS(Ledger!$K$2:$K$4, Ledger!$B$2:$B$4, $A3, Ledger!$C$2:$C$4, VCG$2)),"****")</f>
        <v/>
      </c>
      <c r="VCH3" t="str">
        <f>IFERROR(IF($C3="","",SUMIFS(Ledger!$K$2:$K$4, Ledger!$B$2:$B$4, $A3, Ledger!$C$2:$C$4, VCH$2)),"****")</f>
        <v/>
      </c>
      <c r="VCI3" t="str">
        <f>IFERROR(IF($C3="","",SUMIFS(Ledger!$K$2:$K$4, Ledger!$B$2:$B$4, $A3, Ledger!$C$2:$C$4, VCI$2)),"****")</f>
        <v/>
      </c>
      <c r="VCJ3" t="str">
        <f>IFERROR(IF($C3="","",SUMIFS(Ledger!$K$2:$K$4, Ledger!$B$2:$B$4, $A3, Ledger!$C$2:$C$4, VCJ$2)),"****")</f>
        <v/>
      </c>
      <c r="VCK3" t="str">
        <f>IFERROR(IF($C3="","",SUMIFS(Ledger!$K$2:$K$4, Ledger!$B$2:$B$4, $A3, Ledger!$C$2:$C$4, VCK$2)),"****")</f>
        <v/>
      </c>
      <c r="VCL3" t="str">
        <f>IFERROR(IF($C3="","",SUMIFS(Ledger!$K$2:$K$4, Ledger!$B$2:$B$4, $A3, Ledger!$C$2:$C$4, VCL$2)),"****")</f>
        <v/>
      </c>
      <c r="VCM3" t="str">
        <f>IFERROR(IF($C3="","",SUMIFS(Ledger!$K$2:$K$4, Ledger!$B$2:$B$4, $A3, Ledger!$C$2:$C$4, VCM$2)),"****")</f>
        <v/>
      </c>
      <c r="VCN3" t="str">
        <f>IFERROR(IF($C3="","",SUMIFS(Ledger!$K$2:$K$4, Ledger!$B$2:$B$4, $A3, Ledger!$C$2:$C$4, VCN$2)),"****")</f>
        <v/>
      </c>
      <c r="VCO3" t="str">
        <f>IFERROR(IF($C3="","",SUMIFS(Ledger!$K$2:$K$4, Ledger!$B$2:$B$4, $A3, Ledger!$C$2:$C$4, VCO$2)),"****")</f>
        <v/>
      </c>
      <c r="VCP3" t="str">
        <f>IFERROR(IF($C3="","",SUMIFS(Ledger!$K$2:$K$4, Ledger!$B$2:$B$4, $A3, Ledger!$C$2:$C$4, VCP$2)),"****")</f>
        <v/>
      </c>
      <c r="VCQ3" t="str">
        <f>IFERROR(IF($C3="","",SUMIFS(Ledger!$K$2:$K$4, Ledger!$B$2:$B$4, $A3, Ledger!$C$2:$C$4, VCQ$2)),"****")</f>
        <v/>
      </c>
      <c r="VCR3" t="str">
        <f>IFERROR(IF($C3="","",SUMIFS(Ledger!$K$2:$K$4, Ledger!$B$2:$B$4, $A3, Ledger!$C$2:$C$4, VCR$2)),"****")</f>
        <v/>
      </c>
      <c r="VCS3" t="str">
        <f>IFERROR(IF($C3="","",SUMIFS(Ledger!$K$2:$K$4, Ledger!$B$2:$B$4, $A3, Ledger!$C$2:$C$4, VCS$2)),"****")</f>
        <v/>
      </c>
      <c r="VCT3" t="str">
        <f>IFERROR(IF($C3="","",SUMIFS(Ledger!$K$2:$K$4, Ledger!$B$2:$B$4, $A3, Ledger!$C$2:$C$4, VCT$2)),"****")</f>
        <v/>
      </c>
      <c r="VCU3" t="str">
        <f>IFERROR(IF($C3="","",SUMIFS(Ledger!$K$2:$K$4, Ledger!$B$2:$B$4, $A3, Ledger!$C$2:$C$4, VCU$2)),"****")</f>
        <v/>
      </c>
      <c r="VCV3" t="str">
        <f>IFERROR(IF($C3="","",SUMIFS(Ledger!$K$2:$K$4, Ledger!$B$2:$B$4, $A3, Ledger!$C$2:$C$4, VCV$2)),"****")</f>
        <v/>
      </c>
      <c r="VCW3" t="str">
        <f>IFERROR(IF($C3="","",SUMIFS(Ledger!$K$2:$K$4, Ledger!$B$2:$B$4, $A3, Ledger!$C$2:$C$4, VCW$2)),"****")</f>
        <v/>
      </c>
      <c r="VCX3" t="str">
        <f>IFERROR(IF($C3="","",SUMIFS(Ledger!$K$2:$K$4, Ledger!$B$2:$B$4, $A3, Ledger!$C$2:$C$4, VCX$2)),"****")</f>
        <v/>
      </c>
      <c r="VCY3" t="str">
        <f>IFERROR(IF($C3="","",SUMIFS(Ledger!$K$2:$K$4, Ledger!$B$2:$B$4, $A3, Ledger!$C$2:$C$4, VCY$2)),"****")</f>
        <v/>
      </c>
      <c r="VCZ3" t="str">
        <f>IFERROR(IF($C3="","",SUMIFS(Ledger!$K$2:$K$4, Ledger!$B$2:$B$4, $A3, Ledger!$C$2:$C$4, VCZ$2)),"****")</f>
        <v/>
      </c>
      <c r="VDA3" t="str">
        <f>IFERROR(IF($C3="","",SUMIFS(Ledger!$K$2:$K$4, Ledger!$B$2:$B$4, $A3, Ledger!$C$2:$C$4, VDA$2)),"****")</f>
        <v/>
      </c>
      <c r="VDB3" t="str">
        <f>IFERROR(IF($C3="","",SUMIFS(Ledger!$K$2:$K$4, Ledger!$B$2:$B$4, $A3, Ledger!$C$2:$C$4, VDB$2)),"****")</f>
        <v/>
      </c>
      <c r="VDC3" t="str">
        <f>IFERROR(IF($C3="","",SUMIFS(Ledger!$K$2:$K$4, Ledger!$B$2:$B$4, $A3, Ledger!$C$2:$C$4, VDC$2)),"****")</f>
        <v/>
      </c>
      <c r="VDD3" t="str">
        <f>IFERROR(IF($C3="","",SUMIFS(Ledger!$K$2:$K$4, Ledger!$B$2:$B$4, $A3, Ledger!$C$2:$C$4, VDD$2)),"****")</f>
        <v/>
      </c>
      <c r="VDE3" t="str">
        <f>IFERROR(IF($C3="","",SUMIFS(Ledger!$K$2:$K$4, Ledger!$B$2:$B$4, $A3, Ledger!$C$2:$C$4, VDE$2)),"****")</f>
        <v/>
      </c>
      <c r="VDF3" t="str">
        <f>IFERROR(IF($C3="","",SUMIFS(Ledger!$K$2:$K$4, Ledger!$B$2:$B$4, $A3, Ledger!$C$2:$C$4, VDF$2)),"****")</f>
        <v/>
      </c>
      <c r="VDG3" t="str">
        <f>IFERROR(IF($C3="","",SUMIFS(Ledger!$K$2:$K$4, Ledger!$B$2:$B$4, $A3, Ledger!$C$2:$C$4, VDG$2)),"****")</f>
        <v/>
      </c>
      <c r="VDH3" t="str">
        <f>IFERROR(IF($C3="","",SUMIFS(Ledger!$K$2:$K$4, Ledger!$B$2:$B$4, $A3, Ledger!$C$2:$C$4, VDH$2)),"****")</f>
        <v/>
      </c>
      <c r="VDI3" t="str">
        <f>IFERROR(IF($C3="","",SUMIFS(Ledger!$K$2:$K$4, Ledger!$B$2:$B$4, $A3, Ledger!$C$2:$C$4, VDI$2)),"****")</f>
        <v/>
      </c>
      <c r="VDJ3" t="str">
        <f>IFERROR(IF($C3="","",SUMIFS(Ledger!$K$2:$K$4, Ledger!$B$2:$B$4, $A3, Ledger!$C$2:$C$4, VDJ$2)),"****")</f>
        <v/>
      </c>
      <c r="VDK3" t="str">
        <f>IFERROR(IF($C3="","",SUMIFS(Ledger!$K$2:$K$4, Ledger!$B$2:$B$4, $A3, Ledger!$C$2:$C$4, VDK$2)),"****")</f>
        <v/>
      </c>
      <c r="VDL3" t="str">
        <f>IFERROR(IF($C3="","",SUMIFS(Ledger!$K$2:$K$4, Ledger!$B$2:$B$4, $A3, Ledger!$C$2:$C$4, VDL$2)),"****")</f>
        <v/>
      </c>
      <c r="VDM3" t="str">
        <f>IFERROR(IF($C3="","",SUMIFS(Ledger!$K$2:$K$4, Ledger!$B$2:$B$4, $A3, Ledger!$C$2:$C$4, VDM$2)),"****")</f>
        <v/>
      </c>
      <c r="VDN3" t="str">
        <f>IFERROR(IF($C3="","",SUMIFS(Ledger!$K$2:$K$4, Ledger!$B$2:$B$4, $A3, Ledger!$C$2:$C$4, VDN$2)),"****")</f>
        <v/>
      </c>
      <c r="VDO3" t="str">
        <f>IFERROR(IF($C3="","",SUMIFS(Ledger!$K$2:$K$4, Ledger!$B$2:$B$4, $A3, Ledger!$C$2:$C$4, VDO$2)),"****")</f>
        <v/>
      </c>
      <c r="VDP3" t="str">
        <f>IFERROR(IF($C3="","",SUMIFS(Ledger!$K$2:$K$4, Ledger!$B$2:$B$4, $A3, Ledger!$C$2:$C$4, VDP$2)),"****")</f>
        <v/>
      </c>
      <c r="VDQ3" t="str">
        <f>IFERROR(IF($C3="","",SUMIFS(Ledger!$K$2:$K$4, Ledger!$B$2:$B$4, $A3, Ledger!$C$2:$C$4, VDQ$2)),"****")</f>
        <v/>
      </c>
      <c r="VDR3" t="str">
        <f>IFERROR(IF($C3="","",SUMIFS(Ledger!$K$2:$K$4, Ledger!$B$2:$B$4, $A3, Ledger!$C$2:$C$4, VDR$2)),"****")</f>
        <v/>
      </c>
      <c r="VDS3" t="str">
        <f>IFERROR(IF($C3="","",SUMIFS(Ledger!$K$2:$K$4, Ledger!$B$2:$B$4, $A3, Ledger!$C$2:$C$4, VDS$2)),"****")</f>
        <v/>
      </c>
      <c r="VDT3" t="str">
        <f>IFERROR(IF($C3="","",SUMIFS(Ledger!$K$2:$K$4, Ledger!$B$2:$B$4, $A3, Ledger!$C$2:$C$4, VDT$2)),"****")</f>
        <v/>
      </c>
      <c r="VDU3" t="str">
        <f>IFERROR(IF($C3="","",SUMIFS(Ledger!$K$2:$K$4, Ledger!$B$2:$B$4, $A3, Ledger!$C$2:$C$4, VDU$2)),"****")</f>
        <v/>
      </c>
      <c r="VDV3" t="str">
        <f>IFERROR(IF($C3="","",SUMIFS(Ledger!$K$2:$K$4, Ledger!$B$2:$B$4, $A3, Ledger!$C$2:$C$4, VDV$2)),"****")</f>
        <v/>
      </c>
      <c r="VDW3" t="str">
        <f>IFERROR(IF($C3="","",SUMIFS(Ledger!$K$2:$K$4, Ledger!$B$2:$B$4, $A3, Ledger!$C$2:$C$4, VDW$2)),"****")</f>
        <v/>
      </c>
      <c r="VDX3" t="str">
        <f>IFERROR(IF($C3="","",SUMIFS(Ledger!$K$2:$K$4, Ledger!$B$2:$B$4, $A3, Ledger!$C$2:$C$4, VDX$2)),"****")</f>
        <v/>
      </c>
      <c r="VDY3" t="str">
        <f>IFERROR(IF($C3="","",SUMIFS(Ledger!$K$2:$K$4, Ledger!$B$2:$B$4, $A3, Ledger!$C$2:$C$4, VDY$2)),"****")</f>
        <v/>
      </c>
      <c r="VDZ3" t="str">
        <f>IFERROR(IF($C3="","",SUMIFS(Ledger!$K$2:$K$4, Ledger!$B$2:$B$4, $A3, Ledger!$C$2:$C$4, VDZ$2)),"****")</f>
        <v/>
      </c>
      <c r="VEA3" t="str">
        <f>IFERROR(IF($C3="","",SUMIFS(Ledger!$K$2:$K$4, Ledger!$B$2:$B$4, $A3, Ledger!$C$2:$C$4, VEA$2)),"****")</f>
        <v/>
      </c>
      <c r="VEB3" t="str">
        <f>IFERROR(IF($C3="","",SUMIFS(Ledger!$K$2:$K$4, Ledger!$B$2:$B$4, $A3, Ledger!$C$2:$C$4, VEB$2)),"****")</f>
        <v/>
      </c>
      <c r="VEC3" t="str">
        <f>IFERROR(IF($C3="","",SUMIFS(Ledger!$K$2:$K$4, Ledger!$B$2:$B$4, $A3, Ledger!$C$2:$C$4, VEC$2)),"****")</f>
        <v/>
      </c>
      <c r="VED3" t="str">
        <f>IFERROR(IF($C3="","",SUMIFS(Ledger!$K$2:$K$4, Ledger!$B$2:$B$4, $A3, Ledger!$C$2:$C$4, VED$2)),"****")</f>
        <v/>
      </c>
      <c r="VEE3" t="str">
        <f>IFERROR(IF($C3="","",SUMIFS(Ledger!$K$2:$K$4, Ledger!$B$2:$B$4, $A3, Ledger!$C$2:$C$4, VEE$2)),"****")</f>
        <v/>
      </c>
      <c r="VEF3" t="str">
        <f>IFERROR(IF($C3="","",SUMIFS(Ledger!$K$2:$K$4, Ledger!$B$2:$B$4, $A3, Ledger!$C$2:$C$4, VEF$2)),"****")</f>
        <v/>
      </c>
      <c r="VEG3" t="str">
        <f>IFERROR(IF($C3="","",SUMIFS(Ledger!$K$2:$K$4, Ledger!$B$2:$B$4, $A3, Ledger!$C$2:$C$4, VEG$2)),"****")</f>
        <v/>
      </c>
      <c r="VEH3" t="str">
        <f>IFERROR(IF($C3="","",SUMIFS(Ledger!$K$2:$K$4, Ledger!$B$2:$B$4, $A3, Ledger!$C$2:$C$4, VEH$2)),"****")</f>
        <v/>
      </c>
      <c r="VEI3" t="str">
        <f>IFERROR(IF($C3="","",SUMIFS(Ledger!$K$2:$K$4, Ledger!$B$2:$B$4, $A3, Ledger!$C$2:$C$4, VEI$2)),"****")</f>
        <v/>
      </c>
      <c r="VEJ3" t="str">
        <f>IFERROR(IF($C3="","",SUMIFS(Ledger!$K$2:$K$4, Ledger!$B$2:$B$4, $A3, Ledger!$C$2:$C$4, VEJ$2)),"****")</f>
        <v/>
      </c>
      <c r="VEK3" t="str">
        <f>IFERROR(IF($C3="","",SUMIFS(Ledger!$K$2:$K$4, Ledger!$B$2:$B$4, $A3, Ledger!$C$2:$C$4, VEK$2)),"****")</f>
        <v/>
      </c>
      <c r="VEL3" t="str">
        <f>IFERROR(IF($C3="","",SUMIFS(Ledger!$K$2:$K$4, Ledger!$B$2:$B$4, $A3, Ledger!$C$2:$C$4, VEL$2)),"****")</f>
        <v/>
      </c>
      <c r="VEM3" t="str">
        <f>IFERROR(IF($C3="","",SUMIFS(Ledger!$K$2:$K$4, Ledger!$B$2:$B$4, $A3, Ledger!$C$2:$C$4, VEM$2)),"****")</f>
        <v/>
      </c>
      <c r="VEN3" t="str">
        <f>IFERROR(IF($C3="","",SUMIFS(Ledger!$K$2:$K$4, Ledger!$B$2:$B$4, $A3, Ledger!$C$2:$C$4, VEN$2)),"****")</f>
        <v/>
      </c>
      <c r="VEO3" t="str">
        <f>IFERROR(IF($C3="","",SUMIFS(Ledger!$K$2:$K$4, Ledger!$B$2:$B$4, $A3, Ledger!$C$2:$C$4, VEO$2)),"****")</f>
        <v/>
      </c>
      <c r="VEP3" t="str">
        <f>IFERROR(IF($C3="","",SUMIFS(Ledger!$K$2:$K$4, Ledger!$B$2:$B$4, $A3, Ledger!$C$2:$C$4, VEP$2)),"****")</f>
        <v/>
      </c>
      <c r="VEQ3" t="str">
        <f>IFERROR(IF($C3="","",SUMIFS(Ledger!$K$2:$K$4, Ledger!$B$2:$B$4, $A3, Ledger!$C$2:$C$4, VEQ$2)),"****")</f>
        <v/>
      </c>
      <c r="VER3" t="str">
        <f>IFERROR(IF($C3="","",SUMIFS(Ledger!$K$2:$K$4, Ledger!$B$2:$B$4, $A3, Ledger!$C$2:$C$4, VER$2)),"****")</f>
        <v/>
      </c>
      <c r="VES3" t="str">
        <f>IFERROR(IF($C3="","",SUMIFS(Ledger!$K$2:$K$4, Ledger!$B$2:$B$4, $A3, Ledger!$C$2:$C$4, VES$2)),"****")</f>
        <v/>
      </c>
      <c r="VET3" t="str">
        <f>IFERROR(IF($C3="","",SUMIFS(Ledger!$K$2:$K$4, Ledger!$B$2:$B$4, $A3, Ledger!$C$2:$C$4, VET$2)),"****")</f>
        <v/>
      </c>
      <c r="VEU3" t="str">
        <f>IFERROR(IF($C3="","",SUMIFS(Ledger!$K$2:$K$4, Ledger!$B$2:$B$4, $A3, Ledger!$C$2:$C$4, VEU$2)),"****")</f>
        <v/>
      </c>
      <c r="VEV3" t="str">
        <f>IFERROR(IF($C3="","",SUMIFS(Ledger!$K$2:$K$4, Ledger!$B$2:$B$4, $A3, Ledger!$C$2:$C$4, VEV$2)),"****")</f>
        <v/>
      </c>
      <c r="VEW3" t="str">
        <f>IFERROR(IF($C3="","",SUMIFS(Ledger!$K$2:$K$4, Ledger!$B$2:$B$4, $A3, Ledger!$C$2:$C$4, VEW$2)),"****")</f>
        <v/>
      </c>
      <c r="VEX3" t="str">
        <f>IFERROR(IF($C3="","",SUMIFS(Ledger!$K$2:$K$4, Ledger!$B$2:$B$4, $A3, Ledger!$C$2:$C$4, VEX$2)),"****")</f>
        <v/>
      </c>
      <c r="VEY3" t="str">
        <f>IFERROR(IF($C3="","",SUMIFS(Ledger!$K$2:$K$4, Ledger!$B$2:$B$4, $A3, Ledger!$C$2:$C$4, VEY$2)),"****")</f>
        <v/>
      </c>
      <c r="VEZ3" t="str">
        <f>IFERROR(IF($C3="","",SUMIFS(Ledger!$K$2:$K$4, Ledger!$B$2:$B$4, $A3, Ledger!$C$2:$C$4, VEZ$2)),"****")</f>
        <v/>
      </c>
      <c r="VFA3" t="str">
        <f>IFERROR(IF($C3="","",SUMIFS(Ledger!$K$2:$K$4, Ledger!$B$2:$B$4, $A3, Ledger!$C$2:$C$4, VFA$2)),"****")</f>
        <v/>
      </c>
      <c r="VFB3" t="str">
        <f>IFERROR(IF($C3="","",SUMIFS(Ledger!$K$2:$K$4, Ledger!$B$2:$B$4, $A3, Ledger!$C$2:$C$4, VFB$2)),"****")</f>
        <v/>
      </c>
      <c r="VFC3" t="str">
        <f>IFERROR(IF($C3="","",SUMIFS(Ledger!$K$2:$K$4, Ledger!$B$2:$B$4, $A3, Ledger!$C$2:$C$4, VFC$2)),"****")</f>
        <v/>
      </c>
      <c r="VFD3" t="str">
        <f>IFERROR(IF($C3="","",SUMIFS(Ledger!$K$2:$K$4, Ledger!$B$2:$B$4, $A3, Ledger!$C$2:$C$4, VFD$2)),"****")</f>
        <v/>
      </c>
      <c r="VFE3" t="str">
        <f>IFERROR(IF($C3="","",SUMIFS(Ledger!$K$2:$K$4, Ledger!$B$2:$B$4, $A3, Ledger!$C$2:$C$4, VFE$2)),"****")</f>
        <v/>
      </c>
      <c r="VFF3" t="str">
        <f>IFERROR(IF($C3="","",SUMIFS(Ledger!$K$2:$K$4, Ledger!$B$2:$B$4, $A3, Ledger!$C$2:$C$4, VFF$2)),"****")</f>
        <v/>
      </c>
      <c r="VFG3" t="str">
        <f>IFERROR(IF($C3="","",SUMIFS(Ledger!$K$2:$K$4, Ledger!$B$2:$B$4, $A3, Ledger!$C$2:$C$4, VFG$2)),"****")</f>
        <v/>
      </c>
      <c r="VFH3" t="str">
        <f>IFERROR(IF($C3="","",SUMIFS(Ledger!$K$2:$K$4, Ledger!$B$2:$B$4, $A3, Ledger!$C$2:$C$4, VFH$2)),"****")</f>
        <v/>
      </c>
      <c r="VFI3" t="str">
        <f>IFERROR(IF($C3="","",SUMIFS(Ledger!$K$2:$K$4, Ledger!$B$2:$B$4, $A3, Ledger!$C$2:$C$4, VFI$2)),"****")</f>
        <v/>
      </c>
      <c r="VFJ3" t="str">
        <f>IFERROR(IF($C3="","",SUMIFS(Ledger!$K$2:$K$4, Ledger!$B$2:$B$4, $A3, Ledger!$C$2:$C$4, VFJ$2)),"****")</f>
        <v/>
      </c>
      <c r="VFK3" t="str">
        <f>IFERROR(IF($C3="","",SUMIFS(Ledger!$K$2:$K$4, Ledger!$B$2:$B$4, $A3, Ledger!$C$2:$C$4, VFK$2)),"****")</f>
        <v/>
      </c>
      <c r="VFL3" t="str">
        <f>IFERROR(IF($C3="","",SUMIFS(Ledger!$K$2:$K$4, Ledger!$B$2:$B$4, $A3, Ledger!$C$2:$C$4, VFL$2)),"****")</f>
        <v/>
      </c>
      <c r="VFM3" t="str">
        <f>IFERROR(IF($C3="","",SUMIFS(Ledger!$K$2:$K$4, Ledger!$B$2:$B$4, $A3, Ledger!$C$2:$C$4, VFM$2)),"****")</f>
        <v/>
      </c>
      <c r="VFN3" t="str">
        <f>IFERROR(IF($C3="","",SUMIFS(Ledger!$K$2:$K$4, Ledger!$B$2:$B$4, $A3, Ledger!$C$2:$C$4, VFN$2)),"****")</f>
        <v/>
      </c>
      <c r="VFO3" t="str">
        <f>IFERROR(IF($C3="","",SUMIFS(Ledger!$K$2:$K$4, Ledger!$B$2:$B$4, $A3, Ledger!$C$2:$C$4, VFO$2)),"****")</f>
        <v/>
      </c>
      <c r="VFP3" t="str">
        <f>IFERROR(IF($C3="","",SUMIFS(Ledger!$K$2:$K$4, Ledger!$B$2:$B$4, $A3, Ledger!$C$2:$C$4, VFP$2)),"****")</f>
        <v/>
      </c>
      <c r="VFQ3" t="str">
        <f>IFERROR(IF($C3="","",SUMIFS(Ledger!$K$2:$K$4, Ledger!$B$2:$B$4, $A3, Ledger!$C$2:$C$4, VFQ$2)),"****")</f>
        <v/>
      </c>
      <c r="VFR3" t="str">
        <f>IFERROR(IF($C3="","",SUMIFS(Ledger!$K$2:$K$4, Ledger!$B$2:$B$4, $A3, Ledger!$C$2:$C$4, VFR$2)),"****")</f>
        <v/>
      </c>
      <c r="VFS3" t="str">
        <f>IFERROR(IF($C3="","",SUMIFS(Ledger!$K$2:$K$4, Ledger!$B$2:$B$4, $A3, Ledger!$C$2:$C$4, VFS$2)),"****")</f>
        <v/>
      </c>
      <c r="VFT3" t="str">
        <f>IFERROR(IF($C3="","",SUMIFS(Ledger!$K$2:$K$4, Ledger!$B$2:$B$4, $A3, Ledger!$C$2:$C$4, VFT$2)),"****")</f>
        <v/>
      </c>
      <c r="VFU3" t="str">
        <f>IFERROR(IF($C3="","",SUMIFS(Ledger!$K$2:$K$4, Ledger!$B$2:$B$4, $A3, Ledger!$C$2:$C$4, VFU$2)),"****")</f>
        <v/>
      </c>
      <c r="VFV3" t="str">
        <f>IFERROR(IF($C3="","",SUMIFS(Ledger!$K$2:$K$4, Ledger!$B$2:$B$4, $A3, Ledger!$C$2:$C$4, VFV$2)),"****")</f>
        <v/>
      </c>
      <c r="VFW3" t="str">
        <f>IFERROR(IF($C3="","",SUMIFS(Ledger!$K$2:$K$4, Ledger!$B$2:$B$4, $A3, Ledger!$C$2:$C$4, VFW$2)),"****")</f>
        <v/>
      </c>
      <c r="VFX3" t="str">
        <f>IFERROR(IF($C3="","",SUMIFS(Ledger!$K$2:$K$4, Ledger!$B$2:$B$4, $A3, Ledger!$C$2:$C$4, VFX$2)),"****")</f>
        <v/>
      </c>
      <c r="VFY3" t="str">
        <f>IFERROR(IF($C3="","",SUMIFS(Ledger!$K$2:$K$4, Ledger!$B$2:$B$4, $A3, Ledger!$C$2:$C$4, VFY$2)),"****")</f>
        <v/>
      </c>
      <c r="VFZ3" t="str">
        <f>IFERROR(IF($C3="","",SUMIFS(Ledger!$K$2:$K$4, Ledger!$B$2:$B$4, $A3, Ledger!$C$2:$C$4, VFZ$2)),"****")</f>
        <v/>
      </c>
      <c r="VGA3" t="str">
        <f>IFERROR(IF($C3="","",SUMIFS(Ledger!$K$2:$K$4, Ledger!$B$2:$B$4, $A3, Ledger!$C$2:$C$4, VGA$2)),"****")</f>
        <v/>
      </c>
      <c r="VGB3" t="str">
        <f>IFERROR(IF($C3="","",SUMIFS(Ledger!$K$2:$K$4, Ledger!$B$2:$B$4, $A3, Ledger!$C$2:$C$4, VGB$2)),"****")</f>
        <v/>
      </c>
      <c r="VGC3" t="str">
        <f>IFERROR(IF($C3="","",SUMIFS(Ledger!$K$2:$K$4, Ledger!$B$2:$B$4, $A3, Ledger!$C$2:$C$4, VGC$2)),"****")</f>
        <v/>
      </c>
      <c r="VGD3" t="str">
        <f>IFERROR(IF($C3="","",SUMIFS(Ledger!$K$2:$K$4, Ledger!$B$2:$B$4, $A3, Ledger!$C$2:$C$4, VGD$2)),"****")</f>
        <v/>
      </c>
      <c r="VGE3" t="str">
        <f>IFERROR(IF($C3="","",SUMIFS(Ledger!$K$2:$K$4, Ledger!$B$2:$B$4, $A3, Ledger!$C$2:$C$4, VGE$2)),"****")</f>
        <v/>
      </c>
      <c r="VGF3" t="str">
        <f>IFERROR(IF($C3="","",SUMIFS(Ledger!$K$2:$K$4, Ledger!$B$2:$B$4, $A3, Ledger!$C$2:$C$4, VGF$2)),"****")</f>
        <v/>
      </c>
      <c r="VGG3" t="str">
        <f>IFERROR(IF($C3="","",SUMIFS(Ledger!$K$2:$K$4, Ledger!$B$2:$B$4, $A3, Ledger!$C$2:$C$4, VGG$2)),"****")</f>
        <v/>
      </c>
      <c r="VGH3" t="str">
        <f>IFERROR(IF($C3="","",SUMIFS(Ledger!$K$2:$K$4, Ledger!$B$2:$B$4, $A3, Ledger!$C$2:$C$4, VGH$2)),"****")</f>
        <v/>
      </c>
      <c r="VGI3" t="str">
        <f>IFERROR(IF($C3="","",SUMIFS(Ledger!$K$2:$K$4, Ledger!$B$2:$B$4, $A3, Ledger!$C$2:$C$4, VGI$2)),"****")</f>
        <v/>
      </c>
      <c r="VGJ3" t="str">
        <f>IFERROR(IF($C3="","",SUMIFS(Ledger!$K$2:$K$4, Ledger!$B$2:$B$4, $A3, Ledger!$C$2:$C$4, VGJ$2)),"****")</f>
        <v/>
      </c>
      <c r="VGK3" t="str">
        <f>IFERROR(IF($C3="","",SUMIFS(Ledger!$K$2:$K$4, Ledger!$B$2:$B$4, $A3, Ledger!$C$2:$C$4, VGK$2)),"****")</f>
        <v/>
      </c>
      <c r="VGL3" t="str">
        <f>IFERROR(IF($C3="","",SUMIFS(Ledger!$K$2:$K$4, Ledger!$B$2:$B$4, $A3, Ledger!$C$2:$C$4, VGL$2)),"****")</f>
        <v/>
      </c>
      <c r="VGM3" t="str">
        <f>IFERROR(IF($C3="","",SUMIFS(Ledger!$K$2:$K$4, Ledger!$B$2:$B$4, $A3, Ledger!$C$2:$C$4, VGM$2)),"****")</f>
        <v/>
      </c>
      <c r="VGN3" t="str">
        <f>IFERROR(IF($C3="","",SUMIFS(Ledger!$K$2:$K$4, Ledger!$B$2:$B$4, $A3, Ledger!$C$2:$C$4, VGN$2)),"****")</f>
        <v/>
      </c>
      <c r="VGO3" t="str">
        <f>IFERROR(IF($C3="","",SUMIFS(Ledger!$K$2:$K$4, Ledger!$B$2:$B$4, $A3, Ledger!$C$2:$C$4, VGO$2)),"****")</f>
        <v/>
      </c>
      <c r="VGP3" t="str">
        <f>IFERROR(IF($C3="","",SUMIFS(Ledger!$K$2:$K$4, Ledger!$B$2:$B$4, $A3, Ledger!$C$2:$C$4, VGP$2)),"****")</f>
        <v/>
      </c>
      <c r="VGQ3" t="str">
        <f>IFERROR(IF($C3="","",SUMIFS(Ledger!$K$2:$K$4, Ledger!$B$2:$B$4, $A3, Ledger!$C$2:$C$4, VGQ$2)),"****")</f>
        <v/>
      </c>
      <c r="VGR3" t="str">
        <f>IFERROR(IF($C3="","",SUMIFS(Ledger!$K$2:$K$4, Ledger!$B$2:$B$4, $A3, Ledger!$C$2:$C$4, VGR$2)),"****")</f>
        <v/>
      </c>
      <c r="VGS3" t="str">
        <f>IFERROR(IF($C3="","",SUMIFS(Ledger!$K$2:$K$4, Ledger!$B$2:$B$4, $A3, Ledger!$C$2:$C$4, VGS$2)),"****")</f>
        <v/>
      </c>
      <c r="VGT3" t="str">
        <f>IFERROR(IF($C3="","",SUMIFS(Ledger!$K$2:$K$4, Ledger!$B$2:$B$4, $A3, Ledger!$C$2:$C$4, VGT$2)),"****")</f>
        <v/>
      </c>
      <c r="VGU3" t="str">
        <f>IFERROR(IF($C3="","",SUMIFS(Ledger!$K$2:$K$4, Ledger!$B$2:$B$4, $A3, Ledger!$C$2:$C$4, VGU$2)),"****")</f>
        <v/>
      </c>
      <c r="VGV3" t="str">
        <f>IFERROR(IF($C3="","",SUMIFS(Ledger!$K$2:$K$4, Ledger!$B$2:$B$4, $A3, Ledger!$C$2:$C$4, VGV$2)),"****")</f>
        <v/>
      </c>
      <c r="VGW3" t="str">
        <f>IFERROR(IF($C3="","",SUMIFS(Ledger!$K$2:$K$4, Ledger!$B$2:$B$4, $A3, Ledger!$C$2:$C$4, VGW$2)),"****")</f>
        <v/>
      </c>
      <c r="VGX3" t="str">
        <f>IFERROR(IF($C3="","",SUMIFS(Ledger!$K$2:$K$4, Ledger!$B$2:$B$4, $A3, Ledger!$C$2:$C$4, VGX$2)),"****")</f>
        <v/>
      </c>
      <c r="VGY3" t="str">
        <f>IFERROR(IF($C3="","",SUMIFS(Ledger!$K$2:$K$4, Ledger!$B$2:$B$4, $A3, Ledger!$C$2:$C$4, VGY$2)),"****")</f>
        <v/>
      </c>
      <c r="VGZ3" t="str">
        <f>IFERROR(IF($C3="","",SUMIFS(Ledger!$K$2:$K$4, Ledger!$B$2:$B$4, $A3, Ledger!$C$2:$C$4, VGZ$2)),"****")</f>
        <v/>
      </c>
      <c r="VHA3" t="str">
        <f>IFERROR(IF($C3="","",SUMIFS(Ledger!$K$2:$K$4, Ledger!$B$2:$B$4, $A3, Ledger!$C$2:$C$4, VHA$2)),"****")</f>
        <v/>
      </c>
      <c r="VHB3" t="str">
        <f>IFERROR(IF($C3="","",SUMIFS(Ledger!$K$2:$K$4, Ledger!$B$2:$B$4, $A3, Ledger!$C$2:$C$4, VHB$2)),"****")</f>
        <v/>
      </c>
      <c r="VHC3" t="str">
        <f>IFERROR(IF($C3="","",SUMIFS(Ledger!$K$2:$K$4, Ledger!$B$2:$B$4, $A3, Ledger!$C$2:$C$4, VHC$2)),"****")</f>
        <v/>
      </c>
      <c r="VHD3" t="str">
        <f>IFERROR(IF($C3="","",SUMIFS(Ledger!$K$2:$K$4, Ledger!$B$2:$B$4, $A3, Ledger!$C$2:$C$4, VHD$2)),"****")</f>
        <v/>
      </c>
      <c r="VHE3" t="str">
        <f>IFERROR(IF($C3="","",SUMIFS(Ledger!$K$2:$K$4, Ledger!$B$2:$B$4, $A3, Ledger!$C$2:$C$4, VHE$2)),"****")</f>
        <v/>
      </c>
      <c r="VHF3" t="str">
        <f>IFERROR(IF($C3="","",SUMIFS(Ledger!$K$2:$K$4, Ledger!$B$2:$B$4, $A3, Ledger!$C$2:$C$4, VHF$2)),"****")</f>
        <v/>
      </c>
      <c r="VHG3" t="str">
        <f>IFERROR(IF($C3="","",SUMIFS(Ledger!$K$2:$K$4, Ledger!$B$2:$B$4, $A3, Ledger!$C$2:$C$4, VHG$2)),"****")</f>
        <v/>
      </c>
      <c r="VHH3" t="str">
        <f>IFERROR(IF($C3="","",SUMIFS(Ledger!$K$2:$K$4, Ledger!$B$2:$B$4, $A3, Ledger!$C$2:$C$4, VHH$2)),"****")</f>
        <v/>
      </c>
      <c r="VHI3" t="str">
        <f>IFERROR(IF($C3="","",SUMIFS(Ledger!$K$2:$K$4, Ledger!$B$2:$B$4, $A3, Ledger!$C$2:$C$4, VHI$2)),"****")</f>
        <v/>
      </c>
      <c r="VHJ3" t="str">
        <f>IFERROR(IF($C3="","",SUMIFS(Ledger!$K$2:$K$4, Ledger!$B$2:$B$4, $A3, Ledger!$C$2:$C$4, VHJ$2)),"****")</f>
        <v/>
      </c>
      <c r="VHK3" t="str">
        <f>IFERROR(IF($C3="","",SUMIFS(Ledger!$K$2:$K$4, Ledger!$B$2:$B$4, $A3, Ledger!$C$2:$C$4, VHK$2)),"****")</f>
        <v/>
      </c>
      <c r="VHL3" t="str">
        <f>IFERROR(IF($C3="","",SUMIFS(Ledger!$K$2:$K$4, Ledger!$B$2:$B$4, $A3, Ledger!$C$2:$C$4, VHL$2)),"****")</f>
        <v/>
      </c>
      <c r="VHM3" t="str">
        <f>IFERROR(IF($C3="","",SUMIFS(Ledger!$K$2:$K$4, Ledger!$B$2:$B$4, $A3, Ledger!$C$2:$C$4, VHM$2)),"****")</f>
        <v/>
      </c>
      <c r="VHN3" t="str">
        <f>IFERROR(IF($C3="","",SUMIFS(Ledger!$K$2:$K$4, Ledger!$B$2:$B$4, $A3, Ledger!$C$2:$C$4, VHN$2)),"****")</f>
        <v/>
      </c>
      <c r="VHO3" t="str">
        <f>IFERROR(IF($C3="","",SUMIFS(Ledger!$K$2:$K$4, Ledger!$B$2:$B$4, $A3, Ledger!$C$2:$C$4, VHO$2)),"****")</f>
        <v/>
      </c>
      <c r="VHP3" t="str">
        <f>IFERROR(IF($C3="","",SUMIFS(Ledger!$K$2:$K$4, Ledger!$B$2:$B$4, $A3, Ledger!$C$2:$C$4, VHP$2)),"****")</f>
        <v/>
      </c>
      <c r="VHQ3" t="str">
        <f>IFERROR(IF($C3="","",SUMIFS(Ledger!$K$2:$K$4, Ledger!$B$2:$B$4, $A3, Ledger!$C$2:$C$4, VHQ$2)),"****")</f>
        <v/>
      </c>
      <c r="VHR3" t="str">
        <f>IFERROR(IF($C3="","",SUMIFS(Ledger!$K$2:$K$4, Ledger!$B$2:$B$4, $A3, Ledger!$C$2:$C$4, VHR$2)),"****")</f>
        <v/>
      </c>
      <c r="VHS3" t="str">
        <f>IFERROR(IF($C3="","",SUMIFS(Ledger!$K$2:$K$4, Ledger!$B$2:$B$4, $A3, Ledger!$C$2:$C$4, VHS$2)),"****")</f>
        <v/>
      </c>
      <c r="VHT3" t="str">
        <f>IFERROR(IF($C3="","",SUMIFS(Ledger!$K$2:$K$4, Ledger!$B$2:$B$4, $A3, Ledger!$C$2:$C$4, VHT$2)),"****")</f>
        <v/>
      </c>
      <c r="VHU3" t="str">
        <f>IFERROR(IF($C3="","",SUMIFS(Ledger!$K$2:$K$4, Ledger!$B$2:$B$4, $A3, Ledger!$C$2:$C$4, VHU$2)),"****")</f>
        <v/>
      </c>
      <c r="VHV3" t="str">
        <f>IFERROR(IF($C3="","",SUMIFS(Ledger!$K$2:$K$4, Ledger!$B$2:$B$4, $A3, Ledger!$C$2:$C$4, VHV$2)),"****")</f>
        <v/>
      </c>
      <c r="VHW3" t="str">
        <f>IFERROR(IF($C3="","",SUMIFS(Ledger!$K$2:$K$4, Ledger!$B$2:$B$4, $A3, Ledger!$C$2:$C$4, VHW$2)),"****")</f>
        <v/>
      </c>
      <c r="VHX3" t="str">
        <f>IFERROR(IF($C3="","",SUMIFS(Ledger!$K$2:$K$4, Ledger!$B$2:$B$4, $A3, Ledger!$C$2:$C$4, VHX$2)),"****")</f>
        <v/>
      </c>
      <c r="VHY3" t="str">
        <f>IFERROR(IF($C3="","",SUMIFS(Ledger!$K$2:$K$4, Ledger!$B$2:$B$4, $A3, Ledger!$C$2:$C$4, VHY$2)),"****")</f>
        <v/>
      </c>
      <c r="VHZ3" t="str">
        <f>IFERROR(IF($C3="","",SUMIFS(Ledger!$K$2:$K$4, Ledger!$B$2:$B$4, $A3, Ledger!$C$2:$C$4, VHZ$2)),"****")</f>
        <v/>
      </c>
      <c r="VIA3" t="str">
        <f>IFERROR(IF($C3="","",SUMIFS(Ledger!$K$2:$K$4, Ledger!$B$2:$B$4, $A3, Ledger!$C$2:$C$4, VIA$2)),"****")</f>
        <v/>
      </c>
      <c r="VIB3" t="str">
        <f>IFERROR(IF($C3="","",SUMIFS(Ledger!$K$2:$K$4, Ledger!$B$2:$B$4, $A3, Ledger!$C$2:$C$4, VIB$2)),"****")</f>
        <v/>
      </c>
      <c r="VIC3" t="str">
        <f>IFERROR(IF($C3="","",SUMIFS(Ledger!$K$2:$K$4, Ledger!$B$2:$B$4, $A3, Ledger!$C$2:$C$4, VIC$2)),"****")</f>
        <v/>
      </c>
      <c r="VID3" t="str">
        <f>IFERROR(IF($C3="","",SUMIFS(Ledger!$K$2:$K$4, Ledger!$B$2:$B$4, $A3, Ledger!$C$2:$C$4, VID$2)),"****")</f>
        <v/>
      </c>
      <c r="VIE3" t="str">
        <f>IFERROR(IF($C3="","",SUMIFS(Ledger!$K$2:$K$4, Ledger!$B$2:$B$4, $A3, Ledger!$C$2:$C$4, VIE$2)),"****")</f>
        <v/>
      </c>
      <c r="VIF3" t="str">
        <f>IFERROR(IF($C3="","",SUMIFS(Ledger!$K$2:$K$4, Ledger!$B$2:$B$4, $A3, Ledger!$C$2:$C$4, VIF$2)),"****")</f>
        <v/>
      </c>
      <c r="VIG3" t="str">
        <f>IFERROR(IF($C3="","",SUMIFS(Ledger!$K$2:$K$4, Ledger!$B$2:$B$4, $A3, Ledger!$C$2:$C$4, VIG$2)),"****")</f>
        <v/>
      </c>
      <c r="VIH3" t="str">
        <f>IFERROR(IF($C3="","",SUMIFS(Ledger!$K$2:$K$4, Ledger!$B$2:$B$4, $A3, Ledger!$C$2:$C$4, VIH$2)),"****")</f>
        <v/>
      </c>
      <c r="VII3" t="str">
        <f>IFERROR(IF($C3="","",SUMIFS(Ledger!$K$2:$K$4, Ledger!$B$2:$B$4, $A3, Ledger!$C$2:$C$4, VII$2)),"****")</f>
        <v/>
      </c>
      <c r="VIJ3" t="str">
        <f>IFERROR(IF($C3="","",SUMIFS(Ledger!$K$2:$K$4, Ledger!$B$2:$B$4, $A3, Ledger!$C$2:$C$4, VIJ$2)),"****")</f>
        <v/>
      </c>
      <c r="VIK3" t="str">
        <f>IFERROR(IF($C3="","",SUMIFS(Ledger!$K$2:$K$4, Ledger!$B$2:$B$4, $A3, Ledger!$C$2:$C$4, VIK$2)),"****")</f>
        <v/>
      </c>
      <c r="VIL3" t="str">
        <f>IFERROR(IF($C3="","",SUMIFS(Ledger!$K$2:$K$4, Ledger!$B$2:$B$4, $A3, Ledger!$C$2:$C$4, VIL$2)),"****")</f>
        <v/>
      </c>
      <c r="VIM3" t="str">
        <f>IFERROR(IF($C3="","",SUMIFS(Ledger!$K$2:$K$4, Ledger!$B$2:$B$4, $A3, Ledger!$C$2:$C$4, VIM$2)),"****")</f>
        <v/>
      </c>
      <c r="VIN3" t="str">
        <f>IFERROR(IF($C3="","",SUMIFS(Ledger!$K$2:$K$4, Ledger!$B$2:$B$4, $A3, Ledger!$C$2:$C$4, VIN$2)),"****")</f>
        <v/>
      </c>
      <c r="VIO3" t="str">
        <f>IFERROR(IF($C3="","",SUMIFS(Ledger!$K$2:$K$4, Ledger!$B$2:$B$4, $A3, Ledger!$C$2:$C$4, VIO$2)),"****")</f>
        <v/>
      </c>
      <c r="VIP3" t="str">
        <f>IFERROR(IF($C3="","",SUMIFS(Ledger!$K$2:$K$4, Ledger!$B$2:$B$4, $A3, Ledger!$C$2:$C$4, VIP$2)),"****")</f>
        <v/>
      </c>
      <c r="VIQ3" t="str">
        <f>IFERROR(IF($C3="","",SUMIFS(Ledger!$K$2:$K$4, Ledger!$B$2:$B$4, $A3, Ledger!$C$2:$C$4, VIQ$2)),"****")</f>
        <v/>
      </c>
      <c r="VIR3" t="str">
        <f>IFERROR(IF($C3="","",SUMIFS(Ledger!$K$2:$K$4, Ledger!$B$2:$B$4, $A3, Ledger!$C$2:$C$4, VIR$2)),"****")</f>
        <v/>
      </c>
      <c r="VIS3" t="str">
        <f>IFERROR(IF($C3="","",SUMIFS(Ledger!$K$2:$K$4, Ledger!$B$2:$B$4, $A3, Ledger!$C$2:$C$4, VIS$2)),"****")</f>
        <v/>
      </c>
      <c r="VIT3" t="str">
        <f>IFERROR(IF($C3="","",SUMIFS(Ledger!$K$2:$K$4, Ledger!$B$2:$B$4, $A3, Ledger!$C$2:$C$4, VIT$2)),"****")</f>
        <v/>
      </c>
      <c r="VIU3" t="str">
        <f>IFERROR(IF($C3="","",SUMIFS(Ledger!$K$2:$K$4, Ledger!$B$2:$B$4, $A3, Ledger!$C$2:$C$4, VIU$2)),"****")</f>
        <v/>
      </c>
      <c r="VIV3" t="str">
        <f>IFERROR(IF($C3="","",SUMIFS(Ledger!$K$2:$K$4, Ledger!$B$2:$B$4, $A3, Ledger!$C$2:$C$4, VIV$2)),"****")</f>
        <v/>
      </c>
      <c r="VIW3" t="str">
        <f>IFERROR(IF($C3="","",SUMIFS(Ledger!$K$2:$K$4, Ledger!$B$2:$B$4, $A3, Ledger!$C$2:$C$4, VIW$2)),"****")</f>
        <v/>
      </c>
      <c r="VIX3" t="str">
        <f>IFERROR(IF($C3="","",SUMIFS(Ledger!$K$2:$K$4, Ledger!$B$2:$B$4, $A3, Ledger!$C$2:$C$4, VIX$2)),"****")</f>
        <v/>
      </c>
      <c r="VIY3" t="str">
        <f>IFERROR(IF($C3="","",SUMIFS(Ledger!$K$2:$K$4, Ledger!$B$2:$B$4, $A3, Ledger!$C$2:$C$4, VIY$2)),"****")</f>
        <v/>
      </c>
      <c r="VIZ3" t="str">
        <f>IFERROR(IF($C3="","",SUMIFS(Ledger!$K$2:$K$4, Ledger!$B$2:$B$4, $A3, Ledger!$C$2:$C$4, VIZ$2)),"****")</f>
        <v/>
      </c>
      <c r="VJA3" t="str">
        <f>IFERROR(IF($C3="","",SUMIFS(Ledger!$K$2:$K$4, Ledger!$B$2:$B$4, $A3, Ledger!$C$2:$C$4, VJA$2)),"****")</f>
        <v/>
      </c>
      <c r="VJB3" t="str">
        <f>IFERROR(IF($C3="","",SUMIFS(Ledger!$K$2:$K$4, Ledger!$B$2:$B$4, $A3, Ledger!$C$2:$C$4, VJB$2)),"****")</f>
        <v/>
      </c>
      <c r="VJC3" t="str">
        <f>IFERROR(IF($C3="","",SUMIFS(Ledger!$K$2:$K$4, Ledger!$B$2:$B$4, $A3, Ledger!$C$2:$C$4, VJC$2)),"****")</f>
        <v/>
      </c>
      <c r="VJD3" t="str">
        <f>IFERROR(IF($C3="","",SUMIFS(Ledger!$K$2:$K$4, Ledger!$B$2:$B$4, $A3, Ledger!$C$2:$C$4, VJD$2)),"****")</f>
        <v/>
      </c>
      <c r="VJE3" t="str">
        <f>IFERROR(IF($C3="","",SUMIFS(Ledger!$K$2:$K$4, Ledger!$B$2:$B$4, $A3, Ledger!$C$2:$C$4, VJE$2)),"****")</f>
        <v/>
      </c>
      <c r="VJF3" t="str">
        <f>IFERROR(IF($C3="","",SUMIFS(Ledger!$K$2:$K$4, Ledger!$B$2:$B$4, $A3, Ledger!$C$2:$C$4, VJF$2)),"****")</f>
        <v/>
      </c>
      <c r="VJG3" t="str">
        <f>IFERROR(IF($C3="","",SUMIFS(Ledger!$K$2:$K$4, Ledger!$B$2:$B$4, $A3, Ledger!$C$2:$C$4, VJG$2)),"****")</f>
        <v/>
      </c>
      <c r="VJH3" t="str">
        <f>IFERROR(IF($C3="","",SUMIFS(Ledger!$K$2:$K$4, Ledger!$B$2:$B$4, $A3, Ledger!$C$2:$C$4, VJH$2)),"****")</f>
        <v/>
      </c>
      <c r="VJI3" t="str">
        <f>IFERROR(IF($C3="","",SUMIFS(Ledger!$K$2:$K$4, Ledger!$B$2:$B$4, $A3, Ledger!$C$2:$C$4, VJI$2)),"****")</f>
        <v/>
      </c>
      <c r="VJJ3" t="str">
        <f>IFERROR(IF($C3="","",SUMIFS(Ledger!$K$2:$K$4, Ledger!$B$2:$B$4, $A3, Ledger!$C$2:$C$4, VJJ$2)),"****")</f>
        <v/>
      </c>
      <c r="VJK3" t="str">
        <f>IFERROR(IF($C3="","",SUMIFS(Ledger!$K$2:$K$4, Ledger!$B$2:$B$4, $A3, Ledger!$C$2:$C$4, VJK$2)),"****")</f>
        <v/>
      </c>
      <c r="VJL3" t="str">
        <f>IFERROR(IF($C3="","",SUMIFS(Ledger!$K$2:$K$4, Ledger!$B$2:$B$4, $A3, Ledger!$C$2:$C$4, VJL$2)),"****")</f>
        <v/>
      </c>
      <c r="VJM3" t="str">
        <f>IFERROR(IF($C3="","",SUMIFS(Ledger!$K$2:$K$4, Ledger!$B$2:$B$4, $A3, Ledger!$C$2:$C$4, VJM$2)),"****")</f>
        <v/>
      </c>
      <c r="VJN3" t="str">
        <f>IFERROR(IF($C3="","",SUMIFS(Ledger!$K$2:$K$4, Ledger!$B$2:$B$4, $A3, Ledger!$C$2:$C$4, VJN$2)),"****")</f>
        <v/>
      </c>
      <c r="VJO3" t="str">
        <f>IFERROR(IF($C3="","",SUMIFS(Ledger!$K$2:$K$4, Ledger!$B$2:$B$4, $A3, Ledger!$C$2:$C$4, VJO$2)),"****")</f>
        <v/>
      </c>
      <c r="VJP3" t="str">
        <f>IFERROR(IF($C3="","",SUMIFS(Ledger!$K$2:$K$4, Ledger!$B$2:$B$4, $A3, Ledger!$C$2:$C$4, VJP$2)),"****")</f>
        <v/>
      </c>
      <c r="VJQ3" t="str">
        <f>IFERROR(IF($C3="","",SUMIFS(Ledger!$K$2:$K$4, Ledger!$B$2:$B$4, $A3, Ledger!$C$2:$C$4, VJQ$2)),"****")</f>
        <v/>
      </c>
      <c r="VJR3" t="str">
        <f>IFERROR(IF($C3="","",SUMIFS(Ledger!$K$2:$K$4, Ledger!$B$2:$B$4, $A3, Ledger!$C$2:$C$4, VJR$2)),"****")</f>
        <v/>
      </c>
      <c r="VJS3" t="str">
        <f>IFERROR(IF($C3="","",SUMIFS(Ledger!$K$2:$K$4, Ledger!$B$2:$B$4, $A3, Ledger!$C$2:$C$4, VJS$2)),"****")</f>
        <v/>
      </c>
      <c r="VJT3" t="str">
        <f>IFERROR(IF($C3="","",SUMIFS(Ledger!$K$2:$K$4, Ledger!$B$2:$B$4, $A3, Ledger!$C$2:$C$4, VJT$2)),"****")</f>
        <v/>
      </c>
      <c r="VJU3" t="str">
        <f>IFERROR(IF($C3="","",SUMIFS(Ledger!$K$2:$K$4, Ledger!$B$2:$B$4, $A3, Ledger!$C$2:$C$4, VJU$2)),"****")</f>
        <v/>
      </c>
      <c r="VJV3" t="str">
        <f>IFERROR(IF($C3="","",SUMIFS(Ledger!$K$2:$K$4, Ledger!$B$2:$B$4, $A3, Ledger!$C$2:$C$4, VJV$2)),"****")</f>
        <v/>
      </c>
      <c r="VJW3" t="str">
        <f>IFERROR(IF($C3="","",SUMIFS(Ledger!$K$2:$K$4, Ledger!$B$2:$B$4, $A3, Ledger!$C$2:$C$4, VJW$2)),"****")</f>
        <v/>
      </c>
      <c r="VJX3" t="str">
        <f>IFERROR(IF($C3="","",SUMIFS(Ledger!$K$2:$K$4, Ledger!$B$2:$B$4, $A3, Ledger!$C$2:$C$4, VJX$2)),"****")</f>
        <v/>
      </c>
      <c r="VJY3" t="str">
        <f>IFERROR(IF($C3="","",SUMIFS(Ledger!$K$2:$K$4, Ledger!$B$2:$B$4, $A3, Ledger!$C$2:$C$4, VJY$2)),"****")</f>
        <v/>
      </c>
      <c r="VJZ3" t="str">
        <f>IFERROR(IF($C3="","",SUMIFS(Ledger!$K$2:$K$4, Ledger!$B$2:$B$4, $A3, Ledger!$C$2:$C$4, VJZ$2)),"****")</f>
        <v/>
      </c>
      <c r="VKA3" t="str">
        <f>IFERROR(IF($C3="","",SUMIFS(Ledger!$K$2:$K$4, Ledger!$B$2:$B$4, $A3, Ledger!$C$2:$C$4, VKA$2)),"****")</f>
        <v/>
      </c>
      <c r="VKB3" t="str">
        <f>IFERROR(IF($C3="","",SUMIFS(Ledger!$K$2:$K$4, Ledger!$B$2:$B$4, $A3, Ledger!$C$2:$C$4, VKB$2)),"****")</f>
        <v/>
      </c>
      <c r="VKC3" t="str">
        <f>IFERROR(IF($C3="","",SUMIFS(Ledger!$K$2:$K$4, Ledger!$B$2:$B$4, $A3, Ledger!$C$2:$C$4, VKC$2)),"****")</f>
        <v/>
      </c>
      <c r="VKD3" t="str">
        <f>IFERROR(IF($C3="","",SUMIFS(Ledger!$K$2:$K$4, Ledger!$B$2:$B$4, $A3, Ledger!$C$2:$C$4, VKD$2)),"****")</f>
        <v/>
      </c>
      <c r="VKE3" t="str">
        <f>IFERROR(IF($C3="","",SUMIFS(Ledger!$K$2:$K$4, Ledger!$B$2:$B$4, $A3, Ledger!$C$2:$C$4, VKE$2)),"****")</f>
        <v/>
      </c>
      <c r="VKF3" t="str">
        <f>IFERROR(IF($C3="","",SUMIFS(Ledger!$K$2:$K$4, Ledger!$B$2:$B$4, $A3, Ledger!$C$2:$C$4, VKF$2)),"****")</f>
        <v/>
      </c>
      <c r="VKG3" t="str">
        <f>IFERROR(IF($C3="","",SUMIFS(Ledger!$K$2:$K$4, Ledger!$B$2:$B$4, $A3, Ledger!$C$2:$C$4, VKG$2)),"****")</f>
        <v/>
      </c>
      <c r="VKH3" t="str">
        <f>IFERROR(IF($C3="","",SUMIFS(Ledger!$K$2:$K$4, Ledger!$B$2:$B$4, $A3, Ledger!$C$2:$C$4, VKH$2)),"****")</f>
        <v/>
      </c>
      <c r="VKI3" t="str">
        <f>IFERROR(IF($C3="","",SUMIFS(Ledger!$K$2:$K$4, Ledger!$B$2:$B$4, $A3, Ledger!$C$2:$C$4, VKI$2)),"****")</f>
        <v/>
      </c>
      <c r="VKJ3" t="str">
        <f>IFERROR(IF($C3="","",SUMIFS(Ledger!$K$2:$K$4, Ledger!$B$2:$B$4, $A3, Ledger!$C$2:$C$4, VKJ$2)),"****")</f>
        <v/>
      </c>
      <c r="VKK3" t="str">
        <f>IFERROR(IF($C3="","",SUMIFS(Ledger!$K$2:$K$4, Ledger!$B$2:$B$4, $A3, Ledger!$C$2:$C$4, VKK$2)),"****")</f>
        <v/>
      </c>
      <c r="VKL3" t="str">
        <f>IFERROR(IF($C3="","",SUMIFS(Ledger!$K$2:$K$4, Ledger!$B$2:$B$4, $A3, Ledger!$C$2:$C$4, VKL$2)),"****")</f>
        <v/>
      </c>
      <c r="VKM3" t="str">
        <f>IFERROR(IF($C3="","",SUMIFS(Ledger!$K$2:$K$4, Ledger!$B$2:$B$4, $A3, Ledger!$C$2:$C$4, VKM$2)),"****")</f>
        <v/>
      </c>
      <c r="VKN3" t="str">
        <f>IFERROR(IF($C3="","",SUMIFS(Ledger!$K$2:$K$4, Ledger!$B$2:$B$4, $A3, Ledger!$C$2:$C$4, VKN$2)),"****")</f>
        <v/>
      </c>
      <c r="VKO3" t="str">
        <f>IFERROR(IF($C3="","",SUMIFS(Ledger!$K$2:$K$4, Ledger!$B$2:$B$4, $A3, Ledger!$C$2:$C$4, VKO$2)),"****")</f>
        <v/>
      </c>
      <c r="VKP3" t="str">
        <f>IFERROR(IF($C3="","",SUMIFS(Ledger!$K$2:$K$4, Ledger!$B$2:$B$4, $A3, Ledger!$C$2:$C$4, VKP$2)),"****")</f>
        <v/>
      </c>
      <c r="VKQ3" t="str">
        <f>IFERROR(IF($C3="","",SUMIFS(Ledger!$K$2:$K$4, Ledger!$B$2:$B$4, $A3, Ledger!$C$2:$C$4, VKQ$2)),"****")</f>
        <v/>
      </c>
      <c r="VKR3" t="str">
        <f>IFERROR(IF($C3="","",SUMIFS(Ledger!$K$2:$K$4, Ledger!$B$2:$B$4, $A3, Ledger!$C$2:$C$4, VKR$2)),"****")</f>
        <v/>
      </c>
      <c r="VKS3" t="str">
        <f>IFERROR(IF($C3="","",SUMIFS(Ledger!$K$2:$K$4, Ledger!$B$2:$B$4, $A3, Ledger!$C$2:$C$4, VKS$2)),"****")</f>
        <v/>
      </c>
      <c r="VKT3" t="str">
        <f>IFERROR(IF($C3="","",SUMIFS(Ledger!$K$2:$K$4, Ledger!$B$2:$B$4, $A3, Ledger!$C$2:$C$4, VKT$2)),"****")</f>
        <v/>
      </c>
      <c r="VKU3" t="str">
        <f>IFERROR(IF($C3="","",SUMIFS(Ledger!$K$2:$K$4, Ledger!$B$2:$B$4, $A3, Ledger!$C$2:$C$4, VKU$2)),"****")</f>
        <v/>
      </c>
      <c r="VKV3" t="str">
        <f>IFERROR(IF($C3="","",SUMIFS(Ledger!$K$2:$K$4, Ledger!$B$2:$B$4, $A3, Ledger!$C$2:$C$4, VKV$2)),"****")</f>
        <v/>
      </c>
      <c r="VKW3" t="str">
        <f>IFERROR(IF($C3="","",SUMIFS(Ledger!$K$2:$K$4, Ledger!$B$2:$B$4, $A3, Ledger!$C$2:$C$4, VKW$2)),"****")</f>
        <v/>
      </c>
      <c r="VKX3" t="str">
        <f>IFERROR(IF($C3="","",SUMIFS(Ledger!$K$2:$K$4, Ledger!$B$2:$B$4, $A3, Ledger!$C$2:$C$4, VKX$2)),"****")</f>
        <v/>
      </c>
      <c r="VKY3" t="str">
        <f>IFERROR(IF($C3="","",SUMIFS(Ledger!$K$2:$K$4, Ledger!$B$2:$B$4, $A3, Ledger!$C$2:$C$4, VKY$2)),"****")</f>
        <v/>
      </c>
      <c r="VKZ3" t="str">
        <f>IFERROR(IF($C3="","",SUMIFS(Ledger!$K$2:$K$4, Ledger!$B$2:$B$4, $A3, Ledger!$C$2:$C$4, VKZ$2)),"****")</f>
        <v/>
      </c>
      <c r="VLA3" t="str">
        <f>IFERROR(IF($C3="","",SUMIFS(Ledger!$K$2:$K$4, Ledger!$B$2:$B$4, $A3, Ledger!$C$2:$C$4, VLA$2)),"****")</f>
        <v/>
      </c>
      <c r="VLB3" t="str">
        <f>IFERROR(IF($C3="","",SUMIFS(Ledger!$K$2:$K$4, Ledger!$B$2:$B$4, $A3, Ledger!$C$2:$C$4, VLB$2)),"****")</f>
        <v/>
      </c>
      <c r="VLC3" t="str">
        <f>IFERROR(IF($C3="","",SUMIFS(Ledger!$K$2:$K$4, Ledger!$B$2:$B$4, $A3, Ledger!$C$2:$C$4, VLC$2)),"****")</f>
        <v/>
      </c>
      <c r="VLD3" t="str">
        <f>IFERROR(IF($C3="","",SUMIFS(Ledger!$K$2:$K$4, Ledger!$B$2:$B$4, $A3, Ledger!$C$2:$C$4, VLD$2)),"****")</f>
        <v/>
      </c>
      <c r="VLE3" t="str">
        <f>IFERROR(IF($C3="","",SUMIFS(Ledger!$K$2:$K$4, Ledger!$B$2:$B$4, $A3, Ledger!$C$2:$C$4, VLE$2)),"****")</f>
        <v/>
      </c>
      <c r="VLF3" t="str">
        <f>IFERROR(IF($C3="","",SUMIFS(Ledger!$K$2:$K$4, Ledger!$B$2:$B$4, $A3, Ledger!$C$2:$C$4, VLF$2)),"****")</f>
        <v/>
      </c>
      <c r="VLG3" t="str">
        <f>IFERROR(IF($C3="","",SUMIFS(Ledger!$K$2:$K$4, Ledger!$B$2:$B$4, $A3, Ledger!$C$2:$C$4, VLG$2)),"****")</f>
        <v/>
      </c>
      <c r="VLH3" t="str">
        <f>IFERROR(IF($C3="","",SUMIFS(Ledger!$K$2:$K$4, Ledger!$B$2:$B$4, $A3, Ledger!$C$2:$C$4, VLH$2)),"****")</f>
        <v/>
      </c>
      <c r="VLI3" t="str">
        <f>IFERROR(IF($C3="","",SUMIFS(Ledger!$K$2:$K$4, Ledger!$B$2:$B$4, $A3, Ledger!$C$2:$C$4, VLI$2)),"****")</f>
        <v/>
      </c>
      <c r="VLJ3" t="str">
        <f>IFERROR(IF($C3="","",SUMIFS(Ledger!$K$2:$K$4, Ledger!$B$2:$B$4, $A3, Ledger!$C$2:$C$4, VLJ$2)),"****")</f>
        <v/>
      </c>
      <c r="VLK3" t="str">
        <f>IFERROR(IF($C3="","",SUMIFS(Ledger!$K$2:$K$4, Ledger!$B$2:$B$4, $A3, Ledger!$C$2:$C$4, VLK$2)),"****")</f>
        <v/>
      </c>
      <c r="VLL3" t="str">
        <f>IFERROR(IF($C3="","",SUMIFS(Ledger!$K$2:$K$4, Ledger!$B$2:$B$4, $A3, Ledger!$C$2:$C$4, VLL$2)),"****")</f>
        <v/>
      </c>
      <c r="VLM3" t="str">
        <f>IFERROR(IF($C3="","",SUMIFS(Ledger!$K$2:$K$4, Ledger!$B$2:$B$4, $A3, Ledger!$C$2:$C$4, VLM$2)),"****")</f>
        <v/>
      </c>
      <c r="VLN3" t="str">
        <f>IFERROR(IF($C3="","",SUMIFS(Ledger!$K$2:$K$4, Ledger!$B$2:$B$4, $A3, Ledger!$C$2:$C$4, VLN$2)),"****")</f>
        <v/>
      </c>
      <c r="VLO3" t="str">
        <f>IFERROR(IF($C3="","",SUMIFS(Ledger!$K$2:$K$4, Ledger!$B$2:$B$4, $A3, Ledger!$C$2:$C$4, VLO$2)),"****")</f>
        <v/>
      </c>
      <c r="VLP3" t="str">
        <f>IFERROR(IF($C3="","",SUMIFS(Ledger!$K$2:$K$4, Ledger!$B$2:$B$4, $A3, Ledger!$C$2:$C$4, VLP$2)),"****")</f>
        <v/>
      </c>
      <c r="VLQ3" t="str">
        <f>IFERROR(IF($C3="","",SUMIFS(Ledger!$K$2:$K$4, Ledger!$B$2:$B$4, $A3, Ledger!$C$2:$C$4, VLQ$2)),"****")</f>
        <v/>
      </c>
      <c r="VLR3" t="str">
        <f>IFERROR(IF($C3="","",SUMIFS(Ledger!$K$2:$K$4, Ledger!$B$2:$B$4, $A3, Ledger!$C$2:$C$4, VLR$2)),"****")</f>
        <v/>
      </c>
      <c r="VLS3" t="str">
        <f>IFERROR(IF($C3="","",SUMIFS(Ledger!$K$2:$K$4, Ledger!$B$2:$B$4, $A3, Ledger!$C$2:$C$4, VLS$2)),"****")</f>
        <v/>
      </c>
      <c r="VLT3" t="str">
        <f>IFERROR(IF($C3="","",SUMIFS(Ledger!$K$2:$K$4, Ledger!$B$2:$B$4, $A3, Ledger!$C$2:$C$4, VLT$2)),"****")</f>
        <v/>
      </c>
      <c r="VLU3" t="str">
        <f>IFERROR(IF($C3="","",SUMIFS(Ledger!$K$2:$K$4, Ledger!$B$2:$B$4, $A3, Ledger!$C$2:$C$4, VLU$2)),"****")</f>
        <v/>
      </c>
      <c r="VLV3" t="str">
        <f>IFERROR(IF($C3="","",SUMIFS(Ledger!$K$2:$K$4, Ledger!$B$2:$B$4, $A3, Ledger!$C$2:$C$4, VLV$2)),"****")</f>
        <v/>
      </c>
      <c r="VLW3" t="str">
        <f>IFERROR(IF($C3="","",SUMIFS(Ledger!$K$2:$K$4, Ledger!$B$2:$B$4, $A3, Ledger!$C$2:$C$4, VLW$2)),"****")</f>
        <v/>
      </c>
      <c r="VLX3" t="str">
        <f>IFERROR(IF($C3="","",SUMIFS(Ledger!$K$2:$K$4, Ledger!$B$2:$B$4, $A3, Ledger!$C$2:$C$4, VLX$2)),"****")</f>
        <v/>
      </c>
      <c r="VLY3" t="str">
        <f>IFERROR(IF($C3="","",SUMIFS(Ledger!$K$2:$K$4, Ledger!$B$2:$B$4, $A3, Ledger!$C$2:$C$4, VLY$2)),"****")</f>
        <v/>
      </c>
      <c r="VLZ3" t="str">
        <f>IFERROR(IF($C3="","",SUMIFS(Ledger!$K$2:$K$4, Ledger!$B$2:$B$4, $A3, Ledger!$C$2:$C$4, VLZ$2)),"****")</f>
        <v/>
      </c>
      <c r="VMA3" t="str">
        <f>IFERROR(IF($C3="","",SUMIFS(Ledger!$K$2:$K$4, Ledger!$B$2:$B$4, $A3, Ledger!$C$2:$C$4, VMA$2)),"****")</f>
        <v/>
      </c>
      <c r="VMB3" t="str">
        <f>IFERROR(IF($C3="","",SUMIFS(Ledger!$K$2:$K$4, Ledger!$B$2:$B$4, $A3, Ledger!$C$2:$C$4, VMB$2)),"****")</f>
        <v/>
      </c>
      <c r="VMC3" t="str">
        <f>IFERROR(IF($C3="","",SUMIFS(Ledger!$K$2:$K$4, Ledger!$B$2:$B$4, $A3, Ledger!$C$2:$C$4, VMC$2)),"****")</f>
        <v/>
      </c>
      <c r="VMD3" t="str">
        <f>IFERROR(IF($C3="","",SUMIFS(Ledger!$K$2:$K$4, Ledger!$B$2:$B$4, $A3, Ledger!$C$2:$C$4, VMD$2)),"****")</f>
        <v/>
      </c>
      <c r="VME3" t="str">
        <f>IFERROR(IF($C3="","",SUMIFS(Ledger!$K$2:$K$4, Ledger!$B$2:$B$4, $A3, Ledger!$C$2:$C$4, VME$2)),"****")</f>
        <v/>
      </c>
      <c r="VMF3" t="str">
        <f>IFERROR(IF($C3="","",SUMIFS(Ledger!$K$2:$K$4, Ledger!$B$2:$B$4, $A3, Ledger!$C$2:$C$4, VMF$2)),"****")</f>
        <v/>
      </c>
      <c r="VMG3" t="str">
        <f>IFERROR(IF($C3="","",SUMIFS(Ledger!$K$2:$K$4, Ledger!$B$2:$B$4, $A3, Ledger!$C$2:$C$4, VMG$2)),"****")</f>
        <v/>
      </c>
      <c r="VMH3" t="str">
        <f>IFERROR(IF($C3="","",SUMIFS(Ledger!$K$2:$K$4, Ledger!$B$2:$B$4, $A3, Ledger!$C$2:$C$4, VMH$2)),"****")</f>
        <v/>
      </c>
      <c r="VMI3" t="str">
        <f>IFERROR(IF($C3="","",SUMIFS(Ledger!$K$2:$K$4, Ledger!$B$2:$B$4, $A3, Ledger!$C$2:$C$4, VMI$2)),"****")</f>
        <v/>
      </c>
      <c r="VMJ3" t="str">
        <f>IFERROR(IF($C3="","",SUMIFS(Ledger!$K$2:$K$4, Ledger!$B$2:$B$4, $A3, Ledger!$C$2:$C$4, VMJ$2)),"****")</f>
        <v/>
      </c>
      <c r="VMK3" t="str">
        <f>IFERROR(IF($C3="","",SUMIFS(Ledger!$K$2:$K$4, Ledger!$B$2:$B$4, $A3, Ledger!$C$2:$C$4, VMK$2)),"****")</f>
        <v/>
      </c>
      <c r="VML3" t="str">
        <f>IFERROR(IF($C3="","",SUMIFS(Ledger!$K$2:$K$4, Ledger!$B$2:$B$4, $A3, Ledger!$C$2:$C$4, VML$2)),"****")</f>
        <v/>
      </c>
      <c r="VMM3" t="str">
        <f>IFERROR(IF($C3="","",SUMIFS(Ledger!$K$2:$K$4, Ledger!$B$2:$B$4, $A3, Ledger!$C$2:$C$4, VMM$2)),"****")</f>
        <v/>
      </c>
      <c r="VMN3" t="str">
        <f>IFERROR(IF($C3="","",SUMIFS(Ledger!$K$2:$K$4, Ledger!$B$2:$B$4, $A3, Ledger!$C$2:$C$4, VMN$2)),"****")</f>
        <v/>
      </c>
      <c r="VMO3" t="str">
        <f>IFERROR(IF($C3="","",SUMIFS(Ledger!$K$2:$K$4, Ledger!$B$2:$B$4, $A3, Ledger!$C$2:$C$4, VMO$2)),"****")</f>
        <v/>
      </c>
      <c r="VMP3" t="str">
        <f>IFERROR(IF($C3="","",SUMIFS(Ledger!$K$2:$K$4, Ledger!$B$2:$B$4, $A3, Ledger!$C$2:$C$4, VMP$2)),"****")</f>
        <v/>
      </c>
      <c r="VMQ3" t="str">
        <f>IFERROR(IF($C3="","",SUMIFS(Ledger!$K$2:$K$4, Ledger!$B$2:$B$4, $A3, Ledger!$C$2:$C$4, VMQ$2)),"****")</f>
        <v/>
      </c>
      <c r="VMR3" t="str">
        <f>IFERROR(IF($C3="","",SUMIFS(Ledger!$K$2:$K$4, Ledger!$B$2:$B$4, $A3, Ledger!$C$2:$C$4, VMR$2)),"****")</f>
        <v/>
      </c>
      <c r="VMS3" t="str">
        <f>IFERROR(IF($C3="","",SUMIFS(Ledger!$K$2:$K$4, Ledger!$B$2:$B$4, $A3, Ledger!$C$2:$C$4, VMS$2)),"****")</f>
        <v/>
      </c>
      <c r="VMT3" t="str">
        <f>IFERROR(IF($C3="","",SUMIFS(Ledger!$K$2:$K$4, Ledger!$B$2:$B$4, $A3, Ledger!$C$2:$C$4, VMT$2)),"****")</f>
        <v/>
      </c>
      <c r="VMU3" t="str">
        <f>IFERROR(IF($C3="","",SUMIFS(Ledger!$K$2:$K$4, Ledger!$B$2:$B$4, $A3, Ledger!$C$2:$C$4, VMU$2)),"****")</f>
        <v/>
      </c>
      <c r="VMV3" t="str">
        <f>IFERROR(IF($C3="","",SUMIFS(Ledger!$K$2:$K$4, Ledger!$B$2:$B$4, $A3, Ledger!$C$2:$C$4, VMV$2)),"****")</f>
        <v/>
      </c>
      <c r="VMW3" t="str">
        <f>IFERROR(IF($C3="","",SUMIFS(Ledger!$K$2:$K$4, Ledger!$B$2:$B$4, $A3, Ledger!$C$2:$C$4, VMW$2)),"****")</f>
        <v/>
      </c>
      <c r="VMX3" t="str">
        <f>IFERROR(IF($C3="","",SUMIFS(Ledger!$K$2:$K$4, Ledger!$B$2:$B$4, $A3, Ledger!$C$2:$C$4, VMX$2)),"****")</f>
        <v/>
      </c>
      <c r="VMY3" t="str">
        <f>IFERROR(IF($C3="","",SUMIFS(Ledger!$K$2:$K$4, Ledger!$B$2:$B$4, $A3, Ledger!$C$2:$C$4, VMY$2)),"****")</f>
        <v/>
      </c>
      <c r="VMZ3" t="str">
        <f>IFERROR(IF($C3="","",SUMIFS(Ledger!$K$2:$K$4, Ledger!$B$2:$B$4, $A3, Ledger!$C$2:$C$4, VMZ$2)),"****")</f>
        <v/>
      </c>
      <c r="VNA3" t="str">
        <f>IFERROR(IF($C3="","",SUMIFS(Ledger!$K$2:$K$4, Ledger!$B$2:$B$4, $A3, Ledger!$C$2:$C$4, VNA$2)),"****")</f>
        <v/>
      </c>
      <c r="VNB3" t="str">
        <f>IFERROR(IF($C3="","",SUMIFS(Ledger!$K$2:$K$4, Ledger!$B$2:$B$4, $A3, Ledger!$C$2:$C$4, VNB$2)),"****")</f>
        <v/>
      </c>
      <c r="VNC3" t="str">
        <f>IFERROR(IF($C3="","",SUMIFS(Ledger!$K$2:$K$4, Ledger!$B$2:$B$4, $A3, Ledger!$C$2:$C$4, VNC$2)),"****")</f>
        <v/>
      </c>
      <c r="VND3" t="str">
        <f>IFERROR(IF($C3="","",SUMIFS(Ledger!$K$2:$K$4, Ledger!$B$2:$B$4, $A3, Ledger!$C$2:$C$4, VND$2)),"****")</f>
        <v/>
      </c>
      <c r="VNE3" t="str">
        <f>IFERROR(IF($C3="","",SUMIFS(Ledger!$K$2:$K$4, Ledger!$B$2:$B$4, $A3, Ledger!$C$2:$C$4, VNE$2)),"****")</f>
        <v/>
      </c>
      <c r="VNF3" t="str">
        <f>IFERROR(IF($C3="","",SUMIFS(Ledger!$K$2:$K$4, Ledger!$B$2:$B$4, $A3, Ledger!$C$2:$C$4, VNF$2)),"****")</f>
        <v/>
      </c>
      <c r="VNG3" t="str">
        <f>IFERROR(IF($C3="","",SUMIFS(Ledger!$K$2:$K$4, Ledger!$B$2:$B$4, $A3, Ledger!$C$2:$C$4, VNG$2)),"****")</f>
        <v/>
      </c>
      <c r="VNH3" t="str">
        <f>IFERROR(IF($C3="","",SUMIFS(Ledger!$K$2:$K$4, Ledger!$B$2:$B$4, $A3, Ledger!$C$2:$C$4, VNH$2)),"****")</f>
        <v/>
      </c>
      <c r="VNI3" t="str">
        <f>IFERROR(IF($C3="","",SUMIFS(Ledger!$K$2:$K$4, Ledger!$B$2:$B$4, $A3, Ledger!$C$2:$C$4, VNI$2)),"****")</f>
        <v/>
      </c>
      <c r="VNJ3" t="str">
        <f>IFERROR(IF($C3="","",SUMIFS(Ledger!$K$2:$K$4, Ledger!$B$2:$B$4, $A3, Ledger!$C$2:$C$4, VNJ$2)),"****")</f>
        <v/>
      </c>
      <c r="VNK3" t="str">
        <f>IFERROR(IF($C3="","",SUMIFS(Ledger!$K$2:$K$4, Ledger!$B$2:$B$4, $A3, Ledger!$C$2:$C$4, VNK$2)),"****")</f>
        <v/>
      </c>
      <c r="VNL3" t="str">
        <f>IFERROR(IF($C3="","",SUMIFS(Ledger!$K$2:$K$4, Ledger!$B$2:$B$4, $A3, Ledger!$C$2:$C$4, VNL$2)),"****")</f>
        <v/>
      </c>
      <c r="VNM3" t="str">
        <f>IFERROR(IF($C3="","",SUMIFS(Ledger!$K$2:$K$4, Ledger!$B$2:$B$4, $A3, Ledger!$C$2:$C$4, VNM$2)),"****")</f>
        <v/>
      </c>
      <c r="VNN3" t="str">
        <f>IFERROR(IF($C3="","",SUMIFS(Ledger!$K$2:$K$4, Ledger!$B$2:$B$4, $A3, Ledger!$C$2:$C$4, VNN$2)),"****")</f>
        <v/>
      </c>
      <c r="VNO3" t="str">
        <f>IFERROR(IF($C3="","",SUMIFS(Ledger!$K$2:$K$4, Ledger!$B$2:$B$4, $A3, Ledger!$C$2:$C$4, VNO$2)),"****")</f>
        <v/>
      </c>
      <c r="VNP3" t="str">
        <f>IFERROR(IF($C3="","",SUMIFS(Ledger!$K$2:$K$4, Ledger!$B$2:$B$4, $A3, Ledger!$C$2:$C$4, VNP$2)),"****")</f>
        <v/>
      </c>
      <c r="VNQ3" t="str">
        <f>IFERROR(IF($C3="","",SUMIFS(Ledger!$K$2:$K$4, Ledger!$B$2:$B$4, $A3, Ledger!$C$2:$C$4, VNQ$2)),"****")</f>
        <v/>
      </c>
      <c r="VNR3" t="str">
        <f>IFERROR(IF($C3="","",SUMIFS(Ledger!$K$2:$K$4, Ledger!$B$2:$B$4, $A3, Ledger!$C$2:$C$4, VNR$2)),"****")</f>
        <v/>
      </c>
      <c r="VNS3" t="str">
        <f>IFERROR(IF($C3="","",SUMIFS(Ledger!$K$2:$K$4, Ledger!$B$2:$B$4, $A3, Ledger!$C$2:$C$4, VNS$2)),"****")</f>
        <v/>
      </c>
      <c r="VNT3" t="str">
        <f>IFERROR(IF($C3="","",SUMIFS(Ledger!$K$2:$K$4, Ledger!$B$2:$B$4, $A3, Ledger!$C$2:$C$4, VNT$2)),"****")</f>
        <v/>
      </c>
      <c r="VNU3" t="str">
        <f>IFERROR(IF($C3="","",SUMIFS(Ledger!$K$2:$K$4, Ledger!$B$2:$B$4, $A3, Ledger!$C$2:$C$4, VNU$2)),"****")</f>
        <v/>
      </c>
      <c r="VNV3" t="str">
        <f>IFERROR(IF($C3="","",SUMIFS(Ledger!$K$2:$K$4, Ledger!$B$2:$B$4, $A3, Ledger!$C$2:$C$4, VNV$2)),"****")</f>
        <v/>
      </c>
      <c r="VNW3" t="str">
        <f>IFERROR(IF($C3="","",SUMIFS(Ledger!$K$2:$K$4, Ledger!$B$2:$B$4, $A3, Ledger!$C$2:$C$4, VNW$2)),"****")</f>
        <v/>
      </c>
      <c r="VNX3" t="str">
        <f>IFERROR(IF($C3="","",SUMIFS(Ledger!$K$2:$K$4, Ledger!$B$2:$B$4, $A3, Ledger!$C$2:$C$4, VNX$2)),"****")</f>
        <v/>
      </c>
      <c r="VNY3" t="str">
        <f>IFERROR(IF($C3="","",SUMIFS(Ledger!$K$2:$K$4, Ledger!$B$2:$B$4, $A3, Ledger!$C$2:$C$4, VNY$2)),"****")</f>
        <v/>
      </c>
      <c r="VNZ3" t="str">
        <f>IFERROR(IF($C3="","",SUMIFS(Ledger!$K$2:$K$4, Ledger!$B$2:$B$4, $A3, Ledger!$C$2:$C$4, VNZ$2)),"****")</f>
        <v/>
      </c>
      <c r="VOA3" t="str">
        <f>IFERROR(IF($C3="","",SUMIFS(Ledger!$K$2:$K$4, Ledger!$B$2:$B$4, $A3, Ledger!$C$2:$C$4, VOA$2)),"****")</f>
        <v/>
      </c>
      <c r="VOB3" t="str">
        <f>IFERROR(IF($C3="","",SUMIFS(Ledger!$K$2:$K$4, Ledger!$B$2:$B$4, $A3, Ledger!$C$2:$C$4, VOB$2)),"****")</f>
        <v/>
      </c>
      <c r="VOC3" t="str">
        <f>IFERROR(IF($C3="","",SUMIFS(Ledger!$K$2:$K$4, Ledger!$B$2:$B$4, $A3, Ledger!$C$2:$C$4, VOC$2)),"****")</f>
        <v/>
      </c>
      <c r="VOD3" t="str">
        <f>IFERROR(IF($C3="","",SUMIFS(Ledger!$K$2:$K$4, Ledger!$B$2:$B$4, $A3, Ledger!$C$2:$C$4, VOD$2)),"****")</f>
        <v/>
      </c>
      <c r="VOE3" t="str">
        <f>IFERROR(IF($C3="","",SUMIFS(Ledger!$K$2:$K$4, Ledger!$B$2:$B$4, $A3, Ledger!$C$2:$C$4, VOE$2)),"****")</f>
        <v/>
      </c>
      <c r="VOF3" t="str">
        <f>IFERROR(IF($C3="","",SUMIFS(Ledger!$K$2:$K$4, Ledger!$B$2:$B$4, $A3, Ledger!$C$2:$C$4, VOF$2)),"****")</f>
        <v/>
      </c>
      <c r="VOG3" t="str">
        <f>IFERROR(IF($C3="","",SUMIFS(Ledger!$K$2:$K$4, Ledger!$B$2:$B$4, $A3, Ledger!$C$2:$C$4, VOG$2)),"****")</f>
        <v/>
      </c>
      <c r="VOH3" t="str">
        <f>IFERROR(IF($C3="","",SUMIFS(Ledger!$K$2:$K$4, Ledger!$B$2:$B$4, $A3, Ledger!$C$2:$C$4, VOH$2)),"****")</f>
        <v/>
      </c>
      <c r="VOI3" t="str">
        <f>IFERROR(IF($C3="","",SUMIFS(Ledger!$K$2:$K$4, Ledger!$B$2:$B$4, $A3, Ledger!$C$2:$C$4, VOI$2)),"****")</f>
        <v/>
      </c>
      <c r="VOJ3" t="str">
        <f>IFERROR(IF($C3="","",SUMIFS(Ledger!$K$2:$K$4, Ledger!$B$2:$B$4, $A3, Ledger!$C$2:$C$4, VOJ$2)),"****")</f>
        <v/>
      </c>
      <c r="VOK3" t="str">
        <f>IFERROR(IF($C3="","",SUMIFS(Ledger!$K$2:$K$4, Ledger!$B$2:$B$4, $A3, Ledger!$C$2:$C$4, VOK$2)),"****")</f>
        <v/>
      </c>
      <c r="VOL3" t="str">
        <f>IFERROR(IF($C3="","",SUMIFS(Ledger!$K$2:$K$4, Ledger!$B$2:$B$4, $A3, Ledger!$C$2:$C$4, VOL$2)),"****")</f>
        <v/>
      </c>
      <c r="VOM3" t="str">
        <f>IFERROR(IF($C3="","",SUMIFS(Ledger!$K$2:$K$4, Ledger!$B$2:$B$4, $A3, Ledger!$C$2:$C$4, VOM$2)),"****")</f>
        <v/>
      </c>
      <c r="VON3" t="str">
        <f>IFERROR(IF($C3="","",SUMIFS(Ledger!$K$2:$K$4, Ledger!$B$2:$B$4, $A3, Ledger!$C$2:$C$4, VON$2)),"****")</f>
        <v/>
      </c>
      <c r="VOO3" t="str">
        <f>IFERROR(IF($C3="","",SUMIFS(Ledger!$K$2:$K$4, Ledger!$B$2:$B$4, $A3, Ledger!$C$2:$C$4, VOO$2)),"****")</f>
        <v/>
      </c>
      <c r="VOP3" t="str">
        <f>IFERROR(IF($C3="","",SUMIFS(Ledger!$K$2:$K$4, Ledger!$B$2:$B$4, $A3, Ledger!$C$2:$C$4, VOP$2)),"****")</f>
        <v/>
      </c>
      <c r="VOQ3" t="str">
        <f>IFERROR(IF($C3="","",SUMIFS(Ledger!$K$2:$K$4, Ledger!$B$2:$B$4, $A3, Ledger!$C$2:$C$4, VOQ$2)),"****")</f>
        <v/>
      </c>
      <c r="VOR3" t="str">
        <f>IFERROR(IF($C3="","",SUMIFS(Ledger!$K$2:$K$4, Ledger!$B$2:$B$4, $A3, Ledger!$C$2:$C$4, VOR$2)),"****")</f>
        <v/>
      </c>
      <c r="VOS3" t="str">
        <f>IFERROR(IF($C3="","",SUMIFS(Ledger!$K$2:$K$4, Ledger!$B$2:$B$4, $A3, Ledger!$C$2:$C$4, VOS$2)),"****")</f>
        <v/>
      </c>
      <c r="VOT3" t="str">
        <f>IFERROR(IF($C3="","",SUMIFS(Ledger!$K$2:$K$4, Ledger!$B$2:$B$4, $A3, Ledger!$C$2:$C$4, VOT$2)),"****")</f>
        <v/>
      </c>
      <c r="VOU3" t="str">
        <f>IFERROR(IF($C3="","",SUMIFS(Ledger!$K$2:$K$4, Ledger!$B$2:$B$4, $A3, Ledger!$C$2:$C$4, VOU$2)),"****")</f>
        <v/>
      </c>
      <c r="VOV3" t="str">
        <f>IFERROR(IF($C3="","",SUMIFS(Ledger!$K$2:$K$4, Ledger!$B$2:$B$4, $A3, Ledger!$C$2:$C$4, VOV$2)),"****")</f>
        <v/>
      </c>
      <c r="VOW3" t="str">
        <f>IFERROR(IF($C3="","",SUMIFS(Ledger!$K$2:$K$4, Ledger!$B$2:$B$4, $A3, Ledger!$C$2:$C$4, VOW$2)),"****")</f>
        <v/>
      </c>
      <c r="VOX3" t="str">
        <f>IFERROR(IF($C3="","",SUMIFS(Ledger!$K$2:$K$4, Ledger!$B$2:$B$4, $A3, Ledger!$C$2:$C$4, VOX$2)),"****")</f>
        <v/>
      </c>
      <c r="VOY3" t="str">
        <f>IFERROR(IF($C3="","",SUMIFS(Ledger!$K$2:$K$4, Ledger!$B$2:$B$4, $A3, Ledger!$C$2:$C$4, VOY$2)),"****")</f>
        <v/>
      </c>
      <c r="VOZ3" t="str">
        <f>IFERROR(IF($C3="","",SUMIFS(Ledger!$K$2:$K$4, Ledger!$B$2:$B$4, $A3, Ledger!$C$2:$C$4, VOZ$2)),"****")</f>
        <v/>
      </c>
      <c r="VPA3" t="str">
        <f>IFERROR(IF($C3="","",SUMIFS(Ledger!$K$2:$K$4, Ledger!$B$2:$B$4, $A3, Ledger!$C$2:$C$4, VPA$2)),"****")</f>
        <v/>
      </c>
      <c r="VPB3" t="str">
        <f>IFERROR(IF($C3="","",SUMIFS(Ledger!$K$2:$K$4, Ledger!$B$2:$B$4, $A3, Ledger!$C$2:$C$4, VPB$2)),"****")</f>
        <v/>
      </c>
      <c r="VPC3" t="str">
        <f>IFERROR(IF($C3="","",SUMIFS(Ledger!$K$2:$K$4, Ledger!$B$2:$B$4, $A3, Ledger!$C$2:$C$4, VPC$2)),"****")</f>
        <v/>
      </c>
      <c r="VPD3" t="str">
        <f>IFERROR(IF($C3="","",SUMIFS(Ledger!$K$2:$K$4, Ledger!$B$2:$B$4, $A3, Ledger!$C$2:$C$4, VPD$2)),"****")</f>
        <v/>
      </c>
      <c r="VPE3" t="str">
        <f>IFERROR(IF($C3="","",SUMIFS(Ledger!$K$2:$K$4, Ledger!$B$2:$B$4, $A3, Ledger!$C$2:$C$4, VPE$2)),"****")</f>
        <v/>
      </c>
      <c r="VPF3" t="str">
        <f>IFERROR(IF($C3="","",SUMIFS(Ledger!$K$2:$K$4, Ledger!$B$2:$B$4, $A3, Ledger!$C$2:$C$4, VPF$2)),"****")</f>
        <v/>
      </c>
      <c r="VPG3" t="str">
        <f>IFERROR(IF($C3="","",SUMIFS(Ledger!$K$2:$K$4, Ledger!$B$2:$B$4, $A3, Ledger!$C$2:$C$4, VPG$2)),"****")</f>
        <v/>
      </c>
      <c r="VPH3" t="str">
        <f>IFERROR(IF($C3="","",SUMIFS(Ledger!$K$2:$K$4, Ledger!$B$2:$B$4, $A3, Ledger!$C$2:$C$4, VPH$2)),"****")</f>
        <v/>
      </c>
      <c r="VPI3" t="str">
        <f>IFERROR(IF($C3="","",SUMIFS(Ledger!$K$2:$K$4, Ledger!$B$2:$B$4, $A3, Ledger!$C$2:$C$4, VPI$2)),"****")</f>
        <v/>
      </c>
      <c r="VPJ3" t="str">
        <f>IFERROR(IF($C3="","",SUMIFS(Ledger!$K$2:$K$4, Ledger!$B$2:$B$4, $A3, Ledger!$C$2:$C$4, VPJ$2)),"****")</f>
        <v/>
      </c>
      <c r="VPK3" t="str">
        <f>IFERROR(IF($C3="","",SUMIFS(Ledger!$K$2:$K$4, Ledger!$B$2:$B$4, $A3, Ledger!$C$2:$C$4, VPK$2)),"****")</f>
        <v/>
      </c>
      <c r="VPL3" t="str">
        <f>IFERROR(IF($C3="","",SUMIFS(Ledger!$K$2:$K$4, Ledger!$B$2:$B$4, $A3, Ledger!$C$2:$C$4, VPL$2)),"****")</f>
        <v/>
      </c>
      <c r="VPM3" t="str">
        <f>IFERROR(IF($C3="","",SUMIFS(Ledger!$K$2:$K$4, Ledger!$B$2:$B$4, $A3, Ledger!$C$2:$C$4, VPM$2)),"****")</f>
        <v/>
      </c>
      <c r="VPN3" t="str">
        <f>IFERROR(IF($C3="","",SUMIFS(Ledger!$K$2:$K$4, Ledger!$B$2:$B$4, $A3, Ledger!$C$2:$C$4, VPN$2)),"****")</f>
        <v/>
      </c>
      <c r="VPO3" t="str">
        <f>IFERROR(IF($C3="","",SUMIFS(Ledger!$K$2:$K$4, Ledger!$B$2:$B$4, $A3, Ledger!$C$2:$C$4, VPO$2)),"****")</f>
        <v/>
      </c>
      <c r="VPP3" t="str">
        <f>IFERROR(IF($C3="","",SUMIFS(Ledger!$K$2:$K$4, Ledger!$B$2:$B$4, $A3, Ledger!$C$2:$C$4, VPP$2)),"****")</f>
        <v/>
      </c>
      <c r="VPQ3" t="str">
        <f>IFERROR(IF($C3="","",SUMIFS(Ledger!$K$2:$K$4, Ledger!$B$2:$B$4, $A3, Ledger!$C$2:$C$4, VPQ$2)),"****")</f>
        <v/>
      </c>
      <c r="VPR3" t="str">
        <f>IFERROR(IF($C3="","",SUMIFS(Ledger!$K$2:$K$4, Ledger!$B$2:$B$4, $A3, Ledger!$C$2:$C$4, VPR$2)),"****")</f>
        <v/>
      </c>
      <c r="VPS3" t="str">
        <f>IFERROR(IF($C3="","",SUMIFS(Ledger!$K$2:$K$4, Ledger!$B$2:$B$4, $A3, Ledger!$C$2:$C$4, VPS$2)),"****")</f>
        <v/>
      </c>
      <c r="VPT3" t="str">
        <f>IFERROR(IF($C3="","",SUMIFS(Ledger!$K$2:$K$4, Ledger!$B$2:$B$4, $A3, Ledger!$C$2:$C$4, VPT$2)),"****")</f>
        <v/>
      </c>
      <c r="VPU3" t="str">
        <f>IFERROR(IF($C3="","",SUMIFS(Ledger!$K$2:$K$4, Ledger!$B$2:$B$4, $A3, Ledger!$C$2:$C$4, VPU$2)),"****")</f>
        <v/>
      </c>
      <c r="VPV3" t="str">
        <f>IFERROR(IF($C3="","",SUMIFS(Ledger!$K$2:$K$4, Ledger!$B$2:$B$4, $A3, Ledger!$C$2:$C$4, VPV$2)),"****")</f>
        <v/>
      </c>
      <c r="VPW3" t="str">
        <f>IFERROR(IF($C3="","",SUMIFS(Ledger!$K$2:$K$4, Ledger!$B$2:$B$4, $A3, Ledger!$C$2:$C$4, VPW$2)),"****")</f>
        <v/>
      </c>
      <c r="VPX3" t="str">
        <f>IFERROR(IF($C3="","",SUMIFS(Ledger!$K$2:$K$4, Ledger!$B$2:$B$4, $A3, Ledger!$C$2:$C$4, VPX$2)),"****")</f>
        <v/>
      </c>
      <c r="VPY3" t="str">
        <f>IFERROR(IF($C3="","",SUMIFS(Ledger!$K$2:$K$4, Ledger!$B$2:$B$4, $A3, Ledger!$C$2:$C$4, VPY$2)),"****")</f>
        <v/>
      </c>
      <c r="VPZ3" t="str">
        <f>IFERROR(IF($C3="","",SUMIFS(Ledger!$K$2:$K$4, Ledger!$B$2:$B$4, $A3, Ledger!$C$2:$C$4, VPZ$2)),"****")</f>
        <v/>
      </c>
      <c r="VQA3" t="str">
        <f>IFERROR(IF($C3="","",SUMIFS(Ledger!$K$2:$K$4, Ledger!$B$2:$B$4, $A3, Ledger!$C$2:$C$4, VQA$2)),"****")</f>
        <v/>
      </c>
      <c r="VQB3" t="str">
        <f>IFERROR(IF($C3="","",SUMIFS(Ledger!$K$2:$K$4, Ledger!$B$2:$B$4, $A3, Ledger!$C$2:$C$4, VQB$2)),"****")</f>
        <v/>
      </c>
      <c r="VQC3" t="str">
        <f>IFERROR(IF($C3="","",SUMIFS(Ledger!$K$2:$K$4, Ledger!$B$2:$B$4, $A3, Ledger!$C$2:$C$4, VQC$2)),"****")</f>
        <v/>
      </c>
      <c r="VQD3" t="str">
        <f>IFERROR(IF($C3="","",SUMIFS(Ledger!$K$2:$K$4, Ledger!$B$2:$B$4, $A3, Ledger!$C$2:$C$4, VQD$2)),"****")</f>
        <v/>
      </c>
      <c r="VQE3" t="str">
        <f>IFERROR(IF($C3="","",SUMIFS(Ledger!$K$2:$K$4, Ledger!$B$2:$B$4, $A3, Ledger!$C$2:$C$4, VQE$2)),"****")</f>
        <v/>
      </c>
      <c r="VQF3" t="str">
        <f>IFERROR(IF($C3="","",SUMIFS(Ledger!$K$2:$K$4, Ledger!$B$2:$B$4, $A3, Ledger!$C$2:$C$4, VQF$2)),"****")</f>
        <v/>
      </c>
      <c r="VQG3" t="str">
        <f>IFERROR(IF($C3="","",SUMIFS(Ledger!$K$2:$K$4, Ledger!$B$2:$B$4, $A3, Ledger!$C$2:$C$4, VQG$2)),"****")</f>
        <v/>
      </c>
      <c r="VQH3" t="str">
        <f>IFERROR(IF($C3="","",SUMIFS(Ledger!$K$2:$K$4, Ledger!$B$2:$B$4, $A3, Ledger!$C$2:$C$4, VQH$2)),"****")</f>
        <v/>
      </c>
      <c r="VQI3" t="str">
        <f>IFERROR(IF($C3="","",SUMIFS(Ledger!$K$2:$K$4, Ledger!$B$2:$B$4, $A3, Ledger!$C$2:$C$4, VQI$2)),"****")</f>
        <v/>
      </c>
      <c r="VQJ3" t="str">
        <f>IFERROR(IF($C3="","",SUMIFS(Ledger!$K$2:$K$4, Ledger!$B$2:$B$4, $A3, Ledger!$C$2:$C$4, VQJ$2)),"****")</f>
        <v/>
      </c>
      <c r="VQK3" t="str">
        <f>IFERROR(IF($C3="","",SUMIFS(Ledger!$K$2:$K$4, Ledger!$B$2:$B$4, $A3, Ledger!$C$2:$C$4, VQK$2)),"****")</f>
        <v/>
      </c>
      <c r="VQL3" t="str">
        <f>IFERROR(IF($C3="","",SUMIFS(Ledger!$K$2:$K$4, Ledger!$B$2:$B$4, $A3, Ledger!$C$2:$C$4, VQL$2)),"****")</f>
        <v/>
      </c>
      <c r="VQM3" t="str">
        <f>IFERROR(IF($C3="","",SUMIFS(Ledger!$K$2:$K$4, Ledger!$B$2:$B$4, $A3, Ledger!$C$2:$C$4, VQM$2)),"****")</f>
        <v/>
      </c>
      <c r="VQN3" t="str">
        <f>IFERROR(IF($C3="","",SUMIFS(Ledger!$K$2:$K$4, Ledger!$B$2:$B$4, $A3, Ledger!$C$2:$C$4, VQN$2)),"****")</f>
        <v/>
      </c>
      <c r="VQO3" t="str">
        <f>IFERROR(IF($C3="","",SUMIFS(Ledger!$K$2:$K$4, Ledger!$B$2:$B$4, $A3, Ledger!$C$2:$C$4, VQO$2)),"****")</f>
        <v/>
      </c>
      <c r="VQP3" t="str">
        <f>IFERROR(IF($C3="","",SUMIFS(Ledger!$K$2:$K$4, Ledger!$B$2:$B$4, $A3, Ledger!$C$2:$C$4, VQP$2)),"****")</f>
        <v/>
      </c>
      <c r="VQQ3" t="str">
        <f>IFERROR(IF($C3="","",SUMIFS(Ledger!$K$2:$K$4, Ledger!$B$2:$B$4, $A3, Ledger!$C$2:$C$4, VQQ$2)),"****")</f>
        <v/>
      </c>
      <c r="VQR3" t="str">
        <f>IFERROR(IF($C3="","",SUMIFS(Ledger!$K$2:$K$4, Ledger!$B$2:$B$4, $A3, Ledger!$C$2:$C$4, VQR$2)),"****")</f>
        <v/>
      </c>
      <c r="VQS3" t="str">
        <f>IFERROR(IF($C3="","",SUMIFS(Ledger!$K$2:$K$4, Ledger!$B$2:$B$4, $A3, Ledger!$C$2:$C$4, VQS$2)),"****")</f>
        <v/>
      </c>
      <c r="VQT3" t="str">
        <f>IFERROR(IF($C3="","",SUMIFS(Ledger!$K$2:$K$4, Ledger!$B$2:$B$4, $A3, Ledger!$C$2:$C$4, VQT$2)),"****")</f>
        <v/>
      </c>
      <c r="VQU3" t="str">
        <f>IFERROR(IF($C3="","",SUMIFS(Ledger!$K$2:$K$4, Ledger!$B$2:$B$4, $A3, Ledger!$C$2:$C$4, VQU$2)),"****")</f>
        <v/>
      </c>
      <c r="VQV3" t="str">
        <f>IFERROR(IF($C3="","",SUMIFS(Ledger!$K$2:$K$4, Ledger!$B$2:$B$4, $A3, Ledger!$C$2:$C$4, VQV$2)),"****")</f>
        <v/>
      </c>
      <c r="VQW3" t="str">
        <f>IFERROR(IF($C3="","",SUMIFS(Ledger!$K$2:$K$4, Ledger!$B$2:$B$4, $A3, Ledger!$C$2:$C$4, VQW$2)),"****")</f>
        <v/>
      </c>
      <c r="VQX3" t="str">
        <f>IFERROR(IF($C3="","",SUMIFS(Ledger!$K$2:$K$4, Ledger!$B$2:$B$4, $A3, Ledger!$C$2:$C$4, VQX$2)),"****")</f>
        <v/>
      </c>
      <c r="VQY3" t="str">
        <f>IFERROR(IF($C3="","",SUMIFS(Ledger!$K$2:$K$4, Ledger!$B$2:$B$4, $A3, Ledger!$C$2:$C$4, VQY$2)),"****")</f>
        <v/>
      </c>
      <c r="VQZ3" t="str">
        <f>IFERROR(IF($C3="","",SUMIFS(Ledger!$K$2:$K$4, Ledger!$B$2:$B$4, $A3, Ledger!$C$2:$C$4, VQZ$2)),"****")</f>
        <v/>
      </c>
      <c r="VRA3" t="str">
        <f>IFERROR(IF($C3="","",SUMIFS(Ledger!$K$2:$K$4, Ledger!$B$2:$B$4, $A3, Ledger!$C$2:$C$4, VRA$2)),"****")</f>
        <v/>
      </c>
      <c r="VRB3" t="str">
        <f>IFERROR(IF($C3="","",SUMIFS(Ledger!$K$2:$K$4, Ledger!$B$2:$B$4, $A3, Ledger!$C$2:$C$4, VRB$2)),"****")</f>
        <v/>
      </c>
      <c r="VRC3" t="str">
        <f>IFERROR(IF($C3="","",SUMIFS(Ledger!$K$2:$K$4, Ledger!$B$2:$B$4, $A3, Ledger!$C$2:$C$4, VRC$2)),"****")</f>
        <v/>
      </c>
      <c r="VRD3" t="str">
        <f>IFERROR(IF($C3="","",SUMIFS(Ledger!$K$2:$K$4, Ledger!$B$2:$B$4, $A3, Ledger!$C$2:$C$4, VRD$2)),"****")</f>
        <v/>
      </c>
      <c r="VRE3" t="str">
        <f>IFERROR(IF($C3="","",SUMIFS(Ledger!$K$2:$K$4, Ledger!$B$2:$B$4, $A3, Ledger!$C$2:$C$4, VRE$2)),"****")</f>
        <v/>
      </c>
      <c r="VRF3" t="str">
        <f>IFERROR(IF($C3="","",SUMIFS(Ledger!$K$2:$K$4, Ledger!$B$2:$B$4, $A3, Ledger!$C$2:$C$4, VRF$2)),"****")</f>
        <v/>
      </c>
      <c r="VRG3" t="str">
        <f>IFERROR(IF($C3="","",SUMIFS(Ledger!$K$2:$K$4, Ledger!$B$2:$B$4, $A3, Ledger!$C$2:$C$4, VRG$2)),"****")</f>
        <v/>
      </c>
      <c r="VRH3" t="str">
        <f>IFERROR(IF($C3="","",SUMIFS(Ledger!$K$2:$K$4, Ledger!$B$2:$B$4, $A3, Ledger!$C$2:$C$4, VRH$2)),"****")</f>
        <v/>
      </c>
      <c r="VRI3" t="str">
        <f>IFERROR(IF($C3="","",SUMIFS(Ledger!$K$2:$K$4, Ledger!$B$2:$B$4, $A3, Ledger!$C$2:$C$4, VRI$2)),"****")</f>
        <v/>
      </c>
      <c r="VRJ3" t="str">
        <f>IFERROR(IF($C3="","",SUMIFS(Ledger!$K$2:$K$4, Ledger!$B$2:$B$4, $A3, Ledger!$C$2:$C$4, VRJ$2)),"****")</f>
        <v/>
      </c>
      <c r="VRK3" t="str">
        <f>IFERROR(IF($C3="","",SUMIFS(Ledger!$K$2:$K$4, Ledger!$B$2:$B$4, $A3, Ledger!$C$2:$C$4, VRK$2)),"****")</f>
        <v/>
      </c>
      <c r="VRL3" t="str">
        <f>IFERROR(IF($C3="","",SUMIFS(Ledger!$K$2:$K$4, Ledger!$B$2:$B$4, $A3, Ledger!$C$2:$C$4, VRL$2)),"****")</f>
        <v/>
      </c>
      <c r="VRM3" t="str">
        <f>IFERROR(IF($C3="","",SUMIFS(Ledger!$K$2:$K$4, Ledger!$B$2:$B$4, $A3, Ledger!$C$2:$C$4, VRM$2)),"****")</f>
        <v/>
      </c>
      <c r="VRN3" t="str">
        <f>IFERROR(IF($C3="","",SUMIFS(Ledger!$K$2:$K$4, Ledger!$B$2:$B$4, $A3, Ledger!$C$2:$C$4, VRN$2)),"****")</f>
        <v/>
      </c>
      <c r="VRO3" t="str">
        <f>IFERROR(IF($C3="","",SUMIFS(Ledger!$K$2:$K$4, Ledger!$B$2:$B$4, $A3, Ledger!$C$2:$C$4, VRO$2)),"****")</f>
        <v/>
      </c>
      <c r="VRP3" t="str">
        <f>IFERROR(IF($C3="","",SUMIFS(Ledger!$K$2:$K$4, Ledger!$B$2:$B$4, $A3, Ledger!$C$2:$C$4, VRP$2)),"****")</f>
        <v/>
      </c>
      <c r="VRQ3" t="str">
        <f>IFERROR(IF($C3="","",SUMIFS(Ledger!$K$2:$K$4, Ledger!$B$2:$B$4, $A3, Ledger!$C$2:$C$4, VRQ$2)),"****")</f>
        <v/>
      </c>
      <c r="VRR3" t="str">
        <f>IFERROR(IF($C3="","",SUMIFS(Ledger!$K$2:$K$4, Ledger!$B$2:$B$4, $A3, Ledger!$C$2:$C$4, VRR$2)),"****")</f>
        <v/>
      </c>
      <c r="VRS3" t="str">
        <f>IFERROR(IF($C3="","",SUMIFS(Ledger!$K$2:$K$4, Ledger!$B$2:$B$4, $A3, Ledger!$C$2:$C$4, VRS$2)),"****")</f>
        <v/>
      </c>
      <c r="VRT3" t="str">
        <f>IFERROR(IF($C3="","",SUMIFS(Ledger!$K$2:$K$4, Ledger!$B$2:$B$4, $A3, Ledger!$C$2:$C$4, VRT$2)),"****")</f>
        <v/>
      </c>
      <c r="VRU3" t="str">
        <f>IFERROR(IF($C3="","",SUMIFS(Ledger!$K$2:$K$4, Ledger!$B$2:$B$4, $A3, Ledger!$C$2:$C$4, VRU$2)),"****")</f>
        <v/>
      </c>
      <c r="VRV3" t="str">
        <f>IFERROR(IF($C3="","",SUMIFS(Ledger!$K$2:$K$4, Ledger!$B$2:$B$4, $A3, Ledger!$C$2:$C$4, VRV$2)),"****")</f>
        <v/>
      </c>
      <c r="VRW3" t="str">
        <f>IFERROR(IF($C3="","",SUMIFS(Ledger!$K$2:$K$4, Ledger!$B$2:$B$4, $A3, Ledger!$C$2:$C$4, VRW$2)),"****")</f>
        <v/>
      </c>
      <c r="VRX3" t="str">
        <f>IFERROR(IF($C3="","",SUMIFS(Ledger!$K$2:$K$4, Ledger!$B$2:$B$4, $A3, Ledger!$C$2:$C$4, VRX$2)),"****")</f>
        <v/>
      </c>
      <c r="VRY3" t="str">
        <f>IFERROR(IF($C3="","",SUMIFS(Ledger!$K$2:$K$4, Ledger!$B$2:$B$4, $A3, Ledger!$C$2:$C$4, VRY$2)),"****")</f>
        <v/>
      </c>
      <c r="VRZ3" t="str">
        <f>IFERROR(IF($C3="","",SUMIFS(Ledger!$K$2:$K$4, Ledger!$B$2:$B$4, $A3, Ledger!$C$2:$C$4, VRZ$2)),"****")</f>
        <v/>
      </c>
      <c r="VSA3" t="str">
        <f>IFERROR(IF($C3="","",SUMIFS(Ledger!$K$2:$K$4, Ledger!$B$2:$B$4, $A3, Ledger!$C$2:$C$4, VSA$2)),"****")</f>
        <v/>
      </c>
      <c r="VSB3" t="str">
        <f>IFERROR(IF($C3="","",SUMIFS(Ledger!$K$2:$K$4, Ledger!$B$2:$B$4, $A3, Ledger!$C$2:$C$4, VSB$2)),"****")</f>
        <v/>
      </c>
      <c r="VSC3" t="str">
        <f>IFERROR(IF($C3="","",SUMIFS(Ledger!$K$2:$K$4, Ledger!$B$2:$B$4, $A3, Ledger!$C$2:$C$4, VSC$2)),"****")</f>
        <v/>
      </c>
      <c r="VSD3" t="str">
        <f>IFERROR(IF($C3="","",SUMIFS(Ledger!$K$2:$K$4, Ledger!$B$2:$B$4, $A3, Ledger!$C$2:$C$4, VSD$2)),"****")</f>
        <v/>
      </c>
      <c r="VSE3" t="str">
        <f>IFERROR(IF($C3="","",SUMIFS(Ledger!$K$2:$K$4, Ledger!$B$2:$B$4, $A3, Ledger!$C$2:$C$4, VSE$2)),"****")</f>
        <v/>
      </c>
      <c r="VSF3" t="str">
        <f>IFERROR(IF($C3="","",SUMIFS(Ledger!$K$2:$K$4, Ledger!$B$2:$B$4, $A3, Ledger!$C$2:$C$4, VSF$2)),"****")</f>
        <v/>
      </c>
      <c r="VSG3" t="str">
        <f>IFERROR(IF($C3="","",SUMIFS(Ledger!$K$2:$K$4, Ledger!$B$2:$B$4, $A3, Ledger!$C$2:$C$4, VSG$2)),"****")</f>
        <v/>
      </c>
      <c r="VSH3" t="str">
        <f>IFERROR(IF($C3="","",SUMIFS(Ledger!$K$2:$K$4, Ledger!$B$2:$B$4, $A3, Ledger!$C$2:$C$4, VSH$2)),"****")</f>
        <v/>
      </c>
      <c r="VSI3" t="str">
        <f>IFERROR(IF($C3="","",SUMIFS(Ledger!$K$2:$K$4, Ledger!$B$2:$B$4, $A3, Ledger!$C$2:$C$4, VSI$2)),"****")</f>
        <v/>
      </c>
      <c r="VSJ3" t="str">
        <f>IFERROR(IF($C3="","",SUMIFS(Ledger!$K$2:$K$4, Ledger!$B$2:$B$4, $A3, Ledger!$C$2:$C$4, VSJ$2)),"****")</f>
        <v/>
      </c>
      <c r="VSK3" t="str">
        <f>IFERROR(IF($C3="","",SUMIFS(Ledger!$K$2:$K$4, Ledger!$B$2:$B$4, $A3, Ledger!$C$2:$C$4, VSK$2)),"****")</f>
        <v/>
      </c>
      <c r="VSL3" t="str">
        <f>IFERROR(IF($C3="","",SUMIFS(Ledger!$K$2:$K$4, Ledger!$B$2:$B$4, $A3, Ledger!$C$2:$C$4, VSL$2)),"****")</f>
        <v/>
      </c>
      <c r="VSM3" t="str">
        <f>IFERROR(IF($C3="","",SUMIFS(Ledger!$K$2:$K$4, Ledger!$B$2:$B$4, $A3, Ledger!$C$2:$C$4, VSM$2)),"****")</f>
        <v/>
      </c>
      <c r="VSN3" t="str">
        <f>IFERROR(IF($C3="","",SUMIFS(Ledger!$K$2:$K$4, Ledger!$B$2:$B$4, $A3, Ledger!$C$2:$C$4, VSN$2)),"****")</f>
        <v/>
      </c>
      <c r="VSO3" t="str">
        <f>IFERROR(IF($C3="","",SUMIFS(Ledger!$K$2:$K$4, Ledger!$B$2:$B$4, $A3, Ledger!$C$2:$C$4, VSO$2)),"****")</f>
        <v/>
      </c>
      <c r="VSP3" t="str">
        <f>IFERROR(IF($C3="","",SUMIFS(Ledger!$K$2:$K$4, Ledger!$B$2:$B$4, $A3, Ledger!$C$2:$C$4, VSP$2)),"****")</f>
        <v/>
      </c>
      <c r="VSQ3" t="str">
        <f>IFERROR(IF($C3="","",SUMIFS(Ledger!$K$2:$K$4, Ledger!$B$2:$B$4, $A3, Ledger!$C$2:$C$4, VSQ$2)),"****")</f>
        <v/>
      </c>
      <c r="VSR3" t="str">
        <f>IFERROR(IF($C3="","",SUMIFS(Ledger!$K$2:$K$4, Ledger!$B$2:$B$4, $A3, Ledger!$C$2:$C$4, VSR$2)),"****")</f>
        <v/>
      </c>
      <c r="VSS3" t="str">
        <f>IFERROR(IF($C3="","",SUMIFS(Ledger!$K$2:$K$4, Ledger!$B$2:$B$4, $A3, Ledger!$C$2:$C$4, VSS$2)),"****")</f>
        <v/>
      </c>
      <c r="VST3" t="str">
        <f>IFERROR(IF($C3="","",SUMIFS(Ledger!$K$2:$K$4, Ledger!$B$2:$B$4, $A3, Ledger!$C$2:$C$4, VST$2)),"****")</f>
        <v/>
      </c>
      <c r="VSU3" t="str">
        <f>IFERROR(IF($C3="","",SUMIFS(Ledger!$K$2:$K$4, Ledger!$B$2:$B$4, $A3, Ledger!$C$2:$C$4, VSU$2)),"****")</f>
        <v/>
      </c>
      <c r="VSV3" t="str">
        <f>IFERROR(IF($C3="","",SUMIFS(Ledger!$K$2:$K$4, Ledger!$B$2:$B$4, $A3, Ledger!$C$2:$C$4, VSV$2)),"****")</f>
        <v/>
      </c>
      <c r="VSW3" t="str">
        <f>IFERROR(IF($C3="","",SUMIFS(Ledger!$K$2:$K$4, Ledger!$B$2:$B$4, $A3, Ledger!$C$2:$C$4, VSW$2)),"****")</f>
        <v/>
      </c>
      <c r="VSX3" t="str">
        <f>IFERROR(IF($C3="","",SUMIFS(Ledger!$K$2:$K$4, Ledger!$B$2:$B$4, $A3, Ledger!$C$2:$C$4, VSX$2)),"****")</f>
        <v/>
      </c>
      <c r="VSY3" t="str">
        <f>IFERROR(IF($C3="","",SUMIFS(Ledger!$K$2:$K$4, Ledger!$B$2:$B$4, $A3, Ledger!$C$2:$C$4, VSY$2)),"****")</f>
        <v/>
      </c>
      <c r="VSZ3" t="str">
        <f>IFERROR(IF($C3="","",SUMIFS(Ledger!$K$2:$K$4, Ledger!$B$2:$B$4, $A3, Ledger!$C$2:$C$4, VSZ$2)),"****")</f>
        <v/>
      </c>
      <c r="VTA3" t="str">
        <f>IFERROR(IF($C3="","",SUMIFS(Ledger!$K$2:$K$4, Ledger!$B$2:$B$4, $A3, Ledger!$C$2:$C$4, VTA$2)),"****")</f>
        <v/>
      </c>
      <c r="VTB3" t="str">
        <f>IFERROR(IF($C3="","",SUMIFS(Ledger!$K$2:$K$4, Ledger!$B$2:$B$4, $A3, Ledger!$C$2:$C$4, VTB$2)),"****")</f>
        <v/>
      </c>
      <c r="VTC3" t="str">
        <f>IFERROR(IF($C3="","",SUMIFS(Ledger!$K$2:$K$4, Ledger!$B$2:$B$4, $A3, Ledger!$C$2:$C$4, VTC$2)),"****")</f>
        <v/>
      </c>
      <c r="VTD3" t="str">
        <f>IFERROR(IF($C3="","",SUMIFS(Ledger!$K$2:$K$4, Ledger!$B$2:$B$4, $A3, Ledger!$C$2:$C$4, VTD$2)),"****")</f>
        <v/>
      </c>
      <c r="VTE3" t="str">
        <f>IFERROR(IF($C3="","",SUMIFS(Ledger!$K$2:$K$4, Ledger!$B$2:$B$4, $A3, Ledger!$C$2:$C$4, VTE$2)),"****")</f>
        <v/>
      </c>
      <c r="VTF3" t="str">
        <f>IFERROR(IF($C3="","",SUMIFS(Ledger!$K$2:$K$4, Ledger!$B$2:$B$4, $A3, Ledger!$C$2:$C$4, VTF$2)),"****")</f>
        <v/>
      </c>
      <c r="VTG3" t="str">
        <f>IFERROR(IF($C3="","",SUMIFS(Ledger!$K$2:$K$4, Ledger!$B$2:$B$4, $A3, Ledger!$C$2:$C$4, VTG$2)),"****")</f>
        <v/>
      </c>
      <c r="VTH3" t="str">
        <f>IFERROR(IF($C3="","",SUMIFS(Ledger!$K$2:$K$4, Ledger!$B$2:$B$4, $A3, Ledger!$C$2:$C$4, VTH$2)),"****")</f>
        <v/>
      </c>
      <c r="VTI3" t="str">
        <f>IFERROR(IF($C3="","",SUMIFS(Ledger!$K$2:$K$4, Ledger!$B$2:$B$4, $A3, Ledger!$C$2:$C$4, VTI$2)),"****")</f>
        <v/>
      </c>
      <c r="VTJ3" t="str">
        <f>IFERROR(IF($C3="","",SUMIFS(Ledger!$K$2:$K$4, Ledger!$B$2:$B$4, $A3, Ledger!$C$2:$C$4, VTJ$2)),"****")</f>
        <v/>
      </c>
      <c r="VTK3" t="str">
        <f>IFERROR(IF($C3="","",SUMIFS(Ledger!$K$2:$K$4, Ledger!$B$2:$B$4, $A3, Ledger!$C$2:$C$4, VTK$2)),"****")</f>
        <v/>
      </c>
      <c r="VTL3" t="str">
        <f>IFERROR(IF($C3="","",SUMIFS(Ledger!$K$2:$K$4, Ledger!$B$2:$B$4, $A3, Ledger!$C$2:$C$4, VTL$2)),"****")</f>
        <v/>
      </c>
      <c r="VTM3" t="str">
        <f>IFERROR(IF($C3="","",SUMIFS(Ledger!$K$2:$K$4, Ledger!$B$2:$B$4, $A3, Ledger!$C$2:$C$4, VTM$2)),"****")</f>
        <v/>
      </c>
      <c r="VTN3" t="str">
        <f>IFERROR(IF($C3="","",SUMIFS(Ledger!$K$2:$K$4, Ledger!$B$2:$B$4, $A3, Ledger!$C$2:$C$4, VTN$2)),"****")</f>
        <v/>
      </c>
      <c r="VTO3" t="str">
        <f>IFERROR(IF($C3="","",SUMIFS(Ledger!$K$2:$K$4, Ledger!$B$2:$B$4, $A3, Ledger!$C$2:$C$4, VTO$2)),"****")</f>
        <v/>
      </c>
      <c r="VTP3" t="str">
        <f>IFERROR(IF($C3="","",SUMIFS(Ledger!$K$2:$K$4, Ledger!$B$2:$B$4, $A3, Ledger!$C$2:$C$4, VTP$2)),"****")</f>
        <v/>
      </c>
      <c r="VTQ3" t="str">
        <f>IFERROR(IF($C3="","",SUMIFS(Ledger!$K$2:$K$4, Ledger!$B$2:$B$4, $A3, Ledger!$C$2:$C$4, VTQ$2)),"****")</f>
        <v/>
      </c>
      <c r="VTR3" t="str">
        <f>IFERROR(IF($C3="","",SUMIFS(Ledger!$K$2:$K$4, Ledger!$B$2:$B$4, $A3, Ledger!$C$2:$C$4, VTR$2)),"****")</f>
        <v/>
      </c>
      <c r="VTS3" t="str">
        <f>IFERROR(IF($C3="","",SUMIFS(Ledger!$K$2:$K$4, Ledger!$B$2:$B$4, $A3, Ledger!$C$2:$C$4, VTS$2)),"****")</f>
        <v/>
      </c>
      <c r="VTT3" t="str">
        <f>IFERROR(IF($C3="","",SUMIFS(Ledger!$K$2:$K$4, Ledger!$B$2:$B$4, $A3, Ledger!$C$2:$C$4, VTT$2)),"****")</f>
        <v/>
      </c>
      <c r="VTU3" t="str">
        <f>IFERROR(IF($C3="","",SUMIFS(Ledger!$K$2:$K$4, Ledger!$B$2:$B$4, $A3, Ledger!$C$2:$C$4, VTU$2)),"****")</f>
        <v/>
      </c>
      <c r="VTV3" t="str">
        <f>IFERROR(IF($C3="","",SUMIFS(Ledger!$K$2:$K$4, Ledger!$B$2:$B$4, $A3, Ledger!$C$2:$C$4, VTV$2)),"****")</f>
        <v/>
      </c>
      <c r="VTW3" t="str">
        <f>IFERROR(IF($C3="","",SUMIFS(Ledger!$K$2:$K$4, Ledger!$B$2:$B$4, $A3, Ledger!$C$2:$C$4, VTW$2)),"****")</f>
        <v/>
      </c>
      <c r="VTX3" t="str">
        <f>IFERROR(IF($C3="","",SUMIFS(Ledger!$K$2:$K$4, Ledger!$B$2:$B$4, $A3, Ledger!$C$2:$C$4, VTX$2)),"****")</f>
        <v/>
      </c>
      <c r="VTY3" t="str">
        <f>IFERROR(IF($C3="","",SUMIFS(Ledger!$K$2:$K$4, Ledger!$B$2:$B$4, $A3, Ledger!$C$2:$C$4, VTY$2)),"****")</f>
        <v/>
      </c>
      <c r="VTZ3" t="str">
        <f>IFERROR(IF($C3="","",SUMIFS(Ledger!$K$2:$K$4, Ledger!$B$2:$B$4, $A3, Ledger!$C$2:$C$4, VTZ$2)),"****")</f>
        <v/>
      </c>
      <c r="VUA3" t="str">
        <f>IFERROR(IF($C3="","",SUMIFS(Ledger!$K$2:$K$4, Ledger!$B$2:$B$4, $A3, Ledger!$C$2:$C$4, VUA$2)),"****")</f>
        <v/>
      </c>
      <c r="VUB3" t="str">
        <f>IFERROR(IF($C3="","",SUMIFS(Ledger!$K$2:$K$4, Ledger!$B$2:$B$4, $A3, Ledger!$C$2:$C$4, VUB$2)),"****")</f>
        <v/>
      </c>
      <c r="VUC3" t="str">
        <f>IFERROR(IF($C3="","",SUMIFS(Ledger!$K$2:$K$4, Ledger!$B$2:$B$4, $A3, Ledger!$C$2:$C$4, VUC$2)),"****")</f>
        <v/>
      </c>
      <c r="VUD3" t="str">
        <f>IFERROR(IF($C3="","",SUMIFS(Ledger!$K$2:$K$4, Ledger!$B$2:$B$4, $A3, Ledger!$C$2:$C$4, VUD$2)),"****")</f>
        <v/>
      </c>
      <c r="VUE3" t="str">
        <f>IFERROR(IF($C3="","",SUMIFS(Ledger!$K$2:$K$4, Ledger!$B$2:$B$4, $A3, Ledger!$C$2:$C$4, VUE$2)),"****")</f>
        <v/>
      </c>
      <c r="VUF3" t="str">
        <f>IFERROR(IF($C3="","",SUMIFS(Ledger!$K$2:$K$4, Ledger!$B$2:$B$4, $A3, Ledger!$C$2:$C$4, VUF$2)),"****")</f>
        <v/>
      </c>
      <c r="VUG3" t="str">
        <f>IFERROR(IF($C3="","",SUMIFS(Ledger!$K$2:$K$4, Ledger!$B$2:$B$4, $A3, Ledger!$C$2:$C$4, VUG$2)),"****")</f>
        <v/>
      </c>
      <c r="VUH3" t="str">
        <f>IFERROR(IF($C3="","",SUMIFS(Ledger!$K$2:$K$4, Ledger!$B$2:$B$4, $A3, Ledger!$C$2:$C$4, VUH$2)),"****")</f>
        <v/>
      </c>
      <c r="VUI3" t="str">
        <f>IFERROR(IF($C3="","",SUMIFS(Ledger!$K$2:$K$4, Ledger!$B$2:$B$4, $A3, Ledger!$C$2:$C$4, VUI$2)),"****")</f>
        <v/>
      </c>
      <c r="VUJ3" t="str">
        <f>IFERROR(IF($C3="","",SUMIFS(Ledger!$K$2:$K$4, Ledger!$B$2:$B$4, $A3, Ledger!$C$2:$C$4, VUJ$2)),"****")</f>
        <v/>
      </c>
      <c r="VUK3" t="str">
        <f>IFERROR(IF($C3="","",SUMIFS(Ledger!$K$2:$K$4, Ledger!$B$2:$B$4, $A3, Ledger!$C$2:$C$4, VUK$2)),"****")</f>
        <v/>
      </c>
      <c r="VUL3" t="str">
        <f>IFERROR(IF($C3="","",SUMIFS(Ledger!$K$2:$K$4, Ledger!$B$2:$B$4, $A3, Ledger!$C$2:$C$4, VUL$2)),"****")</f>
        <v/>
      </c>
      <c r="VUM3" t="str">
        <f>IFERROR(IF($C3="","",SUMIFS(Ledger!$K$2:$K$4, Ledger!$B$2:$B$4, $A3, Ledger!$C$2:$C$4, VUM$2)),"****")</f>
        <v/>
      </c>
      <c r="VUN3" t="str">
        <f>IFERROR(IF($C3="","",SUMIFS(Ledger!$K$2:$K$4, Ledger!$B$2:$B$4, $A3, Ledger!$C$2:$C$4, VUN$2)),"****")</f>
        <v/>
      </c>
      <c r="VUO3" t="str">
        <f>IFERROR(IF($C3="","",SUMIFS(Ledger!$K$2:$K$4, Ledger!$B$2:$B$4, $A3, Ledger!$C$2:$C$4, VUO$2)),"****")</f>
        <v/>
      </c>
      <c r="VUP3" t="str">
        <f>IFERROR(IF($C3="","",SUMIFS(Ledger!$K$2:$K$4, Ledger!$B$2:$B$4, $A3, Ledger!$C$2:$C$4, VUP$2)),"****")</f>
        <v/>
      </c>
      <c r="VUQ3" t="str">
        <f>IFERROR(IF($C3="","",SUMIFS(Ledger!$K$2:$K$4, Ledger!$B$2:$B$4, $A3, Ledger!$C$2:$C$4, VUQ$2)),"****")</f>
        <v/>
      </c>
      <c r="VUR3" t="str">
        <f>IFERROR(IF($C3="","",SUMIFS(Ledger!$K$2:$K$4, Ledger!$B$2:$B$4, $A3, Ledger!$C$2:$C$4, VUR$2)),"****")</f>
        <v/>
      </c>
      <c r="VUS3" t="str">
        <f>IFERROR(IF($C3="","",SUMIFS(Ledger!$K$2:$K$4, Ledger!$B$2:$B$4, $A3, Ledger!$C$2:$C$4, VUS$2)),"****")</f>
        <v/>
      </c>
      <c r="VUT3" t="str">
        <f>IFERROR(IF($C3="","",SUMIFS(Ledger!$K$2:$K$4, Ledger!$B$2:$B$4, $A3, Ledger!$C$2:$C$4, VUT$2)),"****")</f>
        <v/>
      </c>
      <c r="VUU3" t="str">
        <f>IFERROR(IF($C3="","",SUMIFS(Ledger!$K$2:$K$4, Ledger!$B$2:$B$4, $A3, Ledger!$C$2:$C$4, VUU$2)),"****")</f>
        <v/>
      </c>
      <c r="VUV3" t="str">
        <f>IFERROR(IF($C3="","",SUMIFS(Ledger!$K$2:$K$4, Ledger!$B$2:$B$4, $A3, Ledger!$C$2:$C$4, VUV$2)),"****")</f>
        <v/>
      </c>
      <c r="VUW3" t="str">
        <f>IFERROR(IF($C3="","",SUMIFS(Ledger!$K$2:$K$4, Ledger!$B$2:$B$4, $A3, Ledger!$C$2:$C$4, VUW$2)),"****")</f>
        <v/>
      </c>
      <c r="VUX3" t="str">
        <f>IFERROR(IF($C3="","",SUMIFS(Ledger!$K$2:$K$4, Ledger!$B$2:$B$4, $A3, Ledger!$C$2:$C$4, VUX$2)),"****")</f>
        <v/>
      </c>
      <c r="VUY3" t="str">
        <f>IFERROR(IF($C3="","",SUMIFS(Ledger!$K$2:$K$4, Ledger!$B$2:$B$4, $A3, Ledger!$C$2:$C$4, VUY$2)),"****")</f>
        <v/>
      </c>
      <c r="VUZ3" t="str">
        <f>IFERROR(IF($C3="","",SUMIFS(Ledger!$K$2:$K$4, Ledger!$B$2:$B$4, $A3, Ledger!$C$2:$C$4, VUZ$2)),"****")</f>
        <v/>
      </c>
      <c r="VVA3" t="str">
        <f>IFERROR(IF($C3="","",SUMIFS(Ledger!$K$2:$K$4, Ledger!$B$2:$B$4, $A3, Ledger!$C$2:$C$4, VVA$2)),"****")</f>
        <v/>
      </c>
      <c r="VVB3" t="str">
        <f>IFERROR(IF($C3="","",SUMIFS(Ledger!$K$2:$K$4, Ledger!$B$2:$B$4, $A3, Ledger!$C$2:$C$4, VVB$2)),"****")</f>
        <v/>
      </c>
      <c r="VVC3" t="str">
        <f>IFERROR(IF($C3="","",SUMIFS(Ledger!$K$2:$K$4, Ledger!$B$2:$B$4, $A3, Ledger!$C$2:$C$4, VVC$2)),"****")</f>
        <v/>
      </c>
      <c r="VVD3" t="str">
        <f>IFERROR(IF($C3="","",SUMIFS(Ledger!$K$2:$K$4, Ledger!$B$2:$B$4, $A3, Ledger!$C$2:$C$4, VVD$2)),"****")</f>
        <v/>
      </c>
      <c r="VVE3" t="str">
        <f>IFERROR(IF($C3="","",SUMIFS(Ledger!$K$2:$K$4, Ledger!$B$2:$B$4, $A3, Ledger!$C$2:$C$4, VVE$2)),"****")</f>
        <v/>
      </c>
      <c r="VVF3" t="str">
        <f>IFERROR(IF($C3="","",SUMIFS(Ledger!$K$2:$K$4, Ledger!$B$2:$B$4, $A3, Ledger!$C$2:$C$4, VVF$2)),"****")</f>
        <v/>
      </c>
      <c r="VVG3" t="str">
        <f>IFERROR(IF($C3="","",SUMIFS(Ledger!$K$2:$K$4, Ledger!$B$2:$B$4, $A3, Ledger!$C$2:$C$4, VVG$2)),"****")</f>
        <v/>
      </c>
      <c r="VVH3" t="str">
        <f>IFERROR(IF($C3="","",SUMIFS(Ledger!$K$2:$K$4, Ledger!$B$2:$B$4, $A3, Ledger!$C$2:$C$4, VVH$2)),"****")</f>
        <v/>
      </c>
      <c r="VVI3" t="str">
        <f>IFERROR(IF($C3="","",SUMIFS(Ledger!$K$2:$K$4, Ledger!$B$2:$B$4, $A3, Ledger!$C$2:$C$4, VVI$2)),"****")</f>
        <v/>
      </c>
      <c r="VVJ3" t="str">
        <f>IFERROR(IF($C3="","",SUMIFS(Ledger!$K$2:$K$4, Ledger!$B$2:$B$4, $A3, Ledger!$C$2:$C$4, VVJ$2)),"****")</f>
        <v/>
      </c>
      <c r="VVK3" t="str">
        <f>IFERROR(IF($C3="","",SUMIFS(Ledger!$K$2:$K$4, Ledger!$B$2:$B$4, $A3, Ledger!$C$2:$C$4, VVK$2)),"****")</f>
        <v/>
      </c>
      <c r="VVL3" t="str">
        <f>IFERROR(IF($C3="","",SUMIFS(Ledger!$K$2:$K$4, Ledger!$B$2:$B$4, $A3, Ledger!$C$2:$C$4, VVL$2)),"****")</f>
        <v/>
      </c>
      <c r="VVM3" t="str">
        <f>IFERROR(IF($C3="","",SUMIFS(Ledger!$K$2:$K$4, Ledger!$B$2:$B$4, $A3, Ledger!$C$2:$C$4, VVM$2)),"****")</f>
        <v/>
      </c>
      <c r="VVN3" t="str">
        <f>IFERROR(IF($C3="","",SUMIFS(Ledger!$K$2:$K$4, Ledger!$B$2:$B$4, $A3, Ledger!$C$2:$C$4, VVN$2)),"****")</f>
        <v/>
      </c>
      <c r="VVO3" t="str">
        <f>IFERROR(IF($C3="","",SUMIFS(Ledger!$K$2:$K$4, Ledger!$B$2:$B$4, $A3, Ledger!$C$2:$C$4, VVO$2)),"****")</f>
        <v/>
      </c>
      <c r="VVP3" t="str">
        <f>IFERROR(IF($C3="","",SUMIFS(Ledger!$K$2:$K$4, Ledger!$B$2:$B$4, $A3, Ledger!$C$2:$C$4, VVP$2)),"****")</f>
        <v/>
      </c>
      <c r="VVQ3" t="str">
        <f>IFERROR(IF($C3="","",SUMIFS(Ledger!$K$2:$K$4, Ledger!$B$2:$B$4, $A3, Ledger!$C$2:$C$4, VVQ$2)),"****")</f>
        <v/>
      </c>
      <c r="VVR3" t="str">
        <f>IFERROR(IF($C3="","",SUMIFS(Ledger!$K$2:$K$4, Ledger!$B$2:$B$4, $A3, Ledger!$C$2:$C$4, VVR$2)),"****")</f>
        <v/>
      </c>
      <c r="VVS3" t="str">
        <f>IFERROR(IF($C3="","",SUMIFS(Ledger!$K$2:$K$4, Ledger!$B$2:$B$4, $A3, Ledger!$C$2:$C$4, VVS$2)),"****")</f>
        <v/>
      </c>
      <c r="VVT3" t="str">
        <f>IFERROR(IF($C3="","",SUMIFS(Ledger!$K$2:$K$4, Ledger!$B$2:$B$4, $A3, Ledger!$C$2:$C$4, VVT$2)),"****")</f>
        <v/>
      </c>
      <c r="VVU3" t="str">
        <f>IFERROR(IF($C3="","",SUMIFS(Ledger!$K$2:$K$4, Ledger!$B$2:$B$4, $A3, Ledger!$C$2:$C$4, VVU$2)),"****")</f>
        <v/>
      </c>
      <c r="VVV3" t="str">
        <f>IFERROR(IF($C3="","",SUMIFS(Ledger!$K$2:$K$4, Ledger!$B$2:$B$4, $A3, Ledger!$C$2:$C$4, VVV$2)),"****")</f>
        <v/>
      </c>
      <c r="VVW3" t="str">
        <f>IFERROR(IF($C3="","",SUMIFS(Ledger!$K$2:$K$4, Ledger!$B$2:$B$4, $A3, Ledger!$C$2:$C$4, VVW$2)),"****")</f>
        <v/>
      </c>
      <c r="VVX3" t="str">
        <f>IFERROR(IF($C3="","",SUMIFS(Ledger!$K$2:$K$4, Ledger!$B$2:$B$4, $A3, Ledger!$C$2:$C$4, VVX$2)),"****")</f>
        <v/>
      </c>
      <c r="VVY3" t="str">
        <f>IFERROR(IF($C3="","",SUMIFS(Ledger!$K$2:$K$4, Ledger!$B$2:$B$4, $A3, Ledger!$C$2:$C$4, VVY$2)),"****")</f>
        <v/>
      </c>
      <c r="VVZ3" t="str">
        <f>IFERROR(IF($C3="","",SUMIFS(Ledger!$K$2:$K$4, Ledger!$B$2:$B$4, $A3, Ledger!$C$2:$C$4, VVZ$2)),"****")</f>
        <v/>
      </c>
      <c r="VWA3" t="str">
        <f>IFERROR(IF($C3="","",SUMIFS(Ledger!$K$2:$K$4, Ledger!$B$2:$B$4, $A3, Ledger!$C$2:$C$4, VWA$2)),"****")</f>
        <v/>
      </c>
      <c r="VWB3" t="str">
        <f>IFERROR(IF($C3="","",SUMIFS(Ledger!$K$2:$K$4, Ledger!$B$2:$B$4, $A3, Ledger!$C$2:$C$4, VWB$2)),"****")</f>
        <v/>
      </c>
      <c r="VWC3" t="str">
        <f>IFERROR(IF($C3="","",SUMIFS(Ledger!$K$2:$K$4, Ledger!$B$2:$B$4, $A3, Ledger!$C$2:$C$4, VWC$2)),"****")</f>
        <v/>
      </c>
      <c r="VWD3" t="str">
        <f>IFERROR(IF($C3="","",SUMIFS(Ledger!$K$2:$K$4, Ledger!$B$2:$B$4, $A3, Ledger!$C$2:$C$4, VWD$2)),"****")</f>
        <v/>
      </c>
      <c r="VWE3" t="str">
        <f>IFERROR(IF($C3="","",SUMIFS(Ledger!$K$2:$K$4, Ledger!$B$2:$B$4, $A3, Ledger!$C$2:$C$4, VWE$2)),"****")</f>
        <v/>
      </c>
      <c r="VWF3" t="str">
        <f>IFERROR(IF($C3="","",SUMIFS(Ledger!$K$2:$K$4, Ledger!$B$2:$B$4, $A3, Ledger!$C$2:$C$4, VWF$2)),"****")</f>
        <v/>
      </c>
      <c r="VWG3" t="str">
        <f>IFERROR(IF($C3="","",SUMIFS(Ledger!$K$2:$K$4, Ledger!$B$2:$B$4, $A3, Ledger!$C$2:$C$4, VWG$2)),"****")</f>
        <v/>
      </c>
      <c r="VWH3" t="str">
        <f>IFERROR(IF($C3="","",SUMIFS(Ledger!$K$2:$K$4, Ledger!$B$2:$B$4, $A3, Ledger!$C$2:$C$4, VWH$2)),"****")</f>
        <v/>
      </c>
      <c r="VWI3" t="str">
        <f>IFERROR(IF($C3="","",SUMIFS(Ledger!$K$2:$K$4, Ledger!$B$2:$B$4, $A3, Ledger!$C$2:$C$4, VWI$2)),"****")</f>
        <v/>
      </c>
      <c r="VWJ3" t="str">
        <f>IFERROR(IF($C3="","",SUMIFS(Ledger!$K$2:$K$4, Ledger!$B$2:$B$4, $A3, Ledger!$C$2:$C$4, VWJ$2)),"****")</f>
        <v/>
      </c>
      <c r="VWK3" t="str">
        <f>IFERROR(IF($C3="","",SUMIFS(Ledger!$K$2:$K$4, Ledger!$B$2:$B$4, $A3, Ledger!$C$2:$C$4, VWK$2)),"****")</f>
        <v/>
      </c>
      <c r="VWL3" t="str">
        <f>IFERROR(IF($C3="","",SUMIFS(Ledger!$K$2:$K$4, Ledger!$B$2:$B$4, $A3, Ledger!$C$2:$C$4, VWL$2)),"****")</f>
        <v/>
      </c>
      <c r="VWM3" t="str">
        <f>IFERROR(IF($C3="","",SUMIFS(Ledger!$K$2:$K$4, Ledger!$B$2:$B$4, $A3, Ledger!$C$2:$C$4, VWM$2)),"****")</f>
        <v/>
      </c>
      <c r="VWN3" t="str">
        <f>IFERROR(IF($C3="","",SUMIFS(Ledger!$K$2:$K$4, Ledger!$B$2:$B$4, $A3, Ledger!$C$2:$C$4, VWN$2)),"****")</f>
        <v/>
      </c>
      <c r="VWO3" t="str">
        <f>IFERROR(IF($C3="","",SUMIFS(Ledger!$K$2:$K$4, Ledger!$B$2:$B$4, $A3, Ledger!$C$2:$C$4, VWO$2)),"****")</f>
        <v/>
      </c>
      <c r="VWP3" t="str">
        <f>IFERROR(IF($C3="","",SUMIFS(Ledger!$K$2:$K$4, Ledger!$B$2:$B$4, $A3, Ledger!$C$2:$C$4, VWP$2)),"****")</f>
        <v/>
      </c>
      <c r="VWQ3" t="str">
        <f>IFERROR(IF($C3="","",SUMIFS(Ledger!$K$2:$K$4, Ledger!$B$2:$B$4, $A3, Ledger!$C$2:$C$4, VWQ$2)),"****")</f>
        <v/>
      </c>
      <c r="VWR3" t="str">
        <f>IFERROR(IF($C3="","",SUMIFS(Ledger!$K$2:$K$4, Ledger!$B$2:$B$4, $A3, Ledger!$C$2:$C$4, VWR$2)),"****")</f>
        <v/>
      </c>
      <c r="VWS3" t="str">
        <f>IFERROR(IF($C3="","",SUMIFS(Ledger!$K$2:$K$4, Ledger!$B$2:$B$4, $A3, Ledger!$C$2:$C$4, VWS$2)),"****")</f>
        <v/>
      </c>
      <c r="VWT3" t="str">
        <f>IFERROR(IF($C3="","",SUMIFS(Ledger!$K$2:$K$4, Ledger!$B$2:$B$4, $A3, Ledger!$C$2:$C$4, VWT$2)),"****")</f>
        <v/>
      </c>
      <c r="VWU3" t="str">
        <f>IFERROR(IF($C3="","",SUMIFS(Ledger!$K$2:$K$4, Ledger!$B$2:$B$4, $A3, Ledger!$C$2:$C$4, VWU$2)),"****")</f>
        <v/>
      </c>
      <c r="VWV3" t="str">
        <f>IFERROR(IF($C3="","",SUMIFS(Ledger!$K$2:$K$4, Ledger!$B$2:$B$4, $A3, Ledger!$C$2:$C$4, VWV$2)),"****")</f>
        <v/>
      </c>
      <c r="VWW3" t="str">
        <f>IFERROR(IF($C3="","",SUMIFS(Ledger!$K$2:$K$4, Ledger!$B$2:$B$4, $A3, Ledger!$C$2:$C$4, VWW$2)),"****")</f>
        <v/>
      </c>
      <c r="VWX3" t="str">
        <f>IFERROR(IF($C3="","",SUMIFS(Ledger!$K$2:$K$4, Ledger!$B$2:$B$4, $A3, Ledger!$C$2:$C$4, VWX$2)),"****")</f>
        <v/>
      </c>
      <c r="VWY3" t="str">
        <f>IFERROR(IF($C3="","",SUMIFS(Ledger!$K$2:$K$4, Ledger!$B$2:$B$4, $A3, Ledger!$C$2:$C$4, VWY$2)),"****")</f>
        <v/>
      </c>
      <c r="VWZ3" t="str">
        <f>IFERROR(IF($C3="","",SUMIFS(Ledger!$K$2:$K$4, Ledger!$B$2:$B$4, $A3, Ledger!$C$2:$C$4, VWZ$2)),"****")</f>
        <v/>
      </c>
      <c r="VXA3" t="str">
        <f>IFERROR(IF($C3="","",SUMIFS(Ledger!$K$2:$K$4, Ledger!$B$2:$B$4, $A3, Ledger!$C$2:$C$4, VXA$2)),"****")</f>
        <v/>
      </c>
      <c r="VXB3" t="str">
        <f>IFERROR(IF($C3="","",SUMIFS(Ledger!$K$2:$K$4, Ledger!$B$2:$B$4, $A3, Ledger!$C$2:$C$4, VXB$2)),"****")</f>
        <v/>
      </c>
      <c r="VXC3" t="str">
        <f>IFERROR(IF($C3="","",SUMIFS(Ledger!$K$2:$K$4, Ledger!$B$2:$B$4, $A3, Ledger!$C$2:$C$4, VXC$2)),"****")</f>
        <v/>
      </c>
      <c r="VXD3" t="str">
        <f>IFERROR(IF($C3="","",SUMIFS(Ledger!$K$2:$K$4, Ledger!$B$2:$B$4, $A3, Ledger!$C$2:$C$4, VXD$2)),"****")</f>
        <v/>
      </c>
      <c r="VXE3" t="str">
        <f>IFERROR(IF($C3="","",SUMIFS(Ledger!$K$2:$K$4, Ledger!$B$2:$B$4, $A3, Ledger!$C$2:$C$4, VXE$2)),"****")</f>
        <v/>
      </c>
      <c r="VXF3" t="str">
        <f>IFERROR(IF($C3="","",SUMIFS(Ledger!$K$2:$K$4, Ledger!$B$2:$B$4, $A3, Ledger!$C$2:$C$4, VXF$2)),"****")</f>
        <v/>
      </c>
      <c r="VXG3" t="str">
        <f>IFERROR(IF($C3="","",SUMIFS(Ledger!$K$2:$K$4, Ledger!$B$2:$B$4, $A3, Ledger!$C$2:$C$4, VXG$2)),"****")</f>
        <v/>
      </c>
      <c r="VXH3" t="str">
        <f>IFERROR(IF($C3="","",SUMIFS(Ledger!$K$2:$K$4, Ledger!$B$2:$B$4, $A3, Ledger!$C$2:$C$4, VXH$2)),"****")</f>
        <v/>
      </c>
      <c r="VXI3" t="str">
        <f>IFERROR(IF($C3="","",SUMIFS(Ledger!$K$2:$K$4, Ledger!$B$2:$B$4, $A3, Ledger!$C$2:$C$4, VXI$2)),"****")</f>
        <v/>
      </c>
      <c r="VXJ3" t="str">
        <f>IFERROR(IF($C3="","",SUMIFS(Ledger!$K$2:$K$4, Ledger!$B$2:$B$4, $A3, Ledger!$C$2:$C$4, VXJ$2)),"****")</f>
        <v/>
      </c>
      <c r="VXK3" t="str">
        <f>IFERROR(IF($C3="","",SUMIFS(Ledger!$K$2:$K$4, Ledger!$B$2:$B$4, $A3, Ledger!$C$2:$C$4, VXK$2)),"****")</f>
        <v/>
      </c>
      <c r="VXL3" t="str">
        <f>IFERROR(IF($C3="","",SUMIFS(Ledger!$K$2:$K$4, Ledger!$B$2:$B$4, $A3, Ledger!$C$2:$C$4, VXL$2)),"****")</f>
        <v/>
      </c>
      <c r="VXM3" t="str">
        <f>IFERROR(IF($C3="","",SUMIFS(Ledger!$K$2:$K$4, Ledger!$B$2:$B$4, $A3, Ledger!$C$2:$C$4, VXM$2)),"****")</f>
        <v/>
      </c>
      <c r="VXN3" t="str">
        <f>IFERROR(IF($C3="","",SUMIFS(Ledger!$K$2:$K$4, Ledger!$B$2:$B$4, $A3, Ledger!$C$2:$C$4, VXN$2)),"****")</f>
        <v/>
      </c>
      <c r="VXO3" t="str">
        <f>IFERROR(IF($C3="","",SUMIFS(Ledger!$K$2:$K$4, Ledger!$B$2:$B$4, $A3, Ledger!$C$2:$C$4, VXO$2)),"****")</f>
        <v/>
      </c>
      <c r="VXP3" t="str">
        <f>IFERROR(IF($C3="","",SUMIFS(Ledger!$K$2:$K$4, Ledger!$B$2:$B$4, $A3, Ledger!$C$2:$C$4, VXP$2)),"****")</f>
        <v/>
      </c>
      <c r="VXQ3" t="str">
        <f>IFERROR(IF($C3="","",SUMIFS(Ledger!$K$2:$K$4, Ledger!$B$2:$B$4, $A3, Ledger!$C$2:$C$4, VXQ$2)),"****")</f>
        <v/>
      </c>
      <c r="VXR3" t="str">
        <f>IFERROR(IF($C3="","",SUMIFS(Ledger!$K$2:$K$4, Ledger!$B$2:$B$4, $A3, Ledger!$C$2:$C$4, VXR$2)),"****")</f>
        <v/>
      </c>
      <c r="VXS3" t="str">
        <f>IFERROR(IF($C3="","",SUMIFS(Ledger!$K$2:$K$4, Ledger!$B$2:$B$4, $A3, Ledger!$C$2:$C$4, VXS$2)),"****")</f>
        <v/>
      </c>
      <c r="VXT3" t="str">
        <f>IFERROR(IF($C3="","",SUMIFS(Ledger!$K$2:$K$4, Ledger!$B$2:$B$4, $A3, Ledger!$C$2:$C$4, VXT$2)),"****")</f>
        <v/>
      </c>
      <c r="VXU3" t="str">
        <f>IFERROR(IF($C3="","",SUMIFS(Ledger!$K$2:$K$4, Ledger!$B$2:$B$4, $A3, Ledger!$C$2:$C$4, VXU$2)),"****")</f>
        <v/>
      </c>
      <c r="VXV3" t="str">
        <f>IFERROR(IF($C3="","",SUMIFS(Ledger!$K$2:$K$4, Ledger!$B$2:$B$4, $A3, Ledger!$C$2:$C$4, VXV$2)),"****")</f>
        <v/>
      </c>
      <c r="VXW3" t="str">
        <f>IFERROR(IF($C3="","",SUMIFS(Ledger!$K$2:$K$4, Ledger!$B$2:$B$4, $A3, Ledger!$C$2:$C$4, VXW$2)),"****")</f>
        <v/>
      </c>
      <c r="VXX3" t="str">
        <f>IFERROR(IF($C3="","",SUMIFS(Ledger!$K$2:$K$4, Ledger!$B$2:$B$4, $A3, Ledger!$C$2:$C$4, VXX$2)),"****")</f>
        <v/>
      </c>
      <c r="VXY3" t="str">
        <f>IFERROR(IF($C3="","",SUMIFS(Ledger!$K$2:$K$4, Ledger!$B$2:$B$4, $A3, Ledger!$C$2:$C$4, VXY$2)),"****")</f>
        <v/>
      </c>
      <c r="VXZ3" t="str">
        <f>IFERROR(IF($C3="","",SUMIFS(Ledger!$K$2:$K$4, Ledger!$B$2:$B$4, $A3, Ledger!$C$2:$C$4, VXZ$2)),"****")</f>
        <v/>
      </c>
      <c r="VYA3" t="str">
        <f>IFERROR(IF($C3="","",SUMIFS(Ledger!$K$2:$K$4, Ledger!$B$2:$B$4, $A3, Ledger!$C$2:$C$4, VYA$2)),"****")</f>
        <v/>
      </c>
      <c r="VYB3" t="str">
        <f>IFERROR(IF($C3="","",SUMIFS(Ledger!$K$2:$K$4, Ledger!$B$2:$B$4, $A3, Ledger!$C$2:$C$4, VYB$2)),"****")</f>
        <v/>
      </c>
      <c r="VYC3" t="str">
        <f>IFERROR(IF($C3="","",SUMIFS(Ledger!$K$2:$K$4, Ledger!$B$2:$B$4, $A3, Ledger!$C$2:$C$4, VYC$2)),"****")</f>
        <v/>
      </c>
      <c r="VYD3" t="str">
        <f>IFERROR(IF($C3="","",SUMIFS(Ledger!$K$2:$K$4, Ledger!$B$2:$B$4, $A3, Ledger!$C$2:$C$4, VYD$2)),"****")</f>
        <v/>
      </c>
      <c r="VYE3" t="str">
        <f>IFERROR(IF($C3="","",SUMIFS(Ledger!$K$2:$K$4, Ledger!$B$2:$B$4, $A3, Ledger!$C$2:$C$4, VYE$2)),"****")</f>
        <v/>
      </c>
      <c r="VYF3" t="str">
        <f>IFERROR(IF($C3="","",SUMIFS(Ledger!$K$2:$K$4, Ledger!$B$2:$B$4, $A3, Ledger!$C$2:$C$4, VYF$2)),"****")</f>
        <v/>
      </c>
      <c r="VYG3" t="str">
        <f>IFERROR(IF($C3="","",SUMIFS(Ledger!$K$2:$K$4, Ledger!$B$2:$B$4, $A3, Ledger!$C$2:$C$4, VYG$2)),"****")</f>
        <v/>
      </c>
      <c r="VYH3" t="str">
        <f>IFERROR(IF($C3="","",SUMIFS(Ledger!$K$2:$K$4, Ledger!$B$2:$B$4, $A3, Ledger!$C$2:$C$4, VYH$2)),"****")</f>
        <v/>
      </c>
      <c r="VYI3" t="str">
        <f>IFERROR(IF($C3="","",SUMIFS(Ledger!$K$2:$K$4, Ledger!$B$2:$B$4, $A3, Ledger!$C$2:$C$4, VYI$2)),"****")</f>
        <v/>
      </c>
      <c r="VYJ3" t="str">
        <f>IFERROR(IF($C3="","",SUMIFS(Ledger!$K$2:$K$4, Ledger!$B$2:$B$4, $A3, Ledger!$C$2:$C$4, VYJ$2)),"****")</f>
        <v/>
      </c>
      <c r="VYK3" t="str">
        <f>IFERROR(IF($C3="","",SUMIFS(Ledger!$K$2:$K$4, Ledger!$B$2:$B$4, $A3, Ledger!$C$2:$C$4, VYK$2)),"****")</f>
        <v/>
      </c>
      <c r="VYL3" t="str">
        <f>IFERROR(IF($C3="","",SUMIFS(Ledger!$K$2:$K$4, Ledger!$B$2:$B$4, $A3, Ledger!$C$2:$C$4, VYL$2)),"****")</f>
        <v/>
      </c>
      <c r="VYM3" t="str">
        <f>IFERROR(IF($C3="","",SUMIFS(Ledger!$K$2:$K$4, Ledger!$B$2:$B$4, $A3, Ledger!$C$2:$C$4, VYM$2)),"****")</f>
        <v/>
      </c>
      <c r="VYN3" t="str">
        <f>IFERROR(IF($C3="","",SUMIFS(Ledger!$K$2:$K$4, Ledger!$B$2:$B$4, $A3, Ledger!$C$2:$C$4, VYN$2)),"****")</f>
        <v/>
      </c>
      <c r="VYO3" t="str">
        <f>IFERROR(IF($C3="","",SUMIFS(Ledger!$K$2:$K$4, Ledger!$B$2:$B$4, $A3, Ledger!$C$2:$C$4, VYO$2)),"****")</f>
        <v/>
      </c>
      <c r="VYP3" t="str">
        <f>IFERROR(IF($C3="","",SUMIFS(Ledger!$K$2:$K$4, Ledger!$B$2:$B$4, $A3, Ledger!$C$2:$C$4, VYP$2)),"****")</f>
        <v/>
      </c>
      <c r="VYQ3" t="str">
        <f>IFERROR(IF($C3="","",SUMIFS(Ledger!$K$2:$K$4, Ledger!$B$2:$B$4, $A3, Ledger!$C$2:$C$4, VYQ$2)),"****")</f>
        <v/>
      </c>
      <c r="VYR3" t="str">
        <f>IFERROR(IF($C3="","",SUMIFS(Ledger!$K$2:$K$4, Ledger!$B$2:$B$4, $A3, Ledger!$C$2:$C$4, VYR$2)),"****")</f>
        <v/>
      </c>
      <c r="VYS3" t="str">
        <f>IFERROR(IF($C3="","",SUMIFS(Ledger!$K$2:$K$4, Ledger!$B$2:$B$4, $A3, Ledger!$C$2:$C$4, VYS$2)),"****")</f>
        <v/>
      </c>
      <c r="VYT3" t="str">
        <f>IFERROR(IF($C3="","",SUMIFS(Ledger!$K$2:$K$4, Ledger!$B$2:$B$4, $A3, Ledger!$C$2:$C$4, VYT$2)),"****")</f>
        <v/>
      </c>
      <c r="VYU3" t="str">
        <f>IFERROR(IF($C3="","",SUMIFS(Ledger!$K$2:$K$4, Ledger!$B$2:$B$4, $A3, Ledger!$C$2:$C$4, VYU$2)),"****")</f>
        <v/>
      </c>
      <c r="VYV3" t="str">
        <f>IFERROR(IF($C3="","",SUMIFS(Ledger!$K$2:$K$4, Ledger!$B$2:$B$4, $A3, Ledger!$C$2:$C$4, VYV$2)),"****")</f>
        <v/>
      </c>
      <c r="VYW3" t="str">
        <f>IFERROR(IF($C3="","",SUMIFS(Ledger!$K$2:$K$4, Ledger!$B$2:$B$4, $A3, Ledger!$C$2:$C$4, VYW$2)),"****")</f>
        <v/>
      </c>
      <c r="VYX3" t="str">
        <f>IFERROR(IF($C3="","",SUMIFS(Ledger!$K$2:$K$4, Ledger!$B$2:$B$4, $A3, Ledger!$C$2:$C$4, VYX$2)),"****")</f>
        <v/>
      </c>
      <c r="VYY3" t="str">
        <f>IFERROR(IF($C3="","",SUMIFS(Ledger!$K$2:$K$4, Ledger!$B$2:$B$4, $A3, Ledger!$C$2:$C$4, VYY$2)),"****")</f>
        <v/>
      </c>
      <c r="VYZ3" t="str">
        <f>IFERROR(IF($C3="","",SUMIFS(Ledger!$K$2:$K$4, Ledger!$B$2:$B$4, $A3, Ledger!$C$2:$C$4, VYZ$2)),"****")</f>
        <v/>
      </c>
      <c r="VZA3" t="str">
        <f>IFERROR(IF($C3="","",SUMIFS(Ledger!$K$2:$K$4, Ledger!$B$2:$B$4, $A3, Ledger!$C$2:$C$4, VZA$2)),"****")</f>
        <v/>
      </c>
      <c r="VZB3" t="str">
        <f>IFERROR(IF($C3="","",SUMIFS(Ledger!$K$2:$K$4, Ledger!$B$2:$B$4, $A3, Ledger!$C$2:$C$4, VZB$2)),"****")</f>
        <v/>
      </c>
      <c r="VZC3" t="str">
        <f>IFERROR(IF($C3="","",SUMIFS(Ledger!$K$2:$K$4, Ledger!$B$2:$B$4, $A3, Ledger!$C$2:$C$4, VZC$2)),"****")</f>
        <v/>
      </c>
      <c r="VZD3" t="str">
        <f>IFERROR(IF($C3="","",SUMIFS(Ledger!$K$2:$K$4, Ledger!$B$2:$B$4, $A3, Ledger!$C$2:$C$4, VZD$2)),"****")</f>
        <v/>
      </c>
      <c r="VZE3" t="str">
        <f>IFERROR(IF($C3="","",SUMIFS(Ledger!$K$2:$K$4, Ledger!$B$2:$B$4, $A3, Ledger!$C$2:$C$4, VZE$2)),"****")</f>
        <v/>
      </c>
      <c r="VZF3" t="str">
        <f>IFERROR(IF($C3="","",SUMIFS(Ledger!$K$2:$K$4, Ledger!$B$2:$B$4, $A3, Ledger!$C$2:$C$4, VZF$2)),"****")</f>
        <v/>
      </c>
      <c r="VZG3" t="str">
        <f>IFERROR(IF($C3="","",SUMIFS(Ledger!$K$2:$K$4, Ledger!$B$2:$B$4, $A3, Ledger!$C$2:$C$4, VZG$2)),"****")</f>
        <v/>
      </c>
      <c r="VZH3" t="str">
        <f>IFERROR(IF($C3="","",SUMIFS(Ledger!$K$2:$K$4, Ledger!$B$2:$B$4, $A3, Ledger!$C$2:$C$4, VZH$2)),"****")</f>
        <v/>
      </c>
      <c r="VZI3" t="str">
        <f>IFERROR(IF($C3="","",SUMIFS(Ledger!$K$2:$K$4, Ledger!$B$2:$B$4, $A3, Ledger!$C$2:$C$4, VZI$2)),"****")</f>
        <v/>
      </c>
      <c r="VZJ3" t="str">
        <f>IFERROR(IF($C3="","",SUMIFS(Ledger!$K$2:$K$4, Ledger!$B$2:$B$4, $A3, Ledger!$C$2:$C$4, VZJ$2)),"****")</f>
        <v/>
      </c>
      <c r="VZK3" t="str">
        <f>IFERROR(IF($C3="","",SUMIFS(Ledger!$K$2:$K$4, Ledger!$B$2:$B$4, $A3, Ledger!$C$2:$C$4, VZK$2)),"****")</f>
        <v/>
      </c>
      <c r="VZL3" t="str">
        <f>IFERROR(IF($C3="","",SUMIFS(Ledger!$K$2:$K$4, Ledger!$B$2:$B$4, $A3, Ledger!$C$2:$C$4, VZL$2)),"****")</f>
        <v/>
      </c>
      <c r="VZM3" t="str">
        <f>IFERROR(IF($C3="","",SUMIFS(Ledger!$K$2:$K$4, Ledger!$B$2:$B$4, $A3, Ledger!$C$2:$C$4, VZM$2)),"****")</f>
        <v/>
      </c>
      <c r="VZN3" t="str">
        <f>IFERROR(IF($C3="","",SUMIFS(Ledger!$K$2:$K$4, Ledger!$B$2:$B$4, $A3, Ledger!$C$2:$C$4, VZN$2)),"****")</f>
        <v/>
      </c>
      <c r="VZO3" t="str">
        <f>IFERROR(IF($C3="","",SUMIFS(Ledger!$K$2:$K$4, Ledger!$B$2:$B$4, $A3, Ledger!$C$2:$C$4, VZO$2)),"****")</f>
        <v/>
      </c>
      <c r="VZP3" t="str">
        <f>IFERROR(IF($C3="","",SUMIFS(Ledger!$K$2:$K$4, Ledger!$B$2:$B$4, $A3, Ledger!$C$2:$C$4, VZP$2)),"****")</f>
        <v/>
      </c>
      <c r="VZQ3" t="str">
        <f>IFERROR(IF($C3="","",SUMIFS(Ledger!$K$2:$K$4, Ledger!$B$2:$B$4, $A3, Ledger!$C$2:$C$4, VZQ$2)),"****")</f>
        <v/>
      </c>
      <c r="VZR3" t="str">
        <f>IFERROR(IF($C3="","",SUMIFS(Ledger!$K$2:$K$4, Ledger!$B$2:$B$4, $A3, Ledger!$C$2:$C$4, VZR$2)),"****")</f>
        <v/>
      </c>
      <c r="VZS3" t="str">
        <f>IFERROR(IF($C3="","",SUMIFS(Ledger!$K$2:$K$4, Ledger!$B$2:$B$4, $A3, Ledger!$C$2:$C$4, VZS$2)),"****")</f>
        <v/>
      </c>
      <c r="VZT3" t="str">
        <f>IFERROR(IF($C3="","",SUMIFS(Ledger!$K$2:$K$4, Ledger!$B$2:$B$4, $A3, Ledger!$C$2:$C$4, VZT$2)),"****")</f>
        <v/>
      </c>
      <c r="VZU3" t="str">
        <f>IFERROR(IF($C3="","",SUMIFS(Ledger!$K$2:$K$4, Ledger!$B$2:$B$4, $A3, Ledger!$C$2:$C$4, VZU$2)),"****")</f>
        <v/>
      </c>
      <c r="VZV3" t="str">
        <f>IFERROR(IF($C3="","",SUMIFS(Ledger!$K$2:$K$4, Ledger!$B$2:$B$4, $A3, Ledger!$C$2:$C$4, VZV$2)),"****")</f>
        <v/>
      </c>
      <c r="VZW3" t="str">
        <f>IFERROR(IF($C3="","",SUMIFS(Ledger!$K$2:$K$4, Ledger!$B$2:$B$4, $A3, Ledger!$C$2:$C$4, VZW$2)),"****")</f>
        <v/>
      </c>
      <c r="VZX3" t="str">
        <f>IFERROR(IF($C3="","",SUMIFS(Ledger!$K$2:$K$4, Ledger!$B$2:$B$4, $A3, Ledger!$C$2:$C$4, VZX$2)),"****")</f>
        <v/>
      </c>
      <c r="VZY3" t="str">
        <f>IFERROR(IF($C3="","",SUMIFS(Ledger!$K$2:$K$4, Ledger!$B$2:$B$4, $A3, Ledger!$C$2:$C$4, VZY$2)),"****")</f>
        <v/>
      </c>
      <c r="VZZ3" t="str">
        <f>IFERROR(IF($C3="","",SUMIFS(Ledger!$K$2:$K$4, Ledger!$B$2:$B$4, $A3, Ledger!$C$2:$C$4, VZZ$2)),"****")</f>
        <v/>
      </c>
      <c r="WAA3" t="str">
        <f>IFERROR(IF($C3="","",SUMIFS(Ledger!$K$2:$K$4, Ledger!$B$2:$B$4, $A3, Ledger!$C$2:$C$4, WAA$2)),"****")</f>
        <v/>
      </c>
      <c r="WAB3" t="str">
        <f>IFERROR(IF($C3="","",SUMIFS(Ledger!$K$2:$K$4, Ledger!$B$2:$B$4, $A3, Ledger!$C$2:$C$4, WAB$2)),"****")</f>
        <v/>
      </c>
      <c r="WAC3" t="str">
        <f>IFERROR(IF($C3="","",SUMIFS(Ledger!$K$2:$K$4, Ledger!$B$2:$B$4, $A3, Ledger!$C$2:$C$4, WAC$2)),"****")</f>
        <v/>
      </c>
      <c r="WAD3" t="str">
        <f>IFERROR(IF($C3="","",SUMIFS(Ledger!$K$2:$K$4, Ledger!$B$2:$B$4, $A3, Ledger!$C$2:$C$4, WAD$2)),"****")</f>
        <v/>
      </c>
      <c r="WAE3" t="str">
        <f>IFERROR(IF($C3="","",SUMIFS(Ledger!$K$2:$K$4, Ledger!$B$2:$B$4, $A3, Ledger!$C$2:$C$4, WAE$2)),"****")</f>
        <v/>
      </c>
      <c r="WAF3" t="str">
        <f>IFERROR(IF($C3="","",SUMIFS(Ledger!$K$2:$K$4, Ledger!$B$2:$B$4, $A3, Ledger!$C$2:$C$4, WAF$2)),"****")</f>
        <v/>
      </c>
      <c r="WAG3" t="str">
        <f>IFERROR(IF($C3="","",SUMIFS(Ledger!$K$2:$K$4, Ledger!$B$2:$B$4, $A3, Ledger!$C$2:$C$4, WAG$2)),"****")</f>
        <v/>
      </c>
      <c r="WAH3" t="str">
        <f>IFERROR(IF($C3="","",SUMIFS(Ledger!$K$2:$K$4, Ledger!$B$2:$B$4, $A3, Ledger!$C$2:$C$4, WAH$2)),"****")</f>
        <v/>
      </c>
      <c r="WAI3" t="str">
        <f>IFERROR(IF($C3="","",SUMIFS(Ledger!$K$2:$K$4, Ledger!$B$2:$B$4, $A3, Ledger!$C$2:$C$4, WAI$2)),"****")</f>
        <v/>
      </c>
      <c r="WAJ3" t="str">
        <f>IFERROR(IF($C3="","",SUMIFS(Ledger!$K$2:$K$4, Ledger!$B$2:$B$4, $A3, Ledger!$C$2:$C$4, WAJ$2)),"****")</f>
        <v/>
      </c>
      <c r="WAK3" t="str">
        <f>IFERROR(IF($C3="","",SUMIFS(Ledger!$K$2:$K$4, Ledger!$B$2:$B$4, $A3, Ledger!$C$2:$C$4, WAK$2)),"****")</f>
        <v/>
      </c>
      <c r="WAL3" t="str">
        <f>IFERROR(IF($C3="","",SUMIFS(Ledger!$K$2:$K$4, Ledger!$B$2:$B$4, $A3, Ledger!$C$2:$C$4, WAL$2)),"****")</f>
        <v/>
      </c>
      <c r="WAM3" t="str">
        <f>IFERROR(IF($C3="","",SUMIFS(Ledger!$K$2:$K$4, Ledger!$B$2:$B$4, $A3, Ledger!$C$2:$C$4, WAM$2)),"****")</f>
        <v/>
      </c>
      <c r="WAN3" t="str">
        <f>IFERROR(IF($C3="","",SUMIFS(Ledger!$K$2:$K$4, Ledger!$B$2:$B$4, $A3, Ledger!$C$2:$C$4, WAN$2)),"****")</f>
        <v/>
      </c>
      <c r="WAO3" t="str">
        <f>IFERROR(IF($C3="","",SUMIFS(Ledger!$K$2:$K$4, Ledger!$B$2:$B$4, $A3, Ledger!$C$2:$C$4, WAO$2)),"****")</f>
        <v/>
      </c>
      <c r="WAP3" t="str">
        <f>IFERROR(IF($C3="","",SUMIFS(Ledger!$K$2:$K$4, Ledger!$B$2:$B$4, $A3, Ledger!$C$2:$C$4, WAP$2)),"****")</f>
        <v/>
      </c>
      <c r="WAQ3" t="str">
        <f>IFERROR(IF($C3="","",SUMIFS(Ledger!$K$2:$K$4, Ledger!$B$2:$B$4, $A3, Ledger!$C$2:$C$4, WAQ$2)),"****")</f>
        <v/>
      </c>
      <c r="WAR3" t="str">
        <f>IFERROR(IF($C3="","",SUMIFS(Ledger!$K$2:$K$4, Ledger!$B$2:$B$4, $A3, Ledger!$C$2:$C$4, WAR$2)),"****")</f>
        <v/>
      </c>
      <c r="WAS3" t="str">
        <f>IFERROR(IF($C3="","",SUMIFS(Ledger!$K$2:$K$4, Ledger!$B$2:$B$4, $A3, Ledger!$C$2:$C$4, WAS$2)),"****")</f>
        <v/>
      </c>
      <c r="WAT3" t="str">
        <f>IFERROR(IF($C3="","",SUMIFS(Ledger!$K$2:$K$4, Ledger!$B$2:$B$4, $A3, Ledger!$C$2:$C$4, WAT$2)),"****")</f>
        <v/>
      </c>
      <c r="WAU3" t="str">
        <f>IFERROR(IF($C3="","",SUMIFS(Ledger!$K$2:$K$4, Ledger!$B$2:$B$4, $A3, Ledger!$C$2:$C$4, WAU$2)),"****")</f>
        <v/>
      </c>
      <c r="WAV3" t="str">
        <f>IFERROR(IF($C3="","",SUMIFS(Ledger!$K$2:$K$4, Ledger!$B$2:$B$4, $A3, Ledger!$C$2:$C$4, WAV$2)),"****")</f>
        <v/>
      </c>
      <c r="WAW3" t="str">
        <f>IFERROR(IF($C3="","",SUMIFS(Ledger!$K$2:$K$4, Ledger!$B$2:$B$4, $A3, Ledger!$C$2:$C$4, WAW$2)),"****")</f>
        <v/>
      </c>
      <c r="WAX3" t="str">
        <f>IFERROR(IF($C3="","",SUMIFS(Ledger!$K$2:$K$4, Ledger!$B$2:$B$4, $A3, Ledger!$C$2:$C$4, WAX$2)),"****")</f>
        <v/>
      </c>
      <c r="WAY3" t="str">
        <f>IFERROR(IF($C3="","",SUMIFS(Ledger!$K$2:$K$4, Ledger!$B$2:$B$4, $A3, Ledger!$C$2:$C$4, WAY$2)),"****")</f>
        <v/>
      </c>
      <c r="WAZ3" t="str">
        <f>IFERROR(IF($C3="","",SUMIFS(Ledger!$K$2:$K$4, Ledger!$B$2:$B$4, $A3, Ledger!$C$2:$C$4, WAZ$2)),"****")</f>
        <v/>
      </c>
      <c r="WBA3" t="str">
        <f>IFERROR(IF($C3="","",SUMIFS(Ledger!$K$2:$K$4, Ledger!$B$2:$B$4, $A3, Ledger!$C$2:$C$4, WBA$2)),"****")</f>
        <v/>
      </c>
      <c r="WBB3" t="str">
        <f>IFERROR(IF($C3="","",SUMIFS(Ledger!$K$2:$K$4, Ledger!$B$2:$B$4, $A3, Ledger!$C$2:$C$4, WBB$2)),"****")</f>
        <v/>
      </c>
      <c r="WBC3" t="str">
        <f>IFERROR(IF($C3="","",SUMIFS(Ledger!$K$2:$K$4, Ledger!$B$2:$B$4, $A3, Ledger!$C$2:$C$4, WBC$2)),"****")</f>
        <v/>
      </c>
      <c r="WBD3" t="str">
        <f>IFERROR(IF($C3="","",SUMIFS(Ledger!$K$2:$K$4, Ledger!$B$2:$B$4, $A3, Ledger!$C$2:$C$4, WBD$2)),"****")</f>
        <v/>
      </c>
      <c r="WBE3" t="str">
        <f>IFERROR(IF($C3="","",SUMIFS(Ledger!$K$2:$K$4, Ledger!$B$2:$B$4, $A3, Ledger!$C$2:$C$4, WBE$2)),"****")</f>
        <v/>
      </c>
      <c r="WBF3" t="str">
        <f>IFERROR(IF($C3="","",SUMIFS(Ledger!$K$2:$K$4, Ledger!$B$2:$B$4, $A3, Ledger!$C$2:$C$4, WBF$2)),"****")</f>
        <v/>
      </c>
      <c r="WBG3" t="str">
        <f>IFERROR(IF($C3="","",SUMIFS(Ledger!$K$2:$K$4, Ledger!$B$2:$B$4, $A3, Ledger!$C$2:$C$4, WBG$2)),"****")</f>
        <v/>
      </c>
      <c r="WBH3" t="str">
        <f>IFERROR(IF($C3="","",SUMIFS(Ledger!$K$2:$K$4, Ledger!$B$2:$B$4, $A3, Ledger!$C$2:$C$4, WBH$2)),"****")</f>
        <v/>
      </c>
      <c r="WBI3" t="str">
        <f>IFERROR(IF($C3="","",SUMIFS(Ledger!$K$2:$K$4, Ledger!$B$2:$B$4, $A3, Ledger!$C$2:$C$4, WBI$2)),"****")</f>
        <v/>
      </c>
      <c r="WBJ3" t="str">
        <f>IFERROR(IF($C3="","",SUMIFS(Ledger!$K$2:$K$4, Ledger!$B$2:$B$4, $A3, Ledger!$C$2:$C$4, WBJ$2)),"****")</f>
        <v/>
      </c>
      <c r="WBK3" t="str">
        <f>IFERROR(IF($C3="","",SUMIFS(Ledger!$K$2:$K$4, Ledger!$B$2:$B$4, $A3, Ledger!$C$2:$C$4, WBK$2)),"****")</f>
        <v/>
      </c>
      <c r="WBL3" t="str">
        <f>IFERROR(IF($C3="","",SUMIFS(Ledger!$K$2:$K$4, Ledger!$B$2:$B$4, $A3, Ledger!$C$2:$C$4, WBL$2)),"****")</f>
        <v/>
      </c>
      <c r="WBM3" t="str">
        <f>IFERROR(IF($C3="","",SUMIFS(Ledger!$K$2:$K$4, Ledger!$B$2:$B$4, $A3, Ledger!$C$2:$C$4, WBM$2)),"****")</f>
        <v/>
      </c>
      <c r="WBN3" t="str">
        <f>IFERROR(IF($C3="","",SUMIFS(Ledger!$K$2:$K$4, Ledger!$B$2:$B$4, $A3, Ledger!$C$2:$C$4, WBN$2)),"****")</f>
        <v/>
      </c>
      <c r="WBO3" t="str">
        <f>IFERROR(IF($C3="","",SUMIFS(Ledger!$K$2:$K$4, Ledger!$B$2:$B$4, $A3, Ledger!$C$2:$C$4, WBO$2)),"****")</f>
        <v/>
      </c>
      <c r="WBP3" t="str">
        <f>IFERROR(IF($C3="","",SUMIFS(Ledger!$K$2:$K$4, Ledger!$B$2:$B$4, $A3, Ledger!$C$2:$C$4, WBP$2)),"****")</f>
        <v/>
      </c>
      <c r="WBQ3" t="str">
        <f>IFERROR(IF($C3="","",SUMIFS(Ledger!$K$2:$K$4, Ledger!$B$2:$B$4, $A3, Ledger!$C$2:$C$4, WBQ$2)),"****")</f>
        <v/>
      </c>
      <c r="WBR3" t="str">
        <f>IFERROR(IF($C3="","",SUMIFS(Ledger!$K$2:$K$4, Ledger!$B$2:$B$4, $A3, Ledger!$C$2:$C$4, WBR$2)),"****")</f>
        <v/>
      </c>
      <c r="WBS3" t="str">
        <f>IFERROR(IF($C3="","",SUMIFS(Ledger!$K$2:$K$4, Ledger!$B$2:$B$4, $A3, Ledger!$C$2:$C$4, WBS$2)),"****")</f>
        <v/>
      </c>
      <c r="WBT3" t="str">
        <f>IFERROR(IF($C3="","",SUMIFS(Ledger!$K$2:$K$4, Ledger!$B$2:$B$4, $A3, Ledger!$C$2:$C$4, WBT$2)),"****")</f>
        <v/>
      </c>
      <c r="WBU3" t="str">
        <f>IFERROR(IF($C3="","",SUMIFS(Ledger!$K$2:$K$4, Ledger!$B$2:$B$4, $A3, Ledger!$C$2:$C$4, WBU$2)),"****")</f>
        <v/>
      </c>
      <c r="WBV3" t="str">
        <f>IFERROR(IF($C3="","",SUMIFS(Ledger!$K$2:$K$4, Ledger!$B$2:$B$4, $A3, Ledger!$C$2:$C$4, WBV$2)),"****")</f>
        <v/>
      </c>
      <c r="WBW3" t="str">
        <f>IFERROR(IF($C3="","",SUMIFS(Ledger!$K$2:$K$4, Ledger!$B$2:$B$4, $A3, Ledger!$C$2:$C$4, WBW$2)),"****")</f>
        <v/>
      </c>
      <c r="WBX3" t="str">
        <f>IFERROR(IF($C3="","",SUMIFS(Ledger!$K$2:$K$4, Ledger!$B$2:$B$4, $A3, Ledger!$C$2:$C$4, WBX$2)),"****")</f>
        <v/>
      </c>
      <c r="WBY3" t="str">
        <f>IFERROR(IF($C3="","",SUMIFS(Ledger!$K$2:$K$4, Ledger!$B$2:$B$4, $A3, Ledger!$C$2:$C$4, WBY$2)),"****")</f>
        <v/>
      </c>
      <c r="WBZ3" t="str">
        <f>IFERROR(IF($C3="","",SUMIFS(Ledger!$K$2:$K$4, Ledger!$B$2:$B$4, $A3, Ledger!$C$2:$C$4, WBZ$2)),"****")</f>
        <v/>
      </c>
      <c r="WCA3" t="str">
        <f>IFERROR(IF($C3="","",SUMIFS(Ledger!$K$2:$K$4, Ledger!$B$2:$B$4, $A3, Ledger!$C$2:$C$4, WCA$2)),"****")</f>
        <v/>
      </c>
      <c r="WCB3" t="str">
        <f>IFERROR(IF($C3="","",SUMIFS(Ledger!$K$2:$K$4, Ledger!$B$2:$B$4, $A3, Ledger!$C$2:$C$4, WCB$2)),"****")</f>
        <v/>
      </c>
      <c r="WCC3" t="str">
        <f>IFERROR(IF($C3="","",SUMIFS(Ledger!$K$2:$K$4, Ledger!$B$2:$B$4, $A3, Ledger!$C$2:$C$4, WCC$2)),"****")</f>
        <v/>
      </c>
      <c r="WCD3" t="str">
        <f>IFERROR(IF($C3="","",SUMIFS(Ledger!$K$2:$K$4, Ledger!$B$2:$B$4, $A3, Ledger!$C$2:$C$4, WCD$2)),"****")</f>
        <v/>
      </c>
      <c r="WCE3" t="str">
        <f>IFERROR(IF($C3="","",SUMIFS(Ledger!$K$2:$K$4, Ledger!$B$2:$B$4, $A3, Ledger!$C$2:$C$4, WCE$2)),"****")</f>
        <v/>
      </c>
      <c r="WCF3" t="str">
        <f>IFERROR(IF($C3="","",SUMIFS(Ledger!$K$2:$K$4, Ledger!$B$2:$B$4, $A3, Ledger!$C$2:$C$4, WCF$2)),"****")</f>
        <v/>
      </c>
      <c r="WCG3" t="str">
        <f>IFERROR(IF($C3="","",SUMIFS(Ledger!$K$2:$K$4, Ledger!$B$2:$B$4, $A3, Ledger!$C$2:$C$4, WCG$2)),"****")</f>
        <v/>
      </c>
      <c r="WCH3" t="str">
        <f>IFERROR(IF($C3="","",SUMIFS(Ledger!$K$2:$K$4, Ledger!$B$2:$B$4, $A3, Ledger!$C$2:$C$4, WCH$2)),"****")</f>
        <v/>
      </c>
      <c r="WCI3" t="str">
        <f>IFERROR(IF($C3="","",SUMIFS(Ledger!$K$2:$K$4, Ledger!$B$2:$B$4, $A3, Ledger!$C$2:$C$4, WCI$2)),"****")</f>
        <v/>
      </c>
      <c r="WCJ3" t="str">
        <f>IFERROR(IF($C3="","",SUMIFS(Ledger!$K$2:$K$4, Ledger!$B$2:$B$4, $A3, Ledger!$C$2:$C$4, WCJ$2)),"****")</f>
        <v/>
      </c>
      <c r="WCK3" t="str">
        <f>IFERROR(IF($C3="","",SUMIFS(Ledger!$K$2:$K$4, Ledger!$B$2:$B$4, $A3, Ledger!$C$2:$C$4, WCK$2)),"****")</f>
        <v/>
      </c>
      <c r="WCL3" t="str">
        <f>IFERROR(IF($C3="","",SUMIFS(Ledger!$K$2:$K$4, Ledger!$B$2:$B$4, $A3, Ledger!$C$2:$C$4, WCL$2)),"****")</f>
        <v/>
      </c>
      <c r="WCM3" t="str">
        <f>IFERROR(IF($C3="","",SUMIFS(Ledger!$K$2:$K$4, Ledger!$B$2:$B$4, $A3, Ledger!$C$2:$C$4, WCM$2)),"****")</f>
        <v/>
      </c>
      <c r="WCN3" t="str">
        <f>IFERROR(IF($C3="","",SUMIFS(Ledger!$K$2:$K$4, Ledger!$B$2:$B$4, $A3, Ledger!$C$2:$C$4, WCN$2)),"****")</f>
        <v/>
      </c>
      <c r="WCO3" t="str">
        <f>IFERROR(IF($C3="","",SUMIFS(Ledger!$K$2:$K$4, Ledger!$B$2:$B$4, $A3, Ledger!$C$2:$C$4, WCO$2)),"****")</f>
        <v/>
      </c>
      <c r="WCP3" t="str">
        <f>IFERROR(IF($C3="","",SUMIFS(Ledger!$K$2:$K$4, Ledger!$B$2:$B$4, $A3, Ledger!$C$2:$C$4, WCP$2)),"****")</f>
        <v/>
      </c>
      <c r="WCQ3" t="str">
        <f>IFERROR(IF($C3="","",SUMIFS(Ledger!$K$2:$K$4, Ledger!$B$2:$B$4, $A3, Ledger!$C$2:$C$4, WCQ$2)),"****")</f>
        <v/>
      </c>
      <c r="WCR3" t="str">
        <f>IFERROR(IF($C3="","",SUMIFS(Ledger!$K$2:$K$4, Ledger!$B$2:$B$4, $A3, Ledger!$C$2:$C$4, WCR$2)),"****")</f>
        <v/>
      </c>
      <c r="WCS3" t="str">
        <f>IFERROR(IF($C3="","",SUMIFS(Ledger!$K$2:$K$4, Ledger!$B$2:$B$4, $A3, Ledger!$C$2:$C$4, WCS$2)),"****")</f>
        <v/>
      </c>
      <c r="WCT3" t="str">
        <f>IFERROR(IF($C3="","",SUMIFS(Ledger!$K$2:$K$4, Ledger!$B$2:$B$4, $A3, Ledger!$C$2:$C$4, WCT$2)),"****")</f>
        <v/>
      </c>
      <c r="WCU3" t="str">
        <f>IFERROR(IF($C3="","",SUMIFS(Ledger!$K$2:$K$4, Ledger!$B$2:$B$4, $A3, Ledger!$C$2:$C$4, WCU$2)),"****")</f>
        <v/>
      </c>
      <c r="WCV3" t="str">
        <f>IFERROR(IF($C3="","",SUMIFS(Ledger!$K$2:$K$4, Ledger!$B$2:$B$4, $A3, Ledger!$C$2:$C$4, WCV$2)),"****")</f>
        <v/>
      </c>
      <c r="WCW3" t="str">
        <f>IFERROR(IF($C3="","",SUMIFS(Ledger!$K$2:$K$4, Ledger!$B$2:$B$4, $A3, Ledger!$C$2:$C$4, WCW$2)),"****")</f>
        <v/>
      </c>
      <c r="WCX3" t="str">
        <f>IFERROR(IF($C3="","",SUMIFS(Ledger!$K$2:$K$4, Ledger!$B$2:$B$4, $A3, Ledger!$C$2:$C$4, WCX$2)),"****")</f>
        <v/>
      </c>
      <c r="WCY3" t="str">
        <f>IFERROR(IF($C3="","",SUMIFS(Ledger!$K$2:$K$4, Ledger!$B$2:$B$4, $A3, Ledger!$C$2:$C$4, WCY$2)),"****")</f>
        <v/>
      </c>
      <c r="WCZ3" t="str">
        <f>IFERROR(IF($C3="","",SUMIFS(Ledger!$K$2:$K$4, Ledger!$B$2:$B$4, $A3, Ledger!$C$2:$C$4, WCZ$2)),"****")</f>
        <v/>
      </c>
      <c r="WDA3" t="str">
        <f>IFERROR(IF($C3="","",SUMIFS(Ledger!$K$2:$K$4, Ledger!$B$2:$B$4, $A3, Ledger!$C$2:$C$4, WDA$2)),"****")</f>
        <v/>
      </c>
      <c r="WDB3" t="str">
        <f>IFERROR(IF($C3="","",SUMIFS(Ledger!$K$2:$K$4, Ledger!$B$2:$B$4, $A3, Ledger!$C$2:$C$4, WDB$2)),"****")</f>
        <v/>
      </c>
      <c r="WDC3" t="str">
        <f>IFERROR(IF($C3="","",SUMIFS(Ledger!$K$2:$K$4, Ledger!$B$2:$B$4, $A3, Ledger!$C$2:$C$4, WDC$2)),"****")</f>
        <v/>
      </c>
      <c r="WDD3" t="str">
        <f>IFERROR(IF($C3="","",SUMIFS(Ledger!$K$2:$K$4, Ledger!$B$2:$B$4, $A3, Ledger!$C$2:$C$4, WDD$2)),"****")</f>
        <v/>
      </c>
      <c r="WDE3" t="str">
        <f>IFERROR(IF($C3="","",SUMIFS(Ledger!$K$2:$K$4, Ledger!$B$2:$B$4, $A3, Ledger!$C$2:$C$4, WDE$2)),"****")</f>
        <v/>
      </c>
      <c r="WDF3" t="str">
        <f>IFERROR(IF($C3="","",SUMIFS(Ledger!$K$2:$K$4, Ledger!$B$2:$B$4, $A3, Ledger!$C$2:$C$4, WDF$2)),"****")</f>
        <v/>
      </c>
      <c r="WDG3" t="str">
        <f>IFERROR(IF($C3="","",SUMIFS(Ledger!$K$2:$K$4, Ledger!$B$2:$B$4, $A3, Ledger!$C$2:$C$4, WDG$2)),"****")</f>
        <v/>
      </c>
      <c r="WDH3" t="str">
        <f>IFERROR(IF($C3="","",SUMIFS(Ledger!$K$2:$K$4, Ledger!$B$2:$B$4, $A3, Ledger!$C$2:$C$4, WDH$2)),"****")</f>
        <v/>
      </c>
      <c r="WDI3" t="str">
        <f>IFERROR(IF($C3="","",SUMIFS(Ledger!$K$2:$K$4, Ledger!$B$2:$B$4, $A3, Ledger!$C$2:$C$4, WDI$2)),"****")</f>
        <v/>
      </c>
      <c r="WDJ3" t="str">
        <f>IFERROR(IF($C3="","",SUMIFS(Ledger!$K$2:$K$4, Ledger!$B$2:$B$4, $A3, Ledger!$C$2:$C$4, WDJ$2)),"****")</f>
        <v/>
      </c>
      <c r="WDK3" t="str">
        <f>IFERROR(IF($C3="","",SUMIFS(Ledger!$K$2:$K$4, Ledger!$B$2:$B$4, $A3, Ledger!$C$2:$C$4, WDK$2)),"****")</f>
        <v/>
      </c>
      <c r="WDL3" t="str">
        <f>IFERROR(IF($C3="","",SUMIFS(Ledger!$K$2:$K$4, Ledger!$B$2:$B$4, $A3, Ledger!$C$2:$C$4, WDL$2)),"****")</f>
        <v/>
      </c>
      <c r="WDM3" t="str">
        <f>IFERROR(IF($C3="","",SUMIFS(Ledger!$K$2:$K$4, Ledger!$B$2:$B$4, $A3, Ledger!$C$2:$C$4, WDM$2)),"****")</f>
        <v/>
      </c>
      <c r="WDN3" t="str">
        <f>IFERROR(IF($C3="","",SUMIFS(Ledger!$K$2:$K$4, Ledger!$B$2:$B$4, $A3, Ledger!$C$2:$C$4, WDN$2)),"****")</f>
        <v/>
      </c>
      <c r="WDO3" t="str">
        <f>IFERROR(IF($C3="","",SUMIFS(Ledger!$K$2:$K$4, Ledger!$B$2:$B$4, $A3, Ledger!$C$2:$C$4, WDO$2)),"****")</f>
        <v/>
      </c>
      <c r="WDP3" t="str">
        <f>IFERROR(IF($C3="","",SUMIFS(Ledger!$K$2:$K$4, Ledger!$B$2:$B$4, $A3, Ledger!$C$2:$C$4, WDP$2)),"****")</f>
        <v/>
      </c>
      <c r="WDQ3" t="str">
        <f>IFERROR(IF($C3="","",SUMIFS(Ledger!$K$2:$K$4, Ledger!$B$2:$B$4, $A3, Ledger!$C$2:$C$4, WDQ$2)),"****")</f>
        <v/>
      </c>
      <c r="WDR3" t="str">
        <f>IFERROR(IF($C3="","",SUMIFS(Ledger!$K$2:$K$4, Ledger!$B$2:$B$4, $A3, Ledger!$C$2:$C$4, WDR$2)),"****")</f>
        <v/>
      </c>
      <c r="WDS3" t="str">
        <f>IFERROR(IF($C3="","",SUMIFS(Ledger!$K$2:$K$4, Ledger!$B$2:$B$4, $A3, Ledger!$C$2:$C$4, WDS$2)),"****")</f>
        <v/>
      </c>
      <c r="WDT3" t="str">
        <f>IFERROR(IF($C3="","",SUMIFS(Ledger!$K$2:$K$4, Ledger!$B$2:$B$4, $A3, Ledger!$C$2:$C$4, WDT$2)),"****")</f>
        <v/>
      </c>
      <c r="WDU3" t="str">
        <f>IFERROR(IF($C3="","",SUMIFS(Ledger!$K$2:$K$4, Ledger!$B$2:$B$4, $A3, Ledger!$C$2:$C$4, WDU$2)),"****")</f>
        <v/>
      </c>
      <c r="WDV3" t="str">
        <f>IFERROR(IF($C3="","",SUMIFS(Ledger!$K$2:$K$4, Ledger!$B$2:$B$4, $A3, Ledger!$C$2:$C$4, WDV$2)),"****")</f>
        <v/>
      </c>
      <c r="WDW3" t="str">
        <f>IFERROR(IF($C3="","",SUMIFS(Ledger!$K$2:$K$4, Ledger!$B$2:$B$4, $A3, Ledger!$C$2:$C$4, WDW$2)),"****")</f>
        <v/>
      </c>
      <c r="WDX3" t="str">
        <f>IFERROR(IF($C3="","",SUMIFS(Ledger!$K$2:$K$4, Ledger!$B$2:$B$4, $A3, Ledger!$C$2:$C$4, WDX$2)),"****")</f>
        <v/>
      </c>
      <c r="WDY3" t="str">
        <f>IFERROR(IF($C3="","",SUMIFS(Ledger!$K$2:$K$4, Ledger!$B$2:$B$4, $A3, Ledger!$C$2:$C$4, WDY$2)),"****")</f>
        <v/>
      </c>
      <c r="WDZ3" t="str">
        <f>IFERROR(IF($C3="","",SUMIFS(Ledger!$K$2:$K$4, Ledger!$B$2:$B$4, $A3, Ledger!$C$2:$C$4, WDZ$2)),"****")</f>
        <v/>
      </c>
      <c r="WEA3" t="str">
        <f>IFERROR(IF($C3="","",SUMIFS(Ledger!$K$2:$K$4, Ledger!$B$2:$B$4, $A3, Ledger!$C$2:$C$4, WEA$2)),"****")</f>
        <v/>
      </c>
      <c r="WEB3" t="str">
        <f>IFERROR(IF($C3="","",SUMIFS(Ledger!$K$2:$K$4, Ledger!$B$2:$B$4, $A3, Ledger!$C$2:$C$4, WEB$2)),"****")</f>
        <v/>
      </c>
      <c r="WEC3" t="str">
        <f>IFERROR(IF($C3="","",SUMIFS(Ledger!$K$2:$K$4, Ledger!$B$2:$B$4, $A3, Ledger!$C$2:$C$4, WEC$2)),"****")</f>
        <v/>
      </c>
      <c r="WED3" t="str">
        <f>IFERROR(IF($C3="","",SUMIFS(Ledger!$K$2:$K$4, Ledger!$B$2:$B$4, $A3, Ledger!$C$2:$C$4, WED$2)),"****")</f>
        <v/>
      </c>
      <c r="WEE3" t="str">
        <f>IFERROR(IF($C3="","",SUMIFS(Ledger!$K$2:$K$4, Ledger!$B$2:$B$4, $A3, Ledger!$C$2:$C$4, WEE$2)),"****")</f>
        <v/>
      </c>
      <c r="WEF3" t="str">
        <f>IFERROR(IF($C3="","",SUMIFS(Ledger!$K$2:$K$4, Ledger!$B$2:$B$4, $A3, Ledger!$C$2:$C$4, WEF$2)),"****")</f>
        <v/>
      </c>
      <c r="WEG3" t="str">
        <f>IFERROR(IF($C3="","",SUMIFS(Ledger!$K$2:$K$4, Ledger!$B$2:$B$4, $A3, Ledger!$C$2:$C$4, WEG$2)),"****")</f>
        <v/>
      </c>
      <c r="WEH3" t="str">
        <f>IFERROR(IF($C3="","",SUMIFS(Ledger!$K$2:$K$4, Ledger!$B$2:$B$4, $A3, Ledger!$C$2:$C$4, WEH$2)),"****")</f>
        <v/>
      </c>
      <c r="WEI3" t="str">
        <f>IFERROR(IF($C3="","",SUMIFS(Ledger!$K$2:$K$4, Ledger!$B$2:$B$4, $A3, Ledger!$C$2:$C$4, WEI$2)),"****")</f>
        <v/>
      </c>
      <c r="WEJ3" t="str">
        <f>IFERROR(IF($C3="","",SUMIFS(Ledger!$K$2:$K$4, Ledger!$B$2:$B$4, $A3, Ledger!$C$2:$C$4, WEJ$2)),"****")</f>
        <v/>
      </c>
      <c r="WEK3" t="str">
        <f>IFERROR(IF($C3="","",SUMIFS(Ledger!$K$2:$K$4, Ledger!$B$2:$B$4, $A3, Ledger!$C$2:$C$4, WEK$2)),"****")</f>
        <v/>
      </c>
      <c r="WEL3" t="str">
        <f>IFERROR(IF($C3="","",SUMIFS(Ledger!$K$2:$K$4, Ledger!$B$2:$B$4, $A3, Ledger!$C$2:$C$4, WEL$2)),"****")</f>
        <v/>
      </c>
      <c r="WEM3" t="str">
        <f>IFERROR(IF($C3="","",SUMIFS(Ledger!$K$2:$K$4, Ledger!$B$2:$B$4, $A3, Ledger!$C$2:$C$4, WEM$2)),"****")</f>
        <v/>
      </c>
      <c r="WEN3" t="str">
        <f>IFERROR(IF($C3="","",SUMIFS(Ledger!$K$2:$K$4, Ledger!$B$2:$B$4, $A3, Ledger!$C$2:$C$4, WEN$2)),"****")</f>
        <v/>
      </c>
      <c r="WEO3" t="str">
        <f>IFERROR(IF($C3="","",SUMIFS(Ledger!$K$2:$K$4, Ledger!$B$2:$B$4, $A3, Ledger!$C$2:$C$4, WEO$2)),"****")</f>
        <v/>
      </c>
      <c r="WEP3" t="str">
        <f>IFERROR(IF($C3="","",SUMIFS(Ledger!$K$2:$K$4, Ledger!$B$2:$B$4, $A3, Ledger!$C$2:$C$4, WEP$2)),"****")</f>
        <v/>
      </c>
      <c r="WEQ3" t="str">
        <f>IFERROR(IF($C3="","",SUMIFS(Ledger!$K$2:$K$4, Ledger!$B$2:$B$4, $A3, Ledger!$C$2:$C$4, WEQ$2)),"****")</f>
        <v/>
      </c>
      <c r="WER3" t="str">
        <f>IFERROR(IF($C3="","",SUMIFS(Ledger!$K$2:$K$4, Ledger!$B$2:$B$4, $A3, Ledger!$C$2:$C$4, WER$2)),"****")</f>
        <v/>
      </c>
      <c r="WES3" t="str">
        <f>IFERROR(IF($C3="","",SUMIFS(Ledger!$K$2:$K$4, Ledger!$B$2:$B$4, $A3, Ledger!$C$2:$C$4, WES$2)),"****")</f>
        <v/>
      </c>
      <c r="WET3" t="str">
        <f>IFERROR(IF($C3="","",SUMIFS(Ledger!$K$2:$K$4, Ledger!$B$2:$B$4, $A3, Ledger!$C$2:$C$4, WET$2)),"****")</f>
        <v/>
      </c>
      <c r="WEU3" t="str">
        <f>IFERROR(IF($C3="","",SUMIFS(Ledger!$K$2:$K$4, Ledger!$B$2:$B$4, $A3, Ledger!$C$2:$C$4, WEU$2)),"****")</f>
        <v/>
      </c>
      <c r="WEV3" t="str">
        <f>IFERROR(IF($C3="","",SUMIFS(Ledger!$K$2:$K$4, Ledger!$B$2:$B$4, $A3, Ledger!$C$2:$C$4, WEV$2)),"****")</f>
        <v/>
      </c>
      <c r="WEW3" t="str">
        <f>IFERROR(IF($C3="","",SUMIFS(Ledger!$K$2:$K$4, Ledger!$B$2:$B$4, $A3, Ledger!$C$2:$C$4, WEW$2)),"****")</f>
        <v/>
      </c>
      <c r="WEX3" t="str">
        <f>IFERROR(IF($C3="","",SUMIFS(Ledger!$K$2:$K$4, Ledger!$B$2:$B$4, $A3, Ledger!$C$2:$C$4, WEX$2)),"****")</f>
        <v/>
      </c>
      <c r="WEY3" t="str">
        <f>IFERROR(IF($C3="","",SUMIFS(Ledger!$K$2:$K$4, Ledger!$B$2:$B$4, $A3, Ledger!$C$2:$C$4, WEY$2)),"****")</f>
        <v/>
      </c>
      <c r="WEZ3" t="str">
        <f>IFERROR(IF($C3="","",SUMIFS(Ledger!$K$2:$K$4, Ledger!$B$2:$B$4, $A3, Ledger!$C$2:$C$4, WEZ$2)),"****")</f>
        <v/>
      </c>
      <c r="WFA3" t="str">
        <f>IFERROR(IF($C3="","",SUMIFS(Ledger!$K$2:$K$4, Ledger!$B$2:$B$4, $A3, Ledger!$C$2:$C$4, WFA$2)),"****")</f>
        <v/>
      </c>
      <c r="WFB3" t="str">
        <f>IFERROR(IF($C3="","",SUMIFS(Ledger!$K$2:$K$4, Ledger!$B$2:$B$4, $A3, Ledger!$C$2:$C$4, WFB$2)),"****")</f>
        <v/>
      </c>
      <c r="WFC3" t="str">
        <f>IFERROR(IF($C3="","",SUMIFS(Ledger!$K$2:$K$4, Ledger!$B$2:$B$4, $A3, Ledger!$C$2:$C$4, WFC$2)),"****")</f>
        <v/>
      </c>
      <c r="WFD3" t="str">
        <f>IFERROR(IF($C3="","",SUMIFS(Ledger!$K$2:$K$4, Ledger!$B$2:$B$4, $A3, Ledger!$C$2:$C$4, WFD$2)),"****")</f>
        <v/>
      </c>
      <c r="WFE3" t="str">
        <f>IFERROR(IF($C3="","",SUMIFS(Ledger!$K$2:$K$4, Ledger!$B$2:$B$4, $A3, Ledger!$C$2:$C$4, WFE$2)),"****")</f>
        <v/>
      </c>
      <c r="WFF3" t="str">
        <f>IFERROR(IF($C3="","",SUMIFS(Ledger!$K$2:$K$4, Ledger!$B$2:$B$4, $A3, Ledger!$C$2:$C$4, WFF$2)),"****")</f>
        <v/>
      </c>
      <c r="WFG3" t="str">
        <f>IFERROR(IF($C3="","",SUMIFS(Ledger!$K$2:$K$4, Ledger!$B$2:$B$4, $A3, Ledger!$C$2:$C$4, WFG$2)),"****")</f>
        <v/>
      </c>
      <c r="WFH3" t="str">
        <f>IFERROR(IF($C3="","",SUMIFS(Ledger!$K$2:$K$4, Ledger!$B$2:$B$4, $A3, Ledger!$C$2:$C$4, WFH$2)),"****")</f>
        <v/>
      </c>
      <c r="WFI3" t="str">
        <f>IFERROR(IF($C3="","",SUMIFS(Ledger!$K$2:$K$4, Ledger!$B$2:$B$4, $A3, Ledger!$C$2:$C$4, WFI$2)),"****")</f>
        <v/>
      </c>
      <c r="WFJ3" t="str">
        <f>IFERROR(IF($C3="","",SUMIFS(Ledger!$K$2:$K$4, Ledger!$B$2:$B$4, $A3, Ledger!$C$2:$C$4, WFJ$2)),"****")</f>
        <v/>
      </c>
      <c r="WFK3" t="str">
        <f>IFERROR(IF($C3="","",SUMIFS(Ledger!$K$2:$K$4, Ledger!$B$2:$B$4, $A3, Ledger!$C$2:$C$4, WFK$2)),"****")</f>
        <v/>
      </c>
      <c r="WFL3" t="str">
        <f>IFERROR(IF($C3="","",SUMIFS(Ledger!$K$2:$K$4, Ledger!$B$2:$B$4, $A3, Ledger!$C$2:$C$4, WFL$2)),"****")</f>
        <v/>
      </c>
      <c r="WFM3" t="str">
        <f>IFERROR(IF($C3="","",SUMIFS(Ledger!$K$2:$K$4, Ledger!$B$2:$B$4, $A3, Ledger!$C$2:$C$4, WFM$2)),"****")</f>
        <v/>
      </c>
      <c r="WFN3" t="str">
        <f>IFERROR(IF($C3="","",SUMIFS(Ledger!$K$2:$K$4, Ledger!$B$2:$B$4, $A3, Ledger!$C$2:$C$4, WFN$2)),"****")</f>
        <v/>
      </c>
      <c r="WFO3" t="str">
        <f>IFERROR(IF($C3="","",SUMIFS(Ledger!$K$2:$K$4, Ledger!$B$2:$B$4, $A3, Ledger!$C$2:$C$4, WFO$2)),"****")</f>
        <v/>
      </c>
      <c r="WFP3" t="str">
        <f>IFERROR(IF($C3="","",SUMIFS(Ledger!$K$2:$K$4, Ledger!$B$2:$B$4, $A3, Ledger!$C$2:$C$4, WFP$2)),"****")</f>
        <v/>
      </c>
      <c r="WFQ3" t="str">
        <f>IFERROR(IF($C3="","",SUMIFS(Ledger!$K$2:$K$4, Ledger!$B$2:$B$4, $A3, Ledger!$C$2:$C$4, WFQ$2)),"****")</f>
        <v/>
      </c>
      <c r="WFR3" t="str">
        <f>IFERROR(IF($C3="","",SUMIFS(Ledger!$K$2:$K$4, Ledger!$B$2:$B$4, $A3, Ledger!$C$2:$C$4, WFR$2)),"****")</f>
        <v/>
      </c>
      <c r="WFS3" t="str">
        <f>IFERROR(IF($C3="","",SUMIFS(Ledger!$K$2:$K$4, Ledger!$B$2:$B$4, $A3, Ledger!$C$2:$C$4, WFS$2)),"****")</f>
        <v/>
      </c>
      <c r="WFT3" t="str">
        <f>IFERROR(IF($C3="","",SUMIFS(Ledger!$K$2:$K$4, Ledger!$B$2:$B$4, $A3, Ledger!$C$2:$C$4, WFT$2)),"****")</f>
        <v/>
      </c>
      <c r="WFU3" t="str">
        <f>IFERROR(IF($C3="","",SUMIFS(Ledger!$K$2:$K$4, Ledger!$B$2:$B$4, $A3, Ledger!$C$2:$C$4, WFU$2)),"****")</f>
        <v/>
      </c>
      <c r="WFV3" t="str">
        <f>IFERROR(IF($C3="","",SUMIFS(Ledger!$K$2:$K$4, Ledger!$B$2:$B$4, $A3, Ledger!$C$2:$C$4, WFV$2)),"****")</f>
        <v/>
      </c>
      <c r="WFW3" t="str">
        <f>IFERROR(IF($C3="","",SUMIFS(Ledger!$K$2:$K$4, Ledger!$B$2:$B$4, $A3, Ledger!$C$2:$C$4, WFW$2)),"****")</f>
        <v/>
      </c>
      <c r="WFX3" t="str">
        <f>IFERROR(IF($C3="","",SUMIFS(Ledger!$K$2:$K$4, Ledger!$B$2:$B$4, $A3, Ledger!$C$2:$C$4, WFX$2)),"****")</f>
        <v/>
      </c>
      <c r="WFY3" t="str">
        <f>IFERROR(IF($C3="","",SUMIFS(Ledger!$K$2:$K$4, Ledger!$B$2:$B$4, $A3, Ledger!$C$2:$C$4, WFY$2)),"****")</f>
        <v/>
      </c>
      <c r="WFZ3" t="str">
        <f>IFERROR(IF($C3="","",SUMIFS(Ledger!$K$2:$K$4, Ledger!$B$2:$B$4, $A3, Ledger!$C$2:$C$4, WFZ$2)),"****")</f>
        <v/>
      </c>
      <c r="WGA3" t="str">
        <f>IFERROR(IF($C3="","",SUMIFS(Ledger!$K$2:$K$4, Ledger!$B$2:$B$4, $A3, Ledger!$C$2:$C$4, WGA$2)),"****")</f>
        <v/>
      </c>
      <c r="WGB3" t="str">
        <f>IFERROR(IF($C3="","",SUMIFS(Ledger!$K$2:$K$4, Ledger!$B$2:$B$4, $A3, Ledger!$C$2:$C$4, WGB$2)),"****")</f>
        <v/>
      </c>
      <c r="WGC3" t="str">
        <f>IFERROR(IF($C3="","",SUMIFS(Ledger!$K$2:$K$4, Ledger!$B$2:$B$4, $A3, Ledger!$C$2:$C$4, WGC$2)),"****")</f>
        <v/>
      </c>
      <c r="WGD3" t="str">
        <f>IFERROR(IF($C3="","",SUMIFS(Ledger!$K$2:$K$4, Ledger!$B$2:$B$4, $A3, Ledger!$C$2:$C$4, WGD$2)),"****")</f>
        <v/>
      </c>
      <c r="WGE3" t="str">
        <f>IFERROR(IF($C3="","",SUMIFS(Ledger!$K$2:$K$4, Ledger!$B$2:$B$4, $A3, Ledger!$C$2:$C$4, WGE$2)),"****")</f>
        <v/>
      </c>
      <c r="WGF3" t="str">
        <f>IFERROR(IF($C3="","",SUMIFS(Ledger!$K$2:$K$4, Ledger!$B$2:$B$4, $A3, Ledger!$C$2:$C$4, WGF$2)),"****")</f>
        <v/>
      </c>
      <c r="WGG3" t="str">
        <f>IFERROR(IF($C3="","",SUMIFS(Ledger!$K$2:$K$4, Ledger!$B$2:$B$4, $A3, Ledger!$C$2:$C$4, WGG$2)),"****")</f>
        <v/>
      </c>
      <c r="WGH3" t="str">
        <f>IFERROR(IF($C3="","",SUMIFS(Ledger!$K$2:$K$4, Ledger!$B$2:$B$4, $A3, Ledger!$C$2:$C$4, WGH$2)),"****")</f>
        <v/>
      </c>
      <c r="WGI3" t="str">
        <f>IFERROR(IF($C3="","",SUMIFS(Ledger!$K$2:$K$4, Ledger!$B$2:$B$4, $A3, Ledger!$C$2:$C$4, WGI$2)),"****")</f>
        <v/>
      </c>
      <c r="WGJ3" t="str">
        <f>IFERROR(IF($C3="","",SUMIFS(Ledger!$K$2:$K$4, Ledger!$B$2:$B$4, $A3, Ledger!$C$2:$C$4, WGJ$2)),"****")</f>
        <v/>
      </c>
      <c r="WGK3" t="str">
        <f>IFERROR(IF($C3="","",SUMIFS(Ledger!$K$2:$K$4, Ledger!$B$2:$B$4, $A3, Ledger!$C$2:$C$4, WGK$2)),"****")</f>
        <v/>
      </c>
      <c r="WGL3" t="str">
        <f>IFERROR(IF($C3="","",SUMIFS(Ledger!$K$2:$K$4, Ledger!$B$2:$B$4, $A3, Ledger!$C$2:$C$4, WGL$2)),"****")</f>
        <v/>
      </c>
      <c r="WGM3" t="str">
        <f>IFERROR(IF($C3="","",SUMIFS(Ledger!$K$2:$K$4, Ledger!$B$2:$B$4, $A3, Ledger!$C$2:$C$4, WGM$2)),"****")</f>
        <v/>
      </c>
      <c r="WGN3" t="str">
        <f>IFERROR(IF($C3="","",SUMIFS(Ledger!$K$2:$K$4, Ledger!$B$2:$B$4, $A3, Ledger!$C$2:$C$4, WGN$2)),"****")</f>
        <v/>
      </c>
      <c r="WGO3" t="str">
        <f>IFERROR(IF($C3="","",SUMIFS(Ledger!$K$2:$K$4, Ledger!$B$2:$B$4, $A3, Ledger!$C$2:$C$4, WGO$2)),"****")</f>
        <v/>
      </c>
      <c r="WGP3" t="str">
        <f>IFERROR(IF($C3="","",SUMIFS(Ledger!$K$2:$K$4, Ledger!$B$2:$B$4, $A3, Ledger!$C$2:$C$4, WGP$2)),"****")</f>
        <v/>
      </c>
      <c r="WGQ3" t="str">
        <f>IFERROR(IF($C3="","",SUMIFS(Ledger!$K$2:$K$4, Ledger!$B$2:$B$4, $A3, Ledger!$C$2:$C$4, WGQ$2)),"****")</f>
        <v/>
      </c>
      <c r="WGR3" t="str">
        <f>IFERROR(IF($C3="","",SUMIFS(Ledger!$K$2:$K$4, Ledger!$B$2:$B$4, $A3, Ledger!$C$2:$C$4, WGR$2)),"****")</f>
        <v/>
      </c>
      <c r="WGS3" t="str">
        <f>IFERROR(IF($C3="","",SUMIFS(Ledger!$K$2:$K$4, Ledger!$B$2:$B$4, $A3, Ledger!$C$2:$C$4, WGS$2)),"****")</f>
        <v/>
      </c>
      <c r="WGT3" t="str">
        <f>IFERROR(IF($C3="","",SUMIFS(Ledger!$K$2:$K$4, Ledger!$B$2:$B$4, $A3, Ledger!$C$2:$C$4, WGT$2)),"****")</f>
        <v/>
      </c>
      <c r="WGU3" t="str">
        <f>IFERROR(IF($C3="","",SUMIFS(Ledger!$K$2:$K$4, Ledger!$B$2:$B$4, $A3, Ledger!$C$2:$C$4, WGU$2)),"****")</f>
        <v/>
      </c>
      <c r="WGV3" t="str">
        <f>IFERROR(IF($C3="","",SUMIFS(Ledger!$K$2:$K$4, Ledger!$B$2:$B$4, $A3, Ledger!$C$2:$C$4, WGV$2)),"****")</f>
        <v/>
      </c>
      <c r="WGW3" t="str">
        <f>IFERROR(IF($C3="","",SUMIFS(Ledger!$K$2:$K$4, Ledger!$B$2:$B$4, $A3, Ledger!$C$2:$C$4, WGW$2)),"****")</f>
        <v/>
      </c>
      <c r="WGX3" t="str">
        <f>IFERROR(IF($C3="","",SUMIFS(Ledger!$K$2:$K$4, Ledger!$B$2:$B$4, $A3, Ledger!$C$2:$C$4, WGX$2)),"****")</f>
        <v/>
      </c>
      <c r="WGY3" t="str">
        <f>IFERROR(IF($C3="","",SUMIFS(Ledger!$K$2:$K$4, Ledger!$B$2:$B$4, $A3, Ledger!$C$2:$C$4, WGY$2)),"****")</f>
        <v/>
      </c>
      <c r="WGZ3" t="str">
        <f>IFERROR(IF($C3="","",SUMIFS(Ledger!$K$2:$K$4, Ledger!$B$2:$B$4, $A3, Ledger!$C$2:$C$4, WGZ$2)),"****")</f>
        <v/>
      </c>
      <c r="WHA3" t="str">
        <f>IFERROR(IF($C3="","",SUMIFS(Ledger!$K$2:$K$4, Ledger!$B$2:$B$4, $A3, Ledger!$C$2:$C$4, WHA$2)),"****")</f>
        <v/>
      </c>
      <c r="WHB3" t="str">
        <f>IFERROR(IF($C3="","",SUMIFS(Ledger!$K$2:$K$4, Ledger!$B$2:$B$4, $A3, Ledger!$C$2:$C$4, WHB$2)),"****")</f>
        <v/>
      </c>
      <c r="WHC3" t="str">
        <f>IFERROR(IF($C3="","",SUMIFS(Ledger!$K$2:$K$4, Ledger!$B$2:$B$4, $A3, Ledger!$C$2:$C$4, WHC$2)),"****")</f>
        <v/>
      </c>
      <c r="WHD3" t="str">
        <f>IFERROR(IF($C3="","",SUMIFS(Ledger!$K$2:$K$4, Ledger!$B$2:$B$4, $A3, Ledger!$C$2:$C$4, WHD$2)),"****")</f>
        <v/>
      </c>
      <c r="WHE3" t="str">
        <f>IFERROR(IF($C3="","",SUMIFS(Ledger!$K$2:$K$4, Ledger!$B$2:$B$4, $A3, Ledger!$C$2:$C$4, WHE$2)),"****")</f>
        <v/>
      </c>
      <c r="WHF3" t="str">
        <f>IFERROR(IF($C3="","",SUMIFS(Ledger!$K$2:$K$4, Ledger!$B$2:$B$4, $A3, Ledger!$C$2:$C$4, WHF$2)),"****")</f>
        <v/>
      </c>
      <c r="WHG3" t="str">
        <f>IFERROR(IF($C3="","",SUMIFS(Ledger!$K$2:$K$4, Ledger!$B$2:$B$4, $A3, Ledger!$C$2:$C$4, WHG$2)),"****")</f>
        <v/>
      </c>
      <c r="WHH3" t="str">
        <f>IFERROR(IF($C3="","",SUMIFS(Ledger!$K$2:$K$4, Ledger!$B$2:$B$4, $A3, Ledger!$C$2:$C$4, WHH$2)),"****")</f>
        <v/>
      </c>
      <c r="WHI3" t="str">
        <f>IFERROR(IF($C3="","",SUMIFS(Ledger!$K$2:$K$4, Ledger!$B$2:$B$4, $A3, Ledger!$C$2:$C$4, WHI$2)),"****")</f>
        <v/>
      </c>
      <c r="WHJ3" t="str">
        <f>IFERROR(IF($C3="","",SUMIFS(Ledger!$K$2:$K$4, Ledger!$B$2:$B$4, $A3, Ledger!$C$2:$C$4, WHJ$2)),"****")</f>
        <v/>
      </c>
      <c r="WHK3" t="str">
        <f>IFERROR(IF($C3="","",SUMIFS(Ledger!$K$2:$K$4, Ledger!$B$2:$B$4, $A3, Ledger!$C$2:$C$4, WHK$2)),"****")</f>
        <v/>
      </c>
      <c r="WHL3" t="str">
        <f>IFERROR(IF($C3="","",SUMIFS(Ledger!$K$2:$K$4, Ledger!$B$2:$B$4, $A3, Ledger!$C$2:$C$4, WHL$2)),"****")</f>
        <v/>
      </c>
      <c r="WHM3" t="str">
        <f>IFERROR(IF($C3="","",SUMIFS(Ledger!$K$2:$K$4, Ledger!$B$2:$B$4, $A3, Ledger!$C$2:$C$4, WHM$2)),"****")</f>
        <v/>
      </c>
      <c r="WHN3" t="str">
        <f>IFERROR(IF($C3="","",SUMIFS(Ledger!$K$2:$K$4, Ledger!$B$2:$B$4, $A3, Ledger!$C$2:$C$4, WHN$2)),"****")</f>
        <v/>
      </c>
      <c r="WHO3" t="str">
        <f>IFERROR(IF($C3="","",SUMIFS(Ledger!$K$2:$K$4, Ledger!$B$2:$B$4, $A3, Ledger!$C$2:$C$4, WHO$2)),"****")</f>
        <v/>
      </c>
      <c r="WHP3" t="str">
        <f>IFERROR(IF($C3="","",SUMIFS(Ledger!$K$2:$K$4, Ledger!$B$2:$B$4, $A3, Ledger!$C$2:$C$4, WHP$2)),"****")</f>
        <v/>
      </c>
      <c r="WHQ3" t="str">
        <f>IFERROR(IF($C3="","",SUMIFS(Ledger!$K$2:$K$4, Ledger!$B$2:$B$4, $A3, Ledger!$C$2:$C$4, WHQ$2)),"****")</f>
        <v/>
      </c>
      <c r="WHR3" t="str">
        <f>IFERROR(IF($C3="","",SUMIFS(Ledger!$K$2:$K$4, Ledger!$B$2:$B$4, $A3, Ledger!$C$2:$C$4, WHR$2)),"****")</f>
        <v/>
      </c>
      <c r="WHS3" t="str">
        <f>IFERROR(IF($C3="","",SUMIFS(Ledger!$K$2:$K$4, Ledger!$B$2:$B$4, $A3, Ledger!$C$2:$C$4, WHS$2)),"****")</f>
        <v/>
      </c>
      <c r="WHT3" t="str">
        <f>IFERROR(IF($C3="","",SUMIFS(Ledger!$K$2:$K$4, Ledger!$B$2:$B$4, $A3, Ledger!$C$2:$C$4, WHT$2)),"****")</f>
        <v/>
      </c>
      <c r="WHU3" t="str">
        <f>IFERROR(IF($C3="","",SUMIFS(Ledger!$K$2:$K$4, Ledger!$B$2:$B$4, $A3, Ledger!$C$2:$C$4, WHU$2)),"****")</f>
        <v/>
      </c>
      <c r="WHV3" t="str">
        <f>IFERROR(IF($C3="","",SUMIFS(Ledger!$K$2:$K$4, Ledger!$B$2:$B$4, $A3, Ledger!$C$2:$C$4, WHV$2)),"****")</f>
        <v/>
      </c>
      <c r="WHW3" t="str">
        <f>IFERROR(IF($C3="","",SUMIFS(Ledger!$K$2:$K$4, Ledger!$B$2:$B$4, $A3, Ledger!$C$2:$C$4, WHW$2)),"****")</f>
        <v/>
      </c>
      <c r="WHX3" t="str">
        <f>IFERROR(IF($C3="","",SUMIFS(Ledger!$K$2:$K$4, Ledger!$B$2:$B$4, $A3, Ledger!$C$2:$C$4, WHX$2)),"****")</f>
        <v/>
      </c>
      <c r="WHY3" t="str">
        <f>IFERROR(IF($C3="","",SUMIFS(Ledger!$K$2:$K$4, Ledger!$B$2:$B$4, $A3, Ledger!$C$2:$C$4, WHY$2)),"****")</f>
        <v/>
      </c>
      <c r="WHZ3" t="str">
        <f>IFERROR(IF($C3="","",SUMIFS(Ledger!$K$2:$K$4, Ledger!$B$2:$B$4, $A3, Ledger!$C$2:$C$4, WHZ$2)),"****")</f>
        <v/>
      </c>
      <c r="WIA3" t="str">
        <f>IFERROR(IF($C3="","",SUMIFS(Ledger!$K$2:$K$4, Ledger!$B$2:$B$4, $A3, Ledger!$C$2:$C$4, WIA$2)),"****")</f>
        <v/>
      </c>
      <c r="WIB3" t="str">
        <f>IFERROR(IF($C3="","",SUMIFS(Ledger!$K$2:$K$4, Ledger!$B$2:$B$4, $A3, Ledger!$C$2:$C$4, WIB$2)),"****")</f>
        <v/>
      </c>
      <c r="WIC3" t="str">
        <f>IFERROR(IF($C3="","",SUMIFS(Ledger!$K$2:$K$4, Ledger!$B$2:$B$4, $A3, Ledger!$C$2:$C$4, WIC$2)),"****")</f>
        <v/>
      </c>
      <c r="WID3" t="str">
        <f>IFERROR(IF($C3="","",SUMIFS(Ledger!$K$2:$K$4, Ledger!$B$2:$B$4, $A3, Ledger!$C$2:$C$4, WID$2)),"****")</f>
        <v/>
      </c>
      <c r="WIE3" t="str">
        <f>IFERROR(IF($C3="","",SUMIFS(Ledger!$K$2:$K$4, Ledger!$B$2:$B$4, $A3, Ledger!$C$2:$C$4, WIE$2)),"****")</f>
        <v/>
      </c>
      <c r="WIF3" t="str">
        <f>IFERROR(IF($C3="","",SUMIFS(Ledger!$K$2:$K$4, Ledger!$B$2:$B$4, $A3, Ledger!$C$2:$C$4, WIF$2)),"****")</f>
        <v/>
      </c>
      <c r="WIG3" t="str">
        <f>IFERROR(IF($C3="","",SUMIFS(Ledger!$K$2:$K$4, Ledger!$B$2:$B$4, $A3, Ledger!$C$2:$C$4, WIG$2)),"****")</f>
        <v/>
      </c>
      <c r="WIH3" t="str">
        <f>IFERROR(IF($C3="","",SUMIFS(Ledger!$K$2:$K$4, Ledger!$B$2:$B$4, $A3, Ledger!$C$2:$C$4, WIH$2)),"****")</f>
        <v/>
      </c>
      <c r="WII3" t="str">
        <f>IFERROR(IF($C3="","",SUMIFS(Ledger!$K$2:$K$4, Ledger!$B$2:$B$4, $A3, Ledger!$C$2:$C$4, WII$2)),"****")</f>
        <v/>
      </c>
      <c r="WIJ3" t="str">
        <f>IFERROR(IF($C3="","",SUMIFS(Ledger!$K$2:$K$4, Ledger!$B$2:$B$4, $A3, Ledger!$C$2:$C$4, WIJ$2)),"****")</f>
        <v/>
      </c>
      <c r="WIK3" t="str">
        <f>IFERROR(IF($C3="","",SUMIFS(Ledger!$K$2:$K$4, Ledger!$B$2:$B$4, $A3, Ledger!$C$2:$C$4, WIK$2)),"****")</f>
        <v/>
      </c>
      <c r="WIL3" t="str">
        <f>IFERROR(IF($C3="","",SUMIFS(Ledger!$K$2:$K$4, Ledger!$B$2:$B$4, $A3, Ledger!$C$2:$C$4, WIL$2)),"****")</f>
        <v/>
      </c>
      <c r="WIM3" t="str">
        <f>IFERROR(IF($C3="","",SUMIFS(Ledger!$K$2:$K$4, Ledger!$B$2:$B$4, $A3, Ledger!$C$2:$C$4, WIM$2)),"****")</f>
        <v/>
      </c>
      <c r="WIN3" t="str">
        <f>IFERROR(IF($C3="","",SUMIFS(Ledger!$K$2:$K$4, Ledger!$B$2:$B$4, $A3, Ledger!$C$2:$C$4, WIN$2)),"****")</f>
        <v/>
      </c>
      <c r="WIO3" t="str">
        <f>IFERROR(IF($C3="","",SUMIFS(Ledger!$K$2:$K$4, Ledger!$B$2:$B$4, $A3, Ledger!$C$2:$C$4, WIO$2)),"****")</f>
        <v/>
      </c>
      <c r="WIP3" t="str">
        <f>IFERROR(IF($C3="","",SUMIFS(Ledger!$K$2:$K$4, Ledger!$B$2:$B$4, $A3, Ledger!$C$2:$C$4, WIP$2)),"****")</f>
        <v/>
      </c>
      <c r="WIQ3" t="str">
        <f>IFERROR(IF($C3="","",SUMIFS(Ledger!$K$2:$K$4, Ledger!$B$2:$B$4, $A3, Ledger!$C$2:$C$4, WIQ$2)),"****")</f>
        <v/>
      </c>
      <c r="WIR3" t="str">
        <f>IFERROR(IF($C3="","",SUMIFS(Ledger!$K$2:$K$4, Ledger!$B$2:$B$4, $A3, Ledger!$C$2:$C$4, WIR$2)),"****")</f>
        <v/>
      </c>
      <c r="WIS3" t="str">
        <f>IFERROR(IF($C3="","",SUMIFS(Ledger!$K$2:$K$4, Ledger!$B$2:$B$4, $A3, Ledger!$C$2:$C$4, WIS$2)),"****")</f>
        <v/>
      </c>
      <c r="WIT3" t="str">
        <f>IFERROR(IF($C3="","",SUMIFS(Ledger!$K$2:$K$4, Ledger!$B$2:$B$4, $A3, Ledger!$C$2:$C$4, WIT$2)),"****")</f>
        <v/>
      </c>
      <c r="WIU3" t="str">
        <f>IFERROR(IF($C3="","",SUMIFS(Ledger!$K$2:$K$4, Ledger!$B$2:$B$4, $A3, Ledger!$C$2:$C$4, WIU$2)),"****")</f>
        <v/>
      </c>
      <c r="WIV3" t="str">
        <f>IFERROR(IF($C3="","",SUMIFS(Ledger!$K$2:$K$4, Ledger!$B$2:$B$4, $A3, Ledger!$C$2:$C$4, WIV$2)),"****")</f>
        <v/>
      </c>
      <c r="WIW3" t="str">
        <f>IFERROR(IF($C3="","",SUMIFS(Ledger!$K$2:$K$4, Ledger!$B$2:$B$4, $A3, Ledger!$C$2:$C$4, WIW$2)),"****")</f>
        <v/>
      </c>
      <c r="WIX3" t="str">
        <f>IFERROR(IF($C3="","",SUMIFS(Ledger!$K$2:$K$4, Ledger!$B$2:$B$4, $A3, Ledger!$C$2:$C$4, WIX$2)),"****")</f>
        <v/>
      </c>
      <c r="WIY3" t="str">
        <f>IFERROR(IF($C3="","",SUMIFS(Ledger!$K$2:$K$4, Ledger!$B$2:$B$4, $A3, Ledger!$C$2:$C$4, WIY$2)),"****")</f>
        <v/>
      </c>
      <c r="WIZ3" t="str">
        <f>IFERROR(IF($C3="","",SUMIFS(Ledger!$K$2:$K$4, Ledger!$B$2:$B$4, $A3, Ledger!$C$2:$C$4, WIZ$2)),"****")</f>
        <v/>
      </c>
      <c r="WJA3" t="str">
        <f>IFERROR(IF($C3="","",SUMIFS(Ledger!$K$2:$K$4, Ledger!$B$2:$B$4, $A3, Ledger!$C$2:$C$4, WJA$2)),"****")</f>
        <v/>
      </c>
      <c r="WJB3" t="str">
        <f>IFERROR(IF($C3="","",SUMIFS(Ledger!$K$2:$K$4, Ledger!$B$2:$B$4, $A3, Ledger!$C$2:$C$4, WJB$2)),"****")</f>
        <v/>
      </c>
      <c r="WJC3" t="str">
        <f>IFERROR(IF($C3="","",SUMIFS(Ledger!$K$2:$K$4, Ledger!$B$2:$B$4, $A3, Ledger!$C$2:$C$4, WJC$2)),"****")</f>
        <v/>
      </c>
      <c r="WJD3" t="str">
        <f>IFERROR(IF($C3="","",SUMIFS(Ledger!$K$2:$K$4, Ledger!$B$2:$B$4, $A3, Ledger!$C$2:$C$4, WJD$2)),"****")</f>
        <v/>
      </c>
      <c r="WJE3" t="str">
        <f>IFERROR(IF($C3="","",SUMIFS(Ledger!$K$2:$K$4, Ledger!$B$2:$B$4, $A3, Ledger!$C$2:$C$4, WJE$2)),"****")</f>
        <v/>
      </c>
      <c r="WJF3" t="str">
        <f>IFERROR(IF($C3="","",SUMIFS(Ledger!$K$2:$K$4, Ledger!$B$2:$B$4, $A3, Ledger!$C$2:$C$4, WJF$2)),"****")</f>
        <v/>
      </c>
      <c r="WJG3" t="str">
        <f>IFERROR(IF($C3="","",SUMIFS(Ledger!$K$2:$K$4, Ledger!$B$2:$B$4, $A3, Ledger!$C$2:$C$4, WJG$2)),"****")</f>
        <v/>
      </c>
      <c r="WJH3" t="str">
        <f>IFERROR(IF($C3="","",SUMIFS(Ledger!$K$2:$K$4, Ledger!$B$2:$B$4, $A3, Ledger!$C$2:$C$4, WJH$2)),"****")</f>
        <v/>
      </c>
      <c r="WJI3" t="str">
        <f>IFERROR(IF($C3="","",SUMIFS(Ledger!$K$2:$K$4, Ledger!$B$2:$B$4, $A3, Ledger!$C$2:$C$4, WJI$2)),"****")</f>
        <v/>
      </c>
      <c r="WJJ3" t="str">
        <f>IFERROR(IF($C3="","",SUMIFS(Ledger!$K$2:$K$4, Ledger!$B$2:$B$4, $A3, Ledger!$C$2:$C$4, WJJ$2)),"****")</f>
        <v/>
      </c>
      <c r="WJK3" t="str">
        <f>IFERROR(IF($C3="","",SUMIFS(Ledger!$K$2:$K$4, Ledger!$B$2:$B$4, $A3, Ledger!$C$2:$C$4, WJK$2)),"****")</f>
        <v/>
      </c>
      <c r="WJL3" t="str">
        <f>IFERROR(IF($C3="","",SUMIFS(Ledger!$K$2:$K$4, Ledger!$B$2:$B$4, $A3, Ledger!$C$2:$C$4, WJL$2)),"****")</f>
        <v/>
      </c>
      <c r="WJM3" t="str">
        <f>IFERROR(IF($C3="","",SUMIFS(Ledger!$K$2:$K$4, Ledger!$B$2:$B$4, $A3, Ledger!$C$2:$C$4, WJM$2)),"****")</f>
        <v/>
      </c>
      <c r="WJN3" t="str">
        <f>IFERROR(IF($C3="","",SUMIFS(Ledger!$K$2:$K$4, Ledger!$B$2:$B$4, $A3, Ledger!$C$2:$C$4, WJN$2)),"****")</f>
        <v/>
      </c>
      <c r="WJO3" t="str">
        <f>IFERROR(IF($C3="","",SUMIFS(Ledger!$K$2:$K$4, Ledger!$B$2:$B$4, $A3, Ledger!$C$2:$C$4, WJO$2)),"****")</f>
        <v/>
      </c>
      <c r="WJP3" t="str">
        <f>IFERROR(IF($C3="","",SUMIFS(Ledger!$K$2:$K$4, Ledger!$B$2:$B$4, $A3, Ledger!$C$2:$C$4, WJP$2)),"****")</f>
        <v/>
      </c>
      <c r="WJQ3" t="str">
        <f>IFERROR(IF($C3="","",SUMIFS(Ledger!$K$2:$K$4, Ledger!$B$2:$B$4, $A3, Ledger!$C$2:$C$4, WJQ$2)),"****")</f>
        <v/>
      </c>
      <c r="WJR3" t="str">
        <f>IFERROR(IF($C3="","",SUMIFS(Ledger!$K$2:$K$4, Ledger!$B$2:$B$4, $A3, Ledger!$C$2:$C$4, WJR$2)),"****")</f>
        <v/>
      </c>
      <c r="WJS3" t="str">
        <f>IFERROR(IF($C3="","",SUMIFS(Ledger!$K$2:$K$4, Ledger!$B$2:$B$4, $A3, Ledger!$C$2:$C$4, WJS$2)),"****")</f>
        <v/>
      </c>
      <c r="WJT3" t="str">
        <f>IFERROR(IF($C3="","",SUMIFS(Ledger!$K$2:$K$4, Ledger!$B$2:$B$4, $A3, Ledger!$C$2:$C$4, WJT$2)),"****")</f>
        <v/>
      </c>
      <c r="WJU3" t="str">
        <f>IFERROR(IF($C3="","",SUMIFS(Ledger!$K$2:$K$4, Ledger!$B$2:$B$4, $A3, Ledger!$C$2:$C$4, WJU$2)),"****")</f>
        <v/>
      </c>
      <c r="WJV3" t="str">
        <f>IFERROR(IF($C3="","",SUMIFS(Ledger!$K$2:$K$4, Ledger!$B$2:$B$4, $A3, Ledger!$C$2:$C$4, WJV$2)),"****")</f>
        <v/>
      </c>
      <c r="WJW3" t="str">
        <f>IFERROR(IF($C3="","",SUMIFS(Ledger!$K$2:$K$4, Ledger!$B$2:$B$4, $A3, Ledger!$C$2:$C$4, WJW$2)),"****")</f>
        <v/>
      </c>
      <c r="WJX3" t="str">
        <f>IFERROR(IF($C3="","",SUMIFS(Ledger!$K$2:$K$4, Ledger!$B$2:$B$4, $A3, Ledger!$C$2:$C$4, WJX$2)),"****")</f>
        <v/>
      </c>
      <c r="WJY3" t="str">
        <f>IFERROR(IF($C3="","",SUMIFS(Ledger!$K$2:$K$4, Ledger!$B$2:$B$4, $A3, Ledger!$C$2:$C$4, WJY$2)),"****")</f>
        <v/>
      </c>
      <c r="WJZ3" t="str">
        <f>IFERROR(IF($C3="","",SUMIFS(Ledger!$K$2:$K$4, Ledger!$B$2:$B$4, $A3, Ledger!$C$2:$C$4, WJZ$2)),"****")</f>
        <v/>
      </c>
      <c r="WKA3" t="str">
        <f>IFERROR(IF($C3="","",SUMIFS(Ledger!$K$2:$K$4, Ledger!$B$2:$B$4, $A3, Ledger!$C$2:$C$4, WKA$2)),"****")</f>
        <v/>
      </c>
      <c r="WKB3" t="str">
        <f>IFERROR(IF($C3="","",SUMIFS(Ledger!$K$2:$K$4, Ledger!$B$2:$B$4, $A3, Ledger!$C$2:$C$4, WKB$2)),"****")</f>
        <v/>
      </c>
      <c r="WKC3" t="str">
        <f>IFERROR(IF($C3="","",SUMIFS(Ledger!$K$2:$K$4, Ledger!$B$2:$B$4, $A3, Ledger!$C$2:$C$4, WKC$2)),"****")</f>
        <v/>
      </c>
      <c r="WKD3" t="str">
        <f>IFERROR(IF($C3="","",SUMIFS(Ledger!$K$2:$K$4, Ledger!$B$2:$B$4, $A3, Ledger!$C$2:$C$4, WKD$2)),"****")</f>
        <v/>
      </c>
      <c r="WKE3" t="str">
        <f>IFERROR(IF($C3="","",SUMIFS(Ledger!$K$2:$K$4, Ledger!$B$2:$B$4, $A3, Ledger!$C$2:$C$4, WKE$2)),"****")</f>
        <v/>
      </c>
      <c r="WKF3" t="str">
        <f>IFERROR(IF($C3="","",SUMIFS(Ledger!$K$2:$K$4, Ledger!$B$2:$B$4, $A3, Ledger!$C$2:$C$4, WKF$2)),"****")</f>
        <v/>
      </c>
      <c r="WKG3" t="str">
        <f>IFERROR(IF($C3="","",SUMIFS(Ledger!$K$2:$K$4, Ledger!$B$2:$B$4, $A3, Ledger!$C$2:$C$4, WKG$2)),"****")</f>
        <v/>
      </c>
      <c r="WKH3" t="str">
        <f>IFERROR(IF($C3="","",SUMIFS(Ledger!$K$2:$K$4, Ledger!$B$2:$B$4, $A3, Ledger!$C$2:$C$4, WKH$2)),"****")</f>
        <v/>
      </c>
      <c r="WKI3" t="str">
        <f>IFERROR(IF($C3="","",SUMIFS(Ledger!$K$2:$K$4, Ledger!$B$2:$B$4, $A3, Ledger!$C$2:$C$4, WKI$2)),"****")</f>
        <v/>
      </c>
      <c r="WKJ3" t="str">
        <f>IFERROR(IF($C3="","",SUMIFS(Ledger!$K$2:$K$4, Ledger!$B$2:$B$4, $A3, Ledger!$C$2:$C$4, WKJ$2)),"****")</f>
        <v/>
      </c>
      <c r="WKK3" t="str">
        <f>IFERROR(IF($C3="","",SUMIFS(Ledger!$K$2:$K$4, Ledger!$B$2:$B$4, $A3, Ledger!$C$2:$C$4, WKK$2)),"****")</f>
        <v/>
      </c>
      <c r="WKL3" t="str">
        <f>IFERROR(IF($C3="","",SUMIFS(Ledger!$K$2:$K$4, Ledger!$B$2:$B$4, $A3, Ledger!$C$2:$C$4, WKL$2)),"****")</f>
        <v/>
      </c>
      <c r="WKM3" t="str">
        <f>IFERROR(IF($C3="","",SUMIFS(Ledger!$K$2:$K$4, Ledger!$B$2:$B$4, $A3, Ledger!$C$2:$C$4, WKM$2)),"****")</f>
        <v/>
      </c>
      <c r="WKN3" t="str">
        <f>IFERROR(IF($C3="","",SUMIFS(Ledger!$K$2:$K$4, Ledger!$B$2:$B$4, $A3, Ledger!$C$2:$C$4, WKN$2)),"****")</f>
        <v/>
      </c>
      <c r="WKO3" t="str">
        <f>IFERROR(IF($C3="","",SUMIFS(Ledger!$K$2:$K$4, Ledger!$B$2:$B$4, $A3, Ledger!$C$2:$C$4, WKO$2)),"****")</f>
        <v/>
      </c>
      <c r="WKP3" t="str">
        <f>IFERROR(IF($C3="","",SUMIFS(Ledger!$K$2:$K$4, Ledger!$B$2:$B$4, $A3, Ledger!$C$2:$C$4, WKP$2)),"****")</f>
        <v/>
      </c>
      <c r="WKQ3" t="str">
        <f>IFERROR(IF($C3="","",SUMIFS(Ledger!$K$2:$K$4, Ledger!$B$2:$B$4, $A3, Ledger!$C$2:$C$4, WKQ$2)),"****")</f>
        <v/>
      </c>
      <c r="WKR3" t="str">
        <f>IFERROR(IF($C3="","",SUMIFS(Ledger!$K$2:$K$4, Ledger!$B$2:$B$4, $A3, Ledger!$C$2:$C$4, WKR$2)),"****")</f>
        <v/>
      </c>
      <c r="WKS3" t="str">
        <f>IFERROR(IF($C3="","",SUMIFS(Ledger!$K$2:$K$4, Ledger!$B$2:$B$4, $A3, Ledger!$C$2:$C$4, WKS$2)),"****")</f>
        <v/>
      </c>
      <c r="WKT3" t="str">
        <f>IFERROR(IF($C3="","",SUMIFS(Ledger!$K$2:$K$4, Ledger!$B$2:$B$4, $A3, Ledger!$C$2:$C$4, WKT$2)),"****")</f>
        <v/>
      </c>
      <c r="WKU3" t="str">
        <f>IFERROR(IF($C3="","",SUMIFS(Ledger!$K$2:$K$4, Ledger!$B$2:$B$4, $A3, Ledger!$C$2:$C$4, WKU$2)),"****")</f>
        <v/>
      </c>
      <c r="WKV3" t="str">
        <f>IFERROR(IF($C3="","",SUMIFS(Ledger!$K$2:$K$4, Ledger!$B$2:$B$4, $A3, Ledger!$C$2:$C$4, WKV$2)),"****")</f>
        <v/>
      </c>
      <c r="WKW3" t="str">
        <f>IFERROR(IF($C3="","",SUMIFS(Ledger!$K$2:$K$4, Ledger!$B$2:$B$4, $A3, Ledger!$C$2:$C$4, WKW$2)),"****")</f>
        <v/>
      </c>
      <c r="WKX3" t="str">
        <f>IFERROR(IF($C3="","",SUMIFS(Ledger!$K$2:$K$4, Ledger!$B$2:$B$4, $A3, Ledger!$C$2:$C$4, WKX$2)),"****")</f>
        <v/>
      </c>
      <c r="WKY3" t="str">
        <f>IFERROR(IF($C3="","",SUMIFS(Ledger!$K$2:$K$4, Ledger!$B$2:$B$4, $A3, Ledger!$C$2:$C$4, WKY$2)),"****")</f>
        <v/>
      </c>
      <c r="WKZ3" t="str">
        <f>IFERROR(IF($C3="","",SUMIFS(Ledger!$K$2:$K$4, Ledger!$B$2:$B$4, $A3, Ledger!$C$2:$C$4, WKZ$2)),"****")</f>
        <v/>
      </c>
      <c r="WLA3" t="str">
        <f>IFERROR(IF($C3="","",SUMIFS(Ledger!$K$2:$K$4, Ledger!$B$2:$B$4, $A3, Ledger!$C$2:$C$4, WLA$2)),"****")</f>
        <v/>
      </c>
      <c r="WLB3" t="str">
        <f>IFERROR(IF($C3="","",SUMIFS(Ledger!$K$2:$K$4, Ledger!$B$2:$B$4, $A3, Ledger!$C$2:$C$4, WLB$2)),"****")</f>
        <v/>
      </c>
      <c r="WLC3" t="str">
        <f>IFERROR(IF($C3="","",SUMIFS(Ledger!$K$2:$K$4, Ledger!$B$2:$B$4, $A3, Ledger!$C$2:$C$4, WLC$2)),"****")</f>
        <v/>
      </c>
      <c r="WLD3" t="str">
        <f>IFERROR(IF($C3="","",SUMIFS(Ledger!$K$2:$K$4, Ledger!$B$2:$B$4, $A3, Ledger!$C$2:$C$4, WLD$2)),"****")</f>
        <v/>
      </c>
      <c r="WLE3" t="str">
        <f>IFERROR(IF($C3="","",SUMIFS(Ledger!$K$2:$K$4, Ledger!$B$2:$B$4, $A3, Ledger!$C$2:$C$4, WLE$2)),"****")</f>
        <v/>
      </c>
      <c r="WLF3" t="str">
        <f>IFERROR(IF($C3="","",SUMIFS(Ledger!$K$2:$K$4, Ledger!$B$2:$B$4, $A3, Ledger!$C$2:$C$4, WLF$2)),"****")</f>
        <v/>
      </c>
      <c r="WLG3" t="str">
        <f>IFERROR(IF($C3="","",SUMIFS(Ledger!$K$2:$K$4, Ledger!$B$2:$B$4, $A3, Ledger!$C$2:$C$4, WLG$2)),"****")</f>
        <v/>
      </c>
      <c r="WLH3" t="str">
        <f>IFERROR(IF($C3="","",SUMIFS(Ledger!$K$2:$K$4, Ledger!$B$2:$B$4, $A3, Ledger!$C$2:$C$4, WLH$2)),"****")</f>
        <v/>
      </c>
      <c r="WLI3" t="str">
        <f>IFERROR(IF($C3="","",SUMIFS(Ledger!$K$2:$K$4, Ledger!$B$2:$B$4, $A3, Ledger!$C$2:$C$4, WLI$2)),"****")</f>
        <v/>
      </c>
      <c r="WLJ3" t="str">
        <f>IFERROR(IF($C3="","",SUMIFS(Ledger!$K$2:$K$4, Ledger!$B$2:$B$4, $A3, Ledger!$C$2:$C$4, WLJ$2)),"****")</f>
        <v/>
      </c>
      <c r="WLK3" t="str">
        <f>IFERROR(IF($C3="","",SUMIFS(Ledger!$K$2:$K$4, Ledger!$B$2:$B$4, $A3, Ledger!$C$2:$C$4, WLK$2)),"****")</f>
        <v/>
      </c>
      <c r="WLL3" t="str">
        <f>IFERROR(IF($C3="","",SUMIFS(Ledger!$K$2:$K$4, Ledger!$B$2:$B$4, $A3, Ledger!$C$2:$C$4, WLL$2)),"****")</f>
        <v/>
      </c>
      <c r="WLM3" t="str">
        <f>IFERROR(IF($C3="","",SUMIFS(Ledger!$K$2:$K$4, Ledger!$B$2:$B$4, $A3, Ledger!$C$2:$C$4, WLM$2)),"****")</f>
        <v/>
      </c>
      <c r="WLN3" t="str">
        <f>IFERROR(IF($C3="","",SUMIFS(Ledger!$K$2:$K$4, Ledger!$B$2:$B$4, $A3, Ledger!$C$2:$C$4, WLN$2)),"****")</f>
        <v/>
      </c>
      <c r="WLO3" t="str">
        <f>IFERROR(IF($C3="","",SUMIFS(Ledger!$K$2:$K$4, Ledger!$B$2:$B$4, $A3, Ledger!$C$2:$C$4, WLO$2)),"****")</f>
        <v/>
      </c>
      <c r="WLP3" t="str">
        <f>IFERROR(IF($C3="","",SUMIFS(Ledger!$K$2:$K$4, Ledger!$B$2:$B$4, $A3, Ledger!$C$2:$C$4, WLP$2)),"****")</f>
        <v/>
      </c>
      <c r="WLQ3" t="str">
        <f>IFERROR(IF($C3="","",SUMIFS(Ledger!$K$2:$K$4, Ledger!$B$2:$B$4, $A3, Ledger!$C$2:$C$4, WLQ$2)),"****")</f>
        <v/>
      </c>
      <c r="WLR3" t="str">
        <f>IFERROR(IF($C3="","",SUMIFS(Ledger!$K$2:$K$4, Ledger!$B$2:$B$4, $A3, Ledger!$C$2:$C$4, WLR$2)),"****")</f>
        <v/>
      </c>
      <c r="WLS3" t="str">
        <f>IFERROR(IF($C3="","",SUMIFS(Ledger!$K$2:$K$4, Ledger!$B$2:$B$4, $A3, Ledger!$C$2:$C$4, WLS$2)),"****")</f>
        <v/>
      </c>
      <c r="WLT3" t="str">
        <f>IFERROR(IF($C3="","",SUMIFS(Ledger!$K$2:$K$4, Ledger!$B$2:$B$4, $A3, Ledger!$C$2:$C$4, WLT$2)),"****")</f>
        <v/>
      </c>
      <c r="WLU3" t="str">
        <f>IFERROR(IF($C3="","",SUMIFS(Ledger!$K$2:$K$4, Ledger!$B$2:$B$4, $A3, Ledger!$C$2:$C$4, WLU$2)),"****")</f>
        <v/>
      </c>
      <c r="WLV3" t="str">
        <f>IFERROR(IF($C3="","",SUMIFS(Ledger!$K$2:$K$4, Ledger!$B$2:$B$4, $A3, Ledger!$C$2:$C$4, WLV$2)),"****")</f>
        <v/>
      </c>
      <c r="WLW3" t="str">
        <f>IFERROR(IF($C3="","",SUMIFS(Ledger!$K$2:$K$4, Ledger!$B$2:$B$4, $A3, Ledger!$C$2:$C$4, WLW$2)),"****")</f>
        <v/>
      </c>
      <c r="WLX3" t="str">
        <f>IFERROR(IF($C3="","",SUMIFS(Ledger!$K$2:$K$4, Ledger!$B$2:$B$4, $A3, Ledger!$C$2:$C$4, WLX$2)),"****")</f>
        <v/>
      </c>
      <c r="WLY3" t="str">
        <f>IFERROR(IF($C3="","",SUMIFS(Ledger!$K$2:$K$4, Ledger!$B$2:$B$4, $A3, Ledger!$C$2:$C$4, WLY$2)),"****")</f>
        <v/>
      </c>
      <c r="WLZ3" t="str">
        <f>IFERROR(IF($C3="","",SUMIFS(Ledger!$K$2:$K$4, Ledger!$B$2:$B$4, $A3, Ledger!$C$2:$C$4, WLZ$2)),"****")</f>
        <v/>
      </c>
      <c r="WMA3" t="str">
        <f>IFERROR(IF($C3="","",SUMIFS(Ledger!$K$2:$K$4, Ledger!$B$2:$B$4, $A3, Ledger!$C$2:$C$4, WMA$2)),"****")</f>
        <v/>
      </c>
      <c r="WMB3" t="str">
        <f>IFERROR(IF($C3="","",SUMIFS(Ledger!$K$2:$K$4, Ledger!$B$2:$B$4, $A3, Ledger!$C$2:$C$4, WMB$2)),"****")</f>
        <v/>
      </c>
      <c r="WMC3" t="str">
        <f>IFERROR(IF($C3="","",SUMIFS(Ledger!$K$2:$K$4, Ledger!$B$2:$B$4, $A3, Ledger!$C$2:$C$4, WMC$2)),"****")</f>
        <v/>
      </c>
      <c r="WMD3" t="str">
        <f>IFERROR(IF($C3="","",SUMIFS(Ledger!$K$2:$K$4, Ledger!$B$2:$B$4, $A3, Ledger!$C$2:$C$4, WMD$2)),"****")</f>
        <v/>
      </c>
      <c r="WME3" t="str">
        <f>IFERROR(IF($C3="","",SUMIFS(Ledger!$K$2:$K$4, Ledger!$B$2:$B$4, $A3, Ledger!$C$2:$C$4, WME$2)),"****")</f>
        <v/>
      </c>
      <c r="WMF3" t="str">
        <f>IFERROR(IF($C3="","",SUMIFS(Ledger!$K$2:$K$4, Ledger!$B$2:$B$4, $A3, Ledger!$C$2:$C$4, WMF$2)),"****")</f>
        <v/>
      </c>
      <c r="WMG3" t="str">
        <f>IFERROR(IF($C3="","",SUMIFS(Ledger!$K$2:$K$4, Ledger!$B$2:$B$4, $A3, Ledger!$C$2:$C$4, WMG$2)),"****")</f>
        <v/>
      </c>
      <c r="WMH3" t="str">
        <f>IFERROR(IF($C3="","",SUMIFS(Ledger!$K$2:$K$4, Ledger!$B$2:$B$4, $A3, Ledger!$C$2:$C$4, WMH$2)),"****")</f>
        <v/>
      </c>
      <c r="WMI3" t="str">
        <f>IFERROR(IF($C3="","",SUMIFS(Ledger!$K$2:$K$4, Ledger!$B$2:$B$4, $A3, Ledger!$C$2:$C$4, WMI$2)),"****")</f>
        <v/>
      </c>
      <c r="WMJ3" t="str">
        <f>IFERROR(IF($C3="","",SUMIFS(Ledger!$K$2:$K$4, Ledger!$B$2:$B$4, $A3, Ledger!$C$2:$C$4, WMJ$2)),"****")</f>
        <v/>
      </c>
      <c r="WMK3" t="str">
        <f>IFERROR(IF($C3="","",SUMIFS(Ledger!$K$2:$K$4, Ledger!$B$2:$B$4, $A3, Ledger!$C$2:$C$4, WMK$2)),"****")</f>
        <v/>
      </c>
      <c r="WML3" t="str">
        <f>IFERROR(IF($C3="","",SUMIFS(Ledger!$K$2:$K$4, Ledger!$B$2:$B$4, $A3, Ledger!$C$2:$C$4, WML$2)),"****")</f>
        <v/>
      </c>
      <c r="WMM3" t="str">
        <f>IFERROR(IF($C3="","",SUMIFS(Ledger!$K$2:$K$4, Ledger!$B$2:$B$4, $A3, Ledger!$C$2:$C$4, WMM$2)),"****")</f>
        <v/>
      </c>
      <c r="WMN3" t="str">
        <f>IFERROR(IF($C3="","",SUMIFS(Ledger!$K$2:$K$4, Ledger!$B$2:$B$4, $A3, Ledger!$C$2:$C$4, WMN$2)),"****")</f>
        <v/>
      </c>
      <c r="WMO3" t="str">
        <f>IFERROR(IF($C3="","",SUMIFS(Ledger!$K$2:$K$4, Ledger!$B$2:$B$4, $A3, Ledger!$C$2:$C$4, WMO$2)),"****")</f>
        <v/>
      </c>
      <c r="WMP3" t="str">
        <f>IFERROR(IF($C3="","",SUMIFS(Ledger!$K$2:$K$4, Ledger!$B$2:$B$4, $A3, Ledger!$C$2:$C$4, WMP$2)),"****")</f>
        <v/>
      </c>
      <c r="WMQ3" t="str">
        <f>IFERROR(IF($C3="","",SUMIFS(Ledger!$K$2:$K$4, Ledger!$B$2:$B$4, $A3, Ledger!$C$2:$C$4, WMQ$2)),"****")</f>
        <v/>
      </c>
      <c r="WMR3" t="str">
        <f>IFERROR(IF($C3="","",SUMIFS(Ledger!$K$2:$K$4, Ledger!$B$2:$B$4, $A3, Ledger!$C$2:$C$4, WMR$2)),"****")</f>
        <v/>
      </c>
      <c r="WMS3" t="str">
        <f>IFERROR(IF($C3="","",SUMIFS(Ledger!$K$2:$K$4, Ledger!$B$2:$B$4, $A3, Ledger!$C$2:$C$4, WMS$2)),"****")</f>
        <v/>
      </c>
      <c r="WMT3" t="str">
        <f>IFERROR(IF($C3="","",SUMIFS(Ledger!$K$2:$K$4, Ledger!$B$2:$B$4, $A3, Ledger!$C$2:$C$4, WMT$2)),"****")</f>
        <v/>
      </c>
      <c r="WMU3" t="str">
        <f>IFERROR(IF($C3="","",SUMIFS(Ledger!$K$2:$K$4, Ledger!$B$2:$B$4, $A3, Ledger!$C$2:$C$4, WMU$2)),"****")</f>
        <v/>
      </c>
      <c r="WMV3" t="str">
        <f>IFERROR(IF($C3="","",SUMIFS(Ledger!$K$2:$K$4, Ledger!$B$2:$B$4, $A3, Ledger!$C$2:$C$4, WMV$2)),"****")</f>
        <v/>
      </c>
      <c r="WMW3" t="str">
        <f>IFERROR(IF($C3="","",SUMIFS(Ledger!$K$2:$K$4, Ledger!$B$2:$B$4, $A3, Ledger!$C$2:$C$4, WMW$2)),"****")</f>
        <v/>
      </c>
      <c r="WMX3" t="str">
        <f>IFERROR(IF($C3="","",SUMIFS(Ledger!$K$2:$K$4, Ledger!$B$2:$B$4, $A3, Ledger!$C$2:$C$4, WMX$2)),"****")</f>
        <v/>
      </c>
      <c r="WMY3" t="str">
        <f>IFERROR(IF($C3="","",SUMIFS(Ledger!$K$2:$K$4, Ledger!$B$2:$B$4, $A3, Ledger!$C$2:$C$4, WMY$2)),"****")</f>
        <v/>
      </c>
      <c r="WMZ3" t="str">
        <f>IFERROR(IF($C3="","",SUMIFS(Ledger!$K$2:$K$4, Ledger!$B$2:$B$4, $A3, Ledger!$C$2:$C$4, WMZ$2)),"****")</f>
        <v/>
      </c>
      <c r="WNA3" t="str">
        <f>IFERROR(IF($C3="","",SUMIFS(Ledger!$K$2:$K$4, Ledger!$B$2:$B$4, $A3, Ledger!$C$2:$C$4, WNA$2)),"****")</f>
        <v/>
      </c>
      <c r="WNB3" t="str">
        <f>IFERROR(IF($C3="","",SUMIFS(Ledger!$K$2:$K$4, Ledger!$B$2:$B$4, $A3, Ledger!$C$2:$C$4, WNB$2)),"****")</f>
        <v/>
      </c>
      <c r="WNC3" t="str">
        <f>IFERROR(IF($C3="","",SUMIFS(Ledger!$K$2:$K$4, Ledger!$B$2:$B$4, $A3, Ledger!$C$2:$C$4, WNC$2)),"****")</f>
        <v/>
      </c>
      <c r="WND3" t="str">
        <f>IFERROR(IF($C3="","",SUMIFS(Ledger!$K$2:$K$4, Ledger!$B$2:$B$4, $A3, Ledger!$C$2:$C$4, WND$2)),"****")</f>
        <v/>
      </c>
      <c r="WNE3" t="str">
        <f>IFERROR(IF($C3="","",SUMIFS(Ledger!$K$2:$K$4, Ledger!$B$2:$B$4, $A3, Ledger!$C$2:$C$4, WNE$2)),"****")</f>
        <v/>
      </c>
      <c r="WNF3" t="str">
        <f>IFERROR(IF($C3="","",SUMIFS(Ledger!$K$2:$K$4, Ledger!$B$2:$B$4, $A3, Ledger!$C$2:$C$4, WNF$2)),"****")</f>
        <v/>
      </c>
      <c r="WNG3" t="str">
        <f>IFERROR(IF($C3="","",SUMIFS(Ledger!$K$2:$K$4, Ledger!$B$2:$B$4, $A3, Ledger!$C$2:$C$4, WNG$2)),"****")</f>
        <v/>
      </c>
      <c r="WNH3" t="str">
        <f>IFERROR(IF($C3="","",SUMIFS(Ledger!$K$2:$K$4, Ledger!$B$2:$B$4, $A3, Ledger!$C$2:$C$4, WNH$2)),"****")</f>
        <v/>
      </c>
      <c r="WNI3" t="str">
        <f>IFERROR(IF($C3="","",SUMIFS(Ledger!$K$2:$K$4, Ledger!$B$2:$B$4, $A3, Ledger!$C$2:$C$4, WNI$2)),"****")</f>
        <v/>
      </c>
      <c r="WNJ3" t="str">
        <f>IFERROR(IF($C3="","",SUMIFS(Ledger!$K$2:$K$4, Ledger!$B$2:$B$4, $A3, Ledger!$C$2:$C$4, WNJ$2)),"****")</f>
        <v/>
      </c>
      <c r="WNK3" t="str">
        <f>IFERROR(IF($C3="","",SUMIFS(Ledger!$K$2:$K$4, Ledger!$B$2:$B$4, $A3, Ledger!$C$2:$C$4, WNK$2)),"****")</f>
        <v/>
      </c>
      <c r="WNL3" t="str">
        <f>IFERROR(IF($C3="","",SUMIFS(Ledger!$K$2:$K$4, Ledger!$B$2:$B$4, $A3, Ledger!$C$2:$C$4, WNL$2)),"****")</f>
        <v/>
      </c>
      <c r="WNM3" t="str">
        <f>IFERROR(IF($C3="","",SUMIFS(Ledger!$K$2:$K$4, Ledger!$B$2:$B$4, $A3, Ledger!$C$2:$C$4, WNM$2)),"****")</f>
        <v/>
      </c>
      <c r="WNN3" t="str">
        <f>IFERROR(IF($C3="","",SUMIFS(Ledger!$K$2:$K$4, Ledger!$B$2:$B$4, $A3, Ledger!$C$2:$C$4, WNN$2)),"****")</f>
        <v/>
      </c>
      <c r="WNO3" t="str">
        <f>IFERROR(IF($C3="","",SUMIFS(Ledger!$K$2:$K$4, Ledger!$B$2:$B$4, $A3, Ledger!$C$2:$C$4, WNO$2)),"****")</f>
        <v/>
      </c>
      <c r="WNP3" t="str">
        <f>IFERROR(IF($C3="","",SUMIFS(Ledger!$K$2:$K$4, Ledger!$B$2:$B$4, $A3, Ledger!$C$2:$C$4, WNP$2)),"****")</f>
        <v/>
      </c>
      <c r="WNQ3" t="str">
        <f>IFERROR(IF($C3="","",SUMIFS(Ledger!$K$2:$K$4, Ledger!$B$2:$B$4, $A3, Ledger!$C$2:$C$4, WNQ$2)),"****")</f>
        <v/>
      </c>
      <c r="WNR3" t="str">
        <f>IFERROR(IF($C3="","",SUMIFS(Ledger!$K$2:$K$4, Ledger!$B$2:$B$4, $A3, Ledger!$C$2:$C$4, WNR$2)),"****")</f>
        <v/>
      </c>
      <c r="WNS3" t="str">
        <f>IFERROR(IF($C3="","",SUMIFS(Ledger!$K$2:$K$4, Ledger!$B$2:$B$4, $A3, Ledger!$C$2:$C$4, WNS$2)),"****")</f>
        <v/>
      </c>
      <c r="WNT3" t="str">
        <f>IFERROR(IF($C3="","",SUMIFS(Ledger!$K$2:$K$4, Ledger!$B$2:$B$4, $A3, Ledger!$C$2:$C$4, WNT$2)),"****")</f>
        <v/>
      </c>
      <c r="WNU3" t="str">
        <f>IFERROR(IF($C3="","",SUMIFS(Ledger!$K$2:$K$4, Ledger!$B$2:$B$4, $A3, Ledger!$C$2:$C$4, WNU$2)),"****")</f>
        <v/>
      </c>
      <c r="WNV3" t="str">
        <f>IFERROR(IF($C3="","",SUMIFS(Ledger!$K$2:$K$4, Ledger!$B$2:$B$4, $A3, Ledger!$C$2:$C$4, WNV$2)),"****")</f>
        <v/>
      </c>
      <c r="WNW3" t="str">
        <f>IFERROR(IF($C3="","",SUMIFS(Ledger!$K$2:$K$4, Ledger!$B$2:$B$4, $A3, Ledger!$C$2:$C$4, WNW$2)),"****")</f>
        <v/>
      </c>
      <c r="WNX3" t="str">
        <f>IFERROR(IF($C3="","",SUMIFS(Ledger!$K$2:$K$4, Ledger!$B$2:$B$4, $A3, Ledger!$C$2:$C$4, WNX$2)),"****")</f>
        <v/>
      </c>
      <c r="WNY3" t="str">
        <f>IFERROR(IF($C3="","",SUMIFS(Ledger!$K$2:$K$4, Ledger!$B$2:$B$4, $A3, Ledger!$C$2:$C$4, WNY$2)),"****")</f>
        <v/>
      </c>
      <c r="WNZ3" t="str">
        <f>IFERROR(IF($C3="","",SUMIFS(Ledger!$K$2:$K$4, Ledger!$B$2:$B$4, $A3, Ledger!$C$2:$C$4, WNZ$2)),"****")</f>
        <v/>
      </c>
      <c r="WOA3" t="str">
        <f>IFERROR(IF($C3="","",SUMIFS(Ledger!$K$2:$K$4, Ledger!$B$2:$B$4, $A3, Ledger!$C$2:$C$4, WOA$2)),"****")</f>
        <v/>
      </c>
      <c r="WOB3" t="str">
        <f>IFERROR(IF($C3="","",SUMIFS(Ledger!$K$2:$K$4, Ledger!$B$2:$B$4, $A3, Ledger!$C$2:$C$4, WOB$2)),"****")</f>
        <v/>
      </c>
      <c r="WOC3" t="str">
        <f>IFERROR(IF($C3="","",SUMIFS(Ledger!$K$2:$K$4, Ledger!$B$2:$B$4, $A3, Ledger!$C$2:$C$4, WOC$2)),"****")</f>
        <v/>
      </c>
      <c r="WOD3" t="str">
        <f>IFERROR(IF($C3="","",SUMIFS(Ledger!$K$2:$K$4, Ledger!$B$2:$B$4, $A3, Ledger!$C$2:$C$4, WOD$2)),"****")</f>
        <v/>
      </c>
      <c r="WOE3" t="str">
        <f>IFERROR(IF($C3="","",SUMIFS(Ledger!$K$2:$K$4, Ledger!$B$2:$B$4, $A3, Ledger!$C$2:$C$4, WOE$2)),"****")</f>
        <v/>
      </c>
      <c r="WOF3" t="str">
        <f>IFERROR(IF($C3="","",SUMIFS(Ledger!$K$2:$K$4, Ledger!$B$2:$B$4, $A3, Ledger!$C$2:$C$4, WOF$2)),"****")</f>
        <v/>
      </c>
      <c r="WOG3" t="str">
        <f>IFERROR(IF($C3="","",SUMIFS(Ledger!$K$2:$K$4, Ledger!$B$2:$B$4, $A3, Ledger!$C$2:$C$4, WOG$2)),"****")</f>
        <v/>
      </c>
      <c r="WOH3" t="str">
        <f>IFERROR(IF($C3="","",SUMIFS(Ledger!$K$2:$K$4, Ledger!$B$2:$B$4, $A3, Ledger!$C$2:$C$4, WOH$2)),"****")</f>
        <v/>
      </c>
      <c r="WOI3" t="str">
        <f>IFERROR(IF($C3="","",SUMIFS(Ledger!$K$2:$K$4, Ledger!$B$2:$B$4, $A3, Ledger!$C$2:$C$4, WOI$2)),"****")</f>
        <v/>
      </c>
      <c r="WOJ3" t="str">
        <f>IFERROR(IF($C3="","",SUMIFS(Ledger!$K$2:$K$4, Ledger!$B$2:$B$4, $A3, Ledger!$C$2:$C$4, WOJ$2)),"****")</f>
        <v/>
      </c>
      <c r="WOK3" t="str">
        <f>IFERROR(IF($C3="","",SUMIFS(Ledger!$K$2:$K$4, Ledger!$B$2:$B$4, $A3, Ledger!$C$2:$C$4, WOK$2)),"****")</f>
        <v/>
      </c>
      <c r="WOL3" t="str">
        <f>IFERROR(IF($C3="","",SUMIFS(Ledger!$K$2:$K$4, Ledger!$B$2:$B$4, $A3, Ledger!$C$2:$C$4, WOL$2)),"****")</f>
        <v/>
      </c>
      <c r="WOM3" t="str">
        <f>IFERROR(IF($C3="","",SUMIFS(Ledger!$K$2:$K$4, Ledger!$B$2:$B$4, $A3, Ledger!$C$2:$C$4, WOM$2)),"****")</f>
        <v/>
      </c>
      <c r="WON3" t="str">
        <f>IFERROR(IF($C3="","",SUMIFS(Ledger!$K$2:$K$4, Ledger!$B$2:$B$4, $A3, Ledger!$C$2:$C$4, WON$2)),"****")</f>
        <v/>
      </c>
      <c r="WOO3" t="str">
        <f>IFERROR(IF($C3="","",SUMIFS(Ledger!$K$2:$K$4, Ledger!$B$2:$B$4, $A3, Ledger!$C$2:$C$4, WOO$2)),"****")</f>
        <v/>
      </c>
      <c r="WOP3" t="str">
        <f>IFERROR(IF($C3="","",SUMIFS(Ledger!$K$2:$K$4, Ledger!$B$2:$B$4, $A3, Ledger!$C$2:$C$4, WOP$2)),"****")</f>
        <v/>
      </c>
      <c r="WOQ3" t="str">
        <f>IFERROR(IF($C3="","",SUMIFS(Ledger!$K$2:$K$4, Ledger!$B$2:$B$4, $A3, Ledger!$C$2:$C$4, WOQ$2)),"****")</f>
        <v/>
      </c>
      <c r="WOR3" t="str">
        <f>IFERROR(IF($C3="","",SUMIFS(Ledger!$K$2:$K$4, Ledger!$B$2:$B$4, $A3, Ledger!$C$2:$C$4, WOR$2)),"****")</f>
        <v/>
      </c>
      <c r="WOS3" t="str">
        <f>IFERROR(IF($C3="","",SUMIFS(Ledger!$K$2:$K$4, Ledger!$B$2:$B$4, $A3, Ledger!$C$2:$C$4, WOS$2)),"****")</f>
        <v/>
      </c>
      <c r="WOT3" t="str">
        <f>IFERROR(IF($C3="","",SUMIFS(Ledger!$K$2:$K$4, Ledger!$B$2:$B$4, $A3, Ledger!$C$2:$C$4, WOT$2)),"****")</f>
        <v/>
      </c>
      <c r="WOU3" t="str">
        <f>IFERROR(IF($C3="","",SUMIFS(Ledger!$K$2:$K$4, Ledger!$B$2:$B$4, $A3, Ledger!$C$2:$C$4, WOU$2)),"****")</f>
        <v/>
      </c>
      <c r="WOV3" t="str">
        <f>IFERROR(IF($C3="","",SUMIFS(Ledger!$K$2:$K$4, Ledger!$B$2:$B$4, $A3, Ledger!$C$2:$C$4, WOV$2)),"****")</f>
        <v/>
      </c>
      <c r="WOW3" t="str">
        <f>IFERROR(IF($C3="","",SUMIFS(Ledger!$K$2:$K$4, Ledger!$B$2:$B$4, $A3, Ledger!$C$2:$C$4, WOW$2)),"****")</f>
        <v/>
      </c>
      <c r="WOX3" t="str">
        <f>IFERROR(IF($C3="","",SUMIFS(Ledger!$K$2:$K$4, Ledger!$B$2:$B$4, $A3, Ledger!$C$2:$C$4, WOX$2)),"****")</f>
        <v/>
      </c>
      <c r="WOY3" t="str">
        <f>IFERROR(IF($C3="","",SUMIFS(Ledger!$K$2:$K$4, Ledger!$B$2:$B$4, $A3, Ledger!$C$2:$C$4, WOY$2)),"****")</f>
        <v/>
      </c>
      <c r="WOZ3" t="str">
        <f>IFERROR(IF($C3="","",SUMIFS(Ledger!$K$2:$K$4, Ledger!$B$2:$B$4, $A3, Ledger!$C$2:$C$4, WOZ$2)),"****")</f>
        <v/>
      </c>
      <c r="WPA3" t="str">
        <f>IFERROR(IF($C3="","",SUMIFS(Ledger!$K$2:$K$4, Ledger!$B$2:$B$4, $A3, Ledger!$C$2:$C$4, WPA$2)),"****")</f>
        <v/>
      </c>
      <c r="WPB3" t="str">
        <f>IFERROR(IF($C3="","",SUMIFS(Ledger!$K$2:$K$4, Ledger!$B$2:$B$4, $A3, Ledger!$C$2:$C$4, WPB$2)),"****")</f>
        <v/>
      </c>
      <c r="WPC3" t="str">
        <f>IFERROR(IF($C3="","",SUMIFS(Ledger!$K$2:$K$4, Ledger!$B$2:$B$4, $A3, Ledger!$C$2:$C$4, WPC$2)),"****")</f>
        <v/>
      </c>
      <c r="WPD3" t="str">
        <f>IFERROR(IF($C3="","",SUMIFS(Ledger!$K$2:$K$4, Ledger!$B$2:$B$4, $A3, Ledger!$C$2:$C$4, WPD$2)),"****")</f>
        <v/>
      </c>
      <c r="WPE3" t="str">
        <f>IFERROR(IF($C3="","",SUMIFS(Ledger!$K$2:$K$4, Ledger!$B$2:$B$4, $A3, Ledger!$C$2:$C$4, WPE$2)),"****")</f>
        <v/>
      </c>
      <c r="WPF3" t="str">
        <f>IFERROR(IF($C3="","",SUMIFS(Ledger!$K$2:$K$4, Ledger!$B$2:$B$4, $A3, Ledger!$C$2:$C$4, WPF$2)),"****")</f>
        <v/>
      </c>
      <c r="WPG3" t="str">
        <f>IFERROR(IF($C3="","",SUMIFS(Ledger!$K$2:$K$4, Ledger!$B$2:$B$4, $A3, Ledger!$C$2:$C$4, WPG$2)),"****")</f>
        <v/>
      </c>
      <c r="WPH3" t="str">
        <f>IFERROR(IF($C3="","",SUMIFS(Ledger!$K$2:$K$4, Ledger!$B$2:$B$4, $A3, Ledger!$C$2:$C$4, WPH$2)),"****")</f>
        <v/>
      </c>
      <c r="WPI3" t="str">
        <f>IFERROR(IF($C3="","",SUMIFS(Ledger!$K$2:$K$4, Ledger!$B$2:$B$4, $A3, Ledger!$C$2:$C$4, WPI$2)),"****")</f>
        <v/>
      </c>
      <c r="WPJ3" t="str">
        <f>IFERROR(IF($C3="","",SUMIFS(Ledger!$K$2:$K$4, Ledger!$B$2:$B$4, $A3, Ledger!$C$2:$C$4, WPJ$2)),"****")</f>
        <v/>
      </c>
      <c r="WPK3" t="str">
        <f>IFERROR(IF($C3="","",SUMIFS(Ledger!$K$2:$K$4, Ledger!$B$2:$B$4, $A3, Ledger!$C$2:$C$4, WPK$2)),"****")</f>
        <v/>
      </c>
      <c r="WPL3" t="str">
        <f>IFERROR(IF($C3="","",SUMIFS(Ledger!$K$2:$K$4, Ledger!$B$2:$B$4, $A3, Ledger!$C$2:$C$4, WPL$2)),"****")</f>
        <v/>
      </c>
      <c r="WPM3" t="str">
        <f>IFERROR(IF($C3="","",SUMIFS(Ledger!$K$2:$K$4, Ledger!$B$2:$B$4, $A3, Ledger!$C$2:$C$4, WPM$2)),"****")</f>
        <v/>
      </c>
      <c r="WPN3" t="str">
        <f>IFERROR(IF($C3="","",SUMIFS(Ledger!$K$2:$K$4, Ledger!$B$2:$B$4, $A3, Ledger!$C$2:$C$4, WPN$2)),"****")</f>
        <v/>
      </c>
      <c r="WPO3" t="str">
        <f>IFERROR(IF($C3="","",SUMIFS(Ledger!$K$2:$K$4, Ledger!$B$2:$B$4, $A3, Ledger!$C$2:$C$4, WPO$2)),"****")</f>
        <v/>
      </c>
      <c r="WPP3" t="str">
        <f>IFERROR(IF($C3="","",SUMIFS(Ledger!$K$2:$K$4, Ledger!$B$2:$B$4, $A3, Ledger!$C$2:$C$4, WPP$2)),"****")</f>
        <v/>
      </c>
      <c r="WPQ3" t="str">
        <f>IFERROR(IF($C3="","",SUMIFS(Ledger!$K$2:$K$4, Ledger!$B$2:$B$4, $A3, Ledger!$C$2:$C$4, WPQ$2)),"****")</f>
        <v/>
      </c>
      <c r="WPR3" t="str">
        <f>IFERROR(IF($C3="","",SUMIFS(Ledger!$K$2:$K$4, Ledger!$B$2:$B$4, $A3, Ledger!$C$2:$C$4, WPR$2)),"****")</f>
        <v/>
      </c>
      <c r="WPS3" t="str">
        <f>IFERROR(IF($C3="","",SUMIFS(Ledger!$K$2:$K$4, Ledger!$B$2:$B$4, $A3, Ledger!$C$2:$C$4, WPS$2)),"****")</f>
        <v/>
      </c>
      <c r="WPT3" t="str">
        <f>IFERROR(IF($C3="","",SUMIFS(Ledger!$K$2:$K$4, Ledger!$B$2:$B$4, $A3, Ledger!$C$2:$C$4, WPT$2)),"****")</f>
        <v/>
      </c>
      <c r="WPU3" t="str">
        <f>IFERROR(IF($C3="","",SUMIFS(Ledger!$K$2:$K$4, Ledger!$B$2:$B$4, $A3, Ledger!$C$2:$C$4, WPU$2)),"****")</f>
        <v/>
      </c>
      <c r="WPV3" t="str">
        <f>IFERROR(IF($C3="","",SUMIFS(Ledger!$K$2:$K$4, Ledger!$B$2:$B$4, $A3, Ledger!$C$2:$C$4, WPV$2)),"****")</f>
        <v/>
      </c>
      <c r="WPW3" t="str">
        <f>IFERROR(IF($C3="","",SUMIFS(Ledger!$K$2:$K$4, Ledger!$B$2:$B$4, $A3, Ledger!$C$2:$C$4, WPW$2)),"****")</f>
        <v/>
      </c>
      <c r="WPX3" t="str">
        <f>IFERROR(IF($C3="","",SUMIFS(Ledger!$K$2:$K$4, Ledger!$B$2:$B$4, $A3, Ledger!$C$2:$C$4, WPX$2)),"****")</f>
        <v/>
      </c>
      <c r="WPY3" t="str">
        <f>IFERROR(IF($C3="","",SUMIFS(Ledger!$K$2:$K$4, Ledger!$B$2:$B$4, $A3, Ledger!$C$2:$C$4, WPY$2)),"****")</f>
        <v/>
      </c>
      <c r="WPZ3" t="str">
        <f>IFERROR(IF($C3="","",SUMIFS(Ledger!$K$2:$K$4, Ledger!$B$2:$B$4, $A3, Ledger!$C$2:$C$4, WPZ$2)),"****")</f>
        <v/>
      </c>
      <c r="WQA3" t="str">
        <f>IFERROR(IF($C3="","",SUMIFS(Ledger!$K$2:$K$4, Ledger!$B$2:$B$4, $A3, Ledger!$C$2:$C$4, WQA$2)),"****")</f>
        <v/>
      </c>
      <c r="WQB3" t="str">
        <f>IFERROR(IF($C3="","",SUMIFS(Ledger!$K$2:$K$4, Ledger!$B$2:$B$4, $A3, Ledger!$C$2:$C$4, WQB$2)),"****")</f>
        <v/>
      </c>
      <c r="WQC3" t="str">
        <f>IFERROR(IF($C3="","",SUMIFS(Ledger!$K$2:$K$4, Ledger!$B$2:$B$4, $A3, Ledger!$C$2:$C$4, WQC$2)),"****")</f>
        <v/>
      </c>
      <c r="WQD3" t="str">
        <f>IFERROR(IF($C3="","",SUMIFS(Ledger!$K$2:$K$4, Ledger!$B$2:$B$4, $A3, Ledger!$C$2:$C$4, WQD$2)),"****")</f>
        <v/>
      </c>
      <c r="WQE3" t="str">
        <f>IFERROR(IF($C3="","",SUMIFS(Ledger!$K$2:$K$4, Ledger!$B$2:$B$4, $A3, Ledger!$C$2:$C$4, WQE$2)),"****")</f>
        <v/>
      </c>
      <c r="WQF3" t="str">
        <f>IFERROR(IF($C3="","",SUMIFS(Ledger!$K$2:$K$4, Ledger!$B$2:$B$4, $A3, Ledger!$C$2:$C$4, WQF$2)),"****")</f>
        <v/>
      </c>
      <c r="WQG3" t="str">
        <f>IFERROR(IF($C3="","",SUMIFS(Ledger!$K$2:$K$4, Ledger!$B$2:$B$4, $A3, Ledger!$C$2:$C$4, WQG$2)),"****")</f>
        <v/>
      </c>
      <c r="WQH3" t="str">
        <f>IFERROR(IF($C3="","",SUMIFS(Ledger!$K$2:$K$4, Ledger!$B$2:$B$4, $A3, Ledger!$C$2:$C$4, WQH$2)),"****")</f>
        <v/>
      </c>
      <c r="WQI3" t="str">
        <f>IFERROR(IF($C3="","",SUMIFS(Ledger!$K$2:$K$4, Ledger!$B$2:$B$4, $A3, Ledger!$C$2:$C$4, WQI$2)),"****")</f>
        <v/>
      </c>
      <c r="WQJ3" t="str">
        <f>IFERROR(IF($C3="","",SUMIFS(Ledger!$K$2:$K$4, Ledger!$B$2:$B$4, $A3, Ledger!$C$2:$C$4, WQJ$2)),"****")</f>
        <v/>
      </c>
      <c r="WQK3" t="str">
        <f>IFERROR(IF($C3="","",SUMIFS(Ledger!$K$2:$K$4, Ledger!$B$2:$B$4, $A3, Ledger!$C$2:$C$4, WQK$2)),"****")</f>
        <v/>
      </c>
      <c r="WQL3" t="str">
        <f>IFERROR(IF($C3="","",SUMIFS(Ledger!$K$2:$K$4, Ledger!$B$2:$B$4, $A3, Ledger!$C$2:$C$4, WQL$2)),"****")</f>
        <v/>
      </c>
      <c r="WQM3" t="str">
        <f>IFERROR(IF($C3="","",SUMIFS(Ledger!$K$2:$K$4, Ledger!$B$2:$B$4, $A3, Ledger!$C$2:$C$4, WQM$2)),"****")</f>
        <v/>
      </c>
      <c r="WQN3" t="str">
        <f>IFERROR(IF($C3="","",SUMIFS(Ledger!$K$2:$K$4, Ledger!$B$2:$B$4, $A3, Ledger!$C$2:$C$4, WQN$2)),"****")</f>
        <v/>
      </c>
      <c r="WQO3" t="str">
        <f>IFERROR(IF($C3="","",SUMIFS(Ledger!$K$2:$K$4, Ledger!$B$2:$B$4, $A3, Ledger!$C$2:$C$4, WQO$2)),"****")</f>
        <v/>
      </c>
      <c r="WQP3" t="str">
        <f>IFERROR(IF($C3="","",SUMIFS(Ledger!$K$2:$K$4, Ledger!$B$2:$B$4, $A3, Ledger!$C$2:$C$4, WQP$2)),"****")</f>
        <v/>
      </c>
      <c r="WQQ3" t="str">
        <f>IFERROR(IF($C3="","",SUMIFS(Ledger!$K$2:$K$4, Ledger!$B$2:$B$4, $A3, Ledger!$C$2:$C$4, WQQ$2)),"****")</f>
        <v/>
      </c>
      <c r="WQR3" t="str">
        <f>IFERROR(IF($C3="","",SUMIFS(Ledger!$K$2:$K$4, Ledger!$B$2:$B$4, $A3, Ledger!$C$2:$C$4, WQR$2)),"****")</f>
        <v/>
      </c>
      <c r="WQS3" t="str">
        <f>IFERROR(IF($C3="","",SUMIFS(Ledger!$K$2:$K$4, Ledger!$B$2:$B$4, $A3, Ledger!$C$2:$C$4, WQS$2)),"****")</f>
        <v/>
      </c>
      <c r="WQT3" t="str">
        <f>IFERROR(IF($C3="","",SUMIFS(Ledger!$K$2:$K$4, Ledger!$B$2:$B$4, $A3, Ledger!$C$2:$C$4, WQT$2)),"****")</f>
        <v/>
      </c>
      <c r="WQU3" t="str">
        <f>IFERROR(IF($C3="","",SUMIFS(Ledger!$K$2:$K$4, Ledger!$B$2:$B$4, $A3, Ledger!$C$2:$C$4, WQU$2)),"****")</f>
        <v/>
      </c>
      <c r="WQV3" t="str">
        <f>IFERROR(IF($C3="","",SUMIFS(Ledger!$K$2:$K$4, Ledger!$B$2:$B$4, $A3, Ledger!$C$2:$C$4, WQV$2)),"****")</f>
        <v/>
      </c>
      <c r="WQW3" t="str">
        <f>IFERROR(IF($C3="","",SUMIFS(Ledger!$K$2:$K$4, Ledger!$B$2:$B$4, $A3, Ledger!$C$2:$C$4, WQW$2)),"****")</f>
        <v/>
      </c>
      <c r="WQX3" t="str">
        <f>IFERROR(IF($C3="","",SUMIFS(Ledger!$K$2:$K$4, Ledger!$B$2:$B$4, $A3, Ledger!$C$2:$C$4, WQX$2)),"****")</f>
        <v/>
      </c>
      <c r="WQY3" t="str">
        <f>IFERROR(IF($C3="","",SUMIFS(Ledger!$K$2:$K$4, Ledger!$B$2:$B$4, $A3, Ledger!$C$2:$C$4, WQY$2)),"****")</f>
        <v/>
      </c>
      <c r="WQZ3" t="str">
        <f>IFERROR(IF($C3="","",SUMIFS(Ledger!$K$2:$K$4, Ledger!$B$2:$B$4, $A3, Ledger!$C$2:$C$4, WQZ$2)),"****")</f>
        <v/>
      </c>
      <c r="WRA3" t="str">
        <f>IFERROR(IF($C3="","",SUMIFS(Ledger!$K$2:$K$4, Ledger!$B$2:$B$4, $A3, Ledger!$C$2:$C$4, WRA$2)),"****")</f>
        <v/>
      </c>
      <c r="WRB3" t="str">
        <f>IFERROR(IF($C3="","",SUMIFS(Ledger!$K$2:$K$4, Ledger!$B$2:$B$4, $A3, Ledger!$C$2:$C$4, WRB$2)),"****")</f>
        <v/>
      </c>
      <c r="WRC3" t="str">
        <f>IFERROR(IF($C3="","",SUMIFS(Ledger!$K$2:$K$4, Ledger!$B$2:$B$4, $A3, Ledger!$C$2:$C$4, WRC$2)),"****")</f>
        <v/>
      </c>
      <c r="WRD3" t="str">
        <f>IFERROR(IF($C3="","",SUMIFS(Ledger!$K$2:$K$4, Ledger!$B$2:$B$4, $A3, Ledger!$C$2:$C$4, WRD$2)),"****")</f>
        <v/>
      </c>
      <c r="WRE3" t="str">
        <f>IFERROR(IF($C3="","",SUMIFS(Ledger!$K$2:$K$4, Ledger!$B$2:$B$4, $A3, Ledger!$C$2:$C$4, WRE$2)),"****")</f>
        <v/>
      </c>
      <c r="WRF3" t="str">
        <f>IFERROR(IF($C3="","",SUMIFS(Ledger!$K$2:$K$4, Ledger!$B$2:$B$4, $A3, Ledger!$C$2:$C$4, WRF$2)),"****")</f>
        <v/>
      </c>
      <c r="WRG3" t="str">
        <f>IFERROR(IF($C3="","",SUMIFS(Ledger!$K$2:$K$4, Ledger!$B$2:$B$4, $A3, Ledger!$C$2:$C$4, WRG$2)),"****")</f>
        <v/>
      </c>
      <c r="WRH3" t="str">
        <f>IFERROR(IF($C3="","",SUMIFS(Ledger!$K$2:$K$4, Ledger!$B$2:$B$4, $A3, Ledger!$C$2:$C$4, WRH$2)),"****")</f>
        <v/>
      </c>
      <c r="WRI3" t="str">
        <f>IFERROR(IF($C3="","",SUMIFS(Ledger!$K$2:$K$4, Ledger!$B$2:$B$4, $A3, Ledger!$C$2:$C$4, WRI$2)),"****")</f>
        <v/>
      </c>
      <c r="WRJ3" t="str">
        <f>IFERROR(IF($C3="","",SUMIFS(Ledger!$K$2:$K$4, Ledger!$B$2:$B$4, $A3, Ledger!$C$2:$C$4, WRJ$2)),"****")</f>
        <v/>
      </c>
      <c r="WRK3" t="str">
        <f>IFERROR(IF($C3="","",SUMIFS(Ledger!$K$2:$K$4, Ledger!$B$2:$B$4, $A3, Ledger!$C$2:$C$4, WRK$2)),"****")</f>
        <v/>
      </c>
      <c r="WRL3" t="str">
        <f>IFERROR(IF($C3="","",SUMIFS(Ledger!$K$2:$K$4, Ledger!$B$2:$B$4, $A3, Ledger!$C$2:$C$4, WRL$2)),"****")</f>
        <v/>
      </c>
      <c r="WRM3" t="str">
        <f>IFERROR(IF($C3="","",SUMIFS(Ledger!$K$2:$K$4, Ledger!$B$2:$B$4, $A3, Ledger!$C$2:$C$4, WRM$2)),"****")</f>
        <v/>
      </c>
      <c r="WRN3" t="str">
        <f>IFERROR(IF($C3="","",SUMIFS(Ledger!$K$2:$K$4, Ledger!$B$2:$B$4, $A3, Ledger!$C$2:$C$4, WRN$2)),"****")</f>
        <v/>
      </c>
      <c r="WRO3" t="str">
        <f>IFERROR(IF($C3="","",SUMIFS(Ledger!$K$2:$K$4, Ledger!$B$2:$B$4, $A3, Ledger!$C$2:$C$4, WRO$2)),"****")</f>
        <v/>
      </c>
      <c r="WRP3" t="str">
        <f>IFERROR(IF($C3="","",SUMIFS(Ledger!$K$2:$K$4, Ledger!$B$2:$B$4, $A3, Ledger!$C$2:$C$4, WRP$2)),"****")</f>
        <v/>
      </c>
      <c r="WRQ3" t="str">
        <f>IFERROR(IF($C3="","",SUMIFS(Ledger!$K$2:$K$4, Ledger!$B$2:$B$4, $A3, Ledger!$C$2:$C$4, WRQ$2)),"****")</f>
        <v/>
      </c>
      <c r="WRR3" t="str">
        <f>IFERROR(IF($C3="","",SUMIFS(Ledger!$K$2:$K$4, Ledger!$B$2:$B$4, $A3, Ledger!$C$2:$C$4, WRR$2)),"****")</f>
        <v/>
      </c>
      <c r="WRS3" t="str">
        <f>IFERROR(IF($C3="","",SUMIFS(Ledger!$K$2:$K$4, Ledger!$B$2:$B$4, $A3, Ledger!$C$2:$C$4, WRS$2)),"****")</f>
        <v/>
      </c>
      <c r="WRT3" t="str">
        <f>IFERROR(IF($C3="","",SUMIFS(Ledger!$K$2:$K$4, Ledger!$B$2:$B$4, $A3, Ledger!$C$2:$C$4, WRT$2)),"****")</f>
        <v/>
      </c>
      <c r="WRU3" t="str">
        <f>IFERROR(IF($C3="","",SUMIFS(Ledger!$K$2:$K$4, Ledger!$B$2:$B$4, $A3, Ledger!$C$2:$C$4, WRU$2)),"****")</f>
        <v/>
      </c>
      <c r="WRV3" t="str">
        <f>IFERROR(IF($C3="","",SUMIFS(Ledger!$K$2:$K$4, Ledger!$B$2:$B$4, $A3, Ledger!$C$2:$C$4, WRV$2)),"****")</f>
        <v/>
      </c>
      <c r="WRW3" t="str">
        <f>IFERROR(IF($C3="","",SUMIFS(Ledger!$K$2:$K$4, Ledger!$B$2:$B$4, $A3, Ledger!$C$2:$C$4, WRW$2)),"****")</f>
        <v/>
      </c>
      <c r="WRX3" t="str">
        <f>IFERROR(IF($C3="","",SUMIFS(Ledger!$K$2:$K$4, Ledger!$B$2:$B$4, $A3, Ledger!$C$2:$C$4, WRX$2)),"****")</f>
        <v/>
      </c>
      <c r="WRY3" t="str">
        <f>IFERROR(IF($C3="","",SUMIFS(Ledger!$K$2:$K$4, Ledger!$B$2:$B$4, $A3, Ledger!$C$2:$C$4, WRY$2)),"****")</f>
        <v/>
      </c>
      <c r="WRZ3" t="str">
        <f>IFERROR(IF($C3="","",SUMIFS(Ledger!$K$2:$K$4, Ledger!$B$2:$B$4, $A3, Ledger!$C$2:$C$4, WRZ$2)),"****")</f>
        <v/>
      </c>
      <c r="WSA3" t="str">
        <f>IFERROR(IF($C3="","",SUMIFS(Ledger!$K$2:$K$4, Ledger!$B$2:$B$4, $A3, Ledger!$C$2:$C$4, WSA$2)),"****")</f>
        <v/>
      </c>
      <c r="WSB3" t="str">
        <f>IFERROR(IF($C3="","",SUMIFS(Ledger!$K$2:$K$4, Ledger!$B$2:$B$4, $A3, Ledger!$C$2:$C$4, WSB$2)),"****")</f>
        <v/>
      </c>
      <c r="WSC3" t="str">
        <f>IFERROR(IF($C3="","",SUMIFS(Ledger!$K$2:$K$4, Ledger!$B$2:$B$4, $A3, Ledger!$C$2:$C$4, WSC$2)),"****")</f>
        <v/>
      </c>
      <c r="WSD3" t="str">
        <f>IFERROR(IF($C3="","",SUMIFS(Ledger!$K$2:$K$4, Ledger!$B$2:$B$4, $A3, Ledger!$C$2:$C$4, WSD$2)),"****")</f>
        <v/>
      </c>
      <c r="WSE3" t="str">
        <f>IFERROR(IF($C3="","",SUMIFS(Ledger!$K$2:$K$4, Ledger!$B$2:$B$4, $A3, Ledger!$C$2:$C$4, WSE$2)),"****")</f>
        <v/>
      </c>
      <c r="WSF3" t="str">
        <f>IFERROR(IF($C3="","",SUMIFS(Ledger!$K$2:$K$4, Ledger!$B$2:$B$4, $A3, Ledger!$C$2:$C$4, WSF$2)),"****")</f>
        <v/>
      </c>
      <c r="WSG3" t="str">
        <f>IFERROR(IF($C3="","",SUMIFS(Ledger!$K$2:$K$4, Ledger!$B$2:$B$4, $A3, Ledger!$C$2:$C$4, WSG$2)),"****")</f>
        <v/>
      </c>
      <c r="WSH3" t="str">
        <f>IFERROR(IF($C3="","",SUMIFS(Ledger!$K$2:$K$4, Ledger!$B$2:$B$4, $A3, Ledger!$C$2:$C$4, WSH$2)),"****")</f>
        <v/>
      </c>
      <c r="WSI3" t="str">
        <f>IFERROR(IF($C3="","",SUMIFS(Ledger!$K$2:$K$4, Ledger!$B$2:$B$4, $A3, Ledger!$C$2:$C$4, WSI$2)),"****")</f>
        <v/>
      </c>
      <c r="WSJ3" t="str">
        <f>IFERROR(IF($C3="","",SUMIFS(Ledger!$K$2:$K$4, Ledger!$B$2:$B$4, $A3, Ledger!$C$2:$C$4, WSJ$2)),"****")</f>
        <v/>
      </c>
      <c r="WSK3" t="str">
        <f>IFERROR(IF($C3="","",SUMIFS(Ledger!$K$2:$K$4, Ledger!$B$2:$B$4, $A3, Ledger!$C$2:$C$4, WSK$2)),"****")</f>
        <v/>
      </c>
      <c r="WSL3" t="str">
        <f>IFERROR(IF($C3="","",SUMIFS(Ledger!$K$2:$K$4, Ledger!$B$2:$B$4, $A3, Ledger!$C$2:$C$4, WSL$2)),"****")</f>
        <v/>
      </c>
      <c r="WSM3" t="str">
        <f>IFERROR(IF($C3="","",SUMIFS(Ledger!$K$2:$K$4, Ledger!$B$2:$B$4, $A3, Ledger!$C$2:$C$4, WSM$2)),"****")</f>
        <v/>
      </c>
      <c r="WSN3" t="str">
        <f>IFERROR(IF($C3="","",SUMIFS(Ledger!$K$2:$K$4, Ledger!$B$2:$B$4, $A3, Ledger!$C$2:$C$4, WSN$2)),"****")</f>
        <v/>
      </c>
      <c r="WSO3" t="str">
        <f>IFERROR(IF($C3="","",SUMIFS(Ledger!$K$2:$K$4, Ledger!$B$2:$B$4, $A3, Ledger!$C$2:$C$4, WSO$2)),"****")</f>
        <v/>
      </c>
      <c r="WSP3" t="str">
        <f>IFERROR(IF($C3="","",SUMIFS(Ledger!$K$2:$K$4, Ledger!$B$2:$B$4, $A3, Ledger!$C$2:$C$4, WSP$2)),"****")</f>
        <v/>
      </c>
      <c r="WSQ3" t="str">
        <f>IFERROR(IF($C3="","",SUMIFS(Ledger!$K$2:$K$4, Ledger!$B$2:$B$4, $A3, Ledger!$C$2:$C$4, WSQ$2)),"****")</f>
        <v/>
      </c>
      <c r="WSR3" t="str">
        <f>IFERROR(IF($C3="","",SUMIFS(Ledger!$K$2:$K$4, Ledger!$B$2:$B$4, $A3, Ledger!$C$2:$C$4, WSR$2)),"****")</f>
        <v/>
      </c>
      <c r="WSS3" t="str">
        <f>IFERROR(IF($C3="","",SUMIFS(Ledger!$K$2:$K$4, Ledger!$B$2:$B$4, $A3, Ledger!$C$2:$C$4, WSS$2)),"****")</f>
        <v/>
      </c>
      <c r="WST3" t="str">
        <f>IFERROR(IF($C3="","",SUMIFS(Ledger!$K$2:$K$4, Ledger!$B$2:$B$4, $A3, Ledger!$C$2:$C$4, WST$2)),"****")</f>
        <v/>
      </c>
      <c r="WSU3" t="str">
        <f>IFERROR(IF($C3="","",SUMIFS(Ledger!$K$2:$K$4, Ledger!$B$2:$B$4, $A3, Ledger!$C$2:$C$4, WSU$2)),"****")</f>
        <v/>
      </c>
      <c r="WSV3" t="str">
        <f>IFERROR(IF($C3="","",SUMIFS(Ledger!$K$2:$K$4, Ledger!$B$2:$B$4, $A3, Ledger!$C$2:$C$4, WSV$2)),"****")</f>
        <v/>
      </c>
      <c r="WSW3" t="str">
        <f>IFERROR(IF($C3="","",SUMIFS(Ledger!$K$2:$K$4, Ledger!$B$2:$B$4, $A3, Ledger!$C$2:$C$4, WSW$2)),"****")</f>
        <v/>
      </c>
      <c r="WSX3" t="str">
        <f>IFERROR(IF($C3="","",SUMIFS(Ledger!$K$2:$K$4, Ledger!$B$2:$B$4, $A3, Ledger!$C$2:$C$4, WSX$2)),"****")</f>
        <v/>
      </c>
      <c r="WSY3" t="str">
        <f>IFERROR(IF($C3="","",SUMIFS(Ledger!$K$2:$K$4, Ledger!$B$2:$B$4, $A3, Ledger!$C$2:$C$4, WSY$2)),"****")</f>
        <v/>
      </c>
      <c r="WSZ3" t="str">
        <f>IFERROR(IF($C3="","",SUMIFS(Ledger!$K$2:$K$4, Ledger!$B$2:$B$4, $A3, Ledger!$C$2:$C$4, WSZ$2)),"****")</f>
        <v/>
      </c>
      <c r="WTA3" t="str">
        <f>IFERROR(IF($C3="","",SUMIFS(Ledger!$K$2:$K$4, Ledger!$B$2:$B$4, $A3, Ledger!$C$2:$C$4, WTA$2)),"****")</f>
        <v/>
      </c>
      <c r="WTB3" t="str">
        <f>IFERROR(IF($C3="","",SUMIFS(Ledger!$K$2:$K$4, Ledger!$B$2:$B$4, $A3, Ledger!$C$2:$C$4, WTB$2)),"****")</f>
        <v/>
      </c>
      <c r="WTC3" t="str">
        <f>IFERROR(IF($C3="","",SUMIFS(Ledger!$K$2:$K$4, Ledger!$B$2:$B$4, $A3, Ledger!$C$2:$C$4, WTC$2)),"****")</f>
        <v/>
      </c>
      <c r="WTD3" t="str">
        <f>IFERROR(IF($C3="","",SUMIFS(Ledger!$K$2:$K$4, Ledger!$B$2:$B$4, $A3, Ledger!$C$2:$C$4, WTD$2)),"****")</f>
        <v/>
      </c>
      <c r="WTE3" t="str">
        <f>IFERROR(IF($C3="","",SUMIFS(Ledger!$K$2:$K$4, Ledger!$B$2:$B$4, $A3, Ledger!$C$2:$C$4, WTE$2)),"****")</f>
        <v/>
      </c>
      <c r="WTF3" t="str">
        <f>IFERROR(IF($C3="","",SUMIFS(Ledger!$K$2:$K$4, Ledger!$B$2:$B$4, $A3, Ledger!$C$2:$C$4, WTF$2)),"****")</f>
        <v/>
      </c>
      <c r="WTG3" t="str">
        <f>IFERROR(IF($C3="","",SUMIFS(Ledger!$K$2:$K$4, Ledger!$B$2:$B$4, $A3, Ledger!$C$2:$C$4, WTG$2)),"****")</f>
        <v/>
      </c>
      <c r="WTH3" t="str">
        <f>IFERROR(IF($C3="","",SUMIFS(Ledger!$K$2:$K$4, Ledger!$B$2:$B$4, $A3, Ledger!$C$2:$C$4, WTH$2)),"****")</f>
        <v/>
      </c>
      <c r="WTI3" t="str">
        <f>IFERROR(IF($C3="","",SUMIFS(Ledger!$K$2:$K$4, Ledger!$B$2:$B$4, $A3, Ledger!$C$2:$C$4, WTI$2)),"****")</f>
        <v/>
      </c>
      <c r="WTJ3" t="str">
        <f>IFERROR(IF($C3="","",SUMIFS(Ledger!$K$2:$K$4, Ledger!$B$2:$B$4, $A3, Ledger!$C$2:$C$4, WTJ$2)),"****")</f>
        <v/>
      </c>
      <c r="WTK3" t="str">
        <f>IFERROR(IF($C3="","",SUMIFS(Ledger!$K$2:$K$4, Ledger!$B$2:$B$4, $A3, Ledger!$C$2:$C$4, WTK$2)),"****")</f>
        <v/>
      </c>
      <c r="WTL3" t="str">
        <f>IFERROR(IF($C3="","",SUMIFS(Ledger!$K$2:$K$4, Ledger!$B$2:$B$4, $A3, Ledger!$C$2:$C$4, WTL$2)),"****")</f>
        <v/>
      </c>
      <c r="WTM3" t="str">
        <f>IFERROR(IF($C3="","",SUMIFS(Ledger!$K$2:$K$4, Ledger!$B$2:$B$4, $A3, Ledger!$C$2:$C$4, WTM$2)),"****")</f>
        <v/>
      </c>
      <c r="WTN3" t="str">
        <f>IFERROR(IF($C3="","",SUMIFS(Ledger!$K$2:$K$4, Ledger!$B$2:$B$4, $A3, Ledger!$C$2:$C$4, WTN$2)),"****")</f>
        <v/>
      </c>
      <c r="WTO3" t="str">
        <f>IFERROR(IF($C3="","",SUMIFS(Ledger!$K$2:$K$4, Ledger!$B$2:$B$4, $A3, Ledger!$C$2:$C$4, WTO$2)),"****")</f>
        <v/>
      </c>
      <c r="WTP3" t="str">
        <f>IFERROR(IF($C3="","",SUMIFS(Ledger!$K$2:$K$4, Ledger!$B$2:$B$4, $A3, Ledger!$C$2:$C$4, WTP$2)),"****")</f>
        <v/>
      </c>
      <c r="WTQ3" t="str">
        <f>IFERROR(IF($C3="","",SUMIFS(Ledger!$K$2:$K$4, Ledger!$B$2:$B$4, $A3, Ledger!$C$2:$C$4, WTQ$2)),"****")</f>
        <v/>
      </c>
      <c r="WTR3" t="str">
        <f>IFERROR(IF($C3="","",SUMIFS(Ledger!$K$2:$K$4, Ledger!$B$2:$B$4, $A3, Ledger!$C$2:$C$4, WTR$2)),"****")</f>
        <v/>
      </c>
      <c r="WTS3" t="str">
        <f>IFERROR(IF($C3="","",SUMIFS(Ledger!$K$2:$K$4, Ledger!$B$2:$B$4, $A3, Ledger!$C$2:$C$4, WTS$2)),"****")</f>
        <v/>
      </c>
      <c r="WTT3" t="str">
        <f>IFERROR(IF($C3="","",SUMIFS(Ledger!$K$2:$K$4, Ledger!$B$2:$B$4, $A3, Ledger!$C$2:$C$4, WTT$2)),"****")</f>
        <v/>
      </c>
      <c r="WTU3" t="str">
        <f>IFERROR(IF($C3="","",SUMIFS(Ledger!$K$2:$K$4, Ledger!$B$2:$B$4, $A3, Ledger!$C$2:$C$4, WTU$2)),"****")</f>
        <v/>
      </c>
      <c r="WTV3" t="str">
        <f>IFERROR(IF($C3="","",SUMIFS(Ledger!$K$2:$K$4, Ledger!$B$2:$B$4, $A3, Ledger!$C$2:$C$4, WTV$2)),"****")</f>
        <v/>
      </c>
      <c r="WTW3" t="str">
        <f>IFERROR(IF($C3="","",SUMIFS(Ledger!$K$2:$K$4, Ledger!$B$2:$B$4, $A3, Ledger!$C$2:$C$4, WTW$2)),"****")</f>
        <v/>
      </c>
      <c r="WTX3" t="str">
        <f>IFERROR(IF($C3="","",SUMIFS(Ledger!$K$2:$K$4, Ledger!$B$2:$B$4, $A3, Ledger!$C$2:$C$4, WTX$2)),"****")</f>
        <v/>
      </c>
      <c r="WTY3" t="str">
        <f>IFERROR(IF($C3="","",SUMIFS(Ledger!$K$2:$K$4, Ledger!$B$2:$B$4, $A3, Ledger!$C$2:$C$4, WTY$2)),"****")</f>
        <v/>
      </c>
      <c r="WTZ3" t="str">
        <f>IFERROR(IF($C3="","",SUMIFS(Ledger!$K$2:$K$4, Ledger!$B$2:$B$4, $A3, Ledger!$C$2:$C$4, WTZ$2)),"****")</f>
        <v/>
      </c>
      <c r="WUA3" t="str">
        <f>IFERROR(IF($C3="","",SUMIFS(Ledger!$K$2:$K$4, Ledger!$B$2:$B$4, $A3, Ledger!$C$2:$C$4, WUA$2)),"****")</f>
        <v/>
      </c>
      <c r="WUB3" t="str">
        <f>IFERROR(IF($C3="","",SUMIFS(Ledger!$K$2:$K$4, Ledger!$B$2:$B$4, $A3, Ledger!$C$2:$C$4, WUB$2)),"****")</f>
        <v/>
      </c>
      <c r="WUC3" t="str">
        <f>IFERROR(IF($C3="","",SUMIFS(Ledger!$K$2:$K$4, Ledger!$B$2:$B$4, $A3, Ledger!$C$2:$C$4, WUC$2)),"****")</f>
        <v/>
      </c>
      <c r="WUD3" t="str">
        <f>IFERROR(IF($C3="","",SUMIFS(Ledger!$K$2:$K$4, Ledger!$B$2:$B$4, $A3, Ledger!$C$2:$C$4, WUD$2)),"****")</f>
        <v/>
      </c>
      <c r="WUE3" t="str">
        <f>IFERROR(IF($C3="","",SUMIFS(Ledger!$K$2:$K$4, Ledger!$B$2:$B$4, $A3, Ledger!$C$2:$C$4, WUE$2)),"****")</f>
        <v/>
      </c>
      <c r="WUF3" t="str">
        <f>IFERROR(IF($C3="","",SUMIFS(Ledger!$K$2:$K$4, Ledger!$B$2:$B$4, $A3, Ledger!$C$2:$C$4, WUF$2)),"****")</f>
        <v/>
      </c>
      <c r="WUG3" t="str">
        <f>IFERROR(IF($C3="","",SUMIFS(Ledger!$K$2:$K$4, Ledger!$B$2:$B$4, $A3, Ledger!$C$2:$C$4, WUG$2)),"****")</f>
        <v/>
      </c>
      <c r="WUH3" t="str">
        <f>IFERROR(IF($C3="","",SUMIFS(Ledger!$K$2:$K$4, Ledger!$B$2:$B$4, $A3, Ledger!$C$2:$C$4, WUH$2)),"****")</f>
        <v/>
      </c>
      <c r="WUI3" t="str">
        <f>IFERROR(IF($C3="","",SUMIFS(Ledger!$K$2:$K$4, Ledger!$B$2:$B$4, $A3, Ledger!$C$2:$C$4, WUI$2)),"****")</f>
        <v/>
      </c>
      <c r="WUJ3" t="str">
        <f>IFERROR(IF($C3="","",SUMIFS(Ledger!$K$2:$K$4, Ledger!$B$2:$B$4, $A3, Ledger!$C$2:$C$4, WUJ$2)),"****")</f>
        <v/>
      </c>
      <c r="WUK3" t="str">
        <f>IFERROR(IF($C3="","",SUMIFS(Ledger!$K$2:$K$4, Ledger!$B$2:$B$4, $A3, Ledger!$C$2:$C$4, WUK$2)),"****")</f>
        <v/>
      </c>
      <c r="WUL3" t="str">
        <f>IFERROR(IF($C3="","",SUMIFS(Ledger!$K$2:$K$4, Ledger!$B$2:$B$4, $A3, Ledger!$C$2:$C$4, WUL$2)),"****")</f>
        <v/>
      </c>
      <c r="WUM3" t="str">
        <f>IFERROR(IF($C3="","",SUMIFS(Ledger!$K$2:$K$4, Ledger!$B$2:$B$4, $A3, Ledger!$C$2:$C$4, WUM$2)),"****")</f>
        <v/>
      </c>
      <c r="WUN3" t="str">
        <f>IFERROR(IF($C3="","",SUMIFS(Ledger!$K$2:$K$4, Ledger!$B$2:$B$4, $A3, Ledger!$C$2:$C$4, WUN$2)),"****")</f>
        <v/>
      </c>
      <c r="WUO3" t="str">
        <f>IFERROR(IF($C3="","",SUMIFS(Ledger!$K$2:$K$4, Ledger!$B$2:$B$4, $A3, Ledger!$C$2:$C$4, WUO$2)),"****")</f>
        <v/>
      </c>
      <c r="WUP3" t="str">
        <f>IFERROR(IF($C3="","",SUMIFS(Ledger!$K$2:$K$4, Ledger!$B$2:$B$4, $A3, Ledger!$C$2:$C$4, WUP$2)),"****")</f>
        <v/>
      </c>
      <c r="WUQ3" t="str">
        <f>IFERROR(IF($C3="","",SUMIFS(Ledger!$K$2:$K$4, Ledger!$B$2:$B$4, $A3, Ledger!$C$2:$C$4, WUQ$2)),"****")</f>
        <v/>
      </c>
      <c r="WUR3" t="str">
        <f>IFERROR(IF($C3="","",SUMIFS(Ledger!$K$2:$K$4, Ledger!$B$2:$B$4, $A3, Ledger!$C$2:$C$4, WUR$2)),"****")</f>
        <v/>
      </c>
      <c r="WUS3" t="str">
        <f>IFERROR(IF($C3="","",SUMIFS(Ledger!$K$2:$K$4, Ledger!$B$2:$B$4, $A3, Ledger!$C$2:$C$4, WUS$2)),"****")</f>
        <v/>
      </c>
      <c r="WUT3" t="str">
        <f>IFERROR(IF($C3="","",SUMIFS(Ledger!$K$2:$K$4, Ledger!$B$2:$B$4, $A3, Ledger!$C$2:$C$4, WUT$2)),"****")</f>
        <v/>
      </c>
      <c r="WUU3" t="str">
        <f>IFERROR(IF($C3="","",SUMIFS(Ledger!$K$2:$K$4, Ledger!$B$2:$B$4, $A3, Ledger!$C$2:$C$4, WUU$2)),"****")</f>
        <v/>
      </c>
      <c r="WUV3" t="str">
        <f>IFERROR(IF($C3="","",SUMIFS(Ledger!$K$2:$K$4, Ledger!$B$2:$B$4, $A3, Ledger!$C$2:$C$4, WUV$2)),"****")</f>
        <v/>
      </c>
      <c r="WUW3" t="str">
        <f>IFERROR(IF($C3="","",SUMIFS(Ledger!$K$2:$K$4, Ledger!$B$2:$B$4, $A3, Ledger!$C$2:$C$4, WUW$2)),"****")</f>
        <v/>
      </c>
      <c r="WUX3" t="str">
        <f>IFERROR(IF($C3="","",SUMIFS(Ledger!$K$2:$K$4, Ledger!$B$2:$B$4, $A3, Ledger!$C$2:$C$4, WUX$2)),"****")</f>
        <v/>
      </c>
      <c r="WUY3" t="str">
        <f>IFERROR(IF($C3="","",SUMIFS(Ledger!$K$2:$K$4, Ledger!$B$2:$B$4, $A3, Ledger!$C$2:$C$4, WUY$2)),"****")</f>
        <v/>
      </c>
      <c r="WUZ3" t="str">
        <f>IFERROR(IF($C3="","",SUMIFS(Ledger!$K$2:$K$4, Ledger!$B$2:$B$4, $A3, Ledger!$C$2:$C$4, WUZ$2)),"****")</f>
        <v/>
      </c>
      <c r="WVA3" t="str">
        <f>IFERROR(IF($C3="","",SUMIFS(Ledger!$K$2:$K$4, Ledger!$B$2:$B$4, $A3, Ledger!$C$2:$C$4, WVA$2)),"****")</f>
        <v/>
      </c>
      <c r="WVB3" t="str">
        <f>IFERROR(IF($C3="","",SUMIFS(Ledger!$K$2:$K$4, Ledger!$B$2:$B$4, $A3, Ledger!$C$2:$C$4, WVB$2)),"****")</f>
        <v/>
      </c>
      <c r="WVC3" t="str">
        <f>IFERROR(IF($C3="","",SUMIFS(Ledger!$K$2:$K$4, Ledger!$B$2:$B$4, $A3, Ledger!$C$2:$C$4, WVC$2)),"****")</f>
        <v/>
      </c>
      <c r="WVD3" t="str">
        <f>IFERROR(IF($C3="","",SUMIFS(Ledger!$K$2:$K$4, Ledger!$B$2:$B$4, $A3, Ledger!$C$2:$C$4, WVD$2)),"****")</f>
        <v/>
      </c>
      <c r="WVE3" t="str">
        <f>IFERROR(IF($C3="","",SUMIFS(Ledger!$K$2:$K$4, Ledger!$B$2:$B$4, $A3, Ledger!$C$2:$C$4, WVE$2)),"****")</f>
        <v/>
      </c>
      <c r="WVF3" t="str">
        <f>IFERROR(IF($C3="","",SUMIFS(Ledger!$K$2:$K$4, Ledger!$B$2:$B$4, $A3, Ledger!$C$2:$C$4, WVF$2)),"****")</f>
        <v/>
      </c>
      <c r="WVG3" t="str">
        <f>IFERROR(IF($C3="","",SUMIFS(Ledger!$K$2:$K$4, Ledger!$B$2:$B$4, $A3, Ledger!$C$2:$C$4, WVG$2)),"****")</f>
        <v/>
      </c>
      <c r="WVH3" t="str">
        <f>IFERROR(IF($C3="","",SUMIFS(Ledger!$K$2:$K$4, Ledger!$B$2:$B$4, $A3, Ledger!$C$2:$C$4, WVH$2)),"****")</f>
        <v/>
      </c>
      <c r="WVI3" t="str">
        <f>IFERROR(IF($C3="","",SUMIFS(Ledger!$K$2:$K$4, Ledger!$B$2:$B$4, $A3, Ledger!$C$2:$C$4, WVI$2)),"****")</f>
        <v/>
      </c>
      <c r="WVJ3" t="str">
        <f>IFERROR(IF($C3="","",SUMIFS(Ledger!$K$2:$K$4, Ledger!$B$2:$B$4, $A3, Ledger!$C$2:$C$4, WVJ$2)),"****")</f>
        <v/>
      </c>
      <c r="WVK3" t="str">
        <f>IFERROR(IF($C3="","",SUMIFS(Ledger!$K$2:$K$4, Ledger!$B$2:$B$4, $A3, Ledger!$C$2:$C$4, WVK$2)),"****")</f>
        <v/>
      </c>
      <c r="WVL3" t="str">
        <f>IFERROR(IF($C3="","",SUMIFS(Ledger!$K$2:$K$4, Ledger!$B$2:$B$4, $A3, Ledger!$C$2:$C$4, WVL$2)),"****")</f>
        <v/>
      </c>
      <c r="WVM3" t="str">
        <f>IFERROR(IF($C3="","",SUMIFS(Ledger!$K$2:$K$4, Ledger!$B$2:$B$4, $A3, Ledger!$C$2:$C$4, WVM$2)),"****")</f>
        <v/>
      </c>
      <c r="WVN3" t="str">
        <f>IFERROR(IF($C3="","",SUMIFS(Ledger!$K$2:$K$4, Ledger!$B$2:$B$4, $A3, Ledger!$C$2:$C$4, WVN$2)),"****")</f>
        <v/>
      </c>
      <c r="WVO3" t="str">
        <f>IFERROR(IF($C3="","",SUMIFS(Ledger!$K$2:$K$4, Ledger!$B$2:$B$4, $A3, Ledger!$C$2:$C$4, WVO$2)),"****")</f>
        <v/>
      </c>
      <c r="WVP3" t="str">
        <f>IFERROR(IF($C3="","",SUMIFS(Ledger!$K$2:$K$4, Ledger!$B$2:$B$4, $A3, Ledger!$C$2:$C$4, WVP$2)),"****")</f>
        <v/>
      </c>
      <c r="WVQ3" t="str">
        <f>IFERROR(IF($C3="","",SUMIFS(Ledger!$K$2:$K$4, Ledger!$B$2:$B$4, $A3, Ledger!$C$2:$C$4, WVQ$2)),"****")</f>
        <v/>
      </c>
      <c r="WVR3" t="str">
        <f>IFERROR(IF($C3="","",SUMIFS(Ledger!$K$2:$K$4, Ledger!$B$2:$B$4, $A3, Ledger!$C$2:$C$4, WVR$2)),"****")</f>
        <v/>
      </c>
      <c r="WVS3" t="str">
        <f>IFERROR(IF($C3="","",SUMIFS(Ledger!$K$2:$K$4, Ledger!$B$2:$B$4, $A3, Ledger!$C$2:$C$4, WVS$2)),"****")</f>
        <v/>
      </c>
      <c r="WVT3" t="str">
        <f>IFERROR(IF($C3="","",SUMIFS(Ledger!$K$2:$K$4, Ledger!$B$2:$B$4, $A3, Ledger!$C$2:$C$4, WVT$2)),"****")</f>
        <v/>
      </c>
      <c r="WVU3" t="str">
        <f>IFERROR(IF($C3="","",SUMIFS(Ledger!$K$2:$K$4, Ledger!$B$2:$B$4, $A3, Ledger!$C$2:$C$4, WVU$2)),"****")</f>
        <v/>
      </c>
      <c r="WVV3" t="str">
        <f>IFERROR(IF($C3="","",SUMIFS(Ledger!$K$2:$K$4, Ledger!$B$2:$B$4, $A3, Ledger!$C$2:$C$4, WVV$2)),"****")</f>
        <v/>
      </c>
      <c r="WVW3" t="str">
        <f>IFERROR(IF($C3="","",SUMIFS(Ledger!$K$2:$K$4, Ledger!$B$2:$B$4, $A3, Ledger!$C$2:$C$4, WVW$2)),"****")</f>
        <v/>
      </c>
      <c r="WVX3" t="str">
        <f>IFERROR(IF($C3="","",SUMIFS(Ledger!$K$2:$K$4, Ledger!$B$2:$B$4, $A3, Ledger!$C$2:$C$4, WVX$2)),"****")</f>
        <v/>
      </c>
      <c r="WVY3" t="str">
        <f>IFERROR(IF($C3="","",SUMIFS(Ledger!$K$2:$K$4, Ledger!$B$2:$B$4, $A3, Ledger!$C$2:$C$4, WVY$2)),"****")</f>
        <v/>
      </c>
      <c r="WVZ3" t="str">
        <f>IFERROR(IF($C3="","",SUMIFS(Ledger!$K$2:$K$4, Ledger!$B$2:$B$4, $A3, Ledger!$C$2:$C$4, WVZ$2)),"****")</f>
        <v/>
      </c>
      <c r="WWA3" t="str">
        <f>IFERROR(IF($C3="","",SUMIFS(Ledger!$K$2:$K$4, Ledger!$B$2:$B$4, $A3, Ledger!$C$2:$C$4, WWA$2)),"****")</f>
        <v/>
      </c>
      <c r="WWB3" t="str">
        <f>IFERROR(IF($C3="","",SUMIFS(Ledger!$K$2:$K$4, Ledger!$B$2:$B$4, $A3, Ledger!$C$2:$C$4, WWB$2)),"****")</f>
        <v/>
      </c>
      <c r="WWC3" t="str">
        <f>IFERROR(IF($C3="","",SUMIFS(Ledger!$K$2:$K$4, Ledger!$B$2:$B$4, $A3, Ledger!$C$2:$C$4, WWC$2)),"****")</f>
        <v/>
      </c>
      <c r="WWD3" t="str">
        <f>IFERROR(IF($C3="","",SUMIFS(Ledger!$K$2:$K$4, Ledger!$B$2:$B$4, $A3, Ledger!$C$2:$C$4, WWD$2)),"****")</f>
        <v/>
      </c>
      <c r="WWE3" t="str">
        <f>IFERROR(IF($C3="","",SUMIFS(Ledger!$K$2:$K$4, Ledger!$B$2:$B$4, $A3, Ledger!$C$2:$C$4, WWE$2)),"****")</f>
        <v/>
      </c>
      <c r="WWF3" t="str">
        <f>IFERROR(IF($C3="","",SUMIFS(Ledger!$K$2:$K$4, Ledger!$B$2:$B$4, $A3, Ledger!$C$2:$C$4, WWF$2)),"****")</f>
        <v/>
      </c>
      <c r="WWG3" t="str">
        <f>IFERROR(IF($C3="","",SUMIFS(Ledger!$K$2:$K$4, Ledger!$B$2:$B$4, $A3, Ledger!$C$2:$C$4, WWG$2)),"****")</f>
        <v/>
      </c>
      <c r="WWH3" t="str">
        <f>IFERROR(IF($C3="","",SUMIFS(Ledger!$K$2:$K$4, Ledger!$B$2:$B$4, $A3, Ledger!$C$2:$C$4, WWH$2)),"****")</f>
        <v/>
      </c>
      <c r="WWI3" t="str">
        <f>IFERROR(IF($C3="","",SUMIFS(Ledger!$K$2:$K$4, Ledger!$B$2:$B$4, $A3, Ledger!$C$2:$C$4, WWI$2)),"****")</f>
        <v/>
      </c>
      <c r="WWJ3" t="str">
        <f>IFERROR(IF($C3="","",SUMIFS(Ledger!$K$2:$K$4, Ledger!$B$2:$B$4, $A3, Ledger!$C$2:$C$4, WWJ$2)),"****")</f>
        <v/>
      </c>
      <c r="WWK3" t="str">
        <f>IFERROR(IF($C3="","",SUMIFS(Ledger!$K$2:$K$4, Ledger!$B$2:$B$4, $A3, Ledger!$C$2:$C$4, WWK$2)),"****")</f>
        <v/>
      </c>
      <c r="WWL3" t="str">
        <f>IFERROR(IF($C3="","",SUMIFS(Ledger!$K$2:$K$4, Ledger!$B$2:$B$4, $A3, Ledger!$C$2:$C$4, WWL$2)),"****")</f>
        <v/>
      </c>
      <c r="WWM3" t="str">
        <f>IFERROR(IF($C3="","",SUMIFS(Ledger!$K$2:$K$4, Ledger!$B$2:$B$4, $A3, Ledger!$C$2:$C$4, WWM$2)),"****")</f>
        <v/>
      </c>
      <c r="WWN3" t="str">
        <f>IFERROR(IF($C3="","",SUMIFS(Ledger!$K$2:$K$4, Ledger!$B$2:$B$4, $A3, Ledger!$C$2:$C$4, WWN$2)),"****")</f>
        <v/>
      </c>
      <c r="WWO3" t="str">
        <f>IFERROR(IF($C3="","",SUMIFS(Ledger!$K$2:$K$4, Ledger!$B$2:$B$4, $A3, Ledger!$C$2:$C$4, WWO$2)),"****")</f>
        <v/>
      </c>
      <c r="WWP3" t="str">
        <f>IFERROR(IF($C3="","",SUMIFS(Ledger!$K$2:$K$4, Ledger!$B$2:$B$4, $A3, Ledger!$C$2:$C$4, WWP$2)),"****")</f>
        <v/>
      </c>
      <c r="WWQ3" t="str">
        <f>IFERROR(IF($C3="","",SUMIFS(Ledger!$K$2:$K$4, Ledger!$B$2:$B$4, $A3, Ledger!$C$2:$C$4, WWQ$2)),"****")</f>
        <v/>
      </c>
      <c r="WWR3" t="str">
        <f>IFERROR(IF($C3="","",SUMIFS(Ledger!$K$2:$K$4, Ledger!$B$2:$B$4, $A3, Ledger!$C$2:$C$4, WWR$2)),"****")</f>
        <v/>
      </c>
      <c r="WWS3" t="str">
        <f>IFERROR(IF($C3="","",SUMIFS(Ledger!$K$2:$K$4, Ledger!$B$2:$B$4, $A3, Ledger!$C$2:$C$4, WWS$2)),"****")</f>
        <v/>
      </c>
      <c r="WWT3" t="str">
        <f>IFERROR(IF($C3="","",SUMIFS(Ledger!$K$2:$K$4, Ledger!$B$2:$B$4, $A3, Ledger!$C$2:$C$4, WWT$2)),"****")</f>
        <v/>
      </c>
      <c r="WWU3" t="str">
        <f>IFERROR(IF($C3="","",SUMIFS(Ledger!$K$2:$K$4, Ledger!$B$2:$B$4, $A3, Ledger!$C$2:$C$4, WWU$2)),"****")</f>
        <v/>
      </c>
      <c r="WWV3" t="str">
        <f>IFERROR(IF($C3="","",SUMIFS(Ledger!$K$2:$K$4, Ledger!$B$2:$B$4, $A3, Ledger!$C$2:$C$4, WWV$2)),"****")</f>
        <v/>
      </c>
      <c r="WWW3" t="str">
        <f>IFERROR(IF($C3="","",SUMIFS(Ledger!$K$2:$K$4, Ledger!$B$2:$B$4, $A3, Ledger!$C$2:$C$4, WWW$2)),"****")</f>
        <v/>
      </c>
      <c r="WWX3" t="str">
        <f>IFERROR(IF($C3="","",SUMIFS(Ledger!$K$2:$K$4, Ledger!$B$2:$B$4, $A3, Ledger!$C$2:$C$4, WWX$2)),"****")</f>
        <v/>
      </c>
      <c r="WWY3" t="str">
        <f>IFERROR(IF($C3="","",SUMIFS(Ledger!$K$2:$K$4, Ledger!$B$2:$B$4, $A3, Ledger!$C$2:$C$4, WWY$2)),"****")</f>
        <v/>
      </c>
      <c r="WWZ3" t="str">
        <f>IFERROR(IF($C3="","",SUMIFS(Ledger!$K$2:$K$4, Ledger!$B$2:$B$4, $A3, Ledger!$C$2:$C$4, WWZ$2)),"****")</f>
        <v/>
      </c>
      <c r="WXA3" t="str">
        <f>IFERROR(IF($C3="","",SUMIFS(Ledger!$K$2:$K$4, Ledger!$B$2:$B$4, $A3, Ledger!$C$2:$C$4, WXA$2)),"****")</f>
        <v/>
      </c>
      <c r="WXB3" t="str">
        <f>IFERROR(IF($C3="","",SUMIFS(Ledger!$K$2:$K$4, Ledger!$B$2:$B$4, $A3, Ledger!$C$2:$C$4, WXB$2)),"****")</f>
        <v/>
      </c>
      <c r="WXC3" t="str">
        <f>IFERROR(IF($C3="","",SUMIFS(Ledger!$K$2:$K$4, Ledger!$B$2:$B$4, $A3, Ledger!$C$2:$C$4, WXC$2)),"****")</f>
        <v/>
      </c>
      <c r="WXD3" t="str">
        <f>IFERROR(IF($C3="","",SUMIFS(Ledger!$K$2:$K$4, Ledger!$B$2:$B$4, $A3, Ledger!$C$2:$C$4, WXD$2)),"****")</f>
        <v/>
      </c>
      <c r="WXE3" t="str">
        <f>IFERROR(IF($C3="","",SUMIFS(Ledger!$K$2:$K$4, Ledger!$B$2:$B$4, $A3, Ledger!$C$2:$C$4, WXE$2)),"****")</f>
        <v/>
      </c>
      <c r="WXF3" t="str">
        <f>IFERROR(IF($C3="","",SUMIFS(Ledger!$K$2:$K$4, Ledger!$B$2:$B$4, $A3, Ledger!$C$2:$C$4, WXF$2)),"****")</f>
        <v/>
      </c>
      <c r="WXG3" t="str">
        <f>IFERROR(IF($C3="","",SUMIFS(Ledger!$K$2:$K$4, Ledger!$B$2:$B$4, $A3, Ledger!$C$2:$C$4, WXG$2)),"****")</f>
        <v/>
      </c>
      <c r="WXH3" t="str">
        <f>IFERROR(IF($C3="","",SUMIFS(Ledger!$K$2:$K$4, Ledger!$B$2:$B$4, $A3, Ledger!$C$2:$C$4, WXH$2)),"****")</f>
        <v/>
      </c>
      <c r="WXI3" t="str">
        <f>IFERROR(IF($C3="","",SUMIFS(Ledger!$K$2:$K$4, Ledger!$B$2:$B$4, $A3, Ledger!$C$2:$C$4, WXI$2)),"****")</f>
        <v/>
      </c>
      <c r="WXJ3" t="str">
        <f>IFERROR(IF($C3="","",SUMIFS(Ledger!$K$2:$K$4, Ledger!$B$2:$B$4, $A3, Ledger!$C$2:$C$4, WXJ$2)),"****")</f>
        <v/>
      </c>
      <c r="WXK3" t="str">
        <f>IFERROR(IF($C3="","",SUMIFS(Ledger!$K$2:$K$4, Ledger!$B$2:$B$4, $A3, Ledger!$C$2:$C$4, WXK$2)),"****")</f>
        <v/>
      </c>
      <c r="WXL3" t="str">
        <f>IFERROR(IF($C3="","",SUMIFS(Ledger!$K$2:$K$4, Ledger!$B$2:$B$4, $A3, Ledger!$C$2:$C$4, WXL$2)),"****")</f>
        <v/>
      </c>
      <c r="WXM3" t="str">
        <f>IFERROR(IF($C3="","",SUMIFS(Ledger!$K$2:$K$4, Ledger!$B$2:$B$4, $A3, Ledger!$C$2:$C$4, WXM$2)),"****")</f>
        <v/>
      </c>
      <c r="WXN3" t="str">
        <f>IFERROR(IF($C3="","",SUMIFS(Ledger!$K$2:$K$4, Ledger!$B$2:$B$4, $A3, Ledger!$C$2:$C$4, WXN$2)),"****")</f>
        <v/>
      </c>
      <c r="WXO3" t="str">
        <f>IFERROR(IF($C3="","",SUMIFS(Ledger!$K$2:$K$4, Ledger!$B$2:$B$4, $A3, Ledger!$C$2:$C$4, WXO$2)),"****")</f>
        <v/>
      </c>
      <c r="WXP3" t="str">
        <f>IFERROR(IF($C3="","",SUMIFS(Ledger!$K$2:$K$4, Ledger!$B$2:$B$4, $A3, Ledger!$C$2:$C$4, WXP$2)),"****")</f>
        <v/>
      </c>
      <c r="WXQ3" t="str">
        <f>IFERROR(IF($C3="","",SUMIFS(Ledger!$K$2:$K$4, Ledger!$B$2:$B$4, $A3, Ledger!$C$2:$C$4, WXQ$2)),"****")</f>
        <v/>
      </c>
      <c r="WXR3" t="str">
        <f>IFERROR(IF($C3="","",SUMIFS(Ledger!$K$2:$K$4, Ledger!$B$2:$B$4, $A3, Ledger!$C$2:$C$4, WXR$2)),"****")</f>
        <v/>
      </c>
      <c r="WXS3" t="str">
        <f>IFERROR(IF($C3="","",SUMIFS(Ledger!$K$2:$K$4, Ledger!$B$2:$B$4, $A3, Ledger!$C$2:$C$4, WXS$2)),"****")</f>
        <v/>
      </c>
      <c r="WXT3" t="str">
        <f>IFERROR(IF($C3="","",SUMIFS(Ledger!$K$2:$K$4, Ledger!$B$2:$B$4, $A3, Ledger!$C$2:$C$4, WXT$2)),"****")</f>
        <v/>
      </c>
      <c r="WXU3" t="str">
        <f>IFERROR(IF($C3="","",SUMIFS(Ledger!$K$2:$K$4, Ledger!$B$2:$B$4, $A3, Ledger!$C$2:$C$4, WXU$2)),"****")</f>
        <v/>
      </c>
      <c r="WXV3" t="str">
        <f>IFERROR(IF($C3="","",SUMIFS(Ledger!$K$2:$K$4, Ledger!$B$2:$B$4, $A3, Ledger!$C$2:$C$4, WXV$2)),"****")</f>
        <v/>
      </c>
      <c r="WXW3" t="str">
        <f>IFERROR(IF($C3="","",SUMIFS(Ledger!$K$2:$K$4, Ledger!$B$2:$B$4, $A3, Ledger!$C$2:$C$4, WXW$2)),"****")</f>
        <v/>
      </c>
      <c r="WXX3" t="str">
        <f>IFERROR(IF($C3="","",SUMIFS(Ledger!$K$2:$K$4, Ledger!$B$2:$B$4, $A3, Ledger!$C$2:$C$4, WXX$2)),"****")</f>
        <v/>
      </c>
      <c r="WXY3" t="str">
        <f>IFERROR(IF($C3="","",SUMIFS(Ledger!$K$2:$K$4, Ledger!$B$2:$B$4, $A3, Ledger!$C$2:$C$4, WXY$2)),"****")</f>
        <v/>
      </c>
      <c r="WXZ3" t="str">
        <f>IFERROR(IF($C3="","",SUMIFS(Ledger!$K$2:$K$4, Ledger!$B$2:$B$4, $A3, Ledger!$C$2:$C$4, WXZ$2)),"****")</f>
        <v/>
      </c>
      <c r="WYA3" t="str">
        <f>IFERROR(IF($C3="","",SUMIFS(Ledger!$K$2:$K$4, Ledger!$B$2:$B$4, $A3, Ledger!$C$2:$C$4, WYA$2)),"****")</f>
        <v/>
      </c>
      <c r="WYB3" t="str">
        <f>IFERROR(IF($C3="","",SUMIFS(Ledger!$K$2:$K$4, Ledger!$B$2:$B$4, $A3, Ledger!$C$2:$C$4, WYB$2)),"****")</f>
        <v/>
      </c>
      <c r="WYC3" t="str">
        <f>IFERROR(IF($C3="","",SUMIFS(Ledger!$K$2:$K$4, Ledger!$B$2:$B$4, $A3, Ledger!$C$2:$C$4, WYC$2)),"****")</f>
        <v/>
      </c>
      <c r="WYD3" t="str">
        <f>IFERROR(IF($C3="","",SUMIFS(Ledger!$K$2:$K$4, Ledger!$B$2:$B$4, $A3, Ledger!$C$2:$C$4, WYD$2)),"****")</f>
        <v/>
      </c>
      <c r="WYE3" t="str">
        <f>IFERROR(IF($C3="","",SUMIFS(Ledger!$K$2:$K$4, Ledger!$B$2:$B$4, $A3, Ledger!$C$2:$C$4, WYE$2)),"****")</f>
        <v/>
      </c>
      <c r="WYF3" t="str">
        <f>IFERROR(IF($C3="","",SUMIFS(Ledger!$K$2:$K$4, Ledger!$B$2:$B$4, $A3, Ledger!$C$2:$C$4, WYF$2)),"****")</f>
        <v/>
      </c>
      <c r="WYG3" t="str">
        <f>IFERROR(IF($C3="","",SUMIFS(Ledger!$K$2:$K$4, Ledger!$B$2:$B$4, $A3, Ledger!$C$2:$C$4, WYG$2)),"****")</f>
        <v/>
      </c>
      <c r="WYH3" t="str">
        <f>IFERROR(IF($C3="","",SUMIFS(Ledger!$K$2:$K$4, Ledger!$B$2:$B$4, $A3, Ledger!$C$2:$C$4, WYH$2)),"****")</f>
        <v/>
      </c>
      <c r="WYI3" t="str">
        <f>IFERROR(IF($C3="","",SUMIFS(Ledger!$K$2:$K$4, Ledger!$B$2:$B$4, $A3, Ledger!$C$2:$C$4, WYI$2)),"****")</f>
        <v/>
      </c>
      <c r="WYJ3" t="str">
        <f>IFERROR(IF($C3="","",SUMIFS(Ledger!$K$2:$K$4, Ledger!$B$2:$B$4, $A3, Ledger!$C$2:$C$4, WYJ$2)),"****")</f>
        <v/>
      </c>
      <c r="WYK3" t="str">
        <f>IFERROR(IF($C3="","",SUMIFS(Ledger!$K$2:$K$4, Ledger!$B$2:$B$4, $A3, Ledger!$C$2:$C$4, WYK$2)),"****")</f>
        <v/>
      </c>
      <c r="WYL3" t="str">
        <f>IFERROR(IF($C3="","",SUMIFS(Ledger!$K$2:$K$4, Ledger!$B$2:$B$4, $A3, Ledger!$C$2:$C$4, WYL$2)),"****")</f>
        <v/>
      </c>
      <c r="WYM3" t="str">
        <f>IFERROR(IF($C3="","",SUMIFS(Ledger!$K$2:$K$4, Ledger!$B$2:$B$4, $A3, Ledger!$C$2:$C$4, WYM$2)),"****")</f>
        <v/>
      </c>
      <c r="WYN3" t="str">
        <f>IFERROR(IF($C3="","",SUMIFS(Ledger!$K$2:$K$4, Ledger!$B$2:$B$4, $A3, Ledger!$C$2:$C$4, WYN$2)),"****")</f>
        <v/>
      </c>
      <c r="WYO3" t="str">
        <f>IFERROR(IF($C3="","",SUMIFS(Ledger!$K$2:$K$4, Ledger!$B$2:$B$4, $A3, Ledger!$C$2:$C$4, WYO$2)),"****")</f>
        <v/>
      </c>
      <c r="WYP3" t="str">
        <f>IFERROR(IF($C3="","",SUMIFS(Ledger!$K$2:$K$4, Ledger!$B$2:$B$4, $A3, Ledger!$C$2:$C$4, WYP$2)),"****")</f>
        <v/>
      </c>
      <c r="WYQ3" t="str">
        <f>IFERROR(IF($C3="","",SUMIFS(Ledger!$K$2:$K$4, Ledger!$B$2:$B$4, $A3, Ledger!$C$2:$C$4, WYQ$2)),"****")</f>
        <v/>
      </c>
      <c r="WYR3" t="str">
        <f>IFERROR(IF($C3="","",SUMIFS(Ledger!$K$2:$K$4, Ledger!$B$2:$B$4, $A3, Ledger!$C$2:$C$4, WYR$2)),"****")</f>
        <v/>
      </c>
      <c r="WYS3" t="str">
        <f>IFERROR(IF($C3="","",SUMIFS(Ledger!$K$2:$K$4, Ledger!$B$2:$B$4, $A3, Ledger!$C$2:$C$4, WYS$2)),"****")</f>
        <v/>
      </c>
      <c r="WYT3" t="str">
        <f>IFERROR(IF($C3="","",SUMIFS(Ledger!$K$2:$K$4, Ledger!$B$2:$B$4, $A3, Ledger!$C$2:$C$4, WYT$2)),"****")</f>
        <v/>
      </c>
      <c r="WYU3" t="str">
        <f>IFERROR(IF($C3="","",SUMIFS(Ledger!$K$2:$K$4, Ledger!$B$2:$B$4, $A3, Ledger!$C$2:$C$4, WYU$2)),"****")</f>
        <v/>
      </c>
      <c r="WYV3" t="str">
        <f>IFERROR(IF($C3="","",SUMIFS(Ledger!$K$2:$K$4, Ledger!$B$2:$B$4, $A3, Ledger!$C$2:$C$4, WYV$2)),"****")</f>
        <v/>
      </c>
      <c r="WYW3" t="str">
        <f>IFERROR(IF($C3="","",SUMIFS(Ledger!$K$2:$K$4, Ledger!$B$2:$B$4, $A3, Ledger!$C$2:$C$4, WYW$2)),"****")</f>
        <v/>
      </c>
      <c r="WYX3" t="str">
        <f>IFERROR(IF($C3="","",SUMIFS(Ledger!$K$2:$K$4, Ledger!$B$2:$B$4, $A3, Ledger!$C$2:$C$4, WYX$2)),"****")</f>
        <v/>
      </c>
      <c r="WYY3" t="str">
        <f>IFERROR(IF($C3="","",SUMIFS(Ledger!$K$2:$K$4, Ledger!$B$2:$B$4, $A3, Ledger!$C$2:$C$4, WYY$2)),"****")</f>
        <v/>
      </c>
      <c r="WYZ3" t="str">
        <f>IFERROR(IF($C3="","",SUMIFS(Ledger!$K$2:$K$4, Ledger!$B$2:$B$4, $A3, Ledger!$C$2:$C$4, WYZ$2)),"****")</f>
        <v/>
      </c>
      <c r="WZA3" t="str">
        <f>IFERROR(IF($C3="","",SUMIFS(Ledger!$K$2:$K$4, Ledger!$B$2:$B$4, $A3, Ledger!$C$2:$C$4, WZA$2)),"****")</f>
        <v/>
      </c>
      <c r="WZB3" t="str">
        <f>IFERROR(IF($C3="","",SUMIFS(Ledger!$K$2:$K$4, Ledger!$B$2:$B$4, $A3, Ledger!$C$2:$C$4, WZB$2)),"****")</f>
        <v/>
      </c>
      <c r="WZC3" t="str">
        <f>IFERROR(IF($C3="","",SUMIFS(Ledger!$K$2:$K$4, Ledger!$B$2:$B$4, $A3, Ledger!$C$2:$C$4, WZC$2)),"****")</f>
        <v/>
      </c>
      <c r="WZD3" t="str">
        <f>IFERROR(IF($C3="","",SUMIFS(Ledger!$K$2:$K$4, Ledger!$B$2:$B$4, $A3, Ledger!$C$2:$C$4, WZD$2)),"****")</f>
        <v/>
      </c>
      <c r="WZE3" t="str">
        <f>IFERROR(IF($C3="","",SUMIFS(Ledger!$K$2:$K$4, Ledger!$B$2:$B$4, $A3, Ledger!$C$2:$C$4, WZE$2)),"****")</f>
        <v/>
      </c>
      <c r="WZF3" t="str">
        <f>IFERROR(IF($C3="","",SUMIFS(Ledger!$K$2:$K$4, Ledger!$B$2:$B$4, $A3, Ledger!$C$2:$C$4, WZF$2)),"****")</f>
        <v/>
      </c>
      <c r="WZG3" t="str">
        <f>IFERROR(IF($C3="","",SUMIFS(Ledger!$K$2:$K$4, Ledger!$B$2:$B$4, $A3, Ledger!$C$2:$C$4, WZG$2)),"****")</f>
        <v/>
      </c>
      <c r="WZH3" t="str">
        <f>IFERROR(IF($C3="","",SUMIFS(Ledger!$K$2:$K$4, Ledger!$B$2:$B$4, $A3, Ledger!$C$2:$C$4, WZH$2)),"****")</f>
        <v/>
      </c>
      <c r="WZI3" t="str">
        <f>IFERROR(IF($C3="","",SUMIFS(Ledger!$K$2:$K$4, Ledger!$B$2:$B$4, $A3, Ledger!$C$2:$C$4, WZI$2)),"****")</f>
        <v/>
      </c>
      <c r="WZJ3" t="str">
        <f>IFERROR(IF($C3="","",SUMIFS(Ledger!$K$2:$K$4, Ledger!$B$2:$B$4, $A3, Ledger!$C$2:$C$4, WZJ$2)),"****")</f>
        <v/>
      </c>
      <c r="WZK3" t="str">
        <f>IFERROR(IF($C3="","",SUMIFS(Ledger!$K$2:$K$4, Ledger!$B$2:$B$4, $A3, Ledger!$C$2:$C$4, WZK$2)),"****")</f>
        <v/>
      </c>
      <c r="WZL3" t="str">
        <f>IFERROR(IF($C3="","",SUMIFS(Ledger!$K$2:$K$4, Ledger!$B$2:$B$4, $A3, Ledger!$C$2:$C$4, WZL$2)),"****")</f>
        <v/>
      </c>
      <c r="WZM3" t="str">
        <f>IFERROR(IF($C3="","",SUMIFS(Ledger!$K$2:$K$4, Ledger!$B$2:$B$4, $A3, Ledger!$C$2:$C$4, WZM$2)),"****")</f>
        <v/>
      </c>
      <c r="WZN3" t="str">
        <f>IFERROR(IF($C3="","",SUMIFS(Ledger!$K$2:$K$4, Ledger!$B$2:$B$4, $A3, Ledger!$C$2:$C$4, WZN$2)),"****")</f>
        <v/>
      </c>
      <c r="WZO3" t="str">
        <f>IFERROR(IF($C3="","",SUMIFS(Ledger!$K$2:$K$4, Ledger!$B$2:$B$4, $A3, Ledger!$C$2:$C$4, WZO$2)),"****")</f>
        <v/>
      </c>
      <c r="WZP3" t="str">
        <f>IFERROR(IF($C3="","",SUMIFS(Ledger!$K$2:$K$4, Ledger!$B$2:$B$4, $A3, Ledger!$C$2:$C$4, WZP$2)),"****")</f>
        <v/>
      </c>
      <c r="WZQ3" t="str">
        <f>IFERROR(IF($C3="","",SUMIFS(Ledger!$K$2:$K$4, Ledger!$B$2:$B$4, $A3, Ledger!$C$2:$C$4, WZQ$2)),"****")</f>
        <v/>
      </c>
      <c r="WZR3" t="str">
        <f>IFERROR(IF($C3="","",SUMIFS(Ledger!$K$2:$K$4, Ledger!$B$2:$B$4, $A3, Ledger!$C$2:$C$4, WZR$2)),"****")</f>
        <v/>
      </c>
      <c r="WZS3" t="str">
        <f>IFERROR(IF($C3="","",SUMIFS(Ledger!$K$2:$K$4, Ledger!$B$2:$B$4, $A3, Ledger!$C$2:$C$4, WZS$2)),"****")</f>
        <v/>
      </c>
      <c r="WZT3" t="str">
        <f>IFERROR(IF($C3="","",SUMIFS(Ledger!$K$2:$K$4, Ledger!$B$2:$B$4, $A3, Ledger!$C$2:$C$4, WZT$2)),"****")</f>
        <v/>
      </c>
      <c r="WZU3" t="str">
        <f>IFERROR(IF($C3="","",SUMIFS(Ledger!$K$2:$K$4, Ledger!$B$2:$B$4, $A3, Ledger!$C$2:$C$4, WZU$2)),"****")</f>
        <v/>
      </c>
      <c r="WZV3" t="str">
        <f>IFERROR(IF($C3="","",SUMIFS(Ledger!$K$2:$K$4, Ledger!$B$2:$B$4, $A3, Ledger!$C$2:$C$4, WZV$2)),"****")</f>
        <v/>
      </c>
      <c r="WZW3" t="str">
        <f>IFERROR(IF($C3="","",SUMIFS(Ledger!$K$2:$K$4, Ledger!$B$2:$B$4, $A3, Ledger!$C$2:$C$4, WZW$2)),"****")</f>
        <v/>
      </c>
      <c r="WZX3" t="str">
        <f>IFERROR(IF($C3="","",SUMIFS(Ledger!$K$2:$K$4, Ledger!$B$2:$B$4, $A3, Ledger!$C$2:$C$4, WZX$2)),"****")</f>
        <v/>
      </c>
      <c r="WZY3" t="str">
        <f>IFERROR(IF($C3="","",SUMIFS(Ledger!$K$2:$K$4, Ledger!$B$2:$B$4, $A3, Ledger!$C$2:$C$4, WZY$2)),"****")</f>
        <v/>
      </c>
      <c r="WZZ3" t="str">
        <f>IFERROR(IF($C3="","",SUMIFS(Ledger!$K$2:$K$4, Ledger!$B$2:$B$4, $A3, Ledger!$C$2:$C$4, WZZ$2)),"****")</f>
        <v/>
      </c>
      <c r="XAA3" t="str">
        <f>IFERROR(IF($C3="","",SUMIFS(Ledger!$K$2:$K$4, Ledger!$B$2:$B$4, $A3, Ledger!$C$2:$C$4, XAA$2)),"****")</f>
        <v/>
      </c>
      <c r="XAB3" t="str">
        <f>IFERROR(IF($C3="","",SUMIFS(Ledger!$K$2:$K$4, Ledger!$B$2:$B$4, $A3, Ledger!$C$2:$C$4, XAB$2)),"****")</f>
        <v/>
      </c>
      <c r="XAC3" t="str">
        <f>IFERROR(IF($C3="","",SUMIFS(Ledger!$K$2:$K$4, Ledger!$B$2:$B$4, $A3, Ledger!$C$2:$C$4, XAC$2)),"****")</f>
        <v/>
      </c>
      <c r="XAD3" t="str">
        <f>IFERROR(IF($C3="","",SUMIFS(Ledger!$K$2:$K$4, Ledger!$B$2:$B$4, $A3, Ledger!$C$2:$C$4, XAD$2)),"****")</f>
        <v/>
      </c>
      <c r="XAE3" t="str">
        <f>IFERROR(IF($C3="","",SUMIFS(Ledger!$K$2:$K$4, Ledger!$B$2:$B$4, $A3, Ledger!$C$2:$C$4, XAE$2)),"****")</f>
        <v/>
      </c>
      <c r="XAF3" t="str">
        <f>IFERROR(IF($C3="","",SUMIFS(Ledger!$K$2:$K$4, Ledger!$B$2:$B$4, $A3, Ledger!$C$2:$C$4, XAF$2)),"****")</f>
        <v/>
      </c>
      <c r="XAG3" t="str">
        <f>IFERROR(IF($C3="","",SUMIFS(Ledger!$K$2:$K$4, Ledger!$B$2:$B$4, $A3, Ledger!$C$2:$C$4, XAG$2)),"****")</f>
        <v/>
      </c>
      <c r="XAH3" t="str">
        <f>IFERROR(IF($C3="","",SUMIFS(Ledger!$K$2:$K$4, Ledger!$B$2:$B$4, $A3, Ledger!$C$2:$C$4, XAH$2)),"****")</f>
        <v/>
      </c>
      <c r="XAI3" t="str">
        <f>IFERROR(IF($C3="","",SUMIFS(Ledger!$K$2:$K$4, Ledger!$B$2:$B$4, $A3, Ledger!$C$2:$C$4, XAI$2)),"****")</f>
        <v/>
      </c>
      <c r="XAJ3" t="str">
        <f>IFERROR(IF($C3="","",SUMIFS(Ledger!$K$2:$K$4, Ledger!$B$2:$B$4, $A3, Ledger!$C$2:$C$4, XAJ$2)),"****")</f>
        <v/>
      </c>
      <c r="XAK3" t="str">
        <f>IFERROR(IF($C3="","",SUMIFS(Ledger!$K$2:$K$4, Ledger!$B$2:$B$4, $A3, Ledger!$C$2:$C$4, XAK$2)),"****")</f>
        <v/>
      </c>
      <c r="XAL3" t="str">
        <f>IFERROR(IF($C3="","",SUMIFS(Ledger!$K$2:$K$4, Ledger!$B$2:$B$4, $A3, Ledger!$C$2:$C$4, XAL$2)),"****")</f>
        <v/>
      </c>
      <c r="XAM3" t="str">
        <f>IFERROR(IF($C3="","",SUMIFS(Ledger!$K$2:$K$4, Ledger!$B$2:$B$4, $A3, Ledger!$C$2:$C$4, XAM$2)),"****")</f>
        <v/>
      </c>
      <c r="XAN3" t="str">
        <f>IFERROR(IF($C3="","",SUMIFS(Ledger!$K$2:$K$4, Ledger!$B$2:$B$4, $A3, Ledger!$C$2:$C$4, XAN$2)),"****")</f>
        <v/>
      </c>
      <c r="XAO3" t="str">
        <f>IFERROR(IF($C3="","",SUMIFS(Ledger!$K$2:$K$4, Ledger!$B$2:$B$4, $A3, Ledger!$C$2:$C$4, XAO$2)),"****")</f>
        <v/>
      </c>
      <c r="XAP3" t="str">
        <f>IFERROR(IF($C3="","",SUMIFS(Ledger!$K$2:$K$4, Ledger!$B$2:$B$4, $A3, Ledger!$C$2:$C$4, XAP$2)),"****")</f>
        <v/>
      </c>
      <c r="XAQ3" t="str">
        <f>IFERROR(IF($C3="","",SUMIFS(Ledger!$K$2:$K$4, Ledger!$B$2:$B$4, $A3, Ledger!$C$2:$C$4, XAQ$2)),"****")</f>
        <v/>
      </c>
      <c r="XAR3" t="str">
        <f>IFERROR(IF($C3="","",SUMIFS(Ledger!$K$2:$K$4, Ledger!$B$2:$B$4, $A3, Ledger!$C$2:$C$4, XAR$2)),"****")</f>
        <v/>
      </c>
      <c r="XAS3" t="str">
        <f>IFERROR(IF($C3="","",SUMIFS(Ledger!$K$2:$K$4, Ledger!$B$2:$B$4, $A3, Ledger!$C$2:$C$4, XAS$2)),"****")</f>
        <v/>
      </c>
      <c r="XAT3" t="str">
        <f>IFERROR(IF($C3="","",SUMIFS(Ledger!$K$2:$K$4, Ledger!$B$2:$B$4, $A3, Ledger!$C$2:$C$4, XAT$2)),"****")</f>
        <v/>
      </c>
      <c r="XAU3" t="str">
        <f>IFERROR(IF($C3="","",SUMIFS(Ledger!$K$2:$K$4, Ledger!$B$2:$B$4, $A3, Ledger!$C$2:$C$4, XAU$2)),"****")</f>
        <v/>
      </c>
      <c r="XAV3" t="str">
        <f>IFERROR(IF($C3="","",SUMIFS(Ledger!$K$2:$K$4, Ledger!$B$2:$B$4, $A3, Ledger!$C$2:$C$4, XAV$2)),"****")</f>
        <v/>
      </c>
      <c r="XAW3" t="str">
        <f>IFERROR(IF($C3="","",SUMIFS(Ledger!$K$2:$K$4, Ledger!$B$2:$B$4, $A3, Ledger!$C$2:$C$4, XAW$2)),"****")</f>
        <v/>
      </c>
      <c r="XAX3" t="str">
        <f>IFERROR(IF($C3="","",SUMIFS(Ledger!$K$2:$K$4, Ledger!$B$2:$B$4, $A3, Ledger!$C$2:$C$4, XAX$2)),"****")</f>
        <v/>
      </c>
      <c r="XAY3" t="str">
        <f>IFERROR(IF($C3="","",SUMIFS(Ledger!$K$2:$K$4, Ledger!$B$2:$B$4, $A3, Ledger!$C$2:$C$4, XAY$2)),"****")</f>
        <v/>
      </c>
      <c r="XAZ3" t="str">
        <f>IFERROR(IF($C3="","",SUMIFS(Ledger!$K$2:$K$4, Ledger!$B$2:$B$4, $A3, Ledger!$C$2:$C$4, XAZ$2)),"****")</f>
        <v/>
      </c>
      <c r="XBA3" t="str">
        <f>IFERROR(IF($C3="","",SUMIFS(Ledger!$K$2:$K$4, Ledger!$B$2:$B$4, $A3, Ledger!$C$2:$C$4, XBA$2)),"****")</f>
        <v/>
      </c>
      <c r="XBB3" t="str">
        <f>IFERROR(IF($C3="","",SUMIFS(Ledger!$K$2:$K$4, Ledger!$B$2:$B$4, $A3, Ledger!$C$2:$C$4, XBB$2)),"****")</f>
        <v/>
      </c>
      <c r="XBC3" t="str">
        <f>IFERROR(IF($C3="","",SUMIFS(Ledger!$K$2:$K$4, Ledger!$B$2:$B$4, $A3, Ledger!$C$2:$C$4, XBC$2)),"****")</f>
        <v/>
      </c>
      <c r="XBD3" t="str">
        <f>IFERROR(IF($C3="","",SUMIFS(Ledger!$K$2:$K$4, Ledger!$B$2:$B$4, $A3, Ledger!$C$2:$C$4, XBD$2)),"****")</f>
        <v/>
      </c>
      <c r="XBE3" t="str">
        <f>IFERROR(IF($C3="","",SUMIFS(Ledger!$K$2:$K$4, Ledger!$B$2:$B$4, $A3, Ledger!$C$2:$C$4, XBE$2)),"****")</f>
        <v/>
      </c>
      <c r="XBF3" t="str">
        <f>IFERROR(IF($C3="","",SUMIFS(Ledger!$K$2:$K$4, Ledger!$B$2:$B$4, $A3, Ledger!$C$2:$C$4, XBF$2)),"****")</f>
        <v/>
      </c>
      <c r="XBG3" t="str">
        <f>IFERROR(IF($C3="","",SUMIFS(Ledger!$K$2:$K$4, Ledger!$B$2:$B$4, $A3, Ledger!$C$2:$C$4, XBG$2)),"****")</f>
        <v/>
      </c>
      <c r="XBH3" t="str">
        <f>IFERROR(IF($C3="","",SUMIFS(Ledger!$K$2:$K$4, Ledger!$B$2:$B$4, $A3, Ledger!$C$2:$C$4, XBH$2)),"****")</f>
        <v/>
      </c>
      <c r="XBI3" t="str">
        <f>IFERROR(IF($C3="","",SUMIFS(Ledger!$K$2:$K$4, Ledger!$B$2:$B$4, $A3, Ledger!$C$2:$C$4, XBI$2)),"****")</f>
        <v/>
      </c>
      <c r="XBJ3" t="str">
        <f>IFERROR(IF($C3="","",SUMIFS(Ledger!$K$2:$K$4, Ledger!$B$2:$B$4, $A3, Ledger!$C$2:$C$4, XBJ$2)),"****")</f>
        <v/>
      </c>
      <c r="XBK3" t="str">
        <f>IFERROR(IF($C3="","",SUMIFS(Ledger!$K$2:$K$4, Ledger!$B$2:$B$4, $A3, Ledger!$C$2:$C$4, XBK$2)),"****")</f>
        <v/>
      </c>
      <c r="XBL3" t="str">
        <f>IFERROR(IF($C3="","",SUMIFS(Ledger!$K$2:$K$4, Ledger!$B$2:$B$4, $A3, Ledger!$C$2:$C$4, XBL$2)),"****")</f>
        <v/>
      </c>
      <c r="XBM3" t="str">
        <f>IFERROR(IF($C3="","",SUMIFS(Ledger!$K$2:$K$4, Ledger!$B$2:$B$4, $A3, Ledger!$C$2:$C$4, XBM$2)),"****")</f>
        <v/>
      </c>
      <c r="XBN3" t="str">
        <f>IFERROR(IF($C3="","",SUMIFS(Ledger!$K$2:$K$4, Ledger!$B$2:$B$4, $A3, Ledger!$C$2:$C$4, XBN$2)),"****")</f>
        <v/>
      </c>
      <c r="XBO3" t="str">
        <f>IFERROR(IF($C3="","",SUMIFS(Ledger!$K$2:$K$4, Ledger!$B$2:$B$4, $A3, Ledger!$C$2:$C$4, XBO$2)),"****")</f>
        <v/>
      </c>
      <c r="XBP3" t="str">
        <f>IFERROR(IF($C3="","",SUMIFS(Ledger!$K$2:$K$4, Ledger!$B$2:$B$4, $A3, Ledger!$C$2:$C$4, XBP$2)),"****")</f>
        <v/>
      </c>
      <c r="XBQ3" t="str">
        <f>IFERROR(IF($C3="","",SUMIFS(Ledger!$K$2:$K$4, Ledger!$B$2:$B$4, $A3, Ledger!$C$2:$C$4, XBQ$2)),"****")</f>
        <v/>
      </c>
      <c r="XBR3" t="str">
        <f>IFERROR(IF($C3="","",SUMIFS(Ledger!$K$2:$K$4, Ledger!$B$2:$B$4, $A3, Ledger!$C$2:$C$4, XBR$2)),"****")</f>
        <v/>
      </c>
      <c r="XBS3" t="str">
        <f>IFERROR(IF($C3="","",SUMIFS(Ledger!$K$2:$K$4, Ledger!$B$2:$B$4, $A3, Ledger!$C$2:$C$4, XBS$2)),"****")</f>
        <v/>
      </c>
      <c r="XBT3" t="str">
        <f>IFERROR(IF($C3="","",SUMIFS(Ledger!$K$2:$K$4, Ledger!$B$2:$B$4, $A3, Ledger!$C$2:$C$4, XBT$2)),"****")</f>
        <v/>
      </c>
      <c r="XBU3" t="str">
        <f>IFERROR(IF($C3="","",SUMIFS(Ledger!$K$2:$K$4, Ledger!$B$2:$B$4, $A3, Ledger!$C$2:$C$4, XBU$2)),"****")</f>
        <v/>
      </c>
      <c r="XBV3" t="str">
        <f>IFERROR(IF($C3="","",SUMIFS(Ledger!$K$2:$K$4, Ledger!$B$2:$B$4, $A3, Ledger!$C$2:$C$4, XBV$2)),"****")</f>
        <v/>
      </c>
      <c r="XBW3" t="str">
        <f>IFERROR(IF($C3="","",SUMIFS(Ledger!$K$2:$K$4, Ledger!$B$2:$B$4, $A3, Ledger!$C$2:$C$4, XBW$2)),"****")</f>
        <v/>
      </c>
      <c r="XBX3" t="str">
        <f>IFERROR(IF($C3="","",SUMIFS(Ledger!$K$2:$K$4, Ledger!$B$2:$B$4, $A3, Ledger!$C$2:$C$4, XBX$2)),"****")</f>
        <v/>
      </c>
      <c r="XBY3" t="str">
        <f>IFERROR(IF($C3="","",SUMIFS(Ledger!$K$2:$K$4, Ledger!$B$2:$B$4, $A3, Ledger!$C$2:$C$4, XBY$2)),"****")</f>
        <v/>
      </c>
      <c r="XBZ3" t="str">
        <f>IFERROR(IF($C3="","",SUMIFS(Ledger!$K$2:$K$4, Ledger!$B$2:$B$4, $A3, Ledger!$C$2:$C$4, XBZ$2)),"****")</f>
        <v/>
      </c>
      <c r="XCA3" t="str">
        <f>IFERROR(IF($C3="","",SUMIFS(Ledger!$K$2:$K$4, Ledger!$B$2:$B$4, $A3, Ledger!$C$2:$C$4, XCA$2)),"****")</f>
        <v/>
      </c>
      <c r="XCB3" t="str">
        <f>IFERROR(IF($C3="","",SUMIFS(Ledger!$K$2:$K$4, Ledger!$B$2:$B$4, $A3, Ledger!$C$2:$C$4, XCB$2)),"****")</f>
        <v/>
      </c>
      <c r="XCC3" t="str">
        <f>IFERROR(IF($C3="","",SUMIFS(Ledger!$K$2:$K$4, Ledger!$B$2:$B$4, $A3, Ledger!$C$2:$C$4, XCC$2)),"****")</f>
        <v/>
      </c>
      <c r="XCD3" t="str">
        <f>IFERROR(IF($C3="","",SUMIFS(Ledger!$K$2:$K$4, Ledger!$B$2:$B$4, $A3, Ledger!$C$2:$C$4, XCD$2)),"****")</f>
        <v/>
      </c>
      <c r="XCE3" t="str">
        <f>IFERROR(IF($C3="","",SUMIFS(Ledger!$K$2:$K$4, Ledger!$B$2:$B$4, $A3, Ledger!$C$2:$C$4, XCE$2)),"****")</f>
        <v/>
      </c>
      <c r="XCF3" t="str">
        <f>IFERROR(IF($C3="","",SUMIFS(Ledger!$K$2:$K$4, Ledger!$B$2:$B$4, $A3, Ledger!$C$2:$C$4, XCF$2)),"****")</f>
        <v/>
      </c>
      <c r="XCG3" t="str">
        <f>IFERROR(IF($C3="","",SUMIFS(Ledger!$K$2:$K$4, Ledger!$B$2:$B$4, $A3, Ledger!$C$2:$C$4, XCG$2)),"****")</f>
        <v/>
      </c>
      <c r="XCH3" t="str">
        <f>IFERROR(IF($C3="","",SUMIFS(Ledger!$K$2:$K$4, Ledger!$B$2:$B$4, $A3, Ledger!$C$2:$C$4, XCH$2)),"****")</f>
        <v/>
      </c>
      <c r="XCI3" t="str">
        <f>IFERROR(IF($C3="","",SUMIFS(Ledger!$K$2:$K$4, Ledger!$B$2:$B$4, $A3, Ledger!$C$2:$C$4, XCI$2)),"****")</f>
        <v/>
      </c>
      <c r="XCJ3" t="str">
        <f>IFERROR(IF($C3="","",SUMIFS(Ledger!$K$2:$K$4, Ledger!$B$2:$B$4, $A3, Ledger!$C$2:$C$4, XCJ$2)),"****")</f>
        <v/>
      </c>
      <c r="XCK3" t="str">
        <f>IFERROR(IF($C3="","",SUMIFS(Ledger!$K$2:$K$4, Ledger!$B$2:$B$4, $A3, Ledger!$C$2:$C$4, XCK$2)),"****")</f>
        <v/>
      </c>
      <c r="XCL3" t="str">
        <f>IFERROR(IF($C3="","",SUMIFS(Ledger!$K$2:$K$4, Ledger!$B$2:$B$4, $A3, Ledger!$C$2:$C$4, XCL$2)),"****")</f>
        <v/>
      </c>
      <c r="XCM3" t="str">
        <f>IFERROR(IF($C3="","",SUMIFS(Ledger!$K$2:$K$4, Ledger!$B$2:$B$4, $A3, Ledger!$C$2:$C$4, XCM$2)),"****")</f>
        <v/>
      </c>
      <c r="XCN3" t="str">
        <f>IFERROR(IF($C3="","",SUMIFS(Ledger!$K$2:$K$4, Ledger!$B$2:$B$4, $A3, Ledger!$C$2:$C$4, XCN$2)),"****")</f>
        <v/>
      </c>
      <c r="XCO3" t="str">
        <f>IFERROR(IF($C3="","",SUMIFS(Ledger!$K$2:$K$4, Ledger!$B$2:$B$4, $A3, Ledger!$C$2:$C$4, XCO$2)),"****")</f>
        <v/>
      </c>
      <c r="XCP3" t="str">
        <f>IFERROR(IF($C3="","",SUMIFS(Ledger!$K$2:$K$4, Ledger!$B$2:$B$4, $A3, Ledger!$C$2:$C$4, XCP$2)),"****")</f>
        <v/>
      </c>
      <c r="XCQ3" t="str">
        <f>IFERROR(IF($C3="","",SUMIFS(Ledger!$K$2:$K$4, Ledger!$B$2:$B$4, $A3, Ledger!$C$2:$C$4, XCQ$2)),"****")</f>
        <v/>
      </c>
      <c r="XCR3" t="str">
        <f>IFERROR(IF($C3="","",SUMIFS(Ledger!$K$2:$K$4, Ledger!$B$2:$B$4, $A3, Ledger!$C$2:$C$4, XCR$2)),"****")</f>
        <v/>
      </c>
      <c r="XCS3" t="str">
        <f>IFERROR(IF($C3="","",SUMIFS(Ledger!$K$2:$K$4, Ledger!$B$2:$B$4, $A3, Ledger!$C$2:$C$4, XCS$2)),"****")</f>
        <v/>
      </c>
      <c r="XCT3" t="str">
        <f>IFERROR(IF($C3="","",SUMIFS(Ledger!$K$2:$K$4, Ledger!$B$2:$B$4, $A3, Ledger!$C$2:$C$4, XCT$2)),"****")</f>
        <v/>
      </c>
      <c r="XCU3" t="str">
        <f>IFERROR(IF($C3="","",SUMIFS(Ledger!$K$2:$K$4, Ledger!$B$2:$B$4, $A3, Ledger!$C$2:$C$4, XCU$2)),"****")</f>
        <v/>
      </c>
      <c r="XCV3" t="str">
        <f>IFERROR(IF($C3="","",SUMIFS(Ledger!$K$2:$K$4, Ledger!$B$2:$B$4, $A3, Ledger!$C$2:$C$4, XCV$2)),"****")</f>
        <v/>
      </c>
      <c r="XCW3" t="str">
        <f>IFERROR(IF($C3="","",SUMIFS(Ledger!$K$2:$K$4, Ledger!$B$2:$B$4, $A3, Ledger!$C$2:$C$4, XCW$2)),"****")</f>
        <v/>
      </c>
      <c r="XCX3" t="str">
        <f>IFERROR(IF($C3="","",SUMIFS(Ledger!$K$2:$K$4, Ledger!$B$2:$B$4, $A3, Ledger!$C$2:$C$4, XCX$2)),"****")</f>
        <v/>
      </c>
      <c r="XCY3" t="str">
        <f>IFERROR(IF($C3="","",SUMIFS(Ledger!$K$2:$K$4, Ledger!$B$2:$B$4, $A3, Ledger!$C$2:$C$4, XCY$2)),"****")</f>
        <v/>
      </c>
      <c r="XCZ3" t="str">
        <f>IFERROR(IF($C3="","",SUMIFS(Ledger!$K$2:$K$4, Ledger!$B$2:$B$4, $A3, Ledger!$C$2:$C$4, XCZ$2)),"****")</f>
        <v/>
      </c>
      <c r="XDA3" t="str">
        <f>IFERROR(IF($C3="","",SUMIFS(Ledger!$K$2:$K$4, Ledger!$B$2:$B$4, $A3, Ledger!$C$2:$C$4, XDA$2)),"****")</f>
        <v/>
      </c>
      <c r="XDB3" t="str">
        <f>IFERROR(IF($C3="","",SUMIFS(Ledger!$K$2:$K$4, Ledger!$B$2:$B$4, $A3, Ledger!$C$2:$C$4, XDB$2)),"****")</f>
        <v/>
      </c>
      <c r="XDC3" t="str">
        <f>IFERROR(IF($C3="","",SUMIFS(Ledger!$K$2:$K$4, Ledger!$B$2:$B$4, $A3, Ledger!$C$2:$C$4, XDC$2)),"****")</f>
        <v/>
      </c>
      <c r="XDD3" t="str">
        <f>IFERROR(IF($C3="","",SUMIFS(Ledger!$K$2:$K$4, Ledger!$B$2:$B$4, $A3, Ledger!$C$2:$C$4, XDD$2)),"****")</f>
        <v/>
      </c>
      <c r="XDE3" t="str">
        <f>IFERROR(IF($C3="","",SUMIFS(Ledger!$K$2:$K$4, Ledger!$B$2:$B$4, $A3, Ledger!$C$2:$C$4, XDE$2)),"****")</f>
        <v/>
      </c>
      <c r="XDF3" t="str">
        <f>IFERROR(IF($C3="","",SUMIFS(Ledger!$K$2:$K$4, Ledger!$B$2:$B$4, $A3, Ledger!$C$2:$C$4, XDF$2)),"****")</f>
        <v/>
      </c>
      <c r="XDG3" t="str">
        <f>IFERROR(IF($C3="","",SUMIFS(Ledger!$K$2:$K$4, Ledger!$B$2:$B$4, $A3, Ledger!$C$2:$C$4, XDG$2)),"****")</f>
        <v/>
      </c>
      <c r="XDH3" t="str">
        <f>IFERROR(IF($C3="","",SUMIFS(Ledger!$K$2:$K$4, Ledger!$B$2:$B$4, $A3, Ledger!$C$2:$C$4, XDH$2)),"****")</f>
        <v/>
      </c>
      <c r="XDI3" t="str">
        <f>IFERROR(IF($C3="","",SUMIFS(Ledger!$K$2:$K$4, Ledger!$B$2:$B$4, $A3, Ledger!$C$2:$C$4, XDI$2)),"****")</f>
        <v/>
      </c>
      <c r="XDJ3" t="str">
        <f>IFERROR(IF($C3="","",SUMIFS(Ledger!$K$2:$K$4, Ledger!$B$2:$B$4, $A3, Ledger!$C$2:$C$4, XDJ$2)),"****")</f>
        <v/>
      </c>
      <c r="XDK3" t="str">
        <f>IFERROR(IF($C3="","",SUMIFS(Ledger!$K$2:$K$4, Ledger!$B$2:$B$4, $A3, Ledger!$C$2:$C$4, XDK$2)),"****")</f>
        <v/>
      </c>
      <c r="XDL3" t="str">
        <f>IFERROR(IF($C3="","",SUMIFS(Ledger!$K$2:$K$4, Ledger!$B$2:$B$4, $A3, Ledger!$C$2:$C$4, XDL$2)),"****")</f>
        <v/>
      </c>
      <c r="XDM3" t="str">
        <f>IFERROR(IF($C3="","",SUMIFS(Ledger!$K$2:$K$4, Ledger!$B$2:$B$4, $A3, Ledger!$C$2:$C$4, XDM$2)),"****")</f>
        <v/>
      </c>
      <c r="XDN3" t="str">
        <f>IFERROR(IF($C3="","",SUMIFS(Ledger!$K$2:$K$4, Ledger!$B$2:$B$4, $A3, Ledger!$C$2:$C$4, XDN$2)),"****")</f>
        <v/>
      </c>
      <c r="XDO3" t="str">
        <f>IFERROR(IF($C3="","",SUMIFS(Ledger!$K$2:$K$4, Ledger!$B$2:$B$4, $A3, Ledger!$C$2:$C$4, XDO$2)),"****")</f>
        <v/>
      </c>
      <c r="XDP3" t="str">
        <f>IFERROR(IF($C3="","",SUMIFS(Ledger!$K$2:$K$4, Ledger!$B$2:$B$4, $A3, Ledger!$C$2:$C$4, XDP$2)),"****")</f>
        <v/>
      </c>
      <c r="XDQ3" t="str">
        <f>IFERROR(IF($C3="","",SUMIFS(Ledger!$K$2:$K$4, Ledger!$B$2:$B$4, $A3, Ledger!$C$2:$C$4, XDQ$2)),"****")</f>
        <v/>
      </c>
      <c r="XDR3" t="str">
        <f>IFERROR(IF($C3="","",SUMIFS(Ledger!$K$2:$K$4, Ledger!$B$2:$B$4, $A3, Ledger!$C$2:$C$4, XDR$2)),"****")</f>
        <v/>
      </c>
      <c r="XDS3" t="str">
        <f>IFERROR(IF($C3="","",SUMIFS(Ledger!$K$2:$K$4, Ledger!$B$2:$B$4, $A3, Ledger!$C$2:$C$4, XDS$2)),"****")</f>
        <v/>
      </c>
      <c r="XDT3" t="str">
        <f>IFERROR(IF($C3="","",SUMIFS(Ledger!$K$2:$K$4, Ledger!$B$2:$B$4, $A3, Ledger!$C$2:$C$4, XDT$2)),"****")</f>
        <v/>
      </c>
      <c r="XDU3" t="str">
        <f>IFERROR(IF($C3="","",SUMIFS(Ledger!$K$2:$K$4, Ledger!$B$2:$B$4, $A3, Ledger!$C$2:$C$4, XDU$2)),"****")</f>
        <v/>
      </c>
      <c r="XDV3" t="str">
        <f>IFERROR(IF($C3="","",SUMIFS(Ledger!$K$2:$K$4, Ledger!$B$2:$B$4, $A3, Ledger!$C$2:$C$4, XDV$2)),"****")</f>
        <v/>
      </c>
      <c r="XDW3" t="str">
        <f>IFERROR(IF($C3="","",SUMIFS(Ledger!$K$2:$K$4, Ledger!$B$2:$B$4, $A3, Ledger!$C$2:$C$4, XDW$2)),"****")</f>
        <v/>
      </c>
      <c r="XDX3" t="str">
        <f>IFERROR(IF($C3="","",SUMIFS(Ledger!$K$2:$K$4, Ledger!$B$2:$B$4, $A3, Ledger!$C$2:$C$4, XDX$2)),"****")</f>
        <v/>
      </c>
      <c r="XDY3" t="str">
        <f>IFERROR(IF($C3="","",SUMIFS(Ledger!$K$2:$K$4, Ledger!$B$2:$B$4, $A3, Ledger!$C$2:$C$4, XDY$2)),"****")</f>
        <v/>
      </c>
      <c r="XDZ3" t="str">
        <f>IFERROR(IF($C3="","",SUMIFS(Ledger!$K$2:$K$4, Ledger!$B$2:$B$4, $A3, Ledger!$C$2:$C$4, XDZ$2)),"****")</f>
        <v/>
      </c>
      <c r="XEA3" t="str">
        <f>IFERROR(IF($C3="","",SUMIFS(Ledger!$K$2:$K$4, Ledger!$B$2:$B$4, $A3, Ledger!$C$2:$C$4, XEA$2)),"****")</f>
        <v/>
      </c>
      <c r="XEB3" t="str">
        <f>IFERROR(IF($C3="","",SUMIFS(Ledger!$K$2:$K$4, Ledger!$B$2:$B$4, $A3, Ledger!$C$2:$C$4, XEB$2)),"****")</f>
        <v/>
      </c>
      <c r="XEC3" t="str">
        <f>IFERROR(IF($C3="","",SUMIFS(Ledger!$K$2:$K$4, Ledger!$B$2:$B$4, $A3, Ledger!$C$2:$C$4, XEC$2)),"****")</f>
        <v/>
      </c>
      <c r="XED3" t="str">
        <f>IFERROR(IF($C3="","",SUMIFS(Ledger!$K$2:$K$4, Ledger!$B$2:$B$4, $A3, Ledger!$C$2:$C$4, XED$2)),"****")</f>
        <v/>
      </c>
      <c r="XEE3" t="str">
        <f>IFERROR(IF($C3="","",SUMIFS(Ledger!$K$2:$K$4, Ledger!$B$2:$B$4, $A3, Ledger!$C$2:$C$4, XEE$2)),"****")</f>
        <v/>
      </c>
      <c r="XEF3" t="str">
        <f>IFERROR(IF($C3="","",SUMIFS(Ledger!$K$2:$K$4, Ledger!$B$2:$B$4, $A3, Ledger!$C$2:$C$4, XEF$2)),"****")</f>
        <v/>
      </c>
      <c r="XEG3" t="str">
        <f>IFERROR(IF($C3="","",SUMIFS(Ledger!$K$2:$K$4, Ledger!$B$2:$B$4, $A3, Ledger!$C$2:$C$4, XEG$2)),"****")</f>
        <v/>
      </c>
      <c r="XEH3" t="str">
        <f>IFERROR(IF($C3="","",SUMIFS(Ledger!$K$2:$K$4, Ledger!$B$2:$B$4, $A3, Ledger!$C$2:$C$4, XEH$2)),"****")</f>
        <v/>
      </c>
      <c r="XEI3" t="str">
        <f>IFERROR(IF($C3="","",SUMIFS(Ledger!$K$2:$K$4, Ledger!$B$2:$B$4, $A3, Ledger!$C$2:$C$4, XEI$2)),"****")</f>
        <v/>
      </c>
      <c r="XEJ3" t="str">
        <f>IFERROR(IF($C3="","",SUMIFS(Ledger!$K$2:$K$4, Ledger!$B$2:$B$4, $A3, Ledger!$C$2:$C$4, XEJ$2)),"****")</f>
        <v/>
      </c>
      <c r="XEK3" t="str">
        <f>IFERROR(IF($C3="","",SUMIFS(Ledger!$K$2:$K$4, Ledger!$B$2:$B$4, $A3, Ledger!$C$2:$C$4, XEK$2)),"****")</f>
        <v/>
      </c>
      <c r="XEL3" t="str">
        <f>IFERROR(IF($C3="","",SUMIFS(Ledger!$K$2:$K$4, Ledger!$B$2:$B$4, $A3, Ledger!$C$2:$C$4, XEL$2)),"****")</f>
        <v/>
      </c>
      <c r="XEM3" t="str">
        <f>IFERROR(IF($C3="","",SUMIFS(Ledger!$K$2:$K$4, Ledger!$B$2:$B$4, $A3, Ledger!$C$2:$C$4, XEM$2)),"****")</f>
        <v/>
      </c>
      <c r="XEN3" t="str">
        <f>IFERROR(IF($C3="","",SUMIFS(Ledger!$K$2:$K$4, Ledger!$B$2:$B$4, $A3, Ledger!$C$2:$C$4, XEN$2)),"****")</f>
        <v/>
      </c>
      <c r="XEO3" t="str">
        <f>IFERROR(IF($C3="","",SUMIFS(Ledger!$K$2:$K$4, Ledger!$B$2:$B$4, $A3, Ledger!$C$2:$C$4, XEO$2)),"****")</f>
        <v/>
      </c>
      <c r="XEP3" t="str">
        <f>IFERROR(IF($C3="","",SUMIFS(Ledger!$K$2:$K$4, Ledger!$B$2:$B$4, $A3, Ledger!$C$2:$C$4, XEP$2)),"****")</f>
        <v/>
      </c>
      <c r="XEQ3" t="str">
        <f>IFERROR(IF($C3="","",SUMIFS(Ledger!$K$2:$K$4, Ledger!$B$2:$B$4, $A3, Ledger!$C$2:$C$4, XEQ$2)),"****")</f>
        <v/>
      </c>
      <c r="XER3" t="str">
        <f>IFERROR(IF($C3="","",SUMIFS(Ledger!$K$2:$K$4, Ledger!$B$2:$B$4, $A3, Ledger!$C$2:$C$4, XER$2)),"****")</f>
        <v/>
      </c>
      <c r="XES3" t="str">
        <f>IFERROR(IF($C3="","",SUMIFS(Ledger!$K$2:$K$4, Ledger!$B$2:$B$4, $A3, Ledger!$C$2:$C$4, XES$2)),"****")</f>
        <v/>
      </c>
      <c r="XET3" t="str">
        <f>IFERROR(IF($C3="","",SUMIFS(Ledger!$K$2:$K$4, Ledger!$B$2:$B$4, $A3, Ledger!$C$2:$C$4, XET$2)),"****")</f>
        <v/>
      </c>
      <c r="XEU3" t="str">
        <f>IFERROR(IF($C3="","",SUMIFS(Ledger!$K$2:$K$4, Ledger!$B$2:$B$4, $A3, Ledger!$C$2:$C$4, XEU$2)),"****")</f>
        <v/>
      </c>
      <c r="XEV3" t="str">
        <f>IFERROR(IF($C3="","",SUMIFS(Ledger!$K$2:$K$4, Ledger!$B$2:$B$4, $A3, Ledger!$C$2:$C$4, XEV$2)),"****")</f>
        <v/>
      </c>
      <c r="XEW3" t="str">
        <f>IFERROR(IF($C3="","",SUMIFS(Ledger!$K$2:$K$4, Ledger!$B$2:$B$4, $A3, Ledger!$C$2:$C$4, XEW$2)),"****")</f>
        <v/>
      </c>
      <c r="XEX3" t="str">
        <f>IFERROR(IF($C3="","",SUMIFS(Ledger!$K$2:$K$4, Ledger!$B$2:$B$4, $A3, Ledger!$C$2:$C$4, XEX$2)),"****")</f>
        <v/>
      </c>
      <c r="XEY3" t="str">
        <f>IFERROR(IF($C3="","",SUMIFS(Ledger!$K$2:$K$4, Ledger!$B$2:$B$4, $A3, Ledger!$C$2:$C$4, XEY$2)),"****")</f>
        <v/>
      </c>
      <c r="XEZ3" t="str">
        <f>IFERROR(IF($C3="","",SUMIFS(Ledger!$K$2:$K$4, Ledger!$B$2:$B$4, $A3, Ledger!$C$2:$C$4, XEZ$2)),"****")</f>
        <v/>
      </c>
      <c r="XFA3" t="str">
        <f>IFERROR(IF($C3="","",SUMIFS(Ledger!$K$2:$K$4, Ledger!$B$2:$B$4, $A3, Ledger!$C$2:$C$4, XFA$2)),"****")</f>
        <v/>
      </c>
      <c r="XFB3" t="str">
        <f>IFERROR(IF($C3="","",SUMIFS(Ledger!$K$2:$K$4, Ledger!$B$2:$B$4, $A3, Ledger!$C$2:$C$4, XFB$2)),"****")</f>
        <v/>
      </c>
      <c r="XFC3" t="str">
        <f>IFERROR(IF($C3="","",SUMIFS(Ledger!$K$2:$K$4, Ledger!$B$2:$B$4, $A3, Ledger!$C$2:$C$4, XFC$2)),"****")</f>
        <v/>
      </c>
      <c r="XFD3" t="str">
        <f>IFERROR(IF($C3="","",SUMIFS(Ledger!$K$2:$K$4, Ledger!$B$2:$B$4, $A3, Ledger!$C$2:$C$4, XFD$2)),"****")</f>
        <v/>
      </c>
    </row>
    <row r="4" spans="1:16384" x14ac:dyDescent="0.3">
      <c r="A4" s="106">
        <v>2</v>
      </c>
      <c r="B4" t="str">
        <f>IFERROR(VLOOKUP($A4, Ledger!$B$2:$L$8, 3, 0),"")</f>
        <v/>
      </c>
      <c r="C4" t="str">
        <f>IFERROR(VLOOKUP($A4, Ledger!$B$2:$L$8, 4, 0),"")</f>
        <v/>
      </c>
      <c r="D4" t="str">
        <f>IFERROR(VLOOKUP($A4, Ledger!$B$2:$L$8, 5, 0),"")</f>
        <v/>
      </c>
      <c r="E4" t="str">
        <f>IFERROR(VLOOKUP($A4, Ledger!$B$2:$L$8, 6, 0),"")</f>
        <v/>
      </c>
      <c r="F4" t="str">
        <f>IFERROR(VLOOKUP($A4,'Student Data'!$A$2:$AR$6,32,0),"")</f>
        <v/>
      </c>
      <c r="G4" t="str">
        <f>IFERROR(VLOOKUP($A4,'Student Data'!$A$2:$AR$6,33,0),"")</f>
        <v/>
      </c>
      <c r="H4" t="str">
        <f>IFERROR(VLOOKUP($A4,'Student Data'!$A$2:$AR$6,34,0),"")</f>
        <v/>
      </c>
      <c r="I4" t="str">
        <f>IFERROR(VLOOKUP($A4,'Student Data'!$A$2:$AR$6,35,0),"")</f>
        <v/>
      </c>
      <c r="J4" t="str">
        <f>IFERROR(VLOOKUP($A4,'Student Data'!$A$2:$AR$6,36,0),"")</f>
        <v/>
      </c>
      <c r="K4" t="str">
        <f t="shared" ref="K4:K67" si="0">IFERROR(IF(C4="","",SUM(M4:X4)),"0")</f>
        <v/>
      </c>
      <c r="L4" t="str">
        <f t="shared" ref="L4:L67" si="1">IFERROR(IF(C4="","",J4-K4),"0")</f>
        <v/>
      </c>
      <c r="M4" t="str">
        <f>IFERROR(IF($C4="","",SUMIFS(Ledger!$K$2:$K$4, Ledger!$B$2:$B$4, $A4, Ledger!$C$2:$C$4, M$2)),"****")</f>
        <v/>
      </c>
      <c r="N4" t="str">
        <f>IFERROR(IF($C4="","",SUMIFS(Ledger!$K$2:$K$4, Ledger!$B$2:$B$4, $A4, Ledger!$C$2:$C$4, N$2)),"****")</f>
        <v/>
      </c>
      <c r="O4" t="str">
        <f>IFERROR(IF($C4="","",SUMIFS(Ledger!$K$2:$K$4, Ledger!$B$2:$B$4, $A4, Ledger!$C$2:$C$4, O$2)),"****")</f>
        <v/>
      </c>
      <c r="P4" t="str">
        <f>IFERROR(IF($C4="","",SUMIFS(Ledger!$K$2:$K$4, Ledger!$B$2:$B$4, $A4, Ledger!$C$2:$C$4, P$2)),"****")</f>
        <v/>
      </c>
      <c r="Q4" t="str">
        <f>IFERROR(IF($C4="","",SUMIFS(Ledger!$K$2:$K$4, Ledger!$B$2:$B$4, $A4, Ledger!$C$2:$C$4, Q$2)),"****")</f>
        <v/>
      </c>
      <c r="R4" t="str">
        <f>IFERROR(IF($C4="","",SUMIFS(Ledger!$K$2:$K$4, Ledger!$B$2:$B$4, $A4, Ledger!$C$2:$C$4, R$2)),"****")</f>
        <v/>
      </c>
      <c r="S4" t="str">
        <f>IFERROR(IF($C4="","",SUMIFS(Ledger!$K$2:$K$4, Ledger!$B$2:$B$4, $A4, Ledger!$C$2:$C$4, S$2)),"****")</f>
        <v/>
      </c>
      <c r="T4" t="str">
        <f>IFERROR(IF($C4="","",SUMIFS(Ledger!$K$2:$K$4, Ledger!$B$2:$B$4, $A4, Ledger!$C$2:$C$4, T$2)),"****")</f>
        <v/>
      </c>
      <c r="U4" t="str">
        <f>IFERROR(IF($C4="","",SUMIFS(Ledger!$K$2:$K$4, Ledger!$B$2:$B$4, $A4, Ledger!$C$2:$C$4, U$2)),"****")</f>
        <v/>
      </c>
      <c r="V4" t="str">
        <f>IFERROR(IF($C4="","",SUMIFS(Ledger!$K$2:$K$4, Ledger!$B$2:$B$4, $A4, Ledger!$C$2:$C$4, V$2)),"****")</f>
        <v/>
      </c>
      <c r="W4" t="str">
        <f>IFERROR(IF($C4="","",SUMIFS(Ledger!$K$2:$K$4, Ledger!$B$2:$B$4, $A4, Ledger!$C$2:$C$4, W$2)),"****")</f>
        <v/>
      </c>
      <c r="X4" t="str">
        <f>IFERROR(IF($C4="","",SUMIFS(Ledger!$K$2:$K$4, Ledger!$B$2:$B$4, $A4, Ledger!$C$2:$C$4, X$2)),"****")</f>
        <v/>
      </c>
    </row>
    <row r="5" spans="1:16384" x14ac:dyDescent="0.3">
      <c r="A5" s="106">
        <v>3</v>
      </c>
      <c r="B5" t="str">
        <f>IFERROR(VLOOKUP($A5, Ledger!$B$2:$L$8, 3, 0),"")</f>
        <v/>
      </c>
      <c r="C5" t="str">
        <f>IFERROR(VLOOKUP($A5, Ledger!$B$2:$L$8, 4, 0),"")</f>
        <v/>
      </c>
      <c r="D5" t="str">
        <f>IFERROR(VLOOKUP($A5, Ledger!$B$2:$L$8, 5, 0),"")</f>
        <v/>
      </c>
      <c r="E5" t="str">
        <f>IFERROR(VLOOKUP($A5, Ledger!$B$2:$L$8, 6, 0),"")</f>
        <v/>
      </c>
      <c r="F5" t="str">
        <f>IFERROR(VLOOKUP($A5,'Student Data'!$A$2:$AR$6,32,0),"")</f>
        <v/>
      </c>
      <c r="G5" t="str">
        <f>IFERROR(VLOOKUP($A5,'Student Data'!$A$2:$AR$6,33,0),"")</f>
        <v/>
      </c>
      <c r="H5" t="str">
        <f>IFERROR(VLOOKUP($A5,'Student Data'!$A$2:$AR$6,34,0),"")</f>
        <v/>
      </c>
      <c r="I5" t="str">
        <f>IFERROR(VLOOKUP($A5,'Student Data'!$A$2:$AR$6,35,0),"")</f>
        <v/>
      </c>
      <c r="J5" t="str">
        <f>IFERROR(VLOOKUP($A5,'Student Data'!$A$2:$AR$6,36,0),"")</f>
        <v/>
      </c>
      <c r="K5" t="str">
        <f t="shared" si="0"/>
        <v/>
      </c>
      <c r="L5" t="str">
        <f t="shared" si="1"/>
        <v/>
      </c>
      <c r="M5" t="str">
        <f>IFERROR(IF($C5="","",SUMIFS(Ledger!$K$2:$K$4, Ledger!$B$2:$B$4, $A5, Ledger!$C$2:$C$4, M$2)),"****")</f>
        <v/>
      </c>
      <c r="N5" t="str">
        <f>IFERROR(IF($C5="","",SUMIFS(Ledger!$K$2:$K$4, Ledger!$B$2:$B$4, $A5, Ledger!$C$2:$C$4, N$2)),"****")</f>
        <v/>
      </c>
      <c r="O5" t="str">
        <f>IFERROR(IF($C5="","",SUMIFS(Ledger!$K$2:$K$4, Ledger!$B$2:$B$4, $A5, Ledger!$C$2:$C$4, O$2)),"****")</f>
        <v/>
      </c>
      <c r="P5" t="str">
        <f>IFERROR(IF($C5="","",SUMIFS(Ledger!$K$2:$K$4, Ledger!$B$2:$B$4, $A5, Ledger!$C$2:$C$4, P$2)),"****")</f>
        <v/>
      </c>
      <c r="Q5" t="str">
        <f>IFERROR(IF($C5="","",SUMIFS(Ledger!$K$2:$K$4, Ledger!$B$2:$B$4, $A5, Ledger!$C$2:$C$4, Q$2)),"****")</f>
        <v/>
      </c>
      <c r="R5" t="str">
        <f>IFERROR(IF($C5="","",SUMIFS(Ledger!$K$2:$K$4, Ledger!$B$2:$B$4, $A5, Ledger!$C$2:$C$4, R$2)),"****")</f>
        <v/>
      </c>
      <c r="S5" t="str">
        <f>IFERROR(IF($C5="","",SUMIFS(Ledger!$K$2:$K$4, Ledger!$B$2:$B$4, $A5, Ledger!$C$2:$C$4, S$2)),"****")</f>
        <v/>
      </c>
      <c r="T5" t="str">
        <f>IFERROR(IF($C5="","",SUMIFS(Ledger!$K$2:$K$4, Ledger!$B$2:$B$4, $A5, Ledger!$C$2:$C$4, T$2)),"****")</f>
        <v/>
      </c>
      <c r="U5" t="str">
        <f>IFERROR(IF($C5="","",SUMIFS(Ledger!$K$2:$K$4, Ledger!$B$2:$B$4, $A5, Ledger!$C$2:$C$4, U$2)),"****")</f>
        <v/>
      </c>
      <c r="V5" t="str">
        <f>IFERROR(IF($C5="","",SUMIFS(Ledger!$K$2:$K$4, Ledger!$B$2:$B$4, $A5, Ledger!$C$2:$C$4, V$2)),"****")</f>
        <v/>
      </c>
      <c r="W5" t="str">
        <f>IFERROR(IF($C5="","",SUMIFS(Ledger!$K$2:$K$4, Ledger!$B$2:$B$4, $A5, Ledger!$C$2:$C$4, W$2)),"****")</f>
        <v/>
      </c>
      <c r="X5" t="str">
        <f>IFERROR(IF($C5="","",SUMIFS(Ledger!$K$2:$K$4, Ledger!$B$2:$B$4, $A5, Ledger!$C$2:$C$4, X$2)),"****")</f>
        <v/>
      </c>
    </row>
    <row r="6" spans="1:16384" x14ac:dyDescent="0.3">
      <c r="A6" s="106">
        <v>4</v>
      </c>
      <c r="B6" t="str">
        <f>IFERROR(VLOOKUP($A6, Ledger!$B$2:$L$8, 3, 0),"")</f>
        <v/>
      </c>
      <c r="C6" t="str">
        <f>IFERROR(VLOOKUP($A6, Ledger!$B$2:$L$8, 4, 0),"")</f>
        <v/>
      </c>
      <c r="D6" t="str">
        <f>IFERROR(VLOOKUP($A6, Ledger!$B$2:$L$8, 5, 0),"")</f>
        <v/>
      </c>
      <c r="E6" t="str">
        <f>IFERROR(VLOOKUP($A6, Ledger!$B$2:$L$8, 6, 0),"")</f>
        <v/>
      </c>
      <c r="F6" t="str">
        <f>IFERROR(VLOOKUP($A6,'Student Data'!$A$2:$AR$6,32,0),"")</f>
        <v/>
      </c>
      <c r="G6" t="str">
        <f>IFERROR(VLOOKUP($A6,'Student Data'!$A$2:$AR$6,33,0),"")</f>
        <v/>
      </c>
      <c r="H6" t="str">
        <f>IFERROR(VLOOKUP($A6,'Student Data'!$A$2:$AR$6,34,0),"")</f>
        <v/>
      </c>
      <c r="I6" t="str">
        <f>IFERROR(VLOOKUP($A6,'Student Data'!$A$2:$AR$6,35,0),"")</f>
        <v/>
      </c>
      <c r="J6" t="str">
        <f>IFERROR(VLOOKUP($A6,'Student Data'!$A$2:$AR$6,36,0),"")</f>
        <v/>
      </c>
      <c r="K6" t="str">
        <f t="shared" si="0"/>
        <v/>
      </c>
      <c r="L6" t="str">
        <f t="shared" si="1"/>
        <v/>
      </c>
      <c r="M6" t="str">
        <f>IFERROR(IF($C6="","",SUMIFS(Ledger!$K$2:$K$4, Ledger!$B$2:$B$4, $A6, Ledger!$C$2:$C$4, M$2)),"****")</f>
        <v/>
      </c>
      <c r="N6" t="str">
        <f>IFERROR(IF($C6="","",SUMIFS(Ledger!$K$2:$K$4, Ledger!$B$2:$B$4, $A6, Ledger!$C$2:$C$4, N$2)),"****")</f>
        <v/>
      </c>
      <c r="O6" t="str">
        <f>IFERROR(IF($C6="","",SUMIFS(Ledger!$K$2:$K$4, Ledger!$B$2:$B$4, $A6, Ledger!$C$2:$C$4, O$2)),"****")</f>
        <v/>
      </c>
      <c r="P6" t="str">
        <f>IFERROR(IF($C6="","",SUMIFS(Ledger!$K$2:$K$4, Ledger!$B$2:$B$4, $A6, Ledger!$C$2:$C$4, P$2)),"****")</f>
        <v/>
      </c>
      <c r="Q6" t="str">
        <f>IFERROR(IF($C6="","",SUMIFS(Ledger!$K$2:$K$4, Ledger!$B$2:$B$4, $A6, Ledger!$C$2:$C$4, Q$2)),"****")</f>
        <v/>
      </c>
      <c r="R6" t="str">
        <f>IFERROR(IF($C6="","",SUMIFS(Ledger!$K$2:$K$4, Ledger!$B$2:$B$4, $A6, Ledger!$C$2:$C$4, R$2)),"****")</f>
        <v/>
      </c>
      <c r="S6" t="str">
        <f>IFERROR(IF($C6="","",SUMIFS(Ledger!$K$2:$K$4, Ledger!$B$2:$B$4, $A6, Ledger!$C$2:$C$4, S$2)),"****")</f>
        <v/>
      </c>
      <c r="T6" t="str">
        <f>IFERROR(IF($C6="","",SUMIFS(Ledger!$K$2:$K$4, Ledger!$B$2:$B$4, $A6, Ledger!$C$2:$C$4, T$2)),"****")</f>
        <v/>
      </c>
      <c r="U6" t="str">
        <f>IFERROR(IF($C6="","",SUMIFS(Ledger!$K$2:$K$4, Ledger!$B$2:$B$4, $A6, Ledger!$C$2:$C$4, U$2)),"****")</f>
        <v/>
      </c>
      <c r="V6" t="str">
        <f>IFERROR(IF($C6="","",SUMIFS(Ledger!$K$2:$K$4, Ledger!$B$2:$B$4, $A6, Ledger!$C$2:$C$4, V$2)),"****")</f>
        <v/>
      </c>
      <c r="W6" t="str">
        <f>IFERROR(IF($C6="","",SUMIFS(Ledger!$K$2:$K$4, Ledger!$B$2:$B$4, $A6, Ledger!$C$2:$C$4, W$2)),"****")</f>
        <v/>
      </c>
      <c r="X6" t="str">
        <f>IFERROR(IF($C6="","",SUMIFS(Ledger!$K$2:$K$4, Ledger!$B$2:$B$4, $A6, Ledger!$C$2:$C$4, X$2)),"****")</f>
        <v/>
      </c>
    </row>
    <row r="7" spans="1:16384" x14ac:dyDescent="0.3">
      <c r="A7" s="106">
        <v>5</v>
      </c>
      <c r="B7" t="str">
        <f>IFERROR(VLOOKUP($A7, Ledger!$B$2:$L$8, 3, 0),"")</f>
        <v/>
      </c>
      <c r="C7" t="str">
        <f>IFERROR(VLOOKUP($A7, Ledger!$B$2:$L$8, 4, 0),"")</f>
        <v/>
      </c>
      <c r="D7" t="str">
        <f>IFERROR(VLOOKUP($A7, Ledger!$B$2:$L$8, 5, 0),"")</f>
        <v/>
      </c>
      <c r="E7" t="str">
        <f>IFERROR(VLOOKUP($A7, Ledger!$B$2:$L$8, 6, 0),"")</f>
        <v/>
      </c>
      <c r="F7" t="str">
        <f>IFERROR(VLOOKUP($A7,'Student Data'!$A$2:$AR$6,32,0),"")</f>
        <v/>
      </c>
      <c r="G7" t="str">
        <f>IFERROR(VLOOKUP($A7,'Student Data'!$A$2:$AR$6,33,0),"")</f>
        <v/>
      </c>
      <c r="H7" t="str">
        <f>IFERROR(VLOOKUP($A7,'Student Data'!$A$2:$AR$6,34,0),"")</f>
        <v/>
      </c>
      <c r="I7" t="str">
        <f>IFERROR(VLOOKUP($A7,'Student Data'!$A$2:$AR$6,35,0),"")</f>
        <v/>
      </c>
      <c r="J7" t="str">
        <f>IFERROR(VLOOKUP($A7,'Student Data'!$A$2:$AR$6,36,0),"")</f>
        <v/>
      </c>
      <c r="K7" t="str">
        <f t="shared" si="0"/>
        <v/>
      </c>
      <c r="L7" t="str">
        <f t="shared" si="1"/>
        <v/>
      </c>
      <c r="M7" t="str">
        <f>IFERROR(IF($C7="","",SUMIFS(Ledger!$K$2:$K$4, Ledger!$B$2:$B$4, $A7, Ledger!$C$2:$C$4, M$2)),"****")</f>
        <v/>
      </c>
      <c r="N7" t="str">
        <f>IFERROR(IF($C7="","",SUMIFS(Ledger!$K$2:$K$4, Ledger!$B$2:$B$4, $A7, Ledger!$C$2:$C$4, N$2)),"****")</f>
        <v/>
      </c>
      <c r="O7" t="str">
        <f>IFERROR(IF($C7="","",SUMIFS(Ledger!$K$2:$K$4, Ledger!$B$2:$B$4, $A7, Ledger!$C$2:$C$4, O$2)),"****")</f>
        <v/>
      </c>
      <c r="P7" t="str">
        <f>IFERROR(IF($C7="","",SUMIFS(Ledger!$K$2:$K$4, Ledger!$B$2:$B$4, $A7, Ledger!$C$2:$C$4, P$2)),"****")</f>
        <v/>
      </c>
      <c r="Q7" t="str">
        <f>IFERROR(IF($C7="","",SUMIFS(Ledger!$K$2:$K$4, Ledger!$B$2:$B$4, $A7, Ledger!$C$2:$C$4, Q$2)),"****")</f>
        <v/>
      </c>
      <c r="R7" t="str">
        <f>IFERROR(IF($C7="","",SUMIFS(Ledger!$K$2:$K$4, Ledger!$B$2:$B$4, $A7, Ledger!$C$2:$C$4, R$2)),"****")</f>
        <v/>
      </c>
      <c r="S7" t="str">
        <f>IFERROR(IF($C7="","",SUMIFS(Ledger!$K$2:$K$4, Ledger!$B$2:$B$4, $A7, Ledger!$C$2:$C$4, S$2)),"****")</f>
        <v/>
      </c>
      <c r="T7" t="str">
        <f>IFERROR(IF($C7="","",SUMIFS(Ledger!$K$2:$K$4, Ledger!$B$2:$B$4, $A7, Ledger!$C$2:$C$4, T$2)),"****")</f>
        <v/>
      </c>
      <c r="U7" t="str">
        <f>IFERROR(IF($C7="","",SUMIFS(Ledger!$K$2:$K$4, Ledger!$B$2:$B$4, $A7, Ledger!$C$2:$C$4, U$2)),"****")</f>
        <v/>
      </c>
      <c r="V7" t="str">
        <f>IFERROR(IF($C7="","",SUMIFS(Ledger!$K$2:$K$4, Ledger!$B$2:$B$4, $A7, Ledger!$C$2:$C$4, V$2)),"****")</f>
        <v/>
      </c>
      <c r="W7" t="str">
        <f>IFERROR(IF($C7="","",SUMIFS(Ledger!$K$2:$K$4, Ledger!$B$2:$B$4, $A7, Ledger!$C$2:$C$4, W$2)),"****")</f>
        <v/>
      </c>
      <c r="X7" t="str">
        <f>IFERROR(IF($C7="","",SUMIFS(Ledger!$K$2:$K$4, Ledger!$B$2:$B$4, $A7, Ledger!$C$2:$C$4, X$2)),"****")</f>
        <v/>
      </c>
    </row>
    <row r="8" spans="1:16384" x14ac:dyDescent="0.3">
      <c r="A8" s="106">
        <v>6</v>
      </c>
      <c r="B8" t="str">
        <f>IFERROR(VLOOKUP($A8, Ledger!$B$2:$L$8, 3, 0),"")</f>
        <v/>
      </c>
      <c r="C8" t="str">
        <f>IFERROR(VLOOKUP($A8, Ledger!$B$2:$L$8, 4, 0),"")</f>
        <v/>
      </c>
      <c r="D8" t="str">
        <f>IFERROR(VLOOKUP($A8, Ledger!$B$2:$L$8, 5, 0),"")</f>
        <v/>
      </c>
      <c r="E8" t="str">
        <f>IFERROR(VLOOKUP($A8, Ledger!$B$2:$L$8, 6, 0),"")</f>
        <v/>
      </c>
      <c r="F8" t="str">
        <f>IFERROR(VLOOKUP($A8,'Student Data'!$A$2:$AR$6,32,0),"")</f>
        <v/>
      </c>
      <c r="G8" t="str">
        <f>IFERROR(VLOOKUP($A8,'Student Data'!$A$2:$AR$6,33,0),"")</f>
        <v/>
      </c>
      <c r="H8" t="str">
        <f>IFERROR(VLOOKUP($A8,'Student Data'!$A$2:$AR$6,34,0),"")</f>
        <v/>
      </c>
      <c r="I8" t="str">
        <f>IFERROR(VLOOKUP($A8,'Student Data'!$A$2:$AR$6,35,0),"")</f>
        <v/>
      </c>
      <c r="J8" t="str">
        <f>IFERROR(VLOOKUP($A8,'Student Data'!$A$2:$AR$6,36,0),"")</f>
        <v/>
      </c>
      <c r="K8" t="str">
        <f t="shared" si="0"/>
        <v/>
      </c>
      <c r="L8" t="str">
        <f t="shared" si="1"/>
        <v/>
      </c>
      <c r="M8" t="str">
        <f>IFERROR(IF($C8="","",SUMIFS(Ledger!$K$2:$K$4, Ledger!$B$2:$B$4, $A8, Ledger!$C$2:$C$4, M$2)),"****")</f>
        <v/>
      </c>
      <c r="N8" t="str">
        <f>IFERROR(IF($C8="","",SUMIFS(Ledger!$K$2:$K$4, Ledger!$B$2:$B$4, $A8, Ledger!$C$2:$C$4, N$2)),"****")</f>
        <v/>
      </c>
      <c r="O8" t="str">
        <f>IFERROR(IF($C8="","",SUMIFS(Ledger!$K$2:$K$4, Ledger!$B$2:$B$4, $A8, Ledger!$C$2:$C$4, O$2)),"****")</f>
        <v/>
      </c>
      <c r="P8" t="str">
        <f>IFERROR(IF($C8="","",SUMIFS(Ledger!$K$2:$K$4, Ledger!$B$2:$B$4, $A8, Ledger!$C$2:$C$4, P$2)),"****")</f>
        <v/>
      </c>
      <c r="Q8" t="str">
        <f>IFERROR(IF($C8="","",SUMIFS(Ledger!$K$2:$K$4, Ledger!$B$2:$B$4, $A8, Ledger!$C$2:$C$4, Q$2)),"****")</f>
        <v/>
      </c>
      <c r="R8" t="str">
        <f>IFERROR(IF($C8="","",SUMIFS(Ledger!$K$2:$K$4, Ledger!$B$2:$B$4, $A8, Ledger!$C$2:$C$4, R$2)),"****")</f>
        <v/>
      </c>
      <c r="S8" t="str">
        <f>IFERROR(IF($C8="","",SUMIFS(Ledger!$K$2:$K$4, Ledger!$B$2:$B$4, $A8, Ledger!$C$2:$C$4, S$2)),"****")</f>
        <v/>
      </c>
      <c r="T8" t="str">
        <f>IFERROR(IF($C8="","",SUMIFS(Ledger!$K$2:$K$4, Ledger!$B$2:$B$4, $A8, Ledger!$C$2:$C$4, T$2)),"****")</f>
        <v/>
      </c>
      <c r="U8" t="str">
        <f>IFERROR(IF($C8="","",SUMIFS(Ledger!$K$2:$K$4, Ledger!$B$2:$B$4, $A8, Ledger!$C$2:$C$4, U$2)),"****")</f>
        <v/>
      </c>
      <c r="V8" t="str">
        <f>IFERROR(IF($C8="","",SUMIFS(Ledger!$K$2:$K$4, Ledger!$B$2:$B$4, $A8, Ledger!$C$2:$C$4, V$2)),"****")</f>
        <v/>
      </c>
      <c r="W8" t="str">
        <f>IFERROR(IF($C8="","",SUMIFS(Ledger!$K$2:$K$4, Ledger!$B$2:$B$4, $A8, Ledger!$C$2:$C$4, W$2)),"****")</f>
        <v/>
      </c>
      <c r="X8" t="str">
        <f>IFERROR(IF($C8="","",SUMIFS(Ledger!$K$2:$K$4, Ledger!$B$2:$B$4, $A8, Ledger!$C$2:$C$4, X$2)),"****")</f>
        <v/>
      </c>
    </row>
    <row r="9" spans="1:16384" x14ac:dyDescent="0.3">
      <c r="A9" s="106">
        <v>7</v>
      </c>
      <c r="B9" t="str">
        <f>IFERROR(VLOOKUP($A9, Ledger!$B$2:$L$8, 3, 0),"")</f>
        <v/>
      </c>
      <c r="C9" t="str">
        <f>IFERROR(VLOOKUP($A9, Ledger!$B$2:$L$8, 4, 0),"")</f>
        <v/>
      </c>
      <c r="D9" t="str">
        <f>IFERROR(VLOOKUP($A9, Ledger!$B$2:$L$8, 5, 0),"")</f>
        <v/>
      </c>
      <c r="E9" t="str">
        <f>IFERROR(VLOOKUP($A9, Ledger!$B$2:$L$8, 6, 0),"")</f>
        <v/>
      </c>
      <c r="F9" t="str">
        <f>IFERROR(VLOOKUP($A9,'Student Data'!$A$2:$AR$6,32,0),"")</f>
        <v/>
      </c>
      <c r="G9" t="str">
        <f>IFERROR(VLOOKUP($A9,'Student Data'!$A$2:$AR$6,33,0),"")</f>
        <v/>
      </c>
      <c r="H9" t="str">
        <f>IFERROR(VLOOKUP($A9,'Student Data'!$A$2:$AR$6,34,0),"")</f>
        <v/>
      </c>
      <c r="I9" t="str">
        <f>IFERROR(VLOOKUP($A9,'Student Data'!$A$2:$AR$6,35,0),"")</f>
        <v/>
      </c>
      <c r="J9" t="str">
        <f>IFERROR(VLOOKUP($A9,'Student Data'!$A$2:$AR$6,36,0),"")</f>
        <v/>
      </c>
      <c r="K9" t="str">
        <f t="shared" si="0"/>
        <v/>
      </c>
      <c r="L9" t="str">
        <f t="shared" si="1"/>
        <v/>
      </c>
      <c r="M9" t="str">
        <f>IFERROR(IF($C9="","",SUMIFS(Ledger!$K$2:$K$4, Ledger!$B$2:$B$4, $A9, Ledger!$C$2:$C$4, M$2)),"****")</f>
        <v/>
      </c>
      <c r="N9" t="str">
        <f>IFERROR(IF($C9="","",SUMIFS(Ledger!$K$2:$K$4, Ledger!$B$2:$B$4, $A9, Ledger!$C$2:$C$4, N$2)),"****")</f>
        <v/>
      </c>
      <c r="O9" t="str">
        <f>IFERROR(IF($C9="","",SUMIFS(Ledger!$K$2:$K$4, Ledger!$B$2:$B$4, $A9, Ledger!$C$2:$C$4, O$2)),"****")</f>
        <v/>
      </c>
      <c r="P9" t="str">
        <f>IFERROR(IF($C9="","",SUMIFS(Ledger!$K$2:$K$4, Ledger!$B$2:$B$4, $A9, Ledger!$C$2:$C$4, P$2)),"****")</f>
        <v/>
      </c>
      <c r="Q9" t="str">
        <f>IFERROR(IF($C9="","",SUMIFS(Ledger!$K$2:$K$4, Ledger!$B$2:$B$4, $A9, Ledger!$C$2:$C$4, Q$2)),"****")</f>
        <v/>
      </c>
      <c r="R9" t="str">
        <f>IFERROR(IF($C9="","",SUMIFS(Ledger!$K$2:$K$4, Ledger!$B$2:$B$4, $A9, Ledger!$C$2:$C$4, R$2)),"****")</f>
        <v/>
      </c>
      <c r="S9" t="str">
        <f>IFERROR(IF($C9="","",SUMIFS(Ledger!$K$2:$K$4, Ledger!$B$2:$B$4, $A9, Ledger!$C$2:$C$4, S$2)),"****")</f>
        <v/>
      </c>
      <c r="T9" t="str">
        <f>IFERROR(IF($C9="","",SUMIFS(Ledger!$K$2:$K$4, Ledger!$B$2:$B$4, $A9, Ledger!$C$2:$C$4, T$2)),"****")</f>
        <v/>
      </c>
      <c r="U9" t="str">
        <f>IFERROR(IF($C9="","",SUMIFS(Ledger!$K$2:$K$4, Ledger!$B$2:$B$4, $A9, Ledger!$C$2:$C$4, U$2)),"****")</f>
        <v/>
      </c>
      <c r="V9" t="str">
        <f>IFERROR(IF($C9="","",SUMIFS(Ledger!$K$2:$K$4, Ledger!$B$2:$B$4, $A9, Ledger!$C$2:$C$4, V$2)),"****")</f>
        <v/>
      </c>
      <c r="W9" t="str">
        <f>IFERROR(IF($C9="","",SUMIFS(Ledger!$K$2:$K$4, Ledger!$B$2:$B$4, $A9, Ledger!$C$2:$C$4, W$2)),"****")</f>
        <v/>
      </c>
      <c r="X9" t="str">
        <f>IFERROR(IF($C9="","",SUMIFS(Ledger!$K$2:$K$4, Ledger!$B$2:$B$4, $A9, Ledger!$C$2:$C$4, X$2)),"****")</f>
        <v/>
      </c>
    </row>
    <row r="10" spans="1:16384" x14ac:dyDescent="0.3">
      <c r="A10" s="106">
        <v>8</v>
      </c>
      <c r="B10" t="str">
        <f>IFERROR(VLOOKUP($A10, Ledger!$B$2:$L$8, 3, 0),"")</f>
        <v/>
      </c>
      <c r="C10" t="str">
        <f>IFERROR(VLOOKUP($A10, Ledger!$B$2:$L$8, 4, 0),"")</f>
        <v/>
      </c>
      <c r="D10" t="str">
        <f>IFERROR(VLOOKUP($A10, Ledger!$B$2:$L$8, 5, 0),"")</f>
        <v/>
      </c>
      <c r="E10" t="str">
        <f>IFERROR(VLOOKUP($A10, Ledger!$B$2:$L$8, 6, 0),"")</f>
        <v/>
      </c>
      <c r="F10" t="str">
        <f>IFERROR(VLOOKUP($A10,'Student Data'!$A$2:$AR$6,32,0),"")</f>
        <v/>
      </c>
      <c r="G10" t="str">
        <f>IFERROR(VLOOKUP($A10,'Student Data'!$A$2:$AR$6,33,0),"")</f>
        <v/>
      </c>
      <c r="H10" t="str">
        <f>IFERROR(VLOOKUP($A10,'Student Data'!$A$2:$AR$6,34,0),"")</f>
        <v/>
      </c>
      <c r="I10" t="str">
        <f>IFERROR(VLOOKUP($A10,'Student Data'!$A$2:$AR$6,35,0),"")</f>
        <v/>
      </c>
      <c r="J10" t="str">
        <f>IFERROR(VLOOKUP($A10,'Student Data'!$A$2:$AR$6,36,0),"")</f>
        <v/>
      </c>
      <c r="K10" t="str">
        <f t="shared" si="0"/>
        <v/>
      </c>
      <c r="L10" t="str">
        <f t="shared" si="1"/>
        <v/>
      </c>
      <c r="M10" t="str">
        <f>IFERROR(IF($C10="","",SUMIFS(Ledger!$K$2:$K$4, Ledger!$B$2:$B$4, $A10, Ledger!$C$2:$C$4, M$2)),"****")</f>
        <v/>
      </c>
      <c r="N10" t="str">
        <f>IFERROR(IF($C10="","",SUMIFS(Ledger!$K$2:$K$4, Ledger!$B$2:$B$4, $A10, Ledger!$C$2:$C$4, N$2)),"****")</f>
        <v/>
      </c>
      <c r="O10" t="str">
        <f>IFERROR(IF($C10="","",SUMIFS(Ledger!$K$2:$K$4, Ledger!$B$2:$B$4, $A10, Ledger!$C$2:$C$4, O$2)),"****")</f>
        <v/>
      </c>
      <c r="P10" t="str">
        <f>IFERROR(IF($C10="","",SUMIFS(Ledger!$K$2:$K$4, Ledger!$B$2:$B$4, $A10, Ledger!$C$2:$C$4, P$2)),"****")</f>
        <v/>
      </c>
      <c r="Q10" t="str">
        <f>IFERROR(IF($C10="","",SUMIFS(Ledger!$K$2:$K$4, Ledger!$B$2:$B$4, $A10, Ledger!$C$2:$C$4, Q$2)),"****")</f>
        <v/>
      </c>
      <c r="R10" t="str">
        <f>IFERROR(IF($C10="","",SUMIFS(Ledger!$K$2:$K$4, Ledger!$B$2:$B$4, $A10, Ledger!$C$2:$C$4, R$2)),"****")</f>
        <v/>
      </c>
      <c r="S10" t="str">
        <f>IFERROR(IF($C10="","",SUMIFS(Ledger!$K$2:$K$4, Ledger!$B$2:$B$4, $A10, Ledger!$C$2:$C$4, S$2)),"****")</f>
        <v/>
      </c>
      <c r="T10" t="str">
        <f>IFERROR(IF($C10="","",SUMIFS(Ledger!$K$2:$K$4, Ledger!$B$2:$B$4, $A10, Ledger!$C$2:$C$4, T$2)),"****")</f>
        <v/>
      </c>
      <c r="U10" t="str">
        <f>IFERROR(IF($C10="","",SUMIFS(Ledger!$K$2:$K$4, Ledger!$B$2:$B$4, $A10, Ledger!$C$2:$C$4, U$2)),"****")</f>
        <v/>
      </c>
      <c r="V10" t="str">
        <f>IFERROR(IF($C10="","",SUMIFS(Ledger!$K$2:$K$4, Ledger!$B$2:$B$4, $A10, Ledger!$C$2:$C$4, V$2)),"****")</f>
        <v/>
      </c>
      <c r="W10" t="str">
        <f>IFERROR(IF($C10="","",SUMIFS(Ledger!$K$2:$K$4, Ledger!$B$2:$B$4, $A10, Ledger!$C$2:$C$4, W$2)),"****")</f>
        <v/>
      </c>
      <c r="X10" t="str">
        <f>IFERROR(IF($C10="","",SUMIFS(Ledger!$K$2:$K$4, Ledger!$B$2:$B$4, $A10, Ledger!$C$2:$C$4, X$2)),"****")</f>
        <v/>
      </c>
    </row>
    <row r="11" spans="1:16384" x14ac:dyDescent="0.3">
      <c r="A11" s="106">
        <v>9</v>
      </c>
      <c r="B11" t="str">
        <f>IFERROR(VLOOKUP($A11, Ledger!$B$2:$L$8, 3, 0),"")</f>
        <v/>
      </c>
      <c r="C11" t="str">
        <f>IFERROR(VLOOKUP($A11, Ledger!$B$2:$L$8, 4, 0),"")</f>
        <v/>
      </c>
      <c r="D11" t="str">
        <f>IFERROR(VLOOKUP($A11, Ledger!$B$2:$L$8, 5, 0),"")</f>
        <v/>
      </c>
      <c r="E11" t="str">
        <f>IFERROR(VLOOKUP($A11, Ledger!$B$2:$L$8, 6, 0),"")</f>
        <v/>
      </c>
      <c r="F11" t="str">
        <f>IFERROR(VLOOKUP($A11,'Student Data'!$A$2:$AR$6,32,0),"")</f>
        <v/>
      </c>
      <c r="G11" t="str">
        <f>IFERROR(VLOOKUP($A11,'Student Data'!$A$2:$AR$6,33,0),"")</f>
        <v/>
      </c>
      <c r="H11" t="str">
        <f>IFERROR(VLOOKUP($A11,'Student Data'!$A$2:$AR$6,34,0),"")</f>
        <v/>
      </c>
      <c r="I11" t="str">
        <f>IFERROR(VLOOKUP($A11,'Student Data'!$A$2:$AR$6,35,0),"")</f>
        <v/>
      </c>
      <c r="J11" t="str">
        <f>IFERROR(VLOOKUP($A11,'Student Data'!$A$2:$AR$6,36,0),"")</f>
        <v/>
      </c>
      <c r="K11" t="str">
        <f t="shared" si="0"/>
        <v/>
      </c>
      <c r="L11" t="str">
        <f t="shared" si="1"/>
        <v/>
      </c>
      <c r="M11" t="str">
        <f>IFERROR(IF($C11="","",SUMIFS(Ledger!$K$2:$K$4, Ledger!$B$2:$B$4, $A11, Ledger!$C$2:$C$4, M$2)),"****")</f>
        <v/>
      </c>
      <c r="N11" t="str">
        <f>IFERROR(IF($C11="","",SUMIFS(Ledger!$K$2:$K$4, Ledger!$B$2:$B$4, $A11, Ledger!$C$2:$C$4, N$2)),"****")</f>
        <v/>
      </c>
      <c r="O11" t="str">
        <f>IFERROR(IF($C11="","",SUMIFS(Ledger!$K$2:$K$4, Ledger!$B$2:$B$4, $A11, Ledger!$C$2:$C$4, O$2)),"****")</f>
        <v/>
      </c>
      <c r="P11" t="str">
        <f>IFERROR(IF($C11="","",SUMIFS(Ledger!$K$2:$K$4, Ledger!$B$2:$B$4, $A11, Ledger!$C$2:$C$4, P$2)),"****")</f>
        <v/>
      </c>
      <c r="Q11" t="str">
        <f>IFERROR(IF($C11="","",SUMIFS(Ledger!$K$2:$K$4, Ledger!$B$2:$B$4, $A11, Ledger!$C$2:$C$4, Q$2)),"****")</f>
        <v/>
      </c>
      <c r="R11" t="str">
        <f>IFERROR(IF($C11="","",SUMIFS(Ledger!$K$2:$K$4, Ledger!$B$2:$B$4, $A11, Ledger!$C$2:$C$4, R$2)),"****")</f>
        <v/>
      </c>
      <c r="S11" t="str">
        <f>IFERROR(IF($C11="","",SUMIFS(Ledger!$K$2:$K$4, Ledger!$B$2:$B$4, $A11, Ledger!$C$2:$C$4, S$2)),"****")</f>
        <v/>
      </c>
      <c r="T11" t="str">
        <f>IFERROR(IF($C11="","",SUMIFS(Ledger!$K$2:$K$4, Ledger!$B$2:$B$4, $A11, Ledger!$C$2:$C$4, T$2)),"****")</f>
        <v/>
      </c>
      <c r="U11" t="str">
        <f>IFERROR(IF($C11="","",SUMIFS(Ledger!$K$2:$K$4, Ledger!$B$2:$B$4, $A11, Ledger!$C$2:$C$4, U$2)),"****")</f>
        <v/>
      </c>
      <c r="V11" t="str">
        <f>IFERROR(IF($C11="","",SUMIFS(Ledger!$K$2:$K$4, Ledger!$B$2:$B$4, $A11, Ledger!$C$2:$C$4, V$2)),"****")</f>
        <v/>
      </c>
      <c r="W11" t="str">
        <f>IFERROR(IF($C11="","",SUMIFS(Ledger!$K$2:$K$4, Ledger!$B$2:$B$4, $A11, Ledger!$C$2:$C$4, W$2)),"****")</f>
        <v/>
      </c>
      <c r="X11" t="str">
        <f>IFERROR(IF($C11="","",SUMIFS(Ledger!$K$2:$K$4, Ledger!$B$2:$B$4, $A11, Ledger!$C$2:$C$4, X$2)),"****")</f>
        <v/>
      </c>
    </row>
    <row r="12" spans="1:16384" x14ac:dyDescent="0.3">
      <c r="A12" s="106">
        <v>10</v>
      </c>
      <c r="B12" t="str">
        <f>IFERROR(VLOOKUP($A12, Ledger!$B$2:$L$8, 3, 0),"")</f>
        <v/>
      </c>
      <c r="C12" t="str">
        <f>IFERROR(VLOOKUP($A12, Ledger!$B$2:$L$8, 4, 0),"")</f>
        <v/>
      </c>
      <c r="D12" t="str">
        <f>IFERROR(VLOOKUP($A12, Ledger!$B$2:$L$8, 5, 0),"")</f>
        <v/>
      </c>
      <c r="E12" t="str">
        <f>IFERROR(VLOOKUP($A12, Ledger!$B$2:$L$8, 6, 0),"")</f>
        <v/>
      </c>
      <c r="F12" t="str">
        <f>IFERROR(VLOOKUP($A12,'Student Data'!$A$2:$AR$6,32,0),"")</f>
        <v/>
      </c>
      <c r="G12" t="str">
        <f>IFERROR(VLOOKUP($A12,'Student Data'!$A$2:$AR$6,33,0),"")</f>
        <v/>
      </c>
      <c r="H12" t="str">
        <f>IFERROR(VLOOKUP($A12,'Student Data'!$A$2:$AR$6,34,0),"")</f>
        <v/>
      </c>
      <c r="I12" t="str">
        <f>IFERROR(VLOOKUP($A12,'Student Data'!$A$2:$AR$6,35,0),"")</f>
        <v/>
      </c>
      <c r="J12" t="str">
        <f>IFERROR(VLOOKUP($A12,'Student Data'!$A$2:$AR$6,36,0),"")</f>
        <v/>
      </c>
      <c r="K12" t="str">
        <f t="shared" si="0"/>
        <v/>
      </c>
      <c r="L12" t="str">
        <f t="shared" si="1"/>
        <v/>
      </c>
      <c r="M12" t="str">
        <f>IFERROR(IF($C12="","",SUMIFS(Ledger!$K$2:$K$4, Ledger!$B$2:$B$4, $A12, Ledger!$C$2:$C$4, M$2)),"****")</f>
        <v/>
      </c>
      <c r="N12" t="str">
        <f>IFERROR(IF($C12="","",SUMIFS(Ledger!$K$2:$K$4, Ledger!$B$2:$B$4, $A12, Ledger!$C$2:$C$4, N$2)),"****")</f>
        <v/>
      </c>
      <c r="O12" t="str">
        <f>IFERROR(IF($C12="","",SUMIFS(Ledger!$K$2:$K$4, Ledger!$B$2:$B$4, $A12, Ledger!$C$2:$C$4, O$2)),"****")</f>
        <v/>
      </c>
      <c r="P12" t="str">
        <f>IFERROR(IF($C12="","",SUMIFS(Ledger!$K$2:$K$4, Ledger!$B$2:$B$4, $A12, Ledger!$C$2:$C$4, P$2)),"****")</f>
        <v/>
      </c>
      <c r="Q12" t="str">
        <f>IFERROR(IF($C12="","",SUMIFS(Ledger!$K$2:$K$4, Ledger!$B$2:$B$4, $A12, Ledger!$C$2:$C$4, Q$2)),"****")</f>
        <v/>
      </c>
      <c r="R12" t="str">
        <f>IFERROR(IF($C12="","",SUMIFS(Ledger!$K$2:$K$4, Ledger!$B$2:$B$4, $A12, Ledger!$C$2:$C$4, R$2)),"****")</f>
        <v/>
      </c>
      <c r="S12" t="str">
        <f>IFERROR(IF($C12="","",SUMIFS(Ledger!$K$2:$K$4, Ledger!$B$2:$B$4, $A12, Ledger!$C$2:$C$4, S$2)),"****")</f>
        <v/>
      </c>
      <c r="T12" t="str">
        <f>IFERROR(IF($C12="","",SUMIFS(Ledger!$K$2:$K$4, Ledger!$B$2:$B$4, $A12, Ledger!$C$2:$C$4, T$2)),"****")</f>
        <v/>
      </c>
      <c r="U12" t="str">
        <f>IFERROR(IF($C12="","",SUMIFS(Ledger!$K$2:$K$4, Ledger!$B$2:$B$4, $A12, Ledger!$C$2:$C$4, U$2)),"****")</f>
        <v/>
      </c>
      <c r="V12" t="str">
        <f>IFERROR(IF($C12="","",SUMIFS(Ledger!$K$2:$K$4, Ledger!$B$2:$B$4, $A12, Ledger!$C$2:$C$4, V$2)),"****")</f>
        <v/>
      </c>
      <c r="W12" t="str">
        <f>IFERROR(IF($C12="","",SUMIFS(Ledger!$K$2:$K$4, Ledger!$B$2:$B$4, $A12, Ledger!$C$2:$C$4, W$2)),"****")</f>
        <v/>
      </c>
      <c r="X12" t="str">
        <f>IFERROR(IF($C12="","",SUMIFS(Ledger!$K$2:$K$4, Ledger!$B$2:$B$4, $A12, Ledger!$C$2:$C$4, X$2)),"****")</f>
        <v/>
      </c>
    </row>
    <row r="13" spans="1:16384" x14ac:dyDescent="0.3">
      <c r="A13" s="106">
        <v>11</v>
      </c>
      <c r="B13" t="str">
        <f>IFERROR(VLOOKUP($A13, Ledger!$B$2:$L$8, 3, 0),"")</f>
        <v/>
      </c>
      <c r="C13" t="str">
        <f>IFERROR(VLOOKUP($A13, Ledger!$B$2:$L$8, 4, 0),"")</f>
        <v/>
      </c>
      <c r="D13" t="str">
        <f>IFERROR(VLOOKUP($A13, Ledger!$B$2:$L$8, 5, 0),"")</f>
        <v/>
      </c>
      <c r="E13" t="str">
        <f>IFERROR(VLOOKUP($A13, Ledger!$B$2:$L$8, 6, 0),"")</f>
        <v/>
      </c>
      <c r="F13" t="str">
        <f>IFERROR(VLOOKUP($A13,'Student Data'!$A$2:$AR$6,32,0),"")</f>
        <v/>
      </c>
      <c r="G13" t="str">
        <f>IFERROR(VLOOKUP($A13,'Student Data'!$A$2:$AR$6,33,0),"")</f>
        <v/>
      </c>
      <c r="H13" t="str">
        <f>IFERROR(VLOOKUP($A13,'Student Data'!$A$2:$AR$6,34,0),"")</f>
        <v/>
      </c>
      <c r="I13" t="str">
        <f>IFERROR(VLOOKUP($A13,'Student Data'!$A$2:$AR$6,35,0),"")</f>
        <v/>
      </c>
      <c r="J13" t="str">
        <f>IFERROR(VLOOKUP($A13,'Student Data'!$A$2:$AR$6,36,0),"")</f>
        <v/>
      </c>
      <c r="K13" t="str">
        <f t="shared" si="0"/>
        <v/>
      </c>
      <c r="L13" t="str">
        <f t="shared" si="1"/>
        <v/>
      </c>
      <c r="M13" t="str">
        <f>IFERROR(IF($C13="","",SUMIFS(Ledger!$K$2:$K$4, Ledger!$B$2:$B$4, $A13, Ledger!$C$2:$C$4, M$2)),"****")</f>
        <v/>
      </c>
      <c r="N13" t="str">
        <f>IFERROR(IF($C13="","",SUMIFS(Ledger!$K$2:$K$4, Ledger!$B$2:$B$4, $A13, Ledger!$C$2:$C$4, N$2)),"****")</f>
        <v/>
      </c>
      <c r="O13" t="str">
        <f>IFERROR(IF($C13="","",SUMIFS(Ledger!$K$2:$K$4, Ledger!$B$2:$B$4, $A13, Ledger!$C$2:$C$4, O$2)),"****")</f>
        <v/>
      </c>
      <c r="P13" t="str">
        <f>IFERROR(IF($C13="","",SUMIFS(Ledger!$K$2:$K$4, Ledger!$B$2:$B$4, $A13, Ledger!$C$2:$C$4, P$2)),"****")</f>
        <v/>
      </c>
      <c r="Q13" t="str">
        <f>IFERROR(IF($C13="","",SUMIFS(Ledger!$K$2:$K$4, Ledger!$B$2:$B$4, $A13, Ledger!$C$2:$C$4, Q$2)),"****")</f>
        <v/>
      </c>
      <c r="R13" t="str">
        <f>IFERROR(IF($C13="","",SUMIFS(Ledger!$K$2:$K$4, Ledger!$B$2:$B$4, $A13, Ledger!$C$2:$C$4, R$2)),"****")</f>
        <v/>
      </c>
      <c r="S13" t="str">
        <f>IFERROR(IF($C13="","",SUMIFS(Ledger!$K$2:$K$4, Ledger!$B$2:$B$4, $A13, Ledger!$C$2:$C$4, S$2)),"****")</f>
        <v/>
      </c>
      <c r="T13" t="str">
        <f>IFERROR(IF($C13="","",SUMIFS(Ledger!$K$2:$K$4, Ledger!$B$2:$B$4, $A13, Ledger!$C$2:$C$4, T$2)),"****")</f>
        <v/>
      </c>
      <c r="U13" t="str">
        <f>IFERROR(IF($C13="","",SUMIFS(Ledger!$K$2:$K$4, Ledger!$B$2:$B$4, $A13, Ledger!$C$2:$C$4, U$2)),"****")</f>
        <v/>
      </c>
      <c r="V13" t="str">
        <f>IFERROR(IF($C13="","",SUMIFS(Ledger!$K$2:$K$4, Ledger!$B$2:$B$4, $A13, Ledger!$C$2:$C$4, V$2)),"****")</f>
        <v/>
      </c>
      <c r="W13" t="str">
        <f>IFERROR(IF($C13="","",SUMIFS(Ledger!$K$2:$K$4, Ledger!$B$2:$B$4, $A13, Ledger!$C$2:$C$4, W$2)),"****")</f>
        <v/>
      </c>
      <c r="X13" t="str">
        <f>IFERROR(IF($C13="","",SUMIFS(Ledger!$K$2:$K$4, Ledger!$B$2:$B$4, $A13, Ledger!$C$2:$C$4, X$2)),"****")</f>
        <v/>
      </c>
    </row>
    <row r="14" spans="1:16384" x14ac:dyDescent="0.3">
      <c r="A14" s="106">
        <v>12</v>
      </c>
      <c r="B14" t="str">
        <f>IFERROR(VLOOKUP($A14, Ledger!$B$2:$L$8, 3, 0),"")</f>
        <v/>
      </c>
      <c r="C14" t="str">
        <f>IFERROR(VLOOKUP($A14, Ledger!$B$2:$L$8, 4, 0),"")</f>
        <v/>
      </c>
      <c r="D14" t="str">
        <f>IFERROR(VLOOKUP($A14, Ledger!$B$2:$L$8, 5, 0),"")</f>
        <v/>
      </c>
      <c r="E14" t="str">
        <f>IFERROR(VLOOKUP($A14, Ledger!$B$2:$L$8, 6, 0),"")</f>
        <v/>
      </c>
      <c r="F14" t="str">
        <f>IFERROR(VLOOKUP($A14,'Student Data'!$A$2:$AR$6,32,0),"")</f>
        <v/>
      </c>
      <c r="G14" t="str">
        <f>IFERROR(VLOOKUP($A14,'Student Data'!$A$2:$AR$6,33,0),"")</f>
        <v/>
      </c>
      <c r="H14" t="str">
        <f>IFERROR(VLOOKUP($A14,'Student Data'!$A$2:$AR$6,34,0),"")</f>
        <v/>
      </c>
      <c r="I14" t="str">
        <f>IFERROR(VLOOKUP($A14,'Student Data'!$A$2:$AR$6,35,0),"")</f>
        <v/>
      </c>
      <c r="J14" t="str">
        <f>IFERROR(VLOOKUP($A14,'Student Data'!$A$2:$AR$6,36,0),"")</f>
        <v/>
      </c>
      <c r="K14" t="str">
        <f t="shared" si="0"/>
        <v/>
      </c>
      <c r="L14" t="str">
        <f t="shared" si="1"/>
        <v/>
      </c>
      <c r="M14" t="str">
        <f>IFERROR(IF($C14="","",SUMIFS(Ledger!$K$2:$K$4, Ledger!$B$2:$B$4, $A14, Ledger!$C$2:$C$4, M$2)),"****")</f>
        <v/>
      </c>
      <c r="N14" t="str">
        <f>IFERROR(IF($C14="","",SUMIFS(Ledger!$K$2:$K$4, Ledger!$B$2:$B$4, $A14, Ledger!$C$2:$C$4, N$2)),"****")</f>
        <v/>
      </c>
      <c r="O14" t="str">
        <f>IFERROR(IF($C14="","",SUMIFS(Ledger!$K$2:$K$4, Ledger!$B$2:$B$4, $A14, Ledger!$C$2:$C$4, O$2)),"****")</f>
        <v/>
      </c>
      <c r="P14" t="str">
        <f>IFERROR(IF($C14="","",SUMIFS(Ledger!$K$2:$K$4, Ledger!$B$2:$B$4, $A14, Ledger!$C$2:$C$4, P$2)),"****")</f>
        <v/>
      </c>
      <c r="Q14" t="str">
        <f>IFERROR(IF($C14="","",SUMIFS(Ledger!$K$2:$K$4, Ledger!$B$2:$B$4, $A14, Ledger!$C$2:$C$4, Q$2)),"****")</f>
        <v/>
      </c>
      <c r="R14" t="str">
        <f>IFERROR(IF($C14="","",SUMIFS(Ledger!$K$2:$K$4, Ledger!$B$2:$B$4, $A14, Ledger!$C$2:$C$4, R$2)),"****")</f>
        <v/>
      </c>
      <c r="S14" t="str">
        <f>IFERROR(IF($C14="","",SUMIFS(Ledger!$K$2:$K$4, Ledger!$B$2:$B$4, $A14, Ledger!$C$2:$C$4, S$2)),"****")</f>
        <v/>
      </c>
      <c r="T14" t="str">
        <f>IFERROR(IF($C14="","",SUMIFS(Ledger!$K$2:$K$4, Ledger!$B$2:$B$4, $A14, Ledger!$C$2:$C$4, T$2)),"****")</f>
        <v/>
      </c>
      <c r="U14" t="str">
        <f>IFERROR(IF($C14="","",SUMIFS(Ledger!$K$2:$K$4, Ledger!$B$2:$B$4, $A14, Ledger!$C$2:$C$4, U$2)),"****")</f>
        <v/>
      </c>
      <c r="V14" t="str">
        <f>IFERROR(IF($C14="","",SUMIFS(Ledger!$K$2:$K$4, Ledger!$B$2:$B$4, $A14, Ledger!$C$2:$C$4, V$2)),"****")</f>
        <v/>
      </c>
      <c r="W14" t="str">
        <f>IFERROR(IF($C14="","",SUMIFS(Ledger!$K$2:$K$4, Ledger!$B$2:$B$4, $A14, Ledger!$C$2:$C$4, W$2)),"****")</f>
        <v/>
      </c>
      <c r="X14" t="str">
        <f>IFERROR(IF($C14="","",SUMIFS(Ledger!$K$2:$K$4, Ledger!$B$2:$B$4, $A14, Ledger!$C$2:$C$4, X$2)),"****")</f>
        <v/>
      </c>
    </row>
    <row r="15" spans="1:16384" x14ac:dyDescent="0.3">
      <c r="A15" s="106">
        <v>13</v>
      </c>
      <c r="B15" t="str">
        <f>IFERROR(VLOOKUP($A15, Ledger!$B$2:$L$8, 3, 0),"")</f>
        <v/>
      </c>
      <c r="C15" t="str">
        <f>IFERROR(VLOOKUP($A15, Ledger!$B$2:$L$8, 4, 0),"")</f>
        <v/>
      </c>
      <c r="D15" t="str">
        <f>IFERROR(VLOOKUP($A15, Ledger!$B$2:$L$8, 5, 0),"")</f>
        <v/>
      </c>
      <c r="E15" t="str">
        <f>IFERROR(VLOOKUP($A15, Ledger!$B$2:$L$8, 6, 0),"")</f>
        <v/>
      </c>
      <c r="F15" t="str">
        <f>IFERROR(VLOOKUP($A15,'Student Data'!$A$2:$AR$6,32,0),"")</f>
        <v/>
      </c>
      <c r="G15" t="str">
        <f>IFERROR(VLOOKUP($A15,'Student Data'!$A$2:$AR$6,33,0),"")</f>
        <v/>
      </c>
      <c r="H15" t="str">
        <f>IFERROR(VLOOKUP($A15,'Student Data'!$A$2:$AR$6,34,0),"")</f>
        <v/>
      </c>
      <c r="I15" t="str">
        <f>IFERROR(VLOOKUP($A15,'Student Data'!$A$2:$AR$6,35,0),"")</f>
        <v/>
      </c>
      <c r="J15" t="str">
        <f>IFERROR(VLOOKUP($A15,'Student Data'!$A$2:$AR$6,36,0),"")</f>
        <v/>
      </c>
      <c r="K15" t="str">
        <f t="shared" si="0"/>
        <v/>
      </c>
      <c r="L15" t="str">
        <f t="shared" si="1"/>
        <v/>
      </c>
      <c r="M15" t="str">
        <f>IFERROR(IF($C15="","",SUMIFS(Ledger!$K$2:$K$4, Ledger!$B$2:$B$4, $A15, Ledger!$C$2:$C$4, M$2)),"****")</f>
        <v/>
      </c>
      <c r="N15" t="str">
        <f>IFERROR(IF($C15="","",SUMIFS(Ledger!$K$2:$K$4, Ledger!$B$2:$B$4, $A15, Ledger!$C$2:$C$4, N$2)),"****")</f>
        <v/>
      </c>
      <c r="O15" t="str">
        <f>IFERROR(IF($C15="","",SUMIFS(Ledger!$K$2:$K$4, Ledger!$B$2:$B$4, $A15, Ledger!$C$2:$C$4, O$2)),"****")</f>
        <v/>
      </c>
      <c r="P15" t="str">
        <f>IFERROR(IF($C15="","",SUMIFS(Ledger!$K$2:$K$4, Ledger!$B$2:$B$4, $A15, Ledger!$C$2:$C$4, P$2)),"****")</f>
        <v/>
      </c>
      <c r="Q15" t="str">
        <f>IFERROR(IF($C15="","",SUMIFS(Ledger!$K$2:$K$4, Ledger!$B$2:$B$4, $A15, Ledger!$C$2:$C$4, Q$2)),"****")</f>
        <v/>
      </c>
      <c r="R15" t="str">
        <f>IFERROR(IF($C15="","",SUMIFS(Ledger!$K$2:$K$4, Ledger!$B$2:$B$4, $A15, Ledger!$C$2:$C$4, R$2)),"****")</f>
        <v/>
      </c>
      <c r="S15" t="str">
        <f>IFERROR(IF($C15="","",SUMIFS(Ledger!$K$2:$K$4, Ledger!$B$2:$B$4, $A15, Ledger!$C$2:$C$4, S$2)),"****")</f>
        <v/>
      </c>
      <c r="T15" t="str">
        <f>IFERROR(IF($C15="","",SUMIFS(Ledger!$K$2:$K$4, Ledger!$B$2:$B$4, $A15, Ledger!$C$2:$C$4, T$2)),"****")</f>
        <v/>
      </c>
      <c r="U15" t="str">
        <f>IFERROR(IF($C15="","",SUMIFS(Ledger!$K$2:$K$4, Ledger!$B$2:$B$4, $A15, Ledger!$C$2:$C$4, U$2)),"****")</f>
        <v/>
      </c>
      <c r="V15" t="str">
        <f>IFERROR(IF($C15="","",SUMIFS(Ledger!$K$2:$K$4, Ledger!$B$2:$B$4, $A15, Ledger!$C$2:$C$4, V$2)),"****")</f>
        <v/>
      </c>
      <c r="W15" t="str">
        <f>IFERROR(IF($C15="","",SUMIFS(Ledger!$K$2:$K$4, Ledger!$B$2:$B$4, $A15, Ledger!$C$2:$C$4, W$2)),"****")</f>
        <v/>
      </c>
      <c r="X15" t="str">
        <f>IFERROR(IF($C15="","",SUMIFS(Ledger!$K$2:$K$4, Ledger!$B$2:$B$4, $A15, Ledger!$C$2:$C$4, X$2)),"****")</f>
        <v/>
      </c>
    </row>
    <row r="16" spans="1:16384" x14ac:dyDescent="0.3">
      <c r="A16" s="106">
        <v>14</v>
      </c>
      <c r="B16" t="str">
        <f>IFERROR(VLOOKUP($A16, Ledger!$B$2:$L$8, 3, 0),"")</f>
        <v/>
      </c>
      <c r="C16" t="str">
        <f>IFERROR(VLOOKUP($A16, Ledger!$B$2:$L$8, 4, 0),"")</f>
        <v/>
      </c>
      <c r="D16" t="str">
        <f>IFERROR(VLOOKUP($A16, Ledger!$B$2:$L$8, 5, 0),"")</f>
        <v/>
      </c>
      <c r="E16" t="str">
        <f>IFERROR(VLOOKUP($A16, Ledger!$B$2:$L$8, 6, 0),"")</f>
        <v/>
      </c>
      <c r="F16" t="str">
        <f>IFERROR(VLOOKUP($A16,'Student Data'!$A$2:$AR$6,32,0),"")</f>
        <v/>
      </c>
      <c r="G16" t="str">
        <f>IFERROR(VLOOKUP($A16,'Student Data'!$A$2:$AR$6,33,0),"")</f>
        <v/>
      </c>
      <c r="H16" t="str">
        <f>IFERROR(VLOOKUP($A16,'Student Data'!$A$2:$AR$6,34,0),"")</f>
        <v/>
      </c>
      <c r="I16" t="str">
        <f>IFERROR(VLOOKUP($A16,'Student Data'!$A$2:$AR$6,35,0),"")</f>
        <v/>
      </c>
      <c r="J16" t="str">
        <f>IFERROR(VLOOKUP($A16,'Student Data'!$A$2:$AR$6,36,0),"")</f>
        <v/>
      </c>
      <c r="K16" t="str">
        <f t="shared" si="0"/>
        <v/>
      </c>
      <c r="L16" t="str">
        <f t="shared" si="1"/>
        <v/>
      </c>
      <c r="M16" t="str">
        <f>IFERROR(IF($C16="","",SUMIFS(Ledger!$K$2:$K$4, Ledger!$B$2:$B$4, $A16, Ledger!$C$2:$C$4, M$2)),"****")</f>
        <v/>
      </c>
      <c r="N16" t="str">
        <f>IFERROR(IF($C16="","",SUMIFS(Ledger!$K$2:$K$4, Ledger!$B$2:$B$4, $A16, Ledger!$C$2:$C$4, N$2)),"****")</f>
        <v/>
      </c>
      <c r="O16" t="str">
        <f>IFERROR(IF($C16="","",SUMIFS(Ledger!$K$2:$K$4, Ledger!$B$2:$B$4, $A16, Ledger!$C$2:$C$4, O$2)),"****")</f>
        <v/>
      </c>
      <c r="P16" t="str">
        <f>IFERROR(IF($C16="","",SUMIFS(Ledger!$K$2:$K$4, Ledger!$B$2:$B$4, $A16, Ledger!$C$2:$C$4, P$2)),"****")</f>
        <v/>
      </c>
      <c r="Q16" t="str">
        <f>IFERROR(IF($C16="","",SUMIFS(Ledger!$K$2:$K$4, Ledger!$B$2:$B$4, $A16, Ledger!$C$2:$C$4, Q$2)),"****")</f>
        <v/>
      </c>
      <c r="R16" t="str">
        <f>IFERROR(IF($C16="","",SUMIFS(Ledger!$K$2:$K$4, Ledger!$B$2:$B$4, $A16, Ledger!$C$2:$C$4, R$2)),"****")</f>
        <v/>
      </c>
      <c r="S16" t="str">
        <f>IFERROR(IF($C16="","",SUMIFS(Ledger!$K$2:$K$4, Ledger!$B$2:$B$4, $A16, Ledger!$C$2:$C$4, S$2)),"****")</f>
        <v/>
      </c>
      <c r="T16" t="str">
        <f>IFERROR(IF($C16="","",SUMIFS(Ledger!$K$2:$K$4, Ledger!$B$2:$B$4, $A16, Ledger!$C$2:$C$4, T$2)),"****")</f>
        <v/>
      </c>
      <c r="U16" t="str">
        <f>IFERROR(IF($C16="","",SUMIFS(Ledger!$K$2:$K$4, Ledger!$B$2:$B$4, $A16, Ledger!$C$2:$C$4, U$2)),"****")</f>
        <v/>
      </c>
      <c r="V16" t="str">
        <f>IFERROR(IF($C16="","",SUMIFS(Ledger!$K$2:$K$4, Ledger!$B$2:$B$4, $A16, Ledger!$C$2:$C$4, V$2)),"****")</f>
        <v/>
      </c>
      <c r="W16" t="str">
        <f>IFERROR(IF($C16="","",SUMIFS(Ledger!$K$2:$K$4, Ledger!$B$2:$B$4, $A16, Ledger!$C$2:$C$4, W$2)),"****")</f>
        <v/>
      </c>
      <c r="X16" t="str">
        <f>IFERROR(IF($C16="","",SUMIFS(Ledger!$K$2:$K$4, Ledger!$B$2:$B$4, $A16, Ledger!$C$2:$C$4, X$2)),"****")</f>
        <v/>
      </c>
    </row>
    <row r="17" spans="1:24" x14ac:dyDescent="0.3">
      <c r="A17" s="106">
        <v>15</v>
      </c>
      <c r="B17" t="str">
        <f>IFERROR(VLOOKUP($A17, Ledger!$B$2:$L$8, 3, 0),"")</f>
        <v/>
      </c>
      <c r="C17" t="str">
        <f>IFERROR(VLOOKUP($A17, Ledger!$B$2:$L$8, 4, 0),"")</f>
        <v/>
      </c>
      <c r="D17" t="str">
        <f>IFERROR(VLOOKUP($A17, Ledger!$B$2:$L$8, 5, 0),"")</f>
        <v/>
      </c>
      <c r="E17" t="str">
        <f>IFERROR(VLOOKUP($A17, Ledger!$B$2:$L$8, 6, 0),"")</f>
        <v/>
      </c>
      <c r="F17" t="str">
        <f>IFERROR(VLOOKUP($A17,'Student Data'!$A$2:$AR$6,32,0),"")</f>
        <v/>
      </c>
      <c r="G17" t="str">
        <f>IFERROR(VLOOKUP($A17,'Student Data'!$A$2:$AR$6,33,0),"")</f>
        <v/>
      </c>
      <c r="H17" t="str">
        <f>IFERROR(VLOOKUP($A17,'Student Data'!$A$2:$AR$6,34,0),"")</f>
        <v/>
      </c>
      <c r="I17" t="str">
        <f>IFERROR(VLOOKUP($A17,'Student Data'!$A$2:$AR$6,35,0),"")</f>
        <v/>
      </c>
      <c r="J17" t="str">
        <f>IFERROR(VLOOKUP($A17,'Student Data'!$A$2:$AR$6,36,0),"")</f>
        <v/>
      </c>
      <c r="K17" t="str">
        <f t="shared" si="0"/>
        <v/>
      </c>
      <c r="L17" t="str">
        <f t="shared" si="1"/>
        <v/>
      </c>
      <c r="M17" t="str">
        <f>IFERROR(IF($C17="","",SUMIFS(Ledger!$K$2:$K$4, Ledger!$B$2:$B$4, $A17, Ledger!$C$2:$C$4, M$2)),"****")</f>
        <v/>
      </c>
      <c r="N17" t="str">
        <f>IFERROR(IF($C17="","",SUMIFS(Ledger!$K$2:$K$4, Ledger!$B$2:$B$4, $A17, Ledger!$C$2:$C$4, N$2)),"****")</f>
        <v/>
      </c>
      <c r="O17" t="str">
        <f>IFERROR(IF($C17="","",SUMIFS(Ledger!$K$2:$K$4, Ledger!$B$2:$B$4, $A17, Ledger!$C$2:$C$4, O$2)),"****")</f>
        <v/>
      </c>
      <c r="P17" t="str">
        <f>IFERROR(IF($C17="","",SUMIFS(Ledger!$K$2:$K$4, Ledger!$B$2:$B$4, $A17, Ledger!$C$2:$C$4, P$2)),"****")</f>
        <v/>
      </c>
      <c r="Q17" t="str">
        <f>IFERROR(IF($C17="","",SUMIFS(Ledger!$K$2:$K$4, Ledger!$B$2:$B$4, $A17, Ledger!$C$2:$C$4, Q$2)),"****")</f>
        <v/>
      </c>
      <c r="R17" t="str">
        <f>IFERROR(IF($C17="","",SUMIFS(Ledger!$K$2:$K$4, Ledger!$B$2:$B$4, $A17, Ledger!$C$2:$C$4, R$2)),"****")</f>
        <v/>
      </c>
      <c r="S17" t="str">
        <f>IFERROR(IF($C17="","",SUMIFS(Ledger!$K$2:$K$4, Ledger!$B$2:$B$4, $A17, Ledger!$C$2:$C$4, S$2)),"****")</f>
        <v/>
      </c>
      <c r="T17" t="str">
        <f>IFERROR(IF($C17="","",SUMIFS(Ledger!$K$2:$K$4, Ledger!$B$2:$B$4, $A17, Ledger!$C$2:$C$4, T$2)),"****")</f>
        <v/>
      </c>
      <c r="U17" t="str">
        <f>IFERROR(IF($C17="","",SUMIFS(Ledger!$K$2:$K$4, Ledger!$B$2:$B$4, $A17, Ledger!$C$2:$C$4, U$2)),"****")</f>
        <v/>
      </c>
      <c r="V17" t="str">
        <f>IFERROR(IF($C17="","",SUMIFS(Ledger!$K$2:$K$4, Ledger!$B$2:$B$4, $A17, Ledger!$C$2:$C$4, V$2)),"****")</f>
        <v/>
      </c>
      <c r="W17" t="str">
        <f>IFERROR(IF($C17="","",SUMIFS(Ledger!$K$2:$K$4, Ledger!$B$2:$B$4, $A17, Ledger!$C$2:$C$4, W$2)),"****")</f>
        <v/>
      </c>
      <c r="X17" t="str">
        <f>IFERROR(IF($C17="","",SUMIFS(Ledger!$K$2:$K$4, Ledger!$B$2:$B$4, $A17, Ledger!$C$2:$C$4, X$2)),"****")</f>
        <v/>
      </c>
    </row>
    <row r="18" spans="1:24" x14ac:dyDescent="0.3">
      <c r="A18" s="106">
        <v>16</v>
      </c>
      <c r="B18" t="str">
        <f>IFERROR(VLOOKUP($A18, Ledger!$B$2:$L$8, 3, 0),"")</f>
        <v/>
      </c>
      <c r="C18" t="str">
        <f>IFERROR(VLOOKUP($A18, Ledger!$B$2:$L$8, 4, 0),"")</f>
        <v/>
      </c>
      <c r="D18" t="str">
        <f>IFERROR(VLOOKUP($A18, Ledger!$B$2:$L$8, 5, 0),"")</f>
        <v/>
      </c>
      <c r="E18" t="str">
        <f>IFERROR(VLOOKUP($A18, Ledger!$B$2:$L$8, 6, 0),"")</f>
        <v/>
      </c>
      <c r="F18" t="str">
        <f>IFERROR(VLOOKUP($A18,'Student Data'!$A$2:$AR$6,32,0),"")</f>
        <v/>
      </c>
      <c r="G18" t="str">
        <f>IFERROR(VLOOKUP($A18,'Student Data'!$A$2:$AR$6,33,0),"")</f>
        <v/>
      </c>
      <c r="H18" t="str">
        <f>IFERROR(VLOOKUP($A18,'Student Data'!$A$2:$AR$6,34,0),"")</f>
        <v/>
      </c>
      <c r="I18" t="str">
        <f>IFERROR(VLOOKUP($A18,'Student Data'!$A$2:$AR$6,35,0),"")</f>
        <v/>
      </c>
      <c r="J18" t="str">
        <f>IFERROR(VLOOKUP($A18,'Student Data'!$A$2:$AR$6,36,0),"")</f>
        <v/>
      </c>
      <c r="K18" t="str">
        <f t="shared" si="0"/>
        <v/>
      </c>
      <c r="L18" t="str">
        <f t="shared" si="1"/>
        <v/>
      </c>
      <c r="M18" t="str">
        <f>IFERROR(IF($C18="","",SUMIFS(Ledger!$K$2:$K$4, Ledger!$B$2:$B$4, $A18, Ledger!$C$2:$C$4, M$2)),"****")</f>
        <v/>
      </c>
      <c r="N18" t="str">
        <f>IFERROR(IF($C18="","",SUMIFS(Ledger!$K$2:$K$4, Ledger!$B$2:$B$4, $A18, Ledger!$C$2:$C$4, N$2)),"****")</f>
        <v/>
      </c>
      <c r="O18" t="str">
        <f>IFERROR(IF($C18="","",SUMIFS(Ledger!$K$2:$K$4, Ledger!$B$2:$B$4, $A18, Ledger!$C$2:$C$4, O$2)),"****")</f>
        <v/>
      </c>
      <c r="P18" t="str">
        <f>IFERROR(IF($C18="","",SUMIFS(Ledger!$K$2:$K$4, Ledger!$B$2:$B$4, $A18, Ledger!$C$2:$C$4, P$2)),"****")</f>
        <v/>
      </c>
      <c r="Q18" t="str">
        <f>IFERROR(IF($C18="","",SUMIFS(Ledger!$K$2:$K$4, Ledger!$B$2:$B$4, $A18, Ledger!$C$2:$C$4, Q$2)),"****")</f>
        <v/>
      </c>
      <c r="R18" t="str">
        <f>IFERROR(IF($C18="","",SUMIFS(Ledger!$K$2:$K$4, Ledger!$B$2:$B$4, $A18, Ledger!$C$2:$C$4, R$2)),"****")</f>
        <v/>
      </c>
      <c r="S18" t="str">
        <f>IFERROR(IF($C18="","",SUMIFS(Ledger!$K$2:$K$4, Ledger!$B$2:$B$4, $A18, Ledger!$C$2:$C$4, S$2)),"****")</f>
        <v/>
      </c>
      <c r="T18" t="str">
        <f>IFERROR(IF($C18="","",SUMIFS(Ledger!$K$2:$K$4, Ledger!$B$2:$B$4, $A18, Ledger!$C$2:$C$4, T$2)),"****")</f>
        <v/>
      </c>
      <c r="U18" t="str">
        <f>IFERROR(IF($C18="","",SUMIFS(Ledger!$K$2:$K$4, Ledger!$B$2:$B$4, $A18, Ledger!$C$2:$C$4, U$2)),"****")</f>
        <v/>
      </c>
      <c r="V18" t="str">
        <f>IFERROR(IF($C18="","",SUMIFS(Ledger!$K$2:$K$4, Ledger!$B$2:$B$4, $A18, Ledger!$C$2:$C$4, V$2)),"****")</f>
        <v/>
      </c>
      <c r="W18" t="str">
        <f>IFERROR(IF($C18="","",SUMIFS(Ledger!$K$2:$K$4, Ledger!$B$2:$B$4, $A18, Ledger!$C$2:$C$4, W$2)),"****")</f>
        <v/>
      </c>
      <c r="X18" t="str">
        <f>IFERROR(IF($C18="","",SUMIFS(Ledger!$K$2:$K$4, Ledger!$B$2:$B$4, $A18, Ledger!$C$2:$C$4, X$2)),"****")</f>
        <v/>
      </c>
    </row>
    <row r="19" spans="1:24" x14ac:dyDescent="0.3">
      <c r="A19" s="106">
        <v>17</v>
      </c>
      <c r="B19" t="str">
        <f>IFERROR(VLOOKUP($A19, Ledger!$B$2:$L$8, 3, 0),"")</f>
        <v/>
      </c>
      <c r="C19" t="str">
        <f>IFERROR(VLOOKUP($A19, Ledger!$B$2:$L$8, 4, 0),"")</f>
        <v/>
      </c>
      <c r="D19" t="str">
        <f>IFERROR(VLOOKUP($A19, Ledger!$B$2:$L$8, 5, 0),"")</f>
        <v/>
      </c>
      <c r="E19" t="str">
        <f>IFERROR(VLOOKUP($A19, Ledger!$B$2:$L$8, 6, 0),"")</f>
        <v/>
      </c>
      <c r="F19" t="str">
        <f>IFERROR(VLOOKUP($A19,'Student Data'!$A$2:$AR$6,32,0),"")</f>
        <v/>
      </c>
      <c r="G19" t="str">
        <f>IFERROR(VLOOKUP($A19,'Student Data'!$A$2:$AR$6,33,0),"")</f>
        <v/>
      </c>
      <c r="H19" t="str">
        <f>IFERROR(VLOOKUP($A19,'Student Data'!$A$2:$AR$6,34,0),"")</f>
        <v/>
      </c>
      <c r="I19" t="str">
        <f>IFERROR(VLOOKUP($A19,'Student Data'!$A$2:$AR$6,35,0),"")</f>
        <v/>
      </c>
      <c r="J19" t="str">
        <f>IFERROR(VLOOKUP($A19,'Student Data'!$A$2:$AR$6,36,0),"")</f>
        <v/>
      </c>
      <c r="K19" t="str">
        <f t="shared" si="0"/>
        <v/>
      </c>
      <c r="L19" t="str">
        <f t="shared" si="1"/>
        <v/>
      </c>
      <c r="M19" t="str">
        <f>IFERROR(IF($C19="","",SUMIFS(Ledger!$K$2:$K$4, Ledger!$B$2:$B$4, $A19, Ledger!$C$2:$C$4, M$2)),"****")</f>
        <v/>
      </c>
      <c r="N19" t="str">
        <f>IFERROR(IF($C19="","",SUMIFS(Ledger!$K$2:$K$4, Ledger!$B$2:$B$4, $A19, Ledger!$C$2:$C$4, N$2)),"****")</f>
        <v/>
      </c>
      <c r="O19" t="str">
        <f>IFERROR(IF($C19="","",SUMIFS(Ledger!$K$2:$K$4, Ledger!$B$2:$B$4, $A19, Ledger!$C$2:$C$4, O$2)),"****")</f>
        <v/>
      </c>
      <c r="P19" t="str">
        <f>IFERROR(IF($C19="","",SUMIFS(Ledger!$K$2:$K$4, Ledger!$B$2:$B$4, $A19, Ledger!$C$2:$C$4, P$2)),"****")</f>
        <v/>
      </c>
      <c r="Q19" t="str">
        <f>IFERROR(IF($C19="","",SUMIFS(Ledger!$K$2:$K$4, Ledger!$B$2:$B$4, $A19, Ledger!$C$2:$C$4, Q$2)),"****")</f>
        <v/>
      </c>
      <c r="R19" t="str">
        <f>IFERROR(IF($C19="","",SUMIFS(Ledger!$K$2:$K$4, Ledger!$B$2:$B$4, $A19, Ledger!$C$2:$C$4, R$2)),"****")</f>
        <v/>
      </c>
      <c r="S19" t="str">
        <f>IFERROR(IF($C19="","",SUMIFS(Ledger!$K$2:$K$4, Ledger!$B$2:$B$4, $A19, Ledger!$C$2:$C$4, S$2)),"****")</f>
        <v/>
      </c>
      <c r="T19" t="str">
        <f>IFERROR(IF($C19="","",SUMIFS(Ledger!$K$2:$K$4, Ledger!$B$2:$B$4, $A19, Ledger!$C$2:$C$4, T$2)),"****")</f>
        <v/>
      </c>
      <c r="U19" t="str">
        <f>IFERROR(IF($C19="","",SUMIFS(Ledger!$K$2:$K$4, Ledger!$B$2:$B$4, $A19, Ledger!$C$2:$C$4, U$2)),"****")</f>
        <v/>
      </c>
      <c r="V19" t="str">
        <f>IFERROR(IF($C19="","",SUMIFS(Ledger!$K$2:$K$4, Ledger!$B$2:$B$4, $A19, Ledger!$C$2:$C$4, V$2)),"****")</f>
        <v/>
      </c>
      <c r="W19" t="str">
        <f>IFERROR(IF($C19="","",SUMIFS(Ledger!$K$2:$K$4, Ledger!$B$2:$B$4, $A19, Ledger!$C$2:$C$4, W$2)),"****")</f>
        <v/>
      </c>
      <c r="X19" t="str">
        <f>IFERROR(IF($C19="","",SUMIFS(Ledger!$K$2:$K$4, Ledger!$B$2:$B$4, $A19, Ledger!$C$2:$C$4, X$2)),"****")</f>
        <v/>
      </c>
    </row>
    <row r="20" spans="1:24" x14ac:dyDescent="0.3">
      <c r="A20" s="106">
        <v>18</v>
      </c>
      <c r="B20" t="str">
        <f>IFERROR(VLOOKUP($A20, Ledger!$B$2:$L$8, 3, 0),"")</f>
        <v/>
      </c>
      <c r="C20" t="str">
        <f>IFERROR(VLOOKUP($A20, Ledger!$B$2:$L$8, 4, 0),"")</f>
        <v/>
      </c>
      <c r="D20" t="str">
        <f>IFERROR(VLOOKUP($A20, Ledger!$B$2:$L$8, 5, 0),"")</f>
        <v/>
      </c>
      <c r="E20" t="str">
        <f>IFERROR(VLOOKUP($A20, Ledger!$B$2:$L$8, 6, 0),"")</f>
        <v/>
      </c>
      <c r="F20" t="str">
        <f>IFERROR(VLOOKUP($A20,'Student Data'!$A$2:$AR$6,32,0),"")</f>
        <v/>
      </c>
      <c r="G20" t="str">
        <f>IFERROR(VLOOKUP($A20,'Student Data'!$A$2:$AR$6,33,0),"")</f>
        <v/>
      </c>
      <c r="H20" t="str">
        <f>IFERROR(VLOOKUP($A20,'Student Data'!$A$2:$AR$6,34,0),"")</f>
        <v/>
      </c>
      <c r="I20" t="str">
        <f>IFERROR(VLOOKUP($A20,'Student Data'!$A$2:$AR$6,35,0),"")</f>
        <v/>
      </c>
      <c r="J20" t="str">
        <f>IFERROR(VLOOKUP($A20,'Student Data'!$A$2:$AR$6,36,0),"")</f>
        <v/>
      </c>
      <c r="K20" t="str">
        <f t="shared" si="0"/>
        <v/>
      </c>
      <c r="L20" t="str">
        <f t="shared" si="1"/>
        <v/>
      </c>
      <c r="M20" t="str">
        <f>IFERROR(IF($C20="","",SUMIFS(Ledger!$K$2:$K$4, Ledger!$B$2:$B$4, $A20, Ledger!$C$2:$C$4, M$2)),"****")</f>
        <v/>
      </c>
      <c r="N20" t="str">
        <f>IFERROR(IF($C20="","",SUMIFS(Ledger!$K$2:$K$4, Ledger!$B$2:$B$4, $A20, Ledger!$C$2:$C$4, N$2)),"****")</f>
        <v/>
      </c>
      <c r="O20" t="str">
        <f>IFERROR(IF($C20="","",SUMIFS(Ledger!$K$2:$K$4, Ledger!$B$2:$B$4, $A20, Ledger!$C$2:$C$4, O$2)),"****")</f>
        <v/>
      </c>
      <c r="P20" t="str">
        <f>IFERROR(IF($C20="","",SUMIFS(Ledger!$K$2:$K$4, Ledger!$B$2:$B$4, $A20, Ledger!$C$2:$C$4, P$2)),"****")</f>
        <v/>
      </c>
      <c r="Q20" t="str">
        <f>IFERROR(IF($C20="","",SUMIFS(Ledger!$K$2:$K$4, Ledger!$B$2:$B$4, $A20, Ledger!$C$2:$C$4, Q$2)),"****")</f>
        <v/>
      </c>
      <c r="R20" t="str">
        <f>IFERROR(IF($C20="","",SUMIFS(Ledger!$K$2:$K$4, Ledger!$B$2:$B$4, $A20, Ledger!$C$2:$C$4, R$2)),"****")</f>
        <v/>
      </c>
      <c r="S20" t="str">
        <f>IFERROR(IF($C20="","",SUMIFS(Ledger!$K$2:$K$4, Ledger!$B$2:$B$4, $A20, Ledger!$C$2:$C$4, S$2)),"****")</f>
        <v/>
      </c>
      <c r="T20" t="str">
        <f>IFERROR(IF($C20="","",SUMIFS(Ledger!$K$2:$K$4, Ledger!$B$2:$B$4, $A20, Ledger!$C$2:$C$4, T$2)),"****")</f>
        <v/>
      </c>
      <c r="U20" t="str">
        <f>IFERROR(IF($C20="","",SUMIFS(Ledger!$K$2:$K$4, Ledger!$B$2:$B$4, $A20, Ledger!$C$2:$C$4, U$2)),"****")</f>
        <v/>
      </c>
      <c r="V20" t="str">
        <f>IFERROR(IF($C20="","",SUMIFS(Ledger!$K$2:$K$4, Ledger!$B$2:$B$4, $A20, Ledger!$C$2:$C$4, V$2)),"****")</f>
        <v/>
      </c>
      <c r="W20" t="str">
        <f>IFERROR(IF($C20="","",SUMIFS(Ledger!$K$2:$K$4, Ledger!$B$2:$B$4, $A20, Ledger!$C$2:$C$4, W$2)),"****")</f>
        <v/>
      </c>
      <c r="X20" t="str">
        <f>IFERROR(IF($C20="","",SUMIFS(Ledger!$K$2:$K$4, Ledger!$B$2:$B$4, $A20, Ledger!$C$2:$C$4, X$2)),"****")</f>
        <v/>
      </c>
    </row>
    <row r="21" spans="1:24" x14ac:dyDescent="0.3">
      <c r="A21" s="106">
        <v>19</v>
      </c>
      <c r="B21" t="str">
        <f>IFERROR(VLOOKUP($A21, Ledger!$B$2:$L$8, 3, 0),"")</f>
        <v/>
      </c>
      <c r="C21" t="str">
        <f>IFERROR(VLOOKUP($A21, Ledger!$B$2:$L$8, 4, 0),"")</f>
        <v/>
      </c>
      <c r="D21" t="str">
        <f>IFERROR(VLOOKUP($A21, Ledger!$B$2:$L$8, 5, 0),"")</f>
        <v/>
      </c>
      <c r="E21" t="str">
        <f>IFERROR(VLOOKUP($A21, Ledger!$B$2:$L$8, 6, 0),"")</f>
        <v/>
      </c>
      <c r="F21" t="str">
        <f>IFERROR(VLOOKUP($A21,'Student Data'!$A$2:$AR$6,32,0),"")</f>
        <v/>
      </c>
      <c r="G21" t="str">
        <f>IFERROR(VLOOKUP($A21,'Student Data'!$A$2:$AR$6,33,0),"")</f>
        <v/>
      </c>
      <c r="H21" t="str">
        <f>IFERROR(VLOOKUP($A21,'Student Data'!$A$2:$AR$6,34,0),"")</f>
        <v/>
      </c>
      <c r="I21" t="str">
        <f>IFERROR(VLOOKUP($A21,'Student Data'!$A$2:$AR$6,35,0),"")</f>
        <v/>
      </c>
      <c r="J21" t="str">
        <f>IFERROR(VLOOKUP($A21,'Student Data'!$A$2:$AR$6,36,0),"")</f>
        <v/>
      </c>
      <c r="K21" t="str">
        <f t="shared" si="0"/>
        <v/>
      </c>
      <c r="L21" t="str">
        <f t="shared" si="1"/>
        <v/>
      </c>
      <c r="M21" t="str">
        <f>IFERROR(IF($C21="","",SUMIFS(Ledger!$K$2:$K$4, Ledger!$B$2:$B$4, $A21, Ledger!$C$2:$C$4, M$2)),"****")</f>
        <v/>
      </c>
      <c r="N21" t="str">
        <f>IFERROR(IF($C21="","",SUMIFS(Ledger!$K$2:$K$4, Ledger!$B$2:$B$4, $A21, Ledger!$C$2:$C$4, N$2)),"****")</f>
        <v/>
      </c>
      <c r="O21" t="str">
        <f>IFERROR(IF($C21="","",SUMIFS(Ledger!$K$2:$K$4, Ledger!$B$2:$B$4, $A21, Ledger!$C$2:$C$4, O$2)),"****")</f>
        <v/>
      </c>
      <c r="P21" t="str">
        <f>IFERROR(IF($C21="","",SUMIFS(Ledger!$K$2:$K$4, Ledger!$B$2:$B$4, $A21, Ledger!$C$2:$C$4, P$2)),"****")</f>
        <v/>
      </c>
      <c r="Q21" t="str">
        <f>IFERROR(IF($C21="","",SUMIFS(Ledger!$K$2:$K$4, Ledger!$B$2:$B$4, $A21, Ledger!$C$2:$C$4, Q$2)),"****")</f>
        <v/>
      </c>
      <c r="R21" t="str">
        <f>IFERROR(IF($C21="","",SUMIFS(Ledger!$K$2:$K$4, Ledger!$B$2:$B$4, $A21, Ledger!$C$2:$C$4, R$2)),"****")</f>
        <v/>
      </c>
      <c r="S21" t="str">
        <f>IFERROR(IF($C21="","",SUMIFS(Ledger!$K$2:$K$4, Ledger!$B$2:$B$4, $A21, Ledger!$C$2:$C$4, S$2)),"****")</f>
        <v/>
      </c>
      <c r="T21" t="str">
        <f>IFERROR(IF($C21="","",SUMIFS(Ledger!$K$2:$K$4, Ledger!$B$2:$B$4, $A21, Ledger!$C$2:$C$4, T$2)),"****")</f>
        <v/>
      </c>
      <c r="U21" t="str">
        <f>IFERROR(IF($C21="","",SUMIFS(Ledger!$K$2:$K$4, Ledger!$B$2:$B$4, $A21, Ledger!$C$2:$C$4, U$2)),"****")</f>
        <v/>
      </c>
      <c r="V21" t="str">
        <f>IFERROR(IF($C21="","",SUMIFS(Ledger!$K$2:$K$4, Ledger!$B$2:$B$4, $A21, Ledger!$C$2:$C$4, V$2)),"****")</f>
        <v/>
      </c>
      <c r="W21" t="str">
        <f>IFERROR(IF($C21="","",SUMIFS(Ledger!$K$2:$K$4, Ledger!$B$2:$B$4, $A21, Ledger!$C$2:$C$4, W$2)),"****")</f>
        <v/>
      </c>
      <c r="X21" t="str">
        <f>IFERROR(IF($C21="","",SUMIFS(Ledger!$K$2:$K$4, Ledger!$B$2:$B$4, $A21, Ledger!$C$2:$C$4, X$2)),"****")</f>
        <v/>
      </c>
    </row>
    <row r="22" spans="1:24" x14ac:dyDescent="0.3">
      <c r="A22" s="106">
        <v>20</v>
      </c>
      <c r="B22" t="str">
        <f>IFERROR(VLOOKUP($A22, Ledger!$B$2:$L$8, 3, 0),"")</f>
        <v/>
      </c>
      <c r="C22" t="str">
        <f>IFERROR(VLOOKUP($A22, Ledger!$B$2:$L$8, 4, 0),"")</f>
        <v/>
      </c>
      <c r="D22" t="str">
        <f>IFERROR(VLOOKUP($A22, Ledger!$B$2:$L$8, 5, 0),"")</f>
        <v/>
      </c>
      <c r="E22" t="str">
        <f>IFERROR(VLOOKUP($A22, Ledger!$B$2:$L$8, 6, 0),"")</f>
        <v/>
      </c>
      <c r="F22" t="str">
        <f>IFERROR(VLOOKUP($A22,'Student Data'!$A$2:$AR$6,32,0),"")</f>
        <v/>
      </c>
      <c r="G22" t="str">
        <f>IFERROR(VLOOKUP($A22,'Student Data'!$A$2:$AR$6,33,0),"")</f>
        <v/>
      </c>
      <c r="H22" t="str">
        <f>IFERROR(VLOOKUP($A22,'Student Data'!$A$2:$AR$6,34,0),"")</f>
        <v/>
      </c>
      <c r="I22" t="str">
        <f>IFERROR(VLOOKUP($A22,'Student Data'!$A$2:$AR$6,35,0),"")</f>
        <v/>
      </c>
      <c r="J22" t="str">
        <f>IFERROR(VLOOKUP($A22,'Student Data'!$A$2:$AR$6,36,0),"")</f>
        <v/>
      </c>
      <c r="K22" t="str">
        <f t="shared" si="0"/>
        <v/>
      </c>
      <c r="L22" t="str">
        <f t="shared" si="1"/>
        <v/>
      </c>
      <c r="M22" t="str">
        <f>IFERROR(IF($C22="","",SUMIFS(Ledger!$K$2:$K$4, Ledger!$B$2:$B$4, $A22, Ledger!$C$2:$C$4, M$2)),"****")</f>
        <v/>
      </c>
      <c r="N22" t="str">
        <f>IFERROR(IF($C22="","",SUMIFS(Ledger!$K$2:$K$4, Ledger!$B$2:$B$4, $A22, Ledger!$C$2:$C$4, N$2)),"****")</f>
        <v/>
      </c>
      <c r="O22" t="str">
        <f>IFERROR(IF($C22="","",SUMIFS(Ledger!$K$2:$K$4, Ledger!$B$2:$B$4, $A22, Ledger!$C$2:$C$4, O$2)),"****")</f>
        <v/>
      </c>
      <c r="P22" t="str">
        <f>IFERROR(IF($C22="","",SUMIFS(Ledger!$K$2:$K$4, Ledger!$B$2:$B$4, $A22, Ledger!$C$2:$C$4, P$2)),"****")</f>
        <v/>
      </c>
      <c r="Q22" t="str">
        <f>IFERROR(IF($C22="","",SUMIFS(Ledger!$K$2:$K$4, Ledger!$B$2:$B$4, $A22, Ledger!$C$2:$C$4, Q$2)),"****")</f>
        <v/>
      </c>
      <c r="R22" t="str">
        <f>IFERROR(IF($C22="","",SUMIFS(Ledger!$K$2:$K$4, Ledger!$B$2:$B$4, $A22, Ledger!$C$2:$C$4, R$2)),"****")</f>
        <v/>
      </c>
      <c r="S22" t="str">
        <f>IFERROR(IF($C22="","",SUMIFS(Ledger!$K$2:$K$4, Ledger!$B$2:$B$4, $A22, Ledger!$C$2:$C$4, S$2)),"****")</f>
        <v/>
      </c>
      <c r="T22" t="str">
        <f>IFERROR(IF($C22="","",SUMIFS(Ledger!$K$2:$K$4, Ledger!$B$2:$B$4, $A22, Ledger!$C$2:$C$4, T$2)),"****")</f>
        <v/>
      </c>
      <c r="U22" t="str">
        <f>IFERROR(IF($C22="","",SUMIFS(Ledger!$K$2:$K$4, Ledger!$B$2:$B$4, $A22, Ledger!$C$2:$C$4, U$2)),"****")</f>
        <v/>
      </c>
      <c r="V22" t="str">
        <f>IFERROR(IF($C22="","",SUMIFS(Ledger!$K$2:$K$4, Ledger!$B$2:$B$4, $A22, Ledger!$C$2:$C$4, V$2)),"****")</f>
        <v/>
      </c>
      <c r="W22" t="str">
        <f>IFERROR(IF($C22="","",SUMIFS(Ledger!$K$2:$K$4, Ledger!$B$2:$B$4, $A22, Ledger!$C$2:$C$4, W$2)),"****")</f>
        <v/>
      </c>
      <c r="X22" t="str">
        <f>IFERROR(IF($C22="","",SUMIFS(Ledger!$K$2:$K$4, Ledger!$B$2:$B$4, $A22, Ledger!$C$2:$C$4, X$2)),"****")</f>
        <v/>
      </c>
    </row>
    <row r="23" spans="1:24" x14ac:dyDescent="0.3">
      <c r="A23" s="106">
        <v>21</v>
      </c>
      <c r="B23" t="str">
        <f>IFERROR(VLOOKUP($A23, Ledger!$B$2:$L$8, 3, 0),"")</f>
        <v/>
      </c>
      <c r="C23" t="str">
        <f>IFERROR(VLOOKUP($A23, Ledger!$B$2:$L$8, 4, 0),"")</f>
        <v/>
      </c>
      <c r="D23" t="str">
        <f>IFERROR(VLOOKUP($A23, Ledger!$B$2:$L$8, 5, 0),"")</f>
        <v/>
      </c>
      <c r="E23" t="str">
        <f>IFERROR(VLOOKUP($A23, Ledger!$B$2:$L$8, 6, 0),"")</f>
        <v/>
      </c>
      <c r="F23" t="str">
        <f>IFERROR(VLOOKUP($A23,'Student Data'!$A$2:$AR$6,32,0),"")</f>
        <v/>
      </c>
      <c r="G23" t="str">
        <f>IFERROR(VLOOKUP($A23,'Student Data'!$A$2:$AR$6,33,0),"")</f>
        <v/>
      </c>
      <c r="H23" t="str">
        <f>IFERROR(VLOOKUP($A23,'Student Data'!$A$2:$AR$6,34,0),"")</f>
        <v/>
      </c>
      <c r="I23" t="str">
        <f>IFERROR(VLOOKUP($A23,'Student Data'!$A$2:$AR$6,35,0),"")</f>
        <v/>
      </c>
      <c r="J23" t="str">
        <f>IFERROR(VLOOKUP($A23,'Student Data'!$A$2:$AR$6,36,0),"")</f>
        <v/>
      </c>
      <c r="K23" t="str">
        <f t="shared" si="0"/>
        <v/>
      </c>
      <c r="L23" t="str">
        <f t="shared" si="1"/>
        <v/>
      </c>
      <c r="M23" t="str">
        <f>IFERROR(IF($C23="","",SUMIFS(Ledger!$K$2:$K$4, Ledger!$B$2:$B$4, $A23, Ledger!$C$2:$C$4, M$2)),"****")</f>
        <v/>
      </c>
      <c r="N23" t="str">
        <f>IFERROR(IF($C23="","",SUMIFS(Ledger!$K$2:$K$4, Ledger!$B$2:$B$4, $A23, Ledger!$C$2:$C$4, N$2)),"****")</f>
        <v/>
      </c>
      <c r="O23" t="str">
        <f>IFERROR(IF($C23="","",SUMIFS(Ledger!$K$2:$K$4, Ledger!$B$2:$B$4, $A23, Ledger!$C$2:$C$4, O$2)),"****")</f>
        <v/>
      </c>
      <c r="P23" t="str">
        <f>IFERROR(IF($C23="","",SUMIFS(Ledger!$K$2:$K$4, Ledger!$B$2:$B$4, $A23, Ledger!$C$2:$C$4, P$2)),"****")</f>
        <v/>
      </c>
      <c r="Q23" t="str">
        <f>IFERROR(IF($C23="","",SUMIFS(Ledger!$K$2:$K$4, Ledger!$B$2:$B$4, $A23, Ledger!$C$2:$C$4, Q$2)),"****")</f>
        <v/>
      </c>
      <c r="R23" t="str">
        <f>IFERROR(IF($C23="","",SUMIFS(Ledger!$K$2:$K$4, Ledger!$B$2:$B$4, $A23, Ledger!$C$2:$C$4, R$2)),"****")</f>
        <v/>
      </c>
      <c r="S23" t="str">
        <f>IFERROR(IF($C23="","",SUMIFS(Ledger!$K$2:$K$4, Ledger!$B$2:$B$4, $A23, Ledger!$C$2:$C$4, S$2)),"****")</f>
        <v/>
      </c>
      <c r="T23" t="str">
        <f>IFERROR(IF($C23="","",SUMIFS(Ledger!$K$2:$K$4, Ledger!$B$2:$B$4, $A23, Ledger!$C$2:$C$4, T$2)),"****")</f>
        <v/>
      </c>
      <c r="U23" t="str">
        <f>IFERROR(IF($C23="","",SUMIFS(Ledger!$K$2:$K$4, Ledger!$B$2:$B$4, $A23, Ledger!$C$2:$C$4, U$2)),"****")</f>
        <v/>
      </c>
      <c r="V23" t="str">
        <f>IFERROR(IF($C23="","",SUMIFS(Ledger!$K$2:$K$4, Ledger!$B$2:$B$4, $A23, Ledger!$C$2:$C$4, V$2)),"****")</f>
        <v/>
      </c>
      <c r="W23" t="str">
        <f>IFERROR(IF($C23="","",SUMIFS(Ledger!$K$2:$K$4, Ledger!$B$2:$B$4, $A23, Ledger!$C$2:$C$4, W$2)),"****")</f>
        <v/>
      </c>
      <c r="X23" t="str">
        <f>IFERROR(IF($C23="","",SUMIFS(Ledger!$K$2:$K$4, Ledger!$B$2:$B$4, $A23, Ledger!$C$2:$C$4, X$2)),"****")</f>
        <v/>
      </c>
    </row>
    <row r="24" spans="1:24" x14ac:dyDescent="0.3">
      <c r="A24" s="106">
        <v>22</v>
      </c>
      <c r="B24" t="str">
        <f>IFERROR(VLOOKUP($A24, Ledger!$B$2:$L$8, 3, 0),"")</f>
        <v/>
      </c>
      <c r="C24" t="str">
        <f>IFERROR(VLOOKUP($A24, Ledger!$B$2:$L$8, 4, 0),"")</f>
        <v/>
      </c>
      <c r="D24" t="str">
        <f>IFERROR(VLOOKUP($A24, Ledger!$B$2:$L$8, 5, 0),"")</f>
        <v/>
      </c>
      <c r="E24" t="str">
        <f>IFERROR(VLOOKUP($A24, Ledger!$B$2:$L$8, 6, 0),"")</f>
        <v/>
      </c>
      <c r="F24" t="str">
        <f>IFERROR(VLOOKUP($A24,'Student Data'!$A$2:$AR$6,32,0),"")</f>
        <v/>
      </c>
      <c r="G24" t="str">
        <f>IFERROR(VLOOKUP($A24,'Student Data'!$A$2:$AR$6,33,0),"")</f>
        <v/>
      </c>
      <c r="H24" t="str">
        <f>IFERROR(VLOOKUP($A24,'Student Data'!$A$2:$AR$6,34,0),"")</f>
        <v/>
      </c>
      <c r="I24" t="str">
        <f>IFERROR(VLOOKUP($A24,'Student Data'!$A$2:$AR$6,35,0),"")</f>
        <v/>
      </c>
      <c r="J24" t="str">
        <f>IFERROR(VLOOKUP($A24,'Student Data'!$A$2:$AR$6,36,0),"")</f>
        <v/>
      </c>
      <c r="K24" t="str">
        <f t="shared" si="0"/>
        <v/>
      </c>
      <c r="L24" t="str">
        <f t="shared" si="1"/>
        <v/>
      </c>
      <c r="M24" t="str">
        <f>IFERROR(IF($C24="","",SUMIFS(Ledger!$K$2:$K$4, Ledger!$B$2:$B$4, $A24, Ledger!$C$2:$C$4, M$2)),"****")</f>
        <v/>
      </c>
      <c r="N24" t="str">
        <f>IFERROR(IF($C24="","",SUMIFS(Ledger!$K$2:$K$4, Ledger!$B$2:$B$4, $A24, Ledger!$C$2:$C$4, N$2)),"****")</f>
        <v/>
      </c>
      <c r="O24" t="str">
        <f>IFERROR(IF($C24="","",SUMIFS(Ledger!$K$2:$K$4, Ledger!$B$2:$B$4, $A24, Ledger!$C$2:$C$4, O$2)),"****")</f>
        <v/>
      </c>
      <c r="P24" t="str">
        <f>IFERROR(IF($C24="","",SUMIFS(Ledger!$K$2:$K$4, Ledger!$B$2:$B$4, $A24, Ledger!$C$2:$C$4, P$2)),"****")</f>
        <v/>
      </c>
      <c r="Q24" t="str">
        <f>IFERROR(IF($C24="","",SUMIFS(Ledger!$K$2:$K$4, Ledger!$B$2:$B$4, $A24, Ledger!$C$2:$C$4, Q$2)),"****")</f>
        <v/>
      </c>
      <c r="R24" t="str">
        <f>IFERROR(IF($C24="","",SUMIFS(Ledger!$K$2:$K$4, Ledger!$B$2:$B$4, $A24, Ledger!$C$2:$C$4, R$2)),"****")</f>
        <v/>
      </c>
      <c r="S24" t="str">
        <f>IFERROR(IF($C24="","",SUMIFS(Ledger!$K$2:$K$4, Ledger!$B$2:$B$4, $A24, Ledger!$C$2:$C$4, S$2)),"****")</f>
        <v/>
      </c>
      <c r="T24" t="str">
        <f>IFERROR(IF($C24="","",SUMIFS(Ledger!$K$2:$K$4, Ledger!$B$2:$B$4, $A24, Ledger!$C$2:$C$4, T$2)),"****")</f>
        <v/>
      </c>
      <c r="U24" t="str">
        <f>IFERROR(IF($C24="","",SUMIFS(Ledger!$K$2:$K$4, Ledger!$B$2:$B$4, $A24, Ledger!$C$2:$C$4, U$2)),"****")</f>
        <v/>
      </c>
      <c r="V24" t="str">
        <f>IFERROR(IF($C24="","",SUMIFS(Ledger!$K$2:$K$4, Ledger!$B$2:$B$4, $A24, Ledger!$C$2:$C$4, V$2)),"****")</f>
        <v/>
      </c>
      <c r="W24" t="str">
        <f>IFERROR(IF($C24="","",SUMIFS(Ledger!$K$2:$K$4, Ledger!$B$2:$B$4, $A24, Ledger!$C$2:$C$4, W$2)),"****")</f>
        <v/>
      </c>
      <c r="X24" t="str">
        <f>IFERROR(IF($C24="","",SUMIFS(Ledger!$K$2:$K$4, Ledger!$B$2:$B$4, $A24, Ledger!$C$2:$C$4, X$2)),"****")</f>
        <v/>
      </c>
    </row>
    <row r="25" spans="1:24" x14ac:dyDescent="0.3">
      <c r="A25" s="106">
        <v>23</v>
      </c>
      <c r="B25" t="str">
        <f>IFERROR(VLOOKUP($A25, Ledger!$B$2:$L$8, 3, 0),"")</f>
        <v/>
      </c>
      <c r="C25" t="str">
        <f>IFERROR(VLOOKUP($A25, Ledger!$B$2:$L$8, 4, 0),"")</f>
        <v/>
      </c>
      <c r="D25" t="str">
        <f>IFERROR(VLOOKUP($A25, Ledger!$B$2:$L$8, 5, 0),"")</f>
        <v/>
      </c>
      <c r="E25" t="str">
        <f>IFERROR(VLOOKUP($A25, Ledger!$B$2:$L$8, 6, 0),"")</f>
        <v/>
      </c>
      <c r="F25" t="str">
        <f>IFERROR(VLOOKUP($A25,'Student Data'!$A$2:$AR$6,32,0),"")</f>
        <v/>
      </c>
      <c r="G25" t="str">
        <f>IFERROR(VLOOKUP($A25,'Student Data'!$A$2:$AR$6,33,0),"")</f>
        <v/>
      </c>
      <c r="H25" t="str">
        <f>IFERROR(VLOOKUP($A25,'Student Data'!$A$2:$AR$6,34,0),"")</f>
        <v/>
      </c>
      <c r="I25" t="str">
        <f>IFERROR(VLOOKUP($A25,'Student Data'!$A$2:$AR$6,35,0),"")</f>
        <v/>
      </c>
      <c r="J25" t="str">
        <f>IFERROR(VLOOKUP($A25,'Student Data'!$A$2:$AR$6,36,0),"")</f>
        <v/>
      </c>
      <c r="K25" t="str">
        <f t="shared" si="0"/>
        <v/>
      </c>
      <c r="L25" t="str">
        <f t="shared" si="1"/>
        <v/>
      </c>
      <c r="M25" t="str">
        <f>IFERROR(IF($C25="","",SUMIFS(Ledger!$K$2:$K$4, Ledger!$B$2:$B$4, $A25, Ledger!$C$2:$C$4, M$2)),"****")</f>
        <v/>
      </c>
      <c r="N25" t="str">
        <f>IFERROR(IF($C25="","",SUMIFS(Ledger!$K$2:$K$4, Ledger!$B$2:$B$4, $A25, Ledger!$C$2:$C$4, N$2)),"****")</f>
        <v/>
      </c>
      <c r="O25" t="str">
        <f>IFERROR(IF($C25="","",SUMIFS(Ledger!$K$2:$K$4, Ledger!$B$2:$B$4, $A25, Ledger!$C$2:$C$4, O$2)),"****")</f>
        <v/>
      </c>
      <c r="P25" t="str">
        <f>IFERROR(IF($C25="","",SUMIFS(Ledger!$K$2:$K$4, Ledger!$B$2:$B$4, $A25, Ledger!$C$2:$C$4, P$2)),"****")</f>
        <v/>
      </c>
      <c r="Q25" t="str">
        <f>IFERROR(IF($C25="","",SUMIFS(Ledger!$K$2:$K$4, Ledger!$B$2:$B$4, $A25, Ledger!$C$2:$C$4, Q$2)),"****")</f>
        <v/>
      </c>
      <c r="R25" t="str">
        <f>IFERROR(IF($C25="","",SUMIFS(Ledger!$K$2:$K$4, Ledger!$B$2:$B$4, $A25, Ledger!$C$2:$C$4, R$2)),"****")</f>
        <v/>
      </c>
      <c r="S25" t="str">
        <f>IFERROR(IF($C25="","",SUMIFS(Ledger!$K$2:$K$4, Ledger!$B$2:$B$4, $A25, Ledger!$C$2:$C$4, S$2)),"****")</f>
        <v/>
      </c>
      <c r="T25" t="str">
        <f>IFERROR(IF($C25="","",SUMIFS(Ledger!$K$2:$K$4, Ledger!$B$2:$B$4, $A25, Ledger!$C$2:$C$4, T$2)),"****")</f>
        <v/>
      </c>
      <c r="U25" t="str">
        <f>IFERROR(IF($C25="","",SUMIFS(Ledger!$K$2:$K$4, Ledger!$B$2:$B$4, $A25, Ledger!$C$2:$C$4, U$2)),"****")</f>
        <v/>
      </c>
      <c r="V25" t="str">
        <f>IFERROR(IF($C25="","",SUMIFS(Ledger!$K$2:$K$4, Ledger!$B$2:$B$4, $A25, Ledger!$C$2:$C$4, V$2)),"****")</f>
        <v/>
      </c>
      <c r="W25" t="str">
        <f>IFERROR(IF($C25="","",SUMIFS(Ledger!$K$2:$K$4, Ledger!$B$2:$B$4, $A25, Ledger!$C$2:$C$4, W$2)),"****")</f>
        <v/>
      </c>
      <c r="X25" t="str">
        <f>IFERROR(IF($C25="","",SUMIFS(Ledger!$K$2:$K$4, Ledger!$B$2:$B$4, $A25, Ledger!$C$2:$C$4, X$2)),"****")</f>
        <v/>
      </c>
    </row>
    <row r="26" spans="1:24" x14ac:dyDescent="0.3">
      <c r="A26" s="106">
        <v>24</v>
      </c>
      <c r="B26" t="str">
        <f>IFERROR(VLOOKUP($A26, Ledger!$B$2:$L$8, 3, 0),"")</f>
        <v/>
      </c>
      <c r="C26" t="str">
        <f>IFERROR(VLOOKUP($A26, Ledger!$B$2:$L$8, 4, 0),"")</f>
        <v/>
      </c>
      <c r="D26" t="str">
        <f>IFERROR(VLOOKUP($A26, Ledger!$B$2:$L$8, 5, 0),"")</f>
        <v/>
      </c>
      <c r="E26" t="str">
        <f>IFERROR(VLOOKUP($A26, Ledger!$B$2:$L$8, 6, 0),"")</f>
        <v/>
      </c>
      <c r="F26" t="str">
        <f>IFERROR(VLOOKUP($A26,'Student Data'!$A$2:$AR$6,32,0),"")</f>
        <v/>
      </c>
      <c r="G26" t="str">
        <f>IFERROR(VLOOKUP($A26,'Student Data'!$A$2:$AR$6,33,0),"")</f>
        <v/>
      </c>
      <c r="H26" t="str">
        <f>IFERROR(VLOOKUP($A26,'Student Data'!$A$2:$AR$6,34,0),"")</f>
        <v/>
      </c>
      <c r="I26" t="str">
        <f>IFERROR(VLOOKUP($A26,'Student Data'!$A$2:$AR$6,35,0),"")</f>
        <v/>
      </c>
      <c r="J26" t="str">
        <f>IFERROR(VLOOKUP($A26,'Student Data'!$A$2:$AR$6,36,0),"")</f>
        <v/>
      </c>
      <c r="K26" t="str">
        <f t="shared" si="0"/>
        <v/>
      </c>
      <c r="L26" t="str">
        <f t="shared" si="1"/>
        <v/>
      </c>
      <c r="M26" t="str">
        <f>IFERROR(IF($C26="","",SUMIFS(Ledger!$K$2:$K$4, Ledger!$B$2:$B$4, $A26, Ledger!$C$2:$C$4, M$2)),"****")</f>
        <v/>
      </c>
      <c r="N26" t="str">
        <f>IFERROR(IF($C26="","",SUMIFS(Ledger!$K$2:$K$4, Ledger!$B$2:$B$4, $A26, Ledger!$C$2:$C$4, N$2)),"****")</f>
        <v/>
      </c>
      <c r="O26" t="str">
        <f>IFERROR(IF($C26="","",SUMIFS(Ledger!$K$2:$K$4, Ledger!$B$2:$B$4, $A26, Ledger!$C$2:$C$4, O$2)),"****")</f>
        <v/>
      </c>
      <c r="P26" t="str">
        <f>IFERROR(IF($C26="","",SUMIFS(Ledger!$K$2:$K$4, Ledger!$B$2:$B$4, $A26, Ledger!$C$2:$C$4, P$2)),"****")</f>
        <v/>
      </c>
      <c r="Q26" t="str">
        <f>IFERROR(IF($C26="","",SUMIFS(Ledger!$K$2:$K$4, Ledger!$B$2:$B$4, $A26, Ledger!$C$2:$C$4, Q$2)),"****")</f>
        <v/>
      </c>
      <c r="R26" t="str">
        <f>IFERROR(IF($C26="","",SUMIFS(Ledger!$K$2:$K$4, Ledger!$B$2:$B$4, $A26, Ledger!$C$2:$C$4, R$2)),"****")</f>
        <v/>
      </c>
      <c r="S26" t="str">
        <f>IFERROR(IF($C26="","",SUMIFS(Ledger!$K$2:$K$4, Ledger!$B$2:$B$4, $A26, Ledger!$C$2:$C$4, S$2)),"****")</f>
        <v/>
      </c>
      <c r="T26" t="str">
        <f>IFERROR(IF($C26="","",SUMIFS(Ledger!$K$2:$K$4, Ledger!$B$2:$B$4, $A26, Ledger!$C$2:$C$4, T$2)),"****")</f>
        <v/>
      </c>
      <c r="U26" t="str">
        <f>IFERROR(IF($C26="","",SUMIFS(Ledger!$K$2:$K$4, Ledger!$B$2:$B$4, $A26, Ledger!$C$2:$C$4, U$2)),"****")</f>
        <v/>
      </c>
      <c r="V26" t="str">
        <f>IFERROR(IF($C26="","",SUMIFS(Ledger!$K$2:$K$4, Ledger!$B$2:$B$4, $A26, Ledger!$C$2:$C$4, V$2)),"****")</f>
        <v/>
      </c>
      <c r="W26" t="str">
        <f>IFERROR(IF($C26="","",SUMIFS(Ledger!$K$2:$K$4, Ledger!$B$2:$B$4, $A26, Ledger!$C$2:$C$4, W$2)),"****")</f>
        <v/>
      </c>
      <c r="X26" t="str">
        <f>IFERROR(IF($C26="","",SUMIFS(Ledger!$K$2:$K$4, Ledger!$B$2:$B$4, $A26, Ledger!$C$2:$C$4, X$2)),"****")</f>
        <v/>
      </c>
    </row>
    <row r="27" spans="1:24" x14ac:dyDescent="0.3">
      <c r="A27" s="106">
        <v>25</v>
      </c>
      <c r="B27" t="str">
        <f>IFERROR(VLOOKUP($A27, Ledger!$B$2:$L$8, 3, 0),"")</f>
        <v/>
      </c>
      <c r="C27" t="str">
        <f>IFERROR(VLOOKUP($A27, Ledger!$B$2:$L$8, 4, 0),"")</f>
        <v/>
      </c>
      <c r="D27" t="str">
        <f>IFERROR(VLOOKUP($A27, Ledger!$B$2:$L$8, 5, 0),"")</f>
        <v/>
      </c>
      <c r="E27" t="str">
        <f>IFERROR(VLOOKUP($A27, Ledger!$B$2:$L$8, 6, 0),"")</f>
        <v/>
      </c>
      <c r="F27" t="str">
        <f>IFERROR(VLOOKUP($A27,'Student Data'!$A$2:$AR$6,32,0),"")</f>
        <v/>
      </c>
      <c r="G27" t="str">
        <f>IFERROR(VLOOKUP($A27,'Student Data'!$A$2:$AR$6,33,0),"")</f>
        <v/>
      </c>
      <c r="H27" t="str">
        <f>IFERROR(VLOOKUP($A27,'Student Data'!$A$2:$AR$6,34,0),"")</f>
        <v/>
      </c>
      <c r="I27" t="str">
        <f>IFERROR(VLOOKUP($A27,'Student Data'!$A$2:$AR$6,35,0),"")</f>
        <v/>
      </c>
      <c r="J27" t="str">
        <f>IFERROR(VLOOKUP($A27,'Student Data'!$A$2:$AR$6,36,0),"")</f>
        <v/>
      </c>
      <c r="K27" t="str">
        <f t="shared" si="0"/>
        <v/>
      </c>
      <c r="L27" t="str">
        <f t="shared" si="1"/>
        <v/>
      </c>
      <c r="M27" t="str">
        <f>IFERROR(IF($C27="","",SUMIFS(Ledger!$K$2:$K$4, Ledger!$B$2:$B$4, $A27, Ledger!$C$2:$C$4, M$2)),"****")</f>
        <v/>
      </c>
      <c r="N27" t="str">
        <f>IFERROR(IF($C27="","",SUMIFS(Ledger!$K$2:$K$4, Ledger!$B$2:$B$4, $A27, Ledger!$C$2:$C$4, N$2)),"****")</f>
        <v/>
      </c>
      <c r="O27" t="str">
        <f>IFERROR(IF($C27="","",SUMIFS(Ledger!$K$2:$K$4, Ledger!$B$2:$B$4, $A27, Ledger!$C$2:$C$4, O$2)),"****")</f>
        <v/>
      </c>
      <c r="P27" t="str">
        <f>IFERROR(IF($C27="","",SUMIFS(Ledger!$K$2:$K$4, Ledger!$B$2:$B$4, $A27, Ledger!$C$2:$C$4, P$2)),"****")</f>
        <v/>
      </c>
      <c r="Q27" t="str">
        <f>IFERROR(IF($C27="","",SUMIFS(Ledger!$K$2:$K$4, Ledger!$B$2:$B$4, $A27, Ledger!$C$2:$C$4, Q$2)),"****")</f>
        <v/>
      </c>
      <c r="R27" t="str">
        <f>IFERROR(IF($C27="","",SUMIFS(Ledger!$K$2:$K$4, Ledger!$B$2:$B$4, $A27, Ledger!$C$2:$C$4, R$2)),"****")</f>
        <v/>
      </c>
      <c r="S27" t="str">
        <f>IFERROR(IF($C27="","",SUMIFS(Ledger!$K$2:$K$4, Ledger!$B$2:$B$4, $A27, Ledger!$C$2:$C$4, S$2)),"****")</f>
        <v/>
      </c>
      <c r="T27" t="str">
        <f>IFERROR(IF($C27="","",SUMIFS(Ledger!$K$2:$K$4, Ledger!$B$2:$B$4, $A27, Ledger!$C$2:$C$4, T$2)),"****")</f>
        <v/>
      </c>
      <c r="U27" t="str">
        <f>IFERROR(IF($C27="","",SUMIFS(Ledger!$K$2:$K$4, Ledger!$B$2:$B$4, $A27, Ledger!$C$2:$C$4, U$2)),"****")</f>
        <v/>
      </c>
      <c r="V27" t="str">
        <f>IFERROR(IF($C27="","",SUMIFS(Ledger!$K$2:$K$4, Ledger!$B$2:$B$4, $A27, Ledger!$C$2:$C$4, V$2)),"****")</f>
        <v/>
      </c>
      <c r="W27" t="str">
        <f>IFERROR(IF($C27="","",SUMIFS(Ledger!$K$2:$K$4, Ledger!$B$2:$B$4, $A27, Ledger!$C$2:$C$4, W$2)),"****")</f>
        <v/>
      </c>
      <c r="X27" t="str">
        <f>IFERROR(IF($C27="","",SUMIFS(Ledger!$K$2:$K$4, Ledger!$B$2:$B$4, $A27, Ledger!$C$2:$C$4, X$2)),"****")</f>
        <v/>
      </c>
    </row>
    <row r="28" spans="1:24" x14ac:dyDescent="0.3">
      <c r="A28" s="106">
        <v>26</v>
      </c>
      <c r="B28" t="str">
        <f>IFERROR(VLOOKUP($A28, Ledger!$B$2:$L$8, 3, 0),"")</f>
        <v/>
      </c>
      <c r="C28" t="str">
        <f>IFERROR(VLOOKUP($A28, Ledger!$B$2:$L$8, 4, 0),"")</f>
        <v/>
      </c>
      <c r="D28" t="str">
        <f>IFERROR(VLOOKUP($A28, Ledger!$B$2:$L$8, 5, 0),"")</f>
        <v/>
      </c>
      <c r="E28" t="str">
        <f>IFERROR(VLOOKUP($A28, Ledger!$B$2:$L$8, 6, 0),"")</f>
        <v/>
      </c>
      <c r="F28" t="str">
        <f>IFERROR(VLOOKUP($A28,'Student Data'!$A$2:$AR$6,32,0),"")</f>
        <v/>
      </c>
      <c r="G28" t="str">
        <f>IFERROR(VLOOKUP($A28,'Student Data'!$A$2:$AR$6,33,0),"")</f>
        <v/>
      </c>
      <c r="H28" t="str">
        <f>IFERROR(VLOOKUP($A28,'Student Data'!$A$2:$AR$6,34,0),"")</f>
        <v/>
      </c>
      <c r="I28" t="str">
        <f>IFERROR(VLOOKUP($A28,'Student Data'!$A$2:$AR$6,35,0),"")</f>
        <v/>
      </c>
      <c r="J28" t="str">
        <f>IFERROR(VLOOKUP($A28,'Student Data'!$A$2:$AR$6,36,0),"")</f>
        <v/>
      </c>
      <c r="K28" t="str">
        <f t="shared" si="0"/>
        <v/>
      </c>
      <c r="L28" t="str">
        <f t="shared" si="1"/>
        <v/>
      </c>
      <c r="M28" t="str">
        <f>IFERROR(IF($C28="","",SUMIFS(Ledger!$K$2:$K$4, Ledger!$B$2:$B$4, $A28, Ledger!$C$2:$C$4, M$2)),"****")</f>
        <v/>
      </c>
      <c r="N28" t="str">
        <f>IFERROR(IF($C28="","",SUMIFS(Ledger!$K$2:$K$4, Ledger!$B$2:$B$4, $A28, Ledger!$C$2:$C$4, N$2)),"****")</f>
        <v/>
      </c>
      <c r="O28" t="str">
        <f>IFERROR(IF($C28="","",SUMIFS(Ledger!$K$2:$K$4, Ledger!$B$2:$B$4, $A28, Ledger!$C$2:$C$4, O$2)),"****")</f>
        <v/>
      </c>
      <c r="P28" t="str">
        <f>IFERROR(IF($C28="","",SUMIFS(Ledger!$K$2:$K$4, Ledger!$B$2:$B$4, $A28, Ledger!$C$2:$C$4, P$2)),"****")</f>
        <v/>
      </c>
      <c r="Q28" t="str">
        <f>IFERROR(IF($C28="","",SUMIFS(Ledger!$K$2:$K$4, Ledger!$B$2:$B$4, $A28, Ledger!$C$2:$C$4, Q$2)),"****")</f>
        <v/>
      </c>
      <c r="R28" t="str">
        <f>IFERROR(IF($C28="","",SUMIFS(Ledger!$K$2:$K$4, Ledger!$B$2:$B$4, $A28, Ledger!$C$2:$C$4, R$2)),"****")</f>
        <v/>
      </c>
      <c r="S28" t="str">
        <f>IFERROR(IF($C28="","",SUMIFS(Ledger!$K$2:$K$4, Ledger!$B$2:$B$4, $A28, Ledger!$C$2:$C$4, S$2)),"****")</f>
        <v/>
      </c>
      <c r="T28" t="str">
        <f>IFERROR(IF($C28="","",SUMIFS(Ledger!$K$2:$K$4, Ledger!$B$2:$B$4, $A28, Ledger!$C$2:$C$4, T$2)),"****")</f>
        <v/>
      </c>
      <c r="U28" t="str">
        <f>IFERROR(IF($C28="","",SUMIFS(Ledger!$K$2:$K$4, Ledger!$B$2:$B$4, $A28, Ledger!$C$2:$C$4, U$2)),"****")</f>
        <v/>
      </c>
      <c r="V28" t="str">
        <f>IFERROR(IF($C28="","",SUMIFS(Ledger!$K$2:$K$4, Ledger!$B$2:$B$4, $A28, Ledger!$C$2:$C$4, V$2)),"****")</f>
        <v/>
      </c>
      <c r="W28" t="str">
        <f>IFERROR(IF($C28="","",SUMIFS(Ledger!$K$2:$K$4, Ledger!$B$2:$B$4, $A28, Ledger!$C$2:$C$4, W$2)),"****")</f>
        <v/>
      </c>
      <c r="X28" t="str">
        <f>IFERROR(IF($C28="","",SUMIFS(Ledger!$K$2:$K$4, Ledger!$B$2:$B$4, $A28, Ledger!$C$2:$C$4, X$2)),"****")</f>
        <v/>
      </c>
    </row>
    <row r="29" spans="1:24" x14ac:dyDescent="0.3">
      <c r="A29" s="106">
        <v>27</v>
      </c>
      <c r="B29" t="str">
        <f>IFERROR(VLOOKUP($A29, Ledger!$B$2:$L$8, 3, 0),"")</f>
        <v/>
      </c>
      <c r="C29" t="str">
        <f>IFERROR(VLOOKUP($A29, Ledger!$B$2:$L$8, 4, 0),"")</f>
        <v/>
      </c>
      <c r="D29" t="str">
        <f>IFERROR(VLOOKUP($A29, Ledger!$B$2:$L$8, 5, 0),"")</f>
        <v/>
      </c>
      <c r="E29" t="str">
        <f>IFERROR(VLOOKUP($A29, Ledger!$B$2:$L$8, 6, 0),"")</f>
        <v/>
      </c>
      <c r="F29" t="str">
        <f>IFERROR(VLOOKUP($A29,'Student Data'!$A$2:$AR$6,32,0),"")</f>
        <v/>
      </c>
      <c r="G29" t="str">
        <f>IFERROR(VLOOKUP($A29,'Student Data'!$A$2:$AR$6,33,0),"")</f>
        <v/>
      </c>
      <c r="H29" t="str">
        <f>IFERROR(VLOOKUP($A29,'Student Data'!$A$2:$AR$6,34,0),"")</f>
        <v/>
      </c>
      <c r="I29" t="str">
        <f>IFERROR(VLOOKUP($A29,'Student Data'!$A$2:$AR$6,35,0),"")</f>
        <v/>
      </c>
      <c r="J29" t="str">
        <f>IFERROR(VLOOKUP($A29,'Student Data'!$A$2:$AR$6,36,0),"")</f>
        <v/>
      </c>
      <c r="K29" t="str">
        <f t="shared" si="0"/>
        <v/>
      </c>
      <c r="L29" t="str">
        <f t="shared" si="1"/>
        <v/>
      </c>
      <c r="M29" t="str">
        <f>IFERROR(IF($C29="","",SUMIFS(Ledger!$K$2:$K$4, Ledger!$B$2:$B$4, $A29, Ledger!$C$2:$C$4, M$2)),"****")</f>
        <v/>
      </c>
      <c r="N29" t="str">
        <f>IFERROR(IF($C29="","",SUMIFS(Ledger!$K$2:$K$4, Ledger!$B$2:$B$4, $A29, Ledger!$C$2:$C$4, N$2)),"****")</f>
        <v/>
      </c>
      <c r="O29" t="str">
        <f>IFERROR(IF($C29="","",SUMIFS(Ledger!$K$2:$K$4, Ledger!$B$2:$B$4, $A29, Ledger!$C$2:$C$4, O$2)),"****")</f>
        <v/>
      </c>
      <c r="P29" t="str">
        <f>IFERROR(IF($C29="","",SUMIFS(Ledger!$K$2:$K$4, Ledger!$B$2:$B$4, $A29, Ledger!$C$2:$C$4, P$2)),"****")</f>
        <v/>
      </c>
      <c r="Q29" t="str">
        <f>IFERROR(IF($C29="","",SUMIFS(Ledger!$K$2:$K$4, Ledger!$B$2:$B$4, $A29, Ledger!$C$2:$C$4, Q$2)),"****")</f>
        <v/>
      </c>
      <c r="R29" t="str">
        <f>IFERROR(IF($C29="","",SUMIFS(Ledger!$K$2:$K$4, Ledger!$B$2:$B$4, $A29, Ledger!$C$2:$C$4, R$2)),"****")</f>
        <v/>
      </c>
      <c r="S29" t="str">
        <f>IFERROR(IF($C29="","",SUMIFS(Ledger!$K$2:$K$4, Ledger!$B$2:$B$4, $A29, Ledger!$C$2:$C$4, S$2)),"****")</f>
        <v/>
      </c>
      <c r="T29" t="str">
        <f>IFERROR(IF($C29="","",SUMIFS(Ledger!$K$2:$K$4, Ledger!$B$2:$B$4, $A29, Ledger!$C$2:$C$4, T$2)),"****")</f>
        <v/>
      </c>
      <c r="U29" t="str">
        <f>IFERROR(IF($C29="","",SUMIFS(Ledger!$K$2:$K$4, Ledger!$B$2:$B$4, $A29, Ledger!$C$2:$C$4, U$2)),"****")</f>
        <v/>
      </c>
      <c r="V29" t="str">
        <f>IFERROR(IF($C29="","",SUMIFS(Ledger!$K$2:$K$4, Ledger!$B$2:$B$4, $A29, Ledger!$C$2:$C$4, V$2)),"****")</f>
        <v/>
      </c>
      <c r="W29" t="str">
        <f>IFERROR(IF($C29="","",SUMIFS(Ledger!$K$2:$K$4, Ledger!$B$2:$B$4, $A29, Ledger!$C$2:$C$4, W$2)),"****")</f>
        <v/>
      </c>
      <c r="X29" t="str">
        <f>IFERROR(IF($C29="","",SUMIFS(Ledger!$K$2:$K$4, Ledger!$B$2:$B$4, $A29, Ledger!$C$2:$C$4, X$2)),"****")</f>
        <v/>
      </c>
    </row>
    <row r="30" spans="1:24" x14ac:dyDescent="0.3">
      <c r="A30" s="106">
        <v>28</v>
      </c>
      <c r="B30" t="str">
        <f>IFERROR(VLOOKUP($A30, Ledger!$B$2:$L$8, 3, 0),"")</f>
        <v/>
      </c>
      <c r="C30" t="str">
        <f>IFERROR(VLOOKUP($A30, Ledger!$B$2:$L$8, 4, 0),"")</f>
        <v/>
      </c>
      <c r="D30" t="str">
        <f>IFERROR(VLOOKUP($A30, Ledger!$B$2:$L$8, 5, 0),"")</f>
        <v/>
      </c>
      <c r="E30" t="str">
        <f>IFERROR(VLOOKUP($A30, Ledger!$B$2:$L$8, 6, 0),"")</f>
        <v/>
      </c>
      <c r="F30" t="str">
        <f>IFERROR(VLOOKUP($A30,'Student Data'!$A$2:$AR$6,32,0),"")</f>
        <v/>
      </c>
      <c r="G30" t="str">
        <f>IFERROR(VLOOKUP($A30,'Student Data'!$A$2:$AR$6,33,0),"")</f>
        <v/>
      </c>
      <c r="H30" t="str">
        <f>IFERROR(VLOOKUP($A30,'Student Data'!$A$2:$AR$6,34,0),"")</f>
        <v/>
      </c>
      <c r="I30" t="str">
        <f>IFERROR(VLOOKUP($A30,'Student Data'!$A$2:$AR$6,35,0),"")</f>
        <v/>
      </c>
      <c r="J30" t="str">
        <f>IFERROR(VLOOKUP($A30,'Student Data'!$A$2:$AR$6,36,0),"")</f>
        <v/>
      </c>
      <c r="K30" t="str">
        <f t="shared" si="0"/>
        <v/>
      </c>
      <c r="L30" t="str">
        <f t="shared" si="1"/>
        <v/>
      </c>
      <c r="M30" t="str">
        <f>IFERROR(IF($C30="","",SUMIFS(Ledger!$K$2:$K$4, Ledger!$B$2:$B$4, $A30, Ledger!$C$2:$C$4, M$2)),"****")</f>
        <v/>
      </c>
      <c r="N30" t="str">
        <f>IFERROR(IF($C30="","",SUMIFS(Ledger!$K$2:$K$4, Ledger!$B$2:$B$4, $A30, Ledger!$C$2:$C$4, N$2)),"****")</f>
        <v/>
      </c>
      <c r="O30" t="str">
        <f>IFERROR(IF($C30="","",SUMIFS(Ledger!$K$2:$K$4, Ledger!$B$2:$B$4, $A30, Ledger!$C$2:$C$4, O$2)),"****")</f>
        <v/>
      </c>
      <c r="P30" t="str">
        <f>IFERROR(IF($C30="","",SUMIFS(Ledger!$K$2:$K$4, Ledger!$B$2:$B$4, $A30, Ledger!$C$2:$C$4, P$2)),"****")</f>
        <v/>
      </c>
      <c r="Q30" t="str">
        <f>IFERROR(IF($C30="","",SUMIFS(Ledger!$K$2:$K$4, Ledger!$B$2:$B$4, $A30, Ledger!$C$2:$C$4, Q$2)),"****")</f>
        <v/>
      </c>
      <c r="R30" t="str">
        <f>IFERROR(IF($C30="","",SUMIFS(Ledger!$K$2:$K$4, Ledger!$B$2:$B$4, $A30, Ledger!$C$2:$C$4, R$2)),"****")</f>
        <v/>
      </c>
      <c r="S30" t="str">
        <f>IFERROR(IF($C30="","",SUMIFS(Ledger!$K$2:$K$4, Ledger!$B$2:$B$4, $A30, Ledger!$C$2:$C$4, S$2)),"****")</f>
        <v/>
      </c>
      <c r="T30" t="str">
        <f>IFERROR(IF($C30="","",SUMIFS(Ledger!$K$2:$K$4, Ledger!$B$2:$B$4, $A30, Ledger!$C$2:$C$4, T$2)),"****")</f>
        <v/>
      </c>
      <c r="U30" t="str">
        <f>IFERROR(IF($C30="","",SUMIFS(Ledger!$K$2:$K$4, Ledger!$B$2:$B$4, $A30, Ledger!$C$2:$C$4, U$2)),"****")</f>
        <v/>
      </c>
      <c r="V30" t="str">
        <f>IFERROR(IF($C30="","",SUMIFS(Ledger!$K$2:$K$4, Ledger!$B$2:$B$4, $A30, Ledger!$C$2:$C$4, V$2)),"****")</f>
        <v/>
      </c>
      <c r="W30" t="str">
        <f>IFERROR(IF($C30="","",SUMIFS(Ledger!$K$2:$K$4, Ledger!$B$2:$B$4, $A30, Ledger!$C$2:$C$4, W$2)),"****")</f>
        <v/>
      </c>
      <c r="X30" t="str">
        <f>IFERROR(IF($C30="","",SUMIFS(Ledger!$K$2:$K$4, Ledger!$B$2:$B$4, $A30, Ledger!$C$2:$C$4, X$2)),"****")</f>
        <v/>
      </c>
    </row>
    <row r="31" spans="1:24" x14ac:dyDescent="0.3">
      <c r="A31" s="106">
        <v>29</v>
      </c>
      <c r="B31" t="str">
        <f>IFERROR(VLOOKUP($A31, Ledger!$B$2:$L$8, 3, 0),"")</f>
        <v/>
      </c>
      <c r="C31" t="str">
        <f>IFERROR(VLOOKUP($A31, Ledger!$B$2:$L$8, 4, 0),"")</f>
        <v/>
      </c>
      <c r="D31" t="str">
        <f>IFERROR(VLOOKUP($A31, Ledger!$B$2:$L$8, 5, 0),"")</f>
        <v/>
      </c>
      <c r="E31" t="str">
        <f>IFERROR(VLOOKUP($A31, Ledger!$B$2:$L$8, 6, 0),"")</f>
        <v/>
      </c>
      <c r="F31" t="str">
        <f>IFERROR(VLOOKUP($A31,'Student Data'!$A$2:$AR$6,32,0),"")</f>
        <v/>
      </c>
      <c r="G31" t="str">
        <f>IFERROR(VLOOKUP($A31,'Student Data'!$A$2:$AR$6,33,0),"")</f>
        <v/>
      </c>
      <c r="H31" t="str">
        <f>IFERROR(VLOOKUP($A31,'Student Data'!$A$2:$AR$6,34,0),"")</f>
        <v/>
      </c>
      <c r="I31" t="str">
        <f>IFERROR(VLOOKUP($A31,'Student Data'!$A$2:$AR$6,35,0),"")</f>
        <v/>
      </c>
      <c r="J31" t="str">
        <f>IFERROR(VLOOKUP($A31,'Student Data'!$A$2:$AR$6,36,0),"")</f>
        <v/>
      </c>
      <c r="K31" t="str">
        <f t="shared" si="0"/>
        <v/>
      </c>
      <c r="L31" t="str">
        <f t="shared" si="1"/>
        <v/>
      </c>
      <c r="M31" t="str">
        <f>IFERROR(IF($C31="","",SUMIFS(Ledger!$K$2:$K$4, Ledger!$B$2:$B$4, $A31, Ledger!$C$2:$C$4, M$2)),"****")</f>
        <v/>
      </c>
      <c r="N31" t="str">
        <f>IFERROR(IF($C31="","",SUMIFS(Ledger!$K$2:$K$4, Ledger!$B$2:$B$4, $A31, Ledger!$C$2:$C$4, N$2)),"****")</f>
        <v/>
      </c>
      <c r="O31" t="str">
        <f>IFERROR(IF($C31="","",SUMIFS(Ledger!$K$2:$K$4, Ledger!$B$2:$B$4, $A31, Ledger!$C$2:$C$4, O$2)),"****")</f>
        <v/>
      </c>
      <c r="P31" t="str">
        <f>IFERROR(IF($C31="","",SUMIFS(Ledger!$K$2:$K$4, Ledger!$B$2:$B$4, $A31, Ledger!$C$2:$C$4, P$2)),"****")</f>
        <v/>
      </c>
      <c r="Q31" t="str">
        <f>IFERROR(IF($C31="","",SUMIFS(Ledger!$K$2:$K$4, Ledger!$B$2:$B$4, $A31, Ledger!$C$2:$C$4, Q$2)),"****")</f>
        <v/>
      </c>
      <c r="R31" t="str">
        <f>IFERROR(IF($C31="","",SUMIFS(Ledger!$K$2:$K$4, Ledger!$B$2:$B$4, $A31, Ledger!$C$2:$C$4, R$2)),"****")</f>
        <v/>
      </c>
      <c r="S31" t="str">
        <f>IFERROR(IF($C31="","",SUMIFS(Ledger!$K$2:$K$4, Ledger!$B$2:$B$4, $A31, Ledger!$C$2:$C$4, S$2)),"****")</f>
        <v/>
      </c>
      <c r="T31" t="str">
        <f>IFERROR(IF($C31="","",SUMIFS(Ledger!$K$2:$K$4, Ledger!$B$2:$B$4, $A31, Ledger!$C$2:$C$4, T$2)),"****")</f>
        <v/>
      </c>
      <c r="U31" t="str">
        <f>IFERROR(IF($C31="","",SUMIFS(Ledger!$K$2:$K$4, Ledger!$B$2:$B$4, $A31, Ledger!$C$2:$C$4, U$2)),"****")</f>
        <v/>
      </c>
      <c r="V31" t="str">
        <f>IFERROR(IF($C31="","",SUMIFS(Ledger!$K$2:$K$4, Ledger!$B$2:$B$4, $A31, Ledger!$C$2:$C$4, V$2)),"****")</f>
        <v/>
      </c>
      <c r="W31" t="str">
        <f>IFERROR(IF($C31="","",SUMIFS(Ledger!$K$2:$K$4, Ledger!$B$2:$B$4, $A31, Ledger!$C$2:$C$4, W$2)),"****")</f>
        <v/>
      </c>
      <c r="X31" t="str">
        <f>IFERROR(IF($C31="","",SUMIFS(Ledger!$K$2:$K$4, Ledger!$B$2:$B$4, $A31, Ledger!$C$2:$C$4, X$2)),"****")</f>
        <v/>
      </c>
    </row>
    <row r="32" spans="1:24" x14ac:dyDescent="0.3">
      <c r="A32" s="106">
        <v>30</v>
      </c>
      <c r="B32" t="str">
        <f>IFERROR(VLOOKUP($A32, Ledger!$B$2:$L$8, 3, 0),"")</f>
        <v/>
      </c>
      <c r="C32" t="str">
        <f>IFERROR(VLOOKUP($A32, Ledger!$B$2:$L$8, 4, 0),"")</f>
        <v/>
      </c>
      <c r="D32" t="str">
        <f>IFERROR(VLOOKUP($A32, Ledger!$B$2:$L$8, 5, 0),"")</f>
        <v/>
      </c>
      <c r="E32" t="str">
        <f>IFERROR(VLOOKUP($A32, Ledger!$B$2:$L$8, 6, 0),"")</f>
        <v/>
      </c>
      <c r="F32" t="str">
        <f>IFERROR(VLOOKUP($A32,'Student Data'!$A$2:$AR$6,32,0),"")</f>
        <v/>
      </c>
      <c r="G32" t="str">
        <f>IFERROR(VLOOKUP($A32,'Student Data'!$A$2:$AR$6,33,0),"")</f>
        <v/>
      </c>
      <c r="H32" t="str">
        <f>IFERROR(VLOOKUP($A32,'Student Data'!$A$2:$AR$6,34,0),"")</f>
        <v/>
      </c>
      <c r="I32" t="str">
        <f>IFERROR(VLOOKUP($A32,'Student Data'!$A$2:$AR$6,35,0),"")</f>
        <v/>
      </c>
      <c r="J32" t="str">
        <f>IFERROR(VLOOKUP($A32,'Student Data'!$A$2:$AR$6,36,0),"")</f>
        <v/>
      </c>
      <c r="K32" t="str">
        <f t="shared" si="0"/>
        <v/>
      </c>
      <c r="L32" t="str">
        <f t="shared" si="1"/>
        <v/>
      </c>
      <c r="M32" t="str">
        <f>IFERROR(IF($C32="","",SUMIFS(Ledger!$K$2:$K$4, Ledger!$B$2:$B$4, $A32, Ledger!$C$2:$C$4, M$2)),"****")</f>
        <v/>
      </c>
      <c r="N32" t="str">
        <f>IFERROR(IF($C32="","",SUMIFS(Ledger!$K$2:$K$4, Ledger!$B$2:$B$4, $A32, Ledger!$C$2:$C$4, N$2)),"****")</f>
        <v/>
      </c>
      <c r="O32" t="str">
        <f>IFERROR(IF($C32="","",SUMIFS(Ledger!$K$2:$K$4, Ledger!$B$2:$B$4, $A32, Ledger!$C$2:$C$4, O$2)),"****")</f>
        <v/>
      </c>
      <c r="P32" t="str">
        <f>IFERROR(IF($C32="","",SUMIFS(Ledger!$K$2:$K$4, Ledger!$B$2:$B$4, $A32, Ledger!$C$2:$C$4, P$2)),"****")</f>
        <v/>
      </c>
      <c r="Q32" t="str">
        <f>IFERROR(IF($C32="","",SUMIFS(Ledger!$K$2:$K$4, Ledger!$B$2:$B$4, $A32, Ledger!$C$2:$C$4, Q$2)),"****")</f>
        <v/>
      </c>
      <c r="R32" t="str">
        <f>IFERROR(IF($C32="","",SUMIFS(Ledger!$K$2:$K$4, Ledger!$B$2:$B$4, $A32, Ledger!$C$2:$C$4, R$2)),"****")</f>
        <v/>
      </c>
      <c r="S32" t="str">
        <f>IFERROR(IF($C32="","",SUMIFS(Ledger!$K$2:$K$4, Ledger!$B$2:$B$4, $A32, Ledger!$C$2:$C$4, S$2)),"****")</f>
        <v/>
      </c>
      <c r="T32" t="str">
        <f>IFERROR(IF($C32="","",SUMIFS(Ledger!$K$2:$K$4, Ledger!$B$2:$B$4, $A32, Ledger!$C$2:$C$4, T$2)),"****")</f>
        <v/>
      </c>
      <c r="U32" t="str">
        <f>IFERROR(IF($C32="","",SUMIFS(Ledger!$K$2:$K$4, Ledger!$B$2:$B$4, $A32, Ledger!$C$2:$C$4, U$2)),"****")</f>
        <v/>
      </c>
      <c r="V32" t="str">
        <f>IFERROR(IF($C32="","",SUMIFS(Ledger!$K$2:$K$4, Ledger!$B$2:$B$4, $A32, Ledger!$C$2:$C$4, V$2)),"****")</f>
        <v/>
      </c>
      <c r="W32" t="str">
        <f>IFERROR(IF($C32="","",SUMIFS(Ledger!$K$2:$K$4, Ledger!$B$2:$B$4, $A32, Ledger!$C$2:$C$4, W$2)),"****")</f>
        <v/>
      </c>
      <c r="X32" t="str">
        <f>IFERROR(IF($C32="","",SUMIFS(Ledger!$K$2:$K$4, Ledger!$B$2:$B$4, $A32, Ledger!$C$2:$C$4, X$2)),"****")</f>
        <v/>
      </c>
    </row>
    <row r="33" spans="1:24" x14ac:dyDescent="0.3">
      <c r="A33" s="106">
        <v>31</v>
      </c>
      <c r="B33" t="str">
        <f>IFERROR(VLOOKUP($A33, Ledger!$B$2:$L$8, 3, 0),"")</f>
        <v/>
      </c>
      <c r="C33" t="str">
        <f>IFERROR(VLOOKUP($A33, Ledger!$B$2:$L$8, 4, 0),"")</f>
        <v/>
      </c>
      <c r="D33" t="str">
        <f>IFERROR(VLOOKUP($A33, Ledger!$B$2:$L$8, 5, 0),"")</f>
        <v/>
      </c>
      <c r="E33" t="str">
        <f>IFERROR(VLOOKUP($A33, Ledger!$B$2:$L$8, 6, 0),"")</f>
        <v/>
      </c>
      <c r="F33" t="str">
        <f>IFERROR(VLOOKUP($A33,'Student Data'!$A$2:$AR$6,32,0),"")</f>
        <v/>
      </c>
      <c r="G33" t="str">
        <f>IFERROR(VLOOKUP($A33,'Student Data'!$A$2:$AR$6,33,0),"")</f>
        <v/>
      </c>
      <c r="H33" t="str">
        <f>IFERROR(VLOOKUP($A33,'Student Data'!$A$2:$AR$6,34,0),"")</f>
        <v/>
      </c>
      <c r="I33" t="str">
        <f>IFERROR(VLOOKUP($A33,'Student Data'!$A$2:$AR$6,35,0),"")</f>
        <v/>
      </c>
      <c r="J33" t="str">
        <f>IFERROR(VLOOKUP($A33,'Student Data'!$A$2:$AR$6,36,0),"")</f>
        <v/>
      </c>
      <c r="K33" t="str">
        <f t="shared" si="0"/>
        <v/>
      </c>
      <c r="L33" t="str">
        <f t="shared" si="1"/>
        <v/>
      </c>
      <c r="M33" t="str">
        <f>IFERROR(IF($C33="","",SUMIFS(Ledger!$K$2:$K$4, Ledger!$B$2:$B$4, $A33, Ledger!$C$2:$C$4, M$2)),"****")</f>
        <v/>
      </c>
      <c r="N33" t="str">
        <f>IFERROR(IF($C33="","",SUMIFS(Ledger!$K$2:$K$4, Ledger!$B$2:$B$4, $A33, Ledger!$C$2:$C$4, N$2)),"****")</f>
        <v/>
      </c>
      <c r="O33" t="str">
        <f>IFERROR(IF($C33="","",SUMIFS(Ledger!$K$2:$K$4, Ledger!$B$2:$B$4, $A33, Ledger!$C$2:$C$4, O$2)),"****")</f>
        <v/>
      </c>
      <c r="P33" t="str">
        <f>IFERROR(IF($C33="","",SUMIFS(Ledger!$K$2:$K$4, Ledger!$B$2:$B$4, $A33, Ledger!$C$2:$C$4, P$2)),"****")</f>
        <v/>
      </c>
      <c r="Q33" t="str">
        <f>IFERROR(IF($C33="","",SUMIFS(Ledger!$K$2:$K$4, Ledger!$B$2:$B$4, $A33, Ledger!$C$2:$C$4, Q$2)),"****")</f>
        <v/>
      </c>
      <c r="R33" t="str">
        <f>IFERROR(IF($C33="","",SUMIFS(Ledger!$K$2:$K$4, Ledger!$B$2:$B$4, $A33, Ledger!$C$2:$C$4, R$2)),"****")</f>
        <v/>
      </c>
      <c r="S33" t="str">
        <f>IFERROR(IF($C33="","",SUMIFS(Ledger!$K$2:$K$4, Ledger!$B$2:$B$4, $A33, Ledger!$C$2:$C$4, S$2)),"****")</f>
        <v/>
      </c>
      <c r="T33" t="str">
        <f>IFERROR(IF($C33="","",SUMIFS(Ledger!$K$2:$K$4, Ledger!$B$2:$B$4, $A33, Ledger!$C$2:$C$4, T$2)),"****")</f>
        <v/>
      </c>
      <c r="U33" t="str">
        <f>IFERROR(IF($C33="","",SUMIFS(Ledger!$K$2:$K$4, Ledger!$B$2:$B$4, $A33, Ledger!$C$2:$C$4, U$2)),"****")</f>
        <v/>
      </c>
      <c r="V33" t="str">
        <f>IFERROR(IF($C33="","",SUMIFS(Ledger!$K$2:$K$4, Ledger!$B$2:$B$4, $A33, Ledger!$C$2:$C$4, V$2)),"****")</f>
        <v/>
      </c>
      <c r="W33" t="str">
        <f>IFERROR(IF($C33="","",SUMIFS(Ledger!$K$2:$K$4, Ledger!$B$2:$B$4, $A33, Ledger!$C$2:$C$4, W$2)),"****")</f>
        <v/>
      </c>
      <c r="X33" t="str">
        <f>IFERROR(IF($C33="","",SUMIFS(Ledger!$K$2:$K$4, Ledger!$B$2:$B$4, $A33, Ledger!$C$2:$C$4, X$2)),"****")</f>
        <v/>
      </c>
    </row>
    <row r="34" spans="1:24" x14ac:dyDescent="0.3">
      <c r="A34" s="106">
        <v>32</v>
      </c>
      <c r="B34" t="str">
        <f>IFERROR(VLOOKUP($A34, Ledger!$B$2:$L$8, 3, 0),"")</f>
        <v/>
      </c>
      <c r="C34" t="str">
        <f>IFERROR(VLOOKUP($A34, Ledger!$B$2:$L$8, 4, 0),"")</f>
        <v/>
      </c>
      <c r="D34" t="str">
        <f>IFERROR(VLOOKUP($A34, Ledger!$B$2:$L$8, 5, 0),"")</f>
        <v/>
      </c>
      <c r="E34" t="str">
        <f>IFERROR(VLOOKUP($A34, Ledger!$B$2:$L$8, 6, 0),"")</f>
        <v/>
      </c>
      <c r="F34" t="str">
        <f>IFERROR(VLOOKUP($A34,'Student Data'!$A$2:$AR$6,32,0),"")</f>
        <v/>
      </c>
      <c r="G34" t="str">
        <f>IFERROR(VLOOKUP($A34,'Student Data'!$A$2:$AR$6,33,0),"")</f>
        <v/>
      </c>
      <c r="H34" t="str">
        <f>IFERROR(VLOOKUP($A34,'Student Data'!$A$2:$AR$6,34,0),"")</f>
        <v/>
      </c>
      <c r="I34" t="str">
        <f>IFERROR(VLOOKUP($A34,'Student Data'!$A$2:$AR$6,35,0),"")</f>
        <v/>
      </c>
      <c r="J34" t="str">
        <f>IFERROR(VLOOKUP($A34,'Student Data'!$A$2:$AR$6,36,0),"")</f>
        <v/>
      </c>
      <c r="K34" t="str">
        <f t="shared" si="0"/>
        <v/>
      </c>
      <c r="L34" t="str">
        <f t="shared" si="1"/>
        <v/>
      </c>
      <c r="M34" t="str">
        <f>IFERROR(IF($C34="","",SUMIFS(Ledger!$K$2:$K$4, Ledger!$B$2:$B$4, $A34, Ledger!$C$2:$C$4, M$2)),"****")</f>
        <v/>
      </c>
      <c r="N34" t="str">
        <f>IFERROR(IF($C34="","",SUMIFS(Ledger!$K$2:$K$4, Ledger!$B$2:$B$4, $A34, Ledger!$C$2:$C$4, N$2)),"****")</f>
        <v/>
      </c>
      <c r="O34" t="str">
        <f>IFERROR(IF($C34="","",SUMIFS(Ledger!$K$2:$K$4, Ledger!$B$2:$B$4, $A34, Ledger!$C$2:$C$4, O$2)),"****")</f>
        <v/>
      </c>
      <c r="P34" t="str">
        <f>IFERROR(IF($C34="","",SUMIFS(Ledger!$K$2:$K$4, Ledger!$B$2:$B$4, $A34, Ledger!$C$2:$C$4, P$2)),"****")</f>
        <v/>
      </c>
      <c r="Q34" t="str">
        <f>IFERROR(IF($C34="","",SUMIFS(Ledger!$K$2:$K$4, Ledger!$B$2:$B$4, $A34, Ledger!$C$2:$C$4, Q$2)),"****")</f>
        <v/>
      </c>
      <c r="R34" t="str">
        <f>IFERROR(IF($C34="","",SUMIFS(Ledger!$K$2:$K$4, Ledger!$B$2:$B$4, $A34, Ledger!$C$2:$C$4, R$2)),"****")</f>
        <v/>
      </c>
      <c r="S34" t="str">
        <f>IFERROR(IF($C34="","",SUMIFS(Ledger!$K$2:$K$4, Ledger!$B$2:$B$4, $A34, Ledger!$C$2:$C$4, S$2)),"****")</f>
        <v/>
      </c>
      <c r="T34" t="str">
        <f>IFERROR(IF($C34="","",SUMIFS(Ledger!$K$2:$K$4, Ledger!$B$2:$B$4, $A34, Ledger!$C$2:$C$4, T$2)),"****")</f>
        <v/>
      </c>
      <c r="U34" t="str">
        <f>IFERROR(IF($C34="","",SUMIFS(Ledger!$K$2:$K$4, Ledger!$B$2:$B$4, $A34, Ledger!$C$2:$C$4, U$2)),"****")</f>
        <v/>
      </c>
      <c r="V34" t="str">
        <f>IFERROR(IF($C34="","",SUMIFS(Ledger!$K$2:$K$4, Ledger!$B$2:$B$4, $A34, Ledger!$C$2:$C$4, V$2)),"****")</f>
        <v/>
      </c>
      <c r="W34" t="str">
        <f>IFERROR(IF($C34="","",SUMIFS(Ledger!$K$2:$K$4, Ledger!$B$2:$B$4, $A34, Ledger!$C$2:$C$4, W$2)),"****")</f>
        <v/>
      </c>
      <c r="X34" t="str">
        <f>IFERROR(IF($C34="","",SUMIFS(Ledger!$K$2:$K$4, Ledger!$B$2:$B$4, $A34, Ledger!$C$2:$C$4, X$2)),"****")</f>
        <v/>
      </c>
    </row>
    <row r="35" spans="1:24" x14ac:dyDescent="0.3">
      <c r="A35" s="106">
        <v>33</v>
      </c>
      <c r="B35" t="str">
        <f>IFERROR(VLOOKUP($A35, Ledger!$B$2:$L$8, 3, 0),"")</f>
        <v/>
      </c>
      <c r="C35" t="str">
        <f>IFERROR(VLOOKUP($A35, Ledger!$B$2:$L$8, 4, 0),"")</f>
        <v/>
      </c>
      <c r="D35" t="str">
        <f>IFERROR(VLOOKUP($A35, Ledger!$B$2:$L$8, 5, 0),"")</f>
        <v/>
      </c>
      <c r="E35" t="str">
        <f>IFERROR(VLOOKUP($A35, Ledger!$B$2:$L$8, 6, 0),"")</f>
        <v/>
      </c>
      <c r="F35" t="str">
        <f>IFERROR(VLOOKUP($A35,'Student Data'!$A$2:$AR$6,32,0),"")</f>
        <v/>
      </c>
      <c r="G35" t="str">
        <f>IFERROR(VLOOKUP($A35,'Student Data'!$A$2:$AR$6,33,0),"")</f>
        <v/>
      </c>
      <c r="H35" t="str">
        <f>IFERROR(VLOOKUP($A35,'Student Data'!$A$2:$AR$6,34,0),"")</f>
        <v/>
      </c>
      <c r="I35" t="str">
        <f>IFERROR(VLOOKUP($A35,'Student Data'!$A$2:$AR$6,35,0),"")</f>
        <v/>
      </c>
      <c r="J35" t="str">
        <f>IFERROR(VLOOKUP($A35,'Student Data'!$A$2:$AR$6,36,0),"")</f>
        <v/>
      </c>
      <c r="K35" t="str">
        <f t="shared" si="0"/>
        <v/>
      </c>
      <c r="L35" t="str">
        <f t="shared" si="1"/>
        <v/>
      </c>
      <c r="M35" t="str">
        <f>IFERROR(IF($C35="","",SUMIFS(Ledger!$K$2:$K$4, Ledger!$B$2:$B$4, $A35, Ledger!$C$2:$C$4, M$2)),"****")</f>
        <v/>
      </c>
      <c r="N35" t="str">
        <f>IFERROR(IF($C35="","",SUMIFS(Ledger!$K$2:$K$4, Ledger!$B$2:$B$4, $A35, Ledger!$C$2:$C$4, N$2)),"****")</f>
        <v/>
      </c>
      <c r="O35" t="str">
        <f>IFERROR(IF($C35="","",SUMIFS(Ledger!$K$2:$K$4, Ledger!$B$2:$B$4, $A35, Ledger!$C$2:$C$4, O$2)),"****")</f>
        <v/>
      </c>
      <c r="P35" t="str">
        <f>IFERROR(IF($C35="","",SUMIFS(Ledger!$K$2:$K$4, Ledger!$B$2:$B$4, $A35, Ledger!$C$2:$C$4, P$2)),"****")</f>
        <v/>
      </c>
      <c r="Q35" t="str">
        <f>IFERROR(IF($C35="","",SUMIFS(Ledger!$K$2:$K$4, Ledger!$B$2:$B$4, $A35, Ledger!$C$2:$C$4, Q$2)),"****")</f>
        <v/>
      </c>
      <c r="R35" t="str">
        <f>IFERROR(IF($C35="","",SUMIFS(Ledger!$K$2:$K$4, Ledger!$B$2:$B$4, $A35, Ledger!$C$2:$C$4, R$2)),"****")</f>
        <v/>
      </c>
      <c r="S35" t="str">
        <f>IFERROR(IF($C35="","",SUMIFS(Ledger!$K$2:$K$4, Ledger!$B$2:$B$4, $A35, Ledger!$C$2:$C$4, S$2)),"****")</f>
        <v/>
      </c>
      <c r="T35" t="str">
        <f>IFERROR(IF($C35="","",SUMIFS(Ledger!$K$2:$K$4, Ledger!$B$2:$B$4, $A35, Ledger!$C$2:$C$4, T$2)),"****")</f>
        <v/>
      </c>
      <c r="U35" t="str">
        <f>IFERROR(IF($C35="","",SUMIFS(Ledger!$K$2:$K$4, Ledger!$B$2:$B$4, $A35, Ledger!$C$2:$C$4, U$2)),"****")</f>
        <v/>
      </c>
      <c r="V35" t="str">
        <f>IFERROR(IF($C35="","",SUMIFS(Ledger!$K$2:$K$4, Ledger!$B$2:$B$4, $A35, Ledger!$C$2:$C$4, V$2)),"****")</f>
        <v/>
      </c>
      <c r="W35" t="str">
        <f>IFERROR(IF($C35="","",SUMIFS(Ledger!$K$2:$K$4, Ledger!$B$2:$B$4, $A35, Ledger!$C$2:$C$4, W$2)),"****")</f>
        <v/>
      </c>
      <c r="X35" t="str">
        <f>IFERROR(IF($C35="","",SUMIFS(Ledger!$K$2:$K$4, Ledger!$B$2:$B$4, $A35, Ledger!$C$2:$C$4, X$2)),"****")</f>
        <v/>
      </c>
    </row>
    <row r="36" spans="1:24" x14ac:dyDescent="0.3">
      <c r="A36" s="106">
        <v>34</v>
      </c>
      <c r="B36" t="str">
        <f>IFERROR(VLOOKUP($A36, Ledger!$B$2:$L$8, 3, 0),"")</f>
        <v/>
      </c>
      <c r="C36" t="str">
        <f>IFERROR(VLOOKUP($A36, Ledger!$B$2:$L$8, 4, 0),"")</f>
        <v/>
      </c>
      <c r="D36" t="str">
        <f>IFERROR(VLOOKUP($A36, Ledger!$B$2:$L$8, 5, 0),"")</f>
        <v/>
      </c>
      <c r="E36" t="str">
        <f>IFERROR(VLOOKUP($A36, Ledger!$B$2:$L$8, 6, 0),"")</f>
        <v/>
      </c>
      <c r="F36" t="str">
        <f>IFERROR(VLOOKUP($A36,'Student Data'!$A$2:$AR$6,32,0),"")</f>
        <v/>
      </c>
      <c r="G36" t="str">
        <f>IFERROR(VLOOKUP($A36,'Student Data'!$A$2:$AR$6,33,0),"")</f>
        <v/>
      </c>
      <c r="H36" t="str">
        <f>IFERROR(VLOOKUP($A36,'Student Data'!$A$2:$AR$6,34,0),"")</f>
        <v/>
      </c>
      <c r="I36" t="str">
        <f>IFERROR(VLOOKUP($A36,'Student Data'!$A$2:$AR$6,35,0),"")</f>
        <v/>
      </c>
      <c r="J36" t="str">
        <f>IFERROR(VLOOKUP($A36,'Student Data'!$A$2:$AR$6,36,0),"")</f>
        <v/>
      </c>
      <c r="K36" t="str">
        <f t="shared" si="0"/>
        <v/>
      </c>
      <c r="L36" t="str">
        <f t="shared" si="1"/>
        <v/>
      </c>
      <c r="M36" t="str">
        <f>IFERROR(IF($C36="","",SUMIFS(Ledger!$K$2:$K$4, Ledger!$B$2:$B$4, $A36, Ledger!$C$2:$C$4, M$2)),"****")</f>
        <v/>
      </c>
      <c r="N36" t="str">
        <f>IFERROR(IF($C36="","",SUMIFS(Ledger!$K$2:$K$4, Ledger!$B$2:$B$4, $A36, Ledger!$C$2:$C$4, N$2)),"****")</f>
        <v/>
      </c>
      <c r="O36" t="str">
        <f>IFERROR(IF($C36="","",SUMIFS(Ledger!$K$2:$K$4, Ledger!$B$2:$B$4, $A36, Ledger!$C$2:$C$4, O$2)),"****")</f>
        <v/>
      </c>
      <c r="P36" t="str">
        <f>IFERROR(IF($C36="","",SUMIFS(Ledger!$K$2:$K$4, Ledger!$B$2:$B$4, $A36, Ledger!$C$2:$C$4, P$2)),"****")</f>
        <v/>
      </c>
      <c r="Q36" t="str">
        <f>IFERROR(IF($C36="","",SUMIFS(Ledger!$K$2:$K$4, Ledger!$B$2:$B$4, $A36, Ledger!$C$2:$C$4, Q$2)),"****")</f>
        <v/>
      </c>
      <c r="R36" t="str">
        <f>IFERROR(IF($C36="","",SUMIFS(Ledger!$K$2:$K$4, Ledger!$B$2:$B$4, $A36, Ledger!$C$2:$C$4, R$2)),"****")</f>
        <v/>
      </c>
      <c r="S36" t="str">
        <f>IFERROR(IF($C36="","",SUMIFS(Ledger!$K$2:$K$4, Ledger!$B$2:$B$4, $A36, Ledger!$C$2:$C$4, S$2)),"****")</f>
        <v/>
      </c>
      <c r="T36" t="str">
        <f>IFERROR(IF($C36="","",SUMIFS(Ledger!$K$2:$K$4, Ledger!$B$2:$B$4, $A36, Ledger!$C$2:$C$4, T$2)),"****")</f>
        <v/>
      </c>
      <c r="U36" t="str">
        <f>IFERROR(IF($C36="","",SUMIFS(Ledger!$K$2:$K$4, Ledger!$B$2:$B$4, $A36, Ledger!$C$2:$C$4, U$2)),"****")</f>
        <v/>
      </c>
      <c r="V36" t="str">
        <f>IFERROR(IF($C36="","",SUMIFS(Ledger!$K$2:$K$4, Ledger!$B$2:$B$4, $A36, Ledger!$C$2:$C$4, V$2)),"****")</f>
        <v/>
      </c>
      <c r="W36" t="str">
        <f>IFERROR(IF($C36="","",SUMIFS(Ledger!$K$2:$K$4, Ledger!$B$2:$B$4, $A36, Ledger!$C$2:$C$4, W$2)),"****")</f>
        <v/>
      </c>
      <c r="X36" t="str">
        <f>IFERROR(IF($C36="","",SUMIFS(Ledger!$K$2:$K$4, Ledger!$B$2:$B$4, $A36, Ledger!$C$2:$C$4, X$2)),"****")</f>
        <v/>
      </c>
    </row>
    <row r="37" spans="1:24" x14ac:dyDescent="0.3">
      <c r="A37" s="106">
        <v>35</v>
      </c>
      <c r="B37" t="str">
        <f>IFERROR(VLOOKUP($A37, Ledger!$B$2:$L$8, 3, 0),"")</f>
        <v/>
      </c>
      <c r="C37" t="str">
        <f>IFERROR(VLOOKUP($A37, Ledger!$B$2:$L$8, 4, 0),"")</f>
        <v/>
      </c>
      <c r="D37" t="str">
        <f>IFERROR(VLOOKUP($A37, Ledger!$B$2:$L$8, 5, 0),"")</f>
        <v/>
      </c>
      <c r="E37" t="str">
        <f>IFERROR(VLOOKUP($A37, Ledger!$B$2:$L$8, 6, 0),"")</f>
        <v/>
      </c>
      <c r="F37" t="str">
        <f>IFERROR(VLOOKUP($A37,'Student Data'!$A$2:$AR$6,32,0),"")</f>
        <v/>
      </c>
      <c r="G37" t="str">
        <f>IFERROR(VLOOKUP($A37,'Student Data'!$A$2:$AR$6,33,0),"")</f>
        <v/>
      </c>
      <c r="H37" t="str">
        <f>IFERROR(VLOOKUP($A37,'Student Data'!$A$2:$AR$6,34,0),"")</f>
        <v/>
      </c>
      <c r="I37" t="str">
        <f>IFERROR(VLOOKUP($A37,'Student Data'!$A$2:$AR$6,35,0),"")</f>
        <v/>
      </c>
      <c r="J37" t="str">
        <f>IFERROR(VLOOKUP($A37,'Student Data'!$A$2:$AR$6,36,0),"")</f>
        <v/>
      </c>
      <c r="K37" t="str">
        <f t="shared" si="0"/>
        <v/>
      </c>
      <c r="L37" t="str">
        <f t="shared" si="1"/>
        <v/>
      </c>
      <c r="M37" t="str">
        <f>IFERROR(IF($C37="","",SUMIFS(Ledger!$K$2:$K$4, Ledger!$B$2:$B$4, $A37, Ledger!$C$2:$C$4, M$2)),"****")</f>
        <v/>
      </c>
      <c r="N37" t="str">
        <f>IFERROR(IF($C37="","",SUMIFS(Ledger!$K$2:$K$4, Ledger!$B$2:$B$4, $A37, Ledger!$C$2:$C$4, N$2)),"****")</f>
        <v/>
      </c>
      <c r="O37" t="str">
        <f>IFERROR(IF($C37="","",SUMIFS(Ledger!$K$2:$K$4, Ledger!$B$2:$B$4, $A37, Ledger!$C$2:$C$4, O$2)),"****")</f>
        <v/>
      </c>
      <c r="P37" t="str">
        <f>IFERROR(IF($C37="","",SUMIFS(Ledger!$K$2:$K$4, Ledger!$B$2:$B$4, $A37, Ledger!$C$2:$C$4, P$2)),"****")</f>
        <v/>
      </c>
      <c r="Q37" t="str">
        <f>IFERROR(IF($C37="","",SUMIFS(Ledger!$K$2:$K$4, Ledger!$B$2:$B$4, $A37, Ledger!$C$2:$C$4, Q$2)),"****")</f>
        <v/>
      </c>
      <c r="R37" t="str">
        <f>IFERROR(IF($C37="","",SUMIFS(Ledger!$K$2:$K$4, Ledger!$B$2:$B$4, $A37, Ledger!$C$2:$C$4, R$2)),"****")</f>
        <v/>
      </c>
      <c r="S37" t="str">
        <f>IFERROR(IF($C37="","",SUMIFS(Ledger!$K$2:$K$4, Ledger!$B$2:$B$4, $A37, Ledger!$C$2:$C$4, S$2)),"****")</f>
        <v/>
      </c>
      <c r="T37" t="str">
        <f>IFERROR(IF($C37="","",SUMIFS(Ledger!$K$2:$K$4, Ledger!$B$2:$B$4, $A37, Ledger!$C$2:$C$4, T$2)),"****")</f>
        <v/>
      </c>
      <c r="U37" t="str">
        <f>IFERROR(IF($C37="","",SUMIFS(Ledger!$K$2:$K$4, Ledger!$B$2:$B$4, $A37, Ledger!$C$2:$C$4, U$2)),"****")</f>
        <v/>
      </c>
      <c r="V37" t="str">
        <f>IFERROR(IF($C37="","",SUMIFS(Ledger!$K$2:$K$4, Ledger!$B$2:$B$4, $A37, Ledger!$C$2:$C$4, V$2)),"****")</f>
        <v/>
      </c>
      <c r="W37" t="str">
        <f>IFERROR(IF($C37="","",SUMIFS(Ledger!$K$2:$K$4, Ledger!$B$2:$B$4, $A37, Ledger!$C$2:$C$4, W$2)),"****")</f>
        <v/>
      </c>
      <c r="X37" t="str">
        <f>IFERROR(IF($C37="","",SUMIFS(Ledger!$K$2:$K$4, Ledger!$B$2:$B$4, $A37, Ledger!$C$2:$C$4, X$2)),"****")</f>
        <v/>
      </c>
    </row>
    <row r="38" spans="1:24" x14ac:dyDescent="0.3">
      <c r="A38" s="106">
        <v>36</v>
      </c>
      <c r="B38" t="str">
        <f>IFERROR(VLOOKUP($A38, Ledger!$B$2:$L$8, 3, 0),"")</f>
        <v/>
      </c>
      <c r="C38" t="str">
        <f>IFERROR(VLOOKUP($A38, Ledger!$B$2:$L$8, 4, 0),"")</f>
        <v/>
      </c>
      <c r="D38" t="str">
        <f>IFERROR(VLOOKUP($A38, Ledger!$B$2:$L$8, 5, 0),"")</f>
        <v/>
      </c>
      <c r="E38" t="str">
        <f>IFERROR(VLOOKUP($A38, Ledger!$B$2:$L$8, 6, 0),"")</f>
        <v/>
      </c>
      <c r="F38" t="str">
        <f>IFERROR(VLOOKUP($A38,'Student Data'!$A$2:$AR$6,32,0),"")</f>
        <v/>
      </c>
      <c r="G38" t="str">
        <f>IFERROR(VLOOKUP($A38,'Student Data'!$A$2:$AR$6,33,0),"")</f>
        <v/>
      </c>
      <c r="H38" t="str">
        <f>IFERROR(VLOOKUP($A38,'Student Data'!$A$2:$AR$6,34,0),"")</f>
        <v/>
      </c>
      <c r="I38" t="str">
        <f>IFERROR(VLOOKUP($A38,'Student Data'!$A$2:$AR$6,35,0),"")</f>
        <v/>
      </c>
      <c r="J38" t="str">
        <f>IFERROR(VLOOKUP($A38,'Student Data'!$A$2:$AR$6,36,0),"")</f>
        <v/>
      </c>
      <c r="K38" t="str">
        <f t="shared" si="0"/>
        <v/>
      </c>
      <c r="L38" t="str">
        <f t="shared" si="1"/>
        <v/>
      </c>
      <c r="M38" t="str">
        <f>IFERROR(IF($C38="","",SUMIFS(Ledger!$K$2:$K$4, Ledger!$B$2:$B$4, $A38, Ledger!$C$2:$C$4, M$2)),"****")</f>
        <v/>
      </c>
      <c r="N38" t="str">
        <f>IFERROR(IF($C38="","",SUMIFS(Ledger!$K$2:$K$4, Ledger!$B$2:$B$4, $A38, Ledger!$C$2:$C$4, N$2)),"****")</f>
        <v/>
      </c>
      <c r="O38" t="str">
        <f>IFERROR(IF($C38="","",SUMIFS(Ledger!$K$2:$K$4, Ledger!$B$2:$B$4, $A38, Ledger!$C$2:$C$4, O$2)),"****")</f>
        <v/>
      </c>
      <c r="P38" t="str">
        <f>IFERROR(IF($C38="","",SUMIFS(Ledger!$K$2:$K$4, Ledger!$B$2:$B$4, $A38, Ledger!$C$2:$C$4, P$2)),"****")</f>
        <v/>
      </c>
      <c r="Q38" t="str">
        <f>IFERROR(IF($C38="","",SUMIFS(Ledger!$K$2:$K$4, Ledger!$B$2:$B$4, $A38, Ledger!$C$2:$C$4, Q$2)),"****")</f>
        <v/>
      </c>
      <c r="R38" t="str">
        <f>IFERROR(IF($C38="","",SUMIFS(Ledger!$K$2:$K$4, Ledger!$B$2:$B$4, $A38, Ledger!$C$2:$C$4, R$2)),"****")</f>
        <v/>
      </c>
      <c r="S38" t="str">
        <f>IFERROR(IF($C38="","",SUMIFS(Ledger!$K$2:$K$4, Ledger!$B$2:$B$4, $A38, Ledger!$C$2:$C$4, S$2)),"****")</f>
        <v/>
      </c>
      <c r="T38" t="str">
        <f>IFERROR(IF($C38="","",SUMIFS(Ledger!$K$2:$K$4, Ledger!$B$2:$B$4, $A38, Ledger!$C$2:$C$4, T$2)),"****")</f>
        <v/>
      </c>
      <c r="U38" t="str">
        <f>IFERROR(IF($C38="","",SUMIFS(Ledger!$K$2:$K$4, Ledger!$B$2:$B$4, $A38, Ledger!$C$2:$C$4, U$2)),"****")</f>
        <v/>
      </c>
      <c r="V38" t="str">
        <f>IFERROR(IF($C38="","",SUMIFS(Ledger!$K$2:$K$4, Ledger!$B$2:$B$4, $A38, Ledger!$C$2:$C$4, V$2)),"****")</f>
        <v/>
      </c>
      <c r="W38" t="str">
        <f>IFERROR(IF($C38="","",SUMIFS(Ledger!$K$2:$K$4, Ledger!$B$2:$B$4, $A38, Ledger!$C$2:$C$4, W$2)),"****")</f>
        <v/>
      </c>
      <c r="X38" t="str">
        <f>IFERROR(IF($C38="","",SUMIFS(Ledger!$K$2:$K$4, Ledger!$B$2:$B$4, $A38, Ledger!$C$2:$C$4, X$2)),"****")</f>
        <v/>
      </c>
    </row>
    <row r="39" spans="1:24" x14ac:dyDescent="0.3">
      <c r="A39" s="106">
        <v>37</v>
      </c>
      <c r="B39" t="str">
        <f>IFERROR(VLOOKUP($A39, Ledger!$B$2:$L$8, 3, 0),"")</f>
        <v/>
      </c>
      <c r="C39" t="str">
        <f>IFERROR(VLOOKUP($A39, Ledger!$B$2:$L$8, 4, 0),"")</f>
        <v/>
      </c>
      <c r="D39" t="str">
        <f>IFERROR(VLOOKUP($A39, Ledger!$B$2:$L$8, 5, 0),"")</f>
        <v/>
      </c>
      <c r="E39" t="str">
        <f>IFERROR(VLOOKUP($A39, Ledger!$B$2:$L$8, 6, 0),"")</f>
        <v/>
      </c>
      <c r="F39" t="str">
        <f>IFERROR(VLOOKUP($A39,'Student Data'!$A$2:$AR$6,32,0),"")</f>
        <v/>
      </c>
      <c r="G39" t="str">
        <f>IFERROR(VLOOKUP($A39,'Student Data'!$A$2:$AR$6,33,0),"")</f>
        <v/>
      </c>
      <c r="H39" t="str">
        <f>IFERROR(VLOOKUP($A39,'Student Data'!$A$2:$AR$6,34,0),"")</f>
        <v/>
      </c>
      <c r="I39" t="str">
        <f>IFERROR(VLOOKUP($A39,'Student Data'!$A$2:$AR$6,35,0),"")</f>
        <v/>
      </c>
      <c r="J39" t="str">
        <f>IFERROR(VLOOKUP($A39,'Student Data'!$A$2:$AR$6,36,0),"")</f>
        <v/>
      </c>
      <c r="K39" t="str">
        <f t="shared" si="0"/>
        <v/>
      </c>
      <c r="L39" t="str">
        <f t="shared" si="1"/>
        <v/>
      </c>
      <c r="M39" t="str">
        <f>IFERROR(IF($C39="","",SUMIFS(Ledger!$K$2:$K$4, Ledger!$B$2:$B$4, $A39, Ledger!$C$2:$C$4, M$2)),"****")</f>
        <v/>
      </c>
      <c r="N39" t="str">
        <f>IFERROR(IF($C39="","",SUMIFS(Ledger!$K$2:$K$4, Ledger!$B$2:$B$4, $A39, Ledger!$C$2:$C$4, N$2)),"****")</f>
        <v/>
      </c>
      <c r="O39" t="str">
        <f>IFERROR(IF($C39="","",SUMIFS(Ledger!$K$2:$K$4, Ledger!$B$2:$B$4, $A39, Ledger!$C$2:$C$4, O$2)),"****")</f>
        <v/>
      </c>
      <c r="P39" t="str">
        <f>IFERROR(IF($C39="","",SUMIFS(Ledger!$K$2:$K$4, Ledger!$B$2:$B$4, $A39, Ledger!$C$2:$C$4, P$2)),"****")</f>
        <v/>
      </c>
      <c r="Q39" t="str">
        <f>IFERROR(IF($C39="","",SUMIFS(Ledger!$K$2:$K$4, Ledger!$B$2:$B$4, $A39, Ledger!$C$2:$C$4, Q$2)),"****")</f>
        <v/>
      </c>
      <c r="R39" t="str">
        <f>IFERROR(IF($C39="","",SUMIFS(Ledger!$K$2:$K$4, Ledger!$B$2:$B$4, $A39, Ledger!$C$2:$C$4, R$2)),"****")</f>
        <v/>
      </c>
      <c r="S39" t="str">
        <f>IFERROR(IF($C39="","",SUMIFS(Ledger!$K$2:$K$4, Ledger!$B$2:$B$4, $A39, Ledger!$C$2:$C$4, S$2)),"****")</f>
        <v/>
      </c>
      <c r="T39" t="str">
        <f>IFERROR(IF($C39="","",SUMIFS(Ledger!$K$2:$K$4, Ledger!$B$2:$B$4, $A39, Ledger!$C$2:$C$4, T$2)),"****")</f>
        <v/>
      </c>
      <c r="U39" t="str">
        <f>IFERROR(IF($C39="","",SUMIFS(Ledger!$K$2:$K$4, Ledger!$B$2:$B$4, $A39, Ledger!$C$2:$C$4, U$2)),"****")</f>
        <v/>
      </c>
      <c r="V39" t="str">
        <f>IFERROR(IF($C39="","",SUMIFS(Ledger!$K$2:$K$4, Ledger!$B$2:$B$4, $A39, Ledger!$C$2:$C$4, V$2)),"****")</f>
        <v/>
      </c>
      <c r="W39" t="str">
        <f>IFERROR(IF($C39="","",SUMIFS(Ledger!$K$2:$K$4, Ledger!$B$2:$B$4, $A39, Ledger!$C$2:$C$4, W$2)),"****")</f>
        <v/>
      </c>
      <c r="X39" t="str">
        <f>IFERROR(IF($C39="","",SUMIFS(Ledger!$K$2:$K$4, Ledger!$B$2:$B$4, $A39, Ledger!$C$2:$C$4, X$2)),"****")</f>
        <v/>
      </c>
    </row>
    <row r="40" spans="1:24" x14ac:dyDescent="0.3">
      <c r="A40" s="106">
        <v>38</v>
      </c>
      <c r="B40" t="str">
        <f>IFERROR(VLOOKUP($A40, Ledger!$B$2:$L$8, 3, 0),"")</f>
        <v/>
      </c>
      <c r="C40" t="str">
        <f>IFERROR(VLOOKUP($A40, Ledger!$B$2:$L$8, 4, 0),"")</f>
        <v/>
      </c>
      <c r="D40" t="str">
        <f>IFERROR(VLOOKUP($A40, Ledger!$B$2:$L$8, 5, 0),"")</f>
        <v/>
      </c>
      <c r="E40" t="str">
        <f>IFERROR(VLOOKUP($A40, Ledger!$B$2:$L$8, 6, 0),"")</f>
        <v/>
      </c>
      <c r="F40" t="str">
        <f>IFERROR(VLOOKUP($A40,'Student Data'!$A$2:$AR$6,32,0),"")</f>
        <v/>
      </c>
      <c r="G40" t="str">
        <f>IFERROR(VLOOKUP($A40,'Student Data'!$A$2:$AR$6,33,0),"")</f>
        <v/>
      </c>
      <c r="H40" t="str">
        <f>IFERROR(VLOOKUP($A40,'Student Data'!$A$2:$AR$6,34,0),"")</f>
        <v/>
      </c>
      <c r="I40" t="str">
        <f>IFERROR(VLOOKUP($A40,'Student Data'!$A$2:$AR$6,35,0),"")</f>
        <v/>
      </c>
      <c r="J40" t="str">
        <f>IFERROR(VLOOKUP($A40,'Student Data'!$A$2:$AR$6,36,0),"")</f>
        <v/>
      </c>
      <c r="K40" t="str">
        <f t="shared" si="0"/>
        <v/>
      </c>
      <c r="L40" t="str">
        <f t="shared" si="1"/>
        <v/>
      </c>
      <c r="M40" t="str">
        <f>IFERROR(IF($C40="","",SUMIFS(Ledger!$K$2:$K$4, Ledger!$B$2:$B$4, $A40, Ledger!$C$2:$C$4, M$2)),"****")</f>
        <v/>
      </c>
      <c r="N40" t="str">
        <f>IFERROR(IF($C40="","",SUMIFS(Ledger!$K$2:$K$4, Ledger!$B$2:$B$4, $A40, Ledger!$C$2:$C$4, N$2)),"****")</f>
        <v/>
      </c>
      <c r="O40" t="str">
        <f>IFERROR(IF($C40="","",SUMIFS(Ledger!$K$2:$K$4, Ledger!$B$2:$B$4, $A40, Ledger!$C$2:$C$4, O$2)),"****")</f>
        <v/>
      </c>
      <c r="P40" t="str">
        <f>IFERROR(IF($C40="","",SUMIFS(Ledger!$K$2:$K$4, Ledger!$B$2:$B$4, $A40, Ledger!$C$2:$C$4, P$2)),"****")</f>
        <v/>
      </c>
      <c r="Q40" t="str">
        <f>IFERROR(IF($C40="","",SUMIFS(Ledger!$K$2:$K$4, Ledger!$B$2:$B$4, $A40, Ledger!$C$2:$C$4, Q$2)),"****")</f>
        <v/>
      </c>
      <c r="R40" t="str">
        <f>IFERROR(IF($C40="","",SUMIFS(Ledger!$K$2:$K$4, Ledger!$B$2:$B$4, $A40, Ledger!$C$2:$C$4, R$2)),"****")</f>
        <v/>
      </c>
      <c r="S40" t="str">
        <f>IFERROR(IF($C40="","",SUMIFS(Ledger!$K$2:$K$4, Ledger!$B$2:$B$4, $A40, Ledger!$C$2:$C$4, S$2)),"****")</f>
        <v/>
      </c>
      <c r="T40" t="str">
        <f>IFERROR(IF($C40="","",SUMIFS(Ledger!$K$2:$K$4, Ledger!$B$2:$B$4, $A40, Ledger!$C$2:$C$4, T$2)),"****")</f>
        <v/>
      </c>
      <c r="U40" t="str">
        <f>IFERROR(IF($C40="","",SUMIFS(Ledger!$K$2:$K$4, Ledger!$B$2:$B$4, $A40, Ledger!$C$2:$C$4, U$2)),"****")</f>
        <v/>
      </c>
      <c r="V40" t="str">
        <f>IFERROR(IF($C40="","",SUMIFS(Ledger!$K$2:$K$4, Ledger!$B$2:$B$4, $A40, Ledger!$C$2:$C$4, V$2)),"****")</f>
        <v/>
      </c>
      <c r="W40" t="str">
        <f>IFERROR(IF($C40="","",SUMIFS(Ledger!$K$2:$K$4, Ledger!$B$2:$B$4, $A40, Ledger!$C$2:$C$4, W$2)),"****")</f>
        <v/>
      </c>
      <c r="X40" t="str">
        <f>IFERROR(IF($C40="","",SUMIFS(Ledger!$K$2:$K$4, Ledger!$B$2:$B$4, $A40, Ledger!$C$2:$C$4, X$2)),"****")</f>
        <v/>
      </c>
    </row>
    <row r="41" spans="1:24" x14ac:dyDescent="0.3">
      <c r="A41" s="106">
        <v>39</v>
      </c>
      <c r="B41" t="str">
        <f>IFERROR(VLOOKUP($A41, Ledger!$B$2:$L$8, 3, 0),"")</f>
        <v/>
      </c>
      <c r="C41" t="str">
        <f>IFERROR(VLOOKUP($A41, Ledger!$B$2:$L$8, 4, 0),"")</f>
        <v/>
      </c>
      <c r="D41" t="str">
        <f>IFERROR(VLOOKUP($A41, Ledger!$B$2:$L$8, 5, 0),"")</f>
        <v/>
      </c>
      <c r="E41" t="str">
        <f>IFERROR(VLOOKUP($A41, Ledger!$B$2:$L$8, 6, 0),"")</f>
        <v/>
      </c>
      <c r="F41" t="str">
        <f>IFERROR(VLOOKUP($A41,'Student Data'!$A$2:$AR$6,32,0),"")</f>
        <v/>
      </c>
      <c r="G41" t="str">
        <f>IFERROR(VLOOKUP($A41,'Student Data'!$A$2:$AR$6,33,0),"")</f>
        <v/>
      </c>
      <c r="H41" t="str">
        <f>IFERROR(VLOOKUP($A41,'Student Data'!$A$2:$AR$6,34,0),"")</f>
        <v/>
      </c>
      <c r="I41" t="str">
        <f>IFERROR(VLOOKUP($A41,'Student Data'!$A$2:$AR$6,35,0),"")</f>
        <v/>
      </c>
      <c r="J41" t="str">
        <f>IFERROR(VLOOKUP($A41,'Student Data'!$A$2:$AR$6,36,0),"")</f>
        <v/>
      </c>
      <c r="K41" t="str">
        <f t="shared" si="0"/>
        <v/>
      </c>
      <c r="L41" t="str">
        <f t="shared" si="1"/>
        <v/>
      </c>
      <c r="M41" t="str">
        <f>IFERROR(IF($C41="","",SUMIFS(Ledger!$K$2:$K$4, Ledger!$B$2:$B$4, $A41, Ledger!$C$2:$C$4, M$2)),"****")</f>
        <v/>
      </c>
      <c r="N41" t="str">
        <f>IFERROR(IF($C41="","",SUMIFS(Ledger!$K$2:$K$4, Ledger!$B$2:$B$4, $A41, Ledger!$C$2:$C$4, N$2)),"****")</f>
        <v/>
      </c>
      <c r="O41" t="str">
        <f>IFERROR(IF($C41="","",SUMIFS(Ledger!$K$2:$K$4, Ledger!$B$2:$B$4, $A41, Ledger!$C$2:$C$4, O$2)),"****")</f>
        <v/>
      </c>
      <c r="P41" t="str">
        <f>IFERROR(IF($C41="","",SUMIFS(Ledger!$K$2:$K$4, Ledger!$B$2:$B$4, $A41, Ledger!$C$2:$C$4, P$2)),"****")</f>
        <v/>
      </c>
      <c r="Q41" t="str">
        <f>IFERROR(IF($C41="","",SUMIFS(Ledger!$K$2:$K$4, Ledger!$B$2:$B$4, $A41, Ledger!$C$2:$C$4, Q$2)),"****")</f>
        <v/>
      </c>
      <c r="R41" t="str">
        <f>IFERROR(IF($C41="","",SUMIFS(Ledger!$K$2:$K$4, Ledger!$B$2:$B$4, $A41, Ledger!$C$2:$C$4, R$2)),"****")</f>
        <v/>
      </c>
      <c r="S41" t="str">
        <f>IFERROR(IF($C41="","",SUMIFS(Ledger!$K$2:$K$4, Ledger!$B$2:$B$4, $A41, Ledger!$C$2:$C$4, S$2)),"****")</f>
        <v/>
      </c>
      <c r="T41" t="str">
        <f>IFERROR(IF($C41="","",SUMIFS(Ledger!$K$2:$K$4, Ledger!$B$2:$B$4, $A41, Ledger!$C$2:$C$4, T$2)),"****")</f>
        <v/>
      </c>
      <c r="U41" t="str">
        <f>IFERROR(IF($C41="","",SUMIFS(Ledger!$K$2:$K$4, Ledger!$B$2:$B$4, $A41, Ledger!$C$2:$C$4, U$2)),"****")</f>
        <v/>
      </c>
      <c r="V41" t="str">
        <f>IFERROR(IF($C41="","",SUMIFS(Ledger!$K$2:$K$4, Ledger!$B$2:$B$4, $A41, Ledger!$C$2:$C$4, V$2)),"****")</f>
        <v/>
      </c>
      <c r="W41" t="str">
        <f>IFERROR(IF($C41="","",SUMIFS(Ledger!$K$2:$K$4, Ledger!$B$2:$B$4, $A41, Ledger!$C$2:$C$4, W$2)),"****")</f>
        <v/>
      </c>
      <c r="X41" t="str">
        <f>IFERROR(IF($C41="","",SUMIFS(Ledger!$K$2:$K$4, Ledger!$B$2:$B$4, $A41, Ledger!$C$2:$C$4, X$2)),"****")</f>
        <v/>
      </c>
    </row>
    <row r="42" spans="1:24" x14ac:dyDescent="0.3">
      <c r="A42" s="106">
        <v>40</v>
      </c>
      <c r="B42" t="str">
        <f>IFERROR(VLOOKUP($A42, Ledger!$B$2:$L$8, 3, 0),"")</f>
        <v/>
      </c>
      <c r="C42" t="str">
        <f>IFERROR(VLOOKUP($A42, Ledger!$B$2:$L$8, 4, 0),"")</f>
        <v/>
      </c>
      <c r="D42" t="str">
        <f>IFERROR(VLOOKUP($A42, Ledger!$B$2:$L$8, 5, 0),"")</f>
        <v/>
      </c>
      <c r="E42" t="str">
        <f>IFERROR(VLOOKUP($A42, Ledger!$B$2:$L$8, 6, 0),"")</f>
        <v/>
      </c>
      <c r="F42" t="str">
        <f>IFERROR(VLOOKUP($A42,'Student Data'!$A$2:$AR$6,32,0),"")</f>
        <v/>
      </c>
      <c r="G42" t="str">
        <f>IFERROR(VLOOKUP($A42,'Student Data'!$A$2:$AR$6,33,0),"")</f>
        <v/>
      </c>
      <c r="H42" t="str">
        <f>IFERROR(VLOOKUP($A42,'Student Data'!$A$2:$AR$6,34,0),"")</f>
        <v/>
      </c>
      <c r="I42" t="str">
        <f>IFERROR(VLOOKUP($A42,'Student Data'!$A$2:$AR$6,35,0),"")</f>
        <v/>
      </c>
      <c r="J42" t="str">
        <f>IFERROR(VLOOKUP($A42,'Student Data'!$A$2:$AR$6,36,0),"")</f>
        <v/>
      </c>
      <c r="K42" t="str">
        <f t="shared" si="0"/>
        <v/>
      </c>
      <c r="L42" t="str">
        <f t="shared" si="1"/>
        <v/>
      </c>
      <c r="M42" t="str">
        <f>IFERROR(IF($C42="","",SUMIFS(Ledger!$K$2:$K$4, Ledger!$B$2:$B$4, $A42, Ledger!$C$2:$C$4, M$2)),"****")</f>
        <v/>
      </c>
      <c r="N42" t="str">
        <f>IFERROR(IF($C42="","",SUMIFS(Ledger!$K$2:$K$4, Ledger!$B$2:$B$4, $A42, Ledger!$C$2:$C$4, N$2)),"****")</f>
        <v/>
      </c>
      <c r="O42" t="str">
        <f>IFERROR(IF($C42="","",SUMIFS(Ledger!$K$2:$K$4, Ledger!$B$2:$B$4, $A42, Ledger!$C$2:$C$4, O$2)),"****")</f>
        <v/>
      </c>
      <c r="P42" t="str">
        <f>IFERROR(IF($C42="","",SUMIFS(Ledger!$K$2:$K$4, Ledger!$B$2:$B$4, $A42, Ledger!$C$2:$C$4, P$2)),"****")</f>
        <v/>
      </c>
      <c r="Q42" t="str">
        <f>IFERROR(IF($C42="","",SUMIFS(Ledger!$K$2:$K$4, Ledger!$B$2:$B$4, $A42, Ledger!$C$2:$C$4, Q$2)),"****")</f>
        <v/>
      </c>
      <c r="R42" t="str">
        <f>IFERROR(IF($C42="","",SUMIFS(Ledger!$K$2:$K$4, Ledger!$B$2:$B$4, $A42, Ledger!$C$2:$C$4, R$2)),"****")</f>
        <v/>
      </c>
      <c r="S42" t="str">
        <f>IFERROR(IF($C42="","",SUMIFS(Ledger!$K$2:$K$4, Ledger!$B$2:$B$4, $A42, Ledger!$C$2:$C$4, S$2)),"****")</f>
        <v/>
      </c>
      <c r="T42" t="str">
        <f>IFERROR(IF($C42="","",SUMIFS(Ledger!$K$2:$K$4, Ledger!$B$2:$B$4, $A42, Ledger!$C$2:$C$4, T$2)),"****")</f>
        <v/>
      </c>
      <c r="U42" t="str">
        <f>IFERROR(IF($C42="","",SUMIFS(Ledger!$K$2:$K$4, Ledger!$B$2:$B$4, $A42, Ledger!$C$2:$C$4, U$2)),"****")</f>
        <v/>
      </c>
      <c r="V42" t="str">
        <f>IFERROR(IF($C42="","",SUMIFS(Ledger!$K$2:$K$4, Ledger!$B$2:$B$4, $A42, Ledger!$C$2:$C$4, V$2)),"****")</f>
        <v/>
      </c>
      <c r="W42" t="str">
        <f>IFERROR(IF($C42="","",SUMIFS(Ledger!$K$2:$K$4, Ledger!$B$2:$B$4, $A42, Ledger!$C$2:$C$4, W$2)),"****")</f>
        <v/>
      </c>
      <c r="X42" t="str">
        <f>IFERROR(IF($C42="","",SUMIFS(Ledger!$K$2:$K$4, Ledger!$B$2:$B$4, $A42, Ledger!$C$2:$C$4, X$2)),"****")</f>
        <v/>
      </c>
    </row>
    <row r="43" spans="1:24" x14ac:dyDescent="0.3">
      <c r="A43" s="106">
        <v>41</v>
      </c>
      <c r="B43" t="str">
        <f>IFERROR(VLOOKUP($A43, Ledger!$B$2:$L$8, 3, 0),"")</f>
        <v/>
      </c>
      <c r="C43" t="str">
        <f>IFERROR(VLOOKUP($A43, Ledger!$B$2:$L$8, 4, 0),"")</f>
        <v/>
      </c>
      <c r="D43" t="str">
        <f>IFERROR(VLOOKUP($A43, Ledger!$B$2:$L$8, 5, 0),"")</f>
        <v/>
      </c>
      <c r="E43" t="str">
        <f>IFERROR(VLOOKUP($A43, Ledger!$B$2:$L$8, 6, 0),"")</f>
        <v/>
      </c>
      <c r="F43" t="str">
        <f>IFERROR(VLOOKUP($A43,'Student Data'!$A$2:$AR$6,32,0),"")</f>
        <v/>
      </c>
      <c r="G43" t="str">
        <f>IFERROR(VLOOKUP($A43,'Student Data'!$A$2:$AR$6,33,0),"")</f>
        <v/>
      </c>
      <c r="H43" t="str">
        <f>IFERROR(VLOOKUP($A43,'Student Data'!$A$2:$AR$6,34,0),"")</f>
        <v/>
      </c>
      <c r="I43" t="str">
        <f>IFERROR(VLOOKUP($A43,'Student Data'!$A$2:$AR$6,35,0),"")</f>
        <v/>
      </c>
      <c r="J43" t="str">
        <f>IFERROR(VLOOKUP($A43,'Student Data'!$A$2:$AR$6,36,0),"")</f>
        <v/>
      </c>
      <c r="K43" t="str">
        <f t="shared" si="0"/>
        <v/>
      </c>
      <c r="L43" t="str">
        <f t="shared" si="1"/>
        <v/>
      </c>
      <c r="M43" t="str">
        <f>IFERROR(IF($C43="","",SUMIFS(Ledger!$K$2:$K$4, Ledger!$B$2:$B$4, $A43, Ledger!$C$2:$C$4, M$2)),"****")</f>
        <v/>
      </c>
      <c r="N43" t="str">
        <f>IFERROR(IF($C43="","",SUMIFS(Ledger!$K$2:$K$4, Ledger!$B$2:$B$4, $A43, Ledger!$C$2:$C$4, N$2)),"****")</f>
        <v/>
      </c>
      <c r="O43" t="str">
        <f>IFERROR(IF($C43="","",SUMIFS(Ledger!$K$2:$K$4, Ledger!$B$2:$B$4, $A43, Ledger!$C$2:$C$4, O$2)),"****")</f>
        <v/>
      </c>
      <c r="P43" t="str">
        <f>IFERROR(IF($C43="","",SUMIFS(Ledger!$K$2:$K$4, Ledger!$B$2:$B$4, $A43, Ledger!$C$2:$C$4, P$2)),"****")</f>
        <v/>
      </c>
      <c r="Q43" t="str">
        <f>IFERROR(IF($C43="","",SUMIFS(Ledger!$K$2:$K$4, Ledger!$B$2:$B$4, $A43, Ledger!$C$2:$C$4, Q$2)),"****")</f>
        <v/>
      </c>
      <c r="R43" t="str">
        <f>IFERROR(IF($C43="","",SUMIFS(Ledger!$K$2:$K$4, Ledger!$B$2:$B$4, $A43, Ledger!$C$2:$C$4, R$2)),"****")</f>
        <v/>
      </c>
      <c r="S43" t="str">
        <f>IFERROR(IF($C43="","",SUMIFS(Ledger!$K$2:$K$4, Ledger!$B$2:$B$4, $A43, Ledger!$C$2:$C$4, S$2)),"****")</f>
        <v/>
      </c>
      <c r="T43" t="str">
        <f>IFERROR(IF($C43="","",SUMIFS(Ledger!$K$2:$K$4, Ledger!$B$2:$B$4, $A43, Ledger!$C$2:$C$4, T$2)),"****")</f>
        <v/>
      </c>
      <c r="U43" t="str">
        <f>IFERROR(IF($C43="","",SUMIFS(Ledger!$K$2:$K$4, Ledger!$B$2:$B$4, $A43, Ledger!$C$2:$C$4, U$2)),"****")</f>
        <v/>
      </c>
      <c r="V43" t="str">
        <f>IFERROR(IF($C43="","",SUMIFS(Ledger!$K$2:$K$4, Ledger!$B$2:$B$4, $A43, Ledger!$C$2:$C$4, V$2)),"****")</f>
        <v/>
      </c>
      <c r="W43" t="str">
        <f>IFERROR(IF($C43="","",SUMIFS(Ledger!$K$2:$K$4, Ledger!$B$2:$B$4, $A43, Ledger!$C$2:$C$4, W$2)),"****")</f>
        <v/>
      </c>
      <c r="X43" t="str">
        <f>IFERROR(IF($C43="","",SUMIFS(Ledger!$K$2:$K$4, Ledger!$B$2:$B$4, $A43, Ledger!$C$2:$C$4, X$2)),"****")</f>
        <v/>
      </c>
    </row>
    <row r="44" spans="1:24" x14ac:dyDescent="0.3">
      <c r="A44" s="106">
        <v>42</v>
      </c>
      <c r="B44" t="str">
        <f>IFERROR(VLOOKUP($A44, Ledger!$B$2:$L$8, 3, 0),"")</f>
        <v/>
      </c>
      <c r="C44" t="str">
        <f>IFERROR(VLOOKUP($A44, Ledger!$B$2:$L$8, 4, 0),"")</f>
        <v/>
      </c>
      <c r="D44" t="str">
        <f>IFERROR(VLOOKUP($A44, Ledger!$B$2:$L$8, 5, 0),"")</f>
        <v/>
      </c>
      <c r="E44" t="str">
        <f>IFERROR(VLOOKUP($A44, Ledger!$B$2:$L$8, 6, 0),"")</f>
        <v/>
      </c>
      <c r="F44" t="str">
        <f>IFERROR(VLOOKUP($A44,'Student Data'!$A$2:$AR$6,32,0),"")</f>
        <v/>
      </c>
      <c r="G44" t="str">
        <f>IFERROR(VLOOKUP($A44,'Student Data'!$A$2:$AR$6,33,0),"")</f>
        <v/>
      </c>
      <c r="H44" t="str">
        <f>IFERROR(VLOOKUP($A44,'Student Data'!$A$2:$AR$6,34,0),"")</f>
        <v/>
      </c>
      <c r="I44" t="str">
        <f>IFERROR(VLOOKUP($A44,'Student Data'!$A$2:$AR$6,35,0),"")</f>
        <v/>
      </c>
      <c r="J44" t="str">
        <f>IFERROR(VLOOKUP($A44,'Student Data'!$A$2:$AR$6,36,0),"")</f>
        <v/>
      </c>
      <c r="K44" t="str">
        <f t="shared" si="0"/>
        <v/>
      </c>
      <c r="L44" t="str">
        <f t="shared" si="1"/>
        <v/>
      </c>
      <c r="M44" t="str">
        <f>IFERROR(IF($C44="","",SUMIFS(Ledger!$K$2:$K$4, Ledger!$B$2:$B$4, $A44, Ledger!$C$2:$C$4, M$2)),"****")</f>
        <v/>
      </c>
      <c r="N44" t="str">
        <f>IFERROR(IF($C44="","",SUMIFS(Ledger!$K$2:$K$4, Ledger!$B$2:$B$4, $A44, Ledger!$C$2:$C$4, N$2)),"****")</f>
        <v/>
      </c>
      <c r="O44" t="str">
        <f>IFERROR(IF($C44="","",SUMIFS(Ledger!$K$2:$K$4, Ledger!$B$2:$B$4, $A44, Ledger!$C$2:$C$4, O$2)),"****")</f>
        <v/>
      </c>
      <c r="P44" t="str">
        <f>IFERROR(IF($C44="","",SUMIFS(Ledger!$K$2:$K$4, Ledger!$B$2:$B$4, $A44, Ledger!$C$2:$C$4, P$2)),"****")</f>
        <v/>
      </c>
      <c r="Q44" t="str">
        <f>IFERROR(IF($C44="","",SUMIFS(Ledger!$K$2:$K$4, Ledger!$B$2:$B$4, $A44, Ledger!$C$2:$C$4, Q$2)),"****")</f>
        <v/>
      </c>
      <c r="R44" t="str">
        <f>IFERROR(IF($C44="","",SUMIFS(Ledger!$K$2:$K$4, Ledger!$B$2:$B$4, $A44, Ledger!$C$2:$C$4, R$2)),"****")</f>
        <v/>
      </c>
      <c r="S44" t="str">
        <f>IFERROR(IF($C44="","",SUMIFS(Ledger!$K$2:$K$4, Ledger!$B$2:$B$4, $A44, Ledger!$C$2:$C$4, S$2)),"****")</f>
        <v/>
      </c>
      <c r="T44" t="str">
        <f>IFERROR(IF($C44="","",SUMIFS(Ledger!$K$2:$K$4, Ledger!$B$2:$B$4, $A44, Ledger!$C$2:$C$4, T$2)),"****")</f>
        <v/>
      </c>
      <c r="U44" t="str">
        <f>IFERROR(IF($C44="","",SUMIFS(Ledger!$K$2:$K$4, Ledger!$B$2:$B$4, $A44, Ledger!$C$2:$C$4, U$2)),"****")</f>
        <v/>
      </c>
      <c r="V44" t="str">
        <f>IFERROR(IF($C44="","",SUMIFS(Ledger!$K$2:$K$4, Ledger!$B$2:$B$4, $A44, Ledger!$C$2:$C$4, V$2)),"****")</f>
        <v/>
      </c>
      <c r="W44" t="str">
        <f>IFERROR(IF($C44="","",SUMIFS(Ledger!$K$2:$K$4, Ledger!$B$2:$B$4, $A44, Ledger!$C$2:$C$4, W$2)),"****")</f>
        <v/>
      </c>
      <c r="X44" t="str">
        <f>IFERROR(IF($C44="","",SUMIFS(Ledger!$K$2:$K$4, Ledger!$B$2:$B$4, $A44, Ledger!$C$2:$C$4, X$2)),"****")</f>
        <v/>
      </c>
    </row>
    <row r="45" spans="1:24" x14ac:dyDescent="0.3">
      <c r="A45" s="106">
        <v>43</v>
      </c>
      <c r="B45" t="str">
        <f>IFERROR(VLOOKUP($A45, Ledger!$B$2:$L$8, 3, 0),"")</f>
        <v/>
      </c>
      <c r="C45" t="str">
        <f>IFERROR(VLOOKUP($A45, Ledger!$B$2:$L$8, 4, 0),"")</f>
        <v/>
      </c>
      <c r="D45" t="str">
        <f>IFERROR(VLOOKUP($A45, Ledger!$B$2:$L$8, 5, 0),"")</f>
        <v/>
      </c>
      <c r="E45" t="str">
        <f>IFERROR(VLOOKUP($A45, Ledger!$B$2:$L$8, 6, 0),"")</f>
        <v/>
      </c>
      <c r="F45" t="str">
        <f>IFERROR(VLOOKUP($A45,'Student Data'!$A$2:$AR$6,32,0),"")</f>
        <v/>
      </c>
      <c r="G45" t="str">
        <f>IFERROR(VLOOKUP($A45,'Student Data'!$A$2:$AR$6,33,0),"")</f>
        <v/>
      </c>
      <c r="H45" t="str">
        <f>IFERROR(VLOOKUP($A45,'Student Data'!$A$2:$AR$6,34,0),"")</f>
        <v/>
      </c>
      <c r="I45" t="str">
        <f>IFERROR(VLOOKUP($A45,'Student Data'!$A$2:$AR$6,35,0),"")</f>
        <v/>
      </c>
      <c r="J45" t="str">
        <f>IFERROR(VLOOKUP($A45,'Student Data'!$A$2:$AR$6,36,0),"")</f>
        <v/>
      </c>
      <c r="K45" t="str">
        <f t="shared" si="0"/>
        <v/>
      </c>
      <c r="L45" t="str">
        <f t="shared" si="1"/>
        <v/>
      </c>
      <c r="M45" t="str">
        <f>IFERROR(IF($C45="","",SUMIFS(Ledger!$K$2:$K$4, Ledger!$B$2:$B$4, $A45, Ledger!$C$2:$C$4, M$2)),"****")</f>
        <v/>
      </c>
      <c r="N45" t="str">
        <f>IFERROR(IF($C45="","",SUMIFS(Ledger!$K$2:$K$4, Ledger!$B$2:$B$4, $A45, Ledger!$C$2:$C$4, N$2)),"****")</f>
        <v/>
      </c>
      <c r="O45" t="str">
        <f>IFERROR(IF($C45="","",SUMIFS(Ledger!$K$2:$K$4, Ledger!$B$2:$B$4, $A45, Ledger!$C$2:$C$4, O$2)),"****")</f>
        <v/>
      </c>
      <c r="P45" t="str">
        <f>IFERROR(IF($C45="","",SUMIFS(Ledger!$K$2:$K$4, Ledger!$B$2:$B$4, $A45, Ledger!$C$2:$C$4, P$2)),"****")</f>
        <v/>
      </c>
      <c r="Q45" t="str">
        <f>IFERROR(IF($C45="","",SUMIFS(Ledger!$K$2:$K$4, Ledger!$B$2:$B$4, $A45, Ledger!$C$2:$C$4, Q$2)),"****")</f>
        <v/>
      </c>
      <c r="R45" t="str">
        <f>IFERROR(IF($C45="","",SUMIFS(Ledger!$K$2:$K$4, Ledger!$B$2:$B$4, $A45, Ledger!$C$2:$C$4, R$2)),"****")</f>
        <v/>
      </c>
      <c r="S45" t="str">
        <f>IFERROR(IF($C45="","",SUMIFS(Ledger!$K$2:$K$4, Ledger!$B$2:$B$4, $A45, Ledger!$C$2:$C$4, S$2)),"****")</f>
        <v/>
      </c>
      <c r="T45" t="str">
        <f>IFERROR(IF($C45="","",SUMIFS(Ledger!$K$2:$K$4, Ledger!$B$2:$B$4, $A45, Ledger!$C$2:$C$4, T$2)),"****")</f>
        <v/>
      </c>
      <c r="U45" t="str">
        <f>IFERROR(IF($C45="","",SUMIFS(Ledger!$K$2:$K$4, Ledger!$B$2:$B$4, $A45, Ledger!$C$2:$C$4, U$2)),"****")</f>
        <v/>
      </c>
      <c r="V45" t="str">
        <f>IFERROR(IF($C45="","",SUMIFS(Ledger!$K$2:$K$4, Ledger!$B$2:$B$4, $A45, Ledger!$C$2:$C$4, V$2)),"****")</f>
        <v/>
      </c>
      <c r="W45" t="str">
        <f>IFERROR(IF($C45="","",SUMIFS(Ledger!$K$2:$K$4, Ledger!$B$2:$B$4, $A45, Ledger!$C$2:$C$4, W$2)),"****")</f>
        <v/>
      </c>
      <c r="X45" t="str">
        <f>IFERROR(IF($C45="","",SUMIFS(Ledger!$K$2:$K$4, Ledger!$B$2:$B$4, $A45, Ledger!$C$2:$C$4, X$2)),"****")</f>
        <v/>
      </c>
    </row>
    <row r="46" spans="1:24" x14ac:dyDescent="0.3">
      <c r="A46" s="106">
        <v>44</v>
      </c>
      <c r="B46" t="str">
        <f>IFERROR(VLOOKUP($A46, Ledger!$B$2:$L$8, 3, 0),"")</f>
        <v/>
      </c>
      <c r="C46" t="str">
        <f>IFERROR(VLOOKUP($A46, Ledger!$B$2:$L$8, 4, 0),"")</f>
        <v/>
      </c>
      <c r="D46" t="str">
        <f>IFERROR(VLOOKUP($A46, Ledger!$B$2:$L$8, 5, 0),"")</f>
        <v/>
      </c>
      <c r="E46" t="str">
        <f>IFERROR(VLOOKUP($A46, Ledger!$B$2:$L$8, 6, 0),"")</f>
        <v/>
      </c>
      <c r="F46" t="str">
        <f>IFERROR(VLOOKUP($A46,'Student Data'!$A$2:$AR$6,32,0),"")</f>
        <v/>
      </c>
      <c r="G46" t="str">
        <f>IFERROR(VLOOKUP($A46,'Student Data'!$A$2:$AR$6,33,0),"")</f>
        <v/>
      </c>
      <c r="H46" t="str">
        <f>IFERROR(VLOOKUP($A46,'Student Data'!$A$2:$AR$6,34,0),"")</f>
        <v/>
      </c>
      <c r="I46" t="str">
        <f>IFERROR(VLOOKUP($A46,'Student Data'!$A$2:$AR$6,35,0),"")</f>
        <v/>
      </c>
      <c r="J46" t="str">
        <f>IFERROR(VLOOKUP($A46,'Student Data'!$A$2:$AR$6,36,0),"")</f>
        <v/>
      </c>
      <c r="K46" t="str">
        <f t="shared" si="0"/>
        <v/>
      </c>
      <c r="L46" t="str">
        <f t="shared" si="1"/>
        <v/>
      </c>
      <c r="M46" t="str">
        <f>IFERROR(IF($C46="","",SUMIFS(Ledger!$K$2:$K$4, Ledger!$B$2:$B$4, $A46, Ledger!$C$2:$C$4, M$2)),"****")</f>
        <v/>
      </c>
      <c r="N46" t="str">
        <f>IFERROR(IF($C46="","",SUMIFS(Ledger!$K$2:$K$4, Ledger!$B$2:$B$4, $A46, Ledger!$C$2:$C$4, N$2)),"****")</f>
        <v/>
      </c>
      <c r="O46" t="str">
        <f>IFERROR(IF($C46="","",SUMIFS(Ledger!$K$2:$K$4, Ledger!$B$2:$B$4, $A46, Ledger!$C$2:$C$4, O$2)),"****")</f>
        <v/>
      </c>
      <c r="P46" t="str">
        <f>IFERROR(IF($C46="","",SUMIFS(Ledger!$K$2:$K$4, Ledger!$B$2:$B$4, $A46, Ledger!$C$2:$C$4, P$2)),"****")</f>
        <v/>
      </c>
      <c r="Q46" t="str">
        <f>IFERROR(IF($C46="","",SUMIFS(Ledger!$K$2:$K$4, Ledger!$B$2:$B$4, $A46, Ledger!$C$2:$C$4, Q$2)),"****")</f>
        <v/>
      </c>
      <c r="R46" t="str">
        <f>IFERROR(IF($C46="","",SUMIFS(Ledger!$K$2:$K$4, Ledger!$B$2:$B$4, $A46, Ledger!$C$2:$C$4, R$2)),"****")</f>
        <v/>
      </c>
      <c r="S46" t="str">
        <f>IFERROR(IF($C46="","",SUMIFS(Ledger!$K$2:$K$4, Ledger!$B$2:$B$4, $A46, Ledger!$C$2:$C$4, S$2)),"****")</f>
        <v/>
      </c>
      <c r="T46" t="str">
        <f>IFERROR(IF($C46="","",SUMIFS(Ledger!$K$2:$K$4, Ledger!$B$2:$B$4, $A46, Ledger!$C$2:$C$4, T$2)),"****")</f>
        <v/>
      </c>
      <c r="U46" t="str">
        <f>IFERROR(IF($C46="","",SUMIFS(Ledger!$K$2:$K$4, Ledger!$B$2:$B$4, $A46, Ledger!$C$2:$C$4, U$2)),"****")</f>
        <v/>
      </c>
      <c r="V46" t="str">
        <f>IFERROR(IF($C46="","",SUMIFS(Ledger!$K$2:$K$4, Ledger!$B$2:$B$4, $A46, Ledger!$C$2:$C$4, V$2)),"****")</f>
        <v/>
      </c>
      <c r="W46" t="str">
        <f>IFERROR(IF($C46="","",SUMIFS(Ledger!$K$2:$K$4, Ledger!$B$2:$B$4, $A46, Ledger!$C$2:$C$4, W$2)),"****")</f>
        <v/>
      </c>
      <c r="X46" t="str">
        <f>IFERROR(IF($C46="","",SUMIFS(Ledger!$K$2:$K$4, Ledger!$B$2:$B$4, $A46, Ledger!$C$2:$C$4, X$2)),"****")</f>
        <v/>
      </c>
    </row>
    <row r="47" spans="1:24" x14ac:dyDescent="0.3">
      <c r="A47" s="106">
        <v>45</v>
      </c>
      <c r="B47" t="str">
        <f>IFERROR(VLOOKUP($A47, Ledger!$B$2:$L$8, 3, 0),"")</f>
        <v/>
      </c>
      <c r="C47" t="str">
        <f>IFERROR(VLOOKUP($A47, Ledger!$B$2:$L$8, 4, 0),"")</f>
        <v/>
      </c>
      <c r="D47" t="str">
        <f>IFERROR(VLOOKUP($A47, Ledger!$B$2:$L$8, 5, 0),"")</f>
        <v/>
      </c>
      <c r="E47" t="str">
        <f>IFERROR(VLOOKUP($A47, Ledger!$B$2:$L$8, 6, 0),"")</f>
        <v/>
      </c>
      <c r="F47" t="str">
        <f>IFERROR(VLOOKUP($A47,'Student Data'!$A$2:$AR$6,32,0),"")</f>
        <v/>
      </c>
      <c r="G47" t="str">
        <f>IFERROR(VLOOKUP($A47,'Student Data'!$A$2:$AR$6,33,0),"")</f>
        <v/>
      </c>
      <c r="H47" t="str">
        <f>IFERROR(VLOOKUP($A47,'Student Data'!$A$2:$AR$6,34,0),"")</f>
        <v/>
      </c>
      <c r="I47" t="str">
        <f>IFERROR(VLOOKUP($A47,'Student Data'!$A$2:$AR$6,35,0),"")</f>
        <v/>
      </c>
      <c r="J47" t="str">
        <f>IFERROR(VLOOKUP($A47,'Student Data'!$A$2:$AR$6,36,0),"")</f>
        <v/>
      </c>
      <c r="K47" t="str">
        <f t="shared" si="0"/>
        <v/>
      </c>
      <c r="L47" t="str">
        <f t="shared" si="1"/>
        <v/>
      </c>
      <c r="M47" t="str">
        <f>IFERROR(IF($C47="","",SUMIFS(Ledger!$K$2:$K$4, Ledger!$B$2:$B$4, $A47, Ledger!$C$2:$C$4, M$2)),"****")</f>
        <v/>
      </c>
      <c r="N47" t="str">
        <f>IFERROR(IF($C47="","",SUMIFS(Ledger!$K$2:$K$4, Ledger!$B$2:$B$4, $A47, Ledger!$C$2:$C$4, N$2)),"****")</f>
        <v/>
      </c>
      <c r="O47" t="str">
        <f>IFERROR(IF($C47="","",SUMIFS(Ledger!$K$2:$K$4, Ledger!$B$2:$B$4, $A47, Ledger!$C$2:$C$4, O$2)),"****")</f>
        <v/>
      </c>
      <c r="P47" t="str">
        <f>IFERROR(IF($C47="","",SUMIFS(Ledger!$K$2:$K$4, Ledger!$B$2:$B$4, $A47, Ledger!$C$2:$C$4, P$2)),"****")</f>
        <v/>
      </c>
      <c r="Q47" t="str">
        <f>IFERROR(IF($C47="","",SUMIFS(Ledger!$K$2:$K$4, Ledger!$B$2:$B$4, $A47, Ledger!$C$2:$C$4, Q$2)),"****")</f>
        <v/>
      </c>
      <c r="R47" t="str">
        <f>IFERROR(IF($C47="","",SUMIFS(Ledger!$K$2:$K$4, Ledger!$B$2:$B$4, $A47, Ledger!$C$2:$C$4, R$2)),"****")</f>
        <v/>
      </c>
      <c r="S47" t="str">
        <f>IFERROR(IF($C47="","",SUMIFS(Ledger!$K$2:$K$4, Ledger!$B$2:$B$4, $A47, Ledger!$C$2:$C$4, S$2)),"****")</f>
        <v/>
      </c>
      <c r="T47" t="str">
        <f>IFERROR(IF($C47="","",SUMIFS(Ledger!$K$2:$K$4, Ledger!$B$2:$B$4, $A47, Ledger!$C$2:$C$4, T$2)),"****")</f>
        <v/>
      </c>
      <c r="U47" t="str">
        <f>IFERROR(IF($C47="","",SUMIFS(Ledger!$K$2:$K$4, Ledger!$B$2:$B$4, $A47, Ledger!$C$2:$C$4, U$2)),"****")</f>
        <v/>
      </c>
      <c r="V47" t="str">
        <f>IFERROR(IF($C47="","",SUMIFS(Ledger!$K$2:$K$4, Ledger!$B$2:$B$4, $A47, Ledger!$C$2:$C$4, V$2)),"****")</f>
        <v/>
      </c>
      <c r="W47" t="str">
        <f>IFERROR(IF($C47="","",SUMIFS(Ledger!$K$2:$K$4, Ledger!$B$2:$B$4, $A47, Ledger!$C$2:$C$4, W$2)),"****")</f>
        <v/>
      </c>
      <c r="X47" t="str">
        <f>IFERROR(IF($C47="","",SUMIFS(Ledger!$K$2:$K$4, Ledger!$B$2:$B$4, $A47, Ledger!$C$2:$C$4, X$2)),"****")</f>
        <v/>
      </c>
    </row>
    <row r="48" spans="1:24" x14ac:dyDescent="0.3">
      <c r="A48" s="106">
        <v>46</v>
      </c>
      <c r="B48" t="str">
        <f>IFERROR(VLOOKUP($A48, Ledger!$B$2:$L$8, 3, 0),"")</f>
        <v/>
      </c>
      <c r="C48" t="str">
        <f>IFERROR(VLOOKUP($A48, Ledger!$B$2:$L$8, 4, 0),"")</f>
        <v/>
      </c>
      <c r="D48" t="str">
        <f>IFERROR(VLOOKUP($A48, Ledger!$B$2:$L$8, 5, 0),"")</f>
        <v/>
      </c>
      <c r="E48" t="str">
        <f>IFERROR(VLOOKUP($A48, Ledger!$B$2:$L$8, 6, 0),"")</f>
        <v/>
      </c>
      <c r="F48" t="str">
        <f>IFERROR(VLOOKUP($A48,'Student Data'!$A$2:$AR$6,32,0),"")</f>
        <v/>
      </c>
      <c r="G48" t="str">
        <f>IFERROR(VLOOKUP($A48,'Student Data'!$A$2:$AR$6,33,0),"")</f>
        <v/>
      </c>
      <c r="H48" t="str">
        <f>IFERROR(VLOOKUP($A48,'Student Data'!$A$2:$AR$6,34,0),"")</f>
        <v/>
      </c>
      <c r="I48" t="str">
        <f>IFERROR(VLOOKUP($A48,'Student Data'!$A$2:$AR$6,35,0),"")</f>
        <v/>
      </c>
      <c r="J48" t="str">
        <f>IFERROR(VLOOKUP($A48,'Student Data'!$A$2:$AR$6,36,0),"")</f>
        <v/>
      </c>
      <c r="K48" t="str">
        <f t="shared" si="0"/>
        <v/>
      </c>
      <c r="L48" t="str">
        <f t="shared" si="1"/>
        <v/>
      </c>
      <c r="M48" t="str">
        <f>IFERROR(IF($C48="","",SUMIFS(Ledger!$K$2:$K$4, Ledger!$B$2:$B$4, $A48, Ledger!$C$2:$C$4, M$2)),"****")</f>
        <v/>
      </c>
      <c r="N48" t="str">
        <f>IFERROR(IF($C48="","",SUMIFS(Ledger!$K$2:$K$4, Ledger!$B$2:$B$4, $A48, Ledger!$C$2:$C$4, N$2)),"****")</f>
        <v/>
      </c>
      <c r="O48" t="str">
        <f>IFERROR(IF($C48="","",SUMIFS(Ledger!$K$2:$K$4, Ledger!$B$2:$B$4, $A48, Ledger!$C$2:$C$4, O$2)),"****")</f>
        <v/>
      </c>
      <c r="P48" t="str">
        <f>IFERROR(IF($C48="","",SUMIFS(Ledger!$K$2:$K$4, Ledger!$B$2:$B$4, $A48, Ledger!$C$2:$C$4, P$2)),"****")</f>
        <v/>
      </c>
      <c r="Q48" t="str">
        <f>IFERROR(IF($C48="","",SUMIFS(Ledger!$K$2:$K$4, Ledger!$B$2:$B$4, $A48, Ledger!$C$2:$C$4, Q$2)),"****")</f>
        <v/>
      </c>
      <c r="R48" t="str">
        <f>IFERROR(IF($C48="","",SUMIFS(Ledger!$K$2:$K$4, Ledger!$B$2:$B$4, $A48, Ledger!$C$2:$C$4, R$2)),"****")</f>
        <v/>
      </c>
      <c r="S48" t="str">
        <f>IFERROR(IF($C48="","",SUMIFS(Ledger!$K$2:$K$4, Ledger!$B$2:$B$4, $A48, Ledger!$C$2:$C$4, S$2)),"****")</f>
        <v/>
      </c>
      <c r="T48" t="str">
        <f>IFERROR(IF($C48="","",SUMIFS(Ledger!$K$2:$K$4, Ledger!$B$2:$B$4, $A48, Ledger!$C$2:$C$4, T$2)),"****")</f>
        <v/>
      </c>
      <c r="U48" t="str">
        <f>IFERROR(IF($C48="","",SUMIFS(Ledger!$K$2:$K$4, Ledger!$B$2:$B$4, $A48, Ledger!$C$2:$C$4, U$2)),"****")</f>
        <v/>
      </c>
      <c r="V48" t="str">
        <f>IFERROR(IF($C48="","",SUMIFS(Ledger!$K$2:$K$4, Ledger!$B$2:$B$4, $A48, Ledger!$C$2:$C$4, V$2)),"****")</f>
        <v/>
      </c>
      <c r="W48" t="str">
        <f>IFERROR(IF($C48="","",SUMIFS(Ledger!$K$2:$K$4, Ledger!$B$2:$B$4, $A48, Ledger!$C$2:$C$4, W$2)),"****")</f>
        <v/>
      </c>
      <c r="X48" t="str">
        <f>IFERROR(IF($C48="","",SUMIFS(Ledger!$K$2:$K$4, Ledger!$B$2:$B$4, $A48, Ledger!$C$2:$C$4, X$2)),"****")</f>
        <v/>
      </c>
    </row>
    <row r="49" spans="1:24" x14ac:dyDescent="0.3">
      <c r="A49" s="106">
        <v>47</v>
      </c>
      <c r="B49" t="str">
        <f>IFERROR(VLOOKUP($A49, Ledger!$B$2:$L$8, 3, 0),"")</f>
        <v/>
      </c>
      <c r="C49" t="str">
        <f>IFERROR(VLOOKUP($A49, Ledger!$B$2:$L$8, 4, 0),"")</f>
        <v/>
      </c>
      <c r="D49" t="str">
        <f>IFERROR(VLOOKUP($A49, Ledger!$B$2:$L$8, 5, 0),"")</f>
        <v/>
      </c>
      <c r="E49" t="str">
        <f>IFERROR(VLOOKUP($A49, Ledger!$B$2:$L$8, 6, 0),"")</f>
        <v/>
      </c>
      <c r="F49" t="str">
        <f>IFERROR(VLOOKUP($A49,'Student Data'!$A$2:$AR$6,32,0),"")</f>
        <v/>
      </c>
      <c r="G49" t="str">
        <f>IFERROR(VLOOKUP($A49,'Student Data'!$A$2:$AR$6,33,0),"")</f>
        <v/>
      </c>
      <c r="H49" t="str">
        <f>IFERROR(VLOOKUP($A49,'Student Data'!$A$2:$AR$6,34,0),"")</f>
        <v/>
      </c>
      <c r="I49" t="str">
        <f>IFERROR(VLOOKUP($A49,'Student Data'!$A$2:$AR$6,35,0),"")</f>
        <v/>
      </c>
      <c r="J49" t="str">
        <f>IFERROR(VLOOKUP($A49,'Student Data'!$A$2:$AR$6,36,0),"")</f>
        <v/>
      </c>
      <c r="K49" t="str">
        <f t="shared" si="0"/>
        <v/>
      </c>
      <c r="L49" t="str">
        <f t="shared" si="1"/>
        <v/>
      </c>
      <c r="M49" t="str">
        <f>IFERROR(IF($C49="","",SUMIFS(Ledger!$K$2:$K$4, Ledger!$B$2:$B$4, $A49, Ledger!$C$2:$C$4, M$2)),"****")</f>
        <v/>
      </c>
      <c r="N49" t="str">
        <f>IFERROR(IF($C49="","",SUMIFS(Ledger!$K$2:$K$4, Ledger!$B$2:$B$4, $A49, Ledger!$C$2:$C$4, N$2)),"****")</f>
        <v/>
      </c>
      <c r="O49" t="str">
        <f>IFERROR(IF($C49="","",SUMIFS(Ledger!$K$2:$K$4, Ledger!$B$2:$B$4, $A49, Ledger!$C$2:$C$4, O$2)),"****")</f>
        <v/>
      </c>
      <c r="P49" t="str">
        <f>IFERROR(IF($C49="","",SUMIFS(Ledger!$K$2:$K$4, Ledger!$B$2:$B$4, $A49, Ledger!$C$2:$C$4, P$2)),"****")</f>
        <v/>
      </c>
      <c r="Q49" t="str">
        <f>IFERROR(IF($C49="","",SUMIFS(Ledger!$K$2:$K$4, Ledger!$B$2:$B$4, $A49, Ledger!$C$2:$C$4, Q$2)),"****")</f>
        <v/>
      </c>
      <c r="R49" t="str">
        <f>IFERROR(IF($C49="","",SUMIFS(Ledger!$K$2:$K$4, Ledger!$B$2:$B$4, $A49, Ledger!$C$2:$C$4, R$2)),"****")</f>
        <v/>
      </c>
      <c r="S49" t="str">
        <f>IFERROR(IF($C49="","",SUMIFS(Ledger!$K$2:$K$4, Ledger!$B$2:$B$4, $A49, Ledger!$C$2:$C$4, S$2)),"****")</f>
        <v/>
      </c>
      <c r="T49" t="str">
        <f>IFERROR(IF($C49="","",SUMIFS(Ledger!$K$2:$K$4, Ledger!$B$2:$B$4, $A49, Ledger!$C$2:$C$4, T$2)),"****")</f>
        <v/>
      </c>
      <c r="U49" t="str">
        <f>IFERROR(IF($C49="","",SUMIFS(Ledger!$K$2:$K$4, Ledger!$B$2:$B$4, $A49, Ledger!$C$2:$C$4, U$2)),"****")</f>
        <v/>
      </c>
      <c r="V49" t="str">
        <f>IFERROR(IF($C49="","",SUMIFS(Ledger!$K$2:$K$4, Ledger!$B$2:$B$4, $A49, Ledger!$C$2:$C$4, V$2)),"****")</f>
        <v/>
      </c>
      <c r="W49" t="str">
        <f>IFERROR(IF($C49="","",SUMIFS(Ledger!$K$2:$K$4, Ledger!$B$2:$B$4, $A49, Ledger!$C$2:$C$4, W$2)),"****")</f>
        <v/>
      </c>
      <c r="X49" t="str">
        <f>IFERROR(IF($C49="","",SUMIFS(Ledger!$K$2:$K$4, Ledger!$B$2:$B$4, $A49, Ledger!$C$2:$C$4, X$2)),"****")</f>
        <v/>
      </c>
    </row>
    <row r="50" spans="1:24" x14ac:dyDescent="0.3">
      <c r="A50" s="106">
        <v>48</v>
      </c>
      <c r="B50" t="str">
        <f>IFERROR(VLOOKUP($A50, Ledger!$B$2:$L$8, 3, 0),"")</f>
        <v/>
      </c>
      <c r="C50" t="str">
        <f>IFERROR(VLOOKUP($A50, Ledger!$B$2:$L$8, 4, 0),"")</f>
        <v/>
      </c>
      <c r="D50" t="str">
        <f>IFERROR(VLOOKUP($A50, Ledger!$B$2:$L$8, 5, 0),"")</f>
        <v/>
      </c>
      <c r="E50" t="str">
        <f>IFERROR(VLOOKUP($A50, Ledger!$B$2:$L$8, 6, 0),"")</f>
        <v/>
      </c>
      <c r="F50" t="str">
        <f>IFERROR(VLOOKUP($A50,'Student Data'!$A$2:$AR$6,32,0),"")</f>
        <v/>
      </c>
      <c r="G50" t="str">
        <f>IFERROR(VLOOKUP($A50,'Student Data'!$A$2:$AR$6,33,0),"")</f>
        <v/>
      </c>
      <c r="H50" t="str">
        <f>IFERROR(VLOOKUP($A50,'Student Data'!$A$2:$AR$6,34,0),"")</f>
        <v/>
      </c>
      <c r="I50" t="str">
        <f>IFERROR(VLOOKUP($A50,'Student Data'!$A$2:$AR$6,35,0),"")</f>
        <v/>
      </c>
      <c r="J50" t="str">
        <f>IFERROR(VLOOKUP($A50,'Student Data'!$A$2:$AR$6,36,0),"")</f>
        <v/>
      </c>
      <c r="K50" t="str">
        <f t="shared" si="0"/>
        <v/>
      </c>
      <c r="L50" t="str">
        <f t="shared" si="1"/>
        <v/>
      </c>
      <c r="M50" t="str">
        <f>IFERROR(IF($C50="","",SUMIFS(Ledger!$K$2:$K$4, Ledger!$B$2:$B$4, $A50, Ledger!$C$2:$C$4, M$2)),"****")</f>
        <v/>
      </c>
      <c r="N50" t="str">
        <f>IFERROR(IF($C50="","",SUMIFS(Ledger!$K$2:$K$4, Ledger!$B$2:$B$4, $A50, Ledger!$C$2:$C$4, N$2)),"****")</f>
        <v/>
      </c>
      <c r="O50" t="str">
        <f>IFERROR(IF($C50="","",SUMIFS(Ledger!$K$2:$K$4, Ledger!$B$2:$B$4, $A50, Ledger!$C$2:$C$4, O$2)),"****")</f>
        <v/>
      </c>
      <c r="P50" t="str">
        <f>IFERROR(IF($C50="","",SUMIFS(Ledger!$K$2:$K$4, Ledger!$B$2:$B$4, $A50, Ledger!$C$2:$C$4, P$2)),"****")</f>
        <v/>
      </c>
      <c r="Q50" t="str">
        <f>IFERROR(IF($C50="","",SUMIFS(Ledger!$K$2:$K$4, Ledger!$B$2:$B$4, $A50, Ledger!$C$2:$C$4, Q$2)),"****")</f>
        <v/>
      </c>
      <c r="R50" t="str">
        <f>IFERROR(IF($C50="","",SUMIFS(Ledger!$K$2:$K$4, Ledger!$B$2:$B$4, $A50, Ledger!$C$2:$C$4, R$2)),"****")</f>
        <v/>
      </c>
      <c r="S50" t="str">
        <f>IFERROR(IF($C50="","",SUMIFS(Ledger!$K$2:$K$4, Ledger!$B$2:$B$4, $A50, Ledger!$C$2:$C$4, S$2)),"****")</f>
        <v/>
      </c>
      <c r="T50" t="str">
        <f>IFERROR(IF($C50="","",SUMIFS(Ledger!$K$2:$K$4, Ledger!$B$2:$B$4, $A50, Ledger!$C$2:$C$4, T$2)),"****")</f>
        <v/>
      </c>
      <c r="U50" t="str">
        <f>IFERROR(IF($C50="","",SUMIFS(Ledger!$K$2:$K$4, Ledger!$B$2:$B$4, $A50, Ledger!$C$2:$C$4, U$2)),"****")</f>
        <v/>
      </c>
      <c r="V50" t="str">
        <f>IFERROR(IF($C50="","",SUMIFS(Ledger!$K$2:$K$4, Ledger!$B$2:$B$4, $A50, Ledger!$C$2:$C$4, V$2)),"****")</f>
        <v/>
      </c>
      <c r="W50" t="str">
        <f>IFERROR(IF($C50="","",SUMIFS(Ledger!$K$2:$K$4, Ledger!$B$2:$B$4, $A50, Ledger!$C$2:$C$4, W$2)),"****")</f>
        <v/>
      </c>
      <c r="X50" t="str">
        <f>IFERROR(IF($C50="","",SUMIFS(Ledger!$K$2:$K$4, Ledger!$B$2:$B$4, $A50, Ledger!$C$2:$C$4, X$2)),"****")</f>
        <v/>
      </c>
    </row>
    <row r="51" spans="1:24" x14ac:dyDescent="0.3">
      <c r="A51" s="106">
        <v>49</v>
      </c>
      <c r="B51" t="str">
        <f>IFERROR(VLOOKUP($A51, Ledger!$B$2:$L$8, 3, 0),"")</f>
        <v/>
      </c>
      <c r="C51" t="str">
        <f>IFERROR(VLOOKUP($A51, Ledger!$B$2:$L$8, 4, 0),"")</f>
        <v/>
      </c>
      <c r="D51" t="str">
        <f>IFERROR(VLOOKUP($A51, Ledger!$B$2:$L$8, 5, 0),"")</f>
        <v/>
      </c>
      <c r="E51" t="str">
        <f>IFERROR(VLOOKUP($A51, Ledger!$B$2:$L$8, 6, 0),"")</f>
        <v/>
      </c>
      <c r="F51" t="str">
        <f>IFERROR(VLOOKUP($A51,'Student Data'!$A$2:$AR$6,32,0),"")</f>
        <v/>
      </c>
      <c r="G51" t="str">
        <f>IFERROR(VLOOKUP($A51,'Student Data'!$A$2:$AR$6,33,0),"")</f>
        <v/>
      </c>
      <c r="H51" t="str">
        <f>IFERROR(VLOOKUP($A51,'Student Data'!$A$2:$AR$6,34,0),"")</f>
        <v/>
      </c>
      <c r="I51" t="str">
        <f>IFERROR(VLOOKUP($A51,'Student Data'!$A$2:$AR$6,35,0),"")</f>
        <v/>
      </c>
      <c r="J51" t="str">
        <f>IFERROR(VLOOKUP($A51,'Student Data'!$A$2:$AR$6,36,0),"")</f>
        <v/>
      </c>
      <c r="K51" t="str">
        <f t="shared" si="0"/>
        <v/>
      </c>
      <c r="L51" t="str">
        <f t="shared" si="1"/>
        <v/>
      </c>
      <c r="M51" t="str">
        <f>IFERROR(IF($C51="","",SUMIFS(Ledger!$K$2:$K$4, Ledger!$B$2:$B$4, $A51, Ledger!$C$2:$C$4, M$2)),"****")</f>
        <v/>
      </c>
      <c r="N51" t="str">
        <f>IFERROR(IF($C51="","",SUMIFS(Ledger!$K$2:$K$4, Ledger!$B$2:$B$4, $A51, Ledger!$C$2:$C$4, N$2)),"****")</f>
        <v/>
      </c>
      <c r="O51" t="str">
        <f>IFERROR(IF($C51="","",SUMIFS(Ledger!$K$2:$K$4, Ledger!$B$2:$B$4, $A51, Ledger!$C$2:$C$4, O$2)),"****")</f>
        <v/>
      </c>
      <c r="P51" t="str">
        <f>IFERROR(IF($C51="","",SUMIFS(Ledger!$K$2:$K$4, Ledger!$B$2:$B$4, $A51, Ledger!$C$2:$C$4, P$2)),"****")</f>
        <v/>
      </c>
      <c r="Q51" t="str">
        <f>IFERROR(IF($C51="","",SUMIFS(Ledger!$K$2:$K$4, Ledger!$B$2:$B$4, $A51, Ledger!$C$2:$C$4, Q$2)),"****")</f>
        <v/>
      </c>
      <c r="R51" t="str">
        <f>IFERROR(IF($C51="","",SUMIFS(Ledger!$K$2:$K$4, Ledger!$B$2:$B$4, $A51, Ledger!$C$2:$C$4, R$2)),"****")</f>
        <v/>
      </c>
      <c r="S51" t="str">
        <f>IFERROR(IF($C51="","",SUMIFS(Ledger!$K$2:$K$4, Ledger!$B$2:$B$4, $A51, Ledger!$C$2:$C$4, S$2)),"****")</f>
        <v/>
      </c>
      <c r="T51" t="str">
        <f>IFERROR(IF($C51="","",SUMIFS(Ledger!$K$2:$K$4, Ledger!$B$2:$B$4, $A51, Ledger!$C$2:$C$4, T$2)),"****")</f>
        <v/>
      </c>
      <c r="U51" t="str">
        <f>IFERROR(IF($C51="","",SUMIFS(Ledger!$K$2:$K$4, Ledger!$B$2:$B$4, $A51, Ledger!$C$2:$C$4, U$2)),"****")</f>
        <v/>
      </c>
      <c r="V51" t="str">
        <f>IFERROR(IF($C51="","",SUMIFS(Ledger!$K$2:$K$4, Ledger!$B$2:$B$4, $A51, Ledger!$C$2:$C$4, V$2)),"****")</f>
        <v/>
      </c>
      <c r="W51" t="str">
        <f>IFERROR(IF($C51="","",SUMIFS(Ledger!$K$2:$K$4, Ledger!$B$2:$B$4, $A51, Ledger!$C$2:$C$4, W$2)),"****")</f>
        <v/>
      </c>
      <c r="X51" t="str">
        <f>IFERROR(IF($C51="","",SUMIFS(Ledger!$K$2:$K$4, Ledger!$B$2:$B$4, $A51, Ledger!$C$2:$C$4, X$2)),"****")</f>
        <v/>
      </c>
    </row>
    <row r="52" spans="1:24" x14ac:dyDescent="0.3">
      <c r="A52" s="106">
        <v>50</v>
      </c>
      <c r="B52" t="str">
        <f>IFERROR(VLOOKUP($A52, Ledger!$B$2:$L$8, 3, 0),"")</f>
        <v/>
      </c>
      <c r="C52" t="str">
        <f>IFERROR(VLOOKUP($A52, Ledger!$B$2:$L$8, 4, 0),"")</f>
        <v/>
      </c>
      <c r="D52" t="str">
        <f>IFERROR(VLOOKUP($A52, Ledger!$B$2:$L$8, 5, 0),"")</f>
        <v/>
      </c>
      <c r="E52" t="str">
        <f>IFERROR(VLOOKUP($A52, Ledger!$B$2:$L$8, 6, 0),"")</f>
        <v/>
      </c>
      <c r="F52" t="str">
        <f>IFERROR(VLOOKUP($A52,'Student Data'!$A$2:$AR$6,32,0),"")</f>
        <v/>
      </c>
      <c r="G52" t="str">
        <f>IFERROR(VLOOKUP($A52,'Student Data'!$A$2:$AR$6,33,0),"")</f>
        <v/>
      </c>
      <c r="H52" t="str">
        <f>IFERROR(VLOOKUP($A52,'Student Data'!$A$2:$AR$6,34,0),"")</f>
        <v/>
      </c>
      <c r="I52" t="str">
        <f>IFERROR(VLOOKUP($A52,'Student Data'!$A$2:$AR$6,35,0),"")</f>
        <v/>
      </c>
      <c r="J52" t="str">
        <f>IFERROR(VLOOKUP($A52,'Student Data'!$A$2:$AR$6,36,0),"")</f>
        <v/>
      </c>
      <c r="K52" t="str">
        <f t="shared" si="0"/>
        <v/>
      </c>
      <c r="L52" t="str">
        <f t="shared" si="1"/>
        <v/>
      </c>
      <c r="M52" t="str">
        <f>IFERROR(IF($C52="","",SUMIFS(Ledger!$K$2:$K$4, Ledger!$B$2:$B$4, $A52, Ledger!$C$2:$C$4, M$2)),"****")</f>
        <v/>
      </c>
      <c r="N52" t="str">
        <f>IFERROR(IF($C52="","",SUMIFS(Ledger!$K$2:$K$4, Ledger!$B$2:$B$4, $A52, Ledger!$C$2:$C$4, N$2)),"****")</f>
        <v/>
      </c>
      <c r="O52" t="str">
        <f>IFERROR(IF($C52="","",SUMIFS(Ledger!$K$2:$K$4, Ledger!$B$2:$B$4, $A52, Ledger!$C$2:$C$4, O$2)),"****")</f>
        <v/>
      </c>
      <c r="P52" t="str">
        <f>IFERROR(IF($C52="","",SUMIFS(Ledger!$K$2:$K$4, Ledger!$B$2:$B$4, $A52, Ledger!$C$2:$C$4, P$2)),"****")</f>
        <v/>
      </c>
      <c r="Q52" t="str">
        <f>IFERROR(IF($C52="","",SUMIFS(Ledger!$K$2:$K$4, Ledger!$B$2:$B$4, $A52, Ledger!$C$2:$C$4, Q$2)),"****")</f>
        <v/>
      </c>
      <c r="R52" t="str">
        <f>IFERROR(IF($C52="","",SUMIFS(Ledger!$K$2:$K$4, Ledger!$B$2:$B$4, $A52, Ledger!$C$2:$C$4, R$2)),"****")</f>
        <v/>
      </c>
      <c r="S52" t="str">
        <f>IFERROR(IF($C52="","",SUMIFS(Ledger!$K$2:$K$4, Ledger!$B$2:$B$4, $A52, Ledger!$C$2:$C$4, S$2)),"****")</f>
        <v/>
      </c>
      <c r="T52" t="str">
        <f>IFERROR(IF($C52="","",SUMIFS(Ledger!$K$2:$K$4, Ledger!$B$2:$B$4, $A52, Ledger!$C$2:$C$4, T$2)),"****")</f>
        <v/>
      </c>
      <c r="U52" t="str">
        <f>IFERROR(IF($C52="","",SUMIFS(Ledger!$K$2:$K$4, Ledger!$B$2:$B$4, $A52, Ledger!$C$2:$C$4, U$2)),"****")</f>
        <v/>
      </c>
      <c r="V52" t="str">
        <f>IFERROR(IF($C52="","",SUMIFS(Ledger!$K$2:$K$4, Ledger!$B$2:$B$4, $A52, Ledger!$C$2:$C$4, V$2)),"****")</f>
        <v/>
      </c>
      <c r="W52" t="str">
        <f>IFERROR(IF($C52="","",SUMIFS(Ledger!$K$2:$K$4, Ledger!$B$2:$B$4, $A52, Ledger!$C$2:$C$4, W$2)),"****")</f>
        <v/>
      </c>
      <c r="X52" t="str">
        <f>IFERROR(IF($C52="","",SUMIFS(Ledger!$K$2:$K$4, Ledger!$B$2:$B$4, $A52, Ledger!$C$2:$C$4, X$2)),"****")</f>
        <v/>
      </c>
    </row>
    <row r="53" spans="1:24" x14ac:dyDescent="0.3">
      <c r="A53" s="106">
        <v>51</v>
      </c>
      <c r="B53" t="str">
        <f>IFERROR(VLOOKUP($A53, Ledger!$B$2:$L$8, 3, 0),"")</f>
        <v/>
      </c>
      <c r="C53" t="str">
        <f>IFERROR(VLOOKUP($A53, Ledger!$B$2:$L$8, 4, 0),"")</f>
        <v/>
      </c>
      <c r="D53" t="str">
        <f>IFERROR(VLOOKUP($A53, Ledger!$B$2:$L$8, 5, 0),"")</f>
        <v/>
      </c>
      <c r="E53" t="str">
        <f>IFERROR(VLOOKUP($A53, Ledger!$B$2:$L$8, 6, 0),"")</f>
        <v/>
      </c>
      <c r="F53" t="str">
        <f>IFERROR(VLOOKUP($A53,'Student Data'!$A$2:$AR$6,32,0),"")</f>
        <v/>
      </c>
      <c r="G53" t="str">
        <f>IFERROR(VLOOKUP($A53,'Student Data'!$A$2:$AR$6,33,0),"")</f>
        <v/>
      </c>
      <c r="H53" t="str">
        <f>IFERROR(VLOOKUP($A53,'Student Data'!$A$2:$AR$6,34,0),"")</f>
        <v/>
      </c>
      <c r="I53" t="str">
        <f>IFERROR(VLOOKUP($A53,'Student Data'!$A$2:$AR$6,35,0),"")</f>
        <v/>
      </c>
      <c r="J53" t="str">
        <f>IFERROR(VLOOKUP($A53,'Student Data'!$A$2:$AR$6,36,0),"")</f>
        <v/>
      </c>
      <c r="K53" t="str">
        <f t="shared" si="0"/>
        <v/>
      </c>
      <c r="L53" t="str">
        <f t="shared" si="1"/>
        <v/>
      </c>
      <c r="M53" t="str">
        <f>IFERROR(IF($C53="","",SUMIFS(Ledger!$K$2:$K$4, Ledger!$B$2:$B$4, $A53, Ledger!$C$2:$C$4, M$2)),"****")</f>
        <v/>
      </c>
      <c r="N53" t="str">
        <f>IFERROR(IF($C53="","",SUMIFS(Ledger!$K$2:$K$4, Ledger!$B$2:$B$4, $A53, Ledger!$C$2:$C$4, N$2)),"****")</f>
        <v/>
      </c>
      <c r="O53" t="str">
        <f>IFERROR(IF($C53="","",SUMIFS(Ledger!$K$2:$K$4, Ledger!$B$2:$B$4, $A53, Ledger!$C$2:$C$4, O$2)),"****")</f>
        <v/>
      </c>
      <c r="P53" t="str">
        <f>IFERROR(IF($C53="","",SUMIFS(Ledger!$K$2:$K$4, Ledger!$B$2:$B$4, $A53, Ledger!$C$2:$C$4, P$2)),"****")</f>
        <v/>
      </c>
      <c r="Q53" t="str">
        <f>IFERROR(IF($C53="","",SUMIFS(Ledger!$K$2:$K$4, Ledger!$B$2:$B$4, $A53, Ledger!$C$2:$C$4, Q$2)),"****")</f>
        <v/>
      </c>
      <c r="R53" t="str">
        <f>IFERROR(IF($C53="","",SUMIFS(Ledger!$K$2:$K$4, Ledger!$B$2:$B$4, $A53, Ledger!$C$2:$C$4, R$2)),"****")</f>
        <v/>
      </c>
      <c r="S53" t="str">
        <f>IFERROR(IF($C53="","",SUMIFS(Ledger!$K$2:$K$4, Ledger!$B$2:$B$4, $A53, Ledger!$C$2:$C$4, S$2)),"****")</f>
        <v/>
      </c>
      <c r="T53" t="str">
        <f>IFERROR(IF($C53="","",SUMIFS(Ledger!$K$2:$K$4, Ledger!$B$2:$B$4, $A53, Ledger!$C$2:$C$4, T$2)),"****")</f>
        <v/>
      </c>
      <c r="U53" t="str">
        <f>IFERROR(IF($C53="","",SUMIFS(Ledger!$K$2:$K$4, Ledger!$B$2:$B$4, $A53, Ledger!$C$2:$C$4, U$2)),"****")</f>
        <v/>
      </c>
      <c r="V53" t="str">
        <f>IFERROR(IF($C53="","",SUMIFS(Ledger!$K$2:$K$4, Ledger!$B$2:$B$4, $A53, Ledger!$C$2:$C$4, V$2)),"****")</f>
        <v/>
      </c>
      <c r="W53" t="str">
        <f>IFERROR(IF($C53="","",SUMIFS(Ledger!$K$2:$K$4, Ledger!$B$2:$B$4, $A53, Ledger!$C$2:$C$4, W$2)),"****")</f>
        <v/>
      </c>
      <c r="X53" t="str">
        <f>IFERROR(IF($C53="","",SUMIFS(Ledger!$K$2:$K$4, Ledger!$B$2:$B$4, $A53, Ledger!$C$2:$C$4, X$2)),"****")</f>
        <v/>
      </c>
    </row>
    <row r="54" spans="1:24" x14ac:dyDescent="0.3">
      <c r="A54" s="106">
        <v>52</v>
      </c>
      <c r="B54" t="str">
        <f>IFERROR(VLOOKUP($A54, Ledger!$B$2:$L$8, 3, 0),"")</f>
        <v/>
      </c>
      <c r="C54" t="str">
        <f>IFERROR(VLOOKUP($A54, Ledger!$B$2:$L$8, 4, 0),"")</f>
        <v/>
      </c>
      <c r="D54" t="str">
        <f>IFERROR(VLOOKUP($A54, Ledger!$B$2:$L$8, 5, 0),"")</f>
        <v/>
      </c>
      <c r="E54" t="str">
        <f>IFERROR(VLOOKUP($A54, Ledger!$B$2:$L$8, 6, 0),"")</f>
        <v/>
      </c>
      <c r="F54" t="str">
        <f>IFERROR(VLOOKUP($A54,'Student Data'!$A$2:$AR$6,32,0),"")</f>
        <v/>
      </c>
      <c r="G54" t="str">
        <f>IFERROR(VLOOKUP($A54,'Student Data'!$A$2:$AR$6,33,0),"")</f>
        <v/>
      </c>
      <c r="H54" t="str">
        <f>IFERROR(VLOOKUP($A54,'Student Data'!$A$2:$AR$6,34,0),"")</f>
        <v/>
      </c>
      <c r="I54" t="str">
        <f>IFERROR(VLOOKUP($A54,'Student Data'!$A$2:$AR$6,35,0),"")</f>
        <v/>
      </c>
      <c r="J54" t="str">
        <f>IFERROR(VLOOKUP($A54,'Student Data'!$A$2:$AR$6,36,0),"")</f>
        <v/>
      </c>
      <c r="K54" t="str">
        <f t="shared" si="0"/>
        <v/>
      </c>
      <c r="L54" t="str">
        <f t="shared" si="1"/>
        <v/>
      </c>
      <c r="M54" t="str">
        <f>IFERROR(IF($C54="","",SUMIFS(Ledger!$K$2:$K$4, Ledger!$B$2:$B$4, $A54, Ledger!$C$2:$C$4, M$2)),"****")</f>
        <v/>
      </c>
      <c r="N54" t="str">
        <f>IFERROR(IF($C54="","",SUMIFS(Ledger!$K$2:$K$4, Ledger!$B$2:$B$4, $A54, Ledger!$C$2:$C$4, N$2)),"****")</f>
        <v/>
      </c>
      <c r="O54" t="str">
        <f>IFERROR(IF($C54="","",SUMIFS(Ledger!$K$2:$K$4, Ledger!$B$2:$B$4, $A54, Ledger!$C$2:$C$4, O$2)),"****")</f>
        <v/>
      </c>
      <c r="P54" t="str">
        <f>IFERROR(IF($C54="","",SUMIFS(Ledger!$K$2:$K$4, Ledger!$B$2:$B$4, $A54, Ledger!$C$2:$C$4, P$2)),"****")</f>
        <v/>
      </c>
      <c r="Q54" t="str">
        <f>IFERROR(IF($C54="","",SUMIFS(Ledger!$K$2:$K$4, Ledger!$B$2:$B$4, $A54, Ledger!$C$2:$C$4, Q$2)),"****")</f>
        <v/>
      </c>
      <c r="R54" t="str">
        <f>IFERROR(IF($C54="","",SUMIFS(Ledger!$K$2:$K$4, Ledger!$B$2:$B$4, $A54, Ledger!$C$2:$C$4, R$2)),"****")</f>
        <v/>
      </c>
      <c r="S54" t="str">
        <f>IFERROR(IF($C54="","",SUMIFS(Ledger!$K$2:$K$4, Ledger!$B$2:$B$4, $A54, Ledger!$C$2:$C$4, S$2)),"****")</f>
        <v/>
      </c>
      <c r="T54" t="str">
        <f>IFERROR(IF($C54="","",SUMIFS(Ledger!$K$2:$K$4, Ledger!$B$2:$B$4, $A54, Ledger!$C$2:$C$4, T$2)),"****")</f>
        <v/>
      </c>
      <c r="U54" t="str">
        <f>IFERROR(IF($C54="","",SUMIFS(Ledger!$K$2:$K$4, Ledger!$B$2:$B$4, $A54, Ledger!$C$2:$C$4, U$2)),"****")</f>
        <v/>
      </c>
      <c r="V54" t="str">
        <f>IFERROR(IF($C54="","",SUMIFS(Ledger!$K$2:$K$4, Ledger!$B$2:$B$4, $A54, Ledger!$C$2:$C$4, V$2)),"****")</f>
        <v/>
      </c>
      <c r="W54" t="str">
        <f>IFERROR(IF($C54="","",SUMIFS(Ledger!$K$2:$K$4, Ledger!$B$2:$B$4, $A54, Ledger!$C$2:$C$4, W$2)),"****")</f>
        <v/>
      </c>
      <c r="X54" t="str">
        <f>IFERROR(IF($C54="","",SUMIFS(Ledger!$K$2:$K$4, Ledger!$B$2:$B$4, $A54, Ledger!$C$2:$C$4, X$2)),"****")</f>
        <v/>
      </c>
    </row>
    <row r="55" spans="1:24" x14ac:dyDescent="0.3">
      <c r="A55" s="106">
        <v>53</v>
      </c>
      <c r="B55" t="str">
        <f>IFERROR(VLOOKUP($A55, Ledger!$B$2:$L$8, 3, 0),"")</f>
        <v/>
      </c>
      <c r="C55" t="str">
        <f>IFERROR(VLOOKUP($A55, Ledger!$B$2:$L$8, 4, 0),"")</f>
        <v/>
      </c>
      <c r="D55" t="str">
        <f>IFERROR(VLOOKUP($A55, Ledger!$B$2:$L$8, 5, 0),"")</f>
        <v/>
      </c>
      <c r="E55" t="str">
        <f>IFERROR(VLOOKUP($A55, Ledger!$B$2:$L$8, 6, 0),"")</f>
        <v/>
      </c>
      <c r="F55" t="str">
        <f>IFERROR(VLOOKUP($A55,'Student Data'!$A$2:$AR$6,32,0),"")</f>
        <v/>
      </c>
      <c r="G55" t="str">
        <f>IFERROR(VLOOKUP($A55,'Student Data'!$A$2:$AR$6,33,0),"")</f>
        <v/>
      </c>
      <c r="H55" t="str">
        <f>IFERROR(VLOOKUP($A55,'Student Data'!$A$2:$AR$6,34,0),"")</f>
        <v/>
      </c>
      <c r="I55" t="str">
        <f>IFERROR(VLOOKUP($A55,'Student Data'!$A$2:$AR$6,35,0),"")</f>
        <v/>
      </c>
      <c r="J55" t="str">
        <f>IFERROR(VLOOKUP($A55,'Student Data'!$A$2:$AR$6,36,0),"")</f>
        <v/>
      </c>
      <c r="K55" t="str">
        <f t="shared" si="0"/>
        <v/>
      </c>
      <c r="L55" t="str">
        <f t="shared" si="1"/>
        <v/>
      </c>
      <c r="M55" t="str">
        <f>IFERROR(IF($C55="","",SUMIFS(Ledger!$K$2:$K$4, Ledger!$B$2:$B$4, $A55, Ledger!$C$2:$C$4, M$2)),"****")</f>
        <v/>
      </c>
      <c r="N55" t="str">
        <f>IFERROR(IF($C55="","",SUMIFS(Ledger!$K$2:$K$4, Ledger!$B$2:$B$4, $A55, Ledger!$C$2:$C$4, N$2)),"****")</f>
        <v/>
      </c>
      <c r="O55" t="str">
        <f>IFERROR(IF($C55="","",SUMIFS(Ledger!$K$2:$K$4, Ledger!$B$2:$B$4, $A55, Ledger!$C$2:$C$4, O$2)),"****")</f>
        <v/>
      </c>
      <c r="P55" t="str">
        <f>IFERROR(IF($C55="","",SUMIFS(Ledger!$K$2:$K$4, Ledger!$B$2:$B$4, $A55, Ledger!$C$2:$C$4, P$2)),"****")</f>
        <v/>
      </c>
      <c r="Q55" t="str">
        <f>IFERROR(IF($C55="","",SUMIFS(Ledger!$K$2:$K$4, Ledger!$B$2:$B$4, $A55, Ledger!$C$2:$C$4, Q$2)),"****")</f>
        <v/>
      </c>
      <c r="R55" t="str">
        <f>IFERROR(IF($C55="","",SUMIFS(Ledger!$K$2:$K$4, Ledger!$B$2:$B$4, $A55, Ledger!$C$2:$C$4, R$2)),"****")</f>
        <v/>
      </c>
      <c r="S55" t="str">
        <f>IFERROR(IF($C55="","",SUMIFS(Ledger!$K$2:$K$4, Ledger!$B$2:$B$4, $A55, Ledger!$C$2:$C$4, S$2)),"****")</f>
        <v/>
      </c>
      <c r="T55" t="str">
        <f>IFERROR(IF($C55="","",SUMIFS(Ledger!$K$2:$K$4, Ledger!$B$2:$B$4, $A55, Ledger!$C$2:$C$4, T$2)),"****")</f>
        <v/>
      </c>
      <c r="U55" t="str">
        <f>IFERROR(IF($C55="","",SUMIFS(Ledger!$K$2:$K$4, Ledger!$B$2:$B$4, $A55, Ledger!$C$2:$C$4, U$2)),"****")</f>
        <v/>
      </c>
      <c r="V55" t="str">
        <f>IFERROR(IF($C55="","",SUMIFS(Ledger!$K$2:$K$4, Ledger!$B$2:$B$4, $A55, Ledger!$C$2:$C$4, V$2)),"****")</f>
        <v/>
      </c>
      <c r="W55" t="str">
        <f>IFERROR(IF($C55="","",SUMIFS(Ledger!$K$2:$K$4, Ledger!$B$2:$B$4, $A55, Ledger!$C$2:$C$4, W$2)),"****")</f>
        <v/>
      </c>
      <c r="X55" t="str">
        <f>IFERROR(IF($C55="","",SUMIFS(Ledger!$K$2:$K$4, Ledger!$B$2:$B$4, $A55, Ledger!$C$2:$C$4, X$2)),"****")</f>
        <v/>
      </c>
    </row>
    <row r="56" spans="1:24" x14ac:dyDescent="0.3">
      <c r="A56" s="106">
        <v>54</v>
      </c>
      <c r="B56" t="str">
        <f>IFERROR(VLOOKUP($A56, Ledger!$B$2:$L$8, 3, 0),"")</f>
        <v/>
      </c>
      <c r="C56" t="str">
        <f>IFERROR(VLOOKUP($A56, Ledger!$B$2:$L$8, 4, 0),"")</f>
        <v/>
      </c>
      <c r="D56" t="str">
        <f>IFERROR(VLOOKUP($A56, Ledger!$B$2:$L$8, 5, 0),"")</f>
        <v/>
      </c>
      <c r="E56" t="str">
        <f>IFERROR(VLOOKUP($A56, Ledger!$B$2:$L$8, 6, 0),"")</f>
        <v/>
      </c>
      <c r="F56" t="str">
        <f>IFERROR(VLOOKUP($A56,'Student Data'!$A$2:$AR$6,32,0),"")</f>
        <v/>
      </c>
      <c r="G56" t="str">
        <f>IFERROR(VLOOKUP($A56,'Student Data'!$A$2:$AR$6,33,0),"")</f>
        <v/>
      </c>
      <c r="H56" t="str">
        <f>IFERROR(VLOOKUP($A56,'Student Data'!$A$2:$AR$6,34,0),"")</f>
        <v/>
      </c>
      <c r="I56" t="str">
        <f>IFERROR(VLOOKUP($A56,'Student Data'!$A$2:$AR$6,35,0),"")</f>
        <v/>
      </c>
      <c r="J56" t="str">
        <f>IFERROR(VLOOKUP($A56,'Student Data'!$A$2:$AR$6,36,0),"")</f>
        <v/>
      </c>
      <c r="K56" t="str">
        <f t="shared" si="0"/>
        <v/>
      </c>
      <c r="L56" t="str">
        <f t="shared" si="1"/>
        <v/>
      </c>
      <c r="M56" t="str">
        <f>IFERROR(IF($C56="","",SUMIFS(Ledger!$K$2:$K$4, Ledger!$B$2:$B$4, $A56, Ledger!$C$2:$C$4, M$2)),"****")</f>
        <v/>
      </c>
      <c r="N56" t="str">
        <f>IFERROR(IF($C56="","",SUMIFS(Ledger!$K$2:$K$4, Ledger!$B$2:$B$4, $A56, Ledger!$C$2:$C$4, N$2)),"****")</f>
        <v/>
      </c>
      <c r="O56" t="str">
        <f>IFERROR(IF($C56="","",SUMIFS(Ledger!$K$2:$K$4, Ledger!$B$2:$B$4, $A56, Ledger!$C$2:$C$4, O$2)),"****")</f>
        <v/>
      </c>
      <c r="P56" t="str">
        <f>IFERROR(IF($C56="","",SUMIFS(Ledger!$K$2:$K$4, Ledger!$B$2:$B$4, $A56, Ledger!$C$2:$C$4, P$2)),"****")</f>
        <v/>
      </c>
      <c r="Q56" t="str">
        <f>IFERROR(IF($C56="","",SUMIFS(Ledger!$K$2:$K$4, Ledger!$B$2:$B$4, $A56, Ledger!$C$2:$C$4, Q$2)),"****")</f>
        <v/>
      </c>
      <c r="R56" t="str">
        <f>IFERROR(IF($C56="","",SUMIFS(Ledger!$K$2:$K$4, Ledger!$B$2:$B$4, $A56, Ledger!$C$2:$C$4, R$2)),"****")</f>
        <v/>
      </c>
      <c r="S56" t="str">
        <f>IFERROR(IF($C56="","",SUMIFS(Ledger!$K$2:$K$4, Ledger!$B$2:$B$4, $A56, Ledger!$C$2:$C$4, S$2)),"****")</f>
        <v/>
      </c>
      <c r="T56" t="str">
        <f>IFERROR(IF($C56="","",SUMIFS(Ledger!$K$2:$K$4, Ledger!$B$2:$B$4, $A56, Ledger!$C$2:$C$4, T$2)),"****")</f>
        <v/>
      </c>
      <c r="U56" t="str">
        <f>IFERROR(IF($C56="","",SUMIFS(Ledger!$K$2:$K$4, Ledger!$B$2:$B$4, $A56, Ledger!$C$2:$C$4, U$2)),"****")</f>
        <v/>
      </c>
      <c r="V56" t="str">
        <f>IFERROR(IF($C56="","",SUMIFS(Ledger!$K$2:$K$4, Ledger!$B$2:$B$4, $A56, Ledger!$C$2:$C$4, V$2)),"****")</f>
        <v/>
      </c>
      <c r="W56" t="str">
        <f>IFERROR(IF($C56="","",SUMIFS(Ledger!$K$2:$K$4, Ledger!$B$2:$B$4, $A56, Ledger!$C$2:$C$4, W$2)),"****")</f>
        <v/>
      </c>
      <c r="X56" t="str">
        <f>IFERROR(IF($C56="","",SUMIFS(Ledger!$K$2:$K$4, Ledger!$B$2:$B$4, $A56, Ledger!$C$2:$C$4, X$2)),"****")</f>
        <v/>
      </c>
    </row>
    <row r="57" spans="1:24" x14ac:dyDescent="0.3">
      <c r="A57" s="106">
        <v>55</v>
      </c>
      <c r="B57" t="str">
        <f>IFERROR(VLOOKUP($A57, Ledger!$B$2:$L$8, 3, 0),"")</f>
        <v/>
      </c>
      <c r="C57" t="str">
        <f>IFERROR(VLOOKUP($A57, Ledger!$B$2:$L$8, 4, 0),"")</f>
        <v/>
      </c>
      <c r="D57" t="str">
        <f>IFERROR(VLOOKUP($A57, Ledger!$B$2:$L$8, 5, 0),"")</f>
        <v/>
      </c>
      <c r="E57" t="str">
        <f>IFERROR(VLOOKUP($A57, Ledger!$B$2:$L$8, 6, 0),"")</f>
        <v/>
      </c>
      <c r="F57" t="str">
        <f>IFERROR(VLOOKUP($A57,'Student Data'!$A$2:$AR$6,32,0),"")</f>
        <v/>
      </c>
      <c r="G57" t="str">
        <f>IFERROR(VLOOKUP($A57,'Student Data'!$A$2:$AR$6,33,0),"")</f>
        <v/>
      </c>
      <c r="H57" t="str">
        <f>IFERROR(VLOOKUP($A57,'Student Data'!$A$2:$AR$6,34,0),"")</f>
        <v/>
      </c>
      <c r="I57" t="str">
        <f>IFERROR(VLOOKUP($A57,'Student Data'!$A$2:$AR$6,35,0),"")</f>
        <v/>
      </c>
      <c r="J57" t="str">
        <f>IFERROR(VLOOKUP($A57,'Student Data'!$A$2:$AR$6,36,0),"")</f>
        <v/>
      </c>
      <c r="K57" t="str">
        <f t="shared" si="0"/>
        <v/>
      </c>
      <c r="L57" t="str">
        <f t="shared" si="1"/>
        <v/>
      </c>
      <c r="M57" t="str">
        <f>IFERROR(IF($C57="","",SUMIFS(Ledger!$K$2:$K$4, Ledger!$B$2:$B$4, $A57, Ledger!$C$2:$C$4, M$2)),"****")</f>
        <v/>
      </c>
      <c r="N57" t="str">
        <f>IFERROR(IF($C57="","",SUMIFS(Ledger!$K$2:$K$4, Ledger!$B$2:$B$4, $A57, Ledger!$C$2:$C$4, N$2)),"****")</f>
        <v/>
      </c>
      <c r="O57" t="str">
        <f>IFERROR(IF($C57="","",SUMIFS(Ledger!$K$2:$K$4, Ledger!$B$2:$B$4, $A57, Ledger!$C$2:$C$4, O$2)),"****")</f>
        <v/>
      </c>
      <c r="P57" t="str">
        <f>IFERROR(IF($C57="","",SUMIFS(Ledger!$K$2:$K$4, Ledger!$B$2:$B$4, $A57, Ledger!$C$2:$C$4, P$2)),"****")</f>
        <v/>
      </c>
      <c r="Q57" t="str">
        <f>IFERROR(IF($C57="","",SUMIFS(Ledger!$K$2:$K$4, Ledger!$B$2:$B$4, $A57, Ledger!$C$2:$C$4, Q$2)),"****")</f>
        <v/>
      </c>
      <c r="R57" t="str">
        <f>IFERROR(IF($C57="","",SUMIFS(Ledger!$K$2:$K$4, Ledger!$B$2:$B$4, $A57, Ledger!$C$2:$C$4, R$2)),"****")</f>
        <v/>
      </c>
      <c r="S57" t="str">
        <f>IFERROR(IF($C57="","",SUMIFS(Ledger!$K$2:$K$4, Ledger!$B$2:$B$4, $A57, Ledger!$C$2:$C$4, S$2)),"****")</f>
        <v/>
      </c>
      <c r="T57" t="str">
        <f>IFERROR(IF($C57="","",SUMIFS(Ledger!$K$2:$K$4, Ledger!$B$2:$B$4, $A57, Ledger!$C$2:$C$4, T$2)),"****")</f>
        <v/>
      </c>
      <c r="U57" t="str">
        <f>IFERROR(IF($C57="","",SUMIFS(Ledger!$K$2:$K$4, Ledger!$B$2:$B$4, $A57, Ledger!$C$2:$C$4, U$2)),"****")</f>
        <v/>
      </c>
      <c r="V57" t="str">
        <f>IFERROR(IF($C57="","",SUMIFS(Ledger!$K$2:$K$4, Ledger!$B$2:$B$4, $A57, Ledger!$C$2:$C$4, V$2)),"****")</f>
        <v/>
      </c>
      <c r="W57" t="str">
        <f>IFERROR(IF($C57="","",SUMIFS(Ledger!$K$2:$K$4, Ledger!$B$2:$B$4, $A57, Ledger!$C$2:$C$4, W$2)),"****")</f>
        <v/>
      </c>
      <c r="X57" t="str">
        <f>IFERROR(IF($C57="","",SUMIFS(Ledger!$K$2:$K$4, Ledger!$B$2:$B$4, $A57, Ledger!$C$2:$C$4, X$2)),"****")</f>
        <v/>
      </c>
    </row>
    <row r="58" spans="1:24" x14ac:dyDescent="0.3">
      <c r="A58" s="106">
        <v>56</v>
      </c>
      <c r="B58" t="str">
        <f>IFERROR(VLOOKUP($A58, Ledger!$B$2:$L$8, 3, 0),"")</f>
        <v/>
      </c>
      <c r="C58" t="str">
        <f>IFERROR(VLOOKUP($A58, Ledger!$B$2:$L$8, 4, 0),"")</f>
        <v/>
      </c>
      <c r="D58" t="str">
        <f>IFERROR(VLOOKUP($A58, Ledger!$B$2:$L$8, 5, 0),"")</f>
        <v/>
      </c>
      <c r="E58" t="str">
        <f>IFERROR(VLOOKUP($A58, Ledger!$B$2:$L$8, 6, 0),"")</f>
        <v/>
      </c>
      <c r="F58" t="str">
        <f>IFERROR(VLOOKUP($A58,'Student Data'!$A$2:$AR$6,32,0),"")</f>
        <v/>
      </c>
      <c r="G58" t="str">
        <f>IFERROR(VLOOKUP($A58,'Student Data'!$A$2:$AR$6,33,0),"")</f>
        <v/>
      </c>
      <c r="H58" t="str">
        <f>IFERROR(VLOOKUP($A58,'Student Data'!$A$2:$AR$6,34,0),"")</f>
        <v/>
      </c>
      <c r="I58" t="str">
        <f>IFERROR(VLOOKUP($A58,'Student Data'!$A$2:$AR$6,35,0),"")</f>
        <v/>
      </c>
      <c r="J58" t="str">
        <f>IFERROR(VLOOKUP($A58,'Student Data'!$A$2:$AR$6,36,0),"")</f>
        <v/>
      </c>
      <c r="K58" t="str">
        <f t="shared" si="0"/>
        <v/>
      </c>
      <c r="L58" t="str">
        <f t="shared" si="1"/>
        <v/>
      </c>
      <c r="M58" t="str">
        <f>IFERROR(IF($C58="","",SUMIFS(Ledger!$K$2:$K$4, Ledger!$B$2:$B$4, $A58, Ledger!$C$2:$C$4, M$2)),"****")</f>
        <v/>
      </c>
      <c r="N58" t="str">
        <f>IFERROR(IF($C58="","",SUMIFS(Ledger!$K$2:$K$4, Ledger!$B$2:$B$4, $A58, Ledger!$C$2:$C$4, N$2)),"****")</f>
        <v/>
      </c>
      <c r="O58" t="str">
        <f>IFERROR(IF($C58="","",SUMIFS(Ledger!$K$2:$K$4, Ledger!$B$2:$B$4, $A58, Ledger!$C$2:$C$4, O$2)),"****")</f>
        <v/>
      </c>
      <c r="P58" t="str">
        <f>IFERROR(IF($C58="","",SUMIFS(Ledger!$K$2:$K$4, Ledger!$B$2:$B$4, $A58, Ledger!$C$2:$C$4, P$2)),"****")</f>
        <v/>
      </c>
      <c r="Q58" t="str">
        <f>IFERROR(IF($C58="","",SUMIFS(Ledger!$K$2:$K$4, Ledger!$B$2:$B$4, $A58, Ledger!$C$2:$C$4, Q$2)),"****")</f>
        <v/>
      </c>
      <c r="R58" t="str">
        <f>IFERROR(IF($C58="","",SUMIFS(Ledger!$K$2:$K$4, Ledger!$B$2:$B$4, $A58, Ledger!$C$2:$C$4, R$2)),"****")</f>
        <v/>
      </c>
      <c r="S58" t="str">
        <f>IFERROR(IF($C58="","",SUMIFS(Ledger!$K$2:$K$4, Ledger!$B$2:$B$4, $A58, Ledger!$C$2:$C$4, S$2)),"****")</f>
        <v/>
      </c>
      <c r="T58" t="str">
        <f>IFERROR(IF($C58="","",SUMIFS(Ledger!$K$2:$K$4, Ledger!$B$2:$B$4, $A58, Ledger!$C$2:$C$4, T$2)),"****")</f>
        <v/>
      </c>
      <c r="U58" t="str">
        <f>IFERROR(IF($C58="","",SUMIFS(Ledger!$K$2:$K$4, Ledger!$B$2:$B$4, $A58, Ledger!$C$2:$C$4, U$2)),"****")</f>
        <v/>
      </c>
      <c r="V58" t="str">
        <f>IFERROR(IF($C58="","",SUMIFS(Ledger!$K$2:$K$4, Ledger!$B$2:$B$4, $A58, Ledger!$C$2:$C$4, V$2)),"****")</f>
        <v/>
      </c>
      <c r="W58" t="str">
        <f>IFERROR(IF($C58="","",SUMIFS(Ledger!$K$2:$K$4, Ledger!$B$2:$B$4, $A58, Ledger!$C$2:$C$4, W$2)),"****")</f>
        <v/>
      </c>
      <c r="X58" t="str">
        <f>IFERROR(IF($C58="","",SUMIFS(Ledger!$K$2:$K$4, Ledger!$B$2:$B$4, $A58, Ledger!$C$2:$C$4, X$2)),"****")</f>
        <v/>
      </c>
    </row>
    <row r="59" spans="1:24" x14ac:dyDescent="0.3">
      <c r="A59" s="106">
        <v>57</v>
      </c>
      <c r="B59" t="str">
        <f>IFERROR(VLOOKUP($A59, Ledger!$B$2:$L$8, 3, 0),"")</f>
        <v/>
      </c>
      <c r="C59" t="str">
        <f>IFERROR(VLOOKUP($A59, Ledger!$B$2:$L$8, 4, 0),"")</f>
        <v/>
      </c>
      <c r="D59" t="str">
        <f>IFERROR(VLOOKUP($A59, Ledger!$B$2:$L$8, 5, 0),"")</f>
        <v/>
      </c>
      <c r="E59" t="str">
        <f>IFERROR(VLOOKUP($A59, Ledger!$B$2:$L$8, 6, 0),"")</f>
        <v/>
      </c>
      <c r="F59" t="str">
        <f>IFERROR(VLOOKUP($A59,'Student Data'!$A$2:$AR$6,32,0),"")</f>
        <v/>
      </c>
      <c r="G59" t="str">
        <f>IFERROR(VLOOKUP($A59,'Student Data'!$A$2:$AR$6,33,0),"")</f>
        <v/>
      </c>
      <c r="H59" t="str">
        <f>IFERROR(VLOOKUP($A59,'Student Data'!$A$2:$AR$6,34,0),"")</f>
        <v/>
      </c>
      <c r="I59" t="str">
        <f>IFERROR(VLOOKUP($A59,'Student Data'!$A$2:$AR$6,35,0),"")</f>
        <v/>
      </c>
      <c r="J59" t="str">
        <f>IFERROR(VLOOKUP($A59,'Student Data'!$A$2:$AR$6,36,0),"")</f>
        <v/>
      </c>
      <c r="K59" t="str">
        <f t="shared" si="0"/>
        <v/>
      </c>
      <c r="L59" t="str">
        <f t="shared" si="1"/>
        <v/>
      </c>
      <c r="M59" t="str">
        <f>IFERROR(IF($C59="","",SUMIFS(Ledger!$K$2:$K$4, Ledger!$B$2:$B$4, $A59, Ledger!$C$2:$C$4, M$2)),"****")</f>
        <v/>
      </c>
      <c r="N59" t="str">
        <f>IFERROR(IF($C59="","",SUMIFS(Ledger!$K$2:$K$4, Ledger!$B$2:$B$4, $A59, Ledger!$C$2:$C$4, N$2)),"****")</f>
        <v/>
      </c>
      <c r="O59" t="str">
        <f>IFERROR(IF($C59="","",SUMIFS(Ledger!$K$2:$K$4, Ledger!$B$2:$B$4, $A59, Ledger!$C$2:$C$4, O$2)),"****")</f>
        <v/>
      </c>
      <c r="P59" t="str">
        <f>IFERROR(IF($C59="","",SUMIFS(Ledger!$K$2:$K$4, Ledger!$B$2:$B$4, $A59, Ledger!$C$2:$C$4, P$2)),"****")</f>
        <v/>
      </c>
      <c r="Q59" t="str">
        <f>IFERROR(IF($C59="","",SUMIFS(Ledger!$K$2:$K$4, Ledger!$B$2:$B$4, $A59, Ledger!$C$2:$C$4, Q$2)),"****")</f>
        <v/>
      </c>
      <c r="R59" t="str">
        <f>IFERROR(IF($C59="","",SUMIFS(Ledger!$K$2:$K$4, Ledger!$B$2:$B$4, $A59, Ledger!$C$2:$C$4, R$2)),"****")</f>
        <v/>
      </c>
      <c r="S59" t="str">
        <f>IFERROR(IF($C59="","",SUMIFS(Ledger!$K$2:$K$4, Ledger!$B$2:$B$4, $A59, Ledger!$C$2:$C$4, S$2)),"****")</f>
        <v/>
      </c>
      <c r="T59" t="str">
        <f>IFERROR(IF($C59="","",SUMIFS(Ledger!$K$2:$K$4, Ledger!$B$2:$B$4, $A59, Ledger!$C$2:$C$4, T$2)),"****")</f>
        <v/>
      </c>
      <c r="U59" t="str">
        <f>IFERROR(IF($C59="","",SUMIFS(Ledger!$K$2:$K$4, Ledger!$B$2:$B$4, $A59, Ledger!$C$2:$C$4, U$2)),"****")</f>
        <v/>
      </c>
      <c r="V59" t="str">
        <f>IFERROR(IF($C59="","",SUMIFS(Ledger!$K$2:$K$4, Ledger!$B$2:$B$4, $A59, Ledger!$C$2:$C$4, V$2)),"****")</f>
        <v/>
      </c>
      <c r="W59" t="str">
        <f>IFERROR(IF($C59="","",SUMIFS(Ledger!$K$2:$K$4, Ledger!$B$2:$B$4, $A59, Ledger!$C$2:$C$4, W$2)),"****")</f>
        <v/>
      </c>
      <c r="X59" t="str">
        <f>IFERROR(IF($C59="","",SUMIFS(Ledger!$K$2:$K$4, Ledger!$B$2:$B$4, $A59, Ledger!$C$2:$C$4, X$2)),"****")</f>
        <v/>
      </c>
    </row>
    <row r="60" spans="1:24" x14ac:dyDescent="0.3">
      <c r="A60" s="106">
        <v>58</v>
      </c>
      <c r="B60" t="str">
        <f>IFERROR(VLOOKUP($A60, Ledger!$B$2:$L$8, 3, 0),"")</f>
        <v/>
      </c>
      <c r="C60" t="str">
        <f>IFERROR(VLOOKUP($A60, Ledger!$B$2:$L$8, 4, 0),"")</f>
        <v/>
      </c>
      <c r="D60" t="str">
        <f>IFERROR(VLOOKUP($A60, Ledger!$B$2:$L$8, 5, 0),"")</f>
        <v/>
      </c>
      <c r="E60" t="str">
        <f>IFERROR(VLOOKUP($A60, Ledger!$B$2:$L$8, 6, 0),"")</f>
        <v/>
      </c>
      <c r="F60" t="str">
        <f>IFERROR(VLOOKUP($A60,'Student Data'!$A$2:$AR$6,32,0),"")</f>
        <v/>
      </c>
      <c r="G60" t="str">
        <f>IFERROR(VLOOKUP($A60,'Student Data'!$A$2:$AR$6,33,0),"")</f>
        <v/>
      </c>
      <c r="H60" t="str">
        <f>IFERROR(VLOOKUP($A60,'Student Data'!$A$2:$AR$6,34,0),"")</f>
        <v/>
      </c>
      <c r="I60" t="str">
        <f>IFERROR(VLOOKUP($A60,'Student Data'!$A$2:$AR$6,35,0),"")</f>
        <v/>
      </c>
      <c r="J60" t="str">
        <f>IFERROR(VLOOKUP($A60,'Student Data'!$A$2:$AR$6,36,0),"")</f>
        <v/>
      </c>
      <c r="K60" t="str">
        <f t="shared" si="0"/>
        <v/>
      </c>
      <c r="L60" t="str">
        <f t="shared" si="1"/>
        <v/>
      </c>
      <c r="M60" t="str">
        <f>IFERROR(IF($C60="","",SUMIFS(Ledger!$K$2:$K$4, Ledger!$B$2:$B$4, $A60, Ledger!$C$2:$C$4, M$2)),"****")</f>
        <v/>
      </c>
      <c r="N60" t="str">
        <f>IFERROR(IF($C60="","",SUMIFS(Ledger!$K$2:$K$4, Ledger!$B$2:$B$4, $A60, Ledger!$C$2:$C$4, N$2)),"****")</f>
        <v/>
      </c>
      <c r="O60" t="str">
        <f>IFERROR(IF($C60="","",SUMIFS(Ledger!$K$2:$K$4, Ledger!$B$2:$B$4, $A60, Ledger!$C$2:$C$4, O$2)),"****")</f>
        <v/>
      </c>
      <c r="P60" t="str">
        <f>IFERROR(IF($C60="","",SUMIFS(Ledger!$K$2:$K$4, Ledger!$B$2:$B$4, $A60, Ledger!$C$2:$C$4, P$2)),"****")</f>
        <v/>
      </c>
      <c r="Q60" t="str">
        <f>IFERROR(IF($C60="","",SUMIFS(Ledger!$K$2:$K$4, Ledger!$B$2:$B$4, $A60, Ledger!$C$2:$C$4, Q$2)),"****")</f>
        <v/>
      </c>
      <c r="R60" t="str">
        <f>IFERROR(IF($C60="","",SUMIFS(Ledger!$K$2:$K$4, Ledger!$B$2:$B$4, $A60, Ledger!$C$2:$C$4, R$2)),"****")</f>
        <v/>
      </c>
      <c r="S60" t="str">
        <f>IFERROR(IF($C60="","",SUMIFS(Ledger!$K$2:$K$4, Ledger!$B$2:$B$4, $A60, Ledger!$C$2:$C$4, S$2)),"****")</f>
        <v/>
      </c>
      <c r="T60" t="str">
        <f>IFERROR(IF($C60="","",SUMIFS(Ledger!$K$2:$K$4, Ledger!$B$2:$B$4, $A60, Ledger!$C$2:$C$4, T$2)),"****")</f>
        <v/>
      </c>
      <c r="U60" t="str">
        <f>IFERROR(IF($C60="","",SUMIFS(Ledger!$K$2:$K$4, Ledger!$B$2:$B$4, $A60, Ledger!$C$2:$C$4, U$2)),"****")</f>
        <v/>
      </c>
      <c r="V60" t="str">
        <f>IFERROR(IF($C60="","",SUMIFS(Ledger!$K$2:$K$4, Ledger!$B$2:$B$4, $A60, Ledger!$C$2:$C$4, V$2)),"****")</f>
        <v/>
      </c>
      <c r="W60" t="str">
        <f>IFERROR(IF($C60="","",SUMIFS(Ledger!$K$2:$K$4, Ledger!$B$2:$B$4, $A60, Ledger!$C$2:$C$4, W$2)),"****")</f>
        <v/>
      </c>
      <c r="X60" t="str">
        <f>IFERROR(IF($C60="","",SUMIFS(Ledger!$K$2:$K$4, Ledger!$B$2:$B$4, $A60, Ledger!$C$2:$C$4, X$2)),"****")</f>
        <v/>
      </c>
    </row>
    <row r="61" spans="1:24" x14ac:dyDescent="0.3">
      <c r="A61" s="106">
        <v>59</v>
      </c>
      <c r="B61" t="str">
        <f>IFERROR(VLOOKUP($A61, Ledger!$B$2:$L$8, 3, 0),"")</f>
        <v/>
      </c>
      <c r="C61" t="str">
        <f>IFERROR(VLOOKUP($A61, Ledger!$B$2:$L$8, 4, 0),"")</f>
        <v/>
      </c>
      <c r="D61" t="str">
        <f>IFERROR(VLOOKUP($A61, Ledger!$B$2:$L$8, 5, 0),"")</f>
        <v/>
      </c>
      <c r="E61" t="str">
        <f>IFERROR(VLOOKUP($A61, Ledger!$B$2:$L$8, 6, 0),"")</f>
        <v/>
      </c>
      <c r="F61" t="str">
        <f>IFERROR(VLOOKUP($A61,'Student Data'!$A$2:$AR$6,32,0),"")</f>
        <v/>
      </c>
      <c r="G61" t="str">
        <f>IFERROR(VLOOKUP($A61,'Student Data'!$A$2:$AR$6,33,0),"")</f>
        <v/>
      </c>
      <c r="H61" t="str">
        <f>IFERROR(VLOOKUP($A61,'Student Data'!$A$2:$AR$6,34,0),"")</f>
        <v/>
      </c>
      <c r="I61" t="str">
        <f>IFERROR(VLOOKUP($A61,'Student Data'!$A$2:$AR$6,35,0),"")</f>
        <v/>
      </c>
      <c r="J61" t="str">
        <f>IFERROR(VLOOKUP($A61,'Student Data'!$A$2:$AR$6,36,0),"")</f>
        <v/>
      </c>
      <c r="K61" t="str">
        <f t="shared" si="0"/>
        <v/>
      </c>
      <c r="L61" t="str">
        <f t="shared" si="1"/>
        <v/>
      </c>
      <c r="M61" t="str">
        <f>IFERROR(IF($C61="","",SUMIFS(Ledger!$K$2:$K$4, Ledger!$B$2:$B$4, $A61, Ledger!$C$2:$C$4, M$2)),"****")</f>
        <v/>
      </c>
      <c r="N61" t="str">
        <f>IFERROR(IF($C61="","",SUMIFS(Ledger!$K$2:$K$4, Ledger!$B$2:$B$4, $A61, Ledger!$C$2:$C$4, N$2)),"****")</f>
        <v/>
      </c>
      <c r="O61" t="str">
        <f>IFERROR(IF($C61="","",SUMIFS(Ledger!$K$2:$K$4, Ledger!$B$2:$B$4, $A61, Ledger!$C$2:$C$4, O$2)),"****")</f>
        <v/>
      </c>
      <c r="P61" t="str">
        <f>IFERROR(IF($C61="","",SUMIFS(Ledger!$K$2:$K$4, Ledger!$B$2:$B$4, $A61, Ledger!$C$2:$C$4, P$2)),"****")</f>
        <v/>
      </c>
      <c r="Q61" t="str">
        <f>IFERROR(IF($C61="","",SUMIFS(Ledger!$K$2:$K$4, Ledger!$B$2:$B$4, $A61, Ledger!$C$2:$C$4, Q$2)),"****")</f>
        <v/>
      </c>
      <c r="R61" t="str">
        <f>IFERROR(IF($C61="","",SUMIFS(Ledger!$K$2:$K$4, Ledger!$B$2:$B$4, $A61, Ledger!$C$2:$C$4, R$2)),"****")</f>
        <v/>
      </c>
      <c r="S61" t="str">
        <f>IFERROR(IF($C61="","",SUMIFS(Ledger!$K$2:$K$4, Ledger!$B$2:$B$4, $A61, Ledger!$C$2:$C$4, S$2)),"****")</f>
        <v/>
      </c>
      <c r="T61" t="str">
        <f>IFERROR(IF($C61="","",SUMIFS(Ledger!$K$2:$K$4, Ledger!$B$2:$B$4, $A61, Ledger!$C$2:$C$4, T$2)),"****")</f>
        <v/>
      </c>
      <c r="U61" t="str">
        <f>IFERROR(IF($C61="","",SUMIFS(Ledger!$K$2:$K$4, Ledger!$B$2:$B$4, $A61, Ledger!$C$2:$C$4, U$2)),"****")</f>
        <v/>
      </c>
      <c r="V61" t="str">
        <f>IFERROR(IF($C61="","",SUMIFS(Ledger!$K$2:$K$4, Ledger!$B$2:$B$4, $A61, Ledger!$C$2:$C$4, V$2)),"****")</f>
        <v/>
      </c>
      <c r="W61" t="str">
        <f>IFERROR(IF($C61="","",SUMIFS(Ledger!$K$2:$K$4, Ledger!$B$2:$B$4, $A61, Ledger!$C$2:$C$4, W$2)),"****")</f>
        <v/>
      </c>
      <c r="X61" t="str">
        <f>IFERROR(IF($C61="","",SUMIFS(Ledger!$K$2:$K$4, Ledger!$B$2:$B$4, $A61, Ledger!$C$2:$C$4, X$2)),"****")</f>
        <v/>
      </c>
    </row>
    <row r="62" spans="1:24" x14ac:dyDescent="0.3">
      <c r="A62" s="106">
        <v>60</v>
      </c>
      <c r="B62" t="str">
        <f>IFERROR(VLOOKUP($A62, Ledger!$B$2:$L$8, 3, 0),"")</f>
        <v/>
      </c>
      <c r="C62" t="str">
        <f>IFERROR(VLOOKUP($A62, Ledger!$B$2:$L$8, 4, 0),"")</f>
        <v/>
      </c>
      <c r="D62" t="str">
        <f>IFERROR(VLOOKUP($A62, Ledger!$B$2:$L$8, 5, 0),"")</f>
        <v/>
      </c>
      <c r="E62" t="str">
        <f>IFERROR(VLOOKUP($A62, Ledger!$B$2:$L$8, 6, 0),"")</f>
        <v/>
      </c>
      <c r="F62" t="str">
        <f>IFERROR(VLOOKUP($A62,'Student Data'!$A$2:$AR$6,32,0),"")</f>
        <v/>
      </c>
      <c r="G62" t="str">
        <f>IFERROR(VLOOKUP($A62,'Student Data'!$A$2:$AR$6,33,0),"")</f>
        <v/>
      </c>
      <c r="H62" t="str">
        <f>IFERROR(VLOOKUP($A62,'Student Data'!$A$2:$AR$6,34,0),"")</f>
        <v/>
      </c>
      <c r="I62" t="str">
        <f>IFERROR(VLOOKUP($A62,'Student Data'!$A$2:$AR$6,35,0),"")</f>
        <v/>
      </c>
      <c r="J62" t="str">
        <f>IFERROR(VLOOKUP($A62,'Student Data'!$A$2:$AR$6,36,0),"")</f>
        <v/>
      </c>
      <c r="K62" t="str">
        <f t="shared" si="0"/>
        <v/>
      </c>
      <c r="L62" t="str">
        <f t="shared" si="1"/>
        <v/>
      </c>
      <c r="M62" t="str">
        <f>IFERROR(IF($C62="","",SUMIFS(Ledger!$K$2:$K$4, Ledger!$B$2:$B$4, $A62, Ledger!$C$2:$C$4, M$2)),"****")</f>
        <v/>
      </c>
      <c r="N62" t="str">
        <f>IFERROR(IF($C62="","",SUMIFS(Ledger!$K$2:$K$4, Ledger!$B$2:$B$4, $A62, Ledger!$C$2:$C$4, N$2)),"****")</f>
        <v/>
      </c>
      <c r="O62" t="str">
        <f>IFERROR(IF($C62="","",SUMIFS(Ledger!$K$2:$K$4, Ledger!$B$2:$B$4, $A62, Ledger!$C$2:$C$4, O$2)),"****")</f>
        <v/>
      </c>
      <c r="P62" t="str">
        <f>IFERROR(IF($C62="","",SUMIFS(Ledger!$K$2:$K$4, Ledger!$B$2:$B$4, $A62, Ledger!$C$2:$C$4, P$2)),"****")</f>
        <v/>
      </c>
      <c r="Q62" t="str">
        <f>IFERROR(IF($C62="","",SUMIFS(Ledger!$K$2:$K$4, Ledger!$B$2:$B$4, $A62, Ledger!$C$2:$C$4, Q$2)),"****")</f>
        <v/>
      </c>
      <c r="R62" t="str">
        <f>IFERROR(IF($C62="","",SUMIFS(Ledger!$K$2:$K$4, Ledger!$B$2:$B$4, $A62, Ledger!$C$2:$C$4, R$2)),"****")</f>
        <v/>
      </c>
      <c r="S62" t="str">
        <f>IFERROR(IF($C62="","",SUMIFS(Ledger!$K$2:$K$4, Ledger!$B$2:$B$4, $A62, Ledger!$C$2:$C$4, S$2)),"****")</f>
        <v/>
      </c>
      <c r="T62" t="str">
        <f>IFERROR(IF($C62="","",SUMIFS(Ledger!$K$2:$K$4, Ledger!$B$2:$B$4, $A62, Ledger!$C$2:$C$4, T$2)),"****")</f>
        <v/>
      </c>
      <c r="U62" t="str">
        <f>IFERROR(IF($C62="","",SUMIFS(Ledger!$K$2:$K$4, Ledger!$B$2:$B$4, $A62, Ledger!$C$2:$C$4, U$2)),"****")</f>
        <v/>
      </c>
      <c r="V62" t="str">
        <f>IFERROR(IF($C62="","",SUMIFS(Ledger!$K$2:$K$4, Ledger!$B$2:$B$4, $A62, Ledger!$C$2:$C$4, V$2)),"****")</f>
        <v/>
      </c>
      <c r="W62" t="str">
        <f>IFERROR(IF($C62="","",SUMIFS(Ledger!$K$2:$K$4, Ledger!$B$2:$B$4, $A62, Ledger!$C$2:$C$4, W$2)),"****")</f>
        <v/>
      </c>
      <c r="X62" t="str">
        <f>IFERROR(IF($C62="","",SUMIFS(Ledger!$K$2:$K$4, Ledger!$B$2:$B$4, $A62, Ledger!$C$2:$C$4, X$2)),"****")</f>
        <v/>
      </c>
    </row>
    <row r="63" spans="1:24" x14ac:dyDescent="0.3">
      <c r="A63" s="106">
        <v>61</v>
      </c>
      <c r="B63" t="str">
        <f>IFERROR(VLOOKUP($A63, Ledger!$B$2:$L$8, 3, 0),"")</f>
        <v/>
      </c>
      <c r="C63" t="str">
        <f>IFERROR(VLOOKUP($A63, Ledger!$B$2:$L$8, 4, 0),"")</f>
        <v/>
      </c>
      <c r="D63" t="str">
        <f>IFERROR(VLOOKUP($A63, Ledger!$B$2:$L$8, 5, 0),"")</f>
        <v/>
      </c>
      <c r="E63" t="str">
        <f>IFERROR(VLOOKUP($A63, Ledger!$B$2:$L$8, 6, 0),"")</f>
        <v/>
      </c>
      <c r="F63" t="str">
        <f>IFERROR(VLOOKUP($A63,'Student Data'!$A$2:$AR$6,32,0),"")</f>
        <v/>
      </c>
      <c r="G63" t="str">
        <f>IFERROR(VLOOKUP($A63,'Student Data'!$A$2:$AR$6,33,0),"")</f>
        <v/>
      </c>
      <c r="H63" t="str">
        <f>IFERROR(VLOOKUP($A63,'Student Data'!$A$2:$AR$6,34,0),"")</f>
        <v/>
      </c>
      <c r="I63" t="str">
        <f>IFERROR(VLOOKUP($A63,'Student Data'!$A$2:$AR$6,35,0),"")</f>
        <v/>
      </c>
      <c r="J63" t="str">
        <f>IFERROR(VLOOKUP($A63,'Student Data'!$A$2:$AR$6,36,0),"")</f>
        <v/>
      </c>
      <c r="K63" t="str">
        <f t="shared" si="0"/>
        <v/>
      </c>
      <c r="L63" t="str">
        <f t="shared" si="1"/>
        <v/>
      </c>
      <c r="M63" t="str">
        <f>IFERROR(IF($C63="","",SUMIFS(Ledger!$K$2:$K$4, Ledger!$B$2:$B$4, $A63, Ledger!$C$2:$C$4, M$2)),"****")</f>
        <v/>
      </c>
      <c r="N63" t="str">
        <f>IFERROR(IF($C63="","",SUMIFS(Ledger!$K$2:$K$4, Ledger!$B$2:$B$4, $A63, Ledger!$C$2:$C$4, N$2)),"****")</f>
        <v/>
      </c>
      <c r="O63" t="str">
        <f>IFERROR(IF($C63="","",SUMIFS(Ledger!$K$2:$K$4, Ledger!$B$2:$B$4, $A63, Ledger!$C$2:$C$4, O$2)),"****")</f>
        <v/>
      </c>
      <c r="P63" t="str">
        <f>IFERROR(IF($C63="","",SUMIFS(Ledger!$K$2:$K$4, Ledger!$B$2:$B$4, $A63, Ledger!$C$2:$C$4, P$2)),"****")</f>
        <v/>
      </c>
      <c r="Q63" t="str">
        <f>IFERROR(IF($C63="","",SUMIFS(Ledger!$K$2:$K$4, Ledger!$B$2:$B$4, $A63, Ledger!$C$2:$C$4, Q$2)),"****")</f>
        <v/>
      </c>
      <c r="R63" t="str">
        <f>IFERROR(IF($C63="","",SUMIFS(Ledger!$K$2:$K$4, Ledger!$B$2:$B$4, $A63, Ledger!$C$2:$C$4, R$2)),"****")</f>
        <v/>
      </c>
      <c r="S63" t="str">
        <f>IFERROR(IF($C63="","",SUMIFS(Ledger!$K$2:$K$4, Ledger!$B$2:$B$4, $A63, Ledger!$C$2:$C$4, S$2)),"****")</f>
        <v/>
      </c>
      <c r="T63" t="str">
        <f>IFERROR(IF($C63="","",SUMIFS(Ledger!$K$2:$K$4, Ledger!$B$2:$B$4, $A63, Ledger!$C$2:$C$4, T$2)),"****")</f>
        <v/>
      </c>
      <c r="U63" t="str">
        <f>IFERROR(IF($C63="","",SUMIFS(Ledger!$K$2:$K$4, Ledger!$B$2:$B$4, $A63, Ledger!$C$2:$C$4, U$2)),"****")</f>
        <v/>
      </c>
      <c r="V63" t="str">
        <f>IFERROR(IF($C63="","",SUMIFS(Ledger!$K$2:$K$4, Ledger!$B$2:$B$4, $A63, Ledger!$C$2:$C$4, V$2)),"****")</f>
        <v/>
      </c>
      <c r="W63" t="str">
        <f>IFERROR(IF($C63="","",SUMIFS(Ledger!$K$2:$K$4, Ledger!$B$2:$B$4, $A63, Ledger!$C$2:$C$4, W$2)),"****")</f>
        <v/>
      </c>
      <c r="X63" t="str">
        <f>IFERROR(IF($C63="","",SUMIFS(Ledger!$K$2:$K$4, Ledger!$B$2:$B$4, $A63, Ledger!$C$2:$C$4, X$2)),"****")</f>
        <v/>
      </c>
    </row>
    <row r="64" spans="1:24" x14ac:dyDescent="0.3">
      <c r="A64" s="106">
        <v>62</v>
      </c>
      <c r="B64" t="str">
        <f>IFERROR(VLOOKUP($A64, Ledger!$B$2:$L$8, 3, 0),"")</f>
        <v/>
      </c>
      <c r="C64" t="str">
        <f>IFERROR(VLOOKUP($A64, Ledger!$B$2:$L$8, 4, 0),"")</f>
        <v/>
      </c>
      <c r="D64" t="str">
        <f>IFERROR(VLOOKUP($A64, Ledger!$B$2:$L$8, 5, 0),"")</f>
        <v/>
      </c>
      <c r="E64" t="str">
        <f>IFERROR(VLOOKUP($A64, Ledger!$B$2:$L$8, 6, 0),"")</f>
        <v/>
      </c>
      <c r="F64" t="str">
        <f>IFERROR(VLOOKUP($A64,'Student Data'!$A$2:$AR$6,32,0),"")</f>
        <v/>
      </c>
      <c r="G64" t="str">
        <f>IFERROR(VLOOKUP($A64,'Student Data'!$A$2:$AR$6,33,0),"")</f>
        <v/>
      </c>
      <c r="H64" t="str">
        <f>IFERROR(VLOOKUP($A64,'Student Data'!$A$2:$AR$6,34,0),"")</f>
        <v/>
      </c>
      <c r="I64" t="str">
        <f>IFERROR(VLOOKUP($A64,'Student Data'!$A$2:$AR$6,35,0),"")</f>
        <v/>
      </c>
      <c r="J64" t="str">
        <f>IFERROR(VLOOKUP($A64,'Student Data'!$A$2:$AR$6,36,0),"")</f>
        <v/>
      </c>
      <c r="K64" t="str">
        <f t="shared" si="0"/>
        <v/>
      </c>
      <c r="L64" t="str">
        <f t="shared" si="1"/>
        <v/>
      </c>
      <c r="M64" t="str">
        <f>IFERROR(IF($C64="","",SUMIFS(Ledger!$K$2:$K$4, Ledger!$B$2:$B$4, $A64, Ledger!$C$2:$C$4, M$2)),"****")</f>
        <v/>
      </c>
      <c r="N64" t="str">
        <f>IFERROR(IF($C64="","",SUMIFS(Ledger!$K$2:$K$4, Ledger!$B$2:$B$4, $A64, Ledger!$C$2:$C$4, N$2)),"****")</f>
        <v/>
      </c>
      <c r="O64" t="str">
        <f>IFERROR(IF($C64="","",SUMIFS(Ledger!$K$2:$K$4, Ledger!$B$2:$B$4, $A64, Ledger!$C$2:$C$4, O$2)),"****")</f>
        <v/>
      </c>
      <c r="P64" t="str">
        <f>IFERROR(IF($C64="","",SUMIFS(Ledger!$K$2:$K$4, Ledger!$B$2:$B$4, $A64, Ledger!$C$2:$C$4, P$2)),"****")</f>
        <v/>
      </c>
      <c r="Q64" t="str">
        <f>IFERROR(IF($C64="","",SUMIFS(Ledger!$K$2:$K$4, Ledger!$B$2:$B$4, $A64, Ledger!$C$2:$C$4, Q$2)),"****")</f>
        <v/>
      </c>
      <c r="R64" t="str">
        <f>IFERROR(IF($C64="","",SUMIFS(Ledger!$K$2:$K$4, Ledger!$B$2:$B$4, $A64, Ledger!$C$2:$C$4, R$2)),"****")</f>
        <v/>
      </c>
      <c r="S64" t="str">
        <f>IFERROR(IF($C64="","",SUMIFS(Ledger!$K$2:$K$4, Ledger!$B$2:$B$4, $A64, Ledger!$C$2:$C$4, S$2)),"****")</f>
        <v/>
      </c>
      <c r="T64" t="str">
        <f>IFERROR(IF($C64="","",SUMIFS(Ledger!$K$2:$K$4, Ledger!$B$2:$B$4, $A64, Ledger!$C$2:$C$4, T$2)),"****")</f>
        <v/>
      </c>
      <c r="U64" t="str">
        <f>IFERROR(IF($C64="","",SUMIFS(Ledger!$K$2:$K$4, Ledger!$B$2:$B$4, $A64, Ledger!$C$2:$C$4, U$2)),"****")</f>
        <v/>
      </c>
      <c r="V64" t="str">
        <f>IFERROR(IF($C64="","",SUMIFS(Ledger!$K$2:$K$4, Ledger!$B$2:$B$4, $A64, Ledger!$C$2:$C$4, V$2)),"****")</f>
        <v/>
      </c>
      <c r="W64" t="str">
        <f>IFERROR(IF($C64="","",SUMIFS(Ledger!$K$2:$K$4, Ledger!$B$2:$B$4, $A64, Ledger!$C$2:$C$4, W$2)),"****")</f>
        <v/>
      </c>
      <c r="X64" t="str">
        <f>IFERROR(IF($C64="","",SUMIFS(Ledger!$K$2:$K$4, Ledger!$B$2:$B$4, $A64, Ledger!$C$2:$C$4, X$2)),"****")</f>
        <v/>
      </c>
    </row>
    <row r="65" spans="1:24" x14ac:dyDescent="0.3">
      <c r="A65" s="106">
        <v>63</v>
      </c>
      <c r="B65" t="str">
        <f>IFERROR(VLOOKUP($A65, Ledger!$B$2:$L$8, 3, 0),"")</f>
        <v/>
      </c>
      <c r="C65" t="str">
        <f>IFERROR(VLOOKUP($A65, Ledger!$B$2:$L$8, 4, 0),"")</f>
        <v/>
      </c>
      <c r="D65" t="str">
        <f>IFERROR(VLOOKUP($A65, Ledger!$B$2:$L$8, 5, 0),"")</f>
        <v/>
      </c>
      <c r="E65" t="str">
        <f>IFERROR(VLOOKUP($A65, Ledger!$B$2:$L$8, 6, 0),"")</f>
        <v/>
      </c>
      <c r="F65" t="str">
        <f>IFERROR(VLOOKUP($A65,'Student Data'!$A$2:$AR$6,32,0),"")</f>
        <v/>
      </c>
      <c r="G65" t="str">
        <f>IFERROR(VLOOKUP($A65,'Student Data'!$A$2:$AR$6,33,0),"")</f>
        <v/>
      </c>
      <c r="H65" t="str">
        <f>IFERROR(VLOOKUP($A65,'Student Data'!$A$2:$AR$6,34,0),"")</f>
        <v/>
      </c>
      <c r="I65" t="str">
        <f>IFERROR(VLOOKUP($A65,'Student Data'!$A$2:$AR$6,35,0),"")</f>
        <v/>
      </c>
      <c r="J65" t="str">
        <f>IFERROR(VLOOKUP($A65,'Student Data'!$A$2:$AR$6,36,0),"")</f>
        <v/>
      </c>
      <c r="K65" t="str">
        <f t="shared" si="0"/>
        <v/>
      </c>
      <c r="L65" t="str">
        <f t="shared" si="1"/>
        <v/>
      </c>
      <c r="M65" t="str">
        <f>IFERROR(IF($C65="","",SUMIFS(Ledger!$K$2:$K$4, Ledger!$B$2:$B$4, $A65, Ledger!$C$2:$C$4, M$2)),"****")</f>
        <v/>
      </c>
      <c r="N65" t="str">
        <f>IFERROR(IF($C65="","",SUMIFS(Ledger!$K$2:$K$4, Ledger!$B$2:$B$4, $A65, Ledger!$C$2:$C$4, N$2)),"****")</f>
        <v/>
      </c>
      <c r="O65" t="str">
        <f>IFERROR(IF($C65="","",SUMIFS(Ledger!$K$2:$K$4, Ledger!$B$2:$B$4, $A65, Ledger!$C$2:$C$4, O$2)),"****")</f>
        <v/>
      </c>
      <c r="P65" t="str">
        <f>IFERROR(IF($C65="","",SUMIFS(Ledger!$K$2:$K$4, Ledger!$B$2:$B$4, $A65, Ledger!$C$2:$C$4, P$2)),"****")</f>
        <v/>
      </c>
      <c r="Q65" t="str">
        <f>IFERROR(IF($C65="","",SUMIFS(Ledger!$K$2:$K$4, Ledger!$B$2:$B$4, $A65, Ledger!$C$2:$C$4, Q$2)),"****")</f>
        <v/>
      </c>
      <c r="R65" t="str">
        <f>IFERROR(IF($C65="","",SUMIFS(Ledger!$K$2:$K$4, Ledger!$B$2:$B$4, $A65, Ledger!$C$2:$C$4, R$2)),"****")</f>
        <v/>
      </c>
      <c r="S65" t="str">
        <f>IFERROR(IF($C65="","",SUMIFS(Ledger!$K$2:$K$4, Ledger!$B$2:$B$4, $A65, Ledger!$C$2:$C$4, S$2)),"****")</f>
        <v/>
      </c>
      <c r="T65" t="str">
        <f>IFERROR(IF($C65="","",SUMIFS(Ledger!$K$2:$K$4, Ledger!$B$2:$B$4, $A65, Ledger!$C$2:$C$4, T$2)),"****")</f>
        <v/>
      </c>
      <c r="U65" t="str">
        <f>IFERROR(IF($C65="","",SUMIFS(Ledger!$K$2:$K$4, Ledger!$B$2:$B$4, $A65, Ledger!$C$2:$C$4, U$2)),"****")</f>
        <v/>
      </c>
      <c r="V65" t="str">
        <f>IFERROR(IF($C65="","",SUMIFS(Ledger!$K$2:$K$4, Ledger!$B$2:$B$4, $A65, Ledger!$C$2:$C$4, V$2)),"****")</f>
        <v/>
      </c>
      <c r="W65" t="str">
        <f>IFERROR(IF($C65="","",SUMIFS(Ledger!$K$2:$K$4, Ledger!$B$2:$B$4, $A65, Ledger!$C$2:$C$4, W$2)),"****")</f>
        <v/>
      </c>
      <c r="X65" t="str">
        <f>IFERROR(IF($C65="","",SUMIFS(Ledger!$K$2:$K$4, Ledger!$B$2:$B$4, $A65, Ledger!$C$2:$C$4, X$2)),"****")</f>
        <v/>
      </c>
    </row>
    <row r="66" spans="1:24" x14ac:dyDescent="0.3">
      <c r="A66" s="106">
        <v>64</v>
      </c>
      <c r="B66" t="str">
        <f>IFERROR(VLOOKUP($A66, Ledger!$B$2:$L$8, 3, 0),"")</f>
        <v/>
      </c>
      <c r="C66" t="str">
        <f>IFERROR(VLOOKUP($A66, Ledger!$B$2:$L$8, 4, 0),"")</f>
        <v/>
      </c>
      <c r="D66" t="str">
        <f>IFERROR(VLOOKUP($A66, Ledger!$B$2:$L$8, 5, 0),"")</f>
        <v/>
      </c>
      <c r="E66" t="str">
        <f>IFERROR(VLOOKUP($A66, Ledger!$B$2:$L$8, 6, 0),"")</f>
        <v/>
      </c>
      <c r="F66" t="str">
        <f>IFERROR(VLOOKUP($A66,'Student Data'!$A$2:$AR$6,32,0),"")</f>
        <v/>
      </c>
      <c r="G66" t="str">
        <f>IFERROR(VLOOKUP($A66,'Student Data'!$A$2:$AR$6,33,0),"")</f>
        <v/>
      </c>
      <c r="H66" t="str">
        <f>IFERROR(VLOOKUP($A66,'Student Data'!$A$2:$AR$6,34,0),"")</f>
        <v/>
      </c>
      <c r="I66" t="str">
        <f>IFERROR(VLOOKUP($A66,'Student Data'!$A$2:$AR$6,35,0),"")</f>
        <v/>
      </c>
      <c r="J66" t="str">
        <f>IFERROR(VLOOKUP($A66,'Student Data'!$A$2:$AR$6,36,0),"")</f>
        <v/>
      </c>
      <c r="K66" t="str">
        <f t="shared" si="0"/>
        <v/>
      </c>
      <c r="L66" t="str">
        <f t="shared" si="1"/>
        <v/>
      </c>
      <c r="M66" t="str">
        <f>IFERROR(IF($C66="","",SUMIFS(Ledger!$K$2:$K$4, Ledger!$B$2:$B$4, $A66, Ledger!$C$2:$C$4, M$2)),"****")</f>
        <v/>
      </c>
      <c r="N66" t="str">
        <f>IFERROR(IF($C66="","",SUMIFS(Ledger!$K$2:$K$4, Ledger!$B$2:$B$4, $A66, Ledger!$C$2:$C$4, N$2)),"****")</f>
        <v/>
      </c>
      <c r="O66" t="str">
        <f>IFERROR(IF($C66="","",SUMIFS(Ledger!$K$2:$K$4, Ledger!$B$2:$B$4, $A66, Ledger!$C$2:$C$4, O$2)),"****")</f>
        <v/>
      </c>
      <c r="P66" t="str">
        <f>IFERROR(IF($C66="","",SUMIFS(Ledger!$K$2:$K$4, Ledger!$B$2:$B$4, $A66, Ledger!$C$2:$C$4, P$2)),"****")</f>
        <v/>
      </c>
      <c r="Q66" t="str">
        <f>IFERROR(IF($C66="","",SUMIFS(Ledger!$K$2:$K$4, Ledger!$B$2:$B$4, $A66, Ledger!$C$2:$C$4, Q$2)),"****")</f>
        <v/>
      </c>
      <c r="R66" t="str">
        <f>IFERROR(IF($C66="","",SUMIFS(Ledger!$K$2:$K$4, Ledger!$B$2:$B$4, $A66, Ledger!$C$2:$C$4, R$2)),"****")</f>
        <v/>
      </c>
      <c r="S66" t="str">
        <f>IFERROR(IF($C66="","",SUMIFS(Ledger!$K$2:$K$4, Ledger!$B$2:$B$4, $A66, Ledger!$C$2:$C$4, S$2)),"****")</f>
        <v/>
      </c>
      <c r="T66" t="str">
        <f>IFERROR(IF($C66="","",SUMIFS(Ledger!$K$2:$K$4, Ledger!$B$2:$B$4, $A66, Ledger!$C$2:$C$4, T$2)),"****")</f>
        <v/>
      </c>
      <c r="U66" t="str">
        <f>IFERROR(IF($C66="","",SUMIFS(Ledger!$K$2:$K$4, Ledger!$B$2:$B$4, $A66, Ledger!$C$2:$C$4, U$2)),"****")</f>
        <v/>
      </c>
      <c r="V66" t="str">
        <f>IFERROR(IF($C66="","",SUMIFS(Ledger!$K$2:$K$4, Ledger!$B$2:$B$4, $A66, Ledger!$C$2:$C$4, V$2)),"****")</f>
        <v/>
      </c>
      <c r="W66" t="str">
        <f>IFERROR(IF($C66="","",SUMIFS(Ledger!$K$2:$K$4, Ledger!$B$2:$B$4, $A66, Ledger!$C$2:$C$4, W$2)),"****")</f>
        <v/>
      </c>
      <c r="X66" t="str">
        <f>IFERROR(IF($C66="","",SUMIFS(Ledger!$K$2:$K$4, Ledger!$B$2:$B$4, $A66, Ledger!$C$2:$C$4, X$2)),"****")</f>
        <v/>
      </c>
    </row>
    <row r="67" spans="1:24" x14ac:dyDescent="0.3">
      <c r="A67" s="106">
        <v>65</v>
      </c>
      <c r="B67" t="str">
        <f>IFERROR(VLOOKUP($A67, Ledger!$B$2:$L$8, 3, 0),"")</f>
        <v/>
      </c>
      <c r="C67" t="str">
        <f>IFERROR(VLOOKUP($A67, Ledger!$B$2:$L$8, 4, 0),"")</f>
        <v/>
      </c>
      <c r="D67" t="str">
        <f>IFERROR(VLOOKUP($A67, Ledger!$B$2:$L$8, 5, 0),"")</f>
        <v/>
      </c>
      <c r="E67" t="str">
        <f>IFERROR(VLOOKUP($A67, Ledger!$B$2:$L$8, 6, 0),"")</f>
        <v/>
      </c>
      <c r="F67" t="str">
        <f>IFERROR(VLOOKUP($A67,'Student Data'!$A$2:$AR$6,32,0),"")</f>
        <v/>
      </c>
      <c r="G67" t="str">
        <f>IFERROR(VLOOKUP($A67,'Student Data'!$A$2:$AR$6,33,0),"")</f>
        <v/>
      </c>
      <c r="H67" t="str">
        <f>IFERROR(VLOOKUP($A67,'Student Data'!$A$2:$AR$6,34,0),"")</f>
        <v/>
      </c>
      <c r="I67" t="str">
        <f>IFERROR(VLOOKUP($A67,'Student Data'!$A$2:$AR$6,35,0),"")</f>
        <v/>
      </c>
      <c r="J67" t="str">
        <f>IFERROR(VLOOKUP($A67,'Student Data'!$A$2:$AR$6,36,0),"")</f>
        <v/>
      </c>
      <c r="K67" t="str">
        <f t="shared" si="0"/>
        <v/>
      </c>
      <c r="L67" t="str">
        <f t="shared" si="1"/>
        <v/>
      </c>
      <c r="M67" t="str">
        <f>IFERROR(IF($C67="","",SUMIFS(Ledger!$K$2:$K$4, Ledger!$B$2:$B$4, $A67, Ledger!$C$2:$C$4, M$2)),"****")</f>
        <v/>
      </c>
      <c r="N67" t="str">
        <f>IFERROR(IF($C67="","",SUMIFS(Ledger!$K$2:$K$4, Ledger!$B$2:$B$4, $A67, Ledger!$C$2:$C$4, N$2)),"****")</f>
        <v/>
      </c>
      <c r="O67" t="str">
        <f>IFERROR(IF($C67="","",SUMIFS(Ledger!$K$2:$K$4, Ledger!$B$2:$B$4, $A67, Ledger!$C$2:$C$4, O$2)),"****")</f>
        <v/>
      </c>
      <c r="P67" t="str">
        <f>IFERROR(IF($C67="","",SUMIFS(Ledger!$K$2:$K$4, Ledger!$B$2:$B$4, $A67, Ledger!$C$2:$C$4, P$2)),"****")</f>
        <v/>
      </c>
      <c r="Q67" t="str">
        <f>IFERROR(IF($C67="","",SUMIFS(Ledger!$K$2:$K$4, Ledger!$B$2:$B$4, $A67, Ledger!$C$2:$C$4, Q$2)),"****")</f>
        <v/>
      </c>
      <c r="R67" t="str">
        <f>IFERROR(IF($C67="","",SUMIFS(Ledger!$K$2:$K$4, Ledger!$B$2:$B$4, $A67, Ledger!$C$2:$C$4, R$2)),"****")</f>
        <v/>
      </c>
      <c r="S67" t="str">
        <f>IFERROR(IF($C67="","",SUMIFS(Ledger!$K$2:$K$4, Ledger!$B$2:$B$4, $A67, Ledger!$C$2:$C$4, S$2)),"****")</f>
        <v/>
      </c>
      <c r="T67" t="str">
        <f>IFERROR(IF($C67="","",SUMIFS(Ledger!$K$2:$K$4, Ledger!$B$2:$B$4, $A67, Ledger!$C$2:$C$4, T$2)),"****")</f>
        <v/>
      </c>
      <c r="U67" t="str">
        <f>IFERROR(IF($C67="","",SUMIFS(Ledger!$K$2:$K$4, Ledger!$B$2:$B$4, $A67, Ledger!$C$2:$C$4, U$2)),"****")</f>
        <v/>
      </c>
      <c r="V67" t="str">
        <f>IFERROR(IF($C67="","",SUMIFS(Ledger!$K$2:$K$4, Ledger!$B$2:$B$4, $A67, Ledger!$C$2:$C$4, V$2)),"****")</f>
        <v/>
      </c>
      <c r="W67" t="str">
        <f>IFERROR(IF($C67="","",SUMIFS(Ledger!$K$2:$K$4, Ledger!$B$2:$B$4, $A67, Ledger!$C$2:$C$4, W$2)),"****")</f>
        <v/>
      </c>
      <c r="X67" t="str">
        <f>IFERROR(IF($C67="","",SUMIFS(Ledger!$K$2:$K$4, Ledger!$B$2:$B$4, $A67, Ledger!$C$2:$C$4, X$2)),"****")</f>
        <v/>
      </c>
    </row>
    <row r="68" spans="1:24" x14ac:dyDescent="0.3">
      <c r="A68" s="106">
        <v>66</v>
      </c>
      <c r="B68" t="str">
        <f>IFERROR(VLOOKUP($A68, Ledger!$B$2:$L$8, 3, 0),"")</f>
        <v/>
      </c>
      <c r="C68" t="str">
        <f>IFERROR(VLOOKUP($A68, Ledger!$B$2:$L$8, 4, 0),"")</f>
        <v/>
      </c>
      <c r="D68" t="str">
        <f>IFERROR(VLOOKUP($A68, Ledger!$B$2:$L$8, 5, 0),"")</f>
        <v/>
      </c>
      <c r="E68" t="str">
        <f>IFERROR(VLOOKUP($A68, Ledger!$B$2:$L$8, 6, 0),"")</f>
        <v/>
      </c>
      <c r="F68" t="str">
        <f>IFERROR(VLOOKUP($A68,'Student Data'!$A$2:$AR$6,32,0),"")</f>
        <v/>
      </c>
      <c r="G68" t="str">
        <f>IFERROR(VLOOKUP($A68,'Student Data'!$A$2:$AR$6,33,0),"")</f>
        <v/>
      </c>
      <c r="H68" t="str">
        <f>IFERROR(VLOOKUP($A68,'Student Data'!$A$2:$AR$6,34,0),"")</f>
        <v/>
      </c>
      <c r="I68" t="str">
        <f>IFERROR(VLOOKUP($A68,'Student Data'!$A$2:$AR$6,35,0),"")</f>
        <v/>
      </c>
      <c r="J68" t="str">
        <f>IFERROR(VLOOKUP($A68,'Student Data'!$A$2:$AR$6,36,0),"")</f>
        <v/>
      </c>
      <c r="K68" t="str">
        <f t="shared" ref="K68:K131" si="2">IFERROR(IF(C68="","",SUM(M68:X68)),"0")</f>
        <v/>
      </c>
      <c r="L68" t="str">
        <f t="shared" ref="L68:L131" si="3">IFERROR(IF(C68="","",J68-K68),"0")</f>
        <v/>
      </c>
      <c r="M68" t="str">
        <f>IFERROR(IF($C68="","",SUMIFS(Ledger!$K$2:$K$4, Ledger!$B$2:$B$4, $A68, Ledger!$C$2:$C$4, M$2)),"****")</f>
        <v/>
      </c>
      <c r="N68" t="str">
        <f>IFERROR(IF($C68="","",SUMIFS(Ledger!$K$2:$K$4, Ledger!$B$2:$B$4, $A68, Ledger!$C$2:$C$4, N$2)),"****")</f>
        <v/>
      </c>
      <c r="O68" t="str">
        <f>IFERROR(IF($C68="","",SUMIFS(Ledger!$K$2:$K$4, Ledger!$B$2:$B$4, $A68, Ledger!$C$2:$C$4, O$2)),"****")</f>
        <v/>
      </c>
      <c r="P68" t="str">
        <f>IFERROR(IF($C68="","",SUMIFS(Ledger!$K$2:$K$4, Ledger!$B$2:$B$4, $A68, Ledger!$C$2:$C$4, P$2)),"****")</f>
        <v/>
      </c>
      <c r="Q68" t="str">
        <f>IFERROR(IF($C68="","",SUMIFS(Ledger!$K$2:$K$4, Ledger!$B$2:$B$4, $A68, Ledger!$C$2:$C$4, Q$2)),"****")</f>
        <v/>
      </c>
      <c r="R68" t="str">
        <f>IFERROR(IF($C68="","",SUMIFS(Ledger!$K$2:$K$4, Ledger!$B$2:$B$4, $A68, Ledger!$C$2:$C$4, R$2)),"****")</f>
        <v/>
      </c>
      <c r="S68" t="str">
        <f>IFERROR(IF($C68="","",SUMIFS(Ledger!$K$2:$K$4, Ledger!$B$2:$B$4, $A68, Ledger!$C$2:$C$4, S$2)),"****")</f>
        <v/>
      </c>
      <c r="T68" t="str">
        <f>IFERROR(IF($C68="","",SUMIFS(Ledger!$K$2:$K$4, Ledger!$B$2:$B$4, $A68, Ledger!$C$2:$C$4, T$2)),"****")</f>
        <v/>
      </c>
      <c r="U68" t="str">
        <f>IFERROR(IF($C68="","",SUMIFS(Ledger!$K$2:$K$4, Ledger!$B$2:$B$4, $A68, Ledger!$C$2:$C$4, U$2)),"****")</f>
        <v/>
      </c>
      <c r="V68" t="str">
        <f>IFERROR(IF($C68="","",SUMIFS(Ledger!$K$2:$K$4, Ledger!$B$2:$B$4, $A68, Ledger!$C$2:$C$4, V$2)),"****")</f>
        <v/>
      </c>
      <c r="W68" t="str">
        <f>IFERROR(IF($C68="","",SUMIFS(Ledger!$K$2:$K$4, Ledger!$B$2:$B$4, $A68, Ledger!$C$2:$C$4, W$2)),"****")</f>
        <v/>
      </c>
      <c r="X68" t="str">
        <f>IFERROR(IF($C68="","",SUMIFS(Ledger!$K$2:$K$4, Ledger!$B$2:$B$4, $A68, Ledger!$C$2:$C$4, X$2)),"****")</f>
        <v/>
      </c>
    </row>
    <row r="69" spans="1:24" x14ac:dyDescent="0.3">
      <c r="A69" s="106">
        <v>67</v>
      </c>
      <c r="B69" t="str">
        <f>IFERROR(VLOOKUP($A69, Ledger!$B$2:$L$8, 3, 0),"")</f>
        <v/>
      </c>
      <c r="C69" t="str">
        <f>IFERROR(VLOOKUP($A69, Ledger!$B$2:$L$8, 4, 0),"")</f>
        <v/>
      </c>
      <c r="D69" t="str">
        <f>IFERROR(VLOOKUP($A69, Ledger!$B$2:$L$8, 5, 0),"")</f>
        <v/>
      </c>
      <c r="E69" t="str">
        <f>IFERROR(VLOOKUP($A69, Ledger!$B$2:$L$8, 6, 0),"")</f>
        <v/>
      </c>
      <c r="F69" t="str">
        <f>IFERROR(VLOOKUP($A69,'Student Data'!$A$2:$AR$6,32,0),"")</f>
        <v/>
      </c>
      <c r="G69" t="str">
        <f>IFERROR(VLOOKUP($A69,'Student Data'!$A$2:$AR$6,33,0),"")</f>
        <v/>
      </c>
      <c r="H69" t="str">
        <f>IFERROR(VLOOKUP($A69,'Student Data'!$A$2:$AR$6,34,0),"")</f>
        <v/>
      </c>
      <c r="I69" t="str">
        <f>IFERROR(VLOOKUP($A69,'Student Data'!$A$2:$AR$6,35,0),"")</f>
        <v/>
      </c>
      <c r="J69" t="str">
        <f>IFERROR(VLOOKUP($A69,'Student Data'!$A$2:$AR$6,36,0),"")</f>
        <v/>
      </c>
      <c r="K69" t="str">
        <f t="shared" si="2"/>
        <v/>
      </c>
      <c r="L69" t="str">
        <f t="shared" si="3"/>
        <v/>
      </c>
      <c r="M69" t="str">
        <f>IFERROR(IF($C69="","",SUMIFS(Ledger!$K$2:$K$4, Ledger!$B$2:$B$4, $A69, Ledger!$C$2:$C$4, M$2)),"****")</f>
        <v/>
      </c>
      <c r="N69" t="str">
        <f>IFERROR(IF($C69="","",SUMIFS(Ledger!$K$2:$K$4, Ledger!$B$2:$B$4, $A69, Ledger!$C$2:$C$4, N$2)),"****")</f>
        <v/>
      </c>
      <c r="O69" t="str">
        <f>IFERROR(IF($C69="","",SUMIFS(Ledger!$K$2:$K$4, Ledger!$B$2:$B$4, $A69, Ledger!$C$2:$C$4, O$2)),"****")</f>
        <v/>
      </c>
      <c r="P69" t="str">
        <f>IFERROR(IF($C69="","",SUMIFS(Ledger!$K$2:$K$4, Ledger!$B$2:$B$4, $A69, Ledger!$C$2:$C$4, P$2)),"****")</f>
        <v/>
      </c>
      <c r="Q69" t="str">
        <f>IFERROR(IF($C69="","",SUMIFS(Ledger!$K$2:$K$4, Ledger!$B$2:$B$4, $A69, Ledger!$C$2:$C$4, Q$2)),"****")</f>
        <v/>
      </c>
      <c r="R69" t="str">
        <f>IFERROR(IF($C69="","",SUMIFS(Ledger!$K$2:$K$4, Ledger!$B$2:$B$4, $A69, Ledger!$C$2:$C$4, R$2)),"****")</f>
        <v/>
      </c>
      <c r="S69" t="str">
        <f>IFERROR(IF($C69="","",SUMIFS(Ledger!$K$2:$K$4, Ledger!$B$2:$B$4, $A69, Ledger!$C$2:$C$4, S$2)),"****")</f>
        <v/>
      </c>
      <c r="T69" t="str">
        <f>IFERROR(IF($C69="","",SUMIFS(Ledger!$K$2:$K$4, Ledger!$B$2:$B$4, $A69, Ledger!$C$2:$C$4, T$2)),"****")</f>
        <v/>
      </c>
      <c r="U69" t="str">
        <f>IFERROR(IF($C69="","",SUMIFS(Ledger!$K$2:$K$4, Ledger!$B$2:$B$4, $A69, Ledger!$C$2:$C$4, U$2)),"****")</f>
        <v/>
      </c>
      <c r="V69" t="str">
        <f>IFERROR(IF($C69="","",SUMIFS(Ledger!$K$2:$K$4, Ledger!$B$2:$B$4, $A69, Ledger!$C$2:$C$4, V$2)),"****")</f>
        <v/>
      </c>
      <c r="W69" t="str">
        <f>IFERROR(IF($C69="","",SUMIFS(Ledger!$K$2:$K$4, Ledger!$B$2:$B$4, $A69, Ledger!$C$2:$C$4, W$2)),"****")</f>
        <v/>
      </c>
      <c r="X69" t="str">
        <f>IFERROR(IF($C69="","",SUMIFS(Ledger!$K$2:$K$4, Ledger!$B$2:$B$4, $A69, Ledger!$C$2:$C$4, X$2)),"****")</f>
        <v/>
      </c>
    </row>
    <row r="70" spans="1:24" x14ac:dyDescent="0.3">
      <c r="A70" s="106">
        <v>68</v>
      </c>
      <c r="B70" t="str">
        <f>IFERROR(VLOOKUP($A70, Ledger!$B$2:$L$8, 3, 0),"")</f>
        <v/>
      </c>
      <c r="C70" t="str">
        <f>IFERROR(VLOOKUP($A70, Ledger!$B$2:$L$8, 4, 0),"")</f>
        <v/>
      </c>
      <c r="D70" t="str">
        <f>IFERROR(VLOOKUP($A70, Ledger!$B$2:$L$8, 5, 0),"")</f>
        <v/>
      </c>
      <c r="E70" t="str">
        <f>IFERROR(VLOOKUP($A70, Ledger!$B$2:$L$8, 6, 0),"")</f>
        <v/>
      </c>
      <c r="F70" t="str">
        <f>IFERROR(VLOOKUP($A70,'Student Data'!$A$2:$AR$6,32,0),"")</f>
        <v/>
      </c>
      <c r="G70" t="str">
        <f>IFERROR(VLOOKUP($A70,'Student Data'!$A$2:$AR$6,33,0),"")</f>
        <v/>
      </c>
      <c r="H70" t="str">
        <f>IFERROR(VLOOKUP($A70,'Student Data'!$A$2:$AR$6,34,0),"")</f>
        <v/>
      </c>
      <c r="I70" t="str">
        <f>IFERROR(VLOOKUP($A70,'Student Data'!$A$2:$AR$6,35,0),"")</f>
        <v/>
      </c>
      <c r="J70" t="str">
        <f>IFERROR(VLOOKUP($A70,'Student Data'!$A$2:$AR$6,36,0),"")</f>
        <v/>
      </c>
      <c r="K70" t="str">
        <f t="shared" si="2"/>
        <v/>
      </c>
      <c r="L70" t="str">
        <f t="shared" si="3"/>
        <v/>
      </c>
      <c r="M70" t="str">
        <f>IFERROR(IF($C70="","",SUMIFS(Ledger!$K$2:$K$4, Ledger!$B$2:$B$4, $A70, Ledger!$C$2:$C$4, M$2)),"****")</f>
        <v/>
      </c>
      <c r="N70" t="str">
        <f>IFERROR(IF($C70="","",SUMIFS(Ledger!$K$2:$K$4, Ledger!$B$2:$B$4, $A70, Ledger!$C$2:$C$4, N$2)),"****")</f>
        <v/>
      </c>
      <c r="O70" t="str">
        <f>IFERROR(IF($C70="","",SUMIFS(Ledger!$K$2:$K$4, Ledger!$B$2:$B$4, $A70, Ledger!$C$2:$C$4, O$2)),"****")</f>
        <v/>
      </c>
      <c r="P70" t="str">
        <f>IFERROR(IF($C70="","",SUMIFS(Ledger!$K$2:$K$4, Ledger!$B$2:$B$4, $A70, Ledger!$C$2:$C$4, P$2)),"****")</f>
        <v/>
      </c>
      <c r="Q70" t="str">
        <f>IFERROR(IF($C70="","",SUMIFS(Ledger!$K$2:$K$4, Ledger!$B$2:$B$4, $A70, Ledger!$C$2:$C$4, Q$2)),"****")</f>
        <v/>
      </c>
      <c r="R70" t="str">
        <f>IFERROR(IF($C70="","",SUMIFS(Ledger!$K$2:$K$4, Ledger!$B$2:$B$4, $A70, Ledger!$C$2:$C$4, R$2)),"****")</f>
        <v/>
      </c>
      <c r="S70" t="str">
        <f>IFERROR(IF($C70="","",SUMIFS(Ledger!$K$2:$K$4, Ledger!$B$2:$B$4, $A70, Ledger!$C$2:$C$4, S$2)),"****")</f>
        <v/>
      </c>
      <c r="T70" t="str">
        <f>IFERROR(IF($C70="","",SUMIFS(Ledger!$K$2:$K$4, Ledger!$B$2:$B$4, $A70, Ledger!$C$2:$C$4, T$2)),"****")</f>
        <v/>
      </c>
      <c r="U70" t="str">
        <f>IFERROR(IF($C70="","",SUMIFS(Ledger!$K$2:$K$4, Ledger!$B$2:$B$4, $A70, Ledger!$C$2:$C$4, U$2)),"****")</f>
        <v/>
      </c>
      <c r="V70" t="str">
        <f>IFERROR(IF($C70="","",SUMIFS(Ledger!$K$2:$K$4, Ledger!$B$2:$B$4, $A70, Ledger!$C$2:$C$4, V$2)),"****")</f>
        <v/>
      </c>
      <c r="W70" t="str">
        <f>IFERROR(IF($C70="","",SUMIFS(Ledger!$K$2:$K$4, Ledger!$B$2:$B$4, $A70, Ledger!$C$2:$C$4, W$2)),"****")</f>
        <v/>
      </c>
      <c r="X70" t="str">
        <f>IFERROR(IF($C70="","",SUMIFS(Ledger!$K$2:$K$4, Ledger!$B$2:$B$4, $A70, Ledger!$C$2:$C$4, X$2)),"****")</f>
        <v/>
      </c>
    </row>
    <row r="71" spans="1:24" x14ac:dyDescent="0.3">
      <c r="A71" s="106">
        <v>69</v>
      </c>
      <c r="B71" t="str">
        <f>IFERROR(VLOOKUP($A71, Ledger!$B$2:$L$8, 3, 0),"")</f>
        <v/>
      </c>
      <c r="C71" t="str">
        <f>IFERROR(VLOOKUP($A71, Ledger!$B$2:$L$8, 4, 0),"")</f>
        <v/>
      </c>
      <c r="D71" t="str">
        <f>IFERROR(VLOOKUP($A71, Ledger!$B$2:$L$8, 5, 0),"")</f>
        <v/>
      </c>
      <c r="E71" t="str">
        <f>IFERROR(VLOOKUP($A71, Ledger!$B$2:$L$8, 6, 0),"")</f>
        <v/>
      </c>
      <c r="F71" t="str">
        <f>IFERROR(VLOOKUP($A71,'Student Data'!$A$2:$AR$6,32,0),"")</f>
        <v/>
      </c>
      <c r="G71" t="str">
        <f>IFERROR(VLOOKUP($A71,'Student Data'!$A$2:$AR$6,33,0),"")</f>
        <v/>
      </c>
      <c r="H71" t="str">
        <f>IFERROR(VLOOKUP($A71,'Student Data'!$A$2:$AR$6,34,0),"")</f>
        <v/>
      </c>
      <c r="I71" t="str">
        <f>IFERROR(VLOOKUP($A71,'Student Data'!$A$2:$AR$6,35,0),"")</f>
        <v/>
      </c>
      <c r="J71" t="str">
        <f>IFERROR(VLOOKUP($A71,'Student Data'!$A$2:$AR$6,36,0),"")</f>
        <v/>
      </c>
      <c r="K71" t="str">
        <f t="shared" si="2"/>
        <v/>
      </c>
      <c r="L71" t="str">
        <f t="shared" si="3"/>
        <v/>
      </c>
      <c r="M71" t="str">
        <f>IFERROR(IF($C71="","",SUMIFS(Ledger!$K$2:$K$4, Ledger!$B$2:$B$4, $A71, Ledger!$C$2:$C$4, M$2)),"****")</f>
        <v/>
      </c>
      <c r="N71" t="str">
        <f>IFERROR(IF($C71="","",SUMIFS(Ledger!$K$2:$K$4, Ledger!$B$2:$B$4, $A71, Ledger!$C$2:$C$4, N$2)),"****")</f>
        <v/>
      </c>
      <c r="O71" t="str">
        <f>IFERROR(IF($C71="","",SUMIFS(Ledger!$K$2:$K$4, Ledger!$B$2:$B$4, $A71, Ledger!$C$2:$C$4, O$2)),"****")</f>
        <v/>
      </c>
      <c r="P71" t="str">
        <f>IFERROR(IF($C71="","",SUMIFS(Ledger!$K$2:$K$4, Ledger!$B$2:$B$4, $A71, Ledger!$C$2:$C$4, P$2)),"****")</f>
        <v/>
      </c>
      <c r="Q71" t="str">
        <f>IFERROR(IF($C71="","",SUMIFS(Ledger!$K$2:$K$4, Ledger!$B$2:$B$4, $A71, Ledger!$C$2:$C$4, Q$2)),"****")</f>
        <v/>
      </c>
      <c r="R71" t="str">
        <f>IFERROR(IF($C71="","",SUMIFS(Ledger!$K$2:$K$4, Ledger!$B$2:$B$4, $A71, Ledger!$C$2:$C$4, R$2)),"****")</f>
        <v/>
      </c>
      <c r="S71" t="str">
        <f>IFERROR(IF($C71="","",SUMIFS(Ledger!$K$2:$K$4, Ledger!$B$2:$B$4, $A71, Ledger!$C$2:$C$4, S$2)),"****")</f>
        <v/>
      </c>
      <c r="T71" t="str">
        <f>IFERROR(IF($C71="","",SUMIFS(Ledger!$K$2:$K$4, Ledger!$B$2:$B$4, $A71, Ledger!$C$2:$C$4, T$2)),"****")</f>
        <v/>
      </c>
      <c r="U71" t="str">
        <f>IFERROR(IF($C71="","",SUMIFS(Ledger!$K$2:$K$4, Ledger!$B$2:$B$4, $A71, Ledger!$C$2:$C$4, U$2)),"****")</f>
        <v/>
      </c>
      <c r="V71" t="str">
        <f>IFERROR(IF($C71="","",SUMIFS(Ledger!$K$2:$K$4, Ledger!$B$2:$B$4, $A71, Ledger!$C$2:$C$4, V$2)),"****")</f>
        <v/>
      </c>
      <c r="W71" t="str">
        <f>IFERROR(IF($C71="","",SUMIFS(Ledger!$K$2:$K$4, Ledger!$B$2:$B$4, $A71, Ledger!$C$2:$C$4, W$2)),"****")</f>
        <v/>
      </c>
      <c r="X71" t="str">
        <f>IFERROR(IF($C71="","",SUMIFS(Ledger!$K$2:$K$4, Ledger!$B$2:$B$4, $A71, Ledger!$C$2:$C$4, X$2)),"****")</f>
        <v/>
      </c>
    </row>
    <row r="72" spans="1:24" x14ac:dyDescent="0.3">
      <c r="A72" s="106">
        <v>70</v>
      </c>
      <c r="B72" t="str">
        <f>IFERROR(VLOOKUP($A72, Ledger!$B$2:$L$8, 3, 0),"")</f>
        <v/>
      </c>
      <c r="C72" t="str">
        <f>IFERROR(VLOOKUP($A72, Ledger!$B$2:$L$8, 4, 0),"")</f>
        <v/>
      </c>
      <c r="D72" t="str">
        <f>IFERROR(VLOOKUP($A72, Ledger!$B$2:$L$8, 5, 0),"")</f>
        <v/>
      </c>
      <c r="E72" t="str">
        <f>IFERROR(VLOOKUP($A72, Ledger!$B$2:$L$8, 6, 0),"")</f>
        <v/>
      </c>
      <c r="F72" t="str">
        <f>IFERROR(VLOOKUP($A72,'Student Data'!$A$2:$AR$6,32,0),"")</f>
        <v/>
      </c>
      <c r="G72" t="str">
        <f>IFERROR(VLOOKUP($A72,'Student Data'!$A$2:$AR$6,33,0),"")</f>
        <v/>
      </c>
      <c r="H72" t="str">
        <f>IFERROR(VLOOKUP($A72,'Student Data'!$A$2:$AR$6,34,0),"")</f>
        <v/>
      </c>
      <c r="I72" t="str">
        <f>IFERROR(VLOOKUP($A72,'Student Data'!$A$2:$AR$6,35,0),"")</f>
        <v/>
      </c>
      <c r="J72" t="str">
        <f>IFERROR(VLOOKUP($A72,'Student Data'!$A$2:$AR$6,36,0),"")</f>
        <v/>
      </c>
      <c r="K72" t="str">
        <f t="shared" si="2"/>
        <v/>
      </c>
      <c r="L72" t="str">
        <f t="shared" si="3"/>
        <v/>
      </c>
      <c r="M72" t="str">
        <f>IFERROR(IF($C72="","",SUMIFS(Ledger!$K$2:$K$4, Ledger!$B$2:$B$4, $A72, Ledger!$C$2:$C$4, M$2)),"****")</f>
        <v/>
      </c>
      <c r="N72" t="str">
        <f>IFERROR(IF($C72="","",SUMIFS(Ledger!$K$2:$K$4, Ledger!$B$2:$B$4, $A72, Ledger!$C$2:$C$4, N$2)),"****")</f>
        <v/>
      </c>
      <c r="O72" t="str">
        <f>IFERROR(IF($C72="","",SUMIFS(Ledger!$K$2:$K$4, Ledger!$B$2:$B$4, $A72, Ledger!$C$2:$C$4, O$2)),"****")</f>
        <v/>
      </c>
      <c r="P72" t="str">
        <f>IFERROR(IF($C72="","",SUMIFS(Ledger!$K$2:$K$4, Ledger!$B$2:$B$4, $A72, Ledger!$C$2:$C$4, P$2)),"****")</f>
        <v/>
      </c>
      <c r="Q72" t="str">
        <f>IFERROR(IF($C72="","",SUMIFS(Ledger!$K$2:$K$4, Ledger!$B$2:$B$4, $A72, Ledger!$C$2:$C$4, Q$2)),"****")</f>
        <v/>
      </c>
      <c r="R72" t="str">
        <f>IFERROR(IF($C72="","",SUMIFS(Ledger!$K$2:$K$4, Ledger!$B$2:$B$4, $A72, Ledger!$C$2:$C$4, R$2)),"****")</f>
        <v/>
      </c>
      <c r="S72" t="str">
        <f>IFERROR(IF($C72="","",SUMIFS(Ledger!$K$2:$K$4, Ledger!$B$2:$B$4, $A72, Ledger!$C$2:$C$4, S$2)),"****")</f>
        <v/>
      </c>
      <c r="T72" t="str">
        <f>IFERROR(IF($C72="","",SUMIFS(Ledger!$K$2:$K$4, Ledger!$B$2:$B$4, $A72, Ledger!$C$2:$C$4, T$2)),"****")</f>
        <v/>
      </c>
      <c r="U72" t="str">
        <f>IFERROR(IF($C72="","",SUMIFS(Ledger!$K$2:$K$4, Ledger!$B$2:$B$4, $A72, Ledger!$C$2:$C$4, U$2)),"****")</f>
        <v/>
      </c>
      <c r="V72" t="str">
        <f>IFERROR(IF($C72="","",SUMIFS(Ledger!$K$2:$K$4, Ledger!$B$2:$B$4, $A72, Ledger!$C$2:$C$4, V$2)),"****")</f>
        <v/>
      </c>
      <c r="W72" t="str">
        <f>IFERROR(IF($C72="","",SUMIFS(Ledger!$K$2:$K$4, Ledger!$B$2:$B$4, $A72, Ledger!$C$2:$C$4, W$2)),"****")</f>
        <v/>
      </c>
      <c r="X72" t="str">
        <f>IFERROR(IF($C72="","",SUMIFS(Ledger!$K$2:$K$4, Ledger!$B$2:$B$4, $A72, Ledger!$C$2:$C$4, X$2)),"****")</f>
        <v/>
      </c>
    </row>
    <row r="73" spans="1:24" x14ac:dyDescent="0.3">
      <c r="A73" s="106">
        <v>71</v>
      </c>
      <c r="B73" t="str">
        <f>IFERROR(VLOOKUP($A73, Ledger!$B$2:$L$8, 3, 0),"")</f>
        <v/>
      </c>
      <c r="C73" t="str">
        <f>IFERROR(VLOOKUP($A73, Ledger!$B$2:$L$8, 4, 0),"")</f>
        <v/>
      </c>
      <c r="D73" t="str">
        <f>IFERROR(VLOOKUP($A73, Ledger!$B$2:$L$8, 5, 0),"")</f>
        <v/>
      </c>
      <c r="E73" t="str">
        <f>IFERROR(VLOOKUP($A73, Ledger!$B$2:$L$8, 6, 0),"")</f>
        <v/>
      </c>
      <c r="F73" t="str">
        <f>IFERROR(VLOOKUP($A73,'Student Data'!$A$2:$AR$6,32,0),"")</f>
        <v/>
      </c>
      <c r="G73" t="str">
        <f>IFERROR(VLOOKUP($A73,'Student Data'!$A$2:$AR$6,33,0),"")</f>
        <v/>
      </c>
      <c r="H73" t="str">
        <f>IFERROR(VLOOKUP($A73,'Student Data'!$A$2:$AR$6,34,0),"")</f>
        <v/>
      </c>
      <c r="I73" t="str">
        <f>IFERROR(VLOOKUP($A73,'Student Data'!$A$2:$AR$6,35,0),"")</f>
        <v/>
      </c>
      <c r="J73" t="str">
        <f>IFERROR(VLOOKUP($A73,'Student Data'!$A$2:$AR$6,36,0),"")</f>
        <v/>
      </c>
      <c r="K73" t="str">
        <f t="shared" si="2"/>
        <v/>
      </c>
      <c r="L73" t="str">
        <f t="shared" si="3"/>
        <v/>
      </c>
      <c r="M73" t="str">
        <f>IFERROR(IF($C73="","",SUMIFS(Ledger!$K$2:$K$4, Ledger!$B$2:$B$4, $A73, Ledger!$C$2:$C$4, M$2)),"****")</f>
        <v/>
      </c>
      <c r="N73" t="str">
        <f>IFERROR(IF($C73="","",SUMIFS(Ledger!$K$2:$K$4, Ledger!$B$2:$B$4, $A73, Ledger!$C$2:$C$4, N$2)),"****")</f>
        <v/>
      </c>
      <c r="O73" t="str">
        <f>IFERROR(IF($C73="","",SUMIFS(Ledger!$K$2:$K$4, Ledger!$B$2:$B$4, $A73, Ledger!$C$2:$C$4, O$2)),"****")</f>
        <v/>
      </c>
      <c r="P73" t="str">
        <f>IFERROR(IF($C73="","",SUMIFS(Ledger!$K$2:$K$4, Ledger!$B$2:$B$4, $A73, Ledger!$C$2:$C$4, P$2)),"****")</f>
        <v/>
      </c>
      <c r="Q73" t="str">
        <f>IFERROR(IF($C73="","",SUMIFS(Ledger!$K$2:$K$4, Ledger!$B$2:$B$4, $A73, Ledger!$C$2:$C$4, Q$2)),"****")</f>
        <v/>
      </c>
      <c r="R73" t="str">
        <f>IFERROR(IF($C73="","",SUMIFS(Ledger!$K$2:$K$4, Ledger!$B$2:$B$4, $A73, Ledger!$C$2:$C$4, R$2)),"****")</f>
        <v/>
      </c>
      <c r="S73" t="str">
        <f>IFERROR(IF($C73="","",SUMIFS(Ledger!$K$2:$K$4, Ledger!$B$2:$B$4, $A73, Ledger!$C$2:$C$4, S$2)),"****")</f>
        <v/>
      </c>
      <c r="T73" t="str">
        <f>IFERROR(IF($C73="","",SUMIFS(Ledger!$K$2:$K$4, Ledger!$B$2:$B$4, $A73, Ledger!$C$2:$C$4, T$2)),"****")</f>
        <v/>
      </c>
      <c r="U73" t="str">
        <f>IFERROR(IF($C73="","",SUMIFS(Ledger!$K$2:$K$4, Ledger!$B$2:$B$4, $A73, Ledger!$C$2:$C$4, U$2)),"****")</f>
        <v/>
      </c>
      <c r="V73" t="str">
        <f>IFERROR(IF($C73="","",SUMIFS(Ledger!$K$2:$K$4, Ledger!$B$2:$B$4, $A73, Ledger!$C$2:$C$4, V$2)),"****")</f>
        <v/>
      </c>
      <c r="W73" t="str">
        <f>IFERROR(IF($C73="","",SUMIFS(Ledger!$K$2:$K$4, Ledger!$B$2:$B$4, $A73, Ledger!$C$2:$C$4, W$2)),"****")</f>
        <v/>
      </c>
      <c r="X73" t="str">
        <f>IFERROR(IF($C73="","",SUMIFS(Ledger!$K$2:$K$4, Ledger!$B$2:$B$4, $A73, Ledger!$C$2:$C$4, X$2)),"****")</f>
        <v/>
      </c>
    </row>
    <row r="74" spans="1:24" x14ac:dyDescent="0.3">
      <c r="A74" s="106">
        <v>72</v>
      </c>
      <c r="B74" t="str">
        <f>IFERROR(VLOOKUP($A74, Ledger!$B$2:$L$8, 3, 0),"")</f>
        <v/>
      </c>
      <c r="C74" t="str">
        <f>IFERROR(VLOOKUP($A74, Ledger!$B$2:$L$8, 4, 0),"")</f>
        <v/>
      </c>
      <c r="D74" t="str">
        <f>IFERROR(VLOOKUP($A74, Ledger!$B$2:$L$8, 5, 0),"")</f>
        <v/>
      </c>
      <c r="E74" t="str">
        <f>IFERROR(VLOOKUP($A74, Ledger!$B$2:$L$8, 6, 0),"")</f>
        <v/>
      </c>
      <c r="F74" t="str">
        <f>IFERROR(VLOOKUP($A74,'Student Data'!$A$2:$AR$6,32,0),"")</f>
        <v/>
      </c>
      <c r="G74" t="str">
        <f>IFERROR(VLOOKUP($A74,'Student Data'!$A$2:$AR$6,33,0),"")</f>
        <v/>
      </c>
      <c r="H74" t="str">
        <f>IFERROR(VLOOKUP($A74,'Student Data'!$A$2:$AR$6,34,0),"")</f>
        <v/>
      </c>
      <c r="I74" t="str">
        <f>IFERROR(VLOOKUP($A74,'Student Data'!$A$2:$AR$6,35,0),"")</f>
        <v/>
      </c>
      <c r="J74" t="str">
        <f>IFERROR(VLOOKUP($A74,'Student Data'!$A$2:$AR$6,36,0),"")</f>
        <v/>
      </c>
      <c r="K74" t="str">
        <f t="shared" si="2"/>
        <v/>
      </c>
      <c r="L74" t="str">
        <f t="shared" si="3"/>
        <v/>
      </c>
      <c r="M74" t="str">
        <f>IFERROR(IF($C74="","",SUMIFS(Ledger!$K$2:$K$4, Ledger!$B$2:$B$4, $A74, Ledger!$C$2:$C$4, M$2)),"****")</f>
        <v/>
      </c>
      <c r="N74" t="str">
        <f>IFERROR(IF($C74="","",SUMIFS(Ledger!$K$2:$K$4, Ledger!$B$2:$B$4, $A74, Ledger!$C$2:$C$4, N$2)),"****")</f>
        <v/>
      </c>
      <c r="O74" t="str">
        <f>IFERROR(IF($C74="","",SUMIFS(Ledger!$K$2:$K$4, Ledger!$B$2:$B$4, $A74, Ledger!$C$2:$C$4, O$2)),"****")</f>
        <v/>
      </c>
      <c r="P74" t="str">
        <f>IFERROR(IF($C74="","",SUMIFS(Ledger!$K$2:$K$4, Ledger!$B$2:$B$4, $A74, Ledger!$C$2:$C$4, P$2)),"****")</f>
        <v/>
      </c>
      <c r="Q74" t="str">
        <f>IFERROR(IF($C74="","",SUMIFS(Ledger!$K$2:$K$4, Ledger!$B$2:$B$4, $A74, Ledger!$C$2:$C$4, Q$2)),"****")</f>
        <v/>
      </c>
      <c r="R74" t="str">
        <f>IFERROR(IF($C74="","",SUMIFS(Ledger!$K$2:$K$4, Ledger!$B$2:$B$4, $A74, Ledger!$C$2:$C$4, R$2)),"****")</f>
        <v/>
      </c>
      <c r="S74" t="str">
        <f>IFERROR(IF($C74="","",SUMIFS(Ledger!$K$2:$K$4, Ledger!$B$2:$B$4, $A74, Ledger!$C$2:$C$4, S$2)),"****")</f>
        <v/>
      </c>
      <c r="T74" t="str">
        <f>IFERROR(IF($C74="","",SUMIFS(Ledger!$K$2:$K$4, Ledger!$B$2:$B$4, $A74, Ledger!$C$2:$C$4, T$2)),"****")</f>
        <v/>
      </c>
      <c r="U74" t="str">
        <f>IFERROR(IF($C74="","",SUMIFS(Ledger!$K$2:$K$4, Ledger!$B$2:$B$4, $A74, Ledger!$C$2:$C$4, U$2)),"****")</f>
        <v/>
      </c>
      <c r="V74" t="str">
        <f>IFERROR(IF($C74="","",SUMIFS(Ledger!$K$2:$K$4, Ledger!$B$2:$B$4, $A74, Ledger!$C$2:$C$4, V$2)),"****")</f>
        <v/>
      </c>
      <c r="W74" t="str">
        <f>IFERROR(IF($C74="","",SUMIFS(Ledger!$K$2:$K$4, Ledger!$B$2:$B$4, $A74, Ledger!$C$2:$C$4, W$2)),"****")</f>
        <v/>
      </c>
      <c r="X74" t="str">
        <f>IFERROR(IF($C74="","",SUMIFS(Ledger!$K$2:$K$4, Ledger!$B$2:$B$4, $A74, Ledger!$C$2:$C$4, X$2)),"****")</f>
        <v/>
      </c>
    </row>
    <row r="75" spans="1:24" x14ac:dyDescent="0.3">
      <c r="A75" s="106">
        <v>73</v>
      </c>
      <c r="B75" t="str">
        <f>IFERROR(VLOOKUP($A75, Ledger!$B$2:$L$8, 3, 0),"")</f>
        <v/>
      </c>
      <c r="C75" t="str">
        <f>IFERROR(VLOOKUP($A75, Ledger!$B$2:$L$8, 4, 0),"")</f>
        <v/>
      </c>
      <c r="D75" t="str">
        <f>IFERROR(VLOOKUP($A75, Ledger!$B$2:$L$8, 5, 0),"")</f>
        <v/>
      </c>
      <c r="E75" t="str">
        <f>IFERROR(VLOOKUP($A75, Ledger!$B$2:$L$8, 6, 0),"")</f>
        <v/>
      </c>
      <c r="F75" t="str">
        <f>IFERROR(VLOOKUP($A75,'Student Data'!$A$2:$AR$6,32,0),"")</f>
        <v/>
      </c>
      <c r="G75" t="str">
        <f>IFERROR(VLOOKUP($A75,'Student Data'!$A$2:$AR$6,33,0),"")</f>
        <v/>
      </c>
      <c r="H75" t="str">
        <f>IFERROR(VLOOKUP($A75,'Student Data'!$A$2:$AR$6,34,0),"")</f>
        <v/>
      </c>
      <c r="I75" t="str">
        <f>IFERROR(VLOOKUP($A75,'Student Data'!$A$2:$AR$6,35,0),"")</f>
        <v/>
      </c>
      <c r="J75" t="str">
        <f>IFERROR(VLOOKUP($A75,'Student Data'!$A$2:$AR$6,36,0),"")</f>
        <v/>
      </c>
      <c r="K75" t="str">
        <f t="shared" si="2"/>
        <v/>
      </c>
      <c r="L75" t="str">
        <f t="shared" si="3"/>
        <v/>
      </c>
      <c r="M75" t="str">
        <f>IFERROR(IF($C75="","",SUMIFS(Ledger!$K$2:$K$4, Ledger!$B$2:$B$4, $A75, Ledger!$C$2:$C$4, M$2)),"****")</f>
        <v/>
      </c>
      <c r="N75" t="str">
        <f>IFERROR(IF($C75="","",SUMIFS(Ledger!$K$2:$K$4, Ledger!$B$2:$B$4, $A75, Ledger!$C$2:$C$4, N$2)),"****")</f>
        <v/>
      </c>
      <c r="O75" t="str">
        <f>IFERROR(IF($C75="","",SUMIFS(Ledger!$K$2:$K$4, Ledger!$B$2:$B$4, $A75, Ledger!$C$2:$C$4, O$2)),"****")</f>
        <v/>
      </c>
      <c r="P75" t="str">
        <f>IFERROR(IF($C75="","",SUMIFS(Ledger!$K$2:$K$4, Ledger!$B$2:$B$4, $A75, Ledger!$C$2:$C$4, P$2)),"****")</f>
        <v/>
      </c>
      <c r="Q75" t="str">
        <f>IFERROR(IF($C75="","",SUMIFS(Ledger!$K$2:$K$4, Ledger!$B$2:$B$4, $A75, Ledger!$C$2:$C$4, Q$2)),"****")</f>
        <v/>
      </c>
      <c r="R75" t="str">
        <f>IFERROR(IF($C75="","",SUMIFS(Ledger!$K$2:$K$4, Ledger!$B$2:$B$4, $A75, Ledger!$C$2:$C$4, R$2)),"****")</f>
        <v/>
      </c>
      <c r="S75" t="str">
        <f>IFERROR(IF($C75="","",SUMIFS(Ledger!$K$2:$K$4, Ledger!$B$2:$B$4, $A75, Ledger!$C$2:$C$4, S$2)),"****")</f>
        <v/>
      </c>
      <c r="T75" t="str">
        <f>IFERROR(IF($C75="","",SUMIFS(Ledger!$K$2:$K$4, Ledger!$B$2:$B$4, $A75, Ledger!$C$2:$C$4, T$2)),"****")</f>
        <v/>
      </c>
      <c r="U75" t="str">
        <f>IFERROR(IF($C75="","",SUMIFS(Ledger!$K$2:$K$4, Ledger!$B$2:$B$4, $A75, Ledger!$C$2:$C$4, U$2)),"****")</f>
        <v/>
      </c>
      <c r="V75" t="str">
        <f>IFERROR(IF($C75="","",SUMIFS(Ledger!$K$2:$K$4, Ledger!$B$2:$B$4, $A75, Ledger!$C$2:$C$4, V$2)),"****")</f>
        <v/>
      </c>
      <c r="W75" t="str">
        <f>IFERROR(IF($C75="","",SUMIFS(Ledger!$K$2:$K$4, Ledger!$B$2:$B$4, $A75, Ledger!$C$2:$C$4, W$2)),"****")</f>
        <v/>
      </c>
      <c r="X75" t="str">
        <f>IFERROR(IF($C75="","",SUMIFS(Ledger!$K$2:$K$4, Ledger!$B$2:$B$4, $A75, Ledger!$C$2:$C$4, X$2)),"****")</f>
        <v/>
      </c>
    </row>
    <row r="76" spans="1:24" x14ac:dyDescent="0.3">
      <c r="A76" s="106">
        <v>74</v>
      </c>
      <c r="B76" t="str">
        <f>IFERROR(VLOOKUP($A76, Ledger!$B$2:$L$8, 3, 0),"")</f>
        <v/>
      </c>
      <c r="C76" t="str">
        <f>IFERROR(VLOOKUP($A76, Ledger!$B$2:$L$8, 4, 0),"")</f>
        <v/>
      </c>
      <c r="D76" t="str">
        <f>IFERROR(VLOOKUP($A76, Ledger!$B$2:$L$8, 5, 0),"")</f>
        <v/>
      </c>
      <c r="E76" t="str">
        <f>IFERROR(VLOOKUP($A76, Ledger!$B$2:$L$8, 6, 0),"")</f>
        <v/>
      </c>
      <c r="F76" t="str">
        <f>IFERROR(VLOOKUP($A76,'Student Data'!$A$2:$AR$6,32,0),"")</f>
        <v/>
      </c>
      <c r="G76" t="str">
        <f>IFERROR(VLOOKUP($A76,'Student Data'!$A$2:$AR$6,33,0),"")</f>
        <v/>
      </c>
      <c r="H76" t="str">
        <f>IFERROR(VLOOKUP($A76,'Student Data'!$A$2:$AR$6,34,0),"")</f>
        <v/>
      </c>
      <c r="I76" t="str">
        <f>IFERROR(VLOOKUP($A76,'Student Data'!$A$2:$AR$6,35,0),"")</f>
        <v/>
      </c>
      <c r="J76" t="str">
        <f>IFERROR(VLOOKUP($A76,'Student Data'!$A$2:$AR$6,36,0),"")</f>
        <v/>
      </c>
      <c r="K76" t="str">
        <f t="shared" si="2"/>
        <v/>
      </c>
      <c r="L76" t="str">
        <f t="shared" si="3"/>
        <v/>
      </c>
      <c r="M76" t="str">
        <f>IFERROR(IF($C76="","",SUMIFS(Ledger!$K$2:$K$4, Ledger!$B$2:$B$4, $A76, Ledger!$C$2:$C$4, M$2)),"****")</f>
        <v/>
      </c>
      <c r="N76" t="str">
        <f>IFERROR(IF($C76="","",SUMIFS(Ledger!$K$2:$K$4, Ledger!$B$2:$B$4, $A76, Ledger!$C$2:$C$4, N$2)),"****")</f>
        <v/>
      </c>
      <c r="O76" t="str">
        <f>IFERROR(IF($C76="","",SUMIFS(Ledger!$K$2:$K$4, Ledger!$B$2:$B$4, $A76, Ledger!$C$2:$C$4, O$2)),"****")</f>
        <v/>
      </c>
      <c r="P76" t="str">
        <f>IFERROR(IF($C76="","",SUMIFS(Ledger!$K$2:$K$4, Ledger!$B$2:$B$4, $A76, Ledger!$C$2:$C$4, P$2)),"****")</f>
        <v/>
      </c>
      <c r="Q76" t="str">
        <f>IFERROR(IF($C76="","",SUMIFS(Ledger!$K$2:$K$4, Ledger!$B$2:$B$4, $A76, Ledger!$C$2:$C$4, Q$2)),"****")</f>
        <v/>
      </c>
      <c r="R76" t="str">
        <f>IFERROR(IF($C76="","",SUMIFS(Ledger!$K$2:$K$4, Ledger!$B$2:$B$4, $A76, Ledger!$C$2:$C$4, R$2)),"****")</f>
        <v/>
      </c>
      <c r="S76" t="str">
        <f>IFERROR(IF($C76="","",SUMIFS(Ledger!$K$2:$K$4, Ledger!$B$2:$B$4, $A76, Ledger!$C$2:$C$4, S$2)),"****")</f>
        <v/>
      </c>
      <c r="T76" t="str">
        <f>IFERROR(IF($C76="","",SUMIFS(Ledger!$K$2:$K$4, Ledger!$B$2:$B$4, $A76, Ledger!$C$2:$C$4, T$2)),"****")</f>
        <v/>
      </c>
      <c r="U76" t="str">
        <f>IFERROR(IF($C76="","",SUMIFS(Ledger!$K$2:$K$4, Ledger!$B$2:$B$4, $A76, Ledger!$C$2:$C$4, U$2)),"****")</f>
        <v/>
      </c>
      <c r="V76" t="str">
        <f>IFERROR(IF($C76="","",SUMIFS(Ledger!$K$2:$K$4, Ledger!$B$2:$B$4, $A76, Ledger!$C$2:$C$4, V$2)),"****")</f>
        <v/>
      </c>
      <c r="W76" t="str">
        <f>IFERROR(IF($C76="","",SUMIFS(Ledger!$K$2:$K$4, Ledger!$B$2:$B$4, $A76, Ledger!$C$2:$C$4, W$2)),"****")</f>
        <v/>
      </c>
      <c r="X76" t="str">
        <f>IFERROR(IF($C76="","",SUMIFS(Ledger!$K$2:$K$4, Ledger!$B$2:$B$4, $A76, Ledger!$C$2:$C$4, X$2)),"****")</f>
        <v/>
      </c>
    </row>
    <row r="77" spans="1:24" x14ac:dyDescent="0.3">
      <c r="A77" s="106">
        <v>75</v>
      </c>
      <c r="B77" t="str">
        <f>IFERROR(VLOOKUP($A77, Ledger!$B$2:$L$8, 3, 0),"")</f>
        <v/>
      </c>
      <c r="C77" t="str">
        <f>IFERROR(VLOOKUP($A77, Ledger!$B$2:$L$8, 4, 0),"")</f>
        <v/>
      </c>
      <c r="D77" t="str">
        <f>IFERROR(VLOOKUP($A77, Ledger!$B$2:$L$8, 5, 0),"")</f>
        <v/>
      </c>
      <c r="E77" t="str">
        <f>IFERROR(VLOOKUP($A77, Ledger!$B$2:$L$8, 6, 0),"")</f>
        <v/>
      </c>
      <c r="F77" t="str">
        <f>IFERROR(VLOOKUP($A77,'Student Data'!$A$2:$AR$6,32,0),"")</f>
        <v/>
      </c>
      <c r="G77" t="str">
        <f>IFERROR(VLOOKUP($A77,'Student Data'!$A$2:$AR$6,33,0),"")</f>
        <v/>
      </c>
      <c r="H77" t="str">
        <f>IFERROR(VLOOKUP($A77,'Student Data'!$A$2:$AR$6,34,0),"")</f>
        <v/>
      </c>
      <c r="I77" t="str">
        <f>IFERROR(VLOOKUP($A77,'Student Data'!$A$2:$AR$6,35,0),"")</f>
        <v/>
      </c>
      <c r="J77" t="str">
        <f>IFERROR(VLOOKUP($A77,'Student Data'!$A$2:$AR$6,36,0),"")</f>
        <v/>
      </c>
      <c r="K77" t="str">
        <f t="shared" si="2"/>
        <v/>
      </c>
      <c r="L77" t="str">
        <f t="shared" si="3"/>
        <v/>
      </c>
      <c r="M77" t="str">
        <f>IFERROR(IF($C77="","",SUMIFS(Ledger!$K$2:$K$4, Ledger!$B$2:$B$4, $A77, Ledger!$C$2:$C$4, M$2)),"****")</f>
        <v/>
      </c>
      <c r="N77" t="str">
        <f>IFERROR(IF($C77="","",SUMIFS(Ledger!$K$2:$K$4, Ledger!$B$2:$B$4, $A77, Ledger!$C$2:$C$4, N$2)),"****")</f>
        <v/>
      </c>
      <c r="O77" t="str">
        <f>IFERROR(IF($C77="","",SUMIFS(Ledger!$K$2:$K$4, Ledger!$B$2:$B$4, $A77, Ledger!$C$2:$C$4, O$2)),"****")</f>
        <v/>
      </c>
      <c r="P77" t="str">
        <f>IFERROR(IF($C77="","",SUMIFS(Ledger!$K$2:$K$4, Ledger!$B$2:$B$4, $A77, Ledger!$C$2:$C$4, P$2)),"****")</f>
        <v/>
      </c>
      <c r="Q77" t="str">
        <f>IFERROR(IF($C77="","",SUMIFS(Ledger!$K$2:$K$4, Ledger!$B$2:$B$4, $A77, Ledger!$C$2:$C$4, Q$2)),"****")</f>
        <v/>
      </c>
      <c r="R77" t="str">
        <f>IFERROR(IF($C77="","",SUMIFS(Ledger!$K$2:$K$4, Ledger!$B$2:$B$4, $A77, Ledger!$C$2:$C$4, R$2)),"****")</f>
        <v/>
      </c>
      <c r="S77" t="str">
        <f>IFERROR(IF($C77="","",SUMIFS(Ledger!$K$2:$K$4, Ledger!$B$2:$B$4, $A77, Ledger!$C$2:$C$4, S$2)),"****")</f>
        <v/>
      </c>
      <c r="T77" t="str">
        <f>IFERROR(IF($C77="","",SUMIFS(Ledger!$K$2:$K$4, Ledger!$B$2:$B$4, $A77, Ledger!$C$2:$C$4, T$2)),"****")</f>
        <v/>
      </c>
      <c r="U77" t="str">
        <f>IFERROR(IF($C77="","",SUMIFS(Ledger!$K$2:$K$4, Ledger!$B$2:$B$4, $A77, Ledger!$C$2:$C$4, U$2)),"****")</f>
        <v/>
      </c>
      <c r="V77" t="str">
        <f>IFERROR(IF($C77="","",SUMIFS(Ledger!$K$2:$K$4, Ledger!$B$2:$B$4, $A77, Ledger!$C$2:$C$4, V$2)),"****")</f>
        <v/>
      </c>
      <c r="W77" t="str">
        <f>IFERROR(IF($C77="","",SUMIFS(Ledger!$K$2:$K$4, Ledger!$B$2:$B$4, $A77, Ledger!$C$2:$C$4, W$2)),"****")</f>
        <v/>
      </c>
      <c r="X77" t="str">
        <f>IFERROR(IF($C77="","",SUMIFS(Ledger!$K$2:$K$4, Ledger!$B$2:$B$4, $A77, Ledger!$C$2:$C$4, X$2)),"****")</f>
        <v/>
      </c>
    </row>
    <row r="78" spans="1:24" x14ac:dyDescent="0.3">
      <c r="A78" s="106">
        <v>76</v>
      </c>
      <c r="B78" t="str">
        <f>IFERROR(VLOOKUP($A78, Ledger!$B$2:$L$8, 3, 0),"")</f>
        <v/>
      </c>
      <c r="C78" t="str">
        <f>IFERROR(VLOOKUP($A78, Ledger!$B$2:$L$8, 4, 0),"")</f>
        <v/>
      </c>
      <c r="D78" t="str">
        <f>IFERROR(VLOOKUP($A78, Ledger!$B$2:$L$8, 5, 0),"")</f>
        <v/>
      </c>
      <c r="E78" t="str">
        <f>IFERROR(VLOOKUP($A78, Ledger!$B$2:$L$8, 6, 0),"")</f>
        <v/>
      </c>
      <c r="F78" t="str">
        <f>IFERROR(VLOOKUP($A78,'Student Data'!$A$2:$AR$6,32,0),"")</f>
        <v/>
      </c>
      <c r="G78" t="str">
        <f>IFERROR(VLOOKUP($A78,'Student Data'!$A$2:$AR$6,33,0),"")</f>
        <v/>
      </c>
      <c r="H78" t="str">
        <f>IFERROR(VLOOKUP($A78,'Student Data'!$A$2:$AR$6,34,0),"")</f>
        <v/>
      </c>
      <c r="I78" t="str">
        <f>IFERROR(VLOOKUP($A78,'Student Data'!$A$2:$AR$6,35,0),"")</f>
        <v/>
      </c>
      <c r="J78" t="str">
        <f>IFERROR(VLOOKUP($A78,'Student Data'!$A$2:$AR$6,36,0),"")</f>
        <v/>
      </c>
      <c r="K78" t="str">
        <f t="shared" si="2"/>
        <v/>
      </c>
      <c r="L78" t="str">
        <f t="shared" si="3"/>
        <v/>
      </c>
      <c r="M78" t="str">
        <f>IFERROR(IF($C78="","",SUMIFS(Ledger!$K$2:$K$4, Ledger!$B$2:$B$4, $A78, Ledger!$C$2:$C$4, M$2)),"****")</f>
        <v/>
      </c>
      <c r="N78" t="str">
        <f>IFERROR(IF($C78="","",SUMIFS(Ledger!$K$2:$K$4, Ledger!$B$2:$B$4, $A78, Ledger!$C$2:$C$4, N$2)),"****")</f>
        <v/>
      </c>
      <c r="O78" t="str">
        <f>IFERROR(IF($C78="","",SUMIFS(Ledger!$K$2:$K$4, Ledger!$B$2:$B$4, $A78, Ledger!$C$2:$C$4, O$2)),"****")</f>
        <v/>
      </c>
      <c r="P78" t="str">
        <f>IFERROR(IF($C78="","",SUMIFS(Ledger!$K$2:$K$4, Ledger!$B$2:$B$4, $A78, Ledger!$C$2:$C$4, P$2)),"****")</f>
        <v/>
      </c>
      <c r="Q78" t="str">
        <f>IFERROR(IF($C78="","",SUMIFS(Ledger!$K$2:$K$4, Ledger!$B$2:$B$4, $A78, Ledger!$C$2:$C$4, Q$2)),"****")</f>
        <v/>
      </c>
      <c r="R78" t="str">
        <f>IFERROR(IF($C78="","",SUMIFS(Ledger!$K$2:$K$4, Ledger!$B$2:$B$4, $A78, Ledger!$C$2:$C$4, R$2)),"****")</f>
        <v/>
      </c>
      <c r="S78" t="str">
        <f>IFERROR(IF($C78="","",SUMIFS(Ledger!$K$2:$K$4, Ledger!$B$2:$B$4, $A78, Ledger!$C$2:$C$4, S$2)),"****")</f>
        <v/>
      </c>
      <c r="T78" t="str">
        <f>IFERROR(IF($C78="","",SUMIFS(Ledger!$K$2:$K$4, Ledger!$B$2:$B$4, $A78, Ledger!$C$2:$C$4, T$2)),"****")</f>
        <v/>
      </c>
      <c r="U78" t="str">
        <f>IFERROR(IF($C78="","",SUMIFS(Ledger!$K$2:$K$4, Ledger!$B$2:$B$4, $A78, Ledger!$C$2:$C$4, U$2)),"****")</f>
        <v/>
      </c>
      <c r="V78" t="str">
        <f>IFERROR(IF($C78="","",SUMIFS(Ledger!$K$2:$K$4, Ledger!$B$2:$B$4, $A78, Ledger!$C$2:$C$4, V$2)),"****")</f>
        <v/>
      </c>
      <c r="W78" t="str">
        <f>IFERROR(IF($C78="","",SUMIFS(Ledger!$K$2:$K$4, Ledger!$B$2:$B$4, $A78, Ledger!$C$2:$C$4, W$2)),"****")</f>
        <v/>
      </c>
      <c r="X78" t="str">
        <f>IFERROR(IF($C78="","",SUMIFS(Ledger!$K$2:$K$4, Ledger!$B$2:$B$4, $A78, Ledger!$C$2:$C$4, X$2)),"****")</f>
        <v/>
      </c>
    </row>
    <row r="79" spans="1:24" x14ac:dyDescent="0.3">
      <c r="A79" s="106">
        <v>77</v>
      </c>
      <c r="B79" t="str">
        <f>IFERROR(VLOOKUP($A79, Ledger!$B$2:$L$8, 3, 0),"")</f>
        <v/>
      </c>
      <c r="C79" t="str">
        <f>IFERROR(VLOOKUP($A79, Ledger!$B$2:$L$8, 4, 0),"")</f>
        <v/>
      </c>
      <c r="D79" t="str">
        <f>IFERROR(VLOOKUP($A79, Ledger!$B$2:$L$8, 5, 0),"")</f>
        <v/>
      </c>
      <c r="E79" t="str">
        <f>IFERROR(VLOOKUP($A79, Ledger!$B$2:$L$8, 6, 0),"")</f>
        <v/>
      </c>
      <c r="F79" t="str">
        <f>IFERROR(VLOOKUP($A79,'Student Data'!$A$2:$AR$6,32,0),"")</f>
        <v/>
      </c>
      <c r="G79" t="str">
        <f>IFERROR(VLOOKUP($A79,'Student Data'!$A$2:$AR$6,33,0),"")</f>
        <v/>
      </c>
      <c r="H79" t="str">
        <f>IFERROR(VLOOKUP($A79,'Student Data'!$A$2:$AR$6,34,0),"")</f>
        <v/>
      </c>
      <c r="I79" t="str">
        <f>IFERROR(VLOOKUP($A79,'Student Data'!$A$2:$AR$6,35,0),"")</f>
        <v/>
      </c>
      <c r="J79" t="str">
        <f>IFERROR(VLOOKUP($A79,'Student Data'!$A$2:$AR$6,36,0),"")</f>
        <v/>
      </c>
      <c r="K79" t="str">
        <f t="shared" si="2"/>
        <v/>
      </c>
      <c r="L79" t="str">
        <f t="shared" si="3"/>
        <v/>
      </c>
      <c r="M79" t="str">
        <f>IFERROR(IF($C79="","",SUMIFS(Ledger!$K$2:$K$4, Ledger!$B$2:$B$4, $A79, Ledger!$C$2:$C$4, M$2)),"****")</f>
        <v/>
      </c>
      <c r="N79" t="str">
        <f>IFERROR(IF($C79="","",SUMIFS(Ledger!$K$2:$K$4, Ledger!$B$2:$B$4, $A79, Ledger!$C$2:$C$4, N$2)),"****")</f>
        <v/>
      </c>
      <c r="O79" t="str">
        <f>IFERROR(IF($C79="","",SUMIFS(Ledger!$K$2:$K$4, Ledger!$B$2:$B$4, $A79, Ledger!$C$2:$C$4, O$2)),"****")</f>
        <v/>
      </c>
      <c r="P79" t="str">
        <f>IFERROR(IF($C79="","",SUMIFS(Ledger!$K$2:$K$4, Ledger!$B$2:$B$4, $A79, Ledger!$C$2:$C$4, P$2)),"****")</f>
        <v/>
      </c>
      <c r="Q79" t="str">
        <f>IFERROR(IF($C79="","",SUMIFS(Ledger!$K$2:$K$4, Ledger!$B$2:$B$4, $A79, Ledger!$C$2:$C$4, Q$2)),"****")</f>
        <v/>
      </c>
      <c r="R79" t="str">
        <f>IFERROR(IF($C79="","",SUMIFS(Ledger!$K$2:$K$4, Ledger!$B$2:$B$4, $A79, Ledger!$C$2:$C$4, R$2)),"****")</f>
        <v/>
      </c>
      <c r="S79" t="str">
        <f>IFERROR(IF($C79="","",SUMIFS(Ledger!$K$2:$K$4, Ledger!$B$2:$B$4, $A79, Ledger!$C$2:$C$4, S$2)),"****")</f>
        <v/>
      </c>
      <c r="T79" t="str">
        <f>IFERROR(IF($C79="","",SUMIFS(Ledger!$K$2:$K$4, Ledger!$B$2:$B$4, $A79, Ledger!$C$2:$C$4, T$2)),"****")</f>
        <v/>
      </c>
      <c r="U79" t="str">
        <f>IFERROR(IF($C79="","",SUMIFS(Ledger!$K$2:$K$4, Ledger!$B$2:$B$4, $A79, Ledger!$C$2:$C$4, U$2)),"****")</f>
        <v/>
      </c>
      <c r="V79" t="str">
        <f>IFERROR(IF($C79="","",SUMIFS(Ledger!$K$2:$K$4, Ledger!$B$2:$B$4, $A79, Ledger!$C$2:$C$4, V$2)),"****")</f>
        <v/>
      </c>
      <c r="W79" t="str">
        <f>IFERROR(IF($C79="","",SUMIFS(Ledger!$K$2:$K$4, Ledger!$B$2:$B$4, $A79, Ledger!$C$2:$C$4, W$2)),"****")</f>
        <v/>
      </c>
      <c r="X79" t="str">
        <f>IFERROR(IF($C79="","",SUMIFS(Ledger!$K$2:$K$4, Ledger!$B$2:$B$4, $A79, Ledger!$C$2:$C$4, X$2)),"****")</f>
        <v/>
      </c>
    </row>
    <row r="80" spans="1:24" x14ac:dyDescent="0.3">
      <c r="A80" s="106">
        <v>78</v>
      </c>
      <c r="B80" t="str">
        <f>IFERROR(VLOOKUP($A80, Ledger!$B$2:$L$8, 3, 0),"")</f>
        <v/>
      </c>
      <c r="C80" t="str">
        <f>IFERROR(VLOOKUP($A80, Ledger!$B$2:$L$8, 4, 0),"")</f>
        <v/>
      </c>
      <c r="D80" t="str">
        <f>IFERROR(VLOOKUP($A80, Ledger!$B$2:$L$8, 5, 0),"")</f>
        <v/>
      </c>
      <c r="E80" t="str">
        <f>IFERROR(VLOOKUP($A80, Ledger!$B$2:$L$8, 6, 0),"")</f>
        <v/>
      </c>
      <c r="F80" t="str">
        <f>IFERROR(VLOOKUP($A80,'Student Data'!$A$2:$AR$6,32,0),"")</f>
        <v/>
      </c>
      <c r="G80" t="str">
        <f>IFERROR(VLOOKUP($A80,'Student Data'!$A$2:$AR$6,33,0),"")</f>
        <v/>
      </c>
      <c r="H80" t="str">
        <f>IFERROR(VLOOKUP($A80,'Student Data'!$A$2:$AR$6,34,0),"")</f>
        <v/>
      </c>
      <c r="I80" t="str">
        <f>IFERROR(VLOOKUP($A80,'Student Data'!$A$2:$AR$6,35,0),"")</f>
        <v/>
      </c>
      <c r="J80" t="str">
        <f>IFERROR(VLOOKUP($A80,'Student Data'!$A$2:$AR$6,36,0),"")</f>
        <v/>
      </c>
      <c r="K80" t="str">
        <f t="shared" si="2"/>
        <v/>
      </c>
      <c r="L80" t="str">
        <f t="shared" si="3"/>
        <v/>
      </c>
      <c r="M80" t="str">
        <f>IFERROR(IF($C80="","",SUMIFS(Ledger!$K$2:$K$4, Ledger!$B$2:$B$4, $A80, Ledger!$C$2:$C$4, M$2)),"****")</f>
        <v/>
      </c>
      <c r="N80" t="str">
        <f>IFERROR(IF($C80="","",SUMIFS(Ledger!$K$2:$K$4, Ledger!$B$2:$B$4, $A80, Ledger!$C$2:$C$4, N$2)),"****")</f>
        <v/>
      </c>
      <c r="O80" t="str">
        <f>IFERROR(IF($C80="","",SUMIFS(Ledger!$K$2:$K$4, Ledger!$B$2:$B$4, $A80, Ledger!$C$2:$C$4, O$2)),"****")</f>
        <v/>
      </c>
      <c r="P80" t="str">
        <f>IFERROR(IF($C80="","",SUMIFS(Ledger!$K$2:$K$4, Ledger!$B$2:$B$4, $A80, Ledger!$C$2:$C$4, P$2)),"****")</f>
        <v/>
      </c>
      <c r="Q80" t="str">
        <f>IFERROR(IF($C80="","",SUMIFS(Ledger!$K$2:$K$4, Ledger!$B$2:$B$4, $A80, Ledger!$C$2:$C$4, Q$2)),"****")</f>
        <v/>
      </c>
      <c r="R80" t="str">
        <f>IFERROR(IF($C80="","",SUMIFS(Ledger!$K$2:$K$4, Ledger!$B$2:$B$4, $A80, Ledger!$C$2:$C$4, R$2)),"****")</f>
        <v/>
      </c>
      <c r="S80" t="str">
        <f>IFERROR(IF($C80="","",SUMIFS(Ledger!$K$2:$K$4, Ledger!$B$2:$B$4, $A80, Ledger!$C$2:$C$4, S$2)),"****")</f>
        <v/>
      </c>
      <c r="T80" t="str">
        <f>IFERROR(IF($C80="","",SUMIFS(Ledger!$K$2:$K$4, Ledger!$B$2:$B$4, $A80, Ledger!$C$2:$C$4, T$2)),"****")</f>
        <v/>
      </c>
      <c r="U80" t="str">
        <f>IFERROR(IF($C80="","",SUMIFS(Ledger!$K$2:$K$4, Ledger!$B$2:$B$4, $A80, Ledger!$C$2:$C$4, U$2)),"****")</f>
        <v/>
      </c>
      <c r="V80" t="str">
        <f>IFERROR(IF($C80="","",SUMIFS(Ledger!$K$2:$K$4, Ledger!$B$2:$B$4, $A80, Ledger!$C$2:$C$4, V$2)),"****")</f>
        <v/>
      </c>
      <c r="W80" t="str">
        <f>IFERROR(IF($C80="","",SUMIFS(Ledger!$K$2:$K$4, Ledger!$B$2:$B$4, $A80, Ledger!$C$2:$C$4, W$2)),"****")</f>
        <v/>
      </c>
      <c r="X80" t="str">
        <f>IFERROR(IF($C80="","",SUMIFS(Ledger!$K$2:$K$4, Ledger!$B$2:$B$4, $A80, Ledger!$C$2:$C$4, X$2)),"****")</f>
        <v/>
      </c>
    </row>
    <row r="81" spans="1:24" x14ac:dyDescent="0.3">
      <c r="A81" s="106">
        <v>79</v>
      </c>
      <c r="B81" t="str">
        <f>IFERROR(VLOOKUP($A81, Ledger!$B$2:$L$8, 3, 0),"")</f>
        <v/>
      </c>
      <c r="C81" t="str">
        <f>IFERROR(VLOOKUP($A81, Ledger!$B$2:$L$8, 4, 0),"")</f>
        <v/>
      </c>
      <c r="D81" t="str">
        <f>IFERROR(VLOOKUP($A81, Ledger!$B$2:$L$8, 5, 0),"")</f>
        <v/>
      </c>
      <c r="E81" t="str">
        <f>IFERROR(VLOOKUP($A81, Ledger!$B$2:$L$8, 6, 0),"")</f>
        <v/>
      </c>
      <c r="F81" t="str">
        <f>IFERROR(VLOOKUP($A81,'Student Data'!$A$2:$AR$6,32,0),"")</f>
        <v/>
      </c>
      <c r="G81" t="str">
        <f>IFERROR(VLOOKUP($A81,'Student Data'!$A$2:$AR$6,33,0),"")</f>
        <v/>
      </c>
      <c r="H81" t="str">
        <f>IFERROR(VLOOKUP($A81,'Student Data'!$A$2:$AR$6,34,0),"")</f>
        <v/>
      </c>
      <c r="I81" t="str">
        <f>IFERROR(VLOOKUP($A81,'Student Data'!$A$2:$AR$6,35,0),"")</f>
        <v/>
      </c>
      <c r="J81" t="str">
        <f>IFERROR(VLOOKUP($A81,'Student Data'!$A$2:$AR$6,36,0),"")</f>
        <v/>
      </c>
      <c r="K81" t="str">
        <f t="shared" si="2"/>
        <v/>
      </c>
      <c r="L81" t="str">
        <f t="shared" si="3"/>
        <v/>
      </c>
      <c r="M81" t="str">
        <f>IFERROR(IF($C81="","",SUMIFS(Ledger!$K$2:$K$4, Ledger!$B$2:$B$4, $A81, Ledger!$C$2:$C$4, M$2)),"****")</f>
        <v/>
      </c>
      <c r="N81" t="str">
        <f>IFERROR(IF($C81="","",SUMIFS(Ledger!$K$2:$K$4, Ledger!$B$2:$B$4, $A81, Ledger!$C$2:$C$4, N$2)),"****")</f>
        <v/>
      </c>
      <c r="O81" t="str">
        <f>IFERROR(IF($C81="","",SUMIFS(Ledger!$K$2:$K$4, Ledger!$B$2:$B$4, $A81, Ledger!$C$2:$C$4, O$2)),"****")</f>
        <v/>
      </c>
      <c r="P81" t="str">
        <f>IFERROR(IF($C81="","",SUMIFS(Ledger!$K$2:$K$4, Ledger!$B$2:$B$4, $A81, Ledger!$C$2:$C$4, P$2)),"****")</f>
        <v/>
      </c>
      <c r="Q81" t="str">
        <f>IFERROR(IF($C81="","",SUMIFS(Ledger!$K$2:$K$4, Ledger!$B$2:$B$4, $A81, Ledger!$C$2:$C$4, Q$2)),"****")</f>
        <v/>
      </c>
      <c r="R81" t="str">
        <f>IFERROR(IF($C81="","",SUMIFS(Ledger!$K$2:$K$4, Ledger!$B$2:$B$4, $A81, Ledger!$C$2:$C$4, R$2)),"****")</f>
        <v/>
      </c>
      <c r="S81" t="str">
        <f>IFERROR(IF($C81="","",SUMIFS(Ledger!$K$2:$K$4, Ledger!$B$2:$B$4, $A81, Ledger!$C$2:$C$4, S$2)),"****")</f>
        <v/>
      </c>
      <c r="T81" t="str">
        <f>IFERROR(IF($C81="","",SUMIFS(Ledger!$K$2:$K$4, Ledger!$B$2:$B$4, $A81, Ledger!$C$2:$C$4, T$2)),"****")</f>
        <v/>
      </c>
      <c r="U81" t="str">
        <f>IFERROR(IF($C81="","",SUMIFS(Ledger!$K$2:$K$4, Ledger!$B$2:$B$4, $A81, Ledger!$C$2:$C$4, U$2)),"****")</f>
        <v/>
      </c>
      <c r="V81" t="str">
        <f>IFERROR(IF($C81="","",SUMIFS(Ledger!$K$2:$K$4, Ledger!$B$2:$B$4, $A81, Ledger!$C$2:$C$4, V$2)),"****")</f>
        <v/>
      </c>
      <c r="W81" t="str">
        <f>IFERROR(IF($C81="","",SUMIFS(Ledger!$K$2:$K$4, Ledger!$B$2:$B$4, $A81, Ledger!$C$2:$C$4, W$2)),"****")</f>
        <v/>
      </c>
      <c r="X81" t="str">
        <f>IFERROR(IF($C81="","",SUMIFS(Ledger!$K$2:$K$4, Ledger!$B$2:$B$4, $A81, Ledger!$C$2:$C$4, X$2)),"****")</f>
        <v/>
      </c>
    </row>
    <row r="82" spans="1:24" x14ac:dyDescent="0.3">
      <c r="A82" s="106">
        <v>80</v>
      </c>
      <c r="B82" t="str">
        <f>IFERROR(VLOOKUP($A82, Ledger!$B$2:$L$8, 3, 0),"")</f>
        <v/>
      </c>
      <c r="C82" t="str">
        <f>IFERROR(VLOOKUP($A82, Ledger!$B$2:$L$8, 4, 0),"")</f>
        <v/>
      </c>
      <c r="D82" t="str">
        <f>IFERROR(VLOOKUP($A82, Ledger!$B$2:$L$8, 5, 0),"")</f>
        <v/>
      </c>
      <c r="E82" t="str">
        <f>IFERROR(VLOOKUP($A82, Ledger!$B$2:$L$8, 6, 0),"")</f>
        <v/>
      </c>
      <c r="F82" t="str">
        <f>IFERROR(VLOOKUP($A82,'Student Data'!$A$2:$AR$6,32,0),"")</f>
        <v/>
      </c>
      <c r="G82" t="str">
        <f>IFERROR(VLOOKUP($A82,'Student Data'!$A$2:$AR$6,33,0),"")</f>
        <v/>
      </c>
      <c r="H82" t="str">
        <f>IFERROR(VLOOKUP($A82,'Student Data'!$A$2:$AR$6,34,0),"")</f>
        <v/>
      </c>
      <c r="I82" t="str">
        <f>IFERROR(VLOOKUP($A82,'Student Data'!$A$2:$AR$6,35,0),"")</f>
        <v/>
      </c>
      <c r="J82" t="str">
        <f>IFERROR(VLOOKUP($A82,'Student Data'!$A$2:$AR$6,36,0),"")</f>
        <v/>
      </c>
      <c r="K82" t="str">
        <f t="shared" si="2"/>
        <v/>
      </c>
      <c r="L82" t="str">
        <f t="shared" si="3"/>
        <v/>
      </c>
      <c r="M82" t="str">
        <f>IFERROR(IF($C82="","",SUMIFS(Ledger!$K$2:$K$4, Ledger!$B$2:$B$4, $A82, Ledger!$C$2:$C$4, M$2)),"****")</f>
        <v/>
      </c>
      <c r="N82" t="str">
        <f>IFERROR(IF($C82="","",SUMIFS(Ledger!$K$2:$K$4, Ledger!$B$2:$B$4, $A82, Ledger!$C$2:$C$4, N$2)),"****")</f>
        <v/>
      </c>
      <c r="O82" t="str">
        <f>IFERROR(IF($C82="","",SUMIFS(Ledger!$K$2:$K$4, Ledger!$B$2:$B$4, $A82, Ledger!$C$2:$C$4, O$2)),"****")</f>
        <v/>
      </c>
      <c r="P82" t="str">
        <f>IFERROR(IF($C82="","",SUMIFS(Ledger!$K$2:$K$4, Ledger!$B$2:$B$4, $A82, Ledger!$C$2:$C$4, P$2)),"****")</f>
        <v/>
      </c>
      <c r="Q82" t="str">
        <f>IFERROR(IF($C82="","",SUMIFS(Ledger!$K$2:$K$4, Ledger!$B$2:$B$4, $A82, Ledger!$C$2:$C$4, Q$2)),"****")</f>
        <v/>
      </c>
      <c r="R82" t="str">
        <f>IFERROR(IF($C82="","",SUMIFS(Ledger!$K$2:$K$4, Ledger!$B$2:$B$4, $A82, Ledger!$C$2:$C$4, R$2)),"****")</f>
        <v/>
      </c>
      <c r="S82" t="str">
        <f>IFERROR(IF($C82="","",SUMIFS(Ledger!$K$2:$K$4, Ledger!$B$2:$B$4, $A82, Ledger!$C$2:$C$4, S$2)),"****")</f>
        <v/>
      </c>
      <c r="T82" t="str">
        <f>IFERROR(IF($C82="","",SUMIFS(Ledger!$K$2:$K$4, Ledger!$B$2:$B$4, $A82, Ledger!$C$2:$C$4, T$2)),"****")</f>
        <v/>
      </c>
      <c r="U82" t="str">
        <f>IFERROR(IF($C82="","",SUMIFS(Ledger!$K$2:$K$4, Ledger!$B$2:$B$4, $A82, Ledger!$C$2:$C$4, U$2)),"****")</f>
        <v/>
      </c>
      <c r="V82" t="str">
        <f>IFERROR(IF($C82="","",SUMIFS(Ledger!$K$2:$K$4, Ledger!$B$2:$B$4, $A82, Ledger!$C$2:$C$4, V$2)),"****")</f>
        <v/>
      </c>
      <c r="W82" t="str">
        <f>IFERROR(IF($C82="","",SUMIFS(Ledger!$K$2:$K$4, Ledger!$B$2:$B$4, $A82, Ledger!$C$2:$C$4, W$2)),"****")</f>
        <v/>
      </c>
      <c r="X82" t="str">
        <f>IFERROR(IF($C82="","",SUMIFS(Ledger!$K$2:$K$4, Ledger!$B$2:$B$4, $A82, Ledger!$C$2:$C$4, X$2)),"****")</f>
        <v/>
      </c>
    </row>
    <row r="83" spans="1:24" x14ac:dyDescent="0.3">
      <c r="A83" s="106">
        <v>81</v>
      </c>
      <c r="B83" t="str">
        <f>IFERROR(VLOOKUP($A83, Ledger!$B$2:$L$8, 3, 0),"")</f>
        <v/>
      </c>
      <c r="C83" t="str">
        <f>IFERROR(VLOOKUP($A83, Ledger!$B$2:$L$8, 4, 0),"")</f>
        <v/>
      </c>
      <c r="D83" t="str">
        <f>IFERROR(VLOOKUP($A83, Ledger!$B$2:$L$8, 5, 0),"")</f>
        <v/>
      </c>
      <c r="E83" t="str">
        <f>IFERROR(VLOOKUP($A83, Ledger!$B$2:$L$8, 6, 0),"")</f>
        <v/>
      </c>
      <c r="F83" t="str">
        <f>IFERROR(VLOOKUP($A83,'Student Data'!$A$2:$AR$6,32,0),"")</f>
        <v/>
      </c>
      <c r="G83" t="str">
        <f>IFERROR(VLOOKUP($A83,'Student Data'!$A$2:$AR$6,33,0),"")</f>
        <v/>
      </c>
      <c r="H83" t="str">
        <f>IFERROR(VLOOKUP($A83,'Student Data'!$A$2:$AR$6,34,0),"")</f>
        <v/>
      </c>
      <c r="I83" t="str">
        <f>IFERROR(VLOOKUP($A83,'Student Data'!$A$2:$AR$6,35,0),"")</f>
        <v/>
      </c>
      <c r="J83" t="str">
        <f>IFERROR(VLOOKUP($A83,'Student Data'!$A$2:$AR$6,36,0),"")</f>
        <v/>
      </c>
      <c r="K83" t="str">
        <f t="shared" si="2"/>
        <v/>
      </c>
      <c r="L83" t="str">
        <f t="shared" si="3"/>
        <v/>
      </c>
      <c r="M83" t="str">
        <f>IFERROR(IF($C83="","",SUMIFS(Ledger!$K$2:$K$4, Ledger!$B$2:$B$4, $A83, Ledger!$C$2:$C$4, M$2)),"****")</f>
        <v/>
      </c>
      <c r="N83" t="str">
        <f>IFERROR(IF($C83="","",SUMIFS(Ledger!$K$2:$K$4, Ledger!$B$2:$B$4, $A83, Ledger!$C$2:$C$4, N$2)),"****")</f>
        <v/>
      </c>
      <c r="O83" t="str">
        <f>IFERROR(IF($C83="","",SUMIFS(Ledger!$K$2:$K$4, Ledger!$B$2:$B$4, $A83, Ledger!$C$2:$C$4, O$2)),"****")</f>
        <v/>
      </c>
      <c r="P83" t="str">
        <f>IFERROR(IF($C83="","",SUMIFS(Ledger!$K$2:$K$4, Ledger!$B$2:$B$4, $A83, Ledger!$C$2:$C$4, P$2)),"****")</f>
        <v/>
      </c>
      <c r="Q83" t="str">
        <f>IFERROR(IF($C83="","",SUMIFS(Ledger!$K$2:$K$4, Ledger!$B$2:$B$4, $A83, Ledger!$C$2:$C$4, Q$2)),"****")</f>
        <v/>
      </c>
      <c r="R83" t="str">
        <f>IFERROR(IF($C83="","",SUMIFS(Ledger!$K$2:$K$4, Ledger!$B$2:$B$4, $A83, Ledger!$C$2:$C$4, R$2)),"****")</f>
        <v/>
      </c>
      <c r="S83" t="str">
        <f>IFERROR(IF($C83="","",SUMIFS(Ledger!$K$2:$K$4, Ledger!$B$2:$B$4, $A83, Ledger!$C$2:$C$4, S$2)),"****")</f>
        <v/>
      </c>
      <c r="T83" t="str">
        <f>IFERROR(IF($C83="","",SUMIFS(Ledger!$K$2:$K$4, Ledger!$B$2:$B$4, $A83, Ledger!$C$2:$C$4, T$2)),"****")</f>
        <v/>
      </c>
      <c r="U83" t="str">
        <f>IFERROR(IF($C83="","",SUMIFS(Ledger!$K$2:$K$4, Ledger!$B$2:$B$4, $A83, Ledger!$C$2:$C$4, U$2)),"****")</f>
        <v/>
      </c>
      <c r="V83" t="str">
        <f>IFERROR(IF($C83="","",SUMIFS(Ledger!$K$2:$K$4, Ledger!$B$2:$B$4, $A83, Ledger!$C$2:$C$4, V$2)),"****")</f>
        <v/>
      </c>
      <c r="W83" t="str">
        <f>IFERROR(IF($C83="","",SUMIFS(Ledger!$K$2:$K$4, Ledger!$B$2:$B$4, $A83, Ledger!$C$2:$C$4, W$2)),"****")</f>
        <v/>
      </c>
      <c r="X83" t="str">
        <f>IFERROR(IF($C83="","",SUMIFS(Ledger!$K$2:$K$4, Ledger!$B$2:$B$4, $A83, Ledger!$C$2:$C$4, X$2)),"****")</f>
        <v/>
      </c>
    </row>
    <row r="84" spans="1:24" x14ac:dyDescent="0.3">
      <c r="A84" s="106">
        <v>82</v>
      </c>
      <c r="B84" t="str">
        <f>IFERROR(VLOOKUP($A84, Ledger!$B$2:$L$8, 3, 0),"")</f>
        <v/>
      </c>
      <c r="C84" t="str">
        <f>IFERROR(VLOOKUP($A84, Ledger!$B$2:$L$8, 4, 0),"")</f>
        <v/>
      </c>
      <c r="D84" t="str">
        <f>IFERROR(VLOOKUP($A84, Ledger!$B$2:$L$8, 5, 0),"")</f>
        <v/>
      </c>
      <c r="E84" t="str">
        <f>IFERROR(VLOOKUP($A84, Ledger!$B$2:$L$8, 6, 0),"")</f>
        <v/>
      </c>
      <c r="F84" t="str">
        <f>IFERROR(VLOOKUP($A84,'Student Data'!$A$2:$AR$6,32,0),"")</f>
        <v/>
      </c>
      <c r="G84" t="str">
        <f>IFERROR(VLOOKUP($A84,'Student Data'!$A$2:$AR$6,33,0),"")</f>
        <v/>
      </c>
      <c r="H84" t="str">
        <f>IFERROR(VLOOKUP($A84,'Student Data'!$A$2:$AR$6,34,0),"")</f>
        <v/>
      </c>
      <c r="I84" t="str">
        <f>IFERROR(VLOOKUP($A84,'Student Data'!$A$2:$AR$6,35,0),"")</f>
        <v/>
      </c>
      <c r="J84" t="str">
        <f>IFERROR(VLOOKUP($A84,'Student Data'!$A$2:$AR$6,36,0),"")</f>
        <v/>
      </c>
      <c r="K84" t="str">
        <f t="shared" si="2"/>
        <v/>
      </c>
      <c r="L84" t="str">
        <f t="shared" si="3"/>
        <v/>
      </c>
      <c r="M84" t="str">
        <f>IFERROR(IF($C84="","",SUMIFS(Ledger!$K$2:$K$4, Ledger!$B$2:$B$4, $A84, Ledger!$C$2:$C$4, M$2)),"****")</f>
        <v/>
      </c>
      <c r="N84" t="str">
        <f>IFERROR(IF($C84="","",SUMIFS(Ledger!$K$2:$K$4, Ledger!$B$2:$B$4, $A84, Ledger!$C$2:$C$4, N$2)),"****")</f>
        <v/>
      </c>
      <c r="O84" t="str">
        <f>IFERROR(IF($C84="","",SUMIFS(Ledger!$K$2:$K$4, Ledger!$B$2:$B$4, $A84, Ledger!$C$2:$C$4, O$2)),"****")</f>
        <v/>
      </c>
      <c r="P84" t="str">
        <f>IFERROR(IF($C84="","",SUMIFS(Ledger!$K$2:$K$4, Ledger!$B$2:$B$4, $A84, Ledger!$C$2:$C$4, P$2)),"****")</f>
        <v/>
      </c>
      <c r="Q84" t="str">
        <f>IFERROR(IF($C84="","",SUMIFS(Ledger!$K$2:$K$4, Ledger!$B$2:$B$4, $A84, Ledger!$C$2:$C$4, Q$2)),"****")</f>
        <v/>
      </c>
      <c r="R84" t="str">
        <f>IFERROR(IF($C84="","",SUMIFS(Ledger!$K$2:$K$4, Ledger!$B$2:$B$4, $A84, Ledger!$C$2:$C$4, R$2)),"****")</f>
        <v/>
      </c>
      <c r="S84" t="str">
        <f>IFERROR(IF($C84="","",SUMIFS(Ledger!$K$2:$K$4, Ledger!$B$2:$B$4, $A84, Ledger!$C$2:$C$4, S$2)),"****")</f>
        <v/>
      </c>
      <c r="T84" t="str">
        <f>IFERROR(IF($C84="","",SUMIFS(Ledger!$K$2:$K$4, Ledger!$B$2:$B$4, $A84, Ledger!$C$2:$C$4, T$2)),"****")</f>
        <v/>
      </c>
      <c r="U84" t="str">
        <f>IFERROR(IF($C84="","",SUMIFS(Ledger!$K$2:$K$4, Ledger!$B$2:$B$4, $A84, Ledger!$C$2:$C$4, U$2)),"****")</f>
        <v/>
      </c>
      <c r="V84" t="str">
        <f>IFERROR(IF($C84="","",SUMIFS(Ledger!$K$2:$K$4, Ledger!$B$2:$B$4, $A84, Ledger!$C$2:$C$4, V$2)),"****")</f>
        <v/>
      </c>
      <c r="W84" t="str">
        <f>IFERROR(IF($C84="","",SUMIFS(Ledger!$K$2:$K$4, Ledger!$B$2:$B$4, $A84, Ledger!$C$2:$C$4, W$2)),"****")</f>
        <v/>
      </c>
      <c r="X84" t="str">
        <f>IFERROR(IF($C84="","",SUMIFS(Ledger!$K$2:$K$4, Ledger!$B$2:$B$4, $A84, Ledger!$C$2:$C$4, X$2)),"****")</f>
        <v/>
      </c>
    </row>
    <row r="85" spans="1:24" x14ac:dyDescent="0.3">
      <c r="A85" s="106">
        <v>83</v>
      </c>
      <c r="B85" t="str">
        <f>IFERROR(VLOOKUP($A85, Ledger!$B$2:$L$8, 3, 0),"")</f>
        <v/>
      </c>
      <c r="C85" t="str">
        <f>IFERROR(VLOOKUP($A85, Ledger!$B$2:$L$8, 4, 0),"")</f>
        <v/>
      </c>
      <c r="D85" t="str">
        <f>IFERROR(VLOOKUP($A85, Ledger!$B$2:$L$8, 5, 0),"")</f>
        <v/>
      </c>
      <c r="E85" t="str">
        <f>IFERROR(VLOOKUP($A85, Ledger!$B$2:$L$8, 6, 0),"")</f>
        <v/>
      </c>
      <c r="F85" t="str">
        <f>IFERROR(VLOOKUP($A85,'Student Data'!$A$2:$AR$6,32,0),"")</f>
        <v/>
      </c>
      <c r="G85" t="str">
        <f>IFERROR(VLOOKUP($A85,'Student Data'!$A$2:$AR$6,33,0),"")</f>
        <v/>
      </c>
      <c r="H85" t="str">
        <f>IFERROR(VLOOKUP($A85,'Student Data'!$A$2:$AR$6,34,0),"")</f>
        <v/>
      </c>
      <c r="I85" t="str">
        <f>IFERROR(VLOOKUP($A85,'Student Data'!$A$2:$AR$6,35,0),"")</f>
        <v/>
      </c>
      <c r="J85" t="str">
        <f>IFERROR(VLOOKUP($A85,'Student Data'!$A$2:$AR$6,36,0),"")</f>
        <v/>
      </c>
      <c r="K85" t="str">
        <f t="shared" si="2"/>
        <v/>
      </c>
      <c r="L85" t="str">
        <f t="shared" si="3"/>
        <v/>
      </c>
      <c r="M85" t="str">
        <f>IFERROR(IF($C85="","",SUMIFS(Ledger!$K$2:$K$4, Ledger!$B$2:$B$4, $A85, Ledger!$C$2:$C$4, M$2)),"****")</f>
        <v/>
      </c>
      <c r="N85" t="str">
        <f>IFERROR(IF($C85="","",SUMIFS(Ledger!$K$2:$K$4, Ledger!$B$2:$B$4, $A85, Ledger!$C$2:$C$4, N$2)),"****")</f>
        <v/>
      </c>
      <c r="O85" t="str">
        <f>IFERROR(IF($C85="","",SUMIFS(Ledger!$K$2:$K$4, Ledger!$B$2:$B$4, $A85, Ledger!$C$2:$C$4, O$2)),"****")</f>
        <v/>
      </c>
      <c r="P85" t="str">
        <f>IFERROR(IF($C85="","",SUMIFS(Ledger!$K$2:$K$4, Ledger!$B$2:$B$4, $A85, Ledger!$C$2:$C$4, P$2)),"****")</f>
        <v/>
      </c>
      <c r="Q85" t="str">
        <f>IFERROR(IF($C85="","",SUMIFS(Ledger!$K$2:$K$4, Ledger!$B$2:$B$4, $A85, Ledger!$C$2:$C$4, Q$2)),"****")</f>
        <v/>
      </c>
      <c r="R85" t="str">
        <f>IFERROR(IF($C85="","",SUMIFS(Ledger!$K$2:$K$4, Ledger!$B$2:$B$4, $A85, Ledger!$C$2:$C$4, R$2)),"****")</f>
        <v/>
      </c>
      <c r="S85" t="str">
        <f>IFERROR(IF($C85="","",SUMIFS(Ledger!$K$2:$K$4, Ledger!$B$2:$B$4, $A85, Ledger!$C$2:$C$4, S$2)),"****")</f>
        <v/>
      </c>
      <c r="T85" t="str">
        <f>IFERROR(IF($C85="","",SUMIFS(Ledger!$K$2:$K$4, Ledger!$B$2:$B$4, $A85, Ledger!$C$2:$C$4, T$2)),"****")</f>
        <v/>
      </c>
      <c r="U85" t="str">
        <f>IFERROR(IF($C85="","",SUMIFS(Ledger!$K$2:$K$4, Ledger!$B$2:$B$4, $A85, Ledger!$C$2:$C$4, U$2)),"****")</f>
        <v/>
      </c>
      <c r="V85" t="str">
        <f>IFERROR(IF($C85="","",SUMIFS(Ledger!$K$2:$K$4, Ledger!$B$2:$B$4, $A85, Ledger!$C$2:$C$4, V$2)),"****")</f>
        <v/>
      </c>
      <c r="W85" t="str">
        <f>IFERROR(IF($C85="","",SUMIFS(Ledger!$K$2:$K$4, Ledger!$B$2:$B$4, $A85, Ledger!$C$2:$C$4, W$2)),"****")</f>
        <v/>
      </c>
      <c r="X85" t="str">
        <f>IFERROR(IF($C85="","",SUMIFS(Ledger!$K$2:$K$4, Ledger!$B$2:$B$4, $A85, Ledger!$C$2:$C$4, X$2)),"****")</f>
        <v/>
      </c>
    </row>
    <row r="86" spans="1:24" x14ac:dyDescent="0.3">
      <c r="A86" s="106">
        <v>84</v>
      </c>
      <c r="B86" t="str">
        <f>IFERROR(VLOOKUP($A86, Ledger!$B$2:$L$8, 3, 0),"")</f>
        <v/>
      </c>
      <c r="C86" t="str">
        <f>IFERROR(VLOOKUP($A86, Ledger!$B$2:$L$8, 4, 0),"")</f>
        <v/>
      </c>
      <c r="D86" t="str">
        <f>IFERROR(VLOOKUP($A86, Ledger!$B$2:$L$8, 5, 0),"")</f>
        <v/>
      </c>
      <c r="E86" t="str">
        <f>IFERROR(VLOOKUP($A86, Ledger!$B$2:$L$8, 6, 0),"")</f>
        <v/>
      </c>
      <c r="F86" t="str">
        <f>IFERROR(VLOOKUP($A86,'Student Data'!$A$2:$AR$6,32,0),"")</f>
        <v/>
      </c>
      <c r="G86" t="str">
        <f>IFERROR(VLOOKUP($A86,'Student Data'!$A$2:$AR$6,33,0),"")</f>
        <v/>
      </c>
      <c r="H86" t="str">
        <f>IFERROR(VLOOKUP($A86,'Student Data'!$A$2:$AR$6,34,0),"")</f>
        <v/>
      </c>
      <c r="I86" t="str">
        <f>IFERROR(VLOOKUP($A86,'Student Data'!$A$2:$AR$6,35,0),"")</f>
        <v/>
      </c>
      <c r="J86" t="str">
        <f>IFERROR(VLOOKUP($A86,'Student Data'!$A$2:$AR$6,36,0),"")</f>
        <v/>
      </c>
      <c r="K86" t="str">
        <f t="shared" si="2"/>
        <v/>
      </c>
      <c r="L86" t="str">
        <f t="shared" si="3"/>
        <v/>
      </c>
      <c r="M86" t="str">
        <f>IFERROR(IF($C86="","",SUMIFS(Ledger!$K$2:$K$4, Ledger!$B$2:$B$4, $A86, Ledger!$C$2:$C$4, M$2)),"****")</f>
        <v/>
      </c>
      <c r="N86" t="str">
        <f>IFERROR(IF($C86="","",SUMIFS(Ledger!$K$2:$K$4, Ledger!$B$2:$B$4, $A86, Ledger!$C$2:$C$4, N$2)),"****")</f>
        <v/>
      </c>
      <c r="O86" t="str">
        <f>IFERROR(IF($C86="","",SUMIFS(Ledger!$K$2:$K$4, Ledger!$B$2:$B$4, $A86, Ledger!$C$2:$C$4, O$2)),"****")</f>
        <v/>
      </c>
      <c r="P86" t="str">
        <f>IFERROR(IF($C86="","",SUMIFS(Ledger!$K$2:$K$4, Ledger!$B$2:$B$4, $A86, Ledger!$C$2:$C$4, P$2)),"****")</f>
        <v/>
      </c>
      <c r="Q86" t="str">
        <f>IFERROR(IF($C86="","",SUMIFS(Ledger!$K$2:$K$4, Ledger!$B$2:$B$4, $A86, Ledger!$C$2:$C$4, Q$2)),"****")</f>
        <v/>
      </c>
      <c r="R86" t="str">
        <f>IFERROR(IF($C86="","",SUMIFS(Ledger!$K$2:$K$4, Ledger!$B$2:$B$4, $A86, Ledger!$C$2:$C$4, R$2)),"****")</f>
        <v/>
      </c>
      <c r="S86" t="str">
        <f>IFERROR(IF($C86="","",SUMIFS(Ledger!$K$2:$K$4, Ledger!$B$2:$B$4, $A86, Ledger!$C$2:$C$4, S$2)),"****")</f>
        <v/>
      </c>
      <c r="T86" t="str">
        <f>IFERROR(IF($C86="","",SUMIFS(Ledger!$K$2:$K$4, Ledger!$B$2:$B$4, $A86, Ledger!$C$2:$C$4, T$2)),"****")</f>
        <v/>
      </c>
      <c r="U86" t="str">
        <f>IFERROR(IF($C86="","",SUMIFS(Ledger!$K$2:$K$4, Ledger!$B$2:$B$4, $A86, Ledger!$C$2:$C$4, U$2)),"****")</f>
        <v/>
      </c>
      <c r="V86" t="str">
        <f>IFERROR(IF($C86="","",SUMIFS(Ledger!$K$2:$K$4, Ledger!$B$2:$B$4, $A86, Ledger!$C$2:$C$4, V$2)),"****")</f>
        <v/>
      </c>
      <c r="W86" t="str">
        <f>IFERROR(IF($C86="","",SUMIFS(Ledger!$K$2:$K$4, Ledger!$B$2:$B$4, $A86, Ledger!$C$2:$C$4, W$2)),"****")</f>
        <v/>
      </c>
      <c r="X86" t="str">
        <f>IFERROR(IF($C86="","",SUMIFS(Ledger!$K$2:$K$4, Ledger!$B$2:$B$4, $A86, Ledger!$C$2:$C$4, X$2)),"****")</f>
        <v/>
      </c>
    </row>
    <row r="87" spans="1:24" x14ac:dyDescent="0.3">
      <c r="A87" s="106">
        <v>85</v>
      </c>
      <c r="B87" t="str">
        <f>IFERROR(VLOOKUP($A87, Ledger!$B$2:$L$8, 3, 0),"")</f>
        <v/>
      </c>
      <c r="C87" t="str">
        <f>IFERROR(VLOOKUP($A87, Ledger!$B$2:$L$8, 4, 0),"")</f>
        <v/>
      </c>
      <c r="D87" t="str">
        <f>IFERROR(VLOOKUP($A87, Ledger!$B$2:$L$8, 5, 0),"")</f>
        <v/>
      </c>
      <c r="E87" t="str">
        <f>IFERROR(VLOOKUP($A87, Ledger!$B$2:$L$8, 6, 0),"")</f>
        <v/>
      </c>
      <c r="F87" t="str">
        <f>IFERROR(VLOOKUP($A87,'Student Data'!$A$2:$AR$6,32,0),"")</f>
        <v/>
      </c>
      <c r="G87" t="str">
        <f>IFERROR(VLOOKUP($A87,'Student Data'!$A$2:$AR$6,33,0),"")</f>
        <v/>
      </c>
      <c r="H87" t="str">
        <f>IFERROR(VLOOKUP($A87,'Student Data'!$A$2:$AR$6,34,0),"")</f>
        <v/>
      </c>
      <c r="I87" t="str">
        <f>IFERROR(VLOOKUP($A87,'Student Data'!$A$2:$AR$6,35,0),"")</f>
        <v/>
      </c>
      <c r="J87" t="str">
        <f>IFERROR(VLOOKUP($A87,'Student Data'!$A$2:$AR$6,36,0),"")</f>
        <v/>
      </c>
      <c r="K87" t="str">
        <f t="shared" si="2"/>
        <v/>
      </c>
      <c r="L87" t="str">
        <f t="shared" si="3"/>
        <v/>
      </c>
      <c r="M87" t="str">
        <f>IFERROR(IF($C87="","",SUMIFS(Ledger!$K$2:$K$4, Ledger!$B$2:$B$4, $A87, Ledger!$C$2:$C$4, M$2)),"****")</f>
        <v/>
      </c>
      <c r="N87" t="str">
        <f>IFERROR(IF($C87="","",SUMIFS(Ledger!$K$2:$K$4, Ledger!$B$2:$B$4, $A87, Ledger!$C$2:$C$4, N$2)),"****")</f>
        <v/>
      </c>
      <c r="O87" t="str">
        <f>IFERROR(IF($C87="","",SUMIFS(Ledger!$K$2:$K$4, Ledger!$B$2:$B$4, $A87, Ledger!$C$2:$C$4, O$2)),"****")</f>
        <v/>
      </c>
      <c r="P87" t="str">
        <f>IFERROR(IF($C87="","",SUMIFS(Ledger!$K$2:$K$4, Ledger!$B$2:$B$4, $A87, Ledger!$C$2:$C$4, P$2)),"****")</f>
        <v/>
      </c>
      <c r="Q87" t="str">
        <f>IFERROR(IF($C87="","",SUMIFS(Ledger!$K$2:$K$4, Ledger!$B$2:$B$4, $A87, Ledger!$C$2:$C$4, Q$2)),"****")</f>
        <v/>
      </c>
      <c r="R87" t="str">
        <f>IFERROR(IF($C87="","",SUMIFS(Ledger!$K$2:$K$4, Ledger!$B$2:$B$4, $A87, Ledger!$C$2:$C$4, R$2)),"****")</f>
        <v/>
      </c>
      <c r="S87" t="str">
        <f>IFERROR(IF($C87="","",SUMIFS(Ledger!$K$2:$K$4, Ledger!$B$2:$B$4, $A87, Ledger!$C$2:$C$4, S$2)),"****")</f>
        <v/>
      </c>
      <c r="T87" t="str">
        <f>IFERROR(IF($C87="","",SUMIFS(Ledger!$K$2:$K$4, Ledger!$B$2:$B$4, $A87, Ledger!$C$2:$C$4, T$2)),"****")</f>
        <v/>
      </c>
      <c r="U87" t="str">
        <f>IFERROR(IF($C87="","",SUMIFS(Ledger!$K$2:$K$4, Ledger!$B$2:$B$4, $A87, Ledger!$C$2:$C$4, U$2)),"****")</f>
        <v/>
      </c>
      <c r="V87" t="str">
        <f>IFERROR(IF($C87="","",SUMIFS(Ledger!$K$2:$K$4, Ledger!$B$2:$B$4, $A87, Ledger!$C$2:$C$4, V$2)),"****")</f>
        <v/>
      </c>
      <c r="W87" t="str">
        <f>IFERROR(IF($C87="","",SUMIFS(Ledger!$K$2:$K$4, Ledger!$B$2:$B$4, $A87, Ledger!$C$2:$C$4, W$2)),"****")</f>
        <v/>
      </c>
      <c r="X87" t="str">
        <f>IFERROR(IF($C87="","",SUMIFS(Ledger!$K$2:$K$4, Ledger!$B$2:$B$4, $A87, Ledger!$C$2:$C$4, X$2)),"****")</f>
        <v/>
      </c>
    </row>
    <row r="88" spans="1:24" x14ac:dyDescent="0.3">
      <c r="A88" s="106">
        <v>86</v>
      </c>
      <c r="B88" t="str">
        <f>IFERROR(VLOOKUP($A88, Ledger!$B$2:$L$8, 3, 0),"")</f>
        <v/>
      </c>
      <c r="C88" t="str">
        <f>IFERROR(VLOOKUP($A88, Ledger!$B$2:$L$8, 4, 0),"")</f>
        <v/>
      </c>
      <c r="D88" t="str">
        <f>IFERROR(VLOOKUP($A88, Ledger!$B$2:$L$8, 5, 0),"")</f>
        <v/>
      </c>
      <c r="E88" t="str">
        <f>IFERROR(VLOOKUP($A88, Ledger!$B$2:$L$8, 6, 0),"")</f>
        <v/>
      </c>
      <c r="F88" t="str">
        <f>IFERROR(VLOOKUP($A88,'Student Data'!$A$2:$AR$6,32,0),"")</f>
        <v/>
      </c>
      <c r="G88" t="str">
        <f>IFERROR(VLOOKUP($A88,'Student Data'!$A$2:$AR$6,33,0),"")</f>
        <v/>
      </c>
      <c r="H88" t="str">
        <f>IFERROR(VLOOKUP($A88,'Student Data'!$A$2:$AR$6,34,0),"")</f>
        <v/>
      </c>
      <c r="I88" t="str">
        <f>IFERROR(VLOOKUP($A88,'Student Data'!$A$2:$AR$6,35,0),"")</f>
        <v/>
      </c>
      <c r="J88" t="str">
        <f>IFERROR(VLOOKUP($A88,'Student Data'!$A$2:$AR$6,36,0),"")</f>
        <v/>
      </c>
      <c r="K88" t="str">
        <f t="shared" si="2"/>
        <v/>
      </c>
      <c r="L88" t="str">
        <f t="shared" si="3"/>
        <v/>
      </c>
      <c r="M88" t="str">
        <f>IFERROR(IF($C88="","",SUMIFS(Ledger!$K$2:$K$4, Ledger!$B$2:$B$4, $A88, Ledger!$C$2:$C$4, M$2)),"****")</f>
        <v/>
      </c>
      <c r="N88" t="str">
        <f>IFERROR(IF($C88="","",SUMIFS(Ledger!$K$2:$K$4, Ledger!$B$2:$B$4, $A88, Ledger!$C$2:$C$4, N$2)),"****")</f>
        <v/>
      </c>
      <c r="O88" t="str">
        <f>IFERROR(IF($C88="","",SUMIFS(Ledger!$K$2:$K$4, Ledger!$B$2:$B$4, $A88, Ledger!$C$2:$C$4, O$2)),"****")</f>
        <v/>
      </c>
      <c r="P88" t="str">
        <f>IFERROR(IF($C88="","",SUMIFS(Ledger!$K$2:$K$4, Ledger!$B$2:$B$4, $A88, Ledger!$C$2:$C$4, P$2)),"****")</f>
        <v/>
      </c>
      <c r="Q88" t="str">
        <f>IFERROR(IF($C88="","",SUMIFS(Ledger!$K$2:$K$4, Ledger!$B$2:$B$4, $A88, Ledger!$C$2:$C$4, Q$2)),"****")</f>
        <v/>
      </c>
      <c r="R88" t="str">
        <f>IFERROR(IF($C88="","",SUMIFS(Ledger!$K$2:$K$4, Ledger!$B$2:$B$4, $A88, Ledger!$C$2:$C$4, R$2)),"****")</f>
        <v/>
      </c>
      <c r="S88" t="str">
        <f>IFERROR(IF($C88="","",SUMIFS(Ledger!$K$2:$K$4, Ledger!$B$2:$B$4, $A88, Ledger!$C$2:$C$4, S$2)),"****")</f>
        <v/>
      </c>
      <c r="T88" t="str">
        <f>IFERROR(IF($C88="","",SUMIFS(Ledger!$K$2:$K$4, Ledger!$B$2:$B$4, $A88, Ledger!$C$2:$C$4, T$2)),"****")</f>
        <v/>
      </c>
      <c r="U88" t="str">
        <f>IFERROR(IF($C88="","",SUMIFS(Ledger!$K$2:$K$4, Ledger!$B$2:$B$4, $A88, Ledger!$C$2:$C$4, U$2)),"****")</f>
        <v/>
      </c>
      <c r="V88" t="str">
        <f>IFERROR(IF($C88="","",SUMIFS(Ledger!$K$2:$K$4, Ledger!$B$2:$B$4, $A88, Ledger!$C$2:$C$4, V$2)),"****")</f>
        <v/>
      </c>
      <c r="W88" t="str">
        <f>IFERROR(IF($C88="","",SUMIFS(Ledger!$K$2:$K$4, Ledger!$B$2:$B$4, $A88, Ledger!$C$2:$C$4, W$2)),"****")</f>
        <v/>
      </c>
      <c r="X88" t="str">
        <f>IFERROR(IF($C88="","",SUMIFS(Ledger!$K$2:$K$4, Ledger!$B$2:$B$4, $A88, Ledger!$C$2:$C$4, X$2)),"****")</f>
        <v/>
      </c>
    </row>
    <row r="89" spans="1:24" x14ac:dyDescent="0.3">
      <c r="A89" s="106">
        <v>87</v>
      </c>
      <c r="B89" t="str">
        <f>IFERROR(VLOOKUP($A89, Ledger!$B$2:$L$8, 3, 0),"")</f>
        <v/>
      </c>
      <c r="C89" t="str">
        <f>IFERROR(VLOOKUP($A89, Ledger!$B$2:$L$8, 4, 0),"")</f>
        <v/>
      </c>
      <c r="D89" t="str">
        <f>IFERROR(VLOOKUP($A89, Ledger!$B$2:$L$8, 5, 0),"")</f>
        <v/>
      </c>
      <c r="E89" t="str">
        <f>IFERROR(VLOOKUP($A89, Ledger!$B$2:$L$8, 6, 0),"")</f>
        <v/>
      </c>
      <c r="F89" t="str">
        <f>IFERROR(VLOOKUP($A89,'Student Data'!$A$2:$AR$6,32,0),"")</f>
        <v/>
      </c>
      <c r="G89" t="str">
        <f>IFERROR(VLOOKUP($A89,'Student Data'!$A$2:$AR$6,33,0),"")</f>
        <v/>
      </c>
      <c r="H89" t="str">
        <f>IFERROR(VLOOKUP($A89,'Student Data'!$A$2:$AR$6,34,0),"")</f>
        <v/>
      </c>
      <c r="I89" t="str">
        <f>IFERROR(VLOOKUP($A89,'Student Data'!$A$2:$AR$6,35,0),"")</f>
        <v/>
      </c>
      <c r="J89" t="str">
        <f>IFERROR(VLOOKUP($A89,'Student Data'!$A$2:$AR$6,36,0),"")</f>
        <v/>
      </c>
      <c r="K89" t="str">
        <f t="shared" si="2"/>
        <v/>
      </c>
      <c r="L89" t="str">
        <f t="shared" si="3"/>
        <v/>
      </c>
      <c r="M89" t="str">
        <f>IFERROR(IF($C89="","",SUMIFS(Ledger!$K$2:$K$4, Ledger!$B$2:$B$4, $A89, Ledger!$C$2:$C$4, M$2)),"****")</f>
        <v/>
      </c>
      <c r="N89" t="str">
        <f>IFERROR(IF($C89="","",SUMIFS(Ledger!$K$2:$K$4, Ledger!$B$2:$B$4, $A89, Ledger!$C$2:$C$4, N$2)),"****")</f>
        <v/>
      </c>
      <c r="O89" t="str">
        <f>IFERROR(IF($C89="","",SUMIFS(Ledger!$K$2:$K$4, Ledger!$B$2:$B$4, $A89, Ledger!$C$2:$C$4, O$2)),"****")</f>
        <v/>
      </c>
      <c r="P89" t="str">
        <f>IFERROR(IF($C89="","",SUMIFS(Ledger!$K$2:$K$4, Ledger!$B$2:$B$4, $A89, Ledger!$C$2:$C$4, P$2)),"****")</f>
        <v/>
      </c>
      <c r="Q89" t="str">
        <f>IFERROR(IF($C89="","",SUMIFS(Ledger!$K$2:$K$4, Ledger!$B$2:$B$4, $A89, Ledger!$C$2:$C$4, Q$2)),"****")</f>
        <v/>
      </c>
      <c r="R89" t="str">
        <f>IFERROR(IF($C89="","",SUMIFS(Ledger!$K$2:$K$4, Ledger!$B$2:$B$4, $A89, Ledger!$C$2:$C$4, R$2)),"****")</f>
        <v/>
      </c>
      <c r="S89" t="str">
        <f>IFERROR(IF($C89="","",SUMIFS(Ledger!$K$2:$K$4, Ledger!$B$2:$B$4, $A89, Ledger!$C$2:$C$4, S$2)),"****")</f>
        <v/>
      </c>
      <c r="T89" t="str">
        <f>IFERROR(IF($C89="","",SUMIFS(Ledger!$K$2:$K$4, Ledger!$B$2:$B$4, $A89, Ledger!$C$2:$C$4, T$2)),"****")</f>
        <v/>
      </c>
      <c r="U89" t="str">
        <f>IFERROR(IF($C89="","",SUMIFS(Ledger!$K$2:$K$4, Ledger!$B$2:$B$4, $A89, Ledger!$C$2:$C$4, U$2)),"****")</f>
        <v/>
      </c>
      <c r="V89" t="str">
        <f>IFERROR(IF($C89="","",SUMIFS(Ledger!$K$2:$K$4, Ledger!$B$2:$B$4, $A89, Ledger!$C$2:$C$4, V$2)),"****")</f>
        <v/>
      </c>
      <c r="W89" t="str">
        <f>IFERROR(IF($C89="","",SUMIFS(Ledger!$K$2:$K$4, Ledger!$B$2:$B$4, $A89, Ledger!$C$2:$C$4, W$2)),"****")</f>
        <v/>
      </c>
      <c r="X89" t="str">
        <f>IFERROR(IF($C89="","",SUMIFS(Ledger!$K$2:$K$4, Ledger!$B$2:$B$4, $A89, Ledger!$C$2:$C$4, X$2)),"****")</f>
        <v/>
      </c>
    </row>
    <row r="90" spans="1:24" x14ac:dyDescent="0.3">
      <c r="A90" s="106">
        <v>88</v>
      </c>
      <c r="B90" t="str">
        <f>IFERROR(VLOOKUP($A90, Ledger!$B$2:$L$8, 3, 0),"")</f>
        <v/>
      </c>
      <c r="C90" t="str">
        <f>IFERROR(VLOOKUP($A90, Ledger!$B$2:$L$8, 4, 0),"")</f>
        <v/>
      </c>
      <c r="D90" t="str">
        <f>IFERROR(VLOOKUP($A90, Ledger!$B$2:$L$8, 5, 0),"")</f>
        <v/>
      </c>
      <c r="E90" t="str">
        <f>IFERROR(VLOOKUP($A90, Ledger!$B$2:$L$8, 6, 0),"")</f>
        <v/>
      </c>
      <c r="F90" t="str">
        <f>IFERROR(VLOOKUP($A90,'Student Data'!$A$2:$AR$6,32,0),"")</f>
        <v/>
      </c>
      <c r="G90" t="str">
        <f>IFERROR(VLOOKUP($A90,'Student Data'!$A$2:$AR$6,33,0),"")</f>
        <v/>
      </c>
      <c r="H90" t="str">
        <f>IFERROR(VLOOKUP($A90,'Student Data'!$A$2:$AR$6,34,0),"")</f>
        <v/>
      </c>
      <c r="I90" t="str">
        <f>IFERROR(VLOOKUP($A90,'Student Data'!$A$2:$AR$6,35,0),"")</f>
        <v/>
      </c>
      <c r="J90" t="str">
        <f>IFERROR(VLOOKUP($A90,'Student Data'!$A$2:$AR$6,36,0),"")</f>
        <v/>
      </c>
      <c r="K90" t="str">
        <f t="shared" si="2"/>
        <v/>
      </c>
      <c r="L90" t="str">
        <f t="shared" si="3"/>
        <v/>
      </c>
      <c r="M90" t="str">
        <f>IFERROR(IF($C90="","",SUMIFS(Ledger!$K$2:$K$4, Ledger!$B$2:$B$4, $A90, Ledger!$C$2:$C$4, M$2)),"****")</f>
        <v/>
      </c>
      <c r="N90" t="str">
        <f>IFERROR(IF($C90="","",SUMIFS(Ledger!$K$2:$K$4, Ledger!$B$2:$B$4, $A90, Ledger!$C$2:$C$4, N$2)),"****")</f>
        <v/>
      </c>
      <c r="O90" t="str">
        <f>IFERROR(IF($C90="","",SUMIFS(Ledger!$K$2:$K$4, Ledger!$B$2:$B$4, $A90, Ledger!$C$2:$C$4, O$2)),"****")</f>
        <v/>
      </c>
      <c r="P90" t="str">
        <f>IFERROR(IF($C90="","",SUMIFS(Ledger!$K$2:$K$4, Ledger!$B$2:$B$4, $A90, Ledger!$C$2:$C$4, P$2)),"****")</f>
        <v/>
      </c>
      <c r="Q90" t="str">
        <f>IFERROR(IF($C90="","",SUMIFS(Ledger!$K$2:$K$4, Ledger!$B$2:$B$4, $A90, Ledger!$C$2:$C$4, Q$2)),"****")</f>
        <v/>
      </c>
      <c r="R90" t="str">
        <f>IFERROR(IF($C90="","",SUMIFS(Ledger!$K$2:$K$4, Ledger!$B$2:$B$4, $A90, Ledger!$C$2:$C$4, R$2)),"****")</f>
        <v/>
      </c>
      <c r="S90" t="str">
        <f>IFERROR(IF($C90="","",SUMIFS(Ledger!$K$2:$K$4, Ledger!$B$2:$B$4, $A90, Ledger!$C$2:$C$4, S$2)),"****")</f>
        <v/>
      </c>
      <c r="T90" t="str">
        <f>IFERROR(IF($C90="","",SUMIFS(Ledger!$K$2:$K$4, Ledger!$B$2:$B$4, $A90, Ledger!$C$2:$C$4, T$2)),"****")</f>
        <v/>
      </c>
      <c r="U90" t="str">
        <f>IFERROR(IF($C90="","",SUMIFS(Ledger!$K$2:$K$4, Ledger!$B$2:$B$4, $A90, Ledger!$C$2:$C$4, U$2)),"****")</f>
        <v/>
      </c>
      <c r="V90" t="str">
        <f>IFERROR(IF($C90="","",SUMIFS(Ledger!$K$2:$K$4, Ledger!$B$2:$B$4, $A90, Ledger!$C$2:$C$4, V$2)),"****")</f>
        <v/>
      </c>
      <c r="W90" t="str">
        <f>IFERROR(IF($C90="","",SUMIFS(Ledger!$K$2:$K$4, Ledger!$B$2:$B$4, $A90, Ledger!$C$2:$C$4, W$2)),"****")</f>
        <v/>
      </c>
      <c r="X90" t="str">
        <f>IFERROR(IF($C90="","",SUMIFS(Ledger!$K$2:$K$4, Ledger!$B$2:$B$4, $A90, Ledger!$C$2:$C$4, X$2)),"****")</f>
        <v/>
      </c>
    </row>
    <row r="91" spans="1:24" x14ac:dyDescent="0.3">
      <c r="A91" s="106">
        <v>89</v>
      </c>
      <c r="B91" t="str">
        <f>IFERROR(VLOOKUP($A91, Ledger!$B$2:$L$8, 3, 0),"")</f>
        <v/>
      </c>
      <c r="C91" t="str">
        <f>IFERROR(VLOOKUP($A91, Ledger!$B$2:$L$8, 4, 0),"")</f>
        <v/>
      </c>
      <c r="D91" t="str">
        <f>IFERROR(VLOOKUP($A91, Ledger!$B$2:$L$8, 5, 0),"")</f>
        <v/>
      </c>
      <c r="E91" t="str">
        <f>IFERROR(VLOOKUP($A91, Ledger!$B$2:$L$8, 6, 0),"")</f>
        <v/>
      </c>
      <c r="F91" t="str">
        <f>IFERROR(VLOOKUP($A91,'Student Data'!$A$2:$AR$6,32,0),"")</f>
        <v/>
      </c>
      <c r="G91" t="str">
        <f>IFERROR(VLOOKUP($A91,'Student Data'!$A$2:$AR$6,33,0),"")</f>
        <v/>
      </c>
      <c r="H91" t="str">
        <f>IFERROR(VLOOKUP($A91,'Student Data'!$A$2:$AR$6,34,0),"")</f>
        <v/>
      </c>
      <c r="I91" t="str">
        <f>IFERROR(VLOOKUP($A91,'Student Data'!$A$2:$AR$6,35,0),"")</f>
        <v/>
      </c>
      <c r="J91" t="str">
        <f>IFERROR(VLOOKUP($A91,'Student Data'!$A$2:$AR$6,36,0),"")</f>
        <v/>
      </c>
      <c r="K91" t="str">
        <f t="shared" si="2"/>
        <v/>
      </c>
      <c r="L91" t="str">
        <f t="shared" si="3"/>
        <v/>
      </c>
      <c r="M91" t="str">
        <f>IFERROR(IF($C91="","",SUMIFS(Ledger!$K$2:$K$4, Ledger!$B$2:$B$4, $A91, Ledger!$C$2:$C$4, M$2)),"****")</f>
        <v/>
      </c>
      <c r="N91" t="str">
        <f>IFERROR(IF($C91="","",SUMIFS(Ledger!$K$2:$K$4, Ledger!$B$2:$B$4, $A91, Ledger!$C$2:$C$4, N$2)),"****")</f>
        <v/>
      </c>
      <c r="O91" t="str">
        <f>IFERROR(IF($C91="","",SUMIFS(Ledger!$K$2:$K$4, Ledger!$B$2:$B$4, $A91, Ledger!$C$2:$C$4, O$2)),"****")</f>
        <v/>
      </c>
      <c r="P91" t="str">
        <f>IFERROR(IF($C91="","",SUMIFS(Ledger!$K$2:$K$4, Ledger!$B$2:$B$4, $A91, Ledger!$C$2:$C$4, P$2)),"****")</f>
        <v/>
      </c>
      <c r="Q91" t="str">
        <f>IFERROR(IF($C91="","",SUMIFS(Ledger!$K$2:$K$4, Ledger!$B$2:$B$4, $A91, Ledger!$C$2:$C$4, Q$2)),"****")</f>
        <v/>
      </c>
      <c r="R91" t="str">
        <f>IFERROR(IF($C91="","",SUMIFS(Ledger!$K$2:$K$4, Ledger!$B$2:$B$4, $A91, Ledger!$C$2:$C$4, R$2)),"****")</f>
        <v/>
      </c>
      <c r="S91" t="str">
        <f>IFERROR(IF($C91="","",SUMIFS(Ledger!$K$2:$K$4, Ledger!$B$2:$B$4, $A91, Ledger!$C$2:$C$4, S$2)),"****")</f>
        <v/>
      </c>
      <c r="T91" t="str">
        <f>IFERROR(IF($C91="","",SUMIFS(Ledger!$K$2:$K$4, Ledger!$B$2:$B$4, $A91, Ledger!$C$2:$C$4, T$2)),"****")</f>
        <v/>
      </c>
      <c r="U91" t="str">
        <f>IFERROR(IF($C91="","",SUMIFS(Ledger!$K$2:$K$4, Ledger!$B$2:$B$4, $A91, Ledger!$C$2:$C$4, U$2)),"****")</f>
        <v/>
      </c>
      <c r="V91" t="str">
        <f>IFERROR(IF($C91="","",SUMIFS(Ledger!$K$2:$K$4, Ledger!$B$2:$B$4, $A91, Ledger!$C$2:$C$4, V$2)),"****")</f>
        <v/>
      </c>
      <c r="W91" t="str">
        <f>IFERROR(IF($C91="","",SUMIFS(Ledger!$K$2:$K$4, Ledger!$B$2:$B$4, $A91, Ledger!$C$2:$C$4, W$2)),"****")</f>
        <v/>
      </c>
      <c r="X91" t="str">
        <f>IFERROR(IF($C91="","",SUMIFS(Ledger!$K$2:$K$4, Ledger!$B$2:$B$4, $A91, Ledger!$C$2:$C$4, X$2)),"****")</f>
        <v/>
      </c>
    </row>
    <row r="92" spans="1:24" x14ac:dyDescent="0.3">
      <c r="A92" s="106">
        <v>90</v>
      </c>
      <c r="B92" t="str">
        <f>IFERROR(VLOOKUP($A92, Ledger!$B$2:$L$8, 3, 0),"")</f>
        <v/>
      </c>
      <c r="C92" t="str">
        <f>IFERROR(VLOOKUP($A92, Ledger!$B$2:$L$8, 4, 0),"")</f>
        <v/>
      </c>
      <c r="D92" t="str">
        <f>IFERROR(VLOOKUP($A92, Ledger!$B$2:$L$8, 5, 0),"")</f>
        <v/>
      </c>
      <c r="E92" t="str">
        <f>IFERROR(VLOOKUP($A92, Ledger!$B$2:$L$8, 6, 0),"")</f>
        <v/>
      </c>
      <c r="F92" t="str">
        <f>IFERROR(VLOOKUP($A92,'Student Data'!$A$2:$AR$6,32,0),"")</f>
        <v/>
      </c>
      <c r="G92" t="str">
        <f>IFERROR(VLOOKUP($A92,'Student Data'!$A$2:$AR$6,33,0),"")</f>
        <v/>
      </c>
      <c r="H92" t="str">
        <f>IFERROR(VLOOKUP($A92,'Student Data'!$A$2:$AR$6,34,0),"")</f>
        <v/>
      </c>
      <c r="I92" t="str">
        <f>IFERROR(VLOOKUP($A92,'Student Data'!$A$2:$AR$6,35,0),"")</f>
        <v/>
      </c>
      <c r="J92" t="str">
        <f>IFERROR(VLOOKUP($A92,'Student Data'!$A$2:$AR$6,36,0),"")</f>
        <v/>
      </c>
      <c r="K92" t="str">
        <f t="shared" si="2"/>
        <v/>
      </c>
      <c r="L92" t="str">
        <f t="shared" si="3"/>
        <v/>
      </c>
      <c r="M92" t="str">
        <f>IFERROR(IF($C92="","",SUMIFS(Ledger!$K$2:$K$4, Ledger!$B$2:$B$4, $A92, Ledger!$C$2:$C$4, M$2)),"****")</f>
        <v/>
      </c>
      <c r="N92" t="str">
        <f>IFERROR(IF($C92="","",SUMIFS(Ledger!$K$2:$K$4, Ledger!$B$2:$B$4, $A92, Ledger!$C$2:$C$4, N$2)),"****")</f>
        <v/>
      </c>
      <c r="O92" t="str">
        <f>IFERROR(IF($C92="","",SUMIFS(Ledger!$K$2:$K$4, Ledger!$B$2:$B$4, $A92, Ledger!$C$2:$C$4, O$2)),"****")</f>
        <v/>
      </c>
      <c r="P92" t="str">
        <f>IFERROR(IF($C92="","",SUMIFS(Ledger!$K$2:$K$4, Ledger!$B$2:$B$4, $A92, Ledger!$C$2:$C$4, P$2)),"****")</f>
        <v/>
      </c>
      <c r="Q92" t="str">
        <f>IFERROR(IF($C92="","",SUMIFS(Ledger!$K$2:$K$4, Ledger!$B$2:$B$4, $A92, Ledger!$C$2:$C$4, Q$2)),"****")</f>
        <v/>
      </c>
      <c r="R92" t="str">
        <f>IFERROR(IF($C92="","",SUMIFS(Ledger!$K$2:$K$4, Ledger!$B$2:$B$4, $A92, Ledger!$C$2:$C$4, R$2)),"****")</f>
        <v/>
      </c>
      <c r="S92" t="str">
        <f>IFERROR(IF($C92="","",SUMIFS(Ledger!$K$2:$K$4, Ledger!$B$2:$B$4, $A92, Ledger!$C$2:$C$4, S$2)),"****")</f>
        <v/>
      </c>
      <c r="T92" t="str">
        <f>IFERROR(IF($C92="","",SUMIFS(Ledger!$K$2:$K$4, Ledger!$B$2:$B$4, $A92, Ledger!$C$2:$C$4, T$2)),"****")</f>
        <v/>
      </c>
      <c r="U92" t="str">
        <f>IFERROR(IF($C92="","",SUMIFS(Ledger!$K$2:$K$4, Ledger!$B$2:$B$4, $A92, Ledger!$C$2:$C$4, U$2)),"****")</f>
        <v/>
      </c>
      <c r="V92" t="str">
        <f>IFERROR(IF($C92="","",SUMIFS(Ledger!$K$2:$K$4, Ledger!$B$2:$B$4, $A92, Ledger!$C$2:$C$4, V$2)),"****")</f>
        <v/>
      </c>
      <c r="W92" t="str">
        <f>IFERROR(IF($C92="","",SUMIFS(Ledger!$K$2:$K$4, Ledger!$B$2:$B$4, $A92, Ledger!$C$2:$C$4, W$2)),"****")</f>
        <v/>
      </c>
      <c r="X92" t="str">
        <f>IFERROR(IF($C92="","",SUMIFS(Ledger!$K$2:$K$4, Ledger!$B$2:$B$4, $A92, Ledger!$C$2:$C$4, X$2)),"****")</f>
        <v/>
      </c>
    </row>
    <row r="93" spans="1:24" x14ac:dyDescent="0.3">
      <c r="A93" s="106">
        <v>91</v>
      </c>
      <c r="B93" t="str">
        <f>IFERROR(VLOOKUP($A93, Ledger!$B$2:$L$8, 3, 0),"")</f>
        <v/>
      </c>
      <c r="C93" t="str">
        <f>IFERROR(VLOOKUP($A93, Ledger!$B$2:$L$8, 4, 0),"")</f>
        <v/>
      </c>
      <c r="D93" t="str">
        <f>IFERROR(VLOOKUP($A93, Ledger!$B$2:$L$8, 5, 0),"")</f>
        <v/>
      </c>
      <c r="E93" t="str">
        <f>IFERROR(VLOOKUP($A93, Ledger!$B$2:$L$8, 6, 0),"")</f>
        <v/>
      </c>
      <c r="F93" t="str">
        <f>IFERROR(VLOOKUP($A93,'Student Data'!$A$2:$AR$6,32,0),"")</f>
        <v/>
      </c>
      <c r="G93" t="str">
        <f>IFERROR(VLOOKUP($A93,'Student Data'!$A$2:$AR$6,33,0),"")</f>
        <v/>
      </c>
      <c r="H93" t="str">
        <f>IFERROR(VLOOKUP($A93,'Student Data'!$A$2:$AR$6,34,0),"")</f>
        <v/>
      </c>
      <c r="I93" t="str">
        <f>IFERROR(VLOOKUP($A93,'Student Data'!$A$2:$AR$6,35,0),"")</f>
        <v/>
      </c>
      <c r="J93" t="str">
        <f>IFERROR(VLOOKUP($A93,'Student Data'!$A$2:$AR$6,36,0),"")</f>
        <v/>
      </c>
      <c r="K93" t="str">
        <f t="shared" si="2"/>
        <v/>
      </c>
      <c r="L93" t="str">
        <f t="shared" si="3"/>
        <v/>
      </c>
      <c r="M93" t="str">
        <f>IFERROR(IF($C93="","",SUMIFS(Ledger!$K$2:$K$4, Ledger!$B$2:$B$4, $A93, Ledger!$C$2:$C$4, M$2)),"****")</f>
        <v/>
      </c>
      <c r="N93" t="str">
        <f>IFERROR(IF($C93="","",SUMIFS(Ledger!$K$2:$K$4, Ledger!$B$2:$B$4, $A93, Ledger!$C$2:$C$4, N$2)),"****")</f>
        <v/>
      </c>
      <c r="O93" t="str">
        <f>IFERROR(IF($C93="","",SUMIFS(Ledger!$K$2:$K$4, Ledger!$B$2:$B$4, $A93, Ledger!$C$2:$C$4, O$2)),"****")</f>
        <v/>
      </c>
      <c r="P93" t="str">
        <f>IFERROR(IF($C93="","",SUMIFS(Ledger!$K$2:$K$4, Ledger!$B$2:$B$4, $A93, Ledger!$C$2:$C$4, P$2)),"****")</f>
        <v/>
      </c>
      <c r="Q93" t="str">
        <f>IFERROR(IF($C93="","",SUMIFS(Ledger!$K$2:$K$4, Ledger!$B$2:$B$4, $A93, Ledger!$C$2:$C$4, Q$2)),"****")</f>
        <v/>
      </c>
      <c r="R93" t="str">
        <f>IFERROR(IF($C93="","",SUMIFS(Ledger!$K$2:$K$4, Ledger!$B$2:$B$4, $A93, Ledger!$C$2:$C$4, R$2)),"****")</f>
        <v/>
      </c>
      <c r="S93" t="str">
        <f>IFERROR(IF($C93="","",SUMIFS(Ledger!$K$2:$K$4, Ledger!$B$2:$B$4, $A93, Ledger!$C$2:$C$4, S$2)),"****")</f>
        <v/>
      </c>
      <c r="T93" t="str">
        <f>IFERROR(IF($C93="","",SUMIFS(Ledger!$K$2:$K$4, Ledger!$B$2:$B$4, $A93, Ledger!$C$2:$C$4, T$2)),"****")</f>
        <v/>
      </c>
      <c r="U93" t="str">
        <f>IFERROR(IF($C93="","",SUMIFS(Ledger!$K$2:$K$4, Ledger!$B$2:$B$4, $A93, Ledger!$C$2:$C$4, U$2)),"****")</f>
        <v/>
      </c>
      <c r="V93" t="str">
        <f>IFERROR(IF($C93="","",SUMIFS(Ledger!$K$2:$K$4, Ledger!$B$2:$B$4, $A93, Ledger!$C$2:$C$4, V$2)),"****")</f>
        <v/>
      </c>
      <c r="W93" t="str">
        <f>IFERROR(IF($C93="","",SUMIFS(Ledger!$K$2:$K$4, Ledger!$B$2:$B$4, $A93, Ledger!$C$2:$C$4, W$2)),"****")</f>
        <v/>
      </c>
      <c r="X93" t="str">
        <f>IFERROR(IF($C93="","",SUMIFS(Ledger!$K$2:$K$4, Ledger!$B$2:$B$4, $A93, Ledger!$C$2:$C$4, X$2)),"****")</f>
        <v/>
      </c>
    </row>
    <row r="94" spans="1:24" x14ac:dyDescent="0.3">
      <c r="A94" s="106">
        <v>92</v>
      </c>
      <c r="B94" t="str">
        <f>IFERROR(VLOOKUP($A94, Ledger!$B$2:$L$8, 3, 0),"")</f>
        <v/>
      </c>
      <c r="C94" t="str">
        <f>IFERROR(VLOOKUP($A94, Ledger!$B$2:$L$8, 4, 0),"")</f>
        <v/>
      </c>
      <c r="D94" t="str">
        <f>IFERROR(VLOOKUP($A94, Ledger!$B$2:$L$8, 5, 0),"")</f>
        <v/>
      </c>
      <c r="E94" t="str">
        <f>IFERROR(VLOOKUP($A94, Ledger!$B$2:$L$8, 6, 0),"")</f>
        <v/>
      </c>
      <c r="F94" t="str">
        <f>IFERROR(VLOOKUP($A94,'Student Data'!$A$2:$AR$6,32,0),"")</f>
        <v/>
      </c>
      <c r="G94" t="str">
        <f>IFERROR(VLOOKUP($A94,'Student Data'!$A$2:$AR$6,33,0),"")</f>
        <v/>
      </c>
      <c r="H94" t="str">
        <f>IFERROR(VLOOKUP($A94,'Student Data'!$A$2:$AR$6,34,0),"")</f>
        <v/>
      </c>
      <c r="I94" t="str">
        <f>IFERROR(VLOOKUP($A94,'Student Data'!$A$2:$AR$6,35,0),"")</f>
        <v/>
      </c>
      <c r="J94" t="str">
        <f>IFERROR(VLOOKUP($A94,'Student Data'!$A$2:$AR$6,36,0),"")</f>
        <v/>
      </c>
      <c r="K94" t="str">
        <f t="shared" si="2"/>
        <v/>
      </c>
      <c r="L94" t="str">
        <f t="shared" si="3"/>
        <v/>
      </c>
      <c r="M94" t="str">
        <f>IFERROR(IF($C94="","",SUMIFS(Ledger!$K$2:$K$4, Ledger!$B$2:$B$4, $A94, Ledger!$C$2:$C$4, M$2)),"****")</f>
        <v/>
      </c>
      <c r="N94" t="str">
        <f>IFERROR(IF($C94="","",SUMIFS(Ledger!$K$2:$K$4, Ledger!$B$2:$B$4, $A94, Ledger!$C$2:$C$4, N$2)),"****")</f>
        <v/>
      </c>
      <c r="O94" t="str">
        <f>IFERROR(IF($C94="","",SUMIFS(Ledger!$K$2:$K$4, Ledger!$B$2:$B$4, $A94, Ledger!$C$2:$C$4, O$2)),"****")</f>
        <v/>
      </c>
      <c r="P94" t="str">
        <f>IFERROR(IF($C94="","",SUMIFS(Ledger!$K$2:$K$4, Ledger!$B$2:$B$4, $A94, Ledger!$C$2:$C$4, P$2)),"****")</f>
        <v/>
      </c>
      <c r="Q94" t="str">
        <f>IFERROR(IF($C94="","",SUMIFS(Ledger!$K$2:$K$4, Ledger!$B$2:$B$4, $A94, Ledger!$C$2:$C$4, Q$2)),"****")</f>
        <v/>
      </c>
      <c r="R94" t="str">
        <f>IFERROR(IF($C94="","",SUMIFS(Ledger!$K$2:$K$4, Ledger!$B$2:$B$4, $A94, Ledger!$C$2:$C$4, R$2)),"****")</f>
        <v/>
      </c>
      <c r="S94" t="str">
        <f>IFERROR(IF($C94="","",SUMIFS(Ledger!$K$2:$K$4, Ledger!$B$2:$B$4, $A94, Ledger!$C$2:$C$4, S$2)),"****")</f>
        <v/>
      </c>
      <c r="T94" t="str">
        <f>IFERROR(IF($C94="","",SUMIFS(Ledger!$K$2:$K$4, Ledger!$B$2:$B$4, $A94, Ledger!$C$2:$C$4, T$2)),"****")</f>
        <v/>
      </c>
      <c r="U94" t="str">
        <f>IFERROR(IF($C94="","",SUMIFS(Ledger!$K$2:$K$4, Ledger!$B$2:$B$4, $A94, Ledger!$C$2:$C$4, U$2)),"****")</f>
        <v/>
      </c>
      <c r="V94" t="str">
        <f>IFERROR(IF($C94="","",SUMIFS(Ledger!$K$2:$K$4, Ledger!$B$2:$B$4, $A94, Ledger!$C$2:$C$4, V$2)),"****")</f>
        <v/>
      </c>
      <c r="W94" t="str">
        <f>IFERROR(IF($C94="","",SUMIFS(Ledger!$K$2:$K$4, Ledger!$B$2:$B$4, $A94, Ledger!$C$2:$C$4, W$2)),"****")</f>
        <v/>
      </c>
      <c r="X94" t="str">
        <f>IFERROR(IF($C94="","",SUMIFS(Ledger!$K$2:$K$4, Ledger!$B$2:$B$4, $A94, Ledger!$C$2:$C$4, X$2)),"****")</f>
        <v/>
      </c>
    </row>
    <row r="95" spans="1:24" x14ac:dyDescent="0.3">
      <c r="A95" s="106">
        <v>93</v>
      </c>
      <c r="B95" t="str">
        <f>IFERROR(VLOOKUP($A95, Ledger!$B$2:$L$8, 3, 0),"")</f>
        <v/>
      </c>
      <c r="C95" t="str">
        <f>IFERROR(VLOOKUP($A95, Ledger!$B$2:$L$8, 4, 0),"")</f>
        <v/>
      </c>
      <c r="D95" t="str">
        <f>IFERROR(VLOOKUP($A95, Ledger!$B$2:$L$8, 5, 0),"")</f>
        <v/>
      </c>
      <c r="E95" t="str">
        <f>IFERROR(VLOOKUP($A95, Ledger!$B$2:$L$8, 6, 0),"")</f>
        <v/>
      </c>
      <c r="F95" t="str">
        <f>IFERROR(VLOOKUP($A95,'Student Data'!$A$2:$AR$6,32,0),"")</f>
        <v/>
      </c>
      <c r="G95" t="str">
        <f>IFERROR(VLOOKUP($A95,'Student Data'!$A$2:$AR$6,33,0),"")</f>
        <v/>
      </c>
      <c r="H95" t="str">
        <f>IFERROR(VLOOKUP($A95,'Student Data'!$A$2:$AR$6,34,0),"")</f>
        <v/>
      </c>
      <c r="I95" t="str">
        <f>IFERROR(VLOOKUP($A95,'Student Data'!$A$2:$AR$6,35,0),"")</f>
        <v/>
      </c>
      <c r="J95" t="str">
        <f>IFERROR(VLOOKUP($A95,'Student Data'!$A$2:$AR$6,36,0),"")</f>
        <v/>
      </c>
      <c r="K95" t="str">
        <f t="shared" si="2"/>
        <v/>
      </c>
      <c r="L95" t="str">
        <f t="shared" si="3"/>
        <v/>
      </c>
      <c r="M95" t="str">
        <f>IFERROR(IF($C95="","",SUMIFS(Ledger!$K$2:$K$4, Ledger!$B$2:$B$4, $A95, Ledger!$C$2:$C$4, M$2)),"****")</f>
        <v/>
      </c>
      <c r="N95" t="str">
        <f>IFERROR(IF($C95="","",SUMIFS(Ledger!$K$2:$K$4, Ledger!$B$2:$B$4, $A95, Ledger!$C$2:$C$4, N$2)),"****")</f>
        <v/>
      </c>
      <c r="O95" t="str">
        <f>IFERROR(IF($C95="","",SUMIFS(Ledger!$K$2:$K$4, Ledger!$B$2:$B$4, $A95, Ledger!$C$2:$C$4, O$2)),"****")</f>
        <v/>
      </c>
      <c r="P95" t="str">
        <f>IFERROR(IF($C95="","",SUMIFS(Ledger!$K$2:$K$4, Ledger!$B$2:$B$4, $A95, Ledger!$C$2:$C$4, P$2)),"****")</f>
        <v/>
      </c>
      <c r="Q95" t="str">
        <f>IFERROR(IF($C95="","",SUMIFS(Ledger!$K$2:$K$4, Ledger!$B$2:$B$4, $A95, Ledger!$C$2:$C$4, Q$2)),"****")</f>
        <v/>
      </c>
      <c r="R95" t="str">
        <f>IFERROR(IF($C95="","",SUMIFS(Ledger!$K$2:$K$4, Ledger!$B$2:$B$4, $A95, Ledger!$C$2:$C$4, R$2)),"****")</f>
        <v/>
      </c>
      <c r="S95" t="str">
        <f>IFERROR(IF($C95="","",SUMIFS(Ledger!$K$2:$K$4, Ledger!$B$2:$B$4, $A95, Ledger!$C$2:$C$4, S$2)),"****")</f>
        <v/>
      </c>
      <c r="T95" t="str">
        <f>IFERROR(IF($C95="","",SUMIFS(Ledger!$K$2:$K$4, Ledger!$B$2:$B$4, $A95, Ledger!$C$2:$C$4, T$2)),"****")</f>
        <v/>
      </c>
      <c r="U95" t="str">
        <f>IFERROR(IF($C95="","",SUMIFS(Ledger!$K$2:$K$4, Ledger!$B$2:$B$4, $A95, Ledger!$C$2:$C$4, U$2)),"****")</f>
        <v/>
      </c>
      <c r="V95" t="str">
        <f>IFERROR(IF($C95="","",SUMIFS(Ledger!$K$2:$K$4, Ledger!$B$2:$B$4, $A95, Ledger!$C$2:$C$4, V$2)),"****")</f>
        <v/>
      </c>
      <c r="W95" t="str">
        <f>IFERROR(IF($C95="","",SUMIFS(Ledger!$K$2:$K$4, Ledger!$B$2:$B$4, $A95, Ledger!$C$2:$C$4, W$2)),"****")</f>
        <v/>
      </c>
      <c r="X95" t="str">
        <f>IFERROR(IF($C95="","",SUMIFS(Ledger!$K$2:$K$4, Ledger!$B$2:$B$4, $A95, Ledger!$C$2:$C$4, X$2)),"****")</f>
        <v/>
      </c>
    </row>
    <row r="96" spans="1:24" x14ac:dyDescent="0.3">
      <c r="A96" s="106">
        <v>94</v>
      </c>
      <c r="B96" t="str">
        <f>IFERROR(VLOOKUP($A96, Ledger!$B$2:$L$8, 3, 0),"")</f>
        <v/>
      </c>
      <c r="C96" t="str">
        <f>IFERROR(VLOOKUP($A96, Ledger!$B$2:$L$8, 4, 0),"")</f>
        <v/>
      </c>
      <c r="D96" t="str">
        <f>IFERROR(VLOOKUP($A96, Ledger!$B$2:$L$8, 5, 0),"")</f>
        <v/>
      </c>
      <c r="E96" t="str">
        <f>IFERROR(VLOOKUP($A96, Ledger!$B$2:$L$8, 6, 0),"")</f>
        <v/>
      </c>
      <c r="F96" t="str">
        <f>IFERROR(VLOOKUP($A96,'Student Data'!$A$2:$AR$6,32,0),"")</f>
        <v/>
      </c>
      <c r="G96" t="str">
        <f>IFERROR(VLOOKUP($A96,'Student Data'!$A$2:$AR$6,33,0),"")</f>
        <v/>
      </c>
      <c r="H96" t="str">
        <f>IFERROR(VLOOKUP($A96,'Student Data'!$A$2:$AR$6,34,0),"")</f>
        <v/>
      </c>
      <c r="I96" t="str">
        <f>IFERROR(VLOOKUP($A96,'Student Data'!$A$2:$AR$6,35,0),"")</f>
        <v/>
      </c>
      <c r="J96" t="str">
        <f>IFERROR(VLOOKUP($A96,'Student Data'!$A$2:$AR$6,36,0),"")</f>
        <v/>
      </c>
      <c r="K96" t="str">
        <f t="shared" si="2"/>
        <v/>
      </c>
      <c r="L96" t="str">
        <f t="shared" si="3"/>
        <v/>
      </c>
      <c r="M96" t="str">
        <f>IFERROR(IF($C96="","",SUMIFS(Ledger!$K$2:$K$4, Ledger!$B$2:$B$4, $A96, Ledger!$C$2:$C$4, M$2)),"****")</f>
        <v/>
      </c>
      <c r="N96" t="str">
        <f>IFERROR(IF($C96="","",SUMIFS(Ledger!$K$2:$K$4, Ledger!$B$2:$B$4, $A96, Ledger!$C$2:$C$4, N$2)),"****")</f>
        <v/>
      </c>
      <c r="O96" t="str">
        <f>IFERROR(IF($C96="","",SUMIFS(Ledger!$K$2:$K$4, Ledger!$B$2:$B$4, $A96, Ledger!$C$2:$C$4, O$2)),"****")</f>
        <v/>
      </c>
      <c r="P96" t="str">
        <f>IFERROR(IF($C96="","",SUMIFS(Ledger!$K$2:$K$4, Ledger!$B$2:$B$4, $A96, Ledger!$C$2:$C$4, P$2)),"****")</f>
        <v/>
      </c>
      <c r="Q96" t="str">
        <f>IFERROR(IF($C96="","",SUMIFS(Ledger!$K$2:$K$4, Ledger!$B$2:$B$4, $A96, Ledger!$C$2:$C$4, Q$2)),"****")</f>
        <v/>
      </c>
      <c r="R96" t="str">
        <f>IFERROR(IF($C96="","",SUMIFS(Ledger!$K$2:$K$4, Ledger!$B$2:$B$4, $A96, Ledger!$C$2:$C$4, R$2)),"****")</f>
        <v/>
      </c>
      <c r="S96" t="str">
        <f>IFERROR(IF($C96="","",SUMIFS(Ledger!$K$2:$K$4, Ledger!$B$2:$B$4, $A96, Ledger!$C$2:$C$4, S$2)),"****")</f>
        <v/>
      </c>
      <c r="T96" t="str">
        <f>IFERROR(IF($C96="","",SUMIFS(Ledger!$K$2:$K$4, Ledger!$B$2:$B$4, $A96, Ledger!$C$2:$C$4, T$2)),"****")</f>
        <v/>
      </c>
      <c r="U96" t="str">
        <f>IFERROR(IF($C96="","",SUMIFS(Ledger!$K$2:$K$4, Ledger!$B$2:$B$4, $A96, Ledger!$C$2:$C$4, U$2)),"****")</f>
        <v/>
      </c>
      <c r="V96" t="str">
        <f>IFERROR(IF($C96="","",SUMIFS(Ledger!$K$2:$K$4, Ledger!$B$2:$B$4, $A96, Ledger!$C$2:$C$4, V$2)),"****")</f>
        <v/>
      </c>
      <c r="W96" t="str">
        <f>IFERROR(IF($C96="","",SUMIFS(Ledger!$K$2:$K$4, Ledger!$B$2:$B$4, $A96, Ledger!$C$2:$C$4, W$2)),"****")</f>
        <v/>
      </c>
      <c r="X96" t="str">
        <f>IFERROR(IF($C96="","",SUMIFS(Ledger!$K$2:$K$4, Ledger!$B$2:$B$4, $A96, Ledger!$C$2:$C$4, X$2)),"****")</f>
        <v/>
      </c>
    </row>
    <row r="97" spans="1:24" x14ac:dyDescent="0.3">
      <c r="A97" s="106">
        <v>95</v>
      </c>
      <c r="B97" t="str">
        <f>IFERROR(VLOOKUP($A97, Ledger!$B$2:$L$8, 3, 0),"")</f>
        <v/>
      </c>
      <c r="C97" t="str">
        <f>IFERROR(VLOOKUP($A97, Ledger!$B$2:$L$8, 4, 0),"")</f>
        <v/>
      </c>
      <c r="D97" t="str">
        <f>IFERROR(VLOOKUP($A97, Ledger!$B$2:$L$8, 5, 0),"")</f>
        <v/>
      </c>
      <c r="E97" t="str">
        <f>IFERROR(VLOOKUP($A97, Ledger!$B$2:$L$8, 6, 0),"")</f>
        <v/>
      </c>
      <c r="F97" t="str">
        <f>IFERROR(VLOOKUP($A97,'Student Data'!$A$2:$AR$6,32,0),"")</f>
        <v/>
      </c>
      <c r="G97" t="str">
        <f>IFERROR(VLOOKUP($A97,'Student Data'!$A$2:$AR$6,33,0),"")</f>
        <v/>
      </c>
      <c r="H97" t="str">
        <f>IFERROR(VLOOKUP($A97,'Student Data'!$A$2:$AR$6,34,0),"")</f>
        <v/>
      </c>
      <c r="I97" t="str">
        <f>IFERROR(VLOOKUP($A97,'Student Data'!$A$2:$AR$6,35,0),"")</f>
        <v/>
      </c>
      <c r="J97" t="str">
        <f>IFERROR(VLOOKUP($A97,'Student Data'!$A$2:$AR$6,36,0),"")</f>
        <v/>
      </c>
      <c r="K97" t="str">
        <f t="shared" si="2"/>
        <v/>
      </c>
      <c r="L97" t="str">
        <f t="shared" si="3"/>
        <v/>
      </c>
      <c r="M97" t="str">
        <f>IFERROR(IF($C97="","",SUMIFS(Ledger!$K$2:$K$4, Ledger!$B$2:$B$4, $A97, Ledger!$C$2:$C$4, M$2)),"****")</f>
        <v/>
      </c>
      <c r="N97" t="str">
        <f>IFERROR(IF($C97="","",SUMIFS(Ledger!$K$2:$K$4, Ledger!$B$2:$B$4, $A97, Ledger!$C$2:$C$4, N$2)),"****")</f>
        <v/>
      </c>
      <c r="O97" t="str">
        <f>IFERROR(IF($C97="","",SUMIFS(Ledger!$K$2:$K$4, Ledger!$B$2:$B$4, $A97, Ledger!$C$2:$C$4, O$2)),"****")</f>
        <v/>
      </c>
      <c r="P97" t="str">
        <f>IFERROR(IF($C97="","",SUMIFS(Ledger!$K$2:$K$4, Ledger!$B$2:$B$4, $A97, Ledger!$C$2:$C$4, P$2)),"****")</f>
        <v/>
      </c>
      <c r="Q97" t="str">
        <f>IFERROR(IF($C97="","",SUMIFS(Ledger!$K$2:$K$4, Ledger!$B$2:$B$4, $A97, Ledger!$C$2:$C$4, Q$2)),"****")</f>
        <v/>
      </c>
      <c r="R97" t="str">
        <f>IFERROR(IF($C97="","",SUMIFS(Ledger!$K$2:$K$4, Ledger!$B$2:$B$4, $A97, Ledger!$C$2:$C$4, R$2)),"****")</f>
        <v/>
      </c>
      <c r="S97" t="str">
        <f>IFERROR(IF($C97="","",SUMIFS(Ledger!$K$2:$K$4, Ledger!$B$2:$B$4, $A97, Ledger!$C$2:$C$4, S$2)),"****")</f>
        <v/>
      </c>
      <c r="T97" t="str">
        <f>IFERROR(IF($C97="","",SUMIFS(Ledger!$K$2:$K$4, Ledger!$B$2:$B$4, $A97, Ledger!$C$2:$C$4, T$2)),"****")</f>
        <v/>
      </c>
      <c r="U97" t="str">
        <f>IFERROR(IF($C97="","",SUMIFS(Ledger!$K$2:$K$4, Ledger!$B$2:$B$4, $A97, Ledger!$C$2:$C$4, U$2)),"****")</f>
        <v/>
      </c>
      <c r="V97" t="str">
        <f>IFERROR(IF($C97="","",SUMIFS(Ledger!$K$2:$K$4, Ledger!$B$2:$B$4, $A97, Ledger!$C$2:$C$4, V$2)),"****")</f>
        <v/>
      </c>
      <c r="W97" t="str">
        <f>IFERROR(IF($C97="","",SUMIFS(Ledger!$K$2:$K$4, Ledger!$B$2:$B$4, $A97, Ledger!$C$2:$C$4, W$2)),"****")</f>
        <v/>
      </c>
      <c r="X97" t="str">
        <f>IFERROR(IF($C97="","",SUMIFS(Ledger!$K$2:$K$4, Ledger!$B$2:$B$4, $A97, Ledger!$C$2:$C$4, X$2)),"****")</f>
        <v/>
      </c>
    </row>
    <row r="98" spans="1:24" x14ac:dyDescent="0.3">
      <c r="A98" s="106">
        <v>96</v>
      </c>
      <c r="B98" t="str">
        <f>IFERROR(VLOOKUP($A98, Ledger!$B$2:$L$8, 3, 0),"")</f>
        <v/>
      </c>
      <c r="C98" t="str">
        <f>IFERROR(VLOOKUP($A98, Ledger!$B$2:$L$8, 4, 0),"")</f>
        <v/>
      </c>
      <c r="D98" t="str">
        <f>IFERROR(VLOOKUP($A98, Ledger!$B$2:$L$8, 5, 0),"")</f>
        <v/>
      </c>
      <c r="E98" t="str">
        <f>IFERROR(VLOOKUP($A98, Ledger!$B$2:$L$8, 6, 0),"")</f>
        <v/>
      </c>
      <c r="F98" t="str">
        <f>IFERROR(VLOOKUP($A98,'Student Data'!$A$2:$AR$6,32,0),"")</f>
        <v/>
      </c>
      <c r="G98" t="str">
        <f>IFERROR(VLOOKUP($A98,'Student Data'!$A$2:$AR$6,33,0),"")</f>
        <v/>
      </c>
      <c r="H98" t="str">
        <f>IFERROR(VLOOKUP($A98,'Student Data'!$A$2:$AR$6,34,0),"")</f>
        <v/>
      </c>
      <c r="I98" t="str">
        <f>IFERROR(VLOOKUP($A98,'Student Data'!$A$2:$AR$6,35,0),"")</f>
        <v/>
      </c>
      <c r="J98" t="str">
        <f>IFERROR(VLOOKUP($A98,'Student Data'!$A$2:$AR$6,36,0),"")</f>
        <v/>
      </c>
      <c r="K98" t="str">
        <f t="shared" si="2"/>
        <v/>
      </c>
      <c r="L98" t="str">
        <f t="shared" si="3"/>
        <v/>
      </c>
      <c r="M98" t="str">
        <f>IFERROR(IF($C98="","",SUMIFS(Ledger!$K$2:$K$4, Ledger!$B$2:$B$4, $A98, Ledger!$C$2:$C$4, M$2)),"****")</f>
        <v/>
      </c>
      <c r="N98" t="str">
        <f>IFERROR(IF($C98="","",SUMIFS(Ledger!$K$2:$K$4, Ledger!$B$2:$B$4, $A98, Ledger!$C$2:$C$4, N$2)),"****")</f>
        <v/>
      </c>
      <c r="O98" t="str">
        <f>IFERROR(IF($C98="","",SUMIFS(Ledger!$K$2:$K$4, Ledger!$B$2:$B$4, $A98, Ledger!$C$2:$C$4, O$2)),"****")</f>
        <v/>
      </c>
      <c r="P98" t="str">
        <f>IFERROR(IF($C98="","",SUMIFS(Ledger!$K$2:$K$4, Ledger!$B$2:$B$4, $A98, Ledger!$C$2:$C$4, P$2)),"****")</f>
        <v/>
      </c>
      <c r="Q98" t="str">
        <f>IFERROR(IF($C98="","",SUMIFS(Ledger!$K$2:$K$4, Ledger!$B$2:$B$4, $A98, Ledger!$C$2:$C$4, Q$2)),"****")</f>
        <v/>
      </c>
      <c r="R98" t="str">
        <f>IFERROR(IF($C98="","",SUMIFS(Ledger!$K$2:$K$4, Ledger!$B$2:$B$4, $A98, Ledger!$C$2:$C$4, R$2)),"****")</f>
        <v/>
      </c>
      <c r="S98" t="str">
        <f>IFERROR(IF($C98="","",SUMIFS(Ledger!$K$2:$K$4, Ledger!$B$2:$B$4, $A98, Ledger!$C$2:$C$4, S$2)),"****")</f>
        <v/>
      </c>
      <c r="T98" t="str">
        <f>IFERROR(IF($C98="","",SUMIFS(Ledger!$K$2:$K$4, Ledger!$B$2:$B$4, $A98, Ledger!$C$2:$C$4, T$2)),"****")</f>
        <v/>
      </c>
      <c r="U98" t="str">
        <f>IFERROR(IF($C98="","",SUMIFS(Ledger!$K$2:$K$4, Ledger!$B$2:$B$4, $A98, Ledger!$C$2:$C$4, U$2)),"****")</f>
        <v/>
      </c>
      <c r="V98" t="str">
        <f>IFERROR(IF($C98="","",SUMIFS(Ledger!$K$2:$K$4, Ledger!$B$2:$B$4, $A98, Ledger!$C$2:$C$4, V$2)),"****")</f>
        <v/>
      </c>
      <c r="W98" t="str">
        <f>IFERROR(IF($C98="","",SUMIFS(Ledger!$K$2:$K$4, Ledger!$B$2:$B$4, $A98, Ledger!$C$2:$C$4, W$2)),"****")</f>
        <v/>
      </c>
      <c r="X98" t="str">
        <f>IFERROR(IF($C98="","",SUMIFS(Ledger!$K$2:$K$4, Ledger!$B$2:$B$4, $A98, Ledger!$C$2:$C$4, X$2)),"****")</f>
        <v/>
      </c>
    </row>
    <row r="99" spans="1:24" x14ac:dyDescent="0.3">
      <c r="A99" s="106">
        <v>97</v>
      </c>
      <c r="B99" t="str">
        <f>IFERROR(VLOOKUP($A99, Ledger!$B$2:$L$8, 3, 0),"")</f>
        <v/>
      </c>
      <c r="C99" t="str">
        <f>IFERROR(VLOOKUP($A99, Ledger!$B$2:$L$8, 4, 0),"")</f>
        <v/>
      </c>
      <c r="D99" t="str">
        <f>IFERROR(VLOOKUP($A99, Ledger!$B$2:$L$8, 5, 0),"")</f>
        <v/>
      </c>
      <c r="E99" t="str">
        <f>IFERROR(VLOOKUP($A99, Ledger!$B$2:$L$8, 6, 0),"")</f>
        <v/>
      </c>
      <c r="F99" t="str">
        <f>IFERROR(VLOOKUP($A99,'Student Data'!$A$2:$AR$6,32,0),"")</f>
        <v/>
      </c>
      <c r="G99" t="str">
        <f>IFERROR(VLOOKUP($A99,'Student Data'!$A$2:$AR$6,33,0),"")</f>
        <v/>
      </c>
      <c r="H99" t="str">
        <f>IFERROR(VLOOKUP($A99,'Student Data'!$A$2:$AR$6,34,0),"")</f>
        <v/>
      </c>
      <c r="I99" t="str">
        <f>IFERROR(VLOOKUP($A99,'Student Data'!$A$2:$AR$6,35,0),"")</f>
        <v/>
      </c>
      <c r="J99" t="str">
        <f>IFERROR(VLOOKUP($A99,'Student Data'!$A$2:$AR$6,36,0),"")</f>
        <v/>
      </c>
      <c r="K99" t="str">
        <f t="shared" si="2"/>
        <v/>
      </c>
      <c r="L99" t="str">
        <f t="shared" si="3"/>
        <v/>
      </c>
      <c r="M99" t="str">
        <f>IFERROR(IF($C99="","",SUMIFS(Ledger!$K$2:$K$4, Ledger!$B$2:$B$4, $A99, Ledger!$C$2:$C$4, M$2)),"****")</f>
        <v/>
      </c>
      <c r="N99" t="str">
        <f>IFERROR(IF($C99="","",SUMIFS(Ledger!$K$2:$K$4, Ledger!$B$2:$B$4, $A99, Ledger!$C$2:$C$4, N$2)),"****")</f>
        <v/>
      </c>
      <c r="O99" t="str">
        <f>IFERROR(IF($C99="","",SUMIFS(Ledger!$K$2:$K$4, Ledger!$B$2:$B$4, $A99, Ledger!$C$2:$C$4, O$2)),"****")</f>
        <v/>
      </c>
      <c r="P99" t="str">
        <f>IFERROR(IF($C99="","",SUMIFS(Ledger!$K$2:$K$4, Ledger!$B$2:$B$4, $A99, Ledger!$C$2:$C$4, P$2)),"****")</f>
        <v/>
      </c>
      <c r="Q99" t="str">
        <f>IFERROR(IF($C99="","",SUMIFS(Ledger!$K$2:$K$4, Ledger!$B$2:$B$4, $A99, Ledger!$C$2:$C$4, Q$2)),"****")</f>
        <v/>
      </c>
      <c r="R99" t="str">
        <f>IFERROR(IF($C99="","",SUMIFS(Ledger!$K$2:$K$4, Ledger!$B$2:$B$4, $A99, Ledger!$C$2:$C$4, R$2)),"****")</f>
        <v/>
      </c>
      <c r="S99" t="str">
        <f>IFERROR(IF($C99="","",SUMIFS(Ledger!$K$2:$K$4, Ledger!$B$2:$B$4, $A99, Ledger!$C$2:$C$4, S$2)),"****")</f>
        <v/>
      </c>
      <c r="T99" t="str">
        <f>IFERROR(IF($C99="","",SUMIFS(Ledger!$K$2:$K$4, Ledger!$B$2:$B$4, $A99, Ledger!$C$2:$C$4, T$2)),"****")</f>
        <v/>
      </c>
      <c r="U99" t="str">
        <f>IFERROR(IF($C99="","",SUMIFS(Ledger!$K$2:$K$4, Ledger!$B$2:$B$4, $A99, Ledger!$C$2:$C$4, U$2)),"****")</f>
        <v/>
      </c>
      <c r="V99" t="str">
        <f>IFERROR(IF($C99="","",SUMIFS(Ledger!$K$2:$K$4, Ledger!$B$2:$B$4, $A99, Ledger!$C$2:$C$4, V$2)),"****")</f>
        <v/>
      </c>
      <c r="W99" t="str">
        <f>IFERROR(IF($C99="","",SUMIFS(Ledger!$K$2:$K$4, Ledger!$B$2:$B$4, $A99, Ledger!$C$2:$C$4, W$2)),"****")</f>
        <v/>
      </c>
      <c r="X99" t="str">
        <f>IFERROR(IF($C99="","",SUMIFS(Ledger!$K$2:$K$4, Ledger!$B$2:$B$4, $A99, Ledger!$C$2:$C$4, X$2)),"****")</f>
        <v/>
      </c>
    </row>
    <row r="100" spans="1:24" x14ac:dyDescent="0.3">
      <c r="A100" s="106">
        <v>98</v>
      </c>
      <c r="B100" t="str">
        <f>IFERROR(VLOOKUP($A100, Ledger!$B$2:$L$8, 3, 0),"")</f>
        <v/>
      </c>
      <c r="C100" t="str">
        <f>IFERROR(VLOOKUP($A100, Ledger!$B$2:$L$8, 4, 0),"")</f>
        <v/>
      </c>
      <c r="D100" t="str">
        <f>IFERROR(VLOOKUP($A100, Ledger!$B$2:$L$8, 5, 0),"")</f>
        <v/>
      </c>
      <c r="E100" t="str">
        <f>IFERROR(VLOOKUP($A100, Ledger!$B$2:$L$8, 6, 0),"")</f>
        <v/>
      </c>
      <c r="F100" t="str">
        <f>IFERROR(VLOOKUP($A100,'Student Data'!$A$2:$AR$6,32,0),"")</f>
        <v/>
      </c>
      <c r="G100" t="str">
        <f>IFERROR(VLOOKUP($A100,'Student Data'!$A$2:$AR$6,33,0),"")</f>
        <v/>
      </c>
      <c r="H100" t="str">
        <f>IFERROR(VLOOKUP($A100,'Student Data'!$A$2:$AR$6,34,0),"")</f>
        <v/>
      </c>
      <c r="I100" t="str">
        <f>IFERROR(VLOOKUP($A100,'Student Data'!$A$2:$AR$6,35,0),"")</f>
        <v/>
      </c>
      <c r="J100" t="str">
        <f>IFERROR(VLOOKUP($A100,'Student Data'!$A$2:$AR$6,36,0),"")</f>
        <v/>
      </c>
      <c r="K100" t="str">
        <f t="shared" si="2"/>
        <v/>
      </c>
      <c r="L100" t="str">
        <f t="shared" si="3"/>
        <v/>
      </c>
      <c r="M100" t="str">
        <f>IFERROR(IF($C100="","",SUMIFS(Ledger!$K$2:$K$4, Ledger!$B$2:$B$4, $A100, Ledger!$C$2:$C$4, M$2)),"****")</f>
        <v/>
      </c>
      <c r="N100" t="str">
        <f>IFERROR(IF($C100="","",SUMIFS(Ledger!$K$2:$K$4, Ledger!$B$2:$B$4, $A100, Ledger!$C$2:$C$4, N$2)),"****")</f>
        <v/>
      </c>
      <c r="O100" t="str">
        <f>IFERROR(IF($C100="","",SUMIFS(Ledger!$K$2:$K$4, Ledger!$B$2:$B$4, $A100, Ledger!$C$2:$C$4, O$2)),"****")</f>
        <v/>
      </c>
      <c r="P100" t="str">
        <f>IFERROR(IF($C100="","",SUMIFS(Ledger!$K$2:$K$4, Ledger!$B$2:$B$4, $A100, Ledger!$C$2:$C$4, P$2)),"****")</f>
        <v/>
      </c>
      <c r="Q100" t="str">
        <f>IFERROR(IF($C100="","",SUMIFS(Ledger!$K$2:$K$4, Ledger!$B$2:$B$4, $A100, Ledger!$C$2:$C$4, Q$2)),"****")</f>
        <v/>
      </c>
      <c r="R100" t="str">
        <f>IFERROR(IF($C100="","",SUMIFS(Ledger!$K$2:$K$4, Ledger!$B$2:$B$4, $A100, Ledger!$C$2:$C$4, R$2)),"****")</f>
        <v/>
      </c>
      <c r="S100" t="str">
        <f>IFERROR(IF($C100="","",SUMIFS(Ledger!$K$2:$K$4, Ledger!$B$2:$B$4, $A100, Ledger!$C$2:$C$4, S$2)),"****")</f>
        <v/>
      </c>
      <c r="T100" t="str">
        <f>IFERROR(IF($C100="","",SUMIFS(Ledger!$K$2:$K$4, Ledger!$B$2:$B$4, $A100, Ledger!$C$2:$C$4, T$2)),"****")</f>
        <v/>
      </c>
      <c r="U100" t="str">
        <f>IFERROR(IF($C100="","",SUMIFS(Ledger!$K$2:$K$4, Ledger!$B$2:$B$4, $A100, Ledger!$C$2:$C$4, U$2)),"****")</f>
        <v/>
      </c>
      <c r="V100" t="str">
        <f>IFERROR(IF($C100="","",SUMIFS(Ledger!$K$2:$K$4, Ledger!$B$2:$B$4, $A100, Ledger!$C$2:$C$4, V$2)),"****")</f>
        <v/>
      </c>
      <c r="W100" t="str">
        <f>IFERROR(IF($C100="","",SUMIFS(Ledger!$K$2:$K$4, Ledger!$B$2:$B$4, $A100, Ledger!$C$2:$C$4, W$2)),"****")</f>
        <v/>
      </c>
      <c r="X100" t="str">
        <f>IFERROR(IF($C100="","",SUMIFS(Ledger!$K$2:$K$4, Ledger!$B$2:$B$4, $A100, Ledger!$C$2:$C$4, X$2)),"****")</f>
        <v/>
      </c>
    </row>
    <row r="101" spans="1:24" x14ac:dyDescent="0.3">
      <c r="A101" s="106">
        <v>99</v>
      </c>
      <c r="B101" t="str">
        <f>IFERROR(VLOOKUP($A101, Ledger!$B$2:$L$8, 3, 0),"")</f>
        <v/>
      </c>
      <c r="C101" t="str">
        <f>IFERROR(VLOOKUP($A101, Ledger!$B$2:$L$8, 4, 0),"")</f>
        <v/>
      </c>
      <c r="D101" t="str">
        <f>IFERROR(VLOOKUP($A101, Ledger!$B$2:$L$8, 5, 0),"")</f>
        <v/>
      </c>
      <c r="E101" t="str">
        <f>IFERROR(VLOOKUP($A101, Ledger!$B$2:$L$8, 6, 0),"")</f>
        <v/>
      </c>
      <c r="F101" t="str">
        <f>IFERROR(VLOOKUP($A101,'Student Data'!$A$2:$AR$6,32,0),"")</f>
        <v/>
      </c>
      <c r="G101" t="str">
        <f>IFERROR(VLOOKUP($A101,'Student Data'!$A$2:$AR$6,33,0),"")</f>
        <v/>
      </c>
      <c r="H101" t="str">
        <f>IFERROR(VLOOKUP($A101,'Student Data'!$A$2:$AR$6,34,0),"")</f>
        <v/>
      </c>
      <c r="I101" t="str">
        <f>IFERROR(VLOOKUP($A101,'Student Data'!$A$2:$AR$6,35,0),"")</f>
        <v/>
      </c>
      <c r="J101" t="str">
        <f>IFERROR(VLOOKUP($A101,'Student Data'!$A$2:$AR$6,36,0),"")</f>
        <v/>
      </c>
      <c r="K101" t="str">
        <f t="shared" si="2"/>
        <v/>
      </c>
      <c r="L101" t="str">
        <f t="shared" si="3"/>
        <v/>
      </c>
      <c r="M101" t="str">
        <f>IFERROR(IF($C101="","",SUMIFS(Ledger!$K$2:$K$4, Ledger!$B$2:$B$4, $A101, Ledger!$C$2:$C$4, M$2)),"****")</f>
        <v/>
      </c>
      <c r="N101" t="str">
        <f>IFERROR(IF($C101="","",SUMIFS(Ledger!$K$2:$K$4, Ledger!$B$2:$B$4, $A101, Ledger!$C$2:$C$4, N$2)),"****")</f>
        <v/>
      </c>
      <c r="O101" t="str">
        <f>IFERROR(IF($C101="","",SUMIFS(Ledger!$K$2:$K$4, Ledger!$B$2:$B$4, $A101, Ledger!$C$2:$C$4, O$2)),"****")</f>
        <v/>
      </c>
      <c r="P101" t="str">
        <f>IFERROR(IF($C101="","",SUMIFS(Ledger!$K$2:$K$4, Ledger!$B$2:$B$4, $A101, Ledger!$C$2:$C$4, P$2)),"****")</f>
        <v/>
      </c>
      <c r="Q101" t="str">
        <f>IFERROR(IF($C101="","",SUMIFS(Ledger!$K$2:$K$4, Ledger!$B$2:$B$4, $A101, Ledger!$C$2:$C$4, Q$2)),"****")</f>
        <v/>
      </c>
      <c r="R101" t="str">
        <f>IFERROR(IF($C101="","",SUMIFS(Ledger!$K$2:$K$4, Ledger!$B$2:$B$4, $A101, Ledger!$C$2:$C$4, R$2)),"****")</f>
        <v/>
      </c>
      <c r="S101" t="str">
        <f>IFERROR(IF($C101="","",SUMIFS(Ledger!$K$2:$K$4, Ledger!$B$2:$B$4, $A101, Ledger!$C$2:$C$4, S$2)),"****")</f>
        <v/>
      </c>
      <c r="T101" t="str">
        <f>IFERROR(IF($C101="","",SUMIFS(Ledger!$K$2:$K$4, Ledger!$B$2:$B$4, $A101, Ledger!$C$2:$C$4, T$2)),"****")</f>
        <v/>
      </c>
      <c r="U101" t="str">
        <f>IFERROR(IF($C101="","",SUMIFS(Ledger!$K$2:$K$4, Ledger!$B$2:$B$4, $A101, Ledger!$C$2:$C$4, U$2)),"****")</f>
        <v/>
      </c>
      <c r="V101" t="str">
        <f>IFERROR(IF($C101="","",SUMIFS(Ledger!$K$2:$K$4, Ledger!$B$2:$B$4, $A101, Ledger!$C$2:$C$4, V$2)),"****")</f>
        <v/>
      </c>
      <c r="W101" t="str">
        <f>IFERROR(IF($C101="","",SUMIFS(Ledger!$K$2:$K$4, Ledger!$B$2:$B$4, $A101, Ledger!$C$2:$C$4, W$2)),"****")</f>
        <v/>
      </c>
      <c r="X101" t="str">
        <f>IFERROR(IF($C101="","",SUMIFS(Ledger!$K$2:$K$4, Ledger!$B$2:$B$4, $A101, Ledger!$C$2:$C$4, X$2)),"****")</f>
        <v/>
      </c>
    </row>
    <row r="102" spans="1:24" x14ac:dyDescent="0.3">
      <c r="A102" s="106">
        <v>100</v>
      </c>
      <c r="B102" t="str">
        <f>IFERROR(VLOOKUP($A102, Ledger!$B$2:$L$8, 3, 0),"")</f>
        <v/>
      </c>
      <c r="C102" t="str">
        <f>IFERROR(VLOOKUP($A102, Ledger!$B$2:$L$8, 4, 0),"")</f>
        <v/>
      </c>
      <c r="D102" t="str">
        <f>IFERROR(VLOOKUP($A102, Ledger!$B$2:$L$8, 5, 0),"")</f>
        <v/>
      </c>
      <c r="E102" t="str">
        <f>IFERROR(VLOOKUP($A102, Ledger!$B$2:$L$8, 6, 0),"")</f>
        <v/>
      </c>
      <c r="F102" t="str">
        <f>IFERROR(VLOOKUP($A102,'Student Data'!$A$2:$AR$6,32,0),"")</f>
        <v/>
      </c>
      <c r="G102" t="str">
        <f>IFERROR(VLOOKUP($A102,'Student Data'!$A$2:$AR$6,33,0),"")</f>
        <v/>
      </c>
      <c r="H102" t="str">
        <f>IFERROR(VLOOKUP($A102,'Student Data'!$A$2:$AR$6,34,0),"")</f>
        <v/>
      </c>
      <c r="I102" t="str">
        <f>IFERROR(VLOOKUP($A102,'Student Data'!$A$2:$AR$6,35,0),"")</f>
        <v/>
      </c>
      <c r="J102" t="str">
        <f>IFERROR(VLOOKUP($A102,'Student Data'!$A$2:$AR$6,36,0),"")</f>
        <v/>
      </c>
      <c r="K102" t="str">
        <f t="shared" si="2"/>
        <v/>
      </c>
      <c r="L102" t="str">
        <f t="shared" si="3"/>
        <v/>
      </c>
      <c r="M102" t="str">
        <f>IFERROR(IF($C102="","",SUMIFS(Ledger!$K$2:$K$4, Ledger!$B$2:$B$4, $A102, Ledger!$C$2:$C$4, M$2)),"****")</f>
        <v/>
      </c>
      <c r="N102" t="str">
        <f>IFERROR(IF($C102="","",SUMIFS(Ledger!$K$2:$K$4, Ledger!$B$2:$B$4, $A102, Ledger!$C$2:$C$4, N$2)),"****")</f>
        <v/>
      </c>
      <c r="O102" t="str">
        <f>IFERROR(IF($C102="","",SUMIFS(Ledger!$K$2:$K$4, Ledger!$B$2:$B$4, $A102, Ledger!$C$2:$C$4, O$2)),"****")</f>
        <v/>
      </c>
      <c r="P102" t="str">
        <f>IFERROR(IF($C102="","",SUMIFS(Ledger!$K$2:$K$4, Ledger!$B$2:$B$4, $A102, Ledger!$C$2:$C$4, P$2)),"****")</f>
        <v/>
      </c>
      <c r="Q102" t="str">
        <f>IFERROR(IF($C102="","",SUMIFS(Ledger!$K$2:$K$4, Ledger!$B$2:$B$4, $A102, Ledger!$C$2:$C$4, Q$2)),"****")</f>
        <v/>
      </c>
      <c r="R102" t="str">
        <f>IFERROR(IF($C102="","",SUMIFS(Ledger!$K$2:$K$4, Ledger!$B$2:$B$4, $A102, Ledger!$C$2:$C$4, R$2)),"****")</f>
        <v/>
      </c>
      <c r="S102" t="str">
        <f>IFERROR(IF($C102="","",SUMIFS(Ledger!$K$2:$K$4, Ledger!$B$2:$B$4, $A102, Ledger!$C$2:$C$4, S$2)),"****")</f>
        <v/>
      </c>
      <c r="T102" t="str">
        <f>IFERROR(IF($C102="","",SUMIFS(Ledger!$K$2:$K$4, Ledger!$B$2:$B$4, $A102, Ledger!$C$2:$C$4, T$2)),"****")</f>
        <v/>
      </c>
      <c r="U102" t="str">
        <f>IFERROR(IF($C102="","",SUMIFS(Ledger!$K$2:$K$4, Ledger!$B$2:$B$4, $A102, Ledger!$C$2:$C$4, U$2)),"****")</f>
        <v/>
      </c>
      <c r="V102" t="str">
        <f>IFERROR(IF($C102="","",SUMIFS(Ledger!$K$2:$K$4, Ledger!$B$2:$B$4, $A102, Ledger!$C$2:$C$4, V$2)),"****")</f>
        <v/>
      </c>
      <c r="W102" t="str">
        <f>IFERROR(IF($C102="","",SUMIFS(Ledger!$K$2:$K$4, Ledger!$B$2:$B$4, $A102, Ledger!$C$2:$C$4, W$2)),"****")</f>
        <v/>
      </c>
      <c r="X102" t="str">
        <f>IFERROR(IF($C102="","",SUMIFS(Ledger!$K$2:$K$4, Ledger!$B$2:$B$4, $A102, Ledger!$C$2:$C$4, X$2)),"****")</f>
        <v/>
      </c>
    </row>
    <row r="103" spans="1:24" x14ac:dyDescent="0.3">
      <c r="A103" s="106">
        <v>101</v>
      </c>
      <c r="B103" t="str">
        <f>IFERROR(VLOOKUP($A103, Ledger!$B$2:$L$8, 3, 0),"")</f>
        <v/>
      </c>
      <c r="C103" t="str">
        <f>IFERROR(VLOOKUP($A103, Ledger!$B$2:$L$8, 4, 0),"")</f>
        <v/>
      </c>
      <c r="D103" t="str">
        <f>IFERROR(VLOOKUP($A103, Ledger!$B$2:$L$8, 5, 0),"")</f>
        <v/>
      </c>
      <c r="E103" t="str">
        <f>IFERROR(VLOOKUP($A103, Ledger!$B$2:$L$8, 6, 0),"")</f>
        <v/>
      </c>
      <c r="F103" t="str">
        <f>IFERROR(VLOOKUP($A103,'Student Data'!$A$2:$AR$6,32,0),"")</f>
        <v/>
      </c>
      <c r="G103" t="str">
        <f>IFERROR(VLOOKUP($A103,'Student Data'!$A$2:$AR$6,33,0),"")</f>
        <v/>
      </c>
      <c r="H103" t="str">
        <f>IFERROR(VLOOKUP($A103,'Student Data'!$A$2:$AR$6,34,0),"")</f>
        <v/>
      </c>
      <c r="I103" t="str">
        <f>IFERROR(VLOOKUP($A103,'Student Data'!$A$2:$AR$6,35,0),"")</f>
        <v/>
      </c>
      <c r="J103" t="str">
        <f>IFERROR(VLOOKUP($A103,'Student Data'!$A$2:$AR$6,36,0),"")</f>
        <v/>
      </c>
      <c r="K103" t="str">
        <f t="shared" si="2"/>
        <v/>
      </c>
      <c r="L103" t="str">
        <f t="shared" si="3"/>
        <v/>
      </c>
      <c r="M103" t="str">
        <f>IFERROR(IF($C103="","",SUMIFS(Ledger!$K$2:$K$4, Ledger!$B$2:$B$4, $A103, Ledger!$C$2:$C$4, M$2)),"****")</f>
        <v/>
      </c>
      <c r="N103" t="str">
        <f>IFERROR(IF($C103="","",SUMIFS(Ledger!$K$2:$K$4, Ledger!$B$2:$B$4, $A103, Ledger!$C$2:$C$4, N$2)),"****")</f>
        <v/>
      </c>
      <c r="O103" t="str">
        <f>IFERROR(IF($C103="","",SUMIFS(Ledger!$K$2:$K$4, Ledger!$B$2:$B$4, $A103, Ledger!$C$2:$C$4, O$2)),"****")</f>
        <v/>
      </c>
      <c r="P103" t="str">
        <f>IFERROR(IF($C103="","",SUMIFS(Ledger!$K$2:$K$4, Ledger!$B$2:$B$4, $A103, Ledger!$C$2:$C$4, P$2)),"****")</f>
        <v/>
      </c>
      <c r="Q103" t="str">
        <f>IFERROR(IF($C103="","",SUMIFS(Ledger!$K$2:$K$4, Ledger!$B$2:$B$4, $A103, Ledger!$C$2:$C$4, Q$2)),"****")</f>
        <v/>
      </c>
      <c r="R103" t="str">
        <f>IFERROR(IF($C103="","",SUMIFS(Ledger!$K$2:$K$4, Ledger!$B$2:$B$4, $A103, Ledger!$C$2:$C$4, R$2)),"****")</f>
        <v/>
      </c>
      <c r="S103" t="str">
        <f>IFERROR(IF($C103="","",SUMIFS(Ledger!$K$2:$K$4, Ledger!$B$2:$B$4, $A103, Ledger!$C$2:$C$4, S$2)),"****")</f>
        <v/>
      </c>
      <c r="T103" t="str">
        <f>IFERROR(IF($C103="","",SUMIFS(Ledger!$K$2:$K$4, Ledger!$B$2:$B$4, $A103, Ledger!$C$2:$C$4, T$2)),"****")</f>
        <v/>
      </c>
      <c r="U103" t="str">
        <f>IFERROR(IF($C103="","",SUMIFS(Ledger!$K$2:$K$4, Ledger!$B$2:$B$4, $A103, Ledger!$C$2:$C$4, U$2)),"****")</f>
        <v/>
      </c>
      <c r="V103" t="str">
        <f>IFERROR(IF($C103="","",SUMIFS(Ledger!$K$2:$K$4, Ledger!$B$2:$B$4, $A103, Ledger!$C$2:$C$4, V$2)),"****")</f>
        <v/>
      </c>
      <c r="W103" t="str">
        <f>IFERROR(IF($C103="","",SUMIFS(Ledger!$K$2:$K$4, Ledger!$B$2:$B$4, $A103, Ledger!$C$2:$C$4, W$2)),"****")</f>
        <v/>
      </c>
      <c r="X103" t="str">
        <f>IFERROR(IF($C103="","",SUMIFS(Ledger!$K$2:$K$4, Ledger!$B$2:$B$4, $A103, Ledger!$C$2:$C$4, X$2)),"****")</f>
        <v/>
      </c>
    </row>
    <row r="104" spans="1:24" x14ac:dyDescent="0.3">
      <c r="A104" s="106">
        <v>102</v>
      </c>
      <c r="B104" t="str">
        <f>IFERROR(VLOOKUP($A104, Ledger!$B$2:$L$8, 3, 0),"")</f>
        <v/>
      </c>
      <c r="C104" t="str">
        <f>IFERROR(VLOOKUP($A104, Ledger!$B$2:$L$8, 4, 0),"")</f>
        <v/>
      </c>
      <c r="D104" t="str">
        <f>IFERROR(VLOOKUP($A104, Ledger!$B$2:$L$8, 5, 0),"")</f>
        <v/>
      </c>
      <c r="E104" t="str">
        <f>IFERROR(VLOOKUP($A104, Ledger!$B$2:$L$8, 6, 0),"")</f>
        <v/>
      </c>
      <c r="F104" t="str">
        <f>IFERROR(VLOOKUP($A104,'Student Data'!$A$2:$AR$6,32,0),"")</f>
        <v/>
      </c>
      <c r="G104" t="str">
        <f>IFERROR(VLOOKUP($A104,'Student Data'!$A$2:$AR$6,33,0),"")</f>
        <v/>
      </c>
      <c r="H104" t="str">
        <f>IFERROR(VLOOKUP($A104,'Student Data'!$A$2:$AR$6,34,0),"")</f>
        <v/>
      </c>
      <c r="I104" t="str">
        <f>IFERROR(VLOOKUP($A104,'Student Data'!$A$2:$AR$6,35,0),"")</f>
        <v/>
      </c>
      <c r="J104" t="str">
        <f>IFERROR(VLOOKUP($A104,'Student Data'!$A$2:$AR$6,36,0),"")</f>
        <v/>
      </c>
      <c r="K104" t="str">
        <f t="shared" si="2"/>
        <v/>
      </c>
      <c r="L104" t="str">
        <f t="shared" si="3"/>
        <v/>
      </c>
      <c r="M104" t="str">
        <f>IFERROR(IF($C104="","",SUMIFS(Ledger!$K$2:$K$4, Ledger!$B$2:$B$4, $A104, Ledger!$C$2:$C$4, M$2)),"****")</f>
        <v/>
      </c>
      <c r="N104" t="str">
        <f>IFERROR(IF($C104="","",SUMIFS(Ledger!$K$2:$K$4, Ledger!$B$2:$B$4, $A104, Ledger!$C$2:$C$4, N$2)),"****")</f>
        <v/>
      </c>
      <c r="O104" t="str">
        <f>IFERROR(IF($C104="","",SUMIFS(Ledger!$K$2:$K$4, Ledger!$B$2:$B$4, $A104, Ledger!$C$2:$C$4, O$2)),"****")</f>
        <v/>
      </c>
      <c r="P104" t="str">
        <f>IFERROR(IF($C104="","",SUMIFS(Ledger!$K$2:$K$4, Ledger!$B$2:$B$4, $A104, Ledger!$C$2:$C$4, P$2)),"****")</f>
        <v/>
      </c>
      <c r="Q104" t="str">
        <f>IFERROR(IF($C104="","",SUMIFS(Ledger!$K$2:$K$4, Ledger!$B$2:$B$4, $A104, Ledger!$C$2:$C$4, Q$2)),"****")</f>
        <v/>
      </c>
      <c r="R104" t="str">
        <f>IFERROR(IF($C104="","",SUMIFS(Ledger!$K$2:$K$4, Ledger!$B$2:$B$4, $A104, Ledger!$C$2:$C$4, R$2)),"****")</f>
        <v/>
      </c>
      <c r="S104" t="str">
        <f>IFERROR(IF($C104="","",SUMIFS(Ledger!$K$2:$K$4, Ledger!$B$2:$B$4, $A104, Ledger!$C$2:$C$4, S$2)),"****")</f>
        <v/>
      </c>
      <c r="T104" t="str">
        <f>IFERROR(IF($C104="","",SUMIFS(Ledger!$K$2:$K$4, Ledger!$B$2:$B$4, $A104, Ledger!$C$2:$C$4, T$2)),"****")</f>
        <v/>
      </c>
      <c r="U104" t="str">
        <f>IFERROR(IF($C104="","",SUMIFS(Ledger!$K$2:$K$4, Ledger!$B$2:$B$4, $A104, Ledger!$C$2:$C$4, U$2)),"****")</f>
        <v/>
      </c>
      <c r="V104" t="str">
        <f>IFERROR(IF($C104="","",SUMIFS(Ledger!$K$2:$K$4, Ledger!$B$2:$B$4, $A104, Ledger!$C$2:$C$4, V$2)),"****")</f>
        <v/>
      </c>
      <c r="W104" t="str">
        <f>IFERROR(IF($C104="","",SUMIFS(Ledger!$K$2:$K$4, Ledger!$B$2:$B$4, $A104, Ledger!$C$2:$C$4, W$2)),"****")</f>
        <v/>
      </c>
      <c r="X104" t="str">
        <f>IFERROR(IF($C104="","",SUMIFS(Ledger!$K$2:$K$4, Ledger!$B$2:$B$4, $A104, Ledger!$C$2:$C$4, X$2)),"****")</f>
        <v/>
      </c>
    </row>
    <row r="105" spans="1:24" x14ac:dyDescent="0.3">
      <c r="A105" s="106">
        <v>103</v>
      </c>
      <c r="B105" t="str">
        <f>IFERROR(VLOOKUP($A105, Ledger!$B$2:$L$8, 3, 0),"")</f>
        <v/>
      </c>
      <c r="C105" t="str">
        <f>IFERROR(VLOOKUP($A105, Ledger!$B$2:$L$8, 4, 0),"")</f>
        <v/>
      </c>
      <c r="D105" t="str">
        <f>IFERROR(VLOOKUP($A105, Ledger!$B$2:$L$8, 5, 0),"")</f>
        <v/>
      </c>
      <c r="E105" t="str">
        <f>IFERROR(VLOOKUP($A105, Ledger!$B$2:$L$8, 6, 0),"")</f>
        <v/>
      </c>
      <c r="F105" t="str">
        <f>IFERROR(VLOOKUP($A105,'Student Data'!$A$2:$AR$6,32,0),"")</f>
        <v/>
      </c>
      <c r="G105" t="str">
        <f>IFERROR(VLOOKUP($A105,'Student Data'!$A$2:$AR$6,33,0),"")</f>
        <v/>
      </c>
      <c r="H105" t="str">
        <f>IFERROR(VLOOKUP($A105,'Student Data'!$A$2:$AR$6,34,0),"")</f>
        <v/>
      </c>
      <c r="I105" t="str">
        <f>IFERROR(VLOOKUP($A105,'Student Data'!$A$2:$AR$6,35,0),"")</f>
        <v/>
      </c>
      <c r="J105" t="str">
        <f>IFERROR(VLOOKUP($A105,'Student Data'!$A$2:$AR$6,36,0),"")</f>
        <v/>
      </c>
      <c r="K105" t="str">
        <f t="shared" si="2"/>
        <v/>
      </c>
      <c r="L105" t="str">
        <f t="shared" si="3"/>
        <v/>
      </c>
      <c r="M105" t="str">
        <f>IFERROR(IF($C105="","",SUMIFS(Ledger!$K$2:$K$4, Ledger!$B$2:$B$4, $A105, Ledger!$C$2:$C$4, M$2)),"****")</f>
        <v/>
      </c>
      <c r="N105" t="str">
        <f>IFERROR(IF($C105="","",SUMIFS(Ledger!$K$2:$K$4, Ledger!$B$2:$B$4, $A105, Ledger!$C$2:$C$4, N$2)),"****")</f>
        <v/>
      </c>
      <c r="O105" t="str">
        <f>IFERROR(IF($C105="","",SUMIFS(Ledger!$K$2:$K$4, Ledger!$B$2:$B$4, $A105, Ledger!$C$2:$C$4, O$2)),"****")</f>
        <v/>
      </c>
      <c r="P105" t="str">
        <f>IFERROR(IF($C105="","",SUMIFS(Ledger!$K$2:$K$4, Ledger!$B$2:$B$4, $A105, Ledger!$C$2:$C$4, P$2)),"****")</f>
        <v/>
      </c>
      <c r="Q105" t="str">
        <f>IFERROR(IF($C105="","",SUMIFS(Ledger!$K$2:$K$4, Ledger!$B$2:$B$4, $A105, Ledger!$C$2:$C$4, Q$2)),"****")</f>
        <v/>
      </c>
      <c r="R105" t="str">
        <f>IFERROR(IF($C105="","",SUMIFS(Ledger!$K$2:$K$4, Ledger!$B$2:$B$4, $A105, Ledger!$C$2:$C$4, R$2)),"****")</f>
        <v/>
      </c>
      <c r="S105" t="str">
        <f>IFERROR(IF($C105="","",SUMIFS(Ledger!$K$2:$K$4, Ledger!$B$2:$B$4, $A105, Ledger!$C$2:$C$4, S$2)),"****")</f>
        <v/>
      </c>
      <c r="T105" t="str">
        <f>IFERROR(IF($C105="","",SUMIFS(Ledger!$K$2:$K$4, Ledger!$B$2:$B$4, $A105, Ledger!$C$2:$C$4, T$2)),"****")</f>
        <v/>
      </c>
      <c r="U105" t="str">
        <f>IFERROR(IF($C105="","",SUMIFS(Ledger!$K$2:$K$4, Ledger!$B$2:$B$4, $A105, Ledger!$C$2:$C$4, U$2)),"****")</f>
        <v/>
      </c>
      <c r="V105" t="str">
        <f>IFERROR(IF($C105="","",SUMIFS(Ledger!$K$2:$K$4, Ledger!$B$2:$B$4, $A105, Ledger!$C$2:$C$4, V$2)),"****")</f>
        <v/>
      </c>
      <c r="W105" t="str">
        <f>IFERROR(IF($C105="","",SUMIFS(Ledger!$K$2:$K$4, Ledger!$B$2:$B$4, $A105, Ledger!$C$2:$C$4, W$2)),"****")</f>
        <v/>
      </c>
      <c r="X105" t="str">
        <f>IFERROR(IF($C105="","",SUMIFS(Ledger!$K$2:$K$4, Ledger!$B$2:$B$4, $A105, Ledger!$C$2:$C$4, X$2)),"****")</f>
        <v/>
      </c>
    </row>
    <row r="106" spans="1:24" x14ac:dyDescent="0.3">
      <c r="A106" s="106">
        <v>104</v>
      </c>
      <c r="B106" t="str">
        <f>IFERROR(VLOOKUP($A106, Ledger!$B$2:$L$8, 3, 0),"")</f>
        <v/>
      </c>
      <c r="C106" t="str">
        <f>IFERROR(VLOOKUP($A106, Ledger!$B$2:$L$8, 4, 0),"")</f>
        <v/>
      </c>
      <c r="D106" t="str">
        <f>IFERROR(VLOOKUP($A106, Ledger!$B$2:$L$8, 5, 0),"")</f>
        <v/>
      </c>
      <c r="E106" t="str">
        <f>IFERROR(VLOOKUP($A106, Ledger!$B$2:$L$8, 6, 0),"")</f>
        <v/>
      </c>
      <c r="F106" t="str">
        <f>IFERROR(VLOOKUP($A106,'Student Data'!$A$2:$AR$6,32,0),"")</f>
        <v/>
      </c>
      <c r="G106" t="str">
        <f>IFERROR(VLOOKUP($A106,'Student Data'!$A$2:$AR$6,33,0),"")</f>
        <v/>
      </c>
      <c r="H106" t="str">
        <f>IFERROR(VLOOKUP($A106,'Student Data'!$A$2:$AR$6,34,0),"")</f>
        <v/>
      </c>
      <c r="I106" t="str">
        <f>IFERROR(VLOOKUP($A106,'Student Data'!$A$2:$AR$6,35,0),"")</f>
        <v/>
      </c>
      <c r="J106" t="str">
        <f>IFERROR(VLOOKUP($A106,'Student Data'!$A$2:$AR$6,36,0),"")</f>
        <v/>
      </c>
      <c r="K106" t="str">
        <f t="shared" si="2"/>
        <v/>
      </c>
      <c r="L106" t="str">
        <f t="shared" si="3"/>
        <v/>
      </c>
      <c r="M106" t="str">
        <f>IFERROR(IF($C106="","",SUMIFS(Ledger!$K$2:$K$4, Ledger!$B$2:$B$4, $A106, Ledger!$C$2:$C$4, M$2)),"****")</f>
        <v/>
      </c>
      <c r="N106" t="str">
        <f>IFERROR(IF($C106="","",SUMIFS(Ledger!$K$2:$K$4, Ledger!$B$2:$B$4, $A106, Ledger!$C$2:$C$4, N$2)),"****")</f>
        <v/>
      </c>
      <c r="O106" t="str">
        <f>IFERROR(IF($C106="","",SUMIFS(Ledger!$K$2:$K$4, Ledger!$B$2:$B$4, $A106, Ledger!$C$2:$C$4, O$2)),"****")</f>
        <v/>
      </c>
      <c r="P106" t="str">
        <f>IFERROR(IF($C106="","",SUMIFS(Ledger!$K$2:$K$4, Ledger!$B$2:$B$4, $A106, Ledger!$C$2:$C$4, P$2)),"****")</f>
        <v/>
      </c>
      <c r="Q106" t="str">
        <f>IFERROR(IF($C106="","",SUMIFS(Ledger!$K$2:$K$4, Ledger!$B$2:$B$4, $A106, Ledger!$C$2:$C$4, Q$2)),"****")</f>
        <v/>
      </c>
      <c r="R106" t="str">
        <f>IFERROR(IF($C106="","",SUMIFS(Ledger!$K$2:$K$4, Ledger!$B$2:$B$4, $A106, Ledger!$C$2:$C$4, R$2)),"****")</f>
        <v/>
      </c>
      <c r="S106" t="str">
        <f>IFERROR(IF($C106="","",SUMIFS(Ledger!$K$2:$K$4, Ledger!$B$2:$B$4, $A106, Ledger!$C$2:$C$4, S$2)),"****")</f>
        <v/>
      </c>
      <c r="T106" t="str">
        <f>IFERROR(IF($C106="","",SUMIFS(Ledger!$K$2:$K$4, Ledger!$B$2:$B$4, $A106, Ledger!$C$2:$C$4, T$2)),"****")</f>
        <v/>
      </c>
      <c r="U106" t="str">
        <f>IFERROR(IF($C106="","",SUMIFS(Ledger!$K$2:$K$4, Ledger!$B$2:$B$4, $A106, Ledger!$C$2:$C$4, U$2)),"****")</f>
        <v/>
      </c>
      <c r="V106" t="str">
        <f>IFERROR(IF($C106="","",SUMIFS(Ledger!$K$2:$K$4, Ledger!$B$2:$B$4, $A106, Ledger!$C$2:$C$4, V$2)),"****")</f>
        <v/>
      </c>
      <c r="W106" t="str">
        <f>IFERROR(IF($C106="","",SUMIFS(Ledger!$K$2:$K$4, Ledger!$B$2:$B$4, $A106, Ledger!$C$2:$C$4, W$2)),"****")</f>
        <v/>
      </c>
      <c r="X106" t="str">
        <f>IFERROR(IF($C106="","",SUMIFS(Ledger!$K$2:$K$4, Ledger!$B$2:$B$4, $A106, Ledger!$C$2:$C$4, X$2)),"****")</f>
        <v/>
      </c>
    </row>
    <row r="107" spans="1:24" x14ac:dyDescent="0.3">
      <c r="A107" s="106">
        <v>105</v>
      </c>
      <c r="B107" t="str">
        <f>IFERROR(VLOOKUP($A107, Ledger!$B$2:$L$8, 3, 0),"")</f>
        <v/>
      </c>
      <c r="C107" t="str">
        <f>IFERROR(VLOOKUP($A107, Ledger!$B$2:$L$8, 4, 0),"")</f>
        <v/>
      </c>
      <c r="D107" t="str">
        <f>IFERROR(VLOOKUP($A107, Ledger!$B$2:$L$8, 5, 0),"")</f>
        <v/>
      </c>
      <c r="E107" t="str">
        <f>IFERROR(VLOOKUP($A107, Ledger!$B$2:$L$8, 6, 0),"")</f>
        <v/>
      </c>
      <c r="F107" t="str">
        <f>IFERROR(VLOOKUP($A107,'Student Data'!$A$2:$AR$6,32,0),"")</f>
        <v/>
      </c>
      <c r="G107" t="str">
        <f>IFERROR(VLOOKUP($A107,'Student Data'!$A$2:$AR$6,33,0),"")</f>
        <v/>
      </c>
      <c r="H107" t="str">
        <f>IFERROR(VLOOKUP($A107,'Student Data'!$A$2:$AR$6,34,0),"")</f>
        <v/>
      </c>
      <c r="I107" t="str">
        <f>IFERROR(VLOOKUP($A107,'Student Data'!$A$2:$AR$6,35,0),"")</f>
        <v/>
      </c>
      <c r="J107" t="str">
        <f>IFERROR(VLOOKUP($A107,'Student Data'!$A$2:$AR$6,36,0),"")</f>
        <v/>
      </c>
      <c r="K107" t="str">
        <f t="shared" si="2"/>
        <v/>
      </c>
      <c r="L107" t="str">
        <f t="shared" si="3"/>
        <v/>
      </c>
      <c r="M107" t="str">
        <f>IFERROR(IF($C107="","",SUMIFS(Ledger!$K$2:$K$4, Ledger!$B$2:$B$4, $A107, Ledger!$C$2:$C$4, M$2)),"****")</f>
        <v/>
      </c>
      <c r="N107" t="str">
        <f>IFERROR(IF($C107="","",SUMIFS(Ledger!$K$2:$K$4, Ledger!$B$2:$B$4, $A107, Ledger!$C$2:$C$4, N$2)),"****")</f>
        <v/>
      </c>
      <c r="O107" t="str">
        <f>IFERROR(IF($C107="","",SUMIFS(Ledger!$K$2:$K$4, Ledger!$B$2:$B$4, $A107, Ledger!$C$2:$C$4, O$2)),"****")</f>
        <v/>
      </c>
      <c r="P107" t="str">
        <f>IFERROR(IF($C107="","",SUMIFS(Ledger!$K$2:$K$4, Ledger!$B$2:$B$4, $A107, Ledger!$C$2:$C$4, P$2)),"****")</f>
        <v/>
      </c>
      <c r="Q107" t="str">
        <f>IFERROR(IF($C107="","",SUMIFS(Ledger!$K$2:$K$4, Ledger!$B$2:$B$4, $A107, Ledger!$C$2:$C$4, Q$2)),"****")</f>
        <v/>
      </c>
      <c r="R107" t="str">
        <f>IFERROR(IF($C107="","",SUMIFS(Ledger!$K$2:$K$4, Ledger!$B$2:$B$4, $A107, Ledger!$C$2:$C$4, R$2)),"****")</f>
        <v/>
      </c>
      <c r="S107" t="str">
        <f>IFERROR(IF($C107="","",SUMIFS(Ledger!$K$2:$K$4, Ledger!$B$2:$B$4, $A107, Ledger!$C$2:$C$4, S$2)),"****")</f>
        <v/>
      </c>
      <c r="T107" t="str">
        <f>IFERROR(IF($C107="","",SUMIFS(Ledger!$K$2:$K$4, Ledger!$B$2:$B$4, $A107, Ledger!$C$2:$C$4, T$2)),"****")</f>
        <v/>
      </c>
      <c r="U107" t="str">
        <f>IFERROR(IF($C107="","",SUMIFS(Ledger!$K$2:$K$4, Ledger!$B$2:$B$4, $A107, Ledger!$C$2:$C$4, U$2)),"****")</f>
        <v/>
      </c>
      <c r="V107" t="str">
        <f>IFERROR(IF($C107="","",SUMIFS(Ledger!$K$2:$K$4, Ledger!$B$2:$B$4, $A107, Ledger!$C$2:$C$4, V$2)),"****")</f>
        <v/>
      </c>
      <c r="W107" t="str">
        <f>IFERROR(IF($C107="","",SUMIFS(Ledger!$K$2:$K$4, Ledger!$B$2:$B$4, $A107, Ledger!$C$2:$C$4, W$2)),"****")</f>
        <v/>
      </c>
      <c r="X107" t="str">
        <f>IFERROR(IF($C107="","",SUMIFS(Ledger!$K$2:$K$4, Ledger!$B$2:$B$4, $A107, Ledger!$C$2:$C$4, X$2)),"****")</f>
        <v/>
      </c>
    </row>
    <row r="108" spans="1:24" x14ac:dyDescent="0.3">
      <c r="A108" s="106">
        <v>106</v>
      </c>
      <c r="B108" t="str">
        <f>IFERROR(VLOOKUP($A108, Ledger!$B$2:$L$8, 3, 0),"")</f>
        <v/>
      </c>
      <c r="C108" t="str">
        <f>IFERROR(VLOOKUP($A108, Ledger!$B$2:$L$8, 4, 0),"")</f>
        <v/>
      </c>
      <c r="D108" t="str">
        <f>IFERROR(VLOOKUP($A108, Ledger!$B$2:$L$8, 5, 0),"")</f>
        <v/>
      </c>
      <c r="E108" t="str">
        <f>IFERROR(VLOOKUP($A108, Ledger!$B$2:$L$8, 6, 0),"")</f>
        <v/>
      </c>
      <c r="F108" t="str">
        <f>IFERROR(VLOOKUP($A108,'Student Data'!$A$2:$AR$6,32,0),"")</f>
        <v/>
      </c>
      <c r="G108" t="str">
        <f>IFERROR(VLOOKUP($A108,'Student Data'!$A$2:$AR$6,33,0),"")</f>
        <v/>
      </c>
      <c r="H108" t="str">
        <f>IFERROR(VLOOKUP($A108,'Student Data'!$A$2:$AR$6,34,0),"")</f>
        <v/>
      </c>
      <c r="I108" t="str">
        <f>IFERROR(VLOOKUP($A108,'Student Data'!$A$2:$AR$6,35,0),"")</f>
        <v/>
      </c>
      <c r="J108" t="str">
        <f>IFERROR(VLOOKUP($A108,'Student Data'!$A$2:$AR$6,36,0),"")</f>
        <v/>
      </c>
      <c r="K108" t="str">
        <f t="shared" si="2"/>
        <v/>
      </c>
      <c r="L108" t="str">
        <f t="shared" si="3"/>
        <v/>
      </c>
      <c r="M108" t="str">
        <f>IFERROR(IF($C108="","",SUMIFS(Ledger!$K$2:$K$4, Ledger!$B$2:$B$4, $A108, Ledger!$C$2:$C$4, M$2)),"****")</f>
        <v/>
      </c>
      <c r="N108" t="str">
        <f>IFERROR(IF($C108="","",SUMIFS(Ledger!$K$2:$K$4, Ledger!$B$2:$B$4, $A108, Ledger!$C$2:$C$4, N$2)),"****")</f>
        <v/>
      </c>
      <c r="O108" t="str">
        <f>IFERROR(IF($C108="","",SUMIFS(Ledger!$K$2:$K$4, Ledger!$B$2:$B$4, $A108, Ledger!$C$2:$C$4, O$2)),"****")</f>
        <v/>
      </c>
      <c r="P108" t="str">
        <f>IFERROR(IF($C108="","",SUMIFS(Ledger!$K$2:$K$4, Ledger!$B$2:$B$4, $A108, Ledger!$C$2:$C$4, P$2)),"****")</f>
        <v/>
      </c>
      <c r="Q108" t="str">
        <f>IFERROR(IF($C108="","",SUMIFS(Ledger!$K$2:$K$4, Ledger!$B$2:$B$4, $A108, Ledger!$C$2:$C$4, Q$2)),"****")</f>
        <v/>
      </c>
      <c r="R108" t="str">
        <f>IFERROR(IF($C108="","",SUMIFS(Ledger!$K$2:$K$4, Ledger!$B$2:$B$4, $A108, Ledger!$C$2:$C$4, R$2)),"****")</f>
        <v/>
      </c>
      <c r="S108" t="str">
        <f>IFERROR(IF($C108="","",SUMIFS(Ledger!$K$2:$K$4, Ledger!$B$2:$B$4, $A108, Ledger!$C$2:$C$4, S$2)),"****")</f>
        <v/>
      </c>
      <c r="T108" t="str">
        <f>IFERROR(IF($C108="","",SUMIFS(Ledger!$K$2:$K$4, Ledger!$B$2:$B$4, $A108, Ledger!$C$2:$C$4, T$2)),"****")</f>
        <v/>
      </c>
      <c r="U108" t="str">
        <f>IFERROR(IF($C108="","",SUMIFS(Ledger!$K$2:$K$4, Ledger!$B$2:$B$4, $A108, Ledger!$C$2:$C$4, U$2)),"****")</f>
        <v/>
      </c>
      <c r="V108" t="str">
        <f>IFERROR(IF($C108="","",SUMIFS(Ledger!$K$2:$K$4, Ledger!$B$2:$B$4, $A108, Ledger!$C$2:$C$4, V$2)),"****")</f>
        <v/>
      </c>
      <c r="W108" t="str">
        <f>IFERROR(IF($C108="","",SUMIFS(Ledger!$K$2:$K$4, Ledger!$B$2:$B$4, $A108, Ledger!$C$2:$C$4, W$2)),"****")</f>
        <v/>
      </c>
      <c r="X108" t="str">
        <f>IFERROR(IF($C108="","",SUMIFS(Ledger!$K$2:$K$4, Ledger!$B$2:$B$4, $A108, Ledger!$C$2:$C$4, X$2)),"****")</f>
        <v/>
      </c>
    </row>
    <row r="109" spans="1:24" x14ac:dyDescent="0.3">
      <c r="A109" s="106">
        <v>107</v>
      </c>
      <c r="B109" t="str">
        <f>IFERROR(VLOOKUP($A109, Ledger!$B$2:$L$8, 3, 0),"")</f>
        <v/>
      </c>
      <c r="C109" t="str">
        <f>IFERROR(VLOOKUP($A109, Ledger!$B$2:$L$8, 4, 0),"")</f>
        <v/>
      </c>
      <c r="D109" t="str">
        <f>IFERROR(VLOOKUP($A109, Ledger!$B$2:$L$8, 5, 0),"")</f>
        <v/>
      </c>
      <c r="E109" t="str">
        <f>IFERROR(VLOOKUP($A109, Ledger!$B$2:$L$8, 6, 0),"")</f>
        <v/>
      </c>
      <c r="F109" t="str">
        <f>IFERROR(VLOOKUP($A109,'Student Data'!$A$2:$AR$6,32,0),"")</f>
        <v/>
      </c>
      <c r="G109" t="str">
        <f>IFERROR(VLOOKUP($A109,'Student Data'!$A$2:$AR$6,33,0),"")</f>
        <v/>
      </c>
      <c r="H109" t="str">
        <f>IFERROR(VLOOKUP($A109,'Student Data'!$A$2:$AR$6,34,0),"")</f>
        <v/>
      </c>
      <c r="I109" t="str">
        <f>IFERROR(VLOOKUP($A109,'Student Data'!$A$2:$AR$6,35,0),"")</f>
        <v/>
      </c>
      <c r="J109" t="str">
        <f>IFERROR(VLOOKUP($A109,'Student Data'!$A$2:$AR$6,36,0),"")</f>
        <v/>
      </c>
      <c r="K109" t="str">
        <f t="shared" si="2"/>
        <v/>
      </c>
      <c r="L109" t="str">
        <f t="shared" si="3"/>
        <v/>
      </c>
      <c r="M109" t="str">
        <f>IFERROR(IF($C109="","",SUMIFS(Ledger!$K$2:$K$4, Ledger!$B$2:$B$4, $A109, Ledger!$C$2:$C$4, M$2)),"****")</f>
        <v/>
      </c>
      <c r="N109" t="str">
        <f>IFERROR(IF($C109="","",SUMIFS(Ledger!$K$2:$K$4, Ledger!$B$2:$B$4, $A109, Ledger!$C$2:$C$4, N$2)),"****")</f>
        <v/>
      </c>
      <c r="O109" t="str">
        <f>IFERROR(IF($C109="","",SUMIFS(Ledger!$K$2:$K$4, Ledger!$B$2:$B$4, $A109, Ledger!$C$2:$C$4, O$2)),"****")</f>
        <v/>
      </c>
      <c r="P109" t="str">
        <f>IFERROR(IF($C109="","",SUMIFS(Ledger!$K$2:$K$4, Ledger!$B$2:$B$4, $A109, Ledger!$C$2:$C$4, P$2)),"****")</f>
        <v/>
      </c>
      <c r="Q109" t="str">
        <f>IFERROR(IF($C109="","",SUMIFS(Ledger!$K$2:$K$4, Ledger!$B$2:$B$4, $A109, Ledger!$C$2:$C$4, Q$2)),"****")</f>
        <v/>
      </c>
      <c r="R109" t="str">
        <f>IFERROR(IF($C109="","",SUMIFS(Ledger!$K$2:$K$4, Ledger!$B$2:$B$4, $A109, Ledger!$C$2:$C$4, R$2)),"****")</f>
        <v/>
      </c>
      <c r="S109" t="str">
        <f>IFERROR(IF($C109="","",SUMIFS(Ledger!$K$2:$K$4, Ledger!$B$2:$B$4, $A109, Ledger!$C$2:$C$4, S$2)),"****")</f>
        <v/>
      </c>
      <c r="T109" t="str">
        <f>IFERROR(IF($C109="","",SUMIFS(Ledger!$K$2:$K$4, Ledger!$B$2:$B$4, $A109, Ledger!$C$2:$C$4, T$2)),"****")</f>
        <v/>
      </c>
      <c r="U109" t="str">
        <f>IFERROR(IF($C109="","",SUMIFS(Ledger!$K$2:$K$4, Ledger!$B$2:$B$4, $A109, Ledger!$C$2:$C$4, U$2)),"****")</f>
        <v/>
      </c>
      <c r="V109" t="str">
        <f>IFERROR(IF($C109="","",SUMIFS(Ledger!$K$2:$K$4, Ledger!$B$2:$B$4, $A109, Ledger!$C$2:$C$4, V$2)),"****")</f>
        <v/>
      </c>
      <c r="W109" t="str">
        <f>IFERROR(IF($C109="","",SUMIFS(Ledger!$K$2:$K$4, Ledger!$B$2:$B$4, $A109, Ledger!$C$2:$C$4, W$2)),"****")</f>
        <v/>
      </c>
      <c r="X109" t="str">
        <f>IFERROR(IF($C109="","",SUMIFS(Ledger!$K$2:$K$4, Ledger!$B$2:$B$4, $A109, Ledger!$C$2:$C$4, X$2)),"****")</f>
        <v/>
      </c>
    </row>
    <row r="110" spans="1:24" x14ac:dyDescent="0.3">
      <c r="A110" s="106">
        <v>108</v>
      </c>
      <c r="B110" t="str">
        <f>IFERROR(VLOOKUP($A110, Ledger!$B$2:$L$8, 3, 0),"")</f>
        <v/>
      </c>
      <c r="C110" t="str">
        <f>IFERROR(VLOOKUP($A110, Ledger!$B$2:$L$8, 4, 0),"")</f>
        <v/>
      </c>
      <c r="D110" t="str">
        <f>IFERROR(VLOOKUP($A110, Ledger!$B$2:$L$8, 5, 0),"")</f>
        <v/>
      </c>
      <c r="E110" t="str">
        <f>IFERROR(VLOOKUP($A110, Ledger!$B$2:$L$8, 6, 0),"")</f>
        <v/>
      </c>
      <c r="F110" t="str">
        <f>IFERROR(VLOOKUP($A110,'Student Data'!$A$2:$AR$6,32,0),"")</f>
        <v/>
      </c>
      <c r="G110" t="str">
        <f>IFERROR(VLOOKUP($A110,'Student Data'!$A$2:$AR$6,33,0),"")</f>
        <v/>
      </c>
      <c r="H110" t="str">
        <f>IFERROR(VLOOKUP($A110,'Student Data'!$A$2:$AR$6,34,0),"")</f>
        <v/>
      </c>
      <c r="I110" t="str">
        <f>IFERROR(VLOOKUP($A110,'Student Data'!$A$2:$AR$6,35,0),"")</f>
        <v/>
      </c>
      <c r="J110" t="str">
        <f>IFERROR(VLOOKUP($A110,'Student Data'!$A$2:$AR$6,36,0),"")</f>
        <v/>
      </c>
      <c r="K110" t="str">
        <f t="shared" si="2"/>
        <v/>
      </c>
      <c r="L110" t="str">
        <f t="shared" si="3"/>
        <v/>
      </c>
      <c r="M110" t="str">
        <f>IFERROR(IF($C110="","",SUMIFS(Ledger!$K$2:$K$4, Ledger!$B$2:$B$4, $A110, Ledger!$C$2:$C$4, M$2)),"****")</f>
        <v/>
      </c>
      <c r="N110" t="str">
        <f>IFERROR(IF($C110="","",SUMIFS(Ledger!$K$2:$K$4, Ledger!$B$2:$B$4, $A110, Ledger!$C$2:$C$4, N$2)),"****")</f>
        <v/>
      </c>
      <c r="O110" t="str">
        <f>IFERROR(IF($C110="","",SUMIFS(Ledger!$K$2:$K$4, Ledger!$B$2:$B$4, $A110, Ledger!$C$2:$C$4, O$2)),"****")</f>
        <v/>
      </c>
      <c r="P110" t="str">
        <f>IFERROR(IF($C110="","",SUMIFS(Ledger!$K$2:$K$4, Ledger!$B$2:$B$4, $A110, Ledger!$C$2:$C$4, P$2)),"****")</f>
        <v/>
      </c>
      <c r="Q110" t="str">
        <f>IFERROR(IF($C110="","",SUMIFS(Ledger!$K$2:$K$4, Ledger!$B$2:$B$4, $A110, Ledger!$C$2:$C$4, Q$2)),"****")</f>
        <v/>
      </c>
      <c r="R110" t="str">
        <f>IFERROR(IF($C110="","",SUMIFS(Ledger!$K$2:$K$4, Ledger!$B$2:$B$4, $A110, Ledger!$C$2:$C$4, R$2)),"****")</f>
        <v/>
      </c>
      <c r="S110" t="str">
        <f>IFERROR(IF($C110="","",SUMIFS(Ledger!$K$2:$K$4, Ledger!$B$2:$B$4, $A110, Ledger!$C$2:$C$4, S$2)),"****")</f>
        <v/>
      </c>
      <c r="T110" t="str">
        <f>IFERROR(IF($C110="","",SUMIFS(Ledger!$K$2:$K$4, Ledger!$B$2:$B$4, $A110, Ledger!$C$2:$C$4, T$2)),"****")</f>
        <v/>
      </c>
      <c r="U110" t="str">
        <f>IFERROR(IF($C110="","",SUMIFS(Ledger!$K$2:$K$4, Ledger!$B$2:$B$4, $A110, Ledger!$C$2:$C$4, U$2)),"****")</f>
        <v/>
      </c>
      <c r="V110" t="str">
        <f>IFERROR(IF($C110="","",SUMIFS(Ledger!$K$2:$K$4, Ledger!$B$2:$B$4, $A110, Ledger!$C$2:$C$4, V$2)),"****")</f>
        <v/>
      </c>
      <c r="W110" t="str">
        <f>IFERROR(IF($C110="","",SUMIFS(Ledger!$K$2:$K$4, Ledger!$B$2:$B$4, $A110, Ledger!$C$2:$C$4, W$2)),"****")</f>
        <v/>
      </c>
      <c r="X110" t="str">
        <f>IFERROR(IF($C110="","",SUMIFS(Ledger!$K$2:$K$4, Ledger!$B$2:$B$4, $A110, Ledger!$C$2:$C$4, X$2)),"****")</f>
        <v/>
      </c>
    </row>
    <row r="111" spans="1:24" x14ac:dyDescent="0.3">
      <c r="A111" s="106">
        <v>109</v>
      </c>
      <c r="B111" t="str">
        <f>IFERROR(VLOOKUP($A111, Ledger!$B$2:$L$8, 3, 0),"")</f>
        <v/>
      </c>
      <c r="C111" t="str">
        <f>IFERROR(VLOOKUP($A111, Ledger!$B$2:$L$8, 4, 0),"")</f>
        <v/>
      </c>
      <c r="D111" t="str">
        <f>IFERROR(VLOOKUP($A111, Ledger!$B$2:$L$8, 5, 0),"")</f>
        <v/>
      </c>
      <c r="E111" t="str">
        <f>IFERROR(VLOOKUP($A111, Ledger!$B$2:$L$8, 6, 0),"")</f>
        <v/>
      </c>
      <c r="F111" t="str">
        <f>IFERROR(VLOOKUP($A111,'Student Data'!$A$2:$AR$6,32,0),"")</f>
        <v/>
      </c>
      <c r="G111" t="str">
        <f>IFERROR(VLOOKUP($A111,'Student Data'!$A$2:$AR$6,33,0),"")</f>
        <v/>
      </c>
      <c r="H111" t="str">
        <f>IFERROR(VLOOKUP($A111,'Student Data'!$A$2:$AR$6,34,0),"")</f>
        <v/>
      </c>
      <c r="I111" t="str">
        <f>IFERROR(VLOOKUP($A111,'Student Data'!$A$2:$AR$6,35,0),"")</f>
        <v/>
      </c>
      <c r="J111" t="str">
        <f>IFERROR(VLOOKUP($A111,'Student Data'!$A$2:$AR$6,36,0),"")</f>
        <v/>
      </c>
      <c r="K111" t="str">
        <f t="shared" si="2"/>
        <v/>
      </c>
      <c r="L111" t="str">
        <f t="shared" si="3"/>
        <v/>
      </c>
      <c r="M111" t="str">
        <f>IFERROR(IF($C111="","",SUMIFS(Ledger!$K$2:$K$4, Ledger!$B$2:$B$4, $A111, Ledger!$C$2:$C$4, M$2)),"****")</f>
        <v/>
      </c>
      <c r="N111" t="str">
        <f>IFERROR(IF($C111="","",SUMIFS(Ledger!$K$2:$K$4, Ledger!$B$2:$B$4, $A111, Ledger!$C$2:$C$4, N$2)),"****")</f>
        <v/>
      </c>
      <c r="O111" t="str">
        <f>IFERROR(IF($C111="","",SUMIFS(Ledger!$K$2:$K$4, Ledger!$B$2:$B$4, $A111, Ledger!$C$2:$C$4, O$2)),"****")</f>
        <v/>
      </c>
      <c r="P111" t="str">
        <f>IFERROR(IF($C111="","",SUMIFS(Ledger!$K$2:$K$4, Ledger!$B$2:$B$4, $A111, Ledger!$C$2:$C$4, P$2)),"****")</f>
        <v/>
      </c>
      <c r="Q111" t="str">
        <f>IFERROR(IF($C111="","",SUMIFS(Ledger!$K$2:$K$4, Ledger!$B$2:$B$4, $A111, Ledger!$C$2:$C$4, Q$2)),"****")</f>
        <v/>
      </c>
      <c r="R111" t="str">
        <f>IFERROR(IF($C111="","",SUMIFS(Ledger!$K$2:$K$4, Ledger!$B$2:$B$4, $A111, Ledger!$C$2:$C$4, R$2)),"****")</f>
        <v/>
      </c>
      <c r="S111" t="str">
        <f>IFERROR(IF($C111="","",SUMIFS(Ledger!$K$2:$K$4, Ledger!$B$2:$B$4, $A111, Ledger!$C$2:$C$4, S$2)),"****")</f>
        <v/>
      </c>
      <c r="T111" t="str">
        <f>IFERROR(IF($C111="","",SUMIFS(Ledger!$K$2:$K$4, Ledger!$B$2:$B$4, $A111, Ledger!$C$2:$C$4, T$2)),"****")</f>
        <v/>
      </c>
      <c r="U111" t="str">
        <f>IFERROR(IF($C111="","",SUMIFS(Ledger!$K$2:$K$4, Ledger!$B$2:$B$4, $A111, Ledger!$C$2:$C$4, U$2)),"****")</f>
        <v/>
      </c>
      <c r="V111" t="str">
        <f>IFERROR(IF($C111="","",SUMIFS(Ledger!$K$2:$K$4, Ledger!$B$2:$B$4, $A111, Ledger!$C$2:$C$4, V$2)),"****")</f>
        <v/>
      </c>
      <c r="W111" t="str">
        <f>IFERROR(IF($C111="","",SUMIFS(Ledger!$K$2:$K$4, Ledger!$B$2:$B$4, $A111, Ledger!$C$2:$C$4, W$2)),"****")</f>
        <v/>
      </c>
      <c r="X111" t="str">
        <f>IFERROR(IF($C111="","",SUMIFS(Ledger!$K$2:$K$4, Ledger!$B$2:$B$4, $A111, Ledger!$C$2:$C$4, X$2)),"****")</f>
        <v/>
      </c>
    </row>
    <row r="112" spans="1:24" x14ac:dyDescent="0.3">
      <c r="A112" s="106">
        <v>110</v>
      </c>
      <c r="B112" t="str">
        <f>IFERROR(VLOOKUP($A112, Ledger!$B$2:$L$8, 3, 0),"")</f>
        <v/>
      </c>
      <c r="C112" t="str">
        <f>IFERROR(VLOOKUP($A112, Ledger!$B$2:$L$8, 4, 0),"")</f>
        <v/>
      </c>
      <c r="D112" t="str">
        <f>IFERROR(VLOOKUP($A112, Ledger!$B$2:$L$8, 5, 0),"")</f>
        <v/>
      </c>
      <c r="E112" t="str">
        <f>IFERROR(VLOOKUP($A112, Ledger!$B$2:$L$8, 6, 0),"")</f>
        <v/>
      </c>
      <c r="F112" t="str">
        <f>IFERROR(VLOOKUP($A112,'Student Data'!$A$2:$AR$6,32,0),"")</f>
        <v/>
      </c>
      <c r="G112" t="str">
        <f>IFERROR(VLOOKUP($A112,'Student Data'!$A$2:$AR$6,33,0),"")</f>
        <v/>
      </c>
      <c r="H112" t="str">
        <f>IFERROR(VLOOKUP($A112,'Student Data'!$A$2:$AR$6,34,0),"")</f>
        <v/>
      </c>
      <c r="I112" t="str">
        <f>IFERROR(VLOOKUP($A112,'Student Data'!$A$2:$AR$6,35,0),"")</f>
        <v/>
      </c>
      <c r="J112" t="str">
        <f>IFERROR(VLOOKUP($A112,'Student Data'!$A$2:$AR$6,36,0),"")</f>
        <v/>
      </c>
      <c r="K112" t="str">
        <f t="shared" si="2"/>
        <v/>
      </c>
      <c r="L112" t="str">
        <f t="shared" si="3"/>
        <v/>
      </c>
      <c r="M112" t="str">
        <f>IFERROR(IF($C112="","",SUMIFS(Ledger!$K$2:$K$4, Ledger!$B$2:$B$4, $A112, Ledger!$C$2:$C$4, M$2)),"****")</f>
        <v/>
      </c>
      <c r="N112" t="str">
        <f>IFERROR(IF($C112="","",SUMIFS(Ledger!$K$2:$K$4, Ledger!$B$2:$B$4, $A112, Ledger!$C$2:$C$4, N$2)),"****")</f>
        <v/>
      </c>
      <c r="O112" t="str">
        <f>IFERROR(IF($C112="","",SUMIFS(Ledger!$K$2:$K$4, Ledger!$B$2:$B$4, $A112, Ledger!$C$2:$C$4, O$2)),"****")</f>
        <v/>
      </c>
      <c r="P112" t="str">
        <f>IFERROR(IF($C112="","",SUMIFS(Ledger!$K$2:$K$4, Ledger!$B$2:$B$4, $A112, Ledger!$C$2:$C$4, P$2)),"****")</f>
        <v/>
      </c>
      <c r="Q112" t="str">
        <f>IFERROR(IF($C112="","",SUMIFS(Ledger!$K$2:$K$4, Ledger!$B$2:$B$4, $A112, Ledger!$C$2:$C$4, Q$2)),"****")</f>
        <v/>
      </c>
      <c r="R112" t="str">
        <f>IFERROR(IF($C112="","",SUMIFS(Ledger!$K$2:$K$4, Ledger!$B$2:$B$4, $A112, Ledger!$C$2:$C$4, R$2)),"****")</f>
        <v/>
      </c>
      <c r="S112" t="str">
        <f>IFERROR(IF($C112="","",SUMIFS(Ledger!$K$2:$K$4, Ledger!$B$2:$B$4, $A112, Ledger!$C$2:$C$4, S$2)),"****")</f>
        <v/>
      </c>
      <c r="T112" t="str">
        <f>IFERROR(IF($C112="","",SUMIFS(Ledger!$K$2:$K$4, Ledger!$B$2:$B$4, $A112, Ledger!$C$2:$C$4, T$2)),"****")</f>
        <v/>
      </c>
      <c r="U112" t="str">
        <f>IFERROR(IF($C112="","",SUMIFS(Ledger!$K$2:$K$4, Ledger!$B$2:$B$4, $A112, Ledger!$C$2:$C$4, U$2)),"****")</f>
        <v/>
      </c>
      <c r="V112" t="str">
        <f>IFERROR(IF($C112="","",SUMIFS(Ledger!$K$2:$K$4, Ledger!$B$2:$B$4, $A112, Ledger!$C$2:$C$4, V$2)),"****")</f>
        <v/>
      </c>
      <c r="W112" t="str">
        <f>IFERROR(IF($C112="","",SUMIFS(Ledger!$K$2:$K$4, Ledger!$B$2:$B$4, $A112, Ledger!$C$2:$C$4, W$2)),"****")</f>
        <v/>
      </c>
      <c r="X112" t="str">
        <f>IFERROR(IF($C112="","",SUMIFS(Ledger!$K$2:$K$4, Ledger!$B$2:$B$4, $A112, Ledger!$C$2:$C$4, X$2)),"****")</f>
        <v/>
      </c>
    </row>
    <row r="113" spans="1:24" x14ac:dyDescent="0.3">
      <c r="A113" s="106">
        <v>111</v>
      </c>
      <c r="B113" t="str">
        <f>IFERROR(VLOOKUP($A113, Ledger!$B$2:$L$8, 3, 0),"")</f>
        <v/>
      </c>
      <c r="C113" t="str">
        <f>IFERROR(VLOOKUP($A113, Ledger!$B$2:$L$8, 4, 0),"")</f>
        <v/>
      </c>
      <c r="D113" t="str">
        <f>IFERROR(VLOOKUP($A113, Ledger!$B$2:$L$8, 5, 0),"")</f>
        <v/>
      </c>
      <c r="E113" t="str">
        <f>IFERROR(VLOOKUP($A113, Ledger!$B$2:$L$8, 6, 0),"")</f>
        <v/>
      </c>
      <c r="F113" t="str">
        <f>IFERROR(VLOOKUP($A113,'Student Data'!$A$2:$AR$6,32,0),"")</f>
        <v/>
      </c>
      <c r="G113" t="str">
        <f>IFERROR(VLOOKUP($A113,'Student Data'!$A$2:$AR$6,33,0),"")</f>
        <v/>
      </c>
      <c r="H113" t="str">
        <f>IFERROR(VLOOKUP($A113,'Student Data'!$A$2:$AR$6,34,0),"")</f>
        <v/>
      </c>
      <c r="I113" t="str">
        <f>IFERROR(VLOOKUP($A113,'Student Data'!$A$2:$AR$6,35,0),"")</f>
        <v/>
      </c>
      <c r="J113" t="str">
        <f>IFERROR(VLOOKUP($A113,'Student Data'!$A$2:$AR$6,36,0),"")</f>
        <v/>
      </c>
      <c r="K113" t="str">
        <f t="shared" si="2"/>
        <v/>
      </c>
      <c r="L113" t="str">
        <f t="shared" si="3"/>
        <v/>
      </c>
      <c r="M113" t="str">
        <f>IFERROR(IF($C113="","",SUMIFS(Ledger!$K$2:$K$4, Ledger!$B$2:$B$4, $A113, Ledger!$C$2:$C$4, M$2)),"****")</f>
        <v/>
      </c>
      <c r="N113" t="str">
        <f>IFERROR(IF($C113="","",SUMIFS(Ledger!$K$2:$K$4, Ledger!$B$2:$B$4, $A113, Ledger!$C$2:$C$4, N$2)),"****")</f>
        <v/>
      </c>
      <c r="O113" t="str">
        <f>IFERROR(IF($C113="","",SUMIFS(Ledger!$K$2:$K$4, Ledger!$B$2:$B$4, $A113, Ledger!$C$2:$C$4, O$2)),"****")</f>
        <v/>
      </c>
      <c r="P113" t="str">
        <f>IFERROR(IF($C113="","",SUMIFS(Ledger!$K$2:$K$4, Ledger!$B$2:$B$4, $A113, Ledger!$C$2:$C$4, P$2)),"****")</f>
        <v/>
      </c>
      <c r="Q113" t="str">
        <f>IFERROR(IF($C113="","",SUMIFS(Ledger!$K$2:$K$4, Ledger!$B$2:$B$4, $A113, Ledger!$C$2:$C$4, Q$2)),"****")</f>
        <v/>
      </c>
      <c r="R113" t="str">
        <f>IFERROR(IF($C113="","",SUMIFS(Ledger!$K$2:$K$4, Ledger!$B$2:$B$4, $A113, Ledger!$C$2:$C$4, R$2)),"****")</f>
        <v/>
      </c>
      <c r="S113" t="str">
        <f>IFERROR(IF($C113="","",SUMIFS(Ledger!$K$2:$K$4, Ledger!$B$2:$B$4, $A113, Ledger!$C$2:$C$4, S$2)),"****")</f>
        <v/>
      </c>
      <c r="T113" t="str">
        <f>IFERROR(IF($C113="","",SUMIFS(Ledger!$K$2:$K$4, Ledger!$B$2:$B$4, $A113, Ledger!$C$2:$C$4, T$2)),"****")</f>
        <v/>
      </c>
      <c r="U113" t="str">
        <f>IFERROR(IF($C113="","",SUMIFS(Ledger!$K$2:$K$4, Ledger!$B$2:$B$4, $A113, Ledger!$C$2:$C$4, U$2)),"****")</f>
        <v/>
      </c>
      <c r="V113" t="str">
        <f>IFERROR(IF($C113="","",SUMIFS(Ledger!$K$2:$K$4, Ledger!$B$2:$B$4, $A113, Ledger!$C$2:$C$4, V$2)),"****")</f>
        <v/>
      </c>
      <c r="W113" t="str">
        <f>IFERROR(IF($C113="","",SUMIFS(Ledger!$K$2:$K$4, Ledger!$B$2:$B$4, $A113, Ledger!$C$2:$C$4, W$2)),"****")</f>
        <v/>
      </c>
      <c r="X113" t="str">
        <f>IFERROR(IF($C113="","",SUMIFS(Ledger!$K$2:$K$4, Ledger!$B$2:$B$4, $A113, Ledger!$C$2:$C$4, X$2)),"****")</f>
        <v/>
      </c>
    </row>
    <row r="114" spans="1:24" x14ac:dyDescent="0.3">
      <c r="A114" s="106">
        <v>112</v>
      </c>
      <c r="B114" t="str">
        <f>IFERROR(VLOOKUP($A114, Ledger!$B$2:$L$8, 3, 0),"")</f>
        <v/>
      </c>
      <c r="C114" t="str">
        <f>IFERROR(VLOOKUP($A114, Ledger!$B$2:$L$8, 4, 0),"")</f>
        <v/>
      </c>
      <c r="D114" t="str">
        <f>IFERROR(VLOOKUP($A114, Ledger!$B$2:$L$8, 5, 0),"")</f>
        <v/>
      </c>
      <c r="E114" t="str">
        <f>IFERROR(VLOOKUP($A114, Ledger!$B$2:$L$8, 6, 0),"")</f>
        <v/>
      </c>
      <c r="F114" t="str">
        <f>IFERROR(VLOOKUP($A114,'Student Data'!$A$2:$AR$6,32,0),"")</f>
        <v/>
      </c>
      <c r="G114" t="str">
        <f>IFERROR(VLOOKUP($A114,'Student Data'!$A$2:$AR$6,33,0),"")</f>
        <v/>
      </c>
      <c r="H114" t="str">
        <f>IFERROR(VLOOKUP($A114,'Student Data'!$A$2:$AR$6,34,0),"")</f>
        <v/>
      </c>
      <c r="I114" t="str">
        <f>IFERROR(VLOOKUP($A114,'Student Data'!$A$2:$AR$6,35,0),"")</f>
        <v/>
      </c>
      <c r="J114" t="str">
        <f>IFERROR(VLOOKUP($A114,'Student Data'!$A$2:$AR$6,36,0),"")</f>
        <v/>
      </c>
      <c r="K114" t="str">
        <f t="shared" si="2"/>
        <v/>
      </c>
      <c r="L114" t="str">
        <f t="shared" si="3"/>
        <v/>
      </c>
      <c r="M114" t="str">
        <f>IFERROR(IF($C114="","",SUMIFS(Ledger!$K$2:$K$4, Ledger!$B$2:$B$4, $A114, Ledger!$C$2:$C$4, M$2)),"****")</f>
        <v/>
      </c>
      <c r="N114" t="str">
        <f>IFERROR(IF($C114="","",SUMIFS(Ledger!$K$2:$K$4, Ledger!$B$2:$B$4, $A114, Ledger!$C$2:$C$4, N$2)),"****")</f>
        <v/>
      </c>
      <c r="O114" t="str">
        <f>IFERROR(IF($C114="","",SUMIFS(Ledger!$K$2:$K$4, Ledger!$B$2:$B$4, $A114, Ledger!$C$2:$C$4, O$2)),"****")</f>
        <v/>
      </c>
      <c r="P114" t="str">
        <f>IFERROR(IF($C114="","",SUMIFS(Ledger!$K$2:$K$4, Ledger!$B$2:$B$4, $A114, Ledger!$C$2:$C$4, P$2)),"****")</f>
        <v/>
      </c>
      <c r="Q114" t="str">
        <f>IFERROR(IF($C114="","",SUMIFS(Ledger!$K$2:$K$4, Ledger!$B$2:$B$4, $A114, Ledger!$C$2:$C$4, Q$2)),"****")</f>
        <v/>
      </c>
      <c r="R114" t="str">
        <f>IFERROR(IF($C114="","",SUMIFS(Ledger!$K$2:$K$4, Ledger!$B$2:$B$4, $A114, Ledger!$C$2:$C$4, R$2)),"****")</f>
        <v/>
      </c>
      <c r="S114" t="str">
        <f>IFERROR(IF($C114="","",SUMIFS(Ledger!$K$2:$K$4, Ledger!$B$2:$B$4, $A114, Ledger!$C$2:$C$4, S$2)),"****")</f>
        <v/>
      </c>
      <c r="T114" t="str">
        <f>IFERROR(IF($C114="","",SUMIFS(Ledger!$K$2:$K$4, Ledger!$B$2:$B$4, $A114, Ledger!$C$2:$C$4, T$2)),"****")</f>
        <v/>
      </c>
      <c r="U114" t="str">
        <f>IFERROR(IF($C114="","",SUMIFS(Ledger!$K$2:$K$4, Ledger!$B$2:$B$4, $A114, Ledger!$C$2:$C$4, U$2)),"****")</f>
        <v/>
      </c>
      <c r="V114" t="str">
        <f>IFERROR(IF($C114="","",SUMIFS(Ledger!$K$2:$K$4, Ledger!$B$2:$B$4, $A114, Ledger!$C$2:$C$4, V$2)),"****")</f>
        <v/>
      </c>
      <c r="W114" t="str">
        <f>IFERROR(IF($C114="","",SUMIFS(Ledger!$K$2:$K$4, Ledger!$B$2:$B$4, $A114, Ledger!$C$2:$C$4, W$2)),"****")</f>
        <v/>
      </c>
      <c r="X114" t="str">
        <f>IFERROR(IF($C114="","",SUMIFS(Ledger!$K$2:$K$4, Ledger!$B$2:$B$4, $A114, Ledger!$C$2:$C$4, X$2)),"****")</f>
        <v/>
      </c>
    </row>
    <row r="115" spans="1:24" x14ac:dyDescent="0.3">
      <c r="A115" s="106">
        <v>113</v>
      </c>
      <c r="B115" t="str">
        <f>IFERROR(VLOOKUP($A115, Ledger!$B$2:$L$8, 3, 0),"")</f>
        <v/>
      </c>
      <c r="C115" t="str">
        <f>IFERROR(VLOOKUP($A115, Ledger!$B$2:$L$8, 4, 0),"")</f>
        <v/>
      </c>
      <c r="D115" t="str">
        <f>IFERROR(VLOOKUP($A115, Ledger!$B$2:$L$8, 5, 0),"")</f>
        <v/>
      </c>
      <c r="E115" t="str">
        <f>IFERROR(VLOOKUP($A115, Ledger!$B$2:$L$8, 6, 0),"")</f>
        <v/>
      </c>
      <c r="F115" t="str">
        <f>IFERROR(VLOOKUP($A115,'Student Data'!$A$2:$AR$6,32,0),"")</f>
        <v/>
      </c>
      <c r="G115" t="str">
        <f>IFERROR(VLOOKUP($A115,'Student Data'!$A$2:$AR$6,33,0),"")</f>
        <v/>
      </c>
      <c r="H115" t="str">
        <f>IFERROR(VLOOKUP($A115,'Student Data'!$A$2:$AR$6,34,0),"")</f>
        <v/>
      </c>
      <c r="I115" t="str">
        <f>IFERROR(VLOOKUP($A115,'Student Data'!$A$2:$AR$6,35,0),"")</f>
        <v/>
      </c>
      <c r="J115" t="str">
        <f>IFERROR(VLOOKUP($A115,'Student Data'!$A$2:$AR$6,36,0),"")</f>
        <v/>
      </c>
      <c r="K115" t="str">
        <f t="shared" si="2"/>
        <v/>
      </c>
      <c r="L115" t="str">
        <f t="shared" si="3"/>
        <v/>
      </c>
      <c r="M115" t="str">
        <f>IFERROR(IF($C115="","",SUMIFS(Ledger!$K$2:$K$4, Ledger!$B$2:$B$4, $A115, Ledger!$C$2:$C$4, M$2)),"****")</f>
        <v/>
      </c>
      <c r="N115" t="str">
        <f>IFERROR(IF($C115="","",SUMIFS(Ledger!$K$2:$K$4, Ledger!$B$2:$B$4, $A115, Ledger!$C$2:$C$4, N$2)),"****")</f>
        <v/>
      </c>
      <c r="O115" t="str">
        <f>IFERROR(IF($C115="","",SUMIFS(Ledger!$K$2:$K$4, Ledger!$B$2:$B$4, $A115, Ledger!$C$2:$C$4, O$2)),"****")</f>
        <v/>
      </c>
      <c r="P115" t="str">
        <f>IFERROR(IF($C115="","",SUMIFS(Ledger!$K$2:$K$4, Ledger!$B$2:$B$4, $A115, Ledger!$C$2:$C$4, P$2)),"****")</f>
        <v/>
      </c>
      <c r="Q115" t="str">
        <f>IFERROR(IF($C115="","",SUMIFS(Ledger!$K$2:$K$4, Ledger!$B$2:$B$4, $A115, Ledger!$C$2:$C$4, Q$2)),"****")</f>
        <v/>
      </c>
      <c r="R115" t="str">
        <f>IFERROR(IF($C115="","",SUMIFS(Ledger!$K$2:$K$4, Ledger!$B$2:$B$4, $A115, Ledger!$C$2:$C$4, R$2)),"****")</f>
        <v/>
      </c>
      <c r="S115" t="str">
        <f>IFERROR(IF($C115="","",SUMIFS(Ledger!$K$2:$K$4, Ledger!$B$2:$B$4, $A115, Ledger!$C$2:$C$4, S$2)),"****")</f>
        <v/>
      </c>
      <c r="T115" t="str">
        <f>IFERROR(IF($C115="","",SUMIFS(Ledger!$K$2:$K$4, Ledger!$B$2:$B$4, $A115, Ledger!$C$2:$C$4, T$2)),"****")</f>
        <v/>
      </c>
      <c r="U115" t="str">
        <f>IFERROR(IF($C115="","",SUMIFS(Ledger!$K$2:$K$4, Ledger!$B$2:$B$4, $A115, Ledger!$C$2:$C$4, U$2)),"****")</f>
        <v/>
      </c>
      <c r="V115" t="str">
        <f>IFERROR(IF($C115="","",SUMIFS(Ledger!$K$2:$K$4, Ledger!$B$2:$B$4, $A115, Ledger!$C$2:$C$4, V$2)),"****")</f>
        <v/>
      </c>
      <c r="W115" t="str">
        <f>IFERROR(IF($C115="","",SUMIFS(Ledger!$K$2:$K$4, Ledger!$B$2:$B$4, $A115, Ledger!$C$2:$C$4, W$2)),"****")</f>
        <v/>
      </c>
      <c r="X115" t="str">
        <f>IFERROR(IF($C115="","",SUMIFS(Ledger!$K$2:$K$4, Ledger!$B$2:$B$4, $A115, Ledger!$C$2:$C$4, X$2)),"****")</f>
        <v/>
      </c>
    </row>
    <row r="116" spans="1:24" x14ac:dyDescent="0.3">
      <c r="A116" s="106">
        <v>114</v>
      </c>
      <c r="B116" t="str">
        <f>IFERROR(VLOOKUP($A116, Ledger!$B$2:$L$8, 3, 0),"")</f>
        <v/>
      </c>
      <c r="C116" t="str">
        <f>IFERROR(VLOOKUP($A116, Ledger!$B$2:$L$8, 4, 0),"")</f>
        <v/>
      </c>
      <c r="D116" t="str">
        <f>IFERROR(VLOOKUP($A116, Ledger!$B$2:$L$8, 5, 0),"")</f>
        <v/>
      </c>
      <c r="E116" t="str">
        <f>IFERROR(VLOOKUP($A116, Ledger!$B$2:$L$8, 6, 0),"")</f>
        <v/>
      </c>
      <c r="F116" t="str">
        <f>IFERROR(VLOOKUP($A116,'Student Data'!$A$2:$AR$6,32,0),"")</f>
        <v/>
      </c>
      <c r="G116" t="str">
        <f>IFERROR(VLOOKUP($A116,'Student Data'!$A$2:$AR$6,33,0),"")</f>
        <v/>
      </c>
      <c r="H116" t="str">
        <f>IFERROR(VLOOKUP($A116,'Student Data'!$A$2:$AR$6,34,0),"")</f>
        <v/>
      </c>
      <c r="I116" t="str">
        <f>IFERROR(VLOOKUP($A116,'Student Data'!$A$2:$AR$6,35,0),"")</f>
        <v/>
      </c>
      <c r="J116" t="str">
        <f>IFERROR(VLOOKUP($A116,'Student Data'!$A$2:$AR$6,36,0),"")</f>
        <v/>
      </c>
      <c r="K116" t="str">
        <f t="shared" si="2"/>
        <v/>
      </c>
      <c r="L116" t="str">
        <f t="shared" si="3"/>
        <v/>
      </c>
      <c r="M116" t="str">
        <f>IFERROR(IF($C116="","",SUMIFS(Ledger!$K$2:$K$4, Ledger!$B$2:$B$4, $A116, Ledger!$C$2:$C$4, M$2)),"****")</f>
        <v/>
      </c>
      <c r="N116" t="str">
        <f>IFERROR(IF($C116="","",SUMIFS(Ledger!$K$2:$K$4, Ledger!$B$2:$B$4, $A116, Ledger!$C$2:$C$4, N$2)),"****")</f>
        <v/>
      </c>
      <c r="O116" t="str">
        <f>IFERROR(IF($C116="","",SUMIFS(Ledger!$K$2:$K$4, Ledger!$B$2:$B$4, $A116, Ledger!$C$2:$C$4, O$2)),"****")</f>
        <v/>
      </c>
      <c r="P116" t="str">
        <f>IFERROR(IF($C116="","",SUMIFS(Ledger!$K$2:$K$4, Ledger!$B$2:$B$4, $A116, Ledger!$C$2:$C$4, P$2)),"****")</f>
        <v/>
      </c>
      <c r="Q116" t="str">
        <f>IFERROR(IF($C116="","",SUMIFS(Ledger!$K$2:$K$4, Ledger!$B$2:$B$4, $A116, Ledger!$C$2:$C$4, Q$2)),"****")</f>
        <v/>
      </c>
      <c r="R116" t="str">
        <f>IFERROR(IF($C116="","",SUMIFS(Ledger!$K$2:$K$4, Ledger!$B$2:$B$4, $A116, Ledger!$C$2:$C$4, R$2)),"****")</f>
        <v/>
      </c>
      <c r="S116" t="str">
        <f>IFERROR(IF($C116="","",SUMIFS(Ledger!$K$2:$K$4, Ledger!$B$2:$B$4, $A116, Ledger!$C$2:$C$4, S$2)),"****")</f>
        <v/>
      </c>
      <c r="T116" t="str">
        <f>IFERROR(IF($C116="","",SUMIFS(Ledger!$K$2:$K$4, Ledger!$B$2:$B$4, $A116, Ledger!$C$2:$C$4, T$2)),"****")</f>
        <v/>
      </c>
      <c r="U116" t="str">
        <f>IFERROR(IF($C116="","",SUMIFS(Ledger!$K$2:$K$4, Ledger!$B$2:$B$4, $A116, Ledger!$C$2:$C$4, U$2)),"****")</f>
        <v/>
      </c>
      <c r="V116" t="str">
        <f>IFERROR(IF($C116="","",SUMIFS(Ledger!$K$2:$K$4, Ledger!$B$2:$B$4, $A116, Ledger!$C$2:$C$4, V$2)),"****")</f>
        <v/>
      </c>
      <c r="W116" t="str">
        <f>IFERROR(IF($C116="","",SUMIFS(Ledger!$K$2:$K$4, Ledger!$B$2:$B$4, $A116, Ledger!$C$2:$C$4, W$2)),"****")</f>
        <v/>
      </c>
      <c r="X116" t="str">
        <f>IFERROR(IF($C116="","",SUMIFS(Ledger!$K$2:$K$4, Ledger!$B$2:$B$4, $A116, Ledger!$C$2:$C$4, X$2)),"****")</f>
        <v/>
      </c>
    </row>
    <row r="117" spans="1:24" x14ac:dyDescent="0.3">
      <c r="A117" s="106">
        <v>115</v>
      </c>
      <c r="B117" t="str">
        <f>IFERROR(VLOOKUP($A117, Ledger!$B$2:$L$8, 3, 0),"")</f>
        <v/>
      </c>
      <c r="C117" t="str">
        <f>IFERROR(VLOOKUP($A117, Ledger!$B$2:$L$8, 4, 0),"")</f>
        <v/>
      </c>
      <c r="D117" t="str">
        <f>IFERROR(VLOOKUP($A117, Ledger!$B$2:$L$8, 5, 0),"")</f>
        <v/>
      </c>
      <c r="E117" t="str">
        <f>IFERROR(VLOOKUP($A117, Ledger!$B$2:$L$8, 6, 0),"")</f>
        <v/>
      </c>
      <c r="F117" t="str">
        <f>IFERROR(VLOOKUP($A117,'Student Data'!$A$2:$AR$6,32,0),"")</f>
        <v/>
      </c>
      <c r="G117" t="str">
        <f>IFERROR(VLOOKUP($A117,'Student Data'!$A$2:$AR$6,33,0),"")</f>
        <v/>
      </c>
      <c r="H117" t="str">
        <f>IFERROR(VLOOKUP($A117,'Student Data'!$A$2:$AR$6,34,0),"")</f>
        <v/>
      </c>
      <c r="I117" t="str">
        <f>IFERROR(VLOOKUP($A117,'Student Data'!$A$2:$AR$6,35,0),"")</f>
        <v/>
      </c>
      <c r="J117" t="str">
        <f>IFERROR(VLOOKUP($A117,'Student Data'!$A$2:$AR$6,36,0),"")</f>
        <v/>
      </c>
      <c r="K117" t="str">
        <f t="shared" si="2"/>
        <v/>
      </c>
      <c r="L117" t="str">
        <f t="shared" si="3"/>
        <v/>
      </c>
      <c r="M117" t="str">
        <f>IFERROR(IF($C117="","",SUMIFS(Ledger!$K$2:$K$4, Ledger!$B$2:$B$4, $A117, Ledger!$C$2:$C$4, M$2)),"****")</f>
        <v/>
      </c>
      <c r="N117" t="str">
        <f>IFERROR(IF($C117="","",SUMIFS(Ledger!$K$2:$K$4, Ledger!$B$2:$B$4, $A117, Ledger!$C$2:$C$4, N$2)),"****")</f>
        <v/>
      </c>
      <c r="O117" t="str">
        <f>IFERROR(IF($C117="","",SUMIFS(Ledger!$K$2:$K$4, Ledger!$B$2:$B$4, $A117, Ledger!$C$2:$C$4, O$2)),"****")</f>
        <v/>
      </c>
      <c r="P117" t="str">
        <f>IFERROR(IF($C117="","",SUMIFS(Ledger!$K$2:$K$4, Ledger!$B$2:$B$4, $A117, Ledger!$C$2:$C$4, P$2)),"****")</f>
        <v/>
      </c>
      <c r="Q117" t="str">
        <f>IFERROR(IF($C117="","",SUMIFS(Ledger!$K$2:$K$4, Ledger!$B$2:$B$4, $A117, Ledger!$C$2:$C$4, Q$2)),"****")</f>
        <v/>
      </c>
      <c r="R117" t="str">
        <f>IFERROR(IF($C117="","",SUMIFS(Ledger!$K$2:$K$4, Ledger!$B$2:$B$4, $A117, Ledger!$C$2:$C$4, R$2)),"****")</f>
        <v/>
      </c>
      <c r="S117" t="str">
        <f>IFERROR(IF($C117="","",SUMIFS(Ledger!$K$2:$K$4, Ledger!$B$2:$B$4, $A117, Ledger!$C$2:$C$4, S$2)),"****")</f>
        <v/>
      </c>
      <c r="T117" t="str">
        <f>IFERROR(IF($C117="","",SUMIFS(Ledger!$K$2:$K$4, Ledger!$B$2:$B$4, $A117, Ledger!$C$2:$C$4, T$2)),"****")</f>
        <v/>
      </c>
      <c r="U117" t="str">
        <f>IFERROR(IF($C117="","",SUMIFS(Ledger!$K$2:$K$4, Ledger!$B$2:$B$4, $A117, Ledger!$C$2:$C$4, U$2)),"****")</f>
        <v/>
      </c>
      <c r="V117" t="str">
        <f>IFERROR(IF($C117="","",SUMIFS(Ledger!$K$2:$K$4, Ledger!$B$2:$B$4, $A117, Ledger!$C$2:$C$4, V$2)),"****")</f>
        <v/>
      </c>
      <c r="W117" t="str">
        <f>IFERROR(IF($C117="","",SUMIFS(Ledger!$K$2:$K$4, Ledger!$B$2:$B$4, $A117, Ledger!$C$2:$C$4, W$2)),"****")</f>
        <v/>
      </c>
      <c r="X117" t="str">
        <f>IFERROR(IF($C117="","",SUMIFS(Ledger!$K$2:$K$4, Ledger!$B$2:$B$4, $A117, Ledger!$C$2:$C$4, X$2)),"****")</f>
        <v/>
      </c>
    </row>
    <row r="118" spans="1:24" x14ac:dyDescent="0.3">
      <c r="A118" s="106">
        <v>116</v>
      </c>
      <c r="B118" t="str">
        <f>IFERROR(VLOOKUP($A118, Ledger!$B$2:$L$8, 3, 0),"")</f>
        <v/>
      </c>
      <c r="C118" t="str">
        <f>IFERROR(VLOOKUP($A118, Ledger!$B$2:$L$8, 4, 0),"")</f>
        <v/>
      </c>
      <c r="D118" t="str">
        <f>IFERROR(VLOOKUP($A118, Ledger!$B$2:$L$8, 5, 0),"")</f>
        <v/>
      </c>
      <c r="E118" t="str">
        <f>IFERROR(VLOOKUP($A118, Ledger!$B$2:$L$8, 6, 0),"")</f>
        <v/>
      </c>
      <c r="F118" t="str">
        <f>IFERROR(VLOOKUP($A118,'Student Data'!$A$2:$AR$6,32,0),"")</f>
        <v/>
      </c>
      <c r="G118" t="str">
        <f>IFERROR(VLOOKUP($A118,'Student Data'!$A$2:$AR$6,33,0),"")</f>
        <v/>
      </c>
      <c r="H118" t="str">
        <f>IFERROR(VLOOKUP($A118,'Student Data'!$A$2:$AR$6,34,0),"")</f>
        <v/>
      </c>
      <c r="I118" t="str">
        <f>IFERROR(VLOOKUP($A118,'Student Data'!$A$2:$AR$6,35,0),"")</f>
        <v/>
      </c>
      <c r="J118" t="str">
        <f>IFERROR(VLOOKUP($A118,'Student Data'!$A$2:$AR$6,36,0),"")</f>
        <v/>
      </c>
      <c r="K118" t="str">
        <f t="shared" si="2"/>
        <v/>
      </c>
      <c r="L118" t="str">
        <f t="shared" si="3"/>
        <v/>
      </c>
      <c r="M118" t="str">
        <f>IFERROR(IF($C118="","",SUMIFS(Ledger!$K$2:$K$4, Ledger!$B$2:$B$4, $A118, Ledger!$C$2:$C$4, M$2)),"****")</f>
        <v/>
      </c>
      <c r="N118" t="str">
        <f>IFERROR(IF($C118="","",SUMIFS(Ledger!$K$2:$K$4, Ledger!$B$2:$B$4, $A118, Ledger!$C$2:$C$4, N$2)),"****")</f>
        <v/>
      </c>
      <c r="O118" t="str">
        <f>IFERROR(IF($C118="","",SUMIFS(Ledger!$K$2:$K$4, Ledger!$B$2:$B$4, $A118, Ledger!$C$2:$C$4, O$2)),"****")</f>
        <v/>
      </c>
      <c r="P118" t="str">
        <f>IFERROR(IF($C118="","",SUMIFS(Ledger!$K$2:$K$4, Ledger!$B$2:$B$4, $A118, Ledger!$C$2:$C$4, P$2)),"****")</f>
        <v/>
      </c>
      <c r="Q118" t="str">
        <f>IFERROR(IF($C118="","",SUMIFS(Ledger!$K$2:$K$4, Ledger!$B$2:$B$4, $A118, Ledger!$C$2:$C$4, Q$2)),"****")</f>
        <v/>
      </c>
      <c r="R118" t="str">
        <f>IFERROR(IF($C118="","",SUMIFS(Ledger!$K$2:$K$4, Ledger!$B$2:$B$4, $A118, Ledger!$C$2:$C$4, R$2)),"****")</f>
        <v/>
      </c>
      <c r="S118" t="str">
        <f>IFERROR(IF($C118="","",SUMIFS(Ledger!$K$2:$K$4, Ledger!$B$2:$B$4, $A118, Ledger!$C$2:$C$4, S$2)),"****")</f>
        <v/>
      </c>
      <c r="T118" t="str">
        <f>IFERROR(IF($C118="","",SUMIFS(Ledger!$K$2:$K$4, Ledger!$B$2:$B$4, $A118, Ledger!$C$2:$C$4, T$2)),"****")</f>
        <v/>
      </c>
      <c r="U118" t="str">
        <f>IFERROR(IF($C118="","",SUMIFS(Ledger!$K$2:$K$4, Ledger!$B$2:$B$4, $A118, Ledger!$C$2:$C$4, U$2)),"****")</f>
        <v/>
      </c>
      <c r="V118" t="str">
        <f>IFERROR(IF($C118="","",SUMIFS(Ledger!$K$2:$K$4, Ledger!$B$2:$B$4, $A118, Ledger!$C$2:$C$4, V$2)),"****")</f>
        <v/>
      </c>
      <c r="W118" t="str">
        <f>IFERROR(IF($C118="","",SUMIFS(Ledger!$K$2:$K$4, Ledger!$B$2:$B$4, $A118, Ledger!$C$2:$C$4, W$2)),"****")</f>
        <v/>
      </c>
      <c r="X118" t="str">
        <f>IFERROR(IF($C118="","",SUMIFS(Ledger!$K$2:$K$4, Ledger!$B$2:$B$4, $A118, Ledger!$C$2:$C$4, X$2)),"****")</f>
        <v/>
      </c>
    </row>
    <row r="119" spans="1:24" x14ac:dyDescent="0.3">
      <c r="A119" s="106">
        <v>117</v>
      </c>
      <c r="B119" t="str">
        <f>IFERROR(VLOOKUP($A119, Ledger!$B$2:$L$8, 3, 0),"")</f>
        <v/>
      </c>
      <c r="C119" t="str">
        <f>IFERROR(VLOOKUP($A119, Ledger!$B$2:$L$8, 4, 0),"")</f>
        <v/>
      </c>
      <c r="D119" t="str">
        <f>IFERROR(VLOOKUP($A119, Ledger!$B$2:$L$8, 5, 0),"")</f>
        <v/>
      </c>
      <c r="E119" t="str">
        <f>IFERROR(VLOOKUP($A119, Ledger!$B$2:$L$8, 6, 0),"")</f>
        <v/>
      </c>
      <c r="F119" t="str">
        <f>IFERROR(VLOOKUP($A119,'Student Data'!$A$2:$AR$6,32,0),"")</f>
        <v/>
      </c>
      <c r="G119" t="str">
        <f>IFERROR(VLOOKUP($A119,'Student Data'!$A$2:$AR$6,33,0),"")</f>
        <v/>
      </c>
      <c r="H119" t="str">
        <f>IFERROR(VLOOKUP($A119,'Student Data'!$A$2:$AR$6,34,0),"")</f>
        <v/>
      </c>
      <c r="I119" t="str">
        <f>IFERROR(VLOOKUP($A119,'Student Data'!$A$2:$AR$6,35,0),"")</f>
        <v/>
      </c>
      <c r="J119" t="str">
        <f>IFERROR(VLOOKUP($A119,'Student Data'!$A$2:$AR$6,36,0),"")</f>
        <v/>
      </c>
      <c r="K119" t="str">
        <f t="shared" si="2"/>
        <v/>
      </c>
      <c r="L119" t="str">
        <f t="shared" si="3"/>
        <v/>
      </c>
      <c r="M119" t="str">
        <f>IFERROR(IF($C119="","",SUMIFS(Ledger!$K$2:$K$4, Ledger!$B$2:$B$4, $A119, Ledger!$C$2:$C$4, M$2)),"****")</f>
        <v/>
      </c>
      <c r="N119" t="str">
        <f>IFERROR(IF($C119="","",SUMIFS(Ledger!$K$2:$K$4, Ledger!$B$2:$B$4, $A119, Ledger!$C$2:$C$4, N$2)),"****")</f>
        <v/>
      </c>
      <c r="O119" t="str">
        <f>IFERROR(IF($C119="","",SUMIFS(Ledger!$K$2:$K$4, Ledger!$B$2:$B$4, $A119, Ledger!$C$2:$C$4, O$2)),"****")</f>
        <v/>
      </c>
      <c r="P119" t="str">
        <f>IFERROR(IF($C119="","",SUMIFS(Ledger!$K$2:$K$4, Ledger!$B$2:$B$4, $A119, Ledger!$C$2:$C$4, P$2)),"****")</f>
        <v/>
      </c>
      <c r="Q119" t="str">
        <f>IFERROR(IF($C119="","",SUMIFS(Ledger!$K$2:$K$4, Ledger!$B$2:$B$4, $A119, Ledger!$C$2:$C$4, Q$2)),"****")</f>
        <v/>
      </c>
      <c r="R119" t="str">
        <f>IFERROR(IF($C119="","",SUMIFS(Ledger!$K$2:$K$4, Ledger!$B$2:$B$4, $A119, Ledger!$C$2:$C$4, R$2)),"****")</f>
        <v/>
      </c>
      <c r="S119" t="str">
        <f>IFERROR(IF($C119="","",SUMIFS(Ledger!$K$2:$K$4, Ledger!$B$2:$B$4, $A119, Ledger!$C$2:$C$4, S$2)),"****")</f>
        <v/>
      </c>
      <c r="T119" t="str">
        <f>IFERROR(IF($C119="","",SUMIFS(Ledger!$K$2:$K$4, Ledger!$B$2:$B$4, $A119, Ledger!$C$2:$C$4, T$2)),"****")</f>
        <v/>
      </c>
      <c r="U119" t="str">
        <f>IFERROR(IF($C119="","",SUMIFS(Ledger!$K$2:$K$4, Ledger!$B$2:$B$4, $A119, Ledger!$C$2:$C$4, U$2)),"****")</f>
        <v/>
      </c>
      <c r="V119" t="str">
        <f>IFERROR(IF($C119="","",SUMIFS(Ledger!$K$2:$K$4, Ledger!$B$2:$B$4, $A119, Ledger!$C$2:$C$4, V$2)),"****")</f>
        <v/>
      </c>
      <c r="W119" t="str">
        <f>IFERROR(IF($C119="","",SUMIFS(Ledger!$K$2:$K$4, Ledger!$B$2:$B$4, $A119, Ledger!$C$2:$C$4, W$2)),"****")</f>
        <v/>
      </c>
      <c r="X119" t="str">
        <f>IFERROR(IF($C119="","",SUMIFS(Ledger!$K$2:$K$4, Ledger!$B$2:$B$4, $A119, Ledger!$C$2:$C$4, X$2)),"****")</f>
        <v/>
      </c>
    </row>
    <row r="120" spans="1:24" x14ac:dyDescent="0.3">
      <c r="A120" s="106">
        <v>118</v>
      </c>
      <c r="B120" t="str">
        <f>IFERROR(VLOOKUP($A120, Ledger!$B$2:$L$8, 3, 0),"")</f>
        <v/>
      </c>
      <c r="C120" t="str">
        <f>IFERROR(VLOOKUP($A120, Ledger!$B$2:$L$8, 4, 0),"")</f>
        <v/>
      </c>
      <c r="D120" t="str">
        <f>IFERROR(VLOOKUP($A120, Ledger!$B$2:$L$8, 5, 0),"")</f>
        <v/>
      </c>
      <c r="E120" t="str">
        <f>IFERROR(VLOOKUP($A120, Ledger!$B$2:$L$8, 6, 0),"")</f>
        <v/>
      </c>
      <c r="F120" t="str">
        <f>IFERROR(VLOOKUP($A120,'Student Data'!$A$2:$AR$6,32,0),"")</f>
        <v/>
      </c>
      <c r="G120" t="str">
        <f>IFERROR(VLOOKUP($A120,'Student Data'!$A$2:$AR$6,33,0),"")</f>
        <v/>
      </c>
      <c r="H120" t="str">
        <f>IFERROR(VLOOKUP($A120,'Student Data'!$A$2:$AR$6,34,0),"")</f>
        <v/>
      </c>
      <c r="I120" t="str">
        <f>IFERROR(VLOOKUP($A120,'Student Data'!$A$2:$AR$6,35,0),"")</f>
        <v/>
      </c>
      <c r="J120" t="str">
        <f>IFERROR(VLOOKUP($A120,'Student Data'!$A$2:$AR$6,36,0),"")</f>
        <v/>
      </c>
      <c r="K120" t="str">
        <f t="shared" si="2"/>
        <v/>
      </c>
      <c r="L120" t="str">
        <f t="shared" si="3"/>
        <v/>
      </c>
      <c r="M120" t="str">
        <f>IFERROR(IF($C120="","",SUMIFS(Ledger!$K$2:$K$4, Ledger!$B$2:$B$4, $A120, Ledger!$C$2:$C$4, M$2)),"****")</f>
        <v/>
      </c>
      <c r="N120" t="str">
        <f>IFERROR(IF($C120="","",SUMIFS(Ledger!$K$2:$K$4, Ledger!$B$2:$B$4, $A120, Ledger!$C$2:$C$4, N$2)),"****")</f>
        <v/>
      </c>
      <c r="O120" t="str">
        <f>IFERROR(IF($C120="","",SUMIFS(Ledger!$K$2:$K$4, Ledger!$B$2:$B$4, $A120, Ledger!$C$2:$C$4, O$2)),"****")</f>
        <v/>
      </c>
      <c r="P120" t="str">
        <f>IFERROR(IF($C120="","",SUMIFS(Ledger!$K$2:$K$4, Ledger!$B$2:$B$4, $A120, Ledger!$C$2:$C$4, P$2)),"****")</f>
        <v/>
      </c>
      <c r="Q120" t="str">
        <f>IFERROR(IF($C120="","",SUMIFS(Ledger!$K$2:$K$4, Ledger!$B$2:$B$4, $A120, Ledger!$C$2:$C$4, Q$2)),"****")</f>
        <v/>
      </c>
      <c r="R120" t="str">
        <f>IFERROR(IF($C120="","",SUMIFS(Ledger!$K$2:$K$4, Ledger!$B$2:$B$4, $A120, Ledger!$C$2:$C$4, R$2)),"****")</f>
        <v/>
      </c>
      <c r="S120" t="str">
        <f>IFERROR(IF($C120="","",SUMIFS(Ledger!$K$2:$K$4, Ledger!$B$2:$B$4, $A120, Ledger!$C$2:$C$4, S$2)),"****")</f>
        <v/>
      </c>
      <c r="T120" t="str">
        <f>IFERROR(IF($C120="","",SUMIFS(Ledger!$K$2:$K$4, Ledger!$B$2:$B$4, $A120, Ledger!$C$2:$C$4, T$2)),"****")</f>
        <v/>
      </c>
      <c r="U120" t="str">
        <f>IFERROR(IF($C120="","",SUMIFS(Ledger!$K$2:$K$4, Ledger!$B$2:$B$4, $A120, Ledger!$C$2:$C$4, U$2)),"****")</f>
        <v/>
      </c>
      <c r="V120" t="str">
        <f>IFERROR(IF($C120="","",SUMIFS(Ledger!$K$2:$K$4, Ledger!$B$2:$B$4, $A120, Ledger!$C$2:$C$4, V$2)),"****")</f>
        <v/>
      </c>
      <c r="W120" t="str">
        <f>IFERROR(IF($C120="","",SUMIFS(Ledger!$K$2:$K$4, Ledger!$B$2:$B$4, $A120, Ledger!$C$2:$C$4, W$2)),"****")</f>
        <v/>
      </c>
      <c r="X120" t="str">
        <f>IFERROR(IF($C120="","",SUMIFS(Ledger!$K$2:$K$4, Ledger!$B$2:$B$4, $A120, Ledger!$C$2:$C$4, X$2)),"****")</f>
        <v/>
      </c>
    </row>
    <row r="121" spans="1:24" x14ac:dyDescent="0.3">
      <c r="A121" s="106">
        <v>119</v>
      </c>
      <c r="B121" t="str">
        <f>IFERROR(VLOOKUP($A121, Ledger!$B$2:$L$8, 3, 0),"")</f>
        <v/>
      </c>
      <c r="C121" t="str">
        <f>IFERROR(VLOOKUP($A121, Ledger!$B$2:$L$8, 4, 0),"")</f>
        <v/>
      </c>
      <c r="D121" t="str">
        <f>IFERROR(VLOOKUP($A121, Ledger!$B$2:$L$8, 5, 0),"")</f>
        <v/>
      </c>
      <c r="E121" t="str">
        <f>IFERROR(VLOOKUP($A121, Ledger!$B$2:$L$8, 6, 0),"")</f>
        <v/>
      </c>
      <c r="F121" t="str">
        <f>IFERROR(VLOOKUP($A121,'Student Data'!$A$2:$AR$6,32,0),"")</f>
        <v/>
      </c>
      <c r="G121" t="str">
        <f>IFERROR(VLOOKUP($A121,'Student Data'!$A$2:$AR$6,33,0),"")</f>
        <v/>
      </c>
      <c r="H121" t="str">
        <f>IFERROR(VLOOKUP($A121,'Student Data'!$A$2:$AR$6,34,0),"")</f>
        <v/>
      </c>
      <c r="I121" t="str">
        <f>IFERROR(VLOOKUP($A121,'Student Data'!$A$2:$AR$6,35,0),"")</f>
        <v/>
      </c>
      <c r="J121" t="str">
        <f>IFERROR(VLOOKUP($A121,'Student Data'!$A$2:$AR$6,36,0),"")</f>
        <v/>
      </c>
      <c r="K121" t="str">
        <f t="shared" si="2"/>
        <v/>
      </c>
      <c r="L121" t="str">
        <f t="shared" si="3"/>
        <v/>
      </c>
      <c r="M121" t="str">
        <f>IFERROR(IF($C121="","",SUMIFS(Ledger!$K$2:$K$4, Ledger!$B$2:$B$4, $A121, Ledger!$C$2:$C$4, M$2)),"****")</f>
        <v/>
      </c>
      <c r="N121" t="str">
        <f>IFERROR(IF($C121="","",SUMIFS(Ledger!$K$2:$K$4, Ledger!$B$2:$B$4, $A121, Ledger!$C$2:$C$4, N$2)),"****")</f>
        <v/>
      </c>
      <c r="O121" t="str">
        <f>IFERROR(IF($C121="","",SUMIFS(Ledger!$K$2:$K$4, Ledger!$B$2:$B$4, $A121, Ledger!$C$2:$C$4, O$2)),"****")</f>
        <v/>
      </c>
      <c r="P121" t="str">
        <f>IFERROR(IF($C121="","",SUMIFS(Ledger!$K$2:$K$4, Ledger!$B$2:$B$4, $A121, Ledger!$C$2:$C$4, P$2)),"****")</f>
        <v/>
      </c>
      <c r="Q121" t="str">
        <f>IFERROR(IF($C121="","",SUMIFS(Ledger!$K$2:$K$4, Ledger!$B$2:$B$4, $A121, Ledger!$C$2:$C$4, Q$2)),"****")</f>
        <v/>
      </c>
      <c r="R121" t="str">
        <f>IFERROR(IF($C121="","",SUMIFS(Ledger!$K$2:$K$4, Ledger!$B$2:$B$4, $A121, Ledger!$C$2:$C$4, R$2)),"****")</f>
        <v/>
      </c>
      <c r="S121" t="str">
        <f>IFERROR(IF($C121="","",SUMIFS(Ledger!$K$2:$K$4, Ledger!$B$2:$B$4, $A121, Ledger!$C$2:$C$4, S$2)),"****")</f>
        <v/>
      </c>
      <c r="T121" t="str">
        <f>IFERROR(IF($C121="","",SUMIFS(Ledger!$K$2:$K$4, Ledger!$B$2:$B$4, $A121, Ledger!$C$2:$C$4, T$2)),"****")</f>
        <v/>
      </c>
      <c r="U121" t="str">
        <f>IFERROR(IF($C121="","",SUMIFS(Ledger!$K$2:$K$4, Ledger!$B$2:$B$4, $A121, Ledger!$C$2:$C$4, U$2)),"****")</f>
        <v/>
      </c>
      <c r="V121" t="str">
        <f>IFERROR(IF($C121="","",SUMIFS(Ledger!$K$2:$K$4, Ledger!$B$2:$B$4, $A121, Ledger!$C$2:$C$4, V$2)),"****")</f>
        <v/>
      </c>
      <c r="W121" t="str">
        <f>IFERROR(IF($C121="","",SUMIFS(Ledger!$K$2:$K$4, Ledger!$B$2:$B$4, $A121, Ledger!$C$2:$C$4, W$2)),"****")</f>
        <v/>
      </c>
      <c r="X121" t="str">
        <f>IFERROR(IF($C121="","",SUMIFS(Ledger!$K$2:$K$4, Ledger!$B$2:$B$4, $A121, Ledger!$C$2:$C$4, X$2)),"****")</f>
        <v/>
      </c>
    </row>
    <row r="122" spans="1:24" x14ac:dyDescent="0.3">
      <c r="A122" s="106">
        <v>120</v>
      </c>
      <c r="B122" t="str">
        <f>IFERROR(VLOOKUP($A122, Ledger!$B$2:$L$8, 3, 0),"")</f>
        <v/>
      </c>
      <c r="C122" t="str">
        <f>IFERROR(VLOOKUP($A122, Ledger!$B$2:$L$8, 4, 0),"")</f>
        <v/>
      </c>
      <c r="D122" t="str">
        <f>IFERROR(VLOOKUP($A122, Ledger!$B$2:$L$8, 5, 0),"")</f>
        <v/>
      </c>
      <c r="E122" t="str">
        <f>IFERROR(VLOOKUP($A122, Ledger!$B$2:$L$8, 6, 0),"")</f>
        <v/>
      </c>
      <c r="F122" t="str">
        <f>IFERROR(VLOOKUP($A122,'Student Data'!$A$2:$AR$6,32,0),"")</f>
        <v/>
      </c>
      <c r="G122" t="str">
        <f>IFERROR(VLOOKUP($A122,'Student Data'!$A$2:$AR$6,33,0),"")</f>
        <v/>
      </c>
      <c r="H122" t="str">
        <f>IFERROR(VLOOKUP($A122,'Student Data'!$A$2:$AR$6,34,0),"")</f>
        <v/>
      </c>
      <c r="I122" t="str">
        <f>IFERROR(VLOOKUP($A122,'Student Data'!$A$2:$AR$6,35,0),"")</f>
        <v/>
      </c>
      <c r="J122" t="str">
        <f>IFERROR(VLOOKUP($A122,'Student Data'!$A$2:$AR$6,36,0),"")</f>
        <v/>
      </c>
      <c r="K122" t="str">
        <f t="shared" si="2"/>
        <v/>
      </c>
      <c r="L122" t="str">
        <f t="shared" si="3"/>
        <v/>
      </c>
      <c r="M122" t="str">
        <f>IFERROR(IF($C122="","",SUMIFS(Ledger!$K$2:$K$4, Ledger!$B$2:$B$4, $A122, Ledger!$C$2:$C$4, M$2)),"****")</f>
        <v/>
      </c>
      <c r="N122" t="str">
        <f>IFERROR(IF($C122="","",SUMIFS(Ledger!$K$2:$K$4, Ledger!$B$2:$B$4, $A122, Ledger!$C$2:$C$4, N$2)),"****")</f>
        <v/>
      </c>
      <c r="O122" t="str">
        <f>IFERROR(IF($C122="","",SUMIFS(Ledger!$K$2:$K$4, Ledger!$B$2:$B$4, $A122, Ledger!$C$2:$C$4, O$2)),"****")</f>
        <v/>
      </c>
      <c r="P122" t="str">
        <f>IFERROR(IF($C122="","",SUMIFS(Ledger!$K$2:$K$4, Ledger!$B$2:$B$4, $A122, Ledger!$C$2:$C$4, P$2)),"****")</f>
        <v/>
      </c>
      <c r="Q122" t="str">
        <f>IFERROR(IF($C122="","",SUMIFS(Ledger!$K$2:$K$4, Ledger!$B$2:$B$4, $A122, Ledger!$C$2:$C$4, Q$2)),"****")</f>
        <v/>
      </c>
      <c r="R122" t="str">
        <f>IFERROR(IF($C122="","",SUMIFS(Ledger!$K$2:$K$4, Ledger!$B$2:$B$4, $A122, Ledger!$C$2:$C$4, R$2)),"****")</f>
        <v/>
      </c>
      <c r="S122" t="str">
        <f>IFERROR(IF($C122="","",SUMIFS(Ledger!$K$2:$K$4, Ledger!$B$2:$B$4, $A122, Ledger!$C$2:$C$4, S$2)),"****")</f>
        <v/>
      </c>
      <c r="T122" t="str">
        <f>IFERROR(IF($C122="","",SUMIFS(Ledger!$K$2:$K$4, Ledger!$B$2:$B$4, $A122, Ledger!$C$2:$C$4, T$2)),"****")</f>
        <v/>
      </c>
      <c r="U122" t="str">
        <f>IFERROR(IF($C122="","",SUMIFS(Ledger!$K$2:$K$4, Ledger!$B$2:$B$4, $A122, Ledger!$C$2:$C$4, U$2)),"****")</f>
        <v/>
      </c>
      <c r="V122" t="str">
        <f>IFERROR(IF($C122="","",SUMIFS(Ledger!$K$2:$K$4, Ledger!$B$2:$B$4, $A122, Ledger!$C$2:$C$4, V$2)),"****")</f>
        <v/>
      </c>
      <c r="W122" t="str">
        <f>IFERROR(IF($C122="","",SUMIFS(Ledger!$K$2:$K$4, Ledger!$B$2:$B$4, $A122, Ledger!$C$2:$C$4, W$2)),"****")</f>
        <v/>
      </c>
      <c r="X122" t="str">
        <f>IFERROR(IF($C122="","",SUMIFS(Ledger!$K$2:$K$4, Ledger!$B$2:$B$4, $A122, Ledger!$C$2:$C$4, X$2)),"****")</f>
        <v/>
      </c>
    </row>
    <row r="123" spans="1:24" x14ac:dyDescent="0.3">
      <c r="A123" s="106">
        <v>121</v>
      </c>
      <c r="B123" t="str">
        <f>IFERROR(VLOOKUP($A123, Ledger!$B$2:$L$8, 3, 0),"")</f>
        <v/>
      </c>
      <c r="C123" t="str">
        <f>IFERROR(VLOOKUP($A123, Ledger!$B$2:$L$8, 4, 0),"")</f>
        <v/>
      </c>
      <c r="D123" t="str">
        <f>IFERROR(VLOOKUP($A123, Ledger!$B$2:$L$8, 5, 0),"")</f>
        <v/>
      </c>
      <c r="E123" t="str">
        <f>IFERROR(VLOOKUP($A123, Ledger!$B$2:$L$8, 6, 0),"")</f>
        <v/>
      </c>
      <c r="F123" t="str">
        <f>IFERROR(VLOOKUP($A123,'Student Data'!$A$2:$AR$6,32,0),"")</f>
        <v/>
      </c>
      <c r="G123" t="str">
        <f>IFERROR(VLOOKUP($A123,'Student Data'!$A$2:$AR$6,33,0),"")</f>
        <v/>
      </c>
      <c r="H123" t="str">
        <f>IFERROR(VLOOKUP($A123,'Student Data'!$A$2:$AR$6,34,0),"")</f>
        <v/>
      </c>
      <c r="I123" t="str">
        <f>IFERROR(VLOOKUP($A123,'Student Data'!$A$2:$AR$6,35,0),"")</f>
        <v/>
      </c>
      <c r="J123" t="str">
        <f>IFERROR(VLOOKUP($A123,'Student Data'!$A$2:$AR$6,36,0),"")</f>
        <v/>
      </c>
      <c r="K123" t="str">
        <f t="shared" si="2"/>
        <v/>
      </c>
      <c r="L123" t="str">
        <f t="shared" si="3"/>
        <v/>
      </c>
      <c r="M123" t="str">
        <f>IFERROR(IF($C123="","",SUMIFS(Ledger!$K$2:$K$4, Ledger!$B$2:$B$4, $A123, Ledger!$C$2:$C$4, M$2)),"****")</f>
        <v/>
      </c>
      <c r="N123" t="str">
        <f>IFERROR(IF($C123="","",SUMIFS(Ledger!$K$2:$K$4, Ledger!$B$2:$B$4, $A123, Ledger!$C$2:$C$4, N$2)),"****")</f>
        <v/>
      </c>
      <c r="O123" t="str">
        <f>IFERROR(IF($C123="","",SUMIFS(Ledger!$K$2:$K$4, Ledger!$B$2:$B$4, $A123, Ledger!$C$2:$C$4, O$2)),"****")</f>
        <v/>
      </c>
      <c r="P123" t="str">
        <f>IFERROR(IF($C123="","",SUMIFS(Ledger!$K$2:$K$4, Ledger!$B$2:$B$4, $A123, Ledger!$C$2:$C$4, P$2)),"****")</f>
        <v/>
      </c>
      <c r="Q123" t="str">
        <f>IFERROR(IF($C123="","",SUMIFS(Ledger!$K$2:$K$4, Ledger!$B$2:$B$4, $A123, Ledger!$C$2:$C$4, Q$2)),"****")</f>
        <v/>
      </c>
      <c r="R123" t="str">
        <f>IFERROR(IF($C123="","",SUMIFS(Ledger!$K$2:$K$4, Ledger!$B$2:$B$4, $A123, Ledger!$C$2:$C$4, R$2)),"****")</f>
        <v/>
      </c>
      <c r="S123" t="str">
        <f>IFERROR(IF($C123="","",SUMIFS(Ledger!$K$2:$K$4, Ledger!$B$2:$B$4, $A123, Ledger!$C$2:$C$4, S$2)),"****")</f>
        <v/>
      </c>
      <c r="T123" t="str">
        <f>IFERROR(IF($C123="","",SUMIFS(Ledger!$K$2:$K$4, Ledger!$B$2:$B$4, $A123, Ledger!$C$2:$C$4, T$2)),"****")</f>
        <v/>
      </c>
      <c r="U123" t="str">
        <f>IFERROR(IF($C123="","",SUMIFS(Ledger!$K$2:$K$4, Ledger!$B$2:$B$4, $A123, Ledger!$C$2:$C$4, U$2)),"****")</f>
        <v/>
      </c>
      <c r="V123" t="str">
        <f>IFERROR(IF($C123="","",SUMIFS(Ledger!$K$2:$K$4, Ledger!$B$2:$B$4, $A123, Ledger!$C$2:$C$4, V$2)),"****")</f>
        <v/>
      </c>
      <c r="W123" t="str">
        <f>IFERROR(IF($C123="","",SUMIFS(Ledger!$K$2:$K$4, Ledger!$B$2:$B$4, $A123, Ledger!$C$2:$C$4, W$2)),"****")</f>
        <v/>
      </c>
      <c r="X123" t="str">
        <f>IFERROR(IF($C123="","",SUMIFS(Ledger!$K$2:$K$4, Ledger!$B$2:$B$4, $A123, Ledger!$C$2:$C$4, X$2)),"****")</f>
        <v/>
      </c>
    </row>
    <row r="124" spans="1:24" x14ac:dyDescent="0.3">
      <c r="A124" s="106">
        <v>122</v>
      </c>
      <c r="B124" t="str">
        <f>IFERROR(VLOOKUP($A124, Ledger!$B$2:$L$8, 3, 0),"")</f>
        <v/>
      </c>
      <c r="C124" t="str">
        <f>IFERROR(VLOOKUP($A124, Ledger!$B$2:$L$8, 4, 0),"")</f>
        <v/>
      </c>
      <c r="D124" t="str">
        <f>IFERROR(VLOOKUP($A124, Ledger!$B$2:$L$8, 5, 0),"")</f>
        <v/>
      </c>
      <c r="E124" t="str">
        <f>IFERROR(VLOOKUP($A124, Ledger!$B$2:$L$8, 6, 0),"")</f>
        <v/>
      </c>
      <c r="F124" t="str">
        <f>IFERROR(VLOOKUP($A124,'Student Data'!$A$2:$AR$6,32,0),"")</f>
        <v/>
      </c>
      <c r="G124" t="str">
        <f>IFERROR(VLOOKUP($A124,'Student Data'!$A$2:$AR$6,33,0),"")</f>
        <v/>
      </c>
      <c r="H124" t="str">
        <f>IFERROR(VLOOKUP($A124,'Student Data'!$A$2:$AR$6,34,0),"")</f>
        <v/>
      </c>
      <c r="I124" t="str">
        <f>IFERROR(VLOOKUP($A124,'Student Data'!$A$2:$AR$6,35,0),"")</f>
        <v/>
      </c>
      <c r="J124" t="str">
        <f>IFERROR(VLOOKUP($A124,'Student Data'!$A$2:$AR$6,36,0),"")</f>
        <v/>
      </c>
      <c r="K124" t="str">
        <f t="shared" si="2"/>
        <v/>
      </c>
      <c r="L124" t="str">
        <f t="shared" si="3"/>
        <v/>
      </c>
      <c r="M124" t="str">
        <f>IFERROR(IF($C124="","",SUMIFS(Ledger!$K$2:$K$4, Ledger!$B$2:$B$4, $A124, Ledger!$C$2:$C$4, M$2)),"****")</f>
        <v/>
      </c>
      <c r="N124" t="str">
        <f>IFERROR(IF($C124="","",SUMIFS(Ledger!$K$2:$K$4, Ledger!$B$2:$B$4, $A124, Ledger!$C$2:$C$4, N$2)),"****")</f>
        <v/>
      </c>
      <c r="O124" t="str">
        <f>IFERROR(IF($C124="","",SUMIFS(Ledger!$K$2:$K$4, Ledger!$B$2:$B$4, $A124, Ledger!$C$2:$C$4, O$2)),"****")</f>
        <v/>
      </c>
      <c r="P124" t="str">
        <f>IFERROR(IF($C124="","",SUMIFS(Ledger!$K$2:$K$4, Ledger!$B$2:$B$4, $A124, Ledger!$C$2:$C$4, P$2)),"****")</f>
        <v/>
      </c>
      <c r="Q124" t="str">
        <f>IFERROR(IF($C124="","",SUMIFS(Ledger!$K$2:$K$4, Ledger!$B$2:$B$4, $A124, Ledger!$C$2:$C$4, Q$2)),"****")</f>
        <v/>
      </c>
      <c r="R124" t="str">
        <f>IFERROR(IF($C124="","",SUMIFS(Ledger!$K$2:$K$4, Ledger!$B$2:$B$4, $A124, Ledger!$C$2:$C$4, R$2)),"****")</f>
        <v/>
      </c>
      <c r="S124" t="str">
        <f>IFERROR(IF($C124="","",SUMIFS(Ledger!$K$2:$K$4, Ledger!$B$2:$B$4, $A124, Ledger!$C$2:$C$4, S$2)),"****")</f>
        <v/>
      </c>
      <c r="T124" t="str">
        <f>IFERROR(IF($C124="","",SUMIFS(Ledger!$K$2:$K$4, Ledger!$B$2:$B$4, $A124, Ledger!$C$2:$C$4, T$2)),"****")</f>
        <v/>
      </c>
      <c r="U124" t="str">
        <f>IFERROR(IF($C124="","",SUMIFS(Ledger!$K$2:$K$4, Ledger!$B$2:$B$4, $A124, Ledger!$C$2:$C$4, U$2)),"****")</f>
        <v/>
      </c>
      <c r="V124" t="str">
        <f>IFERROR(IF($C124="","",SUMIFS(Ledger!$K$2:$K$4, Ledger!$B$2:$B$4, $A124, Ledger!$C$2:$C$4, V$2)),"****")</f>
        <v/>
      </c>
      <c r="W124" t="str">
        <f>IFERROR(IF($C124="","",SUMIFS(Ledger!$K$2:$K$4, Ledger!$B$2:$B$4, $A124, Ledger!$C$2:$C$4, W$2)),"****")</f>
        <v/>
      </c>
      <c r="X124" t="str">
        <f>IFERROR(IF($C124="","",SUMIFS(Ledger!$K$2:$K$4, Ledger!$B$2:$B$4, $A124, Ledger!$C$2:$C$4, X$2)),"****")</f>
        <v/>
      </c>
    </row>
    <row r="125" spans="1:24" x14ac:dyDescent="0.3">
      <c r="A125" s="106">
        <v>123</v>
      </c>
      <c r="B125" t="str">
        <f>IFERROR(VLOOKUP($A125, Ledger!$B$2:$L$8, 3, 0),"")</f>
        <v/>
      </c>
      <c r="C125" t="str">
        <f>IFERROR(VLOOKUP($A125, Ledger!$B$2:$L$8, 4, 0),"")</f>
        <v/>
      </c>
      <c r="D125" t="str">
        <f>IFERROR(VLOOKUP($A125, Ledger!$B$2:$L$8, 5, 0),"")</f>
        <v/>
      </c>
      <c r="E125" t="str">
        <f>IFERROR(VLOOKUP($A125, Ledger!$B$2:$L$8, 6, 0),"")</f>
        <v/>
      </c>
      <c r="F125" t="str">
        <f>IFERROR(VLOOKUP($A125,'Student Data'!$A$2:$AR$6,32,0),"")</f>
        <v/>
      </c>
      <c r="G125" t="str">
        <f>IFERROR(VLOOKUP($A125,'Student Data'!$A$2:$AR$6,33,0),"")</f>
        <v/>
      </c>
      <c r="H125" t="str">
        <f>IFERROR(VLOOKUP($A125,'Student Data'!$A$2:$AR$6,34,0),"")</f>
        <v/>
      </c>
      <c r="I125" t="str">
        <f>IFERROR(VLOOKUP($A125,'Student Data'!$A$2:$AR$6,35,0),"")</f>
        <v/>
      </c>
      <c r="J125" t="str">
        <f>IFERROR(VLOOKUP($A125,'Student Data'!$A$2:$AR$6,36,0),"")</f>
        <v/>
      </c>
      <c r="K125" t="str">
        <f t="shared" si="2"/>
        <v/>
      </c>
      <c r="L125" t="str">
        <f t="shared" si="3"/>
        <v/>
      </c>
      <c r="M125" t="str">
        <f>IFERROR(IF($C125="","",SUMIFS(Ledger!$K$2:$K$4, Ledger!$B$2:$B$4, $A125, Ledger!$C$2:$C$4, M$2)),"****")</f>
        <v/>
      </c>
      <c r="N125" t="str">
        <f>IFERROR(IF($C125="","",SUMIFS(Ledger!$K$2:$K$4, Ledger!$B$2:$B$4, $A125, Ledger!$C$2:$C$4, N$2)),"****")</f>
        <v/>
      </c>
      <c r="O125" t="str">
        <f>IFERROR(IF($C125="","",SUMIFS(Ledger!$K$2:$K$4, Ledger!$B$2:$B$4, $A125, Ledger!$C$2:$C$4, O$2)),"****")</f>
        <v/>
      </c>
      <c r="P125" t="str">
        <f>IFERROR(IF($C125="","",SUMIFS(Ledger!$K$2:$K$4, Ledger!$B$2:$B$4, $A125, Ledger!$C$2:$C$4, P$2)),"****")</f>
        <v/>
      </c>
      <c r="Q125" t="str">
        <f>IFERROR(IF($C125="","",SUMIFS(Ledger!$K$2:$K$4, Ledger!$B$2:$B$4, $A125, Ledger!$C$2:$C$4, Q$2)),"****")</f>
        <v/>
      </c>
      <c r="R125" t="str">
        <f>IFERROR(IF($C125="","",SUMIFS(Ledger!$K$2:$K$4, Ledger!$B$2:$B$4, $A125, Ledger!$C$2:$C$4, R$2)),"****")</f>
        <v/>
      </c>
      <c r="S125" t="str">
        <f>IFERROR(IF($C125="","",SUMIFS(Ledger!$K$2:$K$4, Ledger!$B$2:$B$4, $A125, Ledger!$C$2:$C$4, S$2)),"****")</f>
        <v/>
      </c>
      <c r="T125" t="str">
        <f>IFERROR(IF($C125="","",SUMIFS(Ledger!$K$2:$K$4, Ledger!$B$2:$B$4, $A125, Ledger!$C$2:$C$4, T$2)),"****")</f>
        <v/>
      </c>
      <c r="U125" t="str">
        <f>IFERROR(IF($C125="","",SUMIFS(Ledger!$K$2:$K$4, Ledger!$B$2:$B$4, $A125, Ledger!$C$2:$C$4, U$2)),"****")</f>
        <v/>
      </c>
      <c r="V125" t="str">
        <f>IFERROR(IF($C125="","",SUMIFS(Ledger!$K$2:$K$4, Ledger!$B$2:$B$4, $A125, Ledger!$C$2:$C$4, V$2)),"****")</f>
        <v/>
      </c>
      <c r="W125" t="str">
        <f>IFERROR(IF($C125="","",SUMIFS(Ledger!$K$2:$K$4, Ledger!$B$2:$B$4, $A125, Ledger!$C$2:$C$4, W$2)),"****")</f>
        <v/>
      </c>
      <c r="X125" t="str">
        <f>IFERROR(IF($C125="","",SUMIFS(Ledger!$K$2:$K$4, Ledger!$B$2:$B$4, $A125, Ledger!$C$2:$C$4, X$2)),"****")</f>
        <v/>
      </c>
    </row>
    <row r="126" spans="1:24" x14ac:dyDescent="0.3">
      <c r="A126" s="106">
        <v>124</v>
      </c>
      <c r="B126" t="str">
        <f>IFERROR(VLOOKUP($A126, Ledger!$B$2:$L$8, 3, 0),"")</f>
        <v/>
      </c>
      <c r="C126" t="str">
        <f>IFERROR(VLOOKUP($A126, Ledger!$B$2:$L$8, 4, 0),"")</f>
        <v/>
      </c>
      <c r="D126" t="str">
        <f>IFERROR(VLOOKUP($A126, Ledger!$B$2:$L$8, 5, 0),"")</f>
        <v/>
      </c>
      <c r="E126" t="str">
        <f>IFERROR(VLOOKUP($A126, Ledger!$B$2:$L$8, 6, 0),"")</f>
        <v/>
      </c>
      <c r="F126" t="str">
        <f>IFERROR(VLOOKUP($A126,'Student Data'!$A$2:$AR$6,32,0),"")</f>
        <v/>
      </c>
      <c r="G126" t="str">
        <f>IFERROR(VLOOKUP($A126,'Student Data'!$A$2:$AR$6,33,0),"")</f>
        <v/>
      </c>
      <c r="H126" t="str">
        <f>IFERROR(VLOOKUP($A126,'Student Data'!$A$2:$AR$6,34,0),"")</f>
        <v/>
      </c>
      <c r="I126" t="str">
        <f>IFERROR(VLOOKUP($A126,'Student Data'!$A$2:$AR$6,35,0),"")</f>
        <v/>
      </c>
      <c r="J126" t="str">
        <f>IFERROR(VLOOKUP($A126,'Student Data'!$A$2:$AR$6,36,0),"")</f>
        <v/>
      </c>
      <c r="K126" t="str">
        <f t="shared" si="2"/>
        <v/>
      </c>
      <c r="L126" t="str">
        <f t="shared" si="3"/>
        <v/>
      </c>
      <c r="M126" t="str">
        <f>IFERROR(IF($C126="","",SUMIFS(Ledger!$K$2:$K$4, Ledger!$B$2:$B$4, $A126, Ledger!$C$2:$C$4, M$2)),"****")</f>
        <v/>
      </c>
      <c r="N126" t="str">
        <f>IFERROR(IF($C126="","",SUMIFS(Ledger!$K$2:$K$4, Ledger!$B$2:$B$4, $A126, Ledger!$C$2:$C$4, N$2)),"****")</f>
        <v/>
      </c>
      <c r="O126" t="str">
        <f>IFERROR(IF($C126="","",SUMIFS(Ledger!$K$2:$K$4, Ledger!$B$2:$B$4, $A126, Ledger!$C$2:$C$4, O$2)),"****")</f>
        <v/>
      </c>
      <c r="P126" t="str">
        <f>IFERROR(IF($C126="","",SUMIFS(Ledger!$K$2:$K$4, Ledger!$B$2:$B$4, $A126, Ledger!$C$2:$C$4, P$2)),"****")</f>
        <v/>
      </c>
      <c r="Q126" t="str">
        <f>IFERROR(IF($C126="","",SUMIFS(Ledger!$K$2:$K$4, Ledger!$B$2:$B$4, $A126, Ledger!$C$2:$C$4, Q$2)),"****")</f>
        <v/>
      </c>
      <c r="R126" t="str">
        <f>IFERROR(IF($C126="","",SUMIFS(Ledger!$K$2:$K$4, Ledger!$B$2:$B$4, $A126, Ledger!$C$2:$C$4, R$2)),"****")</f>
        <v/>
      </c>
      <c r="S126" t="str">
        <f>IFERROR(IF($C126="","",SUMIFS(Ledger!$K$2:$K$4, Ledger!$B$2:$B$4, $A126, Ledger!$C$2:$C$4, S$2)),"****")</f>
        <v/>
      </c>
      <c r="T126" t="str">
        <f>IFERROR(IF($C126="","",SUMIFS(Ledger!$K$2:$K$4, Ledger!$B$2:$B$4, $A126, Ledger!$C$2:$C$4, T$2)),"****")</f>
        <v/>
      </c>
      <c r="U126" t="str">
        <f>IFERROR(IF($C126="","",SUMIFS(Ledger!$K$2:$K$4, Ledger!$B$2:$B$4, $A126, Ledger!$C$2:$C$4, U$2)),"****")</f>
        <v/>
      </c>
      <c r="V126" t="str">
        <f>IFERROR(IF($C126="","",SUMIFS(Ledger!$K$2:$K$4, Ledger!$B$2:$B$4, $A126, Ledger!$C$2:$C$4, V$2)),"****")</f>
        <v/>
      </c>
      <c r="W126" t="str">
        <f>IFERROR(IF($C126="","",SUMIFS(Ledger!$K$2:$K$4, Ledger!$B$2:$B$4, $A126, Ledger!$C$2:$C$4, W$2)),"****")</f>
        <v/>
      </c>
      <c r="X126" t="str">
        <f>IFERROR(IF($C126="","",SUMIFS(Ledger!$K$2:$K$4, Ledger!$B$2:$B$4, $A126, Ledger!$C$2:$C$4, X$2)),"****")</f>
        <v/>
      </c>
    </row>
    <row r="127" spans="1:24" x14ac:dyDescent="0.3">
      <c r="A127" s="106">
        <v>125</v>
      </c>
      <c r="B127" t="str">
        <f>IFERROR(VLOOKUP($A127, Ledger!$B$2:$L$8, 3, 0),"")</f>
        <v/>
      </c>
      <c r="C127" t="str">
        <f>IFERROR(VLOOKUP($A127, Ledger!$B$2:$L$8, 4, 0),"")</f>
        <v/>
      </c>
      <c r="D127" t="str">
        <f>IFERROR(VLOOKUP($A127, Ledger!$B$2:$L$8, 5, 0),"")</f>
        <v/>
      </c>
      <c r="E127" t="str">
        <f>IFERROR(VLOOKUP($A127, Ledger!$B$2:$L$8, 6, 0),"")</f>
        <v/>
      </c>
      <c r="F127" t="str">
        <f>IFERROR(VLOOKUP($A127,'Student Data'!$A$2:$AR$6,32,0),"")</f>
        <v/>
      </c>
      <c r="G127" t="str">
        <f>IFERROR(VLOOKUP($A127,'Student Data'!$A$2:$AR$6,33,0),"")</f>
        <v/>
      </c>
      <c r="H127" t="str">
        <f>IFERROR(VLOOKUP($A127,'Student Data'!$A$2:$AR$6,34,0),"")</f>
        <v/>
      </c>
      <c r="I127" t="str">
        <f>IFERROR(VLOOKUP($A127,'Student Data'!$A$2:$AR$6,35,0),"")</f>
        <v/>
      </c>
      <c r="J127" t="str">
        <f>IFERROR(VLOOKUP($A127,'Student Data'!$A$2:$AR$6,36,0),"")</f>
        <v/>
      </c>
      <c r="K127" t="str">
        <f t="shared" si="2"/>
        <v/>
      </c>
      <c r="L127" t="str">
        <f t="shared" si="3"/>
        <v/>
      </c>
      <c r="M127" t="str">
        <f>IFERROR(IF($C127="","",SUMIFS(Ledger!$K$2:$K$4, Ledger!$B$2:$B$4, $A127, Ledger!$C$2:$C$4, M$2)),"****")</f>
        <v/>
      </c>
      <c r="N127" t="str">
        <f>IFERROR(IF($C127="","",SUMIFS(Ledger!$K$2:$K$4, Ledger!$B$2:$B$4, $A127, Ledger!$C$2:$C$4, N$2)),"****")</f>
        <v/>
      </c>
      <c r="O127" t="str">
        <f>IFERROR(IF($C127="","",SUMIFS(Ledger!$K$2:$K$4, Ledger!$B$2:$B$4, $A127, Ledger!$C$2:$C$4, O$2)),"****")</f>
        <v/>
      </c>
      <c r="P127" t="str">
        <f>IFERROR(IF($C127="","",SUMIFS(Ledger!$K$2:$K$4, Ledger!$B$2:$B$4, $A127, Ledger!$C$2:$C$4, P$2)),"****")</f>
        <v/>
      </c>
      <c r="Q127" t="str">
        <f>IFERROR(IF($C127="","",SUMIFS(Ledger!$K$2:$K$4, Ledger!$B$2:$B$4, $A127, Ledger!$C$2:$C$4, Q$2)),"****")</f>
        <v/>
      </c>
      <c r="R127" t="str">
        <f>IFERROR(IF($C127="","",SUMIFS(Ledger!$K$2:$K$4, Ledger!$B$2:$B$4, $A127, Ledger!$C$2:$C$4, R$2)),"****")</f>
        <v/>
      </c>
      <c r="S127" t="str">
        <f>IFERROR(IF($C127="","",SUMIFS(Ledger!$K$2:$K$4, Ledger!$B$2:$B$4, $A127, Ledger!$C$2:$C$4, S$2)),"****")</f>
        <v/>
      </c>
      <c r="T127" t="str">
        <f>IFERROR(IF($C127="","",SUMIFS(Ledger!$K$2:$K$4, Ledger!$B$2:$B$4, $A127, Ledger!$C$2:$C$4, T$2)),"****")</f>
        <v/>
      </c>
      <c r="U127" t="str">
        <f>IFERROR(IF($C127="","",SUMIFS(Ledger!$K$2:$K$4, Ledger!$B$2:$B$4, $A127, Ledger!$C$2:$C$4, U$2)),"****")</f>
        <v/>
      </c>
      <c r="V127" t="str">
        <f>IFERROR(IF($C127="","",SUMIFS(Ledger!$K$2:$K$4, Ledger!$B$2:$B$4, $A127, Ledger!$C$2:$C$4, V$2)),"****")</f>
        <v/>
      </c>
      <c r="W127" t="str">
        <f>IFERROR(IF($C127="","",SUMIFS(Ledger!$K$2:$K$4, Ledger!$B$2:$B$4, $A127, Ledger!$C$2:$C$4, W$2)),"****")</f>
        <v/>
      </c>
      <c r="X127" t="str">
        <f>IFERROR(IF($C127="","",SUMIFS(Ledger!$K$2:$K$4, Ledger!$B$2:$B$4, $A127, Ledger!$C$2:$C$4, X$2)),"****")</f>
        <v/>
      </c>
    </row>
    <row r="128" spans="1:24" x14ac:dyDescent="0.3">
      <c r="A128" s="106">
        <v>126</v>
      </c>
      <c r="B128" t="str">
        <f>IFERROR(VLOOKUP($A128, Ledger!$B$2:$L$8, 3, 0),"")</f>
        <v/>
      </c>
      <c r="C128" t="str">
        <f>IFERROR(VLOOKUP($A128, Ledger!$B$2:$L$8, 4, 0),"")</f>
        <v/>
      </c>
      <c r="D128" t="str">
        <f>IFERROR(VLOOKUP($A128, Ledger!$B$2:$L$8, 5, 0),"")</f>
        <v/>
      </c>
      <c r="E128" t="str">
        <f>IFERROR(VLOOKUP($A128, Ledger!$B$2:$L$8, 6, 0),"")</f>
        <v/>
      </c>
      <c r="F128" t="str">
        <f>IFERROR(VLOOKUP($A128,'Student Data'!$A$2:$AR$6,32,0),"")</f>
        <v/>
      </c>
      <c r="G128" t="str">
        <f>IFERROR(VLOOKUP($A128,'Student Data'!$A$2:$AR$6,33,0),"")</f>
        <v/>
      </c>
      <c r="H128" t="str">
        <f>IFERROR(VLOOKUP($A128,'Student Data'!$A$2:$AR$6,34,0),"")</f>
        <v/>
      </c>
      <c r="I128" t="str">
        <f>IFERROR(VLOOKUP($A128,'Student Data'!$A$2:$AR$6,35,0),"")</f>
        <v/>
      </c>
      <c r="J128" t="str">
        <f>IFERROR(VLOOKUP($A128,'Student Data'!$A$2:$AR$6,36,0),"")</f>
        <v/>
      </c>
      <c r="K128" t="str">
        <f t="shared" si="2"/>
        <v/>
      </c>
      <c r="L128" t="str">
        <f t="shared" si="3"/>
        <v/>
      </c>
      <c r="M128" t="str">
        <f>IFERROR(IF($C128="","",SUMIFS(Ledger!$K$2:$K$4, Ledger!$B$2:$B$4, $A128, Ledger!$C$2:$C$4, M$2)),"****")</f>
        <v/>
      </c>
      <c r="N128" t="str">
        <f>IFERROR(IF($C128="","",SUMIFS(Ledger!$K$2:$K$4, Ledger!$B$2:$B$4, $A128, Ledger!$C$2:$C$4, N$2)),"****")</f>
        <v/>
      </c>
      <c r="O128" t="str">
        <f>IFERROR(IF($C128="","",SUMIFS(Ledger!$K$2:$K$4, Ledger!$B$2:$B$4, $A128, Ledger!$C$2:$C$4, O$2)),"****")</f>
        <v/>
      </c>
      <c r="P128" t="str">
        <f>IFERROR(IF($C128="","",SUMIFS(Ledger!$K$2:$K$4, Ledger!$B$2:$B$4, $A128, Ledger!$C$2:$C$4, P$2)),"****")</f>
        <v/>
      </c>
      <c r="Q128" t="str">
        <f>IFERROR(IF($C128="","",SUMIFS(Ledger!$K$2:$K$4, Ledger!$B$2:$B$4, $A128, Ledger!$C$2:$C$4, Q$2)),"****")</f>
        <v/>
      </c>
      <c r="R128" t="str">
        <f>IFERROR(IF($C128="","",SUMIFS(Ledger!$K$2:$K$4, Ledger!$B$2:$B$4, $A128, Ledger!$C$2:$C$4, R$2)),"****")</f>
        <v/>
      </c>
      <c r="S128" t="str">
        <f>IFERROR(IF($C128="","",SUMIFS(Ledger!$K$2:$K$4, Ledger!$B$2:$B$4, $A128, Ledger!$C$2:$C$4, S$2)),"****")</f>
        <v/>
      </c>
      <c r="T128" t="str">
        <f>IFERROR(IF($C128="","",SUMIFS(Ledger!$K$2:$K$4, Ledger!$B$2:$B$4, $A128, Ledger!$C$2:$C$4, T$2)),"****")</f>
        <v/>
      </c>
      <c r="U128" t="str">
        <f>IFERROR(IF($C128="","",SUMIFS(Ledger!$K$2:$K$4, Ledger!$B$2:$B$4, $A128, Ledger!$C$2:$C$4, U$2)),"****")</f>
        <v/>
      </c>
      <c r="V128" t="str">
        <f>IFERROR(IF($C128="","",SUMIFS(Ledger!$K$2:$K$4, Ledger!$B$2:$B$4, $A128, Ledger!$C$2:$C$4, V$2)),"****")</f>
        <v/>
      </c>
      <c r="W128" t="str">
        <f>IFERROR(IF($C128="","",SUMIFS(Ledger!$K$2:$K$4, Ledger!$B$2:$B$4, $A128, Ledger!$C$2:$C$4, W$2)),"****")</f>
        <v/>
      </c>
      <c r="X128" t="str">
        <f>IFERROR(IF($C128="","",SUMIFS(Ledger!$K$2:$K$4, Ledger!$B$2:$B$4, $A128, Ledger!$C$2:$C$4, X$2)),"****")</f>
        <v/>
      </c>
    </row>
    <row r="129" spans="1:24" x14ac:dyDescent="0.3">
      <c r="A129" s="106">
        <v>127</v>
      </c>
      <c r="B129" t="str">
        <f>IFERROR(VLOOKUP($A129, Ledger!$B$2:$L$8, 3, 0),"")</f>
        <v/>
      </c>
      <c r="C129" t="str">
        <f>IFERROR(VLOOKUP($A129, Ledger!$B$2:$L$8, 4, 0),"")</f>
        <v/>
      </c>
      <c r="D129" t="str">
        <f>IFERROR(VLOOKUP($A129, Ledger!$B$2:$L$8, 5, 0),"")</f>
        <v/>
      </c>
      <c r="E129" t="str">
        <f>IFERROR(VLOOKUP($A129, Ledger!$B$2:$L$8, 6, 0),"")</f>
        <v/>
      </c>
      <c r="F129" t="str">
        <f>IFERROR(VLOOKUP($A129,'Student Data'!$A$2:$AR$6,32,0),"")</f>
        <v/>
      </c>
      <c r="G129" t="str">
        <f>IFERROR(VLOOKUP($A129,'Student Data'!$A$2:$AR$6,33,0),"")</f>
        <v/>
      </c>
      <c r="H129" t="str">
        <f>IFERROR(VLOOKUP($A129,'Student Data'!$A$2:$AR$6,34,0),"")</f>
        <v/>
      </c>
      <c r="I129" t="str">
        <f>IFERROR(VLOOKUP($A129,'Student Data'!$A$2:$AR$6,35,0),"")</f>
        <v/>
      </c>
      <c r="J129" t="str">
        <f>IFERROR(VLOOKUP($A129,'Student Data'!$A$2:$AR$6,36,0),"")</f>
        <v/>
      </c>
      <c r="K129" t="str">
        <f t="shared" si="2"/>
        <v/>
      </c>
      <c r="L129" t="str">
        <f t="shared" si="3"/>
        <v/>
      </c>
      <c r="M129" t="str">
        <f>IFERROR(IF($C129="","",SUMIFS(Ledger!$K$2:$K$4, Ledger!$B$2:$B$4, $A129, Ledger!$C$2:$C$4, M$2)),"****")</f>
        <v/>
      </c>
      <c r="N129" t="str">
        <f>IFERROR(IF($C129="","",SUMIFS(Ledger!$K$2:$K$4, Ledger!$B$2:$B$4, $A129, Ledger!$C$2:$C$4, N$2)),"****")</f>
        <v/>
      </c>
      <c r="O129" t="str">
        <f>IFERROR(IF($C129="","",SUMIFS(Ledger!$K$2:$K$4, Ledger!$B$2:$B$4, $A129, Ledger!$C$2:$C$4, O$2)),"****")</f>
        <v/>
      </c>
      <c r="P129" t="str">
        <f>IFERROR(IF($C129="","",SUMIFS(Ledger!$K$2:$K$4, Ledger!$B$2:$B$4, $A129, Ledger!$C$2:$C$4, P$2)),"****")</f>
        <v/>
      </c>
      <c r="Q129" t="str">
        <f>IFERROR(IF($C129="","",SUMIFS(Ledger!$K$2:$K$4, Ledger!$B$2:$B$4, $A129, Ledger!$C$2:$C$4, Q$2)),"****")</f>
        <v/>
      </c>
      <c r="R129" t="str">
        <f>IFERROR(IF($C129="","",SUMIFS(Ledger!$K$2:$K$4, Ledger!$B$2:$B$4, $A129, Ledger!$C$2:$C$4, R$2)),"****")</f>
        <v/>
      </c>
      <c r="S129" t="str">
        <f>IFERROR(IF($C129="","",SUMIFS(Ledger!$K$2:$K$4, Ledger!$B$2:$B$4, $A129, Ledger!$C$2:$C$4, S$2)),"****")</f>
        <v/>
      </c>
      <c r="T129" t="str">
        <f>IFERROR(IF($C129="","",SUMIFS(Ledger!$K$2:$K$4, Ledger!$B$2:$B$4, $A129, Ledger!$C$2:$C$4, T$2)),"****")</f>
        <v/>
      </c>
      <c r="U129" t="str">
        <f>IFERROR(IF($C129="","",SUMIFS(Ledger!$K$2:$K$4, Ledger!$B$2:$B$4, $A129, Ledger!$C$2:$C$4, U$2)),"****")</f>
        <v/>
      </c>
      <c r="V129" t="str">
        <f>IFERROR(IF($C129="","",SUMIFS(Ledger!$K$2:$K$4, Ledger!$B$2:$B$4, $A129, Ledger!$C$2:$C$4, V$2)),"****")</f>
        <v/>
      </c>
      <c r="W129" t="str">
        <f>IFERROR(IF($C129="","",SUMIFS(Ledger!$K$2:$K$4, Ledger!$B$2:$B$4, $A129, Ledger!$C$2:$C$4, W$2)),"****")</f>
        <v/>
      </c>
      <c r="X129" t="str">
        <f>IFERROR(IF($C129="","",SUMIFS(Ledger!$K$2:$K$4, Ledger!$B$2:$B$4, $A129, Ledger!$C$2:$C$4, X$2)),"****")</f>
        <v/>
      </c>
    </row>
    <row r="130" spans="1:24" x14ac:dyDescent="0.3">
      <c r="A130" s="106">
        <v>128</v>
      </c>
      <c r="B130" t="str">
        <f>IFERROR(VLOOKUP($A130, Ledger!$B$2:$L$8, 3, 0),"")</f>
        <v/>
      </c>
      <c r="C130" t="str">
        <f>IFERROR(VLOOKUP($A130, Ledger!$B$2:$L$8, 4, 0),"")</f>
        <v/>
      </c>
      <c r="D130" t="str">
        <f>IFERROR(VLOOKUP($A130, Ledger!$B$2:$L$8, 5, 0),"")</f>
        <v/>
      </c>
      <c r="E130" t="str">
        <f>IFERROR(VLOOKUP($A130, Ledger!$B$2:$L$8, 6, 0),"")</f>
        <v/>
      </c>
      <c r="F130" t="str">
        <f>IFERROR(VLOOKUP($A130,'Student Data'!$A$2:$AR$6,32,0),"")</f>
        <v/>
      </c>
      <c r="G130" t="str">
        <f>IFERROR(VLOOKUP($A130,'Student Data'!$A$2:$AR$6,33,0),"")</f>
        <v/>
      </c>
      <c r="H130" t="str">
        <f>IFERROR(VLOOKUP($A130,'Student Data'!$A$2:$AR$6,34,0),"")</f>
        <v/>
      </c>
      <c r="I130" t="str">
        <f>IFERROR(VLOOKUP($A130,'Student Data'!$A$2:$AR$6,35,0),"")</f>
        <v/>
      </c>
      <c r="J130" t="str">
        <f>IFERROR(VLOOKUP($A130,'Student Data'!$A$2:$AR$6,36,0),"")</f>
        <v/>
      </c>
      <c r="K130" t="str">
        <f t="shared" si="2"/>
        <v/>
      </c>
      <c r="L130" t="str">
        <f t="shared" si="3"/>
        <v/>
      </c>
      <c r="M130" t="str">
        <f>IFERROR(IF($C130="","",SUMIFS(Ledger!$K$2:$K$4, Ledger!$B$2:$B$4, $A130, Ledger!$C$2:$C$4, M$2)),"****")</f>
        <v/>
      </c>
      <c r="N130" t="str">
        <f>IFERROR(IF($C130="","",SUMIFS(Ledger!$K$2:$K$4, Ledger!$B$2:$B$4, $A130, Ledger!$C$2:$C$4, N$2)),"****")</f>
        <v/>
      </c>
      <c r="O130" t="str">
        <f>IFERROR(IF($C130="","",SUMIFS(Ledger!$K$2:$K$4, Ledger!$B$2:$B$4, $A130, Ledger!$C$2:$C$4, O$2)),"****")</f>
        <v/>
      </c>
      <c r="P130" t="str">
        <f>IFERROR(IF($C130="","",SUMIFS(Ledger!$K$2:$K$4, Ledger!$B$2:$B$4, $A130, Ledger!$C$2:$C$4, P$2)),"****")</f>
        <v/>
      </c>
      <c r="Q130" t="str">
        <f>IFERROR(IF($C130="","",SUMIFS(Ledger!$K$2:$K$4, Ledger!$B$2:$B$4, $A130, Ledger!$C$2:$C$4, Q$2)),"****")</f>
        <v/>
      </c>
      <c r="R130" t="str">
        <f>IFERROR(IF($C130="","",SUMIFS(Ledger!$K$2:$K$4, Ledger!$B$2:$B$4, $A130, Ledger!$C$2:$C$4, R$2)),"****")</f>
        <v/>
      </c>
      <c r="S130" t="str">
        <f>IFERROR(IF($C130="","",SUMIFS(Ledger!$K$2:$K$4, Ledger!$B$2:$B$4, $A130, Ledger!$C$2:$C$4, S$2)),"****")</f>
        <v/>
      </c>
      <c r="T130" t="str">
        <f>IFERROR(IF($C130="","",SUMIFS(Ledger!$K$2:$K$4, Ledger!$B$2:$B$4, $A130, Ledger!$C$2:$C$4, T$2)),"****")</f>
        <v/>
      </c>
      <c r="U130" t="str">
        <f>IFERROR(IF($C130="","",SUMIFS(Ledger!$K$2:$K$4, Ledger!$B$2:$B$4, $A130, Ledger!$C$2:$C$4, U$2)),"****")</f>
        <v/>
      </c>
      <c r="V130" t="str">
        <f>IFERROR(IF($C130="","",SUMIFS(Ledger!$K$2:$K$4, Ledger!$B$2:$B$4, $A130, Ledger!$C$2:$C$4, V$2)),"****")</f>
        <v/>
      </c>
      <c r="W130" t="str">
        <f>IFERROR(IF($C130="","",SUMIFS(Ledger!$K$2:$K$4, Ledger!$B$2:$B$4, $A130, Ledger!$C$2:$C$4, W$2)),"****")</f>
        <v/>
      </c>
      <c r="X130" t="str">
        <f>IFERROR(IF($C130="","",SUMIFS(Ledger!$K$2:$K$4, Ledger!$B$2:$B$4, $A130, Ledger!$C$2:$C$4, X$2)),"****")</f>
        <v/>
      </c>
    </row>
    <row r="131" spans="1:24" x14ac:dyDescent="0.3">
      <c r="A131" s="106">
        <v>129</v>
      </c>
      <c r="B131" t="str">
        <f>IFERROR(VLOOKUP($A131, Ledger!$B$2:$L$8, 3, 0),"")</f>
        <v/>
      </c>
      <c r="C131" t="str">
        <f>IFERROR(VLOOKUP($A131, Ledger!$B$2:$L$8, 4, 0),"")</f>
        <v/>
      </c>
      <c r="D131" t="str">
        <f>IFERROR(VLOOKUP($A131, Ledger!$B$2:$L$8, 5, 0),"")</f>
        <v/>
      </c>
      <c r="E131" t="str">
        <f>IFERROR(VLOOKUP($A131, Ledger!$B$2:$L$8, 6, 0),"")</f>
        <v/>
      </c>
      <c r="F131" t="str">
        <f>IFERROR(VLOOKUP($A131,'Student Data'!$A$2:$AR$6,32,0),"")</f>
        <v/>
      </c>
      <c r="G131" t="str">
        <f>IFERROR(VLOOKUP($A131,'Student Data'!$A$2:$AR$6,33,0),"")</f>
        <v/>
      </c>
      <c r="H131" t="str">
        <f>IFERROR(VLOOKUP($A131,'Student Data'!$A$2:$AR$6,34,0),"")</f>
        <v/>
      </c>
      <c r="I131" t="str">
        <f>IFERROR(VLOOKUP($A131,'Student Data'!$A$2:$AR$6,35,0),"")</f>
        <v/>
      </c>
      <c r="J131" t="str">
        <f>IFERROR(VLOOKUP($A131,'Student Data'!$A$2:$AR$6,36,0),"")</f>
        <v/>
      </c>
      <c r="K131" t="str">
        <f t="shared" si="2"/>
        <v/>
      </c>
      <c r="L131" t="str">
        <f t="shared" si="3"/>
        <v/>
      </c>
      <c r="M131" t="str">
        <f>IFERROR(IF($C131="","",SUMIFS(Ledger!$K$2:$K$4, Ledger!$B$2:$B$4, $A131, Ledger!$C$2:$C$4, M$2)),"****")</f>
        <v/>
      </c>
      <c r="N131" t="str">
        <f>IFERROR(IF($C131="","",SUMIFS(Ledger!$K$2:$K$4, Ledger!$B$2:$B$4, $A131, Ledger!$C$2:$C$4, N$2)),"****")</f>
        <v/>
      </c>
      <c r="O131" t="str">
        <f>IFERROR(IF($C131="","",SUMIFS(Ledger!$K$2:$K$4, Ledger!$B$2:$B$4, $A131, Ledger!$C$2:$C$4, O$2)),"****")</f>
        <v/>
      </c>
      <c r="P131" t="str">
        <f>IFERROR(IF($C131="","",SUMIFS(Ledger!$K$2:$K$4, Ledger!$B$2:$B$4, $A131, Ledger!$C$2:$C$4, P$2)),"****")</f>
        <v/>
      </c>
      <c r="Q131" t="str">
        <f>IFERROR(IF($C131="","",SUMIFS(Ledger!$K$2:$K$4, Ledger!$B$2:$B$4, $A131, Ledger!$C$2:$C$4, Q$2)),"****")</f>
        <v/>
      </c>
      <c r="R131" t="str">
        <f>IFERROR(IF($C131="","",SUMIFS(Ledger!$K$2:$K$4, Ledger!$B$2:$B$4, $A131, Ledger!$C$2:$C$4, R$2)),"****")</f>
        <v/>
      </c>
      <c r="S131" t="str">
        <f>IFERROR(IF($C131="","",SUMIFS(Ledger!$K$2:$K$4, Ledger!$B$2:$B$4, $A131, Ledger!$C$2:$C$4, S$2)),"****")</f>
        <v/>
      </c>
      <c r="T131" t="str">
        <f>IFERROR(IF($C131="","",SUMIFS(Ledger!$K$2:$K$4, Ledger!$B$2:$B$4, $A131, Ledger!$C$2:$C$4, T$2)),"****")</f>
        <v/>
      </c>
      <c r="U131" t="str">
        <f>IFERROR(IF($C131="","",SUMIFS(Ledger!$K$2:$K$4, Ledger!$B$2:$B$4, $A131, Ledger!$C$2:$C$4, U$2)),"****")</f>
        <v/>
      </c>
      <c r="V131" t="str">
        <f>IFERROR(IF($C131="","",SUMIFS(Ledger!$K$2:$K$4, Ledger!$B$2:$B$4, $A131, Ledger!$C$2:$C$4, V$2)),"****")</f>
        <v/>
      </c>
      <c r="W131" t="str">
        <f>IFERROR(IF($C131="","",SUMIFS(Ledger!$K$2:$K$4, Ledger!$B$2:$B$4, $A131, Ledger!$C$2:$C$4, W$2)),"****")</f>
        <v/>
      </c>
      <c r="X131" t="str">
        <f>IFERROR(IF($C131="","",SUMIFS(Ledger!$K$2:$K$4, Ledger!$B$2:$B$4, $A131, Ledger!$C$2:$C$4, X$2)),"****")</f>
        <v/>
      </c>
    </row>
    <row r="132" spans="1:24" x14ac:dyDescent="0.3">
      <c r="A132" s="106">
        <v>130</v>
      </c>
      <c r="B132" t="str">
        <f>IFERROR(VLOOKUP($A132, Ledger!$B$2:$L$8, 3, 0),"")</f>
        <v/>
      </c>
      <c r="C132" t="str">
        <f>IFERROR(VLOOKUP($A132, Ledger!$B$2:$L$8, 4, 0),"")</f>
        <v/>
      </c>
      <c r="D132" t="str">
        <f>IFERROR(VLOOKUP($A132, Ledger!$B$2:$L$8, 5, 0),"")</f>
        <v/>
      </c>
      <c r="E132" t="str">
        <f>IFERROR(VLOOKUP($A132, Ledger!$B$2:$L$8, 6, 0),"")</f>
        <v/>
      </c>
      <c r="F132" t="str">
        <f>IFERROR(VLOOKUP($A132,'Student Data'!$A$2:$AR$6,32,0),"")</f>
        <v/>
      </c>
      <c r="G132" t="str">
        <f>IFERROR(VLOOKUP($A132,'Student Data'!$A$2:$AR$6,33,0),"")</f>
        <v/>
      </c>
      <c r="H132" t="str">
        <f>IFERROR(VLOOKUP($A132,'Student Data'!$A$2:$AR$6,34,0),"")</f>
        <v/>
      </c>
      <c r="I132" t="str">
        <f>IFERROR(VLOOKUP($A132,'Student Data'!$A$2:$AR$6,35,0),"")</f>
        <v/>
      </c>
      <c r="J132" t="str">
        <f>IFERROR(VLOOKUP($A132,'Student Data'!$A$2:$AR$6,36,0),"")</f>
        <v/>
      </c>
      <c r="K132" t="str">
        <f t="shared" ref="K132:K195" si="4">IFERROR(IF(C132="","",SUM(M132:X132)),"0")</f>
        <v/>
      </c>
      <c r="L132" t="str">
        <f t="shared" ref="L132:L195" si="5">IFERROR(IF(C132="","",J132-K132),"0")</f>
        <v/>
      </c>
      <c r="M132" t="str">
        <f>IFERROR(IF($C132="","",SUMIFS(Ledger!$K$2:$K$4, Ledger!$B$2:$B$4, $A132, Ledger!$C$2:$C$4, M$2)),"****")</f>
        <v/>
      </c>
      <c r="N132" t="str">
        <f>IFERROR(IF($C132="","",SUMIFS(Ledger!$K$2:$K$4, Ledger!$B$2:$B$4, $A132, Ledger!$C$2:$C$4, N$2)),"****")</f>
        <v/>
      </c>
      <c r="O132" t="str">
        <f>IFERROR(IF($C132="","",SUMIFS(Ledger!$K$2:$K$4, Ledger!$B$2:$B$4, $A132, Ledger!$C$2:$C$4, O$2)),"****")</f>
        <v/>
      </c>
      <c r="P132" t="str">
        <f>IFERROR(IF($C132="","",SUMIFS(Ledger!$K$2:$K$4, Ledger!$B$2:$B$4, $A132, Ledger!$C$2:$C$4, P$2)),"****")</f>
        <v/>
      </c>
      <c r="Q132" t="str">
        <f>IFERROR(IF($C132="","",SUMIFS(Ledger!$K$2:$K$4, Ledger!$B$2:$B$4, $A132, Ledger!$C$2:$C$4, Q$2)),"****")</f>
        <v/>
      </c>
      <c r="R132" t="str">
        <f>IFERROR(IF($C132="","",SUMIFS(Ledger!$K$2:$K$4, Ledger!$B$2:$B$4, $A132, Ledger!$C$2:$C$4, R$2)),"****")</f>
        <v/>
      </c>
      <c r="S132" t="str">
        <f>IFERROR(IF($C132="","",SUMIFS(Ledger!$K$2:$K$4, Ledger!$B$2:$B$4, $A132, Ledger!$C$2:$C$4, S$2)),"****")</f>
        <v/>
      </c>
      <c r="T132" t="str">
        <f>IFERROR(IF($C132="","",SUMIFS(Ledger!$K$2:$K$4, Ledger!$B$2:$B$4, $A132, Ledger!$C$2:$C$4, T$2)),"****")</f>
        <v/>
      </c>
      <c r="U132" t="str">
        <f>IFERROR(IF($C132="","",SUMIFS(Ledger!$K$2:$K$4, Ledger!$B$2:$B$4, $A132, Ledger!$C$2:$C$4, U$2)),"****")</f>
        <v/>
      </c>
      <c r="V132" t="str">
        <f>IFERROR(IF($C132="","",SUMIFS(Ledger!$K$2:$K$4, Ledger!$B$2:$B$4, $A132, Ledger!$C$2:$C$4, V$2)),"****")</f>
        <v/>
      </c>
      <c r="W132" t="str">
        <f>IFERROR(IF($C132="","",SUMIFS(Ledger!$K$2:$K$4, Ledger!$B$2:$B$4, $A132, Ledger!$C$2:$C$4, W$2)),"****")</f>
        <v/>
      </c>
      <c r="X132" t="str">
        <f>IFERROR(IF($C132="","",SUMIFS(Ledger!$K$2:$K$4, Ledger!$B$2:$B$4, $A132, Ledger!$C$2:$C$4, X$2)),"****")</f>
        <v/>
      </c>
    </row>
    <row r="133" spans="1:24" x14ac:dyDescent="0.3">
      <c r="A133" s="106">
        <v>131</v>
      </c>
      <c r="B133" t="str">
        <f>IFERROR(VLOOKUP($A133, Ledger!$B$2:$L$8, 3, 0),"")</f>
        <v/>
      </c>
      <c r="C133" t="str">
        <f>IFERROR(VLOOKUP($A133, Ledger!$B$2:$L$8, 4, 0),"")</f>
        <v/>
      </c>
      <c r="D133" t="str">
        <f>IFERROR(VLOOKUP($A133, Ledger!$B$2:$L$8, 5, 0),"")</f>
        <v/>
      </c>
      <c r="E133" t="str">
        <f>IFERROR(VLOOKUP($A133, Ledger!$B$2:$L$8, 6, 0),"")</f>
        <v/>
      </c>
      <c r="F133" t="str">
        <f>IFERROR(VLOOKUP($A133,'Student Data'!$A$2:$AR$6,32,0),"")</f>
        <v/>
      </c>
      <c r="G133" t="str">
        <f>IFERROR(VLOOKUP($A133,'Student Data'!$A$2:$AR$6,33,0),"")</f>
        <v/>
      </c>
      <c r="H133" t="str">
        <f>IFERROR(VLOOKUP($A133,'Student Data'!$A$2:$AR$6,34,0),"")</f>
        <v/>
      </c>
      <c r="I133" t="str">
        <f>IFERROR(VLOOKUP($A133,'Student Data'!$A$2:$AR$6,35,0),"")</f>
        <v/>
      </c>
      <c r="J133" t="str">
        <f>IFERROR(VLOOKUP($A133,'Student Data'!$A$2:$AR$6,36,0),"")</f>
        <v/>
      </c>
      <c r="K133" t="str">
        <f t="shared" si="4"/>
        <v/>
      </c>
      <c r="L133" t="str">
        <f t="shared" si="5"/>
        <v/>
      </c>
      <c r="M133" t="str">
        <f>IFERROR(IF($C133="","",SUMIFS(Ledger!$K$2:$K$4, Ledger!$B$2:$B$4, $A133, Ledger!$C$2:$C$4, M$2)),"****")</f>
        <v/>
      </c>
      <c r="N133" t="str">
        <f>IFERROR(IF($C133="","",SUMIFS(Ledger!$K$2:$K$4, Ledger!$B$2:$B$4, $A133, Ledger!$C$2:$C$4, N$2)),"****")</f>
        <v/>
      </c>
      <c r="O133" t="str">
        <f>IFERROR(IF($C133="","",SUMIFS(Ledger!$K$2:$K$4, Ledger!$B$2:$B$4, $A133, Ledger!$C$2:$C$4, O$2)),"****")</f>
        <v/>
      </c>
      <c r="P133" t="str">
        <f>IFERROR(IF($C133="","",SUMIFS(Ledger!$K$2:$K$4, Ledger!$B$2:$B$4, $A133, Ledger!$C$2:$C$4, P$2)),"****")</f>
        <v/>
      </c>
      <c r="Q133" t="str">
        <f>IFERROR(IF($C133="","",SUMIFS(Ledger!$K$2:$K$4, Ledger!$B$2:$B$4, $A133, Ledger!$C$2:$C$4, Q$2)),"****")</f>
        <v/>
      </c>
      <c r="R133" t="str">
        <f>IFERROR(IF($C133="","",SUMIFS(Ledger!$K$2:$K$4, Ledger!$B$2:$B$4, $A133, Ledger!$C$2:$C$4, R$2)),"****")</f>
        <v/>
      </c>
      <c r="S133" t="str">
        <f>IFERROR(IF($C133="","",SUMIFS(Ledger!$K$2:$K$4, Ledger!$B$2:$B$4, $A133, Ledger!$C$2:$C$4, S$2)),"****")</f>
        <v/>
      </c>
      <c r="T133" t="str">
        <f>IFERROR(IF($C133="","",SUMIFS(Ledger!$K$2:$K$4, Ledger!$B$2:$B$4, $A133, Ledger!$C$2:$C$4, T$2)),"****")</f>
        <v/>
      </c>
      <c r="U133" t="str">
        <f>IFERROR(IF($C133="","",SUMIFS(Ledger!$K$2:$K$4, Ledger!$B$2:$B$4, $A133, Ledger!$C$2:$C$4, U$2)),"****")</f>
        <v/>
      </c>
      <c r="V133" t="str">
        <f>IFERROR(IF($C133="","",SUMIFS(Ledger!$K$2:$K$4, Ledger!$B$2:$B$4, $A133, Ledger!$C$2:$C$4, V$2)),"****")</f>
        <v/>
      </c>
      <c r="W133" t="str">
        <f>IFERROR(IF($C133="","",SUMIFS(Ledger!$K$2:$K$4, Ledger!$B$2:$B$4, $A133, Ledger!$C$2:$C$4, W$2)),"****")</f>
        <v/>
      </c>
      <c r="X133" t="str">
        <f>IFERROR(IF($C133="","",SUMIFS(Ledger!$K$2:$K$4, Ledger!$B$2:$B$4, $A133, Ledger!$C$2:$C$4, X$2)),"****")</f>
        <v/>
      </c>
    </row>
    <row r="134" spans="1:24" x14ac:dyDescent="0.3">
      <c r="A134" s="106">
        <v>132</v>
      </c>
      <c r="B134" t="str">
        <f>IFERROR(VLOOKUP($A134, Ledger!$B$2:$L$8, 3, 0),"")</f>
        <v/>
      </c>
      <c r="C134" t="str">
        <f>IFERROR(VLOOKUP($A134, Ledger!$B$2:$L$8, 4, 0),"")</f>
        <v/>
      </c>
      <c r="D134" t="str">
        <f>IFERROR(VLOOKUP($A134, Ledger!$B$2:$L$8, 5, 0),"")</f>
        <v/>
      </c>
      <c r="E134" t="str">
        <f>IFERROR(VLOOKUP($A134, Ledger!$B$2:$L$8, 6, 0),"")</f>
        <v/>
      </c>
      <c r="F134" t="str">
        <f>IFERROR(VLOOKUP($A134,'Student Data'!$A$2:$AR$6,32,0),"")</f>
        <v/>
      </c>
      <c r="G134" t="str">
        <f>IFERROR(VLOOKUP($A134,'Student Data'!$A$2:$AR$6,33,0),"")</f>
        <v/>
      </c>
      <c r="H134" t="str">
        <f>IFERROR(VLOOKUP($A134,'Student Data'!$A$2:$AR$6,34,0),"")</f>
        <v/>
      </c>
      <c r="I134" t="str">
        <f>IFERROR(VLOOKUP($A134,'Student Data'!$A$2:$AR$6,35,0),"")</f>
        <v/>
      </c>
      <c r="J134" t="str">
        <f>IFERROR(VLOOKUP($A134,'Student Data'!$A$2:$AR$6,36,0),"")</f>
        <v/>
      </c>
      <c r="K134" t="str">
        <f t="shared" si="4"/>
        <v/>
      </c>
      <c r="L134" t="str">
        <f t="shared" si="5"/>
        <v/>
      </c>
      <c r="M134" t="str">
        <f>IFERROR(IF($C134="","",SUMIFS(Ledger!$K$2:$K$4, Ledger!$B$2:$B$4, $A134, Ledger!$C$2:$C$4, M$2)),"****")</f>
        <v/>
      </c>
      <c r="N134" t="str">
        <f>IFERROR(IF($C134="","",SUMIFS(Ledger!$K$2:$K$4, Ledger!$B$2:$B$4, $A134, Ledger!$C$2:$C$4, N$2)),"****")</f>
        <v/>
      </c>
      <c r="O134" t="str">
        <f>IFERROR(IF($C134="","",SUMIFS(Ledger!$K$2:$K$4, Ledger!$B$2:$B$4, $A134, Ledger!$C$2:$C$4, O$2)),"****")</f>
        <v/>
      </c>
      <c r="P134" t="str">
        <f>IFERROR(IF($C134="","",SUMIFS(Ledger!$K$2:$K$4, Ledger!$B$2:$B$4, $A134, Ledger!$C$2:$C$4, P$2)),"****")</f>
        <v/>
      </c>
      <c r="Q134" t="str">
        <f>IFERROR(IF($C134="","",SUMIFS(Ledger!$K$2:$K$4, Ledger!$B$2:$B$4, $A134, Ledger!$C$2:$C$4, Q$2)),"****")</f>
        <v/>
      </c>
      <c r="R134" t="str">
        <f>IFERROR(IF($C134="","",SUMIFS(Ledger!$K$2:$K$4, Ledger!$B$2:$B$4, $A134, Ledger!$C$2:$C$4, R$2)),"****")</f>
        <v/>
      </c>
      <c r="S134" t="str">
        <f>IFERROR(IF($C134="","",SUMIFS(Ledger!$K$2:$K$4, Ledger!$B$2:$B$4, $A134, Ledger!$C$2:$C$4, S$2)),"****")</f>
        <v/>
      </c>
      <c r="T134" t="str">
        <f>IFERROR(IF($C134="","",SUMIFS(Ledger!$K$2:$K$4, Ledger!$B$2:$B$4, $A134, Ledger!$C$2:$C$4, T$2)),"****")</f>
        <v/>
      </c>
      <c r="U134" t="str">
        <f>IFERROR(IF($C134="","",SUMIFS(Ledger!$K$2:$K$4, Ledger!$B$2:$B$4, $A134, Ledger!$C$2:$C$4, U$2)),"****")</f>
        <v/>
      </c>
      <c r="V134" t="str">
        <f>IFERROR(IF($C134="","",SUMIFS(Ledger!$K$2:$K$4, Ledger!$B$2:$B$4, $A134, Ledger!$C$2:$C$4, V$2)),"****")</f>
        <v/>
      </c>
      <c r="W134" t="str">
        <f>IFERROR(IF($C134="","",SUMIFS(Ledger!$K$2:$K$4, Ledger!$B$2:$B$4, $A134, Ledger!$C$2:$C$4, W$2)),"****")</f>
        <v/>
      </c>
      <c r="X134" t="str">
        <f>IFERROR(IF($C134="","",SUMIFS(Ledger!$K$2:$K$4, Ledger!$B$2:$B$4, $A134, Ledger!$C$2:$C$4, X$2)),"****")</f>
        <v/>
      </c>
    </row>
    <row r="135" spans="1:24" x14ac:dyDescent="0.3">
      <c r="A135" s="106">
        <v>133</v>
      </c>
      <c r="B135" t="str">
        <f>IFERROR(VLOOKUP($A135, Ledger!$B$2:$L$8, 3, 0),"")</f>
        <v/>
      </c>
      <c r="C135" t="str">
        <f>IFERROR(VLOOKUP($A135, Ledger!$B$2:$L$8, 4, 0),"")</f>
        <v/>
      </c>
      <c r="D135" t="str">
        <f>IFERROR(VLOOKUP($A135, Ledger!$B$2:$L$8, 5, 0),"")</f>
        <v/>
      </c>
      <c r="E135" t="str">
        <f>IFERROR(VLOOKUP($A135, Ledger!$B$2:$L$8, 6, 0),"")</f>
        <v/>
      </c>
      <c r="F135" t="str">
        <f>IFERROR(VLOOKUP($A135,'Student Data'!$A$2:$AR$6,32,0),"")</f>
        <v/>
      </c>
      <c r="G135" t="str">
        <f>IFERROR(VLOOKUP($A135,'Student Data'!$A$2:$AR$6,33,0),"")</f>
        <v/>
      </c>
      <c r="H135" t="str">
        <f>IFERROR(VLOOKUP($A135,'Student Data'!$A$2:$AR$6,34,0),"")</f>
        <v/>
      </c>
      <c r="I135" t="str">
        <f>IFERROR(VLOOKUP($A135,'Student Data'!$A$2:$AR$6,35,0),"")</f>
        <v/>
      </c>
      <c r="J135" t="str">
        <f>IFERROR(VLOOKUP($A135,'Student Data'!$A$2:$AR$6,36,0),"")</f>
        <v/>
      </c>
      <c r="K135" t="str">
        <f t="shared" si="4"/>
        <v/>
      </c>
      <c r="L135" t="str">
        <f t="shared" si="5"/>
        <v/>
      </c>
      <c r="M135" t="str">
        <f>IFERROR(IF($C135="","",SUMIFS(Ledger!$K$2:$K$4, Ledger!$B$2:$B$4, $A135, Ledger!$C$2:$C$4, M$2)),"****")</f>
        <v/>
      </c>
      <c r="N135" t="str">
        <f>IFERROR(IF($C135="","",SUMIFS(Ledger!$K$2:$K$4, Ledger!$B$2:$B$4, $A135, Ledger!$C$2:$C$4, N$2)),"****")</f>
        <v/>
      </c>
      <c r="O135" t="str">
        <f>IFERROR(IF($C135="","",SUMIFS(Ledger!$K$2:$K$4, Ledger!$B$2:$B$4, $A135, Ledger!$C$2:$C$4, O$2)),"****")</f>
        <v/>
      </c>
      <c r="P135" t="str">
        <f>IFERROR(IF($C135="","",SUMIFS(Ledger!$K$2:$K$4, Ledger!$B$2:$B$4, $A135, Ledger!$C$2:$C$4, P$2)),"****")</f>
        <v/>
      </c>
      <c r="Q135" t="str">
        <f>IFERROR(IF($C135="","",SUMIFS(Ledger!$K$2:$K$4, Ledger!$B$2:$B$4, $A135, Ledger!$C$2:$C$4, Q$2)),"****")</f>
        <v/>
      </c>
      <c r="R135" t="str">
        <f>IFERROR(IF($C135="","",SUMIFS(Ledger!$K$2:$K$4, Ledger!$B$2:$B$4, $A135, Ledger!$C$2:$C$4, R$2)),"****")</f>
        <v/>
      </c>
      <c r="S135" t="str">
        <f>IFERROR(IF($C135="","",SUMIFS(Ledger!$K$2:$K$4, Ledger!$B$2:$B$4, $A135, Ledger!$C$2:$C$4, S$2)),"****")</f>
        <v/>
      </c>
      <c r="T135" t="str">
        <f>IFERROR(IF($C135="","",SUMIFS(Ledger!$K$2:$K$4, Ledger!$B$2:$B$4, $A135, Ledger!$C$2:$C$4, T$2)),"****")</f>
        <v/>
      </c>
      <c r="U135" t="str">
        <f>IFERROR(IF($C135="","",SUMIFS(Ledger!$K$2:$K$4, Ledger!$B$2:$B$4, $A135, Ledger!$C$2:$C$4, U$2)),"****")</f>
        <v/>
      </c>
      <c r="V135" t="str">
        <f>IFERROR(IF($C135="","",SUMIFS(Ledger!$K$2:$K$4, Ledger!$B$2:$B$4, $A135, Ledger!$C$2:$C$4, V$2)),"****")</f>
        <v/>
      </c>
      <c r="W135" t="str">
        <f>IFERROR(IF($C135="","",SUMIFS(Ledger!$K$2:$K$4, Ledger!$B$2:$B$4, $A135, Ledger!$C$2:$C$4, W$2)),"****")</f>
        <v/>
      </c>
      <c r="X135" t="str">
        <f>IFERROR(IF($C135="","",SUMIFS(Ledger!$K$2:$K$4, Ledger!$B$2:$B$4, $A135, Ledger!$C$2:$C$4, X$2)),"****")</f>
        <v/>
      </c>
    </row>
    <row r="136" spans="1:24" x14ac:dyDescent="0.3">
      <c r="A136" s="106">
        <v>134</v>
      </c>
      <c r="B136" t="str">
        <f>IFERROR(VLOOKUP($A136, Ledger!$B$2:$L$8, 3, 0),"")</f>
        <v/>
      </c>
      <c r="C136" t="str">
        <f>IFERROR(VLOOKUP($A136, Ledger!$B$2:$L$8, 4, 0),"")</f>
        <v/>
      </c>
      <c r="D136" t="str">
        <f>IFERROR(VLOOKUP($A136, Ledger!$B$2:$L$8, 5, 0),"")</f>
        <v/>
      </c>
      <c r="E136" t="str">
        <f>IFERROR(VLOOKUP($A136, Ledger!$B$2:$L$8, 6, 0),"")</f>
        <v/>
      </c>
      <c r="F136" t="str">
        <f>IFERROR(VLOOKUP($A136,'Student Data'!$A$2:$AR$6,32,0),"")</f>
        <v/>
      </c>
      <c r="G136" t="str">
        <f>IFERROR(VLOOKUP($A136,'Student Data'!$A$2:$AR$6,33,0),"")</f>
        <v/>
      </c>
      <c r="H136" t="str">
        <f>IFERROR(VLOOKUP($A136,'Student Data'!$A$2:$AR$6,34,0),"")</f>
        <v/>
      </c>
      <c r="I136" t="str">
        <f>IFERROR(VLOOKUP($A136,'Student Data'!$A$2:$AR$6,35,0),"")</f>
        <v/>
      </c>
      <c r="J136" t="str">
        <f>IFERROR(VLOOKUP($A136,'Student Data'!$A$2:$AR$6,36,0),"")</f>
        <v/>
      </c>
      <c r="K136" t="str">
        <f t="shared" si="4"/>
        <v/>
      </c>
      <c r="L136" t="str">
        <f t="shared" si="5"/>
        <v/>
      </c>
      <c r="M136" t="str">
        <f>IFERROR(IF($C136="","",SUMIFS(Ledger!$K$2:$K$4, Ledger!$B$2:$B$4, $A136, Ledger!$C$2:$C$4, M$2)),"****")</f>
        <v/>
      </c>
      <c r="N136" t="str">
        <f>IFERROR(IF($C136="","",SUMIFS(Ledger!$K$2:$K$4, Ledger!$B$2:$B$4, $A136, Ledger!$C$2:$C$4, N$2)),"****")</f>
        <v/>
      </c>
      <c r="O136" t="str">
        <f>IFERROR(IF($C136="","",SUMIFS(Ledger!$K$2:$K$4, Ledger!$B$2:$B$4, $A136, Ledger!$C$2:$C$4, O$2)),"****")</f>
        <v/>
      </c>
      <c r="P136" t="str">
        <f>IFERROR(IF($C136="","",SUMIFS(Ledger!$K$2:$K$4, Ledger!$B$2:$B$4, $A136, Ledger!$C$2:$C$4, P$2)),"****")</f>
        <v/>
      </c>
      <c r="Q136" t="str">
        <f>IFERROR(IF($C136="","",SUMIFS(Ledger!$K$2:$K$4, Ledger!$B$2:$B$4, $A136, Ledger!$C$2:$C$4, Q$2)),"****")</f>
        <v/>
      </c>
      <c r="R136" t="str">
        <f>IFERROR(IF($C136="","",SUMIFS(Ledger!$K$2:$K$4, Ledger!$B$2:$B$4, $A136, Ledger!$C$2:$C$4, R$2)),"****")</f>
        <v/>
      </c>
      <c r="S136" t="str">
        <f>IFERROR(IF($C136="","",SUMIFS(Ledger!$K$2:$K$4, Ledger!$B$2:$B$4, $A136, Ledger!$C$2:$C$4, S$2)),"****")</f>
        <v/>
      </c>
      <c r="T136" t="str">
        <f>IFERROR(IF($C136="","",SUMIFS(Ledger!$K$2:$K$4, Ledger!$B$2:$B$4, $A136, Ledger!$C$2:$C$4, T$2)),"****")</f>
        <v/>
      </c>
      <c r="U136" t="str">
        <f>IFERROR(IF($C136="","",SUMIFS(Ledger!$K$2:$K$4, Ledger!$B$2:$B$4, $A136, Ledger!$C$2:$C$4, U$2)),"****")</f>
        <v/>
      </c>
      <c r="V136" t="str">
        <f>IFERROR(IF($C136="","",SUMIFS(Ledger!$K$2:$K$4, Ledger!$B$2:$B$4, $A136, Ledger!$C$2:$C$4, V$2)),"****")</f>
        <v/>
      </c>
      <c r="W136" t="str">
        <f>IFERROR(IF($C136="","",SUMIFS(Ledger!$K$2:$K$4, Ledger!$B$2:$B$4, $A136, Ledger!$C$2:$C$4, W$2)),"****")</f>
        <v/>
      </c>
      <c r="X136" t="str">
        <f>IFERROR(IF($C136="","",SUMIFS(Ledger!$K$2:$K$4, Ledger!$B$2:$B$4, $A136, Ledger!$C$2:$C$4, X$2)),"****")</f>
        <v/>
      </c>
    </row>
    <row r="137" spans="1:24" x14ac:dyDescent="0.3">
      <c r="A137" s="106">
        <v>135</v>
      </c>
      <c r="B137" t="str">
        <f>IFERROR(VLOOKUP($A137, Ledger!$B$2:$L$8, 3, 0),"")</f>
        <v/>
      </c>
      <c r="C137" t="str">
        <f>IFERROR(VLOOKUP($A137, Ledger!$B$2:$L$8, 4, 0),"")</f>
        <v/>
      </c>
      <c r="D137" t="str">
        <f>IFERROR(VLOOKUP($A137, Ledger!$B$2:$L$8, 5, 0),"")</f>
        <v/>
      </c>
      <c r="E137" t="str">
        <f>IFERROR(VLOOKUP($A137, Ledger!$B$2:$L$8, 6, 0),"")</f>
        <v/>
      </c>
      <c r="F137" t="str">
        <f>IFERROR(VLOOKUP($A137,'Student Data'!$A$2:$AR$6,32,0),"")</f>
        <v/>
      </c>
      <c r="G137" t="str">
        <f>IFERROR(VLOOKUP($A137,'Student Data'!$A$2:$AR$6,33,0),"")</f>
        <v/>
      </c>
      <c r="H137" t="str">
        <f>IFERROR(VLOOKUP($A137,'Student Data'!$A$2:$AR$6,34,0),"")</f>
        <v/>
      </c>
      <c r="I137" t="str">
        <f>IFERROR(VLOOKUP($A137,'Student Data'!$A$2:$AR$6,35,0),"")</f>
        <v/>
      </c>
      <c r="J137" t="str">
        <f>IFERROR(VLOOKUP($A137,'Student Data'!$A$2:$AR$6,36,0),"")</f>
        <v/>
      </c>
      <c r="K137" t="str">
        <f t="shared" si="4"/>
        <v/>
      </c>
      <c r="L137" t="str">
        <f t="shared" si="5"/>
        <v/>
      </c>
      <c r="M137" t="str">
        <f>IFERROR(IF($C137="","",SUMIFS(Ledger!$K$2:$K$4, Ledger!$B$2:$B$4, $A137, Ledger!$C$2:$C$4, M$2)),"****")</f>
        <v/>
      </c>
      <c r="N137" t="str">
        <f>IFERROR(IF($C137="","",SUMIFS(Ledger!$K$2:$K$4, Ledger!$B$2:$B$4, $A137, Ledger!$C$2:$C$4, N$2)),"****")</f>
        <v/>
      </c>
      <c r="O137" t="str">
        <f>IFERROR(IF($C137="","",SUMIFS(Ledger!$K$2:$K$4, Ledger!$B$2:$B$4, $A137, Ledger!$C$2:$C$4, O$2)),"****")</f>
        <v/>
      </c>
      <c r="P137" t="str">
        <f>IFERROR(IF($C137="","",SUMIFS(Ledger!$K$2:$K$4, Ledger!$B$2:$B$4, $A137, Ledger!$C$2:$C$4, P$2)),"****")</f>
        <v/>
      </c>
      <c r="Q137" t="str">
        <f>IFERROR(IF($C137="","",SUMIFS(Ledger!$K$2:$K$4, Ledger!$B$2:$B$4, $A137, Ledger!$C$2:$C$4, Q$2)),"****")</f>
        <v/>
      </c>
      <c r="R137" t="str">
        <f>IFERROR(IF($C137="","",SUMIFS(Ledger!$K$2:$K$4, Ledger!$B$2:$B$4, $A137, Ledger!$C$2:$C$4, R$2)),"****")</f>
        <v/>
      </c>
      <c r="S137" t="str">
        <f>IFERROR(IF($C137="","",SUMIFS(Ledger!$K$2:$K$4, Ledger!$B$2:$B$4, $A137, Ledger!$C$2:$C$4, S$2)),"****")</f>
        <v/>
      </c>
      <c r="T137" t="str">
        <f>IFERROR(IF($C137="","",SUMIFS(Ledger!$K$2:$K$4, Ledger!$B$2:$B$4, $A137, Ledger!$C$2:$C$4, T$2)),"****")</f>
        <v/>
      </c>
      <c r="U137" t="str">
        <f>IFERROR(IF($C137="","",SUMIFS(Ledger!$K$2:$K$4, Ledger!$B$2:$B$4, $A137, Ledger!$C$2:$C$4, U$2)),"****")</f>
        <v/>
      </c>
      <c r="V137" t="str">
        <f>IFERROR(IF($C137="","",SUMIFS(Ledger!$K$2:$K$4, Ledger!$B$2:$B$4, $A137, Ledger!$C$2:$C$4, V$2)),"****")</f>
        <v/>
      </c>
      <c r="W137" t="str">
        <f>IFERROR(IF($C137="","",SUMIFS(Ledger!$K$2:$K$4, Ledger!$B$2:$B$4, $A137, Ledger!$C$2:$C$4, W$2)),"****")</f>
        <v/>
      </c>
      <c r="X137" t="str">
        <f>IFERROR(IF($C137="","",SUMIFS(Ledger!$K$2:$K$4, Ledger!$B$2:$B$4, $A137, Ledger!$C$2:$C$4, X$2)),"****")</f>
        <v/>
      </c>
    </row>
    <row r="138" spans="1:24" x14ac:dyDescent="0.3">
      <c r="A138" s="106">
        <v>136</v>
      </c>
      <c r="B138" t="str">
        <f>IFERROR(VLOOKUP($A138, Ledger!$B$2:$L$8, 3, 0),"")</f>
        <v/>
      </c>
      <c r="C138" t="str">
        <f>IFERROR(VLOOKUP($A138, Ledger!$B$2:$L$8, 4, 0),"")</f>
        <v/>
      </c>
      <c r="D138" t="str">
        <f>IFERROR(VLOOKUP($A138, Ledger!$B$2:$L$8, 5, 0),"")</f>
        <v/>
      </c>
      <c r="E138" t="str">
        <f>IFERROR(VLOOKUP($A138, Ledger!$B$2:$L$8, 6, 0),"")</f>
        <v/>
      </c>
      <c r="F138" t="str">
        <f>IFERROR(VLOOKUP($A138,'Student Data'!$A$2:$AR$6,32,0),"")</f>
        <v/>
      </c>
      <c r="G138" t="str">
        <f>IFERROR(VLOOKUP($A138,'Student Data'!$A$2:$AR$6,33,0),"")</f>
        <v/>
      </c>
      <c r="H138" t="str">
        <f>IFERROR(VLOOKUP($A138,'Student Data'!$A$2:$AR$6,34,0),"")</f>
        <v/>
      </c>
      <c r="I138" t="str">
        <f>IFERROR(VLOOKUP($A138,'Student Data'!$A$2:$AR$6,35,0),"")</f>
        <v/>
      </c>
      <c r="J138" t="str">
        <f>IFERROR(VLOOKUP($A138,'Student Data'!$A$2:$AR$6,36,0),"")</f>
        <v/>
      </c>
      <c r="K138" t="str">
        <f t="shared" si="4"/>
        <v/>
      </c>
      <c r="L138" t="str">
        <f t="shared" si="5"/>
        <v/>
      </c>
      <c r="M138" t="str">
        <f>IFERROR(IF($C138="","",SUMIFS(Ledger!$K$2:$K$4, Ledger!$B$2:$B$4, $A138, Ledger!$C$2:$C$4, M$2)),"****")</f>
        <v/>
      </c>
      <c r="N138" t="str">
        <f>IFERROR(IF($C138="","",SUMIFS(Ledger!$K$2:$K$4, Ledger!$B$2:$B$4, $A138, Ledger!$C$2:$C$4, N$2)),"****")</f>
        <v/>
      </c>
      <c r="O138" t="str">
        <f>IFERROR(IF($C138="","",SUMIFS(Ledger!$K$2:$K$4, Ledger!$B$2:$B$4, $A138, Ledger!$C$2:$C$4, O$2)),"****")</f>
        <v/>
      </c>
      <c r="P138" t="str">
        <f>IFERROR(IF($C138="","",SUMIFS(Ledger!$K$2:$K$4, Ledger!$B$2:$B$4, $A138, Ledger!$C$2:$C$4, P$2)),"****")</f>
        <v/>
      </c>
      <c r="Q138" t="str">
        <f>IFERROR(IF($C138="","",SUMIFS(Ledger!$K$2:$K$4, Ledger!$B$2:$B$4, $A138, Ledger!$C$2:$C$4, Q$2)),"****")</f>
        <v/>
      </c>
      <c r="R138" t="str">
        <f>IFERROR(IF($C138="","",SUMIFS(Ledger!$K$2:$K$4, Ledger!$B$2:$B$4, $A138, Ledger!$C$2:$C$4, R$2)),"****")</f>
        <v/>
      </c>
      <c r="S138" t="str">
        <f>IFERROR(IF($C138="","",SUMIFS(Ledger!$K$2:$K$4, Ledger!$B$2:$B$4, $A138, Ledger!$C$2:$C$4, S$2)),"****")</f>
        <v/>
      </c>
      <c r="T138" t="str">
        <f>IFERROR(IF($C138="","",SUMIFS(Ledger!$K$2:$K$4, Ledger!$B$2:$B$4, $A138, Ledger!$C$2:$C$4, T$2)),"****")</f>
        <v/>
      </c>
      <c r="U138" t="str">
        <f>IFERROR(IF($C138="","",SUMIFS(Ledger!$K$2:$K$4, Ledger!$B$2:$B$4, $A138, Ledger!$C$2:$C$4, U$2)),"****")</f>
        <v/>
      </c>
      <c r="V138" t="str">
        <f>IFERROR(IF($C138="","",SUMIFS(Ledger!$K$2:$K$4, Ledger!$B$2:$B$4, $A138, Ledger!$C$2:$C$4, V$2)),"****")</f>
        <v/>
      </c>
      <c r="W138" t="str">
        <f>IFERROR(IF($C138="","",SUMIFS(Ledger!$K$2:$K$4, Ledger!$B$2:$B$4, $A138, Ledger!$C$2:$C$4, W$2)),"****")</f>
        <v/>
      </c>
      <c r="X138" t="str">
        <f>IFERROR(IF($C138="","",SUMIFS(Ledger!$K$2:$K$4, Ledger!$B$2:$B$4, $A138, Ledger!$C$2:$C$4, X$2)),"****")</f>
        <v/>
      </c>
    </row>
    <row r="139" spans="1:24" x14ac:dyDescent="0.3">
      <c r="A139" s="106">
        <v>137</v>
      </c>
      <c r="B139" t="str">
        <f>IFERROR(VLOOKUP($A139, Ledger!$B$2:$L$8, 3, 0),"")</f>
        <v/>
      </c>
      <c r="C139" t="str">
        <f>IFERROR(VLOOKUP($A139, Ledger!$B$2:$L$8, 4, 0),"")</f>
        <v/>
      </c>
      <c r="D139" t="str">
        <f>IFERROR(VLOOKUP($A139, Ledger!$B$2:$L$8, 5, 0),"")</f>
        <v/>
      </c>
      <c r="E139" t="str">
        <f>IFERROR(VLOOKUP($A139, Ledger!$B$2:$L$8, 6, 0),"")</f>
        <v/>
      </c>
      <c r="F139" t="str">
        <f>IFERROR(VLOOKUP($A139,'Student Data'!$A$2:$AR$6,32,0),"")</f>
        <v/>
      </c>
      <c r="G139" t="str">
        <f>IFERROR(VLOOKUP($A139,'Student Data'!$A$2:$AR$6,33,0),"")</f>
        <v/>
      </c>
      <c r="H139" t="str">
        <f>IFERROR(VLOOKUP($A139,'Student Data'!$A$2:$AR$6,34,0),"")</f>
        <v/>
      </c>
      <c r="I139" t="str">
        <f>IFERROR(VLOOKUP($A139,'Student Data'!$A$2:$AR$6,35,0),"")</f>
        <v/>
      </c>
      <c r="J139" t="str">
        <f>IFERROR(VLOOKUP($A139,'Student Data'!$A$2:$AR$6,36,0),"")</f>
        <v/>
      </c>
      <c r="K139" t="str">
        <f t="shared" si="4"/>
        <v/>
      </c>
      <c r="L139" t="str">
        <f t="shared" si="5"/>
        <v/>
      </c>
      <c r="M139" t="str">
        <f>IFERROR(IF($C139="","",SUMIFS(Ledger!$K$2:$K$4, Ledger!$B$2:$B$4, $A139, Ledger!$C$2:$C$4, M$2)),"****")</f>
        <v/>
      </c>
      <c r="N139" t="str">
        <f>IFERROR(IF($C139="","",SUMIFS(Ledger!$K$2:$K$4, Ledger!$B$2:$B$4, $A139, Ledger!$C$2:$C$4, N$2)),"****")</f>
        <v/>
      </c>
      <c r="O139" t="str">
        <f>IFERROR(IF($C139="","",SUMIFS(Ledger!$K$2:$K$4, Ledger!$B$2:$B$4, $A139, Ledger!$C$2:$C$4, O$2)),"****")</f>
        <v/>
      </c>
      <c r="P139" t="str">
        <f>IFERROR(IF($C139="","",SUMIFS(Ledger!$K$2:$K$4, Ledger!$B$2:$B$4, $A139, Ledger!$C$2:$C$4, P$2)),"****")</f>
        <v/>
      </c>
      <c r="Q139" t="str">
        <f>IFERROR(IF($C139="","",SUMIFS(Ledger!$K$2:$K$4, Ledger!$B$2:$B$4, $A139, Ledger!$C$2:$C$4, Q$2)),"****")</f>
        <v/>
      </c>
      <c r="R139" t="str">
        <f>IFERROR(IF($C139="","",SUMIFS(Ledger!$K$2:$K$4, Ledger!$B$2:$B$4, $A139, Ledger!$C$2:$C$4, R$2)),"****")</f>
        <v/>
      </c>
      <c r="S139" t="str">
        <f>IFERROR(IF($C139="","",SUMIFS(Ledger!$K$2:$K$4, Ledger!$B$2:$B$4, $A139, Ledger!$C$2:$C$4, S$2)),"****")</f>
        <v/>
      </c>
      <c r="T139" t="str">
        <f>IFERROR(IF($C139="","",SUMIFS(Ledger!$K$2:$K$4, Ledger!$B$2:$B$4, $A139, Ledger!$C$2:$C$4, T$2)),"****")</f>
        <v/>
      </c>
      <c r="U139" t="str">
        <f>IFERROR(IF($C139="","",SUMIFS(Ledger!$K$2:$K$4, Ledger!$B$2:$B$4, $A139, Ledger!$C$2:$C$4, U$2)),"****")</f>
        <v/>
      </c>
      <c r="V139" t="str">
        <f>IFERROR(IF($C139="","",SUMIFS(Ledger!$K$2:$K$4, Ledger!$B$2:$B$4, $A139, Ledger!$C$2:$C$4, V$2)),"****")</f>
        <v/>
      </c>
      <c r="W139" t="str">
        <f>IFERROR(IF($C139="","",SUMIFS(Ledger!$K$2:$K$4, Ledger!$B$2:$B$4, $A139, Ledger!$C$2:$C$4, W$2)),"****")</f>
        <v/>
      </c>
      <c r="X139" t="str">
        <f>IFERROR(IF($C139="","",SUMIFS(Ledger!$K$2:$K$4, Ledger!$B$2:$B$4, $A139, Ledger!$C$2:$C$4, X$2)),"****")</f>
        <v/>
      </c>
    </row>
    <row r="140" spans="1:24" x14ac:dyDescent="0.3">
      <c r="A140" s="106">
        <v>138</v>
      </c>
      <c r="B140" t="str">
        <f>IFERROR(VLOOKUP($A140, Ledger!$B$2:$L$8, 3, 0),"")</f>
        <v/>
      </c>
      <c r="C140" t="str">
        <f>IFERROR(VLOOKUP($A140, Ledger!$B$2:$L$8, 4, 0),"")</f>
        <v/>
      </c>
      <c r="D140" t="str">
        <f>IFERROR(VLOOKUP($A140, Ledger!$B$2:$L$8, 5, 0),"")</f>
        <v/>
      </c>
      <c r="E140" t="str">
        <f>IFERROR(VLOOKUP($A140, Ledger!$B$2:$L$8, 6, 0),"")</f>
        <v/>
      </c>
      <c r="F140" t="str">
        <f>IFERROR(VLOOKUP($A140,'Student Data'!$A$2:$AR$6,32,0),"")</f>
        <v/>
      </c>
      <c r="G140" t="str">
        <f>IFERROR(VLOOKUP($A140,'Student Data'!$A$2:$AR$6,33,0),"")</f>
        <v/>
      </c>
      <c r="H140" t="str">
        <f>IFERROR(VLOOKUP($A140,'Student Data'!$A$2:$AR$6,34,0),"")</f>
        <v/>
      </c>
      <c r="I140" t="str">
        <f>IFERROR(VLOOKUP($A140,'Student Data'!$A$2:$AR$6,35,0),"")</f>
        <v/>
      </c>
      <c r="J140" t="str">
        <f>IFERROR(VLOOKUP($A140,'Student Data'!$A$2:$AR$6,36,0),"")</f>
        <v/>
      </c>
      <c r="K140" t="str">
        <f t="shared" si="4"/>
        <v/>
      </c>
      <c r="L140" t="str">
        <f t="shared" si="5"/>
        <v/>
      </c>
      <c r="M140" t="str">
        <f>IFERROR(IF($C140="","",SUMIFS(Ledger!$K$2:$K$4, Ledger!$B$2:$B$4, $A140, Ledger!$C$2:$C$4, M$2)),"****")</f>
        <v/>
      </c>
      <c r="N140" t="str">
        <f>IFERROR(IF($C140="","",SUMIFS(Ledger!$K$2:$K$4, Ledger!$B$2:$B$4, $A140, Ledger!$C$2:$C$4, N$2)),"****")</f>
        <v/>
      </c>
      <c r="O140" t="str">
        <f>IFERROR(IF($C140="","",SUMIFS(Ledger!$K$2:$K$4, Ledger!$B$2:$B$4, $A140, Ledger!$C$2:$C$4, O$2)),"****")</f>
        <v/>
      </c>
      <c r="P140" t="str">
        <f>IFERROR(IF($C140="","",SUMIFS(Ledger!$K$2:$K$4, Ledger!$B$2:$B$4, $A140, Ledger!$C$2:$C$4, P$2)),"****")</f>
        <v/>
      </c>
      <c r="Q140" t="str">
        <f>IFERROR(IF($C140="","",SUMIFS(Ledger!$K$2:$K$4, Ledger!$B$2:$B$4, $A140, Ledger!$C$2:$C$4, Q$2)),"****")</f>
        <v/>
      </c>
      <c r="R140" t="str">
        <f>IFERROR(IF($C140="","",SUMIFS(Ledger!$K$2:$K$4, Ledger!$B$2:$B$4, $A140, Ledger!$C$2:$C$4, R$2)),"****")</f>
        <v/>
      </c>
      <c r="S140" t="str">
        <f>IFERROR(IF($C140="","",SUMIFS(Ledger!$K$2:$K$4, Ledger!$B$2:$B$4, $A140, Ledger!$C$2:$C$4, S$2)),"****")</f>
        <v/>
      </c>
      <c r="T140" t="str">
        <f>IFERROR(IF($C140="","",SUMIFS(Ledger!$K$2:$K$4, Ledger!$B$2:$B$4, $A140, Ledger!$C$2:$C$4, T$2)),"****")</f>
        <v/>
      </c>
      <c r="U140" t="str">
        <f>IFERROR(IF($C140="","",SUMIFS(Ledger!$K$2:$K$4, Ledger!$B$2:$B$4, $A140, Ledger!$C$2:$C$4, U$2)),"****")</f>
        <v/>
      </c>
      <c r="V140" t="str">
        <f>IFERROR(IF($C140="","",SUMIFS(Ledger!$K$2:$K$4, Ledger!$B$2:$B$4, $A140, Ledger!$C$2:$C$4, V$2)),"****")</f>
        <v/>
      </c>
      <c r="W140" t="str">
        <f>IFERROR(IF($C140="","",SUMIFS(Ledger!$K$2:$K$4, Ledger!$B$2:$B$4, $A140, Ledger!$C$2:$C$4, W$2)),"****")</f>
        <v/>
      </c>
      <c r="X140" t="str">
        <f>IFERROR(IF($C140="","",SUMIFS(Ledger!$K$2:$K$4, Ledger!$B$2:$B$4, $A140, Ledger!$C$2:$C$4, X$2)),"****")</f>
        <v/>
      </c>
    </row>
    <row r="141" spans="1:24" x14ac:dyDescent="0.3">
      <c r="A141" s="106">
        <v>139</v>
      </c>
      <c r="B141" t="str">
        <f>IFERROR(VLOOKUP($A141, Ledger!$B$2:$L$8, 3, 0),"")</f>
        <v/>
      </c>
      <c r="C141" t="str">
        <f>IFERROR(VLOOKUP($A141, Ledger!$B$2:$L$8, 4, 0),"")</f>
        <v/>
      </c>
      <c r="D141" t="str">
        <f>IFERROR(VLOOKUP($A141, Ledger!$B$2:$L$8, 5, 0),"")</f>
        <v/>
      </c>
      <c r="E141" t="str">
        <f>IFERROR(VLOOKUP($A141, Ledger!$B$2:$L$8, 6, 0),"")</f>
        <v/>
      </c>
      <c r="F141" t="str">
        <f>IFERROR(VLOOKUP($A141,'Student Data'!$A$2:$AR$6,32,0),"")</f>
        <v/>
      </c>
      <c r="G141" t="str">
        <f>IFERROR(VLOOKUP($A141,'Student Data'!$A$2:$AR$6,33,0),"")</f>
        <v/>
      </c>
      <c r="H141" t="str">
        <f>IFERROR(VLOOKUP($A141,'Student Data'!$A$2:$AR$6,34,0),"")</f>
        <v/>
      </c>
      <c r="I141" t="str">
        <f>IFERROR(VLOOKUP($A141,'Student Data'!$A$2:$AR$6,35,0),"")</f>
        <v/>
      </c>
      <c r="J141" t="str">
        <f>IFERROR(VLOOKUP($A141,'Student Data'!$A$2:$AR$6,36,0),"")</f>
        <v/>
      </c>
      <c r="K141" t="str">
        <f t="shared" si="4"/>
        <v/>
      </c>
      <c r="L141" t="str">
        <f t="shared" si="5"/>
        <v/>
      </c>
      <c r="M141" t="str">
        <f>IFERROR(IF($C141="","",SUMIFS(Ledger!$K$2:$K$4, Ledger!$B$2:$B$4, $A141, Ledger!$C$2:$C$4, M$2)),"****")</f>
        <v/>
      </c>
      <c r="N141" t="str">
        <f>IFERROR(IF($C141="","",SUMIFS(Ledger!$K$2:$K$4, Ledger!$B$2:$B$4, $A141, Ledger!$C$2:$C$4, N$2)),"****")</f>
        <v/>
      </c>
      <c r="O141" t="str">
        <f>IFERROR(IF($C141="","",SUMIFS(Ledger!$K$2:$K$4, Ledger!$B$2:$B$4, $A141, Ledger!$C$2:$C$4, O$2)),"****")</f>
        <v/>
      </c>
      <c r="P141" t="str">
        <f>IFERROR(IF($C141="","",SUMIFS(Ledger!$K$2:$K$4, Ledger!$B$2:$B$4, $A141, Ledger!$C$2:$C$4, P$2)),"****")</f>
        <v/>
      </c>
      <c r="Q141" t="str">
        <f>IFERROR(IF($C141="","",SUMIFS(Ledger!$K$2:$K$4, Ledger!$B$2:$B$4, $A141, Ledger!$C$2:$C$4, Q$2)),"****")</f>
        <v/>
      </c>
      <c r="R141" t="str">
        <f>IFERROR(IF($C141="","",SUMIFS(Ledger!$K$2:$K$4, Ledger!$B$2:$B$4, $A141, Ledger!$C$2:$C$4, R$2)),"****")</f>
        <v/>
      </c>
      <c r="S141" t="str">
        <f>IFERROR(IF($C141="","",SUMIFS(Ledger!$K$2:$K$4, Ledger!$B$2:$B$4, $A141, Ledger!$C$2:$C$4, S$2)),"****")</f>
        <v/>
      </c>
      <c r="T141" t="str">
        <f>IFERROR(IF($C141="","",SUMIFS(Ledger!$K$2:$K$4, Ledger!$B$2:$B$4, $A141, Ledger!$C$2:$C$4, T$2)),"****")</f>
        <v/>
      </c>
      <c r="U141" t="str">
        <f>IFERROR(IF($C141="","",SUMIFS(Ledger!$K$2:$K$4, Ledger!$B$2:$B$4, $A141, Ledger!$C$2:$C$4, U$2)),"****")</f>
        <v/>
      </c>
      <c r="V141" t="str">
        <f>IFERROR(IF($C141="","",SUMIFS(Ledger!$K$2:$K$4, Ledger!$B$2:$B$4, $A141, Ledger!$C$2:$C$4, V$2)),"****")</f>
        <v/>
      </c>
      <c r="W141" t="str">
        <f>IFERROR(IF($C141="","",SUMIFS(Ledger!$K$2:$K$4, Ledger!$B$2:$B$4, $A141, Ledger!$C$2:$C$4, W$2)),"****")</f>
        <v/>
      </c>
      <c r="X141" t="str">
        <f>IFERROR(IF($C141="","",SUMIFS(Ledger!$K$2:$K$4, Ledger!$B$2:$B$4, $A141, Ledger!$C$2:$C$4, X$2)),"****")</f>
        <v/>
      </c>
    </row>
    <row r="142" spans="1:24" x14ac:dyDescent="0.3">
      <c r="A142" s="106">
        <v>140</v>
      </c>
      <c r="B142" t="str">
        <f>IFERROR(VLOOKUP($A142, Ledger!$B$2:$L$8, 3, 0),"")</f>
        <v/>
      </c>
      <c r="C142" t="str">
        <f>IFERROR(VLOOKUP($A142, Ledger!$B$2:$L$8, 4, 0),"")</f>
        <v/>
      </c>
      <c r="D142" t="str">
        <f>IFERROR(VLOOKUP($A142, Ledger!$B$2:$L$8, 5, 0),"")</f>
        <v/>
      </c>
      <c r="E142" t="str">
        <f>IFERROR(VLOOKUP($A142, Ledger!$B$2:$L$8, 6, 0),"")</f>
        <v/>
      </c>
      <c r="F142" t="str">
        <f>IFERROR(VLOOKUP($A142,'Student Data'!$A$2:$AR$6,32,0),"")</f>
        <v/>
      </c>
      <c r="G142" t="str">
        <f>IFERROR(VLOOKUP($A142,'Student Data'!$A$2:$AR$6,33,0),"")</f>
        <v/>
      </c>
      <c r="H142" t="str">
        <f>IFERROR(VLOOKUP($A142,'Student Data'!$A$2:$AR$6,34,0),"")</f>
        <v/>
      </c>
      <c r="I142" t="str">
        <f>IFERROR(VLOOKUP($A142,'Student Data'!$A$2:$AR$6,35,0),"")</f>
        <v/>
      </c>
      <c r="J142" t="str">
        <f>IFERROR(VLOOKUP($A142,'Student Data'!$A$2:$AR$6,36,0),"")</f>
        <v/>
      </c>
      <c r="K142" t="str">
        <f t="shared" si="4"/>
        <v/>
      </c>
      <c r="L142" t="str">
        <f t="shared" si="5"/>
        <v/>
      </c>
      <c r="M142" t="str">
        <f>IFERROR(IF($C142="","",SUMIFS(Ledger!$K$2:$K$4, Ledger!$B$2:$B$4, $A142, Ledger!$C$2:$C$4, M$2)),"****")</f>
        <v/>
      </c>
      <c r="N142" t="str">
        <f>IFERROR(IF($C142="","",SUMIFS(Ledger!$K$2:$K$4, Ledger!$B$2:$B$4, $A142, Ledger!$C$2:$C$4, N$2)),"****")</f>
        <v/>
      </c>
      <c r="O142" t="str">
        <f>IFERROR(IF($C142="","",SUMIFS(Ledger!$K$2:$K$4, Ledger!$B$2:$B$4, $A142, Ledger!$C$2:$C$4, O$2)),"****")</f>
        <v/>
      </c>
      <c r="P142" t="str">
        <f>IFERROR(IF($C142="","",SUMIFS(Ledger!$K$2:$K$4, Ledger!$B$2:$B$4, $A142, Ledger!$C$2:$C$4, P$2)),"****")</f>
        <v/>
      </c>
      <c r="Q142" t="str">
        <f>IFERROR(IF($C142="","",SUMIFS(Ledger!$K$2:$K$4, Ledger!$B$2:$B$4, $A142, Ledger!$C$2:$C$4, Q$2)),"****")</f>
        <v/>
      </c>
      <c r="R142" t="str">
        <f>IFERROR(IF($C142="","",SUMIFS(Ledger!$K$2:$K$4, Ledger!$B$2:$B$4, $A142, Ledger!$C$2:$C$4, R$2)),"****")</f>
        <v/>
      </c>
      <c r="S142" t="str">
        <f>IFERROR(IF($C142="","",SUMIFS(Ledger!$K$2:$K$4, Ledger!$B$2:$B$4, $A142, Ledger!$C$2:$C$4, S$2)),"****")</f>
        <v/>
      </c>
      <c r="T142" t="str">
        <f>IFERROR(IF($C142="","",SUMIFS(Ledger!$K$2:$K$4, Ledger!$B$2:$B$4, $A142, Ledger!$C$2:$C$4, T$2)),"****")</f>
        <v/>
      </c>
      <c r="U142" t="str">
        <f>IFERROR(IF($C142="","",SUMIFS(Ledger!$K$2:$K$4, Ledger!$B$2:$B$4, $A142, Ledger!$C$2:$C$4, U$2)),"****")</f>
        <v/>
      </c>
      <c r="V142" t="str">
        <f>IFERROR(IF($C142="","",SUMIFS(Ledger!$K$2:$K$4, Ledger!$B$2:$B$4, $A142, Ledger!$C$2:$C$4, V$2)),"****")</f>
        <v/>
      </c>
      <c r="W142" t="str">
        <f>IFERROR(IF($C142="","",SUMIFS(Ledger!$K$2:$K$4, Ledger!$B$2:$B$4, $A142, Ledger!$C$2:$C$4, W$2)),"****")</f>
        <v/>
      </c>
      <c r="X142" t="str">
        <f>IFERROR(IF($C142="","",SUMIFS(Ledger!$K$2:$K$4, Ledger!$B$2:$B$4, $A142, Ledger!$C$2:$C$4, X$2)),"****")</f>
        <v/>
      </c>
    </row>
    <row r="143" spans="1:24" x14ac:dyDescent="0.3">
      <c r="A143" s="106">
        <v>141</v>
      </c>
      <c r="B143" t="str">
        <f>IFERROR(VLOOKUP($A143, Ledger!$B$2:$L$8, 3, 0),"")</f>
        <v/>
      </c>
      <c r="C143" t="str">
        <f>IFERROR(VLOOKUP($A143, Ledger!$B$2:$L$8, 4, 0),"")</f>
        <v/>
      </c>
      <c r="D143" t="str">
        <f>IFERROR(VLOOKUP($A143, Ledger!$B$2:$L$8, 5, 0),"")</f>
        <v/>
      </c>
      <c r="E143" t="str">
        <f>IFERROR(VLOOKUP($A143, Ledger!$B$2:$L$8, 6, 0),"")</f>
        <v/>
      </c>
      <c r="F143" t="str">
        <f>IFERROR(VLOOKUP($A143,'Student Data'!$A$2:$AR$6,32,0),"")</f>
        <v/>
      </c>
      <c r="G143" t="str">
        <f>IFERROR(VLOOKUP($A143,'Student Data'!$A$2:$AR$6,33,0),"")</f>
        <v/>
      </c>
      <c r="H143" t="str">
        <f>IFERROR(VLOOKUP($A143,'Student Data'!$A$2:$AR$6,34,0),"")</f>
        <v/>
      </c>
      <c r="I143" t="str">
        <f>IFERROR(VLOOKUP($A143,'Student Data'!$A$2:$AR$6,35,0),"")</f>
        <v/>
      </c>
      <c r="J143" t="str">
        <f>IFERROR(VLOOKUP($A143,'Student Data'!$A$2:$AR$6,36,0),"")</f>
        <v/>
      </c>
      <c r="K143" t="str">
        <f t="shared" si="4"/>
        <v/>
      </c>
      <c r="L143" t="str">
        <f t="shared" si="5"/>
        <v/>
      </c>
      <c r="M143" t="str">
        <f>IFERROR(IF($C143="","",SUMIFS(Ledger!$K$2:$K$4, Ledger!$B$2:$B$4, $A143, Ledger!$C$2:$C$4, M$2)),"****")</f>
        <v/>
      </c>
      <c r="N143" t="str">
        <f>IFERROR(IF($C143="","",SUMIFS(Ledger!$K$2:$K$4, Ledger!$B$2:$B$4, $A143, Ledger!$C$2:$C$4, N$2)),"****")</f>
        <v/>
      </c>
      <c r="O143" t="str">
        <f>IFERROR(IF($C143="","",SUMIFS(Ledger!$K$2:$K$4, Ledger!$B$2:$B$4, $A143, Ledger!$C$2:$C$4, O$2)),"****")</f>
        <v/>
      </c>
      <c r="P143" t="str">
        <f>IFERROR(IF($C143="","",SUMIFS(Ledger!$K$2:$K$4, Ledger!$B$2:$B$4, $A143, Ledger!$C$2:$C$4, P$2)),"****")</f>
        <v/>
      </c>
      <c r="Q143" t="str">
        <f>IFERROR(IF($C143="","",SUMIFS(Ledger!$K$2:$K$4, Ledger!$B$2:$B$4, $A143, Ledger!$C$2:$C$4, Q$2)),"****")</f>
        <v/>
      </c>
      <c r="R143" t="str">
        <f>IFERROR(IF($C143="","",SUMIFS(Ledger!$K$2:$K$4, Ledger!$B$2:$B$4, $A143, Ledger!$C$2:$C$4, R$2)),"****")</f>
        <v/>
      </c>
      <c r="S143" t="str">
        <f>IFERROR(IF($C143="","",SUMIFS(Ledger!$K$2:$K$4, Ledger!$B$2:$B$4, $A143, Ledger!$C$2:$C$4, S$2)),"****")</f>
        <v/>
      </c>
      <c r="T143" t="str">
        <f>IFERROR(IF($C143="","",SUMIFS(Ledger!$K$2:$K$4, Ledger!$B$2:$B$4, $A143, Ledger!$C$2:$C$4, T$2)),"****")</f>
        <v/>
      </c>
      <c r="U143" t="str">
        <f>IFERROR(IF($C143="","",SUMIFS(Ledger!$K$2:$K$4, Ledger!$B$2:$B$4, $A143, Ledger!$C$2:$C$4, U$2)),"****")</f>
        <v/>
      </c>
      <c r="V143" t="str">
        <f>IFERROR(IF($C143="","",SUMIFS(Ledger!$K$2:$K$4, Ledger!$B$2:$B$4, $A143, Ledger!$C$2:$C$4, V$2)),"****")</f>
        <v/>
      </c>
      <c r="W143" t="str">
        <f>IFERROR(IF($C143="","",SUMIFS(Ledger!$K$2:$K$4, Ledger!$B$2:$B$4, $A143, Ledger!$C$2:$C$4, W$2)),"****")</f>
        <v/>
      </c>
      <c r="X143" t="str">
        <f>IFERROR(IF($C143="","",SUMIFS(Ledger!$K$2:$K$4, Ledger!$B$2:$B$4, $A143, Ledger!$C$2:$C$4, X$2)),"****")</f>
        <v/>
      </c>
    </row>
    <row r="144" spans="1:24" x14ac:dyDescent="0.3">
      <c r="A144" s="106">
        <v>142</v>
      </c>
      <c r="B144" t="str">
        <f>IFERROR(VLOOKUP($A144, Ledger!$B$2:$L$8, 3, 0),"")</f>
        <v/>
      </c>
      <c r="C144" t="str">
        <f>IFERROR(VLOOKUP($A144, Ledger!$B$2:$L$8, 4, 0),"")</f>
        <v/>
      </c>
      <c r="D144" t="str">
        <f>IFERROR(VLOOKUP($A144, Ledger!$B$2:$L$8, 5, 0),"")</f>
        <v/>
      </c>
      <c r="E144" t="str">
        <f>IFERROR(VLOOKUP($A144, Ledger!$B$2:$L$8, 6, 0),"")</f>
        <v/>
      </c>
      <c r="F144" t="str">
        <f>IFERROR(VLOOKUP($A144,'Student Data'!$A$2:$AR$6,32,0),"")</f>
        <v/>
      </c>
      <c r="G144" t="str">
        <f>IFERROR(VLOOKUP($A144,'Student Data'!$A$2:$AR$6,33,0),"")</f>
        <v/>
      </c>
      <c r="H144" t="str">
        <f>IFERROR(VLOOKUP($A144,'Student Data'!$A$2:$AR$6,34,0),"")</f>
        <v/>
      </c>
      <c r="I144" t="str">
        <f>IFERROR(VLOOKUP($A144,'Student Data'!$A$2:$AR$6,35,0),"")</f>
        <v/>
      </c>
      <c r="J144" t="str">
        <f>IFERROR(VLOOKUP($A144,'Student Data'!$A$2:$AR$6,36,0),"")</f>
        <v/>
      </c>
      <c r="K144" t="str">
        <f t="shared" si="4"/>
        <v/>
      </c>
      <c r="L144" t="str">
        <f t="shared" si="5"/>
        <v/>
      </c>
      <c r="M144" t="str">
        <f>IFERROR(IF($C144="","",SUMIFS(Ledger!$K$2:$K$4, Ledger!$B$2:$B$4, $A144, Ledger!$C$2:$C$4, M$2)),"****")</f>
        <v/>
      </c>
      <c r="N144" t="str">
        <f>IFERROR(IF($C144="","",SUMIFS(Ledger!$K$2:$K$4, Ledger!$B$2:$B$4, $A144, Ledger!$C$2:$C$4, N$2)),"****")</f>
        <v/>
      </c>
      <c r="O144" t="str">
        <f>IFERROR(IF($C144="","",SUMIFS(Ledger!$K$2:$K$4, Ledger!$B$2:$B$4, $A144, Ledger!$C$2:$C$4, O$2)),"****")</f>
        <v/>
      </c>
      <c r="P144" t="str">
        <f>IFERROR(IF($C144="","",SUMIFS(Ledger!$K$2:$K$4, Ledger!$B$2:$B$4, $A144, Ledger!$C$2:$C$4, P$2)),"****")</f>
        <v/>
      </c>
      <c r="Q144" t="str">
        <f>IFERROR(IF($C144="","",SUMIFS(Ledger!$K$2:$K$4, Ledger!$B$2:$B$4, $A144, Ledger!$C$2:$C$4, Q$2)),"****")</f>
        <v/>
      </c>
      <c r="R144" t="str">
        <f>IFERROR(IF($C144="","",SUMIFS(Ledger!$K$2:$K$4, Ledger!$B$2:$B$4, $A144, Ledger!$C$2:$C$4, R$2)),"****")</f>
        <v/>
      </c>
      <c r="S144" t="str">
        <f>IFERROR(IF($C144="","",SUMIFS(Ledger!$K$2:$K$4, Ledger!$B$2:$B$4, $A144, Ledger!$C$2:$C$4, S$2)),"****")</f>
        <v/>
      </c>
      <c r="T144" t="str">
        <f>IFERROR(IF($C144="","",SUMIFS(Ledger!$K$2:$K$4, Ledger!$B$2:$B$4, $A144, Ledger!$C$2:$C$4, T$2)),"****")</f>
        <v/>
      </c>
      <c r="U144" t="str">
        <f>IFERROR(IF($C144="","",SUMIFS(Ledger!$K$2:$K$4, Ledger!$B$2:$B$4, $A144, Ledger!$C$2:$C$4, U$2)),"****")</f>
        <v/>
      </c>
      <c r="V144" t="str">
        <f>IFERROR(IF($C144="","",SUMIFS(Ledger!$K$2:$K$4, Ledger!$B$2:$B$4, $A144, Ledger!$C$2:$C$4, V$2)),"****")</f>
        <v/>
      </c>
      <c r="W144" t="str">
        <f>IFERROR(IF($C144="","",SUMIFS(Ledger!$K$2:$K$4, Ledger!$B$2:$B$4, $A144, Ledger!$C$2:$C$4, W$2)),"****")</f>
        <v/>
      </c>
      <c r="X144" t="str">
        <f>IFERROR(IF($C144="","",SUMIFS(Ledger!$K$2:$K$4, Ledger!$B$2:$B$4, $A144, Ledger!$C$2:$C$4, X$2)),"****")</f>
        <v/>
      </c>
    </row>
    <row r="145" spans="1:24" x14ac:dyDescent="0.3">
      <c r="A145" s="106">
        <v>143</v>
      </c>
      <c r="B145" t="str">
        <f>IFERROR(VLOOKUP($A145, Ledger!$B$2:$L$8, 3, 0),"")</f>
        <v/>
      </c>
      <c r="C145" t="str">
        <f>IFERROR(VLOOKUP($A145, Ledger!$B$2:$L$8, 4, 0),"")</f>
        <v/>
      </c>
      <c r="D145" t="str">
        <f>IFERROR(VLOOKUP($A145, Ledger!$B$2:$L$8, 5, 0),"")</f>
        <v/>
      </c>
      <c r="E145" t="str">
        <f>IFERROR(VLOOKUP($A145, Ledger!$B$2:$L$8, 6, 0),"")</f>
        <v/>
      </c>
      <c r="F145" t="str">
        <f>IFERROR(VLOOKUP($A145,'Student Data'!$A$2:$AR$6,32,0),"")</f>
        <v/>
      </c>
      <c r="G145" t="str">
        <f>IFERROR(VLOOKUP($A145,'Student Data'!$A$2:$AR$6,33,0),"")</f>
        <v/>
      </c>
      <c r="H145" t="str">
        <f>IFERROR(VLOOKUP($A145,'Student Data'!$A$2:$AR$6,34,0),"")</f>
        <v/>
      </c>
      <c r="I145" t="str">
        <f>IFERROR(VLOOKUP($A145,'Student Data'!$A$2:$AR$6,35,0),"")</f>
        <v/>
      </c>
      <c r="J145" t="str">
        <f>IFERROR(VLOOKUP($A145,'Student Data'!$A$2:$AR$6,36,0),"")</f>
        <v/>
      </c>
      <c r="K145" t="str">
        <f t="shared" si="4"/>
        <v/>
      </c>
      <c r="L145" t="str">
        <f t="shared" si="5"/>
        <v/>
      </c>
      <c r="M145" t="str">
        <f>IFERROR(IF($C145="","",SUMIFS(Ledger!$K$2:$K$4, Ledger!$B$2:$B$4, $A145, Ledger!$C$2:$C$4, M$2)),"****")</f>
        <v/>
      </c>
      <c r="N145" t="str">
        <f>IFERROR(IF($C145="","",SUMIFS(Ledger!$K$2:$K$4, Ledger!$B$2:$B$4, $A145, Ledger!$C$2:$C$4, N$2)),"****")</f>
        <v/>
      </c>
      <c r="O145" t="str">
        <f>IFERROR(IF($C145="","",SUMIFS(Ledger!$K$2:$K$4, Ledger!$B$2:$B$4, $A145, Ledger!$C$2:$C$4, O$2)),"****")</f>
        <v/>
      </c>
      <c r="P145" t="str">
        <f>IFERROR(IF($C145="","",SUMIFS(Ledger!$K$2:$K$4, Ledger!$B$2:$B$4, $A145, Ledger!$C$2:$C$4, P$2)),"****")</f>
        <v/>
      </c>
      <c r="Q145" t="str">
        <f>IFERROR(IF($C145="","",SUMIFS(Ledger!$K$2:$K$4, Ledger!$B$2:$B$4, $A145, Ledger!$C$2:$C$4, Q$2)),"****")</f>
        <v/>
      </c>
      <c r="R145" t="str">
        <f>IFERROR(IF($C145="","",SUMIFS(Ledger!$K$2:$K$4, Ledger!$B$2:$B$4, $A145, Ledger!$C$2:$C$4, R$2)),"****")</f>
        <v/>
      </c>
      <c r="S145" t="str">
        <f>IFERROR(IF($C145="","",SUMIFS(Ledger!$K$2:$K$4, Ledger!$B$2:$B$4, $A145, Ledger!$C$2:$C$4, S$2)),"****")</f>
        <v/>
      </c>
      <c r="T145" t="str">
        <f>IFERROR(IF($C145="","",SUMIFS(Ledger!$K$2:$K$4, Ledger!$B$2:$B$4, $A145, Ledger!$C$2:$C$4, T$2)),"****")</f>
        <v/>
      </c>
      <c r="U145" t="str">
        <f>IFERROR(IF($C145="","",SUMIFS(Ledger!$K$2:$K$4, Ledger!$B$2:$B$4, $A145, Ledger!$C$2:$C$4, U$2)),"****")</f>
        <v/>
      </c>
      <c r="V145" t="str">
        <f>IFERROR(IF($C145="","",SUMIFS(Ledger!$K$2:$K$4, Ledger!$B$2:$B$4, $A145, Ledger!$C$2:$C$4, V$2)),"****")</f>
        <v/>
      </c>
      <c r="W145" t="str">
        <f>IFERROR(IF($C145="","",SUMIFS(Ledger!$K$2:$K$4, Ledger!$B$2:$B$4, $A145, Ledger!$C$2:$C$4, W$2)),"****")</f>
        <v/>
      </c>
      <c r="X145" t="str">
        <f>IFERROR(IF($C145="","",SUMIFS(Ledger!$K$2:$K$4, Ledger!$B$2:$B$4, $A145, Ledger!$C$2:$C$4, X$2)),"****")</f>
        <v/>
      </c>
    </row>
    <row r="146" spans="1:24" x14ac:dyDescent="0.3">
      <c r="A146" s="106">
        <v>144</v>
      </c>
      <c r="B146" t="str">
        <f>IFERROR(VLOOKUP($A146, Ledger!$B$2:$L$8, 3, 0),"")</f>
        <v/>
      </c>
      <c r="C146" t="str">
        <f>IFERROR(VLOOKUP($A146, Ledger!$B$2:$L$8, 4, 0),"")</f>
        <v/>
      </c>
      <c r="D146" t="str">
        <f>IFERROR(VLOOKUP($A146, Ledger!$B$2:$L$8, 5, 0),"")</f>
        <v/>
      </c>
      <c r="E146" t="str">
        <f>IFERROR(VLOOKUP($A146, Ledger!$B$2:$L$8, 6, 0),"")</f>
        <v/>
      </c>
      <c r="F146" t="str">
        <f>IFERROR(VLOOKUP($A146,'Student Data'!$A$2:$AR$6,32,0),"")</f>
        <v/>
      </c>
      <c r="G146" t="str">
        <f>IFERROR(VLOOKUP($A146,'Student Data'!$A$2:$AR$6,33,0),"")</f>
        <v/>
      </c>
      <c r="H146" t="str">
        <f>IFERROR(VLOOKUP($A146,'Student Data'!$A$2:$AR$6,34,0),"")</f>
        <v/>
      </c>
      <c r="I146" t="str">
        <f>IFERROR(VLOOKUP($A146,'Student Data'!$A$2:$AR$6,35,0),"")</f>
        <v/>
      </c>
      <c r="J146" t="str">
        <f>IFERROR(VLOOKUP($A146,'Student Data'!$A$2:$AR$6,36,0),"")</f>
        <v/>
      </c>
      <c r="K146" t="str">
        <f t="shared" si="4"/>
        <v/>
      </c>
      <c r="L146" t="str">
        <f t="shared" si="5"/>
        <v/>
      </c>
      <c r="M146" t="str">
        <f>IFERROR(IF($C146="","",SUMIFS(Ledger!$K$2:$K$4, Ledger!$B$2:$B$4, $A146, Ledger!$C$2:$C$4, M$2)),"****")</f>
        <v/>
      </c>
      <c r="N146" t="str">
        <f>IFERROR(IF($C146="","",SUMIFS(Ledger!$K$2:$K$4, Ledger!$B$2:$B$4, $A146, Ledger!$C$2:$C$4, N$2)),"****")</f>
        <v/>
      </c>
      <c r="O146" t="str">
        <f>IFERROR(IF($C146="","",SUMIFS(Ledger!$K$2:$K$4, Ledger!$B$2:$B$4, $A146, Ledger!$C$2:$C$4, O$2)),"****")</f>
        <v/>
      </c>
      <c r="P146" t="str">
        <f>IFERROR(IF($C146="","",SUMIFS(Ledger!$K$2:$K$4, Ledger!$B$2:$B$4, $A146, Ledger!$C$2:$C$4, P$2)),"****")</f>
        <v/>
      </c>
      <c r="Q146" t="str">
        <f>IFERROR(IF($C146="","",SUMIFS(Ledger!$K$2:$K$4, Ledger!$B$2:$B$4, $A146, Ledger!$C$2:$C$4, Q$2)),"****")</f>
        <v/>
      </c>
      <c r="R146" t="str">
        <f>IFERROR(IF($C146="","",SUMIFS(Ledger!$K$2:$K$4, Ledger!$B$2:$B$4, $A146, Ledger!$C$2:$C$4, R$2)),"****")</f>
        <v/>
      </c>
      <c r="S146" t="str">
        <f>IFERROR(IF($C146="","",SUMIFS(Ledger!$K$2:$K$4, Ledger!$B$2:$B$4, $A146, Ledger!$C$2:$C$4, S$2)),"****")</f>
        <v/>
      </c>
      <c r="T146" t="str">
        <f>IFERROR(IF($C146="","",SUMIFS(Ledger!$K$2:$K$4, Ledger!$B$2:$B$4, $A146, Ledger!$C$2:$C$4, T$2)),"****")</f>
        <v/>
      </c>
      <c r="U146" t="str">
        <f>IFERROR(IF($C146="","",SUMIFS(Ledger!$K$2:$K$4, Ledger!$B$2:$B$4, $A146, Ledger!$C$2:$C$4, U$2)),"****")</f>
        <v/>
      </c>
      <c r="V146" t="str">
        <f>IFERROR(IF($C146="","",SUMIFS(Ledger!$K$2:$K$4, Ledger!$B$2:$B$4, $A146, Ledger!$C$2:$C$4, V$2)),"****")</f>
        <v/>
      </c>
      <c r="W146" t="str">
        <f>IFERROR(IF($C146="","",SUMIFS(Ledger!$K$2:$K$4, Ledger!$B$2:$B$4, $A146, Ledger!$C$2:$C$4, W$2)),"****")</f>
        <v/>
      </c>
      <c r="X146" t="str">
        <f>IFERROR(IF($C146="","",SUMIFS(Ledger!$K$2:$K$4, Ledger!$B$2:$B$4, $A146, Ledger!$C$2:$C$4, X$2)),"****")</f>
        <v/>
      </c>
    </row>
    <row r="147" spans="1:24" x14ac:dyDescent="0.3">
      <c r="A147" s="106">
        <v>145</v>
      </c>
      <c r="B147" t="str">
        <f>IFERROR(VLOOKUP($A147, Ledger!$B$2:$L$8, 3, 0),"")</f>
        <v/>
      </c>
      <c r="C147" t="str">
        <f>IFERROR(VLOOKUP($A147, Ledger!$B$2:$L$8, 4, 0),"")</f>
        <v/>
      </c>
      <c r="D147" t="str">
        <f>IFERROR(VLOOKUP($A147, Ledger!$B$2:$L$8, 5, 0),"")</f>
        <v/>
      </c>
      <c r="E147" t="str">
        <f>IFERROR(VLOOKUP($A147, Ledger!$B$2:$L$8, 6, 0),"")</f>
        <v/>
      </c>
      <c r="F147" t="str">
        <f>IFERROR(VLOOKUP($A147,'Student Data'!$A$2:$AR$6,32,0),"")</f>
        <v/>
      </c>
      <c r="G147" t="str">
        <f>IFERROR(VLOOKUP($A147,'Student Data'!$A$2:$AR$6,33,0),"")</f>
        <v/>
      </c>
      <c r="H147" t="str">
        <f>IFERROR(VLOOKUP($A147,'Student Data'!$A$2:$AR$6,34,0),"")</f>
        <v/>
      </c>
      <c r="I147" t="str">
        <f>IFERROR(VLOOKUP($A147,'Student Data'!$A$2:$AR$6,35,0),"")</f>
        <v/>
      </c>
      <c r="J147" t="str">
        <f>IFERROR(VLOOKUP($A147,'Student Data'!$A$2:$AR$6,36,0),"")</f>
        <v/>
      </c>
      <c r="K147" t="str">
        <f t="shared" si="4"/>
        <v/>
      </c>
      <c r="L147" t="str">
        <f t="shared" si="5"/>
        <v/>
      </c>
      <c r="M147" t="str">
        <f>IFERROR(IF($C147="","",SUMIFS(Ledger!$K$2:$K$4, Ledger!$B$2:$B$4, $A147, Ledger!$C$2:$C$4, M$2)),"****")</f>
        <v/>
      </c>
      <c r="N147" t="str">
        <f>IFERROR(IF($C147="","",SUMIFS(Ledger!$K$2:$K$4, Ledger!$B$2:$B$4, $A147, Ledger!$C$2:$C$4, N$2)),"****")</f>
        <v/>
      </c>
      <c r="O147" t="str">
        <f>IFERROR(IF($C147="","",SUMIFS(Ledger!$K$2:$K$4, Ledger!$B$2:$B$4, $A147, Ledger!$C$2:$C$4, O$2)),"****")</f>
        <v/>
      </c>
      <c r="P147" t="str">
        <f>IFERROR(IF($C147="","",SUMIFS(Ledger!$K$2:$K$4, Ledger!$B$2:$B$4, $A147, Ledger!$C$2:$C$4, P$2)),"****")</f>
        <v/>
      </c>
      <c r="Q147" t="str">
        <f>IFERROR(IF($C147="","",SUMIFS(Ledger!$K$2:$K$4, Ledger!$B$2:$B$4, $A147, Ledger!$C$2:$C$4, Q$2)),"****")</f>
        <v/>
      </c>
      <c r="R147" t="str">
        <f>IFERROR(IF($C147="","",SUMIFS(Ledger!$K$2:$K$4, Ledger!$B$2:$B$4, $A147, Ledger!$C$2:$C$4, R$2)),"****")</f>
        <v/>
      </c>
      <c r="S147" t="str">
        <f>IFERROR(IF($C147="","",SUMIFS(Ledger!$K$2:$K$4, Ledger!$B$2:$B$4, $A147, Ledger!$C$2:$C$4, S$2)),"****")</f>
        <v/>
      </c>
      <c r="T147" t="str">
        <f>IFERROR(IF($C147="","",SUMIFS(Ledger!$K$2:$K$4, Ledger!$B$2:$B$4, $A147, Ledger!$C$2:$C$4, T$2)),"****")</f>
        <v/>
      </c>
      <c r="U147" t="str">
        <f>IFERROR(IF($C147="","",SUMIFS(Ledger!$K$2:$K$4, Ledger!$B$2:$B$4, $A147, Ledger!$C$2:$C$4, U$2)),"****")</f>
        <v/>
      </c>
      <c r="V147" t="str">
        <f>IFERROR(IF($C147="","",SUMIFS(Ledger!$K$2:$K$4, Ledger!$B$2:$B$4, $A147, Ledger!$C$2:$C$4, V$2)),"****")</f>
        <v/>
      </c>
      <c r="W147" t="str">
        <f>IFERROR(IF($C147="","",SUMIFS(Ledger!$K$2:$K$4, Ledger!$B$2:$B$4, $A147, Ledger!$C$2:$C$4, W$2)),"****")</f>
        <v/>
      </c>
      <c r="X147" t="str">
        <f>IFERROR(IF($C147="","",SUMIFS(Ledger!$K$2:$K$4, Ledger!$B$2:$B$4, $A147, Ledger!$C$2:$C$4, X$2)),"****")</f>
        <v/>
      </c>
    </row>
    <row r="148" spans="1:24" x14ac:dyDescent="0.3">
      <c r="A148" s="106">
        <v>146</v>
      </c>
      <c r="B148" t="str">
        <f>IFERROR(VLOOKUP($A148, Ledger!$B$2:$L$8, 3, 0),"")</f>
        <v/>
      </c>
      <c r="C148" t="str">
        <f>IFERROR(VLOOKUP($A148, Ledger!$B$2:$L$8, 4, 0),"")</f>
        <v/>
      </c>
      <c r="D148" t="str">
        <f>IFERROR(VLOOKUP($A148, Ledger!$B$2:$L$8, 5, 0),"")</f>
        <v/>
      </c>
      <c r="E148" t="str">
        <f>IFERROR(VLOOKUP($A148, Ledger!$B$2:$L$8, 6, 0),"")</f>
        <v/>
      </c>
      <c r="F148" t="str">
        <f>IFERROR(VLOOKUP($A148,'Student Data'!$A$2:$AR$6,32,0),"")</f>
        <v/>
      </c>
      <c r="G148" t="str">
        <f>IFERROR(VLOOKUP($A148,'Student Data'!$A$2:$AR$6,33,0),"")</f>
        <v/>
      </c>
      <c r="H148" t="str">
        <f>IFERROR(VLOOKUP($A148,'Student Data'!$A$2:$AR$6,34,0),"")</f>
        <v/>
      </c>
      <c r="I148" t="str">
        <f>IFERROR(VLOOKUP($A148,'Student Data'!$A$2:$AR$6,35,0),"")</f>
        <v/>
      </c>
      <c r="J148" t="str">
        <f>IFERROR(VLOOKUP($A148,'Student Data'!$A$2:$AR$6,36,0),"")</f>
        <v/>
      </c>
      <c r="K148" t="str">
        <f t="shared" si="4"/>
        <v/>
      </c>
      <c r="L148" t="str">
        <f t="shared" si="5"/>
        <v/>
      </c>
      <c r="M148" t="str">
        <f>IFERROR(IF($C148="","",SUMIFS(Ledger!$K$2:$K$4, Ledger!$B$2:$B$4, $A148, Ledger!$C$2:$C$4, M$2)),"****")</f>
        <v/>
      </c>
      <c r="N148" t="str">
        <f>IFERROR(IF($C148="","",SUMIFS(Ledger!$K$2:$K$4, Ledger!$B$2:$B$4, $A148, Ledger!$C$2:$C$4, N$2)),"****")</f>
        <v/>
      </c>
      <c r="O148" t="str">
        <f>IFERROR(IF($C148="","",SUMIFS(Ledger!$K$2:$K$4, Ledger!$B$2:$B$4, $A148, Ledger!$C$2:$C$4, O$2)),"****")</f>
        <v/>
      </c>
      <c r="P148" t="str">
        <f>IFERROR(IF($C148="","",SUMIFS(Ledger!$K$2:$K$4, Ledger!$B$2:$B$4, $A148, Ledger!$C$2:$C$4, P$2)),"****")</f>
        <v/>
      </c>
      <c r="Q148" t="str">
        <f>IFERROR(IF($C148="","",SUMIFS(Ledger!$K$2:$K$4, Ledger!$B$2:$B$4, $A148, Ledger!$C$2:$C$4, Q$2)),"****")</f>
        <v/>
      </c>
      <c r="R148" t="str">
        <f>IFERROR(IF($C148="","",SUMIFS(Ledger!$K$2:$K$4, Ledger!$B$2:$B$4, $A148, Ledger!$C$2:$C$4, R$2)),"****")</f>
        <v/>
      </c>
      <c r="S148" t="str">
        <f>IFERROR(IF($C148="","",SUMIFS(Ledger!$K$2:$K$4, Ledger!$B$2:$B$4, $A148, Ledger!$C$2:$C$4, S$2)),"****")</f>
        <v/>
      </c>
      <c r="T148" t="str">
        <f>IFERROR(IF($C148="","",SUMIFS(Ledger!$K$2:$K$4, Ledger!$B$2:$B$4, $A148, Ledger!$C$2:$C$4, T$2)),"****")</f>
        <v/>
      </c>
      <c r="U148" t="str">
        <f>IFERROR(IF($C148="","",SUMIFS(Ledger!$K$2:$K$4, Ledger!$B$2:$B$4, $A148, Ledger!$C$2:$C$4, U$2)),"****")</f>
        <v/>
      </c>
      <c r="V148" t="str">
        <f>IFERROR(IF($C148="","",SUMIFS(Ledger!$K$2:$K$4, Ledger!$B$2:$B$4, $A148, Ledger!$C$2:$C$4, V$2)),"****")</f>
        <v/>
      </c>
      <c r="W148" t="str">
        <f>IFERROR(IF($C148="","",SUMIFS(Ledger!$K$2:$K$4, Ledger!$B$2:$B$4, $A148, Ledger!$C$2:$C$4, W$2)),"****")</f>
        <v/>
      </c>
      <c r="X148" t="str">
        <f>IFERROR(IF($C148="","",SUMIFS(Ledger!$K$2:$K$4, Ledger!$B$2:$B$4, $A148, Ledger!$C$2:$C$4, X$2)),"****")</f>
        <v/>
      </c>
    </row>
    <row r="149" spans="1:24" x14ac:dyDescent="0.3">
      <c r="A149" s="106">
        <v>147</v>
      </c>
      <c r="B149" t="str">
        <f>IFERROR(VLOOKUP($A149, Ledger!$B$2:$L$8, 3, 0),"")</f>
        <v/>
      </c>
      <c r="C149" t="str">
        <f>IFERROR(VLOOKUP($A149, Ledger!$B$2:$L$8, 4, 0),"")</f>
        <v/>
      </c>
      <c r="D149" t="str">
        <f>IFERROR(VLOOKUP($A149, Ledger!$B$2:$L$8, 5, 0),"")</f>
        <v/>
      </c>
      <c r="E149" t="str">
        <f>IFERROR(VLOOKUP($A149, Ledger!$B$2:$L$8, 6, 0),"")</f>
        <v/>
      </c>
      <c r="F149" t="str">
        <f>IFERROR(VLOOKUP($A149,'Student Data'!$A$2:$AR$6,32,0),"")</f>
        <v/>
      </c>
      <c r="G149" t="str">
        <f>IFERROR(VLOOKUP($A149,'Student Data'!$A$2:$AR$6,33,0),"")</f>
        <v/>
      </c>
      <c r="H149" t="str">
        <f>IFERROR(VLOOKUP($A149,'Student Data'!$A$2:$AR$6,34,0),"")</f>
        <v/>
      </c>
      <c r="I149" t="str">
        <f>IFERROR(VLOOKUP($A149,'Student Data'!$A$2:$AR$6,35,0),"")</f>
        <v/>
      </c>
      <c r="J149" t="str">
        <f>IFERROR(VLOOKUP($A149,'Student Data'!$A$2:$AR$6,36,0),"")</f>
        <v/>
      </c>
      <c r="K149" t="str">
        <f t="shared" si="4"/>
        <v/>
      </c>
      <c r="L149" t="str">
        <f t="shared" si="5"/>
        <v/>
      </c>
      <c r="M149" t="str">
        <f>IFERROR(IF($C149="","",SUMIFS(Ledger!$K$2:$K$4, Ledger!$B$2:$B$4, $A149, Ledger!$C$2:$C$4, M$2)),"****")</f>
        <v/>
      </c>
      <c r="N149" t="str">
        <f>IFERROR(IF($C149="","",SUMIFS(Ledger!$K$2:$K$4, Ledger!$B$2:$B$4, $A149, Ledger!$C$2:$C$4, N$2)),"****")</f>
        <v/>
      </c>
      <c r="O149" t="str">
        <f>IFERROR(IF($C149="","",SUMIFS(Ledger!$K$2:$K$4, Ledger!$B$2:$B$4, $A149, Ledger!$C$2:$C$4, O$2)),"****")</f>
        <v/>
      </c>
      <c r="P149" t="str">
        <f>IFERROR(IF($C149="","",SUMIFS(Ledger!$K$2:$K$4, Ledger!$B$2:$B$4, $A149, Ledger!$C$2:$C$4, P$2)),"****")</f>
        <v/>
      </c>
      <c r="Q149" t="str">
        <f>IFERROR(IF($C149="","",SUMIFS(Ledger!$K$2:$K$4, Ledger!$B$2:$B$4, $A149, Ledger!$C$2:$C$4, Q$2)),"****")</f>
        <v/>
      </c>
      <c r="R149" t="str">
        <f>IFERROR(IF($C149="","",SUMIFS(Ledger!$K$2:$K$4, Ledger!$B$2:$B$4, $A149, Ledger!$C$2:$C$4, R$2)),"****")</f>
        <v/>
      </c>
      <c r="S149" t="str">
        <f>IFERROR(IF($C149="","",SUMIFS(Ledger!$K$2:$K$4, Ledger!$B$2:$B$4, $A149, Ledger!$C$2:$C$4, S$2)),"****")</f>
        <v/>
      </c>
      <c r="T149" t="str">
        <f>IFERROR(IF($C149="","",SUMIFS(Ledger!$K$2:$K$4, Ledger!$B$2:$B$4, $A149, Ledger!$C$2:$C$4, T$2)),"****")</f>
        <v/>
      </c>
      <c r="U149" t="str">
        <f>IFERROR(IF($C149="","",SUMIFS(Ledger!$K$2:$K$4, Ledger!$B$2:$B$4, $A149, Ledger!$C$2:$C$4, U$2)),"****")</f>
        <v/>
      </c>
      <c r="V149" t="str">
        <f>IFERROR(IF($C149="","",SUMIFS(Ledger!$K$2:$K$4, Ledger!$B$2:$B$4, $A149, Ledger!$C$2:$C$4, V$2)),"****")</f>
        <v/>
      </c>
      <c r="W149" t="str">
        <f>IFERROR(IF($C149="","",SUMIFS(Ledger!$K$2:$K$4, Ledger!$B$2:$B$4, $A149, Ledger!$C$2:$C$4, W$2)),"****")</f>
        <v/>
      </c>
      <c r="X149" t="str">
        <f>IFERROR(IF($C149="","",SUMIFS(Ledger!$K$2:$K$4, Ledger!$B$2:$B$4, $A149, Ledger!$C$2:$C$4, X$2)),"****")</f>
        <v/>
      </c>
    </row>
    <row r="150" spans="1:24" x14ac:dyDescent="0.3">
      <c r="A150" s="106">
        <v>148</v>
      </c>
      <c r="B150" t="str">
        <f>IFERROR(VLOOKUP($A150, Ledger!$B$2:$L$8, 3, 0),"")</f>
        <v/>
      </c>
      <c r="C150" t="str">
        <f>IFERROR(VLOOKUP($A150, Ledger!$B$2:$L$8, 4, 0),"")</f>
        <v/>
      </c>
      <c r="D150" t="str">
        <f>IFERROR(VLOOKUP($A150, Ledger!$B$2:$L$8, 5, 0),"")</f>
        <v/>
      </c>
      <c r="E150" t="str">
        <f>IFERROR(VLOOKUP($A150, Ledger!$B$2:$L$8, 6, 0),"")</f>
        <v/>
      </c>
      <c r="F150" t="str">
        <f>IFERROR(VLOOKUP($A150,'Student Data'!$A$2:$AR$6,32,0),"")</f>
        <v/>
      </c>
      <c r="G150" t="str">
        <f>IFERROR(VLOOKUP($A150,'Student Data'!$A$2:$AR$6,33,0),"")</f>
        <v/>
      </c>
      <c r="H150" t="str">
        <f>IFERROR(VLOOKUP($A150,'Student Data'!$A$2:$AR$6,34,0),"")</f>
        <v/>
      </c>
      <c r="I150" t="str">
        <f>IFERROR(VLOOKUP($A150,'Student Data'!$A$2:$AR$6,35,0),"")</f>
        <v/>
      </c>
      <c r="J150" t="str">
        <f>IFERROR(VLOOKUP($A150,'Student Data'!$A$2:$AR$6,36,0),"")</f>
        <v/>
      </c>
      <c r="K150" t="str">
        <f t="shared" si="4"/>
        <v/>
      </c>
      <c r="L150" t="str">
        <f t="shared" si="5"/>
        <v/>
      </c>
      <c r="M150" t="str">
        <f>IFERROR(IF($C150="","",SUMIFS(Ledger!$K$2:$K$4, Ledger!$B$2:$B$4, $A150, Ledger!$C$2:$C$4, M$2)),"****")</f>
        <v/>
      </c>
      <c r="N150" t="str">
        <f>IFERROR(IF($C150="","",SUMIFS(Ledger!$K$2:$K$4, Ledger!$B$2:$B$4, $A150, Ledger!$C$2:$C$4, N$2)),"****")</f>
        <v/>
      </c>
      <c r="O150" t="str">
        <f>IFERROR(IF($C150="","",SUMIFS(Ledger!$K$2:$K$4, Ledger!$B$2:$B$4, $A150, Ledger!$C$2:$C$4, O$2)),"****")</f>
        <v/>
      </c>
      <c r="P150" t="str">
        <f>IFERROR(IF($C150="","",SUMIFS(Ledger!$K$2:$K$4, Ledger!$B$2:$B$4, $A150, Ledger!$C$2:$C$4, P$2)),"****")</f>
        <v/>
      </c>
      <c r="Q150" t="str">
        <f>IFERROR(IF($C150="","",SUMIFS(Ledger!$K$2:$K$4, Ledger!$B$2:$B$4, $A150, Ledger!$C$2:$C$4, Q$2)),"****")</f>
        <v/>
      </c>
      <c r="R150" t="str">
        <f>IFERROR(IF($C150="","",SUMIFS(Ledger!$K$2:$K$4, Ledger!$B$2:$B$4, $A150, Ledger!$C$2:$C$4, R$2)),"****")</f>
        <v/>
      </c>
      <c r="S150" t="str">
        <f>IFERROR(IF($C150="","",SUMIFS(Ledger!$K$2:$K$4, Ledger!$B$2:$B$4, $A150, Ledger!$C$2:$C$4, S$2)),"****")</f>
        <v/>
      </c>
      <c r="T150" t="str">
        <f>IFERROR(IF($C150="","",SUMIFS(Ledger!$K$2:$K$4, Ledger!$B$2:$B$4, $A150, Ledger!$C$2:$C$4, T$2)),"****")</f>
        <v/>
      </c>
      <c r="U150" t="str">
        <f>IFERROR(IF($C150="","",SUMIFS(Ledger!$K$2:$K$4, Ledger!$B$2:$B$4, $A150, Ledger!$C$2:$C$4, U$2)),"****")</f>
        <v/>
      </c>
      <c r="V150" t="str">
        <f>IFERROR(IF($C150="","",SUMIFS(Ledger!$K$2:$K$4, Ledger!$B$2:$B$4, $A150, Ledger!$C$2:$C$4, V$2)),"****")</f>
        <v/>
      </c>
      <c r="W150" t="str">
        <f>IFERROR(IF($C150="","",SUMIFS(Ledger!$K$2:$K$4, Ledger!$B$2:$B$4, $A150, Ledger!$C$2:$C$4, W$2)),"****")</f>
        <v/>
      </c>
      <c r="X150" t="str">
        <f>IFERROR(IF($C150="","",SUMIFS(Ledger!$K$2:$K$4, Ledger!$B$2:$B$4, $A150, Ledger!$C$2:$C$4, X$2)),"****")</f>
        <v/>
      </c>
    </row>
    <row r="151" spans="1:24" x14ac:dyDescent="0.3">
      <c r="A151" s="106">
        <v>149</v>
      </c>
      <c r="B151" t="str">
        <f>IFERROR(VLOOKUP($A151, Ledger!$B$2:$L$8, 3, 0),"")</f>
        <v/>
      </c>
      <c r="C151" t="str">
        <f>IFERROR(VLOOKUP($A151, Ledger!$B$2:$L$8, 4, 0),"")</f>
        <v/>
      </c>
      <c r="D151" t="str">
        <f>IFERROR(VLOOKUP($A151, Ledger!$B$2:$L$8, 5, 0),"")</f>
        <v/>
      </c>
      <c r="E151" t="str">
        <f>IFERROR(VLOOKUP($A151, Ledger!$B$2:$L$8, 6, 0),"")</f>
        <v/>
      </c>
      <c r="F151" t="str">
        <f>IFERROR(VLOOKUP($A151,'Student Data'!$A$2:$AR$6,32,0),"")</f>
        <v/>
      </c>
      <c r="G151" t="str">
        <f>IFERROR(VLOOKUP($A151,'Student Data'!$A$2:$AR$6,33,0),"")</f>
        <v/>
      </c>
      <c r="H151" t="str">
        <f>IFERROR(VLOOKUP($A151,'Student Data'!$A$2:$AR$6,34,0),"")</f>
        <v/>
      </c>
      <c r="I151" t="str">
        <f>IFERROR(VLOOKUP($A151,'Student Data'!$A$2:$AR$6,35,0),"")</f>
        <v/>
      </c>
      <c r="J151" t="str">
        <f>IFERROR(VLOOKUP($A151,'Student Data'!$A$2:$AR$6,36,0),"")</f>
        <v/>
      </c>
      <c r="K151" t="str">
        <f t="shared" si="4"/>
        <v/>
      </c>
      <c r="L151" t="str">
        <f t="shared" si="5"/>
        <v/>
      </c>
      <c r="M151" t="str">
        <f>IFERROR(IF($C151="","",SUMIFS(Ledger!$K$2:$K$4, Ledger!$B$2:$B$4, $A151, Ledger!$C$2:$C$4, M$2)),"****")</f>
        <v/>
      </c>
      <c r="N151" t="str">
        <f>IFERROR(IF($C151="","",SUMIFS(Ledger!$K$2:$K$4, Ledger!$B$2:$B$4, $A151, Ledger!$C$2:$C$4, N$2)),"****")</f>
        <v/>
      </c>
      <c r="O151" t="str">
        <f>IFERROR(IF($C151="","",SUMIFS(Ledger!$K$2:$K$4, Ledger!$B$2:$B$4, $A151, Ledger!$C$2:$C$4, O$2)),"****")</f>
        <v/>
      </c>
      <c r="P151" t="str">
        <f>IFERROR(IF($C151="","",SUMIFS(Ledger!$K$2:$K$4, Ledger!$B$2:$B$4, $A151, Ledger!$C$2:$C$4, P$2)),"****")</f>
        <v/>
      </c>
      <c r="Q151" t="str">
        <f>IFERROR(IF($C151="","",SUMIFS(Ledger!$K$2:$K$4, Ledger!$B$2:$B$4, $A151, Ledger!$C$2:$C$4, Q$2)),"****")</f>
        <v/>
      </c>
      <c r="R151" t="str">
        <f>IFERROR(IF($C151="","",SUMIFS(Ledger!$K$2:$K$4, Ledger!$B$2:$B$4, $A151, Ledger!$C$2:$C$4, R$2)),"****")</f>
        <v/>
      </c>
      <c r="S151" t="str">
        <f>IFERROR(IF($C151="","",SUMIFS(Ledger!$K$2:$K$4, Ledger!$B$2:$B$4, $A151, Ledger!$C$2:$C$4, S$2)),"****")</f>
        <v/>
      </c>
      <c r="T151" t="str">
        <f>IFERROR(IF($C151="","",SUMIFS(Ledger!$K$2:$K$4, Ledger!$B$2:$B$4, $A151, Ledger!$C$2:$C$4, T$2)),"****")</f>
        <v/>
      </c>
      <c r="U151" t="str">
        <f>IFERROR(IF($C151="","",SUMIFS(Ledger!$K$2:$K$4, Ledger!$B$2:$B$4, $A151, Ledger!$C$2:$C$4, U$2)),"****")</f>
        <v/>
      </c>
      <c r="V151" t="str">
        <f>IFERROR(IF($C151="","",SUMIFS(Ledger!$K$2:$K$4, Ledger!$B$2:$B$4, $A151, Ledger!$C$2:$C$4, V$2)),"****")</f>
        <v/>
      </c>
      <c r="W151" t="str">
        <f>IFERROR(IF($C151="","",SUMIFS(Ledger!$K$2:$K$4, Ledger!$B$2:$B$4, $A151, Ledger!$C$2:$C$4, W$2)),"****")</f>
        <v/>
      </c>
      <c r="X151" t="str">
        <f>IFERROR(IF($C151="","",SUMIFS(Ledger!$K$2:$K$4, Ledger!$B$2:$B$4, $A151, Ledger!$C$2:$C$4, X$2)),"****")</f>
        <v/>
      </c>
    </row>
    <row r="152" spans="1:24" x14ac:dyDescent="0.3">
      <c r="A152" s="106">
        <v>150</v>
      </c>
      <c r="B152" t="str">
        <f>IFERROR(VLOOKUP($A152, Ledger!$B$2:$L$8, 3, 0),"")</f>
        <v/>
      </c>
      <c r="C152" t="str">
        <f>IFERROR(VLOOKUP($A152, Ledger!$B$2:$L$8, 4, 0),"")</f>
        <v/>
      </c>
      <c r="D152" t="str">
        <f>IFERROR(VLOOKUP($A152, Ledger!$B$2:$L$8, 5, 0),"")</f>
        <v/>
      </c>
      <c r="E152" t="str">
        <f>IFERROR(VLOOKUP($A152, Ledger!$B$2:$L$8, 6, 0),"")</f>
        <v/>
      </c>
      <c r="F152" t="str">
        <f>IFERROR(VLOOKUP($A152,'Student Data'!$A$2:$AR$6,32,0),"")</f>
        <v/>
      </c>
      <c r="G152" t="str">
        <f>IFERROR(VLOOKUP($A152,'Student Data'!$A$2:$AR$6,33,0),"")</f>
        <v/>
      </c>
      <c r="H152" t="str">
        <f>IFERROR(VLOOKUP($A152,'Student Data'!$A$2:$AR$6,34,0),"")</f>
        <v/>
      </c>
      <c r="I152" t="str">
        <f>IFERROR(VLOOKUP($A152,'Student Data'!$A$2:$AR$6,35,0),"")</f>
        <v/>
      </c>
      <c r="J152" t="str">
        <f>IFERROR(VLOOKUP($A152,'Student Data'!$A$2:$AR$6,36,0),"")</f>
        <v/>
      </c>
      <c r="K152" t="str">
        <f t="shared" si="4"/>
        <v/>
      </c>
      <c r="L152" t="str">
        <f t="shared" si="5"/>
        <v/>
      </c>
      <c r="M152" t="str">
        <f>IFERROR(IF($C152="","",SUMIFS(Ledger!$K$2:$K$4, Ledger!$B$2:$B$4, $A152, Ledger!$C$2:$C$4, M$2)),"****")</f>
        <v/>
      </c>
      <c r="N152" t="str">
        <f>IFERROR(IF($C152="","",SUMIFS(Ledger!$K$2:$K$4, Ledger!$B$2:$B$4, $A152, Ledger!$C$2:$C$4, N$2)),"****")</f>
        <v/>
      </c>
      <c r="O152" t="str">
        <f>IFERROR(IF($C152="","",SUMIFS(Ledger!$K$2:$K$4, Ledger!$B$2:$B$4, $A152, Ledger!$C$2:$C$4, O$2)),"****")</f>
        <v/>
      </c>
      <c r="P152" t="str">
        <f>IFERROR(IF($C152="","",SUMIFS(Ledger!$K$2:$K$4, Ledger!$B$2:$B$4, $A152, Ledger!$C$2:$C$4, P$2)),"****")</f>
        <v/>
      </c>
      <c r="Q152" t="str">
        <f>IFERROR(IF($C152="","",SUMIFS(Ledger!$K$2:$K$4, Ledger!$B$2:$B$4, $A152, Ledger!$C$2:$C$4, Q$2)),"****")</f>
        <v/>
      </c>
      <c r="R152" t="str">
        <f>IFERROR(IF($C152="","",SUMIFS(Ledger!$K$2:$K$4, Ledger!$B$2:$B$4, $A152, Ledger!$C$2:$C$4, R$2)),"****")</f>
        <v/>
      </c>
      <c r="S152" t="str">
        <f>IFERROR(IF($C152="","",SUMIFS(Ledger!$K$2:$K$4, Ledger!$B$2:$B$4, $A152, Ledger!$C$2:$C$4, S$2)),"****")</f>
        <v/>
      </c>
      <c r="T152" t="str">
        <f>IFERROR(IF($C152="","",SUMIFS(Ledger!$K$2:$K$4, Ledger!$B$2:$B$4, $A152, Ledger!$C$2:$C$4, T$2)),"****")</f>
        <v/>
      </c>
      <c r="U152" t="str">
        <f>IFERROR(IF($C152="","",SUMIFS(Ledger!$K$2:$K$4, Ledger!$B$2:$B$4, $A152, Ledger!$C$2:$C$4, U$2)),"****")</f>
        <v/>
      </c>
      <c r="V152" t="str">
        <f>IFERROR(IF($C152="","",SUMIFS(Ledger!$K$2:$K$4, Ledger!$B$2:$B$4, $A152, Ledger!$C$2:$C$4, V$2)),"****")</f>
        <v/>
      </c>
      <c r="W152" t="str">
        <f>IFERROR(IF($C152="","",SUMIFS(Ledger!$K$2:$K$4, Ledger!$B$2:$B$4, $A152, Ledger!$C$2:$C$4, W$2)),"****")</f>
        <v/>
      </c>
      <c r="X152" t="str">
        <f>IFERROR(IF($C152="","",SUMIFS(Ledger!$K$2:$K$4, Ledger!$B$2:$B$4, $A152, Ledger!$C$2:$C$4, X$2)),"****")</f>
        <v/>
      </c>
    </row>
    <row r="153" spans="1:24" x14ac:dyDescent="0.3">
      <c r="A153" s="106">
        <v>151</v>
      </c>
      <c r="B153" t="str">
        <f>IFERROR(VLOOKUP($A153, Ledger!$B$2:$L$8, 3, 0),"")</f>
        <v/>
      </c>
      <c r="C153" t="str">
        <f>IFERROR(VLOOKUP($A153, Ledger!$B$2:$L$8, 4, 0),"")</f>
        <v/>
      </c>
      <c r="D153" t="str">
        <f>IFERROR(VLOOKUP($A153, Ledger!$B$2:$L$8, 5, 0),"")</f>
        <v/>
      </c>
      <c r="E153" t="str">
        <f>IFERROR(VLOOKUP($A153, Ledger!$B$2:$L$8, 6, 0),"")</f>
        <v/>
      </c>
      <c r="F153" t="str">
        <f>IFERROR(VLOOKUP($A153,'Student Data'!$A$2:$AR$6,32,0),"")</f>
        <v/>
      </c>
      <c r="G153" t="str">
        <f>IFERROR(VLOOKUP($A153,'Student Data'!$A$2:$AR$6,33,0),"")</f>
        <v/>
      </c>
      <c r="H153" t="str">
        <f>IFERROR(VLOOKUP($A153,'Student Data'!$A$2:$AR$6,34,0),"")</f>
        <v/>
      </c>
      <c r="I153" t="str">
        <f>IFERROR(VLOOKUP($A153,'Student Data'!$A$2:$AR$6,35,0),"")</f>
        <v/>
      </c>
      <c r="J153" t="str">
        <f>IFERROR(VLOOKUP($A153,'Student Data'!$A$2:$AR$6,36,0),"")</f>
        <v/>
      </c>
      <c r="K153" t="str">
        <f t="shared" si="4"/>
        <v/>
      </c>
      <c r="L153" t="str">
        <f t="shared" si="5"/>
        <v/>
      </c>
      <c r="M153" t="str">
        <f>IFERROR(IF($C153="","",SUMIFS(Ledger!$K$2:$K$4, Ledger!$B$2:$B$4, $A153, Ledger!$C$2:$C$4, M$2)),"****")</f>
        <v/>
      </c>
      <c r="N153" t="str">
        <f>IFERROR(IF($C153="","",SUMIFS(Ledger!$K$2:$K$4, Ledger!$B$2:$B$4, $A153, Ledger!$C$2:$C$4, N$2)),"****")</f>
        <v/>
      </c>
      <c r="O153" t="str">
        <f>IFERROR(IF($C153="","",SUMIFS(Ledger!$K$2:$K$4, Ledger!$B$2:$B$4, $A153, Ledger!$C$2:$C$4, O$2)),"****")</f>
        <v/>
      </c>
      <c r="P153" t="str">
        <f>IFERROR(IF($C153="","",SUMIFS(Ledger!$K$2:$K$4, Ledger!$B$2:$B$4, $A153, Ledger!$C$2:$C$4, P$2)),"****")</f>
        <v/>
      </c>
      <c r="Q153" t="str">
        <f>IFERROR(IF($C153="","",SUMIFS(Ledger!$K$2:$K$4, Ledger!$B$2:$B$4, $A153, Ledger!$C$2:$C$4, Q$2)),"****")</f>
        <v/>
      </c>
      <c r="R153" t="str">
        <f>IFERROR(IF($C153="","",SUMIFS(Ledger!$K$2:$K$4, Ledger!$B$2:$B$4, $A153, Ledger!$C$2:$C$4, R$2)),"****")</f>
        <v/>
      </c>
      <c r="S153" t="str">
        <f>IFERROR(IF($C153="","",SUMIFS(Ledger!$K$2:$K$4, Ledger!$B$2:$B$4, $A153, Ledger!$C$2:$C$4, S$2)),"****")</f>
        <v/>
      </c>
      <c r="T153" t="str">
        <f>IFERROR(IF($C153="","",SUMIFS(Ledger!$K$2:$K$4, Ledger!$B$2:$B$4, $A153, Ledger!$C$2:$C$4, T$2)),"****")</f>
        <v/>
      </c>
      <c r="U153" t="str">
        <f>IFERROR(IF($C153="","",SUMIFS(Ledger!$K$2:$K$4, Ledger!$B$2:$B$4, $A153, Ledger!$C$2:$C$4, U$2)),"****")</f>
        <v/>
      </c>
      <c r="V153" t="str">
        <f>IFERROR(IF($C153="","",SUMIFS(Ledger!$K$2:$K$4, Ledger!$B$2:$B$4, $A153, Ledger!$C$2:$C$4, V$2)),"****")</f>
        <v/>
      </c>
      <c r="W153" t="str">
        <f>IFERROR(IF($C153="","",SUMIFS(Ledger!$K$2:$K$4, Ledger!$B$2:$B$4, $A153, Ledger!$C$2:$C$4, W$2)),"****")</f>
        <v/>
      </c>
      <c r="X153" t="str">
        <f>IFERROR(IF($C153="","",SUMIFS(Ledger!$K$2:$K$4, Ledger!$B$2:$B$4, $A153, Ledger!$C$2:$C$4, X$2)),"****")</f>
        <v/>
      </c>
    </row>
    <row r="154" spans="1:24" x14ac:dyDescent="0.3">
      <c r="A154" s="106">
        <v>152</v>
      </c>
      <c r="B154" t="str">
        <f>IFERROR(VLOOKUP($A154, Ledger!$B$2:$L$8, 3, 0),"")</f>
        <v/>
      </c>
      <c r="C154" t="str">
        <f>IFERROR(VLOOKUP($A154, Ledger!$B$2:$L$8, 4, 0),"")</f>
        <v/>
      </c>
      <c r="D154" t="str">
        <f>IFERROR(VLOOKUP($A154, Ledger!$B$2:$L$8, 5, 0),"")</f>
        <v/>
      </c>
      <c r="E154" t="str">
        <f>IFERROR(VLOOKUP($A154, Ledger!$B$2:$L$8, 6, 0),"")</f>
        <v/>
      </c>
      <c r="F154" t="str">
        <f>IFERROR(VLOOKUP($A154,'Student Data'!$A$2:$AR$6,32,0),"")</f>
        <v/>
      </c>
      <c r="G154" t="str">
        <f>IFERROR(VLOOKUP($A154,'Student Data'!$A$2:$AR$6,33,0),"")</f>
        <v/>
      </c>
      <c r="H154" t="str">
        <f>IFERROR(VLOOKUP($A154,'Student Data'!$A$2:$AR$6,34,0),"")</f>
        <v/>
      </c>
      <c r="I154" t="str">
        <f>IFERROR(VLOOKUP($A154,'Student Data'!$A$2:$AR$6,35,0),"")</f>
        <v/>
      </c>
      <c r="J154" t="str">
        <f>IFERROR(VLOOKUP($A154,'Student Data'!$A$2:$AR$6,36,0),"")</f>
        <v/>
      </c>
      <c r="K154" t="str">
        <f t="shared" si="4"/>
        <v/>
      </c>
      <c r="L154" t="str">
        <f t="shared" si="5"/>
        <v/>
      </c>
      <c r="M154" t="str">
        <f>IFERROR(IF($C154="","",SUMIFS(Ledger!$K$2:$K$4, Ledger!$B$2:$B$4, $A154, Ledger!$C$2:$C$4, M$2)),"****")</f>
        <v/>
      </c>
      <c r="N154" t="str">
        <f>IFERROR(IF($C154="","",SUMIFS(Ledger!$K$2:$K$4, Ledger!$B$2:$B$4, $A154, Ledger!$C$2:$C$4, N$2)),"****")</f>
        <v/>
      </c>
      <c r="O154" t="str">
        <f>IFERROR(IF($C154="","",SUMIFS(Ledger!$K$2:$K$4, Ledger!$B$2:$B$4, $A154, Ledger!$C$2:$C$4, O$2)),"****")</f>
        <v/>
      </c>
      <c r="P154" t="str">
        <f>IFERROR(IF($C154="","",SUMIFS(Ledger!$K$2:$K$4, Ledger!$B$2:$B$4, $A154, Ledger!$C$2:$C$4, P$2)),"****")</f>
        <v/>
      </c>
      <c r="Q154" t="str">
        <f>IFERROR(IF($C154="","",SUMIFS(Ledger!$K$2:$K$4, Ledger!$B$2:$B$4, $A154, Ledger!$C$2:$C$4, Q$2)),"****")</f>
        <v/>
      </c>
      <c r="R154" t="str">
        <f>IFERROR(IF($C154="","",SUMIFS(Ledger!$K$2:$K$4, Ledger!$B$2:$B$4, $A154, Ledger!$C$2:$C$4, R$2)),"****")</f>
        <v/>
      </c>
      <c r="S154" t="str">
        <f>IFERROR(IF($C154="","",SUMIFS(Ledger!$K$2:$K$4, Ledger!$B$2:$B$4, $A154, Ledger!$C$2:$C$4, S$2)),"****")</f>
        <v/>
      </c>
      <c r="T154" t="str">
        <f>IFERROR(IF($C154="","",SUMIFS(Ledger!$K$2:$K$4, Ledger!$B$2:$B$4, $A154, Ledger!$C$2:$C$4, T$2)),"****")</f>
        <v/>
      </c>
      <c r="U154" t="str">
        <f>IFERROR(IF($C154="","",SUMIFS(Ledger!$K$2:$K$4, Ledger!$B$2:$B$4, $A154, Ledger!$C$2:$C$4, U$2)),"****")</f>
        <v/>
      </c>
      <c r="V154" t="str">
        <f>IFERROR(IF($C154="","",SUMIFS(Ledger!$K$2:$K$4, Ledger!$B$2:$B$4, $A154, Ledger!$C$2:$C$4, V$2)),"****")</f>
        <v/>
      </c>
      <c r="W154" t="str">
        <f>IFERROR(IF($C154="","",SUMIFS(Ledger!$K$2:$K$4, Ledger!$B$2:$B$4, $A154, Ledger!$C$2:$C$4, W$2)),"****")</f>
        <v/>
      </c>
      <c r="X154" t="str">
        <f>IFERROR(IF($C154="","",SUMIFS(Ledger!$K$2:$K$4, Ledger!$B$2:$B$4, $A154, Ledger!$C$2:$C$4, X$2)),"****")</f>
        <v/>
      </c>
    </row>
    <row r="155" spans="1:24" x14ac:dyDescent="0.3">
      <c r="A155" s="106">
        <v>153</v>
      </c>
      <c r="B155" t="str">
        <f>IFERROR(VLOOKUP($A155, Ledger!$B$2:$L$8, 3, 0),"")</f>
        <v/>
      </c>
      <c r="C155" t="str">
        <f>IFERROR(VLOOKUP($A155, Ledger!$B$2:$L$8, 4, 0),"")</f>
        <v/>
      </c>
      <c r="D155" t="str">
        <f>IFERROR(VLOOKUP($A155, Ledger!$B$2:$L$8, 5, 0),"")</f>
        <v/>
      </c>
      <c r="E155" t="str">
        <f>IFERROR(VLOOKUP($A155, Ledger!$B$2:$L$8, 6, 0),"")</f>
        <v/>
      </c>
      <c r="F155" t="str">
        <f>IFERROR(VLOOKUP($A155,'Student Data'!$A$2:$AR$6,32,0),"")</f>
        <v/>
      </c>
      <c r="G155" t="str">
        <f>IFERROR(VLOOKUP($A155,'Student Data'!$A$2:$AR$6,33,0),"")</f>
        <v/>
      </c>
      <c r="H155" t="str">
        <f>IFERROR(VLOOKUP($A155,'Student Data'!$A$2:$AR$6,34,0),"")</f>
        <v/>
      </c>
      <c r="I155" t="str">
        <f>IFERROR(VLOOKUP($A155,'Student Data'!$A$2:$AR$6,35,0),"")</f>
        <v/>
      </c>
      <c r="J155" t="str">
        <f>IFERROR(VLOOKUP($A155,'Student Data'!$A$2:$AR$6,36,0),"")</f>
        <v/>
      </c>
      <c r="K155" t="str">
        <f t="shared" si="4"/>
        <v/>
      </c>
      <c r="L155" t="str">
        <f t="shared" si="5"/>
        <v/>
      </c>
      <c r="M155" t="str">
        <f>IFERROR(IF($C155="","",SUMIFS(Ledger!$K$2:$K$4, Ledger!$B$2:$B$4, $A155, Ledger!$C$2:$C$4, M$2)),"****")</f>
        <v/>
      </c>
      <c r="N155" t="str">
        <f>IFERROR(IF($C155="","",SUMIFS(Ledger!$K$2:$K$4, Ledger!$B$2:$B$4, $A155, Ledger!$C$2:$C$4, N$2)),"****")</f>
        <v/>
      </c>
      <c r="O155" t="str">
        <f>IFERROR(IF($C155="","",SUMIFS(Ledger!$K$2:$K$4, Ledger!$B$2:$B$4, $A155, Ledger!$C$2:$C$4, O$2)),"****")</f>
        <v/>
      </c>
      <c r="P155" t="str">
        <f>IFERROR(IF($C155="","",SUMIFS(Ledger!$K$2:$K$4, Ledger!$B$2:$B$4, $A155, Ledger!$C$2:$C$4, P$2)),"****")</f>
        <v/>
      </c>
      <c r="Q155" t="str">
        <f>IFERROR(IF($C155="","",SUMIFS(Ledger!$K$2:$K$4, Ledger!$B$2:$B$4, $A155, Ledger!$C$2:$C$4, Q$2)),"****")</f>
        <v/>
      </c>
      <c r="R155" t="str">
        <f>IFERROR(IF($C155="","",SUMIFS(Ledger!$K$2:$K$4, Ledger!$B$2:$B$4, $A155, Ledger!$C$2:$C$4, R$2)),"****")</f>
        <v/>
      </c>
      <c r="S155" t="str">
        <f>IFERROR(IF($C155="","",SUMIFS(Ledger!$K$2:$K$4, Ledger!$B$2:$B$4, $A155, Ledger!$C$2:$C$4, S$2)),"****")</f>
        <v/>
      </c>
      <c r="T155" t="str">
        <f>IFERROR(IF($C155="","",SUMIFS(Ledger!$K$2:$K$4, Ledger!$B$2:$B$4, $A155, Ledger!$C$2:$C$4, T$2)),"****")</f>
        <v/>
      </c>
      <c r="U155" t="str">
        <f>IFERROR(IF($C155="","",SUMIFS(Ledger!$K$2:$K$4, Ledger!$B$2:$B$4, $A155, Ledger!$C$2:$C$4, U$2)),"****")</f>
        <v/>
      </c>
      <c r="V155" t="str">
        <f>IFERROR(IF($C155="","",SUMIFS(Ledger!$K$2:$K$4, Ledger!$B$2:$B$4, $A155, Ledger!$C$2:$C$4, V$2)),"****")</f>
        <v/>
      </c>
      <c r="W155" t="str">
        <f>IFERROR(IF($C155="","",SUMIFS(Ledger!$K$2:$K$4, Ledger!$B$2:$B$4, $A155, Ledger!$C$2:$C$4, W$2)),"****")</f>
        <v/>
      </c>
      <c r="X155" t="str">
        <f>IFERROR(IF($C155="","",SUMIFS(Ledger!$K$2:$K$4, Ledger!$B$2:$B$4, $A155, Ledger!$C$2:$C$4, X$2)),"****")</f>
        <v/>
      </c>
    </row>
    <row r="156" spans="1:24" x14ac:dyDescent="0.3">
      <c r="A156" s="106">
        <v>154</v>
      </c>
      <c r="B156" t="str">
        <f>IFERROR(VLOOKUP($A156, Ledger!$B$2:$L$8, 3, 0),"")</f>
        <v/>
      </c>
      <c r="C156" t="str">
        <f>IFERROR(VLOOKUP($A156, Ledger!$B$2:$L$8, 4, 0),"")</f>
        <v/>
      </c>
      <c r="D156" t="str">
        <f>IFERROR(VLOOKUP($A156, Ledger!$B$2:$L$8, 5, 0),"")</f>
        <v/>
      </c>
      <c r="E156" t="str">
        <f>IFERROR(VLOOKUP($A156, Ledger!$B$2:$L$8, 6, 0),"")</f>
        <v/>
      </c>
      <c r="F156" t="str">
        <f>IFERROR(VLOOKUP($A156,'Student Data'!$A$2:$AR$6,32,0),"")</f>
        <v/>
      </c>
      <c r="G156" t="str">
        <f>IFERROR(VLOOKUP($A156,'Student Data'!$A$2:$AR$6,33,0),"")</f>
        <v/>
      </c>
      <c r="H156" t="str">
        <f>IFERROR(VLOOKUP($A156,'Student Data'!$A$2:$AR$6,34,0),"")</f>
        <v/>
      </c>
      <c r="I156" t="str">
        <f>IFERROR(VLOOKUP($A156,'Student Data'!$A$2:$AR$6,35,0),"")</f>
        <v/>
      </c>
      <c r="J156" t="str">
        <f>IFERROR(VLOOKUP($A156,'Student Data'!$A$2:$AR$6,36,0),"")</f>
        <v/>
      </c>
      <c r="K156" t="str">
        <f t="shared" si="4"/>
        <v/>
      </c>
      <c r="L156" t="str">
        <f t="shared" si="5"/>
        <v/>
      </c>
      <c r="M156" t="str">
        <f>IFERROR(IF($C156="","",SUMIFS(Ledger!$K$2:$K$4, Ledger!$B$2:$B$4, $A156, Ledger!$C$2:$C$4, M$2)),"****")</f>
        <v/>
      </c>
      <c r="N156" t="str">
        <f>IFERROR(IF($C156="","",SUMIFS(Ledger!$K$2:$K$4, Ledger!$B$2:$B$4, $A156, Ledger!$C$2:$C$4, N$2)),"****")</f>
        <v/>
      </c>
      <c r="O156" t="str">
        <f>IFERROR(IF($C156="","",SUMIFS(Ledger!$K$2:$K$4, Ledger!$B$2:$B$4, $A156, Ledger!$C$2:$C$4, O$2)),"****")</f>
        <v/>
      </c>
      <c r="P156" t="str">
        <f>IFERROR(IF($C156="","",SUMIFS(Ledger!$K$2:$K$4, Ledger!$B$2:$B$4, $A156, Ledger!$C$2:$C$4, P$2)),"****")</f>
        <v/>
      </c>
      <c r="Q156" t="str">
        <f>IFERROR(IF($C156="","",SUMIFS(Ledger!$K$2:$K$4, Ledger!$B$2:$B$4, $A156, Ledger!$C$2:$C$4, Q$2)),"****")</f>
        <v/>
      </c>
      <c r="R156" t="str">
        <f>IFERROR(IF($C156="","",SUMIFS(Ledger!$K$2:$K$4, Ledger!$B$2:$B$4, $A156, Ledger!$C$2:$C$4, R$2)),"****")</f>
        <v/>
      </c>
      <c r="S156" t="str">
        <f>IFERROR(IF($C156="","",SUMIFS(Ledger!$K$2:$K$4, Ledger!$B$2:$B$4, $A156, Ledger!$C$2:$C$4, S$2)),"****")</f>
        <v/>
      </c>
      <c r="T156" t="str">
        <f>IFERROR(IF($C156="","",SUMIFS(Ledger!$K$2:$K$4, Ledger!$B$2:$B$4, $A156, Ledger!$C$2:$C$4, T$2)),"****")</f>
        <v/>
      </c>
      <c r="U156" t="str">
        <f>IFERROR(IF($C156="","",SUMIFS(Ledger!$K$2:$K$4, Ledger!$B$2:$B$4, $A156, Ledger!$C$2:$C$4, U$2)),"****")</f>
        <v/>
      </c>
      <c r="V156" t="str">
        <f>IFERROR(IF($C156="","",SUMIFS(Ledger!$K$2:$K$4, Ledger!$B$2:$B$4, $A156, Ledger!$C$2:$C$4, V$2)),"****")</f>
        <v/>
      </c>
      <c r="W156" t="str">
        <f>IFERROR(IF($C156="","",SUMIFS(Ledger!$K$2:$K$4, Ledger!$B$2:$B$4, $A156, Ledger!$C$2:$C$4, W$2)),"****")</f>
        <v/>
      </c>
      <c r="X156" t="str">
        <f>IFERROR(IF($C156="","",SUMIFS(Ledger!$K$2:$K$4, Ledger!$B$2:$B$4, $A156, Ledger!$C$2:$C$4, X$2)),"****")</f>
        <v/>
      </c>
    </row>
    <row r="157" spans="1:24" x14ac:dyDescent="0.3">
      <c r="A157" s="106">
        <v>155</v>
      </c>
      <c r="B157" t="str">
        <f>IFERROR(VLOOKUP($A157, Ledger!$B$2:$L$8, 3, 0),"")</f>
        <v/>
      </c>
      <c r="C157" t="str">
        <f>IFERROR(VLOOKUP($A157, Ledger!$B$2:$L$8, 4, 0),"")</f>
        <v/>
      </c>
      <c r="D157" t="str">
        <f>IFERROR(VLOOKUP($A157, Ledger!$B$2:$L$8, 5, 0),"")</f>
        <v/>
      </c>
      <c r="E157" t="str">
        <f>IFERROR(VLOOKUP($A157, Ledger!$B$2:$L$8, 6, 0),"")</f>
        <v/>
      </c>
      <c r="F157" t="str">
        <f>IFERROR(VLOOKUP($A157,'Student Data'!$A$2:$AR$6,32,0),"")</f>
        <v/>
      </c>
      <c r="G157" t="str">
        <f>IFERROR(VLOOKUP($A157,'Student Data'!$A$2:$AR$6,33,0),"")</f>
        <v/>
      </c>
      <c r="H157" t="str">
        <f>IFERROR(VLOOKUP($A157,'Student Data'!$A$2:$AR$6,34,0),"")</f>
        <v/>
      </c>
      <c r="I157" t="str">
        <f>IFERROR(VLOOKUP($A157,'Student Data'!$A$2:$AR$6,35,0),"")</f>
        <v/>
      </c>
      <c r="J157" t="str">
        <f>IFERROR(VLOOKUP($A157,'Student Data'!$A$2:$AR$6,36,0),"")</f>
        <v/>
      </c>
      <c r="K157" t="str">
        <f t="shared" si="4"/>
        <v/>
      </c>
      <c r="L157" t="str">
        <f t="shared" si="5"/>
        <v/>
      </c>
      <c r="M157" t="str">
        <f>IFERROR(IF($C157="","",SUMIFS(Ledger!$K$2:$K$4, Ledger!$B$2:$B$4, $A157, Ledger!$C$2:$C$4, M$2)),"****")</f>
        <v/>
      </c>
      <c r="N157" t="str">
        <f>IFERROR(IF($C157="","",SUMIFS(Ledger!$K$2:$K$4, Ledger!$B$2:$B$4, $A157, Ledger!$C$2:$C$4, N$2)),"****")</f>
        <v/>
      </c>
      <c r="O157" t="str">
        <f>IFERROR(IF($C157="","",SUMIFS(Ledger!$K$2:$K$4, Ledger!$B$2:$B$4, $A157, Ledger!$C$2:$C$4, O$2)),"****")</f>
        <v/>
      </c>
      <c r="P157" t="str">
        <f>IFERROR(IF($C157="","",SUMIFS(Ledger!$K$2:$K$4, Ledger!$B$2:$B$4, $A157, Ledger!$C$2:$C$4, P$2)),"****")</f>
        <v/>
      </c>
      <c r="Q157" t="str">
        <f>IFERROR(IF($C157="","",SUMIFS(Ledger!$K$2:$K$4, Ledger!$B$2:$B$4, $A157, Ledger!$C$2:$C$4, Q$2)),"****")</f>
        <v/>
      </c>
      <c r="R157" t="str">
        <f>IFERROR(IF($C157="","",SUMIFS(Ledger!$K$2:$K$4, Ledger!$B$2:$B$4, $A157, Ledger!$C$2:$C$4, R$2)),"****")</f>
        <v/>
      </c>
      <c r="S157" t="str">
        <f>IFERROR(IF($C157="","",SUMIFS(Ledger!$K$2:$K$4, Ledger!$B$2:$B$4, $A157, Ledger!$C$2:$C$4, S$2)),"****")</f>
        <v/>
      </c>
      <c r="T157" t="str">
        <f>IFERROR(IF($C157="","",SUMIFS(Ledger!$K$2:$K$4, Ledger!$B$2:$B$4, $A157, Ledger!$C$2:$C$4, T$2)),"****")</f>
        <v/>
      </c>
      <c r="U157" t="str">
        <f>IFERROR(IF($C157="","",SUMIFS(Ledger!$K$2:$K$4, Ledger!$B$2:$B$4, $A157, Ledger!$C$2:$C$4, U$2)),"****")</f>
        <v/>
      </c>
      <c r="V157" t="str">
        <f>IFERROR(IF($C157="","",SUMIFS(Ledger!$K$2:$K$4, Ledger!$B$2:$B$4, $A157, Ledger!$C$2:$C$4, V$2)),"****")</f>
        <v/>
      </c>
      <c r="W157" t="str">
        <f>IFERROR(IF($C157="","",SUMIFS(Ledger!$K$2:$K$4, Ledger!$B$2:$B$4, $A157, Ledger!$C$2:$C$4, W$2)),"****")</f>
        <v/>
      </c>
      <c r="X157" t="str">
        <f>IFERROR(IF($C157="","",SUMIFS(Ledger!$K$2:$K$4, Ledger!$B$2:$B$4, $A157, Ledger!$C$2:$C$4, X$2)),"****")</f>
        <v/>
      </c>
    </row>
    <row r="158" spans="1:24" x14ac:dyDescent="0.3">
      <c r="A158" s="106">
        <v>156</v>
      </c>
      <c r="B158" t="str">
        <f>IFERROR(VLOOKUP($A158, Ledger!$B$2:$L$8, 3, 0),"")</f>
        <v/>
      </c>
      <c r="C158" t="str">
        <f>IFERROR(VLOOKUP($A158, Ledger!$B$2:$L$8, 4, 0),"")</f>
        <v/>
      </c>
      <c r="D158" t="str">
        <f>IFERROR(VLOOKUP($A158, Ledger!$B$2:$L$8, 5, 0),"")</f>
        <v/>
      </c>
      <c r="E158" t="str">
        <f>IFERROR(VLOOKUP($A158, Ledger!$B$2:$L$8, 6, 0),"")</f>
        <v/>
      </c>
      <c r="F158" t="str">
        <f>IFERROR(VLOOKUP($A158,'Student Data'!$A$2:$AR$6,32,0),"")</f>
        <v/>
      </c>
      <c r="G158" t="str">
        <f>IFERROR(VLOOKUP($A158,'Student Data'!$A$2:$AR$6,33,0),"")</f>
        <v/>
      </c>
      <c r="H158" t="str">
        <f>IFERROR(VLOOKUP($A158,'Student Data'!$A$2:$AR$6,34,0),"")</f>
        <v/>
      </c>
      <c r="I158" t="str">
        <f>IFERROR(VLOOKUP($A158,'Student Data'!$A$2:$AR$6,35,0),"")</f>
        <v/>
      </c>
      <c r="J158" t="str">
        <f>IFERROR(VLOOKUP($A158,'Student Data'!$A$2:$AR$6,36,0),"")</f>
        <v/>
      </c>
      <c r="K158" t="str">
        <f t="shared" si="4"/>
        <v/>
      </c>
      <c r="L158" t="str">
        <f t="shared" si="5"/>
        <v/>
      </c>
      <c r="M158" t="str">
        <f>IFERROR(IF($C158="","",SUMIFS(Ledger!$K$2:$K$4, Ledger!$B$2:$B$4, $A158, Ledger!$C$2:$C$4, M$2)),"****")</f>
        <v/>
      </c>
      <c r="N158" t="str">
        <f>IFERROR(IF($C158="","",SUMIFS(Ledger!$K$2:$K$4, Ledger!$B$2:$B$4, $A158, Ledger!$C$2:$C$4, N$2)),"****")</f>
        <v/>
      </c>
      <c r="O158" t="str">
        <f>IFERROR(IF($C158="","",SUMIFS(Ledger!$K$2:$K$4, Ledger!$B$2:$B$4, $A158, Ledger!$C$2:$C$4, O$2)),"****")</f>
        <v/>
      </c>
      <c r="P158" t="str">
        <f>IFERROR(IF($C158="","",SUMIFS(Ledger!$K$2:$K$4, Ledger!$B$2:$B$4, $A158, Ledger!$C$2:$C$4, P$2)),"****")</f>
        <v/>
      </c>
      <c r="Q158" t="str">
        <f>IFERROR(IF($C158="","",SUMIFS(Ledger!$K$2:$K$4, Ledger!$B$2:$B$4, $A158, Ledger!$C$2:$C$4, Q$2)),"****")</f>
        <v/>
      </c>
      <c r="R158" t="str">
        <f>IFERROR(IF($C158="","",SUMIFS(Ledger!$K$2:$K$4, Ledger!$B$2:$B$4, $A158, Ledger!$C$2:$C$4, R$2)),"****")</f>
        <v/>
      </c>
      <c r="S158" t="str">
        <f>IFERROR(IF($C158="","",SUMIFS(Ledger!$K$2:$K$4, Ledger!$B$2:$B$4, $A158, Ledger!$C$2:$C$4, S$2)),"****")</f>
        <v/>
      </c>
      <c r="T158" t="str">
        <f>IFERROR(IF($C158="","",SUMIFS(Ledger!$K$2:$K$4, Ledger!$B$2:$B$4, $A158, Ledger!$C$2:$C$4, T$2)),"****")</f>
        <v/>
      </c>
      <c r="U158" t="str">
        <f>IFERROR(IF($C158="","",SUMIFS(Ledger!$K$2:$K$4, Ledger!$B$2:$B$4, $A158, Ledger!$C$2:$C$4, U$2)),"****")</f>
        <v/>
      </c>
      <c r="V158" t="str">
        <f>IFERROR(IF($C158="","",SUMIFS(Ledger!$K$2:$K$4, Ledger!$B$2:$B$4, $A158, Ledger!$C$2:$C$4, V$2)),"****")</f>
        <v/>
      </c>
      <c r="W158" t="str">
        <f>IFERROR(IF($C158="","",SUMIFS(Ledger!$K$2:$K$4, Ledger!$B$2:$B$4, $A158, Ledger!$C$2:$C$4, W$2)),"****")</f>
        <v/>
      </c>
      <c r="X158" t="str">
        <f>IFERROR(IF($C158="","",SUMIFS(Ledger!$K$2:$K$4, Ledger!$B$2:$B$4, $A158, Ledger!$C$2:$C$4, X$2)),"****")</f>
        <v/>
      </c>
    </row>
    <row r="159" spans="1:24" x14ac:dyDescent="0.3">
      <c r="A159" s="106">
        <v>157</v>
      </c>
      <c r="B159" t="str">
        <f>IFERROR(VLOOKUP($A159, Ledger!$B$2:$L$8, 3, 0),"")</f>
        <v/>
      </c>
      <c r="C159" t="str">
        <f>IFERROR(VLOOKUP($A159, Ledger!$B$2:$L$8, 4, 0),"")</f>
        <v/>
      </c>
      <c r="D159" t="str">
        <f>IFERROR(VLOOKUP($A159, Ledger!$B$2:$L$8, 5, 0),"")</f>
        <v/>
      </c>
      <c r="E159" t="str">
        <f>IFERROR(VLOOKUP($A159, Ledger!$B$2:$L$8, 6, 0),"")</f>
        <v/>
      </c>
      <c r="F159" t="str">
        <f>IFERROR(VLOOKUP($A159,'Student Data'!$A$2:$AR$6,32,0),"")</f>
        <v/>
      </c>
      <c r="G159" t="str">
        <f>IFERROR(VLOOKUP($A159,'Student Data'!$A$2:$AR$6,33,0),"")</f>
        <v/>
      </c>
      <c r="H159" t="str">
        <f>IFERROR(VLOOKUP($A159,'Student Data'!$A$2:$AR$6,34,0),"")</f>
        <v/>
      </c>
      <c r="I159" t="str">
        <f>IFERROR(VLOOKUP($A159,'Student Data'!$A$2:$AR$6,35,0),"")</f>
        <v/>
      </c>
      <c r="J159" t="str">
        <f>IFERROR(VLOOKUP($A159,'Student Data'!$A$2:$AR$6,36,0),"")</f>
        <v/>
      </c>
      <c r="K159" t="str">
        <f t="shared" si="4"/>
        <v/>
      </c>
      <c r="L159" t="str">
        <f t="shared" si="5"/>
        <v/>
      </c>
      <c r="M159" t="str">
        <f>IFERROR(IF($C159="","",SUMIFS(Ledger!$K$2:$K$4, Ledger!$B$2:$B$4, $A159, Ledger!$C$2:$C$4, M$2)),"****")</f>
        <v/>
      </c>
      <c r="N159" t="str">
        <f>IFERROR(IF($C159="","",SUMIFS(Ledger!$K$2:$K$4, Ledger!$B$2:$B$4, $A159, Ledger!$C$2:$C$4, N$2)),"****")</f>
        <v/>
      </c>
      <c r="O159" t="str">
        <f>IFERROR(IF($C159="","",SUMIFS(Ledger!$K$2:$K$4, Ledger!$B$2:$B$4, $A159, Ledger!$C$2:$C$4, O$2)),"****")</f>
        <v/>
      </c>
      <c r="P159" t="str">
        <f>IFERROR(IF($C159="","",SUMIFS(Ledger!$K$2:$K$4, Ledger!$B$2:$B$4, $A159, Ledger!$C$2:$C$4, P$2)),"****")</f>
        <v/>
      </c>
      <c r="Q159" t="str">
        <f>IFERROR(IF($C159="","",SUMIFS(Ledger!$K$2:$K$4, Ledger!$B$2:$B$4, $A159, Ledger!$C$2:$C$4, Q$2)),"****")</f>
        <v/>
      </c>
      <c r="R159" t="str">
        <f>IFERROR(IF($C159="","",SUMIFS(Ledger!$K$2:$K$4, Ledger!$B$2:$B$4, $A159, Ledger!$C$2:$C$4, R$2)),"****")</f>
        <v/>
      </c>
      <c r="S159" t="str">
        <f>IFERROR(IF($C159="","",SUMIFS(Ledger!$K$2:$K$4, Ledger!$B$2:$B$4, $A159, Ledger!$C$2:$C$4, S$2)),"****")</f>
        <v/>
      </c>
      <c r="T159" t="str">
        <f>IFERROR(IF($C159="","",SUMIFS(Ledger!$K$2:$K$4, Ledger!$B$2:$B$4, $A159, Ledger!$C$2:$C$4, T$2)),"****")</f>
        <v/>
      </c>
      <c r="U159" t="str">
        <f>IFERROR(IF($C159="","",SUMIFS(Ledger!$K$2:$K$4, Ledger!$B$2:$B$4, $A159, Ledger!$C$2:$C$4, U$2)),"****")</f>
        <v/>
      </c>
      <c r="V159" t="str">
        <f>IFERROR(IF($C159="","",SUMIFS(Ledger!$K$2:$K$4, Ledger!$B$2:$B$4, $A159, Ledger!$C$2:$C$4, V$2)),"****")</f>
        <v/>
      </c>
      <c r="W159" t="str">
        <f>IFERROR(IF($C159="","",SUMIFS(Ledger!$K$2:$K$4, Ledger!$B$2:$B$4, $A159, Ledger!$C$2:$C$4, W$2)),"****")</f>
        <v/>
      </c>
      <c r="X159" t="str">
        <f>IFERROR(IF($C159="","",SUMIFS(Ledger!$K$2:$K$4, Ledger!$B$2:$B$4, $A159, Ledger!$C$2:$C$4, X$2)),"****")</f>
        <v/>
      </c>
    </row>
    <row r="160" spans="1:24" x14ac:dyDescent="0.3">
      <c r="A160" s="106">
        <v>158</v>
      </c>
      <c r="B160" t="str">
        <f>IFERROR(VLOOKUP($A160, Ledger!$B$2:$L$8, 3, 0),"")</f>
        <v/>
      </c>
      <c r="C160" t="str">
        <f>IFERROR(VLOOKUP($A160, Ledger!$B$2:$L$8, 4, 0),"")</f>
        <v/>
      </c>
      <c r="D160" t="str">
        <f>IFERROR(VLOOKUP($A160, Ledger!$B$2:$L$8, 5, 0),"")</f>
        <v/>
      </c>
      <c r="E160" t="str">
        <f>IFERROR(VLOOKUP($A160, Ledger!$B$2:$L$8, 6, 0),"")</f>
        <v/>
      </c>
      <c r="F160" t="str">
        <f>IFERROR(VLOOKUP($A160,'Student Data'!$A$2:$AR$6,32,0),"")</f>
        <v/>
      </c>
      <c r="G160" t="str">
        <f>IFERROR(VLOOKUP($A160,'Student Data'!$A$2:$AR$6,33,0),"")</f>
        <v/>
      </c>
      <c r="H160" t="str">
        <f>IFERROR(VLOOKUP($A160,'Student Data'!$A$2:$AR$6,34,0),"")</f>
        <v/>
      </c>
      <c r="I160" t="str">
        <f>IFERROR(VLOOKUP($A160,'Student Data'!$A$2:$AR$6,35,0),"")</f>
        <v/>
      </c>
      <c r="J160" t="str">
        <f>IFERROR(VLOOKUP($A160,'Student Data'!$A$2:$AR$6,36,0),"")</f>
        <v/>
      </c>
      <c r="K160" t="str">
        <f t="shared" si="4"/>
        <v/>
      </c>
      <c r="L160" t="str">
        <f t="shared" si="5"/>
        <v/>
      </c>
      <c r="M160" t="str">
        <f>IFERROR(IF($C160="","",SUMIFS(Ledger!$K$2:$K$4, Ledger!$B$2:$B$4, $A160, Ledger!$C$2:$C$4, M$2)),"****")</f>
        <v/>
      </c>
      <c r="N160" t="str">
        <f>IFERROR(IF($C160="","",SUMIFS(Ledger!$K$2:$K$4, Ledger!$B$2:$B$4, $A160, Ledger!$C$2:$C$4, N$2)),"****")</f>
        <v/>
      </c>
      <c r="O160" t="str">
        <f>IFERROR(IF($C160="","",SUMIFS(Ledger!$K$2:$K$4, Ledger!$B$2:$B$4, $A160, Ledger!$C$2:$C$4, O$2)),"****")</f>
        <v/>
      </c>
      <c r="P160" t="str">
        <f>IFERROR(IF($C160="","",SUMIFS(Ledger!$K$2:$K$4, Ledger!$B$2:$B$4, $A160, Ledger!$C$2:$C$4, P$2)),"****")</f>
        <v/>
      </c>
      <c r="Q160" t="str">
        <f>IFERROR(IF($C160="","",SUMIFS(Ledger!$K$2:$K$4, Ledger!$B$2:$B$4, $A160, Ledger!$C$2:$C$4, Q$2)),"****")</f>
        <v/>
      </c>
      <c r="R160" t="str">
        <f>IFERROR(IF($C160="","",SUMIFS(Ledger!$K$2:$K$4, Ledger!$B$2:$B$4, $A160, Ledger!$C$2:$C$4, R$2)),"****")</f>
        <v/>
      </c>
      <c r="S160" t="str">
        <f>IFERROR(IF($C160="","",SUMIFS(Ledger!$K$2:$K$4, Ledger!$B$2:$B$4, $A160, Ledger!$C$2:$C$4, S$2)),"****")</f>
        <v/>
      </c>
      <c r="T160" t="str">
        <f>IFERROR(IF($C160="","",SUMIFS(Ledger!$K$2:$K$4, Ledger!$B$2:$B$4, $A160, Ledger!$C$2:$C$4, T$2)),"****")</f>
        <v/>
      </c>
      <c r="U160" t="str">
        <f>IFERROR(IF($C160="","",SUMIFS(Ledger!$K$2:$K$4, Ledger!$B$2:$B$4, $A160, Ledger!$C$2:$C$4, U$2)),"****")</f>
        <v/>
      </c>
      <c r="V160" t="str">
        <f>IFERROR(IF($C160="","",SUMIFS(Ledger!$K$2:$K$4, Ledger!$B$2:$B$4, $A160, Ledger!$C$2:$C$4, V$2)),"****")</f>
        <v/>
      </c>
      <c r="W160" t="str">
        <f>IFERROR(IF($C160="","",SUMIFS(Ledger!$K$2:$K$4, Ledger!$B$2:$B$4, $A160, Ledger!$C$2:$C$4, W$2)),"****")</f>
        <v/>
      </c>
      <c r="X160" t="str">
        <f>IFERROR(IF($C160="","",SUMIFS(Ledger!$K$2:$K$4, Ledger!$B$2:$B$4, $A160, Ledger!$C$2:$C$4, X$2)),"****")</f>
        <v/>
      </c>
    </row>
    <row r="161" spans="1:24" x14ac:dyDescent="0.3">
      <c r="A161" s="106">
        <v>159</v>
      </c>
      <c r="B161" t="str">
        <f>IFERROR(VLOOKUP($A161, Ledger!$B$2:$L$8, 3, 0),"")</f>
        <v/>
      </c>
      <c r="C161" t="str">
        <f>IFERROR(VLOOKUP($A161, Ledger!$B$2:$L$8, 4, 0),"")</f>
        <v/>
      </c>
      <c r="D161" t="str">
        <f>IFERROR(VLOOKUP($A161, Ledger!$B$2:$L$8, 5, 0),"")</f>
        <v/>
      </c>
      <c r="E161" t="str">
        <f>IFERROR(VLOOKUP($A161, Ledger!$B$2:$L$8, 6, 0),"")</f>
        <v/>
      </c>
      <c r="F161" t="str">
        <f>IFERROR(VLOOKUP($A161,'Student Data'!$A$2:$AR$6,32,0),"")</f>
        <v/>
      </c>
      <c r="G161" t="str">
        <f>IFERROR(VLOOKUP($A161,'Student Data'!$A$2:$AR$6,33,0),"")</f>
        <v/>
      </c>
      <c r="H161" t="str">
        <f>IFERROR(VLOOKUP($A161,'Student Data'!$A$2:$AR$6,34,0),"")</f>
        <v/>
      </c>
      <c r="I161" t="str">
        <f>IFERROR(VLOOKUP($A161,'Student Data'!$A$2:$AR$6,35,0),"")</f>
        <v/>
      </c>
      <c r="J161" t="str">
        <f>IFERROR(VLOOKUP($A161,'Student Data'!$A$2:$AR$6,36,0),"")</f>
        <v/>
      </c>
      <c r="K161" t="str">
        <f t="shared" si="4"/>
        <v/>
      </c>
      <c r="L161" t="str">
        <f t="shared" si="5"/>
        <v/>
      </c>
      <c r="M161" t="str">
        <f>IFERROR(IF($C161="","",SUMIFS(Ledger!$K$2:$K$4, Ledger!$B$2:$B$4, $A161, Ledger!$C$2:$C$4, M$2)),"****")</f>
        <v/>
      </c>
      <c r="N161" t="str">
        <f>IFERROR(IF($C161="","",SUMIFS(Ledger!$K$2:$K$4, Ledger!$B$2:$B$4, $A161, Ledger!$C$2:$C$4, N$2)),"****")</f>
        <v/>
      </c>
      <c r="O161" t="str">
        <f>IFERROR(IF($C161="","",SUMIFS(Ledger!$K$2:$K$4, Ledger!$B$2:$B$4, $A161, Ledger!$C$2:$C$4, O$2)),"****")</f>
        <v/>
      </c>
      <c r="P161" t="str">
        <f>IFERROR(IF($C161="","",SUMIFS(Ledger!$K$2:$K$4, Ledger!$B$2:$B$4, $A161, Ledger!$C$2:$C$4, P$2)),"****")</f>
        <v/>
      </c>
      <c r="Q161" t="str">
        <f>IFERROR(IF($C161="","",SUMIFS(Ledger!$K$2:$K$4, Ledger!$B$2:$B$4, $A161, Ledger!$C$2:$C$4, Q$2)),"****")</f>
        <v/>
      </c>
      <c r="R161" t="str">
        <f>IFERROR(IF($C161="","",SUMIFS(Ledger!$K$2:$K$4, Ledger!$B$2:$B$4, $A161, Ledger!$C$2:$C$4, R$2)),"****")</f>
        <v/>
      </c>
      <c r="S161" t="str">
        <f>IFERROR(IF($C161="","",SUMIFS(Ledger!$K$2:$K$4, Ledger!$B$2:$B$4, $A161, Ledger!$C$2:$C$4, S$2)),"****")</f>
        <v/>
      </c>
      <c r="T161" t="str">
        <f>IFERROR(IF($C161="","",SUMIFS(Ledger!$K$2:$K$4, Ledger!$B$2:$B$4, $A161, Ledger!$C$2:$C$4, T$2)),"****")</f>
        <v/>
      </c>
      <c r="U161" t="str">
        <f>IFERROR(IF($C161="","",SUMIFS(Ledger!$K$2:$K$4, Ledger!$B$2:$B$4, $A161, Ledger!$C$2:$C$4, U$2)),"****")</f>
        <v/>
      </c>
      <c r="V161" t="str">
        <f>IFERROR(IF($C161="","",SUMIFS(Ledger!$K$2:$K$4, Ledger!$B$2:$B$4, $A161, Ledger!$C$2:$C$4, V$2)),"****")</f>
        <v/>
      </c>
      <c r="W161" t="str">
        <f>IFERROR(IF($C161="","",SUMIFS(Ledger!$K$2:$K$4, Ledger!$B$2:$B$4, $A161, Ledger!$C$2:$C$4, W$2)),"****")</f>
        <v/>
      </c>
      <c r="X161" t="str">
        <f>IFERROR(IF($C161="","",SUMIFS(Ledger!$K$2:$K$4, Ledger!$B$2:$B$4, $A161, Ledger!$C$2:$C$4, X$2)),"****")</f>
        <v/>
      </c>
    </row>
    <row r="162" spans="1:24" x14ac:dyDescent="0.3">
      <c r="A162" s="106">
        <v>160</v>
      </c>
      <c r="B162" t="str">
        <f>IFERROR(VLOOKUP($A162, Ledger!$B$2:$L$8, 3, 0),"")</f>
        <v/>
      </c>
      <c r="C162" t="str">
        <f>IFERROR(VLOOKUP($A162, Ledger!$B$2:$L$8, 4, 0),"")</f>
        <v/>
      </c>
      <c r="D162" t="str">
        <f>IFERROR(VLOOKUP($A162, Ledger!$B$2:$L$8, 5, 0),"")</f>
        <v/>
      </c>
      <c r="E162" t="str">
        <f>IFERROR(VLOOKUP($A162, Ledger!$B$2:$L$8, 6, 0),"")</f>
        <v/>
      </c>
      <c r="F162" t="str">
        <f>IFERROR(VLOOKUP($A162,'Student Data'!$A$2:$AR$6,32,0),"")</f>
        <v/>
      </c>
      <c r="G162" t="str">
        <f>IFERROR(VLOOKUP($A162,'Student Data'!$A$2:$AR$6,33,0),"")</f>
        <v/>
      </c>
      <c r="H162" t="str">
        <f>IFERROR(VLOOKUP($A162,'Student Data'!$A$2:$AR$6,34,0),"")</f>
        <v/>
      </c>
      <c r="I162" t="str">
        <f>IFERROR(VLOOKUP($A162,'Student Data'!$A$2:$AR$6,35,0),"")</f>
        <v/>
      </c>
      <c r="J162" t="str">
        <f>IFERROR(VLOOKUP($A162,'Student Data'!$A$2:$AR$6,36,0),"")</f>
        <v/>
      </c>
      <c r="K162" t="str">
        <f t="shared" si="4"/>
        <v/>
      </c>
      <c r="L162" t="str">
        <f t="shared" si="5"/>
        <v/>
      </c>
      <c r="M162" t="str">
        <f>IFERROR(IF($C162="","",SUMIFS(Ledger!$K$2:$K$4, Ledger!$B$2:$B$4, $A162, Ledger!$C$2:$C$4, M$2)),"****")</f>
        <v/>
      </c>
      <c r="N162" t="str">
        <f>IFERROR(IF($C162="","",SUMIFS(Ledger!$K$2:$K$4, Ledger!$B$2:$B$4, $A162, Ledger!$C$2:$C$4, N$2)),"****")</f>
        <v/>
      </c>
      <c r="O162" t="str">
        <f>IFERROR(IF($C162="","",SUMIFS(Ledger!$K$2:$K$4, Ledger!$B$2:$B$4, $A162, Ledger!$C$2:$C$4, O$2)),"****")</f>
        <v/>
      </c>
      <c r="P162" t="str">
        <f>IFERROR(IF($C162="","",SUMIFS(Ledger!$K$2:$K$4, Ledger!$B$2:$B$4, $A162, Ledger!$C$2:$C$4, P$2)),"****")</f>
        <v/>
      </c>
      <c r="Q162" t="str">
        <f>IFERROR(IF($C162="","",SUMIFS(Ledger!$K$2:$K$4, Ledger!$B$2:$B$4, $A162, Ledger!$C$2:$C$4, Q$2)),"****")</f>
        <v/>
      </c>
      <c r="R162" t="str">
        <f>IFERROR(IF($C162="","",SUMIFS(Ledger!$K$2:$K$4, Ledger!$B$2:$B$4, $A162, Ledger!$C$2:$C$4, R$2)),"****")</f>
        <v/>
      </c>
      <c r="S162" t="str">
        <f>IFERROR(IF($C162="","",SUMIFS(Ledger!$K$2:$K$4, Ledger!$B$2:$B$4, $A162, Ledger!$C$2:$C$4, S$2)),"****")</f>
        <v/>
      </c>
      <c r="T162" t="str">
        <f>IFERROR(IF($C162="","",SUMIFS(Ledger!$K$2:$K$4, Ledger!$B$2:$B$4, $A162, Ledger!$C$2:$C$4, T$2)),"****")</f>
        <v/>
      </c>
      <c r="U162" t="str">
        <f>IFERROR(IF($C162="","",SUMIFS(Ledger!$K$2:$K$4, Ledger!$B$2:$B$4, $A162, Ledger!$C$2:$C$4, U$2)),"****")</f>
        <v/>
      </c>
      <c r="V162" t="str">
        <f>IFERROR(IF($C162="","",SUMIFS(Ledger!$K$2:$K$4, Ledger!$B$2:$B$4, $A162, Ledger!$C$2:$C$4, V$2)),"****")</f>
        <v/>
      </c>
      <c r="W162" t="str">
        <f>IFERROR(IF($C162="","",SUMIFS(Ledger!$K$2:$K$4, Ledger!$B$2:$B$4, $A162, Ledger!$C$2:$C$4, W$2)),"****")</f>
        <v/>
      </c>
      <c r="X162" t="str">
        <f>IFERROR(IF($C162="","",SUMIFS(Ledger!$K$2:$K$4, Ledger!$B$2:$B$4, $A162, Ledger!$C$2:$C$4, X$2)),"****")</f>
        <v/>
      </c>
    </row>
    <row r="163" spans="1:24" x14ac:dyDescent="0.3">
      <c r="A163" s="106">
        <v>161</v>
      </c>
      <c r="B163" t="str">
        <f>IFERROR(VLOOKUP($A163, Ledger!$B$2:$L$8, 3, 0),"")</f>
        <v/>
      </c>
      <c r="C163" t="str">
        <f>IFERROR(VLOOKUP($A163, Ledger!$B$2:$L$8, 4, 0),"")</f>
        <v/>
      </c>
      <c r="D163" t="str">
        <f>IFERROR(VLOOKUP($A163, Ledger!$B$2:$L$8, 5, 0),"")</f>
        <v/>
      </c>
      <c r="E163" t="str">
        <f>IFERROR(VLOOKUP($A163, Ledger!$B$2:$L$8, 6, 0),"")</f>
        <v/>
      </c>
      <c r="F163" t="str">
        <f>IFERROR(VLOOKUP($A163,'Student Data'!$A$2:$AR$6,32,0),"")</f>
        <v/>
      </c>
      <c r="G163" t="str">
        <f>IFERROR(VLOOKUP($A163,'Student Data'!$A$2:$AR$6,33,0),"")</f>
        <v/>
      </c>
      <c r="H163" t="str">
        <f>IFERROR(VLOOKUP($A163,'Student Data'!$A$2:$AR$6,34,0),"")</f>
        <v/>
      </c>
      <c r="I163" t="str">
        <f>IFERROR(VLOOKUP($A163,'Student Data'!$A$2:$AR$6,35,0),"")</f>
        <v/>
      </c>
      <c r="J163" t="str">
        <f>IFERROR(VLOOKUP($A163,'Student Data'!$A$2:$AR$6,36,0),"")</f>
        <v/>
      </c>
      <c r="K163" t="str">
        <f t="shared" si="4"/>
        <v/>
      </c>
      <c r="L163" t="str">
        <f t="shared" si="5"/>
        <v/>
      </c>
      <c r="M163" t="str">
        <f>IFERROR(IF($C163="","",SUMIFS(Ledger!$K$2:$K$4, Ledger!$B$2:$B$4, $A163, Ledger!$C$2:$C$4, M$2)),"****")</f>
        <v/>
      </c>
      <c r="N163" t="str">
        <f>IFERROR(IF($C163="","",SUMIFS(Ledger!$K$2:$K$4, Ledger!$B$2:$B$4, $A163, Ledger!$C$2:$C$4, N$2)),"****")</f>
        <v/>
      </c>
      <c r="O163" t="str">
        <f>IFERROR(IF($C163="","",SUMIFS(Ledger!$K$2:$K$4, Ledger!$B$2:$B$4, $A163, Ledger!$C$2:$C$4, O$2)),"****")</f>
        <v/>
      </c>
      <c r="P163" t="str">
        <f>IFERROR(IF($C163="","",SUMIFS(Ledger!$K$2:$K$4, Ledger!$B$2:$B$4, $A163, Ledger!$C$2:$C$4, P$2)),"****")</f>
        <v/>
      </c>
      <c r="Q163" t="str">
        <f>IFERROR(IF($C163="","",SUMIFS(Ledger!$K$2:$K$4, Ledger!$B$2:$B$4, $A163, Ledger!$C$2:$C$4, Q$2)),"****")</f>
        <v/>
      </c>
      <c r="R163" t="str">
        <f>IFERROR(IF($C163="","",SUMIFS(Ledger!$K$2:$K$4, Ledger!$B$2:$B$4, $A163, Ledger!$C$2:$C$4, R$2)),"****")</f>
        <v/>
      </c>
      <c r="S163" t="str">
        <f>IFERROR(IF($C163="","",SUMIFS(Ledger!$K$2:$K$4, Ledger!$B$2:$B$4, $A163, Ledger!$C$2:$C$4, S$2)),"****")</f>
        <v/>
      </c>
      <c r="T163" t="str">
        <f>IFERROR(IF($C163="","",SUMIFS(Ledger!$K$2:$K$4, Ledger!$B$2:$B$4, $A163, Ledger!$C$2:$C$4, T$2)),"****")</f>
        <v/>
      </c>
      <c r="U163" t="str">
        <f>IFERROR(IF($C163="","",SUMIFS(Ledger!$K$2:$K$4, Ledger!$B$2:$B$4, $A163, Ledger!$C$2:$C$4, U$2)),"****")</f>
        <v/>
      </c>
      <c r="V163" t="str">
        <f>IFERROR(IF($C163="","",SUMIFS(Ledger!$K$2:$K$4, Ledger!$B$2:$B$4, $A163, Ledger!$C$2:$C$4, V$2)),"****")</f>
        <v/>
      </c>
      <c r="W163" t="str">
        <f>IFERROR(IF($C163="","",SUMIFS(Ledger!$K$2:$K$4, Ledger!$B$2:$B$4, $A163, Ledger!$C$2:$C$4, W$2)),"****")</f>
        <v/>
      </c>
      <c r="X163" t="str">
        <f>IFERROR(IF($C163="","",SUMIFS(Ledger!$K$2:$K$4, Ledger!$B$2:$B$4, $A163, Ledger!$C$2:$C$4, X$2)),"****")</f>
        <v/>
      </c>
    </row>
    <row r="164" spans="1:24" x14ac:dyDescent="0.3">
      <c r="A164" s="106">
        <v>162</v>
      </c>
      <c r="B164" t="str">
        <f>IFERROR(VLOOKUP($A164, Ledger!$B$2:$L$8, 3, 0),"")</f>
        <v/>
      </c>
      <c r="C164" t="str">
        <f>IFERROR(VLOOKUP($A164, Ledger!$B$2:$L$8, 4, 0),"")</f>
        <v/>
      </c>
      <c r="D164" t="str">
        <f>IFERROR(VLOOKUP($A164, Ledger!$B$2:$L$8, 5, 0),"")</f>
        <v/>
      </c>
      <c r="E164" t="str">
        <f>IFERROR(VLOOKUP($A164, Ledger!$B$2:$L$8, 6, 0),"")</f>
        <v/>
      </c>
      <c r="F164" t="str">
        <f>IFERROR(VLOOKUP($A164,'Student Data'!$A$2:$AR$6,32,0),"")</f>
        <v/>
      </c>
      <c r="G164" t="str">
        <f>IFERROR(VLOOKUP($A164,'Student Data'!$A$2:$AR$6,33,0),"")</f>
        <v/>
      </c>
      <c r="H164" t="str">
        <f>IFERROR(VLOOKUP($A164,'Student Data'!$A$2:$AR$6,34,0),"")</f>
        <v/>
      </c>
      <c r="I164" t="str">
        <f>IFERROR(VLOOKUP($A164,'Student Data'!$A$2:$AR$6,35,0),"")</f>
        <v/>
      </c>
      <c r="J164" t="str">
        <f>IFERROR(VLOOKUP($A164,'Student Data'!$A$2:$AR$6,36,0),"")</f>
        <v/>
      </c>
      <c r="K164" t="str">
        <f t="shared" si="4"/>
        <v/>
      </c>
      <c r="L164" t="str">
        <f t="shared" si="5"/>
        <v/>
      </c>
      <c r="M164" t="str">
        <f>IFERROR(IF($C164="","",SUMIFS(Ledger!$K$2:$K$4, Ledger!$B$2:$B$4, $A164, Ledger!$C$2:$C$4, M$2)),"****")</f>
        <v/>
      </c>
      <c r="N164" t="str">
        <f>IFERROR(IF($C164="","",SUMIFS(Ledger!$K$2:$K$4, Ledger!$B$2:$B$4, $A164, Ledger!$C$2:$C$4, N$2)),"****")</f>
        <v/>
      </c>
      <c r="O164" t="str">
        <f>IFERROR(IF($C164="","",SUMIFS(Ledger!$K$2:$K$4, Ledger!$B$2:$B$4, $A164, Ledger!$C$2:$C$4, O$2)),"****")</f>
        <v/>
      </c>
      <c r="P164" t="str">
        <f>IFERROR(IF($C164="","",SUMIFS(Ledger!$K$2:$K$4, Ledger!$B$2:$B$4, $A164, Ledger!$C$2:$C$4, P$2)),"****")</f>
        <v/>
      </c>
      <c r="Q164" t="str">
        <f>IFERROR(IF($C164="","",SUMIFS(Ledger!$K$2:$K$4, Ledger!$B$2:$B$4, $A164, Ledger!$C$2:$C$4, Q$2)),"****")</f>
        <v/>
      </c>
      <c r="R164" t="str">
        <f>IFERROR(IF($C164="","",SUMIFS(Ledger!$K$2:$K$4, Ledger!$B$2:$B$4, $A164, Ledger!$C$2:$C$4, R$2)),"****")</f>
        <v/>
      </c>
      <c r="S164" t="str">
        <f>IFERROR(IF($C164="","",SUMIFS(Ledger!$K$2:$K$4, Ledger!$B$2:$B$4, $A164, Ledger!$C$2:$C$4, S$2)),"****")</f>
        <v/>
      </c>
      <c r="T164" t="str">
        <f>IFERROR(IF($C164="","",SUMIFS(Ledger!$K$2:$K$4, Ledger!$B$2:$B$4, $A164, Ledger!$C$2:$C$4, T$2)),"****")</f>
        <v/>
      </c>
      <c r="U164" t="str">
        <f>IFERROR(IF($C164="","",SUMIFS(Ledger!$K$2:$K$4, Ledger!$B$2:$B$4, $A164, Ledger!$C$2:$C$4, U$2)),"****")</f>
        <v/>
      </c>
      <c r="V164" t="str">
        <f>IFERROR(IF($C164="","",SUMIFS(Ledger!$K$2:$K$4, Ledger!$B$2:$B$4, $A164, Ledger!$C$2:$C$4, V$2)),"****")</f>
        <v/>
      </c>
      <c r="W164" t="str">
        <f>IFERROR(IF($C164="","",SUMIFS(Ledger!$K$2:$K$4, Ledger!$B$2:$B$4, $A164, Ledger!$C$2:$C$4, W$2)),"****")</f>
        <v/>
      </c>
      <c r="X164" t="str">
        <f>IFERROR(IF($C164="","",SUMIFS(Ledger!$K$2:$K$4, Ledger!$B$2:$B$4, $A164, Ledger!$C$2:$C$4, X$2)),"****")</f>
        <v/>
      </c>
    </row>
    <row r="165" spans="1:24" x14ac:dyDescent="0.3">
      <c r="A165" s="106">
        <v>163</v>
      </c>
      <c r="B165" t="str">
        <f>IFERROR(VLOOKUP($A165, Ledger!$B$2:$L$8, 3, 0),"")</f>
        <v/>
      </c>
      <c r="C165" t="str">
        <f>IFERROR(VLOOKUP($A165, Ledger!$B$2:$L$8, 4, 0),"")</f>
        <v/>
      </c>
      <c r="D165" t="str">
        <f>IFERROR(VLOOKUP($A165, Ledger!$B$2:$L$8, 5, 0),"")</f>
        <v/>
      </c>
      <c r="E165" t="str">
        <f>IFERROR(VLOOKUP($A165, Ledger!$B$2:$L$8, 6, 0),"")</f>
        <v/>
      </c>
      <c r="F165" t="str">
        <f>IFERROR(VLOOKUP($A165,'Student Data'!$A$2:$AR$6,32,0),"")</f>
        <v/>
      </c>
      <c r="G165" t="str">
        <f>IFERROR(VLOOKUP($A165,'Student Data'!$A$2:$AR$6,33,0),"")</f>
        <v/>
      </c>
      <c r="H165" t="str">
        <f>IFERROR(VLOOKUP($A165,'Student Data'!$A$2:$AR$6,34,0),"")</f>
        <v/>
      </c>
      <c r="I165" t="str">
        <f>IFERROR(VLOOKUP($A165,'Student Data'!$A$2:$AR$6,35,0),"")</f>
        <v/>
      </c>
      <c r="J165" t="str">
        <f>IFERROR(VLOOKUP($A165,'Student Data'!$A$2:$AR$6,36,0),"")</f>
        <v/>
      </c>
      <c r="K165" t="str">
        <f t="shared" si="4"/>
        <v/>
      </c>
      <c r="L165" t="str">
        <f t="shared" si="5"/>
        <v/>
      </c>
      <c r="M165" t="str">
        <f>IFERROR(IF($C165="","",SUMIFS(Ledger!$K$2:$K$4, Ledger!$B$2:$B$4, $A165, Ledger!$C$2:$C$4, M$2)),"****")</f>
        <v/>
      </c>
      <c r="N165" t="str">
        <f>IFERROR(IF($C165="","",SUMIFS(Ledger!$K$2:$K$4, Ledger!$B$2:$B$4, $A165, Ledger!$C$2:$C$4, N$2)),"****")</f>
        <v/>
      </c>
      <c r="O165" t="str">
        <f>IFERROR(IF($C165="","",SUMIFS(Ledger!$K$2:$K$4, Ledger!$B$2:$B$4, $A165, Ledger!$C$2:$C$4, O$2)),"****")</f>
        <v/>
      </c>
      <c r="P165" t="str">
        <f>IFERROR(IF($C165="","",SUMIFS(Ledger!$K$2:$K$4, Ledger!$B$2:$B$4, $A165, Ledger!$C$2:$C$4, P$2)),"****")</f>
        <v/>
      </c>
      <c r="Q165" t="str">
        <f>IFERROR(IF($C165="","",SUMIFS(Ledger!$K$2:$K$4, Ledger!$B$2:$B$4, $A165, Ledger!$C$2:$C$4, Q$2)),"****")</f>
        <v/>
      </c>
      <c r="R165" t="str">
        <f>IFERROR(IF($C165="","",SUMIFS(Ledger!$K$2:$K$4, Ledger!$B$2:$B$4, $A165, Ledger!$C$2:$C$4, R$2)),"****")</f>
        <v/>
      </c>
      <c r="S165" t="str">
        <f>IFERROR(IF($C165="","",SUMIFS(Ledger!$K$2:$K$4, Ledger!$B$2:$B$4, $A165, Ledger!$C$2:$C$4, S$2)),"****")</f>
        <v/>
      </c>
      <c r="T165" t="str">
        <f>IFERROR(IF($C165="","",SUMIFS(Ledger!$K$2:$K$4, Ledger!$B$2:$B$4, $A165, Ledger!$C$2:$C$4, T$2)),"****")</f>
        <v/>
      </c>
      <c r="U165" t="str">
        <f>IFERROR(IF($C165="","",SUMIFS(Ledger!$K$2:$K$4, Ledger!$B$2:$B$4, $A165, Ledger!$C$2:$C$4, U$2)),"****")</f>
        <v/>
      </c>
      <c r="V165" t="str">
        <f>IFERROR(IF($C165="","",SUMIFS(Ledger!$K$2:$K$4, Ledger!$B$2:$B$4, $A165, Ledger!$C$2:$C$4, V$2)),"****")</f>
        <v/>
      </c>
      <c r="W165" t="str">
        <f>IFERROR(IF($C165="","",SUMIFS(Ledger!$K$2:$K$4, Ledger!$B$2:$B$4, $A165, Ledger!$C$2:$C$4, W$2)),"****")</f>
        <v/>
      </c>
      <c r="X165" t="str">
        <f>IFERROR(IF($C165="","",SUMIFS(Ledger!$K$2:$K$4, Ledger!$B$2:$B$4, $A165, Ledger!$C$2:$C$4, X$2)),"****")</f>
        <v/>
      </c>
    </row>
    <row r="166" spans="1:24" x14ac:dyDescent="0.3">
      <c r="A166" s="106">
        <v>164</v>
      </c>
      <c r="B166" t="str">
        <f>IFERROR(VLOOKUP($A166, Ledger!$B$2:$L$8, 3, 0),"")</f>
        <v/>
      </c>
      <c r="C166" t="str">
        <f>IFERROR(VLOOKUP($A166, Ledger!$B$2:$L$8, 4, 0),"")</f>
        <v/>
      </c>
      <c r="D166" t="str">
        <f>IFERROR(VLOOKUP($A166, Ledger!$B$2:$L$8, 5, 0),"")</f>
        <v/>
      </c>
      <c r="E166" t="str">
        <f>IFERROR(VLOOKUP($A166, Ledger!$B$2:$L$8, 6, 0),"")</f>
        <v/>
      </c>
      <c r="F166" t="str">
        <f>IFERROR(VLOOKUP($A166,'Student Data'!$A$2:$AR$6,32,0),"")</f>
        <v/>
      </c>
      <c r="G166" t="str">
        <f>IFERROR(VLOOKUP($A166,'Student Data'!$A$2:$AR$6,33,0),"")</f>
        <v/>
      </c>
      <c r="H166" t="str">
        <f>IFERROR(VLOOKUP($A166,'Student Data'!$A$2:$AR$6,34,0),"")</f>
        <v/>
      </c>
      <c r="I166" t="str">
        <f>IFERROR(VLOOKUP($A166,'Student Data'!$A$2:$AR$6,35,0),"")</f>
        <v/>
      </c>
      <c r="J166" t="str">
        <f>IFERROR(VLOOKUP($A166,'Student Data'!$A$2:$AR$6,36,0),"")</f>
        <v/>
      </c>
      <c r="K166" t="str">
        <f t="shared" si="4"/>
        <v/>
      </c>
      <c r="L166" t="str">
        <f t="shared" si="5"/>
        <v/>
      </c>
      <c r="M166" t="str">
        <f>IFERROR(IF($C166="","",SUMIFS(Ledger!$K$2:$K$4, Ledger!$B$2:$B$4, $A166, Ledger!$C$2:$C$4, M$2)),"****")</f>
        <v/>
      </c>
      <c r="N166" t="str">
        <f>IFERROR(IF($C166="","",SUMIFS(Ledger!$K$2:$K$4, Ledger!$B$2:$B$4, $A166, Ledger!$C$2:$C$4, N$2)),"****")</f>
        <v/>
      </c>
      <c r="O166" t="str">
        <f>IFERROR(IF($C166="","",SUMIFS(Ledger!$K$2:$K$4, Ledger!$B$2:$B$4, $A166, Ledger!$C$2:$C$4, O$2)),"****")</f>
        <v/>
      </c>
      <c r="P166" t="str">
        <f>IFERROR(IF($C166="","",SUMIFS(Ledger!$K$2:$K$4, Ledger!$B$2:$B$4, $A166, Ledger!$C$2:$C$4, P$2)),"****")</f>
        <v/>
      </c>
      <c r="Q166" t="str">
        <f>IFERROR(IF($C166="","",SUMIFS(Ledger!$K$2:$K$4, Ledger!$B$2:$B$4, $A166, Ledger!$C$2:$C$4, Q$2)),"****")</f>
        <v/>
      </c>
      <c r="R166" t="str">
        <f>IFERROR(IF($C166="","",SUMIFS(Ledger!$K$2:$K$4, Ledger!$B$2:$B$4, $A166, Ledger!$C$2:$C$4, R$2)),"****")</f>
        <v/>
      </c>
      <c r="S166" t="str">
        <f>IFERROR(IF($C166="","",SUMIFS(Ledger!$K$2:$K$4, Ledger!$B$2:$B$4, $A166, Ledger!$C$2:$C$4, S$2)),"****")</f>
        <v/>
      </c>
      <c r="T166" t="str">
        <f>IFERROR(IF($C166="","",SUMIFS(Ledger!$K$2:$K$4, Ledger!$B$2:$B$4, $A166, Ledger!$C$2:$C$4, T$2)),"****")</f>
        <v/>
      </c>
      <c r="U166" t="str">
        <f>IFERROR(IF($C166="","",SUMIFS(Ledger!$K$2:$K$4, Ledger!$B$2:$B$4, $A166, Ledger!$C$2:$C$4, U$2)),"****")</f>
        <v/>
      </c>
      <c r="V166" t="str">
        <f>IFERROR(IF($C166="","",SUMIFS(Ledger!$K$2:$K$4, Ledger!$B$2:$B$4, $A166, Ledger!$C$2:$C$4, V$2)),"****")</f>
        <v/>
      </c>
      <c r="W166" t="str">
        <f>IFERROR(IF($C166="","",SUMIFS(Ledger!$K$2:$K$4, Ledger!$B$2:$B$4, $A166, Ledger!$C$2:$C$4, W$2)),"****")</f>
        <v/>
      </c>
      <c r="X166" t="str">
        <f>IFERROR(IF($C166="","",SUMIFS(Ledger!$K$2:$K$4, Ledger!$B$2:$B$4, $A166, Ledger!$C$2:$C$4, X$2)),"****")</f>
        <v/>
      </c>
    </row>
    <row r="167" spans="1:24" x14ac:dyDescent="0.3">
      <c r="A167" s="106">
        <v>165</v>
      </c>
      <c r="B167" t="str">
        <f>IFERROR(VLOOKUP($A167, Ledger!$B$2:$L$8, 3, 0),"")</f>
        <v/>
      </c>
      <c r="C167" t="str">
        <f>IFERROR(VLOOKUP($A167, Ledger!$B$2:$L$8, 4, 0),"")</f>
        <v/>
      </c>
      <c r="D167" t="str">
        <f>IFERROR(VLOOKUP($A167, Ledger!$B$2:$L$8, 5, 0),"")</f>
        <v/>
      </c>
      <c r="E167" t="str">
        <f>IFERROR(VLOOKUP($A167, Ledger!$B$2:$L$8, 6, 0),"")</f>
        <v/>
      </c>
      <c r="F167" t="str">
        <f>IFERROR(VLOOKUP($A167,'Student Data'!$A$2:$AR$6,32,0),"")</f>
        <v/>
      </c>
      <c r="G167" t="str">
        <f>IFERROR(VLOOKUP($A167,'Student Data'!$A$2:$AR$6,33,0),"")</f>
        <v/>
      </c>
      <c r="H167" t="str">
        <f>IFERROR(VLOOKUP($A167,'Student Data'!$A$2:$AR$6,34,0),"")</f>
        <v/>
      </c>
      <c r="I167" t="str">
        <f>IFERROR(VLOOKUP($A167,'Student Data'!$A$2:$AR$6,35,0),"")</f>
        <v/>
      </c>
      <c r="J167" t="str">
        <f>IFERROR(VLOOKUP($A167,'Student Data'!$A$2:$AR$6,36,0),"")</f>
        <v/>
      </c>
      <c r="K167" t="str">
        <f t="shared" si="4"/>
        <v/>
      </c>
      <c r="L167" t="str">
        <f t="shared" si="5"/>
        <v/>
      </c>
      <c r="M167" t="str">
        <f>IFERROR(IF($C167="","",SUMIFS(Ledger!$K$2:$K$4, Ledger!$B$2:$B$4, $A167, Ledger!$C$2:$C$4, M$2)),"****")</f>
        <v/>
      </c>
      <c r="N167" t="str">
        <f>IFERROR(IF($C167="","",SUMIFS(Ledger!$K$2:$K$4, Ledger!$B$2:$B$4, $A167, Ledger!$C$2:$C$4, N$2)),"****")</f>
        <v/>
      </c>
      <c r="O167" t="str">
        <f>IFERROR(IF($C167="","",SUMIFS(Ledger!$K$2:$K$4, Ledger!$B$2:$B$4, $A167, Ledger!$C$2:$C$4, O$2)),"****")</f>
        <v/>
      </c>
      <c r="P167" t="str">
        <f>IFERROR(IF($C167="","",SUMIFS(Ledger!$K$2:$K$4, Ledger!$B$2:$B$4, $A167, Ledger!$C$2:$C$4, P$2)),"****")</f>
        <v/>
      </c>
      <c r="Q167" t="str">
        <f>IFERROR(IF($C167="","",SUMIFS(Ledger!$K$2:$K$4, Ledger!$B$2:$B$4, $A167, Ledger!$C$2:$C$4, Q$2)),"****")</f>
        <v/>
      </c>
      <c r="R167" t="str">
        <f>IFERROR(IF($C167="","",SUMIFS(Ledger!$K$2:$K$4, Ledger!$B$2:$B$4, $A167, Ledger!$C$2:$C$4, R$2)),"****")</f>
        <v/>
      </c>
      <c r="S167" t="str">
        <f>IFERROR(IF($C167="","",SUMIFS(Ledger!$K$2:$K$4, Ledger!$B$2:$B$4, $A167, Ledger!$C$2:$C$4, S$2)),"****")</f>
        <v/>
      </c>
      <c r="T167" t="str">
        <f>IFERROR(IF($C167="","",SUMIFS(Ledger!$K$2:$K$4, Ledger!$B$2:$B$4, $A167, Ledger!$C$2:$C$4, T$2)),"****")</f>
        <v/>
      </c>
      <c r="U167" t="str">
        <f>IFERROR(IF($C167="","",SUMIFS(Ledger!$K$2:$K$4, Ledger!$B$2:$B$4, $A167, Ledger!$C$2:$C$4, U$2)),"****")</f>
        <v/>
      </c>
      <c r="V167" t="str">
        <f>IFERROR(IF($C167="","",SUMIFS(Ledger!$K$2:$K$4, Ledger!$B$2:$B$4, $A167, Ledger!$C$2:$C$4, V$2)),"****")</f>
        <v/>
      </c>
      <c r="W167" t="str">
        <f>IFERROR(IF($C167="","",SUMIFS(Ledger!$K$2:$K$4, Ledger!$B$2:$B$4, $A167, Ledger!$C$2:$C$4, W$2)),"****")</f>
        <v/>
      </c>
      <c r="X167" t="str">
        <f>IFERROR(IF($C167="","",SUMIFS(Ledger!$K$2:$K$4, Ledger!$B$2:$B$4, $A167, Ledger!$C$2:$C$4, X$2)),"****")</f>
        <v/>
      </c>
    </row>
    <row r="168" spans="1:24" x14ac:dyDescent="0.3">
      <c r="A168" s="106">
        <v>166</v>
      </c>
      <c r="B168" t="str">
        <f>IFERROR(VLOOKUP($A168, Ledger!$B$2:$L$8, 3, 0),"")</f>
        <v/>
      </c>
      <c r="C168" t="str">
        <f>IFERROR(VLOOKUP($A168, Ledger!$B$2:$L$8, 4, 0),"")</f>
        <v/>
      </c>
      <c r="D168" t="str">
        <f>IFERROR(VLOOKUP($A168, Ledger!$B$2:$L$8, 5, 0),"")</f>
        <v/>
      </c>
      <c r="E168" t="str">
        <f>IFERROR(VLOOKUP($A168, Ledger!$B$2:$L$8, 6, 0),"")</f>
        <v/>
      </c>
      <c r="F168" t="str">
        <f>IFERROR(VLOOKUP($A168,'Student Data'!$A$2:$AR$6,32,0),"")</f>
        <v/>
      </c>
      <c r="G168" t="str">
        <f>IFERROR(VLOOKUP($A168,'Student Data'!$A$2:$AR$6,33,0),"")</f>
        <v/>
      </c>
      <c r="H168" t="str">
        <f>IFERROR(VLOOKUP($A168,'Student Data'!$A$2:$AR$6,34,0),"")</f>
        <v/>
      </c>
      <c r="I168" t="str">
        <f>IFERROR(VLOOKUP($A168,'Student Data'!$A$2:$AR$6,35,0),"")</f>
        <v/>
      </c>
      <c r="J168" t="str">
        <f>IFERROR(VLOOKUP($A168,'Student Data'!$A$2:$AR$6,36,0),"")</f>
        <v/>
      </c>
      <c r="K168" t="str">
        <f t="shared" si="4"/>
        <v/>
      </c>
      <c r="L168" t="str">
        <f t="shared" si="5"/>
        <v/>
      </c>
      <c r="M168" t="str">
        <f>IFERROR(IF($C168="","",SUMIFS(Ledger!$K$2:$K$4, Ledger!$B$2:$B$4, $A168, Ledger!$C$2:$C$4, M$2)),"****")</f>
        <v/>
      </c>
      <c r="N168" t="str">
        <f>IFERROR(IF($C168="","",SUMIFS(Ledger!$K$2:$K$4, Ledger!$B$2:$B$4, $A168, Ledger!$C$2:$C$4, N$2)),"****")</f>
        <v/>
      </c>
      <c r="O168" t="str">
        <f>IFERROR(IF($C168="","",SUMIFS(Ledger!$K$2:$K$4, Ledger!$B$2:$B$4, $A168, Ledger!$C$2:$C$4, O$2)),"****")</f>
        <v/>
      </c>
      <c r="P168" t="str">
        <f>IFERROR(IF($C168="","",SUMIFS(Ledger!$K$2:$K$4, Ledger!$B$2:$B$4, $A168, Ledger!$C$2:$C$4, P$2)),"****")</f>
        <v/>
      </c>
      <c r="Q168" t="str">
        <f>IFERROR(IF($C168="","",SUMIFS(Ledger!$K$2:$K$4, Ledger!$B$2:$B$4, $A168, Ledger!$C$2:$C$4, Q$2)),"****")</f>
        <v/>
      </c>
      <c r="R168" t="str">
        <f>IFERROR(IF($C168="","",SUMIFS(Ledger!$K$2:$K$4, Ledger!$B$2:$B$4, $A168, Ledger!$C$2:$C$4, R$2)),"****")</f>
        <v/>
      </c>
      <c r="S168" t="str">
        <f>IFERROR(IF($C168="","",SUMIFS(Ledger!$K$2:$K$4, Ledger!$B$2:$B$4, $A168, Ledger!$C$2:$C$4, S$2)),"****")</f>
        <v/>
      </c>
      <c r="T168" t="str">
        <f>IFERROR(IF($C168="","",SUMIFS(Ledger!$K$2:$K$4, Ledger!$B$2:$B$4, $A168, Ledger!$C$2:$C$4, T$2)),"****")</f>
        <v/>
      </c>
      <c r="U168" t="str">
        <f>IFERROR(IF($C168="","",SUMIFS(Ledger!$K$2:$K$4, Ledger!$B$2:$B$4, $A168, Ledger!$C$2:$C$4, U$2)),"****")</f>
        <v/>
      </c>
      <c r="V168" t="str">
        <f>IFERROR(IF($C168="","",SUMIFS(Ledger!$K$2:$K$4, Ledger!$B$2:$B$4, $A168, Ledger!$C$2:$C$4, V$2)),"****")</f>
        <v/>
      </c>
      <c r="W168" t="str">
        <f>IFERROR(IF($C168="","",SUMIFS(Ledger!$K$2:$K$4, Ledger!$B$2:$B$4, $A168, Ledger!$C$2:$C$4, W$2)),"****")</f>
        <v/>
      </c>
      <c r="X168" t="str">
        <f>IFERROR(IF($C168="","",SUMIFS(Ledger!$K$2:$K$4, Ledger!$B$2:$B$4, $A168, Ledger!$C$2:$C$4, X$2)),"****")</f>
        <v/>
      </c>
    </row>
    <row r="169" spans="1:24" x14ac:dyDescent="0.3">
      <c r="A169" s="106">
        <v>167</v>
      </c>
      <c r="B169" t="str">
        <f>IFERROR(VLOOKUP($A169, Ledger!$B$2:$L$8, 3, 0),"")</f>
        <v/>
      </c>
      <c r="C169" t="str">
        <f>IFERROR(VLOOKUP($A169, Ledger!$B$2:$L$8, 4, 0),"")</f>
        <v/>
      </c>
      <c r="D169" t="str">
        <f>IFERROR(VLOOKUP($A169, Ledger!$B$2:$L$8, 5, 0),"")</f>
        <v/>
      </c>
      <c r="E169" t="str">
        <f>IFERROR(VLOOKUP($A169, Ledger!$B$2:$L$8, 6, 0),"")</f>
        <v/>
      </c>
      <c r="F169" t="str">
        <f>IFERROR(VLOOKUP($A169,'Student Data'!$A$2:$AR$6,32,0),"")</f>
        <v/>
      </c>
      <c r="G169" t="str">
        <f>IFERROR(VLOOKUP($A169,'Student Data'!$A$2:$AR$6,33,0),"")</f>
        <v/>
      </c>
      <c r="H169" t="str">
        <f>IFERROR(VLOOKUP($A169,'Student Data'!$A$2:$AR$6,34,0),"")</f>
        <v/>
      </c>
      <c r="I169" t="str">
        <f>IFERROR(VLOOKUP($A169,'Student Data'!$A$2:$AR$6,35,0),"")</f>
        <v/>
      </c>
      <c r="J169" t="str">
        <f>IFERROR(VLOOKUP($A169,'Student Data'!$A$2:$AR$6,36,0),"")</f>
        <v/>
      </c>
      <c r="K169" t="str">
        <f t="shared" si="4"/>
        <v/>
      </c>
      <c r="L169" t="str">
        <f t="shared" si="5"/>
        <v/>
      </c>
      <c r="M169" t="str">
        <f>IFERROR(IF($C169="","",SUMIFS(Ledger!$K$2:$K$4, Ledger!$B$2:$B$4, $A169, Ledger!$C$2:$C$4, M$2)),"****")</f>
        <v/>
      </c>
      <c r="N169" t="str">
        <f>IFERROR(IF($C169="","",SUMIFS(Ledger!$K$2:$K$4, Ledger!$B$2:$B$4, $A169, Ledger!$C$2:$C$4, N$2)),"****")</f>
        <v/>
      </c>
      <c r="O169" t="str">
        <f>IFERROR(IF($C169="","",SUMIFS(Ledger!$K$2:$K$4, Ledger!$B$2:$B$4, $A169, Ledger!$C$2:$C$4, O$2)),"****")</f>
        <v/>
      </c>
      <c r="P169" t="str">
        <f>IFERROR(IF($C169="","",SUMIFS(Ledger!$K$2:$K$4, Ledger!$B$2:$B$4, $A169, Ledger!$C$2:$C$4, P$2)),"****")</f>
        <v/>
      </c>
      <c r="Q169" t="str">
        <f>IFERROR(IF($C169="","",SUMIFS(Ledger!$K$2:$K$4, Ledger!$B$2:$B$4, $A169, Ledger!$C$2:$C$4, Q$2)),"****")</f>
        <v/>
      </c>
      <c r="R169" t="str">
        <f>IFERROR(IF($C169="","",SUMIFS(Ledger!$K$2:$K$4, Ledger!$B$2:$B$4, $A169, Ledger!$C$2:$C$4, R$2)),"****")</f>
        <v/>
      </c>
      <c r="S169" t="str">
        <f>IFERROR(IF($C169="","",SUMIFS(Ledger!$K$2:$K$4, Ledger!$B$2:$B$4, $A169, Ledger!$C$2:$C$4, S$2)),"****")</f>
        <v/>
      </c>
      <c r="T169" t="str">
        <f>IFERROR(IF($C169="","",SUMIFS(Ledger!$K$2:$K$4, Ledger!$B$2:$B$4, $A169, Ledger!$C$2:$C$4, T$2)),"****")</f>
        <v/>
      </c>
      <c r="U169" t="str">
        <f>IFERROR(IF($C169="","",SUMIFS(Ledger!$K$2:$K$4, Ledger!$B$2:$B$4, $A169, Ledger!$C$2:$C$4, U$2)),"****")</f>
        <v/>
      </c>
      <c r="V169" t="str">
        <f>IFERROR(IF($C169="","",SUMIFS(Ledger!$K$2:$K$4, Ledger!$B$2:$B$4, $A169, Ledger!$C$2:$C$4, V$2)),"****")</f>
        <v/>
      </c>
      <c r="W169" t="str">
        <f>IFERROR(IF($C169="","",SUMIFS(Ledger!$K$2:$K$4, Ledger!$B$2:$B$4, $A169, Ledger!$C$2:$C$4, W$2)),"****")</f>
        <v/>
      </c>
      <c r="X169" t="str">
        <f>IFERROR(IF($C169="","",SUMIFS(Ledger!$K$2:$K$4, Ledger!$B$2:$B$4, $A169, Ledger!$C$2:$C$4, X$2)),"****")</f>
        <v/>
      </c>
    </row>
    <row r="170" spans="1:24" x14ac:dyDescent="0.3">
      <c r="A170" s="106">
        <v>168</v>
      </c>
      <c r="B170" t="str">
        <f>IFERROR(VLOOKUP($A170, Ledger!$B$2:$L$8, 3, 0),"")</f>
        <v/>
      </c>
      <c r="C170" t="str">
        <f>IFERROR(VLOOKUP($A170, Ledger!$B$2:$L$8, 4, 0),"")</f>
        <v/>
      </c>
      <c r="D170" t="str">
        <f>IFERROR(VLOOKUP($A170, Ledger!$B$2:$L$8, 5, 0),"")</f>
        <v/>
      </c>
      <c r="E170" t="str">
        <f>IFERROR(VLOOKUP($A170, Ledger!$B$2:$L$8, 6, 0),"")</f>
        <v/>
      </c>
      <c r="F170" t="str">
        <f>IFERROR(VLOOKUP($A170,'Student Data'!$A$2:$AR$6,32,0),"")</f>
        <v/>
      </c>
      <c r="G170" t="str">
        <f>IFERROR(VLOOKUP($A170,'Student Data'!$A$2:$AR$6,33,0),"")</f>
        <v/>
      </c>
      <c r="H170" t="str">
        <f>IFERROR(VLOOKUP($A170,'Student Data'!$A$2:$AR$6,34,0),"")</f>
        <v/>
      </c>
      <c r="I170" t="str">
        <f>IFERROR(VLOOKUP($A170,'Student Data'!$A$2:$AR$6,35,0),"")</f>
        <v/>
      </c>
      <c r="J170" t="str">
        <f>IFERROR(VLOOKUP($A170,'Student Data'!$A$2:$AR$6,36,0),"")</f>
        <v/>
      </c>
      <c r="K170" t="str">
        <f t="shared" si="4"/>
        <v/>
      </c>
      <c r="L170" t="str">
        <f t="shared" si="5"/>
        <v/>
      </c>
      <c r="M170" t="str">
        <f>IFERROR(IF($C170="","",SUMIFS(Ledger!$K$2:$K$4, Ledger!$B$2:$B$4, $A170, Ledger!$C$2:$C$4, M$2)),"****")</f>
        <v/>
      </c>
      <c r="N170" t="str">
        <f>IFERROR(IF($C170="","",SUMIFS(Ledger!$K$2:$K$4, Ledger!$B$2:$B$4, $A170, Ledger!$C$2:$C$4, N$2)),"****")</f>
        <v/>
      </c>
      <c r="O170" t="str">
        <f>IFERROR(IF($C170="","",SUMIFS(Ledger!$K$2:$K$4, Ledger!$B$2:$B$4, $A170, Ledger!$C$2:$C$4, O$2)),"****")</f>
        <v/>
      </c>
      <c r="P170" t="str">
        <f>IFERROR(IF($C170="","",SUMIFS(Ledger!$K$2:$K$4, Ledger!$B$2:$B$4, $A170, Ledger!$C$2:$C$4, P$2)),"****")</f>
        <v/>
      </c>
      <c r="Q170" t="str">
        <f>IFERROR(IF($C170="","",SUMIFS(Ledger!$K$2:$K$4, Ledger!$B$2:$B$4, $A170, Ledger!$C$2:$C$4, Q$2)),"****")</f>
        <v/>
      </c>
      <c r="R170" t="str">
        <f>IFERROR(IF($C170="","",SUMIFS(Ledger!$K$2:$K$4, Ledger!$B$2:$B$4, $A170, Ledger!$C$2:$C$4, R$2)),"****")</f>
        <v/>
      </c>
      <c r="S170" t="str">
        <f>IFERROR(IF($C170="","",SUMIFS(Ledger!$K$2:$K$4, Ledger!$B$2:$B$4, $A170, Ledger!$C$2:$C$4, S$2)),"****")</f>
        <v/>
      </c>
      <c r="T170" t="str">
        <f>IFERROR(IF($C170="","",SUMIFS(Ledger!$K$2:$K$4, Ledger!$B$2:$B$4, $A170, Ledger!$C$2:$C$4, T$2)),"****")</f>
        <v/>
      </c>
      <c r="U170" t="str">
        <f>IFERROR(IF($C170="","",SUMIFS(Ledger!$K$2:$K$4, Ledger!$B$2:$B$4, $A170, Ledger!$C$2:$C$4, U$2)),"****")</f>
        <v/>
      </c>
      <c r="V170" t="str">
        <f>IFERROR(IF($C170="","",SUMIFS(Ledger!$K$2:$K$4, Ledger!$B$2:$B$4, $A170, Ledger!$C$2:$C$4, V$2)),"****")</f>
        <v/>
      </c>
      <c r="W170" t="str">
        <f>IFERROR(IF($C170="","",SUMIFS(Ledger!$K$2:$K$4, Ledger!$B$2:$B$4, $A170, Ledger!$C$2:$C$4, W$2)),"****")</f>
        <v/>
      </c>
      <c r="X170" t="str">
        <f>IFERROR(IF($C170="","",SUMIFS(Ledger!$K$2:$K$4, Ledger!$B$2:$B$4, $A170, Ledger!$C$2:$C$4, X$2)),"****")</f>
        <v/>
      </c>
    </row>
    <row r="171" spans="1:24" x14ac:dyDescent="0.3">
      <c r="A171" s="106">
        <v>169</v>
      </c>
      <c r="B171" t="str">
        <f>IFERROR(VLOOKUP($A171, Ledger!$B$2:$L$8, 3, 0),"")</f>
        <v/>
      </c>
      <c r="C171" t="str">
        <f>IFERROR(VLOOKUP($A171, Ledger!$B$2:$L$8, 4, 0),"")</f>
        <v/>
      </c>
      <c r="D171" t="str">
        <f>IFERROR(VLOOKUP($A171, Ledger!$B$2:$L$8, 5, 0),"")</f>
        <v/>
      </c>
      <c r="E171" t="str">
        <f>IFERROR(VLOOKUP($A171, Ledger!$B$2:$L$8, 6, 0),"")</f>
        <v/>
      </c>
      <c r="F171" t="str">
        <f>IFERROR(VLOOKUP($A171,'Student Data'!$A$2:$AR$6,32,0),"")</f>
        <v/>
      </c>
      <c r="G171" t="str">
        <f>IFERROR(VLOOKUP($A171,'Student Data'!$A$2:$AR$6,33,0),"")</f>
        <v/>
      </c>
      <c r="H171" t="str">
        <f>IFERROR(VLOOKUP($A171,'Student Data'!$A$2:$AR$6,34,0),"")</f>
        <v/>
      </c>
      <c r="I171" t="str">
        <f>IFERROR(VLOOKUP($A171,'Student Data'!$A$2:$AR$6,35,0),"")</f>
        <v/>
      </c>
      <c r="J171" t="str">
        <f>IFERROR(VLOOKUP($A171,'Student Data'!$A$2:$AR$6,36,0),"")</f>
        <v/>
      </c>
      <c r="K171" t="str">
        <f t="shared" si="4"/>
        <v/>
      </c>
      <c r="L171" t="str">
        <f t="shared" si="5"/>
        <v/>
      </c>
      <c r="M171" t="str">
        <f>IFERROR(IF($C171="","",SUMIFS(Ledger!$K$2:$K$4, Ledger!$B$2:$B$4, $A171, Ledger!$C$2:$C$4, M$2)),"****")</f>
        <v/>
      </c>
      <c r="N171" t="str">
        <f>IFERROR(IF($C171="","",SUMIFS(Ledger!$K$2:$K$4, Ledger!$B$2:$B$4, $A171, Ledger!$C$2:$C$4, N$2)),"****")</f>
        <v/>
      </c>
      <c r="O171" t="str">
        <f>IFERROR(IF($C171="","",SUMIFS(Ledger!$K$2:$K$4, Ledger!$B$2:$B$4, $A171, Ledger!$C$2:$C$4, O$2)),"****")</f>
        <v/>
      </c>
      <c r="P171" t="str">
        <f>IFERROR(IF($C171="","",SUMIFS(Ledger!$K$2:$K$4, Ledger!$B$2:$B$4, $A171, Ledger!$C$2:$C$4, P$2)),"****")</f>
        <v/>
      </c>
      <c r="Q171" t="str">
        <f>IFERROR(IF($C171="","",SUMIFS(Ledger!$K$2:$K$4, Ledger!$B$2:$B$4, $A171, Ledger!$C$2:$C$4, Q$2)),"****")</f>
        <v/>
      </c>
      <c r="R171" t="str">
        <f>IFERROR(IF($C171="","",SUMIFS(Ledger!$K$2:$K$4, Ledger!$B$2:$B$4, $A171, Ledger!$C$2:$C$4, R$2)),"****")</f>
        <v/>
      </c>
      <c r="S171" t="str">
        <f>IFERROR(IF($C171="","",SUMIFS(Ledger!$K$2:$K$4, Ledger!$B$2:$B$4, $A171, Ledger!$C$2:$C$4, S$2)),"****")</f>
        <v/>
      </c>
      <c r="T171" t="str">
        <f>IFERROR(IF($C171="","",SUMIFS(Ledger!$K$2:$K$4, Ledger!$B$2:$B$4, $A171, Ledger!$C$2:$C$4, T$2)),"****")</f>
        <v/>
      </c>
      <c r="U171" t="str">
        <f>IFERROR(IF($C171="","",SUMIFS(Ledger!$K$2:$K$4, Ledger!$B$2:$B$4, $A171, Ledger!$C$2:$C$4, U$2)),"****")</f>
        <v/>
      </c>
      <c r="V171" t="str">
        <f>IFERROR(IF($C171="","",SUMIFS(Ledger!$K$2:$K$4, Ledger!$B$2:$B$4, $A171, Ledger!$C$2:$C$4, V$2)),"****")</f>
        <v/>
      </c>
      <c r="W171" t="str">
        <f>IFERROR(IF($C171="","",SUMIFS(Ledger!$K$2:$K$4, Ledger!$B$2:$B$4, $A171, Ledger!$C$2:$C$4, W$2)),"****")</f>
        <v/>
      </c>
      <c r="X171" t="str">
        <f>IFERROR(IF($C171="","",SUMIFS(Ledger!$K$2:$K$4, Ledger!$B$2:$B$4, $A171, Ledger!$C$2:$C$4, X$2)),"****")</f>
        <v/>
      </c>
    </row>
    <row r="172" spans="1:24" x14ac:dyDescent="0.3">
      <c r="A172" s="106">
        <v>170</v>
      </c>
      <c r="B172" t="str">
        <f>IFERROR(VLOOKUP($A172, Ledger!$B$2:$L$8, 3, 0),"")</f>
        <v/>
      </c>
      <c r="C172" t="str">
        <f>IFERROR(VLOOKUP($A172, Ledger!$B$2:$L$8, 4, 0),"")</f>
        <v/>
      </c>
      <c r="D172" t="str">
        <f>IFERROR(VLOOKUP($A172, Ledger!$B$2:$L$8, 5, 0),"")</f>
        <v/>
      </c>
      <c r="E172" t="str">
        <f>IFERROR(VLOOKUP($A172, Ledger!$B$2:$L$8, 6, 0),"")</f>
        <v/>
      </c>
      <c r="F172" t="str">
        <f>IFERROR(VLOOKUP($A172,'Student Data'!$A$2:$AR$6,32,0),"")</f>
        <v/>
      </c>
      <c r="G172" t="str">
        <f>IFERROR(VLOOKUP($A172,'Student Data'!$A$2:$AR$6,33,0),"")</f>
        <v/>
      </c>
      <c r="H172" t="str">
        <f>IFERROR(VLOOKUP($A172,'Student Data'!$A$2:$AR$6,34,0),"")</f>
        <v/>
      </c>
      <c r="I172" t="str">
        <f>IFERROR(VLOOKUP($A172,'Student Data'!$A$2:$AR$6,35,0),"")</f>
        <v/>
      </c>
      <c r="J172" t="str">
        <f>IFERROR(VLOOKUP($A172,'Student Data'!$A$2:$AR$6,36,0),"")</f>
        <v/>
      </c>
      <c r="K172" t="str">
        <f t="shared" si="4"/>
        <v/>
      </c>
      <c r="L172" t="str">
        <f t="shared" si="5"/>
        <v/>
      </c>
      <c r="M172" t="str">
        <f>IFERROR(IF($C172="","",SUMIFS(Ledger!$K$2:$K$4, Ledger!$B$2:$B$4, $A172, Ledger!$C$2:$C$4, M$2)),"****")</f>
        <v/>
      </c>
      <c r="N172" t="str">
        <f>IFERROR(IF($C172="","",SUMIFS(Ledger!$K$2:$K$4, Ledger!$B$2:$B$4, $A172, Ledger!$C$2:$C$4, N$2)),"****")</f>
        <v/>
      </c>
      <c r="O172" t="str">
        <f>IFERROR(IF($C172="","",SUMIFS(Ledger!$K$2:$K$4, Ledger!$B$2:$B$4, $A172, Ledger!$C$2:$C$4, O$2)),"****")</f>
        <v/>
      </c>
      <c r="P172" t="str">
        <f>IFERROR(IF($C172="","",SUMIFS(Ledger!$K$2:$K$4, Ledger!$B$2:$B$4, $A172, Ledger!$C$2:$C$4, P$2)),"****")</f>
        <v/>
      </c>
      <c r="Q172" t="str">
        <f>IFERROR(IF($C172="","",SUMIFS(Ledger!$K$2:$K$4, Ledger!$B$2:$B$4, $A172, Ledger!$C$2:$C$4, Q$2)),"****")</f>
        <v/>
      </c>
      <c r="R172" t="str">
        <f>IFERROR(IF($C172="","",SUMIFS(Ledger!$K$2:$K$4, Ledger!$B$2:$B$4, $A172, Ledger!$C$2:$C$4, R$2)),"****")</f>
        <v/>
      </c>
      <c r="S172" t="str">
        <f>IFERROR(IF($C172="","",SUMIFS(Ledger!$K$2:$K$4, Ledger!$B$2:$B$4, $A172, Ledger!$C$2:$C$4, S$2)),"****")</f>
        <v/>
      </c>
      <c r="T172" t="str">
        <f>IFERROR(IF($C172="","",SUMIFS(Ledger!$K$2:$K$4, Ledger!$B$2:$B$4, $A172, Ledger!$C$2:$C$4, T$2)),"****")</f>
        <v/>
      </c>
      <c r="U172" t="str">
        <f>IFERROR(IF($C172="","",SUMIFS(Ledger!$K$2:$K$4, Ledger!$B$2:$B$4, $A172, Ledger!$C$2:$C$4, U$2)),"****")</f>
        <v/>
      </c>
      <c r="V172" t="str">
        <f>IFERROR(IF($C172="","",SUMIFS(Ledger!$K$2:$K$4, Ledger!$B$2:$B$4, $A172, Ledger!$C$2:$C$4, V$2)),"****")</f>
        <v/>
      </c>
      <c r="W172" t="str">
        <f>IFERROR(IF($C172="","",SUMIFS(Ledger!$K$2:$K$4, Ledger!$B$2:$B$4, $A172, Ledger!$C$2:$C$4, W$2)),"****")</f>
        <v/>
      </c>
      <c r="X172" t="str">
        <f>IFERROR(IF($C172="","",SUMIFS(Ledger!$K$2:$K$4, Ledger!$B$2:$B$4, $A172, Ledger!$C$2:$C$4, X$2)),"****")</f>
        <v/>
      </c>
    </row>
    <row r="173" spans="1:24" x14ac:dyDescent="0.3">
      <c r="A173" s="106">
        <v>171</v>
      </c>
      <c r="B173" t="str">
        <f>IFERROR(VLOOKUP($A173, Ledger!$B$2:$L$8, 3, 0),"")</f>
        <v/>
      </c>
      <c r="C173" t="str">
        <f>IFERROR(VLOOKUP($A173, Ledger!$B$2:$L$8, 4, 0),"")</f>
        <v/>
      </c>
      <c r="D173" t="str">
        <f>IFERROR(VLOOKUP($A173, Ledger!$B$2:$L$8, 5, 0),"")</f>
        <v/>
      </c>
      <c r="E173" t="str">
        <f>IFERROR(VLOOKUP($A173, Ledger!$B$2:$L$8, 6, 0),"")</f>
        <v/>
      </c>
      <c r="F173" t="str">
        <f>IFERROR(VLOOKUP($A173,'Student Data'!$A$2:$AR$6,32,0),"")</f>
        <v/>
      </c>
      <c r="G173" t="str">
        <f>IFERROR(VLOOKUP($A173,'Student Data'!$A$2:$AR$6,33,0),"")</f>
        <v/>
      </c>
      <c r="H173" t="str">
        <f>IFERROR(VLOOKUP($A173,'Student Data'!$A$2:$AR$6,34,0),"")</f>
        <v/>
      </c>
      <c r="I173" t="str">
        <f>IFERROR(VLOOKUP($A173,'Student Data'!$A$2:$AR$6,35,0),"")</f>
        <v/>
      </c>
      <c r="J173" t="str">
        <f>IFERROR(VLOOKUP($A173,'Student Data'!$A$2:$AR$6,36,0),"")</f>
        <v/>
      </c>
      <c r="K173" t="str">
        <f t="shared" si="4"/>
        <v/>
      </c>
      <c r="L173" t="str">
        <f t="shared" si="5"/>
        <v/>
      </c>
      <c r="M173" t="str">
        <f>IFERROR(IF($C173="","",SUMIFS(Ledger!$K$2:$K$4, Ledger!$B$2:$B$4, $A173, Ledger!$C$2:$C$4, M$2)),"****")</f>
        <v/>
      </c>
      <c r="N173" t="str">
        <f>IFERROR(IF($C173="","",SUMIFS(Ledger!$K$2:$K$4, Ledger!$B$2:$B$4, $A173, Ledger!$C$2:$C$4, N$2)),"****")</f>
        <v/>
      </c>
      <c r="O173" t="str">
        <f>IFERROR(IF($C173="","",SUMIFS(Ledger!$K$2:$K$4, Ledger!$B$2:$B$4, $A173, Ledger!$C$2:$C$4, O$2)),"****")</f>
        <v/>
      </c>
      <c r="P173" t="str">
        <f>IFERROR(IF($C173="","",SUMIFS(Ledger!$K$2:$K$4, Ledger!$B$2:$B$4, $A173, Ledger!$C$2:$C$4, P$2)),"****")</f>
        <v/>
      </c>
      <c r="Q173" t="str">
        <f>IFERROR(IF($C173="","",SUMIFS(Ledger!$K$2:$K$4, Ledger!$B$2:$B$4, $A173, Ledger!$C$2:$C$4, Q$2)),"****")</f>
        <v/>
      </c>
      <c r="R173" t="str">
        <f>IFERROR(IF($C173="","",SUMIFS(Ledger!$K$2:$K$4, Ledger!$B$2:$B$4, $A173, Ledger!$C$2:$C$4, R$2)),"****")</f>
        <v/>
      </c>
      <c r="S173" t="str">
        <f>IFERROR(IF($C173="","",SUMIFS(Ledger!$K$2:$K$4, Ledger!$B$2:$B$4, $A173, Ledger!$C$2:$C$4, S$2)),"****")</f>
        <v/>
      </c>
      <c r="T173" t="str">
        <f>IFERROR(IF($C173="","",SUMIFS(Ledger!$K$2:$K$4, Ledger!$B$2:$B$4, $A173, Ledger!$C$2:$C$4, T$2)),"****")</f>
        <v/>
      </c>
      <c r="U173" t="str">
        <f>IFERROR(IF($C173="","",SUMIFS(Ledger!$K$2:$K$4, Ledger!$B$2:$B$4, $A173, Ledger!$C$2:$C$4, U$2)),"****")</f>
        <v/>
      </c>
      <c r="V173" t="str">
        <f>IFERROR(IF($C173="","",SUMIFS(Ledger!$K$2:$K$4, Ledger!$B$2:$B$4, $A173, Ledger!$C$2:$C$4, V$2)),"****")</f>
        <v/>
      </c>
      <c r="W173" t="str">
        <f>IFERROR(IF($C173="","",SUMIFS(Ledger!$K$2:$K$4, Ledger!$B$2:$B$4, $A173, Ledger!$C$2:$C$4, W$2)),"****")</f>
        <v/>
      </c>
      <c r="X173" t="str">
        <f>IFERROR(IF($C173="","",SUMIFS(Ledger!$K$2:$K$4, Ledger!$B$2:$B$4, $A173, Ledger!$C$2:$C$4, X$2)),"****")</f>
        <v/>
      </c>
    </row>
    <row r="174" spans="1:24" x14ac:dyDescent="0.3">
      <c r="A174" s="106">
        <v>172</v>
      </c>
      <c r="B174" t="str">
        <f>IFERROR(VLOOKUP($A174, Ledger!$B$2:$L$8, 3, 0),"")</f>
        <v/>
      </c>
      <c r="C174" t="str">
        <f>IFERROR(VLOOKUP($A174, Ledger!$B$2:$L$8, 4, 0),"")</f>
        <v/>
      </c>
      <c r="D174" t="str">
        <f>IFERROR(VLOOKUP($A174, Ledger!$B$2:$L$8, 5, 0),"")</f>
        <v/>
      </c>
      <c r="E174" t="str">
        <f>IFERROR(VLOOKUP($A174, Ledger!$B$2:$L$8, 6, 0),"")</f>
        <v/>
      </c>
      <c r="F174" t="str">
        <f>IFERROR(VLOOKUP($A174,'Student Data'!$A$2:$AR$6,32,0),"")</f>
        <v/>
      </c>
      <c r="G174" t="str">
        <f>IFERROR(VLOOKUP($A174,'Student Data'!$A$2:$AR$6,33,0),"")</f>
        <v/>
      </c>
      <c r="H174" t="str">
        <f>IFERROR(VLOOKUP($A174,'Student Data'!$A$2:$AR$6,34,0),"")</f>
        <v/>
      </c>
      <c r="I174" t="str">
        <f>IFERROR(VLOOKUP($A174,'Student Data'!$A$2:$AR$6,35,0),"")</f>
        <v/>
      </c>
      <c r="J174" t="str">
        <f>IFERROR(VLOOKUP($A174,'Student Data'!$A$2:$AR$6,36,0),"")</f>
        <v/>
      </c>
      <c r="K174" t="str">
        <f t="shared" si="4"/>
        <v/>
      </c>
      <c r="L174" t="str">
        <f t="shared" si="5"/>
        <v/>
      </c>
      <c r="M174" t="str">
        <f>IFERROR(IF($C174="","",SUMIFS(Ledger!$K$2:$K$4, Ledger!$B$2:$B$4, $A174, Ledger!$C$2:$C$4, M$2)),"****")</f>
        <v/>
      </c>
      <c r="N174" t="str">
        <f>IFERROR(IF($C174="","",SUMIFS(Ledger!$K$2:$K$4, Ledger!$B$2:$B$4, $A174, Ledger!$C$2:$C$4, N$2)),"****")</f>
        <v/>
      </c>
      <c r="O174" t="str">
        <f>IFERROR(IF($C174="","",SUMIFS(Ledger!$K$2:$K$4, Ledger!$B$2:$B$4, $A174, Ledger!$C$2:$C$4, O$2)),"****")</f>
        <v/>
      </c>
      <c r="P174" t="str">
        <f>IFERROR(IF($C174="","",SUMIFS(Ledger!$K$2:$K$4, Ledger!$B$2:$B$4, $A174, Ledger!$C$2:$C$4, P$2)),"****")</f>
        <v/>
      </c>
      <c r="Q174" t="str">
        <f>IFERROR(IF($C174="","",SUMIFS(Ledger!$K$2:$K$4, Ledger!$B$2:$B$4, $A174, Ledger!$C$2:$C$4, Q$2)),"****")</f>
        <v/>
      </c>
      <c r="R174" t="str">
        <f>IFERROR(IF($C174="","",SUMIFS(Ledger!$K$2:$K$4, Ledger!$B$2:$B$4, $A174, Ledger!$C$2:$C$4, R$2)),"****")</f>
        <v/>
      </c>
      <c r="S174" t="str">
        <f>IFERROR(IF($C174="","",SUMIFS(Ledger!$K$2:$K$4, Ledger!$B$2:$B$4, $A174, Ledger!$C$2:$C$4, S$2)),"****")</f>
        <v/>
      </c>
      <c r="T174" t="str">
        <f>IFERROR(IF($C174="","",SUMIFS(Ledger!$K$2:$K$4, Ledger!$B$2:$B$4, $A174, Ledger!$C$2:$C$4, T$2)),"****")</f>
        <v/>
      </c>
      <c r="U174" t="str">
        <f>IFERROR(IF($C174="","",SUMIFS(Ledger!$K$2:$K$4, Ledger!$B$2:$B$4, $A174, Ledger!$C$2:$C$4, U$2)),"****")</f>
        <v/>
      </c>
      <c r="V174" t="str">
        <f>IFERROR(IF($C174="","",SUMIFS(Ledger!$K$2:$K$4, Ledger!$B$2:$B$4, $A174, Ledger!$C$2:$C$4, V$2)),"****")</f>
        <v/>
      </c>
      <c r="W174" t="str">
        <f>IFERROR(IF($C174="","",SUMIFS(Ledger!$K$2:$K$4, Ledger!$B$2:$B$4, $A174, Ledger!$C$2:$C$4, W$2)),"****")</f>
        <v/>
      </c>
      <c r="X174" t="str">
        <f>IFERROR(IF($C174="","",SUMIFS(Ledger!$K$2:$K$4, Ledger!$B$2:$B$4, $A174, Ledger!$C$2:$C$4, X$2)),"****")</f>
        <v/>
      </c>
    </row>
    <row r="175" spans="1:24" x14ac:dyDescent="0.3">
      <c r="A175" s="106">
        <v>173</v>
      </c>
      <c r="B175" t="str">
        <f>IFERROR(VLOOKUP($A175, Ledger!$B$2:$L$8, 3, 0),"")</f>
        <v/>
      </c>
      <c r="C175" t="str">
        <f>IFERROR(VLOOKUP($A175, Ledger!$B$2:$L$8, 4, 0),"")</f>
        <v/>
      </c>
      <c r="D175" t="str">
        <f>IFERROR(VLOOKUP($A175, Ledger!$B$2:$L$8, 5, 0),"")</f>
        <v/>
      </c>
      <c r="E175" t="str">
        <f>IFERROR(VLOOKUP($A175, Ledger!$B$2:$L$8, 6, 0),"")</f>
        <v/>
      </c>
      <c r="F175" t="str">
        <f>IFERROR(VLOOKUP($A175,'Student Data'!$A$2:$AR$6,32,0),"")</f>
        <v/>
      </c>
      <c r="G175" t="str">
        <f>IFERROR(VLOOKUP($A175,'Student Data'!$A$2:$AR$6,33,0),"")</f>
        <v/>
      </c>
      <c r="H175" t="str">
        <f>IFERROR(VLOOKUP($A175,'Student Data'!$A$2:$AR$6,34,0),"")</f>
        <v/>
      </c>
      <c r="I175" t="str">
        <f>IFERROR(VLOOKUP($A175,'Student Data'!$A$2:$AR$6,35,0),"")</f>
        <v/>
      </c>
      <c r="J175" t="str">
        <f>IFERROR(VLOOKUP($A175,'Student Data'!$A$2:$AR$6,36,0),"")</f>
        <v/>
      </c>
      <c r="K175" t="str">
        <f t="shared" si="4"/>
        <v/>
      </c>
      <c r="L175" t="str">
        <f t="shared" si="5"/>
        <v/>
      </c>
      <c r="M175" t="str">
        <f>IFERROR(IF($C175="","",SUMIFS(Ledger!$K$2:$K$4, Ledger!$B$2:$B$4, $A175, Ledger!$C$2:$C$4, M$2)),"****")</f>
        <v/>
      </c>
      <c r="N175" t="str">
        <f>IFERROR(IF($C175="","",SUMIFS(Ledger!$K$2:$K$4, Ledger!$B$2:$B$4, $A175, Ledger!$C$2:$C$4, N$2)),"****")</f>
        <v/>
      </c>
      <c r="O175" t="str">
        <f>IFERROR(IF($C175="","",SUMIFS(Ledger!$K$2:$K$4, Ledger!$B$2:$B$4, $A175, Ledger!$C$2:$C$4, O$2)),"****")</f>
        <v/>
      </c>
      <c r="P175" t="str">
        <f>IFERROR(IF($C175="","",SUMIFS(Ledger!$K$2:$K$4, Ledger!$B$2:$B$4, $A175, Ledger!$C$2:$C$4, P$2)),"****")</f>
        <v/>
      </c>
      <c r="Q175" t="str">
        <f>IFERROR(IF($C175="","",SUMIFS(Ledger!$K$2:$K$4, Ledger!$B$2:$B$4, $A175, Ledger!$C$2:$C$4, Q$2)),"****")</f>
        <v/>
      </c>
      <c r="R175" t="str">
        <f>IFERROR(IF($C175="","",SUMIFS(Ledger!$K$2:$K$4, Ledger!$B$2:$B$4, $A175, Ledger!$C$2:$C$4, R$2)),"****")</f>
        <v/>
      </c>
      <c r="S175" t="str">
        <f>IFERROR(IF($C175="","",SUMIFS(Ledger!$K$2:$K$4, Ledger!$B$2:$B$4, $A175, Ledger!$C$2:$C$4, S$2)),"****")</f>
        <v/>
      </c>
      <c r="T175" t="str">
        <f>IFERROR(IF($C175="","",SUMIFS(Ledger!$K$2:$K$4, Ledger!$B$2:$B$4, $A175, Ledger!$C$2:$C$4, T$2)),"****")</f>
        <v/>
      </c>
      <c r="U175" t="str">
        <f>IFERROR(IF($C175="","",SUMIFS(Ledger!$K$2:$K$4, Ledger!$B$2:$B$4, $A175, Ledger!$C$2:$C$4, U$2)),"****")</f>
        <v/>
      </c>
      <c r="V175" t="str">
        <f>IFERROR(IF($C175="","",SUMIFS(Ledger!$K$2:$K$4, Ledger!$B$2:$B$4, $A175, Ledger!$C$2:$C$4, V$2)),"****")</f>
        <v/>
      </c>
      <c r="W175" t="str">
        <f>IFERROR(IF($C175="","",SUMIFS(Ledger!$K$2:$K$4, Ledger!$B$2:$B$4, $A175, Ledger!$C$2:$C$4, W$2)),"****")</f>
        <v/>
      </c>
      <c r="X175" t="str">
        <f>IFERROR(IF($C175="","",SUMIFS(Ledger!$K$2:$K$4, Ledger!$B$2:$B$4, $A175, Ledger!$C$2:$C$4, X$2)),"****")</f>
        <v/>
      </c>
    </row>
    <row r="176" spans="1:24" x14ac:dyDescent="0.3">
      <c r="A176" s="106">
        <v>174</v>
      </c>
      <c r="B176" t="str">
        <f>IFERROR(VLOOKUP($A176, Ledger!$B$2:$L$8, 3, 0),"")</f>
        <v/>
      </c>
      <c r="C176" t="str">
        <f>IFERROR(VLOOKUP($A176, Ledger!$B$2:$L$8, 4, 0),"")</f>
        <v/>
      </c>
      <c r="D176" t="str">
        <f>IFERROR(VLOOKUP($A176, Ledger!$B$2:$L$8, 5, 0),"")</f>
        <v/>
      </c>
      <c r="E176" t="str">
        <f>IFERROR(VLOOKUP($A176, Ledger!$B$2:$L$8, 6, 0),"")</f>
        <v/>
      </c>
      <c r="F176" t="str">
        <f>IFERROR(VLOOKUP($A176,'Student Data'!$A$2:$AR$6,32,0),"")</f>
        <v/>
      </c>
      <c r="G176" t="str">
        <f>IFERROR(VLOOKUP($A176,'Student Data'!$A$2:$AR$6,33,0),"")</f>
        <v/>
      </c>
      <c r="H176" t="str">
        <f>IFERROR(VLOOKUP($A176,'Student Data'!$A$2:$AR$6,34,0),"")</f>
        <v/>
      </c>
      <c r="I176" t="str">
        <f>IFERROR(VLOOKUP($A176,'Student Data'!$A$2:$AR$6,35,0),"")</f>
        <v/>
      </c>
      <c r="J176" t="str">
        <f>IFERROR(VLOOKUP($A176,'Student Data'!$A$2:$AR$6,36,0),"")</f>
        <v/>
      </c>
      <c r="K176" t="str">
        <f t="shared" si="4"/>
        <v/>
      </c>
      <c r="L176" t="str">
        <f t="shared" si="5"/>
        <v/>
      </c>
      <c r="M176" t="str">
        <f>IFERROR(IF($C176="","",SUMIFS(Ledger!$K$2:$K$4, Ledger!$B$2:$B$4, $A176, Ledger!$C$2:$C$4, M$2)),"****")</f>
        <v/>
      </c>
      <c r="N176" t="str">
        <f>IFERROR(IF($C176="","",SUMIFS(Ledger!$K$2:$K$4, Ledger!$B$2:$B$4, $A176, Ledger!$C$2:$C$4, N$2)),"****")</f>
        <v/>
      </c>
      <c r="O176" t="str">
        <f>IFERROR(IF($C176="","",SUMIFS(Ledger!$K$2:$K$4, Ledger!$B$2:$B$4, $A176, Ledger!$C$2:$C$4, O$2)),"****")</f>
        <v/>
      </c>
      <c r="P176" t="str">
        <f>IFERROR(IF($C176="","",SUMIFS(Ledger!$K$2:$K$4, Ledger!$B$2:$B$4, $A176, Ledger!$C$2:$C$4, P$2)),"****")</f>
        <v/>
      </c>
      <c r="Q176" t="str">
        <f>IFERROR(IF($C176="","",SUMIFS(Ledger!$K$2:$K$4, Ledger!$B$2:$B$4, $A176, Ledger!$C$2:$C$4, Q$2)),"****")</f>
        <v/>
      </c>
      <c r="R176" t="str">
        <f>IFERROR(IF($C176="","",SUMIFS(Ledger!$K$2:$K$4, Ledger!$B$2:$B$4, $A176, Ledger!$C$2:$C$4, R$2)),"****")</f>
        <v/>
      </c>
      <c r="S176" t="str">
        <f>IFERROR(IF($C176="","",SUMIFS(Ledger!$K$2:$K$4, Ledger!$B$2:$B$4, $A176, Ledger!$C$2:$C$4, S$2)),"****")</f>
        <v/>
      </c>
      <c r="T176" t="str">
        <f>IFERROR(IF($C176="","",SUMIFS(Ledger!$K$2:$K$4, Ledger!$B$2:$B$4, $A176, Ledger!$C$2:$C$4, T$2)),"****")</f>
        <v/>
      </c>
      <c r="U176" t="str">
        <f>IFERROR(IF($C176="","",SUMIFS(Ledger!$K$2:$K$4, Ledger!$B$2:$B$4, $A176, Ledger!$C$2:$C$4, U$2)),"****")</f>
        <v/>
      </c>
      <c r="V176" t="str">
        <f>IFERROR(IF($C176="","",SUMIFS(Ledger!$K$2:$K$4, Ledger!$B$2:$B$4, $A176, Ledger!$C$2:$C$4, V$2)),"****")</f>
        <v/>
      </c>
      <c r="W176" t="str">
        <f>IFERROR(IF($C176="","",SUMIFS(Ledger!$K$2:$K$4, Ledger!$B$2:$B$4, $A176, Ledger!$C$2:$C$4, W$2)),"****")</f>
        <v/>
      </c>
      <c r="X176" t="str">
        <f>IFERROR(IF($C176="","",SUMIFS(Ledger!$K$2:$K$4, Ledger!$B$2:$B$4, $A176, Ledger!$C$2:$C$4, X$2)),"****")</f>
        <v/>
      </c>
    </row>
    <row r="177" spans="1:24" x14ac:dyDescent="0.3">
      <c r="A177" s="106">
        <v>175</v>
      </c>
      <c r="B177" t="str">
        <f>IFERROR(VLOOKUP($A177, Ledger!$B$2:$L$8, 3, 0),"")</f>
        <v/>
      </c>
      <c r="C177" t="str">
        <f>IFERROR(VLOOKUP($A177, Ledger!$B$2:$L$8, 4, 0),"")</f>
        <v/>
      </c>
      <c r="D177" t="str">
        <f>IFERROR(VLOOKUP($A177, Ledger!$B$2:$L$8, 5, 0),"")</f>
        <v/>
      </c>
      <c r="E177" t="str">
        <f>IFERROR(VLOOKUP($A177, Ledger!$B$2:$L$8, 6, 0),"")</f>
        <v/>
      </c>
      <c r="F177" t="str">
        <f>IFERROR(VLOOKUP($A177,'Student Data'!$A$2:$AR$6,32,0),"")</f>
        <v/>
      </c>
      <c r="G177" t="str">
        <f>IFERROR(VLOOKUP($A177,'Student Data'!$A$2:$AR$6,33,0),"")</f>
        <v/>
      </c>
      <c r="H177" t="str">
        <f>IFERROR(VLOOKUP($A177,'Student Data'!$A$2:$AR$6,34,0),"")</f>
        <v/>
      </c>
      <c r="I177" t="str">
        <f>IFERROR(VLOOKUP($A177,'Student Data'!$A$2:$AR$6,35,0),"")</f>
        <v/>
      </c>
      <c r="J177" t="str">
        <f>IFERROR(VLOOKUP($A177,'Student Data'!$A$2:$AR$6,36,0),"")</f>
        <v/>
      </c>
      <c r="K177" t="str">
        <f t="shared" si="4"/>
        <v/>
      </c>
      <c r="L177" t="str">
        <f t="shared" si="5"/>
        <v/>
      </c>
      <c r="M177" t="str">
        <f>IFERROR(IF($C177="","",SUMIFS(Ledger!$K$2:$K$4, Ledger!$B$2:$B$4, $A177, Ledger!$C$2:$C$4, M$2)),"****")</f>
        <v/>
      </c>
      <c r="N177" t="str">
        <f>IFERROR(IF($C177="","",SUMIFS(Ledger!$K$2:$K$4, Ledger!$B$2:$B$4, $A177, Ledger!$C$2:$C$4, N$2)),"****")</f>
        <v/>
      </c>
      <c r="O177" t="str">
        <f>IFERROR(IF($C177="","",SUMIFS(Ledger!$K$2:$K$4, Ledger!$B$2:$B$4, $A177, Ledger!$C$2:$C$4, O$2)),"****")</f>
        <v/>
      </c>
      <c r="P177" t="str">
        <f>IFERROR(IF($C177="","",SUMIFS(Ledger!$K$2:$K$4, Ledger!$B$2:$B$4, $A177, Ledger!$C$2:$C$4, P$2)),"****")</f>
        <v/>
      </c>
      <c r="Q177" t="str">
        <f>IFERROR(IF($C177="","",SUMIFS(Ledger!$K$2:$K$4, Ledger!$B$2:$B$4, $A177, Ledger!$C$2:$C$4, Q$2)),"****")</f>
        <v/>
      </c>
      <c r="R177" t="str">
        <f>IFERROR(IF($C177="","",SUMIFS(Ledger!$K$2:$K$4, Ledger!$B$2:$B$4, $A177, Ledger!$C$2:$C$4, R$2)),"****")</f>
        <v/>
      </c>
      <c r="S177" t="str">
        <f>IFERROR(IF($C177="","",SUMIFS(Ledger!$K$2:$K$4, Ledger!$B$2:$B$4, $A177, Ledger!$C$2:$C$4, S$2)),"****")</f>
        <v/>
      </c>
      <c r="T177" t="str">
        <f>IFERROR(IF($C177="","",SUMIFS(Ledger!$K$2:$K$4, Ledger!$B$2:$B$4, $A177, Ledger!$C$2:$C$4, T$2)),"****")</f>
        <v/>
      </c>
      <c r="U177" t="str">
        <f>IFERROR(IF($C177="","",SUMIFS(Ledger!$K$2:$K$4, Ledger!$B$2:$B$4, $A177, Ledger!$C$2:$C$4, U$2)),"****")</f>
        <v/>
      </c>
      <c r="V177" t="str">
        <f>IFERROR(IF($C177="","",SUMIFS(Ledger!$K$2:$K$4, Ledger!$B$2:$B$4, $A177, Ledger!$C$2:$C$4, V$2)),"****")</f>
        <v/>
      </c>
      <c r="W177" t="str">
        <f>IFERROR(IF($C177="","",SUMIFS(Ledger!$K$2:$K$4, Ledger!$B$2:$B$4, $A177, Ledger!$C$2:$C$4, W$2)),"****")</f>
        <v/>
      </c>
      <c r="X177" t="str">
        <f>IFERROR(IF($C177="","",SUMIFS(Ledger!$K$2:$K$4, Ledger!$B$2:$B$4, $A177, Ledger!$C$2:$C$4, X$2)),"****")</f>
        <v/>
      </c>
    </row>
    <row r="178" spans="1:24" x14ac:dyDescent="0.3">
      <c r="A178" s="106">
        <v>176</v>
      </c>
      <c r="B178" t="str">
        <f>IFERROR(VLOOKUP($A178, Ledger!$B$2:$L$8, 3, 0),"")</f>
        <v/>
      </c>
      <c r="C178" t="str">
        <f>IFERROR(VLOOKUP($A178, Ledger!$B$2:$L$8, 4, 0),"")</f>
        <v/>
      </c>
      <c r="D178" t="str">
        <f>IFERROR(VLOOKUP($A178, Ledger!$B$2:$L$8, 5, 0),"")</f>
        <v/>
      </c>
      <c r="E178" t="str">
        <f>IFERROR(VLOOKUP($A178, Ledger!$B$2:$L$8, 6, 0),"")</f>
        <v/>
      </c>
      <c r="F178" t="str">
        <f>IFERROR(VLOOKUP($A178,'Student Data'!$A$2:$AR$6,32,0),"")</f>
        <v/>
      </c>
      <c r="G178" t="str">
        <f>IFERROR(VLOOKUP($A178,'Student Data'!$A$2:$AR$6,33,0),"")</f>
        <v/>
      </c>
      <c r="H178" t="str">
        <f>IFERROR(VLOOKUP($A178,'Student Data'!$A$2:$AR$6,34,0),"")</f>
        <v/>
      </c>
      <c r="I178" t="str">
        <f>IFERROR(VLOOKUP($A178,'Student Data'!$A$2:$AR$6,35,0),"")</f>
        <v/>
      </c>
      <c r="J178" t="str">
        <f>IFERROR(VLOOKUP($A178,'Student Data'!$A$2:$AR$6,36,0),"")</f>
        <v/>
      </c>
      <c r="K178" t="str">
        <f t="shared" si="4"/>
        <v/>
      </c>
      <c r="L178" t="str">
        <f t="shared" si="5"/>
        <v/>
      </c>
      <c r="M178" t="str">
        <f>IFERROR(IF($C178="","",SUMIFS(Ledger!$K$2:$K$4, Ledger!$B$2:$B$4, $A178, Ledger!$C$2:$C$4, M$2)),"****")</f>
        <v/>
      </c>
      <c r="N178" t="str">
        <f>IFERROR(IF($C178="","",SUMIFS(Ledger!$K$2:$K$4, Ledger!$B$2:$B$4, $A178, Ledger!$C$2:$C$4, N$2)),"****")</f>
        <v/>
      </c>
      <c r="O178" t="str">
        <f>IFERROR(IF($C178="","",SUMIFS(Ledger!$K$2:$K$4, Ledger!$B$2:$B$4, $A178, Ledger!$C$2:$C$4, O$2)),"****")</f>
        <v/>
      </c>
      <c r="P178" t="str">
        <f>IFERROR(IF($C178="","",SUMIFS(Ledger!$K$2:$K$4, Ledger!$B$2:$B$4, $A178, Ledger!$C$2:$C$4, P$2)),"****")</f>
        <v/>
      </c>
      <c r="Q178" t="str">
        <f>IFERROR(IF($C178="","",SUMIFS(Ledger!$K$2:$K$4, Ledger!$B$2:$B$4, $A178, Ledger!$C$2:$C$4, Q$2)),"****")</f>
        <v/>
      </c>
      <c r="R178" t="str">
        <f>IFERROR(IF($C178="","",SUMIFS(Ledger!$K$2:$K$4, Ledger!$B$2:$B$4, $A178, Ledger!$C$2:$C$4, R$2)),"****")</f>
        <v/>
      </c>
      <c r="S178" t="str">
        <f>IFERROR(IF($C178="","",SUMIFS(Ledger!$K$2:$K$4, Ledger!$B$2:$B$4, $A178, Ledger!$C$2:$C$4, S$2)),"****")</f>
        <v/>
      </c>
      <c r="T178" t="str">
        <f>IFERROR(IF($C178="","",SUMIFS(Ledger!$K$2:$K$4, Ledger!$B$2:$B$4, $A178, Ledger!$C$2:$C$4, T$2)),"****")</f>
        <v/>
      </c>
      <c r="U178" t="str">
        <f>IFERROR(IF($C178="","",SUMIFS(Ledger!$K$2:$K$4, Ledger!$B$2:$B$4, $A178, Ledger!$C$2:$C$4, U$2)),"****")</f>
        <v/>
      </c>
      <c r="V178" t="str">
        <f>IFERROR(IF($C178="","",SUMIFS(Ledger!$K$2:$K$4, Ledger!$B$2:$B$4, $A178, Ledger!$C$2:$C$4, V$2)),"****")</f>
        <v/>
      </c>
      <c r="W178" t="str">
        <f>IFERROR(IF($C178="","",SUMIFS(Ledger!$K$2:$K$4, Ledger!$B$2:$B$4, $A178, Ledger!$C$2:$C$4, W$2)),"****")</f>
        <v/>
      </c>
      <c r="X178" t="str">
        <f>IFERROR(IF($C178="","",SUMIFS(Ledger!$K$2:$K$4, Ledger!$B$2:$B$4, $A178, Ledger!$C$2:$C$4, X$2)),"****")</f>
        <v/>
      </c>
    </row>
    <row r="179" spans="1:24" x14ac:dyDescent="0.3">
      <c r="A179" s="106">
        <v>177</v>
      </c>
      <c r="B179" t="str">
        <f>IFERROR(VLOOKUP($A179, Ledger!$B$2:$L$8, 3, 0),"")</f>
        <v/>
      </c>
      <c r="C179" t="str">
        <f>IFERROR(VLOOKUP($A179, Ledger!$B$2:$L$8, 4, 0),"")</f>
        <v/>
      </c>
      <c r="D179" t="str">
        <f>IFERROR(VLOOKUP($A179, Ledger!$B$2:$L$8, 5, 0),"")</f>
        <v/>
      </c>
      <c r="E179" t="str">
        <f>IFERROR(VLOOKUP($A179, Ledger!$B$2:$L$8, 6, 0),"")</f>
        <v/>
      </c>
      <c r="F179" t="str">
        <f>IFERROR(VLOOKUP($A179,'Student Data'!$A$2:$AR$6,32,0),"")</f>
        <v/>
      </c>
      <c r="G179" t="str">
        <f>IFERROR(VLOOKUP($A179,'Student Data'!$A$2:$AR$6,33,0),"")</f>
        <v/>
      </c>
      <c r="H179" t="str">
        <f>IFERROR(VLOOKUP($A179,'Student Data'!$A$2:$AR$6,34,0),"")</f>
        <v/>
      </c>
      <c r="I179" t="str">
        <f>IFERROR(VLOOKUP($A179,'Student Data'!$A$2:$AR$6,35,0),"")</f>
        <v/>
      </c>
      <c r="J179" t="str">
        <f>IFERROR(VLOOKUP($A179,'Student Data'!$A$2:$AR$6,36,0),"")</f>
        <v/>
      </c>
      <c r="K179" t="str">
        <f t="shared" si="4"/>
        <v/>
      </c>
      <c r="L179" t="str">
        <f t="shared" si="5"/>
        <v/>
      </c>
      <c r="M179" t="str">
        <f>IFERROR(IF($C179="","",SUMIFS(Ledger!$K$2:$K$4, Ledger!$B$2:$B$4, $A179, Ledger!$C$2:$C$4, M$2)),"****")</f>
        <v/>
      </c>
      <c r="N179" t="str">
        <f>IFERROR(IF($C179="","",SUMIFS(Ledger!$K$2:$K$4, Ledger!$B$2:$B$4, $A179, Ledger!$C$2:$C$4, N$2)),"****")</f>
        <v/>
      </c>
      <c r="O179" t="str">
        <f>IFERROR(IF($C179="","",SUMIFS(Ledger!$K$2:$K$4, Ledger!$B$2:$B$4, $A179, Ledger!$C$2:$C$4, O$2)),"****")</f>
        <v/>
      </c>
      <c r="P179" t="str">
        <f>IFERROR(IF($C179="","",SUMIFS(Ledger!$K$2:$K$4, Ledger!$B$2:$B$4, $A179, Ledger!$C$2:$C$4, P$2)),"****")</f>
        <v/>
      </c>
      <c r="Q179" t="str">
        <f>IFERROR(IF($C179="","",SUMIFS(Ledger!$K$2:$K$4, Ledger!$B$2:$B$4, $A179, Ledger!$C$2:$C$4, Q$2)),"****")</f>
        <v/>
      </c>
      <c r="R179" t="str">
        <f>IFERROR(IF($C179="","",SUMIFS(Ledger!$K$2:$K$4, Ledger!$B$2:$B$4, $A179, Ledger!$C$2:$C$4, R$2)),"****")</f>
        <v/>
      </c>
      <c r="S179" t="str">
        <f>IFERROR(IF($C179="","",SUMIFS(Ledger!$K$2:$K$4, Ledger!$B$2:$B$4, $A179, Ledger!$C$2:$C$4, S$2)),"****")</f>
        <v/>
      </c>
      <c r="T179" t="str">
        <f>IFERROR(IF($C179="","",SUMIFS(Ledger!$K$2:$K$4, Ledger!$B$2:$B$4, $A179, Ledger!$C$2:$C$4, T$2)),"****")</f>
        <v/>
      </c>
      <c r="U179" t="str">
        <f>IFERROR(IF($C179="","",SUMIFS(Ledger!$K$2:$K$4, Ledger!$B$2:$B$4, $A179, Ledger!$C$2:$C$4, U$2)),"****")</f>
        <v/>
      </c>
      <c r="V179" t="str">
        <f>IFERROR(IF($C179="","",SUMIFS(Ledger!$K$2:$K$4, Ledger!$B$2:$B$4, $A179, Ledger!$C$2:$C$4, V$2)),"****")</f>
        <v/>
      </c>
      <c r="W179" t="str">
        <f>IFERROR(IF($C179="","",SUMIFS(Ledger!$K$2:$K$4, Ledger!$B$2:$B$4, $A179, Ledger!$C$2:$C$4, W$2)),"****")</f>
        <v/>
      </c>
      <c r="X179" t="str">
        <f>IFERROR(IF($C179="","",SUMIFS(Ledger!$K$2:$K$4, Ledger!$B$2:$B$4, $A179, Ledger!$C$2:$C$4, X$2)),"****")</f>
        <v/>
      </c>
    </row>
    <row r="180" spans="1:24" x14ac:dyDescent="0.3">
      <c r="A180" s="106">
        <v>178</v>
      </c>
      <c r="B180" t="str">
        <f>IFERROR(VLOOKUP($A180, Ledger!$B$2:$L$8, 3, 0),"")</f>
        <v/>
      </c>
      <c r="C180" t="str">
        <f>IFERROR(VLOOKUP($A180, Ledger!$B$2:$L$8, 4, 0),"")</f>
        <v/>
      </c>
      <c r="D180" t="str">
        <f>IFERROR(VLOOKUP($A180, Ledger!$B$2:$L$8, 5, 0),"")</f>
        <v/>
      </c>
      <c r="E180" t="str">
        <f>IFERROR(VLOOKUP($A180, Ledger!$B$2:$L$8, 6, 0),"")</f>
        <v/>
      </c>
      <c r="F180" t="str">
        <f>IFERROR(VLOOKUP($A180,'Student Data'!$A$2:$AR$6,32,0),"")</f>
        <v/>
      </c>
      <c r="G180" t="str">
        <f>IFERROR(VLOOKUP($A180,'Student Data'!$A$2:$AR$6,33,0),"")</f>
        <v/>
      </c>
      <c r="H180" t="str">
        <f>IFERROR(VLOOKUP($A180,'Student Data'!$A$2:$AR$6,34,0),"")</f>
        <v/>
      </c>
      <c r="I180" t="str">
        <f>IFERROR(VLOOKUP($A180,'Student Data'!$A$2:$AR$6,35,0),"")</f>
        <v/>
      </c>
      <c r="J180" t="str">
        <f>IFERROR(VLOOKUP($A180,'Student Data'!$A$2:$AR$6,36,0),"")</f>
        <v/>
      </c>
      <c r="K180" t="str">
        <f t="shared" si="4"/>
        <v/>
      </c>
      <c r="L180" t="str">
        <f t="shared" si="5"/>
        <v/>
      </c>
      <c r="M180" t="str">
        <f>IFERROR(IF($C180="","",SUMIFS(Ledger!$K$2:$K$4, Ledger!$B$2:$B$4, $A180, Ledger!$C$2:$C$4, M$2)),"****")</f>
        <v/>
      </c>
      <c r="N180" t="str">
        <f>IFERROR(IF($C180="","",SUMIFS(Ledger!$K$2:$K$4, Ledger!$B$2:$B$4, $A180, Ledger!$C$2:$C$4, N$2)),"****")</f>
        <v/>
      </c>
      <c r="O180" t="str">
        <f>IFERROR(IF($C180="","",SUMIFS(Ledger!$K$2:$K$4, Ledger!$B$2:$B$4, $A180, Ledger!$C$2:$C$4, O$2)),"****")</f>
        <v/>
      </c>
      <c r="P180" t="str">
        <f>IFERROR(IF($C180="","",SUMIFS(Ledger!$K$2:$K$4, Ledger!$B$2:$B$4, $A180, Ledger!$C$2:$C$4, P$2)),"****")</f>
        <v/>
      </c>
      <c r="Q180" t="str">
        <f>IFERROR(IF($C180="","",SUMIFS(Ledger!$K$2:$K$4, Ledger!$B$2:$B$4, $A180, Ledger!$C$2:$C$4, Q$2)),"****")</f>
        <v/>
      </c>
      <c r="R180" t="str">
        <f>IFERROR(IF($C180="","",SUMIFS(Ledger!$K$2:$K$4, Ledger!$B$2:$B$4, $A180, Ledger!$C$2:$C$4, R$2)),"****")</f>
        <v/>
      </c>
      <c r="S180" t="str">
        <f>IFERROR(IF($C180="","",SUMIFS(Ledger!$K$2:$K$4, Ledger!$B$2:$B$4, $A180, Ledger!$C$2:$C$4, S$2)),"****")</f>
        <v/>
      </c>
      <c r="T180" t="str">
        <f>IFERROR(IF($C180="","",SUMIFS(Ledger!$K$2:$K$4, Ledger!$B$2:$B$4, $A180, Ledger!$C$2:$C$4, T$2)),"****")</f>
        <v/>
      </c>
      <c r="U180" t="str">
        <f>IFERROR(IF($C180="","",SUMIFS(Ledger!$K$2:$K$4, Ledger!$B$2:$B$4, $A180, Ledger!$C$2:$C$4, U$2)),"****")</f>
        <v/>
      </c>
      <c r="V180" t="str">
        <f>IFERROR(IF($C180="","",SUMIFS(Ledger!$K$2:$K$4, Ledger!$B$2:$B$4, $A180, Ledger!$C$2:$C$4, V$2)),"****")</f>
        <v/>
      </c>
      <c r="W180" t="str">
        <f>IFERROR(IF($C180="","",SUMIFS(Ledger!$K$2:$K$4, Ledger!$B$2:$B$4, $A180, Ledger!$C$2:$C$4, W$2)),"****")</f>
        <v/>
      </c>
      <c r="X180" t="str">
        <f>IFERROR(IF($C180="","",SUMIFS(Ledger!$K$2:$K$4, Ledger!$B$2:$B$4, $A180, Ledger!$C$2:$C$4, X$2)),"****")</f>
        <v/>
      </c>
    </row>
    <row r="181" spans="1:24" x14ac:dyDescent="0.3">
      <c r="A181" s="106">
        <v>179</v>
      </c>
      <c r="B181" t="str">
        <f>IFERROR(VLOOKUP($A181, Ledger!$B$2:$L$8, 3, 0),"")</f>
        <v/>
      </c>
      <c r="C181" t="str">
        <f>IFERROR(VLOOKUP($A181, Ledger!$B$2:$L$8, 4, 0),"")</f>
        <v/>
      </c>
      <c r="D181" t="str">
        <f>IFERROR(VLOOKUP($A181, Ledger!$B$2:$L$8, 5, 0),"")</f>
        <v/>
      </c>
      <c r="E181" t="str">
        <f>IFERROR(VLOOKUP($A181, Ledger!$B$2:$L$8, 6, 0),"")</f>
        <v/>
      </c>
      <c r="F181" t="str">
        <f>IFERROR(VLOOKUP($A181,'Student Data'!$A$2:$AR$6,32,0),"")</f>
        <v/>
      </c>
      <c r="G181" t="str">
        <f>IFERROR(VLOOKUP($A181,'Student Data'!$A$2:$AR$6,33,0),"")</f>
        <v/>
      </c>
      <c r="H181" t="str">
        <f>IFERROR(VLOOKUP($A181,'Student Data'!$A$2:$AR$6,34,0),"")</f>
        <v/>
      </c>
      <c r="I181" t="str">
        <f>IFERROR(VLOOKUP($A181,'Student Data'!$A$2:$AR$6,35,0),"")</f>
        <v/>
      </c>
      <c r="J181" t="str">
        <f>IFERROR(VLOOKUP($A181,'Student Data'!$A$2:$AR$6,36,0),"")</f>
        <v/>
      </c>
      <c r="K181" t="str">
        <f t="shared" si="4"/>
        <v/>
      </c>
      <c r="L181" t="str">
        <f t="shared" si="5"/>
        <v/>
      </c>
      <c r="M181" t="str">
        <f>IFERROR(IF($C181="","",SUMIFS(Ledger!$K$2:$K$4, Ledger!$B$2:$B$4, $A181, Ledger!$C$2:$C$4, M$2)),"****")</f>
        <v/>
      </c>
      <c r="N181" t="str">
        <f>IFERROR(IF($C181="","",SUMIFS(Ledger!$K$2:$K$4, Ledger!$B$2:$B$4, $A181, Ledger!$C$2:$C$4, N$2)),"****")</f>
        <v/>
      </c>
      <c r="O181" t="str">
        <f>IFERROR(IF($C181="","",SUMIFS(Ledger!$K$2:$K$4, Ledger!$B$2:$B$4, $A181, Ledger!$C$2:$C$4, O$2)),"****")</f>
        <v/>
      </c>
      <c r="P181" t="str">
        <f>IFERROR(IF($C181="","",SUMIFS(Ledger!$K$2:$K$4, Ledger!$B$2:$B$4, $A181, Ledger!$C$2:$C$4, P$2)),"****")</f>
        <v/>
      </c>
      <c r="Q181" t="str">
        <f>IFERROR(IF($C181="","",SUMIFS(Ledger!$K$2:$K$4, Ledger!$B$2:$B$4, $A181, Ledger!$C$2:$C$4, Q$2)),"****")</f>
        <v/>
      </c>
      <c r="R181" t="str">
        <f>IFERROR(IF($C181="","",SUMIFS(Ledger!$K$2:$K$4, Ledger!$B$2:$B$4, $A181, Ledger!$C$2:$C$4, R$2)),"****")</f>
        <v/>
      </c>
      <c r="S181" t="str">
        <f>IFERROR(IF($C181="","",SUMIFS(Ledger!$K$2:$K$4, Ledger!$B$2:$B$4, $A181, Ledger!$C$2:$C$4, S$2)),"****")</f>
        <v/>
      </c>
      <c r="T181" t="str">
        <f>IFERROR(IF($C181="","",SUMIFS(Ledger!$K$2:$K$4, Ledger!$B$2:$B$4, $A181, Ledger!$C$2:$C$4, T$2)),"****")</f>
        <v/>
      </c>
      <c r="U181" t="str">
        <f>IFERROR(IF($C181="","",SUMIFS(Ledger!$K$2:$K$4, Ledger!$B$2:$B$4, $A181, Ledger!$C$2:$C$4, U$2)),"****")</f>
        <v/>
      </c>
      <c r="V181" t="str">
        <f>IFERROR(IF($C181="","",SUMIFS(Ledger!$K$2:$K$4, Ledger!$B$2:$B$4, $A181, Ledger!$C$2:$C$4, V$2)),"****")</f>
        <v/>
      </c>
      <c r="W181" t="str">
        <f>IFERROR(IF($C181="","",SUMIFS(Ledger!$K$2:$K$4, Ledger!$B$2:$B$4, $A181, Ledger!$C$2:$C$4, W$2)),"****")</f>
        <v/>
      </c>
      <c r="X181" t="str">
        <f>IFERROR(IF($C181="","",SUMIFS(Ledger!$K$2:$K$4, Ledger!$B$2:$B$4, $A181, Ledger!$C$2:$C$4, X$2)),"****")</f>
        <v/>
      </c>
    </row>
    <row r="182" spans="1:24" x14ac:dyDescent="0.3">
      <c r="A182" s="106">
        <v>180</v>
      </c>
      <c r="B182" t="str">
        <f>IFERROR(VLOOKUP($A182, Ledger!$B$2:$L$8, 3, 0),"")</f>
        <v/>
      </c>
      <c r="C182" t="str">
        <f>IFERROR(VLOOKUP($A182, Ledger!$B$2:$L$8, 4, 0),"")</f>
        <v/>
      </c>
      <c r="D182" t="str">
        <f>IFERROR(VLOOKUP($A182, Ledger!$B$2:$L$8, 5, 0),"")</f>
        <v/>
      </c>
      <c r="E182" t="str">
        <f>IFERROR(VLOOKUP($A182, Ledger!$B$2:$L$8, 6, 0),"")</f>
        <v/>
      </c>
      <c r="F182" t="str">
        <f>IFERROR(VLOOKUP($A182,'Student Data'!$A$2:$AR$6,32,0),"")</f>
        <v/>
      </c>
      <c r="G182" t="str">
        <f>IFERROR(VLOOKUP($A182,'Student Data'!$A$2:$AR$6,33,0),"")</f>
        <v/>
      </c>
      <c r="H182" t="str">
        <f>IFERROR(VLOOKUP($A182,'Student Data'!$A$2:$AR$6,34,0),"")</f>
        <v/>
      </c>
      <c r="I182" t="str">
        <f>IFERROR(VLOOKUP($A182,'Student Data'!$A$2:$AR$6,35,0),"")</f>
        <v/>
      </c>
      <c r="J182" t="str">
        <f>IFERROR(VLOOKUP($A182,'Student Data'!$A$2:$AR$6,36,0),"")</f>
        <v/>
      </c>
      <c r="K182" t="str">
        <f t="shared" si="4"/>
        <v/>
      </c>
      <c r="L182" t="str">
        <f t="shared" si="5"/>
        <v/>
      </c>
      <c r="M182" t="str">
        <f>IFERROR(IF($C182="","",SUMIFS(Ledger!$K$2:$K$4, Ledger!$B$2:$B$4, $A182, Ledger!$C$2:$C$4, M$2)),"****")</f>
        <v/>
      </c>
      <c r="N182" t="str">
        <f>IFERROR(IF($C182="","",SUMIFS(Ledger!$K$2:$K$4, Ledger!$B$2:$B$4, $A182, Ledger!$C$2:$C$4, N$2)),"****")</f>
        <v/>
      </c>
      <c r="O182" t="str">
        <f>IFERROR(IF($C182="","",SUMIFS(Ledger!$K$2:$K$4, Ledger!$B$2:$B$4, $A182, Ledger!$C$2:$C$4, O$2)),"****")</f>
        <v/>
      </c>
      <c r="P182" t="str">
        <f>IFERROR(IF($C182="","",SUMIFS(Ledger!$K$2:$K$4, Ledger!$B$2:$B$4, $A182, Ledger!$C$2:$C$4, P$2)),"****")</f>
        <v/>
      </c>
      <c r="Q182" t="str">
        <f>IFERROR(IF($C182="","",SUMIFS(Ledger!$K$2:$K$4, Ledger!$B$2:$B$4, $A182, Ledger!$C$2:$C$4, Q$2)),"****")</f>
        <v/>
      </c>
      <c r="R182" t="str">
        <f>IFERROR(IF($C182="","",SUMIFS(Ledger!$K$2:$K$4, Ledger!$B$2:$B$4, $A182, Ledger!$C$2:$C$4, R$2)),"****")</f>
        <v/>
      </c>
      <c r="S182" t="str">
        <f>IFERROR(IF($C182="","",SUMIFS(Ledger!$K$2:$K$4, Ledger!$B$2:$B$4, $A182, Ledger!$C$2:$C$4, S$2)),"****")</f>
        <v/>
      </c>
      <c r="T182" t="str">
        <f>IFERROR(IF($C182="","",SUMIFS(Ledger!$K$2:$K$4, Ledger!$B$2:$B$4, $A182, Ledger!$C$2:$C$4, T$2)),"****")</f>
        <v/>
      </c>
      <c r="U182" t="str">
        <f>IFERROR(IF($C182="","",SUMIFS(Ledger!$K$2:$K$4, Ledger!$B$2:$B$4, $A182, Ledger!$C$2:$C$4, U$2)),"****")</f>
        <v/>
      </c>
      <c r="V182" t="str">
        <f>IFERROR(IF($C182="","",SUMIFS(Ledger!$K$2:$K$4, Ledger!$B$2:$B$4, $A182, Ledger!$C$2:$C$4, V$2)),"****")</f>
        <v/>
      </c>
      <c r="W182" t="str">
        <f>IFERROR(IF($C182="","",SUMIFS(Ledger!$K$2:$K$4, Ledger!$B$2:$B$4, $A182, Ledger!$C$2:$C$4, W$2)),"****")</f>
        <v/>
      </c>
      <c r="X182" t="str">
        <f>IFERROR(IF($C182="","",SUMIFS(Ledger!$K$2:$K$4, Ledger!$B$2:$B$4, $A182, Ledger!$C$2:$C$4, X$2)),"****")</f>
        <v/>
      </c>
    </row>
    <row r="183" spans="1:24" x14ac:dyDescent="0.3">
      <c r="A183" s="106">
        <v>181</v>
      </c>
      <c r="B183" t="str">
        <f>IFERROR(VLOOKUP($A183, Ledger!$B$2:$L$8, 3, 0),"")</f>
        <v/>
      </c>
      <c r="C183" t="str">
        <f>IFERROR(VLOOKUP($A183, Ledger!$B$2:$L$8, 4, 0),"")</f>
        <v/>
      </c>
      <c r="D183" t="str">
        <f>IFERROR(VLOOKUP($A183, Ledger!$B$2:$L$8, 5, 0),"")</f>
        <v/>
      </c>
      <c r="E183" t="str">
        <f>IFERROR(VLOOKUP($A183, Ledger!$B$2:$L$8, 6, 0),"")</f>
        <v/>
      </c>
      <c r="F183" t="str">
        <f>IFERROR(VLOOKUP($A183,'Student Data'!$A$2:$AR$6,32,0),"")</f>
        <v/>
      </c>
      <c r="G183" t="str">
        <f>IFERROR(VLOOKUP($A183,'Student Data'!$A$2:$AR$6,33,0),"")</f>
        <v/>
      </c>
      <c r="H183" t="str">
        <f>IFERROR(VLOOKUP($A183,'Student Data'!$A$2:$AR$6,34,0),"")</f>
        <v/>
      </c>
      <c r="I183" t="str">
        <f>IFERROR(VLOOKUP($A183,'Student Data'!$A$2:$AR$6,35,0),"")</f>
        <v/>
      </c>
      <c r="J183" t="str">
        <f>IFERROR(VLOOKUP($A183,'Student Data'!$A$2:$AR$6,36,0),"")</f>
        <v/>
      </c>
      <c r="K183" t="str">
        <f t="shared" si="4"/>
        <v/>
      </c>
      <c r="L183" t="str">
        <f t="shared" si="5"/>
        <v/>
      </c>
      <c r="M183" t="str">
        <f>IFERROR(IF($C183="","",SUMIFS(Ledger!$K$2:$K$4, Ledger!$B$2:$B$4, $A183, Ledger!$C$2:$C$4, M$2)),"****")</f>
        <v/>
      </c>
      <c r="N183" t="str">
        <f>IFERROR(IF($C183="","",SUMIFS(Ledger!$K$2:$K$4, Ledger!$B$2:$B$4, $A183, Ledger!$C$2:$C$4, N$2)),"****")</f>
        <v/>
      </c>
      <c r="O183" t="str">
        <f>IFERROR(IF($C183="","",SUMIFS(Ledger!$K$2:$K$4, Ledger!$B$2:$B$4, $A183, Ledger!$C$2:$C$4, O$2)),"****")</f>
        <v/>
      </c>
      <c r="P183" t="str">
        <f>IFERROR(IF($C183="","",SUMIFS(Ledger!$K$2:$K$4, Ledger!$B$2:$B$4, $A183, Ledger!$C$2:$C$4, P$2)),"****")</f>
        <v/>
      </c>
      <c r="Q183" t="str">
        <f>IFERROR(IF($C183="","",SUMIFS(Ledger!$K$2:$K$4, Ledger!$B$2:$B$4, $A183, Ledger!$C$2:$C$4, Q$2)),"****")</f>
        <v/>
      </c>
      <c r="R183" t="str">
        <f>IFERROR(IF($C183="","",SUMIFS(Ledger!$K$2:$K$4, Ledger!$B$2:$B$4, $A183, Ledger!$C$2:$C$4, R$2)),"****")</f>
        <v/>
      </c>
      <c r="S183" t="str">
        <f>IFERROR(IF($C183="","",SUMIFS(Ledger!$K$2:$K$4, Ledger!$B$2:$B$4, $A183, Ledger!$C$2:$C$4, S$2)),"****")</f>
        <v/>
      </c>
      <c r="T183" t="str">
        <f>IFERROR(IF($C183="","",SUMIFS(Ledger!$K$2:$K$4, Ledger!$B$2:$B$4, $A183, Ledger!$C$2:$C$4, T$2)),"****")</f>
        <v/>
      </c>
      <c r="U183" t="str">
        <f>IFERROR(IF($C183="","",SUMIFS(Ledger!$K$2:$K$4, Ledger!$B$2:$B$4, $A183, Ledger!$C$2:$C$4, U$2)),"****")</f>
        <v/>
      </c>
      <c r="V183" t="str">
        <f>IFERROR(IF($C183="","",SUMIFS(Ledger!$K$2:$K$4, Ledger!$B$2:$B$4, $A183, Ledger!$C$2:$C$4, V$2)),"****")</f>
        <v/>
      </c>
      <c r="W183" t="str">
        <f>IFERROR(IF($C183="","",SUMIFS(Ledger!$K$2:$K$4, Ledger!$B$2:$B$4, $A183, Ledger!$C$2:$C$4, W$2)),"****")</f>
        <v/>
      </c>
      <c r="X183" t="str">
        <f>IFERROR(IF($C183="","",SUMIFS(Ledger!$K$2:$K$4, Ledger!$B$2:$B$4, $A183, Ledger!$C$2:$C$4, X$2)),"****")</f>
        <v/>
      </c>
    </row>
    <row r="184" spans="1:24" x14ac:dyDescent="0.3">
      <c r="A184" s="106">
        <v>182</v>
      </c>
      <c r="B184" t="str">
        <f>IFERROR(VLOOKUP($A184, Ledger!$B$2:$L$8, 3, 0),"")</f>
        <v/>
      </c>
      <c r="C184" t="str">
        <f>IFERROR(VLOOKUP($A184, Ledger!$B$2:$L$8, 4, 0),"")</f>
        <v/>
      </c>
      <c r="D184" t="str">
        <f>IFERROR(VLOOKUP($A184, Ledger!$B$2:$L$8, 5, 0),"")</f>
        <v/>
      </c>
      <c r="E184" t="str">
        <f>IFERROR(VLOOKUP($A184, Ledger!$B$2:$L$8, 6, 0),"")</f>
        <v/>
      </c>
      <c r="F184" t="str">
        <f>IFERROR(VLOOKUP($A184,'Student Data'!$A$2:$AR$6,32,0),"")</f>
        <v/>
      </c>
      <c r="G184" t="str">
        <f>IFERROR(VLOOKUP($A184,'Student Data'!$A$2:$AR$6,33,0),"")</f>
        <v/>
      </c>
      <c r="H184" t="str">
        <f>IFERROR(VLOOKUP($A184,'Student Data'!$A$2:$AR$6,34,0),"")</f>
        <v/>
      </c>
      <c r="I184" t="str">
        <f>IFERROR(VLOOKUP($A184,'Student Data'!$A$2:$AR$6,35,0),"")</f>
        <v/>
      </c>
      <c r="J184" t="str">
        <f>IFERROR(VLOOKUP($A184,'Student Data'!$A$2:$AR$6,36,0),"")</f>
        <v/>
      </c>
      <c r="K184" t="str">
        <f t="shared" si="4"/>
        <v/>
      </c>
      <c r="L184" t="str">
        <f t="shared" si="5"/>
        <v/>
      </c>
      <c r="M184" t="str">
        <f>IFERROR(IF($C184="","",SUMIFS(Ledger!$K$2:$K$4, Ledger!$B$2:$B$4, $A184, Ledger!$C$2:$C$4, M$2)),"****")</f>
        <v/>
      </c>
      <c r="N184" t="str">
        <f>IFERROR(IF($C184="","",SUMIFS(Ledger!$K$2:$K$4, Ledger!$B$2:$B$4, $A184, Ledger!$C$2:$C$4, N$2)),"****")</f>
        <v/>
      </c>
      <c r="O184" t="str">
        <f>IFERROR(IF($C184="","",SUMIFS(Ledger!$K$2:$K$4, Ledger!$B$2:$B$4, $A184, Ledger!$C$2:$C$4, O$2)),"****")</f>
        <v/>
      </c>
      <c r="P184" t="str">
        <f>IFERROR(IF($C184="","",SUMIFS(Ledger!$K$2:$K$4, Ledger!$B$2:$B$4, $A184, Ledger!$C$2:$C$4, P$2)),"****")</f>
        <v/>
      </c>
      <c r="Q184" t="str">
        <f>IFERROR(IF($C184="","",SUMIFS(Ledger!$K$2:$K$4, Ledger!$B$2:$B$4, $A184, Ledger!$C$2:$C$4, Q$2)),"****")</f>
        <v/>
      </c>
      <c r="R184" t="str">
        <f>IFERROR(IF($C184="","",SUMIFS(Ledger!$K$2:$K$4, Ledger!$B$2:$B$4, $A184, Ledger!$C$2:$C$4, R$2)),"****")</f>
        <v/>
      </c>
      <c r="S184" t="str">
        <f>IFERROR(IF($C184="","",SUMIFS(Ledger!$K$2:$K$4, Ledger!$B$2:$B$4, $A184, Ledger!$C$2:$C$4, S$2)),"****")</f>
        <v/>
      </c>
      <c r="T184" t="str">
        <f>IFERROR(IF($C184="","",SUMIFS(Ledger!$K$2:$K$4, Ledger!$B$2:$B$4, $A184, Ledger!$C$2:$C$4, T$2)),"****")</f>
        <v/>
      </c>
      <c r="U184" t="str">
        <f>IFERROR(IF($C184="","",SUMIFS(Ledger!$K$2:$K$4, Ledger!$B$2:$B$4, $A184, Ledger!$C$2:$C$4, U$2)),"****")</f>
        <v/>
      </c>
      <c r="V184" t="str">
        <f>IFERROR(IF($C184="","",SUMIFS(Ledger!$K$2:$K$4, Ledger!$B$2:$B$4, $A184, Ledger!$C$2:$C$4, V$2)),"****")</f>
        <v/>
      </c>
      <c r="W184" t="str">
        <f>IFERROR(IF($C184="","",SUMIFS(Ledger!$K$2:$K$4, Ledger!$B$2:$B$4, $A184, Ledger!$C$2:$C$4, W$2)),"****")</f>
        <v/>
      </c>
      <c r="X184" t="str">
        <f>IFERROR(IF($C184="","",SUMIFS(Ledger!$K$2:$K$4, Ledger!$B$2:$B$4, $A184, Ledger!$C$2:$C$4, X$2)),"****")</f>
        <v/>
      </c>
    </row>
    <row r="185" spans="1:24" x14ac:dyDescent="0.3">
      <c r="A185" s="106">
        <v>183</v>
      </c>
      <c r="B185" t="str">
        <f>IFERROR(VLOOKUP($A185, Ledger!$B$2:$L$8, 3, 0),"")</f>
        <v/>
      </c>
      <c r="C185" t="str">
        <f>IFERROR(VLOOKUP($A185, Ledger!$B$2:$L$8, 4, 0),"")</f>
        <v/>
      </c>
      <c r="D185" t="str">
        <f>IFERROR(VLOOKUP($A185, Ledger!$B$2:$L$8, 5, 0),"")</f>
        <v/>
      </c>
      <c r="E185" t="str">
        <f>IFERROR(VLOOKUP($A185, Ledger!$B$2:$L$8, 6, 0),"")</f>
        <v/>
      </c>
      <c r="F185" t="str">
        <f>IFERROR(VLOOKUP($A185,'Student Data'!$A$2:$AR$6,32,0),"")</f>
        <v/>
      </c>
      <c r="G185" t="str">
        <f>IFERROR(VLOOKUP($A185,'Student Data'!$A$2:$AR$6,33,0),"")</f>
        <v/>
      </c>
      <c r="H185" t="str">
        <f>IFERROR(VLOOKUP($A185,'Student Data'!$A$2:$AR$6,34,0),"")</f>
        <v/>
      </c>
      <c r="I185" t="str">
        <f>IFERROR(VLOOKUP($A185,'Student Data'!$A$2:$AR$6,35,0),"")</f>
        <v/>
      </c>
      <c r="J185" t="str">
        <f>IFERROR(VLOOKUP($A185,'Student Data'!$A$2:$AR$6,36,0),"")</f>
        <v/>
      </c>
      <c r="K185" t="str">
        <f t="shared" si="4"/>
        <v/>
      </c>
      <c r="L185" t="str">
        <f t="shared" si="5"/>
        <v/>
      </c>
      <c r="M185" t="str">
        <f>IFERROR(IF($C185="","",SUMIFS(Ledger!$K$2:$K$4, Ledger!$B$2:$B$4, $A185, Ledger!$C$2:$C$4, M$2)),"****")</f>
        <v/>
      </c>
      <c r="N185" t="str">
        <f>IFERROR(IF($C185="","",SUMIFS(Ledger!$K$2:$K$4, Ledger!$B$2:$B$4, $A185, Ledger!$C$2:$C$4, N$2)),"****")</f>
        <v/>
      </c>
      <c r="O185" t="str">
        <f>IFERROR(IF($C185="","",SUMIFS(Ledger!$K$2:$K$4, Ledger!$B$2:$B$4, $A185, Ledger!$C$2:$C$4, O$2)),"****")</f>
        <v/>
      </c>
      <c r="P185" t="str">
        <f>IFERROR(IF($C185="","",SUMIFS(Ledger!$K$2:$K$4, Ledger!$B$2:$B$4, $A185, Ledger!$C$2:$C$4, P$2)),"****")</f>
        <v/>
      </c>
      <c r="Q185" t="str">
        <f>IFERROR(IF($C185="","",SUMIFS(Ledger!$K$2:$K$4, Ledger!$B$2:$B$4, $A185, Ledger!$C$2:$C$4, Q$2)),"****")</f>
        <v/>
      </c>
      <c r="R185" t="str">
        <f>IFERROR(IF($C185="","",SUMIFS(Ledger!$K$2:$K$4, Ledger!$B$2:$B$4, $A185, Ledger!$C$2:$C$4, R$2)),"****")</f>
        <v/>
      </c>
      <c r="S185" t="str">
        <f>IFERROR(IF($C185="","",SUMIFS(Ledger!$K$2:$K$4, Ledger!$B$2:$B$4, $A185, Ledger!$C$2:$C$4, S$2)),"****")</f>
        <v/>
      </c>
      <c r="T185" t="str">
        <f>IFERROR(IF($C185="","",SUMIFS(Ledger!$K$2:$K$4, Ledger!$B$2:$B$4, $A185, Ledger!$C$2:$C$4, T$2)),"****")</f>
        <v/>
      </c>
      <c r="U185" t="str">
        <f>IFERROR(IF($C185="","",SUMIFS(Ledger!$K$2:$K$4, Ledger!$B$2:$B$4, $A185, Ledger!$C$2:$C$4, U$2)),"****")</f>
        <v/>
      </c>
      <c r="V185" t="str">
        <f>IFERROR(IF($C185="","",SUMIFS(Ledger!$K$2:$K$4, Ledger!$B$2:$B$4, $A185, Ledger!$C$2:$C$4, V$2)),"****")</f>
        <v/>
      </c>
      <c r="W185" t="str">
        <f>IFERROR(IF($C185="","",SUMIFS(Ledger!$K$2:$K$4, Ledger!$B$2:$B$4, $A185, Ledger!$C$2:$C$4, W$2)),"****")</f>
        <v/>
      </c>
      <c r="X185" t="str">
        <f>IFERROR(IF($C185="","",SUMIFS(Ledger!$K$2:$K$4, Ledger!$B$2:$B$4, $A185, Ledger!$C$2:$C$4, X$2)),"****")</f>
        <v/>
      </c>
    </row>
    <row r="186" spans="1:24" x14ac:dyDescent="0.3">
      <c r="A186" s="106">
        <v>184</v>
      </c>
      <c r="B186" t="str">
        <f>IFERROR(VLOOKUP($A186, Ledger!$B$2:$L$8, 3, 0),"")</f>
        <v/>
      </c>
      <c r="C186" t="str">
        <f>IFERROR(VLOOKUP($A186, Ledger!$B$2:$L$8, 4, 0),"")</f>
        <v/>
      </c>
      <c r="D186" t="str">
        <f>IFERROR(VLOOKUP($A186, Ledger!$B$2:$L$8, 5, 0),"")</f>
        <v/>
      </c>
      <c r="E186" t="str">
        <f>IFERROR(VLOOKUP($A186, Ledger!$B$2:$L$8, 6, 0),"")</f>
        <v/>
      </c>
      <c r="F186" t="str">
        <f>IFERROR(VLOOKUP($A186,'Student Data'!$A$2:$AR$6,32,0),"")</f>
        <v/>
      </c>
      <c r="G186" t="str">
        <f>IFERROR(VLOOKUP($A186,'Student Data'!$A$2:$AR$6,33,0),"")</f>
        <v/>
      </c>
      <c r="H186" t="str">
        <f>IFERROR(VLOOKUP($A186,'Student Data'!$A$2:$AR$6,34,0),"")</f>
        <v/>
      </c>
      <c r="I186" t="str">
        <f>IFERROR(VLOOKUP($A186,'Student Data'!$A$2:$AR$6,35,0),"")</f>
        <v/>
      </c>
      <c r="J186" t="str">
        <f>IFERROR(VLOOKUP($A186,'Student Data'!$A$2:$AR$6,36,0),"")</f>
        <v/>
      </c>
      <c r="K186" t="str">
        <f t="shared" si="4"/>
        <v/>
      </c>
      <c r="L186" t="str">
        <f t="shared" si="5"/>
        <v/>
      </c>
      <c r="M186" t="str">
        <f>IFERROR(IF($C186="","",SUMIFS(Ledger!$K$2:$K$4, Ledger!$B$2:$B$4, $A186, Ledger!$C$2:$C$4, M$2)),"****")</f>
        <v/>
      </c>
      <c r="N186" t="str">
        <f>IFERROR(IF($C186="","",SUMIFS(Ledger!$K$2:$K$4, Ledger!$B$2:$B$4, $A186, Ledger!$C$2:$C$4, N$2)),"****")</f>
        <v/>
      </c>
      <c r="O186" t="str">
        <f>IFERROR(IF($C186="","",SUMIFS(Ledger!$K$2:$K$4, Ledger!$B$2:$B$4, $A186, Ledger!$C$2:$C$4, O$2)),"****")</f>
        <v/>
      </c>
      <c r="P186" t="str">
        <f>IFERROR(IF($C186="","",SUMIFS(Ledger!$K$2:$K$4, Ledger!$B$2:$B$4, $A186, Ledger!$C$2:$C$4, P$2)),"****")</f>
        <v/>
      </c>
      <c r="Q186" t="str">
        <f>IFERROR(IF($C186="","",SUMIFS(Ledger!$K$2:$K$4, Ledger!$B$2:$B$4, $A186, Ledger!$C$2:$C$4, Q$2)),"****")</f>
        <v/>
      </c>
      <c r="R186" t="str">
        <f>IFERROR(IF($C186="","",SUMIFS(Ledger!$K$2:$K$4, Ledger!$B$2:$B$4, $A186, Ledger!$C$2:$C$4, R$2)),"****")</f>
        <v/>
      </c>
      <c r="S186" t="str">
        <f>IFERROR(IF($C186="","",SUMIFS(Ledger!$K$2:$K$4, Ledger!$B$2:$B$4, $A186, Ledger!$C$2:$C$4, S$2)),"****")</f>
        <v/>
      </c>
      <c r="T186" t="str">
        <f>IFERROR(IF($C186="","",SUMIFS(Ledger!$K$2:$K$4, Ledger!$B$2:$B$4, $A186, Ledger!$C$2:$C$4, T$2)),"****")</f>
        <v/>
      </c>
      <c r="U186" t="str">
        <f>IFERROR(IF($C186="","",SUMIFS(Ledger!$K$2:$K$4, Ledger!$B$2:$B$4, $A186, Ledger!$C$2:$C$4, U$2)),"****")</f>
        <v/>
      </c>
      <c r="V186" t="str">
        <f>IFERROR(IF($C186="","",SUMIFS(Ledger!$K$2:$K$4, Ledger!$B$2:$B$4, $A186, Ledger!$C$2:$C$4, V$2)),"****")</f>
        <v/>
      </c>
      <c r="W186" t="str">
        <f>IFERROR(IF($C186="","",SUMIFS(Ledger!$K$2:$K$4, Ledger!$B$2:$B$4, $A186, Ledger!$C$2:$C$4, W$2)),"****")</f>
        <v/>
      </c>
      <c r="X186" t="str">
        <f>IFERROR(IF($C186="","",SUMIFS(Ledger!$K$2:$K$4, Ledger!$B$2:$B$4, $A186, Ledger!$C$2:$C$4, X$2)),"****")</f>
        <v/>
      </c>
    </row>
    <row r="187" spans="1:24" x14ac:dyDescent="0.3">
      <c r="A187" s="106">
        <v>185</v>
      </c>
      <c r="B187" t="str">
        <f>IFERROR(VLOOKUP($A187, Ledger!$B$2:$L$8, 3, 0),"")</f>
        <v/>
      </c>
      <c r="C187" t="str">
        <f>IFERROR(VLOOKUP($A187, Ledger!$B$2:$L$8, 4, 0),"")</f>
        <v/>
      </c>
      <c r="D187" t="str">
        <f>IFERROR(VLOOKUP($A187, Ledger!$B$2:$L$8, 5, 0),"")</f>
        <v/>
      </c>
      <c r="E187" t="str">
        <f>IFERROR(VLOOKUP($A187, Ledger!$B$2:$L$8, 6, 0),"")</f>
        <v/>
      </c>
      <c r="F187" t="str">
        <f>IFERROR(VLOOKUP($A187,'Student Data'!$A$2:$AR$6,32,0),"")</f>
        <v/>
      </c>
      <c r="G187" t="str">
        <f>IFERROR(VLOOKUP($A187,'Student Data'!$A$2:$AR$6,33,0),"")</f>
        <v/>
      </c>
      <c r="H187" t="str">
        <f>IFERROR(VLOOKUP($A187,'Student Data'!$A$2:$AR$6,34,0),"")</f>
        <v/>
      </c>
      <c r="I187" t="str">
        <f>IFERROR(VLOOKUP($A187,'Student Data'!$A$2:$AR$6,35,0),"")</f>
        <v/>
      </c>
      <c r="J187" t="str">
        <f>IFERROR(VLOOKUP($A187,'Student Data'!$A$2:$AR$6,36,0),"")</f>
        <v/>
      </c>
      <c r="K187" t="str">
        <f t="shared" si="4"/>
        <v/>
      </c>
      <c r="L187" t="str">
        <f t="shared" si="5"/>
        <v/>
      </c>
      <c r="M187" t="str">
        <f>IFERROR(IF($C187="","",SUMIFS(Ledger!$K$2:$K$4, Ledger!$B$2:$B$4, $A187, Ledger!$C$2:$C$4, M$2)),"****")</f>
        <v/>
      </c>
      <c r="N187" t="str">
        <f>IFERROR(IF($C187="","",SUMIFS(Ledger!$K$2:$K$4, Ledger!$B$2:$B$4, $A187, Ledger!$C$2:$C$4, N$2)),"****")</f>
        <v/>
      </c>
      <c r="O187" t="str">
        <f>IFERROR(IF($C187="","",SUMIFS(Ledger!$K$2:$K$4, Ledger!$B$2:$B$4, $A187, Ledger!$C$2:$C$4, O$2)),"****")</f>
        <v/>
      </c>
      <c r="P187" t="str">
        <f>IFERROR(IF($C187="","",SUMIFS(Ledger!$K$2:$K$4, Ledger!$B$2:$B$4, $A187, Ledger!$C$2:$C$4, P$2)),"****")</f>
        <v/>
      </c>
      <c r="Q187" t="str">
        <f>IFERROR(IF($C187="","",SUMIFS(Ledger!$K$2:$K$4, Ledger!$B$2:$B$4, $A187, Ledger!$C$2:$C$4, Q$2)),"****")</f>
        <v/>
      </c>
      <c r="R187" t="str">
        <f>IFERROR(IF($C187="","",SUMIFS(Ledger!$K$2:$K$4, Ledger!$B$2:$B$4, $A187, Ledger!$C$2:$C$4, R$2)),"****")</f>
        <v/>
      </c>
      <c r="S187" t="str">
        <f>IFERROR(IF($C187="","",SUMIFS(Ledger!$K$2:$K$4, Ledger!$B$2:$B$4, $A187, Ledger!$C$2:$C$4, S$2)),"****")</f>
        <v/>
      </c>
      <c r="T187" t="str">
        <f>IFERROR(IF($C187="","",SUMIFS(Ledger!$K$2:$K$4, Ledger!$B$2:$B$4, $A187, Ledger!$C$2:$C$4, T$2)),"****")</f>
        <v/>
      </c>
      <c r="U187" t="str">
        <f>IFERROR(IF($C187="","",SUMIFS(Ledger!$K$2:$K$4, Ledger!$B$2:$B$4, $A187, Ledger!$C$2:$C$4, U$2)),"****")</f>
        <v/>
      </c>
      <c r="V187" t="str">
        <f>IFERROR(IF($C187="","",SUMIFS(Ledger!$K$2:$K$4, Ledger!$B$2:$B$4, $A187, Ledger!$C$2:$C$4, V$2)),"****")</f>
        <v/>
      </c>
      <c r="W187" t="str">
        <f>IFERROR(IF($C187="","",SUMIFS(Ledger!$K$2:$K$4, Ledger!$B$2:$B$4, $A187, Ledger!$C$2:$C$4, W$2)),"****")</f>
        <v/>
      </c>
      <c r="X187" t="str">
        <f>IFERROR(IF($C187="","",SUMIFS(Ledger!$K$2:$K$4, Ledger!$B$2:$B$4, $A187, Ledger!$C$2:$C$4, X$2)),"****")</f>
        <v/>
      </c>
    </row>
    <row r="188" spans="1:24" x14ac:dyDescent="0.3">
      <c r="A188" s="106">
        <v>186</v>
      </c>
      <c r="B188" t="str">
        <f>IFERROR(VLOOKUP($A188, Ledger!$B$2:$L$8, 3, 0),"")</f>
        <v/>
      </c>
      <c r="C188" t="str">
        <f>IFERROR(VLOOKUP($A188, Ledger!$B$2:$L$8, 4, 0),"")</f>
        <v/>
      </c>
      <c r="D188" t="str">
        <f>IFERROR(VLOOKUP($A188, Ledger!$B$2:$L$8, 5, 0),"")</f>
        <v/>
      </c>
      <c r="E188" t="str">
        <f>IFERROR(VLOOKUP($A188, Ledger!$B$2:$L$8, 6, 0),"")</f>
        <v/>
      </c>
      <c r="F188" t="str">
        <f>IFERROR(VLOOKUP($A188,'Student Data'!$A$2:$AR$6,32,0),"")</f>
        <v/>
      </c>
      <c r="G188" t="str">
        <f>IFERROR(VLOOKUP($A188,'Student Data'!$A$2:$AR$6,33,0),"")</f>
        <v/>
      </c>
      <c r="H188" t="str">
        <f>IFERROR(VLOOKUP($A188,'Student Data'!$A$2:$AR$6,34,0),"")</f>
        <v/>
      </c>
      <c r="I188" t="str">
        <f>IFERROR(VLOOKUP($A188,'Student Data'!$A$2:$AR$6,35,0),"")</f>
        <v/>
      </c>
      <c r="J188" t="str">
        <f>IFERROR(VLOOKUP($A188,'Student Data'!$A$2:$AR$6,36,0),"")</f>
        <v/>
      </c>
      <c r="K188" t="str">
        <f t="shared" si="4"/>
        <v/>
      </c>
      <c r="L188" t="str">
        <f t="shared" si="5"/>
        <v/>
      </c>
      <c r="M188" t="str">
        <f>IFERROR(IF($C188="","",SUMIFS(Ledger!$K$2:$K$4, Ledger!$B$2:$B$4, $A188, Ledger!$C$2:$C$4, M$2)),"****")</f>
        <v/>
      </c>
      <c r="N188" t="str">
        <f>IFERROR(IF($C188="","",SUMIFS(Ledger!$K$2:$K$4, Ledger!$B$2:$B$4, $A188, Ledger!$C$2:$C$4, N$2)),"****")</f>
        <v/>
      </c>
      <c r="O188" t="str">
        <f>IFERROR(IF($C188="","",SUMIFS(Ledger!$K$2:$K$4, Ledger!$B$2:$B$4, $A188, Ledger!$C$2:$C$4, O$2)),"****")</f>
        <v/>
      </c>
      <c r="P188" t="str">
        <f>IFERROR(IF($C188="","",SUMIFS(Ledger!$K$2:$K$4, Ledger!$B$2:$B$4, $A188, Ledger!$C$2:$C$4, P$2)),"****")</f>
        <v/>
      </c>
      <c r="Q188" t="str">
        <f>IFERROR(IF($C188="","",SUMIFS(Ledger!$K$2:$K$4, Ledger!$B$2:$B$4, $A188, Ledger!$C$2:$C$4, Q$2)),"****")</f>
        <v/>
      </c>
      <c r="R188" t="str">
        <f>IFERROR(IF($C188="","",SUMIFS(Ledger!$K$2:$K$4, Ledger!$B$2:$B$4, $A188, Ledger!$C$2:$C$4, R$2)),"****")</f>
        <v/>
      </c>
      <c r="S188" t="str">
        <f>IFERROR(IF($C188="","",SUMIFS(Ledger!$K$2:$K$4, Ledger!$B$2:$B$4, $A188, Ledger!$C$2:$C$4, S$2)),"****")</f>
        <v/>
      </c>
      <c r="T188" t="str">
        <f>IFERROR(IF($C188="","",SUMIFS(Ledger!$K$2:$K$4, Ledger!$B$2:$B$4, $A188, Ledger!$C$2:$C$4, T$2)),"****")</f>
        <v/>
      </c>
      <c r="U188" t="str">
        <f>IFERROR(IF($C188="","",SUMIFS(Ledger!$K$2:$K$4, Ledger!$B$2:$B$4, $A188, Ledger!$C$2:$C$4, U$2)),"****")</f>
        <v/>
      </c>
      <c r="V188" t="str">
        <f>IFERROR(IF($C188="","",SUMIFS(Ledger!$K$2:$K$4, Ledger!$B$2:$B$4, $A188, Ledger!$C$2:$C$4, V$2)),"****")</f>
        <v/>
      </c>
      <c r="W188" t="str">
        <f>IFERROR(IF($C188="","",SUMIFS(Ledger!$K$2:$K$4, Ledger!$B$2:$B$4, $A188, Ledger!$C$2:$C$4, W$2)),"****")</f>
        <v/>
      </c>
      <c r="X188" t="str">
        <f>IFERROR(IF($C188="","",SUMIFS(Ledger!$K$2:$K$4, Ledger!$B$2:$B$4, $A188, Ledger!$C$2:$C$4, X$2)),"****")</f>
        <v/>
      </c>
    </row>
    <row r="189" spans="1:24" x14ac:dyDescent="0.3">
      <c r="A189" s="106">
        <v>187</v>
      </c>
      <c r="B189" t="str">
        <f>IFERROR(VLOOKUP($A189, Ledger!$B$2:$L$8, 3, 0),"")</f>
        <v/>
      </c>
      <c r="C189" t="str">
        <f>IFERROR(VLOOKUP($A189, Ledger!$B$2:$L$8, 4, 0),"")</f>
        <v/>
      </c>
      <c r="D189" t="str">
        <f>IFERROR(VLOOKUP($A189, Ledger!$B$2:$L$8, 5, 0),"")</f>
        <v/>
      </c>
      <c r="E189" t="str">
        <f>IFERROR(VLOOKUP($A189, Ledger!$B$2:$L$8, 6, 0),"")</f>
        <v/>
      </c>
      <c r="F189" t="str">
        <f>IFERROR(VLOOKUP($A189,'Student Data'!$A$2:$AR$6,32,0),"")</f>
        <v/>
      </c>
      <c r="G189" t="str">
        <f>IFERROR(VLOOKUP($A189,'Student Data'!$A$2:$AR$6,33,0),"")</f>
        <v/>
      </c>
      <c r="H189" t="str">
        <f>IFERROR(VLOOKUP($A189,'Student Data'!$A$2:$AR$6,34,0),"")</f>
        <v/>
      </c>
      <c r="I189" t="str">
        <f>IFERROR(VLOOKUP($A189,'Student Data'!$A$2:$AR$6,35,0),"")</f>
        <v/>
      </c>
      <c r="J189" t="str">
        <f>IFERROR(VLOOKUP($A189,'Student Data'!$A$2:$AR$6,36,0),"")</f>
        <v/>
      </c>
      <c r="K189" t="str">
        <f t="shared" si="4"/>
        <v/>
      </c>
      <c r="L189" t="str">
        <f t="shared" si="5"/>
        <v/>
      </c>
      <c r="M189" t="str">
        <f>IFERROR(IF($C189="","",SUMIFS(Ledger!$K$2:$K$4, Ledger!$B$2:$B$4, $A189, Ledger!$C$2:$C$4, M$2)),"****")</f>
        <v/>
      </c>
      <c r="N189" t="str">
        <f>IFERROR(IF($C189="","",SUMIFS(Ledger!$K$2:$K$4, Ledger!$B$2:$B$4, $A189, Ledger!$C$2:$C$4, N$2)),"****")</f>
        <v/>
      </c>
      <c r="O189" t="str">
        <f>IFERROR(IF($C189="","",SUMIFS(Ledger!$K$2:$K$4, Ledger!$B$2:$B$4, $A189, Ledger!$C$2:$C$4, O$2)),"****")</f>
        <v/>
      </c>
      <c r="P189" t="str">
        <f>IFERROR(IF($C189="","",SUMIFS(Ledger!$K$2:$K$4, Ledger!$B$2:$B$4, $A189, Ledger!$C$2:$C$4, P$2)),"****")</f>
        <v/>
      </c>
      <c r="Q189" t="str">
        <f>IFERROR(IF($C189="","",SUMIFS(Ledger!$K$2:$K$4, Ledger!$B$2:$B$4, $A189, Ledger!$C$2:$C$4, Q$2)),"****")</f>
        <v/>
      </c>
      <c r="R189" t="str">
        <f>IFERROR(IF($C189="","",SUMIFS(Ledger!$K$2:$K$4, Ledger!$B$2:$B$4, $A189, Ledger!$C$2:$C$4, R$2)),"****")</f>
        <v/>
      </c>
      <c r="S189" t="str">
        <f>IFERROR(IF($C189="","",SUMIFS(Ledger!$K$2:$K$4, Ledger!$B$2:$B$4, $A189, Ledger!$C$2:$C$4, S$2)),"****")</f>
        <v/>
      </c>
      <c r="T189" t="str">
        <f>IFERROR(IF($C189="","",SUMIFS(Ledger!$K$2:$K$4, Ledger!$B$2:$B$4, $A189, Ledger!$C$2:$C$4, T$2)),"****")</f>
        <v/>
      </c>
      <c r="U189" t="str">
        <f>IFERROR(IF($C189="","",SUMIFS(Ledger!$K$2:$K$4, Ledger!$B$2:$B$4, $A189, Ledger!$C$2:$C$4, U$2)),"****")</f>
        <v/>
      </c>
      <c r="V189" t="str">
        <f>IFERROR(IF($C189="","",SUMIFS(Ledger!$K$2:$K$4, Ledger!$B$2:$B$4, $A189, Ledger!$C$2:$C$4, V$2)),"****")</f>
        <v/>
      </c>
      <c r="W189" t="str">
        <f>IFERROR(IF($C189="","",SUMIFS(Ledger!$K$2:$K$4, Ledger!$B$2:$B$4, $A189, Ledger!$C$2:$C$4, W$2)),"****")</f>
        <v/>
      </c>
      <c r="X189" t="str">
        <f>IFERROR(IF($C189="","",SUMIFS(Ledger!$K$2:$K$4, Ledger!$B$2:$B$4, $A189, Ledger!$C$2:$C$4, X$2)),"****")</f>
        <v/>
      </c>
    </row>
    <row r="190" spans="1:24" x14ac:dyDescent="0.3">
      <c r="A190" s="106">
        <v>188</v>
      </c>
      <c r="B190" t="str">
        <f>IFERROR(VLOOKUP($A190, Ledger!$B$2:$L$8, 3, 0),"")</f>
        <v/>
      </c>
      <c r="C190" t="str">
        <f>IFERROR(VLOOKUP($A190, Ledger!$B$2:$L$8, 4, 0),"")</f>
        <v/>
      </c>
      <c r="D190" t="str">
        <f>IFERROR(VLOOKUP($A190, Ledger!$B$2:$L$8, 5, 0),"")</f>
        <v/>
      </c>
      <c r="E190" t="str">
        <f>IFERROR(VLOOKUP($A190, Ledger!$B$2:$L$8, 6, 0),"")</f>
        <v/>
      </c>
      <c r="F190" t="str">
        <f>IFERROR(VLOOKUP($A190,'Student Data'!$A$2:$AR$6,32,0),"")</f>
        <v/>
      </c>
      <c r="G190" t="str">
        <f>IFERROR(VLOOKUP($A190,'Student Data'!$A$2:$AR$6,33,0),"")</f>
        <v/>
      </c>
      <c r="H190" t="str">
        <f>IFERROR(VLOOKUP($A190,'Student Data'!$A$2:$AR$6,34,0),"")</f>
        <v/>
      </c>
      <c r="I190" t="str">
        <f>IFERROR(VLOOKUP($A190,'Student Data'!$A$2:$AR$6,35,0),"")</f>
        <v/>
      </c>
      <c r="J190" t="str">
        <f>IFERROR(VLOOKUP($A190,'Student Data'!$A$2:$AR$6,36,0),"")</f>
        <v/>
      </c>
      <c r="K190" t="str">
        <f t="shared" si="4"/>
        <v/>
      </c>
      <c r="L190" t="str">
        <f t="shared" si="5"/>
        <v/>
      </c>
      <c r="M190" t="str">
        <f>IFERROR(IF($C190="","",SUMIFS(Ledger!$K$2:$K$4, Ledger!$B$2:$B$4, $A190, Ledger!$C$2:$C$4, M$2)),"****")</f>
        <v/>
      </c>
      <c r="N190" t="str">
        <f>IFERROR(IF($C190="","",SUMIFS(Ledger!$K$2:$K$4, Ledger!$B$2:$B$4, $A190, Ledger!$C$2:$C$4, N$2)),"****")</f>
        <v/>
      </c>
      <c r="O190" t="str">
        <f>IFERROR(IF($C190="","",SUMIFS(Ledger!$K$2:$K$4, Ledger!$B$2:$B$4, $A190, Ledger!$C$2:$C$4, O$2)),"****")</f>
        <v/>
      </c>
      <c r="P190" t="str">
        <f>IFERROR(IF($C190="","",SUMIFS(Ledger!$K$2:$K$4, Ledger!$B$2:$B$4, $A190, Ledger!$C$2:$C$4, P$2)),"****")</f>
        <v/>
      </c>
      <c r="Q190" t="str">
        <f>IFERROR(IF($C190="","",SUMIFS(Ledger!$K$2:$K$4, Ledger!$B$2:$B$4, $A190, Ledger!$C$2:$C$4, Q$2)),"****")</f>
        <v/>
      </c>
      <c r="R190" t="str">
        <f>IFERROR(IF($C190="","",SUMIFS(Ledger!$K$2:$K$4, Ledger!$B$2:$B$4, $A190, Ledger!$C$2:$C$4, R$2)),"****")</f>
        <v/>
      </c>
      <c r="S190" t="str">
        <f>IFERROR(IF($C190="","",SUMIFS(Ledger!$K$2:$K$4, Ledger!$B$2:$B$4, $A190, Ledger!$C$2:$C$4, S$2)),"****")</f>
        <v/>
      </c>
      <c r="T190" t="str">
        <f>IFERROR(IF($C190="","",SUMIFS(Ledger!$K$2:$K$4, Ledger!$B$2:$B$4, $A190, Ledger!$C$2:$C$4, T$2)),"****")</f>
        <v/>
      </c>
      <c r="U190" t="str">
        <f>IFERROR(IF($C190="","",SUMIFS(Ledger!$K$2:$K$4, Ledger!$B$2:$B$4, $A190, Ledger!$C$2:$C$4, U$2)),"****")</f>
        <v/>
      </c>
      <c r="V190" t="str">
        <f>IFERROR(IF($C190="","",SUMIFS(Ledger!$K$2:$K$4, Ledger!$B$2:$B$4, $A190, Ledger!$C$2:$C$4, V$2)),"****")</f>
        <v/>
      </c>
      <c r="W190" t="str">
        <f>IFERROR(IF($C190="","",SUMIFS(Ledger!$K$2:$K$4, Ledger!$B$2:$B$4, $A190, Ledger!$C$2:$C$4, W$2)),"****")</f>
        <v/>
      </c>
      <c r="X190" t="str">
        <f>IFERROR(IF($C190="","",SUMIFS(Ledger!$K$2:$K$4, Ledger!$B$2:$B$4, $A190, Ledger!$C$2:$C$4, X$2)),"****")</f>
        <v/>
      </c>
    </row>
    <row r="191" spans="1:24" x14ac:dyDescent="0.3">
      <c r="A191" s="106">
        <v>189</v>
      </c>
      <c r="B191" t="str">
        <f>IFERROR(VLOOKUP($A191, Ledger!$B$2:$L$8, 3, 0),"")</f>
        <v/>
      </c>
      <c r="C191" t="str">
        <f>IFERROR(VLOOKUP($A191, Ledger!$B$2:$L$8, 4, 0),"")</f>
        <v/>
      </c>
      <c r="D191" t="str">
        <f>IFERROR(VLOOKUP($A191, Ledger!$B$2:$L$8, 5, 0),"")</f>
        <v/>
      </c>
      <c r="E191" t="str">
        <f>IFERROR(VLOOKUP($A191, Ledger!$B$2:$L$8, 6, 0),"")</f>
        <v/>
      </c>
      <c r="F191" t="str">
        <f>IFERROR(VLOOKUP($A191,'Student Data'!$A$2:$AR$6,32,0),"")</f>
        <v/>
      </c>
      <c r="G191" t="str">
        <f>IFERROR(VLOOKUP($A191,'Student Data'!$A$2:$AR$6,33,0),"")</f>
        <v/>
      </c>
      <c r="H191" t="str">
        <f>IFERROR(VLOOKUP($A191,'Student Data'!$A$2:$AR$6,34,0),"")</f>
        <v/>
      </c>
      <c r="I191" t="str">
        <f>IFERROR(VLOOKUP($A191,'Student Data'!$A$2:$AR$6,35,0),"")</f>
        <v/>
      </c>
      <c r="J191" t="str">
        <f>IFERROR(VLOOKUP($A191,'Student Data'!$A$2:$AR$6,36,0),"")</f>
        <v/>
      </c>
      <c r="K191" t="str">
        <f t="shared" si="4"/>
        <v/>
      </c>
      <c r="L191" t="str">
        <f t="shared" si="5"/>
        <v/>
      </c>
      <c r="M191" t="str">
        <f>IFERROR(IF($C191="","",SUMIFS(Ledger!$K$2:$K$4, Ledger!$B$2:$B$4, $A191, Ledger!$C$2:$C$4, M$2)),"****")</f>
        <v/>
      </c>
      <c r="N191" t="str">
        <f>IFERROR(IF($C191="","",SUMIFS(Ledger!$K$2:$K$4, Ledger!$B$2:$B$4, $A191, Ledger!$C$2:$C$4, N$2)),"****")</f>
        <v/>
      </c>
      <c r="O191" t="str">
        <f>IFERROR(IF($C191="","",SUMIFS(Ledger!$K$2:$K$4, Ledger!$B$2:$B$4, $A191, Ledger!$C$2:$C$4, O$2)),"****")</f>
        <v/>
      </c>
      <c r="P191" t="str">
        <f>IFERROR(IF($C191="","",SUMIFS(Ledger!$K$2:$K$4, Ledger!$B$2:$B$4, $A191, Ledger!$C$2:$C$4, P$2)),"****")</f>
        <v/>
      </c>
      <c r="Q191" t="str">
        <f>IFERROR(IF($C191="","",SUMIFS(Ledger!$K$2:$K$4, Ledger!$B$2:$B$4, $A191, Ledger!$C$2:$C$4, Q$2)),"****")</f>
        <v/>
      </c>
      <c r="R191" t="str">
        <f>IFERROR(IF($C191="","",SUMIFS(Ledger!$K$2:$K$4, Ledger!$B$2:$B$4, $A191, Ledger!$C$2:$C$4, R$2)),"****")</f>
        <v/>
      </c>
      <c r="S191" t="str">
        <f>IFERROR(IF($C191="","",SUMIFS(Ledger!$K$2:$K$4, Ledger!$B$2:$B$4, $A191, Ledger!$C$2:$C$4, S$2)),"****")</f>
        <v/>
      </c>
      <c r="T191" t="str">
        <f>IFERROR(IF($C191="","",SUMIFS(Ledger!$K$2:$K$4, Ledger!$B$2:$B$4, $A191, Ledger!$C$2:$C$4, T$2)),"****")</f>
        <v/>
      </c>
      <c r="U191" t="str">
        <f>IFERROR(IF($C191="","",SUMIFS(Ledger!$K$2:$K$4, Ledger!$B$2:$B$4, $A191, Ledger!$C$2:$C$4, U$2)),"****")</f>
        <v/>
      </c>
      <c r="V191" t="str">
        <f>IFERROR(IF($C191="","",SUMIFS(Ledger!$K$2:$K$4, Ledger!$B$2:$B$4, $A191, Ledger!$C$2:$C$4, V$2)),"****")</f>
        <v/>
      </c>
      <c r="W191" t="str">
        <f>IFERROR(IF($C191="","",SUMIFS(Ledger!$K$2:$K$4, Ledger!$B$2:$B$4, $A191, Ledger!$C$2:$C$4, W$2)),"****")</f>
        <v/>
      </c>
      <c r="X191" t="str">
        <f>IFERROR(IF($C191="","",SUMIFS(Ledger!$K$2:$K$4, Ledger!$B$2:$B$4, $A191, Ledger!$C$2:$C$4, X$2)),"****")</f>
        <v/>
      </c>
    </row>
    <row r="192" spans="1:24" x14ac:dyDescent="0.3">
      <c r="A192" s="106">
        <v>190</v>
      </c>
      <c r="B192" t="str">
        <f>IFERROR(VLOOKUP($A192, Ledger!$B$2:$L$8, 3, 0),"")</f>
        <v/>
      </c>
      <c r="C192" t="str">
        <f>IFERROR(VLOOKUP($A192, Ledger!$B$2:$L$8, 4, 0),"")</f>
        <v/>
      </c>
      <c r="D192" t="str">
        <f>IFERROR(VLOOKUP($A192, Ledger!$B$2:$L$8, 5, 0),"")</f>
        <v/>
      </c>
      <c r="E192" t="str">
        <f>IFERROR(VLOOKUP($A192, Ledger!$B$2:$L$8, 6, 0),"")</f>
        <v/>
      </c>
      <c r="F192" t="str">
        <f>IFERROR(VLOOKUP($A192,'Student Data'!$A$2:$AR$6,32,0),"")</f>
        <v/>
      </c>
      <c r="G192" t="str">
        <f>IFERROR(VLOOKUP($A192,'Student Data'!$A$2:$AR$6,33,0),"")</f>
        <v/>
      </c>
      <c r="H192" t="str">
        <f>IFERROR(VLOOKUP($A192,'Student Data'!$A$2:$AR$6,34,0),"")</f>
        <v/>
      </c>
      <c r="I192" t="str">
        <f>IFERROR(VLOOKUP($A192,'Student Data'!$A$2:$AR$6,35,0),"")</f>
        <v/>
      </c>
      <c r="J192" t="str">
        <f>IFERROR(VLOOKUP($A192,'Student Data'!$A$2:$AR$6,36,0),"")</f>
        <v/>
      </c>
      <c r="K192" t="str">
        <f t="shared" si="4"/>
        <v/>
      </c>
      <c r="L192" t="str">
        <f t="shared" si="5"/>
        <v/>
      </c>
      <c r="M192" t="str">
        <f>IFERROR(IF($C192="","",SUMIFS(Ledger!$K$2:$K$4, Ledger!$B$2:$B$4, $A192, Ledger!$C$2:$C$4, M$2)),"****")</f>
        <v/>
      </c>
      <c r="N192" t="str">
        <f>IFERROR(IF($C192="","",SUMIFS(Ledger!$K$2:$K$4, Ledger!$B$2:$B$4, $A192, Ledger!$C$2:$C$4, N$2)),"****")</f>
        <v/>
      </c>
      <c r="O192" t="str">
        <f>IFERROR(IF($C192="","",SUMIFS(Ledger!$K$2:$K$4, Ledger!$B$2:$B$4, $A192, Ledger!$C$2:$C$4, O$2)),"****")</f>
        <v/>
      </c>
      <c r="P192" t="str">
        <f>IFERROR(IF($C192="","",SUMIFS(Ledger!$K$2:$K$4, Ledger!$B$2:$B$4, $A192, Ledger!$C$2:$C$4, P$2)),"****")</f>
        <v/>
      </c>
      <c r="Q192" t="str">
        <f>IFERROR(IF($C192="","",SUMIFS(Ledger!$K$2:$K$4, Ledger!$B$2:$B$4, $A192, Ledger!$C$2:$C$4, Q$2)),"****")</f>
        <v/>
      </c>
      <c r="R192" t="str">
        <f>IFERROR(IF($C192="","",SUMIFS(Ledger!$K$2:$K$4, Ledger!$B$2:$B$4, $A192, Ledger!$C$2:$C$4, R$2)),"****")</f>
        <v/>
      </c>
      <c r="S192" t="str">
        <f>IFERROR(IF($C192="","",SUMIFS(Ledger!$K$2:$K$4, Ledger!$B$2:$B$4, $A192, Ledger!$C$2:$C$4, S$2)),"****")</f>
        <v/>
      </c>
      <c r="T192" t="str">
        <f>IFERROR(IF($C192="","",SUMIFS(Ledger!$K$2:$K$4, Ledger!$B$2:$B$4, $A192, Ledger!$C$2:$C$4, T$2)),"****")</f>
        <v/>
      </c>
      <c r="U192" t="str">
        <f>IFERROR(IF($C192="","",SUMIFS(Ledger!$K$2:$K$4, Ledger!$B$2:$B$4, $A192, Ledger!$C$2:$C$4, U$2)),"****")</f>
        <v/>
      </c>
      <c r="V192" t="str">
        <f>IFERROR(IF($C192="","",SUMIFS(Ledger!$K$2:$K$4, Ledger!$B$2:$B$4, $A192, Ledger!$C$2:$C$4, V$2)),"****")</f>
        <v/>
      </c>
      <c r="W192" t="str">
        <f>IFERROR(IF($C192="","",SUMIFS(Ledger!$K$2:$K$4, Ledger!$B$2:$B$4, $A192, Ledger!$C$2:$C$4, W$2)),"****")</f>
        <v/>
      </c>
      <c r="X192" t="str">
        <f>IFERROR(IF($C192="","",SUMIFS(Ledger!$K$2:$K$4, Ledger!$B$2:$B$4, $A192, Ledger!$C$2:$C$4, X$2)),"****")</f>
        <v/>
      </c>
    </row>
    <row r="193" spans="1:24" x14ac:dyDescent="0.3">
      <c r="A193" s="106">
        <v>191</v>
      </c>
      <c r="B193" t="str">
        <f>IFERROR(VLOOKUP($A193, Ledger!$B$2:$L$8, 3, 0),"")</f>
        <v/>
      </c>
      <c r="C193" t="str">
        <f>IFERROR(VLOOKUP($A193, Ledger!$B$2:$L$8, 4, 0),"")</f>
        <v/>
      </c>
      <c r="D193" t="str">
        <f>IFERROR(VLOOKUP($A193, Ledger!$B$2:$L$8, 5, 0),"")</f>
        <v/>
      </c>
      <c r="E193" t="str">
        <f>IFERROR(VLOOKUP($A193, Ledger!$B$2:$L$8, 6, 0),"")</f>
        <v/>
      </c>
      <c r="F193" t="str">
        <f>IFERROR(VLOOKUP($A193,'Student Data'!$A$2:$AR$6,32,0),"")</f>
        <v/>
      </c>
      <c r="G193" t="str">
        <f>IFERROR(VLOOKUP($A193,'Student Data'!$A$2:$AR$6,33,0),"")</f>
        <v/>
      </c>
      <c r="H193" t="str">
        <f>IFERROR(VLOOKUP($A193,'Student Data'!$A$2:$AR$6,34,0),"")</f>
        <v/>
      </c>
      <c r="I193" t="str">
        <f>IFERROR(VLOOKUP($A193,'Student Data'!$A$2:$AR$6,35,0),"")</f>
        <v/>
      </c>
      <c r="J193" t="str">
        <f>IFERROR(VLOOKUP($A193,'Student Data'!$A$2:$AR$6,36,0),"")</f>
        <v/>
      </c>
      <c r="K193" t="str">
        <f t="shared" si="4"/>
        <v/>
      </c>
      <c r="L193" t="str">
        <f t="shared" si="5"/>
        <v/>
      </c>
      <c r="M193" t="str">
        <f>IFERROR(IF($C193="","",SUMIFS(Ledger!$K$2:$K$4, Ledger!$B$2:$B$4, $A193, Ledger!$C$2:$C$4, M$2)),"****")</f>
        <v/>
      </c>
      <c r="N193" t="str">
        <f>IFERROR(IF($C193="","",SUMIFS(Ledger!$K$2:$K$4, Ledger!$B$2:$B$4, $A193, Ledger!$C$2:$C$4, N$2)),"****")</f>
        <v/>
      </c>
      <c r="O193" t="str">
        <f>IFERROR(IF($C193="","",SUMIFS(Ledger!$K$2:$K$4, Ledger!$B$2:$B$4, $A193, Ledger!$C$2:$C$4, O$2)),"****")</f>
        <v/>
      </c>
      <c r="P193" t="str">
        <f>IFERROR(IF($C193="","",SUMIFS(Ledger!$K$2:$K$4, Ledger!$B$2:$B$4, $A193, Ledger!$C$2:$C$4, P$2)),"****")</f>
        <v/>
      </c>
      <c r="Q193" t="str">
        <f>IFERROR(IF($C193="","",SUMIFS(Ledger!$K$2:$K$4, Ledger!$B$2:$B$4, $A193, Ledger!$C$2:$C$4, Q$2)),"****")</f>
        <v/>
      </c>
      <c r="R193" t="str">
        <f>IFERROR(IF($C193="","",SUMIFS(Ledger!$K$2:$K$4, Ledger!$B$2:$B$4, $A193, Ledger!$C$2:$C$4, R$2)),"****")</f>
        <v/>
      </c>
      <c r="S193" t="str">
        <f>IFERROR(IF($C193="","",SUMIFS(Ledger!$K$2:$K$4, Ledger!$B$2:$B$4, $A193, Ledger!$C$2:$C$4, S$2)),"****")</f>
        <v/>
      </c>
      <c r="T193" t="str">
        <f>IFERROR(IF($C193="","",SUMIFS(Ledger!$K$2:$K$4, Ledger!$B$2:$B$4, $A193, Ledger!$C$2:$C$4, T$2)),"****")</f>
        <v/>
      </c>
      <c r="U193" t="str">
        <f>IFERROR(IF($C193="","",SUMIFS(Ledger!$K$2:$K$4, Ledger!$B$2:$B$4, $A193, Ledger!$C$2:$C$4, U$2)),"****")</f>
        <v/>
      </c>
      <c r="V193" t="str">
        <f>IFERROR(IF($C193="","",SUMIFS(Ledger!$K$2:$K$4, Ledger!$B$2:$B$4, $A193, Ledger!$C$2:$C$4, V$2)),"****")</f>
        <v/>
      </c>
      <c r="W193" t="str">
        <f>IFERROR(IF($C193="","",SUMIFS(Ledger!$K$2:$K$4, Ledger!$B$2:$B$4, $A193, Ledger!$C$2:$C$4, W$2)),"****")</f>
        <v/>
      </c>
      <c r="X193" t="str">
        <f>IFERROR(IF($C193="","",SUMIFS(Ledger!$K$2:$K$4, Ledger!$B$2:$B$4, $A193, Ledger!$C$2:$C$4, X$2)),"****")</f>
        <v/>
      </c>
    </row>
    <row r="194" spans="1:24" x14ac:dyDescent="0.3">
      <c r="A194" s="106">
        <v>192</v>
      </c>
      <c r="B194" t="str">
        <f>IFERROR(VLOOKUP($A194, Ledger!$B$2:$L$8, 3, 0),"")</f>
        <v/>
      </c>
      <c r="C194" t="str">
        <f>IFERROR(VLOOKUP($A194, Ledger!$B$2:$L$8, 4, 0),"")</f>
        <v/>
      </c>
      <c r="D194" t="str">
        <f>IFERROR(VLOOKUP($A194, Ledger!$B$2:$L$8, 5, 0),"")</f>
        <v/>
      </c>
      <c r="E194" t="str">
        <f>IFERROR(VLOOKUP($A194, Ledger!$B$2:$L$8, 6, 0),"")</f>
        <v/>
      </c>
      <c r="F194" t="str">
        <f>IFERROR(VLOOKUP($A194,'Student Data'!$A$2:$AR$6,32,0),"")</f>
        <v/>
      </c>
      <c r="G194" t="str">
        <f>IFERROR(VLOOKUP($A194,'Student Data'!$A$2:$AR$6,33,0),"")</f>
        <v/>
      </c>
      <c r="H194" t="str">
        <f>IFERROR(VLOOKUP($A194,'Student Data'!$A$2:$AR$6,34,0),"")</f>
        <v/>
      </c>
      <c r="I194" t="str">
        <f>IFERROR(VLOOKUP($A194,'Student Data'!$A$2:$AR$6,35,0),"")</f>
        <v/>
      </c>
      <c r="J194" t="str">
        <f>IFERROR(VLOOKUP($A194,'Student Data'!$A$2:$AR$6,36,0),"")</f>
        <v/>
      </c>
      <c r="K194" t="str">
        <f t="shared" si="4"/>
        <v/>
      </c>
      <c r="L194" t="str">
        <f t="shared" si="5"/>
        <v/>
      </c>
      <c r="M194" t="str">
        <f>IFERROR(IF($C194="","",SUMIFS(Ledger!$K$2:$K$4, Ledger!$B$2:$B$4, $A194, Ledger!$C$2:$C$4, M$2)),"****")</f>
        <v/>
      </c>
      <c r="N194" t="str">
        <f>IFERROR(IF($C194="","",SUMIFS(Ledger!$K$2:$K$4, Ledger!$B$2:$B$4, $A194, Ledger!$C$2:$C$4, N$2)),"****")</f>
        <v/>
      </c>
      <c r="O194" t="str">
        <f>IFERROR(IF($C194="","",SUMIFS(Ledger!$K$2:$K$4, Ledger!$B$2:$B$4, $A194, Ledger!$C$2:$C$4, O$2)),"****")</f>
        <v/>
      </c>
      <c r="P194" t="str">
        <f>IFERROR(IF($C194="","",SUMIFS(Ledger!$K$2:$K$4, Ledger!$B$2:$B$4, $A194, Ledger!$C$2:$C$4, P$2)),"****")</f>
        <v/>
      </c>
      <c r="Q194" t="str">
        <f>IFERROR(IF($C194="","",SUMIFS(Ledger!$K$2:$K$4, Ledger!$B$2:$B$4, $A194, Ledger!$C$2:$C$4, Q$2)),"****")</f>
        <v/>
      </c>
      <c r="R194" t="str">
        <f>IFERROR(IF($C194="","",SUMIFS(Ledger!$K$2:$K$4, Ledger!$B$2:$B$4, $A194, Ledger!$C$2:$C$4, R$2)),"****")</f>
        <v/>
      </c>
      <c r="S194" t="str">
        <f>IFERROR(IF($C194="","",SUMIFS(Ledger!$K$2:$K$4, Ledger!$B$2:$B$4, $A194, Ledger!$C$2:$C$4, S$2)),"****")</f>
        <v/>
      </c>
      <c r="T194" t="str">
        <f>IFERROR(IF($C194="","",SUMIFS(Ledger!$K$2:$K$4, Ledger!$B$2:$B$4, $A194, Ledger!$C$2:$C$4, T$2)),"****")</f>
        <v/>
      </c>
      <c r="U194" t="str">
        <f>IFERROR(IF($C194="","",SUMIFS(Ledger!$K$2:$K$4, Ledger!$B$2:$B$4, $A194, Ledger!$C$2:$C$4, U$2)),"****")</f>
        <v/>
      </c>
      <c r="V194" t="str">
        <f>IFERROR(IF($C194="","",SUMIFS(Ledger!$K$2:$K$4, Ledger!$B$2:$B$4, $A194, Ledger!$C$2:$C$4, V$2)),"****")</f>
        <v/>
      </c>
      <c r="W194" t="str">
        <f>IFERROR(IF($C194="","",SUMIFS(Ledger!$K$2:$K$4, Ledger!$B$2:$B$4, $A194, Ledger!$C$2:$C$4, W$2)),"****")</f>
        <v/>
      </c>
      <c r="X194" t="str">
        <f>IFERROR(IF($C194="","",SUMIFS(Ledger!$K$2:$K$4, Ledger!$B$2:$B$4, $A194, Ledger!$C$2:$C$4, X$2)),"****")</f>
        <v/>
      </c>
    </row>
    <row r="195" spans="1:24" x14ac:dyDescent="0.3">
      <c r="A195" s="106">
        <v>193</v>
      </c>
      <c r="B195" t="str">
        <f>IFERROR(VLOOKUP($A195, Ledger!$B$2:$L$8, 3, 0),"")</f>
        <v/>
      </c>
      <c r="C195" t="str">
        <f>IFERROR(VLOOKUP($A195, Ledger!$B$2:$L$8, 4, 0),"")</f>
        <v/>
      </c>
      <c r="D195" t="str">
        <f>IFERROR(VLOOKUP($A195, Ledger!$B$2:$L$8, 5, 0),"")</f>
        <v/>
      </c>
      <c r="E195" t="str">
        <f>IFERROR(VLOOKUP($A195, Ledger!$B$2:$L$8, 6, 0),"")</f>
        <v/>
      </c>
      <c r="F195" t="str">
        <f>IFERROR(VLOOKUP($A195,'Student Data'!$A$2:$AR$6,32,0),"")</f>
        <v/>
      </c>
      <c r="G195" t="str">
        <f>IFERROR(VLOOKUP($A195,'Student Data'!$A$2:$AR$6,33,0),"")</f>
        <v/>
      </c>
      <c r="H195" t="str">
        <f>IFERROR(VLOOKUP($A195,'Student Data'!$A$2:$AR$6,34,0),"")</f>
        <v/>
      </c>
      <c r="I195" t="str">
        <f>IFERROR(VLOOKUP($A195,'Student Data'!$A$2:$AR$6,35,0),"")</f>
        <v/>
      </c>
      <c r="J195" t="str">
        <f>IFERROR(VLOOKUP($A195,'Student Data'!$A$2:$AR$6,36,0),"")</f>
        <v/>
      </c>
      <c r="K195" t="str">
        <f t="shared" si="4"/>
        <v/>
      </c>
      <c r="L195" t="str">
        <f t="shared" si="5"/>
        <v/>
      </c>
      <c r="M195" t="str">
        <f>IFERROR(IF($C195="","",SUMIFS(Ledger!$K$2:$K$4, Ledger!$B$2:$B$4, $A195, Ledger!$C$2:$C$4, M$2)),"****")</f>
        <v/>
      </c>
      <c r="N195" t="str">
        <f>IFERROR(IF($C195="","",SUMIFS(Ledger!$K$2:$K$4, Ledger!$B$2:$B$4, $A195, Ledger!$C$2:$C$4, N$2)),"****")</f>
        <v/>
      </c>
      <c r="O195" t="str">
        <f>IFERROR(IF($C195="","",SUMIFS(Ledger!$K$2:$K$4, Ledger!$B$2:$B$4, $A195, Ledger!$C$2:$C$4, O$2)),"****")</f>
        <v/>
      </c>
      <c r="P195" t="str">
        <f>IFERROR(IF($C195="","",SUMIFS(Ledger!$K$2:$K$4, Ledger!$B$2:$B$4, $A195, Ledger!$C$2:$C$4, P$2)),"****")</f>
        <v/>
      </c>
      <c r="Q195" t="str">
        <f>IFERROR(IF($C195="","",SUMIFS(Ledger!$K$2:$K$4, Ledger!$B$2:$B$4, $A195, Ledger!$C$2:$C$4, Q$2)),"****")</f>
        <v/>
      </c>
      <c r="R195" t="str">
        <f>IFERROR(IF($C195="","",SUMIFS(Ledger!$K$2:$K$4, Ledger!$B$2:$B$4, $A195, Ledger!$C$2:$C$4, R$2)),"****")</f>
        <v/>
      </c>
      <c r="S195" t="str">
        <f>IFERROR(IF($C195="","",SUMIFS(Ledger!$K$2:$K$4, Ledger!$B$2:$B$4, $A195, Ledger!$C$2:$C$4, S$2)),"****")</f>
        <v/>
      </c>
      <c r="T195" t="str">
        <f>IFERROR(IF($C195="","",SUMIFS(Ledger!$K$2:$K$4, Ledger!$B$2:$B$4, $A195, Ledger!$C$2:$C$4, T$2)),"****")</f>
        <v/>
      </c>
      <c r="U195" t="str">
        <f>IFERROR(IF($C195="","",SUMIFS(Ledger!$K$2:$K$4, Ledger!$B$2:$B$4, $A195, Ledger!$C$2:$C$4, U$2)),"****")</f>
        <v/>
      </c>
      <c r="V195" t="str">
        <f>IFERROR(IF($C195="","",SUMIFS(Ledger!$K$2:$K$4, Ledger!$B$2:$B$4, $A195, Ledger!$C$2:$C$4, V$2)),"****")</f>
        <v/>
      </c>
      <c r="W195" t="str">
        <f>IFERROR(IF($C195="","",SUMIFS(Ledger!$K$2:$K$4, Ledger!$B$2:$B$4, $A195, Ledger!$C$2:$C$4, W$2)),"****")</f>
        <v/>
      </c>
      <c r="X195" t="str">
        <f>IFERROR(IF($C195="","",SUMIFS(Ledger!$K$2:$K$4, Ledger!$B$2:$B$4, $A195, Ledger!$C$2:$C$4, X$2)),"****")</f>
        <v/>
      </c>
    </row>
    <row r="196" spans="1:24" x14ac:dyDescent="0.3">
      <c r="A196" s="106">
        <v>194</v>
      </c>
      <c r="B196" t="str">
        <f>IFERROR(VLOOKUP($A196, Ledger!$B$2:$L$8, 3, 0),"")</f>
        <v/>
      </c>
      <c r="C196" t="str">
        <f>IFERROR(VLOOKUP($A196, Ledger!$B$2:$L$8, 4, 0),"")</f>
        <v/>
      </c>
      <c r="D196" t="str">
        <f>IFERROR(VLOOKUP($A196, Ledger!$B$2:$L$8, 5, 0),"")</f>
        <v/>
      </c>
      <c r="E196" t="str">
        <f>IFERROR(VLOOKUP($A196, Ledger!$B$2:$L$8, 6, 0),"")</f>
        <v/>
      </c>
      <c r="F196" t="str">
        <f>IFERROR(VLOOKUP($A196,'Student Data'!$A$2:$AR$6,32,0),"")</f>
        <v/>
      </c>
      <c r="G196" t="str">
        <f>IFERROR(VLOOKUP($A196,'Student Data'!$A$2:$AR$6,33,0),"")</f>
        <v/>
      </c>
      <c r="H196" t="str">
        <f>IFERROR(VLOOKUP($A196,'Student Data'!$A$2:$AR$6,34,0),"")</f>
        <v/>
      </c>
      <c r="I196" t="str">
        <f>IFERROR(VLOOKUP($A196,'Student Data'!$A$2:$AR$6,35,0),"")</f>
        <v/>
      </c>
      <c r="J196" t="str">
        <f>IFERROR(VLOOKUP($A196,'Student Data'!$A$2:$AR$6,36,0),"")</f>
        <v/>
      </c>
      <c r="K196" t="str">
        <f t="shared" ref="K196:K259" si="6">IFERROR(IF(C196="","",SUM(M196:X196)),"0")</f>
        <v/>
      </c>
      <c r="L196" t="str">
        <f t="shared" ref="L196:L259" si="7">IFERROR(IF(C196="","",J196-K196),"0")</f>
        <v/>
      </c>
      <c r="M196" t="str">
        <f>IFERROR(IF($C196="","",SUMIFS(Ledger!$K$2:$K$4, Ledger!$B$2:$B$4, $A196, Ledger!$C$2:$C$4, M$2)),"****")</f>
        <v/>
      </c>
      <c r="N196" t="str">
        <f>IFERROR(IF($C196="","",SUMIFS(Ledger!$K$2:$K$4, Ledger!$B$2:$B$4, $A196, Ledger!$C$2:$C$4, N$2)),"****")</f>
        <v/>
      </c>
      <c r="O196" t="str">
        <f>IFERROR(IF($C196="","",SUMIFS(Ledger!$K$2:$K$4, Ledger!$B$2:$B$4, $A196, Ledger!$C$2:$C$4, O$2)),"****")</f>
        <v/>
      </c>
      <c r="P196" t="str">
        <f>IFERROR(IF($C196="","",SUMIFS(Ledger!$K$2:$K$4, Ledger!$B$2:$B$4, $A196, Ledger!$C$2:$C$4, P$2)),"****")</f>
        <v/>
      </c>
      <c r="Q196" t="str">
        <f>IFERROR(IF($C196="","",SUMIFS(Ledger!$K$2:$K$4, Ledger!$B$2:$B$4, $A196, Ledger!$C$2:$C$4, Q$2)),"****")</f>
        <v/>
      </c>
      <c r="R196" t="str">
        <f>IFERROR(IF($C196="","",SUMIFS(Ledger!$K$2:$K$4, Ledger!$B$2:$B$4, $A196, Ledger!$C$2:$C$4, R$2)),"****")</f>
        <v/>
      </c>
      <c r="S196" t="str">
        <f>IFERROR(IF($C196="","",SUMIFS(Ledger!$K$2:$K$4, Ledger!$B$2:$B$4, $A196, Ledger!$C$2:$C$4, S$2)),"****")</f>
        <v/>
      </c>
      <c r="T196" t="str">
        <f>IFERROR(IF($C196="","",SUMIFS(Ledger!$K$2:$K$4, Ledger!$B$2:$B$4, $A196, Ledger!$C$2:$C$4, T$2)),"****")</f>
        <v/>
      </c>
      <c r="U196" t="str">
        <f>IFERROR(IF($C196="","",SUMIFS(Ledger!$K$2:$K$4, Ledger!$B$2:$B$4, $A196, Ledger!$C$2:$C$4, U$2)),"****")</f>
        <v/>
      </c>
      <c r="V196" t="str">
        <f>IFERROR(IF($C196="","",SUMIFS(Ledger!$K$2:$K$4, Ledger!$B$2:$B$4, $A196, Ledger!$C$2:$C$4, V$2)),"****")</f>
        <v/>
      </c>
      <c r="W196" t="str">
        <f>IFERROR(IF($C196="","",SUMIFS(Ledger!$K$2:$K$4, Ledger!$B$2:$B$4, $A196, Ledger!$C$2:$C$4, W$2)),"****")</f>
        <v/>
      </c>
      <c r="X196" t="str">
        <f>IFERROR(IF($C196="","",SUMIFS(Ledger!$K$2:$K$4, Ledger!$B$2:$B$4, $A196, Ledger!$C$2:$C$4, X$2)),"****")</f>
        <v/>
      </c>
    </row>
    <row r="197" spans="1:24" x14ac:dyDescent="0.3">
      <c r="A197" s="106">
        <v>195</v>
      </c>
      <c r="B197" t="str">
        <f>IFERROR(VLOOKUP($A197, Ledger!$B$2:$L$8, 3, 0),"")</f>
        <v/>
      </c>
      <c r="C197" t="str">
        <f>IFERROR(VLOOKUP($A197, Ledger!$B$2:$L$8, 4, 0),"")</f>
        <v/>
      </c>
      <c r="D197" t="str">
        <f>IFERROR(VLOOKUP($A197, Ledger!$B$2:$L$8, 5, 0),"")</f>
        <v/>
      </c>
      <c r="E197" t="str">
        <f>IFERROR(VLOOKUP($A197, Ledger!$B$2:$L$8, 6, 0),"")</f>
        <v/>
      </c>
      <c r="F197" t="str">
        <f>IFERROR(VLOOKUP($A197,'Student Data'!$A$2:$AR$6,32,0),"")</f>
        <v/>
      </c>
      <c r="G197" t="str">
        <f>IFERROR(VLOOKUP($A197,'Student Data'!$A$2:$AR$6,33,0),"")</f>
        <v/>
      </c>
      <c r="H197" t="str">
        <f>IFERROR(VLOOKUP($A197,'Student Data'!$A$2:$AR$6,34,0),"")</f>
        <v/>
      </c>
      <c r="I197" t="str">
        <f>IFERROR(VLOOKUP($A197,'Student Data'!$A$2:$AR$6,35,0),"")</f>
        <v/>
      </c>
      <c r="J197" t="str">
        <f>IFERROR(VLOOKUP($A197,'Student Data'!$A$2:$AR$6,36,0),"")</f>
        <v/>
      </c>
      <c r="K197" t="str">
        <f t="shared" si="6"/>
        <v/>
      </c>
      <c r="L197" t="str">
        <f t="shared" si="7"/>
        <v/>
      </c>
      <c r="M197" t="str">
        <f>IFERROR(IF($C197="","",SUMIFS(Ledger!$K$2:$K$4, Ledger!$B$2:$B$4, $A197, Ledger!$C$2:$C$4, M$2)),"****")</f>
        <v/>
      </c>
      <c r="N197" t="str">
        <f>IFERROR(IF($C197="","",SUMIFS(Ledger!$K$2:$K$4, Ledger!$B$2:$B$4, $A197, Ledger!$C$2:$C$4, N$2)),"****")</f>
        <v/>
      </c>
      <c r="O197" t="str">
        <f>IFERROR(IF($C197="","",SUMIFS(Ledger!$K$2:$K$4, Ledger!$B$2:$B$4, $A197, Ledger!$C$2:$C$4, O$2)),"****")</f>
        <v/>
      </c>
      <c r="P197" t="str">
        <f>IFERROR(IF($C197="","",SUMIFS(Ledger!$K$2:$K$4, Ledger!$B$2:$B$4, $A197, Ledger!$C$2:$C$4, P$2)),"****")</f>
        <v/>
      </c>
      <c r="Q197" t="str">
        <f>IFERROR(IF($C197="","",SUMIFS(Ledger!$K$2:$K$4, Ledger!$B$2:$B$4, $A197, Ledger!$C$2:$C$4, Q$2)),"****")</f>
        <v/>
      </c>
      <c r="R197" t="str">
        <f>IFERROR(IF($C197="","",SUMIFS(Ledger!$K$2:$K$4, Ledger!$B$2:$B$4, $A197, Ledger!$C$2:$C$4, R$2)),"****")</f>
        <v/>
      </c>
      <c r="S197" t="str">
        <f>IFERROR(IF($C197="","",SUMIFS(Ledger!$K$2:$K$4, Ledger!$B$2:$B$4, $A197, Ledger!$C$2:$C$4, S$2)),"****")</f>
        <v/>
      </c>
      <c r="T197" t="str">
        <f>IFERROR(IF($C197="","",SUMIFS(Ledger!$K$2:$K$4, Ledger!$B$2:$B$4, $A197, Ledger!$C$2:$C$4, T$2)),"****")</f>
        <v/>
      </c>
      <c r="U197" t="str">
        <f>IFERROR(IF($C197="","",SUMIFS(Ledger!$K$2:$K$4, Ledger!$B$2:$B$4, $A197, Ledger!$C$2:$C$4, U$2)),"****")</f>
        <v/>
      </c>
      <c r="V197" t="str">
        <f>IFERROR(IF($C197="","",SUMIFS(Ledger!$K$2:$K$4, Ledger!$B$2:$B$4, $A197, Ledger!$C$2:$C$4, V$2)),"****")</f>
        <v/>
      </c>
      <c r="W197" t="str">
        <f>IFERROR(IF($C197="","",SUMIFS(Ledger!$K$2:$K$4, Ledger!$B$2:$B$4, $A197, Ledger!$C$2:$C$4, W$2)),"****")</f>
        <v/>
      </c>
      <c r="X197" t="str">
        <f>IFERROR(IF($C197="","",SUMIFS(Ledger!$K$2:$K$4, Ledger!$B$2:$B$4, $A197, Ledger!$C$2:$C$4, X$2)),"****")</f>
        <v/>
      </c>
    </row>
    <row r="198" spans="1:24" x14ac:dyDescent="0.3">
      <c r="A198" s="106">
        <v>196</v>
      </c>
      <c r="B198" t="str">
        <f>IFERROR(VLOOKUP($A198, Ledger!$B$2:$L$8, 3, 0),"")</f>
        <v/>
      </c>
      <c r="C198" t="str">
        <f>IFERROR(VLOOKUP($A198, Ledger!$B$2:$L$8, 4, 0),"")</f>
        <v/>
      </c>
      <c r="D198" t="str">
        <f>IFERROR(VLOOKUP($A198, Ledger!$B$2:$L$8, 5, 0),"")</f>
        <v/>
      </c>
      <c r="E198" t="str">
        <f>IFERROR(VLOOKUP($A198, Ledger!$B$2:$L$8, 6, 0),"")</f>
        <v/>
      </c>
      <c r="F198" t="str">
        <f>IFERROR(VLOOKUP($A198,'Student Data'!$A$2:$AR$6,32,0),"")</f>
        <v/>
      </c>
      <c r="G198" t="str">
        <f>IFERROR(VLOOKUP($A198,'Student Data'!$A$2:$AR$6,33,0),"")</f>
        <v/>
      </c>
      <c r="H198" t="str">
        <f>IFERROR(VLOOKUP($A198,'Student Data'!$A$2:$AR$6,34,0),"")</f>
        <v/>
      </c>
      <c r="I198" t="str">
        <f>IFERROR(VLOOKUP($A198,'Student Data'!$A$2:$AR$6,35,0),"")</f>
        <v/>
      </c>
      <c r="J198" t="str">
        <f>IFERROR(VLOOKUP($A198,'Student Data'!$A$2:$AR$6,36,0),"")</f>
        <v/>
      </c>
      <c r="K198" t="str">
        <f t="shared" si="6"/>
        <v/>
      </c>
      <c r="L198" t="str">
        <f t="shared" si="7"/>
        <v/>
      </c>
      <c r="M198" t="str">
        <f>IFERROR(IF($C198="","",SUMIFS(Ledger!$K$2:$K$4, Ledger!$B$2:$B$4, $A198, Ledger!$C$2:$C$4, M$2)),"****")</f>
        <v/>
      </c>
      <c r="N198" t="str">
        <f>IFERROR(IF($C198="","",SUMIFS(Ledger!$K$2:$K$4, Ledger!$B$2:$B$4, $A198, Ledger!$C$2:$C$4, N$2)),"****")</f>
        <v/>
      </c>
      <c r="O198" t="str">
        <f>IFERROR(IF($C198="","",SUMIFS(Ledger!$K$2:$K$4, Ledger!$B$2:$B$4, $A198, Ledger!$C$2:$C$4, O$2)),"****")</f>
        <v/>
      </c>
      <c r="P198" t="str">
        <f>IFERROR(IF($C198="","",SUMIFS(Ledger!$K$2:$K$4, Ledger!$B$2:$B$4, $A198, Ledger!$C$2:$C$4, P$2)),"****")</f>
        <v/>
      </c>
      <c r="Q198" t="str">
        <f>IFERROR(IF($C198="","",SUMIFS(Ledger!$K$2:$K$4, Ledger!$B$2:$B$4, $A198, Ledger!$C$2:$C$4, Q$2)),"****")</f>
        <v/>
      </c>
      <c r="R198" t="str">
        <f>IFERROR(IF($C198="","",SUMIFS(Ledger!$K$2:$K$4, Ledger!$B$2:$B$4, $A198, Ledger!$C$2:$C$4, R$2)),"****")</f>
        <v/>
      </c>
      <c r="S198" t="str">
        <f>IFERROR(IF($C198="","",SUMIFS(Ledger!$K$2:$K$4, Ledger!$B$2:$B$4, $A198, Ledger!$C$2:$C$4, S$2)),"****")</f>
        <v/>
      </c>
      <c r="T198" t="str">
        <f>IFERROR(IF($C198="","",SUMIFS(Ledger!$K$2:$K$4, Ledger!$B$2:$B$4, $A198, Ledger!$C$2:$C$4, T$2)),"****")</f>
        <v/>
      </c>
      <c r="U198" t="str">
        <f>IFERROR(IF($C198="","",SUMIFS(Ledger!$K$2:$K$4, Ledger!$B$2:$B$4, $A198, Ledger!$C$2:$C$4, U$2)),"****")</f>
        <v/>
      </c>
      <c r="V198" t="str">
        <f>IFERROR(IF($C198="","",SUMIFS(Ledger!$K$2:$K$4, Ledger!$B$2:$B$4, $A198, Ledger!$C$2:$C$4, V$2)),"****")</f>
        <v/>
      </c>
      <c r="W198" t="str">
        <f>IFERROR(IF($C198="","",SUMIFS(Ledger!$K$2:$K$4, Ledger!$B$2:$B$4, $A198, Ledger!$C$2:$C$4, W$2)),"****")</f>
        <v/>
      </c>
      <c r="X198" t="str">
        <f>IFERROR(IF($C198="","",SUMIFS(Ledger!$K$2:$K$4, Ledger!$B$2:$B$4, $A198, Ledger!$C$2:$C$4, X$2)),"****")</f>
        <v/>
      </c>
    </row>
    <row r="199" spans="1:24" x14ac:dyDescent="0.3">
      <c r="A199" s="106">
        <v>197</v>
      </c>
      <c r="B199" t="str">
        <f>IFERROR(VLOOKUP($A199, Ledger!$B$2:$L$8, 3, 0),"")</f>
        <v/>
      </c>
      <c r="C199" t="str">
        <f>IFERROR(VLOOKUP($A199, Ledger!$B$2:$L$8, 4, 0),"")</f>
        <v/>
      </c>
      <c r="D199" t="str">
        <f>IFERROR(VLOOKUP($A199, Ledger!$B$2:$L$8, 5, 0),"")</f>
        <v/>
      </c>
      <c r="E199" t="str">
        <f>IFERROR(VLOOKUP($A199, Ledger!$B$2:$L$8, 6, 0),"")</f>
        <v/>
      </c>
      <c r="F199" t="str">
        <f>IFERROR(VLOOKUP($A199,'Student Data'!$A$2:$AR$6,32,0),"")</f>
        <v/>
      </c>
      <c r="G199" t="str">
        <f>IFERROR(VLOOKUP($A199,'Student Data'!$A$2:$AR$6,33,0),"")</f>
        <v/>
      </c>
      <c r="H199" t="str">
        <f>IFERROR(VLOOKUP($A199,'Student Data'!$A$2:$AR$6,34,0),"")</f>
        <v/>
      </c>
      <c r="I199" t="str">
        <f>IFERROR(VLOOKUP($A199,'Student Data'!$A$2:$AR$6,35,0),"")</f>
        <v/>
      </c>
      <c r="J199" t="str">
        <f>IFERROR(VLOOKUP($A199,'Student Data'!$A$2:$AR$6,36,0),"")</f>
        <v/>
      </c>
      <c r="K199" t="str">
        <f t="shared" si="6"/>
        <v/>
      </c>
      <c r="L199" t="str">
        <f t="shared" si="7"/>
        <v/>
      </c>
      <c r="M199" t="str">
        <f>IFERROR(IF($C199="","",SUMIFS(Ledger!$K$2:$K$4, Ledger!$B$2:$B$4, $A199, Ledger!$C$2:$C$4, M$2)),"****")</f>
        <v/>
      </c>
      <c r="N199" t="str">
        <f>IFERROR(IF($C199="","",SUMIFS(Ledger!$K$2:$K$4, Ledger!$B$2:$B$4, $A199, Ledger!$C$2:$C$4, N$2)),"****")</f>
        <v/>
      </c>
      <c r="O199" t="str">
        <f>IFERROR(IF($C199="","",SUMIFS(Ledger!$K$2:$K$4, Ledger!$B$2:$B$4, $A199, Ledger!$C$2:$C$4, O$2)),"****")</f>
        <v/>
      </c>
      <c r="P199" t="str">
        <f>IFERROR(IF($C199="","",SUMIFS(Ledger!$K$2:$K$4, Ledger!$B$2:$B$4, $A199, Ledger!$C$2:$C$4, P$2)),"****")</f>
        <v/>
      </c>
      <c r="Q199" t="str">
        <f>IFERROR(IF($C199="","",SUMIFS(Ledger!$K$2:$K$4, Ledger!$B$2:$B$4, $A199, Ledger!$C$2:$C$4, Q$2)),"****")</f>
        <v/>
      </c>
      <c r="R199" t="str">
        <f>IFERROR(IF($C199="","",SUMIFS(Ledger!$K$2:$K$4, Ledger!$B$2:$B$4, $A199, Ledger!$C$2:$C$4, R$2)),"****")</f>
        <v/>
      </c>
      <c r="S199" t="str">
        <f>IFERROR(IF($C199="","",SUMIFS(Ledger!$K$2:$K$4, Ledger!$B$2:$B$4, $A199, Ledger!$C$2:$C$4, S$2)),"****")</f>
        <v/>
      </c>
      <c r="T199" t="str">
        <f>IFERROR(IF($C199="","",SUMIFS(Ledger!$K$2:$K$4, Ledger!$B$2:$B$4, $A199, Ledger!$C$2:$C$4, T$2)),"****")</f>
        <v/>
      </c>
      <c r="U199" t="str">
        <f>IFERROR(IF($C199="","",SUMIFS(Ledger!$K$2:$K$4, Ledger!$B$2:$B$4, $A199, Ledger!$C$2:$C$4, U$2)),"****")</f>
        <v/>
      </c>
      <c r="V199" t="str">
        <f>IFERROR(IF($C199="","",SUMIFS(Ledger!$K$2:$K$4, Ledger!$B$2:$B$4, $A199, Ledger!$C$2:$C$4, V$2)),"****")</f>
        <v/>
      </c>
      <c r="W199" t="str">
        <f>IFERROR(IF($C199="","",SUMIFS(Ledger!$K$2:$K$4, Ledger!$B$2:$B$4, $A199, Ledger!$C$2:$C$4, W$2)),"****")</f>
        <v/>
      </c>
      <c r="X199" t="str">
        <f>IFERROR(IF($C199="","",SUMIFS(Ledger!$K$2:$K$4, Ledger!$B$2:$B$4, $A199, Ledger!$C$2:$C$4, X$2)),"****")</f>
        <v/>
      </c>
    </row>
    <row r="200" spans="1:24" x14ac:dyDescent="0.3">
      <c r="A200" s="106">
        <v>198</v>
      </c>
      <c r="B200" t="str">
        <f>IFERROR(VLOOKUP($A200, Ledger!$B$2:$L$8, 3, 0),"")</f>
        <v/>
      </c>
      <c r="C200" t="str">
        <f>IFERROR(VLOOKUP($A200, Ledger!$B$2:$L$8, 4, 0),"")</f>
        <v/>
      </c>
      <c r="D200" t="str">
        <f>IFERROR(VLOOKUP($A200, Ledger!$B$2:$L$8, 5, 0),"")</f>
        <v/>
      </c>
      <c r="E200" t="str">
        <f>IFERROR(VLOOKUP($A200, Ledger!$B$2:$L$8, 6, 0),"")</f>
        <v/>
      </c>
      <c r="F200" t="str">
        <f>IFERROR(VLOOKUP($A200,'Student Data'!$A$2:$AR$6,32,0),"")</f>
        <v/>
      </c>
      <c r="G200" t="str">
        <f>IFERROR(VLOOKUP($A200,'Student Data'!$A$2:$AR$6,33,0),"")</f>
        <v/>
      </c>
      <c r="H200" t="str">
        <f>IFERROR(VLOOKUP($A200,'Student Data'!$A$2:$AR$6,34,0),"")</f>
        <v/>
      </c>
      <c r="I200" t="str">
        <f>IFERROR(VLOOKUP($A200,'Student Data'!$A$2:$AR$6,35,0),"")</f>
        <v/>
      </c>
      <c r="J200" t="str">
        <f>IFERROR(VLOOKUP($A200,'Student Data'!$A$2:$AR$6,36,0),"")</f>
        <v/>
      </c>
      <c r="K200" t="str">
        <f t="shared" si="6"/>
        <v/>
      </c>
      <c r="L200" t="str">
        <f t="shared" si="7"/>
        <v/>
      </c>
      <c r="M200" t="str">
        <f>IFERROR(IF($C200="","",SUMIFS(Ledger!$K$2:$K$4, Ledger!$B$2:$B$4, $A200, Ledger!$C$2:$C$4, M$2)),"****")</f>
        <v/>
      </c>
      <c r="N200" t="str">
        <f>IFERROR(IF($C200="","",SUMIFS(Ledger!$K$2:$K$4, Ledger!$B$2:$B$4, $A200, Ledger!$C$2:$C$4, N$2)),"****")</f>
        <v/>
      </c>
      <c r="O200" t="str">
        <f>IFERROR(IF($C200="","",SUMIFS(Ledger!$K$2:$K$4, Ledger!$B$2:$B$4, $A200, Ledger!$C$2:$C$4, O$2)),"****")</f>
        <v/>
      </c>
      <c r="P200" t="str">
        <f>IFERROR(IF($C200="","",SUMIFS(Ledger!$K$2:$K$4, Ledger!$B$2:$B$4, $A200, Ledger!$C$2:$C$4, P$2)),"****")</f>
        <v/>
      </c>
      <c r="Q200" t="str">
        <f>IFERROR(IF($C200="","",SUMIFS(Ledger!$K$2:$K$4, Ledger!$B$2:$B$4, $A200, Ledger!$C$2:$C$4, Q$2)),"****")</f>
        <v/>
      </c>
      <c r="R200" t="str">
        <f>IFERROR(IF($C200="","",SUMIFS(Ledger!$K$2:$K$4, Ledger!$B$2:$B$4, $A200, Ledger!$C$2:$C$4, R$2)),"****")</f>
        <v/>
      </c>
      <c r="S200" t="str">
        <f>IFERROR(IF($C200="","",SUMIFS(Ledger!$K$2:$K$4, Ledger!$B$2:$B$4, $A200, Ledger!$C$2:$C$4, S$2)),"****")</f>
        <v/>
      </c>
      <c r="T200" t="str">
        <f>IFERROR(IF($C200="","",SUMIFS(Ledger!$K$2:$K$4, Ledger!$B$2:$B$4, $A200, Ledger!$C$2:$C$4, T$2)),"****")</f>
        <v/>
      </c>
      <c r="U200" t="str">
        <f>IFERROR(IF($C200="","",SUMIFS(Ledger!$K$2:$K$4, Ledger!$B$2:$B$4, $A200, Ledger!$C$2:$C$4, U$2)),"****")</f>
        <v/>
      </c>
      <c r="V200" t="str">
        <f>IFERROR(IF($C200="","",SUMIFS(Ledger!$K$2:$K$4, Ledger!$B$2:$B$4, $A200, Ledger!$C$2:$C$4, V$2)),"****")</f>
        <v/>
      </c>
      <c r="W200" t="str">
        <f>IFERROR(IF($C200="","",SUMIFS(Ledger!$K$2:$K$4, Ledger!$B$2:$B$4, $A200, Ledger!$C$2:$C$4, W$2)),"****")</f>
        <v/>
      </c>
      <c r="X200" t="str">
        <f>IFERROR(IF($C200="","",SUMIFS(Ledger!$K$2:$K$4, Ledger!$B$2:$B$4, $A200, Ledger!$C$2:$C$4, X$2)),"****")</f>
        <v/>
      </c>
    </row>
    <row r="201" spans="1:24" x14ac:dyDescent="0.3">
      <c r="A201" s="106">
        <v>199</v>
      </c>
      <c r="B201" t="str">
        <f>IFERROR(VLOOKUP($A201, Ledger!$B$2:$L$8, 3, 0),"")</f>
        <v/>
      </c>
      <c r="C201" t="str">
        <f>IFERROR(VLOOKUP($A201, Ledger!$B$2:$L$8, 4, 0),"")</f>
        <v/>
      </c>
      <c r="D201" t="str">
        <f>IFERROR(VLOOKUP($A201, Ledger!$B$2:$L$8, 5, 0),"")</f>
        <v/>
      </c>
      <c r="E201" t="str">
        <f>IFERROR(VLOOKUP($A201, Ledger!$B$2:$L$8, 6, 0),"")</f>
        <v/>
      </c>
      <c r="F201" t="str">
        <f>IFERROR(VLOOKUP($A201,'Student Data'!$A$2:$AR$6,32,0),"")</f>
        <v/>
      </c>
      <c r="G201" t="str">
        <f>IFERROR(VLOOKUP($A201,'Student Data'!$A$2:$AR$6,33,0),"")</f>
        <v/>
      </c>
      <c r="H201" t="str">
        <f>IFERROR(VLOOKUP($A201,'Student Data'!$A$2:$AR$6,34,0),"")</f>
        <v/>
      </c>
      <c r="I201" t="str">
        <f>IFERROR(VLOOKUP($A201,'Student Data'!$A$2:$AR$6,35,0),"")</f>
        <v/>
      </c>
      <c r="J201" t="str">
        <f>IFERROR(VLOOKUP($A201,'Student Data'!$A$2:$AR$6,36,0),"")</f>
        <v/>
      </c>
      <c r="K201" t="str">
        <f t="shared" si="6"/>
        <v/>
      </c>
      <c r="L201" t="str">
        <f t="shared" si="7"/>
        <v/>
      </c>
      <c r="M201" t="str">
        <f>IFERROR(IF($C201="","",SUMIFS(Ledger!$K$2:$K$4, Ledger!$B$2:$B$4, $A201, Ledger!$C$2:$C$4, M$2)),"****")</f>
        <v/>
      </c>
      <c r="N201" t="str">
        <f>IFERROR(IF($C201="","",SUMIFS(Ledger!$K$2:$K$4, Ledger!$B$2:$B$4, $A201, Ledger!$C$2:$C$4, N$2)),"****")</f>
        <v/>
      </c>
      <c r="O201" t="str">
        <f>IFERROR(IF($C201="","",SUMIFS(Ledger!$K$2:$K$4, Ledger!$B$2:$B$4, $A201, Ledger!$C$2:$C$4, O$2)),"****")</f>
        <v/>
      </c>
      <c r="P201" t="str">
        <f>IFERROR(IF($C201="","",SUMIFS(Ledger!$K$2:$K$4, Ledger!$B$2:$B$4, $A201, Ledger!$C$2:$C$4, P$2)),"****")</f>
        <v/>
      </c>
      <c r="Q201" t="str">
        <f>IFERROR(IF($C201="","",SUMIFS(Ledger!$K$2:$K$4, Ledger!$B$2:$B$4, $A201, Ledger!$C$2:$C$4, Q$2)),"****")</f>
        <v/>
      </c>
      <c r="R201" t="str">
        <f>IFERROR(IF($C201="","",SUMIFS(Ledger!$K$2:$K$4, Ledger!$B$2:$B$4, $A201, Ledger!$C$2:$C$4, R$2)),"****")</f>
        <v/>
      </c>
      <c r="S201" t="str">
        <f>IFERROR(IF($C201="","",SUMIFS(Ledger!$K$2:$K$4, Ledger!$B$2:$B$4, $A201, Ledger!$C$2:$C$4, S$2)),"****")</f>
        <v/>
      </c>
      <c r="T201" t="str">
        <f>IFERROR(IF($C201="","",SUMIFS(Ledger!$K$2:$K$4, Ledger!$B$2:$B$4, $A201, Ledger!$C$2:$C$4, T$2)),"****")</f>
        <v/>
      </c>
      <c r="U201" t="str">
        <f>IFERROR(IF($C201="","",SUMIFS(Ledger!$K$2:$K$4, Ledger!$B$2:$B$4, $A201, Ledger!$C$2:$C$4, U$2)),"****")</f>
        <v/>
      </c>
      <c r="V201" t="str">
        <f>IFERROR(IF($C201="","",SUMIFS(Ledger!$K$2:$K$4, Ledger!$B$2:$B$4, $A201, Ledger!$C$2:$C$4, V$2)),"****")</f>
        <v/>
      </c>
      <c r="W201" t="str">
        <f>IFERROR(IF($C201="","",SUMIFS(Ledger!$K$2:$K$4, Ledger!$B$2:$B$4, $A201, Ledger!$C$2:$C$4, W$2)),"****")</f>
        <v/>
      </c>
      <c r="X201" t="str">
        <f>IFERROR(IF($C201="","",SUMIFS(Ledger!$K$2:$K$4, Ledger!$B$2:$B$4, $A201, Ledger!$C$2:$C$4, X$2)),"****")</f>
        <v/>
      </c>
    </row>
    <row r="202" spans="1:24" x14ac:dyDescent="0.3">
      <c r="A202" s="106">
        <v>200</v>
      </c>
      <c r="B202" t="str">
        <f>IFERROR(VLOOKUP($A202, Ledger!$B$2:$L$8, 3, 0),"")</f>
        <v/>
      </c>
      <c r="C202" t="str">
        <f>IFERROR(VLOOKUP($A202, Ledger!$B$2:$L$8, 4, 0),"")</f>
        <v/>
      </c>
      <c r="D202" t="str">
        <f>IFERROR(VLOOKUP($A202, Ledger!$B$2:$L$8, 5, 0),"")</f>
        <v/>
      </c>
      <c r="E202" t="str">
        <f>IFERROR(VLOOKUP($A202, Ledger!$B$2:$L$8, 6, 0),"")</f>
        <v/>
      </c>
      <c r="F202" t="str">
        <f>IFERROR(VLOOKUP($A202,'Student Data'!$A$2:$AR$6,32,0),"")</f>
        <v/>
      </c>
      <c r="G202" t="str">
        <f>IFERROR(VLOOKUP($A202,'Student Data'!$A$2:$AR$6,33,0),"")</f>
        <v/>
      </c>
      <c r="H202" t="str">
        <f>IFERROR(VLOOKUP($A202,'Student Data'!$A$2:$AR$6,34,0),"")</f>
        <v/>
      </c>
      <c r="I202" t="str">
        <f>IFERROR(VLOOKUP($A202,'Student Data'!$A$2:$AR$6,35,0),"")</f>
        <v/>
      </c>
      <c r="J202" t="str">
        <f>IFERROR(VLOOKUP($A202,'Student Data'!$A$2:$AR$6,36,0),"")</f>
        <v/>
      </c>
      <c r="K202" t="str">
        <f t="shared" si="6"/>
        <v/>
      </c>
      <c r="L202" t="str">
        <f t="shared" si="7"/>
        <v/>
      </c>
      <c r="M202" t="str">
        <f>IFERROR(IF($C202="","",SUMIFS(Ledger!$K$2:$K$4, Ledger!$B$2:$B$4, $A202, Ledger!$C$2:$C$4, M$2)),"****")</f>
        <v/>
      </c>
      <c r="N202" t="str">
        <f>IFERROR(IF($C202="","",SUMIFS(Ledger!$K$2:$K$4, Ledger!$B$2:$B$4, $A202, Ledger!$C$2:$C$4, N$2)),"****")</f>
        <v/>
      </c>
      <c r="O202" t="str">
        <f>IFERROR(IF($C202="","",SUMIFS(Ledger!$K$2:$K$4, Ledger!$B$2:$B$4, $A202, Ledger!$C$2:$C$4, O$2)),"****")</f>
        <v/>
      </c>
      <c r="P202" t="str">
        <f>IFERROR(IF($C202="","",SUMIFS(Ledger!$K$2:$K$4, Ledger!$B$2:$B$4, $A202, Ledger!$C$2:$C$4, P$2)),"****")</f>
        <v/>
      </c>
      <c r="Q202" t="str">
        <f>IFERROR(IF($C202="","",SUMIFS(Ledger!$K$2:$K$4, Ledger!$B$2:$B$4, $A202, Ledger!$C$2:$C$4, Q$2)),"****")</f>
        <v/>
      </c>
      <c r="R202" t="str">
        <f>IFERROR(IF($C202="","",SUMIFS(Ledger!$K$2:$K$4, Ledger!$B$2:$B$4, $A202, Ledger!$C$2:$C$4, R$2)),"****")</f>
        <v/>
      </c>
      <c r="S202" t="str">
        <f>IFERROR(IF($C202="","",SUMIFS(Ledger!$K$2:$K$4, Ledger!$B$2:$B$4, $A202, Ledger!$C$2:$C$4, S$2)),"****")</f>
        <v/>
      </c>
      <c r="T202" t="str">
        <f>IFERROR(IF($C202="","",SUMIFS(Ledger!$K$2:$K$4, Ledger!$B$2:$B$4, $A202, Ledger!$C$2:$C$4, T$2)),"****")</f>
        <v/>
      </c>
      <c r="U202" t="str">
        <f>IFERROR(IF($C202="","",SUMIFS(Ledger!$K$2:$K$4, Ledger!$B$2:$B$4, $A202, Ledger!$C$2:$C$4, U$2)),"****")</f>
        <v/>
      </c>
      <c r="V202" t="str">
        <f>IFERROR(IF($C202="","",SUMIFS(Ledger!$K$2:$K$4, Ledger!$B$2:$B$4, $A202, Ledger!$C$2:$C$4, V$2)),"****")</f>
        <v/>
      </c>
      <c r="W202" t="str">
        <f>IFERROR(IF($C202="","",SUMIFS(Ledger!$K$2:$K$4, Ledger!$B$2:$B$4, $A202, Ledger!$C$2:$C$4, W$2)),"****")</f>
        <v/>
      </c>
      <c r="X202" t="str">
        <f>IFERROR(IF($C202="","",SUMIFS(Ledger!$K$2:$K$4, Ledger!$B$2:$B$4, $A202, Ledger!$C$2:$C$4, X$2)),"****")</f>
        <v/>
      </c>
    </row>
    <row r="203" spans="1:24" x14ac:dyDescent="0.3">
      <c r="A203" s="106">
        <v>201</v>
      </c>
      <c r="B203" t="str">
        <f>IFERROR(VLOOKUP($A203, Ledger!$B$2:$L$8, 3, 0),"")</f>
        <v/>
      </c>
      <c r="C203" t="str">
        <f>IFERROR(VLOOKUP($A203, Ledger!$B$2:$L$8, 4, 0),"")</f>
        <v/>
      </c>
      <c r="D203" t="str">
        <f>IFERROR(VLOOKUP($A203, Ledger!$B$2:$L$8, 5, 0),"")</f>
        <v/>
      </c>
      <c r="E203" t="str">
        <f>IFERROR(VLOOKUP($A203, Ledger!$B$2:$L$8, 6, 0),"")</f>
        <v/>
      </c>
      <c r="F203" t="str">
        <f>IFERROR(VLOOKUP($A203,'Student Data'!$A$2:$AR$6,32,0),"")</f>
        <v/>
      </c>
      <c r="G203" t="str">
        <f>IFERROR(VLOOKUP($A203,'Student Data'!$A$2:$AR$6,33,0),"")</f>
        <v/>
      </c>
      <c r="H203" t="str">
        <f>IFERROR(VLOOKUP($A203,'Student Data'!$A$2:$AR$6,34,0),"")</f>
        <v/>
      </c>
      <c r="I203" t="str">
        <f>IFERROR(VLOOKUP($A203,'Student Data'!$A$2:$AR$6,35,0),"")</f>
        <v/>
      </c>
      <c r="J203" t="str">
        <f>IFERROR(VLOOKUP($A203,'Student Data'!$A$2:$AR$6,36,0),"")</f>
        <v/>
      </c>
      <c r="K203" t="str">
        <f t="shared" si="6"/>
        <v/>
      </c>
      <c r="L203" t="str">
        <f t="shared" si="7"/>
        <v/>
      </c>
      <c r="M203" t="str">
        <f>IFERROR(IF($C203="","",SUMIFS(Ledger!$K$2:$K$4, Ledger!$B$2:$B$4, $A203, Ledger!$C$2:$C$4, M$2)),"****")</f>
        <v/>
      </c>
      <c r="N203" t="str">
        <f>IFERROR(IF($C203="","",SUMIFS(Ledger!$K$2:$K$4, Ledger!$B$2:$B$4, $A203, Ledger!$C$2:$C$4, N$2)),"****")</f>
        <v/>
      </c>
      <c r="O203" t="str">
        <f>IFERROR(IF($C203="","",SUMIFS(Ledger!$K$2:$K$4, Ledger!$B$2:$B$4, $A203, Ledger!$C$2:$C$4, O$2)),"****")</f>
        <v/>
      </c>
      <c r="P203" t="str">
        <f>IFERROR(IF($C203="","",SUMIFS(Ledger!$K$2:$K$4, Ledger!$B$2:$B$4, $A203, Ledger!$C$2:$C$4, P$2)),"****")</f>
        <v/>
      </c>
      <c r="Q203" t="str">
        <f>IFERROR(IF($C203="","",SUMIFS(Ledger!$K$2:$K$4, Ledger!$B$2:$B$4, $A203, Ledger!$C$2:$C$4, Q$2)),"****")</f>
        <v/>
      </c>
      <c r="R203" t="str">
        <f>IFERROR(IF($C203="","",SUMIFS(Ledger!$K$2:$K$4, Ledger!$B$2:$B$4, $A203, Ledger!$C$2:$C$4, R$2)),"****")</f>
        <v/>
      </c>
      <c r="S203" t="str">
        <f>IFERROR(IF($C203="","",SUMIFS(Ledger!$K$2:$K$4, Ledger!$B$2:$B$4, $A203, Ledger!$C$2:$C$4, S$2)),"****")</f>
        <v/>
      </c>
      <c r="T203" t="str">
        <f>IFERROR(IF($C203="","",SUMIFS(Ledger!$K$2:$K$4, Ledger!$B$2:$B$4, $A203, Ledger!$C$2:$C$4, T$2)),"****")</f>
        <v/>
      </c>
      <c r="U203" t="str">
        <f>IFERROR(IF($C203="","",SUMIFS(Ledger!$K$2:$K$4, Ledger!$B$2:$B$4, $A203, Ledger!$C$2:$C$4, U$2)),"****")</f>
        <v/>
      </c>
      <c r="V203" t="str">
        <f>IFERROR(IF($C203="","",SUMIFS(Ledger!$K$2:$K$4, Ledger!$B$2:$B$4, $A203, Ledger!$C$2:$C$4, V$2)),"****")</f>
        <v/>
      </c>
      <c r="W203" t="str">
        <f>IFERROR(IF($C203="","",SUMIFS(Ledger!$K$2:$K$4, Ledger!$B$2:$B$4, $A203, Ledger!$C$2:$C$4, W$2)),"****")</f>
        <v/>
      </c>
      <c r="X203" t="str">
        <f>IFERROR(IF($C203="","",SUMIFS(Ledger!$K$2:$K$4, Ledger!$B$2:$B$4, $A203, Ledger!$C$2:$C$4, X$2)),"****")</f>
        <v/>
      </c>
    </row>
    <row r="204" spans="1:24" x14ac:dyDescent="0.3">
      <c r="A204" s="106">
        <v>202</v>
      </c>
      <c r="B204" t="str">
        <f>IFERROR(VLOOKUP($A204, Ledger!$B$2:$L$8, 3, 0),"")</f>
        <v/>
      </c>
      <c r="C204" t="str">
        <f>IFERROR(VLOOKUP($A204, Ledger!$B$2:$L$8, 4, 0),"")</f>
        <v/>
      </c>
      <c r="D204" t="str">
        <f>IFERROR(VLOOKUP($A204, Ledger!$B$2:$L$8, 5, 0),"")</f>
        <v/>
      </c>
      <c r="E204" t="str">
        <f>IFERROR(VLOOKUP($A204, Ledger!$B$2:$L$8, 6, 0),"")</f>
        <v/>
      </c>
      <c r="F204" t="str">
        <f>IFERROR(VLOOKUP($A204,'Student Data'!$A$2:$AR$6,32,0),"")</f>
        <v/>
      </c>
      <c r="G204" t="str">
        <f>IFERROR(VLOOKUP($A204,'Student Data'!$A$2:$AR$6,33,0),"")</f>
        <v/>
      </c>
      <c r="H204" t="str">
        <f>IFERROR(VLOOKUP($A204,'Student Data'!$A$2:$AR$6,34,0),"")</f>
        <v/>
      </c>
      <c r="I204" t="str">
        <f>IFERROR(VLOOKUP($A204,'Student Data'!$A$2:$AR$6,35,0),"")</f>
        <v/>
      </c>
      <c r="J204" t="str">
        <f>IFERROR(VLOOKUP($A204,'Student Data'!$A$2:$AR$6,36,0),"")</f>
        <v/>
      </c>
      <c r="K204" t="str">
        <f t="shared" si="6"/>
        <v/>
      </c>
      <c r="L204" t="str">
        <f t="shared" si="7"/>
        <v/>
      </c>
      <c r="M204" t="str">
        <f>IFERROR(IF($C204="","",SUMIFS(Ledger!$K$2:$K$4, Ledger!$B$2:$B$4, $A204, Ledger!$C$2:$C$4, M$2)),"****")</f>
        <v/>
      </c>
      <c r="N204" t="str">
        <f>IFERROR(IF($C204="","",SUMIFS(Ledger!$K$2:$K$4, Ledger!$B$2:$B$4, $A204, Ledger!$C$2:$C$4, N$2)),"****")</f>
        <v/>
      </c>
      <c r="O204" t="str">
        <f>IFERROR(IF($C204="","",SUMIFS(Ledger!$K$2:$K$4, Ledger!$B$2:$B$4, $A204, Ledger!$C$2:$C$4, O$2)),"****")</f>
        <v/>
      </c>
      <c r="P204" t="str">
        <f>IFERROR(IF($C204="","",SUMIFS(Ledger!$K$2:$K$4, Ledger!$B$2:$B$4, $A204, Ledger!$C$2:$C$4, P$2)),"****")</f>
        <v/>
      </c>
      <c r="Q204" t="str">
        <f>IFERROR(IF($C204="","",SUMIFS(Ledger!$K$2:$K$4, Ledger!$B$2:$B$4, $A204, Ledger!$C$2:$C$4, Q$2)),"****")</f>
        <v/>
      </c>
      <c r="R204" t="str">
        <f>IFERROR(IF($C204="","",SUMIFS(Ledger!$K$2:$K$4, Ledger!$B$2:$B$4, $A204, Ledger!$C$2:$C$4, R$2)),"****")</f>
        <v/>
      </c>
      <c r="S204" t="str">
        <f>IFERROR(IF($C204="","",SUMIFS(Ledger!$K$2:$K$4, Ledger!$B$2:$B$4, $A204, Ledger!$C$2:$C$4, S$2)),"****")</f>
        <v/>
      </c>
      <c r="T204" t="str">
        <f>IFERROR(IF($C204="","",SUMIFS(Ledger!$K$2:$K$4, Ledger!$B$2:$B$4, $A204, Ledger!$C$2:$C$4, T$2)),"****")</f>
        <v/>
      </c>
      <c r="U204" t="str">
        <f>IFERROR(IF($C204="","",SUMIFS(Ledger!$K$2:$K$4, Ledger!$B$2:$B$4, $A204, Ledger!$C$2:$C$4, U$2)),"****")</f>
        <v/>
      </c>
      <c r="V204" t="str">
        <f>IFERROR(IF($C204="","",SUMIFS(Ledger!$K$2:$K$4, Ledger!$B$2:$B$4, $A204, Ledger!$C$2:$C$4, V$2)),"****")</f>
        <v/>
      </c>
      <c r="W204" t="str">
        <f>IFERROR(IF($C204="","",SUMIFS(Ledger!$K$2:$K$4, Ledger!$B$2:$B$4, $A204, Ledger!$C$2:$C$4, W$2)),"****")</f>
        <v/>
      </c>
      <c r="X204" t="str">
        <f>IFERROR(IF($C204="","",SUMIFS(Ledger!$K$2:$K$4, Ledger!$B$2:$B$4, $A204, Ledger!$C$2:$C$4, X$2)),"****")</f>
        <v/>
      </c>
    </row>
    <row r="205" spans="1:24" x14ac:dyDescent="0.3">
      <c r="A205" s="106">
        <v>203</v>
      </c>
      <c r="B205" t="str">
        <f>IFERROR(VLOOKUP($A205, Ledger!$B$2:$L$8, 3, 0),"")</f>
        <v/>
      </c>
      <c r="C205" t="str">
        <f>IFERROR(VLOOKUP($A205, Ledger!$B$2:$L$8, 4, 0),"")</f>
        <v/>
      </c>
      <c r="D205" t="str">
        <f>IFERROR(VLOOKUP($A205, Ledger!$B$2:$L$8, 5, 0),"")</f>
        <v/>
      </c>
      <c r="E205" t="str">
        <f>IFERROR(VLOOKUP($A205, Ledger!$B$2:$L$8, 6, 0),"")</f>
        <v/>
      </c>
      <c r="F205" t="str">
        <f>IFERROR(VLOOKUP($A205,'Student Data'!$A$2:$AR$6,32,0),"")</f>
        <v/>
      </c>
      <c r="G205" t="str">
        <f>IFERROR(VLOOKUP($A205,'Student Data'!$A$2:$AR$6,33,0),"")</f>
        <v/>
      </c>
      <c r="H205" t="str">
        <f>IFERROR(VLOOKUP($A205,'Student Data'!$A$2:$AR$6,34,0),"")</f>
        <v/>
      </c>
      <c r="I205" t="str">
        <f>IFERROR(VLOOKUP($A205,'Student Data'!$A$2:$AR$6,35,0),"")</f>
        <v/>
      </c>
      <c r="J205" t="str">
        <f>IFERROR(VLOOKUP($A205,'Student Data'!$A$2:$AR$6,36,0),"")</f>
        <v/>
      </c>
      <c r="K205" t="str">
        <f t="shared" si="6"/>
        <v/>
      </c>
      <c r="L205" t="str">
        <f t="shared" si="7"/>
        <v/>
      </c>
      <c r="M205" t="str">
        <f>IFERROR(IF($C205="","",SUMIFS(Ledger!$K$2:$K$4, Ledger!$B$2:$B$4, $A205, Ledger!$C$2:$C$4, M$2)),"****")</f>
        <v/>
      </c>
      <c r="N205" t="str">
        <f>IFERROR(IF($C205="","",SUMIFS(Ledger!$K$2:$K$4, Ledger!$B$2:$B$4, $A205, Ledger!$C$2:$C$4, N$2)),"****")</f>
        <v/>
      </c>
      <c r="O205" t="str">
        <f>IFERROR(IF($C205="","",SUMIFS(Ledger!$K$2:$K$4, Ledger!$B$2:$B$4, $A205, Ledger!$C$2:$C$4, O$2)),"****")</f>
        <v/>
      </c>
      <c r="P205" t="str">
        <f>IFERROR(IF($C205="","",SUMIFS(Ledger!$K$2:$K$4, Ledger!$B$2:$B$4, $A205, Ledger!$C$2:$C$4, P$2)),"****")</f>
        <v/>
      </c>
      <c r="Q205" t="str">
        <f>IFERROR(IF($C205="","",SUMIFS(Ledger!$K$2:$K$4, Ledger!$B$2:$B$4, $A205, Ledger!$C$2:$C$4, Q$2)),"****")</f>
        <v/>
      </c>
      <c r="R205" t="str">
        <f>IFERROR(IF($C205="","",SUMIFS(Ledger!$K$2:$K$4, Ledger!$B$2:$B$4, $A205, Ledger!$C$2:$C$4, R$2)),"****")</f>
        <v/>
      </c>
      <c r="S205" t="str">
        <f>IFERROR(IF($C205="","",SUMIFS(Ledger!$K$2:$K$4, Ledger!$B$2:$B$4, $A205, Ledger!$C$2:$C$4, S$2)),"****")</f>
        <v/>
      </c>
      <c r="T205" t="str">
        <f>IFERROR(IF($C205="","",SUMIFS(Ledger!$K$2:$K$4, Ledger!$B$2:$B$4, $A205, Ledger!$C$2:$C$4, T$2)),"****")</f>
        <v/>
      </c>
      <c r="U205" t="str">
        <f>IFERROR(IF($C205="","",SUMIFS(Ledger!$K$2:$K$4, Ledger!$B$2:$B$4, $A205, Ledger!$C$2:$C$4, U$2)),"****")</f>
        <v/>
      </c>
      <c r="V205" t="str">
        <f>IFERROR(IF($C205="","",SUMIFS(Ledger!$K$2:$K$4, Ledger!$B$2:$B$4, $A205, Ledger!$C$2:$C$4, V$2)),"****")</f>
        <v/>
      </c>
      <c r="W205" t="str">
        <f>IFERROR(IF($C205="","",SUMIFS(Ledger!$K$2:$K$4, Ledger!$B$2:$B$4, $A205, Ledger!$C$2:$C$4, W$2)),"****")</f>
        <v/>
      </c>
      <c r="X205" t="str">
        <f>IFERROR(IF($C205="","",SUMIFS(Ledger!$K$2:$K$4, Ledger!$B$2:$B$4, $A205, Ledger!$C$2:$C$4, X$2)),"****")</f>
        <v/>
      </c>
    </row>
    <row r="206" spans="1:24" x14ac:dyDescent="0.3">
      <c r="A206" s="106">
        <v>204</v>
      </c>
      <c r="B206" t="str">
        <f>IFERROR(VLOOKUP($A206, Ledger!$B$2:$L$8, 3, 0),"")</f>
        <v/>
      </c>
      <c r="C206" t="str">
        <f>IFERROR(VLOOKUP($A206, Ledger!$B$2:$L$8, 4, 0),"")</f>
        <v/>
      </c>
      <c r="D206" t="str">
        <f>IFERROR(VLOOKUP($A206, Ledger!$B$2:$L$8, 5, 0),"")</f>
        <v/>
      </c>
      <c r="E206" t="str">
        <f>IFERROR(VLOOKUP($A206, Ledger!$B$2:$L$8, 6, 0),"")</f>
        <v/>
      </c>
      <c r="F206" t="str">
        <f>IFERROR(VLOOKUP($A206,'Student Data'!$A$2:$AR$6,32,0),"")</f>
        <v/>
      </c>
      <c r="G206" t="str">
        <f>IFERROR(VLOOKUP($A206,'Student Data'!$A$2:$AR$6,33,0),"")</f>
        <v/>
      </c>
      <c r="H206" t="str">
        <f>IFERROR(VLOOKUP($A206,'Student Data'!$A$2:$AR$6,34,0),"")</f>
        <v/>
      </c>
      <c r="I206" t="str">
        <f>IFERROR(VLOOKUP($A206,'Student Data'!$A$2:$AR$6,35,0),"")</f>
        <v/>
      </c>
      <c r="J206" t="str">
        <f>IFERROR(VLOOKUP($A206,'Student Data'!$A$2:$AR$6,36,0),"")</f>
        <v/>
      </c>
      <c r="K206" t="str">
        <f t="shared" si="6"/>
        <v/>
      </c>
      <c r="L206" t="str">
        <f t="shared" si="7"/>
        <v/>
      </c>
      <c r="M206" t="str">
        <f>IFERROR(IF($C206="","",SUMIFS(Ledger!$K$2:$K$4, Ledger!$B$2:$B$4, $A206, Ledger!$C$2:$C$4, M$2)),"****")</f>
        <v/>
      </c>
      <c r="N206" t="str">
        <f>IFERROR(IF($C206="","",SUMIFS(Ledger!$K$2:$K$4, Ledger!$B$2:$B$4, $A206, Ledger!$C$2:$C$4, N$2)),"****")</f>
        <v/>
      </c>
      <c r="O206" t="str">
        <f>IFERROR(IF($C206="","",SUMIFS(Ledger!$K$2:$K$4, Ledger!$B$2:$B$4, $A206, Ledger!$C$2:$C$4, O$2)),"****")</f>
        <v/>
      </c>
      <c r="P206" t="str">
        <f>IFERROR(IF($C206="","",SUMIFS(Ledger!$K$2:$K$4, Ledger!$B$2:$B$4, $A206, Ledger!$C$2:$C$4, P$2)),"****")</f>
        <v/>
      </c>
      <c r="Q206" t="str">
        <f>IFERROR(IF($C206="","",SUMIFS(Ledger!$K$2:$K$4, Ledger!$B$2:$B$4, $A206, Ledger!$C$2:$C$4, Q$2)),"****")</f>
        <v/>
      </c>
      <c r="R206" t="str">
        <f>IFERROR(IF($C206="","",SUMIFS(Ledger!$K$2:$K$4, Ledger!$B$2:$B$4, $A206, Ledger!$C$2:$C$4, R$2)),"****")</f>
        <v/>
      </c>
      <c r="S206" t="str">
        <f>IFERROR(IF($C206="","",SUMIFS(Ledger!$K$2:$K$4, Ledger!$B$2:$B$4, $A206, Ledger!$C$2:$C$4, S$2)),"****")</f>
        <v/>
      </c>
      <c r="T206" t="str">
        <f>IFERROR(IF($C206="","",SUMIFS(Ledger!$K$2:$K$4, Ledger!$B$2:$B$4, $A206, Ledger!$C$2:$C$4, T$2)),"****")</f>
        <v/>
      </c>
      <c r="U206" t="str">
        <f>IFERROR(IF($C206="","",SUMIFS(Ledger!$K$2:$K$4, Ledger!$B$2:$B$4, $A206, Ledger!$C$2:$C$4, U$2)),"****")</f>
        <v/>
      </c>
      <c r="V206" t="str">
        <f>IFERROR(IF($C206="","",SUMIFS(Ledger!$K$2:$K$4, Ledger!$B$2:$B$4, $A206, Ledger!$C$2:$C$4, V$2)),"****")</f>
        <v/>
      </c>
      <c r="W206" t="str">
        <f>IFERROR(IF($C206="","",SUMIFS(Ledger!$K$2:$K$4, Ledger!$B$2:$B$4, $A206, Ledger!$C$2:$C$4, W$2)),"****")</f>
        <v/>
      </c>
      <c r="X206" t="str">
        <f>IFERROR(IF($C206="","",SUMIFS(Ledger!$K$2:$K$4, Ledger!$B$2:$B$4, $A206, Ledger!$C$2:$C$4, X$2)),"****")</f>
        <v/>
      </c>
    </row>
    <row r="207" spans="1:24" x14ac:dyDescent="0.3">
      <c r="A207" s="106">
        <v>205</v>
      </c>
      <c r="B207" t="str">
        <f>IFERROR(VLOOKUP($A207, Ledger!$B$2:$L$8, 3, 0),"")</f>
        <v/>
      </c>
      <c r="C207" t="str">
        <f>IFERROR(VLOOKUP($A207, Ledger!$B$2:$L$8, 4, 0),"")</f>
        <v/>
      </c>
      <c r="D207" t="str">
        <f>IFERROR(VLOOKUP($A207, Ledger!$B$2:$L$8, 5, 0),"")</f>
        <v/>
      </c>
      <c r="E207" t="str">
        <f>IFERROR(VLOOKUP($A207, Ledger!$B$2:$L$8, 6, 0),"")</f>
        <v/>
      </c>
      <c r="F207" t="str">
        <f>IFERROR(VLOOKUP($A207,'Student Data'!$A$2:$AR$6,32,0),"")</f>
        <v/>
      </c>
      <c r="G207" t="str">
        <f>IFERROR(VLOOKUP($A207,'Student Data'!$A$2:$AR$6,33,0),"")</f>
        <v/>
      </c>
      <c r="H207" t="str">
        <f>IFERROR(VLOOKUP($A207,'Student Data'!$A$2:$AR$6,34,0),"")</f>
        <v/>
      </c>
      <c r="I207" t="str">
        <f>IFERROR(VLOOKUP($A207,'Student Data'!$A$2:$AR$6,35,0),"")</f>
        <v/>
      </c>
      <c r="J207" t="str">
        <f>IFERROR(VLOOKUP($A207,'Student Data'!$A$2:$AR$6,36,0),"")</f>
        <v/>
      </c>
      <c r="K207" t="str">
        <f t="shared" si="6"/>
        <v/>
      </c>
      <c r="L207" t="str">
        <f t="shared" si="7"/>
        <v/>
      </c>
      <c r="M207" t="str">
        <f>IFERROR(IF($C207="","",SUMIFS(Ledger!$K$2:$K$4, Ledger!$B$2:$B$4, $A207, Ledger!$C$2:$C$4, M$2)),"****")</f>
        <v/>
      </c>
      <c r="N207" t="str">
        <f>IFERROR(IF($C207="","",SUMIFS(Ledger!$K$2:$K$4, Ledger!$B$2:$B$4, $A207, Ledger!$C$2:$C$4, N$2)),"****")</f>
        <v/>
      </c>
      <c r="O207" t="str">
        <f>IFERROR(IF($C207="","",SUMIFS(Ledger!$K$2:$K$4, Ledger!$B$2:$B$4, $A207, Ledger!$C$2:$C$4, O$2)),"****")</f>
        <v/>
      </c>
      <c r="P207" t="str">
        <f>IFERROR(IF($C207="","",SUMIFS(Ledger!$K$2:$K$4, Ledger!$B$2:$B$4, $A207, Ledger!$C$2:$C$4, P$2)),"****")</f>
        <v/>
      </c>
      <c r="Q207" t="str">
        <f>IFERROR(IF($C207="","",SUMIFS(Ledger!$K$2:$K$4, Ledger!$B$2:$B$4, $A207, Ledger!$C$2:$C$4, Q$2)),"****")</f>
        <v/>
      </c>
      <c r="R207" t="str">
        <f>IFERROR(IF($C207="","",SUMIFS(Ledger!$K$2:$K$4, Ledger!$B$2:$B$4, $A207, Ledger!$C$2:$C$4, R$2)),"****")</f>
        <v/>
      </c>
      <c r="S207" t="str">
        <f>IFERROR(IF($C207="","",SUMIFS(Ledger!$K$2:$K$4, Ledger!$B$2:$B$4, $A207, Ledger!$C$2:$C$4, S$2)),"****")</f>
        <v/>
      </c>
      <c r="T207" t="str">
        <f>IFERROR(IF($C207="","",SUMIFS(Ledger!$K$2:$K$4, Ledger!$B$2:$B$4, $A207, Ledger!$C$2:$C$4, T$2)),"****")</f>
        <v/>
      </c>
      <c r="U207" t="str">
        <f>IFERROR(IF($C207="","",SUMIFS(Ledger!$K$2:$K$4, Ledger!$B$2:$B$4, $A207, Ledger!$C$2:$C$4, U$2)),"****")</f>
        <v/>
      </c>
      <c r="V207" t="str">
        <f>IFERROR(IF($C207="","",SUMIFS(Ledger!$K$2:$K$4, Ledger!$B$2:$B$4, $A207, Ledger!$C$2:$C$4, V$2)),"****")</f>
        <v/>
      </c>
      <c r="W207" t="str">
        <f>IFERROR(IF($C207="","",SUMIFS(Ledger!$K$2:$K$4, Ledger!$B$2:$B$4, $A207, Ledger!$C$2:$C$4, W$2)),"****")</f>
        <v/>
      </c>
      <c r="X207" t="str">
        <f>IFERROR(IF($C207="","",SUMIFS(Ledger!$K$2:$K$4, Ledger!$B$2:$B$4, $A207, Ledger!$C$2:$C$4, X$2)),"****")</f>
        <v/>
      </c>
    </row>
    <row r="208" spans="1:24" x14ac:dyDescent="0.3">
      <c r="A208" s="106">
        <v>206</v>
      </c>
      <c r="B208" t="str">
        <f>IFERROR(VLOOKUP($A208, Ledger!$B$2:$L$8, 3, 0),"")</f>
        <v/>
      </c>
      <c r="C208" t="str">
        <f>IFERROR(VLOOKUP($A208, Ledger!$B$2:$L$8, 4, 0),"")</f>
        <v/>
      </c>
      <c r="D208" t="str">
        <f>IFERROR(VLOOKUP($A208, Ledger!$B$2:$L$8, 5, 0),"")</f>
        <v/>
      </c>
      <c r="E208" t="str">
        <f>IFERROR(VLOOKUP($A208, Ledger!$B$2:$L$8, 6, 0),"")</f>
        <v/>
      </c>
      <c r="F208" t="str">
        <f>IFERROR(VLOOKUP($A208,'Student Data'!$A$2:$AR$6,32,0),"")</f>
        <v/>
      </c>
      <c r="G208" t="str">
        <f>IFERROR(VLOOKUP($A208,'Student Data'!$A$2:$AR$6,33,0),"")</f>
        <v/>
      </c>
      <c r="H208" t="str">
        <f>IFERROR(VLOOKUP($A208,'Student Data'!$A$2:$AR$6,34,0),"")</f>
        <v/>
      </c>
      <c r="I208" t="str">
        <f>IFERROR(VLOOKUP($A208,'Student Data'!$A$2:$AR$6,35,0),"")</f>
        <v/>
      </c>
      <c r="J208" t="str">
        <f>IFERROR(VLOOKUP($A208,'Student Data'!$A$2:$AR$6,36,0),"")</f>
        <v/>
      </c>
      <c r="K208" t="str">
        <f t="shared" si="6"/>
        <v/>
      </c>
      <c r="L208" t="str">
        <f t="shared" si="7"/>
        <v/>
      </c>
      <c r="M208" t="str">
        <f>IFERROR(IF($C208="","",SUMIFS(Ledger!$K$2:$K$4, Ledger!$B$2:$B$4, $A208, Ledger!$C$2:$C$4, M$2)),"****")</f>
        <v/>
      </c>
      <c r="N208" t="str">
        <f>IFERROR(IF($C208="","",SUMIFS(Ledger!$K$2:$K$4, Ledger!$B$2:$B$4, $A208, Ledger!$C$2:$C$4, N$2)),"****")</f>
        <v/>
      </c>
      <c r="O208" t="str">
        <f>IFERROR(IF($C208="","",SUMIFS(Ledger!$K$2:$K$4, Ledger!$B$2:$B$4, $A208, Ledger!$C$2:$C$4, O$2)),"****")</f>
        <v/>
      </c>
      <c r="P208" t="str">
        <f>IFERROR(IF($C208="","",SUMIFS(Ledger!$K$2:$K$4, Ledger!$B$2:$B$4, $A208, Ledger!$C$2:$C$4, P$2)),"****")</f>
        <v/>
      </c>
      <c r="Q208" t="str">
        <f>IFERROR(IF($C208="","",SUMIFS(Ledger!$K$2:$K$4, Ledger!$B$2:$B$4, $A208, Ledger!$C$2:$C$4, Q$2)),"****")</f>
        <v/>
      </c>
      <c r="R208" t="str">
        <f>IFERROR(IF($C208="","",SUMIFS(Ledger!$K$2:$K$4, Ledger!$B$2:$B$4, $A208, Ledger!$C$2:$C$4, R$2)),"****")</f>
        <v/>
      </c>
      <c r="S208" t="str">
        <f>IFERROR(IF($C208="","",SUMIFS(Ledger!$K$2:$K$4, Ledger!$B$2:$B$4, $A208, Ledger!$C$2:$C$4, S$2)),"****")</f>
        <v/>
      </c>
      <c r="T208" t="str">
        <f>IFERROR(IF($C208="","",SUMIFS(Ledger!$K$2:$K$4, Ledger!$B$2:$B$4, $A208, Ledger!$C$2:$C$4, T$2)),"****")</f>
        <v/>
      </c>
      <c r="U208" t="str">
        <f>IFERROR(IF($C208="","",SUMIFS(Ledger!$K$2:$K$4, Ledger!$B$2:$B$4, $A208, Ledger!$C$2:$C$4, U$2)),"****")</f>
        <v/>
      </c>
      <c r="V208" t="str">
        <f>IFERROR(IF($C208="","",SUMIFS(Ledger!$K$2:$K$4, Ledger!$B$2:$B$4, $A208, Ledger!$C$2:$C$4, V$2)),"****")</f>
        <v/>
      </c>
      <c r="W208" t="str">
        <f>IFERROR(IF($C208="","",SUMIFS(Ledger!$K$2:$K$4, Ledger!$B$2:$B$4, $A208, Ledger!$C$2:$C$4, W$2)),"****")</f>
        <v/>
      </c>
      <c r="X208" t="str">
        <f>IFERROR(IF($C208="","",SUMIFS(Ledger!$K$2:$K$4, Ledger!$B$2:$B$4, $A208, Ledger!$C$2:$C$4, X$2)),"****")</f>
        <v/>
      </c>
    </row>
    <row r="209" spans="1:24" x14ac:dyDescent="0.3">
      <c r="A209" s="106">
        <v>207</v>
      </c>
      <c r="B209" t="str">
        <f>IFERROR(VLOOKUP($A209, Ledger!$B$2:$L$8, 3, 0),"")</f>
        <v/>
      </c>
      <c r="C209" t="str">
        <f>IFERROR(VLOOKUP($A209, Ledger!$B$2:$L$8, 4, 0),"")</f>
        <v/>
      </c>
      <c r="D209" t="str">
        <f>IFERROR(VLOOKUP($A209, Ledger!$B$2:$L$8, 5, 0),"")</f>
        <v/>
      </c>
      <c r="E209" t="str">
        <f>IFERROR(VLOOKUP($A209, Ledger!$B$2:$L$8, 6, 0),"")</f>
        <v/>
      </c>
      <c r="F209" t="str">
        <f>IFERROR(VLOOKUP($A209,'Student Data'!$A$2:$AR$6,32,0),"")</f>
        <v/>
      </c>
      <c r="G209" t="str">
        <f>IFERROR(VLOOKUP($A209,'Student Data'!$A$2:$AR$6,33,0),"")</f>
        <v/>
      </c>
      <c r="H209" t="str">
        <f>IFERROR(VLOOKUP($A209,'Student Data'!$A$2:$AR$6,34,0),"")</f>
        <v/>
      </c>
      <c r="I209" t="str">
        <f>IFERROR(VLOOKUP($A209,'Student Data'!$A$2:$AR$6,35,0),"")</f>
        <v/>
      </c>
      <c r="J209" t="str">
        <f>IFERROR(VLOOKUP($A209,'Student Data'!$A$2:$AR$6,36,0),"")</f>
        <v/>
      </c>
      <c r="K209" t="str">
        <f t="shared" si="6"/>
        <v/>
      </c>
      <c r="L209" t="str">
        <f t="shared" si="7"/>
        <v/>
      </c>
      <c r="M209" t="str">
        <f>IFERROR(IF($C209="","",SUMIFS(Ledger!$K$2:$K$4, Ledger!$B$2:$B$4, $A209, Ledger!$C$2:$C$4, M$2)),"****")</f>
        <v/>
      </c>
      <c r="N209" t="str">
        <f>IFERROR(IF($C209="","",SUMIFS(Ledger!$K$2:$K$4, Ledger!$B$2:$B$4, $A209, Ledger!$C$2:$C$4, N$2)),"****")</f>
        <v/>
      </c>
      <c r="O209" t="str">
        <f>IFERROR(IF($C209="","",SUMIFS(Ledger!$K$2:$K$4, Ledger!$B$2:$B$4, $A209, Ledger!$C$2:$C$4, O$2)),"****")</f>
        <v/>
      </c>
      <c r="P209" t="str">
        <f>IFERROR(IF($C209="","",SUMIFS(Ledger!$K$2:$K$4, Ledger!$B$2:$B$4, $A209, Ledger!$C$2:$C$4, P$2)),"****")</f>
        <v/>
      </c>
      <c r="Q209" t="str">
        <f>IFERROR(IF($C209="","",SUMIFS(Ledger!$K$2:$K$4, Ledger!$B$2:$B$4, $A209, Ledger!$C$2:$C$4, Q$2)),"****")</f>
        <v/>
      </c>
      <c r="R209" t="str">
        <f>IFERROR(IF($C209="","",SUMIFS(Ledger!$K$2:$K$4, Ledger!$B$2:$B$4, $A209, Ledger!$C$2:$C$4, R$2)),"****")</f>
        <v/>
      </c>
      <c r="S209" t="str">
        <f>IFERROR(IF($C209="","",SUMIFS(Ledger!$K$2:$K$4, Ledger!$B$2:$B$4, $A209, Ledger!$C$2:$C$4, S$2)),"****")</f>
        <v/>
      </c>
      <c r="T209" t="str">
        <f>IFERROR(IF($C209="","",SUMIFS(Ledger!$K$2:$K$4, Ledger!$B$2:$B$4, $A209, Ledger!$C$2:$C$4, T$2)),"****")</f>
        <v/>
      </c>
      <c r="U209" t="str">
        <f>IFERROR(IF($C209="","",SUMIFS(Ledger!$K$2:$K$4, Ledger!$B$2:$B$4, $A209, Ledger!$C$2:$C$4, U$2)),"****")</f>
        <v/>
      </c>
      <c r="V209" t="str">
        <f>IFERROR(IF($C209="","",SUMIFS(Ledger!$K$2:$K$4, Ledger!$B$2:$B$4, $A209, Ledger!$C$2:$C$4, V$2)),"****")</f>
        <v/>
      </c>
      <c r="W209" t="str">
        <f>IFERROR(IF($C209="","",SUMIFS(Ledger!$K$2:$K$4, Ledger!$B$2:$B$4, $A209, Ledger!$C$2:$C$4, W$2)),"****")</f>
        <v/>
      </c>
      <c r="X209" t="str">
        <f>IFERROR(IF($C209="","",SUMIFS(Ledger!$K$2:$K$4, Ledger!$B$2:$B$4, $A209, Ledger!$C$2:$C$4, X$2)),"****")</f>
        <v/>
      </c>
    </row>
    <row r="210" spans="1:24" x14ac:dyDescent="0.3">
      <c r="A210" s="106">
        <v>208</v>
      </c>
      <c r="B210" t="str">
        <f>IFERROR(VLOOKUP($A210, Ledger!$B$2:$L$8, 3, 0),"")</f>
        <v/>
      </c>
      <c r="C210" t="str">
        <f>IFERROR(VLOOKUP($A210, Ledger!$B$2:$L$8, 4, 0),"")</f>
        <v/>
      </c>
      <c r="D210" t="str">
        <f>IFERROR(VLOOKUP($A210, Ledger!$B$2:$L$8, 5, 0),"")</f>
        <v/>
      </c>
      <c r="E210" t="str">
        <f>IFERROR(VLOOKUP($A210, Ledger!$B$2:$L$8, 6, 0),"")</f>
        <v/>
      </c>
      <c r="F210" t="str">
        <f>IFERROR(VLOOKUP($A210,'Student Data'!$A$2:$AR$6,32,0),"")</f>
        <v/>
      </c>
      <c r="G210" t="str">
        <f>IFERROR(VLOOKUP($A210,'Student Data'!$A$2:$AR$6,33,0),"")</f>
        <v/>
      </c>
      <c r="H210" t="str">
        <f>IFERROR(VLOOKUP($A210,'Student Data'!$A$2:$AR$6,34,0),"")</f>
        <v/>
      </c>
      <c r="I210" t="str">
        <f>IFERROR(VLOOKUP($A210,'Student Data'!$A$2:$AR$6,35,0),"")</f>
        <v/>
      </c>
      <c r="J210" t="str">
        <f>IFERROR(VLOOKUP($A210,'Student Data'!$A$2:$AR$6,36,0),"")</f>
        <v/>
      </c>
      <c r="K210" t="str">
        <f t="shared" si="6"/>
        <v/>
      </c>
      <c r="L210" t="str">
        <f t="shared" si="7"/>
        <v/>
      </c>
      <c r="M210" t="str">
        <f>IFERROR(IF($C210="","",SUMIFS(Ledger!$K$2:$K$4, Ledger!$B$2:$B$4, $A210, Ledger!$C$2:$C$4, M$2)),"****")</f>
        <v/>
      </c>
      <c r="N210" t="str">
        <f>IFERROR(IF($C210="","",SUMIFS(Ledger!$K$2:$K$4, Ledger!$B$2:$B$4, $A210, Ledger!$C$2:$C$4, N$2)),"****")</f>
        <v/>
      </c>
      <c r="O210" t="str">
        <f>IFERROR(IF($C210="","",SUMIFS(Ledger!$K$2:$K$4, Ledger!$B$2:$B$4, $A210, Ledger!$C$2:$C$4, O$2)),"****")</f>
        <v/>
      </c>
      <c r="P210" t="str">
        <f>IFERROR(IF($C210="","",SUMIFS(Ledger!$K$2:$K$4, Ledger!$B$2:$B$4, $A210, Ledger!$C$2:$C$4, P$2)),"****")</f>
        <v/>
      </c>
      <c r="Q210" t="str">
        <f>IFERROR(IF($C210="","",SUMIFS(Ledger!$K$2:$K$4, Ledger!$B$2:$B$4, $A210, Ledger!$C$2:$C$4, Q$2)),"****")</f>
        <v/>
      </c>
      <c r="R210" t="str">
        <f>IFERROR(IF($C210="","",SUMIFS(Ledger!$K$2:$K$4, Ledger!$B$2:$B$4, $A210, Ledger!$C$2:$C$4, R$2)),"****")</f>
        <v/>
      </c>
      <c r="S210" t="str">
        <f>IFERROR(IF($C210="","",SUMIFS(Ledger!$K$2:$K$4, Ledger!$B$2:$B$4, $A210, Ledger!$C$2:$C$4, S$2)),"****")</f>
        <v/>
      </c>
      <c r="T210" t="str">
        <f>IFERROR(IF($C210="","",SUMIFS(Ledger!$K$2:$K$4, Ledger!$B$2:$B$4, $A210, Ledger!$C$2:$C$4, T$2)),"****")</f>
        <v/>
      </c>
      <c r="U210" t="str">
        <f>IFERROR(IF($C210="","",SUMIFS(Ledger!$K$2:$K$4, Ledger!$B$2:$B$4, $A210, Ledger!$C$2:$C$4, U$2)),"****")</f>
        <v/>
      </c>
      <c r="V210" t="str">
        <f>IFERROR(IF($C210="","",SUMIFS(Ledger!$K$2:$K$4, Ledger!$B$2:$B$4, $A210, Ledger!$C$2:$C$4, V$2)),"****")</f>
        <v/>
      </c>
      <c r="W210" t="str">
        <f>IFERROR(IF($C210="","",SUMIFS(Ledger!$K$2:$K$4, Ledger!$B$2:$B$4, $A210, Ledger!$C$2:$C$4, W$2)),"****")</f>
        <v/>
      </c>
      <c r="X210" t="str">
        <f>IFERROR(IF($C210="","",SUMIFS(Ledger!$K$2:$K$4, Ledger!$B$2:$B$4, $A210, Ledger!$C$2:$C$4, X$2)),"****")</f>
        <v/>
      </c>
    </row>
    <row r="211" spans="1:24" x14ac:dyDescent="0.3">
      <c r="A211" s="106">
        <v>209</v>
      </c>
      <c r="B211" t="str">
        <f>IFERROR(VLOOKUP($A211, Ledger!$B$2:$L$8, 3, 0),"")</f>
        <v/>
      </c>
      <c r="C211" t="str">
        <f>IFERROR(VLOOKUP($A211, Ledger!$B$2:$L$8, 4, 0),"")</f>
        <v/>
      </c>
      <c r="D211" t="str">
        <f>IFERROR(VLOOKUP($A211, Ledger!$B$2:$L$8, 5, 0),"")</f>
        <v/>
      </c>
      <c r="E211" t="str">
        <f>IFERROR(VLOOKUP($A211, Ledger!$B$2:$L$8, 6, 0),"")</f>
        <v/>
      </c>
      <c r="F211" t="str">
        <f>IFERROR(VLOOKUP($A211,'Student Data'!$A$2:$AR$6,32,0),"")</f>
        <v/>
      </c>
      <c r="G211" t="str">
        <f>IFERROR(VLOOKUP($A211,'Student Data'!$A$2:$AR$6,33,0),"")</f>
        <v/>
      </c>
      <c r="H211" t="str">
        <f>IFERROR(VLOOKUP($A211,'Student Data'!$A$2:$AR$6,34,0),"")</f>
        <v/>
      </c>
      <c r="I211" t="str">
        <f>IFERROR(VLOOKUP($A211,'Student Data'!$A$2:$AR$6,35,0),"")</f>
        <v/>
      </c>
      <c r="J211" t="str">
        <f>IFERROR(VLOOKUP($A211,'Student Data'!$A$2:$AR$6,36,0),"")</f>
        <v/>
      </c>
      <c r="K211" t="str">
        <f t="shared" si="6"/>
        <v/>
      </c>
      <c r="L211" t="str">
        <f t="shared" si="7"/>
        <v/>
      </c>
      <c r="M211" t="str">
        <f>IFERROR(IF($C211="","",SUMIFS(Ledger!$K$2:$K$4, Ledger!$B$2:$B$4, $A211, Ledger!$C$2:$C$4, M$2)),"****")</f>
        <v/>
      </c>
      <c r="N211" t="str">
        <f>IFERROR(IF($C211="","",SUMIFS(Ledger!$K$2:$K$4, Ledger!$B$2:$B$4, $A211, Ledger!$C$2:$C$4, N$2)),"****")</f>
        <v/>
      </c>
      <c r="O211" t="str">
        <f>IFERROR(IF($C211="","",SUMIFS(Ledger!$K$2:$K$4, Ledger!$B$2:$B$4, $A211, Ledger!$C$2:$C$4, O$2)),"****")</f>
        <v/>
      </c>
      <c r="P211" t="str">
        <f>IFERROR(IF($C211="","",SUMIFS(Ledger!$K$2:$K$4, Ledger!$B$2:$B$4, $A211, Ledger!$C$2:$C$4, P$2)),"****")</f>
        <v/>
      </c>
      <c r="Q211" t="str">
        <f>IFERROR(IF($C211="","",SUMIFS(Ledger!$K$2:$K$4, Ledger!$B$2:$B$4, $A211, Ledger!$C$2:$C$4, Q$2)),"****")</f>
        <v/>
      </c>
      <c r="R211" t="str">
        <f>IFERROR(IF($C211="","",SUMIFS(Ledger!$K$2:$K$4, Ledger!$B$2:$B$4, $A211, Ledger!$C$2:$C$4, R$2)),"****")</f>
        <v/>
      </c>
      <c r="S211" t="str">
        <f>IFERROR(IF($C211="","",SUMIFS(Ledger!$K$2:$K$4, Ledger!$B$2:$B$4, $A211, Ledger!$C$2:$C$4, S$2)),"****")</f>
        <v/>
      </c>
      <c r="T211" t="str">
        <f>IFERROR(IF($C211="","",SUMIFS(Ledger!$K$2:$K$4, Ledger!$B$2:$B$4, $A211, Ledger!$C$2:$C$4, T$2)),"****")</f>
        <v/>
      </c>
      <c r="U211" t="str">
        <f>IFERROR(IF($C211="","",SUMIFS(Ledger!$K$2:$K$4, Ledger!$B$2:$B$4, $A211, Ledger!$C$2:$C$4, U$2)),"****")</f>
        <v/>
      </c>
      <c r="V211" t="str">
        <f>IFERROR(IF($C211="","",SUMIFS(Ledger!$K$2:$K$4, Ledger!$B$2:$B$4, $A211, Ledger!$C$2:$C$4, V$2)),"****")</f>
        <v/>
      </c>
      <c r="W211" t="str">
        <f>IFERROR(IF($C211="","",SUMIFS(Ledger!$K$2:$K$4, Ledger!$B$2:$B$4, $A211, Ledger!$C$2:$C$4, W$2)),"****")</f>
        <v/>
      </c>
      <c r="X211" t="str">
        <f>IFERROR(IF($C211="","",SUMIFS(Ledger!$K$2:$K$4, Ledger!$B$2:$B$4, $A211, Ledger!$C$2:$C$4, X$2)),"****")</f>
        <v/>
      </c>
    </row>
    <row r="212" spans="1:24" x14ac:dyDescent="0.3">
      <c r="A212" s="106">
        <v>210</v>
      </c>
      <c r="B212" t="str">
        <f>IFERROR(VLOOKUP($A212, Ledger!$B$2:$L$8, 3, 0),"")</f>
        <v/>
      </c>
      <c r="C212" t="str">
        <f>IFERROR(VLOOKUP($A212, Ledger!$B$2:$L$8, 4, 0),"")</f>
        <v/>
      </c>
      <c r="D212" t="str">
        <f>IFERROR(VLOOKUP($A212, Ledger!$B$2:$L$8, 5, 0),"")</f>
        <v/>
      </c>
      <c r="E212" t="str">
        <f>IFERROR(VLOOKUP($A212, Ledger!$B$2:$L$8, 6, 0),"")</f>
        <v/>
      </c>
      <c r="F212" t="str">
        <f>IFERROR(VLOOKUP($A212,'Student Data'!$A$2:$AR$6,32,0),"")</f>
        <v/>
      </c>
      <c r="G212" t="str">
        <f>IFERROR(VLOOKUP($A212,'Student Data'!$A$2:$AR$6,33,0),"")</f>
        <v/>
      </c>
      <c r="H212" t="str">
        <f>IFERROR(VLOOKUP($A212,'Student Data'!$A$2:$AR$6,34,0),"")</f>
        <v/>
      </c>
      <c r="I212" t="str">
        <f>IFERROR(VLOOKUP($A212,'Student Data'!$A$2:$AR$6,35,0),"")</f>
        <v/>
      </c>
      <c r="J212" t="str">
        <f>IFERROR(VLOOKUP($A212,'Student Data'!$A$2:$AR$6,36,0),"")</f>
        <v/>
      </c>
      <c r="K212" t="str">
        <f t="shared" si="6"/>
        <v/>
      </c>
      <c r="L212" t="str">
        <f t="shared" si="7"/>
        <v/>
      </c>
      <c r="M212" t="str">
        <f>IFERROR(IF($C212="","",SUMIFS(Ledger!$K$2:$K$4, Ledger!$B$2:$B$4, $A212, Ledger!$C$2:$C$4, M$2)),"****")</f>
        <v/>
      </c>
      <c r="N212" t="str">
        <f>IFERROR(IF($C212="","",SUMIFS(Ledger!$K$2:$K$4, Ledger!$B$2:$B$4, $A212, Ledger!$C$2:$C$4, N$2)),"****")</f>
        <v/>
      </c>
      <c r="O212" t="str">
        <f>IFERROR(IF($C212="","",SUMIFS(Ledger!$K$2:$K$4, Ledger!$B$2:$B$4, $A212, Ledger!$C$2:$C$4, O$2)),"****")</f>
        <v/>
      </c>
      <c r="P212" t="str">
        <f>IFERROR(IF($C212="","",SUMIFS(Ledger!$K$2:$K$4, Ledger!$B$2:$B$4, $A212, Ledger!$C$2:$C$4, P$2)),"****")</f>
        <v/>
      </c>
      <c r="Q212" t="str">
        <f>IFERROR(IF($C212="","",SUMIFS(Ledger!$K$2:$K$4, Ledger!$B$2:$B$4, $A212, Ledger!$C$2:$C$4, Q$2)),"****")</f>
        <v/>
      </c>
      <c r="R212" t="str">
        <f>IFERROR(IF($C212="","",SUMIFS(Ledger!$K$2:$K$4, Ledger!$B$2:$B$4, $A212, Ledger!$C$2:$C$4, R$2)),"****")</f>
        <v/>
      </c>
      <c r="S212" t="str">
        <f>IFERROR(IF($C212="","",SUMIFS(Ledger!$K$2:$K$4, Ledger!$B$2:$B$4, $A212, Ledger!$C$2:$C$4, S$2)),"****")</f>
        <v/>
      </c>
      <c r="T212" t="str">
        <f>IFERROR(IF($C212="","",SUMIFS(Ledger!$K$2:$K$4, Ledger!$B$2:$B$4, $A212, Ledger!$C$2:$C$4, T$2)),"****")</f>
        <v/>
      </c>
      <c r="U212" t="str">
        <f>IFERROR(IF($C212="","",SUMIFS(Ledger!$K$2:$K$4, Ledger!$B$2:$B$4, $A212, Ledger!$C$2:$C$4, U$2)),"****")</f>
        <v/>
      </c>
      <c r="V212" t="str">
        <f>IFERROR(IF($C212="","",SUMIFS(Ledger!$K$2:$K$4, Ledger!$B$2:$B$4, $A212, Ledger!$C$2:$C$4, V$2)),"****")</f>
        <v/>
      </c>
      <c r="W212" t="str">
        <f>IFERROR(IF($C212="","",SUMIFS(Ledger!$K$2:$K$4, Ledger!$B$2:$B$4, $A212, Ledger!$C$2:$C$4, W$2)),"****")</f>
        <v/>
      </c>
      <c r="X212" t="str">
        <f>IFERROR(IF($C212="","",SUMIFS(Ledger!$K$2:$K$4, Ledger!$B$2:$B$4, $A212, Ledger!$C$2:$C$4, X$2)),"****")</f>
        <v/>
      </c>
    </row>
    <row r="213" spans="1:24" x14ac:dyDescent="0.3">
      <c r="A213" s="106">
        <v>211</v>
      </c>
      <c r="B213" t="str">
        <f>IFERROR(VLOOKUP($A213, Ledger!$B$2:$L$8, 3, 0),"")</f>
        <v/>
      </c>
      <c r="C213" t="str">
        <f>IFERROR(VLOOKUP($A213, Ledger!$B$2:$L$8, 4, 0),"")</f>
        <v/>
      </c>
      <c r="D213" t="str">
        <f>IFERROR(VLOOKUP($A213, Ledger!$B$2:$L$8, 5, 0),"")</f>
        <v/>
      </c>
      <c r="E213" t="str">
        <f>IFERROR(VLOOKUP($A213, Ledger!$B$2:$L$8, 6, 0),"")</f>
        <v/>
      </c>
      <c r="F213" t="str">
        <f>IFERROR(VLOOKUP($A213,'Student Data'!$A$2:$AR$6,32,0),"")</f>
        <v/>
      </c>
      <c r="G213" t="str">
        <f>IFERROR(VLOOKUP($A213,'Student Data'!$A$2:$AR$6,33,0),"")</f>
        <v/>
      </c>
      <c r="H213" t="str">
        <f>IFERROR(VLOOKUP($A213,'Student Data'!$A$2:$AR$6,34,0),"")</f>
        <v/>
      </c>
      <c r="I213" t="str">
        <f>IFERROR(VLOOKUP($A213,'Student Data'!$A$2:$AR$6,35,0),"")</f>
        <v/>
      </c>
      <c r="J213" t="str">
        <f>IFERROR(VLOOKUP($A213,'Student Data'!$A$2:$AR$6,36,0),"")</f>
        <v/>
      </c>
      <c r="K213" t="str">
        <f t="shared" si="6"/>
        <v/>
      </c>
      <c r="L213" t="str">
        <f t="shared" si="7"/>
        <v/>
      </c>
      <c r="M213" t="str">
        <f>IFERROR(IF($C213="","",SUMIFS(Ledger!$K$2:$K$4, Ledger!$B$2:$B$4, $A213, Ledger!$C$2:$C$4, M$2)),"****")</f>
        <v/>
      </c>
      <c r="N213" t="str">
        <f>IFERROR(IF($C213="","",SUMIFS(Ledger!$K$2:$K$4, Ledger!$B$2:$B$4, $A213, Ledger!$C$2:$C$4, N$2)),"****")</f>
        <v/>
      </c>
      <c r="O213" t="str">
        <f>IFERROR(IF($C213="","",SUMIFS(Ledger!$K$2:$K$4, Ledger!$B$2:$B$4, $A213, Ledger!$C$2:$C$4, O$2)),"****")</f>
        <v/>
      </c>
      <c r="P213" t="str">
        <f>IFERROR(IF($C213="","",SUMIFS(Ledger!$K$2:$K$4, Ledger!$B$2:$B$4, $A213, Ledger!$C$2:$C$4, P$2)),"****")</f>
        <v/>
      </c>
      <c r="Q213" t="str">
        <f>IFERROR(IF($C213="","",SUMIFS(Ledger!$K$2:$K$4, Ledger!$B$2:$B$4, $A213, Ledger!$C$2:$C$4, Q$2)),"****")</f>
        <v/>
      </c>
      <c r="R213" t="str">
        <f>IFERROR(IF($C213="","",SUMIFS(Ledger!$K$2:$K$4, Ledger!$B$2:$B$4, $A213, Ledger!$C$2:$C$4, R$2)),"****")</f>
        <v/>
      </c>
      <c r="S213" t="str">
        <f>IFERROR(IF($C213="","",SUMIFS(Ledger!$K$2:$K$4, Ledger!$B$2:$B$4, $A213, Ledger!$C$2:$C$4, S$2)),"****")</f>
        <v/>
      </c>
      <c r="T213" t="str">
        <f>IFERROR(IF($C213="","",SUMIFS(Ledger!$K$2:$K$4, Ledger!$B$2:$B$4, $A213, Ledger!$C$2:$C$4, T$2)),"****")</f>
        <v/>
      </c>
      <c r="U213" t="str">
        <f>IFERROR(IF($C213="","",SUMIFS(Ledger!$K$2:$K$4, Ledger!$B$2:$B$4, $A213, Ledger!$C$2:$C$4, U$2)),"****")</f>
        <v/>
      </c>
      <c r="V213" t="str">
        <f>IFERROR(IF($C213="","",SUMIFS(Ledger!$K$2:$K$4, Ledger!$B$2:$B$4, $A213, Ledger!$C$2:$C$4, V$2)),"****")</f>
        <v/>
      </c>
      <c r="W213" t="str">
        <f>IFERROR(IF($C213="","",SUMIFS(Ledger!$K$2:$K$4, Ledger!$B$2:$B$4, $A213, Ledger!$C$2:$C$4, W$2)),"****")</f>
        <v/>
      </c>
      <c r="X213" t="str">
        <f>IFERROR(IF($C213="","",SUMIFS(Ledger!$K$2:$K$4, Ledger!$B$2:$B$4, $A213, Ledger!$C$2:$C$4, X$2)),"****")</f>
        <v/>
      </c>
    </row>
    <row r="214" spans="1:24" x14ac:dyDescent="0.3">
      <c r="A214" s="106">
        <v>212</v>
      </c>
      <c r="B214" t="str">
        <f>IFERROR(VLOOKUP($A214, Ledger!$B$2:$L$8, 3, 0),"")</f>
        <v/>
      </c>
      <c r="C214" t="str">
        <f>IFERROR(VLOOKUP($A214, Ledger!$B$2:$L$8, 4, 0),"")</f>
        <v/>
      </c>
      <c r="D214" t="str">
        <f>IFERROR(VLOOKUP($A214, Ledger!$B$2:$L$8, 5, 0),"")</f>
        <v/>
      </c>
      <c r="E214" t="str">
        <f>IFERROR(VLOOKUP($A214, Ledger!$B$2:$L$8, 6, 0),"")</f>
        <v/>
      </c>
      <c r="F214" t="str">
        <f>IFERROR(VLOOKUP($A214,'Student Data'!$A$2:$AR$6,32,0),"")</f>
        <v/>
      </c>
      <c r="G214" t="str">
        <f>IFERROR(VLOOKUP($A214,'Student Data'!$A$2:$AR$6,33,0),"")</f>
        <v/>
      </c>
      <c r="H214" t="str">
        <f>IFERROR(VLOOKUP($A214,'Student Data'!$A$2:$AR$6,34,0),"")</f>
        <v/>
      </c>
      <c r="I214" t="str">
        <f>IFERROR(VLOOKUP($A214,'Student Data'!$A$2:$AR$6,35,0),"")</f>
        <v/>
      </c>
      <c r="J214" t="str">
        <f>IFERROR(VLOOKUP($A214,'Student Data'!$A$2:$AR$6,36,0),"")</f>
        <v/>
      </c>
      <c r="K214" t="str">
        <f t="shared" si="6"/>
        <v/>
      </c>
      <c r="L214" t="str">
        <f t="shared" si="7"/>
        <v/>
      </c>
      <c r="M214" t="str">
        <f>IFERROR(IF($C214="","",SUMIFS(Ledger!$K$2:$K$4, Ledger!$B$2:$B$4, $A214, Ledger!$C$2:$C$4, M$2)),"****")</f>
        <v/>
      </c>
      <c r="N214" t="str">
        <f>IFERROR(IF($C214="","",SUMIFS(Ledger!$K$2:$K$4, Ledger!$B$2:$B$4, $A214, Ledger!$C$2:$C$4, N$2)),"****")</f>
        <v/>
      </c>
      <c r="O214" t="str">
        <f>IFERROR(IF($C214="","",SUMIFS(Ledger!$K$2:$K$4, Ledger!$B$2:$B$4, $A214, Ledger!$C$2:$C$4, O$2)),"****")</f>
        <v/>
      </c>
      <c r="P214" t="str">
        <f>IFERROR(IF($C214="","",SUMIFS(Ledger!$K$2:$K$4, Ledger!$B$2:$B$4, $A214, Ledger!$C$2:$C$4, P$2)),"****")</f>
        <v/>
      </c>
      <c r="Q214" t="str">
        <f>IFERROR(IF($C214="","",SUMIFS(Ledger!$K$2:$K$4, Ledger!$B$2:$B$4, $A214, Ledger!$C$2:$C$4, Q$2)),"****")</f>
        <v/>
      </c>
      <c r="R214" t="str">
        <f>IFERROR(IF($C214="","",SUMIFS(Ledger!$K$2:$K$4, Ledger!$B$2:$B$4, $A214, Ledger!$C$2:$C$4, R$2)),"****")</f>
        <v/>
      </c>
      <c r="S214" t="str">
        <f>IFERROR(IF($C214="","",SUMIFS(Ledger!$K$2:$K$4, Ledger!$B$2:$B$4, $A214, Ledger!$C$2:$C$4, S$2)),"****")</f>
        <v/>
      </c>
      <c r="T214" t="str">
        <f>IFERROR(IF($C214="","",SUMIFS(Ledger!$K$2:$K$4, Ledger!$B$2:$B$4, $A214, Ledger!$C$2:$C$4, T$2)),"****")</f>
        <v/>
      </c>
      <c r="U214" t="str">
        <f>IFERROR(IF($C214="","",SUMIFS(Ledger!$K$2:$K$4, Ledger!$B$2:$B$4, $A214, Ledger!$C$2:$C$4, U$2)),"****")</f>
        <v/>
      </c>
      <c r="V214" t="str">
        <f>IFERROR(IF($C214="","",SUMIFS(Ledger!$K$2:$K$4, Ledger!$B$2:$B$4, $A214, Ledger!$C$2:$C$4, V$2)),"****")</f>
        <v/>
      </c>
      <c r="W214" t="str">
        <f>IFERROR(IF($C214="","",SUMIFS(Ledger!$K$2:$K$4, Ledger!$B$2:$B$4, $A214, Ledger!$C$2:$C$4, W$2)),"****")</f>
        <v/>
      </c>
      <c r="X214" t="str">
        <f>IFERROR(IF($C214="","",SUMIFS(Ledger!$K$2:$K$4, Ledger!$B$2:$B$4, $A214, Ledger!$C$2:$C$4, X$2)),"****")</f>
        <v/>
      </c>
    </row>
    <row r="215" spans="1:24" x14ac:dyDescent="0.3">
      <c r="A215" s="106">
        <v>213</v>
      </c>
      <c r="B215" t="str">
        <f>IFERROR(VLOOKUP($A215, Ledger!$B$2:$L$8, 3, 0),"")</f>
        <v/>
      </c>
      <c r="C215" t="str">
        <f>IFERROR(VLOOKUP($A215, Ledger!$B$2:$L$8, 4, 0),"")</f>
        <v/>
      </c>
      <c r="D215" t="str">
        <f>IFERROR(VLOOKUP($A215, Ledger!$B$2:$L$8, 5, 0),"")</f>
        <v/>
      </c>
      <c r="E215" t="str">
        <f>IFERROR(VLOOKUP($A215, Ledger!$B$2:$L$8, 6, 0),"")</f>
        <v/>
      </c>
      <c r="F215" t="str">
        <f>IFERROR(VLOOKUP($A215,'Student Data'!$A$2:$AR$6,32,0),"")</f>
        <v/>
      </c>
      <c r="G215" t="str">
        <f>IFERROR(VLOOKUP($A215,'Student Data'!$A$2:$AR$6,33,0),"")</f>
        <v/>
      </c>
      <c r="H215" t="str">
        <f>IFERROR(VLOOKUP($A215,'Student Data'!$A$2:$AR$6,34,0),"")</f>
        <v/>
      </c>
      <c r="I215" t="str">
        <f>IFERROR(VLOOKUP($A215,'Student Data'!$A$2:$AR$6,35,0),"")</f>
        <v/>
      </c>
      <c r="J215" t="str">
        <f>IFERROR(VLOOKUP($A215,'Student Data'!$A$2:$AR$6,36,0),"")</f>
        <v/>
      </c>
      <c r="K215" t="str">
        <f t="shared" si="6"/>
        <v/>
      </c>
      <c r="L215" t="str">
        <f t="shared" si="7"/>
        <v/>
      </c>
      <c r="M215" t="str">
        <f>IFERROR(IF($C215="","",SUMIFS(Ledger!$K$2:$K$4, Ledger!$B$2:$B$4, $A215, Ledger!$C$2:$C$4, M$2)),"****")</f>
        <v/>
      </c>
      <c r="N215" t="str">
        <f>IFERROR(IF($C215="","",SUMIFS(Ledger!$K$2:$K$4, Ledger!$B$2:$B$4, $A215, Ledger!$C$2:$C$4, N$2)),"****")</f>
        <v/>
      </c>
      <c r="O215" t="str">
        <f>IFERROR(IF($C215="","",SUMIFS(Ledger!$K$2:$K$4, Ledger!$B$2:$B$4, $A215, Ledger!$C$2:$C$4, O$2)),"****")</f>
        <v/>
      </c>
      <c r="P215" t="str">
        <f>IFERROR(IF($C215="","",SUMIFS(Ledger!$K$2:$K$4, Ledger!$B$2:$B$4, $A215, Ledger!$C$2:$C$4, P$2)),"****")</f>
        <v/>
      </c>
      <c r="Q215" t="str">
        <f>IFERROR(IF($C215="","",SUMIFS(Ledger!$K$2:$K$4, Ledger!$B$2:$B$4, $A215, Ledger!$C$2:$C$4, Q$2)),"****")</f>
        <v/>
      </c>
      <c r="R215" t="str">
        <f>IFERROR(IF($C215="","",SUMIFS(Ledger!$K$2:$K$4, Ledger!$B$2:$B$4, $A215, Ledger!$C$2:$C$4, R$2)),"****")</f>
        <v/>
      </c>
      <c r="S215" t="str">
        <f>IFERROR(IF($C215="","",SUMIFS(Ledger!$K$2:$K$4, Ledger!$B$2:$B$4, $A215, Ledger!$C$2:$C$4, S$2)),"****")</f>
        <v/>
      </c>
      <c r="T215" t="str">
        <f>IFERROR(IF($C215="","",SUMIFS(Ledger!$K$2:$K$4, Ledger!$B$2:$B$4, $A215, Ledger!$C$2:$C$4, T$2)),"****")</f>
        <v/>
      </c>
      <c r="U215" t="str">
        <f>IFERROR(IF($C215="","",SUMIFS(Ledger!$K$2:$K$4, Ledger!$B$2:$B$4, $A215, Ledger!$C$2:$C$4, U$2)),"****")</f>
        <v/>
      </c>
      <c r="V215" t="str">
        <f>IFERROR(IF($C215="","",SUMIFS(Ledger!$K$2:$K$4, Ledger!$B$2:$B$4, $A215, Ledger!$C$2:$C$4, V$2)),"****")</f>
        <v/>
      </c>
      <c r="W215" t="str">
        <f>IFERROR(IF($C215="","",SUMIFS(Ledger!$K$2:$K$4, Ledger!$B$2:$B$4, $A215, Ledger!$C$2:$C$4, W$2)),"****")</f>
        <v/>
      </c>
      <c r="X215" t="str">
        <f>IFERROR(IF($C215="","",SUMIFS(Ledger!$K$2:$K$4, Ledger!$B$2:$B$4, $A215, Ledger!$C$2:$C$4, X$2)),"****")</f>
        <v/>
      </c>
    </row>
    <row r="216" spans="1:24" x14ac:dyDescent="0.3">
      <c r="A216" s="106">
        <v>214</v>
      </c>
      <c r="B216" t="str">
        <f>IFERROR(VLOOKUP($A216, Ledger!$B$2:$L$8, 3, 0),"")</f>
        <v/>
      </c>
      <c r="C216" t="str">
        <f>IFERROR(VLOOKUP($A216, Ledger!$B$2:$L$8, 4, 0),"")</f>
        <v/>
      </c>
      <c r="D216" t="str">
        <f>IFERROR(VLOOKUP($A216, Ledger!$B$2:$L$8, 5, 0),"")</f>
        <v/>
      </c>
      <c r="E216" t="str">
        <f>IFERROR(VLOOKUP($A216, Ledger!$B$2:$L$8, 6, 0),"")</f>
        <v/>
      </c>
      <c r="F216" t="str">
        <f>IFERROR(VLOOKUP($A216,'Student Data'!$A$2:$AR$6,32,0),"")</f>
        <v/>
      </c>
      <c r="G216" t="str">
        <f>IFERROR(VLOOKUP($A216,'Student Data'!$A$2:$AR$6,33,0),"")</f>
        <v/>
      </c>
      <c r="H216" t="str">
        <f>IFERROR(VLOOKUP($A216,'Student Data'!$A$2:$AR$6,34,0),"")</f>
        <v/>
      </c>
      <c r="I216" t="str">
        <f>IFERROR(VLOOKUP($A216,'Student Data'!$A$2:$AR$6,35,0),"")</f>
        <v/>
      </c>
      <c r="J216" t="str">
        <f>IFERROR(VLOOKUP($A216,'Student Data'!$A$2:$AR$6,36,0),"")</f>
        <v/>
      </c>
      <c r="K216" t="str">
        <f t="shared" si="6"/>
        <v/>
      </c>
      <c r="L216" t="str">
        <f t="shared" si="7"/>
        <v/>
      </c>
      <c r="M216" t="str">
        <f>IFERROR(IF($C216="","",SUMIFS(Ledger!$K$2:$K$4, Ledger!$B$2:$B$4, $A216, Ledger!$C$2:$C$4, M$2)),"****")</f>
        <v/>
      </c>
      <c r="N216" t="str">
        <f>IFERROR(IF($C216="","",SUMIFS(Ledger!$K$2:$K$4, Ledger!$B$2:$B$4, $A216, Ledger!$C$2:$C$4, N$2)),"****")</f>
        <v/>
      </c>
      <c r="O216" t="str">
        <f>IFERROR(IF($C216="","",SUMIFS(Ledger!$K$2:$K$4, Ledger!$B$2:$B$4, $A216, Ledger!$C$2:$C$4, O$2)),"****")</f>
        <v/>
      </c>
      <c r="P216" t="str">
        <f>IFERROR(IF($C216="","",SUMIFS(Ledger!$K$2:$K$4, Ledger!$B$2:$B$4, $A216, Ledger!$C$2:$C$4, P$2)),"****")</f>
        <v/>
      </c>
      <c r="Q216" t="str">
        <f>IFERROR(IF($C216="","",SUMIFS(Ledger!$K$2:$K$4, Ledger!$B$2:$B$4, $A216, Ledger!$C$2:$C$4, Q$2)),"****")</f>
        <v/>
      </c>
      <c r="R216" t="str">
        <f>IFERROR(IF($C216="","",SUMIFS(Ledger!$K$2:$K$4, Ledger!$B$2:$B$4, $A216, Ledger!$C$2:$C$4, R$2)),"****")</f>
        <v/>
      </c>
      <c r="S216" t="str">
        <f>IFERROR(IF($C216="","",SUMIFS(Ledger!$K$2:$K$4, Ledger!$B$2:$B$4, $A216, Ledger!$C$2:$C$4, S$2)),"****")</f>
        <v/>
      </c>
      <c r="T216" t="str">
        <f>IFERROR(IF($C216="","",SUMIFS(Ledger!$K$2:$K$4, Ledger!$B$2:$B$4, $A216, Ledger!$C$2:$C$4, T$2)),"****")</f>
        <v/>
      </c>
      <c r="U216" t="str">
        <f>IFERROR(IF($C216="","",SUMIFS(Ledger!$K$2:$K$4, Ledger!$B$2:$B$4, $A216, Ledger!$C$2:$C$4, U$2)),"****")</f>
        <v/>
      </c>
      <c r="V216" t="str">
        <f>IFERROR(IF($C216="","",SUMIFS(Ledger!$K$2:$K$4, Ledger!$B$2:$B$4, $A216, Ledger!$C$2:$C$4, V$2)),"****")</f>
        <v/>
      </c>
      <c r="W216" t="str">
        <f>IFERROR(IF($C216="","",SUMIFS(Ledger!$K$2:$K$4, Ledger!$B$2:$B$4, $A216, Ledger!$C$2:$C$4, W$2)),"****")</f>
        <v/>
      </c>
      <c r="X216" t="str">
        <f>IFERROR(IF($C216="","",SUMIFS(Ledger!$K$2:$K$4, Ledger!$B$2:$B$4, $A216, Ledger!$C$2:$C$4, X$2)),"****")</f>
        <v/>
      </c>
    </row>
    <row r="217" spans="1:24" x14ac:dyDescent="0.3">
      <c r="A217" s="106">
        <v>215</v>
      </c>
      <c r="B217" t="str">
        <f>IFERROR(VLOOKUP($A217, Ledger!$B$2:$L$8, 3, 0),"")</f>
        <v/>
      </c>
      <c r="C217" t="str">
        <f>IFERROR(VLOOKUP($A217, Ledger!$B$2:$L$8, 4, 0),"")</f>
        <v/>
      </c>
      <c r="D217" t="str">
        <f>IFERROR(VLOOKUP($A217, Ledger!$B$2:$L$8, 5, 0),"")</f>
        <v/>
      </c>
      <c r="E217" t="str">
        <f>IFERROR(VLOOKUP($A217, Ledger!$B$2:$L$8, 6, 0),"")</f>
        <v/>
      </c>
      <c r="F217" t="str">
        <f>IFERROR(VLOOKUP($A217,'Student Data'!$A$2:$AR$6,32,0),"")</f>
        <v/>
      </c>
      <c r="G217" t="str">
        <f>IFERROR(VLOOKUP($A217,'Student Data'!$A$2:$AR$6,33,0),"")</f>
        <v/>
      </c>
      <c r="H217" t="str">
        <f>IFERROR(VLOOKUP($A217,'Student Data'!$A$2:$AR$6,34,0),"")</f>
        <v/>
      </c>
      <c r="I217" t="str">
        <f>IFERROR(VLOOKUP($A217,'Student Data'!$A$2:$AR$6,35,0),"")</f>
        <v/>
      </c>
      <c r="J217" t="str">
        <f>IFERROR(VLOOKUP($A217,'Student Data'!$A$2:$AR$6,36,0),"")</f>
        <v/>
      </c>
      <c r="K217" t="str">
        <f t="shared" si="6"/>
        <v/>
      </c>
      <c r="L217" t="str">
        <f t="shared" si="7"/>
        <v/>
      </c>
      <c r="M217" t="str">
        <f>IFERROR(IF($C217="","",SUMIFS(Ledger!$K$2:$K$4, Ledger!$B$2:$B$4, $A217, Ledger!$C$2:$C$4, M$2)),"****")</f>
        <v/>
      </c>
      <c r="N217" t="str">
        <f>IFERROR(IF($C217="","",SUMIFS(Ledger!$K$2:$K$4, Ledger!$B$2:$B$4, $A217, Ledger!$C$2:$C$4, N$2)),"****")</f>
        <v/>
      </c>
      <c r="O217" t="str">
        <f>IFERROR(IF($C217="","",SUMIFS(Ledger!$K$2:$K$4, Ledger!$B$2:$B$4, $A217, Ledger!$C$2:$C$4, O$2)),"****")</f>
        <v/>
      </c>
      <c r="P217" t="str">
        <f>IFERROR(IF($C217="","",SUMIFS(Ledger!$K$2:$K$4, Ledger!$B$2:$B$4, $A217, Ledger!$C$2:$C$4, P$2)),"****")</f>
        <v/>
      </c>
      <c r="Q217" t="str">
        <f>IFERROR(IF($C217="","",SUMIFS(Ledger!$K$2:$K$4, Ledger!$B$2:$B$4, $A217, Ledger!$C$2:$C$4, Q$2)),"****")</f>
        <v/>
      </c>
      <c r="R217" t="str">
        <f>IFERROR(IF($C217="","",SUMIFS(Ledger!$K$2:$K$4, Ledger!$B$2:$B$4, $A217, Ledger!$C$2:$C$4, R$2)),"****")</f>
        <v/>
      </c>
      <c r="S217" t="str">
        <f>IFERROR(IF($C217="","",SUMIFS(Ledger!$K$2:$K$4, Ledger!$B$2:$B$4, $A217, Ledger!$C$2:$C$4, S$2)),"****")</f>
        <v/>
      </c>
      <c r="T217" t="str">
        <f>IFERROR(IF($C217="","",SUMIFS(Ledger!$K$2:$K$4, Ledger!$B$2:$B$4, $A217, Ledger!$C$2:$C$4, T$2)),"****")</f>
        <v/>
      </c>
      <c r="U217" t="str">
        <f>IFERROR(IF($C217="","",SUMIFS(Ledger!$K$2:$K$4, Ledger!$B$2:$B$4, $A217, Ledger!$C$2:$C$4, U$2)),"****")</f>
        <v/>
      </c>
      <c r="V217" t="str">
        <f>IFERROR(IF($C217="","",SUMIFS(Ledger!$K$2:$K$4, Ledger!$B$2:$B$4, $A217, Ledger!$C$2:$C$4, V$2)),"****")</f>
        <v/>
      </c>
      <c r="W217" t="str">
        <f>IFERROR(IF($C217="","",SUMIFS(Ledger!$K$2:$K$4, Ledger!$B$2:$B$4, $A217, Ledger!$C$2:$C$4, W$2)),"****")</f>
        <v/>
      </c>
      <c r="X217" t="str">
        <f>IFERROR(IF($C217="","",SUMIFS(Ledger!$K$2:$K$4, Ledger!$B$2:$B$4, $A217, Ledger!$C$2:$C$4, X$2)),"****")</f>
        <v/>
      </c>
    </row>
    <row r="218" spans="1:24" x14ac:dyDescent="0.3">
      <c r="A218" s="106">
        <v>216</v>
      </c>
      <c r="B218" t="str">
        <f>IFERROR(VLOOKUP($A218, Ledger!$B$2:$L$8, 3, 0),"")</f>
        <v/>
      </c>
      <c r="C218" t="str">
        <f>IFERROR(VLOOKUP($A218, Ledger!$B$2:$L$8, 4, 0),"")</f>
        <v/>
      </c>
      <c r="D218" t="str">
        <f>IFERROR(VLOOKUP($A218, Ledger!$B$2:$L$8, 5, 0),"")</f>
        <v/>
      </c>
      <c r="E218" t="str">
        <f>IFERROR(VLOOKUP($A218, Ledger!$B$2:$L$8, 6, 0),"")</f>
        <v/>
      </c>
      <c r="F218" t="str">
        <f>IFERROR(VLOOKUP($A218,'Student Data'!$A$2:$AR$6,32,0),"")</f>
        <v/>
      </c>
      <c r="G218" t="str">
        <f>IFERROR(VLOOKUP($A218,'Student Data'!$A$2:$AR$6,33,0),"")</f>
        <v/>
      </c>
      <c r="H218" t="str">
        <f>IFERROR(VLOOKUP($A218,'Student Data'!$A$2:$AR$6,34,0),"")</f>
        <v/>
      </c>
      <c r="I218" t="str">
        <f>IFERROR(VLOOKUP($A218,'Student Data'!$A$2:$AR$6,35,0),"")</f>
        <v/>
      </c>
      <c r="J218" t="str">
        <f>IFERROR(VLOOKUP($A218,'Student Data'!$A$2:$AR$6,36,0),"")</f>
        <v/>
      </c>
      <c r="K218" t="str">
        <f t="shared" si="6"/>
        <v/>
      </c>
      <c r="L218" t="str">
        <f t="shared" si="7"/>
        <v/>
      </c>
      <c r="M218" t="str">
        <f>IFERROR(IF($C218="","",SUMIFS(Ledger!$K$2:$K$4, Ledger!$B$2:$B$4, $A218, Ledger!$C$2:$C$4, M$2)),"****")</f>
        <v/>
      </c>
      <c r="N218" t="str">
        <f>IFERROR(IF($C218="","",SUMIFS(Ledger!$K$2:$K$4, Ledger!$B$2:$B$4, $A218, Ledger!$C$2:$C$4, N$2)),"****")</f>
        <v/>
      </c>
      <c r="O218" t="str">
        <f>IFERROR(IF($C218="","",SUMIFS(Ledger!$K$2:$K$4, Ledger!$B$2:$B$4, $A218, Ledger!$C$2:$C$4, O$2)),"****")</f>
        <v/>
      </c>
      <c r="P218" t="str">
        <f>IFERROR(IF($C218="","",SUMIFS(Ledger!$K$2:$K$4, Ledger!$B$2:$B$4, $A218, Ledger!$C$2:$C$4, P$2)),"****")</f>
        <v/>
      </c>
      <c r="Q218" t="str">
        <f>IFERROR(IF($C218="","",SUMIFS(Ledger!$K$2:$K$4, Ledger!$B$2:$B$4, $A218, Ledger!$C$2:$C$4, Q$2)),"****")</f>
        <v/>
      </c>
      <c r="R218" t="str">
        <f>IFERROR(IF($C218="","",SUMIFS(Ledger!$K$2:$K$4, Ledger!$B$2:$B$4, $A218, Ledger!$C$2:$C$4, R$2)),"****")</f>
        <v/>
      </c>
      <c r="S218" t="str">
        <f>IFERROR(IF($C218="","",SUMIFS(Ledger!$K$2:$K$4, Ledger!$B$2:$B$4, $A218, Ledger!$C$2:$C$4, S$2)),"****")</f>
        <v/>
      </c>
      <c r="T218" t="str">
        <f>IFERROR(IF($C218="","",SUMIFS(Ledger!$K$2:$K$4, Ledger!$B$2:$B$4, $A218, Ledger!$C$2:$C$4, T$2)),"****")</f>
        <v/>
      </c>
      <c r="U218" t="str">
        <f>IFERROR(IF($C218="","",SUMIFS(Ledger!$K$2:$K$4, Ledger!$B$2:$B$4, $A218, Ledger!$C$2:$C$4, U$2)),"****")</f>
        <v/>
      </c>
      <c r="V218" t="str">
        <f>IFERROR(IF($C218="","",SUMIFS(Ledger!$K$2:$K$4, Ledger!$B$2:$B$4, $A218, Ledger!$C$2:$C$4, V$2)),"****")</f>
        <v/>
      </c>
      <c r="W218" t="str">
        <f>IFERROR(IF($C218="","",SUMIFS(Ledger!$K$2:$K$4, Ledger!$B$2:$B$4, $A218, Ledger!$C$2:$C$4, W$2)),"****")</f>
        <v/>
      </c>
      <c r="X218" t="str">
        <f>IFERROR(IF($C218="","",SUMIFS(Ledger!$K$2:$K$4, Ledger!$B$2:$B$4, $A218, Ledger!$C$2:$C$4, X$2)),"****")</f>
        <v/>
      </c>
    </row>
    <row r="219" spans="1:24" x14ac:dyDescent="0.3">
      <c r="A219" s="106">
        <v>217</v>
      </c>
      <c r="B219" t="str">
        <f>IFERROR(VLOOKUP($A219, Ledger!$B$2:$L$8, 3, 0),"")</f>
        <v/>
      </c>
      <c r="C219" t="str">
        <f>IFERROR(VLOOKUP($A219, Ledger!$B$2:$L$8, 4, 0),"")</f>
        <v/>
      </c>
      <c r="D219" t="str">
        <f>IFERROR(VLOOKUP($A219, Ledger!$B$2:$L$8, 5, 0),"")</f>
        <v/>
      </c>
      <c r="E219" t="str">
        <f>IFERROR(VLOOKUP($A219, Ledger!$B$2:$L$8, 6, 0),"")</f>
        <v/>
      </c>
      <c r="F219" t="str">
        <f>IFERROR(VLOOKUP($A219,'Student Data'!$A$2:$AR$6,32,0),"")</f>
        <v/>
      </c>
      <c r="G219" t="str">
        <f>IFERROR(VLOOKUP($A219,'Student Data'!$A$2:$AR$6,33,0),"")</f>
        <v/>
      </c>
      <c r="H219" t="str">
        <f>IFERROR(VLOOKUP($A219,'Student Data'!$A$2:$AR$6,34,0),"")</f>
        <v/>
      </c>
      <c r="I219" t="str">
        <f>IFERROR(VLOOKUP($A219,'Student Data'!$A$2:$AR$6,35,0),"")</f>
        <v/>
      </c>
      <c r="J219" t="str">
        <f>IFERROR(VLOOKUP($A219,'Student Data'!$A$2:$AR$6,36,0),"")</f>
        <v/>
      </c>
      <c r="K219" t="str">
        <f t="shared" si="6"/>
        <v/>
      </c>
      <c r="L219" t="str">
        <f t="shared" si="7"/>
        <v/>
      </c>
      <c r="M219" t="str">
        <f>IFERROR(IF($C219="","",SUMIFS(Ledger!$K$2:$K$4, Ledger!$B$2:$B$4, $A219, Ledger!$C$2:$C$4, M$2)),"****")</f>
        <v/>
      </c>
      <c r="N219" t="str">
        <f>IFERROR(IF($C219="","",SUMIFS(Ledger!$K$2:$K$4, Ledger!$B$2:$B$4, $A219, Ledger!$C$2:$C$4, N$2)),"****")</f>
        <v/>
      </c>
      <c r="O219" t="str">
        <f>IFERROR(IF($C219="","",SUMIFS(Ledger!$K$2:$K$4, Ledger!$B$2:$B$4, $A219, Ledger!$C$2:$C$4, O$2)),"****")</f>
        <v/>
      </c>
      <c r="P219" t="str">
        <f>IFERROR(IF($C219="","",SUMIFS(Ledger!$K$2:$K$4, Ledger!$B$2:$B$4, $A219, Ledger!$C$2:$C$4, P$2)),"****")</f>
        <v/>
      </c>
      <c r="Q219" t="str">
        <f>IFERROR(IF($C219="","",SUMIFS(Ledger!$K$2:$K$4, Ledger!$B$2:$B$4, $A219, Ledger!$C$2:$C$4, Q$2)),"****")</f>
        <v/>
      </c>
      <c r="R219" t="str">
        <f>IFERROR(IF($C219="","",SUMIFS(Ledger!$K$2:$K$4, Ledger!$B$2:$B$4, $A219, Ledger!$C$2:$C$4, R$2)),"****")</f>
        <v/>
      </c>
      <c r="S219" t="str">
        <f>IFERROR(IF($C219="","",SUMIFS(Ledger!$K$2:$K$4, Ledger!$B$2:$B$4, $A219, Ledger!$C$2:$C$4, S$2)),"****")</f>
        <v/>
      </c>
      <c r="T219" t="str">
        <f>IFERROR(IF($C219="","",SUMIFS(Ledger!$K$2:$K$4, Ledger!$B$2:$B$4, $A219, Ledger!$C$2:$C$4, T$2)),"****")</f>
        <v/>
      </c>
      <c r="U219" t="str">
        <f>IFERROR(IF($C219="","",SUMIFS(Ledger!$K$2:$K$4, Ledger!$B$2:$B$4, $A219, Ledger!$C$2:$C$4, U$2)),"****")</f>
        <v/>
      </c>
      <c r="V219" t="str">
        <f>IFERROR(IF($C219="","",SUMIFS(Ledger!$K$2:$K$4, Ledger!$B$2:$B$4, $A219, Ledger!$C$2:$C$4, V$2)),"****")</f>
        <v/>
      </c>
      <c r="W219" t="str">
        <f>IFERROR(IF($C219="","",SUMIFS(Ledger!$K$2:$K$4, Ledger!$B$2:$B$4, $A219, Ledger!$C$2:$C$4, W$2)),"****")</f>
        <v/>
      </c>
      <c r="X219" t="str">
        <f>IFERROR(IF($C219="","",SUMIFS(Ledger!$K$2:$K$4, Ledger!$B$2:$B$4, $A219, Ledger!$C$2:$C$4, X$2)),"****")</f>
        <v/>
      </c>
    </row>
    <row r="220" spans="1:24" x14ac:dyDescent="0.3">
      <c r="A220" s="106">
        <v>218</v>
      </c>
      <c r="B220" t="str">
        <f>IFERROR(VLOOKUP($A220, Ledger!$B$2:$L$8, 3, 0),"")</f>
        <v/>
      </c>
      <c r="C220" t="str">
        <f>IFERROR(VLOOKUP($A220, Ledger!$B$2:$L$8, 4, 0),"")</f>
        <v/>
      </c>
      <c r="D220" t="str">
        <f>IFERROR(VLOOKUP($A220, Ledger!$B$2:$L$8, 5, 0),"")</f>
        <v/>
      </c>
      <c r="E220" t="str">
        <f>IFERROR(VLOOKUP($A220, Ledger!$B$2:$L$8, 6, 0),"")</f>
        <v/>
      </c>
      <c r="F220" t="str">
        <f>IFERROR(VLOOKUP($A220,'Student Data'!$A$2:$AR$6,32,0),"")</f>
        <v/>
      </c>
      <c r="G220" t="str">
        <f>IFERROR(VLOOKUP($A220,'Student Data'!$A$2:$AR$6,33,0),"")</f>
        <v/>
      </c>
      <c r="H220" t="str">
        <f>IFERROR(VLOOKUP($A220,'Student Data'!$A$2:$AR$6,34,0),"")</f>
        <v/>
      </c>
      <c r="I220" t="str">
        <f>IFERROR(VLOOKUP($A220,'Student Data'!$A$2:$AR$6,35,0),"")</f>
        <v/>
      </c>
      <c r="J220" t="str">
        <f>IFERROR(VLOOKUP($A220,'Student Data'!$A$2:$AR$6,36,0),"")</f>
        <v/>
      </c>
      <c r="K220" t="str">
        <f t="shared" si="6"/>
        <v/>
      </c>
      <c r="L220" t="str">
        <f t="shared" si="7"/>
        <v/>
      </c>
      <c r="M220" t="str">
        <f>IFERROR(IF($C220="","",SUMIFS(Ledger!$K$2:$K$4, Ledger!$B$2:$B$4, $A220, Ledger!$C$2:$C$4, M$2)),"****")</f>
        <v/>
      </c>
      <c r="N220" t="str">
        <f>IFERROR(IF($C220="","",SUMIFS(Ledger!$K$2:$K$4, Ledger!$B$2:$B$4, $A220, Ledger!$C$2:$C$4, N$2)),"****")</f>
        <v/>
      </c>
      <c r="O220" t="str">
        <f>IFERROR(IF($C220="","",SUMIFS(Ledger!$K$2:$K$4, Ledger!$B$2:$B$4, $A220, Ledger!$C$2:$C$4, O$2)),"****")</f>
        <v/>
      </c>
      <c r="P220" t="str">
        <f>IFERROR(IF($C220="","",SUMIFS(Ledger!$K$2:$K$4, Ledger!$B$2:$B$4, $A220, Ledger!$C$2:$C$4, P$2)),"****")</f>
        <v/>
      </c>
      <c r="Q220" t="str">
        <f>IFERROR(IF($C220="","",SUMIFS(Ledger!$K$2:$K$4, Ledger!$B$2:$B$4, $A220, Ledger!$C$2:$C$4, Q$2)),"****")</f>
        <v/>
      </c>
      <c r="R220" t="str">
        <f>IFERROR(IF($C220="","",SUMIFS(Ledger!$K$2:$K$4, Ledger!$B$2:$B$4, $A220, Ledger!$C$2:$C$4, R$2)),"****")</f>
        <v/>
      </c>
      <c r="S220" t="str">
        <f>IFERROR(IF($C220="","",SUMIFS(Ledger!$K$2:$K$4, Ledger!$B$2:$B$4, $A220, Ledger!$C$2:$C$4, S$2)),"****")</f>
        <v/>
      </c>
      <c r="T220" t="str">
        <f>IFERROR(IF($C220="","",SUMIFS(Ledger!$K$2:$K$4, Ledger!$B$2:$B$4, $A220, Ledger!$C$2:$C$4, T$2)),"****")</f>
        <v/>
      </c>
      <c r="U220" t="str">
        <f>IFERROR(IF($C220="","",SUMIFS(Ledger!$K$2:$K$4, Ledger!$B$2:$B$4, $A220, Ledger!$C$2:$C$4, U$2)),"****")</f>
        <v/>
      </c>
      <c r="V220" t="str">
        <f>IFERROR(IF($C220="","",SUMIFS(Ledger!$K$2:$K$4, Ledger!$B$2:$B$4, $A220, Ledger!$C$2:$C$4, V$2)),"****")</f>
        <v/>
      </c>
      <c r="W220" t="str">
        <f>IFERROR(IF($C220="","",SUMIFS(Ledger!$K$2:$K$4, Ledger!$B$2:$B$4, $A220, Ledger!$C$2:$C$4, W$2)),"****")</f>
        <v/>
      </c>
      <c r="X220" t="str">
        <f>IFERROR(IF($C220="","",SUMIFS(Ledger!$K$2:$K$4, Ledger!$B$2:$B$4, $A220, Ledger!$C$2:$C$4, X$2)),"****")</f>
        <v/>
      </c>
    </row>
    <row r="221" spans="1:24" x14ac:dyDescent="0.3">
      <c r="A221" s="106">
        <v>219</v>
      </c>
      <c r="B221" t="str">
        <f>IFERROR(VLOOKUP($A221, Ledger!$B$2:$L$8, 3, 0),"")</f>
        <v/>
      </c>
      <c r="C221" t="str">
        <f>IFERROR(VLOOKUP($A221, Ledger!$B$2:$L$8, 4, 0),"")</f>
        <v/>
      </c>
      <c r="D221" t="str">
        <f>IFERROR(VLOOKUP($A221, Ledger!$B$2:$L$8, 5, 0),"")</f>
        <v/>
      </c>
      <c r="E221" t="str">
        <f>IFERROR(VLOOKUP($A221, Ledger!$B$2:$L$8, 6, 0),"")</f>
        <v/>
      </c>
      <c r="F221" t="str">
        <f>IFERROR(VLOOKUP($A221,'Student Data'!$A$2:$AR$6,32,0),"")</f>
        <v/>
      </c>
      <c r="G221" t="str">
        <f>IFERROR(VLOOKUP($A221,'Student Data'!$A$2:$AR$6,33,0),"")</f>
        <v/>
      </c>
      <c r="H221" t="str">
        <f>IFERROR(VLOOKUP($A221,'Student Data'!$A$2:$AR$6,34,0),"")</f>
        <v/>
      </c>
      <c r="I221" t="str">
        <f>IFERROR(VLOOKUP($A221,'Student Data'!$A$2:$AR$6,35,0),"")</f>
        <v/>
      </c>
      <c r="J221" t="str">
        <f>IFERROR(VLOOKUP($A221,'Student Data'!$A$2:$AR$6,36,0),"")</f>
        <v/>
      </c>
      <c r="K221" t="str">
        <f t="shared" si="6"/>
        <v/>
      </c>
      <c r="L221" t="str">
        <f t="shared" si="7"/>
        <v/>
      </c>
      <c r="M221" t="str">
        <f>IFERROR(IF($C221="","",SUMIFS(Ledger!$K$2:$K$4, Ledger!$B$2:$B$4, $A221, Ledger!$C$2:$C$4, M$2)),"****")</f>
        <v/>
      </c>
      <c r="N221" t="str">
        <f>IFERROR(IF($C221="","",SUMIFS(Ledger!$K$2:$K$4, Ledger!$B$2:$B$4, $A221, Ledger!$C$2:$C$4, N$2)),"****")</f>
        <v/>
      </c>
      <c r="O221" t="str">
        <f>IFERROR(IF($C221="","",SUMIFS(Ledger!$K$2:$K$4, Ledger!$B$2:$B$4, $A221, Ledger!$C$2:$C$4, O$2)),"****")</f>
        <v/>
      </c>
      <c r="P221" t="str">
        <f>IFERROR(IF($C221="","",SUMIFS(Ledger!$K$2:$K$4, Ledger!$B$2:$B$4, $A221, Ledger!$C$2:$C$4, P$2)),"****")</f>
        <v/>
      </c>
      <c r="Q221" t="str">
        <f>IFERROR(IF($C221="","",SUMIFS(Ledger!$K$2:$K$4, Ledger!$B$2:$B$4, $A221, Ledger!$C$2:$C$4, Q$2)),"****")</f>
        <v/>
      </c>
      <c r="R221" t="str">
        <f>IFERROR(IF($C221="","",SUMIFS(Ledger!$K$2:$K$4, Ledger!$B$2:$B$4, $A221, Ledger!$C$2:$C$4, R$2)),"****")</f>
        <v/>
      </c>
      <c r="S221" t="str">
        <f>IFERROR(IF($C221="","",SUMIFS(Ledger!$K$2:$K$4, Ledger!$B$2:$B$4, $A221, Ledger!$C$2:$C$4, S$2)),"****")</f>
        <v/>
      </c>
      <c r="T221" t="str">
        <f>IFERROR(IF($C221="","",SUMIFS(Ledger!$K$2:$K$4, Ledger!$B$2:$B$4, $A221, Ledger!$C$2:$C$4, T$2)),"****")</f>
        <v/>
      </c>
      <c r="U221" t="str">
        <f>IFERROR(IF($C221="","",SUMIFS(Ledger!$K$2:$K$4, Ledger!$B$2:$B$4, $A221, Ledger!$C$2:$C$4, U$2)),"****")</f>
        <v/>
      </c>
      <c r="V221" t="str">
        <f>IFERROR(IF($C221="","",SUMIFS(Ledger!$K$2:$K$4, Ledger!$B$2:$B$4, $A221, Ledger!$C$2:$C$4, V$2)),"****")</f>
        <v/>
      </c>
      <c r="W221" t="str">
        <f>IFERROR(IF($C221="","",SUMIFS(Ledger!$K$2:$K$4, Ledger!$B$2:$B$4, $A221, Ledger!$C$2:$C$4, W$2)),"****")</f>
        <v/>
      </c>
      <c r="X221" t="str">
        <f>IFERROR(IF($C221="","",SUMIFS(Ledger!$K$2:$K$4, Ledger!$B$2:$B$4, $A221, Ledger!$C$2:$C$4, X$2)),"****")</f>
        <v/>
      </c>
    </row>
    <row r="222" spans="1:24" x14ac:dyDescent="0.3">
      <c r="A222" s="106">
        <v>220</v>
      </c>
      <c r="B222" t="str">
        <f>IFERROR(VLOOKUP($A222, Ledger!$B$2:$L$8, 3, 0),"")</f>
        <v/>
      </c>
      <c r="C222" t="str">
        <f>IFERROR(VLOOKUP($A222, Ledger!$B$2:$L$8, 4, 0),"")</f>
        <v/>
      </c>
      <c r="D222" t="str">
        <f>IFERROR(VLOOKUP($A222, Ledger!$B$2:$L$8, 5, 0),"")</f>
        <v/>
      </c>
      <c r="E222" t="str">
        <f>IFERROR(VLOOKUP($A222, Ledger!$B$2:$L$8, 6, 0),"")</f>
        <v/>
      </c>
      <c r="F222" t="str">
        <f>IFERROR(VLOOKUP($A222,'Student Data'!$A$2:$AR$6,32,0),"")</f>
        <v/>
      </c>
      <c r="G222" t="str">
        <f>IFERROR(VLOOKUP($A222,'Student Data'!$A$2:$AR$6,33,0),"")</f>
        <v/>
      </c>
      <c r="H222" t="str">
        <f>IFERROR(VLOOKUP($A222,'Student Data'!$A$2:$AR$6,34,0),"")</f>
        <v/>
      </c>
      <c r="I222" t="str">
        <f>IFERROR(VLOOKUP($A222,'Student Data'!$A$2:$AR$6,35,0),"")</f>
        <v/>
      </c>
      <c r="J222" t="str">
        <f>IFERROR(VLOOKUP($A222,'Student Data'!$A$2:$AR$6,36,0),"")</f>
        <v/>
      </c>
      <c r="K222" t="str">
        <f t="shared" si="6"/>
        <v/>
      </c>
      <c r="L222" t="str">
        <f t="shared" si="7"/>
        <v/>
      </c>
      <c r="M222" t="str">
        <f>IFERROR(IF($C222="","",SUMIFS(Ledger!$K$2:$K$4, Ledger!$B$2:$B$4, $A222, Ledger!$C$2:$C$4, M$2)),"****")</f>
        <v/>
      </c>
      <c r="N222" t="str">
        <f>IFERROR(IF($C222="","",SUMIFS(Ledger!$K$2:$K$4, Ledger!$B$2:$B$4, $A222, Ledger!$C$2:$C$4, N$2)),"****")</f>
        <v/>
      </c>
      <c r="O222" t="str">
        <f>IFERROR(IF($C222="","",SUMIFS(Ledger!$K$2:$K$4, Ledger!$B$2:$B$4, $A222, Ledger!$C$2:$C$4, O$2)),"****")</f>
        <v/>
      </c>
      <c r="P222" t="str">
        <f>IFERROR(IF($C222="","",SUMIFS(Ledger!$K$2:$K$4, Ledger!$B$2:$B$4, $A222, Ledger!$C$2:$C$4, P$2)),"****")</f>
        <v/>
      </c>
      <c r="Q222" t="str">
        <f>IFERROR(IF($C222="","",SUMIFS(Ledger!$K$2:$K$4, Ledger!$B$2:$B$4, $A222, Ledger!$C$2:$C$4, Q$2)),"****")</f>
        <v/>
      </c>
      <c r="R222" t="str">
        <f>IFERROR(IF($C222="","",SUMIFS(Ledger!$K$2:$K$4, Ledger!$B$2:$B$4, $A222, Ledger!$C$2:$C$4, R$2)),"****")</f>
        <v/>
      </c>
      <c r="S222" t="str">
        <f>IFERROR(IF($C222="","",SUMIFS(Ledger!$K$2:$K$4, Ledger!$B$2:$B$4, $A222, Ledger!$C$2:$C$4, S$2)),"****")</f>
        <v/>
      </c>
      <c r="T222" t="str">
        <f>IFERROR(IF($C222="","",SUMIFS(Ledger!$K$2:$K$4, Ledger!$B$2:$B$4, $A222, Ledger!$C$2:$C$4, T$2)),"****")</f>
        <v/>
      </c>
      <c r="U222" t="str">
        <f>IFERROR(IF($C222="","",SUMIFS(Ledger!$K$2:$K$4, Ledger!$B$2:$B$4, $A222, Ledger!$C$2:$C$4, U$2)),"****")</f>
        <v/>
      </c>
      <c r="V222" t="str">
        <f>IFERROR(IF($C222="","",SUMIFS(Ledger!$K$2:$K$4, Ledger!$B$2:$B$4, $A222, Ledger!$C$2:$C$4, V$2)),"****")</f>
        <v/>
      </c>
      <c r="W222" t="str">
        <f>IFERROR(IF($C222="","",SUMIFS(Ledger!$K$2:$K$4, Ledger!$B$2:$B$4, $A222, Ledger!$C$2:$C$4, W$2)),"****")</f>
        <v/>
      </c>
      <c r="X222" t="str">
        <f>IFERROR(IF($C222="","",SUMIFS(Ledger!$K$2:$K$4, Ledger!$B$2:$B$4, $A222, Ledger!$C$2:$C$4, X$2)),"****")</f>
        <v/>
      </c>
    </row>
    <row r="223" spans="1:24" x14ac:dyDescent="0.3">
      <c r="A223" s="106">
        <v>221</v>
      </c>
      <c r="B223" t="str">
        <f>IFERROR(VLOOKUP($A223, Ledger!$B$2:$L$8, 3, 0),"")</f>
        <v/>
      </c>
      <c r="C223" t="str">
        <f>IFERROR(VLOOKUP($A223, Ledger!$B$2:$L$8, 4, 0),"")</f>
        <v/>
      </c>
      <c r="D223" t="str">
        <f>IFERROR(VLOOKUP($A223, Ledger!$B$2:$L$8, 5, 0),"")</f>
        <v/>
      </c>
      <c r="E223" t="str">
        <f>IFERROR(VLOOKUP($A223, Ledger!$B$2:$L$8, 6, 0),"")</f>
        <v/>
      </c>
      <c r="F223" t="str">
        <f>IFERROR(VLOOKUP($A223,'Student Data'!$A$2:$AR$6,32,0),"")</f>
        <v/>
      </c>
      <c r="G223" t="str">
        <f>IFERROR(VLOOKUP($A223,'Student Data'!$A$2:$AR$6,33,0),"")</f>
        <v/>
      </c>
      <c r="H223" t="str">
        <f>IFERROR(VLOOKUP($A223,'Student Data'!$A$2:$AR$6,34,0),"")</f>
        <v/>
      </c>
      <c r="I223" t="str">
        <f>IFERROR(VLOOKUP($A223,'Student Data'!$A$2:$AR$6,35,0),"")</f>
        <v/>
      </c>
      <c r="J223" t="str">
        <f>IFERROR(VLOOKUP($A223,'Student Data'!$A$2:$AR$6,36,0),"")</f>
        <v/>
      </c>
      <c r="K223" t="str">
        <f t="shared" si="6"/>
        <v/>
      </c>
      <c r="L223" t="str">
        <f t="shared" si="7"/>
        <v/>
      </c>
      <c r="M223" t="str">
        <f>IFERROR(IF($C223="","",SUMIFS(Ledger!$K$2:$K$4, Ledger!$B$2:$B$4, $A223, Ledger!$C$2:$C$4, M$2)),"****")</f>
        <v/>
      </c>
      <c r="N223" t="str">
        <f>IFERROR(IF($C223="","",SUMIFS(Ledger!$K$2:$K$4, Ledger!$B$2:$B$4, $A223, Ledger!$C$2:$C$4, N$2)),"****")</f>
        <v/>
      </c>
      <c r="O223" t="str">
        <f>IFERROR(IF($C223="","",SUMIFS(Ledger!$K$2:$K$4, Ledger!$B$2:$B$4, $A223, Ledger!$C$2:$C$4, O$2)),"****")</f>
        <v/>
      </c>
      <c r="P223" t="str">
        <f>IFERROR(IF($C223="","",SUMIFS(Ledger!$K$2:$K$4, Ledger!$B$2:$B$4, $A223, Ledger!$C$2:$C$4, P$2)),"****")</f>
        <v/>
      </c>
      <c r="Q223" t="str">
        <f>IFERROR(IF($C223="","",SUMIFS(Ledger!$K$2:$K$4, Ledger!$B$2:$B$4, $A223, Ledger!$C$2:$C$4, Q$2)),"****")</f>
        <v/>
      </c>
      <c r="R223" t="str">
        <f>IFERROR(IF($C223="","",SUMIFS(Ledger!$K$2:$K$4, Ledger!$B$2:$B$4, $A223, Ledger!$C$2:$C$4, R$2)),"****")</f>
        <v/>
      </c>
      <c r="S223" t="str">
        <f>IFERROR(IF($C223="","",SUMIFS(Ledger!$K$2:$K$4, Ledger!$B$2:$B$4, $A223, Ledger!$C$2:$C$4, S$2)),"****")</f>
        <v/>
      </c>
      <c r="T223" t="str">
        <f>IFERROR(IF($C223="","",SUMIFS(Ledger!$K$2:$K$4, Ledger!$B$2:$B$4, $A223, Ledger!$C$2:$C$4, T$2)),"****")</f>
        <v/>
      </c>
      <c r="U223" t="str">
        <f>IFERROR(IF($C223="","",SUMIFS(Ledger!$K$2:$K$4, Ledger!$B$2:$B$4, $A223, Ledger!$C$2:$C$4, U$2)),"****")</f>
        <v/>
      </c>
      <c r="V223" t="str">
        <f>IFERROR(IF($C223="","",SUMIFS(Ledger!$K$2:$K$4, Ledger!$B$2:$B$4, $A223, Ledger!$C$2:$C$4, V$2)),"****")</f>
        <v/>
      </c>
      <c r="W223" t="str">
        <f>IFERROR(IF($C223="","",SUMIFS(Ledger!$K$2:$K$4, Ledger!$B$2:$B$4, $A223, Ledger!$C$2:$C$4, W$2)),"****")</f>
        <v/>
      </c>
      <c r="X223" t="str">
        <f>IFERROR(IF($C223="","",SUMIFS(Ledger!$K$2:$K$4, Ledger!$B$2:$B$4, $A223, Ledger!$C$2:$C$4, X$2)),"****")</f>
        <v/>
      </c>
    </row>
    <row r="224" spans="1:24" x14ac:dyDescent="0.3">
      <c r="A224" s="106">
        <v>222</v>
      </c>
      <c r="B224" t="str">
        <f>IFERROR(VLOOKUP($A224, Ledger!$B$2:$L$8, 3, 0),"")</f>
        <v/>
      </c>
      <c r="C224" t="str">
        <f>IFERROR(VLOOKUP($A224, Ledger!$B$2:$L$8, 4, 0),"")</f>
        <v/>
      </c>
      <c r="D224" t="str">
        <f>IFERROR(VLOOKUP($A224, Ledger!$B$2:$L$8, 5, 0),"")</f>
        <v/>
      </c>
      <c r="E224" t="str">
        <f>IFERROR(VLOOKUP($A224, Ledger!$B$2:$L$8, 6, 0),"")</f>
        <v/>
      </c>
      <c r="F224" t="str">
        <f>IFERROR(VLOOKUP($A224,'Student Data'!$A$2:$AR$6,32,0),"")</f>
        <v/>
      </c>
      <c r="G224" t="str">
        <f>IFERROR(VLOOKUP($A224,'Student Data'!$A$2:$AR$6,33,0),"")</f>
        <v/>
      </c>
      <c r="H224" t="str">
        <f>IFERROR(VLOOKUP($A224,'Student Data'!$A$2:$AR$6,34,0),"")</f>
        <v/>
      </c>
      <c r="I224" t="str">
        <f>IFERROR(VLOOKUP($A224,'Student Data'!$A$2:$AR$6,35,0),"")</f>
        <v/>
      </c>
      <c r="J224" t="str">
        <f>IFERROR(VLOOKUP($A224,'Student Data'!$A$2:$AR$6,36,0),"")</f>
        <v/>
      </c>
      <c r="K224" t="str">
        <f t="shared" si="6"/>
        <v/>
      </c>
      <c r="L224" t="str">
        <f t="shared" si="7"/>
        <v/>
      </c>
      <c r="M224" t="str">
        <f>IFERROR(IF($C224="","",SUMIFS(Ledger!$K$2:$K$4, Ledger!$B$2:$B$4, $A224, Ledger!$C$2:$C$4, M$2)),"****")</f>
        <v/>
      </c>
      <c r="N224" t="str">
        <f>IFERROR(IF($C224="","",SUMIFS(Ledger!$K$2:$K$4, Ledger!$B$2:$B$4, $A224, Ledger!$C$2:$C$4, N$2)),"****")</f>
        <v/>
      </c>
      <c r="O224" t="str">
        <f>IFERROR(IF($C224="","",SUMIFS(Ledger!$K$2:$K$4, Ledger!$B$2:$B$4, $A224, Ledger!$C$2:$C$4, O$2)),"****")</f>
        <v/>
      </c>
      <c r="P224" t="str">
        <f>IFERROR(IF($C224="","",SUMIFS(Ledger!$K$2:$K$4, Ledger!$B$2:$B$4, $A224, Ledger!$C$2:$C$4, P$2)),"****")</f>
        <v/>
      </c>
      <c r="Q224" t="str">
        <f>IFERROR(IF($C224="","",SUMIFS(Ledger!$K$2:$K$4, Ledger!$B$2:$B$4, $A224, Ledger!$C$2:$C$4, Q$2)),"****")</f>
        <v/>
      </c>
      <c r="R224" t="str">
        <f>IFERROR(IF($C224="","",SUMIFS(Ledger!$K$2:$K$4, Ledger!$B$2:$B$4, $A224, Ledger!$C$2:$C$4, R$2)),"****")</f>
        <v/>
      </c>
      <c r="S224" t="str">
        <f>IFERROR(IF($C224="","",SUMIFS(Ledger!$K$2:$K$4, Ledger!$B$2:$B$4, $A224, Ledger!$C$2:$C$4, S$2)),"****")</f>
        <v/>
      </c>
      <c r="T224" t="str">
        <f>IFERROR(IF($C224="","",SUMIFS(Ledger!$K$2:$K$4, Ledger!$B$2:$B$4, $A224, Ledger!$C$2:$C$4, T$2)),"****")</f>
        <v/>
      </c>
      <c r="U224" t="str">
        <f>IFERROR(IF($C224="","",SUMIFS(Ledger!$K$2:$K$4, Ledger!$B$2:$B$4, $A224, Ledger!$C$2:$C$4, U$2)),"****")</f>
        <v/>
      </c>
      <c r="V224" t="str">
        <f>IFERROR(IF($C224="","",SUMIFS(Ledger!$K$2:$K$4, Ledger!$B$2:$B$4, $A224, Ledger!$C$2:$C$4, V$2)),"****")</f>
        <v/>
      </c>
      <c r="W224" t="str">
        <f>IFERROR(IF($C224="","",SUMIFS(Ledger!$K$2:$K$4, Ledger!$B$2:$B$4, $A224, Ledger!$C$2:$C$4, W$2)),"****")</f>
        <v/>
      </c>
      <c r="X224" t="str">
        <f>IFERROR(IF($C224="","",SUMIFS(Ledger!$K$2:$K$4, Ledger!$B$2:$B$4, $A224, Ledger!$C$2:$C$4, X$2)),"****")</f>
        <v/>
      </c>
    </row>
    <row r="225" spans="1:24" x14ac:dyDescent="0.3">
      <c r="A225" s="106">
        <v>223</v>
      </c>
      <c r="B225" t="str">
        <f>IFERROR(VLOOKUP($A225, Ledger!$B$2:$L$8, 3, 0),"")</f>
        <v/>
      </c>
      <c r="C225" t="str">
        <f>IFERROR(VLOOKUP($A225, Ledger!$B$2:$L$8, 4, 0),"")</f>
        <v/>
      </c>
      <c r="D225" t="str">
        <f>IFERROR(VLOOKUP($A225, Ledger!$B$2:$L$8, 5, 0),"")</f>
        <v/>
      </c>
      <c r="E225" t="str">
        <f>IFERROR(VLOOKUP($A225, Ledger!$B$2:$L$8, 6, 0),"")</f>
        <v/>
      </c>
      <c r="F225" t="str">
        <f>IFERROR(VLOOKUP($A225,'Student Data'!$A$2:$AR$6,32,0),"")</f>
        <v/>
      </c>
      <c r="G225" t="str">
        <f>IFERROR(VLOOKUP($A225,'Student Data'!$A$2:$AR$6,33,0),"")</f>
        <v/>
      </c>
      <c r="H225" t="str">
        <f>IFERROR(VLOOKUP($A225,'Student Data'!$A$2:$AR$6,34,0),"")</f>
        <v/>
      </c>
      <c r="I225" t="str">
        <f>IFERROR(VLOOKUP($A225,'Student Data'!$A$2:$AR$6,35,0),"")</f>
        <v/>
      </c>
      <c r="J225" t="str">
        <f>IFERROR(VLOOKUP($A225,'Student Data'!$A$2:$AR$6,36,0),"")</f>
        <v/>
      </c>
      <c r="K225" t="str">
        <f t="shared" si="6"/>
        <v/>
      </c>
      <c r="L225" t="str">
        <f t="shared" si="7"/>
        <v/>
      </c>
      <c r="M225" t="str">
        <f>IFERROR(IF($C225="","",SUMIFS(Ledger!$K$2:$K$4, Ledger!$B$2:$B$4, $A225, Ledger!$C$2:$C$4, M$2)),"****")</f>
        <v/>
      </c>
      <c r="N225" t="str">
        <f>IFERROR(IF($C225="","",SUMIFS(Ledger!$K$2:$K$4, Ledger!$B$2:$B$4, $A225, Ledger!$C$2:$C$4, N$2)),"****")</f>
        <v/>
      </c>
      <c r="O225" t="str">
        <f>IFERROR(IF($C225="","",SUMIFS(Ledger!$K$2:$K$4, Ledger!$B$2:$B$4, $A225, Ledger!$C$2:$C$4, O$2)),"****")</f>
        <v/>
      </c>
      <c r="P225" t="str">
        <f>IFERROR(IF($C225="","",SUMIFS(Ledger!$K$2:$K$4, Ledger!$B$2:$B$4, $A225, Ledger!$C$2:$C$4, P$2)),"****")</f>
        <v/>
      </c>
      <c r="Q225" t="str">
        <f>IFERROR(IF($C225="","",SUMIFS(Ledger!$K$2:$K$4, Ledger!$B$2:$B$4, $A225, Ledger!$C$2:$C$4, Q$2)),"****")</f>
        <v/>
      </c>
      <c r="R225" t="str">
        <f>IFERROR(IF($C225="","",SUMIFS(Ledger!$K$2:$K$4, Ledger!$B$2:$B$4, $A225, Ledger!$C$2:$C$4, R$2)),"****")</f>
        <v/>
      </c>
      <c r="S225" t="str">
        <f>IFERROR(IF($C225="","",SUMIFS(Ledger!$K$2:$K$4, Ledger!$B$2:$B$4, $A225, Ledger!$C$2:$C$4, S$2)),"****")</f>
        <v/>
      </c>
      <c r="T225" t="str">
        <f>IFERROR(IF($C225="","",SUMIFS(Ledger!$K$2:$K$4, Ledger!$B$2:$B$4, $A225, Ledger!$C$2:$C$4, T$2)),"****")</f>
        <v/>
      </c>
      <c r="U225" t="str">
        <f>IFERROR(IF($C225="","",SUMIFS(Ledger!$K$2:$K$4, Ledger!$B$2:$B$4, $A225, Ledger!$C$2:$C$4, U$2)),"****")</f>
        <v/>
      </c>
      <c r="V225" t="str">
        <f>IFERROR(IF($C225="","",SUMIFS(Ledger!$K$2:$K$4, Ledger!$B$2:$B$4, $A225, Ledger!$C$2:$C$4, V$2)),"****")</f>
        <v/>
      </c>
      <c r="W225" t="str">
        <f>IFERROR(IF($C225="","",SUMIFS(Ledger!$K$2:$K$4, Ledger!$B$2:$B$4, $A225, Ledger!$C$2:$C$4, W$2)),"****")</f>
        <v/>
      </c>
      <c r="X225" t="str">
        <f>IFERROR(IF($C225="","",SUMIFS(Ledger!$K$2:$K$4, Ledger!$B$2:$B$4, $A225, Ledger!$C$2:$C$4, X$2)),"****")</f>
        <v/>
      </c>
    </row>
    <row r="226" spans="1:24" x14ac:dyDescent="0.3">
      <c r="A226" s="106">
        <v>224</v>
      </c>
      <c r="B226" t="str">
        <f>IFERROR(VLOOKUP($A226, Ledger!$B$2:$L$8, 3, 0),"")</f>
        <v/>
      </c>
      <c r="C226" t="str">
        <f>IFERROR(VLOOKUP($A226, Ledger!$B$2:$L$8, 4, 0),"")</f>
        <v/>
      </c>
      <c r="D226" t="str">
        <f>IFERROR(VLOOKUP($A226, Ledger!$B$2:$L$8, 5, 0),"")</f>
        <v/>
      </c>
      <c r="E226" t="str">
        <f>IFERROR(VLOOKUP($A226, Ledger!$B$2:$L$8, 6, 0),"")</f>
        <v/>
      </c>
      <c r="F226" t="str">
        <f>IFERROR(VLOOKUP($A226,'Student Data'!$A$2:$AR$6,32,0),"")</f>
        <v/>
      </c>
      <c r="G226" t="str">
        <f>IFERROR(VLOOKUP($A226,'Student Data'!$A$2:$AR$6,33,0),"")</f>
        <v/>
      </c>
      <c r="H226" t="str">
        <f>IFERROR(VLOOKUP($A226,'Student Data'!$A$2:$AR$6,34,0),"")</f>
        <v/>
      </c>
      <c r="I226" t="str">
        <f>IFERROR(VLOOKUP($A226,'Student Data'!$A$2:$AR$6,35,0),"")</f>
        <v/>
      </c>
      <c r="J226" t="str">
        <f>IFERROR(VLOOKUP($A226,'Student Data'!$A$2:$AR$6,36,0),"")</f>
        <v/>
      </c>
      <c r="K226" t="str">
        <f t="shared" si="6"/>
        <v/>
      </c>
      <c r="L226" t="str">
        <f t="shared" si="7"/>
        <v/>
      </c>
      <c r="M226" t="str">
        <f>IFERROR(IF($C226="","",SUMIFS(Ledger!$K$2:$K$4, Ledger!$B$2:$B$4, $A226, Ledger!$C$2:$C$4, M$2)),"****")</f>
        <v/>
      </c>
      <c r="N226" t="str">
        <f>IFERROR(IF($C226="","",SUMIFS(Ledger!$K$2:$K$4, Ledger!$B$2:$B$4, $A226, Ledger!$C$2:$C$4, N$2)),"****")</f>
        <v/>
      </c>
      <c r="O226" t="str">
        <f>IFERROR(IF($C226="","",SUMIFS(Ledger!$K$2:$K$4, Ledger!$B$2:$B$4, $A226, Ledger!$C$2:$C$4, O$2)),"****")</f>
        <v/>
      </c>
      <c r="P226" t="str">
        <f>IFERROR(IF($C226="","",SUMIFS(Ledger!$K$2:$K$4, Ledger!$B$2:$B$4, $A226, Ledger!$C$2:$C$4, P$2)),"****")</f>
        <v/>
      </c>
      <c r="Q226" t="str">
        <f>IFERROR(IF($C226="","",SUMIFS(Ledger!$K$2:$K$4, Ledger!$B$2:$B$4, $A226, Ledger!$C$2:$C$4, Q$2)),"****")</f>
        <v/>
      </c>
      <c r="R226" t="str">
        <f>IFERROR(IF($C226="","",SUMIFS(Ledger!$K$2:$K$4, Ledger!$B$2:$B$4, $A226, Ledger!$C$2:$C$4, R$2)),"****")</f>
        <v/>
      </c>
      <c r="S226" t="str">
        <f>IFERROR(IF($C226="","",SUMIFS(Ledger!$K$2:$K$4, Ledger!$B$2:$B$4, $A226, Ledger!$C$2:$C$4, S$2)),"****")</f>
        <v/>
      </c>
      <c r="T226" t="str">
        <f>IFERROR(IF($C226="","",SUMIFS(Ledger!$K$2:$K$4, Ledger!$B$2:$B$4, $A226, Ledger!$C$2:$C$4, T$2)),"****")</f>
        <v/>
      </c>
      <c r="U226" t="str">
        <f>IFERROR(IF($C226="","",SUMIFS(Ledger!$K$2:$K$4, Ledger!$B$2:$B$4, $A226, Ledger!$C$2:$C$4, U$2)),"****")</f>
        <v/>
      </c>
      <c r="V226" t="str">
        <f>IFERROR(IF($C226="","",SUMIFS(Ledger!$K$2:$K$4, Ledger!$B$2:$B$4, $A226, Ledger!$C$2:$C$4, V$2)),"****")</f>
        <v/>
      </c>
      <c r="W226" t="str">
        <f>IFERROR(IF($C226="","",SUMIFS(Ledger!$K$2:$K$4, Ledger!$B$2:$B$4, $A226, Ledger!$C$2:$C$4, W$2)),"****")</f>
        <v/>
      </c>
      <c r="X226" t="str">
        <f>IFERROR(IF($C226="","",SUMIFS(Ledger!$K$2:$K$4, Ledger!$B$2:$B$4, $A226, Ledger!$C$2:$C$4, X$2)),"****")</f>
        <v/>
      </c>
    </row>
    <row r="227" spans="1:24" x14ac:dyDescent="0.3">
      <c r="A227" s="106">
        <v>225</v>
      </c>
      <c r="B227" t="str">
        <f>IFERROR(VLOOKUP($A227, Ledger!$B$2:$L$8, 3, 0),"")</f>
        <v/>
      </c>
      <c r="C227" t="str">
        <f>IFERROR(VLOOKUP($A227, Ledger!$B$2:$L$8, 4, 0),"")</f>
        <v/>
      </c>
      <c r="D227" t="str">
        <f>IFERROR(VLOOKUP($A227, Ledger!$B$2:$L$8, 5, 0),"")</f>
        <v/>
      </c>
      <c r="E227" t="str">
        <f>IFERROR(VLOOKUP($A227, Ledger!$B$2:$L$8, 6, 0),"")</f>
        <v/>
      </c>
      <c r="F227" t="str">
        <f>IFERROR(VLOOKUP($A227,'Student Data'!$A$2:$AR$6,32,0),"")</f>
        <v/>
      </c>
      <c r="G227" t="str">
        <f>IFERROR(VLOOKUP($A227,'Student Data'!$A$2:$AR$6,33,0),"")</f>
        <v/>
      </c>
      <c r="H227" t="str">
        <f>IFERROR(VLOOKUP($A227,'Student Data'!$A$2:$AR$6,34,0),"")</f>
        <v/>
      </c>
      <c r="I227" t="str">
        <f>IFERROR(VLOOKUP($A227,'Student Data'!$A$2:$AR$6,35,0),"")</f>
        <v/>
      </c>
      <c r="J227" t="str">
        <f>IFERROR(VLOOKUP($A227,'Student Data'!$A$2:$AR$6,36,0),"")</f>
        <v/>
      </c>
      <c r="K227" t="str">
        <f t="shared" si="6"/>
        <v/>
      </c>
      <c r="L227" t="str">
        <f t="shared" si="7"/>
        <v/>
      </c>
      <c r="M227" t="str">
        <f>IFERROR(IF($C227="","",SUMIFS(Ledger!$K$2:$K$4, Ledger!$B$2:$B$4, $A227, Ledger!$C$2:$C$4, M$2)),"****")</f>
        <v/>
      </c>
      <c r="N227" t="str">
        <f>IFERROR(IF($C227="","",SUMIFS(Ledger!$K$2:$K$4, Ledger!$B$2:$B$4, $A227, Ledger!$C$2:$C$4, N$2)),"****")</f>
        <v/>
      </c>
      <c r="O227" t="str">
        <f>IFERROR(IF($C227="","",SUMIFS(Ledger!$K$2:$K$4, Ledger!$B$2:$B$4, $A227, Ledger!$C$2:$C$4, O$2)),"****")</f>
        <v/>
      </c>
      <c r="P227" t="str">
        <f>IFERROR(IF($C227="","",SUMIFS(Ledger!$K$2:$K$4, Ledger!$B$2:$B$4, $A227, Ledger!$C$2:$C$4, P$2)),"****")</f>
        <v/>
      </c>
      <c r="Q227" t="str">
        <f>IFERROR(IF($C227="","",SUMIFS(Ledger!$K$2:$K$4, Ledger!$B$2:$B$4, $A227, Ledger!$C$2:$C$4, Q$2)),"****")</f>
        <v/>
      </c>
      <c r="R227" t="str">
        <f>IFERROR(IF($C227="","",SUMIFS(Ledger!$K$2:$K$4, Ledger!$B$2:$B$4, $A227, Ledger!$C$2:$C$4, R$2)),"****")</f>
        <v/>
      </c>
      <c r="S227" t="str">
        <f>IFERROR(IF($C227="","",SUMIFS(Ledger!$K$2:$K$4, Ledger!$B$2:$B$4, $A227, Ledger!$C$2:$C$4, S$2)),"****")</f>
        <v/>
      </c>
      <c r="T227" t="str">
        <f>IFERROR(IF($C227="","",SUMIFS(Ledger!$K$2:$K$4, Ledger!$B$2:$B$4, $A227, Ledger!$C$2:$C$4, T$2)),"****")</f>
        <v/>
      </c>
      <c r="U227" t="str">
        <f>IFERROR(IF($C227="","",SUMIFS(Ledger!$K$2:$K$4, Ledger!$B$2:$B$4, $A227, Ledger!$C$2:$C$4, U$2)),"****")</f>
        <v/>
      </c>
      <c r="V227" t="str">
        <f>IFERROR(IF($C227="","",SUMIFS(Ledger!$K$2:$K$4, Ledger!$B$2:$B$4, $A227, Ledger!$C$2:$C$4, V$2)),"****")</f>
        <v/>
      </c>
      <c r="W227" t="str">
        <f>IFERROR(IF($C227="","",SUMIFS(Ledger!$K$2:$K$4, Ledger!$B$2:$B$4, $A227, Ledger!$C$2:$C$4, W$2)),"****")</f>
        <v/>
      </c>
      <c r="X227" t="str">
        <f>IFERROR(IF($C227="","",SUMIFS(Ledger!$K$2:$K$4, Ledger!$B$2:$B$4, $A227, Ledger!$C$2:$C$4, X$2)),"****")</f>
        <v/>
      </c>
    </row>
    <row r="228" spans="1:24" x14ac:dyDescent="0.3">
      <c r="A228" s="106">
        <v>226</v>
      </c>
      <c r="B228" t="str">
        <f>IFERROR(VLOOKUP($A228, Ledger!$B$2:$L$8, 3, 0),"")</f>
        <v/>
      </c>
      <c r="C228" t="str">
        <f>IFERROR(VLOOKUP($A228, Ledger!$B$2:$L$8, 4, 0),"")</f>
        <v/>
      </c>
      <c r="D228" t="str">
        <f>IFERROR(VLOOKUP($A228, Ledger!$B$2:$L$8, 5, 0),"")</f>
        <v/>
      </c>
      <c r="E228" t="str">
        <f>IFERROR(VLOOKUP($A228, Ledger!$B$2:$L$8, 6, 0),"")</f>
        <v/>
      </c>
      <c r="F228" t="str">
        <f>IFERROR(VLOOKUP($A228,'Student Data'!$A$2:$AR$6,32,0),"")</f>
        <v/>
      </c>
      <c r="G228" t="str">
        <f>IFERROR(VLOOKUP($A228,'Student Data'!$A$2:$AR$6,33,0),"")</f>
        <v/>
      </c>
      <c r="H228" t="str">
        <f>IFERROR(VLOOKUP($A228,'Student Data'!$A$2:$AR$6,34,0),"")</f>
        <v/>
      </c>
      <c r="I228" t="str">
        <f>IFERROR(VLOOKUP($A228,'Student Data'!$A$2:$AR$6,35,0),"")</f>
        <v/>
      </c>
      <c r="J228" t="str">
        <f>IFERROR(VLOOKUP($A228,'Student Data'!$A$2:$AR$6,36,0),"")</f>
        <v/>
      </c>
      <c r="K228" t="str">
        <f t="shared" si="6"/>
        <v/>
      </c>
      <c r="L228" t="str">
        <f t="shared" si="7"/>
        <v/>
      </c>
      <c r="M228" t="str">
        <f>IFERROR(IF($C228="","",SUMIFS(Ledger!$K$2:$K$4, Ledger!$B$2:$B$4, $A228, Ledger!$C$2:$C$4, M$2)),"****")</f>
        <v/>
      </c>
      <c r="N228" t="str">
        <f>IFERROR(IF($C228="","",SUMIFS(Ledger!$K$2:$K$4, Ledger!$B$2:$B$4, $A228, Ledger!$C$2:$C$4, N$2)),"****")</f>
        <v/>
      </c>
      <c r="O228" t="str">
        <f>IFERROR(IF($C228="","",SUMIFS(Ledger!$K$2:$K$4, Ledger!$B$2:$B$4, $A228, Ledger!$C$2:$C$4, O$2)),"****")</f>
        <v/>
      </c>
      <c r="P228" t="str">
        <f>IFERROR(IF($C228="","",SUMIFS(Ledger!$K$2:$K$4, Ledger!$B$2:$B$4, $A228, Ledger!$C$2:$C$4, P$2)),"****")</f>
        <v/>
      </c>
      <c r="Q228" t="str">
        <f>IFERROR(IF($C228="","",SUMIFS(Ledger!$K$2:$K$4, Ledger!$B$2:$B$4, $A228, Ledger!$C$2:$C$4, Q$2)),"****")</f>
        <v/>
      </c>
      <c r="R228" t="str">
        <f>IFERROR(IF($C228="","",SUMIFS(Ledger!$K$2:$K$4, Ledger!$B$2:$B$4, $A228, Ledger!$C$2:$C$4, R$2)),"****")</f>
        <v/>
      </c>
      <c r="S228" t="str">
        <f>IFERROR(IF($C228="","",SUMIFS(Ledger!$K$2:$K$4, Ledger!$B$2:$B$4, $A228, Ledger!$C$2:$C$4, S$2)),"****")</f>
        <v/>
      </c>
      <c r="T228" t="str">
        <f>IFERROR(IF($C228="","",SUMIFS(Ledger!$K$2:$K$4, Ledger!$B$2:$B$4, $A228, Ledger!$C$2:$C$4, T$2)),"****")</f>
        <v/>
      </c>
      <c r="U228" t="str">
        <f>IFERROR(IF($C228="","",SUMIFS(Ledger!$K$2:$K$4, Ledger!$B$2:$B$4, $A228, Ledger!$C$2:$C$4, U$2)),"****")</f>
        <v/>
      </c>
      <c r="V228" t="str">
        <f>IFERROR(IF($C228="","",SUMIFS(Ledger!$K$2:$K$4, Ledger!$B$2:$B$4, $A228, Ledger!$C$2:$C$4, V$2)),"****")</f>
        <v/>
      </c>
      <c r="W228" t="str">
        <f>IFERROR(IF($C228="","",SUMIFS(Ledger!$K$2:$K$4, Ledger!$B$2:$B$4, $A228, Ledger!$C$2:$C$4, W$2)),"****")</f>
        <v/>
      </c>
      <c r="X228" t="str">
        <f>IFERROR(IF($C228="","",SUMIFS(Ledger!$K$2:$K$4, Ledger!$B$2:$B$4, $A228, Ledger!$C$2:$C$4, X$2)),"****")</f>
        <v/>
      </c>
    </row>
    <row r="229" spans="1:24" x14ac:dyDescent="0.3">
      <c r="A229" s="106">
        <v>227</v>
      </c>
      <c r="B229" t="str">
        <f>IFERROR(VLOOKUP($A229, Ledger!$B$2:$L$8, 3, 0),"")</f>
        <v/>
      </c>
      <c r="C229" t="str">
        <f>IFERROR(VLOOKUP($A229, Ledger!$B$2:$L$8, 4, 0),"")</f>
        <v/>
      </c>
      <c r="D229" t="str">
        <f>IFERROR(VLOOKUP($A229, Ledger!$B$2:$L$8, 5, 0),"")</f>
        <v/>
      </c>
      <c r="E229" t="str">
        <f>IFERROR(VLOOKUP($A229, Ledger!$B$2:$L$8, 6, 0),"")</f>
        <v/>
      </c>
      <c r="F229" t="str">
        <f>IFERROR(VLOOKUP($A229,'Student Data'!$A$2:$AR$6,32,0),"")</f>
        <v/>
      </c>
      <c r="G229" t="str">
        <f>IFERROR(VLOOKUP($A229,'Student Data'!$A$2:$AR$6,33,0),"")</f>
        <v/>
      </c>
      <c r="H229" t="str">
        <f>IFERROR(VLOOKUP($A229,'Student Data'!$A$2:$AR$6,34,0),"")</f>
        <v/>
      </c>
      <c r="I229" t="str">
        <f>IFERROR(VLOOKUP($A229,'Student Data'!$A$2:$AR$6,35,0),"")</f>
        <v/>
      </c>
      <c r="J229" t="str">
        <f>IFERROR(VLOOKUP($A229,'Student Data'!$A$2:$AR$6,36,0),"")</f>
        <v/>
      </c>
      <c r="K229" t="str">
        <f t="shared" si="6"/>
        <v/>
      </c>
      <c r="L229" t="str">
        <f t="shared" si="7"/>
        <v/>
      </c>
      <c r="M229" t="str">
        <f>IFERROR(IF($C229="","",SUMIFS(Ledger!$K$2:$K$4, Ledger!$B$2:$B$4, $A229, Ledger!$C$2:$C$4, M$2)),"****")</f>
        <v/>
      </c>
      <c r="N229" t="str">
        <f>IFERROR(IF($C229="","",SUMIFS(Ledger!$K$2:$K$4, Ledger!$B$2:$B$4, $A229, Ledger!$C$2:$C$4, N$2)),"****")</f>
        <v/>
      </c>
      <c r="O229" t="str">
        <f>IFERROR(IF($C229="","",SUMIFS(Ledger!$K$2:$K$4, Ledger!$B$2:$B$4, $A229, Ledger!$C$2:$C$4, O$2)),"****")</f>
        <v/>
      </c>
      <c r="P229" t="str">
        <f>IFERROR(IF($C229="","",SUMIFS(Ledger!$K$2:$K$4, Ledger!$B$2:$B$4, $A229, Ledger!$C$2:$C$4, P$2)),"****")</f>
        <v/>
      </c>
      <c r="Q229" t="str">
        <f>IFERROR(IF($C229="","",SUMIFS(Ledger!$K$2:$K$4, Ledger!$B$2:$B$4, $A229, Ledger!$C$2:$C$4, Q$2)),"****")</f>
        <v/>
      </c>
      <c r="R229" t="str">
        <f>IFERROR(IF($C229="","",SUMIFS(Ledger!$K$2:$K$4, Ledger!$B$2:$B$4, $A229, Ledger!$C$2:$C$4, R$2)),"****")</f>
        <v/>
      </c>
      <c r="S229" t="str">
        <f>IFERROR(IF($C229="","",SUMIFS(Ledger!$K$2:$K$4, Ledger!$B$2:$B$4, $A229, Ledger!$C$2:$C$4, S$2)),"****")</f>
        <v/>
      </c>
      <c r="T229" t="str">
        <f>IFERROR(IF($C229="","",SUMIFS(Ledger!$K$2:$K$4, Ledger!$B$2:$B$4, $A229, Ledger!$C$2:$C$4, T$2)),"****")</f>
        <v/>
      </c>
      <c r="U229" t="str">
        <f>IFERROR(IF($C229="","",SUMIFS(Ledger!$K$2:$K$4, Ledger!$B$2:$B$4, $A229, Ledger!$C$2:$C$4, U$2)),"****")</f>
        <v/>
      </c>
      <c r="V229" t="str">
        <f>IFERROR(IF($C229="","",SUMIFS(Ledger!$K$2:$K$4, Ledger!$B$2:$B$4, $A229, Ledger!$C$2:$C$4, V$2)),"****")</f>
        <v/>
      </c>
      <c r="W229" t="str">
        <f>IFERROR(IF($C229="","",SUMIFS(Ledger!$K$2:$K$4, Ledger!$B$2:$B$4, $A229, Ledger!$C$2:$C$4, W$2)),"****")</f>
        <v/>
      </c>
      <c r="X229" t="str">
        <f>IFERROR(IF($C229="","",SUMIFS(Ledger!$K$2:$K$4, Ledger!$B$2:$B$4, $A229, Ledger!$C$2:$C$4, X$2)),"****")</f>
        <v/>
      </c>
    </row>
    <row r="230" spans="1:24" x14ac:dyDescent="0.3">
      <c r="A230" s="106">
        <v>228</v>
      </c>
      <c r="B230" t="str">
        <f>IFERROR(VLOOKUP($A230, Ledger!$B$2:$L$8, 3, 0),"")</f>
        <v/>
      </c>
      <c r="C230" t="str">
        <f>IFERROR(VLOOKUP($A230, Ledger!$B$2:$L$8, 4, 0),"")</f>
        <v/>
      </c>
      <c r="D230" t="str">
        <f>IFERROR(VLOOKUP($A230, Ledger!$B$2:$L$8, 5, 0),"")</f>
        <v/>
      </c>
      <c r="E230" t="str">
        <f>IFERROR(VLOOKUP($A230, Ledger!$B$2:$L$8, 6, 0),"")</f>
        <v/>
      </c>
      <c r="F230" t="str">
        <f>IFERROR(VLOOKUP($A230,'Student Data'!$A$2:$AR$6,32,0),"")</f>
        <v/>
      </c>
      <c r="G230" t="str">
        <f>IFERROR(VLOOKUP($A230,'Student Data'!$A$2:$AR$6,33,0),"")</f>
        <v/>
      </c>
      <c r="H230" t="str">
        <f>IFERROR(VLOOKUP($A230,'Student Data'!$A$2:$AR$6,34,0),"")</f>
        <v/>
      </c>
      <c r="I230" t="str">
        <f>IFERROR(VLOOKUP($A230,'Student Data'!$A$2:$AR$6,35,0),"")</f>
        <v/>
      </c>
      <c r="J230" t="str">
        <f>IFERROR(VLOOKUP($A230,'Student Data'!$A$2:$AR$6,36,0),"")</f>
        <v/>
      </c>
      <c r="K230" t="str">
        <f t="shared" si="6"/>
        <v/>
      </c>
      <c r="L230" t="str">
        <f t="shared" si="7"/>
        <v/>
      </c>
      <c r="M230" t="str">
        <f>IFERROR(IF($C230="","",SUMIFS(Ledger!$K$2:$K$4, Ledger!$B$2:$B$4, $A230, Ledger!$C$2:$C$4, M$2)),"****")</f>
        <v/>
      </c>
      <c r="N230" t="str">
        <f>IFERROR(IF($C230="","",SUMIFS(Ledger!$K$2:$K$4, Ledger!$B$2:$B$4, $A230, Ledger!$C$2:$C$4, N$2)),"****")</f>
        <v/>
      </c>
      <c r="O230" t="str">
        <f>IFERROR(IF($C230="","",SUMIFS(Ledger!$K$2:$K$4, Ledger!$B$2:$B$4, $A230, Ledger!$C$2:$C$4, O$2)),"****")</f>
        <v/>
      </c>
      <c r="P230" t="str">
        <f>IFERROR(IF($C230="","",SUMIFS(Ledger!$K$2:$K$4, Ledger!$B$2:$B$4, $A230, Ledger!$C$2:$C$4, P$2)),"****")</f>
        <v/>
      </c>
      <c r="Q230" t="str">
        <f>IFERROR(IF($C230="","",SUMIFS(Ledger!$K$2:$K$4, Ledger!$B$2:$B$4, $A230, Ledger!$C$2:$C$4, Q$2)),"****")</f>
        <v/>
      </c>
      <c r="R230" t="str">
        <f>IFERROR(IF($C230="","",SUMIFS(Ledger!$K$2:$K$4, Ledger!$B$2:$B$4, $A230, Ledger!$C$2:$C$4, R$2)),"****")</f>
        <v/>
      </c>
      <c r="S230" t="str">
        <f>IFERROR(IF($C230="","",SUMIFS(Ledger!$K$2:$K$4, Ledger!$B$2:$B$4, $A230, Ledger!$C$2:$C$4, S$2)),"****")</f>
        <v/>
      </c>
      <c r="T230" t="str">
        <f>IFERROR(IF($C230="","",SUMIFS(Ledger!$K$2:$K$4, Ledger!$B$2:$B$4, $A230, Ledger!$C$2:$C$4, T$2)),"****")</f>
        <v/>
      </c>
      <c r="U230" t="str">
        <f>IFERROR(IF($C230="","",SUMIFS(Ledger!$K$2:$K$4, Ledger!$B$2:$B$4, $A230, Ledger!$C$2:$C$4, U$2)),"****")</f>
        <v/>
      </c>
      <c r="V230" t="str">
        <f>IFERROR(IF($C230="","",SUMIFS(Ledger!$K$2:$K$4, Ledger!$B$2:$B$4, $A230, Ledger!$C$2:$C$4, V$2)),"****")</f>
        <v/>
      </c>
      <c r="W230" t="str">
        <f>IFERROR(IF($C230="","",SUMIFS(Ledger!$K$2:$K$4, Ledger!$B$2:$B$4, $A230, Ledger!$C$2:$C$4, W$2)),"****")</f>
        <v/>
      </c>
      <c r="X230" t="str">
        <f>IFERROR(IF($C230="","",SUMIFS(Ledger!$K$2:$K$4, Ledger!$B$2:$B$4, $A230, Ledger!$C$2:$C$4, X$2)),"****")</f>
        <v/>
      </c>
    </row>
    <row r="231" spans="1:24" x14ac:dyDescent="0.3">
      <c r="A231" s="106">
        <v>229</v>
      </c>
      <c r="B231" t="str">
        <f>IFERROR(VLOOKUP($A231, Ledger!$B$2:$L$8, 3, 0),"")</f>
        <v/>
      </c>
      <c r="C231" t="str">
        <f>IFERROR(VLOOKUP($A231, Ledger!$B$2:$L$8, 4, 0),"")</f>
        <v/>
      </c>
      <c r="D231" t="str">
        <f>IFERROR(VLOOKUP($A231, Ledger!$B$2:$L$8, 5, 0),"")</f>
        <v/>
      </c>
      <c r="E231" t="str">
        <f>IFERROR(VLOOKUP($A231, Ledger!$B$2:$L$8, 6, 0),"")</f>
        <v/>
      </c>
      <c r="F231" t="str">
        <f>IFERROR(VLOOKUP($A231,'Student Data'!$A$2:$AR$6,32,0),"")</f>
        <v/>
      </c>
      <c r="G231" t="str">
        <f>IFERROR(VLOOKUP($A231,'Student Data'!$A$2:$AR$6,33,0),"")</f>
        <v/>
      </c>
      <c r="H231" t="str">
        <f>IFERROR(VLOOKUP($A231,'Student Data'!$A$2:$AR$6,34,0),"")</f>
        <v/>
      </c>
      <c r="I231" t="str">
        <f>IFERROR(VLOOKUP($A231,'Student Data'!$A$2:$AR$6,35,0),"")</f>
        <v/>
      </c>
      <c r="J231" t="str">
        <f>IFERROR(VLOOKUP($A231,'Student Data'!$A$2:$AR$6,36,0),"")</f>
        <v/>
      </c>
      <c r="K231" t="str">
        <f t="shared" si="6"/>
        <v/>
      </c>
      <c r="L231" t="str">
        <f t="shared" si="7"/>
        <v/>
      </c>
      <c r="M231" t="str">
        <f>IFERROR(IF($C231="","",SUMIFS(Ledger!$K$2:$K$4, Ledger!$B$2:$B$4, $A231, Ledger!$C$2:$C$4, M$2)),"****")</f>
        <v/>
      </c>
      <c r="N231" t="str">
        <f>IFERROR(IF($C231="","",SUMIFS(Ledger!$K$2:$K$4, Ledger!$B$2:$B$4, $A231, Ledger!$C$2:$C$4, N$2)),"****")</f>
        <v/>
      </c>
      <c r="O231" t="str">
        <f>IFERROR(IF($C231="","",SUMIFS(Ledger!$K$2:$K$4, Ledger!$B$2:$B$4, $A231, Ledger!$C$2:$C$4, O$2)),"****")</f>
        <v/>
      </c>
      <c r="P231" t="str">
        <f>IFERROR(IF($C231="","",SUMIFS(Ledger!$K$2:$K$4, Ledger!$B$2:$B$4, $A231, Ledger!$C$2:$C$4, P$2)),"****")</f>
        <v/>
      </c>
      <c r="Q231" t="str">
        <f>IFERROR(IF($C231="","",SUMIFS(Ledger!$K$2:$K$4, Ledger!$B$2:$B$4, $A231, Ledger!$C$2:$C$4, Q$2)),"****")</f>
        <v/>
      </c>
      <c r="R231" t="str">
        <f>IFERROR(IF($C231="","",SUMIFS(Ledger!$K$2:$K$4, Ledger!$B$2:$B$4, $A231, Ledger!$C$2:$C$4, R$2)),"****")</f>
        <v/>
      </c>
      <c r="S231" t="str">
        <f>IFERROR(IF($C231="","",SUMIFS(Ledger!$K$2:$K$4, Ledger!$B$2:$B$4, $A231, Ledger!$C$2:$C$4, S$2)),"****")</f>
        <v/>
      </c>
      <c r="T231" t="str">
        <f>IFERROR(IF($C231="","",SUMIFS(Ledger!$K$2:$K$4, Ledger!$B$2:$B$4, $A231, Ledger!$C$2:$C$4, T$2)),"****")</f>
        <v/>
      </c>
      <c r="U231" t="str">
        <f>IFERROR(IF($C231="","",SUMIFS(Ledger!$K$2:$K$4, Ledger!$B$2:$B$4, $A231, Ledger!$C$2:$C$4, U$2)),"****")</f>
        <v/>
      </c>
      <c r="V231" t="str">
        <f>IFERROR(IF($C231="","",SUMIFS(Ledger!$K$2:$K$4, Ledger!$B$2:$B$4, $A231, Ledger!$C$2:$C$4, V$2)),"****")</f>
        <v/>
      </c>
      <c r="W231" t="str">
        <f>IFERROR(IF($C231="","",SUMIFS(Ledger!$K$2:$K$4, Ledger!$B$2:$B$4, $A231, Ledger!$C$2:$C$4, W$2)),"****")</f>
        <v/>
      </c>
      <c r="X231" t="str">
        <f>IFERROR(IF($C231="","",SUMIFS(Ledger!$K$2:$K$4, Ledger!$B$2:$B$4, $A231, Ledger!$C$2:$C$4, X$2)),"****")</f>
        <v/>
      </c>
    </row>
    <row r="232" spans="1:24" x14ac:dyDescent="0.3">
      <c r="A232" s="106">
        <v>230</v>
      </c>
      <c r="B232" t="str">
        <f>IFERROR(VLOOKUP($A232, Ledger!$B$2:$L$8, 3, 0),"")</f>
        <v/>
      </c>
      <c r="C232" t="str">
        <f>IFERROR(VLOOKUP($A232, Ledger!$B$2:$L$8, 4, 0),"")</f>
        <v/>
      </c>
      <c r="D232" t="str">
        <f>IFERROR(VLOOKUP($A232, Ledger!$B$2:$L$8, 5, 0),"")</f>
        <v/>
      </c>
      <c r="E232" t="str">
        <f>IFERROR(VLOOKUP($A232, Ledger!$B$2:$L$8, 6, 0),"")</f>
        <v/>
      </c>
      <c r="F232" t="str">
        <f>IFERROR(VLOOKUP($A232,'Student Data'!$A$2:$AR$6,32,0),"")</f>
        <v/>
      </c>
      <c r="G232" t="str">
        <f>IFERROR(VLOOKUP($A232,'Student Data'!$A$2:$AR$6,33,0),"")</f>
        <v/>
      </c>
      <c r="H232" t="str">
        <f>IFERROR(VLOOKUP($A232,'Student Data'!$A$2:$AR$6,34,0),"")</f>
        <v/>
      </c>
      <c r="I232" t="str">
        <f>IFERROR(VLOOKUP($A232,'Student Data'!$A$2:$AR$6,35,0),"")</f>
        <v/>
      </c>
      <c r="J232" t="str">
        <f>IFERROR(VLOOKUP($A232,'Student Data'!$A$2:$AR$6,36,0),"")</f>
        <v/>
      </c>
      <c r="K232" t="str">
        <f t="shared" si="6"/>
        <v/>
      </c>
      <c r="L232" t="str">
        <f t="shared" si="7"/>
        <v/>
      </c>
      <c r="M232" t="str">
        <f>IFERROR(IF($C232="","",SUMIFS(Ledger!$K$2:$K$4, Ledger!$B$2:$B$4, $A232, Ledger!$C$2:$C$4, M$2)),"****")</f>
        <v/>
      </c>
      <c r="N232" t="str">
        <f>IFERROR(IF($C232="","",SUMIFS(Ledger!$K$2:$K$4, Ledger!$B$2:$B$4, $A232, Ledger!$C$2:$C$4, N$2)),"****")</f>
        <v/>
      </c>
      <c r="O232" t="str">
        <f>IFERROR(IF($C232="","",SUMIFS(Ledger!$K$2:$K$4, Ledger!$B$2:$B$4, $A232, Ledger!$C$2:$C$4, O$2)),"****")</f>
        <v/>
      </c>
      <c r="P232" t="str">
        <f>IFERROR(IF($C232="","",SUMIFS(Ledger!$K$2:$K$4, Ledger!$B$2:$B$4, $A232, Ledger!$C$2:$C$4, P$2)),"****")</f>
        <v/>
      </c>
      <c r="Q232" t="str">
        <f>IFERROR(IF($C232="","",SUMIFS(Ledger!$K$2:$K$4, Ledger!$B$2:$B$4, $A232, Ledger!$C$2:$C$4, Q$2)),"****")</f>
        <v/>
      </c>
      <c r="R232" t="str">
        <f>IFERROR(IF($C232="","",SUMIFS(Ledger!$K$2:$K$4, Ledger!$B$2:$B$4, $A232, Ledger!$C$2:$C$4, R$2)),"****")</f>
        <v/>
      </c>
      <c r="S232" t="str">
        <f>IFERROR(IF($C232="","",SUMIFS(Ledger!$K$2:$K$4, Ledger!$B$2:$B$4, $A232, Ledger!$C$2:$C$4, S$2)),"****")</f>
        <v/>
      </c>
      <c r="T232" t="str">
        <f>IFERROR(IF($C232="","",SUMIFS(Ledger!$K$2:$K$4, Ledger!$B$2:$B$4, $A232, Ledger!$C$2:$C$4, T$2)),"****")</f>
        <v/>
      </c>
      <c r="U232" t="str">
        <f>IFERROR(IF($C232="","",SUMIFS(Ledger!$K$2:$K$4, Ledger!$B$2:$B$4, $A232, Ledger!$C$2:$C$4, U$2)),"****")</f>
        <v/>
      </c>
      <c r="V232" t="str">
        <f>IFERROR(IF($C232="","",SUMIFS(Ledger!$K$2:$K$4, Ledger!$B$2:$B$4, $A232, Ledger!$C$2:$C$4, V$2)),"****")</f>
        <v/>
      </c>
      <c r="W232" t="str">
        <f>IFERROR(IF($C232="","",SUMIFS(Ledger!$K$2:$K$4, Ledger!$B$2:$B$4, $A232, Ledger!$C$2:$C$4, W$2)),"****")</f>
        <v/>
      </c>
      <c r="X232" t="str">
        <f>IFERROR(IF($C232="","",SUMIFS(Ledger!$K$2:$K$4, Ledger!$B$2:$B$4, $A232, Ledger!$C$2:$C$4, X$2)),"****")</f>
        <v/>
      </c>
    </row>
    <row r="233" spans="1:24" x14ac:dyDescent="0.3">
      <c r="A233" s="106">
        <v>231</v>
      </c>
      <c r="B233" t="str">
        <f>IFERROR(VLOOKUP($A233, Ledger!$B$2:$L$8, 3, 0),"")</f>
        <v/>
      </c>
      <c r="C233" t="str">
        <f>IFERROR(VLOOKUP($A233, Ledger!$B$2:$L$8, 4, 0),"")</f>
        <v/>
      </c>
      <c r="D233" t="str">
        <f>IFERROR(VLOOKUP($A233, Ledger!$B$2:$L$8, 5, 0),"")</f>
        <v/>
      </c>
      <c r="E233" t="str">
        <f>IFERROR(VLOOKUP($A233, Ledger!$B$2:$L$8, 6, 0),"")</f>
        <v/>
      </c>
      <c r="F233" t="str">
        <f>IFERROR(VLOOKUP($A233,'Student Data'!$A$2:$AR$6,32,0),"")</f>
        <v/>
      </c>
      <c r="G233" t="str">
        <f>IFERROR(VLOOKUP($A233,'Student Data'!$A$2:$AR$6,33,0),"")</f>
        <v/>
      </c>
      <c r="H233" t="str">
        <f>IFERROR(VLOOKUP($A233,'Student Data'!$A$2:$AR$6,34,0),"")</f>
        <v/>
      </c>
      <c r="I233" t="str">
        <f>IFERROR(VLOOKUP($A233,'Student Data'!$A$2:$AR$6,35,0),"")</f>
        <v/>
      </c>
      <c r="J233" t="str">
        <f>IFERROR(VLOOKUP($A233,'Student Data'!$A$2:$AR$6,36,0),"")</f>
        <v/>
      </c>
      <c r="K233" t="str">
        <f t="shared" si="6"/>
        <v/>
      </c>
      <c r="L233" t="str">
        <f t="shared" si="7"/>
        <v/>
      </c>
      <c r="M233" t="str">
        <f>IFERROR(IF($C233="","",SUMIFS(Ledger!$K$2:$K$4, Ledger!$B$2:$B$4, $A233, Ledger!$C$2:$C$4, M$2)),"****")</f>
        <v/>
      </c>
      <c r="N233" t="str">
        <f>IFERROR(IF($C233="","",SUMIFS(Ledger!$K$2:$K$4, Ledger!$B$2:$B$4, $A233, Ledger!$C$2:$C$4, N$2)),"****")</f>
        <v/>
      </c>
      <c r="O233" t="str">
        <f>IFERROR(IF($C233="","",SUMIFS(Ledger!$K$2:$K$4, Ledger!$B$2:$B$4, $A233, Ledger!$C$2:$C$4, O$2)),"****")</f>
        <v/>
      </c>
      <c r="P233" t="str">
        <f>IFERROR(IF($C233="","",SUMIFS(Ledger!$K$2:$K$4, Ledger!$B$2:$B$4, $A233, Ledger!$C$2:$C$4, P$2)),"****")</f>
        <v/>
      </c>
      <c r="Q233" t="str">
        <f>IFERROR(IF($C233="","",SUMIFS(Ledger!$K$2:$K$4, Ledger!$B$2:$B$4, $A233, Ledger!$C$2:$C$4, Q$2)),"****")</f>
        <v/>
      </c>
      <c r="R233" t="str">
        <f>IFERROR(IF($C233="","",SUMIFS(Ledger!$K$2:$K$4, Ledger!$B$2:$B$4, $A233, Ledger!$C$2:$C$4, R$2)),"****")</f>
        <v/>
      </c>
      <c r="S233" t="str">
        <f>IFERROR(IF($C233="","",SUMIFS(Ledger!$K$2:$K$4, Ledger!$B$2:$B$4, $A233, Ledger!$C$2:$C$4, S$2)),"****")</f>
        <v/>
      </c>
      <c r="T233" t="str">
        <f>IFERROR(IF($C233="","",SUMIFS(Ledger!$K$2:$K$4, Ledger!$B$2:$B$4, $A233, Ledger!$C$2:$C$4, T$2)),"****")</f>
        <v/>
      </c>
      <c r="U233" t="str">
        <f>IFERROR(IF($C233="","",SUMIFS(Ledger!$K$2:$K$4, Ledger!$B$2:$B$4, $A233, Ledger!$C$2:$C$4, U$2)),"****")</f>
        <v/>
      </c>
      <c r="V233" t="str">
        <f>IFERROR(IF($C233="","",SUMIFS(Ledger!$K$2:$K$4, Ledger!$B$2:$B$4, $A233, Ledger!$C$2:$C$4, V$2)),"****")</f>
        <v/>
      </c>
      <c r="W233" t="str">
        <f>IFERROR(IF($C233="","",SUMIFS(Ledger!$K$2:$K$4, Ledger!$B$2:$B$4, $A233, Ledger!$C$2:$C$4, W$2)),"****")</f>
        <v/>
      </c>
      <c r="X233" t="str">
        <f>IFERROR(IF($C233="","",SUMIFS(Ledger!$K$2:$K$4, Ledger!$B$2:$B$4, $A233, Ledger!$C$2:$C$4, X$2)),"****")</f>
        <v/>
      </c>
    </row>
    <row r="234" spans="1:24" x14ac:dyDescent="0.3">
      <c r="A234" s="106">
        <v>232</v>
      </c>
      <c r="B234" t="str">
        <f>IFERROR(VLOOKUP($A234, Ledger!$B$2:$L$8, 3, 0),"")</f>
        <v/>
      </c>
      <c r="C234" t="str">
        <f>IFERROR(VLOOKUP($A234, Ledger!$B$2:$L$8, 4, 0),"")</f>
        <v/>
      </c>
      <c r="D234" t="str">
        <f>IFERROR(VLOOKUP($A234, Ledger!$B$2:$L$8, 5, 0),"")</f>
        <v/>
      </c>
      <c r="E234" t="str">
        <f>IFERROR(VLOOKUP($A234, Ledger!$B$2:$L$8, 6, 0),"")</f>
        <v/>
      </c>
      <c r="F234" t="str">
        <f>IFERROR(VLOOKUP($A234,'Student Data'!$A$2:$AR$6,32,0),"")</f>
        <v/>
      </c>
      <c r="G234" t="str">
        <f>IFERROR(VLOOKUP($A234,'Student Data'!$A$2:$AR$6,33,0),"")</f>
        <v/>
      </c>
      <c r="H234" t="str">
        <f>IFERROR(VLOOKUP($A234,'Student Data'!$A$2:$AR$6,34,0),"")</f>
        <v/>
      </c>
      <c r="I234" t="str">
        <f>IFERROR(VLOOKUP($A234,'Student Data'!$A$2:$AR$6,35,0),"")</f>
        <v/>
      </c>
      <c r="J234" t="str">
        <f>IFERROR(VLOOKUP($A234,'Student Data'!$A$2:$AR$6,36,0),"")</f>
        <v/>
      </c>
      <c r="K234" t="str">
        <f t="shared" si="6"/>
        <v/>
      </c>
      <c r="L234" t="str">
        <f t="shared" si="7"/>
        <v/>
      </c>
      <c r="M234" t="str">
        <f>IFERROR(IF($C234="","",SUMIFS(Ledger!$K$2:$K$4, Ledger!$B$2:$B$4, $A234, Ledger!$C$2:$C$4, M$2)),"****")</f>
        <v/>
      </c>
      <c r="N234" t="str">
        <f>IFERROR(IF($C234="","",SUMIFS(Ledger!$K$2:$K$4, Ledger!$B$2:$B$4, $A234, Ledger!$C$2:$C$4, N$2)),"****")</f>
        <v/>
      </c>
      <c r="O234" t="str">
        <f>IFERROR(IF($C234="","",SUMIFS(Ledger!$K$2:$K$4, Ledger!$B$2:$B$4, $A234, Ledger!$C$2:$C$4, O$2)),"****")</f>
        <v/>
      </c>
      <c r="P234" t="str">
        <f>IFERROR(IF($C234="","",SUMIFS(Ledger!$K$2:$K$4, Ledger!$B$2:$B$4, $A234, Ledger!$C$2:$C$4, P$2)),"****")</f>
        <v/>
      </c>
      <c r="Q234" t="str">
        <f>IFERROR(IF($C234="","",SUMIFS(Ledger!$K$2:$K$4, Ledger!$B$2:$B$4, $A234, Ledger!$C$2:$C$4, Q$2)),"****")</f>
        <v/>
      </c>
      <c r="R234" t="str">
        <f>IFERROR(IF($C234="","",SUMIFS(Ledger!$K$2:$K$4, Ledger!$B$2:$B$4, $A234, Ledger!$C$2:$C$4, R$2)),"****")</f>
        <v/>
      </c>
      <c r="S234" t="str">
        <f>IFERROR(IF($C234="","",SUMIFS(Ledger!$K$2:$K$4, Ledger!$B$2:$B$4, $A234, Ledger!$C$2:$C$4, S$2)),"****")</f>
        <v/>
      </c>
      <c r="T234" t="str">
        <f>IFERROR(IF($C234="","",SUMIFS(Ledger!$K$2:$K$4, Ledger!$B$2:$B$4, $A234, Ledger!$C$2:$C$4, T$2)),"****")</f>
        <v/>
      </c>
      <c r="U234" t="str">
        <f>IFERROR(IF($C234="","",SUMIFS(Ledger!$K$2:$K$4, Ledger!$B$2:$B$4, $A234, Ledger!$C$2:$C$4, U$2)),"****")</f>
        <v/>
      </c>
      <c r="V234" t="str">
        <f>IFERROR(IF($C234="","",SUMIFS(Ledger!$K$2:$K$4, Ledger!$B$2:$B$4, $A234, Ledger!$C$2:$C$4, V$2)),"****")</f>
        <v/>
      </c>
      <c r="W234" t="str">
        <f>IFERROR(IF($C234="","",SUMIFS(Ledger!$K$2:$K$4, Ledger!$B$2:$B$4, $A234, Ledger!$C$2:$C$4, W$2)),"****")</f>
        <v/>
      </c>
      <c r="X234" t="str">
        <f>IFERROR(IF($C234="","",SUMIFS(Ledger!$K$2:$K$4, Ledger!$B$2:$B$4, $A234, Ledger!$C$2:$C$4, X$2)),"****")</f>
        <v/>
      </c>
    </row>
    <row r="235" spans="1:24" x14ac:dyDescent="0.3">
      <c r="A235" s="106">
        <v>233</v>
      </c>
      <c r="B235" t="str">
        <f>IFERROR(VLOOKUP($A235, Ledger!$B$2:$L$8, 3, 0),"")</f>
        <v/>
      </c>
      <c r="C235" t="str">
        <f>IFERROR(VLOOKUP($A235, Ledger!$B$2:$L$8, 4, 0),"")</f>
        <v/>
      </c>
      <c r="D235" t="str">
        <f>IFERROR(VLOOKUP($A235, Ledger!$B$2:$L$8, 5, 0),"")</f>
        <v/>
      </c>
      <c r="E235" t="str">
        <f>IFERROR(VLOOKUP($A235, Ledger!$B$2:$L$8, 6, 0),"")</f>
        <v/>
      </c>
      <c r="F235" t="str">
        <f>IFERROR(VLOOKUP($A235,'Student Data'!$A$2:$AR$6,32,0),"")</f>
        <v/>
      </c>
      <c r="G235" t="str">
        <f>IFERROR(VLOOKUP($A235,'Student Data'!$A$2:$AR$6,33,0),"")</f>
        <v/>
      </c>
      <c r="H235" t="str">
        <f>IFERROR(VLOOKUP($A235,'Student Data'!$A$2:$AR$6,34,0),"")</f>
        <v/>
      </c>
      <c r="I235" t="str">
        <f>IFERROR(VLOOKUP($A235,'Student Data'!$A$2:$AR$6,35,0),"")</f>
        <v/>
      </c>
      <c r="J235" t="str">
        <f>IFERROR(VLOOKUP($A235,'Student Data'!$A$2:$AR$6,36,0),"")</f>
        <v/>
      </c>
      <c r="K235" t="str">
        <f t="shared" si="6"/>
        <v/>
      </c>
      <c r="L235" t="str">
        <f t="shared" si="7"/>
        <v/>
      </c>
      <c r="M235" t="str">
        <f>IFERROR(IF($C235="","",SUMIFS(Ledger!$K$2:$K$4, Ledger!$B$2:$B$4, $A235, Ledger!$C$2:$C$4, M$2)),"****")</f>
        <v/>
      </c>
      <c r="N235" t="str">
        <f>IFERROR(IF($C235="","",SUMIFS(Ledger!$K$2:$K$4, Ledger!$B$2:$B$4, $A235, Ledger!$C$2:$C$4, N$2)),"****")</f>
        <v/>
      </c>
      <c r="O235" t="str">
        <f>IFERROR(IF($C235="","",SUMIFS(Ledger!$K$2:$K$4, Ledger!$B$2:$B$4, $A235, Ledger!$C$2:$C$4, O$2)),"****")</f>
        <v/>
      </c>
      <c r="P235" t="str">
        <f>IFERROR(IF($C235="","",SUMIFS(Ledger!$K$2:$K$4, Ledger!$B$2:$B$4, $A235, Ledger!$C$2:$C$4, P$2)),"****")</f>
        <v/>
      </c>
      <c r="Q235" t="str">
        <f>IFERROR(IF($C235="","",SUMIFS(Ledger!$K$2:$K$4, Ledger!$B$2:$B$4, $A235, Ledger!$C$2:$C$4, Q$2)),"****")</f>
        <v/>
      </c>
      <c r="R235" t="str">
        <f>IFERROR(IF($C235="","",SUMIFS(Ledger!$K$2:$K$4, Ledger!$B$2:$B$4, $A235, Ledger!$C$2:$C$4, R$2)),"****")</f>
        <v/>
      </c>
      <c r="S235" t="str">
        <f>IFERROR(IF($C235="","",SUMIFS(Ledger!$K$2:$K$4, Ledger!$B$2:$B$4, $A235, Ledger!$C$2:$C$4, S$2)),"****")</f>
        <v/>
      </c>
      <c r="T235" t="str">
        <f>IFERROR(IF($C235="","",SUMIFS(Ledger!$K$2:$K$4, Ledger!$B$2:$B$4, $A235, Ledger!$C$2:$C$4, T$2)),"****")</f>
        <v/>
      </c>
      <c r="U235" t="str">
        <f>IFERROR(IF($C235="","",SUMIFS(Ledger!$K$2:$K$4, Ledger!$B$2:$B$4, $A235, Ledger!$C$2:$C$4, U$2)),"****")</f>
        <v/>
      </c>
      <c r="V235" t="str">
        <f>IFERROR(IF($C235="","",SUMIFS(Ledger!$K$2:$K$4, Ledger!$B$2:$B$4, $A235, Ledger!$C$2:$C$4, V$2)),"****")</f>
        <v/>
      </c>
      <c r="W235" t="str">
        <f>IFERROR(IF($C235="","",SUMIFS(Ledger!$K$2:$K$4, Ledger!$B$2:$B$4, $A235, Ledger!$C$2:$C$4, W$2)),"****")</f>
        <v/>
      </c>
      <c r="X235" t="str">
        <f>IFERROR(IF($C235="","",SUMIFS(Ledger!$K$2:$K$4, Ledger!$B$2:$B$4, $A235, Ledger!$C$2:$C$4, X$2)),"****")</f>
        <v/>
      </c>
    </row>
    <row r="236" spans="1:24" x14ac:dyDescent="0.3">
      <c r="A236" s="106">
        <v>234</v>
      </c>
      <c r="B236" t="str">
        <f>IFERROR(VLOOKUP($A236, Ledger!$B$2:$L$8, 3, 0),"")</f>
        <v/>
      </c>
      <c r="C236" t="str">
        <f>IFERROR(VLOOKUP($A236, Ledger!$B$2:$L$8, 4, 0),"")</f>
        <v/>
      </c>
      <c r="D236" t="str">
        <f>IFERROR(VLOOKUP($A236, Ledger!$B$2:$L$8, 5, 0),"")</f>
        <v/>
      </c>
      <c r="E236" t="str">
        <f>IFERROR(VLOOKUP($A236, Ledger!$B$2:$L$8, 6, 0),"")</f>
        <v/>
      </c>
      <c r="F236" t="str">
        <f>IFERROR(VLOOKUP($A236,'Student Data'!$A$2:$AR$6,32,0),"")</f>
        <v/>
      </c>
      <c r="G236" t="str">
        <f>IFERROR(VLOOKUP($A236,'Student Data'!$A$2:$AR$6,33,0),"")</f>
        <v/>
      </c>
      <c r="H236" t="str">
        <f>IFERROR(VLOOKUP($A236,'Student Data'!$A$2:$AR$6,34,0),"")</f>
        <v/>
      </c>
      <c r="I236" t="str">
        <f>IFERROR(VLOOKUP($A236,'Student Data'!$A$2:$AR$6,35,0),"")</f>
        <v/>
      </c>
      <c r="J236" t="str">
        <f>IFERROR(VLOOKUP($A236,'Student Data'!$A$2:$AR$6,36,0),"")</f>
        <v/>
      </c>
      <c r="K236" t="str">
        <f t="shared" si="6"/>
        <v/>
      </c>
      <c r="L236" t="str">
        <f t="shared" si="7"/>
        <v/>
      </c>
      <c r="M236" t="str">
        <f>IFERROR(IF($C236="","",SUMIFS(Ledger!$K$2:$K$4, Ledger!$B$2:$B$4, $A236, Ledger!$C$2:$C$4, M$2)),"****")</f>
        <v/>
      </c>
      <c r="N236" t="str">
        <f>IFERROR(IF($C236="","",SUMIFS(Ledger!$K$2:$K$4, Ledger!$B$2:$B$4, $A236, Ledger!$C$2:$C$4, N$2)),"****")</f>
        <v/>
      </c>
      <c r="O236" t="str">
        <f>IFERROR(IF($C236="","",SUMIFS(Ledger!$K$2:$K$4, Ledger!$B$2:$B$4, $A236, Ledger!$C$2:$C$4, O$2)),"****")</f>
        <v/>
      </c>
      <c r="P236" t="str">
        <f>IFERROR(IF($C236="","",SUMIFS(Ledger!$K$2:$K$4, Ledger!$B$2:$B$4, $A236, Ledger!$C$2:$C$4, P$2)),"****")</f>
        <v/>
      </c>
      <c r="Q236" t="str">
        <f>IFERROR(IF($C236="","",SUMIFS(Ledger!$K$2:$K$4, Ledger!$B$2:$B$4, $A236, Ledger!$C$2:$C$4, Q$2)),"****")</f>
        <v/>
      </c>
      <c r="R236" t="str">
        <f>IFERROR(IF($C236="","",SUMIFS(Ledger!$K$2:$K$4, Ledger!$B$2:$B$4, $A236, Ledger!$C$2:$C$4, R$2)),"****")</f>
        <v/>
      </c>
      <c r="S236" t="str">
        <f>IFERROR(IF($C236="","",SUMIFS(Ledger!$K$2:$K$4, Ledger!$B$2:$B$4, $A236, Ledger!$C$2:$C$4, S$2)),"****")</f>
        <v/>
      </c>
      <c r="T236" t="str">
        <f>IFERROR(IF($C236="","",SUMIFS(Ledger!$K$2:$K$4, Ledger!$B$2:$B$4, $A236, Ledger!$C$2:$C$4, T$2)),"****")</f>
        <v/>
      </c>
      <c r="U236" t="str">
        <f>IFERROR(IF($C236="","",SUMIFS(Ledger!$K$2:$K$4, Ledger!$B$2:$B$4, $A236, Ledger!$C$2:$C$4, U$2)),"****")</f>
        <v/>
      </c>
      <c r="V236" t="str">
        <f>IFERROR(IF($C236="","",SUMIFS(Ledger!$K$2:$K$4, Ledger!$B$2:$B$4, $A236, Ledger!$C$2:$C$4, V$2)),"****")</f>
        <v/>
      </c>
      <c r="W236" t="str">
        <f>IFERROR(IF($C236="","",SUMIFS(Ledger!$K$2:$K$4, Ledger!$B$2:$B$4, $A236, Ledger!$C$2:$C$4, W$2)),"****")</f>
        <v/>
      </c>
      <c r="X236" t="str">
        <f>IFERROR(IF($C236="","",SUMIFS(Ledger!$K$2:$K$4, Ledger!$B$2:$B$4, $A236, Ledger!$C$2:$C$4, X$2)),"****")</f>
        <v/>
      </c>
    </row>
    <row r="237" spans="1:24" x14ac:dyDescent="0.3">
      <c r="A237" s="106">
        <v>235</v>
      </c>
      <c r="B237" t="str">
        <f>IFERROR(VLOOKUP($A237, Ledger!$B$2:$L$8, 3, 0),"")</f>
        <v/>
      </c>
      <c r="C237" t="str">
        <f>IFERROR(VLOOKUP($A237, Ledger!$B$2:$L$8, 4, 0),"")</f>
        <v/>
      </c>
      <c r="D237" t="str">
        <f>IFERROR(VLOOKUP($A237, Ledger!$B$2:$L$8, 5, 0),"")</f>
        <v/>
      </c>
      <c r="E237" t="str">
        <f>IFERROR(VLOOKUP($A237, Ledger!$B$2:$L$8, 6, 0),"")</f>
        <v/>
      </c>
      <c r="F237" t="str">
        <f>IFERROR(VLOOKUP($A237,'Student Data'!$A$2:$AR$6,32,0),"")</f>
        <v/>
      </c>
      <c r="G237" t="str">
        <f>IFERROR(VLOOKUP($A237,'Student Data'!$A$2:$AR$6,33,0),"")</f>
        <v/>
      </c>
      <c r="H237" t="str">
        <f>IFERROR(VLOOKUP($A237,'Student Data'!$A$2:$AR$6,34,0),"")</f>
        <v/>
      </c>
      <c r="I237" t="str">
        <f>IFERROR(VLOOKUP($A237,'Student Data'!$A$2:$AR$6,35,0),"")</f>
        <v/>
      </c>
      <c r="J237" t="str">
        <f>IFERROR(VLOOKUP($A237,'Student Data'!$A$2:$AR$6,36,0),"")</f>
        <v/>
      </c>
      <c r="K237" t="str">
        <f t="shared" si="6"/>
        <v/>
      </c>
      <c r="L237" t="str">
        <f t="shared" si="7"/>
        <v/>
      </c>
      <c r="M237" t="str">
        <f>IFERROR(IF($C237="","",SUMIFS(Ledger!$K$2:$K$4, Ledger!$B$2:$B$4, $A237, Ledger!$C$2:$C$4, M$2)),"****")</f>
        <v/>
      </c>
      <c r="N237" t="str">
        <f>IFERROR(IF($C237="","",SUMIFS(Ledger!$K$2:$K$4, Ledger!$B$2:$B$4, $A237, Ledger!$C$2:$C$4, N$2)),"****")</f>
        <v/>
      </c>
      <c r="O237" t="str">
        <f>IFERROR(IF($C237="","",SUMIFS(Ledger!$K$2:$K$4, Ledger!$B$2:$B$4, $A237, Ledger!$C$2:$C$4, O$2)),"****")</f>
        <v/>
      </c>
      <c r="P237" t="str">
        <f>IFERROR(IF($C237="","",SUMIFS(Ledger!$K$2:$K$4, Ledger!$B$2:$B$4, $A237, Ledger!$C$2:$C$4, P$2)),"****")</f>
        <v/>
      </c>
      <c r="Q237" t="str">
        <f>IFERROR(IF($C237="","",SUMIFS(Ledger!$K$2:$K$4, Ledger!$B$2:$B$4, $A237, Ledger!$C$2:$C$4, Q$2)),"****")</f>
        <v/>
      </c>
      <c r="R237" t="str">
        <f>IFERROR(IF($C237="","",SUMIFS(Ledger!$K$2:$K$4, Ledger!$B$2:$B$4, $A237, Ledger!$C$2:$C$4, R$2)),"****")</f>
        <v/>
      </c>
      <c r="S237" t="str">
        <f>IFERROR(IF($C237="","",SUMIFS(Ledger!$K$2:$K$4, Ledger!$B$2:$B$4, $A237, Ledger!$C$2:$C$4, S$2)),"****")</f>
        <v/>
      </c>
      <c r="T237" t="str">
        <f>IFERROR(IF($C237="","",SUMIFS(Ledger!$K$2:$K$4, Ledger!$B$2:$B$4, $A237, Ledger!$C$2:$C$4, T$2)),"****")</f>
        <v/>
      </c>
      <c r="U237" t="str">
        <f>IFERROR(IF($C237="","",SUMIFS(Ledger!$K$2:$K$4, Ledger!$B$2:$B$4, $A237, Ledger!$C$2:$C$4, U$2)),"****")</f>
        <v/>
      </c>
      <c r="V237" t="str">
        <f>IFERROR(IF($C237="","",SUMIFS(Ledger!$K$2:$K$4, Ledger!$B$2:$B$4, $A237, Ledger!$C$2:$C$4, V$2)),"****")</f>
        <v/>
      </c>
      <c r="W237" t="str">
        <f>IFERROR(IF($C237="","",SUMIFS(Ledger!$K$2:$K$4, Ledger!$B$2:$B$4, $A237, Ledger!$C$2:$C$4, W$2)),"****")</f>
        <v/>
      </c>
      <c r="X237" t="str">
        <f>IFERROR(IF($C237="","",SUMIFS(Ledger!$K$2:$K$4, Ledger!$B$2:$B$4, $A237, Ledger!$C$2:$C$4, X$2)),"****")</f>
        <v/>
      </c>
    </row>
    <row r="238" spans="1:24" x14ac:dyDescent="0.3">
      <c r="A238" s="106">
        <v>236</v>
      </c>
      <c r="B238" t="str">
        <f>IFERROR(VLOOKUP($A238, Ledger!$B$2:$L$8, 3, 0),"")</f>
        <v/>
      </c>
      <c r="C238" t="str">
        <f>IFERROR(VLOOKUP($A238, Ledger!$B$2:$L$8, 4, 0),"")</f>
        <v/>
      </c>
      <c r="D238" t="str">
        <f>IFERROR(VLOOKUP($A238, Ledger!$B$2:$L$8, 5, 0),"")</f>
        <v/>
      </c>
      <c r="E238" t="str">
        <f>IFERROR(VLOOKUP($A238, Ledger!$B$2:$L$8, 6, 0),"")</f>
        <v/>
      </c>
      <c r="F238" t="str">
        <f>IFERROR(VLOOKUP($A238,'Student Data'!$A$2:$AR$6,32,0),"")</f>
        <v/>
      </c>
      <c r="G238" t="str">
        <f>IFERROR(VLOOKUP($A238,'Student Data'!$A$2:$AR$6,33,0),"")</f>
        <v/>
      </c>
      <c r="H238" t="str">
        <f>IFERROR(VLOOKUP($A238,'Student Data'!$A$2:$AR$6,34,0),"")</f>
        <v/>
      </c>
      <c r="I238" t="str">
        <f>IFERROR(VLOOKUP($A238,'Student Data'!$A$2:$AR$6,35,0),"")</f>
        <v/>
      </c>
      <c r="J238" t="str">
        <f>IFERROR(VLOOKUP($A238,'Student Data'!$A$2:$AR$6,36,0),"")</f>
        <v/>
      </c>
      <c r="K238" t="str">
        <f t="shared" si="6"/>
        <v/>
      </c>
      <c r="L238" t="str">
        <f t="shared" si="7"/>
        <v/>
      </c>
      <c r="M238" t="str">
        <f>IFERROR(IF($C238="","",SUMIFS(Ledger!$K$2:$K$4, Ledger!$B$2:$B$4, $A238, Ledger!$C$2:$C$4, M$2)),"****")</f>
        <v/>
      </c>
      <c r="N238" t="str">
        <f>IFERROR(IF($C238="","",SUMIFS(Ledger!$K$2:$K$4, Ledger!$B$2:$B$4, $A238, Ledger!$C$2:$C$4, N$2)),"****")</f>
        <v/>
      </c>
      <c r="O238" t="str">
        <f>IFERROR(IF($C238="","",SUMIFS(Ledger!$K$2:$K$4, Ledger!$B$2:$B$4, $A238, Ledger!$C$2:$C$4, O$2)),"****")</f>
        <v/>
      </c>
      <c r="P238" t="str">
        <f>IFERROR(IF($C238="","",SUMIFS(Ledger!$K$2:$K$4, Ledger!$B$2:$B$4, $A238, Ledger!$C$2:$C$4, P$2)),"****")</f>
        <v/>
      </c>
      <c r="Q238" t="str">
        <f>IFERROR(IF($C238="","",SUMIFS(Ledger!$K$2:$K$4, Ledger!$B$2:$B$4, $A238, Ledger!$C$2:$C$4, Q$2)),"****")</f>
        <v/>
      </c>
      <c r="R238" t="str">
        <f>IFERROR(IF($C238="","",SUMIFS(Ledger!$K$2:$K$4, Ledger!$B$2:$B$4, $A238, Ledger!$C$2:$C$4, R$2)),"****")</f>
        <v/>
      </c>
      <c r="S238" t="str">
        <f>IFERROR(IF($C238="","",SUMIFS(Ledger!$K$2:$K$4, Ledger!$B$2:$B$4, $A238, Ledger!$C$2:$C$4, S$2)),"****")</f>
        <v/>
      </c>
      <c r="T238" t="str">
        <f>IFERROR(IF($C238="","",SUMIFS(Ledger!$K$2:$K$4, Ledger!$B$2:$B$4, $A238, Ledger!$C$2:$C$4, T$2)),"****")</f>
        <v/>
      </c>
      <c r="U238" t="str">
        <f>IFERROR(IF($C238="","",SUMIFS(Ledger!$K$2:$K$4, Ledger!$B$2:$B$4, $A238, Ledger!$C$2:$C$4, U$2)),"****")</f>
        <v/>
      </c>
      <c r="V238" t="str">
        <f>IFERROR(IF($C238="","",SUMIFS(Ledger!$K$2:$K$4, Ledger!$B$2:$B$4, $A238, Ledger!$C$2:$C$4, V$2)),"****")</f>
        <v/>
      </c>
      <c r="W238" t="str">
        <f>IFERROR(IF($C238="","",SUMIFS(Ledger!$K$2:$K$4, Ledger!$B$2:$B$4, $A238, Ledger!$C$2:$C$4, W$2)),"****")</f>
        <v/>
      </c>
      <c r="X238" t="str">
        <f>IFERROR(IF($C238="","",SUMIFS(Ledger!$K$2:$K$4, Ledger!$B$2:$B$4, $A238, Ledger!$C$2:$C$4, X$2)),"****")</f>
        <v/>
      </c>
    </row>
    <row r="239" spans="1:24" x14ac:dyDescent="0.3">
      <c r="A239" s="106">
        <v>237</v>
      </c>
      <c r="B239" t="str">
        <f>IFERROR(VLOOKUP($A239, Ledger!$B$2:$L$8, 3, 0),"")</f>
        <v/>
      </c>
      <c r="C239" t="str">
        <f>IFERROR(VLOOKUP($A239, Ledger!$B$2:$L$8, 4, 0),"")</f>
        <v/>
      </c>
      <c r="D239" t="str">
        <f>IFERROR(VLOOKUP($A239, Ledger!$B$2:$L$8, 5, 0),"")</f>
        <v/>
      </c>
      <c r="E239" t="str">
        <f>IFERROR(VLOOKUP($A239, Ledger!$B$2:$L$8, 6, 0),"")</f>
        <v/>
      </c>
      <c r="F239" t="str">
        <f>IFERROR(VLOOKUP($A239,'Student Data'!$A$2:$AR$6,32,0),"")</f>
        <v/>
      </c>
      <c r="G239" t="str">
        <f>IFERROR(VLOOKUP($A239,'Student Data'!$A$2:$AR$6,33,0),"")</f>
        <v/>
      </c>
      <c r="H239" t="str">
        <f>IFERROR(VLOOKUP($A239,'Student Data'!$A$2:$AR$6,34,0),"")</f>
        <v/>
      </c>
      <c r="I239" t="str">
        <f>IFERROR(VLOOKUP($A239,'Student Data'!$A$2:$AR$6,35,0),"")</f>
        <v/>
      </c>
      <c r="J239" t="str">
        <f>IFERROR(VLOOKUP($A239,'Student Data'!$A$2:$AR$6,36,0),"")</f>
        <v/>
      </c>
      <c r="K239" t="str">
        <f t="shared" si="6"/>
        <v/>
      </c>
      <c r="L239" t="str">
        <f t="shared" si="7"/>
        <v/>
      </c>
      <c r="M239" t="str">
        <f>IFERROR(IF($C239="","",SUMIFS(Ledger!$K$2:$K$4, Ledger!$B$2:$B$4, $A239, Ledger!$C$2:$C$4, M$2)),"****")</f>
        <v/>
      </c>
      <c r="N239" t="str">
        <f>IFERROR(IF($C239="","",SUMIFS(Ledger!$K$2:$K$4, Ledger!$B$2:$B$4, $A239, Ledger!$C$2:$C$4, N$2)),"****")</f>
        <v/>
      </c>
      <c r="O239" t="str">
        <f>IFERROR(IF($C239="","",SUMIFS(Ledger!$K$2:$K$4, Ledger!$B$2:$B$4, $A239, Ledger!$C$2:$C$4, O$2)),"****")</f>
        <v/>
      </c>
      <c r="P239" t="str">
        <f>IFERROR(IF($C239="","",SUMIFS(Ledger!$K$2:$K$4, Ledger!$B$2:$B$4, $A239, Ledger!$C$2:$C$4, P$2)),"****")</f>
        <v/>
      </c>
      <c r="Q239" t="str">
        <f>IFERROR(IF($C239="","",SUMIFS(Ledger!$K$2:$K$4, Ledger!$B$2:$B$4, $A239, Ledger!$C$2:$C$4, Q$2)),"****")</f>
        <v/>
      </c>
      <c r="R239" t="str">
        <f>IFERROR(IF($C239="","",SUMIFS(Ledger!$K$2:$K$4, Ledger!$B$2:$B$4, $A239, Ledger!$C$2:$C$4, R$2)),"****")</f>
        <v/>
      </c>
      <c r="S239" t="str">
        <f>IFERROR(IF($C239="","",SUMIFS(Ledger!$K$2:$K$4, Ledger!$B$2:$B$4, $A239, Ledger!$C$2:$C$4, S$2)),"****")</f>
        <v/>
      </c>
      <c r="T239" t="str">
        <f>IFERROR(IF($C239="","",SUMIFS(Ledger!$K$2:$K$4, Ledger!$B$2:$B$4, $A239, Ledger!$C$2:$C$4, T$2)),"****")</f>
        <v/>
      </c>
      <c r="U239" t="str">
        <f>IFERROR(IF($C239="","",SUMIFS(Ledger!$K$2:$K$4, Ledger!$B$2:$B$4, $A239, Ledger!$C$2:$C$4, U$2)),"****")</f>
        <v/>
      </c>
      <c r="V239" t="str">
        <f>IFERROR(IF($C239="","",SUMIFS(Ledger!$K$2:$K$4, Ledger!$B$2:$B$4, $A239, Ledger!$C$2:$C$4, V$2)),"****")</f>
        <v/>
      </c>
      <c r="W239" t="str">
        <f>IFERROR(IF($C239="","",SUMIFS(Ledger!$K$2:$K$4, Ledger!$B$2:$B$4, $A239, Ledger!$C$2:$C$4, W$2)),"****")</f>
        <v/>
      </c>
      <c r="X239" t="str">
        <f>IFERROR(IF($C239="","",SUMIFS(Ledger!$K$2:$K$4, Ledger!$B$2:$B$4, $A239, Ledger!$C$2:$C$4, X$2)),"****")</f>
        <v/>
      </c>
    </row>
    <row r="240" spans="1:24" x14ac:dyDescent="0.3">
      <c r="A240" s="106">
        <v>238</v>
      </c>
      <c r="B240" t="str">
        <f>IFERROR(VLOOKUP($A240, Ledger!$B$2:$L$8, 3, 0),"")</f>
        <v/>
      </c>
      <c r="C240" t="str">
        <f>IFERROR(VLOOKUP($A240, Ledger!$B$2:$L$8, 4, 0),"")</f>
        <v/>
      </c>
      <c r="D240" t="str">
        <f>IFERROR(VLOOKUP($A240, Ledger!$B$2:$L$8, 5, 0),"")</f>
        <v/>
      </c>
      <c r="E240" t="str">
        <f>IFERROR(VLOOKUP($A240, Ledger!$B$2:$L$8, 6, 0),"")</f>
        <v/>
      </c>
      <c r="F240" t="str">
        <f>IFERROR(VLOOKUP($A240,'Student Data'!$A$2:$AR$6,32,0),"")</f>
        <v/>
      </c>
      <c r="G240" t="str">
        <f>IFERROR(VLOOKUP($A240,'Student Data'!$A$2:$AR$6,33,0),"")</f>
        <v/>
      </c>
      <c r="H240" t="str">
        <f>IFERROR(VLOOKUP($A240,'Student Data'!$A$2:$AR$6,34,0),"")</f>
        <v/>
      </c>
      <c r="I240" t="str">
        <f>IFERROR(VLOOKUP($A240,'Student Data'!$A$2:$AR$6,35,0),"")</f>
        <v/>
      </c>
      <c r="J240" t="str">
        <f>IFERROR(VLOOKUP($A240,'Student Data'!$A$2:$AR$6,36,0),"")</f>
        <v/>
      </c>
      <c r="K240" t="str">
        <f t="shared" si="6"/>
        <v/>
      </c>
      <c r="L240" t="str">
        <f t="shared" si="7"/>
        <v/>
      </c>
      <c r="M240" t="str">
        <f>IFERROR(IF($C240="","",SUMIFS(Ledger!$K$2:$K$4, Ledger!$B$2:$B$4, $A240, Ledger!$C$2:$C$4, M$2)),"****")</f>
        <v/>
      </c>
      <c r="N240" t="str">
        <f>IFERROR(IF($C240="","",SUMIFS(Ledger!$K$2:$K$4, Ledger!$B$2:$B$4, $A240, Ledger!$C$2:$C$4, N$2)),"****")</f>
        <v/>
      </c>
      <c r="O240" t="str">
        <f>IFERROR(IF($C240="","",SUMIFS(Ledger!$K$2:$K$4, Ledger!$B$2:$B$4, $A240, Ledger!$C$2:$C$4, O$2)),"****")</f>
        <v/>
      </c>
      <c r="P240" t="str">
        <f>IFERROR(IF($C240="","",SUMIFS(Ledger!$K$2:$K$4, Ledger!$B$2:$B$4, $A240, Ledger!$C$2:$C$4, P$2)),"****")</f>
        <v/>
      </c>
      <c r="Q240" t="str">
        <f>IFERROR(IF($C240="","",SUMIFS(Ledger!$K$2:$K$4, Ledger!$B$2:$B$4, $A240, Ledger!$C$2:$C$4, Q$2)),"****")</f>
        <v/>
      </c>
      <c r="R240" t="str">
        <f>IFERROR(IF($C240="","",SUMIFS(Ledger!$K$2:$K$4, Ledger!$B$2:$B$4, $A240, Ledger!$C$2:$C$4, R$2)),"****")</f>
        <v/>
      </c>
      <c r="S240" t="str">
        <f>IFERROR(IF($C240="","",SUMIFS(Ledger!$K$2:$K$4, Ledger!$B$2:$B$4, $A240, Ledger!$C$2:$C$4, S$2)),"****")</f>
        <v/>
      </c>
      <c r="T240" t="str">
        <f>IFERROR(IF($C240="","",SUMIFS(Ledger!$K$2:$K$4, Ledger!$B$2:$B$4, $A240, Ledger!$C$2:$C$4, T$2)),"****")</f>
        <v/>
      </c>
      <c r="U240" t="str">
        <f>IFERROR(IF($C240="","",SUMIFS(Ledger!$K$2:$K$4, Ledger!$B$2:$B$4, $A240, Ledger!$C$2:$C$4, U$2)),"****")</f>
        <v/>
      </c>
      <c r="V240" t="str">
        <f>IFERROR(IF($C240="","",SUMIFS(Ledger!$K$2:$K$4, Ledger!$B$2:$B$4, $A240, Ledger!$C$2:$C$4, V$2)),"****")</f>
        <v/>
      </c>
      <c r="W240" t="str">
        <f>IFERROR(IF($C240="","",SUMIFS(Ledger!$K$2:$K$4, Ledger!$B$2:$B$4, $A240, Ledger!$C$2:$C$4, W$2)),"****")</f>
        <v/>
      </c>
      <c r="X240" t="str">
        <f>IFERROR(IF($C240="","",SUMIFS(Ledger!$K$2:$K$4, Ledger!$B$2:$B$4, $A240, Ledger!$C$2:$C$4, X$2)),"****")</f>
        <v/>
      </c>
    </row>
    <row r="241" spans="1:24" x14ac:dyDescent="0.3">
      <c r="A241" s="106">
        <v>239</v>
      </c>
      <c r="B241" t="str">
        <f>IFERROR(VLOOKUP($A241, Ledger!$B$2:$L$8, 3, 0),"")</f>
        <v/>
      </c>
      <c r="C241" t="str">
        <f>IFERROR(VLOOKUP($A241, Ledger!$B$2:$L$8, 4, 0),"")</f>
        <v/>
      </c>
      <c r="D241" t="str">
        <f>IFERROR(VLOOKUP($A241, Ledger!$B$2:$L$8, 5, 0),"")</f>
        <v/>
      </c>
      <c r="E241" t="str">
        <f>IFERROR(VLOOKUP($A241, Ledger!$B$2:$L$8, 6, 0),"")</f>
        <v/>
      </c>
      <c r="F241" t="str">
        <f>IFERROR(VLOOKUP($A241,'Student Data'!$A$2:$AR$6,32,0),"")</f>
        <v/>
      </c>
      <c r="G241" t="str">
        <f>IFERROR(VLOOKUP($A241,'Student Data'!$A$2:$AR$6,33,0),"")</f>
        <v/>
      </c>
      <c r="H241" t="str">
        <f>IFERROR(VLOOKUP($A241,'Student Data'!$A$2:$AR$6,34,0),"")</f>
        <v/>
      </c>
      <c r="I241" t="str">
        <f>IFERROR(VLOOKUP($A241,'Student Data'!$A$2:$AR$6,35,0),"")</f>
        <v/>
      </c>
      <c r="J241" t="str">
        <f>IFERROR(VLOOKUP($A241,'Student Data'!$A$2:$AR$6,36,0),"")</f>
        <v/>
      </c>
      <c r="K241" t="str">
        <f t="shared" si="6"/>
        <v/>
      </c>
      <c r="L241" t="str">
        <f t="shared" si="7"/>
        <v/>
      </c>
      <c r="M241" t="str">
        <f>IFERROR(IF($C241="","",SUMIFS(Ledger!$K$2:$K$4, Ledger!$B$2:$B$4, $A241, Ledger!$C$2:$C$4, M$2)),"****")</f>
        <v/>
      </c>
      <c r="N241" t="str">
        <f>IFERROR(IF($C241="","",SUMIFS(Ledger!$K$2:$K$4, Ledger!$B$2:$B$4, $A241, Ledger!$C$2:$C$4, N$2)),"****")</f>
        <v/>
      </c>
      <c r="O241" t="str">
        <f>IFERROR(IF($C241="","",SUMIFS(Ledger!$K$2:$K$4, Ledger!$B$2:$B$4, $A241, Ledger!$C$2:$C$4, O$2)),"****")</f>
        <v/>
      </c>
      <c r="P241" t="str">
        <f>IFERROR(IF($C241="","",SUMIFS(Ledger!$K$2:$K$4, Ledger!$B$2:$B$4, $A241, Ledger!$C$2:$C$4, P$2)),"****")</f>
        <v/>
      </c>
      <c r="Q241" t="str">
        <f>IFERROR(IF($C241="","",SUMIFS(Ledger!$K$2:$K$4, Ledger!$B$2:$B$4, $A241, Ledger!$C$2:$C$4, Q$2)),"****")</f>
        <v/>
      </c>
      <c r="R241" t="str">
        <f>IFERROR(IF($C241="","",SUMIFS(Ledger!$K$2:$K$4, Ledger!$B$2:$B$4, $A241, Ledger!$C$2:$C$4, R$2)),"****")</f>
        <v/>
      </c>
      <c r="S241" t="str">
        <f>IFERROR(IF($C241="","",SUMIFS(Ledger!$K$2:$K$4, Ledger!$B$2:$B$4, $A241, Ledger!$C$2:$C$4, S$2)),"****")</f>
        <v/>
      </c>
      <c r="T241" t="str">
        <f>IFERROR(IF($C241="","",SUMIFS(Ledger!$K$2:$K$4, Ledger!$B$2:$B$4, $A241, Ledger!$C$2:$C$4, T$2)),"****")</f>
        <v/>
      </c>
      <c r="U241" t="str">
        <f>IFERROR(IF($C241="","",SUMIFS(Ledger!$K$2:$K$4, Ledger!$B$2:$B$4, $A241, Ledger!$C$2:$C$4, U$2)),"****")</f>
        <v/>
      </c>
      <c r="V241" t="str">
        <f>IFERROR(IF($C241="","",SUMIFS(Ledger!$K$2:$K$4, Ledger!$B$2:$B$4, $A241, Ledger!$C$2:$C$4, V$2)),"****")</f>
        <v/>
      </c>
      <c r="W241" t="str">
        <f>IFERROR(IF($C241="","",SUMIFS(Ledger!$K$2:$K$4, Ledger!$B$2:$B$4, $A241, Ledger!$C$2:$C$4, W$2)),"****")</f>
        <v/>
      </c>
      <c r="X241" t="str">
        <f>IFERROR(IF($C241="","",SUMIFS(Ledger!$K$2:$K$4, Ledger!$B$2:$B$4, $A241, Ledger!$C$2:$C$4, X$2)),"****")</f>
        <v/>
      </c>
    </row>
    <row r="242" spans="1:24" x14ac:dyDescent="0.3">
      <c r="A242" s="106">
        <v>240</v>
      </c>
      <c r="B242" t="str">
        <f>IFERROR(VLOOKUP($A242, Ledger!$B$2:$L$8, 3, 0),"")</f>
        <v/>
      </c>
      <c r="C242" t="str">
        <f>IFERROR(VLOOKUP($A242, Ledger!$B$2:$L$8, 4, 0),"")</f>
        <v/>
      </c>
      <c r="D242" t="str">
        <f>IFERROR(VLOOKUP($A242, Ledger!$B$2:$L$8, 5, 0),"")</f>
        <v/>
      </c>
      <c r="E242" t="str">
        <f>IFERROR(VLOOKUP($A242, Ledger!$B$2:$L$8, 6, 0),"")</f>
        <v/>
      </c>
      <c r="F242" t="str">
        <f>IFERROR(VLOOKUP($A242,'Student Data'!$A$2:$AR$6,32,0),"")</f>
        <v/>
      </c>
      <c r="G242" t="str">
        <f>IFERROR(VLOOKUP($A242,'Student Data'!$A$2:$AR$6,33,0),"")</f>
        <v/>
      </c>
      <c r="H242" t="str">
        <f>IFERROR(VLOOKUP($A242,'Student Data'!$A$2:$AR$6,34,0),"")</f>
        <v/>
      </c>
      <c r="I242" t="str">
        <f>IFERROR(VLOOKUP($A242,'Student Data'!$A$2:$AR$6,35,0),"")</f>
        <v/>
      </c>
      <c r="J242" t="str">
        <f>IFERROR(VLOOKUP($A242,'Student Data'!$A$2:$AR$6,36,0),"")</f>
        <v/>
      </c>
      <c r="K242" t="str">
        <f t="shared" si="6"/>
        <v/>
      </c>
      <c r="L242" t="str">
        <f t="shared" si="7"/>
        <v/>
      </c>
      <c r="M242" t="str">
        <f>IFERROR(IF($C242="","",SUMIFS(Ledger!$K$2:$K$4, Ledger!$B$2:$B$4, $A242, Ledger!$C$2:$C$4, M$2)),"****")</f>
        <v/>
      </c>
      <c r="N242" t="str">
        <f>IFERROR(IF($C242="","",SUMIFS(Ledger!$K$2:$K$4, Ledger!$B$2:$B$4, $A242, Ledger!$C$2:$C$4, N$2)),"****")</f>
        <v/>
      </c>
      <c r="O242" t="str">
        <f>IFERROR(IF($C242="","",SUMIFS(Ledger!$K$2:$K$4, Ledger!$B$2:$B$4, $A242, Ledger!$C$2:$C$4, O$2)),"****")</f>
        <v/>
      </c>
      <c r="P242" t="str">
        <f>IFERROR(IF($C242="","",SUMIFS(Ledger!$K$2:$K$4, Ledger!$B$2:$B$4, $A242, Ledger!$C$2:$C$4, P$2)),"****")</f>
        <v/>
      </c>
      <c r="Q242" t="str">
        <f>IFERROR(IF($C242="","",SUMIFS(Ledger!$K$2:$K$4, Ledger!$B$2:$B$4, $A242, Ledger!$C$2:$C$4, Q$2)),"****")</f>
        <v/>
      </c>
      <c r="R242" t="str">
        <f>IFERROR(IF($C242="","",SUMIFS(Ledger!$K$2:$K$4, Ledger!$B$2:$B$4, $A242, Ledger!$C$2:$C$4, R$2)),"****")</f>
        <v/>
      </c>
      <c r="S242" t="str">
        <f>IFERROR(IF($C242="","",SUMIFS(Ledger!$K$2:$K$4, Ledger!$B$2:$B$4, $A242, Ledger!$C$2:$C$4, S$2)),"****")</f>
        <v/>
      </c>
      <c r="T242" t="str">
        <f>IFERROR(IF($C242="","",SUMIFS(Ledger!$K$2:$K$4, Ledger!$B$2:$B$4, $A242, Ledger!$C$2:$C$4, T$2)),"****")</f>
        <v/>
      </c>
      <c r="U242" t="str">
        <f>IFERROR(IF($C242="","",SUMIFS(Ledger!$K$2:$K$4, Ledger!$B$2:$B$4, $A242, Ledger!$C$2:$C$4, U$2)),"****")</f>
        <v/>
      </c>
      <c r="V242" t="str">
        <f>IFERROR(IF($C242="","",SUMIFS(Ledger!$K$2:$K$4, Ledger!$B$2:$B$4, $A242, Ledger!$C$2:$C$4, V$2)),"****")</f>
        <v/>
      </c>
      <c r="W242" t="str">
        <f>IFERROR(IF($C242="","",SUMIFS(Ledger!$K$2:$K$4, Ledger!$B$2:$B$4, $A242, Ledger!$C$2:$C$4, W$2)),"****")</f>
        <v/>
      </c>
      <c r="X242" t="str">
        <f>IFERROR(IF($C242="","",SUMIFS(Ledger!$K$2:$K$4, Ledger!$B$2:$B$4, $A242, Ledger!$C$2:$C$4, X$2)),"****")</f>
        <v/>
      </c>
    </row>
    <row r="243" spans="1:24" x14ac:dyDescent="0.3">
      <c r="A243" s="106">
        <v>241</v>
      </c>
      <c r="B243" t="str">
        <f>IFERROR(VLOOKUP($A243, Ledger!$B$2:$L$8, 3, 0),"")</f>
        <v/>
      </c>
      <c r="C243" t="str">
        <f>IFERROR(VLOOKUP($A243, Ledger!$B$2:$L$8, 4, 0),"")</f>
        <v/>
      </c>
      <c r="D243" t="str">
        <f>IFERROR(VLOOKUP($A243, Ledger!$B$2:$L$8, 5, 0),"")</f>
        <v/>
      </c>
      <c r="E243" t="str">
        <f>IFERROR(VLOOKUP($A243, Ledger!$B$2:$L$8, 6, 0),"")</f>
        <v/>
      </c>
      <c r="F243" t="str">
        <f>IFERROR(VLOOKUP($A243,'Student Data'!$A$2:$AR$6,32,0),"")</f>
        <v/>
      </c>
      <c r="G243" t="str">
        <f>IFERROR(VLOOKUP($A243,'Student Data'!$A$2:$AR$6,33,0),"")</f>
        <v/>
      </c>
      <c r="H243" t="str">
        <f>IFERROR(VLOOKUP($A243,'Student Data'!$A$2:$AR$6,34,0),"")</f>
        <v/>
      </c>
      <c r="I243" t="str">
        <f>IFERROR(VLOOKUP($A243,'Student Data'!$A$2:$AR$6,35,0),"")</f>
        <v/>
      </c>
      <c r="J243" t="str">
        <f>IFERROR(VLOOKUP($A243,'Student Data'!$A$2:$AR$6,36,0),"")</f>
        <v/>
      </c>
      <c r="K243" t="str">
        <f t="shared" si="6"/>
        <v/>
      </c>
      <c r="L243" t="str">
        <f t="shared" si="7"/>
        <v/>
      </c>
      <c r="M243" t="str">
        <f>IFERROR(IF($C243="","",SUMIFS(Ledger!$K$2:$K$4, Ledger!$B$2:$B$4, $A243, Ledger!$C$2:$C$4, M$2)),"****")</f>
        <v/>
      </c>
      <c r="N243" t="str">
        <f>IFERROR(IF($C243="","",SUMIFS(Ledger!$K$2:$K$4, Ledger!$B$2:$B$4, $A243, Ledger!$C$2:$C$4, N$2)),"****")</f>
        <v/>
      </c>
      <c r="O243" t="str">
        <f>IFERROR(IF($C243="","",SUMIFS(Ledger!$K$2:$K$4, Ledger!$B$2:$B$4, $A243, Ledger!$C$2:$C$4, O$2)),"****")</f>
        <v/>
      </c>
      <c r="P243" t="str">
        <f>IFERROR(IF($C243="","",SUMIFS(Ledger!$K$2:$K$4, Ledger!$B$2:$B$4, $A243, Ledger!$C$2:$C$4, P$2)),"****")</f>
        <v/>
      </c>
      <c r="Q243" t="str">
        <f>IFERROR(IF($C243="","",SUMIFS(Ledger!$K$2:$K$4, Ledger!$B$2:$B$4, $A243, Ledger!$C$2:$C$4, Q$2)),"****")</f>
        <v/>
      </c>
      <c r="R243" t="str">
        <f>IFERROR(IF($C243="","",SUMIFS(Ledger!$K$2:$K$4, Ledger!$B$2:$B$4, $A243, Ledger!$C$2:$C$4, R$2)),"****")</f>
        <v/>
      </c>
      <c r="S243" t="str">
        <f>IFERROR(IF($C243="","",SUMIFS(Ledger!$K$2:$K$4, Ledger!$B$2:$B$4, $A243, Ledger!$C$2:$C$4, S$2)),"****")</f>
        <v/>
      </c>
      <c r="T243" t="str">
        <f>IFERROR(IF($C243="","",SUMIFS(Ledger!$K$2:$K$4, Ledger!$B$2:$B$4, $A243, Ledger!$C$2:$C$4, T$2)),"****")</f>
        <v/>
      </c>
      <c r="U243" t="str">
        <f>IFERROR(IF($C243="","",SUMIFS(Ledger!$K$2:$K$4, Ledger!$B$2:$B$4, $A243, Ledger!$C$2:$C$4, U$2)),"****")</f>
        <v/>
      </c>
      <c r="V243" t="str">
        <f>IFERROR(IF($C243="","",SUMIFS(Ledger!$K$2:$K$4, Ledger!$B$2:$B$4, $A243, Ledger!$C$2:$C$4, V$2)),"****")</f>
        <v/>
      </c>
      <c r="W243" t="str">
        <f>IFERROR(IF($C243="","",SUMIFS(Ledger!$K$2:$K$4, Ledger!$B$2:$B$4, $A243, Ledger!$C$2:$C$4, W$2)),"****")</f>
        <v/>
      </c>
      <c r="X243" t="str">
        <f>IFERROR(IF($C243="","",SUMIFS(Ledger!$K$2:$K$4, Ledger!$B$2:$B$4, $A243, Ledger!$C$2:$C$4, X$2)),"****")</f>
        <v/>
      </c>
    </row>
    <row r="244" spans="1:24" x14ac:dyDescent="0.3">
      <c r="A244" s="106">
        <v>242</v>
      </c>
      <c r="B244" t="str">
        <f>IFERROR(VLOOKUP($A244, Ledger!$B$2:$L$8, 3, 0),"")</f>
        <v/>
      </c>
      <c r="C244" t="str">
        <f>IFERROR(VLOOKUP($A244, Ledger!$B$2:$L$8, 4, 0),"")</f>
        <v/>
      </c>
      <c r="D244" t="str">
        <f>IFERROR(VLOOKUP($A244, Ledger!$B$2:$L$8, 5, 0),"")</f>
        <v/>
      </c>
      <c r="E244" t="str">
        <f>IFERROR(VLOOKUP($A244, Ledger!$B$2:$L$8, 6, 0),"")</f>
        <v/>
      </c>
      <c r="F244" t="str">
        <f>IFERROR(VLOOKUP($A244,'Student Data'!$A$2:$AR$6,32,0),"")</f>
        <v/>
      </c>
      <c r="G244" t="str">
        <f>IFERROR(VLOOKUP($A244,'Student Data'!$A$2:$AR$6,33,0),"")</f>
        <v/>
      </c>
      <c r="H244" t="str">
        <f>IFERROR(VLOOKUP($A244,'Student Data'!$A$2:$AR$6,34,0),"")</f>
        <v/>
      </c>
      <c r="I244" t="str">
        <f>IFERROR(VLOOKUP($A244,'Student Data'!$A$2:$AR$6,35,0),"")</f>
        <v/>
      </c>
      <c r="J244" t="str">
        <f>IFERROR(VLOOKUP($A244,'Student Data'!$A$2:$AR$6,36,0),"")</f>
        <v/>
      </c>
      <c r="K244" t="str">
        <f t="shared" si="6"/>
        <v/>
      </c>
      <c r="L244" t="str">
        <f t="shared" si="7"/>
        <v/>
      </c>
      <c r="M244" t="str">
        <f>IFERROR(IF($C244="","",SUMIFS(Ledger!$K$2:$K$4, Ledger!$B$2:$B$4, $A244, Ledger!$C$2:$C$4, M$2)),"****")</f>
        <v/>
      </c>
      <c r="N244" t="str">
        <f>IFERROR(IF($C244="","",SUMIFS(Ledger!$K$2:$K$4, Ledger!$B$2:$B$4, $A244, Ledger!$C$2:$C$4, N$2)),"****")</f>
        <v/>
      </c>
      <c r="O244" t="str">
        <f>IFERROR(IF($C244="","",SUMIFS(Ledger!$K$2:$K$4, Ledger!$B$2:$B$4, $A244, Ledger!$C$2:$C$4, O$2)),"****")</f>
        <v/>
      </c>
      <c r="P244" t="str">
        <f>IFERROR(IF($C244="","",SUMIFS(Ledger!$K$2:$K$4, Ledger!$B$2:$B$4, $A244, Ledger!$C$2:$C$4, P$2)),"****")</f>
        <v/>
      </c>
      <c r="Q244" t="str">
        <f>IFERROR(IF($C244="","",SUMIFS(Ledger!$K$2:$K$4, Ledger!$B$2:$B$4, $A244, Ledger!$C$2:$C$4, Q$2)),"****")</f>
        <v/>
      </c>
      <c r="R244" t="str">
        <f>IFERROR(IF($C244="","",SUMIFS(Ledger!$K$2:$K$4, Ledger!$B$2:$B$4, $A244, Ledger!$C$2:$C$4, R$2)),"****")</f>
        <v/>
      </c>
      <c r="S244" t="str">
        <f>IFERROR(IF($C244="","",SUMIFS(Ledger!$K$2:$K$4, Ledger!$B$2:$B$4, $A244, Ledger!$C$2:$C$4, S$2)),"****")</f>
        <v/>
      </c>
      <c r="T244" t="str">
        <f>IFERROR(IF($C244="","",SUMIFS(Ledger!$K$2:$K$4, Ledger!$B$2:$B$4, $A244, Ledger!$C$2:$C$4, T$2)),"****")</f>
        <v/>
      </c>
      <c r="U244" t="str">
        <f>IFERROR(IF($C244="","",SUMIFS(Ledger!$K$2:$K$4, Ledger!$B$2:$B$4, $A244, Ledger!$C$2:$C$4, U$2)),"****")</f>
        <v/>
      </c>
      <c r="V244" t="str">
        <f>IFERROR(IF($C244="","",SUMIFS(Ledger!$K$2:$K$4, Ledger!$B$2:$B$4, $A244, Ledger!$C$2:$C$4, V$2)),"****")</f>
        <v/>
      </c>
      <c r="W244" t="str">
        <f>IFERROR(IF($C244="","",SUMIFS(Ledger!$K$2:$K$4, Ledger!$B$2:$B$4, $A244, Ledger!$C$2:$C$4, W$2)),"****")</f>
        <v/>
      </c>
      <c r="X244" t="str">
        <f>IFERROR(IF($C244="","",SUMIFS(Ledger!$K$2:$K$4, Ledger!$B$2:$B$4, $A244, Ledger!$C$2:$C$4, X$2)),"****")</f>
        <v/>
      </c>
    </row>
    <row r="245" spans="1:24" x14ac:dyDescent="0.3">
      <c r="A245" s="106">
        <v>243</v>
      </c>
      <c r="B245" t="str">
        <f>IFERROR(VLOOKUP($A245, Ledger!$B$2:$L$8, 3, 0),"")</f>
        <v/>
      </c>
      <c r="C245" t="str">
        <f>IFERROR(VLOOKUP($A245, Ledger!$B$2:$L$8, 4, 0),"")</f>
        <v/>
      </c>
      <c r="D245" t="str">
        <f>IFERROR(VLOOKUP($A245, Ledger!$B$2:$L$8, 5, 0),"")</f>
        <v/>
      </c>
      <c r="E245" t="str">
        <f>IFERROR(VLOOKUP($A245, Ledger!$B$2:$L$8, 6, 0),"")</f>
        <v/>
      </c>
      <c r="F245" t="str">
        <f>IFERROR(VLOOKUP($A245,'Student Data'!$A$2:$AR$6,32,0),"")</f>
        <v/>
      </c>
      <c r="G245" t="str">
        <f>IFERROR(VLOOKUP($A245,'Student Data'!$A$2:$AR$6,33,0),"")</f>
        <v/>
      </c>
      <c r="H245" t="str">
        <f>IFERROR(VLOOKUP($A245,'Student Data'!$A$2:$AR$6,34,0),"")</f>
        <v/>
      </c>
      <c r="I245" t="str">
        <f>IFERROR(VLOOKUP($A245,'Student Data'!$A$2:$AR$6,35,0),"")</f>
        <v/>
      </c>
      <c r="J245" t="str">
        <f>IFERROR(VLOOKUP($A245,'Student Data'!$A$2:$AR$6,36,0),"")</f>
        <v/>
      </c>
      <c r="K245" t="str">
        <f t="shared" si="6"/>
        <v/>
      </c>
      <c r="L245" t="str">
        <f t="shared" si="7"/>
        <v/>
      </c>
      <c r="M245" t="str">
        <f>IFERROR(IF($C245="","",SUMIFS(Ledger!$K$2:$K$4, Ledger!$B$2:$B$4, $A245, Ledger!$C$2:$C$4, M$2)),"****")</f>
        <v/>
      </c>
      <c r="N245" t="str">
        <f>IFERROR(IF($C245="","",SUMIFS(Ledger!$K$2:$K$4, Ledger!$B$2:$B$4, $A245, Ledger!$C$2:$C$4, N$2)),"****")</f>
        <v/>
      </c>
      <c r="O245" t="str">
        <f>IFERROR(IF($C245="","",SUMIFS(Ledger!$K$2:$K$4, Ledger!$B$2:$B$4, $A245, Ledger!$C$2:$C$4, O$2)),"****")</f>
        <v/>
      </c>
      <c r="P245" t="str">
        <f>IFERROR(IF($C245="","",SUMIFS(Ledger!$K$2:$K$4, Ledger!$B$2:$B$4, $A245, Ledger!$C$2:$C$4, P$2)),"****")</f>
        <v/>
      </c>
      <c r="Q245" t="str">
        <f>IFERROR(IF($C245="","",SUMIFS(Ledger!$K$2:$K$4, Ledger!$B$2:$B$4, $A245, Ledger!$C$2:$C$4, Q$2)),"****")</f>
        <v/>
      </c>
      <c r="R245" t="str">
        <f>IFERROR(IF($C245="","",SUMIFS(Ledger!$K$2:$K$4, Ledger!$B$2:$B$4, $A245, Ledger!$C$2:$C$4, R$2)),"****")</f>
        <v/>
      </c>
      <c r="S245" t="str">
        <f>IFERROR(IF($C245="","",SUMIFS(Ledger!$K$2:$K$4, Ledger!$B$2:$B$4, $A245, Ledger!$C$2:$C$4, S$2)),"****")</f>
        <v/>
      </c>
      <c r="T245" t="str">
        <f>IFERROR(IF($C245="","",SUMIFS(Ledger!$K$2:$K$4, Ledger!$B$2:$B$4, $A245, Ledger!$C$2:$C$4, T$2)),"****")</f>
        <v/>
      </c>
      <c r="U245" t="str">
        <f>IFERROR(IF($C245="","",SUMIFS(Ledger!$K$2:$K$4, Ledger!$B$2:$B$4, $A245, Ledger!$C$2:$C$4, U$2)),"****")</f>
        <v/>
      </c>
      <c r="V245" t="str">
        <f>IFERROR(IF($C245="","",SUMIFS(Ledger!$K$2:$K$4, Ledger!$B$2:$B$4, $A245, Ledger!$C$2:$C$4, V$2)),"****")</f>
        <v/>
      </c>
      <c r="W245" t="str">
        <f>IFERROR(IF($C245="","",SUMIFS(Ledger!$K$2:$K$4, Ledger!$B$2:$B$4, $A245, Ledger!$C$2:$C$4, W$2)),"****")</f>
        <v/>
      </c>
      <c r="X245" t="str">
        <f>IFERROR(IF($C245="","",SUMIFS(Ledger!$K$2:$K$4, Ledger!$B$2:$B$4, $A245, Ledger!$C$2:$C$4, X$2)),"****")</f>
        <v/>
      </c>
    </row>
    <row r="246" spans="1:24" x14ac:dyDescent="0.3">
      <c r="A246" s="106">
        <v>244</v>
      </c>
      <c r="B246" t="str">
        <f>IFERROR(VLOOKUP($A246, Ledger!$B$2:$L$8, 3, 0),"")</f>
        <v/>
      </c>
      <c r="C246" t="str">
        <f>IFERROR(VLOOKUP($A246, Ledger!$B$2:$L$8, 4, 0),"")</f>
        <v/>
      </c>
      <c r="D246" t="str">
        <f>IFERROR(VLOOKUP($A246, Ledger!$B$2:$L$8, 5, 0),"")</f>
        <v/>
      </c>
      <c r="E246" t="str">
        <f>IFERROR(VLOOKUP($A246, Ledger!$B$2:$L$8, 6, 0),"")</f>
        <v/>
      </c>
      <c r="F246" t="str">
        <f>IFERROR(VLOOKUP($A246,'Student Data'!$A$2:$AR$6,32,0),"")</f>
        <v/>
      </c>
      <c r="G246" t="str">
        <f>IFERROR(VLOOKUP($A246,'Student Data'!$A$2:$AR$6,33,0),"")</f>
        <v/>
      </c>
      <c r="H246" t="str">
        <f>IFERROR(VLOOKUP($A246,'Student Data'!$A$2:$AR$6,34,0),"")</f>
        <v/>
      </c>
      <c r="I246" t="str">
        <f>IFERROR(VLOOKUP($A246,'Student Data'!$A$2:$AR$6,35,0),"")</f>
        <v/>
      </c>
      <c r="J246" t="str">
        <f>IFERROR(VLOOKUP($A246,'Student Data'!$A$2:$AR$6,36,0),"")</f>
        <v/>
      </c>
      <c r="K246" t="str">
        <f t="shared" si="6"/>
        <v/>
      </c>
      <c r="L246" t="str">
        <f t="shared" si="7"/>
        <v/>
      </c>
      <c r="M246" t="str">
        <f>IFERROR(IF($C246="","",SUMIFS(Ledger!$K$2:$K$4, Ledger!$B$2:$B$4, $A246, Ledger!$C$2:$C$4, M$2)),"****")</f>
        <v/>
      </c>
      <c r="N246" t="str">
        <f>IFERROR(IF($C246="","",SUMIFS(Ledger!$K$2:$K$4, Ledger!$B$2:$B$4, $A246, Ledger!$C$2:$C$4, N$2)),"****")</f>
        <v/>
      </c>
      <c r="O246" t="str">
        <f>IFERROR(IF($C246="","",SUMIFS(Ledger!$K$2:$K$4, Ledger!$B$2:$B$4, $A246, Ledger!$C$2:$C$4, O$2)),"****")</f>
        <v/>
      </c>
      <c r="P246" t="str">
        <f>IFERROR(IF($C246="","",SUMIFS(Ledger!$K$2:$K$4, Ledger!$B$2:$B$4, $A246, Ledger!$C$2:$C$4, P$2)),"****")</f>
        <v/>
      </c>
      <c r="Q246" t="str">
        <f>IFERROR(IF($C246="","",SUMIFS(Ledger!$K$2:$K$4, Ledger!$B$2:$B$4, $A246, Ledger!$C$2:$C$4, Q$2)),"****")</f>
        <v/>
      </c>
      <c r="R246" t="str">
        <f>IFERROR(IF($C246="","",SUMIFS(Ledger!$K$2:$K$4, Ledger!$B$2:$B$4, $A246, Ledger!$C$2:$C$4, R$2)),"****")</f>
        <v/>
      </c>
      <c r="S246" t="str">
        <f>IFERROR(IF($C246="","",SUMIFS(Ledger!$K$2:$K$4, Ledger!$B$2:$B$4, $A246, Ledger!$C$2:$C$4, S$2)),"****")</f>
        <v/>
      </c>
      <c r="T246" t="str">
        <f>IFERROR(IF($C246="","",SUMIFS(Ledger!$K$2:$K$4, Ledger!$B$2:$B$4, $A246, Ledger!$C$2:$C$4, T$2)),"****")</f>
        <v/>
      </c>
      <c r="U246" t="str">
        <f>IFERROR(IF($C246="","",SUMIFS(Ledger!$K$2:$K$4, Ledger!$B$2:$B$4, $A246, Ledger!$C$2:$C$4, U$2)),"****")</f>
        <v/>
      </c>
      <c r="V246" t="str">
        <f>IFERROR(IF($C246="","",SUMIFS(Ledger!$K$2:$K$4, Ledger!$B$2:$B$4, $A246, Ledger!$C$2:$C$4, V$2)),"****")</f>
        <v/>
      </c>
      <c r="W246" t="str">
        <f>IFERROR(IF($C246="","",SUMIFS(Ledger!$K$2:$K$4, Ledger!$B$2:$B$4, $A246, Ledger!$C$2:$C$4, W$2)),"****")</f>
        <v/>
      </c>
      <c r="X246" t="str">
        <f>IFERROR(IF($C246="","",SUMIFS(Ledger!$K$2:$K$4, Ledger!$B$2:$B$4, $A246, Ledger!$C$2:$C$4, X$2)),"****")</f>
        <v/>
      </c>
    </row>
    <row r="247" spans="1:24" x14ac:dyDescent="0.3">
      <c r="A247" s="106">
        <v>245</v>
      </c>
      <c r="B247" t="str">
        <f>IFERROR(VLOOKUP($A247, Ledger!$B$2:$L$8, 3, 0),"")</f>
        <v/>
      </c>
      <c r="C247" t="str">
        <f>IFERROR(VLOOKUP($A247, Ledger!$B$2:$L$8, 4, 0),"")</f>
        <v/>
      </c>
      <c r="D247" t="str">
        <f>IFERROR(VLOOKUP($A247, Ledger!$B$2:$L$8, 5, 0),"")</f>
        <v/>
      </c>
      <c r="E247" t="str">
        <f>IFERROR(VLOOKUP($A247, Ledger!$B$2:$L$8, 6, 0),"")</f>
        <v/>
      </c>
      <c r="F247" t="str">
        <f>IFERROR(VLOOKUP($A247,'Student Data'!$A$2:$AR$6,32,0),"")</f>
        <v/>
      </c>
      <c r="G247" t="str">
        <f>IFERROR(VLOOKUP($A247,'Student Data'!$A$2:$AR$6,33,0),"")</f>
        <v/>
      </c>
      <c r="H247" t="str">
        <f>IFERROR(VLOOKUP($A247,'Student Data'!$A$2:$AR$6,34,0),"")</f>
        <v/>
      </c>
      <c r="I247" t="str">
        <f>IFERROR(VLOOKUP($A247,'Student Data'!$A$2:$AR$6,35,0),"")</f>
        <v/>
      </c>
      <c r="J247" t="str">
        <f>IFERROR(VLOOKUP($A247,'Student Data'!$A$2:$AR$6,36,0),"")</f>
        <v/>
      </c>
      <c r="K247" t="str">
        <f t="shared" si="6"/>
        <v/>
      </c>
      <c r="L247" t="str">
        <f t="shared" si="7"/>
        <v/>
      </c>
      <c r="M247" t="str">
        <f>IFERROR(IF($C247="","",SUMIFS(Ledger!$K$2:$K$4, Ledger!$B$2:$B$4, $A247, Ledger!$C$2:$C$4, M$2)),"****")</f>
        <v/>
      </c>
      <c r="N247" t="str">
        <f>IFERROR(IF($C247="","",SUMIFS(Ledger!$K$2:$K$4, Ledger!$B$2:$B$4, $A247, Ledger!$C$2:$C$4, N$2)),"****")</f>
        <v/>
      </c>
      <c r="O247" t="str">
        <f>IFERROR(IF($C247="","",SUMIFS(Ledger!$K$2:$K$4, Ledger!$B$2:$B$4, $A247, Ledger!$C$2:$C$4, O$2)),"****")</f>
        <v/>
      </c>
      <c r="P247" t="str">
        <f>IFERROR(IF($C247="","",SUMIFS(Ledger!$K$2:$K$4, Ledger!$B$2:$B$4, $A247, Ledger!$C$2:$C$4, P$2)),"****")</f>
        <v/>
      </c>
      <c r="Q247" t="str">
        <f>IFERROR(IF($C247="","",SUMIFS(Ledger!$K$2:$K$4, Ledger!$B$2:$B$4, $A247, Ledger!$C$2:$C$4, Q$2)),"****")</f>
        <v/>
      </c>
      <c r="R247" t="str">
        <f>IFERROR(IF($C247="","",SUMIFS(Ledger!$K$2:$K$4, Ledger!$B$2:$B$4, $A247, Ledger!$C$2:$C$4, R$2)),"****")</f>
        <v/>
      </c>
      <c r="S247" t="str">
        <f>IFERROR(IF($C247="","",SUMIFS(Ledger!$K$2:$K$4, Ledger!$B$2:$B$4, $A247, Ledger!$C$2:$C$4, S$2)),"****")</f>
        <v/>
      </c>
      <c r="T247" t="str">
        <f>IFERROR(IF($C247="","",SUMIFS(Ledger!$K$2:$K$4, Ledger!$B$2:$B$4, $A247, Ledger!$C$2:$C$4, T$2)),"****")</f>
        <v/>
      </c>
      <c r="U247" t="str">
        <f>IFERROR(IF($C247="","",SUMIFS(Ledger!$K$2:$K$4, Ledger!$B$2:$B$4, $A247, Ledger!$C$2:$C$4, U$2)),"****")</f>
        <v/>
      </c>
      <c r="V247" t="str">
        <f>IFERROR(IF($C247="","",SUMIFS(Ledger!$K$2:$K$4, Ledger!$B$2:$B$4, $A247, Ledger!$C$2:$C$4, V$2)),"****")</f>
        <v/>
      </c>
      <c r="W247" t="str">
        <f>IFERROR(IF($C247="","",SUMIFS(Ledger!$K$2:$K$4, Ledger!$B$2:$B$4, $A247, Ledger!$C$2:$C$4, W$2)),"****")</f>
        <v/>
      </c>
      <c r="X247" t="str">
        <f>IFERROR(IF($C247="","",SUMIFS(Ledger!$K$2:$K$4, Ledger!$B$2:$B$4, $A247, Ledger!$C$2:$C$4, X$2)),"****")</f>
        <v/>
      </c>
    </row>
    <row r="248" spans="1:24" x14ac:dyDescent="0.3">
      <c r="A248" s="106">
        <v>246</v>
      </c>
      <c r="B248" t="str">
        <f>IFERROR(VLOOKUP($A248, Ledger!$B$2:$L$8, 3, 0),"")</f>
        <v/>
      </c>
      <c r="C248" t="str">
        <f>IFERROR(VLOOKUP($A248, Ledger!$B$2:$L$8, 4, 0),"")</f>
        <v/>
      </c>
      <c r="D248" t="str">
        <f>IFERROR(VLOOKUP($A248, Ledger!$B$2:$L$8, 5, 0),"")</f>
        <v/>
      </c>
      <c r="E248" t="str">
        <f>IFERROR(VLOOKUP($A248, Ledger!$B$2:$L$8, 6, 0),"")</f>
        <v/>
      </c>
      <c r="F248" t="str">
        <f>IFERROR(VLOOKUP($A248,'Student Data'!$A$2:$AR$6,32,0),"")</f>
        <v/>
      </c>
      <c r="G248" t="str">
        <f>IFERROR(VLOOKUP($A248,'Student Data'!$A$2:$AR$6,33,0),"")</f>
        <v/>
      </c>
      <c r="H248" t="str">
        <f>IFERROR(VLOOKUP($A248,'Student Data'!$A$2:$AR$6,34,0),"")</f>
        <v/>
      </c>
      <c r="I248" t="str">
        <f>IFERROR(VLOOKUP($A248,'Student Data'!$A$2:$AR$6,35,0),"")</f>
        <v/>
      </c>
      <c r="J248" t="str">
        <f>IFERROR(VLOOKUP($A248,'Student Data'!$A$2:$AR$6,36,0),"")</f>
        <v/>
      </c>
      <c r="K248" t="str">
        <f t="shared" si="6"/>
        <v/>
      </c>
      <c r="L248" t="str">
        <f t="shared" si="7"/>
        <v/>
      </c>
      <c r="M248" t="str">
        <f>IFERROR(IF($C248="","",SUMIFS(Ledger!$K$2:$K$4, Ledger!$B$2:$B$4, $A248, Ledger!$C$2:$C$4, M$2)),"****")</f>
        <v/>
      </c>
      <c r="N248" t="str">
        <f>IFERROR(IF($C248="","",SUMIFS(Ledger!$K$2:$K$4, Ledger!$B$2:$B$4, $A248, Ledger!$C$2:$C$4, N$2)),"****")</f>
        <v/>
      </c>
      <c r="O248" t="str">
        <f>IFERROR(IF($C248="","",SUMIFS(Ledger!$K$2:$K$4, Ledger!$B$2:$B$4, $A248, Ledger!$C$2:$C$4, O$2)),"****")</f>
        <v/>
      </c>
      <c r="P248" t="str">
        <f>IFERROR(IF($C248="","",SUMIFS(Ledger!$K$2:$K$4, Ledger!$B$2:$B$4, $A248, Ledger!$C$2:$C$4, P$2)),"****")</f>
        <v/>
      </c>
      <c r="Q248" t="str">
        <f>IFERROR(IF($C248="","",SUMIFS(Ledger!$K$2:$K$4, Ledger!$B$2:$B$4, $A248, Ledger!$C$2:$C$4, Q$2)),"****")</f>
        <v/>
      </c>
      <c r="R248" t="str">
        <f>IFERROR(IF($C248="","",SUMIFS(Ledger!$K$2:$K$4, Ledger!$B$2:$B$4, $A248, Ledger!$C$2:$C$4, R$2)),"****")</f>
        <v/>
      </c>
      <c r="S248" t="str">
        <f>IFERROR(IF($C248="","",SUMIFS(Ledger!$K$2:$K$4, Ledger!$B$2:$B$4, $A248, Ledger!$C$2:$C$4, S$2)),"****")</f>
        <v/>
      </c>
      <c r="T248" t="str">
        <f>IFERROR(IF($C248="","",SUMIFS(Ledger!$K$2:$K$4, Ledger!$B$2:$B$4, $A248, Ledger!$C$2:$C$4, T$2)),"****")</f>
        <v/>
      </c>
      <c r="U248" t="str">
        <f>IFERROR(IF($C248="","",SUMIFS(Ledger!$K$2:$K$4, Ledger!$B$2:$B$4, $A248, Ledger!$C$2:$C$4, U$2)),"****")</f>
        <v/>
      </c>
      <c r="V248" t="str">
        <f>IFERROR(IF($C248="","",SUMIFS(Ledger!$K$2:$K$4, Ledger!$B$2:$B$4, $A248, Ledger!$C$2:$C$4, V$2)),"****")</f>
        <v/>
      </c>
      <c r="W248" t="str">
        <f>IFERROR(IF($C248="","",SUMIFS(Ledger!$K$2:$K$4, Ledger!$B$2:$B$4, $A248, Ledger!$C$2:$C$4, W$2)),"****")</f>
        <v/>
      </c>
      <c r="X248" t="str">
        <f>IFERROR(IF($C248="","",SUMIFS(Ledger!$K$2:$K$4, Ledger!$B$2:$B$4, $A248, Ledger!$C$2:$C$4, X$2)),"****")</f>
        <v/>
      </c>
    </row>
    <row r="249" spans="1:24" x14ac:dyDescent="0.3">
      <c r="A249" s="106">
        <v>247</v>
      </c>
      <c r="B249" t="str">
        <f>IFERROR(VLOOKUP($A249, Ledger!$B$2:$L$8, 3, 0),"")</f>
        <v/>
      </c>
      <c r="C249" t="str">
        <f>IFERROR(VLOOKUP($A249, Ledger!$B$2:$L$8, 4, 0),"")</f>
        <v/>
      </c>
      <c r="D249" t="str">
        <f>IFERROR(VLOOKUP($A249, Ledger!$B$2:$L$8, 5, 0),"")</f>
        <v/>
      </c>
      <c r="E249" t="str">
        <f>IFERROR(VLOOKUP($A249, Ledger!$B$2:$L$8, 6, 0),"")</f>
        <v/>
      </c>
      <c r="F249" t="str">
        <f>IFERROR(VLOOKUP($A249,'Student Data'!$A$2:$AR$6,32,0),"")</f>
        <v/>
      </c>
      <c r="G249" t="str">
        <f>IFERROR(VLOOKUP($A249,'Student Data'!$A$2:$AR$6,33,0),"")</f>
        <v/>
      </c>
      <c r="H249" t="str">
        <f>IFERROR(VLOOKUP($A249,'Student Data'!$A$2:$AR$6,34,0),"")</f>
        <v/>
      </c>
      <c r="I249" t="str">
        <f>IFERROR(VLOOKUP($A249,'Student Data'!$A$2:$AR$6,35,0),"")</f>
        <v/>
      </c>
      <c r="J249" t="str">
        <f>IFERROR(VLOOKUP($A249,'Student Data'!$A$2:$AR$6,36,0),"")</f>
        <v/>
      </c>
      <c r="K249" t="str">
        <f t="shared" si="6"/>
        <v/>
      </c>
      <c r="L249" t="str">
        <f t="shared" si="7"/>
        <v/>
      </c>
      <c r="M249" t="str">
        <f>IFERROR(IF($C249="","",SUMIFS(Ledger!$K$2:$K$4, Ledger!$B$2:$B$4, $A249, Ledger!$C$2:$C$4, M$2)),"****")</f>
        <v/>
      </c>
      <c r="N249" t="str">
        <f>IFERROR(IF($C249="","",SUMIFS(Ledger!$K$2:$K$4, Ledger!$B$2:$B$4, $A249, Ledger!$C$2:$C$4, N$2)),"****")</f>
        <v/>
      </c>
      <c r="O249" t="str">
        <f>IFERROR(IF($C249="","",SUMIFS(Ledger!$K$2:$K$4, Ledger!$B$2:$B$4, $A249, Ledger!$C$2:$C$4, O$2)),"****")</f>
        <v/>
      </c>
      <c r="P249" t="str">
        <f>IFERROR(IF($C249="","",SUMIFS(Ledger!$K$2:$K$4, Ledger!$B$2:$B$4, $A249, Ledger!$C$2:$C$4, P$2)),"****")</f>
        <v/>
      </c>
      <c r="Q249" t="str">
        <f>IFERROR(IF($C249="","",SUMIFS(Ledger!$K$2:$K$4, Ledger!$B$2:$B$4, $A249, Ledger!$C$2:$C$4, Q$2)),"****")</f>
        <v/>
      </c>
      <c r="R249" t="str">
        <f>IFERROR(IF($C249="","",SUMIFS(Ledger!$K$2:$K$4, Ledger!$B$2:$B$4, $A249, Ledger!$C$2:$C$4, R$2)),"****")</f>
        <v/>
      </c>
      <c r="S249" t="str">
        <f>IFERROR(IF($C249="","",SUMIFS(Ledger!$K$2:$K$4, Ledger!$B$2:$B$4, $A249, Ledger!$C$2:$C$4, S$2)),"****")</f>
        <v/>
      </c>
      <c r="T249" t="str">
        <f>IFERROR(IF($C249="","",SUMIFS(Ledger!$K$2:$K$4, Ledger!$B$2:$B$4, $A249, Ledger!$C$2:$C$4, T$2)),"****")</f>
        <v/>
      </c>
      <c r="U249" t="str">
        <f>IFERROR(IF($C249="","",SUMIFS(Ledger!$K$2:$K$4, Ledger!$B$2:$B$4, $A249, Ledger!$C$2:$C$4, U$2)),"****")</f>
        <v/>
      </c>
      <c r="V249" t="str">
        <f>IFERROR(IF($C249="","",SUMIFS(Ledger!$K$2:$K$4, Ledger!$B$2:$B$4, $A249, Ledger!$C$2:$C$4, V$2)),"****")</f>
        <v/>
      </c>
      <c r="W249" t="str">
        <f>IFERROR(IF($C249="","",SUMIFS(Ledger!$K$2:$K$4, Ledger!$B$2:$B$4, $A249, Ledger!$C$2:$C$4, W$2)),"****")</f>
        <v/>
      </c>
      <c r="X249" t="str">
        <f>IFERROR(IF($C249="","",SUMIFS(Ledger!$K$2:$K$4, Ledger!$B$2:$B$4, $A249, Ledger!$C$2:$C$4, X$2)),"****")</f>
        <v/>
      </c>
    </row>
    <row r="250" spans="1:24" x14ac:dyDescent="0.3">
      <c r="A250" s="106">
        <v>248</v>
      </c>
      <c r="B250" t="str">
        <f>IFERROR(VLOOKUP($A250, Ledger!$B$2:$L$8, 3, 0),"")</f>
        <v/>
      </c>
      <c r="C250" t="str">
        <f>IFERROR(VLOOKUP($A250, Ledger!$B$2:$L$8, 4, 0),"")</f>
        <v/>
      </c>
      <c r="D250" t="str">
        <f>IFERROR(VLOOKUP($A250, Ledger!$B$2:$L$8, 5, 0),"")</f>
        <v/>
      </c>
      <c r="E250" t="str">
        <f>IFERROR(VLOOKUP($A250, Ledger!$B$2:$L$8, 6, 0),"")</f>
        <v/>
      </c>
      <c r="F250" t="str">
        <f>IFERROR(VLOOKUP($A250,'Student Data'!$A$2:$AR$6,32,0),"")</f>
        <v/>
      </c>
      <c r="G250" t="str">
        <f>IFERROR(VLOOKUP($A250,'Student Data'!$A$2:$AR$6,33,0),"")</f>
        <v/>
      </c>
      <c r="H250" t="str">
        <f>IFERROR(VLOOKUP($A250,'Student Data'!$A$2:$AR$6,34,0),"")</f>
        <v/>
      </c>
      <c r="I250" t="str">
        <f>IFERROR(VLOOKUP($A250,'Student Data'!$A$2:$AR$6,35,0),"")</f>
        <v/>
      </c>
      <c r="J250" t="str">
        <f>IFERROR(VLOOKUP($A250,'Student Data'!$A$2:$AR$6,36,0),"")</f>
        <v/>
      </c>
      <c r="K250" t="str">
        <f t="shared" si="6"/>
        <v/>
      </c>
      <c r="L250" t="str">
        <f t="shared" si="7"/>
        <v/>
      </c>
      <c r="M250" t="str">
        <f>IFERROR(IF($C250="","",SUMIFS(Ledger!$K$2:$K$4, Ledger!$B$2:$B$4, $A250, Ledger!$C$2:$C$4, M$2)),"****")</f>
        <v/>
      </c>
      <c r="N250" t="str">
        <f>IFERROR(IF($C250="","",SUMIFS(Ledger!$K$2:$K$4, Ledger!$B$2:$B$4, $A250, Ledger!$C$2:$C$4, N$2)),"****")</f>
        <v/>
      </c>
      <c r="O250" t="str">
        <f>IFERROR(IF($C250="","",SUMIFS(Ledger!$K$2:$K$4, Ledger!$B$2:$B$4, $A250, Ledger!$C$2:$C$4, O$2)),"****")</f>
        <v/>
      </c>
      <c r="P250" t="str">
        <f>IFERROR(IF($C250="","",SUMIFS(Ledger!$K$2:$K$4, Ledger!$B$2:$B$4, $A250, Ledger!$C$2:$C$4, P$2)),"****")</f>
        <v/>
      </c>
      <c r="Q250" t="str">
        <f>IFERROR(IF($C250="","",SUMIFS(Ledger!$K$2:$K$4, Ledger!$B$2:$B$4, $A250, Ledger!$C$2:$C$4, Q$2)),"****")</f>
        <v/>
      </c>
      <c r="R250" t="str">
        <f>IFERROR(IF($C250="","",SUMIFS(Ledger!$K$2:$K$4, Ledger!$B$2:$B$4, $A250, Ledger!$C$2:$C$4, R$2)),"****")</f>
        <v/>
      </c>
      <c r="S250" t="str">
        <f>IFERROR(IF($C250="","",SUMIFS(Ledger!$K$2:$K$4, Ledger!$B$2:$B$4, $A250, Ledger!$C$2:$C$4, S$2)),"****")</f>
        <v/>
      </c>
      <c r="T250" t="str">
        <f>IFERROR(IF($C250="","",SUMIFS(Ledger!$K$2:$K$4, Ledger!$B$2:$B$4, $A250, Ledger!$C$2:$C$4, T$2)),"****")</f>
        <v/>
      </c>
      <c r="U250" t="str">
        <f>IFERROR(IF($C250="","",SUMIFS(Ledger!$K$2:$K$4, Ledger!$B$2:$B$4, $A250, Ledger!$C$2:$C$4, U$2)),"****")</f>
        <v/>
      </c>
      <c r="V250" t="str">
        <f>IFERROR(IF($C250="","",SUMIFS(Ledger!$K$2:$K$4, Ledger!$B$2:$B$4, $A250, Ledger!$C$2:$C$4, V$2)),"****")</f>
        <v/>
      </c>
      <c r="W250" t="str">
        <f>IFERROR(IF($C250="","",SUMIFS(Ledger!$K$2:$K$4, Ledger!$B$2:$B$4, $A250, Ledger!$C$2:$C$4, W$2)),"****")</f>
        <v/>
      </c>
      <c r="X250" t="str">
        <f>IFERROR(IF($C250="","",SUMIFS(Ledger!$K$2:$K$4, Ledger!$B$2:$B$4, $A250, Ledger!$C$2:$C$4, X$2)),"****")</f>
        <v/>
      </c>
    </row>
    <row r="251" spans="1:24" x14ac:dyDescent="0.3">
      <c r="A251" s="106">
        <v>249</v>
      </c>
      <c r="B251" t="str">
        <f>IFERROR(VLOOKUP($A251, Ledger!$B$2:$L$8, 3, 0),"")</f>
        <v/>
      </c>
      <c r="C251" t="str">
        <f>IFERROR(VLOOKUP($A251, Ledger!$B$2:$L$8, 4, 0),"")</f>
        <v/>
      </c>
      <c r="D251" t="str">
        <f>IFERROR(VLOOKUP($A251, Ledger!$B$2:$L$8, 5, 0),"")</f>
        <v/>
      </c>
      <c r="E251" t="str">
        <f>IFERROR(VLOOKUP($A251, Ledger!$B$2:$L$8, 6, 0),"")</f>
        <v/>
      </c>
      <c r="F251" t="str">
        <f>IFERROR(VLOOKUP($A251,'Student Data'!$A$2:$AR$6,32,0),"")</f>
        <v/>
      </c>
      <c r="G251" t="str">
        <f>IFERROR(VLOOKUP($A251,'Student Data'!$A$2:$AR$6,33,0),"")</f>
        <v/>
      </c>
      <c r="H251" t="str">
        <f>IFERROR(VLOOKUP($A251,'Student Data'!$A$2:$AR$6,34,0),"")</f>
        <v/>
      </c>
      <c r="I251" t="str">
        <f>IFERROR(VLOOKUP($A251,'Student Data'!$A$2:$AR$6,35,0),"")</f>
        <v/>
      </c>
      <c r="J251" t="str">
        <f>IFERROR(VLOOKUP($A251,'Student Data'!$A$2:$AR$6,36,0),"")</f>
        <v/>
      </c>
      <c r="K251" t="str">
        <f t="shared" si="6"/>
        <v/>
      </c>
      <c r="L251" t="str">
        <f t="shared" si="7"/>
        <v/>
      </c>
      <c r="M251" t="str">
        <f>IFERROR(IF($C251="","",SUMIFS(Ledger!$K$2:$K$4, Ledger!$B$2:$B$4, $A251, Ledger!$C$2:$C$4, M$2)),"****")</f>
        <v/>
      </c>
      <c r="N251" t="str">
        <f>IFERROR(IF($C251="","",SUMIFS(Ledger!$K$2:$K$4, Ledger!$B$2:$B$4, $A251, Ledger!$C$2:$C$4, N$2)),"****")</f>
        <v/>
      </c>
      <c r="O251" t="str">
        <f>IFERROR(IF($C251="","",SUMIFS(Ledger!$K$2:$K$4, Ledger!$B$2:$B$4, $A251, Ledger!$C$2:$C$4, O$2)),"****")</f>
        <v/>
      </c>
      <c r="P251" t="str">
        <f>IFERROR(IF($C251="","",SUMIFS(Ledger!$K$2:$K$4, Ledger!$B$2:$B$4, $A251, Ledger!$C$2:$C$4, P$2)),"****")</f>
        <v/>
      </c>
      <c r="Q251" t="str">
        <f>IFERROR(IF($C251="","",SUMIFS(Ledger!$K$2:$K$4, Ledger!$B$2:$B$4, $A251, Ledger!$C$2:$C$4, Q$2)),"****")</f>
        <v/>
      </c>
      <c r="R251" t="str">
        <f>IFERROR(IF($C251="","",SUMIFS(Ledger!$K$2:$K$4, Ledger!$B$2:$B$4, $A251, Ledger!$C$2:$C$4, R$2)),"****")</f>
        <v/>
      </c>
      <c r="S251" t="str">
        <f>IFERROR(IF($C251="","",SUMIFS(Ledger!$K$2:$K$4, Ledger!$B$2:$B$4, $A251, Ledger!$C$2:$C$4, S$2)),"****")</f>
        <v/>
      </c>
      <c r="T251" t="str">
        <f>IFERROR(IF($C251="","",SUMIFS(Ledger!$K$2:$K$4, Ledger!$B$2:$B$4, $A251, Ledger!$C$2:$C$4, T$2)),"****")</f>
        <v/>
      </c>
      <c r="U251" t="str">
        <f>IFERROR(IF($C251="","",SUMIFS(Ledger!$K$2:$K$4, Ledger!$B$2:$B$4, $A251, Ledger!$C$2:$C$4, U$2)),"****")</f>
        <v/>
      </c>
      <c r="V251" t="str">
        <f>IFERROR(IF($C251="","",SUMIFS(Ledger!$K$2:$K$4, Ledger!$B$2:$B$4, $A251, Ledger!$C$2:$C$4, V$2)),"****")</f>
        <v/>
      </c>
      <c r="W251" t="str">
        <f>IFERROR(IF($C251="","",SUMIFS(Ledger!$K$2:$K$4, Ledger!$B$2:$B$4, $A251, Ledger!$C$2:$C$4, W$2)),"****")</f>
        <v/>
      </c>
      <c r="X251" t="str">
        <f>IFERROR(IF($C251="","",SUMIFS(Ledger!$K$2:$K$4, Ledger!$B$2:$B$4, $A251, Ledger!$C$2:$C$4, X$2)),"****")</f>
        <v/>
      </c>
    </row>
    <row r="252" spans="1:24" x14ac:dyDescent="0.3">
      <c r="A252" s="106">
        <v>250</v>
      </c>
      <c r="B252" t="str">
        <f>IFERROR(VLOOKUP($A252, Ledger!$B$2:$L$8, 3, 0),"")</f>
        <v/>
      </c>
      <c r="C252" t="str">
        <f>IFERROR(VLOOKUP($A252, Ledger!$B$2:$L$8, 4, 0),"")</f>
        <v/>
      </c>
      <c r="D252" t="str">
        <f>IFERROR(VLOOKUP($A252, Ledger!$B$2:$L$8, 5, 0),"")</f>
        <v/>
      </c>
      <c r="E252" t="str">
        <f>IFERROR(VLOOKUP($A252, Ledger!$B$2:$L$8, 6, 0),"")</f>
        <v/>
      </c>
      <c r="F252" t="str">
        <f>IFERROR(VLOOKUP($A252,'Student Data'!$A$2:$AR$6,32,0),"")</f>
        <v/>
      </c>
      <c r="G252" t="str">
        <f>IFERROR(VLOOKUP($A252,'Student Data'!$A$2:$AR$6,33,0),"")</f>
        <v/>
      </c>
      <c r="H252" t="str">
        <f>IFERROR(VLOOKUP($A252,'Student Data'!$A$2:$AR$6,34,0),"")</f>
        <v/>
      </c>
      <c r="I252" t="str">
        <f>IFERROR(VLOOKUP($A252,'Student Data'!$A$2:$AR$6,35,0),"")</f>
        <v/>
      </c>
      <c r="J252" t="str">
        <f>IFERROR(VLOOKUP($A252,'Student Data'!$A$2:$AR$6,36,0),"")</f>
        <v/>
      </c>
      <c r="K252" t="str">
        <f t="shared" si="6"/>
        <v/>
      </c>
      <c r="L252" t="str">
        <f t="shared" si="7"/>
        <v/>
      </c>
      <c r="M252" t="str">
        <f>IFERROR(IF($C252="","",SUMIFS(Ledger!$K$2:$K$4, Ledger!$B$2:$B$4, $A252, Ledger!$C$2:$C$4, M$2)),"****")</f>
        <v/>
      </c>
      <c r="N252" t="str">
        <f>IFERROR(IF($C252="","",SUMIFS(Ledger!$K$2:$K$4, Ledger!$B$2:$B$4, $A252, Ledger!$C$2:$C$4, N$2)),"****")</f>
        <v/>
      </c>
      <c r="O252" t="str">
        <f>IFERROR(IF($C252="","",SUMIFS(Ledger!$K$2:$K$4, Ledger!$B$2:$B$4, $A252, Ledger!$C$2:$C$4, O$2)),"****")</f>
        <v/>
      </c>
      <c r="P252" t="str">
        <f>IFERROR(IF($C252="","",SUMIFS(Ledger!$K$2:$K$4, Ledger!$B$2:$B$4, $A252, Ledger!$C$2:$C$4, P$2)),"****")</f>
        <v/>
      </c>
      <c r="Q252" t="str">
        <f>IFERROR(IF($C252="","",SUMIFS(Ledger!$K$2:$K$4, Ledger!$B$2:$B$4, $A252, Ledger!$C$2:$C$4, Q$2)),"****")</f>
        <v/>
      </c>
      <c r="R252" t="str">
        <f>IFERROR(IF($C252="","",SUMIFS(Ledger!$K$2:$K$4, Ledger!$B$2:$B$4, $A252, Ledger!$C$2:$C$4, R$2)),"****")</f>
        <v/>
      </c>
      <c r="S252" t="str">
        <f>IFERROR(IF($C252="","",SUMIFS(Ledger!$K$2:$K$4, Ledger!$B$2:$B$4, $A252, Ledger!$C$2:$C$4, S$2)),"****")</f>
        <v/>
      </c>
      <c r="T252" t="str">
        <f>IFERROR(IF($C252="","",SUMIFS(Ledger!$K$2:$K$4, Ledger!$B$2:$B$4, $A252, Ledger!$C$2:$C$4, T$2)),"****")</f>
        <v/>
      </c>
      <c r="U252" t="str">
        <f>IFERROR(IF($C252="","",SUMIFS(Ledger!$K$2:$K$4, Ledger!$B$2:$B$4, $A252, Ledger!$C$2:$C$4, U$2)),"****")</f>
        <v/>
      </c>
      <c r="V252" t="str">
        <f>IFERROR(IF($C252="","",SUMIFS(Ledger!$K$2:$K$4, Ledger!$B$2:$B$4, $A252, Ledger!$C$2:$C$4, V$2)),"****")</f>
        <v/>
      </c>
      <c r="W252" t="str">
        <f>IFERROR(IF($C252="","",SUMIFS(Ledger!$K$2:$K$4, Ledger!$B$2:$B$4, $A252, Ledger!$C$2:$C$4, W$2)),"****")</f>
        <v/>
      </c>
      <c r="X252" t="str">
        <f>IFERROR(IF($C252="","",SUMIFS(Ledger!$K$2:$K$4, Ledger!$B$2:$B$4, $A252, Ledger!$C$2:$C$4, X$2)),"****")</f>
        <v/>
      </c>
    </row>
    <row r="253" spans="1:24" x14ac:dyDescent="0.3">
      <c r="A253" s="106">
        <v>251</v>
      </c>
      <c r="B253" t="str">
        <f>IFERROR(VLOOKUP($A253, Ledger!$B$2:$L$8, 3, 0),"")</f>
        <v/>
      </c>
      <c r="C253" t="str">
        <f>IFERROR(VLOOKUP($A253, Ledger!$B$2:$L$8, 4, 0),"")</f>
        <v/>
      </c>
      <c r="D253" t="str">
        <f>IFERROR(VLOOKUP($A253, Ledger!$B$2:$L$8, 5, 0),"")</f>
        <v/>
      </c>
      <c r="E253" t="str">
        <f>IFERROR(VLOOKUP($A253, Ledger!$B$2:$L$8, 6, 0),"")</f>
        <v/>
      </c>
      <c r="F253" t="str">
        <f>IFERROR(VLOOKUP($A253,'Student Data'!$A$2:$AR$6,32,0),"")</f>
        <v/>
      </c>
      <c r="G253" t="str">
        <f>IFERROR(VLOOKUP($A253,'Student Data'!$A$2:$AR$6,33,0),"")</f>
        <v/>
      </c>
      <c r="H253" t="str">
        <f>IFERROR(VLOOKUP($A253,'Student Data'!$A$2:$AR$6,34,0),"")</f>
        <v/>
      </c>
      <c r="I253" t="str">
        <f>IFERROR(VLOOKUP($A253,'Student Data'!$A$2:$AR$6,35,0),"")</f>
        <v/>
      </c>
      <c r="J253" t="str">
        <f>IFERROR(VLOOKUP($A253,'Student Data'!$A$2:$AR$6,36,0),"")</f>
        <v/>
      </c>
      <c r="K253" t="str">
        <f t="shared" si="6"/>
        <v/>
      </c>
      <c r="L253" t="str">
        <f t="shared" si="7"/>
        <v/>
      </c>
      <c r="M253" t="str">
        <f>IFERROR(IF($C253="","",SUMIFS(Ledger!$K$2:$K$4, Ledger!$B$2:$B$4, $A253, Ledger!$C$2:$C$4, M$2)),"****")</f>
        <v/>
      </c>
      <c r="N253" t="str">
        <f>IFERROR(IF($C253="","",SUMIFS(Ledger!$K$2:$K$4, Ledger!$B$2:$B$4, $A253, Ledger!$C$2:$C$4, N$2)),"****")</f>
        <v/>
      </c>
      <c r="O253" t="str">
        <f>IFERROR(IF($C253="","",SUMIFS(Ledger!$K$2:$K$4, Ledger!$B$2:$B$4, $A253, Ledger!$C$2:$C$4, O$2)),"****")</f>
        <v/>
      </c>
      <c r="P253" t="str">
        <f>IFERROR(IF($C253="","",SUMIFS(Ledger!$K$2:$K$4, Ledger!$B$2:$B$4, $A253, Ledger!$C$2:$C$4, P$2)),"****")</f>
        <v/>
      </c>
      <c r="Q253" t="str">
        <f>IFERROR(IF($C253="","",SUMIFS(Ledger!$K$2:$K$4, Ledger!$B$2:$B$4, $A253, Ledger!$C$2:$C$4, Q$2)),"****")</f>
        <v/>
      </c>
      <c r="R253" t="str">
        <f>IFERROR(IF($C253="","",SUMIFS(Ledger!$K$2:$K$4, Ledger!$B$2:$B$4, $A253, Ledger!$C$2:$C$4, R$2)),"****")</f>
        <v/>
      </c>
      <c r="S253" t="str">
        <f>IFERROR(IF($C253="","",SUMIFS(Ledger!$K$2:$K$4, Ledger!$B$2:$B$4, $A253, Ledger!$C$2:$C$4, S$2)),"****")</f>
        <v/>
      </c>
      <c r="T253" t="str">
        <f>IFERROR(IF($C253="","",SUMIFS(Ledger!$K$2:$K$4, Ledger!$B$2:$B$4, $A253, Ledger!$C$2:$C$4, T$2)),"****")</f>
        <v/>
      </c>
      <c r="U253" t="str">
        <f>IFERROR(IF($C253="","",SUMIFS(Ledger!$K$2:$K$4, Ledger!$B$2:$B$4, $A253, Ledger!$C$2:$C$4, U$2)),"****")</f>
        <v/>
      </c>
      <c r="V253" t="str">
        <f>IFERROR(IF($C253="","",SUMIFS(Ledger!$K$2:$K$4, Ledger!$B$2:$B$4, $A253, Ledger!$C$2:$C$4, V$2)),"****")</f>
        <v/>
      </c>
      <c r="W253" t="str">
        <f>IFERROR(IF($C253="","",SUMIFS(Ledger!$K$2:$K$4, Ledger!$B$2:$B$4, $A253, Ledger!$C$2:$C$4, W$2)),"****")</f>
        <v/>
      </c>
      <c r="X253" t="str">
        <f>IFERROR(IF($C253="","",SUMIFS(Ledger!$K$2:$K$4, Ledger!$B$2:$B$4, $A253, Ledger!$C$2:$C$4, X$2)),"****")</f>
        <v/>
      </c>
    </row>
    <row r="254" spans="1:24" x14ac:dyDescent="0.3">
      <c r="A254" s="106">
        <v>252</v>
      </c>
      <c r="B254" t="str">
        <f>IFERROR(VLOOKUP($A254, Ledger!$B$2:$L$8, 3, 0),"")</f>
        <v/>
      </c>
      <c r="C254" t="str">
        <f>IFERROR(VLOOKUP($A254, Ledger!$B$2:$L$8, 4, 0),"")</f>
        <v/>
      </c>
      <c r="D254" t="str">
        <f>IFERROR(VLOOKUP($A254, Ledger!$B$2:$L$8, 5, 0),"")</f>
        <v/>
      </c>
      <c r="E254" t="str">
        <f>IFERROR(VLOOKUP($A254, Ledger!$B$2:$L$8, 6, 0),"")</f>
        <v/>
      </c>
      <c r="F254" t="str">
        <f>IFERROR(VLOOKUP($A254,'Student Data'!$A$2:$AR$6,32,0),"")</f>
        <v/>
      </c>
      <c r="G254" t="str">
        <f>IFERROR(VLOOKUP($A254,'Student Data'!$A$2:$AR$6,33,0),"")</f>
        <v/>
      </c>
      <c r="H254" t="str">
        <f>IFERROR(VLOOKUP($A254,'Student Data'!$A$2:$AR$6,34,0),"")</f>
        <v/>
      </c>
      <c r="I254" t="str">
        <f>IFERROR(VLOOKUP($A254,'Student Data'!$A$2:$AR$6,35,0),"")</f>
        <v/>
      </c>
      <c r="J254" t="str">
        <f>IFERROR(VLOOKUP($A254,'Student Data'!$A$2:$AR$6,36,0),"")</f>
        <v/>
      </c>
      <c r="K254" t="str">
        <f t="shared" si="6"/>
        <v/>
      </c>
      <c r="L254" t="str">
        <f t="shared" si="7"/>
        <v/>
      </c>
      <c r="M254" t="str">
        <f>IFERROR(IF($C254="","",SUMIFS(Ledger!$K$2:$K$4, Ledger!$B$2:$B$4, $A254, Ledger!$C$2:$C$4, M$2)),"****")</f>
        <v/>
      </c>
      <c r="N254" t="str">
        <f>IFERROR(IF($C254="","",SUMIFS(Ledger!$K$2:$K$4, Ledger!$B$2:$B$4, $A254, Ledger!$C$2:$C$4, N$2)),"****")</f>
        <v/>
      </c>
      <c r="O254" t="str">
        <f>IFERROR(IF($C254="","",SUMIFS(Ledger!$K$2:$K$4, Ledger!$B$2:$B$4, $A254, Ledger!$C$2:$C$4, O$2)),"****")</f>
        <v/>
      </c>
      <c r="P254" t="str">
        <f>IFERROR(IF($C254="","",SUMIFS(Ledger!$K$2:$K$4, Ledger!$B$2:$B$4, $A254, Ledger!$C$2:$C$4, P$2)),"****")</f>
        <v/>
      </c>
      <c r="Q254" t="str">
        <f>IFERROR(IF($C254="","",SUMIFS(Ledger!$K$2:$K$4, Ledger!$B$2:$B$4, $A254, Ledger!$C$2:$C$4, Q$2)),"****")</f>
        <v/>
      </c>
      <c r="R254" t="str">
        <f>IFERROR(IF($C254="","",SUMIFS(Ledger!$K$2:$K$4, Ledger!$B$2:$B$4, $A254, Ledger!$C$2:$C$4, R$2)),"****")</f>
        <v/>
      </c>
      <c r="S254" t="str">
        <f>IFERROR(IF($C254="","",SUMIFS(Ledger!$K$2:$K$4, Ledger!$B$2:$B$4, $A254, Ledger!$C$2:$C$4, S$2)),"****")</f>
        <v/>
      </c>
      <c r="T254" t="str">
        <f>IFERROR(IF($C254="","",SUMIFS(Ledger!$K$2:$K$4, Ledger!$B$2:$B$4, $A254, Ledger!$C$2:$C$4, T$2)),"****")</f>
        <v/>
      </c>
      <c r="U254" t="str">
        <f>IFERROR(IF($C254="","",SUMIFS(Ledger!$K$2:$K$4, Ledger!$B$2:$B$4, $A254, Ledger!$C$2:$C$4, U$2)),"****")</f>
        <v/>
      </c>
      <c r="V254" t="str">
        <f>IFERROR(IF($C254="","",SUMIFS(Ledger!$K$2:$K$4, Ledger!$B$2:$B$4, $A254, Ledger!$C$2:$C$4, V$2)),"****")</f>
        <v/>
      </c>
      <c r="W254" t="str">
        <f>IFERROR(IF($C254="","",SUMIFS(Ledger!$K$2:$K$4, Ledger!$B$2:$B$4, $A254, Ledger!$C$2:$C$4, W$2)),"****")</f>
        <v/>
      </c>
      <c r="X254" t="str">
        <f>IFERROR(IF($C254="","",SUMIFS(Ledger!$K$2:$K$4, Ledger!$B$2:$B$4, $A254, Ledger!$C$2:$C$4, X$2)),"****")</f>
        <v/>
      </c>
    </row>
    <row r="255" spans="1:24" x14ac:dyDescent="0.3">
      <c r="A255" s="106">
        <v>253</v>
      </c>
      <c r="B255" t="str">
        <f>IFERROR(VLOOKUP($A255, Ledger!$B$2:$L$8, 3, 0),"")</f>
        <v/>
      </c>
      <c r="C255" t="str">
        <f>IFERROR(VLOOKUP($A255, Ledger!$B$2:$L$8, 4, 0),"")</f>
        <v/>
      </c>
      <c r="D255" t="str">
        <f>IFERROR(VLOOKUP($A255, Ledger!$B$2:$L$8, 5, 0),"")</f>
        <v/>
      </c>
      <c r="E255" t="str">
        <f>IFERROR(VLOOKUP($A255, Ledger!$B$2:$L$8, 6, 0),"")</f>
        <v/>
      </c>
      <c r="F255" t="str">
        <f>IFERROR(VLOOKUP($A255,'Student Data'!$A$2:$AR$6,32,0),"")</f>
        <v/>
      </c>
      <c r="G255" t="str">
        <f>IFERROR(VLOOKUP($A255,'Student Data'!$A$2:$AR$6,33,0),"")</f>
        <v/>
      </c>
      <c r="H255" t="str">
        <f>IFERROR(VLOOKUP($A255,'Student Data'!$A$2:$AR$6,34,0),"")</f>
        <v/>
      </c>
      <c r="I255" t="str">
        <f>IFERROR(VLOOKUP($A255,'Student Data'!$A$2:$AR$6,35,0),"")</f>
        <v/>
      </c>
      <c r="J255" t="str">
        <f>IFERROR(VLOOKUP($A255,'Student Data'!$A$2:$AR$6,36,0),"")</f>
        <v/>
      </c>
      <c r="K255" t="str">
        <f t="shared" si="6"/>
        <v/>
      </c>
      <c r="L255" t="str">
        <f t="shared" si="7"/>
        <v/>
      </c>
      <c r="M255" t="str">
        <f>IFERROR(IF($C255="","",SUMIFS(Ledger!$K$2:$K$4, Ledger!$B$2:$B$4, $A255, Ledger!$C$2:$C$4, M$2)),"****")</f>
        <v/>
      </c>
      <c r="N255" t="str">
        <f>IFERROR(IF($C255="","",SUMIFS(Ledger!$K$2:$K$4, Ledger!$B$2:$B$4, $A255, Ledger!$C$2:$C$4, N$2)),"****")</f>
        <v/>
      </c>
      <c r="O255" t="str">
        <f>IFERROR(IF($C255="","",SUMIFS(Ledger!$K$2:$K$4, Ledger!$B$2:$B$4, $A255, Ledger!$C$2:$C$4, O$2)),"****")</f>
        <v/>
      </c>
      <c r="P255" t="str">
        <f>IFERROR(IF($C255="","",SUMIFS(Ledger!$K$2:$K$4, Ledger!$B$2:$B$4, $A255, Ledger!$C$2:$C$4, P$2)),"****")</f>
        <v/>
      </c>
      <c r="Q255" t="str">
        <f>IFERROR(IF($C255="","",SUMIFS(Ledger!$K$2:$K$4, Ledger!$B$2:$B$4, $A255, Ledger!$C$2:$C$4, Q$2)),"****")</f>
        <v/>
      </c>
      <c r="R255" t="str">
        <f>IFERROR(IF($C255="","",SUMIFS(Ledger!$K$2:$K$4, Ledger!$B$2:$B$4, $A255, Ledger!$C$2:$C$4, R$2)),"****")</f>
        <v/>
      </c>
      <c r="S255" t="str">
        <f>IFERROR(IF($C255="","",SUMIFS(Ledger!$K$2:$K$4, Ledger!$B$2:$B$4, $A255, Ledger!$C$2:$C$4, S$2)),"****")</f>
        <v/>
      </c>
      <c r="T255" t="str">
        <f>IFERROR(IF($C255="","",SUMIFS(Ledger!$K$2:$K$4, Ledger!$B$2:$B$4, $A255, Ledger!$C$2:$C$4, T$2)),"****")</f>
        <v/>
      </c>
      <c r="U255" t="str">
        <f>IFERROR(IF($C255="","",SUMIFS(Ledger!$K$2:$K$4, Ledger!$B$2:$B$4, $A255, Ledger!$C$2:$C$4, U$2)),"****")</f>
        <v/>
      </c>
      <c r="V255" t="str">
        <f>IFERROR(IF($C255="","",SUMIFS(Ledger!$K$2:$K$4, Ledger!$B$2:$B$4, $A255, Ledger!$C$2:$C$4, V$2)),"****")</f>
        <v/>
      </c>
      <c r="W255" t="str">
        <f>IFERROR(IF($C255="","",SUMIFS(Ledger!$K$2:$K$4, Ledger!$B$2:$B$4, $A255, Ledger!$C$2:$C$4, W$2)),"****")</f>
        <v/>
      </c>
      <c r="X255" t="str">
        <f>IFERROR(IF($C255="","",SUMIFS(Ledger!$K$2:$K$4, Ledger!$B$2:$B$4, $A255, Ledger!$C$2:$C$4, X$2)),"****")</f>
        <v/>
      </c>
    </row>
    <row r="256" spans="1:24" x14ac:dyDescent="0.3">
      <c r="A256" s="106">
        <v>254</v>
      </c>
      <c r="B256" t="str">
        <f>IFERROR(VLOOKUP($A256, Ledger!$B$2:$L$8, 3, 0),"")</f>
        <v/>
      </c>
      <c r="C256" t="str">
        <f>IFERROR(VLOOKUP($A256, Ledger!$B$2:$L$8, 4, 0),"")</f>
        <v/>
      </c>
      <c r="D256" t="str">
        <f>IFERROR(VLOOKUP($A256, Ledger!$B$2:$L$8, 5, 0),"")</f>
        <v/>
      </c>
      <c r="E256" t="str">
        <f>IFERROR(VLOOKUP($A256, Ledger!$B$2:$L$8, 6, 0),"")</f>
        <v/>
      </c>
      <c r="F256" t="str">
        <f>IFERROR(VLOOKUP($A256,'Student Data'!$A$2:$AR$6,32,0),"")</f>
        <v/>
      </c>
      <c r="G256" t="str">
        <f>IFERROR(VLOOKUP($A256,'Student Data'!$A$2:$AR$6,33,0),"")</f>
        <v/>
      </c>
      <c r="H256" t="str">
        <f>IFERROR(VLOOKUP($A256,'Student Data'!$A$2:$AR$6,34,0),"")</f>
        <v/>
      </c>
      <c r="I256" t="str">
        <f>IFERROR(VLOOKUP($A256,'Student Data'!$A$2:$AR$6,35,0),"")</f>
        <v/>
      </c>
      <c r="J256" t="str">
        <f>IFERROR(VLOOKUP($A256,'Student Data'!$A$2:$AR$6,36,0),"")</f>
        <v/>
      </c>
      <c r="K256" t="str">
        <f t="shared" si="6"/>
        <v/>
      </c>
      <c r="L256" t="str">
        <f t="shared" si="7"/>
        <v/>
      </c>
      <c r="M256" t="str">
        <f>IFERROR(IF($C256="","",SUMIFS(Ledger!$K$2:$K$4, Ledger!$B$2:$B$4, $A256, Ledger!$C$2:$C$4, M$2)),"****")</f>
        <v/>
      </c>
      <c r="N256" t="str">
        <f>IFERROR(IF($C256="","",SUMIFS(Ledger!$K$2:$K$4, Ledger!$B$2:$B$4, $A256, Ledger!$C$2:$C$4, N$2)),"****")</f>
        <v/>
      </c>
      <c r="O256" t="str">
        <f>IFERROR(IF($C256="","",SUMIFS(Ledger!$K$2:$K$4, Ledger!$B$2:$B$4, $A256, Ledger!$C$2:$C$4, O$2)),"****")</f>
        <v/>
      </c>
      <c r="P256" t="str">
        <f>IFERROR(IF($C256="","",SUMIFS(Ledger!$K$2:$K$4, Ledger!$B$2:$B$4, $A256, Ledger!$C$2:$C$4, P$2)),"****")</f>
        <v/>
      </c>
      <c r="Q256" t="str">
        <f>IFERROR(IF($C256="","",SUMIFS(Ledger!$K$2:$K$4, Ledger!$B$2:$B$4, $A256, Ledger!$C$2:$C$4, Q$2)),"****")</f>
        <v/>
      </c>
      <c r="R256" t="str">
        <f>IFERROR(IF($C256="","",SUMIFS(Ledger!$K$2:$K$4, Ledger!$B$2:$B$4, $A256, Ledger!$C$2:$C$4, R$2)),"****")</f>
        <v/>
      </c>
      <c r="S256" t="str">
        <f>IFERROR(IF($C256="","",SUMIFS(Ledger!$K$2:$K$4, Ledger!$B$2:$B$4, $A256, Ledger!$C$2:$C$4, S$2)),"****")</f>
        <v/>
      </c>
      <c r="T256" t="str">
        <f>IFERROR(IF($C256="","",SUMIFS(Ledger!$K$2:$K$4, Ledger!$B$2:$B$4, $A256, Ledger!$C$2:$C$4, T$2)),"****")</f>
        <v/>
      </c>
      <c r="U256" t="str">
        <f>IFERROR(IF($C256="","",SUMIFS(Ledger!$K$2:$K$4, Ledger!$B$2:$B$4, $A256, Ledger!$C$2:$C$4, U$2)),"****")</f>
        <v/>
      </c>
      <c r="V256" t="str">
        <f>IFERROR(IF($C256="","",SUMIFS(Ledger!$K$2:$K$4, Ledger!$B$2:$B$4, $A256, Ledger!$C$2:$C$4, V$2)),"****")</f>
        <v/>
      </c>
      <c r="W256" t="str">
        <f>IFERROR(IF($C256="","",SUMIFS(Ledger!$K$2:$K$4, Ledger!$B$2:$B$4, $A256, Ledger!$C$2:$C$4, W$2)),"****")</f>
        <v/>
      </c>
      <c r="X256" t="str">
        <f>IFERROR(IF($C256="","",SUMIFS(Ledger!$K$2:$K$4, Ledger!$B$2:$B$4, $A256, Ledger!$C$2:$C$4, X$2)),"****")</f>
        <v/>
      </c>
    </row>
    <row r="257" spans="1:24" x14ac:dyDescent="0.3">
      <c r="A257" s="106">
        <v>255</v>
      </c>
      <c r="B257" t="str">
        <f>IFERROR(VLOOKUP($A257, Ledger!$B$2:$L$8, 3, 0),"")</f>
        <v/>
      </c>
      <c r="C257" t="str">
        <f>IFERROR(VLOOKUP($A257, Ledger!$B$2:$L$8, 4, 0),"")</f>
        <v/>
      </c>
      <c r="D257" t="str">
        <f>IFERROR(VLOOKUP($A257, Ledger!$B$2:$L$8, 5, 0),"")</f>
        <v/>
      </c>
      <c r="E257" t="str">
        <f>IFERROR(VLOOKUP($A257, Ledger!$B$2:$L$8, 6, 0),"")</f>
        <v/>
      </c>
      <c r="F257" t="str">
        <f>IFERROR(VLOOKUP($A257,'Student Data'!$A$2:$AR$6,32,0),"")</f>
        <v/>
      </c>
      <c r="G257" t="str">
        <f>IFERROR(VLOOKUP($A257,'Student Data'!$A$2:$AR$6,33,0),"")</f>
        <v/>
      </c>
      <c r="H257" t="str">
        <f>IFERROR(VLOOKUP($A257,'Student Data'!$A$2:$AR$6,34,0),"")</f>
        <v/>
      </c>
      <c r="I257" t="str">
        <f>IFERROR(VLOOKUP($A257,'Student Data'!$A$2:$AR$6,35,0),"")</f>
        <v/>
      </c>
      <c r="J257" t="str">
        <f>IFERROR(VLOOKUP($A257,'Student Data'!$A$2:$AR$6,36,0),"")</f>
        <v/>
      </c>
      <c r="K257" t="str">
        <f t="shared" si="6"/>
        <v/>
      </c>
      <c r="L257" t="str">
        <f t="shared" si="7"/>
        <v/>
      </c>
      <c r="M257" t="str">
        <f>IFERROR(IF($C257="","",SUMIFS(Ledger!$K$2:$K$4, Ledger!$B$2:$B$4, $A257, Ledger!$C$2:$C$4, M$2)),"****")</f>
        <v/>
      </c>
      <c r="N257" t="str">
        <f>IFERROR(IF($C257="","",SUMIFS(Ledger!$K$2:$K$4, Ledger!$B$2:$B$4, $A257, Ledger!$C$2:$C$4, N$2)),"****")</f>
        <v/>
      </c>
      <c r="O257" t="str">
        <f>IFERROR(IF($C257="","",SUMIFS(Ledger!$K$2:$K$4, Ledger!$B$2:$B$4, $A257, Ledger!$C$2:$C$4, O$2)),"****")</f>
        <v/>
      </c>
      <c r="P257" t="str">
        <f>IFERROR(IF($C257="","",SUMIFS(Ledger!$K$2:$K$4, Ledger!$B$2:$B$4, $A257, Ledger!$C$2:$C$4, P$2)),"****")</f>
        <v/>
      </c>
      <c r="Q257" t="str">
        <f>IFERROR(IF($C257="","",SUMIFS(Ledger!$K$2:$K$4, Ledger!$B$2:$B$4, $A257, Ledger!$C$2:$C$4, Q$2)),"****")</f>
        <v/>
      </c>
      <c r="R257" t="str">
        <f>IFERROR(IF($C257="","",SUMIFS(Ledger!$K$2:$K$4, Ledger!$B$2:$B$4, $A257, Ledger!$C$2:$C$4, R$2)),"****")</f>
        <v/>
      </c>
      <c r="S257" t="str">
        <f>IFERROR(IF($C257="","",SUMIFS(Ledger!$K$2:$K$4, Ledger!$B$2:$B$4, $A257, Ledger!$C$2:$C$4, S$2)),"****")</f>
        <v/>
      </c>
      <c r="T257" t="str">
        <f>IFERROR(IF($C257="","",SUMIFS(Ledger!$K$2:$K$4, Ledger!$B$2:$B$4, $A257, Ledger!$C$2:$C$4, T$2)),"****")</f>
        <v/>
      </c>
      <c r="U257" t="str">
        <f>IFERROR(IF($C257="","",SUMIFS(Ledger!$K$2:$K$4, Ledger!$B$2:$B$4, $A257, Ledger!$C$2:$C$4, U$2)),"****")</f>
        <v/>
      </c>
      <c r="V257" t="str">
        <f>IFERROR(IF($C257="","",SUMIFS(Ledger!$K$2:$K$4, Ledger!$B$2:$B$4, $A257, Ledger!$C$2:$C$4, V$2)),"****")</f>
        <v/>
      </c>
      <c r="W257" t="str">
        <f>IFERROR(IF($C257="","",SUMIFS(Ledger!$K$2:$K$4, Ledger!$B$2:$B$4, $A257, Ledger!$C$2:$C$4, W$2)),"****")</f>
        <v/>
      </c>
      <c r="X257" t="str">
        <f>IFERROR(IF($C257="","",SUMIFS(Ledger!$K$2:$K$4, Ledger!$B$2:$B$4, $A257, Ledger!$C$2:$C$4, X$2)),"****")</f>
        <v/>
      </c>
    </row>
    <row r="258" spans="1:24" x14ac:dyDescent="0.3">
      <c r="A258" s="106">
        <v>256</v>
      </c>
      <c r="B258" t="str">
        <f>IFERROR(VLOOKUP($A258, Ledger!$B$2:$L$8, 3, 0),"")</f>
        <v/>
      </c>
      <c r="C258" t="str">
        <f>IFERROR(VLOOKUP($A258, Ledger!$B$2:$L$8, 4, 0),"")</f>
        <v/>
      </c>
      <c r="D258" t="str">
        <f>IFERROR(VLOOKUP($A258, Ledger!$B$2:$L$8, 5, 0),"")</f>
        <v/>
      </c>
      <c r="E258" t="str">
        <f>IFERROR(VLOOKUP($A258, Ledger!$B$2:$L$8, 6, 0),"")</f>
        <v/>
      </c>
      <c r="F258" t="str">
        <f>IFERROR(VLOOKUP($A258,'Student Data'!$A$2:$AR$6,32,0),"")</f>
        <v/>
      </c>
      <c r="G258" t="str">
        <f>IFERROR(VLOOKUP($A258,'Student Data'!$A$2:$AR$6,33,0),"")</f>
        <v/>
      </c>
      <c r="H258" t="str">
        <f>IFERROR(VLOOKUP($A258,'Student Data'!$A$2:$AR$6,34,0),"")</f>
        <v/>
      </c>
      <c r="I258" t="str">
        <f>IFERROR(VLOOKUP($A258,'Student Data'!$A$2:$AR$6,35,0),"")</f>
        <v/>
      </c>
      <c r="J258" t="str">
        <f>IFERROR(VLOOKUP($A258,'Student Data'!$A$2:$AR$6,36,0),"")</f>
        <v/>
      </c>
      <c r="K258" t="str">
        <f t="shared" si="6"/>
        <v/>
      </c>
      <c r="L258" t="str">
        <f t="shared" si="7"/>
        <v/>
      </c>
      <c r="M258" t="str">
        <f>IFERROR(IF($C258="","",SUMIFS(Ledger!$K$2:$K$4, Ledger!$B$2:$B$4, $A258, Ledger!$C$2:$C$4, M$2)),"****")</f>
        <v/>
      </c>
      <c r="N258" t="str">
        <f>IFERROR(IF($C258="","",SUMIFS(Ledger!$K$2:$K$4, Ledger!$B$2:$B$4, $A258, Ledger!$C$2:$C$4, N$2)),"****")</f>
        <v/>
      </c>
      <c r="O258" t="str">
        <f>IFERROR(IF($C258="","",SUMIFS(Ledger!$K$2:$K$4, Ledger!$B$2:$B$4, $A258, Ledger!$C$2:$C$4, O$2)),"****")</f>
        <v/>
      </c>
      <c r="P258" t="str">
        <f>IFERROR(IF($C258="","",SUMIFS(Ledger!$K$2:$K$4, Ledger!$B$2:$B$4, $A258, Ledger!$C$2:$C$4, P$2)),"****")</f>
        <v/>
      </c>
      <c r="Q258" t="str">
        <f>IFERROR(IF($C258="","",SUMIFS(Ledger!$K$2:$K$4, Ledger!$B$2:$B$4, $A258, Ledger!$C$2:$C$4, Q$2)),"****")</f>
        <v/>
      </c>
      <c r="R258" t="str">
        <f>IFERROR(IF($C258="","",SUMIFS(Ledger!$K$2:$K$4, Ledger!$B$2:$B$4, $A258, Ledger!$C$2:$C$4, R$2)),"****")</f>
        <v/>
      </c>
      <c r="S258" t="str">
        <f>IFERROR(IF($C258="","",SUMIFS(Ledger!$K$2:$K$4, Ledger!$B$2:$B$4, $A258, Ledger!$C$2:$C$4, S$2)),"****")</f>
        <v/>
      </c>
      <c r="T258" t="str">
        <f>IFERROR(IF($C258="","",SUMIFS(Ledger!$K$2:$K$4, Ledger!$B$2:$B$4, $A258, Ledger!$C$2:$C$4, T$2)),"****")</f>
        <v/>
      </c>
      <c r="U258" t="str">
        <f>IFERROR(IF($C258="","",SUMIFS(Ledger!$K$2:$K$4, Ledger!$B$2:$B$4, $A258, Ledger!$C$2:$C$4, U$2)),"****")</f>
        <v/>
      </c>
      <c r="V258" t="str">
        <f>IFERROR(IF($C258="","",SUMIFS(Ledger!$K$2:$K$4, Ledger!$B$2:$B$4, $A258, Ledger!$C$2:$C$4, V$2)),"****")</f>
        <v/>
      </c>
      <c r="W258" t="str">
        <f>IFERROR(IF($C258="","",SUMIFS(Ledger!$K$2:$K$4, Ledger!$B$2:$B$4, $A258, Ledger!$C$2:$C$4, W$2)),"****")</f>
        <v/>
      </c>
      <c r="X258" t="str">
        <f>IFERROR(IF($C258="","",SUMIFS(Ledger!$K$2:$K$4, Ledger!$B$2:$B$4, $A258, Ledger!$C$2:$C$4, X$2)),"****")</f>
        <v/>
      </c>
    </row>
    <row r="259" spans="1:24" x14ac:dyDescent="0.3">
      <c r="A259" s="106">
        <v>257</v>
      </c>
      <c r="B259" t="str">
        <f>IFERROR(VLOOKUP($A259, Ledger!$B$2:$L$8, 3, 0),"")</f>
        <v/>
      </c>
      <c r="C259" t="str">
        <f>IFERROR(VLOOKUP($A259, Ledger!$B$2:$L$8, 4, 0),"")</f>
        <v/>
      </c>
      <c r="D259" t="str">
        <f>IFERROR(VLOOKUP($A259, Ledger!$B$2:$L$8, 5, 0),"")</f>
        <v/>
      </c>
      <c r="E259" t="str">
        <f>IFERROR(VLOOKUP($A259, Ledger!$B$2:$L$8, 6, 0),"")</f>
        <v/>
      </c>
      <c r="F259" t="str">
        <f>IFERROR(VLOOKUP($A259,'Student Data'!$A$2:$AR$6,32,0),"")</f>
        <v/>
      </c>
      <c r="G259" t="str">
        <f>IFERROR(VLOOKUP($A259,'Student Data'!$A$2:$AR$6,33,0),"")</f>
        <v/>
      </c>
      <c r="H259" t="str">
        <f>IFERROR(VLOOKUP($A259,'Student Data'!$A$2:$AR$6,34,0),"")</f>
        <v/>
      </c>
      <c r="I259" t="str">
        <f>IFERROR(VLOOKUP($A259,'Student Data'!$A$2:$AR$6,35,0),"")</f>
        <v/>
      </c>
      <c r="J259" t="str">
        <f>IFERROR(VLOOKUP($A259,'Student Data'!$A$2:$AR$6,36,0),"")</f>
        <v/>
      </c>
      <c r="K259" t="str">
        <f t="shared" si="6"/>
        <v/>
      </c>
      <c r="L259" t="str">
        <f t="shared" si="7"/>
        <v/>
      </c>
      <c r="M259" t="str">
        <f>IFERROR(IF($C259="","",SUMIFS(Ledger!$K$2:$K$4, Ledger!$B$2:$B$4, $A259, Ledger!$C$2:$C$4, M$2)),"****")</f>
        <v/>
      </c>
      <c r="N259" t="str">
        <f>IFERROR(IF($C259="","",SUMIFS(Ledger!$K$2:$K$4, Ledger!$B$2:$B$4, $A259, Ledger!$C$2:$C$4, N$2)),"****")</f>
        <v/>
      </c>
      <c r="O259" t="str">
        <f>IFERROR(IF($C259="","",SUMIFS(Ledger!$K$2:$K$4, Ledger!$B$2:$B$4, $A259, Ledger!$C$2:$C$4, O$2)),"****")</f>
        <v/>
      </c>
      <c r="P259" t="str">
        <f>IFERROR(IF($C259="","",SUMIFS(Ledger!$K$2:$K$4, Ledger!$B$2:$B$4, $A259, Ledger!$C$2:$C$4, P$2)),"****")</f>
        <v/>
      </c>
      <c r="Q259" t="str">
        <f>IFERROR(IF($C259="","",SUMIFS(Ledger!$K$2:$K$4, Ledger!$B$2:$B$4, $A259, Ledger!$C$2:$C$4, Q$2)),"****")</f>
        <v/>
      </c>
      <c r="R259" t="str">
        <f>IFERROR(IF($C259="","",SUMIFS(Ledger!$K$2:$K$4, Ledger!$B$2:$B$4, $A259, Ledger!$C$2:$C$4, R$2)),"****")</f>
        <v/>
      </c>
      <c r="S259" t="str">
        <f>IFERROR(IF($C259="","",SUMIFS(Ledger!$K$2:$K$4, Ledger!$B$2:$B$4, $A259, Ledger!$C$2:$C$4, S$2)),"****")</f>
        <v/>
      </c>
      <c r="T259" t="str">
        <f>IFERROR(IF($C259="","",SUMIFS(Ledger!$K$2:$K$4, Ledger!$B$2:$B$4, $A259, Ledger!$C$2:$C$4, T$2)),"****")</f>
        <v/>
      </c>
      <c r="U259" t="str">
        <f>IFERROR(IF($C259="","",SUMIFS(Ledger!$K$2:$K$4, Ledger!$B$2:$B$4, $A259, Ledger!$C$2:$C$4, U$2)),"****")</f>
        <v/>
      </c>
      <c r="V259" t="str">
        <f>IFERROR(IF($C259="","",SUMIFS(Ledger!$K$2:$K$4, Ledger!$B$2:$B$4, $A259, Ledger!$C$2:$C$4, V$2)),"****")</f>
        <v/>
      </c>
      <c r="W259" t="str">
        <f>IFERROR(IF($C259="","",SUMIFS(Ledger!$K$2:$K$4, Ledger!$B$2:$B$4, $A259, Ledger!$C$2:$C$4, W$2)),"****")</f>
        <v/>
      </c>
      <c r="X259" t="str">
        <f>IFERROR(IF($C259="","",SUMIFS(Ledger!$K$2:$K$4, Ledger!$B$2:$B$4, $A259, Ledger!$C$2:$C$4, X$2)),"****")</f>
        <v/>
      </c>
    </row>
    <row r="260" spans="1:24" x14ac:dyDescent="0.3">
      <c r="A260" s="106">
        <v>258</v>
      </c>
      <c r="B260" t="str">
        <f>IFERROR(VLOOKUP($A260, Ledger!$B$2:$L$8, 3, 0),"")</f>
        <v/>
      </c>
      <c r="C260" t="str">
        <f>IFERROR(VLOOKUP($A260, Ledger!$B$2:$L$8, 4, 0),"")</f>
        <v/>
      </c>
      <c r="D260" t="str">
        <f>IFERROR(VLOOKUP($A260, Ledger!$B$2:$L$8, 5, 0),"")</f>
        <v/>
      </c>
      <c r="E260" t="str">
        <f>IFERROR(VLOOKUP($A260, Ledger!$B$2:$L$8, 6, 0),"")</f>
        <v/>
      </c>
      <c r="F260" t="str">
        <f>IFERROR(VLOOKUP($A260,'Student Data'!$A$2:$AR$6,32,0),"")</f>
        <v/>
      </c>
      <c r="G260" t="str">
        <f>IFERROR(VLOOKUP($A260,'Student Data'!$A$2:$AR$6,33,0),"")</f>
        <v/>
      </c>
      <c r="H260" t="str">
        <f>IFERROR(VLOOKUP($A260,'Student Data'!$A$2:$AR$6,34,0),"")</f>
        <v/>
      </c>
      <c r="I260" t="str">
        <f>IFERROR(VLOOKUP($A260,'Student Data'!$A$2:$AR$6,35,0),"")</f>
        <v/>
      </c>
      <c r="J260" t="str">
        <f>IFERROR(VLOOKUP($A260,'Student Data'!$A$2:$AR$6,36,0),"")</f>
        <v/>
      </c>
      <c r="K260" t="str">
        <f t="shared" ref="K260:K323" si="8">IFERROR(IF(C260="","",SUM(M260:X260)),"0")</f>
        <v/>
      </c>
      <c r="L260" t="str">
        <f t="shared" ref="L260:L323" si="9">IFERROR(IF(C260="","",J260-K260),"0")</f>
        <v/>
      </c>
      <c r="M260" t="str">
        <f>IFERROR(IF($C260="","",SUMIFS(Ledger!$K$2:$K$4, Ledger!$B$2:$B$4, $A260, Ledger!$C$2:$C$4, M$2)),"****")</f>
        <v/>
      </c>
      <c r="N260" t="str">
        <f>IFERROR(IF($C260="","",SUMIFS(Ledger!$K$2:$K$4, Ledger!$B$2:$B$4, $A260, Ledger!$C$2:$C$4, N$2)),"****")</f>
        <v/>
      </c>
      <c r="O260" t="str">
        <f>IFERROR(IF($C260="","",SUMIFS(Ledger!$K$2:$K$4, Ledger!$B$2:$B$4, $A260, Ledger!$C$2:$C$4, O$2)),"****")</f>
        <v/>
      </c>
      <c r="P260" t="str">
        <f>IFERROR(IF($C260="","",SUMIFS(Ledger!$K$2:$K$4, Ledger!$B$2:$B$4, $A260, Ledger!$C$2:$C$4, P$2)),"****")</f>
        <v/>
      </c>
      <c r="Q260" t="str">
        <f>IFERROR(IF($C260="","",SUMIFS(Ledger!$K$2:$K$4, Ledger!$B$2:$B$4, $A260, Ledger!$C$2:$C$4, Q$2)),"****")</f>
        <v/>
      </c>
      <c r="R260" t="str">
        <f>IFERROR(IF($C260="","",SUMIFS(Ledger!$K$2:$K$4, Ledger!$B$2:$B$4, $A260, Ledger!$C$2:$C$4, R$2)),"****")</f>
        <v/>
      </c>
      <c r="S260" t="str">
        <f>IFERROR(IF($C260="","",SUMIFS(Ledger!$K$2:$K$4, Ledger!$B$2:$B$4, $A260, Ledger!$C$2:$C$4, S$2)),"****")</f>
        <v/>
      </c>
      <c r="T260" t="str">
        <f>IFERROR(IF($C260="","",SUMIFS(Ledger!$K$2:$K$4, Ledger!$B$2:$B$4, $A260, Ledger!$C$2:$C$4, T$2)),"****")</f>
        <v/>
      </c>
      <c r="U260" t="str">
        <f>IFERROR(IF($C260="","",SUMIFS(Ledger!$K$2:$K$4, Ledger!$B$2:$B$4, $A260, Ledger!$C$2:$C$4, U$2)),"****")</f>
        <v/>
      </c>
      <c r="V260" t="str">
        <f>IFERROR(IF($C260="","",SUMIFS(Ledger!$K$2:$K$4, Ledger!$B$2:$B$4, $A260, Ledger!$C$2:$C$4, V$2)),"****")</f>
        <v/>
      </c>
      <c r="W260" t="str">
        <f>IFERROR(IF($C260="","",SUMIFS(Ledger!$K$2:$K$4, Ledger!$B$2:$B$4, $A260, Ledger!$C$2:$C$4, W$2)),"****")</f>
        <v/>
      </c>
      <c r="X260" t="str">
        <f>IFERROR(IF($C260="","",SUMIFS(Ledger!$K$2:$K$4, Ledger!$B$2:$B$4, $A260, Ledger!$C$2:$C$4, X$2)),"****")</f>
        <v/>
      </c>
    </row>
    <row r="261" spans="1:24" x14ac:dyDescent="0.3">
      <c r="A261" s="106">
        <v>259</v>
      </c>
      <c r="B261" t="str">
        <f>IFERROR(VLOOKUP($A261, Ledger!$B$2:$L$8, 3, 0),"")</f>
        <v/>
      </c>
      <c r="C261" t="str">
        <f>IFERROR(VLOOKUP($A261, Ledger!$B$2:$L$8, 4, 0),"")</f>
        <v/>
      </c>
      <c r="D261" t="str">
        <f>IFERROR(VLOOKUP($A261, Ledger!$B$2:$L$8, 5, 0),"")</f>
        <v/>
      </c>
      <c r="E261" t="str">
        <f>IFERROR(VLOOKUP($A261, Ledger!$B$2:$L$8, 6, 0),"")</f>
        <v/>
      </c>
      <c r="F261" t="str">
        <f>IFERROR(VLOOKUP($A261,'Student Data'!$A$2:$AR$6,32,0),"")</f>
        <v/>
      </c>
      <c r="G261" t="str">
        <f>IFERROR(VLOOKUP($A261,'Student Data'!$A$2:$AR$6,33,0),"")</f>
        <v/>
      </c>
      <c r="H261" t="str">
        <f>IFERROR(VLOOKUP($A261,'Student Data'!$A$2:$AR$6,34,0),"")</f>
        <v/>
      </c>
      <c r="I261" t="str">
        <f>IFERROR(VLOOKUP($A261,'Student Data'!$A$2:$AR$6,35,0),"")</f>
        <v/>
      </c>
      <c r="J261" t="str">
        <f>IFERROR(VLOOKUP($A261,'Student Data'!$A$2:$AR$6,36,0),"")</f>
        <v/>
      </c>
      <c r="K261" t="str">
        <f t="shared" si="8"/>
        <v/>
      </c>
      <c r="L261" t="str">
        <f t="shared" si="9"/>
        <v/>
      </c>
      <c r="M261" t="str">
        <f>IFERROR(IF($C261="","",SUMIFS(Ledger!$K$2:$K$4, Ledger!$B$2:$B$4, $A261, Ledger!$C$2:$C$4, M$2)),"****")</f>
        <v/>
      </c>
      <c r="N261" t="str">
        <f>IFERROR(IF($C261="","",SUMIFS(Ledger!$K$2:$K$4, Ledger!$B$2:$B$4, $A261, Ledger!$C$2:$C$4, N$2)),"****")</f>
        <v/>
      </c>
      <c r="O261" t="str">
        <f>IFERROR(IF($C261="","",SUMIFS(Ledger!$K$2:$K$4, Ledger!$B$2:$B$4, $A261, Ledger!$C$2:$C$4, O$2)),"****")</f>
        <v/>
      </c>
      <c r="P261" t="str">
        <f>IFERROR(IF($C261="","",SUMIFS(Ledger!$K$2:$K$4, Ledger!$B$2:$B$4, $A261, Ledger!$C$2:$C$4, P$2)),"****")</f>
        <v/>
      </c>
      <c r="Q261" t="str">
        <f>IFERROR(IF($C261="","",SUMIFS(Ledger!$K$2:$K$4, Ledger!$B$2:$B$4, $A261, Ledger!$C$2:$C$4, Q$2)),"****")</f>
        <v/>
      </c>
      <c r="R261" t="str">
        <f>IFERROR(IF($C261="","",SUMIFS(Ledger!$K$2:$K$4, Ledger!$B$2:$B$4, $A261, Ledger!$C$2:$C$4, R$2)),"****")</f>
        <v/>
      </c>
      <c r="S261" t="str">
        <f>IFERROR(IF($C261="","",SUMIFS(Ledger!$K$2:$K$4, Ledger!$B$2:$B$4, $A261, Ledger!$C$2:$C$4, S$2)),"****")</f>
        <v/>
      </c>
      <c r="T261" t="str">
        <f>IFERROR(IF($C261="","",SUMIFS(Ledger!$K$2:$K$4, Ledger!$B$2:$B$4, $A261, Ledger!$C$2:$C$4, T$2)),"****")</f>
        <v/>
      </c>
      <c r="U261" t="str">
        <f>IFERROR(IF($C261="","",SUMIFS(Ledger!$K$2:$K$4, Ledger!$B$2:$B$4, $A261, Ledger!$C$2:$C$4, U$2)),"****")</f>
        <v/>
      </c>
      <c r="V261" t="str">
        <f>IFERROR(IF($C261="","",SUMIFS(Ledger!$K$2:$K$4, Ledger!$B$2:$B$4, $A261, Ledger!$C$2:$C$4, V$2)),"****")</f>
        <v/>
      </c>
      <c r="W261" t="str">
        <f>IFERROR(IF($C261="","",SUMIFS(Ledger!$K$2:$K$4, Ledger!$B$2:$B$4, $A261, Ledger!$C$2:$C$4, W$2)),"****")</f>
        <v/>
      </c>
      <c r="X261" t="str">
        <f>IFERROR(IF($C261="","",SUMIFS(Ledger!$K$2:$K$4, Ledger!$B$2:$B$4, $A261, Ledger!$C$2:$C$4, X$2)),"****")</f>
        <v/>
      </c>
    </row>
    <row r="262" spans="1:24" x14ac:dyDescent="0.3">
      <c r="A262" s="106">
        <v>260</v>
      </c>
      <c r="B262" t="str">
        <f>IFERROR(VLOOKUP($A262, Ledger!$B$2:$L$8, 3, 0),"")</f>
        <v/>
      </c>
      <c r="C262" t="str">
        <f>IFERROR(VLOOKUP($A262, Ledger!$B$2:$L$8, 4, 0),"")</f>
        <v/>
      </c>
      <c r="D262" t="str">
        <f>IFERROR(VLOOKUP($A262, Ledger!$B$2:$L$8, 5, 0),"")</f>
        <v/>
      </c>
      <c r="E262" t="str">
        <f>IFERROR(VLOOKUP($A262, Ledger!$B$2:$L$8, 6, 0),"")</f>
        <v/>
      </c>
      <c r="F262" t="str">
        <f>IFERROR(VLOOKUP($A262,'Student Data'!$A$2:$AR$6,32,0),"")</f>
        <v/>
      </c>
      <c r="G262" t="str">
        <f>IFERROR(VLOOKUP($A262,'Student Data'!$A$2:$AR$6,33,0),"")</f>
        <v/>
      </c>
      <c r="H262" t="str">
        <f>IFERROR(VLOOKUP($A262,'Student Data'!$A$2:$AR$6,34,0),"")</f>
        <v/>
      </c>
      <c r="I262" t="str">
        <f>IFERROR(VLOOKUP($A262,'Student Data'!$A$2:$AR$6,35,0),"")</f>
        <v/>
      </c>
      <c r="J262" t="str">
        <f>IFERROR(VLOOKUP($A262,'Student Data'!$A$2:$AR$6,36,0),"")</f>
        <v/>
      </c>
      <c r="K262" t="str">
        <f t="shared" si="8"/>
        <v/>
      </c>
      <c r="L262" t="str">
        <f t="shared" si="9"/>
        <v/>
      </c>
      <c r="M262" t="str">
        <f>IFERROR(IF($C262="","",SUMIFS(Ledger!$K$2:$K$4, Ledger!$B$2:$B$4, $A262, Ledger!$C$2:$C$4, M$2)),"****")</f>
        <v/>
      </c>
      <c r="N262" t="str">
        <f>IFERROR(IF($C262="","",SUMIFS(Ledger!$K$2:$K$4, Ledger!$B$2:$B$4, $A262, Ledger!$C$2:$C$4, N$2)),"****")</f>
        <v/>
      </c>
      <c r="O262" t="str">
        <f>IFERROR(IF($C262="","",SUMIFS(Ledger!$K$2:$K$4, Ledger!$B$2:$B$4, $A262, Ledger!$C$2:$C$4, O$2)),"****")</f>
        <v/>
      </c>
      <c r="P262" t="str">
        <f>IFERROR(IF($C262="","",SUMIFS(Ledger!$K$2:$K$4, Ledger!$B$2:$B$4, $A262, Ledger!$C$2:$C$4, P$2)),"****")</f>
        <v/>
      </c>
      <c r="Q262" t="str">
        <f>IFERROR(IF($C262="","",SUMIFS(Ledger!$K$2:$K$4, Ledger!$B$2:$B$4, $A262, Ledger!$C$2:$C$4, Q$2)),"****")</f>
        <v/>
      </c>
      <c r="R262" t="str">
        <f>IFERROR(IF($C262="","",SUMIFS(Ledger!$K$2:$K$4, Ledger!$B$2:$B$4, $A262, Ledger!$C$2:$C$4, R$2)),"****")</f>
        <v/>
      </c>
      <c r="S262" t="str">
        <f>IFERROR(IF($C262="","",SUMIFS(Ledger!$K$2:$K$4, Ledger!$B$2:$B$4, $A262, Ledger!$C$2:$C$4, S$2)),"****")</f>
        <v/>
      </c>
      <c r="T262" t="str">
        <f>IFERROR(IF($C262="","",SUMIFS(Ledger!$K$2:$K$4, Ledger!$B$2:$B$4, $A262, Ledger!$C$2:$C$4, T$2)),"****")</f>
        <v/>
      </c>
      <c r="U262" t="str">
        <f>IFERROR(IF($C262="","",SUMIFS(Ledger!$K$2:$K$4, Ledger!$B$2:$B$4, $A262, Ledger!$C$2:$C$4, U$2)),"****")</f>
        <v/>
      </c>
      <c r="V262" t="str">
        <f>IFERROR(IF($C262="","",SUMIFS(Ledger!$K$2:$K$4, Ledger!$B$2:$B$4, $A262, Ledger!$C$2:$C$4, V$2)),"****")</f>
        <v/>
      </c>
      <c r="W262" t="str">
        <f>IFERROR(IF($C262="","",SUMIFS(Ledger!$K$2:$K$4, Ledger!$B$2:$B$4, $A262, Ledger!$C$2:$C$4, W$2)),"****")</f>
        <v/>
      </c>
      <c r="X262" t="str">
        <f>IFERROR(IF($C262="","",SUMIFS(Ledger!$K$2:$K$4, Ledger!$B$2:$B$4, $A262, Ledger!$C$2:$C$4, X$2)),"****")</f>
        <v/>
      </c>
    </row>
    <row r="263" spans="1:24" x14ac:dyDescent="0.3">
      <c r="A263" s="106">
        <v>261</v>
      </c>
      <c r="B263" t="str">
        <f>IFERROR(VLOOKUP($A263, Ledger!$B$2:$L$8, 3, 0),"")</f>
        <v/>
      </c>
      <c r="C263" t="str">
        <f>IFERROR(VLOOKUP($A263, Ledger!$B$2:$L$8, 4, 0),"")</f>
        <v/>
      </c>
      <c r="D263" t="str">
        <f>IFERROR(VLOOKUP($A263, Ledger!$B$2:$L$8, 5, 0),"")</f>
        <v/>
      </c>
      <c r="E263" t="str">
        <f>IFERROR(VLOOKUP($A263, Ledger!$B$2:$L$8, 6, 0),"")</f>
        <v/>
      </c>
      <c r="F263" t="str">
        <f>IFERROR(VLOOKUP($A263,'Student Data'!$A$2:$AR$6,32,0),"")</f>
        <v/>
      </c>
      <c r="G263" t="str">
        <f>IFERROR(VLOOKUP($A263,'Student Data'!$A$2:$AR$6,33,0),"")</f>
        <v/>
      </c>
      <c r="H263" t="str">
        <f>IFERROR(VLOOKUP($A263,'Student Data'!$A$2:$AR$6,34,0),"")</f>
        <v/>
      </c>
      <c r="I263" t="str">
        <f>IFERROR(VLOOKUP($A263,'Student Data'!$A$2:$AR$6,35,0),"")</f>
        <v/>
      </c>
      <c r="J263" t="str">
        <f>IFERROR(VLOOKUP($A263,'Student Data'!$A$2:$AR$6,36,0),"")</f>
        <v/>
      </c>
      <c r="K263" t="str">
        <f t="shared" si="8"/>
        <v/>
      </c>
      <c r="L263" t="str">
        <f t="shared" si="9"/>
        <v/>
      </c>
      <c r="M263" t="str">
        <f>IFERROR(IF($C263="","",SUMIFS(Ledger!$K$2:$K$4, Ledger!$B$2:$B$4, $A263, Ledger!$C$2:$C$4, M$2)),"****")</f>
        <v/>
      </c>
      <c r="N263" t="str">
        <f>IFERROR(IF($C263="","",SUMIFS(Ledger!$K$2:$K$4, Ledger!$B$2:$B$4, $A263, Ledger!$C$2:$C$4, N$2)),"****")</f>
        <v/>
      </c>
      <c r="O263" t="str">
        <f>IFERROR(IF($C263="","",SUMIFS(Ledger!$K$2:$K$4, Ledger!$B$2:$B$4, $A263, Ledger!$C$2:$C$4, O$2)),"****")</f>
        <v/>
      </c>
      <c r="P263" t="str">
        <f>IFERROR(IF($C263="","",SUMIFS(Ledger!$K$2:$K$4, Ledger!$B$2:$B$4, $A263, Ledger!$C$2:$C$4, P$2)),"****")</f>
        <v/>
      </c>
      <c r="Q263" t="str">
        <f>IFERROR(IF($C263="","",SUMIFS(Ledger!$K$2:$K$4, Ledger!$B$2:$B$4, $A263, Ledger!$C$2:$C$4, Q$2)),"****")</f>
        <v/>
      </c>
      <c r="R263" t="str">
        <f>IFERROR(IF($C263="","",SUMIFS(Ledger!$K$2:$K$4, Ledger!$B$2:$B$4, $A263, Ledger!$C$2:$C$4, R$2)),"****")</f>
        <v/>
      </c>
      <c r="S263" t="str">
        <f>IFERROR(IF($C263="","",SUMIFS(Ledger!$K$2:$K$4, Ledger!$B$2:$B$4, $A263, Ledger!$C$2:$C$4, S$2)),"****")</f>
        <v/>
      </c>
      <c r="T263" t="str">
        <f>IFERROR(IF($C263="","",SUMIFS(Ledger!$K$2:$K$4, Ledger!$B$2:$B$4, $A263, Ledger!$C$2:$C$4, T$2)),"****")</f>
        <v/>
      </c>
      <c r="U263" t="str">
        <f>IFERROR(IF($C263="","",SUMIFS(Ledger!$K$2:$K$4, Ledger!$B$2:$B$4, $A263, Ledger!$C$2:$C$4, U$2)),"****")</f>
        <v/>
      </c>
      <c r="V263" t="str">
        <f>IFERROR(IF($C263="","",SUMIFS(Ledger!$K$2:$K$4, Ledger!$B$2:$B$4, $A263, Ledger!$C$2:$C$4, V$2)),"****")</f>
        <v/>
      </c>
      <c r="W263" t="str">
        <f>IFERROR(IF($C263="","",SUMIFS(Ledger!$K$2:$K$4, Ledger!$B$2:$B$4, $A263, Ledger!$C$2:$C$4, W$2)),"****")</f>
        <v/>
      </c>
      <c r="X263" t="str">
        <f>IFERROR(IF($C263="","",SUMIFS(Ledger!$K$2:$K$4, Ledger!$B$2:$B$4, $A263, Ledger!$C$2:$C$4, X$2)),"****")</f>
        <v/>
      </c>
    </row>
    <row r="264" spans="1:24" x14ac:dyDescent="0.3">
      <c r="A264" s="106">
        <v>262</v>
      </c>
      <c r="B264" t="str">
        <f>IFERROR(VLOOKUP($A264, Ledger!$B$2:$L$8, 3, 0),"")</f>
        <v/>
      </c>
      <c r="C264" t="str">
        <f>IFERROR(VLOOKUP($A264, Ledger!$B$2:$L$8, 4, 0),"")</f>
        <v/>
      </c>
      <c r="D264" t="str">
        <f>IFERROR(VLOOKUP($A264, Ledger!$B$2:$L$8, 5, 0),"")</f>
        <v/>
      </c>
      <c r="E264" t="str">
        <f>IFERROR(VLOOKUP($A264, Ledger!$B$2:$L$8, 6, 0),"")</f>
        <v/>
      </c>
      <c r="F264" t="str">
        <f>IFERROR(VLOOKUP($A264,'Student Data'!$A$2:$AR$6,32,0),"")</f>
        <v/>
      </c>
      <c r="G264" t="str">
        <f>IFERROR(VLOOKUP($A264,'Student Data'!$A$2:$AR$6,33,0),"")</f>
        <v/>
      </c>
      <c r="H264" t="str">
        <f>IFERROR(VLOOKUP($A264,'Student Data'!$A$2:$AR$6,34,0),"")</f>
        <v/>
      </c>
      <c r="I264" t="str">
        <f>IFERROR(VLOOKUP($A264,'Student Data'!$A$2:$AR$6,35,0),"")</f>
        <v/>
      </c>
      <c r="J264" t="str">
        <f>IFERROR(VLOOKUP($A264,'Student Data'!$A$2:$AR$6,36,0),"")</f>
        <v/>
      </c>
      <c r="K264" t="str">
        <f t="shared" si="8"/>
        <v/>
      </c>
      <c r="L264" t="str">
        <f t="shared" si="9"/>
        <v/>
      </c>
      <c r="M264" t="str">
        <f>IFERROR(IF($C264="","",SUMIFS(Ledger!$K$2:$K$4, Ledger!$B$2:$B$4, $A264, Ledger!$C$2:$C$4, M$2)),"****")</f>
        <v/>
      </c>
      <c r="N264" t="str">
        <f>IFERROR(IF($C264="","",SUMIFS(Ledger!$K$2:$K$4, Ledger!$B$2:$B$4, $A264, Ledger!$C$2:$C$4, N$2)),"****")</f>
        <v/>
      </c>
      <c r="O264" t="str">
        <f>IFERROR(IF($C264="","",SUMIFS(Ledger!$K$2:$K$4, Ledger!$B$2:$B$4, $A264, Ledger!$C$2:$C$4, O$2)),"****")</f>
        <v/>
      </c>
      <c r="P264" t="str">
        <f>IFERROR(IF($C264="","",SUMIFS(Ledger!$K$2:$K$4, Ledger!$B$2:$B$4, $A264, Ledger!$C$2:$C$4, P$2)),"****")</f>
        <v/>
      </c>
      <c r="Q264" t="str">
        <f>IFERROR(IF($C264="","",SUMIFS(Ledger!$K$2:$K$4, Ledger!$B$2:$B$4, $A264, Ledger!$C$2:$C$4, Q$2)),"****")</f>
        <v/>
      </c>
      <c r="R264" t="str">
        <f>IFERROR(IF($C264="","",SUMIFS(Ledger!$K$2:$K$4, Ledger!$B$2:$B$4, $A264, Ledger!$C$2:$C$4, R$2)),"****")</f>
        <v/>
      </c>
      <c r="S264" t="str">
        <f>IFERROR(IF($C264="","",SUMIFS(Ledger!$K$2:$K$4, Ledger!$B$2:$B$4, $A264, Ledger!$C$2:$C$4, S$2)),"****")</f>
        <v/>
      </c>
      <c r="T264" t="str">
        <f>IFERROR(IF($C264="","",SUMIFS(Ledger!$K$2:$K$4, Ledger!$B$2:$B$4, $A264, Ledger!$C$2:$C$4, T$2)),"****")</f>
        <v/>
      </c>
      <c r="U264" t="str">
        <f>IFERROR(IF($C264="","",SUMIFS(Ledger!$K$2:$K$4, Ledger!$B$2:$B$4, $A264, Ledger!$C$2:$C$4, U$2)),"****")</f>
        <v/>
      </c>
      <c r="V264" t="str">
        <f>IFERROR(IF($C264="","",SUMIFS(Ledger!$K$2:$K$4, Ledger!$B$2:$B$4, $A264, Ledger!$C$2:$C$4, V$2)),"****")</f>
        <v/>
      </c>
      <c r="W264" t="str">
        <f>IFERROR(IF($C264="","",SUMIFS(Ledger!$K$2:$K$4, Ledger!$B$2:$B$4, $A264, Ledger!$C$2:$C$4, W$2)),"****")</f>
        <v/>
      </c>
      <c r="X264" t="str">
        <f>IFERROR(IF($C264="","",SUMIFS(Ledger!$K$2:$K$4, Ledger!$B$2:$B$4, $A264, Ledger!$C$2:$C$4, X$2)),"****")</f>
        <v/>
      </c>
    </row>
    <row r="265" spans="1:24" x14ac:dyDescent="0.3">
      <c r="A265" s="106">
        <v>263</v>
      </c>
      <c r="B265" t="str">
        <f>IFERROR(VLOOKUP($A265, Ledger!$B$2:$L$8, 3, 0),"")</f>
        <v/>
      </c>
      <c r="C265" t="str">
        <f>IFERROR(VLOOKUP($A265, Ledger!$B$2:$L$8, 4, 0),"")</f>
        <v/>
      </c>
      <c r="D265" t="str">
        <f>IFERROR(VLOOKUP($A265, Ledger!$B$2:$L$8, 5, 0),"")</f>
        <v/>
      </c>
      <c r="E265" t="str">
        <f>IFERROR(VLOOKUP($A265, Ledger!$B$2:$L$8, 6, 0),"")</f>
        <v/>
      </c>
      <c r="F265" t="str">
        <f>IFERROR(VLOOKUP($A265,'Student Data'!$A$2:$AR$6,32,0),"")</f>
        <v/>
      </c>
      <c r="G265" t="str">
        <f>IFERROR(VLOOKUP($A265,'Student Data'!$A$2:$AR$6,33,0),"")</f>
        <v/>
      </c>
      <c r="H265" t="str">
        <f>IFERROR(VLOOKUP($A265,'Student Data'!$A$2:$AR$6,34,0),"")</f>
        <v/>
      </c>
      <c r="I265" t="str">
        <f>IFERROR(VLOOKUP($A265,'Student Data'!$A$2:$AR$6,35,0),"")</f>
        <v/>
      </c>
      <c r="J265" t="str">
        <f>IFERROR(VLOOKUP($A265,'Student Data'!$A$2:$AR$6,36,0),"")</f>
        <v/>
      </c>
      <c r="K265" t="str">
        <f t="shared" si="8"/>
        <v/>
      </c>
      <c r="L265" t="str">
        <f t="shared" si="9"/>
        <v/>
      </c>
      <c r="M265" t="str">
        <f>IFERROR(IF($C265="","",SUMIFS(Ledger!$K$2:$K$4, Ledger!$B$2:$B$4, $A265, Ledger!$C$2:$C$4, M$2)),"****")</f>
        <v/>
      </c>
      <c r="N265" t="str">
        <f>IFERROR(IF($C265="","",SUMIFS(Ledger!$K$2:$K$4, Ledger!$B$2:$B$4, $A265, Ledger!$C$2:$C$4, N$2)),"****")</f>
        <v/>
      </c>
      <c r="O265" t="str">
        <f>IFERROR(IF($C265="","",SUMIFS(Ledger!$K$2:$K$4, Ledger!$B$2:$B$4, $A265, Ledger!$C$2:$C$4, O$2)),"****")</f>
        <v/>
      </c>
      <c r="P265" t="str">
        <f>IFERROR(IF($C265="","",SUMIFS(Ledger!$K$2:$K$4, Ledger!$B$2:$B$4, $A265, Ledger!$C$2:$C$4, P$2)),"****")</f>
        <v/>
      </c>
      <c r="Q265" t="str">
        <f>IFERROR(IF($C265="","",SUMIFS(Ledger!$K$2:$K$4, Ledger!$B$2:$B$4, $A265, Ledger!$C$2:$C$4, Q$2)),"****")</f>
        <v/>
      </c>
      <c r="R265" t="str">
        <f>IFERROR(IF($C265="","",SUMIFS(Ledger!$K$2:$K$4, Ledger!$B$2:$B$4, $A265, Ledger!$C$2:$C$4, R$2)),"****")</f>
        <v/>
      </c>
      <c r="S265" t="str">
        <f>IFERROR(IF($C265="","",SUMIFS(Ledger!$K$2:$K$4, Ledger!$B$2:$B$4, $A265, Ledger!$C$2:$C$4, S$2)),"****")</f>
        <v/>
      </c>
      <c r="T265" t="str">
        <f>IFERROR(IF($C265="","",SUMIFS(Ledger!$K$2:$K$4, Ledger!$B$2:$B$4, $A265, Ledger!$C$2:$C$4, T$2)),"****")</f>
        <v/>
      </c>
      <c r="U265" t="str">
        <f>IFERROR(IF($C265="","",SUMIFS(Ledger!$K$2:$K$4, Ledger!$B$2:$B$4, $A265, Ledger!$C$2:$C$4, U$2)),"****")</f>
        <v/>
      </c>
      <c r="V265" t="str">
        <f>IFERROR(IF($C265="","",SUMIFS(Ledger!$K$2:$K$4, Ledger!$B$2:$B$4, $A265, Ledger!$C$2:$C$4, V$2)),"****")</f>
        <v/>
      </c>
      <c r="W265" t="str">
        <f>IFERROR(IF($C265="","",SUMIFS(Ledger!$K$2:$K$4, Ledger!$B$2:$B$4, $A265, Ledger!$C$2:$C$4, W$2)),"****")</f>
        <v/>
      </c>
      <c r="X265" t="str">
        <f>IFERROR(IF($C265="","",SUMIFS(Ledger!$K$2:$K$4, Ledger!$B$2:$B$4, $A265, Ledger!$C$2:$C$4, X$2)),"****")</f>
        <v/>
      </c>
    </row>
    <row r="266" spans="1:24" x14ac:dyDescent="0.3">
      <c r="A266" s="106">
        <v>264</v>
      </c>
      <c r="B266" t="str">
        <f>IFERROR(VLOOKUP($A266, Ledger!$B$2:$L$8, 3, 0),"")</f>
        <v/>
      </c>
      <c r="C266" t="str">
        <f>IFERROR(VLOOKUP($A266, Ledger!$B$2:$L$8, 4, 0),"")</f>
        <v/>
      </c>
      <c r="D266" t="str">
        <f>IFERROR(VLOOKUP($A266, Ledger!$B$2:$L$8, 5, 0),"")</f>
        <v/>
      </c>
      <c r="E266" t="str">
        <f>IFERROR(VLOOKUP($A266, Ledger!$B$2:$L$8, 6, 0),"")</f>
        <v/>
      </c>
      <c r="F266" t="str">
        <f>IFERROR(VLOOKUP($A266,'Student Data'!$A$2:$AR$6,32,0),"")</f>
        <v/>
      </c>
      <c r="G266" t="str">
        <f>IFERROR(VLOOKUP($A266,'Student Data'!$A$2:$AR$6,33,0),"")</f>
        <v/>
      </c>
      <c r="H266" t="str">
        <f>IFERROR(VLOOKUP($A266,'Student Data'!$A$2:$AR$6,34,0),"")</f>
        <v/>
      </c>
      <c r="I266" t="str">
        <f>IFERROR(VLOOKUP($A266,'Student Data'!$A$2:$AR$6,35,0),"")</f>
        <v/>
      </c>
      <c r="J266" t="str">
        <f>IFERROR(VLOOKUP($A266,'Student Data'!$A$2:$AR$6,36,0),"")</f>
        <v/>
      </c>
      <c r="K266" t="str">
        <f t="shared" si="8"/>
        <v/>
      </c>
      <c r="L266" t="str">
        <f t="shared" si="9"/>
        <v/>
      </c>
      <c r="M266" t="str">
        <f>IFERROR(IF($C266="","",SUMIFS(Ledger!$K$2:$K$4, Ledger!$B$2:$B$4, $A266, Ledger!$C$2:$C$4, M$2)),"****")</f>
        <v/>
      </c>
      <c r="N266" t="str">
        <f>IFERROR(IF($C266="","",SUMIFS(Ledger!$K$2:$K$4, Ledger!$B$2:$B$4, $A266, Ledger!$C$2:$C$4, N$2)),"****")</f>
        <v/>
      </c>
      <c r="O266" t="str">
        <f>IFERROR(IF($C266="","",SUMIFS(Ledger!$K$2:$K$4, Ledger!$B$2:$B$4, $A266, Ledger!$C$2:$C$4, O$2)),"****")</f>
        <v/>
      </c>
      <c r="P266" t="str">
        <f>IFERROR(IF($C266="","",SUMIFS(Ledger!$K$2:$K$4, Ledger!$B$2:$B$4, $A266, Ledger!$C$2:$C$4, P$2)),"****")</f>
        <v/>
      </c>
      <c r="Q266" t="str">
        <f>IFERROR(IF($C266="","",SUMIFS(Ledger!$K$2:$K$4, Ledger!$B$2:$B$4, $A266, Ledger!$C$2:$C$4, Q$2)),"****")</f>
        <v/>
      </c>
      <c r="R266" t="str">
        <f>IFERROR(IF($C266="","",SUMIFS(Ledger!$K$2:$K$4, Ledger!$B$2:$B$4, $A266, Ledger!$C$2:$C$4, R$2)),"****")</f>
        <v/>
      </c>
      <c r="S266" t="str">
        <f>IFERROR(IF($C266="","",SUMIFS(Ledger!$K$2:$K$4, Ledger!$B$2:$B$4, $A266, Ledger!$C$2:$C$4, S$2)),"****")</f>
        <v/>
      </c>
      <c r="T266" t="str">
        <f>IFERROR(IF($C266="","",SUMIFS(Ledger!$K$2:$K$4, Ledger!$B$2:$B$4, $A266, Ledger!$C$2:$C$4, T$2)),"****")</f>
        <v/>
      </c>
      <c r="U266" t="str">
        <f>IFERROR(IF($C266="","",SUMIFS(Ledger!$K$2:$K$4, Ledger!$B$2:$B$4, $A266, Ledger!$C$2:$C$4, U$2)),"****")</f>
        <v/>
      </c>
      <c r="V266" t="str">
        <f>IFERROR(IF($C266="","",SUMIFS(Ledger!$K$2:$K$4, Ledger!$B$2:$B$4, $A266, Ledger!$C$2:$C$4, V$2)),"****")</f>
        <v/>
      </c>
      <c r="W266" t="str">
        <f>IFERROR(IF($C266="","",SUMIFS(Ledger!$K$2:$K$4, Ledger!$B$2:$B$4, $A266, Ledger!$C$2:$C$4, W$2)),"****")</f>
        <v/>
      </c>
      <c r="X266" t="str">
        <f>IFERROR(IF($C266="","",SUMIFS(Ledger!$K$2:$K$4, Ledger!$B$2:$B$4, $A266, Ledger!$C$2:$C$4, X$2)),"****")</f>
        <v/>
      </c>
    </row>
    <row r="267" spans="1:24" x14ac:dyDescent="0.3">
      <c r="A267" s="106">
        <v>265</v>
      </c>
      <c r="B267" t="str">
        <f>IFERROR(VLOOKUP($A267, Ledger!$B$2:$L$8, 3, 0),"")</f>
        <v/>
      </c>
      <c r="C267" t="str">
        <f>IFERROR(VLOOKUP($A267, Ledger!$B$2:$L$8, 4, 0),"")</f>
        <v/>
      </c>
      <c r="D267" t="str">
        <f>IFERROR(VLOOKUP($A267, Ledger!$B$2:$L$8, 5, 0),"")</f>
        <v/>
      </c>
      <c r="E267" t="str">
        <f>IFERROR(VLOOKUP($A267, Ledger!$B$2:$L$8, 6, 0),"")</f>
        <v/>
      </c>
      <c r="F267" t="str">
        <f>IFERROR(VLOOKUP($A267,'Student Data'!$A$2:$AR$6,32,0),"")</f>
        <v/>
      </c>
      <c r="G267" t="str">
        <f>IFERROR(VLOOKUP($A267,'Student Data'!$A$2:$AR$6,33,0),"")</f>
        <v/>
      </c>
      <c r="H267" t="str">
        <f>IFERROR(VLOOKUP($A267,'Student Data'!$A$2:$AR$6,34,0),"")</f>
        <v/>
      </c>
      <c r="I267" t="str">
        <f>IFERROR(VLOOKUP($A267,'Student Data'!$A$2:$AR$6,35,0),"")</f>
        <v/>
      </c>
      <c r="J267" t="str">
        <f>IFERROR(VLOOKUP($A267,'Student Data'!$A$2:$AR$6,36,0),"")</f>
        <v/>
      </c>
      <c r="K267" t="str">
        <f t="shared" si="8"/>
        <v/>
      </c>
      <c r="L267" t="str">
        <f t="shared" si="9"/>
        <v/>
      </c>
      <c r="M267" t="str">
        <f>IFERROR(IF($C267="","",SUMIFS(Ledger!$K$2:$K$4, Ledger!$B$2:$B$4, $A267, Ledger!$C$2:$C$4, M$2)),"****")</f>
        <v/>
      </c>
      <c r="N267" t="str">
        <f>IFERROR(IF($C267="","",SUMIFS(Ledger!$K$2:$K$4, Ledger!$B$2:$B$4, $A267, Ledger!$C$2:$C$4, N$2)),"****")</f>
        <v/>
      </c>
      <c r="O267" t="str">
        <f>IFERROR(IF($C267="","",SUMIFS(Ledger!$K$2:$K$4, Ledger!$B$2:$B$4, $A267, Ledger!$C$2:$C$4, O$2)),"****")</f>
        <v/>
      </c>
      <c r="P267" t="str">
        <f>IFERROR(IF($C267="","",SUMIFS(Ledger!$K$2:$K$4, Ledger!$B$2:$B$4, $A267, Ledger!$C$2:$C$4, P$2)),"****")</f>
        <v/>
      </c>
      <c r="Q267" t="str">
        <f>IFERROR(IF($C267="","",SUMIFS(Ledger!$K$2:$K$4, Ledger!$B$2:$B$4, $A267, Ledger!$C$2:$C$4, Q$2)),"****")</f>
        <v/>
      </c>
      <c r="R267" t="str">
        <f>IFERROR(IF($C267="","",SUMIFS(Ledger!$K$2:$K$4, Ledger!$B$2:$B$4, $A267, Ledger!$C$2:$C$4, R$2)),"****")</f>
        <v/>
      </c>
      <c r="S267" t="str">
        <f>IFERROR(IF($C267="","",SUMIFS(Ledger!$K$2:$K$4, Ledger!$B$2:$B$4, $A267, Ledger!$C$2:$C$4, S$2)),"****")</f>
        <v/>
      </c>
      <c r="T267" t="str">
        <f>IFERROR(IF($C267="","",SUMIFS(Ledger!$K$2:$K$4, Ledger!$B$2:$B$4, $A267, Ledger!$C$2:$C$4, T$2)),"****")</f>
        <v/>
      </c>
      <c r="U267" t="str">
        <f>IFERROR(IF($C267="","",SUMIFS(Ledger!$K$2:$K$4, Ledger!$B$2:$B$4, $A267, Ledger!$C$2:$C$4, U$2)),"****")</f>
        <v/>
      </c>
      <c r="V267" t="str">
        <f>IFERROR(IF($C267="","",SUMIFS(Ledger!$K$2:$K$4, Ledger!$B$2:$B$4, $A267, Ledger!$C$2:$C$4, V$2)),"****")</f>
        <v/>
      </c>
      <c r="W267" t="str">
        <f>IFERROR(IF($C267="","",SUMIFS(Ledger!$K$2:$K$4, Ledger!$B$2:$B$4, $A267, Ledger!$C$2:$C$4, W$2)),"****")</f>
        <v/>
      </c>
      <c r="X267" t="str">
        <f>IFERROR(IF($C267="","",SUMIFS(Ledger!$K$2:$K$4, Ledger!$B$2:$B$4, $A267, Ledger!$C$2:$C$4, X$2)),"****")</f>
        <v/>
      </c>
    </row>
    <row r="268" spans="1:24" x14ac:dyDescent="0.3">
      <c r="A268" s="106">
        <v>266</v>
      </c>
      <c r="B268" t="str">
        <f>IFERROR(VLOOKUP($A268, Ledger!$B$2:$L$8, 3, 0),"")</f>
        <v/>
      </c>
      <c r="C268" t="str">
        <f>IFERROR(VLOOKUP($A268, Ledger!$B$2:$L$8, 4, 0),"")</f>
        <v/>
      </c>
      <c r="D268" t="str">
        <f>IFERROR(VLOOKUP($A268, Ledger!$B$2:$L$8, 5, 0),"")</f>
        <v/>
      </c>
      <c r="E268" t="str">
        <f>IFERROR(VLOOKUP($A268, Ledger!$B$2:$L$8, 6, 0),"")</f>
        <v/>
      </c>
      <c r="F268" t="str">
        <f>IFERROR(VLOOKUP($A268,'Student Data'!$A$2:$AR$6,32,0),"")</f>
        <v/>
      </c>
      <c r="G268" t="str">
        <f>IFERROR(VLOOKUP($A268,'Student Data'!$A$2:$AR$6,33,0),"")</f>
        <v/>
      </c>
      <c r="H268" t="str">
        <f>IFERROR(VLOOKUP($A268,'Student Data'!$A$2:$AR$6,34,0),"")</f>
        <v/>
      </c>
      <c r="I268" t="str">
        <f>IFERROR(VLOOKUP($A268,'Student Data'!$A$2:$AR$6,35,0),"")</f>
        <v/>
      </c>
      <c r="J268" t="str">
        <f>IFERROR(VLOOKUP($A268,'Student Data'!$A$2:$AR$6,36,0),"")</f>
        <v/>
      </c>
      <c r="K268" t="str">
        <f t="shared" si="8"/>
        <v/>
      </c>
      <c r="L268" t="str">
        <f t="shared" si="9"/>
        <v/>
      </c>
      <c r="M268" t="str">
        <f>IFERROR(IF($C268="","",SUMIFS(Ledger!$K$2:$K$4, Ledger!$B$2:$B$4, $A268, Ledger!$C$2:$C$4, M$2)),"****")</f>
        <v/>
      </c>
      <c r="N268" t="str">
        <f>IFERROR(IF($C268="","",SUMIFS(Ledger!$K$2:$K$4, Ledger!$B$2:$B$4, $A268, Ledger!$C$2:$C$4, N$2)),"****")</f>
        <v/>
      </c>
      <c r="O268" t="str">
        <f>IFERROR(IF($C268="","",SUMIFS(Ledger!$K$2:$K$4, Ledger!$B$2:$B$4, $A268, Ledger!$C$2:$C$4, O$2)),"****")</f>
        <v/>
      </c>
      <c r="P268" t="str">
        <f>IFERROR(IF($C268="","",SUMIFS(Ledger!$K$2:$K$4, Ledger!$B$2:$B$4, $A268, Ledger!$C$2:$C$4, P$2)),"****")</f>
        <v/>
      </c>
      <c r="Q268" t="str">
        <f>IFERROR(IF($C268="","",SUMIFS(Ledger!$K$2:$K$4, Ledger!$B$2:$B$4, $A268, Ledger!$C$2:$C$4, Q$2)),"****")</f>
        <v/>
      </c>
      <c r="R268" t="str">
        <f>IFERROR(IF($C268="","",SUMIFS(Ledger!$K$2:$K$4, Ledger!$B$2:$B$4, $A268, Ledger!$C$2:$C$4, R$2)),"****")</f>
        <v/>
      </c>
      <c r="S268" t="str">
        <f>IFERROR(IF($C268="","",SUMIFS(Ledger!$K$2:$K$4, Ledger!$B$2:$B$4, $A268, Ledger!$C$2:$C$4, S$2)),"****")</f>
        <v/>
      </c>
      <c r="T268" t="str">
        <f>IFERROR(IF($C268="","",SUMIFS(Ledger!$K$2:$K$4, Ledger!$B$2:$B$4, $A268, Ledger!$C$2:$C$4, T$2)),"****")</f>
        <v/>
      </c>
      <c r="U268" t="str">
        <f>IFERROR(IF($C268="","",SUMIFS(Ledger!$K$2:$K$4, Ledger!$B$2:$B$4, $A268, Ledger!$C$2:$C$4, U$2)),"****")</f>
        <v/>
      </c>
      <c r="V268" t="str">
        <f>IFERROR(IF($C268="","",SUMIFS(Ledger!$K$2:$K$4, Ledger!$B$2:$B$4, $A268, Ledger!$C$2:$C$4, V$2)),"****")</f>
        <v/>
      </c>
      <c r="W268" t="str">
        <f>IFERROR(IF($C268="","",SUMIFS(Ledger!$K$2:$K$4, Ledger!$B$2:$B$4, $A268, Ledger!$C$2:$C$4, W$2)),"****")</f>
        <v/>
      </c>
      <c r="X268" t="str">
        <f>IFERROR(IF($C268="","",SUMIFS(Ledger!$K$2:$K$4, Ledger!$B$2:$B$4, $A268, Ledger!$C$2:$C$4, X$2)),"****")</f>
        <v/>
      </c>
    </row>
    <row r="269" spans="1:24" x14ac:dyDescent="0.3">
      <c r="A269" s="106">
        <v>267</v>
      </c>
      <c r="B269" t="str">
        <f>IFERROR(VLOOKUP($A269, Ledger!$B$2:$L$8, 3, 0),"")</f>
        <v/>
      </c>
      <c r="C269" t="str">
        <f>IFERROR(VLOOKUP($A269, Ledger!$B$2:$L$8, 4, 0),"")</f>
        <v/>
      </c>
      <c r="D269" t="str">
        <f>IFERROR(VLOOKUP($A269, Ledger!$B$2:$L$8, 5, 0),"")</f>
        <v/>
      </c>
      <c r="E269" t="str">
        <f>IFERROR(VLOOKUP($A269, Ledger!$B$2:$L$8, 6, 0),"")</f>
        <v/>
      </c>
      <c r="F269" t="str">
        <f>IFERROR(VLOOKUP($A269,'Student Data'!$A$2:$AR$6,32,0),"")</f>
        <v/>
      </c>
      <c r="G269" t="str">
        <f>IFERROR(VLOOKUP($A269,'Student Data'!$A$2:$AR$6,33,0),"")</f>
        <v/>
      </c>
      <c r="H269" t="str">
        <f>IFERROR(VLOOKUP($A269,'Student Data'!$A$2:$AR$6,34,0),"")</f>
        <v/>
      </c>
      <c r="I269" t="str">
        <f>IFERROR(VLOOKUP($A269,'Student Data'!$A$2:$AR$6,35,0),"")</f>
        <v/>
      </c>
      <c r="J269" t="str">
        <f>IFERROR(VLOOKUP($A269,'Student Data'!$A$2:$AR$6,36,0),"")</f>
        <v/>
      </c>
      <c r="K269" t="str">
        <f t="shared" si="8"/>
        <v/>
      </c>
      <c r="L269" t="str">
        <f t="shared" si="9"/>
        <v/>
      </c>
      <c r="M269" t="str">
        <f>IFERROR(IF($C269="","",SUMIFS(Ledger!$K$2:$K$4, Ledger!$B$2:$B$4, $A269, Ledger!$C$2:$C$4, M$2)),"****")</f>
        <v/>
      </c>
      <c r="N269" t="str">
        <f>IFERROR(IF($C269="","",SUMIFS(Ledger!$K$2:$K$4, Ledger!$B$2:$B$4, $A269, Ledger!$C$2:$C$4, N$2)),"****")</f>
        <v/>
      </c>
      <c r="O269" t="str">
        <f>IFERROR(IF($C269="","",SUMIFS(Ledger!$K$2:$K$4, Ledger!$B$2:$B$4, $A269, Ledger!$C$2:$C$4, O$2)),"****")</f>
        <v/>
      </c>
      <c r="P269" t="str">
        <f>IFERROR(IF($C269="","",SUMIFS(Ledger!$K$2:$K$4, Ledger!$B$2:$B$4, $A269, Ledger!$C$2:$C$4, P$2)),"****")</f>
        <v/>
      </c>
      <c r="Q269" t="str">
        <f>IFERROR(IF($C269="","",SUMIFS(Ledger!$K$2:$K$4, Ledger!$B$2:$B$4, $A269, Ledger!$C$2:$C$4, Q$2)),"****")</f>
        <v/>
      </c>
      <c r="R269" t="str">
        <f>IFERROR(IF($C269="","",SUMIFS(Ledger!$K$2:$K$4, Ledger!$B$2:$B$4, $A269, Ledger!$C$2:$C$4, R$2)),"****")</f>
        <v/>
      </c>
      <c r="S269" t="str">
        <f>IFERROR(IF($C269="","",SUMIFS(Ledger!$K$2:$K$4, Ledger!$B$2:$B$4, $A269, Ledger!$C$2:$C$4, S$2)),"****")</f>
        <v/>
      </c>
      <c r="T269" t="str">
        <f>IFERROR(IF($C269="","",SUMIFS(Ledger!$K$2:$K$4, Ledger!$B$2:$B$4, $A269, Ledger!$C$2:$C$4, T$2)),"****")</f>
        <v/>
      </c>
      <c r="U269" t="str">
        <f>IFERROR(IF($C269="","",SUMIFS(Ledger!$K$2:$K$4, Ledger!$B$2:$B$4, $A269, Ledger!$C$2:$C$4, U$2)),"****")</f>
        <v/>
      </c>
      <c r="V269" t="str">
        <f>IFERROR(IF($C269="","",SUMIFS(Ledger!$K$2:$K$4, Ledger!$B$2:$B$4, $A269, Ledger!$C$2:$C$4, V$2)),"****")</f>
        <v/>
      </c>
      <c r="W269" t="str">
        <f>IFERROR(IF($C269="","",SUMIFS(Ledger!$K$2:$K$4, Ledger!$B$2:$B$4, $A269, Ledger!$C$2:$C$4, W$2)),"****")</f>
        <v/>
      </c>
      <c r="X269" t="str">
        <f>IFERROR(IF($C269="","",SUMIFS(Ledger!$K$2:$K$4, Ledger!$B$2:$B$4, $A269, Ledger!$C$2:$C$4, X$2)),"****")</f>
        <v/>
      </c>
    </row>
    <row r="270" spans="1:24" x14ac:dyDescent="0.3">
      <c r="A270" s="106">
        <v>268</v>
      </c>
      <c r="B270" t="str">
        <f>IFERROR(VLOOKUP($A270, Ledger!$B$2:$L$8, 3, 0),"")</f>
        <v/>
      </c>
      <c r="C270" t="str">
        <f>IFERROR(VLOOKUP($A270, Ledger!$B$2:$L$8, 4, 0),"")</f>
        <v/>
      </c>
      <c r="D270" t="str">
        <f>IFERROR(VLOOKUP($A270, Ledger!$B$2:$L$8, 5, 0),"")</f>
        <v/>
      </c>
      <c r="E270" t="str">
        <f>IFERROR(VLOOKUP($A270, Ledger!$B$2:$L$8, 6, 0),"")</f>
        <v/>
      </c>
      <c r="F270" t="str">
        <f>IFERROR(VLOOKUP($A270,'Student Data'!$A$2:$AR$6,32,0),"")</f>
        <v/>
      </c>
      <c r="G270" t="str">
        <f>IFERROR(VLOOKUP($A270,'Student Data'!$A$2:$AR$6,33,0),"")</f>
        <v/>
      </c>
      <c r="H270" t="str">
        <f>IFERROR(VLOOKUP($A270,'Student Data'!$A$2:$AR$6,34,0),"")</f>
        <v/>
      </c>
      <c r="I270" t="str">
        <f>IFERROR(VLOOKUP($A270,'Student Data'!$A$2:$AR$6,35,0),"")</f>
        <v/>
      </c>
      <c r="J270" t="str">
        <f>IFERROR(VLOOKUP($A270,'Student Data'!$A$2:$AR$6,36,0),"")</f>
        <v/>
      </c>
      <c r="K270" t="str">
        <f t="shared" si="8"/>
        <v/>
      </c>
      <c r="L270" t="str">
        <f t="shared" si="9"/>
        <v/>
      </c>
      <c r="M270" t="str">
        <f>IFERROR(IF($C270="","",SUMIFS(Ledger!$K$2:$K$4, Ledger!$B$2:$B$4, $A270, Ledger!$C$2:$C$4, M$2)),"****")</f>
        <v/>
      </c>
      <c r="N270" t="str">
        <f>IFERROR(IF($C270="","",SUMIFS(Ledger!$K$2:$K$4, Ledger!$B$2:$B$4, $A270, Ledger!$C$2:$C$4, N$2)),"****")</f>
        <v/>
      </c>
      <c r="O270" t="str">
        <f>IFERROR(IF($C270="","",SUMIFS(Ledger!$K$2:$K$4, Ledger!$B$2:$B$4, $A270, Ledger!$C$2:$C$4, O$2)),"****")</f>
        <v/>
      </c>
      <c r="P270" t="str">
        <f>IFERROR(IF($C270="","",SUMIFS(Ledger!$K$2:$K$4, Ledger!$B$2:$B$4, $A270, Ledger!$C$2:$C$4, P$2)),"****")</f>
        <v/>
      </c>
      <c r="Q270" t="str">
        <f>IFERROR(IF($C270="","",SUMIFS(Ledger!$K$2:$K$4, Ledger!$B$2:$B$4, $A270, Ledger!$C$2:$C$4, Q$2)),"****")</f>
        <v/>
      </c>
      <c r="R270" t="str">
        <f>IFERROR(IF($C270="","",SUMIFS(Ledger!$K$2:$K$4, Ledger!$B$2:$B$4, $A270, Ledger!$C$2:$C$4, R$2)),"****")</f>
        <v/>
      </c>
      <c r="S270" t="str">
        <f>IFERROR(IF($C270="","",SUMIFS(Ledger!$K$2:$K$4, Ledger!$B$2:$B$4, $A270, Ledger!$C$2:$C$4, S$2)),"****")</f>
        <v/>
      </c>
      <c r="T270" t="str">
        <f>IFERROR(IF($C270="","",SUMIFS(Ledger!$K$2:$K$4, Ledger!$B$2:$B$4, $A270, Ledger!$C$2:$C$4, T$2)),"****")</f>
        <v/>
      </c>
      <c r="U270" t="str">
        <f>IFERROR(IF($C270="","",SUMIFS(Ledger!$K$2:$K$4, Ledger!$B$2:$B$4, $A270, Ledger!$C$2:$C$4, U$2)),"****")</f>
        <v/>
      </c>
      <c r="V270" t="str">
        <f>IFERROR(IF($C270="","",SUMIFS(Ledger!$K$2:$K$4, Ledger!$B$2:$B$4, $A270, Ledger!$C$2:$C$4, V$2)),"****")</f>
        <v/>
      </c>
      <c r="W270" t="str">
        <f>IFERROR(IF($C270="","",SUMIFS(Ledger!$K$2:$K$4, Ledger!$B$2:$B$4, $A270, Ledger!$C$2:$C$4, W$2)),"****")</f>
        <v/>
      </c>
      <c r="X270" t="str">
        <f>IFERROR(IF($C270="","",SUMIFS(Ledger!$K$2:$K$4, Ledger!$B$2:$B$4, $A270, Ledger!$C$2:$C$4, X$2)),"****")</f>
        <v/>
      </c>
    </row>
    <row r="271" spans="1:24" x14ac:dyDescent="0.3">
      <c r="A271" s="106">
        <v>269</v>
      </c>
      <c r="B271" t="str">
        <f>IFERROR(VLOOKUP($A271, Ledger!$B$2:$L$8, 3, 0),"")</f>
        <v/>
      </c>
      <c r="C271" t="str">
        <f>IFERROR(VLOOKUP($A271, Ledger!$B$2:$L$8, 4, 0),"")</f>
        <v/>
      </c>
      <c r="D271" t="str">
        <f>IFERROR(VLOOKUP($A271, Ledger!$B$2:$L$8, 5, 0),"")</f>
        <v/>
      </c>
      <c r="E271" t="str">
        <f>IFERROR(VLOOKUP($A271, Ledger!$B$2:$L$8, 6, 0),"")</f>
        <v/>
      </c>
      <c r="F271" t="str">
        <f>IFERROR(VLOOKUP($A271,'Student Data'!$A$2:$AR$6,32,0),"")</f>
        <v/>
      </c>
      <c r="G271" t="str">
        <f>IFERROR(VLOOKUP($A271,'Student Data'!$A$2:$AR$6,33,0),"")</f>
        <v/>
      </c>
      <c r="H271" t="str">
        <f>IFERROR(VLOOKUP($A271,'Student Data'!$A$2:$AR$6,34,0),"")</f>
        <v/>
      </c>
      <c r="I271" t="str">
        <f>IFERROR(VLOOKUP($A271,'Student Data'!$A$2:$AR$6,35,0),"")</f>
        <v/>
      </c>
      <c r="J271" t="str">
        <f>IFERROR(VLOOKUP($A271,'Student Data'!$A$2:$AR$6,36,0),"")</f>
        <v/>
      </c>
      <c r="K271" t="str">
        <f t="shared" si="8"/>
        <v/>
      </c>
      <c r="L271" t="str">
        <f t="shared" si="9"/>
        <v/>
      </c>
      <c r="M271" t="str">
        <f>IFERROR(IF($C271="","",SUMIFS(Ledger!$K$2:$K$4, Ledger!$B$2:$B$4, $A271, Ledger!$C$2:$C$4, M$2)),"****")</f>
        <v/>
      </c>
      <c r="N271" t="str">
        <f>IFERROR(IF($C271="","",SUMIFS(Ledger!$K$2:$K$4, Ledger!$B$2:$B$4, $A271, Ledger!$C$2:$C$4, N$2)),"****")</f>
        <v/>
      </c>
      <c r="O271" t="str">
        <f>IFERROR(IF($C271="","",SUMIFS(Ledger!$K$2:$K$4, Ledger!$B$2:$B$4, $A271, Ledger!$C$2:$C$4, O$2)),"****")</f>
        <v/>
      </c>
      <c r="P271" t="str">
        <f>IFERROR(IF($C271="","",SUMIFS(Ledger!$K$2:$K$4, Ledger!$B$2:$B$4, $A271, Ledger!$C$2:$C$4, P$2)),"****")</f>
        <v/>
      </c>
      <c r="Q271" t="str">
        <f>IFERROR(IF($C271="","",SUMIFS(Ledger!$K$2:$K$4, Ledger!$B$2:$B$4, $A271, Ledger!$C$2:$C$4, Q$2)),"****")</f>
        <v/>
      </c>
      <c r="R271" t="str">
        <f>IFERROR(IF($C271="","",SUMIFS(Ledger!$K$2:$K$4, Ledger!$B$2:$B$4, $A271, Ledger!$C$2:$C$4, R$2)),"****")</f>
        <v/>
      </c>
      <c r="S271" t="str">
        <f>IFERROR(IF($C271="","",SUMIFS(Ledger!$K$2:$K$4, Ledger!$B$2:$B$4, $A271, Ledger!$C$2:$C$4, S$2)),"****")</f>
        <v/>
      </c>
      <c r="T271" t="str">
        <f>IFERROR(IF($C271="","",SUMIFS(Ledger!$K$2:$K$4, Ledger!$B$2:$B$4, $A271, Ledger!$C$2:$C$4, T$2)),"****")</f>
        <v/>
      </c>
      <c r="U271" t="str">
        <f>IFERROR(IF($C271="","",SUMIFS(Ledger!$K$2:$K$4, Ledger!$B$2:$B$4, $A271, Ledger!$C$2:$C$4, U$2)),"****")</f>
        <v/>
      </c>
      <c r="V271" t="str">
        <f>IFERROR(IF($C271="","",SUMIFS(Ledger!$K$2:$K$4, Ledger!$B$2:$B$4, $A271, Ledger!$C$2:$C$4, V$2)),"****")</f>
        <v/>
      </c>
      <c r="W271" t="str">
        <f>IFERROR(IF($C271="","",SUMIFS(Ledger!$K$2:$K$4, Ledger!$B$2:$B$4, $A271, Ledger!$C$2:$C$4, W$2)),"****")</f>
        <v/>
      </c>
      <c r="X271" t="str">
        <f>IFERROR(IF($C271="","",SUMIFS(Ledger!$K$2:$K$4, Ledger!$B$2:$B$4, $A271, Ledger!$C$2:$C$4, X$2)),"****")</f>
        <v/>
      </c>
    </row>
    <row r="272" spans="1:24" x14ac:dyDescent="0.3">
      <c r="A272" s="106">
        <v>270</v>
      </c>
      <c r="B272" t="str">
        <f>IFERROR(VLOOKUP($A272, Ledger!$B$2:$L$8, 3, 0),"")</f>
        <v/>
      </c>
      <c r="C272" t="str">
        <f>IFERROR(VLOOKUP($A272, Ledger!$B$2:$L$8, 4, 0),"")</f>
        <v/>
      </c>
      <c r="D272" t="str">
        <f>IFERROR(VLOOKUP($A272, Ledger!$B$2:$L$8, 5, 0),"")</f>
        <v/>
      </c>
      <c r="E272" t="str">
        <f>IFERROR(VLOOKUP($A272, Ledger!$B$2:$L$8, 6, 0),"")</f>
        <v/>
      </c>
      <c r="F272" t="str">
        <f>IFERROR(VLOOKUP($A272,'Student Data'!$A$2:$AR$6,32,0),"")</f>
        <v/>
      </c>
      <c r="G272" t="str">
        <f>IFERROR(VLOOKUP($A272,'Student Data'!$A$2:$AR$6,33,0),"")</f>
        <v/>
      </c>
      <c r="H272" t="str">
        <f>IFERROR(VLOOKUP($A272,'Student Data'!$A$2:$AR$6,34,0),"")</f>
        <v/>
      </c>
      <c r="I272" t="str">
        <f>IFERROR(VLOOKUP($A272,'Student Data'!$A$2:$AR$6,35,0),"")</f>
        <v/>
      </c>
      <c r="J272" t="str">
        <f>IFERROR(VLOOKUP($A272,'Student Data'!$A$2:$AR$6,36,0),"")</f>
        <v/>
      </c>
      <c r="K272" t="str">
        <f t="shared" si="8"/>
        <v/>
      </c>
      <c r="L272" t="str">
        <f t="shared" si="9"/>
        <v/>
      </c>
      <c r="M272" t="str">
        <f>IFERROR(IF($C272="","",SUMIFS(Ledger!$K$2:$K$4, Ledger!$B$2:$B$4, $A272, Ledger!$C$2:$C$4, M$2)),"****")</f>
        <v/>
      </c>
      <c r="N272" t="str">
        <f>IFERROR(IF($C272="","",SUMIFS(Ledger!$K$2:$K$4, Ledger!$B$2:$B$4, $A272, Ledger!$C$2:$C$4, N$2)),"****")</f>
        <v/>
      </c>
      <c r="O272" t="str">
        <f>IFERROR(IF($C272="","",SUMIFS(Ledger!$K$2:$K$4, Ledger!$B$2:$B$4, $A272, Ledger!$C$2:$C$4, O$2)),"****")</f>
        <v/>
      </c>
      <c r="P272" t="str">
        <f>IFERROR(IF($C272="","",SUMIFS(Ledger!$K$2:$K$4, Ledger!$B$2:$B$4, $A272, Ledger!$C$2:$C$4, P$2)),"****")</f>
        <v/>
      </c>
      <c r="Q272" t="str">
        <f>IFERROR(IF($C272="","",SUMIFS(Ledger!$K$2:$K$4, Ledger!$B$2:$B$4, $A272, Ledger!$C$2:$C$4, Q$2)),"****")</f>
        <v/>
      </c>
      <c r="R272" t="str">
        <f>IFERROR(IF($C272="","",SUMIFS(Ledger!$K$2:$K$4, Ledger!$B$2:$B$4, $A272, Ledger!$C$2:$C$4, R$2)),"****")</f>
        <v/>
      </c>
      <c r="S272" t="str">
        <f>IFERROR(IF($C272="","",SUMIFS(Ledger!$K$2:$K$4, Ledger!$B$2:$B$4, $A272, Ledger!$C$2:$C$4, S$2)),"****")</f>
        <v/>
      </c>
      <c r="T272" t="str">
        <f>IFERROR(IF($C272="","",SUMIFS(Ledger!$K$2:$K$4, Ledger!$B$2:$B$4, $A272, Ledger!$C$2:$C$4, T$2)),"****")</f>
        <v/>
      </c>
      <c r="U272" t="str">
        <f>IFERROR(IF($C272="","",SUMIFS(Ledger!$K$2:$K$4, Ledger!$B$2:$B$4, $A272, Ledger!$C$2:$C$4, U$2)),"****")</f>
        <v/>
      </c>
      <c r="V272" t="str">
        <f>IFERROR(IF($C272="","",SUMIFS(Ledger!$K$2:$K$4, Ledger!$B$2:$B$4, $A272, Ledger!$C$2:$C$4, V$2)),"****")</f>
        <v/>
      </c>
      <c r="W272" t="str">
        <f>IFERROR(IF($C272="","",SUMIFS(Ledger!$K$2:$K$4, Ledger!$B$2:$B$4, $A272, Ledger!$C$2:$C$4, W$2)),"****")</f>
        <v/>
      </c>
      <c r="X272" t="str">
        <f>IFERROR(IF($C272="","",SUMIFS(Ledger!$K$2:$K$4, Ledger!$B$2:$B$4, $A272, Ledger!$C$2:$C$4, X$2)),"****")</f>
        <v/>
      </c>
    </row>
    <row r="273" spans="1:24" x14ac:dyDescent="0.3">
      <c r="A273" s="106">
        <v>271</v>
      </c>
      <c r="B273" t="str">
        <f>IFERROR(VLOOKUP($A273, Ledger!$B$2:$L$8, 3, 0),"")</f>
        <v/>
      </c>
      <c r="C273" t="str">
        <f>IFERROR(VLOOKUP($A273, Ledger!$B$2:$L$8, 4, 0),"")</f>
        <v/>
      </c>
      <c r="D273" t="str">
        <f>IFERROR(VLOOKUP($A273, Ledger!$B$2:$L$8, 5, 0),"")</f>
        <v/>
      </c>
      <c r="E273" t="str">
        <f>IFERROR(VLOOKUP($A273, Ledger!$B$2:$L$8, 6, 0),"")</f>
        <v/>
      </c>
      <c r="F273" t="str">
        <f>IFERROR(VLOOKUP($A273,'Student Data'!$A$2:$AR$6,32,0),"")</f>
        <v/>
      </c>
      <c r="G273" t="str">
        <f>IFERROR(VLOOKUP($A273,'Student Data'!$A$2:$AR$6,33,0),"")</f>
        <v/>
      </c>
      <c r="H273" t="str">
        <f>IFERROR(VLOOKUP($A273,'Student Data'!$A$2:$AR$6,34,0),"")</f>
        <v/>
      </c>
      <c r="I273" t="str">
        <f>IFERROR(VLOOKUP($A273,'Student Data'!$A$2:$AR$6,35,0),"")</f>
        <v/>
      </c>
      <c r="J273" t="str">
        <f>IFERROR(VLOOKUP($A273,'Student Data'!$A$2:$AR$6,36,0),"")</f>
        <v/>
      </c>
      <c r="K273" t="str">
        <f t="shared" si="8"/>
        <v/>
      </c>
      <c r="L273" t="str">
        <f t="shared" si="9"/>
        <v/>
      </c>
      <c r="M273" t="str">
        <f>IFERROR(IF($C273="","",SUMIFS(Ledger!$K$2:$K$4, Ledger!$B$2:$B$4, $A273, Ledger!$C$2:$C$4, M$2)),"****")</f>
        <v/>
      </c>
      <c r="N273" t="str">
        <f>IFERROR(IF($C273="","",SUMIFS(Ledger!$K$2:$K$4, Ledger!$B$2:$B$4, $A273, Ledger!$C$2:$C$4, N$2)),"****")</f>
        <v/>
      </c>
      <c r="O273" t="str">
        <f>IFERROR(IF($C273="","",SUMIFS(Ledger!$K$2:$K$4, Ledger!$B$2:$B$4, $A273, Ledger!$C$2:$C$4, O$2)),"****")</f>
        <v/>
      </c>
      <c r="P273" t="str">
        <f>IFERROR(IF($C273="","",SUMIFS(Ledger!$K$2:$K$4, Ledger!$B$2:$B$4, $A273, Ledger!$C$2:$C$4, P$2)),"****")</f>
        <v/>
      </c>
      <c r="Q273" t="str">
        <f>IFERROR(IF($C273="","",SUMIFS(Ledger!$K$2:$K$4, Ledger!$B$2:$B$4, $A273, Ledger!$C$2:$C$4, Q$2)),"****")</f>
        <v/>
      </c>
      <c r="R273" t="str">
        <f>IFERROR(IF($C273="","",SUMIFS(Ledger!$K$2:$K$4, Ledger!$B$2:$B$4, $A273, Ledger!$C$2:$C$4, R$2)),"****")</f>
        <v/>
      </c>
      <c r="S273" t="str">
        <f>IFERROR(IF($C273="","",SUMIFS(Ledger!$K$2:$K$4, Ledger!$B$2:$B$4, $A273, Ledger!$C$2:$C$4, S$2)),"****")</f>
        <v/>
      </c>
      <c r="T273" t="str">
        <f>IFERROR(IF($C273="","",SUMIFS(Ledger!$K$2:$K$4, Ledger!$B$2:$B$4, $A273, Ledger!$C$2:$C$4, T$2)),"****")</f>
        <v/>
      </c>
      <c r="U273" t="str">
        <f>IFERROR(IF($C273="","",SUMIFS(Ledger!$K$2:$K$4, Ledger!$B$2:$B$4, $A273, Ledger!$C$2:$C$4, U$2)),"****")</f>
        <v/>
      </c>
      <c r="V273" t="str">
        <f>IFERROR(IF($C273="","",SUMIFS(Ledger!$K$2:$K$4, Ledger!$B$2:$B$4, $A273, Ledger!$C$2:$C$4, V$2)),"****")</f>
        <v/>
      </c>
      <c r="W273" t="str">
        <f>IFERROR(IF($C273="","",SUMIFS(Ledger!$K$2:$K$4, Ledger!$B$2:$B$4, $A273, Ledger!$C$2:$C$4, W$2)),"****")</f>
        <v/>
      </c>
      <c r="X273" t="str">
        <f>IFERROR(IF($C273="","",SUMIFS(Ledger!$K$2:$K$4, Ledger!$B$2:$B$4, $A273, Ledger!$C$2:$C$4, X$2)),"****")</f>
        <v/>
      </c>
    </row>
    <row r="274" spans="1:24" x14ac:dyDescent="0.3">
      <c r="A274" s="106">
        <v>272</v>
      </c>
      <c r="B274" t="str">
        <f>IFERROR(VLOOKUP($A274, Ledger!$B$2:$L$8, 3, 0),"")</f>
        <v/>
      </c>
      <c r="C274" t="str">
        <f>IFERROR(VLOOKUP($A274, Ledger!$B$2:$L$8, 4, 0),"")</f>
        <v/>
      </c>
      <c r="D274" t="str">
        <f>IFERROR(VLOOKUP($A274, Ledger!$B$2:$L$8, 5, 0),"")</f>
        <v/>
      </c>
      <c r="E274" t="str">
        <f>IFERROR(VLOOKUP($A274, Ledger!$B$2:$L$8, 6, 0),"")</f>
        <v/>
      </c>
      <c r="F274" t="str">
        <f>IFERROR(VLOOKUP($A274,'Student Data'!$A$2:$AR$6,32,0),"")</f>
        <v/>
      </c>
      <c r="G274" t="str">
        <f>IFERROR(VLOOKUP($A274,'Student Data'!$A$2:$AR$6,33,0),"")</f>
        <v/>
      </c>
      <c r="H274" t="str">
        <f>IFERROR(VLOOKUP($A274,'Student Data'!$A$2:$AR$6,34,0),"")</f>
        <v/>
      </c>
      <c r="I274" t="str">
        <f>IFERROR(VLOOKUP($A274,'Student Data'!$A$2:$AR$6,35,0),"")</f>
        <v/>
      </c>
      <c r="J274" t="str">
        <f>IFERROR(VLOOKUP($A274,'Student Data'!$A$2:$AR$6,36,0),"")</f>
        <v/>
      </c>
      <c r="K274" t="str">
        <f t="shared" si="8"/>
        <v/>
      </c>
      <c r="L274" t="str">
        <f t="shared" si="9"/>
        <v/>
      </c>
      <c r="M274" t="str">
        <f>IFERROR(IF($C274="","",SUMIFS(Ledger!$K$2:$K$4, Ledger!$B$2:$B$4, $A274, Ledger!$C$2:$C$4, M$2)),"****")</f>
        <v/>
      </c>
      <c r="N274" t="str">
        <f>IFERROR(IF($C274="","",SUMIFS(Ledger!$K$2:$K$4, Ledger!$B$2:$B$4, $A274, Ledger!$C$2:$C$4, N$2)),"****")</f>
        <v/>
      </c>
      <c r="O274" t="str">
        <f>IFERROR(IF($C274="","",SUMIFS(Ledger!$K$2:$K$4, Ledger!$B$2:$B$4, $A274, Ledger!$C$2:$C$4, O$2)),"****")</f>
        <v/>
      </c>
      <c r="P274" t="str">
        <f>IFERROR(IF($C274="","",SUMIFS(Ledger!$K$2:$K$4, Ledger!$B$2:$B$4, $A274, Ledger!$C$2:$C$4, P$2)),"****")</f>
        <v/>
      </c>
      <c r="Q274" t="str">
        <f>IFERROR(IF($C274="","",SUMIFS(Ledger!$K$2:$K$4, Ledger!$B$2:$B$4, $A274, Ledger!$C$2:$C$4, Q$2)),"****")</f>
        <v/>
      </c>
      <c r="R274" t="str">
        <f>IFERROR(IF($C274="","",SUMIFS(Ledger!$K$2:$K$4, Ledger!$B$2:$B$4, $A274, Ledger!$C$2:$C$4, R$2)),"****")</f>
        <v/>
      </c>
      <c r="S274" t="str">
        <f>IFERROR(IF($C274="","",SUMIFS(Ledger!$K$2:$K$4, Ledger!$B$2:$B$4, $A274, Ledger!$C$2:$C$4, S$2)),"****")</f>
        <v/>
      </c>
      <c r="T274" t="str">
        <f>IFERROR(IF($C274="","",SUMIFS(Ledger!$K$2:$K$4, Ledger!$B$2:$B$4, $A274, Ledger!$C$2:$C$4, T$2)),"****")</f>
        <v/>
      </c>
      <c r="U274" t="str">
        <f>IFERROR(IF($C274="","",SUMIFS(Ledger!$K$2:$K$4, Ledger!$B$2:$B$4, $A274, Ledger!$C$2:$C$4, U$2)),"****")</f>
        <v/>
      </c>
      <c r="V274" t="str">
        <f>IFERROR(IF($C274="","",SUMIFS(Ledger!$K$2:$K$4, Ledger!$B$2:$B$4, $A274, Ledger!$C$2:$C$4, V$2)),"****")</f>
        <v/>
      </c>
      <c r="W274" t="str">
        <f>IFERROR(IF($C274="","",SUMIFS(Ledger!$K$2:$K$4, Ledger!$B$2:$B$4, $A274, Ledger!$C$2:$C$4, W$2)),"****")</f>
        <v/>
      </c>
      <c r="X274" t="str">
        <f>IFERROR(IF($C274="","",SUMIFS(Ledger!$K$2:$K$4, Ledger!$B$2:$B$4, $A274, Ledger!$C$2:$C$4, X$2)),"****")</f>
        <v/>
      </c>
    </row>
    <row r="275" spans="1:24" x14ac:dyDescent="0.3">
      <c r="A275" s="106">
        <v>273</v>
      </c>
      <c r="B275" t="str">
        <f>IFERROR(VLOOKUP($A275, Ledger!$B$2:$L$8, 3, 0),"")</f>
        <v/>
      </c>
      <c r="C275" t="str">
        <f>IFERROR(VLOOKUP($A275, Ledger!$B$2:$L$8, 4, 0),"")</f>
        <v/>
      </c>
      <c r="D275" t="str">
        <f>IFERROR(VLOOKUP($A275, Ledger!$B$2:$L$8, 5, 0),"")</f>
        <v/>
      </c>
      <c r="E275" t="str">
        <f>IFERROR(VLOOKUP($A275, Ledger!$B$2:$L$8, 6, 0),"")</f>
        <v/>
      </c>
      <c r="F275" t="str">
        <f>IFERROR(VLOOKUP($A275,'Student Data'!$A$2:$AR$6,32,0),"")</f>
        <v/>
      </c>
      <c r="G275" t="str">
        <f>IFERROR(VLOOKUP($A275,'Student Data'!$A$2:$AR$6,33,0),"")</f>
        <v/>
      </c>
      <c r="H275" t="str">
        <f>IFERROR(VLOOKUP($A275,'Student Data'!$A$2:$AR$6,34,0),"")</f>
        <v/>
      </c>
      <c r="I275" t="str">
        <f>IFERROR(VLOOKUP($A275,'Student Data'!$A$2:$AR$6,35,0),"")</f>
        <v/>
      </c>
      <c r="J275" t="str">
        <f>IFERROR(VLOOKUP($A275,'Student Data'!$A$2:$AR$6,36,0),"")</f>
        <v/>
      </c>
      <c r="K275" t="str">
        <f t="shared" si="8"/>
        <v/>
      </c>
      <c r="L275" t="str">
        <f t="shared" si="9"/>
        <v/>
      </c>
      <c r="M275" t="str">
        <f>IFERROR(IF($C275="","",SUMIFS(Ledger!$K$2:$K$4, Ledger!$B$2:$B$4, $A275, Ledger!$C$2:$C$4, M$2)),"****")</f>
        <v/>
      </c>
      <c r="N275" t="str">
        <f>IFERROR(IF($C275="","",SUMIFS(Ledger!$K$2:$K$4, Ledger!$B$2:$B$4, $A275, Ledger!$C$2:$C$4, N$2)),"****")</f>
        <v/>
      </c>
      <c r="O275" t="str">
        <f>IFERROR(IF($C275="","",SUMIFS(Ledger!$K$2:$K$4, Ledger!$B$2:$B$4, $A275, Ledger!$C$2:$C$4, O$2)),"****")</f>
        <v/>
      </c>
      <c r="P275" t="str">
        <f>IFERROR(IF($C275="","",SUMIFS(Ledger!$K$2:$K$4, Ledger!$B$2:$B$4, $A275, Ledger!$C$2:$C$4, P$2)),"****")</f>
        <v/>
      </c>
      <c r="Q275" t="str">
        <f>IFERROR(IF($C275="","",SUMIFS(Ledger!$K$2:$K$4, Ledger!$B$2:$B$4, $A275, Ledger!$C$2:$C$4, Q$2)),"****")</f>
        <v/>
      </c>
      <c r="R275" t="str">
        <f>IFERROR(IF($C275="","",SUMIFS(Ledger!$K$2:$K$4, Ledger!$B$2:$B$4, $A275, Ledger!$C$2:$C$4, R$2)),"****")</f>
        <v/>
      </c>
      <c r="S275" t="str">
        <f>IFERROR(IF($C275="","",SUMIFS(Ledger!$K$2:$K$4, Ledger!$B$2:$B$4, $A275, Ledger!$C$2:$C$4, S$2)),"****")</f>
        <v/>
      </c>
      <c r="T275" t="str">
        <f>IFERROR(IF($C275="","",SUMIFS(Ledger!$K$2:$K$4, Ledger!$B$2:$B$4, $A275, Ledger!$C$2:$C$4, T$2)),"****")</f>
        <v/>
      </c>
      <c r="U275" t="str">
        <f>IFERROR(IF($C275="","",SUMIFS(Ledger!$K$2:$K$4, Ledger!$B$2:$B$4, $A275, Ledger!$C$2:$C$4, U$2)),"****")</f>
        <v/>
      </c>
      <c r="V275" t="str">
        <f>IFERROR(IF($C275="","",SUMIFS(Ledger!$K$2:$K$4, Ledger!$B$2:$B$4, $A275, Ledger!$C$2:$C$4, V$2)),"****")</f>
        <v/>
      </c>
      <c r="W275" t="str">
        <f>IFERROR(IF($C275="","",SUMIFS(Ledger!$K$2:$K$4, Ledger!$B$2:$B$4, $A275, Ledger!$C$2:$C$4, W$2)),"****")</f>
        <v/>
      </c>
      <c r="X275" t="str">
        <f>IFERROR(IF($C275="","",SUMIFS(Ledger!$K$2:$K$4, Ledger!$B$2:$B$4, $A275, Ledger!$C$2:$C$4, X$2)),"****")</f>
        <v/>
      </c>
    </row>
    <row r="276" spans="1:24" x14ac:dyDescent="0.3">
      <c r="A276" s="106">
        <v>274</v>
      </c>
      <c r="B276" t="str">
        <f>IFERROR(VLOOKUP($A276, Ledger!$B$2:$L$8, 3, 0),"")</f>
        <v/>
      </c>
      <c r="C276" t="str">
        <f>IFERROR(VLOOKUP($A276, Ledger!$B$2:$L$8, 4, 0),"")</f>
        <v/>
      </c>
      <c r="D276" t="str">
        <f>IFERROR(VLOOKUP($A276, Ledger!$B$2:$L$8, 5, 0),"")</f>
        <v/>
      </c>
      <c r="E276" t="str">
        <f>IFERROR(VLOOKUP($A276, Ledger!$B$2:$L$8, 6, 0),"")</f>
        <v/>
      </c>
      <c r="F276" t="str">
        <f>IFERROR(VLOOKUP($A276,'Student Data'!$A$2:$AR$6,32,0),"")</f>
        <v/>
      </c>
      <c r="G276" t="str">
        <f>IFERROR(VLOOKUP($A276,'Student Data'!$A$2:$AR$6,33,0),"")</f>
        <v/>
      </c>
      <c r="H276" t="str">
        <f>IFERROR(VLOOKUP($A276,'Student Data'!$A$2:$AR$6,34,0),"")</f>
        <v/>
      </c>
      <c r="I276" t="str">
        <f>IFERROR(VLOOKUP($A276,'Student Data'!$A$2:$AR$6,35,0),"")</f>
        <v/>
      </c>
      <c r="J276" t="str">
        <f>IFERROR(VLOOKUP($A276,'Student Data'!$A$2:$AR$6,36,0),"")</f>
        <v/>
      </c>
      <c r="K276" t="str">
        <f t="shared" si="8"/>
        <v/>
      </c>
      <c r="L276" t="str">
        <f t="shared" si="9"/>
        <v/>
      </c>
      <c r="M276" t="str">
        <f>IFERROR(IF($C276="","",SUMIFS(Ledger!$K$2:$K$4, Ledger!$B$2:$B$4, $A276, Ledger!$C$2:$C$4, M$2)),"****")</f>
        <v/>
      </c>
      <c r="N276" t="str">
        <f>IFERROR(IF($C276="","",SUMIFS(Ledger!$K$2:$K$4, Ledger!$B$2:$B$4, $A276, Ledger!$C$2:$C$4, N$2)),"****")</f>
        <v/>
      </c>
      <c r="O276" t="str">
        <f>IFERROR(IF($C276="","",SUMIFS(Ledger!$K$2:$K$4, Ledger!$B$2:$B$4, $A276, Ledger!$C$2:$C$4, O$2)),"****")</f>
        <v/>
      </c>
      <c r="P276" t="str">
        <f>IFERROR(IF($C276="","",SUMIFS(Ledger!$K$2:$K$4, Ledger!$B$2:$B$4, $A276, Ledger!$C$2:$C$4, P$2)),"****")</f>
        <v/>
      </c>
      <c r="Q276" t="str">
        <f>IFERROR(IF($C276="","",SUMIFS(Ledger!$K$2:$K$4, Ledger!$B$2:$B$4, $A276, Ledger!$C$2:$C$4, Q$2)),"****")</f>
        <v/>
      </c>
      <c r="R276" t="str">
        <f>IFERROR(IF($C276="","",SUMIFS(Ledger!$K$2:$K$4, Ledger!$B$2:$B$4, $A276, Ledger!$C$2:$C$4, R$2)),"****")</f>
        <v/>
      </c>
      <c r="S276" t="str">
        <f>IFERROR(IF($C276="","",SUMIFS(Ledger!$K$2:$K$4, Ledger!$B$2:$B$4, $A276, Ledger!$C$2:$C$4, S$2)),"****")</f>
        <v/>
      </c>
      <c r="T276" t="str">
        <f>IFERROR(IF($C276="","",SUMIFS(Ledger!$K$2:$K$4, Ledger!$B$2:$B$4, $A276, Ledger!$C$2:$C$4, T$2)),"****")</f>
        <v/>
      </c>
      <c r="U276" t="str">
        <f>IFERROR(IF($C276="","",SUMIFS(Ledger!$K$2:$K$4, Ledger!$B$2:$B$4, $A276, Ledger!$C$2:$C$4, U$2)),"****")</f>
        <v/>
      </c>
      <c r="V276" t="str">
        <f>IFERROR(IF($C276="","",SUMIFS(Ledger!$K$2:$K$4, Ledger!$B$2:$B$4, $A276, Ledger!$C$2:$C$4, V$2)),"****")</f>
        <v/>
      </c>
      <c r="W276" t="str">
        <f>IFERROR(IF($C276="","",SUMIFS(Ledger!$K$2:$K$4, Ledger!$B$2:$B$4, $A276, Ledger!$C$2:$C$4, W$2)),"****")</f>
        <v/>
      </c>
      <c r="X276" t="str">
        <f>IFERROR(IF($C276="","",SUMIFS(Ledger!$K$2:$K$4, Ledger!$B$2:$B$4, $A276, Ledger!$C$2:$C$4, X$2)),"****")</f>
        <v/>
      </c>
    </row>
    <row r="277" spans="1:24" x14ac:dyDescent="0.3">
      <c r="A277" s="106">
        <v>275</v>
      </c>
      <c r="B277" t="str">
        <f>IFERROR(VLOOKUP($A277, Ledger!$B$2:$L$8, 3, 0),"")</f>
        <v/>
      </c>
      <c r="C277" t="str">
        <f>IFERROR(VLOOKUP($A277, Ledger!$B$2:$L$8, 4, 0),"")</f>
        <v/>
      </c>
      <c r="D277" t="str">
        <f>IFERROR(VLOOKUP($A277, Ledger!$B$2:$L$8, 5, 0),"")</f>
        <v/>
      </c>
      <c r="E277" t="str">
        <f>IFERROR(VLOOKUP($A277, Ledger!$B$2:$L$8, 6, 0),"")</f>
        <v/>
      </c>
      <c r="F277" t="str">
        <f>IFERROR(VLOOKUP($A277,'Student Data'!$A$2:$AR$6,32,0),"")</f>
        <v/>
      </c>
      <c r="G277" t="str">
        <f>IFERROR(VLOOKUP($A277,'Student Data'!$A$2:$AR$6,33,0),"")</f>
        <v/>
      </c>
      <c r="H277" t="str">
        <f>IFERROR(VLOOKUP($A277,'Student Data'!$A$2:$AR$6,34,0),"")</f>
        <v/>
      </c>
      <c r="I277" t="str">
        <f>IFERROR(VLOOKUP($A277,'Student Data'!$A$2:$AR$6,35,0),"")</f>
        <v/>
      </c>
      <c r="J277" t="str">
        <f>IFERROR(VLOOKUP($A277,'Student Data'!$A$2:$AR$6,36,0),"")</f>
        <v/>
      </c>
      <c r="K277" t="str">
        <f t="shared" si="8"/>
        <v/>
      </c>
      <c r="L277" t="str">
        <f t="shared" si="9"/>
        <v/>
      </c>
      <c r="M277" t="str">
        <f>IFERROR(IF($C277="","",SUMIFS(Ledger!$K$2:$K$4, Ledger!$B$2:$B$4, $A277, Ledger!$C$2:$C$4, M$2)),"****")</f>
        <v/>
      </c>
      <c r="N277" t="str">
        <f>IFERROR(IF($C277="","",SUMIFS(Ledger!$K$2:$K$4, Ledger!$B$2:$B$4, $A277, Ledger!$C$2:$C$4, N$2)),"****")</f>
        <v/>
      </c>
      <c r="O277" t="str">
        <f>IFERROR(IF($C277="","",SUMIFS(Ledger!$K$2:$K$4, Ledger!$B$2:$B$4, $A277, Ledger!$C$2:$C$4, O$2)),"****")</f>
        <v/>
      </c>
      <c r="P277" t="str">
        <f>IFERROR(IF($C277="","",SUMIFS(Ledger!$K$2:$K$4, Ledger!$B$2:$B$4, $A277, Ledger!$C$2:$C$4, P$2)),"****")</f>
        <v/>
      </c>
      <c r="Q277" t="str">
        <f>IFERROR(IF($C277="","",SUMIFS(Ledger!$K$2:$K$4, Ledger!$B$2:$B$4, $A277, Ledger!$C$2:$C$4, Q$2)),"****")</f>
        <v/>
      </c>
      <c r="R277" t="str">
        <f>IFERROR(IF($C277="","",SUMIFS(Ledger!$K$2:$K$4, Ledger!$B$2:$B$4, $A277, Ledger!$C$2:$C$4, R$2)),"****")</f>
        <v/>
      </c>
      <c r="S277" t="str">
        <f>IFERROR(IF($C277="","",SUMIFS(Ledger!$K$2:$K$4, Ledger!$B$2:$B$4, $A277, Ledger!$C$2:$C$4, S$2)),"****")</f>
        <v/>
      </c>
      <c r="T277" t="str">
        <f>IFERROR(IF($C277="","",SUMIFS(Ledger!$K$2:$K$4, Ledger!$B$2:$B$4, $A277, Ledger!$C$2:$C$4, T$2)),"****")</f>
        <v/>
      </c>
      <c r="U277" t="str">
        <f>IFERROR(IF($C277="","",SUMIFS(Ledger!$K$2:$K$4, Ledger!$B$2:$B$4, $A277, Ledger!$C$2:$C$4, U$2)),"****")</f>
        <v/>
      </c>
      <c r="V277" t="str">
        <f>IFERROR(IF($C277="","",SUMIFS(Ledger!$K$2:$K$4, Ledger!$B$2:$B$4, $A277, Ledger!$C$2:$C$4, V$2)),"****")</f>
        <v/>
      </c>
      <c r="W277" t="str">
        <f>IFERROR(IF($C277="","",SUMIFS(Ledger!$K$2:$K$4, Ledger!$B$2:$B$4, $A277, Ledger!$C$2:$C$4, W$2)),"****")</f>
        <v/>
      </c>
      <c r="X277" t="str">
        <f>IFERROR(IF($C277="","",SUMIFS(Ledger!$K$2:$K$4, Ledger!$B$2:$B$4, $A277, Ledger!$C$2:$C$4, X$2)),"****")</f>
        <v/>
      </c>
    </row>
    <row r="278" spans="1:24" x14ac:dyDescent="0.3">
      <c r="A278" s="106">
        <v>276</v>
      </c>
      <c r="B278" t="str">
        <f>IFERROR(VLOOKUP($A278, Ledger!$B$2:$L$8, 3, 0),"")</f>
        <v/>
      </c>
      <c r="C278" t="str">
        <f>IFERROR(VLOOKUP($A278, Ledger!$B$2:$L$8, 4, 0),"")</f>
        <v/>
      </c>
      <c r="D278" t="str">
        <f>IFERROR(VLOOKUP($A278, Ledger!$B$2:$L$8, 5, 0),"")</f>
        <v/>
      </c>
      <c r="E278" t="str">
        <f>IFERROR(VLOOKUP($A278, Ledger!$B$2:$L$8, 6, 0),"")</f>
        <v/>
      </c>
      <c r="F278" t="str">
        <f>IFERROR(VLOOKUP($A278,'Student Data'!$A$2:$AR$6,32,0),"")</f>
        <v/>
      </c>
      <c r="G278" t="str">
        <f>IFERROR(VLOOKUP($A278,'Student Data'!$A$2:$AR$6,33,0),"")</f>
        <v/>
      </c>
      <c r="H278" t="str">
        <f>IFERROR(VLOOKUP($A278,'Student Data'!$A$2:$AR$6,34,0),"")</f>
        <v/>
      </c>
      <c r="I278" t="str">
        <f>IFERROR(VLOOKUP($A278,'Student Data'!$A$2:$AR$6,35,0),"")</f>
        <v/>
      </c>
      <c r="J278" t="str">
        <f>IFERROR(VLOOKUP($A278,'Student Data'!$A$2:$AR$6,36,0),"")</f>
        <v/>
      </c>
      <c r="K278" t="str">
        <f t="shared" si="8"/>
        <v/>
      </c>
      <c r="L278" t="str">
        <f t="shared" si="9"/>
        <v/>
      </c>
      <c r="M278" t="str">
        <f>IFERROR(IF($C278="","",SUMIFS(Ledger!$K$2:$K$4, Ledger!$B$2:$B$4, $A278, Ledger!$C$2:$C$4, M$2)),"****")</f>
        <v/>
      </c>
      <c r="N278" t="str">
        <f>IFERROR(IF($C278="","",SUMIFS(Ledger!$K$2:$K$4, Ledger!$B$2:$B$4, $A278, Ledger!$C$2:$C$4, N$2)),"****")</f>
        <v/>
      </c>
      <c r="O278" t="str">
        <f>IFERROR(IF($C278="","",SUMIFS(Ledger!$K$2:$K$4, Ledger!$B$2:$B$4, $A278, Ledger!$C$2:$C$4, O$2)),"****")</f>
        <v/>
      </c>
      <c r="P278" t="str">
        <f>IFERROR(IF($C278="","",SUMIFS(Ledger!$K$2:$K$4, Ledger!$B$2:$B$4, $A278, Ledger!$C$2:$C$4, P$2)),"****")</f>
        <v/>
      </c>
      <c r="Q278" t="str">
        <f>IFERROR(IF($C278="","",SUMIFS(Ledger!$K$2:$K$4, Ledger!$B$2:$B$4, $A278, Ledger!$C$2:$C$4, Q$2)),"****")</f>
        <v/>
      </c>
      <c r="R278" t="str">
        <f>IFERROR(IF($C278="","",SUMIFS(Ledger!$K$2:$K$4, Ledger!$B$2:$B$4, $A278, Ledger!$C$2:$C$4, R$2)),"****")</f>
        <v/>
      </c>
      <c r="S278" t="str">
        <f>IFERROR(IF($C278="","",SUMIFS(Ledger!$K$2:$K$4, Ledger!$B$2:$B$4, $A278, Ledger!$C$2:$C$4, S$2)),"****")</f>
        <v/>
      </c>
      <c r="T278" t="str">
        <f>IFERROR(IF($C278="","",SUMIFS(Ledger!$K$2:$K$4, Ledger!$B$2:$B$4, $A278, Ledger!$C$2:$C$4, T$2)),"****")</f>
        <v/>
      </c>
      <c r="U278" t="str">
        <f>IFERROR(IF($C278="","",SUMIFS(Ledger!$K$2:$K$4, Ledger!$B$2:$B$4, $A278, Ledger!$C$2:$C$4, U$2)),"****")</f>
        <v/>
      </c>
      <c r="V278" t="str">
        <f>IFERROR(IF($C278="","",SUMIFS(Ledger!$K$2:$K$4, Ledger!$B$2:$B$4, $A278, Ledger!$C$2:$C$4, V$2)),"****")</f>
        <v/>
      </c>
      <c r="W278" t="str">
        <f>IFERROR(IF($C278="","",SUMIFS(Ledger!$K$2:$K$4, Ledger!$B$2:$B$4, $A278, Ledger!$C$2:$C$4, W$2)),"****")</f>
        <v/>
      </c>
      <c r="X278" t="str">
        <f>IFERROR(IF($C278="","",SUMIFS(Ledger!$K$2:$K$4, Ledger!$B$2:$B$4, $A278, Ledger!$C$2:$C$4, X$2)),"****")</f>
        <v/>
      </c>
    </row>
    <row r="279" spans="1:24" x14ac:dyDescent="0.3">
      <c r="A279" s="106">
        <v>277</v>
      </c>
      <c r="B279" t="str">
        <f>IFERROR(VLOOKUP($A279, Ledger!$B$2:$L$8, 3, 0),"")</f>
        <v/>
      </c>
      <c r="C279" t="str">
        <f>IFERROR(VLOOKUP($A279, Ledger!$B$2:$L$8, 4, 0),"")</f>
        <v/>
      </c>
      <c r="D279" t="str">
        <f>IFERROR(VLOOKUP($A279, Ledger!$B$2:$L$8, 5, 0),"")</f>
        <v/>
      </c>
      <c r="E279" t="str">
        <f>IFERROR(VLOOKUP($A279, Ledger!$B$2:$L$8, 6, 0),"")</f>
        <v/>
      </c>
      <c r="F279" t="str">
        <f>IFERROR(VLOOKUP($A279,'Student Data'!$A$2:$AR$6,32,0),"")</f>
        <v/>
      </c>
      <c r="G279" t="str">
        <f>IFERROR(VLOOKUP($A279,'Student Data'!$A$2:$AR$6,33,0),"")</f>
        <v/>
      </c>
      <c r="H279" t="str">
        <f>IFERROR(VLOOKUP($A279,'Student Data'!$A$2:$AR$6,34,0),"")</f>
        <v/>
      </c>
      <c r="I279" t="str">
        <f>IFERROR(VLOOKUP($A279,'Student Data'!$A$2:$AR$6,35,0),"")</f>
        <v/>
      </c>
      <c r="J279" t="str">
        <f>IFERROR(VLOOKUP($A279,'Student Data'!$A$2:$AR$6,36,0),"")</f>
        <v/>
      </c>
      <c r="K279" t="str">
        <f t="shared" si="8"/>
        <v/>
      </c>
      <c r="L279" t="str">
        <f t="shared" si="9"/>
        <v/>
      </c>
      <c r="M279" t="str">
        <f>IFERROR(IF($C279="","",SUMIFS(Ledger!$K$2:$K$4, Ledger!$B$2:$B$4, $A279, Ledger!$C$2:$C$4, M$2)),"****")</f>
        <v/>
      </c>
      <c r="N279" t="str">
        <f>IFERROR(IF($C279="","",SUMIFS(Ledger!$K$2:$K$4, Ledger!$B$2:$B$4, $A279, Ledger!$C$2:$C$4, N$2)),"****")</f>
        <v/>
      </c>
      <c r="O279" t="str">
        <f>IFERROR(IF($C279="","",SUMIFS(Ledger!$K$2:$K$4, Ledger!$B$2:$B$4, $A279, Ledger!$C$2:$C$4, O$2)),"****")</f>
        <v/>
      </c>
      <c r="P279" t="str">
        <f>IFERROR(IF($C279="","",SUMIFS(Ledger!$K$2:$K$4, Ledger!$B$2:$B$4, $A279, Ledger!$C$2:$C$4, P$2)),"****")</f>
        <v/>
      </c>
      <c r="Q279" t="str">
        <f>IFERROR(IF($C279="","",SUMIFS(Ledger!$K$2:$K$4, Ledger!$B$2:$B$4, $A279, Ledger!$C$2:$C$4, Q$2)),"****")</f>
        <v/>
      </c>
      <c r="R279" t="str">
        <f>IFERROR(IF($C279="","",SUMIFS(Ledger!$K$2:$K$4, Ledger!$B$2:$B$4, $A279, Ledger!$C$2:$C$4, R$2)),"****")</f>
        <v/>
      </c>
      <c r="S279" t="str">
        <f>IFERROR(IF($C279="","",SUMIFS(Ledger!$K$2:$K$4, Ledger!$B$2:$B$4, $A279, Ledger!$C$2:$C$4, S$2)),"****")</f>
        <v/>
      </c>
      <c r="T279" t="str">
        <f>IFERROR(IF($C279="","",SUMIFS(Ledger!$K$2:$K$4, Ledger!$B$2:$B$4, $A279, Ledger!$C$2:$C$4, T$2)),"****")</f>
        <v/>
      </c>
      <c r="U279" t="str">
        <f>IFERROR(IF($C279="","",SUMIFS(Ledger!$K$2:$K$4, Ledger!$B$2:$B$4, $A279, Ledger!$C$2:$C$4, U$2)),"****")</f>
        <v/>
      </c>
      <c r="V279" t="str">
        <f>IFERROR(IF($C279="","",SUMIFS(Ledger!$K$2:$K$4, Ledger!$B$2:$B$4, $A279, Ledger!$C$2:$C$4, V$2)),"****")</f>
        <v/>
      </c>
      <c r="W279" t="str">
        <f>IFERROR(IF($C279="","",SUMIFS(Ledger!$K$2:$K$4, Ledger!$B$2:$B$4, $A279, Ledger!$C$2:$C$4, W$2)),"****")</f>
        <v/>
      </c>
      <c r="X279" t="str">
        <f>IFERROR(IF($C279="","",SUMIFS(Ledger!$K$2:$K$4, Ledger!$B$2:$B$4, $A279, Ledger!$C$2:$C$4, X$2)),"****")</f>
        <v/>
      </c>
    </row>
    <row r="280" spans="1:24" x14ac:dyDescent="0.3">
      <c r="A280" s="106">
        <v>278</v>
      </c>
      <c r="B280" t="str">
        <f>IFERROR(VLOOKUP($A280, Ledger!$B$2:$L$8, 3, 0),"")</f>
        <v/>
      </c>
      <c r="C280" t="str">
        <f>IFERROR(VLOOKUP($A280, Ledger!$B$2:$L$8, 4, 0),"")</f>
        <v/>
      </c>
      <c r="D280" t="str">
        <f>IFERROR(VLOOKUP($A280, Ledger!$B$2:$L$8, 5, 0),"")</f>
        <v/>
      </c>
      <c r="E280" t="str">
        <f>IFERROR(VLOOKUP($A280, Ledger!$B$2:$L$8, 6, 0),"")</f>
        <v/>
      </c>
      <c r="F280" t="str">
        <f>IFERROR(VLOOKUP($A280,'Student Data'!$A$2:$AR$6,32,0),"")</f>
        <v/>
      </c>
      <c r="G280" t="str">
        <f>IFERROR(VLOOKUP($A280,'Student Data'!$A$2:$AR$6,33,0),"")</f>
        <v/>
      </c>
      <c r="H280" t="str">
        <f>IFERROR(VLOOKUP($A280,'Student Data'!$A$2:$AR$6,34,0),"")</f>
        <v/>
      </c>
      <c r="I280" t="str">
        <f>IFERROR(VLOOKUP($A280,'Student Data'!$A$2:$AR$6,35,0),"")</f>
        <v/>
      </c>
      <c r="J280" t="str">
        <f>IFERROR(VLOOKUP($A280,'Student Data'!$A$2:$AR$6,36,0),"")</f>
        <v/>
      </c>
      <c r="K280" t="str">
        <f t="shared" si="8"/>
        <v/>
      </c>
      <c r="L280" t="str">
        <f t="shared" si="9"/>
        <v/>
      </c>
      <c r="M280" t="str">
        <f>IFERROR(IF($C280="","",SUMIFS(Ledger!$K$2:$K$4, Ledger!$B$2:$B$4, $A280, Ledger!$C$2:$C$4, M$2)),"****")</f>
        <v/>
      </c>
      <c r="N280" t="str">
        <f>IFERROR(IF($C280="","",SUMIFS(Ledger!$K$2:$K$4, Ledger!$B$2:$B$4, $A280, Ledger!$C$2:$C$4, N$2)),"****")</f>
        <v/>
      </c>
      <c r="O280" t="str">
        <f>IFERROR(IF($C280="","",SUMIFS(Ledger!$K$2:$K$4, Ledger!$B$2:$B$4, $A280, Ledger!$C$2:$C$4, O$2)),"****")</f>
        <v/>
      </c>
      <c r="P280" t="str">
        <f>IFERROR(IF($C280="","",SUMIFS(Ledger!$K$2:$K$4, Ledger!$B$2:$B$4, $A280, Ledger!$C$2:$C$4, P$2)),"****")</f>
        <v/>
      </c>
      <c r="Q280" t="str">
        <f>IFERROR(IF($C280="","",SUMIFS(Ledger!$K$2:$K$4, Ledger!$B$2:$B$4, $A280, Ledger!$C$2:$C$4, Q$2)),"****")</f>
        <v/>
      </c>
      <c r="R280" t="str">
        <f>IFERROR(IF($C280="","",SUMIFS(Ledger!$K$2:$K$4, Ledger!$B$2:$B$4, $A280, Ledger!$C$2:$C$4, R$2)),"****")</f>
        <v/>
      </c>
      <c r="S280" t="str">
        <f>IFERROR(IF($C280="","",SUMIFS(Ledger!$K$2:$K$4, Ledger!$B$2:$B$4, $A280, Ledger!$C$2:$C$4, S$2)),"****")</f>
        <v/>
      </c>
      <c r="T280" t="str">
        <f>IFERROR(IF($C280="","",SUMIFS(Ledger!$K$2:$K$4, Ledger!$B$2:$B$4, $A280, Ledger!$C$2:$C$4, T$2)),"****")</f>
        <v/>
      </c>
      <c r="U280" t="str">
        <f>IFERROR(IF($C280="","",SUMIFS(Ledger!$K$2:$K$4, Ledger!$B$2:$B$4, $A280, Ledger!$C$2:$C$4, U$2)),"****")</f>
        <v/>
      </c>
      <c r="V280" t="str">
        <f>IFERROR(IF($C280="","",SUMIFS(Ledger!$K$2:$K$4, Ledger!$B$2:$B$4, $A280, Ledger!$C$2:$C$4, V$2)),"****")</f>
        <v/>
      </c>
      <c r="W280" t="str">
        <f>IFERROR(IF($C280="","",SUMIFS(Ledger!$K$2:$K$4, Ledger!$B$2:$B$4, $A280, Ledger!$C$2:$C$4, W$2)),"****")</f>
        <v/>
      </c>
      <c r="X280" t="str">
        <f>IFERROR(IF($C280="","",SUMIFS(Ledger!$K$2:$K$4, Ledger!$B$2:$B$4, $A280, Ledger!$C$2:$C$4, X$2)),"****")</f>
        <v/>
      </c>
    </row>
    <row r="281" spans="1:24" x14ac:dyDescent="0.3">
      <c r="A281" s="106">
        <v>279</v>
      </c>
      <c r="B281" t="str">
        <f>IFERROR(VLOOKUP($A281, Ledger!$B$2:$L$8, 3, 0),"")</f>
        <v/>
      </c>
      <c r="C281" t="str">
        <f>IFERROR(VLOOKUP($A281, Ledger!$B$2:$L$8, 4, 0),"")</f>
        <v/>
      </c>
      <c r="D281" t="str">
        <f>IFERROR(VLOOKUP($A281, Ledger!$B$2:$L$8, 5, 0),"")</f>
        <v/>
      </c>
      <c r="E281" t="str">
        <f>IFERROR(VLOOKUP($A281, Ledger!$B$2:$L$8, 6, 0),"")</f>
        <v/>
      </c>
      <c r="F281" t="str">
        <f>IFERROR(VLOOKUP($A281,'Student Data'!$A$2:$AR$6,32,0),"")</f>
        <v/>
      </c>
      <c r="G281" t="str">
        <f>IFERROR(VLOOKUP($A281,'Student Data'!$A$2:$AR$6,33,0),"")</f>
        <v/>
      </c>
      <c r="H281" t="str">
        <f>IFERROR(VLOOKUP($A281,'Student Data'!$A$2:$AR$6,34,0),"")</f>
        <v/>
      </c>
      <c r="I281" t="str">
        <f>IFERROR(VLOOKUP($A281,'Student Data'!$A$2:$AR$6,35,0),"")</f>
        <v/>
      </c>
      <c r="J281" t="str">
        <f>IFERROR(VLOOKUP($A281,'Student Data'!$A$2:$AR$6,36,0),"")</f>
        <v/>
      </c>
      <c r="K281" t="str">
        <f t="shared" si="8"/>
        <v/>
      </c>
      <c r="L281" t="str">
        <f t="shared" si="9"/>
        <v/>
      </c>
      <c r="M281" t="str">
        <f>IFERROR(IF($C281="","",SUMIFS(Ledger!$K$2:$K$4, Ledger!$B$2:$B$4, $A281, Ledger!$C$2:$C$4, M$2)),"****")</f>
        <v/>
      </c>
      <c r="N281" t="str">
        <f>IFERROR(IF($C281="","",SUMIFS(Ledger!$K$2:$K$4, Ledger!$B$2:$B$4, $A281, Ledger!$C$2:$C$4, N$2)),"****")</f>
        <v/>
      </c>
      <c r="O281" t="str">
        <f>IFERROR(IF($C281="","",SUMIFS(Ledger!$K$2:$K$4, Ledger!$B$2:$B$4, $A281, Ledger!$C$2:$C$4, O$2)),"****")</f>
        <v/>
      </c>
      <c r="P281" t="str">
        <f>IFERROR(IF($C281="","",SUMIFS(Ledger!$K$2:$K$4, Ledger!$B$2:$B$4, $A281, Ledger!$C$2:$C$4, P$2)),"****")</f>
        <v/>
      </c>
      <c r="Q281" t="str">
        <f>IFERROR(IF($C281="","",SUMIFS(Ledger!$K$2:$K$4, Ledger!$B$2:$B$4, $A281, Ledger!$C$2:$C$4, Q$2)),"****")</f>
        <v/>
      </c>
      <c r="R281" t="str">
        <f>IFERROR(IF($C281="","",SUMIFS(Ledger!$K$2:$K$4, Ledger!$B$2:$B$4, $A281, Ledger!$C$2:$C$4, R$2)),"****")</f>
        <v/>
      </c>
      <c r="S281" t="str">
        <f>IFERROR(IF($C281="","",SUMIFS(Ledger!$K$2:$K$4, Ledger!$B$2:$B$4, $A281, Ledger!$C$2:$C$4, S$2)),"****")</f>
        <v/>
      </c>
      <c r="T281" t="str">
        <f>IFERROR(IF($C281="","",SUMIFS(Ledger!$K$2:$K$4, Ledger!$B$2:$B$4, $A281, Ledger!$C$2:$C$4, T$2)),"****")</f>
        <v/>
      </c>
      <c r="U281" t="str">
        <f>IFERROR(IF($C281="","",SUMIFS(Ledger!$K$2:$K$4, Ledger!$B$2:$B$4, $A281, Ledger!$C$2:$C$4, U$2)),"****")</f>
        <v/>
      </c>
      <c r="V281" t="str">
        <f>IFERROR(IF($C281="","",SUMIFS(Ledger!$K$2:$K$4, Ledger!$B$2:$B$4, $A281, Ledger!$C$2:$C$4, V$2)),"****")</f>
        <v/>
      </c>
      <c r="W281" t="str">
        <f>IFERROR(IF($C281="","",SUMIFS(Ledger!$K$2:$K$4, Ledger!$B$2:$B$4, $A281, Ledger!$C$2:$C$4, W$2)),"****")</f>
        <v/>
      </c>
      <c r="X281" t="str">
        <f>IFERROR(IF($C281="","",SUMIFS(Ledger!$K$2:$K$4, Ledger!$B$2:$B$4, $A281, Ledger!$C$2:$C$4, X$2)),"****")</f>
        <v/>
      </c>
    </row>
    <row r="282" spans="1:24" x14ac:dyDescent="0.3">
      <c r="A282" s="106">
        <v>280</v>
      </c>
      <c r="B282" t="str">
        <f>IFERROR(VLOOKUP($A282, Ledger!$B$2:$L$8, 3, 0),"")</f>
        <v/>
      </c>
      <c r="C282" t="str">
        <f>IFERROR(VLOOKUP($A282, Ledger!$B$2:$L$8, 4, 0),"")</f>
        <v/>
      </c>
      <c r="D282" t="str">
        <f>IFERROR(VLOOKUP($A282, Ledger!$B$2:$L$8, 5, 0),"")</f>
        <v/>
      </c>
      <c r="E282" t="str">
        <f>IFERROR(VLOOKUP($A282, Ledger!$B$2:$L$8, 6, 0),"")</f>
        <v/>
      </c>
      <c r="F282" t="str">
        <f>IFERROR(VLOOKUP($A282,'Student Data'!$A$2:$AR$6,32,0),"")</f>
        <v/>
      </c>
      <c r="G282" t="str">
        <f>IFERROR(VLOOKUP($A282,'Student Data'!$A$2:$AR$6,33,0),"")</f>
        <v/>
      </c>
      <c r="H282" t="str">
        <f>IFERROR(VLOOKUP($A282,'Student Data'!$A$2:$AR$6,34,0),"")</f>
        <v/>
      </c>
      <c r="I282" t="str">
        <f>IFERROR(VLOOKUP($A282,'Student Data'!$A$2:$AR$6,35,0),"")</f>
        <v/>
      </c>
      <c r="J282" t="str">
        <f>IFERROR(VLOOKUP($A282,'Student Data'!$A$2:$AR$6,36,0),"")</f>
        <v/>
      </c>
      <c r="K282" t="str">
        <f t="shared" si="8"/>
        <v/>
      </c>
      <c r="L282" t="str">
        <f t="shared" si="9"/>
        <v/>
      </c>
      <c r="M282" t="str">
        <f>IFERROR(IF($C282="","",SUMIFS(Ledger!$K$2:$K$4, Ledger!$B$2:$B$4, $A282, Ledger!$C$2:$C$4, M$2)),"****")</f>
        <v/>
      </c>
      <c r="N282" t="str">
        <f>IFERROR(IF($C282="","",SUMIFS(Ledger!$K$2:$K$4, Ledger!$B$2:$B$4, $A282, Ledger!$C$2:$C$4, N$2)),"****")</f>
        <v/>
      </c>
      <c r="O282" t="str">
        <f>IFERROR(IF($C282="","",SUMIFS(Ledger!$K$2:$K$4, Ledger!$B$2:$B$4, $A282, Ledger!$C$2:$C$4, O$2)),"****")</f>
        <v/>
      </c>
      <c r="P282" t="str">
        <f>IFERROR(IF($C282="","",SUMIFS(Ledger!$K$2:$K$4, Ledger!$B$2:$B$4, $A282, Ledger!$C$2:$C$4, P$2)),"****")</f>
        <v/>
      </c>
      <c r="Q282" t="str">
        <f>IFERROR(IF($C282="","",SUMIFS(Ledger!$K$2:$K$4, Ledger!$B$2:$B$4, $A282, Ledger!$C$2:$C$4, Q$2)),"****")</f>
        <v/>
      </c>
      <c r="R282" t="str">
        <f>IFERROR(IF($C282="","",SUMIFS(Ledger!$K$2:$K$4, Ledger!$B$2:$B$4, $A282, Ledger!$C$2:$C$4, R$2)),"****")</f>
        <v/>
      </c>
      <c r="S282" t="str">
        <f>IFERROR(IF($C282="","",SUMIFS(Ledger!$K$2:$K$4, Ledger!$B$2:$B$4, $A282, Ledger!$C$2:$C$4, S$2)),"****")</f>
        <v/>
      </c>
      <c r="T282" t="str">
        <f>IFERROR(IF($C282="","",SUMIFS(Ledger!$K$2:$K$4, Ledger!$B$2:$B$4, $A282, Ledger!$C$2:$C$4, T$2)),"****")</f>
        <v/>
      </c>
      <c r="U282" t="str">
        <f>IFERROR(IF($C282="","",SUMIFS(Ledger!$K$2:$K$4, Ledger!$B$2:$B$4, $A282, Ledger!$C$2:$C$4, U$2)),"****")</f>
        <v/>
      </c>
      <c r="V282" t="str">
        <f>IFERROR(IF($C282="","",SUMIFS(Ledger!$K$2:$K$4, Ledger!$B$2:$B$4, $A282, Ledger!$C$2:$C$4, V$2)),"****")</f>
        <v/>
      </c>
      <c r="W282" t="str">
        <f>IFERROR(IF($C282="","",SUMIFS(Ledger!$K$2:$K$4, Ledger!$B$2:$B$4, $A282, Ledger!$C$2:$C$4, W$2)),"****")</f>
        <v/>
      </c>
      <c r="X282" t="str">
        <f>IFERROR(IF($C282="","",SUMIFS(Ledger!$K$2:$K$4, Ledger!$B$2:$B$4, $A282, Ledger!$C$2:$C$4, X$2)),"****")</f>
        <v/>
      </c>
    </row>
    <row r="283" spans="1:24" x14ac:dyDescent="0.3">
      <c r="A283" s="106">
        <v>281</v>
      </c>
      <c r="B283" t="str">
        <f>IFERROR(VLOOKUP($A283, Ledger!$B$2:$L$8, 3, 0),"")</f>
        <v/>
      </c>
      <c r="C283" t="str">
        <f>IFERROR(VLOOKUP($A283, Ledger!$B$2:$L$8, 4, 0),"")</f>
        <v/>
      </c>
      <c r="D283" t="str">
        <f>IFERROR(VLOOKUP($A283, Ledger!$B$2:$L$8, 5, 0),"")</f>
        <v/>
      </c>
      <c r="E283" t="str">
        <f>IFERROR(VLOOKUP($A283, Ledger!$B$2:$L$8, 6, 0),"")</f>
        <v/>
      </c>
      <c r="F283" t="str">
        <f>IFERROR(VLOOKUP($A283,'Student Data'!$A$2:$AR$6,32,0),"")</f>
        <v/>
      </c>
      <c r="G283" t="str">
        <f>IFERROR(VLOOKUP($A283,'Student Data'!$A$2:$AR$6,33,0),"")</f>
        <v/>
      </c>
      <c r="H283" t="str">
        <f>IFERROR(VLOOKUP($A283,'Student Data'!$A$2:$AR$6,34,0),"")</f>
        <v/>
      </c>
      <c r="I283" t="str">
        <f>IFERROR(VLOOKUP($A283,'Student Data'!$A$2:$AR$6,35,0),"")</f>
        <v/>
      </c>
      <c r="J283" t="str">
        <f>IFERROR(VLOOKUP($A283,'Student Data'!$A$2:$AR$6,36,0),"")</f>
        <v/>
      </c>
      <c r="K283" t="str">
        <f t="shared" si="8"/>
        <v/>
      </c>
      <c r="L283" t="str">
        <f t="shared" si="9"/>
        <v/>
      </c>
      <c r="M283" t="str">
        <f>IFERROR(IF($C283="","",SUMIFS(Ledger!$K$2:$K$4, Ledger!$B$2:$B$4, $A283, Ledger!$C$2:$C$4, M$2)),"****")</f>
        <v/>
      </c>
      <c r="N283" t="str">
        <f>IFERROR(IF($C283="","",SUMIFS(Ledger!$K$2:$K$4, Ledger!$B$2:$B$4, $A283, Ledger!$C$2:$C$4, N$2)),"****")</f>
        <v/>
      </c>
      <c r="O283" t="str">
        <f>IFERROR(IF($C283="","",SUMIFS(Ledger!$K$2:$K$4, Ledger!$B$2:$B$4, $A283, Ledger!$C$2:$C$4, O$2)),"****")</f>
        <v/>
      </c>
      <c r="P283" t="str">
        <f>IFERROR(IF($C283="","",SUMIFS(Ledger!$K$2:$K$4, Ledger!$B$2:$B$4, $A283, Ledger!$C$2:$C$4, P$2)),"****")</f>
        <v/>
      </c>
      <c r="Q283" t="str">
        <f>IFERROR(IF($C283="","",SUMIFS(Ledger!$K$2:$K$4, Ledger!$B$2:$B$4, $A283, Ledger!$C$2:$C$4, Q$2)),"****")</f>
        <v/>
      </c>
      <c r="R283" t="str">
        <f>IFERROR(IF($C283="","",SUMIFS(Ledger!$K$2:$K$4, Ledger!$B$2:$B$4, $A283, Ledger!$C$2:$C$4, R$2)),"****")</f>
        <v/>
      </c>
      <c r="S283" t="str">
        <f>IFERROR(IF($C283="","",SUMIFS(Ledger!$K$2:$K$4, Ledger!$B$2:$B$4, $A283, Ledger!$C$2:$C$4, S$2)),"****")</f>
        <v/>
      </c>
      <c r="T283" t="str">
        <f>IFERROR(IF($C283="","",SUMIFS(Ledger!$K$2:$K$4, Ledger!$B$2:$B$4, $A283, Ledger!$C$2:$C$4, T$2)),"****")</f>
        <v/>
      </c>
      <c r="U283" t="str">
        <f>IFERROR(IF($C283="","",SUMIFS(Ledger!$K$2:$K$4, Ledger!$B$2:$B$4, $A283, Ledger!$C$2:$C$4, U$2)),"****")</f>
        <v/>
      </c>
      <c r="V283" t="str">
        <f>IFERROR(IF($C283="","",SUMIFS(Ledger!$K$2:$K$4, Ledger!$B$2:$B$4, $A283, Ledger!$C$2:$C$4, V$2)),"****")</f>
        <v/>
      </c>
      <c r="W283" t="str">
        <f>IFERROR(IF($C283="","",SUMIFS(Ledger!$K$2:$K$4, Ledger!$B$2:$B$4, $A283, Ledger!$C$2:$C$4, W$2)),"****")</f>
        <v/>
      </c>
      <c r="X283" t="str">
        <f>IFERROR(IF($C283="","",SUMIFS(Ledger!$K$2:$K$4, Ledger!$B$2:$B$4, $A283, Ledger!$C$2:$C$4, X$2)),"****")</f>
        <v/>
      </c>
    </row>
    <row r="284" spans="1:24" x14ac:dyDescent="0.3">
      <c r="A284" s="106">
        <v>282</v>
      </c>
      <c r="B284" t="str">
        <f>IFERROR(VLOOKUP($A284, Ledger!$B$2:$L$8, 3, 0),"")</f>
        <v/>
      </c>
      <c r="C284" t="str">
        <f>IFERROR(VLOOKUP($A284, Ledger!$B$2:$L$8, 4, 0),"")</f>
        <v/>
      </c>
      <c r="D284" t="str">
        <f>IFERROR(VLOOKUP($A284, Ledger!$B$2:$L$8, 5, 0),"")</f>
        <v/>
      </c>
      <c r="E284" t="str">
        <f>IFERROR(VLOOKUP($A284, Ledger!$B$2:$L$8, 6, 0),"")</f>
        <v/>
      </c>
      <c r="F284" t="str">
        <f>IFERROR(VLOOKUP($A284,'Student Data'!$A$2:$AR$6,32,0),"")</f>
        <v/>
      </c>
      <c r="G284" t="str">
        <f>IFERROR(VLOOKUP($A284,'Student Data'!$A$2:$AR$6,33,0),"")</f>
        <v/>
      </c>
      <c r="H284" t="str">
        <f>IFERROR(VLOOKUP($A284,'Student Data'!$A$2:$AR$6,34,0),"")</f>
        <v/>
      </c>
      <c r="I284" t="str">
        <f>IFERROR(VLOOKUP($A284,'Student Data'!$A$2:$AR$6,35,0),"")</f>
        <v/>
      </c>
      <c r="J284" t="str">
        <f>IFERROR(VLOOKUP($A284,'Student Data'!$A$2:$AR$6,36,0),"")</f>
        <v/>
      </c>
      <c r="K284" t="str">
        <f t="shared" si="8"/>
        <v/>
      </c>
      <c r="L284" t="str">
        <f t="shared" si="9"/>
        <v/>
      </c>
      <c r="M284" t="str">
        <f>IFERROR(IF($C284="","",SUMIFS(Ledger!$K$2:$K$4, Ledger!$B$2:$B$4, $A284, Ledger!$C$2:$C$4, M$2)),"****")</f>
        <v/>
      </c>
      <c r="N284" t="str">
        <f>IFERROR(IF($C284="","",SUMIFS(Ledger!$K$2:$K$4, Ledger!$B$2:$B$4, $A284, Ledger!$C$2:$C$4, N$2)),"****")</f>
        <v/>
      </c>
      <c r="O284" t="str">
        <f>IFERROR(IF($C284="","",SUMIFS(Ledger!$K$2:$K$4, Ledger!$B$2:$B$4, $A284, Ledger!$C$2:$C$4, O$2)),"****")</f>
        <v/>
      </c>
      <c r="P284" t="str">
        <f>IFERROR(IF($C284="","",SUMIFS(Ledger!$K$2:$K$4, Ledger!$B$2:$B$4, $A284, Ledger!$C$2:$C$4, P$2)),"****")</f>
        <v/>
      </c>
      <c r="Q284" t="str">
        <f>IFERROR(IF($C284="","",SUMIFS(Ledger!$K$2:$K$4, Ledger!$B$2:$B$4, $A284, Ledger!$C$2:$C$4, Q$2)),"****")</f>
        <v/>
      </c>
      <c r="R284" t="str">
        <f>IFERROR(IF($C284="","",SUMIFS(Ledger!$K$2:$K$4, Ledger!$B$2:$B$4, $A284, Ledger!$C$2:$C$4, R$2)),"****")</f>
        <v/>
      </c>
      <c r="S284" t="str">
        <f>IFERROR(IF($C284="","",SUMIFS(Ledger!$K$2:$K$4, Ledger!$B$2:$B$4, $A284, Ledger!$C$2:$C$4, S$2)),"****")</f>
        <v/>
      </c>
      <c r="T284" t="str">
        <f>IFERROR(IF($C284="","",SUMIFS(Ledger!$K$2:$K$4, Ledger!$B$2:$B$4, $A284, Ledger!$C$2:$C$4, T$2)),"****")</f>
        <v/>
      </c>
      <c r="U284" t="str">
        <f>IFERROR(IF($C284="","",SUMIFS(Ledger!$K$2:$K$4, Ledger!$B$2:$B$4, $A284, Ledger!$C$2:$C$4, U$2)),"****")</f>
        <v/>
      </c>
      <c r="V284" t="str">
        <f>IFERROR(IF($C284="","",SUMIFS(Ledger!$K$2:$K$4, Ledger!$B$2:$B$4, $A284, Ledger!$C$2:$C$4, V$2)),"****")</f>
        <v/>
      </c>
      <c r="W284" t="str">
        <f>IFERROR(IF($C284="","",SUMIFS(Ledger!$K$2:$K$4, Ledger!$B$2:$B$4, $A284, Ledger!$C$2:$C$4, W$2)),"****")</f>
        <v/>
      </c>
      <c r="X284" t="str">
        <f>IFERROR(IF($C284="","",SUMIFS(Ledger!$K$2:$K$4, Ledger!$B$2:$B$4, $A284, Ledger!$C$2:$C$4, X$2)),"****")</f>
        <v/>
      </c>
    </row>
    <row r="285" spans="1:24" x14ac:dyDescent="0.3">
      <c r="A285" s="106">
        <v>283</v>
      </c>
      <c r="B285" t="str">
        <f>IFERROR(VLOOKUP($A285, Ledger!$B$2:$L$8, 3, 0),"")</f>
        <v/>
      </c>
      <c r="C285" t="str">
        <f>IFERROR(VLOOKUP($A285, Ledger!$B$2:$L$8, 4, 0),"")</f>
        <v/>
      </c>
      <c r="D285" t="str">
        <f>IFERROR(VLOOKUP($A285, Ledger!$B$2:$L$8, 5, 0),"")</f>
        <v/>
      </c>
      <c r="E285" t="str">
        <f>IFERROR(VLOOKUP($A285, Ledger!$B$2:$L$8, 6, 0),"")</f>
        <v/>
      </c>
      <c r="F285" t="str">
        <f>IFERROR(VLOOKUP($A285,'Student Data'!$A$2:$AR$6,32,0),"")</f>
        <v/>
      </c>
      <c r="G285" t="str">
        <f>IFERROR(VLOOKUP($A285,'Student Data'!$A$2:$AR$6,33,0),"")</f>
        <v/>
      </c>
      <c r="H285" t="str">
        <f>IFERROR(VLOOKUP($A285,'Student Data'!$A$2:$AR$6,34,0),"")</f>
        <v/>
      </c>
      <c r="I285" t="str">
        <f>IFERROR(VLOOKUP($A285,'Student Data'!$A$2:$AR$6,35,0),"")</f>
        <v/>
      </c>
      <c r="J285" t="str">
        <f>IFERROR(VLOOKUP($A285,'Student Data'!$A$2:$AR$6,36,0),"")</f>
        <v/>
      </c>
      <c r="K285" t="str">
        <f t="shared" si="8"/>
        <v/>
      </c>
      <c r="L285" t="str">
        <f t="shared" si="9"/>
        <v/>
      </c>
      <c r="M285" t="str">
        <f>IFERROR(IF($C285="","",SUMIFS(Ledger!$K$2:$K$4, Ledger!$B$2:$B$4, $A285, Ledger!$C$2:$C$4, M$2)),"****")</f>
        <v/>
      </c>
      <c r="N285" t="str">
        <f>IFERROR(IF($C285="","",SUMIFS(Ledger!$K$2:$K$4, Ledger!$B$2:$B$4, $A285, Ledger!$C$2:$C$4, N$2)),"****")</f>
        <v/>
      </c>
      <c r="O285" t="str">
        <f>IFERROR(IF($C285="","",SUMIFS(Ledger!$K$2:$K$4, Ledger!$B$2:$B$4, $A285, Ledger!$C$2:$C$4, O$2)),"****")</f>
        <v/>
      </c>
      <c r="P285" t="str">
        <f>IFERROR(IF($C285="","",SUMIFS(Ledger!$K$2:$K$4, Ledger!$B$2:$B$4, $A285, Ledger!$C$2:$C$4, P$2)),"****")</f>
        <v/>
      </c>
      <c r="Q285" t="str">
        <f>IFERROR(IF($C285="","",SUMIFS(Ledger!$K$2:$K$4, Ledger!$B$2:$B$4, $A285, Ledger!$C$2:$C$4, Q$2)),"****")</f>
        <v/>
      </c>
      <c r="R285" t="str">
        <f>IFERROR(IF($C285="","",SUMIFS(Ledger!$K$2:$K$4, Ledger!$B$2:$B$4, $A285, Ledger!$C$2:$C$4, R$2)),"****")</f>
        <v/>
      </c>
      <c r="S285" t="str">
        <f>IFERROR(IF($C285="","",SUMIFS(Ledger!$K$2:$K$4, Ledger!$B$2:$B$4, $A285, Ledger!$C$2:$C$4, S$2)),"****")</f>
        <v/>
      </c>
      <c r="T285" t="str">
        <f>IFERROR(IF($C285="","",SUMIFS(Ledger!$K$2:$K$4, Ledger!$B$2:$B$4, $A285, Ledger!$C$2:$C$4, T$2)),"****")</f>
        <v/>
      </c>
      <c r="U285" t="str">
        <f>IFERROR(IF($C285="","",SUMIFS(Ledger!$K$2:$K$4, Ledger!$B$2:$B$4, $A285, Ledger!$C$2:$C$4, U$2)),"****")</f>
        <v/>
      </c>
      <c r="V285" t="str">
        <f>IFERROR(IF($C285="","",SUMIFS(Ledger!$K$2:$K$4, Ledger!$B$2:$B$4, $A285, Ledger!$C$2:$C$4, V$2)),"****")</f>
        <v/>
      </c>
      <c r="W285" t="str">
        <f>IFERROR(IF($C285="","",SUMIFS(Ledger!$K$2:$K$4, Ledger!$B$2:$B$4, $A285, Ledger!$C$2:$C$4, W$2)),"****")</f>
        <v/>
      </c>
      <c r="X285" t="str">
        <f>IFERROR(IF($C285="","",SUMIFS(Ledger!$K$2:$K$4, Ledger!$B$2:$B$4, $A285, Ledger!$C$2:$C$4, X$2)),"****")</f>
        <v/>
      </c>
    </row>
    <row r="286" spans="1:24" x14ac:dyDescent="0.3">
      <c r="A286" s="106">
        <v>284</v>
      </c>
      <c r="B286" t="str">
        <f>IFERROR(VLOOKUP($A286, Ledger!$B$2:$L$8, 3, 0),"")</f>
        <v/>
      </c>
      <c r="C286" t="str">
        <f>IFERROR(VLOOKUP($A286, Ledger!$B$2:$L$8, 4, 0),"")</f>
        <v/>
      </c>
      <c r="D286" t="str">
        <f>IFERROR(VLOOKUP($A286, Ledger!$B$2:$L$8, 5, 0),"")</f>
        <v/>
      </c>
      <c r="E286" t="str">
        <f>IFERROR(VLOOKUP($A286, Ledger!$B$2:$L$8, 6, 0),"")</f>
        <v/>
      </c>
      <c r="F286" t="str">
        <f>IFERROR(VLOOKUP($A286,'Student Data'!$A$2:$AR$6,32,0),"")</f>
        <v/>
      </c>
      <c r="G286" t="str">
        <f>IFERROR(VLOOKUP($A286,'Student Data'!$A$2:$AR$6,33,0),"")</f>
        <v/>
      </c>
      <c r="H286" t="str">
        <f>IFERROR(VLOOKUP($A286,'Student Data'!$A$2:$AR$6,34,0),"")</f>
        <v/>
      </c>
      <c r="I286" t="str">
        <f>IFERROR(VLOOKUP($A286,'Student Data'!$A$2:$AR$6,35,0),"")</f>
        <v/>
      </c>
      <c r="J286" t="str">
        <f>IFERROR(VLOOKUP($A286,'Student Data'!$A$2:$AR$6,36,0),"")</f>
        <v/>
      </c>
      <c r="K286" t="str">
        <f t="shared" si="8"/>
        <v/>
      </c>
      <c r="L286" t="str">
        <f t="shared" si="9"/>
        <v/>
      </c>
      <c r="M286" t="str">
        <f>IFERROR(IF($C286="","",SUMIFS(Ledger!$K$2:$K$4, Ledger!$B$2:$B$4, $A286, Ledger!$C$2:$C$4, M$2)),"****")</f>
        <v/>
      </c>
      <c r="N286" t="str">
        <f>IFERROR(IF($C286="","",SUMIFS(Ledger!$K$2:$K$4, Ledger!$B$2:$B$4, $A286, Ledger!$C$2:$C$4, N$2)),"****")</f>
        <v/>
      </c>
      <c r="O286" t="str">
        <f>IFERROR(IF($C286="","",SUMIFS(Ledger!$K$2:$K$4, Ledger!$B$2:$B$4, $A286, Ledger!$C$2:$C$4, O$2)),"****")</f>
        <v/>
      </c>
      <c r="P286" t="str">
        <f>IFERROR(IF($C286="","",SUMIFS(Ledger!$K$2:$K$4, Ledger!$B$2:$B$4, $A286, Ledger!$C$2:$C$4, P$2)),"****")</f>
        <v/>
      </c>
      <c r="Q286" t="str">
        <f>IFERROR(IF($C286="","",SUMIFS(Ledger!$K$2:$K$4, Ledger!$B$2:$B$4, $A286, Ledger!$C$2:$C$4, Q$2)),"****")</f>
        <v/>
      </c>
      <c r="R286" t="str">
        <f>IFERROR(IF($C286="","",SUMIFS(Ledger!$K$2:$K$4, Ledger!$B$2:$B$4, $A286, Ledger!$C$2:$C$4, R$2)),"****")</f>
        <v/>
      </c>
      <c r="S286" t="str">
        <f>IFERROR(IF($C286="","",SUMIFS(Ledger!$K$2:$K$4, Ledger!$B$2:$B$4, $A286, Ledger!$C$2:$C$4, S$2)),"****")</f>
        <v/>
      </c>
      <c r="T286" t="str">
        <f>IFERROR(IF($C286="","",SUMIFS(Ledger!$K$2:$K$4, Ledger!$B$2:$B$4, $A286, Ledger!$C$2:$C$4, T$2)),"****")</f>
        <v/>
      </c>
      <c r="U286" t="str">
        <f>IFERROR(IF($C286="","",SUMIFS(Ledger!$K$2:$K$4, Ledger!$B$2:$B$4, $A286, Ledger!$C$2:$C$4, U$2)),"****")</f>
        <v/>
      </c>
      <c r="V286" t="str">
        <f>IFERROR(IF($C286="","",SUMIFS(Ledger!$K$2:$K$4, Ledger!$B$2:$B$4, $A286, Ledger!$C$2:$C$4, V$2)),"****")</f>
        <v/>
      </c>
      <c r="W286" t="str">
        <f>IFERROR(IF($C286="","",SUMIFS(Ledger!$K$2:$K$4, Ledger!$B$2:$B$4, $A286, Ledger!$C$2:$C$4, W$2)),"****")</f>
        <v/>
      </c>
      <c r="X286" t="str">
        <f>IFERROR(IF($C286="","",SUMIFS(Ledger!$K$2:$K$4, Ledger!$B$2:$B$4, $A286, Ledger!$C$2:$C$4, X$2)),"****")</f>
        <v/>
      </c>
    </row>
    <row r="287" spans="1:24" x14ac:dyDescent="0.3">
      <c r="A287" s="106">
        <v>285</v>
      </c>
      <c r="B287" t="str">
        <f>IFERROR(VLOOKUP($A287, Ledger!$B$2:$L$8, 3, 0),"")</f>
        <v/>
      </c>
      <c r="C287" t="str">
        <f>IFERROR(VLOOKUP($A287, Ledger!$B$2:$L$8, 4, 0),"")</f>
        <v/>
      </c>
      <c r="D287" t="str">
        <f>IFERROR(VLOOKUP($A287, Ledger!$B$2:$L$8, 5, 0),"")</f>
        <v/>
      </c>
      <c r="E287" t="str">
        <f>IFERROR(VLOOKUP($A287, Ledger!$B$2:$L$8, 6, 0),"")</f>
        <v/>
      </c>
      <c r="F287" t="str">
        <f>IFERROR(VLOOKUP($A287,'Student Data'!$A$2:$AR$6,32,0),"")</f>
        <v/>
      </c>
      <c r="G287" t="str">
        <f>IFERROR(VLOOKUP($A287,'Student Data'!$A$2:$AR$6,33,0),"")</f>
        <v/>
      </c>
      <c r="H287" t="str">
        <f>IFERROR(VLOOKUP($A287,'Student Data'!$A$2:$AR$6,34,0),"")</f>
        <v/>
      </c>
      <c r="I287" t="str">
        <f>IFERROR(VLOOKUP($A287,'Student Data'!$A$2:$AR$6,35,0),"")</f>
        <v/>
      </c>
      <c r="J287" t="str">
        <f>IFERROR(VLOOKUP($A287,'Student Data'!$A$2:$AR$6,36,0),"")</f>
        <v/>
      </c>
      <c r="K287" t="str">
        <f t="shared" si="8"/>
        <v/>
      </c>
      <c r="L287" t="str">
        <f t="shared" si="9"/>
        <v/>
      </c>
      <c r="M287" t="str">
        <f>IFERROR(IF($C287="","",SUMIFS(Ledger!$K$2:$K$4, Ledger!$B$2:$B$4, $A287, Ledger!$C$2:$C$4, M$2)),"****")</f>
        <v/>
      </c>
      <c r="N287" t="str">
        <f>IFERROR(IF($C287="","",SUMIFS(Ledger!$K$2:$K$4, Ledger!$B$2:$B$4, $A287, Ledger!$C$2:$C$4, N$2)),"****")</f>
        <v/>
      </c>
      <c r="O287" t="str">
        <f>IFERROR(IF($C287="","",SUMIFS(Ledger!$K$2:$K$4, Ledger!$B$2:$B$4, $A287, Ledger!$C$2:$C$4, O$2)),"****")</f>
        <v/>
      </c>
      <c r="P287" t="str">
        <f>IFERROR(IF($C287="","",SUMIFS(Ledger!$K$2:$K$4, Ledger!$B$2:$B$4, $A287, Ledger!$C$2:$C$4, P$2)),"****")</f>
        <v/>
      </c>
      <c r="Q287" t="str">
        <f>IFERROR(IF($C287="","",SUMIFS(Ledger!$K$2:$K$4, Ledger!$B$2:$B$4, $A287, Ledger!$C$2:$C$4, Q$2)),"****")</f>
        <v/>
      </c>
      <c r="R287" t="str">
        <f>IFERROR(IF($C287="","",SUMIFS(Ledger!$K$2:$K$4, Ledger!$B$2:$B$4, $A287, Ledger!$C$2:$C$4, R$2)),"****")</f>
        <v/>
      </c>
      <c r="S287" t="str">
        <f>IFERROR(IF($C287="","",SUMIFS(Ledger!$K$2:$K$4, Ledger!$B$2:$B$4, $A287, Ledger!$C$2:$C$4, S$2)),"****")</f>
        <v/>
      </c>
      <c r="T287" t="str">
        <f>IFERROR(IF($C287="","",SUMIFS(Ledger!$K$2:$K$4, Ledger!$B$2:$B$4, $A287, Ledger!$C$2:$C$4, T$2)),"****")</f>
        <v/>
      </c>
      <c r="U287" t="str">
        <f>IFERROR(IF($C287="","",SUMIFS(Ledger!$K$2:$K$4, Ledger!$B$2:$B$4, $A287, Ledger!$C$2:$C$4, U$2)),"****")</f>
        <v/>
      </c>
      <c r="V287" t="str">
        <f>IFERROR(IF($C287="","",SUMIFS(Ledger!$K$2:$K$4, Ledger!$B$2:$B$4, $A287, Ledger!$C$2:$C$4, V$2)),"****")</f>
        <v/>
      </c>
      <c r="W287" t="str">
        <f>IFERROR(IF($C287="","",SUMIFS(Ledger!$K$2:$K$4, Ledger!$B$2:$B$4, $A287, Ledger!$C$2:$C$4, W$2)),"****")</f>
        <v/>
      </c>
      <c r="X287" t="str">
        <f>IFERROR(IF($C287="","",SUMIFS(Ledger!$K$2:$K$4, Ledger!$B$2:$B$4, $A287, Ledger!$C$2:$C$4, X$2)),"****")</f>
        <v/>
      </c>
    </row>
    <row r="288" spans="1:24" x14ac:dyDescent="0.3">
      <c r="A288" s="106">
        <v>286</v>
      </c>
      <c r="B288" t="str">
        <f>IFERROR(VLOOKUP($A288, Ledger!$B$2:$L$8, 3, 0),"")</f>
        <v/>
      </c>
      <c r="C288" t="str">
        <f>IFERROR(VLOOKUP($A288, Ledger!$B$2:$L$8, 4, 0),"")</f>
        <v/>
      </c>
      <c r="D288" t="str">
        <f>IFERROR(VLOOKUP($A288, Ledger!$B$2:$L$8, 5, 0),"")</f>
        <v/>
      </c>
      <c r="E288" t="str">
        <f>IFERROR(VLOOKUP($A288, Ledger!$B$2:$L$8, 6, 0),"")</f>
        <v/>
      </c>
      <c r="F288" t="str">
        <f>IFERROR(VLOOKUP($A288,'Student Data'!$A$2:$AR$6,32,0),"")</f>
        <v/>
      </c>
      <c r="G288" t="str">
        <f>IFERROR(VLOOKUP($A288,'Student Data'!$A$2:$AR$6,33,0),"")</f>
        <v/>
      </c>
      <c r="H288" t="str">
        <f>IFERROR(VLOOKUP($A288,'Student Data'!$A$2:$AR$6,34,0),"")</f>
        <v/>
      </c>
      <c r="I288" t="str">
        <f>IFERROR(VLOOKUP($A288,'Student Data'!$A$2:$AR$6,35,0),"")</f>
        <v/>
      </c>
      <c r="J288" t="str">
        <f>IFERROR(VLOOKUP($A288,'Student Data'!$A$2:$AR$6,36,0),"")</f>
        <v/>
      </c>
      <c r="K288" t="str">
        <f t="shared" si="8"/>
        <v/>
      </c>
      <c r="L288" t="str">
        <f t="shared" si="9"/>
        <v/>
      </c>
      <c r="M288" t="str">
        <f>IFERROR(IF($C288="","",SUMIFS(Ledger!$K$2:$K$4, Ledger!$B$2:$B$4, $A288, Ledger!$C$2:$C$4, M$2)),"****")</f>
        <v/>
      </c>
      <c r="N288" t="str">
        <f>IFERROR(IF($C288="","",SUMIFS(Ledger!$K$2:$K$4, Ledger!$B$2:$B$4, $A288, Ledger!$C$2:$C$4, N$2)),"****")</f>
        <v/>
      </c>
      <c r="O288" t="str">
        <f>IFERROR(IF($C288="","",SUMIFS(Ledger!$K$2:$K$4, Ledger!$B$2:$B$4, $A288, Ledger!$C$2:$C$4, O$2)),"****")</f>
        <v/>
      </c>
      <c r="P288" t="str">
        <f>IFERROR(IF($C288="","",SUMIFS(Ledger!$K$2:$K$4, Ledger!$B$2:$B$4, $A288, Ledger!$C$2:$C$4, P$2)),"****")</f>
        <v/>
      </c>
      <c r="Q288" t="str">
        <f>IFERROR(IF($C288="","",SUMIFS(Ledger!$K$2:$K$4, Ledger!$B$2:$B$4, $A288, Ledger!$C$2:$C$4, Q$2)),"****")</f>
        <v/>
      </c>
      <c r="R288" t="str">
        <f>IFERROR(IF($C288="","",SUMIFS(Ledger!$K$2:$K$4, Ledger!$B$2:$B$4, $A288, Ledger!$C$2:$C$4, R$2)),"****")</f>
        <v/>
      </c>
      <c r="S288" t="str">
        <f>IFERROR(IF($C288="","",SUMIFS(Ledger!$K$2:$K$4, Ledger!$B$2:$B$4, $A288, Ledger!$C$2:$C$4, S$2)),"****")</f>
        <v/>
      </c>
      <c r="T288" t="str">
        <f>IFERROR(IF($C288="","",SUMIFS(Ledger!$K$2:$K$4, Ledger!$B$2:$B$4, $A288, Ledger!$C$2:$C$4, T$2)),"****")</f>
        <v/>
      </c>
      <c r="U288" t="str">
        <f>IFERROR(IF($C288="","",SUMIFS(Ledger!$K$2:$K$4, Ledger!$B$2:$B$4, $A288, Ledger!$C$2:$C$4, U$2)),"****")</f>
        <v/>
      </c>
      <c r="V288" t="str">
        <f>IFERROR(IF($C288="","",SUMIFS(Ledger!$K$2:$K$4, Ledger!$B$2:$B$4, $A288, Ledger!$C$2:$C$4, V$2)),"****")</f>
        <v/>
      </c>
      <c r="W288" t="str">
        <f>IFERROR(IF($C288="","",SUMIFS(Ledger!$K$2:$K$4, Ledger!$B$2:$B$4, $A288, Ledger!$C$2:$C$4, W$2)),"****")</f>
        <v/>
      </c>
      <c r="X288" t="str">
        <f>IFERROR(IF($C288="","",SUMIFS(Ledger!$K$2:$K$4, Ledger!$B$2:$B$4, $A288, Ledger!$C$2:$C$4, X$2)),"****")</f>
        <v/>
      </c>
    </row>
    <row r="289" spans="1:24" x14ac:dyDescent="0.3">
      <c r="A289" s="106">
        <v>287</v>
      </c>
      <c r="B289" t="str">
        <f>IFERROR(VLOOKUP($A289, Ledger!$B$2:$L$8, 3, 0),"")</f>
        <v/>
      </c>
      <c r="C289" t="str">
        <f>IFERROR(VLOOKUP($A289, Ledger!$B$2:$L$8, 4, 0),"")</f>
        <v/>
      </c>
      <c r="D289" t="str">
        <f>IFERROR(VLOOKUP($A289, Ledger!$B$2:$L$8, 5, 0),"")</f>
        <v/>
      </c>
      <c r="E289" t="str">
        <f>IFERROR(VLOOKUP($A289, Ledger!$B$2:$L$8, 6, 0),"")</f>
        <v/>
      </c>
      <c r="F289" t="str">
        <f>IFERROR(VLOOKUP($A289,'Student Data'!$A$2:$AR$6,32,0),"")</f>
        <v/>
      </c>
      <c r="G289" t="str">
        <f>IFERROR(VLOOKUP($A289,'Student Data'!$A$2:$AR$6,33,0),"")</f>
        <v/>
      </c>
      <c r="H289" t="str">
        <f>IFERROR(VLOOKUP($A289,'Student Data'!$A$2:$AR$6,34,0),"")</f>
        <v/>
      </c>
      <c r="I289" t="str">
        <f>IFERROR(VLOOKUP($A289,'Student Data'!$A$2:$AR$6,35,0),"")</f>
        <v/>
      </c>
      <c r="J289" t="str">
        <f>IFERROR(VLOOKUP($A289,'Student Data'!$A$2:$AR$6,36,0),"")</f>
        <v/>
      </c>
      <c r="K289" t="str">
        <f t="shared" si="8"/>
        <v/>
      </c>
      <c r="L289" t="str">
        <f t="shared" si="9"/>
        <v/>
      </c>
      <c r="M289" t="str">
        <f>IFERROR(IF($C289="","",SUMIFS(Ledger!$K$2:$K$4, Ledger!$B$2:$B$4, $A289, Ledger!$C$2:$C$4, M$2)),"****")</f>
        <v/>
      </c>
      <c r="N289" t="str">
        <f>IFERROR(IF($C289="","",SUMIFS(Ledger!$K$2:$K$4, Ledger!$B$2:$B$4, $A289, Ledger!$C$2:$C$4, N$2)),"****")</f>
        <v/>
      </c>
      <c r="O289" t="str">
        <f>IFERROR(IF($C289="","",SUMIFS(Ledger!$K$2:$K$4, Ledger!$B$2:$B$4, $A289, Ledger!$C$2:$C$4, O$2)),"****")</f>
        <v/>
      </c>
      <c r="P289" t="str">
        <f>IFERROR(IF($C289="","",SUMIFS(Ledger!$K$2:$K$4, Ledger!$B$2:$B$4, $A289, Ledger!$C$2:$C$4, P$2)),"****")</f>
        <v/>
      </c>
      <c r="Q289" t="str">
        <f>IFERROR(IF($C289="","",SUMIFS(Ledger!$K$2:$K$4, Ledger!$B$2:$B$4, $A289, Ledger!$C$2:$C$4, Q$2)),"****")</f>
        <v/>
      </c>
      <c r="R289" t="str">
        <f>IFERROR(IF($C289="","",SUMIFS(Ledger!$K$2:$K$4, Ledger!$B$2:$B$4, $A289, Ledger!$C$2:$C$4, R$2)),"****")</f>
        <v/>
      </c>
      <c r="S289" t="str">
        <f>IFERROR(IF($C289="","",SUMIFS(Ledger!$K$2:$K$4, Ledger!$B$2:$B$4, $A289, Ledger!$C$2:$C$4, S$2)),"****")</f>
        <v/>
      </c>
      <c r="T289" t="str">
        <f>IFERROR(IF($C289="","",SUMIFS(Ledger!$K$2:$K$4, Ledger!$B$2:$B$4, $A289, Ledger!$C$2:$C$4, T$2)),"****")</f>
        <v/>
      </c>
      <c r="U289" t="str">
        <f>IFERROR(IF($C289="","",SUMIFS(Ledger!$K$2:$K$4, Ledger!$B$2:$B$4, $A289, Ledger!$C$2:$C$4, U$2)),"****")</f>
        <v/>
      </c>
      <c r="V289" t="str">
        <f>IFERROR(IF($C289="","",SUMIFS(Ledger!$K$2:$K$4, Ledger!$B$2:$B$4, $A289, Ledger!$C$2:$C$4, V$2)),"****")</f>
        <v/>
      </c>
      <c r="W289" t="str">
        <f>IFERROR(IF($C289="","",SUMIFS(Ledger!$K$2:$K$4, Ledger!$B$2:$B$4, $A289, Ledger!$C$2:$C$4, W$2)),"****")</f>
        <v/>
      </c>
      <c r="X289" t="str">
        <f>IFERROR(IF($C289="","",SUMIFS(Ledger!$K$2:$K$4, Ledger!$B$2:$B$4, $A289, Ledger!$C$2:$C$4, X$2)),"****")</f>
        <v/>
      </c>
    </row>
    <row r="290" spans="1:24" x14ac:dyDescent="0.3">
      <c r="A290" s="106">
        <v>288</v>
      </c>
      <c r="B290" t="str">
        <f>IFERROR(VLOOKUP($A290, Ledger!$B$2:$L$8, 3, 0),"")</f>
        <v/>
      </c>
      <c r="C290" t="str">
        <f>IFERROR(VLOOKUP($A290, Ledger!$B$2:$L$8, 4, 0),"")</f>
        <v/>
      </c>
      <c r="D290" t="str">
        <f>IFERROR(VLOOKUP($A290, Ledger!$B$2:$L$8, 5, 0),"")</f>
        <v/>
      </c>
      <c r="E290" t="str">
        <f>IFERROR(VLOOKUP($A290, Ledger!$B$2:$L$8, 6, 0),"")</f>
        <v/>
      </c>
      <c r="F290" t="str">
        <f>IFERROR(VLOOKUP($A290,'Student Data'!$A$2:$AR$6,32,0),"")</f>
        <v/>
      </c>
      <c r="G290" t="str">
        <f>IFERROR(VLOOKUP($A290,'Student Data'!$A$2:$AR$6,33,0),"")</f>
        <v/>
      </c>
      <c r="H290" t="str">
        <f>IFERROR(VLOOKUP($A290,'Student Data'!$A$2:$AR$6,34,0),"")</f>
        <v/>
      </c>
      <c r="I290" t="str">
        <f>IFERROR(VLOOKUP($A290,'Student Data'!$A$2:$AR$6,35,0),"")</f>
        <v/>
      </c>
      <c r="J290" t="str">
        <f>IFERROR(VLOOKUP($A290,'Student Data'!$A$2:$AR$6,36,0),"")</f>
        <v/>
      </c>
      <c r="K290" t="str">
        <f t="shared" si="8"/>
        <v/>
      </c>
      <c r="L290" t="str">
        <f t="shared" si="9"/>
        <v/>
      </c>
      <c r="M290" t="str">
        <f>IFERROR(IF($C290="","",SUMIFS(Ledger!$K$2:$K$4, Ledger!$B$2:$B$4, $A290, Ledger!$C$2:$C$4, M$2)),"****")</f>
        <v/>
      </c>
      <c r="N290" t="str">
        <f>IFERROR(IF($C290="","",SUMIFS(Ledger!$K$2:$K$4, Ledger!$B$2:$B$4, $A290, Ledger!$C$2:$C$4, N$2)),"****")</f>
        <v/>
      </c>
      <c r="O290" t="str">
        <f>IFERROR(IF($C290="","",SUMIFS(Ledger!$K$2:$K$4, Ledger!$B$2:$B$4, $A290, Ledger!$C$2:$C$4, O$2)),"****")</f>
        <v/>
      </c>
      <c r="P290" t="str">
        <f>IFERROR(IF($C290="","",SUMIFS(Ledger!$K$2:$K$4, Ledger!$B$2:$B$4, $A290, Ledger!$C$2:$C$4, P$2)),"****")</f>
        <v/>
      </c>
      <c r="Q290" t="str">
        <f>IFERROR(IF($C290="","",SUMIFS(Ledger!$K$2:$K$4, Ledger!$B$2:$B$4, $A290, Ledger!$C$2:$C$4, Q$2)),"****")</f>
        <v/>
      </c>
      <c r="R290" t="str">
        <f>IFERROR(IF($C290="","",SUMIFS(Ledger!$K$2:$K$4, Ledger!$B$2:$B$4, $A290, Ledger!$C$2:$C$4, R$2)),"****")</f>
        <v/>
      </c>
      <c r="S290" t="str">
        <f>IFERROR(IF($C290="","",SUMIFS(Ledger!$K$2:$K$4, Ledger!$B$2:$B$4, $A290, Ledger!$C$2:$C$4, S$2)),"****")</f>
        <v/>
      </c>
      <c r="T290" t="str">
        <f>IFERROR(IF($C290="","",SUMIFS(Ledger!$K$2:$K$4, Ledger!$B$2:$B$4, $A290, Ledger!$C$2:$C$4, T$2)),"****")</f>
        <v/>
      </c>
      <c r="U290" t="str">
        <f>IFERROR(IF($C290="","",SUMIFS(Ledger!$K$2:$K$4, Ledger!$B$2:$B$4, $A290, Ledger!$C$2:$C$4, U$2)),"****")</f>
        <v/>
      </c>
      <c r="V290" t="str">
        <f>IFERROR(IF($C290="","",SUMIFS(Ledger!$K$2:$K$4, Ledger!$B$2:$B$4, $A290, Ledger!$C$2:$C$4, V$2)),"****")</f>
        <v/>
      </c>
      <c r="W290" t="str">
        <f>IFERROR(IF($C290="","",SUMIFS(Ledger!$K$2:$K$4, Ledger!$B$2:$B$4, $A290, Ledger!$C$2:$C$4, W$2)),"****")</f>
        <v/>
      </c>
      <c r="X290" t="str">
        <f>IFERROR(IF($C290="","",SUMIFS(Ledger!$K$2:$K$4, Ledger!$B$2:$B$4, $A290, Ledger!$C$2:$C$4, X$2)),"****")</f>
        <v/>
      </c>
    </row>
    <row r="291" spans="1:24" x14ac:dyDescent="0.3">
      <c r="A291" s="106">
        <v>289</v>
      </c>
      <c r="B291" t="str">
        <f>IFERROR(VLOOKUP($A291, Ledger!$B$2:$L$8, 3, 0),"")</f>
        <v/>
      </c>
      <c r="C291" t="str">
        <f>IFERROR(VLOOKUP($A291, Ledger!$B$2:$L$8, 4, 0),"")</f>
        <v/>
      </c>
      <c r="D291" t="str">
        <f>IFERROR(VLOOKUP($A291, Ledger!$B$2:$L$8, 5, 0),"")</f>
        <v/>
      </c>
      <c r="E291" t="str">
        <f>IFERROR(VLOOKUP($A291, Ledger!$B$2:$L$8, 6, 0),"")</f>
        <v/>
      </c>
      <c r="F291" t="str">
        <f>IFERROR(VLOOKUP($A291,'Student Data'!$A$2:$AR$6,32,0),"")</f>
        <v/>
      </c>
      <c r="G291" t="str">
        <f>IFERROR(VLOOKUP($A291,'Student Data'!$A$2:$AR$6,33,0),"")</f>
        <v/>
      </c>
      <c r="H291" t="str">
        <f>IFERROR(VLOOKUP($A291,'Student Data'!$A$2:$AR$6,34,0),"")</f>
        <v/>
      </c>
      <c r="I291" t="str">
        <f>IFERROR(VLOOKUP($A291,'Student Data'!$A$2:$AR$6,35,0),"")</f>
        <v/>
      </c>
      <c r="J291" t="str">
        <f>IFERROR(VLOOKUP($A291,'Student Data'!$A$2:$AR$6,36,0),"")</f>
        <v/>
      </c>
      <c r="K291" t="str">
        <f t="shared" si="8"/>
        <v/>
      </c>
      <c r="L291" t="str">
        <f t="shared" si="9"/>
        <v/>
      </c>
      <c r="M291" t="str">
        <f>IFERROR(IF($C291="","",SUMIFS(Ledger!$K$2:$K$4, Ledger!$B$2:$B$4, $A291, Ledger!$C$2:$C$4, M$2)),"****")</f>
        <v/>
      </c>
      <c r="N291" t="str">
        <f>IFERROR(IF($C291="","",SUMIFS(Ledger!$K$2:$K$4, Ledger!$B$2:$B$4, $A291, Ledger!$C$2:$C$4, N$2)),"****")</f>
        <v/>
      </c>
      <c r="O291" t="str">
        <f>IFERROR(IF($C291="","",SUMIFS(Ledger!$K$2:$K$4, Ledger!$B$2:$B$4, $A291, Ledger!$C$2:$C$4, O$2)),"****")</f>
        <v/>
      </c>
      <c r="P291" t="str">
        <f>IFERROR(IF($C291="","",SUMIFS(Ledger!$K$2:$K$4, Ledger!$B$2:$B$4, $A291, Ledger!$C$2:$C$4, P$2)),"****")</f>
        <v/>
      </c>
      <c r="Q291" t="str">
        <f>IFERROR(IF($C291="","",SUMIFS(Ledger!$K$2:$K$4, Ledger!$B$2:$B$4, $A291, Ledger!$C$2:$C$4, Q$2)),"****")</f>
        <v/>
      </c>
      <c r="R291" t="str">
        <f>IFERROR(IF($C291="","",SUMIFS(Ledger!$K$2:$K$4, Ledger!$B$2:$B$4, $A291, Ledger!$C$2:$C$4, R$2)),"****")</f>
        <v/>
      </c>
      <c r="S291" t="str">
        <f>IFERROR(IF($C291="","",SUMIFS(Ledger!$K$2:$K$4, Ledger!$B$2:$B$4, $A291, Ledger!$C$2:$C$4, S$2)),"****")</f>
        <v/>
      </c>
      <c r="T291" t="str">
        <f>IFERROR(IF($C291="","",SUMIFS(Ledger!$K$2:$K$4, Ledger!$B$2:$B$4, $A291, Ledger!$C$2:$C$4, T$2)),"****")</f>
        <v/>
      </c>
      <c r="U291" t="str">
        <f>IFERROR(IF($C291="","",SUMIFS(Ledger!$K$2:$K$4, Ledger!$B$2:$B$4, $A291, Ledger!$C$2:$C$4, U$2)),"****")</f>
        <v/>
      </c>
      <c r="V291" t="str">
        <f>IFERROR(IF($C291="","",SUMIFS(Ledger!$K$2:$K$4, Ledger!$B$2:$B$4, $A291, Ledger!$C$2:$C$4, V$2)),"****")</f>
        <v/>
      </c>
      <c r="W291" t="str">
        <f>IFERROR(IF($C291="","",SUMIFS(Ledger!$K$2:$K$4, Ledger!$B$2:$B$4, $A291, Ledger!$C$2:$C$4, W$2)),"****")</f>
        <v/>
      </c>
      <c r="X291" t="str">
        <f>IFERROR(IF($C291="","",SUMIFS(Ledger!$K$2:$K$4, Ledger!$B$2:$B$4, $A291, Ledger!$C$2:$C$4, X$2)),"****")</f>
        <v/>
      </c>
    </row>
    <row r="292" spans="1:24" x14ac:dyDescent="0.3">
      <c r="A292" s="106">
        <v>290</v>
      </c>
      <c r="B292" t="str">
        <f>IFERROR(VLOOKUP($A292, Ledger!$B$2:$L$8, 3, 0),"")</f>
        <v/>
      </c>
      <c r="C292" t="str">
        <f>IFERROR(VLOOKUP($A292, Ledger!$B$2:$L$8, 4, 0),"")</f>
        <v/>
      </c>
      <c r="D292" t="str">
        <f>IFERROR(VLOOKUP($A292, Ledger!$B$2:$L$8, 5, 0),"")</f>
        <v/>
      </c>
      <c r="E292" t="str">
        <f>IFERROR(VLOOKUP($A292, Ledger!$B$2:$L$8, 6, 0),"")</f>
        <v/>
      </c>
      <c r="F292" t="str">
        <f>IFERROR(VLOOKUP($A292,'Student Data'!$A$2:$AR$6,32,0),"")</f>
        <v/>
      </c>
      <c r="G292" t="str">
        <f>IFERROR(VLOOKUP($A292,'Student Data'!$A$2:$AR$6,33,0),"")</f>
        <v/>
      </c>
      <c r="H292" t="str">
        <f>IFERROR(VLOOKUP($A292,'Student Data'!$A$2:$AR$6,34,0),"")</f>
        <v/>
      </c>
      <c r="I292" t="str">
        <f>IFERROR(VLOOKUP($A292,'Student Data'!$A$2:$AR$6,35,0),"")</f>
        <v/>
      </c>
      <c r="J292" t="str">
        <f>IFERROR(VLOOKUP($A292,'Student Data'!$A$2:$AR$6,36,0),"")</f>
        <v/>
      </c>
      <c r="K292" t="str">
        <f t="shared" si="8"/>
        <v/>
      </c>
      <c r="L292" t="str">
        <f t="shared" si="9"/>
        <v/>
      </c>
      <c r="M292" t="str">
        <f>IFERROR(IF($C292="","",SUMIFS(Ledger!$K$2:$K$4, Ledger!$B$2:$B$4, $A292, Ledger!$C$2:$C$4, M$2)),"****")</f>
        <v/>
      </c>
      <c r="N292" t="str">
        <f>IFERROR(IF($C292="","",SUMIFS(Ledger!$K$2:$K$4, Ledger!$B$2:$B$4, $A292, Ledger!$C$2:$C$4, N$2)),"****")</f>
        <v/>
      </c>
      <c r="O292" t="str">
        <f>IFERROR(IF($C292="","",SUMIFS(Ledger!$K$2:$K$4, Ledger!$B$2:$B$4, $A292, Ledger!$C$2:$C$4, O$2)),"****")</f>
        <v/>
      </c>
      <c r="P292" t="str">
        <f>IFERROR(IF($C292="","",SUMIFS(Ledger!$K$2:$K$4, Ledger!$B$2:$B$4, $A292, Ledger!$C$2:$C$4, P$2)),"****")</f>
        <v/>
      </c>
      <c r="Q292" t="str">
        <f>IFERROR(IF($C292="","",SUMIFS(Ledger!$K$2:$K$4, Ledger!$B$2:$B$4, $A292, Ledger!$C$2:$C$4, Q$2)),"****")</f>
        <v/>
      </c>
      <c r="R292" t="str">
        <f>IFERROR(IF($C292="","",SUMIFS(Ledger!$K$2:$K$4, Ledger!$B$2:$B$4, $A292, Ledger!$C$2:$C$4, R$2)),"****")</f>
        <v/>
      </c>
      <c r="S292" t="str">
        <f>IFERROR(IF($C292="","",SUMIFS(Ledger!$K$2:$K$4, Ledger!$B$2:$B$4, $A292, Ledger!$C$2:$C$4, S$2)),"****")</f>
        <v/>
      </c>
      <c r="T292" t="str">
        <f>IFERROR(IF($C292="","",SUMIFS(Ledger!$K$2:$K$4, Ledger!$B$2:$B$4, $A292, Ledger!$C$2:$C$4, T$2)),"****")</f>
        <v/>
      </c>
      <c r="U292" t="str">
        <f>IFERROR(IF($C292="","",SUMIFS(Ledger!$K$2:$K$4, Ledger!$B$2:$B$4, $A292, Ledger!$C$2:$C$4, U$2)),"****")</f>
        <v/>
      </c>
      <c r="V292" t="str">
        <f>IFERROR(IF($C292="","",SUMIFS(Ledger!$K$2:$K$4, Ledger!$B$2:$B$4, $A292, Ledger!$C$2:$C$4, V$2)),"****")</f>
        <v/>
      </c>
      <c r="W292" t="str">
        <f>IFERROR(IF($C292="","",SUMIFS(Ledger!$K$2:$K$4, Ledger!$B$2:$B$4, $A292, Ledger!$C$2:$C$4, W$2)),"****")</f>
        <v/>
      </c>
      <c r="X292" t="str">
        <f>IFERROR(IF($C292="","",SUMIFS(Ledger!$K$2:$K$4, Ledger!$B$2:$B$4, $A292, Ledger!$C$2:$C$4, X$2)),"****")</f>
        <v/>
      </c>
    </row>
    <row r="293" spans="1:24" x14ac:dyDescent="0.3">
      <c r="A293" s="106">
        <v>291</v>
      </c>
      <c r="B293" t="str">
        <f>IFERROR(VLOOKUP($A293, Ledger!$B$2:$L$8, 3, 0),"")</f>
        <v/>
      </c>
      <c r="C293" t="str">
        <f>IFERROR(VLOOKUP($A293, Ledger!$B$2:$L$8, 4, 0),"")</f>
        <v/>
      </c>
      <c r="D293" t="str">
        <f>IFERROR(VLOOKUP($A293, Ledger!$B$2:$L$8, 5, 0),"")</f>
        <v/>
      </c>
      <c r="E293" t="str">
        <f>IFERROR(VLOOKUP($A293, Ledger!$B$2:$L$8, 6, 0),"")</f>
        <v/>
      </c>
      <c r="F293" t="str">
        <f>IFERROR(VLOOKUP($A293,'Student Data'!$A$2:$AR$6,32,0),"")</f>
        <v/>
      </c>
      <c r="G293" t="str">
        <f>IFERROR(VLOOKUP($A293,'Student Data'!$A$2:$AR$6,33,0),"")</f>
        <v/>
      </c>
      <c r="H293" t="str">
        <f>IFERROR(VLOOKUP($A293,'Student Data'!$A$2:$AR$6,34,0),"")</f>
        <v/>
      </c>
      <c r="I293" t="str">
        <f>IFERROR(VLOOKUP($A293,'Student Data'!$A$2:$AR$6,35,0),"")</f>
        <v/>
      </c>
      <c r="J293" t="str">
        <f>IFERROR(VLOOKUP($A293,'Student Data'!$A$2:$AR$6,36,0),"")</f>
        <v/>
      </c>
      <c r="K293" t="str">
        <f t="shared" si="8"/>
        <v/>
      </c>
      <c r="L293" t="str">
        <f t="shared" si="9"/>
        <v/>
      </c>
      <c r="M293" t="str">
        <f>IFERROR(IF($C293="","",SUMIFS(Ledger!$K$2:$K$4, Ledger!$B$2:$B$4, $A293, Ledger!$C$2:$C$4, M$2)),"****")</f>
        <v/>
      </c>
      <c r="N293" t="str">
        <f>IFERROR(IF($C293="","",SUMIFS(Ledger!$K$2:$K$4, Ledger!$B$2:$B$4, $A293, Ledger!$C$2:$C$4, N$2)),"****")</f>
        <v/>
      </c>
      <c r="O293" t="str">
        <f>IFERROR(IF($C293="","",SUMIFS(Ledger!$K$2:$K$4, Ledger!$B$2:$B$4, $A293, Ledger!$C$2:$C$4, O$2)),"****")</f>
        <v/>
      </c>
      <c r="P293" t="str">
        <f>IFERROR(IF($C293="","",SUMIFS(Ledger!$K$2:$K$4, Ledger!$B$2:$B$4, $A293, Ledger!$C$2:$C$4, P$2)),"****")</f>
        <v/>
      </c>
      <c r="Q293" t="str">
        <f>IFERROR(IF($C293="","",SUMIFS(Ledger!$K$2:$K$4, Ledger!$B$2:$B$4, $A293, Ledger!$C$2:$C$4, Q$2)),"****")</f>
        <v/>
      </c>
      <c r="R293" t="str">
        <f>IFERROR(IF($C293="","",SUMIFS(Ledger!$K$2:$K$4, Ledger!$B$2:$B$4, $A293, Ledger!$C$2:$C$4, R$2)),"****")</f>
        <v/>
      </c>
      <c r="S293" t="str">
        <f>IFERROR(IF($C293="","",SUMIFS(Ledger!$K$2:$K$4, Ledger!$B$2:$B$4, $A293, Ledger!$C$2:$C$4, S$2)),"****")</f>
        <v/>
      </c>
      <c r="T293" t="str">
        <f>IFERROR(IF($C293="","",SUMIFS(Ledger!$K$2:$K$4, Ledger!$B$2:$B$4, $A293, Ledger!$C$2:$C$4, T$2)),"****")</f>
        <v/>
      </c>
      <c r="U293" t="str">
        <f>IFERROR(IF($C293="","",SUMIFS(Ledger!$K$2:$K$4, Ledger!$B$2:$B$4, $A293, Ledger!$C$2:$C$4, U$2)),"****")</f>
        <v/>
      </c>
      <c r="V293" t="str">
        <f>IFERROR(IF($C293="","",SUMIFS(Ledger!$K$2:$K$4, Ledger!$B$2:$B$4, $A293, Ledger!$C$2:$C$4, V$2)),"****")</f>
        <v/>
      </c>
      <c r="W293" t="str">
        <f>IFERROR(IF($C293="","",SUMIFS(Ledger!$K$2:$K$4, Ledger!$B$2:$B$4, $A293, Ledger!$C$2:$C$4, W$2)),"****")</f>
        <v/>
      </c>
      <c r="X293" t="str">
        <f>IFERROR(IF($C293="","",SUMIFS(Ledger!$K$2:$K$4, Ledger!$B$2:$B$4, $A293, Ledger!$C$2:$C$4, X$2)),"****")</f>
        <v/>
      </c>
    </row>
    <row r="294" spans="1:24" x14ac:dyDescent="0.3">
      <c r="A294" s="106">
        <v>292</v>
      </c>
      <c r="B294" t="str">
        <f>IFERROR(VLOOKUP($A294, Ledger!$B$2:$L$8, 3, 0),"")</f>
        <v/>
      </c>
      <c r="C294" t="str">
        <f>IFERROR(VLOOKUP($A294, Ledger!$B$2:$L$8, 4, 0),"")</f>
        <v/>
      </c>
      <c r="D294" t="str">
        <f>IFERROR(VLOOKUP($A294, Ledger!$B$2:$L$8, 5, 0),"")</f>
        <v/>
      </c>
      <c r="E294" t="str">
        <f>IFERROR(VLOOKUP($A294, Ledger!$B$2:$L$8, 6, 0),"")</f>
        <v/>
      </c>
      <c r="F294" t="str">
        <f>IFERROR(VLOOKUP($A294,'Student Data'!$A$2:$AR$6,32,0),"")</f>
        <v/>
      </c>
      <c r="G294" t="str">
        <f>IFERROR(VLOOKUP($A294,'Student Data'!$A$2:$AR$6,33,0),"")</f>
        <v/>
      </c>
      <c r="H294" t="str">
        <f>IFERROR(VLOOKUP($A294,'Student Data'!$A$2:$AR$6,34,0),"")</f>
        <v/>
      </c>
      <c r="I294" t="str">
        <f>IFERROR(VLOOKUP($A294,'Student Data'!$A$2:$AR$6,35,0),"")</f>
        <v/>
      </c>
      <c r="J294" t="str">
        <f>IFERROR(VLOOKUP($A294,'Student Data'!$A$2:$AR$6,36,0),"")</f>
        <v/>
      </c>
      <c r="K294" t="str">
        <f t="shared" si="8"/>
        <v/>
      </c>
      <c r="L294" t="str">
        <f t="shared" si="9"/>
        <v/>
      </c>
      <c r="M294" t="str">
        <f>IFERROR(IF($C294="","",SUMIFS(Ledger!$K$2:$K$4, Ledger!$B$2:$B$4, $A294, Ledger!$C$2:$C$4, M$2)),"****")</f>
        <v/>
      </c>
      <c r="N294" t="str">
        <f>IFERROR(IF($C294="","",SUMIFS(Ledger!$K$2:$K$4, Ledger!$B$2:$B$4, $A294, Ledger!$C$2:$C$4, N$2)),"****")</f>
        <v/>
      </c>
      <c r="O294" t="str">
        <f>IFERROR(IF($C294="","",SUMIFS(Ledger!$K$2:$K$4, Ledger!$B$2:$B$4, $A294, Ledger!$C$2:$C$4, O$2)),"****")</f>
        <v/>
      </c>
      <c r="P294" t="str">
        <f>IFERROR(IF($C294="","",SUMIFS(Ledger!$K$2:$K$4, Ledger!$B$2:$B$4, $A294, Ledger!$C$2:$C$4, P$2)),"****")</f>
        <v/>
      </c>
      <c r="Q294" t="str">
        <f>IFERROR(IF($C294="","",SUMIFS(Ledger!$K$2:$K$4, Ledger!$B$2:$B$4, $A294, Ledger!$C$2:$C$4, Q$2)),"****")</f>
        <v/>
      </c>
      <c r="R294" t="str">
        <f>IFERROR(IF($C294="","",SUMIFS(Ledger!$K$2:$K$4, Ledger!$B$2:$B$4, $A294, Ledger!$C$2:$C$4, R$2)),"****")</f>
        <v/>
      </c>
      <c r="S294" t="str">
        <f>IFERROR(IF($C294="","",SUMIFS(Ledger!$K$2:$K$4, Ledger!$B$2:$B$4, $A294, Ledger!$C$2:$C$4, S$2)),"****")</f>
        <v/>
      </c>
      <c r="T294" t="str">
        <f>IFERROR(IF($C294="","",SUMIFS(Ledger!$K$2:$K$4, Ledger!$B$2:$B$4, $A294, Ledger!$C$2:$C$4, T$2)),"****")</f>
        <v/>
      </c>
      <c r="U294" t="str">
        <f>IFERROR(IF($C294="","",SUMIFS(Ledger!$K$2:$K$4, Ledger!$B$2:$B$4, $A294, Ledger!$C$2:$C$4, U$2)),"****")</f>
        <v/>
      </c>
      <c r="V294" t="str">
        <f>IFERROR(IF($C294="","",SUMIFS(Ledger!$K$2:$K$4, Ledger!$B$2:$B$4, $A294, Ledger!$C$2:$C$4, V$2)),"****")</f>
        <v/>
      </c>
      <c r="W294" t="str">
        <f>IFERROR(IF($C294="","",SUMIFS(Ledger!$K$2:$K$4, Ledger!$B$2:$B$4, $A294, Ledger!$C$2:$C$4, W$2)),"****")</f>
        <v/>
      </c>
      <c r="X294" t="str">
        <f>IFERROR(IF($C294="","",SUMIFS(Ledger!$K$2:$K$4, Ledger!$B$2:$B$4, $A294, Ledger!$C$2:$C$4, X$2)),"****")</f>
        <v/>
      </c>
    </row>
    <row r="295" spans="1:24" x14ac:dyDescent="0.3">
      <c r="A295" s="106">
        <v>293</v>
      </c>
      <c r="B295" t="str">
        <f>IFERROR(VLOOKUP($A295, Ledger!$B$2:$L$8, 3, 0),"")</f>
        <v/>
      </c>
      <c r="C295" t="str">
        <f>IFERROR(VLOOKUP($A295, Ledger!$B$2:$L$8, 4, 0),"")</f>
        <v/>
      </c>
      <c r="D295" t="str">
        <f>IFERROR(VLOOKUP($A295, Ledger!$B$2:$L$8, 5, 0),"")</f>
        <v/>
      </c>
      <c r="E295" t="str">
        <f>IFERROR(VLOOKUP($A295, Ledger!$B$2:$L$8, 6, 0),"")</f>
        <v/>
      </c>
      <c r="F295" t="str">
        <f>IFERROR(VLOOKUP($A295,'Student Data'!$A$2:$AR$6,32,0),"")</f>
        <v/>
      </c>
      <c r="G295" t="str">
        <f>IFERROR(VLOOKUP($A295,'Student Data'!$A$2:$AR$6,33,0),"")</f>
        <v/>
      </c>
      <c r="H295" t="str">
        <f>IFERROR(VLOOKUP($A295,'Student Data'!$A$2:$AR$6,34,0),"")</f>
        <v/>
      </c>
      <c r="I295" t="str">
        <f>IFERROR(VLOOKUP($A295,'Student Data'!$A$2:$AR$6,35,0),"")</f>
        <v/>
      </c>
      <c r="J295" t="str">
        <f>IFERROR(VLOOKUP($A295,'Student Data'!$A$2:$AR$6,36,0),"")</f>
        <v/>
      </c>
      <c r="K295" t="str">
        <f t="shared" si="8"/>
        <v/>
      </c>
      <c r="L295" t="str">
        <f t="shared" si="9"/>
        <v/>
      </c>
      <c r="M295" t="str">
        <f>IFERROR(IF($C295="","",SUMIFS(Ledger!$K$2:$K$4, Ledger!$B$2:$B$4, $A295, Ledger!$C$2:$C$4, M$2)),"****")</f>
        <v/>
      </c>
      <c r="N295" t="str">
        <f>IFERROR(IF($C295="","",SUMIFS(Ledger!$K$2:$K$4, Ledger!$B$2:$B$4, $A295, Ledger!$C$2:$C$4, N$2)),"****")</f>
        <v/>
      </c>
      <c r="O295" t="str">
        <f>IFERROR(IF($C295="","",SUMIFS(Ledger!$K$2:$K$4, Ledger!$B$2:$B$4, $A295, Ledger!$C$2:$C$4, O$2)),"****")</f>
        <v/>
      </c>
      <c r="P295" t="str">
        <f>IFERROR(IF($C295="","",SUMIFS(Ledger!$K$2:$K$4, Ledger!$B$2:$B$4, $A295, Ledger!$C$2:$C$4, P$2)),"****")</f>
        <v/>
      </c>
      <c r="Q295" t="str">
        <f>IFERROR(IF($C295="","",SUMIFS(Ledger!$K$2:$K$4, Ledger!$B$2:$B$4, $A295, Ledger!$C$2:$C$4, Q$2)),"****")</f>
        <v/>
      </c>
      <c r="R295" t="str">
        <f>IFERROR(IF($C295="","",SUMIFS(Ledger!$K$2:$K$4, Ledger!$B$2:$B$4, $A295, Ledger!$C$2:$C$4, R$2)),"****")</f>
        <v/>
      </c>
      <c r="S295" t="str">
        <f>IFERROR(IF($C295="","",SUMIFS(Ledger!$K$2:$K$4, Ledger!$B$2:$B$4, $A295, Ledger!$C$2:$C$4, S$2)),"****")</f>
        <v/>
      </c>
      <c r="T295" t="str">
        <f>IFERROR(IF($C295="","",SUMIFS(Ledger!$K$2:$K$4, Ledger!$B$2:$B$4, $A295, Ledger!$C$2:$C$4, T$2)),"****")</f>
        <v/>
      </c>
      <c r="U295" t="str">
        <f>IFERROR(IF($C295="","",SUMIFS(Ledger!$K$2:$K$4, Ledger!$B$2:$B$4, $A295, Ledger!$C$2:$C$4, U$2)),"****")</f>
        <v/>
      </c>
      <c r="V295" t="str">
        <f>IFERROR(IF($C295="","",SUMIFS(Ledger!$K$2:$K$4, Ledger!$B$2:$B$4, $A295, Ledger!$C$2:$C$4, V$2)),"****")</f>
        <v/>
      </c>
      <c r="W295" t="str">
        <f>IFERROR(IF($C295="","",SUMIFS(Ledger!$K$2:$K$4, Ledger!$B$2:$B$4, $A295, Ledger!$C$2:$C$4, W$2)),"****")</f>
        <v/>
      </c>
      <c r="X295" t="str">
        <f>IFERROR(IF($C295="","",SUMIFS(Ledger!$K$2:$K$4, Ledger!$B$2:$B$4, $A295, Ledger!$C$2:$C$4, X$2)),"****")</f>
        <v/>
      </c>
    </row>
    <row r="296" spans="1:24" x14ac:dyDescent="0.3">
      <c r="A296" s="106">
        <v>294</v>
      </c>
      <c r="B296" t="str">
        <f>IFERROR(VLOOKUP($A296, Ledger!$B$2:$L$8, 3, 0),"")</f>
        <v/>
      </c>
      <c r="C296" t="str">
        <f>IFERROR(VLOOKUP($A296, Ledger!$B$2:$L$8, 4, 0),"")</f>
        <v/>
      </c>
      <c r="D296" t="str">
        <f>IFERROR(VLOOKUP($A296, Ledger!$B$2:$L$8, 5, 0),"")</f>
        <v/>
      </c>
      <c r="E296" t="str">
        <f>IFERROR(VLOOKUP($A296, Ledger!$B$2:$L$8, 6, 0),"")</f>
        <v/>
      </c>
      <c r="F296" t="str">
        <f>IFERROR(VLOOKUP($A296,'Student Data'!$A$2:$AR$6,32,0),"")</f>
        <v/>
      </c>
      <c r="G296" t="str">
        <f>IFERROR(VLOOKUP($A296,'Student Data'!$A$2:$AR$6,33,0),"")</f>
        <v/>
      </c>
      <c r="H296" t="str">
        <f>IFERROR(VLOOKUP($A296,'Student Data'!$A$2:$AR$6,34,0),"")</f>
        <v/>
      </c>
      <c r="I296" t="str">
        <f>IFERROR(VLOOKUP($A296,'Student Data'!$A$2:$AR$6,35,0),"")</f>
        <v/>
      </c>
      <c r="J296" t="str">
        <f>IFERROR(VLOOKUP($A296,'Student Data'!$A$2:$AR$6,36,0),"")</f>
        <v/>
      </c>
      <c r="K296" t="str">
        <f t="shared" si="8"/>
        <v/>
      </c>
      <c r="L296" t="str">
        <f t="shared" si="9"/>
        <v/>
      </c>
      <c r="M296" t="str">
        <f>IFERROR(IF($C296="","",SUMIFS(Ledger!$K$2:$K$4, Ledger!$B$2:$B$4, $A296, Ledger!$C$2:$C$4, M$2)),"****")</f>
        <v/>
      </c>
      <c r="N296" t="str">
        <f>IFERROR(IF($C296="","",SUMIFS(Ledger!$K$2:$K$4, Ledger!$B$2:$B$4, $A296, Ledger!$C$2:$C$4, N$2)),"****")</f>
        <v/>
      </c>
      <c r="O296" t="str">
        <f>IFERROR(IF($C296="","",SUMIFS(Ledger!$K$2:$K$4, Ledger!$B$2:$B$4, $A296, Ledger!$C$2:$C$4, O$2)),"****")</f>
        <v/>
      </c>
      <c r="P296" t="str">
        <f>IFERROR(IF($C296="","",SUMIFS(Ledger!$K$2:$K$4, Ledger!$B$2:$B$4, $A296, Ledger!$C$2:$C$4, P$2)),"****")</f>
        <v/>
      </c>
      <c r="Q296" t="str">
        <f>IFERROR(IF($C296="","",SUMIFS(Ledger!$K$2:$K$4, Ledger!$B$2:$B$4, $A296, Ledger!$C$2:$C$4, Q$2)),"****")</f>
        <v/>
      </c>
      <c r="R296" t="str">
        <f>IFERROR(IF($C296="","",SUMIFS(Ledger!$K$2:$K$4, Ledger!$B$2:$B$4, $A296, Ledger!$C$2:$C$4, R$2)),"****")</f>
        <v/>
      </c>
      <c r="S296" t="str">
        <f>IFERROR(IF($C296="","",SUMIFS(Ledger!$K$2:$K$4, Ledger!$B$2:$B$4, $A296, Ledger!$C$2:$C$4, S$2)),"****")</f>
        <v/>
      </c>
      <c r="T296" t="str">
        <f>IFERROR(IF($C296="","",SUMIFS(Ledger!$K$2:$K$4, Ledger!$B$2:$B$4, $A296, Ledger!$C$2:$C$4, T$2)),"****")</f>
        <v/>
      </c>
      <c r="U296" t="str">
        <f>IFERROR(IF($C296="","",SUMIFS(Ledger!$K$2:$K$4, Ledger!$B$2:$B$4, $A296, Ledger!$C$2:$C$4, U$2)),"****")</f>
        <v/>
      </c>
      <c r="V296" t="str">
        <f>IFERROR(IF($C296="","",SUMIFS(Ledger!$K$2:$K$4, Ledger!$B$2:$B$4, $A296, Ledger!$C$2:$C$4, V$2)),"****")</f>
        <v/>
      </c>
      <c r="W296" t="str">
        <f>IFERROR(IF($C296="","",SUMIFS(Ledger!$K$2:$K$4, Ledger!$B$2:$B$4, $A296, Ledger!$C$2:$C$4, W$2)),"****")</f>
        <v/>
      </c>
      <c r="X296" t="str">
        <f>IFERROR(IF($C296="","",SUMIFS(Ledger!$K$2:$K$4, Ledger!$B$2:$B$4, $A296, Ledger!$C$2:$C$4, X$2)),"****")</f>
        <v/>
      </c>
    </row>
    <row r="297" spans="1:24" x14ac:dyDescent="0.3">
      <c r="A297" s="106">
        <v>295</v>
      </c>
      <c r="B297" t="str">
        <f>IFERROR(VLOOKUP($A297, Ledger!$B$2:$L$8, 3, 0),"")</f>
        <v/>
      </c>
      <c r="C297" t="str">
        <f>IFERROR(VLOOKUP($A297, Ledger!$B$2:$L$8, 4, 0),"")</f>
        <v/>
      </c>
      <c r="D297" t="str">
        <f>IFERROR(VLOOKUP($A297, Ledger!$B$2:$L$8, 5, 0),"")</f>
        <v/>
      </c>
      <c r="E297" t="str">
        <f>IFERROR(VLOOKUP($A297, Ledger!$B$2:$L$8, 6, 0),"")</f>
        <v/>
      </c>
      <c r="F297" t="str">
        <f>IFERROR(VLOOKUP($A297,'Student Data'!$A$2:$AR$6,32,0),"")</f>
        <v/>
      </c>
      <c r="G297" t="str">
        <f>IFERROR(VLOOKUP($A297,'Student Data'!$A$2:$AR$6,33,0),"")</f>
        <v/>
      </c>
      <c r="H297" t="str">
        <f>IFERROR(VLOOKUP($A297,'Student Data'!$A$2:$AR$6,34,0),"")</f>
        <v/>
      </c>
      <c r="I297" t="str">
        <f>IFERROR(VLOOKUP($A297,'Student Data'!$A$2:$AR$6,35,0),"")</f>
        <v/>
      </c>
      <c r="J297" t="str">
        <f>IFERROR(VLOOKUP($A297,'Student Data'!$A$2:$AR$6,36,0),"")</f>
        <v/>
      </c>
      <c r="K297" t="str">
        <f t="shared" si="8"/>
        <v/>
      </c>
      <c r="L297" t="str">
        <f t="shared" si="9"/>
        <v/>
      </c>
      <c r="M297" t="str">
        <f>IFERROR(IF($C297="","",SUMIFS(Ledger!$K$2:$K$4, Ledger!$B$2:$B$4, $A297, Ledger!$C$2:$C$4, M$2)),"****")</f>
        <v/>
      </c>
      <c r="N297" t="str">
        <f>IFERROR(IF($C297="","",SUMIFS(Ledger!$K$2:$K$4, Ledger!$B$2:$B$4, $A297, Ledger!$C$2:$C$4, N$2)),"****")</f>
        <v/>
      </c>
      <c r="O297" t="str">
        <f>IFERROR(IF($C297="","",SUMIFS(Ledger!$K$2:$K$4, Ledger!$B$2:$B$4, $A297, Ledger!$C$2:$C$4, O$2)),"****")</f>
        <v/>
      </c>
      <c r="P297" t="str">
        <f>IFERROR(IF($C297="","",SUMIFS(Ledger!$K$2:$K$4, Ledger!$B$2:$B$4, $A297, Ledger!$C$2:$C$4, P$2)),"****")</f>
        <v/>
      </c>
      <c r="Q297" t="str">
        <f>IFERROR(IF($C297="","",SUMIFS(Ledger!$K$2:$K$4, Ledger!$B$2:$B$4, $A297, Ledger!$C$2:$C$4, Q$2)),"****")</f>
        <v/>
      </c>
      <c r="R297" t="str">
        <f>IFERROR(IF($C297="","",SUMIFS(Ledger!$K$2:$K$4, Ledger!$B$2:$B$4, $A297, Ledger!$C$2:$C$4, R$2)),"****")</f>
        <v/>
      </c>
      <c r="S297" t="str">
        <f>IFERROR(IF($C297="","",SUMIFS(Ledger!$K$2:$K$4, Ledger!$B$2:$B$4, $A297, Ledger!$C$2:$C$4, S$2)),"****")</f>
        <v/>
      </c>
      <c r="T297" t="str">
        <f>IFERROR(IF($C297="","",SUMIFS(Ledger!$K$2:$K$4, Ledger!$B$2:$B$4, $A297, Ledger!$C$2:$C$4, T$2)),"****")</f>
        <v/>
      </c>
      <c r="U297" t="str">
        <f>IFERROR(IF($C297="","",SUMIFS(Ledger!$K$2:$K$4, Ledger!$B$2:$B$4, $A297, Ledger!$C$2:$C$4, U$2)),"****")</f>
        <v/>
      </c>
      <c r="V297" t="str">
        <f>IFERROR(IF($C297="","",SUMIFS(Ledger!$K$2:$K$4, Ledger!$B$2:$B$4, $A297, Ledger!$C$2:$C$4, V$2)),"****")</f>
        <v/>
      </c>
      <c r="W297" t="str">
        <f>IFERROR(IF($C297="","",SUMIFS(Ledger!$K$2:$K$4, Ledger!$B$2:$B$4, $A297, Ledger!$C$2:$C$4, W$2)),"****")</f>
        <v/>
      </c>
      <c r="X297" t="str">
        <f>IFERROR(IF($C297="","",SUMIFS(Ledger!$K$2:$K$4, Ledger!$B$2:$B$4, $A297, Ledger!$C$2:$C$4, X$2)),"****")</f>
        <v/>
      </c>
    </row>
    <row r="298" spans="1:24" x14ac:dyDescent="0.3">
      <c r="A298" s="106">
        <v>296</v>
      </c>
      <c r="B298" t="str">
        <f>IFERROR(VLOOKUP($A298, Ledger!$B$2:$L$8, 3, 0),"")</f>
        <v/>
      </c>
      <c r="C298" t="str">
        <f>IFERROR(VLOOKUP($A298, Ledger!$B$2:$L$8, 4, 0),"")</f>
        <v/>
      </c>
      <c r="D298" t="str">
        <f>IFERROR(VLOOKUP($A298, Ledger!$B$2:$L$8, 5, 0),"")</f>
        <v/>
      </c>
      <c r="E298" t="str">
        <f>IFERROR(VLOOKUP($A298, Ledger!$B$2:$L$8, 6, 0),"")</f>
        <v/>
      </c>
      <c r="F298" t="str">
        <f>IFERROR(VLOOKUP($A298,'Student Data'!$A$2:$AR$6,32,0),"")</f>
        <v/>
      </c>
      <c r="G298" t="str">
        <f>IFERROR(VLOOKUP($A298,'Student Data'!$A$2:$AR$6,33,0),"")</f>
        <v/>
      </c>
      <c r="H298" t="str">
        <f>IFERROR(VLOOKUP($A298,'Student Data'!$A$2:$AR$6,34,0),"")</f>
        <v/>
      </c>
      <c r="I298" t="str">
        <f>IFERROR(VLOOKUP($A298,'Student Data'!$A$2:$AR$6,35,0),"")</f>
        <v/>
      </c>
      <c r="J298" t="str">
        <f>IFERROR(VLOOKUP($A298,'Student Data'!$A$2:$AR$6,36,0),"")</f>
        <v/>
      </c>
      <c r="K298" t="str">
        <f t="shared" si="8"/>
        <v/>
      </c>
      <c r="L298" t="str">
        <f t="shared" si="9"/>
        <v/>
      </c>
      <c r="M298" t="str">
        <f>IFERROR(IF($C298="","",SUMIFS(Ledger!$K$2:$K$4, Ledger!$B$2:$B$4, $A298, Ledger!$C$2:$C$4, M$2)),"****")</f>
        <v/>
      </c>
      <c r="N298" t="str">
        <f>IFERROR(IF($C298="","",SUMIFS(Ledger!$K$2:$K$4, Ledger!$B$2:$B$4, $A298, Ledger!$C$2:$C$4, N$2)),"****")</f>
        <v/>
      </c>
      <c r="O298" t="str">
        <f>IFERROR(IF($C298="","",SUMIFS(Ledger!$K$2:$K$4, Ledger!$B$2:$B$4, $A298, Ledger!$C$2:$C$4, O$2)),"****")</f>
        <v/>
      </c>
      <c r="P298" t="str">
        <f>IFERROR(IF($C298="","",SUMIFS(Ledger!$K$2:$K$4, Ledger!$B$2:$B$4, $A298, Ledger!$C$2:$C$4, P$2)),"****")</f>
        <v/>
      </c>
      <c r="Q298" t="str">
        <f>IFERROR(IF($C298="","",SUMIFS(Ledger!$K$2:$K$4, Ledger!$B$2:$B$4, $A298, Ledger!$C$2:$C$4, Q$2)),"****")</f>
        <v/>
      </c>
      <c r="R298" t="str">
        <f>IFERROR(IF($C298="","",SUMIFS(Ledger!$K$2:$K$4, Ledger!$B$2:$B$4, $A298, Ledger!$C$2:$C$4, R$2)),"****")</f>
        <v/>
      </c>
      <c r="S298" t="str">
        <f>IFERROR(IF($C298="","",SUMIFS(Ledger!$K$2:$K$4, Ledger!$B$2:$B$4, $A298, Ledger!$C$2:$C$4, S$2)),"****")</f>
        <v/>
      </c>
      <c r="T298" t="str">
        <f>IFERROR(IF($C298="","",SUMIFS(Ledger!$K$2:$K$4, Ledger!$B$2:$B$4, $A298, Ledger!$C$2:$C$4, T$2)),"****")</f>
        <v/>
      </c>
      <c r="U298" t="str">
        <f>IFERROR(IF($C298="","",SUMIFS(Ledger!$K$2:$K$4, Ledger!$B$2:$B$4, $A298, Ledger!$C$2:$C$4, U$2)),"****")</f>
        <v/>
      </c>
      <c r="V298" t="str">
        <f>IFERROR(IF($C298="","",SUMIFS(Ledger!$K$2:$K$4, Ledger!$B$2:$B$4, $A298, Ledger!$C$2:$C$4, V$2)),"****")</f>
        <v/>
      </c>
      <c r="W298" t="str">
        <f>IFERROR(IF($C298="","",SUMIFS(Ledger!$K$2:$K$4, Ledger!$B$2:$B$4, $A298, Ledger!$C$2:$C$4, W$2)),"****")</f>
        <v/>
      </c>
      <c r="X298" t="str">
        <f>IFERROR(IF($C298="","",SUMIFS(Ledger!$K$2:$K$4, Ledger!$B$2:$B$4, $A298, Ledger!$C$2:$C$4, X$2)),"****")</f>
        <v/>
      </c>
    </row>
    <row r="299" spans="1:24" x14ac:dyDescent="0.3">
      <c r="A299" s="106">
        <v>297</v>
      </c>
      <c r="B299" t="str">
        <f>IFERROR(VLOOKUP($A299, Ledger!$B$2:$L$8, 3, 0),"")</f>
        <v/>
      </c>
      <c r="C299" t="str">
        <f>IFERROR(VLOOKUP($A299, Ledger!$B$2:$L$8, 4, 0),"")</f>
        <v/>
      </c>
      <c r="D299" t="str">
        <f>IFERROR(VLOOKUP($A299, Ledger!$B$2:$L$8, 5, 0),"")</f>
        <v/>
      </c>
      <c r="E299" t="str">
        <f>IFERROR(VLOOKUP($A299, Ledger!$B$2:$L$8, 6, 0),"")</f>
        <v/>
      </c>
      <c r="F299" t="str">
        <f>IFERROR(VLOOKUP($A299,'Student Data'!$A$2:$AR$6,32,0),"")</f>
        <v/>
      </c>
      <c r="G299" t="str">
        <f>IFERROR(VLOOKUP($A299,'Student Data'!$A$2:$AR$6,33,0),"")</f>
        <v/>
      </c>
      <c r="H299" t="str">
        <f>IFERROR(VLOOKUP($A299,'Student Data'!$A$2:$AR$6,34,0),"")</f>
        <v/>
      </c>
      <c r="I299" t="str">
        <f>IFERROR(VLOOKUP($A299,'Student Data'!$A$2:$AR$6,35,0),"")</f>
        <v/>
      </c>
      <c r="J299" t="str">
        <f>IFERROR(VLOOKUP($A299,'Student Data'!$A$2:$AR$6,36,0),"")</f>
        <v/>
      </c>
      <c r="K299" t="str">
        <f t="shared" si="8"/>
        <v/>
      </c>
      <c r="L299" t="str">
        <f t="shared" si="9"/>
        <v/>
      </c>
      <c r="M299" t="str">
        <f>IFERROR(IF($C299="","",SUMIFS(Ledger!$K$2:$K$4, Ledger!$B$2:$B$4, $A299, Ledger!$C$2:$C$4, M$2)),"****")</f>
        <v/>
      </c>
      <c r="N299" t="str">
        <f>IFERROR(IF($C299="","",SUMIFS(Ledger!$K$2:$K$4, Ledger!$B$2:$B$4, $A299, Ledger!$C$2:$C$4, N$2)),"****")</f>
        <v/>
      </c>
      <c r="O299" t="str">
        <f>IFERROR(IF($C299="","",SUMIFS(Ledger!$K$2:$K$4, Ledger!$B$2:$B$4, $A299, Ledger!$C$2:$C$4, O$2)),"****")</f>
        <v/>
      </c>
      <c r="P299" t="str">
        <f>IFERROR(IF($C299="","",SUMIFS(Ledger!$K$2:$K$4, Ledger!$B$2:$B$4, $A299, Ledger!$C$2:$C$4, P$2)),"****")</f>
        <v/>
      </c>
      <c r="Q299" t="str">
        <f>IFERROR(IF($C299="","",SUMIFS(Ledger!$K$2:$K$4, Ledger!$B$2:$B$4, $A299, Ledger!$C$2:$C$4, Q$2)),"****")</f>
        <v/>
      </c>
      <c r="R299" t="str">
        <f>IFERROR(IF($C299="","",SUMIFS(Ledger!$K$2:$K$4, Ledger!$B$2:$B$4, $A299, Ledger!$C$2:$C$4, R$2)),"****")</f>
        <v/>
      </c>
      <c r="S299" t="str">
        <f>IFERROR(IF($C299="","",SUMIFS(Ledger!$K$2:$K$4, Ledger!$B$2:$B$4, $A299, Ledger!$C$2:$C$4, S$2)),"****")</f>
        <v/>
      </c>
      <c r="T299" t="str">
        <f>IFERROR(IF($C299="","",SUMIFS(Ledger!$K$2:$K$4, Ledger!$B$2:$B$4, $A299, Ledger!$C$2:$C$4, T$2)),"****")</f>
        <v/>
      </c>
      <c r="U299" t="str">
        <f>IFERROR(IF($C299="","",SUMIFS(Ledger!$K$2:$K$4, Ledger!$B$2:$B$4, $A299, Ledger!$C$2:$C$4, U$2)),"****")</f>
        <v/>
      </c>
      <c r="V299" t="str">
        <f>IFERROR(IF($C299="","",SUMIFS(Ledger!$K$2:$K$4, Ledger!$B$2:$B$4, $A299, Ledger!$C$2:$C$4, V$2)),"****")</f>
        <v/>
      </c>
      <c r="W299" t="str">
        <f>IFERROR(IF($C299="","",SUMIFS(Ledger!$K$2:$K$4, Ledger!$B$2:$B$4, $A299, Ledger!$C$2:$C$4, W$2)),"****")</f>
        <v/>
      </c>
      <c r="X299" t="str">
        <f>IFERROR(IF($C299="","",SUMIFS(Ledger!$K$2:$K$4, Ledger!$B$2:$B$4, $A299, Ledger!$C$2:$C$4, X$2)),"****")</f>
        <v/>
      </c>
    </row>
    <row r="300" spans="1:24" x14ac:dyDescent="0.3">
      <c r="A300" s="106">
        <v>298</v>
      </c>
      <c r="B300" t="str">
        <f>IFERROR(VLOOKUP($A300, Ledger!$B$2:$L$8, 3, 0),"")</f>
        <v/>
      </c>
      <c r="C300" t="str">
        <f>IFERROR(VLOOKUP($A300, Ledger!$B$2:$L$8, 4, 0),"")</f>
        <v/>
      </c>
      <c r="D300" t="str">
        <f>IFERROR(VLOOKUP($A300, Ledger!$B$2:$L$8, 5, 0),"")</f>
        <v/>
      </c>
      <c r="E300" t="str">
        <f>IFERROR(VLOOKUP($A300, Ledger!$B$2:$L$8, 6, 0),"")</f>
        <v/>
      </c>
      <c r="F300" t="str">
        <f>IFERROR(VLOOKUP($A300,'Student Data'!$A$2:$AR$6,32,0),"")</f>
        <v/>
      </c>
      <c r="G300" t="str">
        <f>IFERROR(VLOOKUP($A300,'Student Data'!$A$2:$AR$6,33,0),"")</f>
        <v/>
      </c>
      <c r="H300" t="str">
        <f>IFERROR(VLOOKUP($A300,'Student Data'!$A$2:$AR$6,34,0),"")</f>
        <v/>
      </c>
      <c r="I300" t="str">
        <f>IFERROR(VLOOKUP($A300,'Student Data'!$A$2:$AR$6,35,0),"")</f>
        <v/>
      </c>
      <c r="J300" t="str">
        <f>IFERROR(VLOOKUP($A300,'Student Data'!$A$2:$AR$6,36,0),"")</f>
        <v/>
      </c>
      <c r="K300" t="str">
        <f t="shared" si="8"/>
        <v/>
      </c>
      <c r="L300" t="str">
        <f t="shared" si="9"/>
        <v/>
      </c>
      <c r="M300" t="str">
        <f>IFERROR(IF($C300="","",SUMIFS(Ledger!$K$2:$K$4, Ledger!$B$2:$B$4, $A300, Ledger!$C$2:$C$4, M$2)),"****")</f>
        <v/>
      </c>
      <c r="N300" t="str">
        <f>IFERROR(IF($C300="","",SUMIFS(Ledger!$K$2:$K$4, Ledger!$B$2:$B$4, $A300, Ledger!$C$2:$C$4, N$2)),"****")</f>
        <v/>
      </c>
      <c r="O300" t="str">
        <f>IFERROR(IF($C300="","",SUMIFS(Ledger!$K$2:$K$4, Ledger!$B$2:$B$4, $A300, Ledger!$C$2:$C$4, O$2)),"****")</f>
        <v/>
      </c>
      <c r="P300" t="str">
        <f>IFERROR(IF($C300="","",SUMIFS(Ledger!$K$2:$K$4, Ledger!$B$2:$B$4, $A300, Ledger!$C$2:$C$4, P$2)),"****")</f>
        <v/>
      </c>
      <c r="Q300" t="str">
        <f>IFERROR(IF($C300="","",SUMIFS(Ledger!$K$2:$K$4, Ledger!$B$2:$B$4, $A300, Ledger!$C$2:$C$4, Q$2)),"****")</f>
        <v/>
      </c>
      <c r="R300" t="str">
        <f>IFERROR(IF($C300="","",SUMIFS(Ledger!$K$2:$K$4, Ledger!$B$2:$B$4, $A300, Ledger!$C$2:$C$4, R$2)),"****")</f>
        <v/>
      </c>
      <c r="S300" t="str">
        <f>IFERROR(IF($C300="","",SUMIFS(Ledger!$K$2:$K$4, Ledger!$B$2:$B$4, $A300, Ledger!$C$2:$C$4, S$2)),"****")</f>
        <v/>
      </c>
      <c r="T300" t="str">
        <f>IFERROR(IF($C300="","",SUMIFS(Ledger!$K$2:$K$4, Ledger!$B$2:$B$4, $A300, Ledger!$C$2:$C$4, T$2)),"****")</f>
        <v/>
      </c>
      <c r="U300" t="str">
        <f>IFERROR(IF($C300="","",SUMIFS(Ledger!$K$2:$K$4, Ledger!$B$2:$B$4, $A300, Ledger!$C$2:$C$4, U$2)),"****")</f>
        <v/>
      </c>
      <c r="V300" t="str">
        <f>IFERROR(IF($C300="","",SUMIFS(Ledger!$K$2:$K$4, Ledger!$B$2:$B$4, $A300, Ledger!$C$2:$C$4, V$2)),"****")</f>
        <v/>
      </c>
      <c r="W300" t="str">
        <f>IFERROR(IF($C300="","",SUMIFS(Ledger!$K$2:$K$4, Ledger!$B$2:$B$4, $A300, Ledger!$C$2:$C$4, W$2)),"****")</f>
        <v/>
      </c>
      <c r="X300" t="str">
        <f>IFERROR(IF($C300="","",SUMIFS(Ledger!$K$2:$K$4, Ledger!$B$2:$B$4, $A300, Ledger!$C$2:$C$4, X$2)),"****")</f>
        <v/>
      </c>
    </row>
    <row r="301" spans="1:24" x14ac:dyDescent="0.3">
      <c r="A301" s="106">
        <v>299</v>
      </c>
      <c r="B301" t="str">
        <f>IFERROR(VLOOKUP($A301, Ledger!$B$2:$L$8, 3, 0),"")</f>
        <v/>
      </c>
      <c r="C301" t="str">
        <f>IFERROR(VLOOKUP($A301, Ledger!$B$2:$L$8, 4, 0),"")</f>
        <v/>
      </c>
      <c r="D301" t="str">
        <f>IFERROR(VLOOKUP($A301, Ledger!$B$2:$L$8, 5, 0),"")</f>
        <v/>
      </c>
      <c r="E301" t="str">
        <f>IFERROR(VLOOKUP($A301, Ledger!$B$2:$L$8, 6, 0),"")</f>
        <v/>
      </c>
      <c r="F301" t="str">
        <f>IFERROR(VLOOKUP($A301,'Student Data'!$A$2:$AR$6,32,0),"")</f>
        <v/>
      </c>
      <c r="G301" t="str">
        <f>IFERROR(VLOOKUP($A301,'Student Data'!$A$2:$AR$6,33,0),"")</f>
        <v/>
      </c>
      <c r="H301" t="str">
        <f>IFERROR(VLOOKUP($A301,'Student Data'!$A$2:$AR$6,34,0),"")</f>
        <v/>
      </c>
      <c r="I301" t="str">
        <f>IFERROR(VLOOKUP($A301,'Student Data'!$A$2:$AR$6,35,0),"")</f>
        <v/>
      </c>
      <c r="J301" t="str">
        <f>IFERROR(VLOOKUP($A301,'Student Data'!$A$2:$AR$6,36,0),"")</f>
        <v/>
      </c>
      <c r="K301" t="str">
        <f t="shared" si="8"/>
        <v/>
      </c>
      <c r="L301" t="str">
        <f t="shared" si="9"/>
        <v/>
      </c>
      <c r="M301" t="str">
        <f>IFERROR(IF($C301="","",SUMIFS(Ledger!$K$2:$K$4, Ledger!$B$2:$B$4, $A301, Ledger!$C$2:$C$4, M$2)),"****")</f>
        <v/>
      </c>
      <c r="N301" t="str">
        <f>IFERROR(IF($C301="","",SUMIFS(Ledger!$K$2:$K$4, Ledger!$B$2:$B$4, $A301, Ledger!$C$2:$C$4, N$2)),"****")</f>
        <v/>
      </c>
      <c r="O301" t="str">
        <f>IFERROR(IF($C301="","",SUMIFS(Ledger!$K$2:$K$4, Ledger!$B$2:$B$4, $A301, Ledger!$C$2:$C$4, O$2)),"****")</f>
        <v/>
      </c>
      <c r="P301" t="str">
        <f>IFERROR(IF($C301="","",SUMIFS(Ledger!$K$2:$K$4, Ledger!$B$2:$B$4, $A301, Ledger!$C$2:$C$4, P$2)),"****")</f>
        <v/>
      </c>
      <c r="Q301" t="str">
        <f>IFERROR(IF($C301="","",SUMIFS(Ledger!$K$2:$K$4, Ledger!$B$2:$B$4, $A301, Ledger!$C$2:$C$4, Q$2)),"****")</f>
        <v/>
      </c>
      <c r="R301" t="str">
        <f>IFERROR(IF($C301="","",SUMIFS(Ledger!$K$2:$K$4, Ledger!$B$2:$B$4, $A301, Ledger!$C$2:$C$4, R$2)),"****")</f>
        <v/>
      </c>
      <c r="S301" t="str">
        <f>IFERROR(IF($C301="","",SUMIFS(Ledger!$K$2:$K$4, Ledger!$B$2:$B$4, $A301, Ledger!$C$2:$C$4, S$2)),"****")</f>
        <v/>
      </c>
      <c r="T301" t="str">
        <f>IFERROR(IF($C301="","",SUMIFS(Ledger!$K$2:$K$4, Ledger!$B$2:$B$4, $A301, Ledger!$C$2:$C$4, T$2)),"****")</f>
        <v/>
      </c>
      <c r="U301" t="str">
        <f>IFERROR(IF($C301="","",SUMIFS(Ledger!$K$2:$K$4, Ledger!$B$2:$B$4, $A301, Ledger!$C$2:$C$4, U$2)),"****")</f>
        <v/>
      </c>
      <c r="V301" t="str">
        <f>IFERROR(IF($C301="","",SUMIFS(Ledger!$K$2:$K$4, Ledger!$B$2:$B$4, $A301, Ledger!$C$2:$C$4, V$2)),"****")</f>
        <v/>
      </c>
      <c r="W301" t="str">
        <f>IFERROR(IF($C301="","",SUMIFS(Ledger!$K$2:$K$4, Ledger!$B$2:$B$4, $A301, Ledger!$C$2:$C$4, W$2)),"****")</f>
        <v/>
      </c>
      <c r="X301" t="str">
        <f>IFERROR(IF($C301="","",SUMIFS(Ledger!$K$2:$K$4, Ledger!$B$2:$B$4, $A301, Ledger!$C$2:$C$4, X$2)),"****")</f>
        <v/>
      </c>
    </row>
    <row r="302" spans="1:24" x14ac:dyDescent="0.3">
      <c r="A302" s="106">
        <v>300</v>
      </c>
      <c r="B302" t="str">
        <f>IFERROR(VLOOKUP($A302, Ledger!$B$2:$L$8, 3, 0),"")</f>
        <v/>
      </c>
      <c r="C302" t="str">
        <f>IFERROR(VLOOKUP($A302, Ledger!$B$2:$L$8, 4, 0),"")</f>
        <v/>
      </c>
      <c r="D302" t="str">
        <f>IFERROR(VLOOKUP($A302, Ledger!$B$2:$L$8, 5, 0),"")</f>
        <v/>
      </c>
      <c r="E302" t="str">
        <f>IFERROR(VLOOKUP($A302, Ledger!$B$2:$L$8, 6, 0),"")</f>
        <v/>
      </c>
      <c r="F302" t="str">
        <f>IFERROR(VLOOKUP($A302,'Student Data'!$A$2:$AR$6,32,0),"")</f>
        <v/>
      </c>
      <c r="G302" t="str">
        <f>IFERROR(VLOOKUP($A302,'Student Data'!$A$2:$AR$6,33,0),"")</f>
        <v/>
      </c>
      <c r="H302" t="str">
        <f>IFERROR(VLOOKUP($A302,'Student Data'!$A$2:$AR$6,34,0),"")</f>
        <v/>
      </c>
      <c r="I302" t="str">
        <f>IFERROR(VLOOKUP($A302,'Student Data'!$A$2:$AR$6,35,0),"")</f>
        <v/>
      </c>
      <c r="J302" t="str">
        <f>IFERROR(VLOOKUP($A302,'Student Data'!$A$2:$AR$6,36,0),"")</f>
        <v/>
      </c>
      <c r="K302" t="str">
        <f t="shared" si="8"/>
        <v/>
      </c>
      <c r="L302" t="str">
        <f t="shared" si="9"/>
        <v/>
      </c>
      <c r="M302" t="str">
        <f>IFERROR(IF($C302="","",SUMIFS(Ledger!$K$2:$K$4, Ledger!$B$2:$B$4, $A302, Ledger!$C$2:$C$4, M$2)),"****")</f>
        <v/>
      </c>
      <c r="N302" t="str">
        <f>IFERROR(IF($C302="","",SUMIFS(Ledger!$K$2:$K$4, Ledger!$B$2:$B$4, $A302, Ledger!$C$2:$C$4, N$2)),"****")</f>
        <v/>
      </c>
      <c r="O302" t="str">
        <f>IFERROR(IF($C302="","",SUMIFS(Ledger!$K$2:$K$4, Ledger!$B$2:$B$4, $A302, Ledger!$C$2:$C$4, O$2)),"****")</f>
        <v/>
      </c>
      <c r="P302" t="str">
        <f>IFERROR(IF($C302="","",SUMIFS(Ledger!$K$2:$K$4, Ledger!$B$2:$B$4, $A302, Ledger!$C$2:$C$4, P$2)),"****")</f>
        <v/>
      </c>
      <c r="Q302" t="str">
        <f>IFERROR(IF($C302="","",SUMIFS(Ledger!$K$2:$K$4, Ledger!$B$2:$B$4, $A302, Ledger!$C$2:$C$4, Q$2)),"****")</f>
        <v/>
      </c>
      <c r="R302" t="str">
        <f>IFERROR(IF($C302="","",SUMIFS(Ledger!$K$2:$K$4, Ledger!$B$2:$B$4, $A302, Ledger!$C$2:$C$4, R$2)),"****")</f>
        <v/>
      </c>
      <c r="S302" t="str">
        <f>IFERROR(IF($C302="","",SUMIFS(Ledger!$K$2:$K$4, Ledger!$B$2:$B$4, $A302, Ledger!$C$2:$C$4, S$2)),"****")</f>
        <v/>
      </c>
      <c r="T302" t="str">
        <f>IFERROR(IF($C302="","",SUMIFS(Ledger!$K$2:$K$4, Ledger!$B$2:$B$4, $A302, Ledger!$C$2:$C$4, T$2)),"****")</f>
        <v/>
      </c>
      <c r="U302" t="str">
        <f>IFERROR(IF($C302="","",SUMIFS(Ledger!$K$2:$K$4, Ledger!$B$2:$B$4, $A302, Ledger!$C$2:$C$4, U$2)),"****")</f>
        <v/>
      </c>
      <c r="V302" t="str">
        <f>IFERROR(IF($C302="","",SUMIFS(Ledger!$K$2:$K$4, Ledger!$B$2:$B$4, $A302, Ledger!$C$2:$C$4, V$2)),"****")</f>
        <v/>
      </c>
      <c r="W302" t="str">
        <f>IFERROR(IF($C302="","",SUMIFS(Ledger!$K$2:$K$4, Ledger!$B$2:$B$4, $A302, Ledger!$C$2:$C$4, W$2)),"****")</f>
        <v/>
      </c>
      <c r="X302" t="str">
        <f>IFERROR(IF($C302="","",SUMIFS(Ledger!$K$2:$K$4, Ledger!$B$2:$B$4, $A302, Ledger!$C$2:$C$4, X$2)),"****")</f>
        <v/>
      </c>
    </row>
    <row r="303" spans="1:24" x14ac:dyDescent="0.3">
      <c r="A303" s="106">
        <v>301</v>
      </c>
      <c r="B303" t="str">
        <f>IFERROR(VLOOKUP($A303, Ledger!$B$2:$L$8, 3, 0),"")</f>
        <v/>
      </c>
      <c r="C303" t="str">
        <f>IFERROR(VLOOKUP($A303, Ledger!$B$2:$L$8, 4, 0),"")</f>
        <v/>
      </c>
      <c r="D303" t="str">
        <f>IFERROR(VLOOKUP($A303, Ledger!$B$2:$L$8, 5, 0),"")</f>
        <v/>
      </c>
      <c r="E303" t="str">
        <f>IFERROR(VLOOKUP($A303, Ledger!$B$2:$L$8, 6, 0),"")</f>
        <v/>
      </c>
      <c r="F303" t="str">
        <f>IFERROR(VLOOKUP($A303,'Student Data'!$A$2:$AR$6,32,0),"")</f>
        <v/>
      </c>
      <c r="G303" t="str">
        <f>IFERROR(VLOOKUP($A303,'Student Data'!$A$2:$AR$6,33,0),"")</f>
        <v/>
      </c>
      <c r="H303" t="str">
        <f>IFERROR(VLOOKUP($A303,'Student Data'!$A$2:$AR$6,34,0),"")</f>
        <v/>
      </c>
      <c r="I303" t="str">
        <f>IFERROR(VLOOKUP($A303,'Student Data'!$A$2:$AR$6,35,0),"")</f>
        <v/>
      </c>
      <c r="J303" t="str">
        <f>IFERROR(VLOOKUP($A303,'Student Data'!$A$2:$AR$6,36,0),"")</f>
        <v/>
      </c>
      <c r="K303" t="str">
        <f t="shared" si="8"/>
        <v/>
      </c>
      <c r="L303" t="str">
        <f t="shared" si="9"/>
        <v/>
      </c>
      <c r="M303" t="str">
        <f>IFERROR(IF($C303="","",SUMIFS(Ledger!$K$2:$K$4, Ledger!$B$2:$B$4, $A303, Ledger!$C$2:$C$4, M$2)),"****")</f>
        <v/>
      </c>
      <c r="N303" t="str">
        <f>IFERROR(IF($C303="","",SUMIFS(Ledger!$K$2:$K$4, Ledger!$B$2:$B$4, $A303, Ledger!$C$2:$C$4, N$2)),"****")</f>
        <v/>
      </c>
      <c r="O303" t="str">
        <f>IFERROR(IF($C303="","",SUMIFS(Ledger!$K$2:$K$4, Ledger!$B$2:$B$4, $A303, Ledger!$C$2:$C$4, O$2)),"****")</f>
        <v/>
      </c>
      <c r="P303" t="str">
        <f>IFERROR(IF($C303="","",SUMIFS(Ledger!$K$2:$K$4, Ledger!$B$2:$B$4, $A303, Ledger!$C$2:$C$4, P$2)),"****")</f>
        <v/>
      </c>
      <c r="Q303" t="str">
        <f>IFERROR(IF($C303="","",SUMIFS(Ledger!$K$2:$K$4, Ledger!$B$2:$B$4, $A303, Ledger!$C$2:$C$4, Q$2)),"****")</f>
        <v/>
      </c>
      <c r="R303" t="str">
        <f>IFERROR(IF($C303="","",SUMIFS(Ledger!$K$2:$K$4, Ledger!$B$2:$B$4, $A303, Ledger!$C$2:$C$4, R$2)),"****")</f>
        <v/>
      </c>
      <c r="S303" t="str">
        <f>IFERROR(IF($C303="","",SUMIFS(Ledger!$K$2:$K$4, Ledger!$B$2:$B$4, $A303, Ledger!$C$2:$C$4, S$2)),"****")</f>
        <v/>
      </c>
      <c r="T303" t="str">
        <f>IFERROR(IF($C303="","",SUMIFS(Ledger!$K$2:$K$4, Ledger!$B$2:$B$4, $A303, Ledger!$C$2:$C$4, T$2)),"****")</f>
        <v/>
      </c>
      <c r="U303" t="str">
        <f>IFERROR(IF($C303="","",SUMIFS(Ledger!$K$2:$K$4, Ledger!$B$2:$B$4, $A303, Ledger!$C$2:$C$4, U$2)),"****")</f>
        <v/>
      </c>
      <c r="V303" t="str">
        <f>IFERROR(IF($C303="","",SUMIFS(Ledger!$K$2:$K$4, Ledger!$B$2:$B$4, $A303, Ledger!$C$2:$C$4, V$2)),"****")</f>
        <v/>
      </c>
      <c r="W303" t="str">
        <f>IFERROR(IF($C303="","",SUMIFS(Ledger!$K$2:$K$4, Ledger!$B$2:$B$4, $A303, Ledger!$C$2:$C$4, W$2)),"****")</f>
        <v/>
      </c>
      <c r="X303" t="str">
        <f>IFERROR(IF($C303="","",SUMIFS(Ledger!$K$2:$K$4, Ledger!$B$2:$B$4, $A303, Ledger!$C$2:$C$4, X$2)),"****")</f>
        <v/>
      </c>
    </row>
    <row r="304" spans="1:24" x14ac:dyDescent="0.3">
      <c r="A304" s="106">
        <v>302</v>
      </c>
      <c r="B304" t="str">
        <f>IFERROR(VLOOKUP($A304, Ledger!$B$2:$L$8, 3, 0),"")</f>
        <v/>
      </c>
      <c r="C304" t="str">
        <f>IFERROR(VLOOKUP($A304, Ledger!$B$2:$L$8, 4, 0),"")</f>
        <v/>
      </c>
      <c r="D304" t="str">
        <f>IFERROR(VLOOKUP($A304, Ledger!$B$2:$L$8, 5, 0),"")</f>
        <v/>
      </c>
      <c r="E304" t="str">
        <f>IFERROR(VLOOKUP($A304, Ledger!$B$2:$L$8, 6, 0),"")</f>
        <v/>
      </c>
      <c r="F304" t="str">
        <f>IFERROR(VLOOKUP($A304,'Student Data'!$A$2:$AR$6,32,0),"")</f>
        <v/>
      </c>
      <c r="G304" t="str">
        <f>IFERROR(VLOOKUP($A304,'Student Data'!$A$2:$AR$6,33,0),"")</f>
        <v/>
      </c>
      <c r="H304" t="str">
        <f>IFERROR(VLOOKUP($A304,'Student Data'!$A$2:$AR$6,34,0),"")</f>
        <v/>
      </c>
      <c r="I304" t="str">
        <f>IFERROR(VLOOKUP($A304,'Student Data'!$A$2:$AR$6,35,0),"")</f>
        <v/>
      </c>
      <c r="J304" t="str">
        <f>IFERROR(VLOOKUP($A304,'Student Data'!$A$2:$AR$6,36,0),"")</f>
        <v/>
      </c>
      <c r="K304" t="str">
        <f t="shared" si="8"/>
        <v/>
      </c>
      <c r="L304" t="str">
        <f t="shared" si="9"/>
        <v/>
      </c>
      <c r="M304" t="str">
        <f>IFERROR(IF($C304="","",SUMIFS(Ledger!$K$2:$K$4, Ledger!$B$2:$B$4, $A304, Ledger!$C$2:$C$4, M$2)),"****")</f>
        <v/>
      </c>
      <c r="N304" t="str">
        <f>IFERROR(IF($C304="","",SUMIFS(Ledger!$K$2:$K$4, Ledger!$B$2:$B$4, $A304, Ledger!$C$2:$C$4, N$2)),"****")</f>
        <v/>
      </c>
      <c r="O304" t="str">
        <f>IFERROR(IF($C304="","",SUMIFS(Ledger!$K$2:$K$4, Ledger!$B$2:$B$4, $A304, Ledger!$C$2:$C$4, O$2)),"****")</f>
        <v/>
      </c>
      <c r="P304" t="str">
        <f>IFERROR(IF($C304="","",SUMIFS(Ledger!$K$2:$K$4, Ledger!$B$2:$B$4, $A304, Ledger!$C$2:$C$4, P$2)),"****")</f>
        <v/>
      </c>
      <c r="Q304" t="str">
        <f>IFERROR(IF($C304="","",SUMIFS(Ledger!$K$2:$K$4, Ledger!$B$2:$B$4, $A304, Ledger!$C$2:$C$4, Q$2)),"****")</f>
        <v/>
      </c>
      <c r="R304" t="str">
        <f>IFERROR(IF($C304="","",SUMIFS(Ledger!$K$2:$K$4, Ledger!$B$2:$B$4, $A304, Ledger!$C$2:$C$4, R$2)),"****")</f>
        <v/>
      </c>
      <c r="S304" t="str">
        <f>IFERROR(IF($C304="","",SUMIFS(Ledger!$K$2:$K$4, Ledger!$B$2:$B$4, $A304, Ledger!$C$2:$C$4, S$2)),"****")</f>
        <v/>
      </c>
      <c r="T304" t="str">
        <f>IFERROR(IF($C304="","",SUMIFS(Ledger!$K$2:$K$4, Ledger!$B$2:$B$4, $A304, Ledger!$C$2:$C$4, T$2)),"****")</f>
        <v/>
      </c>
      <c r="U304" t="str">
        <f>IFERROR(IF($C304="","",SUMIFS(Ledger!$K$2:$K$4, Ledger!$B$2:$B$4, $A304, Ledger!$C$2:$C$4, U$2)),"****")</f>
        <v/>
      </c>
      <c r="V304" t="str">
        <f>IFERROR(IF($C304="","",SUMIFS(Ledger!$K$2:$K$4, Ledger!$B$2:$B$4, $A304, Ledger!$C$2:$C$4, V$2)),"****")</f>
        <v/>
      </c>
      <c r="W304" t="str">
        <f>IFERROR(IF($C304="","",SUMIFS(Ledger!$K$2:$K$4, Ledger!$B$2:$B$4, $A304, Ledger!$C$2:$C$4, W$2)),"****")</f>
        <v/>
      </c>
      <c r="X304" t="str">
        <f>IFERROR(IF($C304="","",SUMIFS(Ledger!$K$2:$K$4, Ledger!$B$2:$B$4, $A304, Ledger!$C$2:$C$4, X$2)),"****")</f>
        <v/>
      </c>
    </row>
    <row r="305" spans="1:24" x14ac:dyDescent="0.3">
      <c r="A305" s="106">
        <v>303</v>
      </c>
      <c r="B305" t="str">
        <f>IFERROR(VLOOKUP($A305, Ledger!$B$2:$L$8, 3, 0),"")</f>
        <v/>
      </c>
      <c r="C305" t="str">
        <f>IFERROR(VLOOKUP($A305, Ledger!$B$2:$L$8, 4, 0),"")</f>
        <v/>
      </c>
      <c r="D305" t="str">
        <f>IFERROR(VLOOKUP($A305, Ledger!$B$2:$L$8, 5, 0),"")</f>
        <v/>
      </c>
      <c r="E305" t="str">
        <f>IFERROR(VLOOKUP($A305, Ledger!$B$2:$L$8, 6, 0),"")</f>
        <v/>
      </c>
      <c r="F305" t="str">
        <f>IFERROR(VLOOKUP($A305,'Student Data'!$A$2:$AR$6,32,0),"")</f>
        <v/>
      </c>
      <c r="G305" t="str">
        <f>IFERROR(VLOOKUP($A305,'Student Data'!$A$2:$AR$6,33,0),"")</f>
        <v/>
      </c>
      <c r="H305" t="str">
        <f>IFERROR(VLOOKUP($A305,'Student Data'!$A$2:$AR$6,34,0),"")</f>
        <v/>
      </c>
      <c r="I305" t="str">
        <f>IFERROR(VLOOKUP($A305,'Student Data'!$A$2:$AR$6,35,0),"")</f>
        <v/>
      </c>
      <c r="J305" t="str">
        <f>IFERROR(VLOOKUP($A305,'Student Data'!$A$2:$AR$6,36,0),"")</f>
        <v/>
      </c>
      <c r="K305" t="str">
        <f t="shared" si="8"/>
        <v/>
      </c>
      <c r="L305" t="str">
        <f t="shared" si="9"/>
        <v/>
      </c>
      <c r="M305" t="str">
        <f>IFERROR(IF($C305="","",SUMIFS(Ledger!$K$2:$K$4, Ledger!$B$2:$B$4, $A305, Ledger!$C$2:$C$4, M$2)),"****")</f>
        <v/>
      </c>
      <c r="N305" t="str">
        <f>IFERROR(IF($C305="","",SUMIFS(Ledger!$K$2:$K$4, Ledger!$B$2:$B$4, $A305, Ledger!$C$2:$C$4, N$2)),"****")</f>
        <v/>
      </c>
      <c r="O305" t="str">
        <f>IFERROR(IF($C305="","",SUMIFS(Ledger!$K$2:$K$4, Ledger!$B$2:$B$4, $A305, Ledger!$C$2:$C$4, O$2)),"****")</f>
        <v/>
      </c>
      <c r="P305" t="str">
        <f>IFERROR(IF($C305="","",SUMIFS(Ledger!$K$2:$K$4, Ledger!$B$2:$B$4, $A305, Ledger!$C$2:$C$4, P$2)),"****")</f>
        <v/>
      </c>
      <c r="Q305" t="str">
        <f>IFERROR(IF($C305="","",SUMIFS(Ledger!$K$2:$K$4, Ledger!$B$2:$B$4, $A305, Ledger!$C$2:$C$4, Q$2)),"****")</f>
        <v/>
      </c>
      <c r="R305" t="str">
        <f>IFERROR(IF($C305="","",SUMIFS(Ledger!$K$2:$K$4, Ledger!$B$2:$B$4, $A305, Ledger!$C$2:$C$4, R$2)),"****")</f>
        <v/>
      </c>
      <c r="S305" t="str">
        <f>IFERROR(IF($C305="","",SUMIFS(Ledger!$K$2:$K$4, Ledger!$B$2:$B$4, $A305, Ledger!$C$2:$C$4, S$2)),"****")</f>
        <v/>
      </c>
      <c r="T305" t="str">
        <f>IFERROR(IF($C305="","",SUMIFS(Ledger!$K$2:$K$4, Ledger!$B$2:$B$4, $A305, Ledger!$C$2:$C$4, T$2)),"****")</f>
        <v/>
      </c>
      <c r="U305" t="str">
        <f>IFERROR(IF($C305="","",SUMIFS(Ledger!$K$2:$K$4, Ledger!$B$2:$B$4, $A305, Ledger!$C$2:$C$4, U$2)),"****")</f>
        <v/>
      </c>
      <c r="V305" t="str">
        <f>IFERROR(IF($C305="","",SUMIFS(Ledger!$K$2:$K$4, Ledger!$B$2:$B$4, $A305, Ledger!$C$2:$C$4, V$2)),"****")</f>
        <v/>
      </c>
      <c r="W305" t="str">
        <f>IFERROR(IF($C305="","",SUMIFS(Ledger!$K$2:$K$4, Ledger!$B$2:$B$4, $A305, Ledger!$C$2:$C$4, W$2)),"****")</f>
        <v/>
      </c>
      <c r="X305" t="str">
        <f>IFERROR(IF($C305="","",SUMIFS(Ledger!$K$2:$K$4, Ledger!$B$2:$B$4, $A305, Ledger!$C$2:$C$4, X$2)),"****")</f>
        <v/>
      </c>
    </row>
    <row r="306" spans="1:24" x14ac:dyDescent="0.3">
      <c r="A306" s="106">
        <v>304</v>
      </c>
      <c r="B306" t="str">
        <f>IFERROR(VLOOKUP($A306, Ledger!$B$2:$L$8, 3, 0),"")</f>
        <v/>
      </c>
      <c r="C306" t="str">
        <f>IFERROR(VLOOKUP($A306, Ledger!$B$2:$L$8, 4, 0),"")</f>
        <v/>
      </c>
      <c r="D306" t="str">
        <f>IFERROR(VLOOKUP($A306, Ledger!$B$2:$L$8, 5, 0),"")</f>
        <v/>
      </c>
      <c r="E306" t="str">
        <f>IFERROR(VLOOKUP($A306, Ledger!$B$2:$L$8, 6, 0),"")</f>
        <v/>
      </c>
      <c r="F306" t="str">
        <f>IFERROR(VLOOKUP($A306,'Student Data'!$A$2:$AR$6,32,0),"")</f>
        <v/>
      </c>
      <c r="G306" t="str">
        <f>IFERROR(VLOOKUP($A306,'Student Data'!$A$2:$AR$6,33,0),"")</f>
        <v/>
      </c>
      <c r="H306" t="str">
        <f>IFERROR(VLOOKUP($A306,'Student Data'!$A$2:$AR$6,34,0),"")</f>
        <v/>
      </c>
      <c r="I306" t="str">
        <f>IFERROR(VLOOKUP($A306,'Student Data'!$A$2:$AR$6,35,0),"")</f>
        <v/>
      </c>
      <c r="J306" t="str">
        <f>IFERROR(VLOOKUP($A306,'Student Data'!$A$2:$AR$6,36,0),"")</f>
        <v/>
      </c>
      <c r="K306" t="str">
        <f t="shared" si="8"/>
        <v/>
      </c>
      <c r="L306" t="str">
        <f t="shared" si="9"/>
        <v/>
      </c>
      <c r="M306" t="str">
        <f>IFERROR(IF($C306="","",SUMIFS(Ledger!$K$2:$K$4, Ledger!$B$2:$B$4, $A306, Ledger!$C$2:$C$4, M$2)),"****")</f>
        <v/>
      </c>
      <c r="N306" t="str">
        <f>IFERROR(IF($C306="","",SUMIFS(Ledger!$K$2:$K$4, Ledger!$B$2:$B$4, $A306, Ledger!$C$2:$C$4, N$2)),"****")</f>
        <v/>
      </c>
      <c r="O306" t="str">
        <f>IFERROR(IF($C306="","",SUMIFS(Ledger!$K$2:$K$4, Ledger!$B$2:$B$4, $A306, Ledger!$C$2:$C$4, O$2)),"****")</f>
        <v/>
      </c>
      <c r="P306" t="str">
        <f>IFERROR(IF($C306="","",SUMIFS(Ledger!$K$2:$K$4, Ledger!$B$2:$B$4, $A306, Ledger!$C$2:$C$4, P$2)),"****")</f>
        <v/>
      </c>
      <c r="Q306" t="str">
        <f>IFERROR(IF($C306="","",SUMIFS(Ledger!$K$2:$K$4, Ledger!$B$2:$B$4, $A306, Ledger!$C$2:$C$4, Q$2)),"****")</f>
        <v/>
      </c>
      <c r="R306" t="str">
        <f>IFERROR(IF($C306="","",SUMIFS(Ledger!$K$2:$K$4, Ledger!$B$2:$B$4, $A306, Ledger!$C$2:$C$4, R$2)),"****")</f>
        <v/>
      </c>
      <c r="S306" t="str">
        <f>IFERROR(IF($C306="","",SUMIFS(Ledger!$K$2:$K$4, Ledger!$B$2:$B$4, $A306, Ledger!$C$2:$C$4, S$2)),"****")</f>
        <v/>
      </c>
      <c r="T306" t="str">
        <f>IFERROR(IF($C306="","",SUMIFS(Ledger!$K$2:$K$4, Ledger!$B$2:$B$4, $A306, Ledger!$C$2:$C$4, T$2)),"****")</f>
        <v/>
      </c>
      <c r="U306" t="str">
        <f>IFERROR(IF($C306="","",SUMIFS(Ledger!$K$2:$K$4, Ledger!$B$2:$B$4, $A306, Ledger!$C$2:$C$4, U$2)),"****")</f>
        <v/>
      </c>
      <c r="V306" t="str">
        <f>IFERROR(IF($C306="","",SUMIFS(Ledger!$K$2:$K$4, Ledger!$B$2:$B$4, $A306, Ledger!$C$2:$C$4, V$2)),"****")</f>
        <v/>
      </c>
      <c r="W306" t="str">
        <f>IFERROR(IF($C306="","",SUMIFS(Ledger!$K$2:$K$4, Ledger!$B$2:$B$4, $A306, Ledger!$C$2:$C$4, W$2)),"****")</f>
        <v/>
      </c>
      <c r="X306" t="str">
        <f>IFERROR(IF($C306="","",SUMIFS(Ledger!$K$2:$K$4, Ledger!$B$2:$B$4, $A306, Ledger!$C$2:$C$4, X$2)),"****")</f>
        <v/>
      </c>
    </row>
    <row r="307" spans="1:24" x14ac:dyDescent="0.3">
      <c r="A307" s="106">
        <v>305</v>
      </c>
      <c r="B307" t="str">
        <f>IFERROR(VLOOKUP($A307, Ledger!$B$2:$L$8, 3, 0),"")</f>
        <v/>
      </c>
      <c r="C307" t="str">
        <f>IFERROR(VLOOKUP($A307, Ledger!$B$2:$L$8, 4, 0),"")</f>
        <v/>
      </c>
      <c r="D307" t="str">
        <f>IFERROR(VLOOKUP($A307, Ledger!$B$2:$L$8, 5, 0),"")</f>
        <v/>
      </c>
      <c r="E307" t="str">
        <f>IFERROR(VLOOKUP($A307, Ledger!$B$2:$L$8, 6, 0),"")</f>
        <v/>
      </c>
      <c r="F307" t="str">
        <f>IFERROR(VLOOKUP($A307,'Student Data'!$A$2:$AR$6,32,0),"")</f>
        <v/>
      </c>
      <c r="G307" t="str">
        <f>IFERROR(VLOOKUP($A307,'Student Data'!$A$2:$AR$6,33,0),"")</f>
        <v/>
      </c>
      <c r="H307" t="str">
        <f>IFERROR(VLOOKUP($A307,'Student Data'!$A$2:$AR$6,34,0),"")</f>
        <v/>
      </c>
      <c r="I307" t="str">
        <f>IFERROR(VLOOKUP($A307,'Student Data'!$A$2:$AR$6,35,0),"")</f>
        <v/>
      </c>
      <c r="J307" t="str">
        <f>IFERROR(VLOOKUP($A307,'Student Data'!$A$2:$AR$6,36,0),"")</f>
        <v/>
      </c>
      <c r="K307" t="str">
        <f t="shared" si="8"/>
        <v/>
      </c>
      <c r="L307" t="str">
        <f t="shared" si="9"/>
        <v/>
      </c>
      <c r="M307" t="str">
        <f>IFERROR(IF($C307="","",SUMIFS(Ledger!$K$2:$K$4, Ledger!$B$2:$B$4, $A307, Ledger!$C$2:$C$4, M$2)),"****")</f>
        <v/>
      </c>
      <c r="N307" t="str">
        <f>IFERROR(IF($C307="","",SUMIFS(Ledger!$K$2:$K$4, Ledger!$B$2:$B$4, $A307, Ledger!$C$2:$C$4, N$2)),"****")</f>
        <v/>
      </c>
      <c r="O307" t="str">
        <f>IFERROR(IF($C307="","",SUMIFS(Ledger!$K$2:$K$4, Ledger!$B$2:$B$4, $A307, Ledger!$C$2:$C$4, O$2)),"****")</f>
        <v/>
      </c>
      <c r="P307" t="str">
        <f>IFERROR(IF($C307="","",SUMIFS(Ledger!$K$2:$K$4, Ledger!$B$2:$B$4, $A307, Ledger!$C$2:$C$4, P$2)),"****")</f>
        <v/>
      </c>
      <c r="Q307" t="str">
        <f>IFERROR(IF($C307="","",SUMIFS(Ledger!$K$2:$K$4, Ledger!$B$2:$B$4, $A307, Ledger!$C$2:$C$4, Q$2)),"****")</f>
        <v/>
      </c>
      <c r="R307" t="str">
        <f>IFERROR(IF($C307="","",SUMIFS(Ledger!$K$2:$K$4, Ledger!$B$2:$B$4, $A307, Ledger!$C$2:$C$4, R$2)),"****")</f>
        <v/>
      </c>
      <c r="S307" t="str">
        <f>IFERROR(IF($C307="","",SUMIFS(Ledger!$K$2:$K$4, Ledger!$B$2:$B$4, $A307, Ledger!$C$2:$C$4, S$2)),"****")</f>
        <v/>
      </c>
      <c r="T307" t="str">
        <f>IFERROR(IF($C307="","",SUMIFS(Ledger!$K$2:$K$4, Ledger!$B$2:$B$4, $A307, Ledger!$C$2:$C$4, T$2)),"****")</f>
        <v/>
      </c>
      <c r="U307" t="str">
        <f>IFERROR(IF($C307="","",SUMIFS(Ledger!$K$2:$K$4, Ledger!$B$2:$B$4, $A307, Ledger!$C$2:$C$4, U$2)),"****")</f>
        <v/>
      </c>
      <c r="V307" t="str">
        <f>IFERROR(IF($C307="","",SUMIFS(Ledger!$K$2:$K$4, Ledger!$B$2:$B$4, $A307, Ledger!$C$2:$C$4, V$2)),"****")</f>
        <v/>
      </c>
      <c r="W307" t="str">
        <f>IFERROR(IF($C307="","",SUMIFS(Ledger!$K$2:$K$4, Ledger!$B$2:$B$4, $A307, Ledger!$C$2:$C$4, W$2)),"****")</f>
        <v/>
      </c>
      <c r="X307" t="str">
        <f>IFERROR(IF($C307="","",SUMIFS(Ledger!$K$2:$K$4, Ledger!$B$2:$B$4, $A307, Ledger!$C$2:$C$4, X$2)),"****")</f>
        <v/>
      </c>
    </row>
    <row r="308" spans="1:24" x14ac:dyDescent="0.3">
      <c r="A308" s="106">
        <v>306</v>
      </c>
      <c r="B308" t="str">
        <f>IFERROR(VLOOKUP($A308, Ledger!$B$2:$L$8, 3, 0),"")</f>
        <v/>
      </c>
      <c r="C308" t="str">
        <f>IFERROR(VLOOKUP($A308, Ledger!$B$2:$L$8, 4, 0),"")</f>
        <v/>
      </c>
      <c r="D308" t="str">
        <f>IFERROR(VLOOKUP($A308, Ledger!$B$2:$L$8, 5, 0),"")</f>
        <v/>
      </c>
      <c r="E308" t="str">
        <f>IFERROR(VLOOKUP($A308, Ledger!$B$2:$L$8, 6, 0),"")</f>
        <v/>
      </c>
      <c r="F308" t="str">
        <f>IFERROR(VLOOKUP($A308,'Student Data'!$A$2:$AR$6,32,0),"")</f>
        <v/>
      </c>
      <c r="G308" t="str">
        <f>IFERROR(VLOOKUP($A308,'Student Data'!$A$2:$AR$6,33,0),"")</f>
        <v/>
      </c>
      <c r="H308" t="str">
        <f>IFERROR(VLOOKUP($A308,'Student Data'!$A$2:$AR$6,34,0),"")</f>
        <v/>
      </c>
      <c r="I308" t="str">
        <f>IFERROR(VLOOKUP($A308,'Student Data'!$A$2:$AR$6,35,0),"")</f>
        <v/>
      </c>
      <c r="J308" t="str">
        <f>IFERROR(VLOOKUP($A308,'Student Data'!$A$2:$AR$6,36,0),"")</f>
        <v/>
      </c>
      <c r="K308" t="str">
        <f t="shared" si="8"/>
        <v/>
      </c>
      <c r="L308" t="str">
        <f t="shared" si="9"/>
        <v/>
      </c>
      <c r="M308" t="str">
        <f>IFERROR(IF($C308="","",SUMIFS(Ledger!$K$2:$K$4, Ledger!$B$2:$B$4, $A308, Ledger!$C$2:$C$4, M$2)),"****")</f>
        <v/>
      </c>
      <c r="N308" t="str">
        <f>IFERROR(IF($C308="","",SUMIFS(Ledger!$K$2:$K$4, Ledger!$B$2:$B$4, $A308, Ledger!$C$2:$C$4, N$2)),"****")</f>
        <v/>
      </c>
      <c r="O308" t="str">
        <f>IFERROR(IF($C308="","",SUMIFS(Ledger!$K$2:$K$4, Ledger!$B$2:$B$4, $A308, Ledger!$C$2:$C$4, O$2)),"****")</f>
        <v/>
      </c>
      <c r="P308" t="str">
        <f>IFERROR(IF($C308="","",SUMIFS(Ledger!$K$2:$K$4, Ledger!$B$2:$B$4, $A308, Ledger!$C$2:$C$4, P$2)),"****")</f>
        <v/>
      </c>
      <c r="Q308" t="str">
        <f>IFERROR(IF($C308="","",SUMIFS(Ledger!$K$2:$K$4, Ledger!$B$2:$B$4, $A308, Ledger!$C$2:$C$4, Q$2)),"****")</f>
        <v/>
      </c>
      <c r="R308" t="str">
        <f>IFERROR(IF($C308="","",SUMIFS(Ledger!$K$2:$K$4, Ledger!$B$2:$B$4, $A308, Ledger!$C$2:$C$4, R$2)),"****")</f>
        <v/>
      </c>
      <c r="S308" t="str">
        <f>IFERROR(IF($C308="","",SUMIFS(Ledger!$K$2:$K$4, Ledger!$B$2:$B$4, $A308, Ledger!$C$2:$C$4, S$2)),"****")</f>
        <v/>
      </c>
      <c r="T308" t="str">
        <f>IFERROR(IF($C308="","",SUMIFS(Ledger!$K$2:$K$4, Ledger!$B$2:$B$4, $A308, Ledger!$C$2:$C$4, T$2)),"****")</f>
        <v/>
      </c>
      <c r="U308" t="str">
        <f>IFERROR(IF($C308="","",SUMIFS(Ledger!$K$2:$K$4, Ledger!$B$2:$B$4, $A308, Ledger!$C$2:$C$4, U$2)),"****")</f>
        <v/>
      </c>
      <c r="V308" t="str">
        <f>IFERROR(IF($C308="","",SUMIFS(Ledger!$K$2:$K$4, Ledger!$B$2:$B$4, $A308, Ledger!$C$2:$C$4, V$2)),"****")</f>
        <v/>
      </c>
      <c r="W308" t="str">
        <f>IFERROR(IF($C308="","",SUMIFS(Ledger!$K$2:$K$4, Ledger!$B$2:$B$4, $A308, Ledger!$C$2:$C$4, W$2)),"****")</f>
        <v/>
      </c>
      <c r="X308" t="str">
        <f>IFERROR(IF($C308="","",SUMIFS(Ledger!$K$2:$K$4, Ledger!$B$2:$B$4, $A308, Ledger!$C$2:$C$4, X$2)),"****")</f>
        <v/>
      </c>
    </row>
    <row r="309" spans="1:24" x14ac:dyDescent="0.3">
      <c r="A309" s="106">
        <v>307</v>
      </c>
      <c r="B309" t="str">
        <f>IFERROR(VLOOKUP($A309, Ledger!$B$2:$L$8, 3, 0),"")</f>
        <v/>
      </c>
      <c r="C309" t="str">
        <f>IFERROR(VLOOKUP($A309, Ledger!$B$2:$L$8, 4, 0),"")</f>
        <v/>
      </c>
      <c r="D309" t="str">
        <f>IFERROR(VLOOKUP($A309, Ledger!$B$2:$L$8, 5, 0),"")</f>
        <v/>
      </c>
      <c r="E309" t="str">
        <f>IFERROR(VLOOKUP($A309, Ledger!$B$2:$L$8, 6, 0),"")</f>
        <v/>
      </c>
      <c r="F309" t="str">
        <f>IFERROR(VLOOKUP($A309,'Student Data'!$A$2:$AR$6,32,0),"")</f>
        <v/>
      </c>
      <c r="G309" t="str">
        <f>IFERROR(VLOOKUP($A309,'Student Data'!$A$2:$AR$6,33,0),"")</f>
        <v/>
      </c>
      <c r="H309" t="str">
        <f>IFERROR(VLOOKUP($A309,'Student Data'!$A$2:$AR$6,34,0),"")</f>
        <v/>
      </c>
      <c r="I309" t="str">
        <f>IFERROR(VLOOKUP($A309,'Student Data'!$A$2:$AR$6,35,0),"")</f>
        <v/>
      </c>
      <c r="J309" t="str">
        <f>IFERROR(VLOOKUP($A309,'Student Data'!$A$2:$AR$6,36,0),"")</f>
        <v/>
      </c>
      <c r="K309" t="str">
        <f t="shared" si="8"/>
        <v/>
      </c>
      <c r="L309" t="str">
        <f t="shared" si="9"/>
        <v/>
      </c>
      <c r="M309" t="str">
        <f>IFERROR(IF($C309="","",SUMIFS(Ledger!$K$2:$K$4, Ledger!$B$2:$B$4, $A309, Ledger!$C$2:$C$4, M$2)),"****")</f>
        <v/>
      </c>
      <c r="N309" t="str">
        <f>IFERROR(IF($C309="","",SUMIFS(Ledger!$K$2:$K$4, Ledger!$B$2:$B$4, $A309, Ledger!$C$2:$C$4, N$2)),"****")</f>
        <v/>
      </c>
      <c r="O309" t="str">
        <f>IFERROR(IF($C309="","",SUMIFS(Ledger!$K$2:$K$4, Ledger!$B$2:$B$4, $A309, Ledger!$C$2:$C$4, O$2)),"****")</f>
        <v/>
      </c>
      <c r="P309" t="str">
        <f>IFERROR(IF($C309="","",SUMIFS(Ledger!$K$2:$K$4, Ledger!$B$2:$B$4, $A309, Ledger!$C$2:$C$4, P$2)),"****")</f>
        <v/>
      </c>
      <c r="Q309" t="str">
        <f>IFERROR(IF($C309="","",SUMIFS(Ledger!$K$2:$K$4, Ledger!$B$2:$B$4, $A309, Ledger!$C$2:$C$4, Q$2)),"****")</f>
        <v/>
      </c>
      <c r="R309" t="str">
        <f>IFERROR(IF($C309="","",SUMIFS(Ledger!$K$2:$K$4, Ledger!$B$2:$B$4, $A309, Ledger!$C$2:$C$4, R$2)),"****")</f>
        <v/>
      </c>
      <c r="S309" t="str">
        <f>IFERROR(IF($C309="","",SUMIFS(Ledger!$K$2:$K$4, Ledger!$B$2:$B$4, $A309, Ledger!$C$2:$C$4, S$2)),"****")</f>
        <v/>
      </c>
      <c r="T309" t="str">
        <f>IFERROR(IF($C309="","",SUMIFS(Ledger!$K$2:$K$4, Ledger!$B$2:$B$4, $A309, Ledger!$C$2:$C$4, T$2)),"****")</f>
        <v/>
      </c>
      <c r="U309" t="str">
        <f>IFERROR(IF($C309="","",SUMIFS(Ledger!$K$2:$K$4, Ledger!$B$2:$B$4, $A309, Ledger!$C$2:$C$4, U$2)),"****")</f>
        <v/>
      </c>
      <c r="V309" t="str">
        <f>IFERROR(IF($C309="","",SUMIFS(Ledger!$K$2:$K$4, Ledger!$B$2:$B$4, $A309, Ledger!$C$2:$C$4, V$2)),"****")</f>
        <v/>
      </c>
      <c r="W309" t="str">
        <f>IFERROR(IF($C309="","",SUMIFS(Ledger!$K$2:$K$4, Ledger!$B$2:$B$4, $A309, Ledger!$C$2:$C$4, W$2)),"****")</f>
        <v/>
      </c>
      <c r="X309" t="str">
        <f>IFERROR(IF($C309="","",SUMIFS(Ledger!$K$2:$K$4, Ledger!$B$2:$B$4, $A309, Ledger!$C$2:$C$4, X$2)),"****")</f>
        <v/>
      </c>
    </row>
    <row r="310" spans="1:24" x14ac:dyDescent="0.3">
      <c r="A310" s="106">
        <v>308</v>
      </c>
      <c r="B310" t="str">
        <f>IFERROR(VLOOKUP($A310, Ledger!$B$2:$L$8, 3, 0),"")</f>
        <v/>
      </c>
      <c r="C310" t="str">
        <f>IFERROR(VLOOKUP($A310, Ledger!$B$2:$L$8, 4, 0),"")</f>
        <v/>
      </c>
      <c r="D310" t="str">
        <f>IFERROR(VLOOKUP($A310, Ledger!$B$2:$L$8, 5, 0),"")</f>
        <v/>
      </c>
      <c r="E310" t="str">
        <f>IFERROR(VLOOKUP($A310, Ledger!$B$2:$L$8, 6, 0),"")</f>
        <v/>
      </c>
      <c r="F310" t="str">
        <f>IFERROR(VLOOKUP($A310,'Student Data'!$A$2:$AR$6,32,0),"")</f>
        <v/>
      </c>
      <c r="G310" t="str">
        <f>IFERROR(VLOOKUP($A310,'Student Data'!$A$2:$AR$6,33,0),"")</f>
        <v/>
      </c>
      <c r="H310" t="str">
        <f>IFERROR(VLOOKUP($A310,'Student Data'!$A$2:$AR$6,34,0),"")</f>
        <v/>
      </c>
      <c r="I310" t="str">
        <f>IFERROR(VLOOKUP($A310,'Student Data'!$A$2:$AR$6,35,0),"")</f>
        <v/>
      </c>
      <c r="J310" t="str">
        <f>IFERROR(VLOOKUP($A310,'Student Data'!$A$2:$AR$6,36,0),"")</f>
        <v/>
      </c>
      <c r="K310" t="str">
        <f t="shared" si="8"/>
        <v/>
      </c>
      <c r="L310" t="str">
        <f t="shared" si="9"/>
        <v/>
      </c>
      <c r="M310" t="str">
        <f>IFERROR(IF($C310="","",SUMIFS(Ledger!$K$2:$K$4, Ledger!$B$2:$B$4, $A310, Ledger!$C$2:$C$4, M$2)),"****")</f>
        <v/>
      </c>
      <c r="N310" t="str">
        <f>IFERROR(IF($C310="","",SUMIFS(Ledger!$K$2:$K$4, Ledger!$B$2:$B$4, $A310, Ledger!$C$2:$C$4, N$2)),"****")</f>
        <v/>
      </c>
      <c r="O310" t="str">
        <f>IFERROR(IF($C310="","",SUMIFS(Ledger!$K$2:$K$4, Ledger!$B$2:$B$4, $A310, Ledger!$C$2:$C$4, O$2)),"****")</f>
        <v/>
      </c>
      <c r="P310" t="str">
        <f>IFERROR(IF($C310="","",SUMIFS(Ledger!$K$2:$K$4, Ledger!$B$2:$B$4, $A310, Ledger!$C$2:$C$4, P$2)),"****")</f>
        <v/>
      </c>
      <c r="Q310" t="str">
        <f>IFERROR(IF($C310="","",SUMIFS(Ledger!$K$2:$K$4, Ledger!$B$2:$B$4, $A310, Ledger!$C$2:$C$4, Q$2)),"****")</f>
        <v/>
      </c>
      <c r="R310" t="str">
        <f>IFERROR(IF($C310="","",SUMIFS(Ledger!$K$2:$K$4, Ledger!$B$2:$B$4, $A310, Ledger!$C$2:$C$4, R$2)),"****")</f>
        <v/>
      </c>
      <c r="S310" t="str">
        <f>IFERROR(IF($C310="","",SUMIFS(Ledger!$K$2:$K$4, Ledger!$B$2:$B$4, $A310, Ledger!$C$2:$C$4, S$2)),"****")</f>
        <v/>
      </c>
      <c r="T310" t="str">
        <f>IFERROR(IF($C310="","",SUMIFS(Ledger!$K$2:$K$4, Ledger!$B$2:$B$4, $A310, Ledger!$C$2:$C$4, T$2)),"****")</f>
        <v/>
      </c>
      <c r="U310" t="str">
        <f>IFERROR(IF($C310="","",SUMIFS(Ledger!$K$2:$K$4, Ledger!$B$2:$B$4, $A310, Ledger!$C$2:$C$4, U$2)),"****")</f>
        <v/>
      </c>
      <c r="V310" t="str">
        <f>IFERROR(IF($C310="","",SUMIFS(Ledger!$K$2:$K$4, Ledger!$B$2:$B$4, $A310, Ledger!$C$2:$C$4, V$2)),"****")</f>
        <v/>
      </c>
      <c r="W310" t="str">
        <f>IFERROR(IF($C310="","",SUMIFS(Ledger!$K$2:$K$4, Ledger!$B$2:$B$4, $A310, Ledger!$C$2:$C$4, W$2)),"****")</f>
        <v/>
      </c>
      <c r="X310" t="str">
        <f>IFERROR(IF($C310="","",SUMIFS(Ledger!$K$2:$K$4, Ledger!$B$2:$B$4, $A310, Ledger!$C$2:$C$4, X$2)),"****")</f>
        <v/>
      </c>
    </row>
    <row r="311" spans="1:24" x14ac:dyDescent="0.3">
      <c r="A311" s="106">
        <v>309</v>
      </c>
      <c r="B311" t="str">
        <f>IFERROR(VLOOKUP($A311, Ledger!$B$2:$L$8, 3, 0),"")</f>
        <v/>
      </c>
      <c r="C311" t="str">
        <f>IFERROR(VLOOKUP($A311, Ledger!$B$2:$L$8, 4, 0),"")</f>
        <v/>
      </c>
      <c r="D311" t="str">
        <f>IFERROR(VLOOKUP($A311, Ledger!$B$2:$L$8, 5, 0),"")</f>
        <v/>
      </c>
      <c r="E311" t="str">
        <f>IFERROR(VLOOKUP($A311, Ledger!$B$2:$L$8, 6, 0),"")</f>
        <v/>
      </c>
      <c r="F311" t="str">
        <f>IFERROR(VLOOKUP($A311,'Student Data'!$A$2:$AR$6,32,0),"")</f>
        <v/>
      </c>
      <c r="G311" t="str">
        <f>IFERROR(VLOOKUP($A311,'Student Data'!$A$2:$AR$6,33,0),"")</f>
        <v/>
      </c>
      <c r="H311" t="str">
        <f>IFERROR(VLOOKUP($A311,'Student Data'!$A$2:$AR$6,34,0),"")</f>
        <v/>
      </c>
      <c r="I311" t="str">
        <f>IFERROR(VLOOKUP($A311,'Student Data'!$A$2:$AR$6,35,0),"")</f>
        <v/>
      </c>
      <c r="J311" t="str">
        <f>IFERROR(VLOOKUP($A311,'Student Data'!$A$2:$AR$6,36,0),"")</f>
        <v/>
      </c>
      <c r="K311" t="str">
        <f t="shared" si="8"/>
        <v/>
      </c>
      <c r="L311" t="str">
        <f t="shared" si="9"/>
        <v/>
      </c>
      <c r="M311" t="str">
        <f>IFERROR(IF($C311="","",SUMIFS(Ledger!$K$2:$K$4, Ledger!$B$2:$B$4, $A311, Ledger!$C$2:$C$4, M$2)),"****")</f>
        <v/>
      </c>
      <c r="N311" t="str">
        <f>IFERROR(IF($C311="","",SUMIFS(Ledger!$K$2:$K$4, Ledger!$B$2:$B$4, $A311, Ledger!$C$2:$C$4, N$2)),"****")</f>
        <v/>
      </c>
      <c r="O311" t="str">
        <f>IFERROR(IF($C311="","",SUMIFS(Ledger!$K$2:$K$4, Ledger!$B$2:$B$4, $A311, Ledger!$C$2:$C$4, O$2)),"****")</f>
        <v/>
      </c>
      <c r="P311" t="str">
        <f>IFERROR(IF($C311="","",SUMIFS(Ledger!$K$2:$K$4, Ledger!$B$2:$B$4, $A311, Ledger!$C$2:$C$4, P$2)),"****")</f>
        <v/>
      </c>
      <c r="Q311" t="str">
        <f>IFERROR(IF($C311="","",SUMIFS(Ledger!$K$2:$K$4, Ledger!$B$2:$B$4, $A311, Ledger!$C$2:$C$4, Q$2)),"****")</f>
        <v/>
      </c>
      <c r="R311" t="str">
        <f>IFERROR(IF($C311="","",SUMIFS(Ledger!$K$2:$K$4, Ledger!$B$2:$B$4, $A311, Ledger!$C$2:$C$4, R$2)),"****")</f>
        <v/>
      </c>
      <c r="S311" t="str">
        <f>IFERROR(IF($C311="","",SUMIFS(Ledger!$K$2:$K$4, Ledger!$B$2:$B$4, $A311, Ledger!$C$2:$C$4, S$2)),"****")</f>
        <v/>
      </c>
      <c r="T311" t="str">
        <f>IFERROR(IF($C311="","",SUMIFS(Ledger!$K$2:$K$4, Ledger!$B$2:$B$4, $A311, Ledger!$C$2:$C$4, T$2)),"****")</f>
        <v/>
      </c>
      <c r="U311" t="str">
        <f>IFERROR(IF($C311="","",SUMIFS(Ledger!$K$2:$K$4, Ledger!$B$2:$B$4, $A311, Ledger!$C$2:$C$4, U$2)),"****")</f>
        <v/>
      </c>
      <c r="V311" t="str">
        <f>IFERROR(IF($C311="","",SUMIFS(Ledger!$K$2:$K$4, Ledger!$B$2:$B$4, $A311, Ledger!$C$2:$C$4, V$2)),"****")</f>
        <v/>
      </c>
      <c r="W311" t="str">
        <f>IFERROR(IF($C311="","",SUMIFS(Ledger!$K$2:$K$4, Ledger!$B$2:$B$4, $A311, Ledger!$C$2:$C$4, W$2)),"****")</f>
        <v/>
      </c>
      <c r="X311" t="str">
        <f>IFERROR(IF($C311="","",SUMIFS(Ledger!$K$2:$K$4, Ledger!$B$2:$B$4, $A311, Ledger!$C$2:$C$4, X$2)),"****")</f>
        <v/>
      </c>
    </row>
    <row r="312" spans="1:24" x14ac:dyDescent="0.3">
      <c r="A312" s="106">
        <v>310</v>
      </c>
      <c r="B312" t="str">
        <f>IFERROR(VLOOKUP($A312, Ledger!$B$2:$L$8, 3, 0),"")</f>
        <v/>
      </c>
      <c r="C312" t="str">
        <f>IFERROR(VLOOKUP($A312, Ledger!$B$2:$L$8, 4, 0),"")</f>
        <v/>
      </c>
      <c r="D312" t="str">
        <f>IFERROR(VLOOKUP($A312, Ledger!$B$2:$L$8, 5, 0),"")</f>
        <v/>
      </c>
      <c r="E312" t="str">
        <f>IFERROR(VLOOKUP($A312, Ledger!$B$2:$L$8, 6, 0),"")</f>
        <v/>
      </c>
      <c r="F312" t="str">
        <f>IFERROR(VLOOKUP($A312,'Student Data'!$A$2:$AR$6,32,0),"")</f>
        <v/>
      </c>
      <c r="G312" t="str">
        <f>IFERROR(VLOOKUP($A312,'Student Data'!$A$2:$AR$6,33,0),"")</f>
        <v/>
      </c>
      <c r="H312" t="str">
        <f>IFERROR(VLOOKUP($A312,'Student Data'!$A$2:$AR$6,34,0),"")</f>
        <v/>
      </c>
      <c r="I312" t="str">
        <f>IFERROR(VLOOKUP($A312,'Student Data'!$A$2:$AR$6,35,0),"")</f>
        <v/>
      </c>
      <c r="J312" t="str">
        <f>IFERROR(VLOOKUP($A312,'Student Data'!$A$2:$AR$6,36,0),"")</f>
        <v/>
      </c>
      <c r="K312" t="str">
        <f t="shared" si="8"/>
        <v/>
      </c>
      <c r="L312" t="str">
        <f t="shared" si="9"/>
        <v/>
      </c>
      <c r="M312" t="str">
        <f>IFERROR(IF($C312="","",SUMIFS(Ledger!$K$2:$K$4, Ledger!$B$2:$B$4, $A312, Ledger!$C$2:$C$4, M$2)),"****")</f>
        <v/>
      </c>
      <c r="N312" t="str">
        <f>IFERROR(IF($C312="","",SUMIFS(Ledger!$K$2:$K$4, Ledger!$B$2:$B$4, $A312, Ledger!$C$2:$C$4, N$2)),"****")</f>
        <v/>
      </c>
      <c r="O312" t="str">
        <f>IFERROR(IF($C312="","",SUMIFS(Ledger!$K$2:$K$4, Ledger!$B$2:$B$4, $A312, Ledger!$C$2:$C$4, O$2)),"****")</f>
        <v/>
      </c>
      <c r="P312" t="str">
        <f>IFERROR(IF($C312="","",SUMIFS(Ledger!$K$2:$K$4, Ledger!$B$2:$B$4, $A312, Ledger!$C$2:$C$4, P$2)),"****")</f>
        <v/>
      </c>
      <c r="Q312" t="str">
        <f>IFERROR(IF($C312="","",SUMIFS(Ledger!$K$2:$K$4, Ledger!$B$2:$B$4, $A312, Ledger!$C$2:$C$4, Q$2)),"****")</f>
        <v/>
      </c>
      <c r="R312" t="str">
        <f>IFERROR(IF($C312="","",SUMIFS(Ledger!$K$2:$K$4, Ledger!$B$2:$B$4, $A312, Ledger!$C$2:$C$4, R$2)),"****")</f>
        <v/>
      </c>
      <c r="S312" t="str">
        <f>IFERROR(IF($C312="","",SUMIFS(Ledger!$K$2:$K$4, Ledger!$B$2:$B$4, $A312, Ledger!$C$2:$C$4, S$2)),"****")</f>
        <v/>
      </c>
      <c r="T312" t="str">
        <f>IFERROR(IF($C312="","",SUMIFS(Ledger!$K$2:$K$4, Ledger!$B$2:$B$4, $A312, Ledger!$C$2:$C$4, T$2)),"****")</f>
        <v/>
      </c>
      <c r="U312" t="str">
        <f>IFERROR(IF($C312="","",SUMIFS(Ledger!$K$2:$K$4, Ledger!$B$2:$B$4, $A312, Ledger!$C$2:$C$4, U$2)),"****")</f>
        <v/>
      </c>
      <c r="V312" t="str">
        <f>IFERROR(IF($C312="","",SUMIFS(Ledger!$K$2:$K$4, Ledger!$B$2:$B$4, $A312, Ledger!$C$2:$C$4, V$2)),"****")</f>
        <v/>
      </c>
      <c r="W312" t="str">
        <f>IFERROR(IF($C312="","",SUMIFS(Ledger!$K$2:$K$4, Ledger!$B$2:$B$4, $A312, Ledger!$C$2:$C$4, W$2)),"****")</f>
        <v/>
      </c>
      <c r="X312" t="str">
        <f>IFERROR(IF($C312="","",SUMIFS(Ledger!$K$2:$K$4, Ledger!$B$2:$B$4, $A312, Ledger!$C$2:$C$4, X$2)),"****")</f>
        <v/>
      </c>
    </row>
    <row r="313" spans="1:24" x14ac:dyDescent="0.3">
      <c r="A313" s="106">
        <v>311</v>
      </c>
      <c r="B313" t="str">
        <f>IFERROR(VLOOKUP($A313, Ledger!$B$2:$L$8, 3, 0),"")</f>
        <v/>
      </c>
      <c r="C313" t="str">
        <f>IFERROR(VLOOKUP($A313, Ledger!$B$2:$L$8, 4, 0),"")</f>
        <v/>
      </c>
      <c r="D313" t="str">
        <f>IFERROR(VLOOKUP($A313, Ledger!$B$2:$L$8, 5, 0),"")</f>
        <v/>
      </c>
      <c r="E313" t="str">
        <f>IFERROR(VLOOKUP($A313, Ledger!$B$2:$L$8, 6, 0),"")</f>
        <v/>
      </c>
      <c r="F313" t="str">
        <f>IFERROR(VLOOKUP($A313,'Student Data'!$A$2:$AR$6,32,0),"")</f>
        <v/>
      </c>
      <c r="G313" t="str">
        <f>IFERROR(VLOOKUP($A313,'Student Data'!$A$2:$AR$6,33,0),"")</f>
        <v/>
      </c>
      <c r="H313" t="str">
        <f>IFERROR(VLOOKUP($A313,'Student Data'!$A$2:$AR$6,34,0),"")</f>
        <v/>
      </c>
      <c r="I313" t="str">
        <f>IFERROR(VLOOKUP($A313,'Student Data'!$A$2:$AR$6,35,0),"")</f>
        <v/>
      </c>
      <c r="J313" t="str">
        <f>IFERROR(VLOOKUP($A313,'Student Data'!$A$2:$AR$6,36,0),"")</f>
        <v/>
      </c>
      <c r="K313" t="str">
        <f t="shared" si="8"/>
        <v/>
      </c>
      <c r="L313" t="str">
        <f t="shared" si="9"/>
        <v/>
      </c>
      <c r="M313" t="str">
        <f>IFERROR(IF($C313="","",SUMIFS(Ledger!$K$2:$K$4, Ledger!$B$2:$B$4, $A313, Ledger!$C$2:$C$4, M$2)),"****")</f>
        <v/>
      </c>
      <c r="N313" t="str">
        <f>IFERROR(IF($C313="","",SUMIFS(Ledger!$K$2:$K$4, Ledger!$B$2:$B$4, $A313, Ledger!$C$2:$C$4, N$2)),"****")</f>
        <v/>
      </c>
      <c r="O313" t="str">
        <f>IFERROR(IF($C313="","",SUMIFS(Ledger!$K$2:$K$4, Ledger!$B$2:$B$4, $A313, Ledger!$C$2:$C$4, O$2)),"****")</f>
        <v/>
      </c>
      <c r="P313" t="str">
        <f>IFERROR(IF($C313="","",SUMIFS(Ledger!$K$2:$K$4, Ledger!$B$2:$B$4, $A313, Ledger!$C$2:$C$4, P$2)),"****")</f>
        <v/>
      </c>
      <c r="Q313" t="str">
        <f>IFERROR(IF($C313="","",SUMIFS(Ledger!$K$2:$K$4, Ledger!$B$2:$B$4, $A313, Ledger!$C$2:$C$4, Q$2)),"****")</f>
        <v/>
      </c>
      <c r="R313" t="str">
        <f>IFERROR(IF($C313="","",SUMIFS(Ledger!$K$2:$K$4, Ledger!$B$2:$B$4, $A313, Ledger!$C$2:$C$4, R$2)),"****")</f>
        <v/>
      </c>
      <c r="S313" t="str">
        <f>IFERROR(IF($C313="","",SUMIFS(Ledger!$K$2:$K$4, Ledger!$B$2:$B$4, $A313, Ledger!$C$2:$C$4, S$2)),"****")</f>
        <v/>
      </c>
      <c r="T313" t="str">
        <f>IFERROR(IF($C313="","",SUMIFS(Ledger!$K$2:$K$4, Ledger!$B$2:$B$4, $A313, Ledger!$C$2:$C$4, T$2)),"****")</f>
        <v/>
      </c>
      <c r="U313" t="str">
        <f>IFERROR(IF($C313="","",SUMIFS(Ledger!$K$2:$K$4, Ledger!$B$2:$B$4, $A313, Ledger!$C$2:$C$4, U$2)),"****")</f>
        <v/>
      </c>
      <c r="V313" t="str">
        <f>IFERROR(IF($C313="","",SUMIFS(Ledger!$K$2:$K$4, Ledger!$B$2:$B$4, $A313, Ledger!$C$2:$C$4, V$2)),"****")</f>
        <v/>
      </c>
      <c r="W313" t="str">
        <f>IFERROR(IF($C313="","",SUMIFS(Ledger!$K$2:$K$4, Ledger!$B$2:$B$4, $A313, Ledger!$C$2:$C$4, W$2)),"****")</f>
        <v/>
      </c>
      <c r="X313" t="str">
        <f>IFERROR(IF($C313="","",SUMIFS(Ledger!$K$2:$K$4, Ledger!$B$2:$B$4, $A313, Ledger!$C$2:$C$4, X$2)),"****")</f>
        <v/>
      </c>
    </row>
    <row r="314" spans="1:24" x14ac:dyDescent="0.3">
      <c r="A314" s="106">
        <v>312</v>
      </c>
      <c r="B314" t="str">
        <f>IFERROR(VLOOKUP($A314, Ledger!$B$2:$L$8, 3, 0),"")</f>
        <v/>
      </c>
      <c r="C314" t="str">
        <f>IFERROR(VLOOKUP($A314, Ledger!$B$2:$L$8, 4, 0),"")</f>
        <v/>
      </c>
      <c r="D314" t="str">
        <f>IFERROR(VLOOKUP($A314, Ledger!$B$2:$L$8, 5, 0),"")</f>
        <v/>
      </c>
      <c r="E314" t="str">
        <f>IFERROR(VLOOKUP($A314, Ledger!$B$2:$L$8, 6, 0),"")</f>
        <v/>
      </c>
      <c r="F314" t="str">
        <f>IFERROR(VLOOKUP($A314,'Student Data'!$A$2:$AR$6,32,0),"")</f>
        <v/>
      </c>
      <c r="G314" t="str">
        <f>IFERROR(VLOOKUP($A314,'Student Data'!$A$2:$AR$6,33,0),"")</f>
        <v/>
      </c>
      <c r="H314" t="str">
        <f>IFERROR(VLOOKUP($A314,'Student Data'!$A$2:$AR$6,34,0),"")</f>
        <v/>
      </c>
      <c r="I314" t="str">
        <f>IFERROR(VLOOKUP($A314,'Student Data'!$A$2:$AR$6,35,0),"")</f>
        <v/>
      </c>
      <c r="J314" t="str">
        <f>IFERROR(VLOOKUP($A314,'Student Data'!$A$2:$AR$6,36,0),"")</f>
        <v/>
      </c>
      <c r="K314" t="str">
        <f t="shared" si="8"/>
        <v/>
      </c>
      <c r="L314" t="str">
        <f t="shared" si="9"/>
        <v/>
      </c>
      <c r="M314" t="str">
        <f>IFERROR(IF($C314="","",SUMIFS(Ledger!$K$2:$K$4, Ledger!$B$2:$B$4, $A314, Ledger!$C$2:$C$4, M$2)),"****")</f>
        <v/>
      </c>
      <c r="N314" t="str">
        <f>IFERROR(IF($C314="","",SUMIFS(Ledger!$K$2:$K$4, Ledger!$B$2:$B$4, $A314, Ledger!$C$2:$C$4, N$2)),"****")</f>
        <v/>
      </c>
      <c r="O314" t="str">
        <f>IFERROR(IF($C314="","",SUMIFS(Ledger!$K$2:$K$4, Ledger!$B$2:$B$4, $A314, Ledger!$C$2:$C$4, O$2)),"****")</f>
        <v/>
      </c>
      <c r="P314" t="str">
        <f>IFERROR(IF($C314="","",SUMIFS(Ledger!$K$2:$K$4, Ledger!$B$2:$B$4, $A314, Ledger!$C$2:$C$4, P$2)),"****")</f>
        <v/>
      </c>
      <c r="Q314" t="str">
        <f>IFERROR(IF($C314="","",SUMIFS(Ledger!$K$2:$K$4, Ledger!$B$2:$B$4, $A314, Ledger!$C$2:$C$4, Q$2)),"****")</f>
        <v/>
      </c>
      <c r="R314" t="str">
        <f>IFERROR(IF($C314="","",SUMIFS(Ledger!$K$2:$K$4, Ledger!$B$2:$B$4, $A314, Ledger!$C$2:$C$4, R$2)),"****")</f>
        <v/>
      </c>
      <c r="S314" t="str">
        <f>IFERROR(IF($C314="","",SUMIFS(Ledger!$K$2:$K$4, Ledger!$B$2:$B$4, $A314, Ledger!$C$2:$C$4, S$2)),"****")</f>
        <v/>
      </c>
      <c r="T314" t="str">
        <f>IFERROR(IF($C314="","",SUMIFS(Ledger!$K$2:$K$4, Ledger!$B$2:$B$4, $A314, Ledger!$C$2:$C$4, T$2)),"****")</f>
        <v/>
      </c>
      <c r="U314" t="str">
        <f>IFERROR(IF($C314="","",SUMIFS(Ledger!$K$2:$K$4, Ledger!$B$2:$B$4, $A314, Ledger!$C$2:$C$4, U$2)),"****")</f>
        <v/>
      </c>
      <c r="V314" t="str">
        <f>IFERROR(IF($C314="","",SUMIFS(Ledger!$K$2:$K$4, Ledger!$B$2:$B$4, $A314, Ledger!$C$2:$C$4, V$2)),"****")</f>
        <v/>
      </c>
      <c r="W314" t="str">
        <f>IFERROR(IF($C314="","",SUMIFS(Ledger!$K$2:$K$4, Ledger!$B$2:$B$4, $A314, Ledger!$C$2:$C$4, W$2)),"****")</f>
        <v/>
      </c>
      <c r="X314" t="str">
        <f>IFERROR(IF($C314="","",SUMIFS(Ledger!$K$2:$K$4, Ledger!$B$2:$B$4, $A314, Ledger!$C$2:$C$4, X$2)),"****")</f>
        <v/>
      </c>
    </row>
    <row r="315" spans="1:24" x14ac:dyDescent="0.3">
      <c r="A315" s="106">
        <v>313</v>
      </c>
      <c r="B315" t="str">
        <f>IFERROR(VLOOKUP($A315, Ledger!$B$2:$L$8, 3, 0),"")</f>
        <v/>
      </c>
      <c r="C315" t="str">
        <f>IFERROR(VLOOKUP($A315, Ledger!$B$2:$L$8, 4, 0),"")</f>
        <v/>
      </c>
      <c r="D315" t="str">
        <f>IFERROR(VLOOKUP($A315, Ledger!$B$2:$L$8, 5, 0),"")</f>
        <v/>
      </c>
      <c r="E315" t="str">
        <f>IFERROR(VLOOKUP($A315, Ledger!$B$2:$L$8, 6, 0),"")</f>
        <v/>
      </c>
      <c r="F315" t="str">
        <f>IFERROR(VLOOKUP($A315,'Student Data'!$A$2:$AR$6,32,0),"")</f>
        <v/>
      </c>
      <c r="G315" t="str">
        <f>IFERROR(VLOOKUP($A315,'Student Data'!$A$2:$AR$6,33,0),"")</f>
        <v/>
      </c>
      <c r="H315" t="str">
        <f>IFERROR(VLOOKUP($A315,'Student Data'!$A$2:$AR$6,34,0),"")</f>
        <v/>
      </c>
      <c r="I315" t="str">
        <f>IFERROR(VLOOKUP($A315,'Student Data'!$A$2:$AR$6,35,0),"")</f>
        <v/>
      </c>
      <c r="J315" t="str">
        <f>IFERROR(VLOOKUP($A315,'Student Data'!$A$2:$AR$6,36,0),"")</f>
        <v/>
      </c>
      <c r="K315" t="str">
        <f t="shared" si="8"/>
        <v/>
      </c>
      <c r="L315" t="str">
        <f t="shared" si="9"/>
        <v/>
      </c>
      <c r="M315" t="str">
        <f>IFERROR(IF($C315="","",SUMIFS(Ledger!$K$2:$K$4, Ledger!$B$2:$B$4, $A315, Ledger!$C$2:$C$4, M$2)),"****")</f>
        <v/>
      </c>
      <c r="N315" t="str">
        <f>IFERROR(IF($C315="","",SUMIFS(Ledger!$K$2:$K$4, Ledger!$B$2:$B$4, $A315, Ledger!$C$2:$C$4, N$2)),"****")</f>
        <v/>
      </c>
      <c r="O315" t="str">
        <f>IFERROR(IF($C315="","",SUMIFS(Ledger!$K$2:$K$4, Ledger!$B$2:$B$4, $A315, Ledger!$C$2:$C$4, O$2)),"****")</f>
        <v/>
      </c>
      <c r="P315" t="str">
        <f>IFERROR(IF($C315="","",SUMIFS(Ledger!$K$2:$K$4, Ledger!$B$2:$B$4, $A315, Ledger!$C$2:$C$4, P$2)),"****")</f>
        <v/>
      </c>
      <c r="Q315" t="str">
        <f>IFERROR(IF($C315="","",SUMIFS(Ledger!$K$2:$K$4, Ledger!$B$2:$B$4, $A315, Ledger!$C$2:$C$4, Q$2)),"****")</f>
        <v/>
      </c>
      <c r="R315" t="str">
        <f>IFERROR(IF($C315="","",SUMIFS(Ledger!$K$2:$K$4, Ledger!$B$2:$B$4, $A315, Ledger!$C$2:$C$4, R$2)),"****")</f>
        <v/>
      </c>
      <c r="S315" t="str">
        <f>IFERROR(IF($C315="","",SUMIFS(Ledger!$K$2:$K$4, Ledger!$B$2:$B$4, $A315, Ledger!$C$2:$C$4, S$2)),"****")</f>
        <v/>
      </c>
      <c r="T315" t="str">
        <f>IFERROR(IF($C315="","",SUMIFS(Ledger!$K$2:$K$4, Ledger!$B$2:$B$4, $A315, Ledger!$C$2:$C$4, T$2)),"****")</f>
        <v/>
      </c>
      <c r="U315" t="str">
        <f>IFERROR(IF($C315="","",SUMIFS(Ledger!$K$2:$K$4, Ledger!$B$2:$B$4, $A315, Ledger!$C$2:$C$4, U$2)),"****")</f>
        <v/>
      </c>
      <c r="V315" t="str">
        <f>IFERROR(IF($C315="","",SUMIFS(Ledger!$K$2:$K$4, Ledger!$B$2:$B$4, $A315, Ledger!$C$2:$C$4, V$2)),"****")</f>
        <v/>
      </c>
      <c r="W315" t="str">
        <f>IFERROR(IF($C315="","",SUMIFS(Ledger!$K$2:$K$4, Ledger!$B$2:$B$4, $A315, Ledger!$C$2:$C$4, W$2)),"****")</f>
        <v/>
      </c>
      <c r="X315" t="str">
        <f>IFERROR(IF($C315="","",SUMIFS(Ledger!$K$2:$K$4, Ledger!$B$2:$B$4, $A315, Ledger!$C$2:$C$4, X$2)),"****")</f>
        <v/>
      </c>
    </row>
    <row r="316" spans="1:24" x14ac:dyDescent="0.3">
      <c r="A316" s="106">
        <v>314</v>
      </c>
      <c r="B316" t="str">
        <f>IFERROR(VLOOKUP($A316, Ledger!$B$2:$L$8, 3, 0),"")</f>
        <v/>
      </c>
      <c r="C316" t="str">
        <f>IFERROR(VLOOKUP($A316, Ledger!$B$2:$L$8, 4, 0),"")</f>
        <v/>
      </c>
      <c r="D316" t="str">
        <f>IFERROR(VLOOKUP($A316, Ledger!$B$2:$L$8, 5, 0),"")</f>
        <v/>
      </c>
      <c r="E316" t="str">
        <f>IFERROR(VLOOKUP($A316, Ledger!$B$2:$L$8, 6, 0),"")</f>
        <v/>
      </c>
      <c r="F316" t="str">
        <f>IFERROR(VLOOKUP($A316,'Student Data'!$A$2:$AR$6,32,0),"")</f>
        <v/>
      </c>
      <c r="G316" t="str">
        <f>IFERROR(VLOOKUP($A316,'Student Data'!$A$2:$AR$6,33,0),"")</f>
        <v/>
      </c>
      <c r="H316" t="str">
        <f>IFERROR(VLOOKUP($A316,'Student Data'!$A$2:$AR$6,34,0),"")</f>
        <v/>
      </c>
      <c r="I316" t="str">
        <f>IFERROR(VLOOKUP($A316,'Student Data'!$A$2:$AR$6,35,0),"")</f>
        <v/>
      </c>
      <c r="J316" t="str">
        <f>IFERROR(VLOOKUP($A316,'Student Data'!$A$2:$AR$6,36,0),"")</f>
        <v/>
      </c>
      <c r="K316" t="str">
        <f t="shared" si="8"/>
        <v/>
      </c>
      <c r="L316" t="str">
        <f t="shared" si="9"/>
        <v/>
      </c>
      <c r="M316" t="str">
        <f>IFERROR(IF($C316="","",SUMIFS(Ledger!$K$2:$K$4, Ledger!$B$2:$B$4, $A316, Ledger!$C$2:$C$4, M$2)),"****")</f>
        <v/>
      </c>
      <c r="N316" t="str">
        <f>IFERROR(IF($C316="","",SUMIFS(Ledger!$K$2:$K$4, Ledger!$B$2:$B$4, $A316, Ledger!$C$2:$C$4, N$2)),"****")</f>
        <v/>
      </c>
      <c r="O316" t="str">
        <f>IFERROR(IF($C316="","",SUMIFS(Ledger!$K$2:$K$4, Ledger!$B$2:$B$4, $A316, Ledger!$C$2:$C$4, O$2)),"****")</f>
        <v/>
      </c>
      <c r="P316" t="str">
        <f>IFERROR(IF($C316="","",SUMIFS(Ledger!$K$2:$K$4, Ledger!$B$2:$B$4, $A316, Ledger!$C$2:$C$4, P$2)),"****")</f>
        <v/>
      </c>
      <c r="Q316" t="str">
        <f>IFERROR(IF($C316="","",SUMIFS(Ledger!$K$2:$K$4, Ledger!$B$2:$B$4, $A316, Ledger!$C$2:$C$4, Q$2)),"****")</f>
        <v/>
      </c>
      <c r="R316" t="str">
        <f>IFERROR(IF($C316="","",SUMIFS(Ledger!$K$2:$K$4, Ledger!$B$2:$B$4, $A316, Ledger!$C$2:$C$4, R$2)),"****")</f>
        <v/>
      </c>
      <c r="S316" t="str">
        <f>IFERROR(IF($C316="","",SUMIFS(Ledger!$K$2:$K$4, Ledger!$B$2:$B$4, $A316, Ledger!$C$2:$C$4, S$2)),"****")</f>
        <v/>
      </c>
      <c r="T316" t="str">
        <f>IFERROR(IF($C316="","",SUMIFS(Ledger!$K$2:$K$4, Ledger!$B$2:$B$4, $A316, Ledger!$C$2:$C$4, T$2)),"****")</f>
        <v/>
      </c>
      <c r="U316" t="str">
        <f>IFERROR(IF($C316="","",SUMIFS(Ledger!$K$2:$K$4, Ledger!$B$2:$B$4, $A316, Ledger!$C$2:$C$4, U$2)),"****")</f>
        <v/>
      </c>
      <c r="V316" t="str">
        <f>IFERROR(IF($C316="","",SUMIFS(Ledger!$K$2:$K$4, Ledger!$B$2:$B$4, $A316, Ledger!$C$2:$C$4, V$2)),"****")</f>
        <v/>
      </c>
      <c r="W316" t="str">
        <f>IFERROR(IF($C316="","",SUMIFS(Ledger!$K$2:$K$4, Ledger!$B$2:$B$4, $A316, Ledger!$C$2:$C$4, W$2)),"****")</f>
        <v/>
      </c>
      <c r="X316" t="str">
        <f>IFERROR(IF($C316="","",SUMIFS(Ledger!$K$2:$K$4, Ledger!$B$2:$B$4, $A316, Ledger!$C$2:$C$4, X$2)),"****")</f>
        <v/>
      </c>
    </row>
    <row r="317" spans="1:24" x14ac:dyDescent="0.3">
      <c r="A317" s="106">
        <v>315</v>
      </c>
      <c r="B317" t="str">
        <f>IFERROR(VLOOKUP($A317, Ledger!$B$2:$L$8, 3, 0),"")</f>
        <v/>
      </c>
      <c r="C317" t="str">
        <f>IFERROR(VLOOKUP($A317, Ledger!$B$2:$L$8, 4, 0),"")</f>
        <v/>
      </c>
      <c r="D317" t="str">
        <f>IFERROR(VLOOKUP($A317, Ledger!$B$2:$L$8, 5, 0),"")</f>
        <v/>
      </c>
      <c r="E317" t="str">
        <f>IFERROR(VLOOKUP($A317, Ledger!$B$2:$L$8, 6, 0),"")</f>
        <v/>
      </c>
      <c r="F317" t="str">
        <f>IFERROR(VLOOKUP($A317,'Student Data'!$A$2:$AR$6,32,0),"")</f>
        <v/>
      </c>
      <c r="G317" t="str">
        <f>IFERROR(VLOOKUP($A317,'Student Data'!$A$2:$AR$6,33,0),"")</f>
        <v/>
      </c>
      <c r="H317" t="str">
        <f>IFERROR(VLOOKUP($A317,'Student Data'!$A$2:$AR$6,34,0),"")</f>
        <v/>
      </c>
      <c r="I317" t="str">
        <f>IFERROR(VLOOKUP($A317,'Student Data'!$A$2:$AR$6,35,0),"")</f>
        <v/>
      </c>
      <c r="J317" t="str">
        <f>IFERROR(VLOOKUP($A317,'Student Data'!$A$2:$AR$6,36,0),"")</f>
        <v/>
      </c>
      <c r="K317" t="str">
        <f t="shared" si="8"/>
        <v/>
      </c>
      <c r="L317" t="str">
        <f t="shared" si="9"/>
        <v/>
      </c>
      <c r="M317" t="str">
        <f>IFERROR(IF($C317="","",SUMIFS(Ledger!$K$2:$K$4, Ledger!$B$2:$B$4, $A317, Ledger!$C$2:$C$4, M$2)),"****")</f>
        <v/>
      </c>
      <c r="N317" t="str">
        <f>IFERROR(IF($C317="","",SUMIFS(Ledger!$K$2:$K$4, Ledger!$B$2:$B$4, $A317, Ledger!$C$2:$C$4, N$2)),"****")</f>
        <v/>
      </c>
      <c r="O317" t="str">
        <f>IFERROR(IF($C317="","",SUMIFS(Ledger!$K$2:$K$4, Ledger!$B$2:$B$4, $A317, Ledger!$C$2:$C$4, O$2)),"****")</f>
        <v/>
      </c>
      <c r="P317" t="str">
        <f>IFERROR(IF($C317="","",SUMIFS(Ledger!$K$2:$K$4, Ledger!$B$2:$B$4, $A317, Ledger!$C$2:$C$4, P$2)),"****")</f>
        <v/>
      </c>
      <c r="Q317" t="str">
        <f>IFERROR(IF($C317="","",SUMIFS(Ledger!$K$2:$K$4, Ledger!$B$2:$B$4, $A317, Ledger!$C$2:$C$4, Q$2)),"****")</f>
        <v/>
      </c>
      <c r="R317" t="str">
        <f>IFERROR(IF($C317="","",SUMIFS(Ledger!$K$2:$K$4, Ledger!$B$2:$B$4, $A317, Ledger!$C$2:$C$4, R$2)),"****")</f>
        <v/>
      </c>
      <c r="S317" t="str">
        <f>IFERROR(IF($C317="","",SUMIFS(Ledger!$K$2:$K$4, Ledger!$B$2:$B$4, $A317, Ledger!$C$2:$C$4, S$2)),"****")</f>
        <v/>
      </c>
      <c r="T317" t="str">
        <f>IFERROR(IF($C317="","",SUMIFS(Ledger!$K$2:$K$4, Ledger!$B$2:$B$4, $A317, Ledger!$C$2:$C$4, T$2)),"****")</f>
        <v/>
      </c>
      <c r="U317" t="str">
        <f>IFERROR(IF($C317="","",SUMIFS(Ledger!$K$2:$K$4, Ledger!$B$2:$B$4, $A317, Ledger!$C$2:$C$4, U$2)),"****")</f>
        <v/>
      </c>
      <c r="V317" t="str">
        <f>IFERROR(IF($C317="","",SUMIFS(Ledger!$K$2:$K$4, Ledger!$B$2:$B$4, $A317, Ledger!$C$2:$C$4, V$2)),"****")</f>
        <v/>
      </c>
      <c r="W317" t="str">
        <f>IFERROR(IF($C317="","",SUMIFS(Ledger!$K$2:$K$4, Ledger!$B$2:$B$4, $A317, Ledger!$C$2:$C$4, W$2)),"****")</f>
        <v/>
      </c>
      <c r="X317" t="str">
        <f>IFERROR(IF($C317="","",SUMIFS(Ledger!$K$2:$K$4, Ledger!$B$2:$B$4, $A317, Ledger!$C$2:$C$4, X$2)),"****")</f>
        <v/>
      </c>
    </row>
    <row r="318" spans="1:24" x14ac:dyDescent="0.3">
      <c r="A318" s="106">
        <v>316</v>
      </c>
      <c r="B318" t="str">
        <f>IFERROR(VLOOKUP($A318, Ledger!$B$2:$L$8, 3, 0),"")</f>
        <v/>
      </c>
      <c r="C318" t="str">
        <f>IFERROR(VLOOKUP($A318, Ledger!$B$2:$L$8, 4, 0),"")</f>
        <v/>
      </c>
      <c r="D318" t="str">
        <f>IFERROR(VLOOKUP($A318, Ledger!$B$2:$L$8, 5, 0),"")</f>
        <v/>
      </c>
      <c r="E318" t="str">
        <f>IFERROR(VLOOKUP($A318, Ledger!$B$2:$L$8, 6, 0),"")</f>
        <v/>
      </c>
      <c r="F318" t="str">
        <f>IFERROR(VLOOKUP($A318,'Student Data'!$A$2:$AR$6,32,0),"")</f>
        <v/>
      </c>
      <c r="G318" t="str">
        <f>IFERROR(VLOOKUP($A318,'Student Data'!$A$2:$AR$6,33,0),"")</f>
        <v/>
      </c>
      <c r="H318" t="str">
        <f>IFERROR(VLOOKUP($A318,'Student Data'!$A$2:$AR$6,34,0),"")</f>
        <v/>
      </c>
      <c r="I318" t="str">
        <f>IFERROR(VLOOKUP($A318,'Student Data'!$A$2:$AR$6,35,0),"")</f>
        <v/>
      </c>
      <c r="J318" t="str">
        <f>IFERROR(VLOOKUP($A318,'Student Data'!$A$2:$AR$6,36,0),"")</f>
        <v/>
      </c>
      <c r="K318" t="str">
        <f t="shared" si="8"/>
        <v/>
      </c>
      <c r="L318" t="str">
        <f t="shared" si="9"/>
        <v/>
      </c>
      <c r="M318" t="str">
        <f>IFERROR(IF($C318="","",SUMIFS(Ledger!$K$2:$K$4, Ledger!$B$2:$B$4, $A318, Ledger!$C$2:$C$4, M$2)),"****")</f>
        <v/>
      </c>
      <c r="N318" t="str">
        <f>IFERROR(IF($C318="","",SUMIFS(Ledger!$K$2:$K$4, Ledger!$B$2:$B$4, $A318, Ledger!$C$2:$C$4, N$2)),"****")</f>
        <v/>
      </c>
      <c r="O318" t="str">
        <f>IFERROR(IF($C318="","",SUMIFS(Ledger!$K$2:$K$4, Ledger!$B$2:$B$4, $A318, Ledger!$C$2:$C$4, O$2)),"****")</f>
        <v/>
      </c>
      <c r="P318" t="str">
        <f>IFERROR(IF($C318="","",SUMIFS(Ledger!$K$2:$K$4, Ledger!$B$2:$B$4, $A318, Ledger!$C$2:$C$4, P$2)),"****")</f>
        <v/>
      </c>
      <c r="Q318" t="str">
        <f>IFERROR(IF($C318="","",SUMIFS(Ledger!$K$2:$K$4, Ledger!$B$2:$B$4, $A318, Ledger!$C$2:$C$4, Q$2)),"****")</f>
        <v/>
      </c>
      <c r="R318" t="str">
        <f>IFERROR(IF($C318="","",SUMIFS(Ledger!$K$2:$K$4, Ledger!$B$2:$B$4, $A318, Ledger!$C$2:$C$4, R$2)),"****")</f>
        <v/>
      </c>
      <c r="S318" t="str">
        <f>IFERROR(IF($C318="","",SUMIFS(Ledger!$K$2:$K$4, Ledger!$B$2:$B$4, $A318, Ledger!$C$2:$C$4, S$2)),"****")</f>
        <v/>
      </c>
      <c r="T318" t="str">
        <f>IFERROR(IF($C318="","",SUMIFS(Ledger!$K$2:$K$4, Ledger!$B$2:$B$4, $A318, Ledger!$C$2:$C$4, T$2)),"****")</f>
        <v/>
      </c>
      <c r="U318" t="str">
        <f>IFERROR(IF($C318="","",SUMIFS(Ledger!$K$2:$K$4, Ledger!$B$2:$B$4, $A318, Ledger!$C$2:$C$4, U$2)),"****")</f>
        <v/>
      </c>
      <c r="V318" t="str">
        <f>IFERROR(IF($C318="","",SUMIFS(Ledger!$K$2:$K$4, Ledger!$B$2:$B$4, $A318, Ledger!$C$2:$C$4, V$2)),"****")</f>
        <v/>
      </c>
      <c r="W318" t="str">
        <f>IFERROR(IF($C318="","",SUMIFS(Ledger!$K$2:$K$4, Ledger!$B$2:$B$4, $A318, Ledger!$C$2:$C$4, W$2)),"****")</f>
        <v/>
      </c>
      <c r="X318" t="str">
        <f>IFERROR(IF($C318="","",SUMIFS(Ledger!$K$2:$K$4, Ledger!$B$2:$B$4, $A318, Ledger!$C$2:$C$4, X$2)),"****")</f>
        <v/>
      </c>
    </row>
    <row r="319" spans="1:24" x14ac:dyDescent="0.3">
      <c r="A319" s="106">
        <v>317</v>
      </c>
      <c r="B319" t="str">
        <f>IFERROR(VLOOKUP($A319, Ledger!$B$2:$L$8, 3, 0),"")</f>
        <v/>
      </c>
      <c r="C319" t="str">
        <f>IFERROR(VLOOKUP($A319, Ledger!$B$2:$L$8, 4, 0),"")</f>
        <v/>
      </c>
      <c r="D319" t="str">
        <f>IFERROR(VLOOKUP($A319, Ledger!$B$2:$L$8, 5, 0),"")</f>
        <v/>
      </c>
      <c r="E319" t="str">
        <f>IFERROR(VLOOKUP($A319, Ledger!$B$2:$L$8, 6, 0),"")</f>
        <v/>
      </c>
      <c r="F319" t="str">
        <f>IFERROR(VLOOKUP($A319,'Student Data'!$A$2:$AR$6,32,0),"")</f>
        <v/>
      </c>
      <c r="G319" t="str">
        <f>IFERROR(VLOOKUP($A319,'Student Data'!$A$2:$AR$6,33,0),"")</f>
        <v/>
      </c>
      <c r="H319" t="str">
        <f>IFERROR(VLOOKUP($A319,'Student Data'!$A$2:$AR$6,34,0),"")</f>
        <v/>
      </c>
      <c r="I319" t="str">
        <f>IFERROR(VLOOKUP($A319,'Student Data'!$A$2:$AR$6,35,0),"")</f>
        <v/>
      </c>
      <c r="J319" t="str">
        <f>IFERROR(VLOOKUP($A319,'Student Data'!$A$2:$AR$6,36,0),"")</f>
        <v/>
      </c>
      <c r="K319" t="str">
        <f t="shared" si="8"/>
        <v/>
      </c>
      <c r="L319" t="str">
        <f t="shared" si="9"/>
        <v/>
      </c>
      <c r="M319" t="str">
        <f>IFERROR(IF($C319="","",SUMIFS(Ledger!$K$2:$K$4, Ledger!$B$2:$B$4, $A319, Ledger!$C$2:$C$4, M$2)),"****")</f>
        <v/>
      </c>
      <c r="N319" t="str">
        <f>IFERROR(IF($C319="","",SUMIFS(Ledger!$K$2:$K$4, Ledger!$B$2:$B$4, $A319, Ledger!$C$2:$C$4, N$2)),"****")</f>
        <v/>
      </c>
      <c r="O319" t="str">
        <f>IFERROR(IF($C319="","",SUMIFS(Ledger!$K$2:$K$4, Ledger!$B$2:$B$4, $A319, Ledger!$C$2:$C$4, O$2)),"****")</f>
        <v/>
      </c>
      <c r="P319" t="str">
        <f>IFERROR(IF($C319="","",SUMIFS(Ledger!$K$2:$K$4, Ledger!$B$2:$B$4, $A319, Ledger!$C$2:$C$4, P$2)),"****")</f>
        <v/>
      </c>
      <c r="Q319" t="str">
        <f>IFERROR(IF($C319="","",SUMIFS(Ledger!$K$2:$K$4, Ledger!$B$2:$B$4, $A319, Ledger!$C$2:$C$4, Q$2)),"****")</f>
        <v/>
      </c>
      <c r="R319" t="str">
        <f>IFERROR(IF($C319="","",SUMIFS(Ledger!$K$2:$K$4, Ledger!$B$2:$B$4, $A319, Ledger!$C$2:$C$4, R$2)),"****")</f>
        <v/>
      </c>
      <c r="S319" t="str">
        <f>IFERROR(IF($C319="","",SUMIFS(Ledger!$K$2:$K$4, Ledger!$B$2:$B$4, $A319, Ledger!$C$2:$C$4, S$2)),"****")</f>
        <v/>
      </c>
      <c r="T319" t="str">
        <f>IFERROR(IF($C319="","",SUMIFS(Ledger!$K$2:$K$4, Ledger!$B$2:$B$4, $A319, Ledger!$C$2:$C$4, T$2)),"****")</f>
        <v/>
      </c>
      <c r="U319" t="str">
        <f>IFERROR(IF($C319="","",SUMIFS(Ledger!$K$2:$K$4, Ledger!$B$2:$B$4, $A319, Ledger!$C$2:$C$4, U$2)),"****")</f>
        <v/>
      </c>
      <c r="V319" t="str">
        <f>IFERROR(IF($C319="","",SUMIFS(Ledger!$K$2:$K$4, Ledger!$B$2:$B$4, $A319, Ledger!$C$2:$C$4, V$2)),"****")</f>
        <v/>
      </c>
      <c r="W319" t="str">
        <f>IFERROR(IF($C319="","",SUMIFS(Ledger!$K$2:$K$4, Ledger!$B$2:$B$4, $A319, Ledger!$C$2:$C$4, W$2)),"****")</f>
        <v/>
      </c>
      <c r="X319" t="str">
        <f>IFERROR(IF($C319="","",SUMIFS(Ledger!$K$2:$K$4, Ledger!$B$2:$B$4, $A319, Ledger!$C$2:$C$4, X$2)),"****")</f>
        <v/>
      </c>
    </row>
    <row r="320" spans="1:24" x14ac:dyDescent="0.3">
      <c r="A320" s="106">
        <v>318</v>
      </c>
      <c r="B320" t="str">
        <f>IFERROR(VLOOKUP($A320, Ledger!$B$2:$L$8, 3, 0),"")</f>
        <v/>
      </c>
      <c r="C320" t="str">
        <f>IFERROR(VLOOKUP($A320, Ledger!$B$2:$L$8, 4, 0),"")</f>
        <v/>
      </c>
      <c r="D320" t="str">
        <f>IFERROR(VLOOKUP($A320, Ledger!$B$2:$L$8, 5, 0),"")</f>
        <v/>
      </c>
      <c r="E320" t="str">
        <f>IFERROR(VLOOKUP($A320, Ledger!$B$2:$L$8, 6, 0),"")</f>
        <v/>
      </c>
      <c r="F320" t="str">
        <f>IFERROR(VLOOKUP($A320,'Student Data'!$A$2:$AR$6,32,0),"")</f>
        <v/>
      </c>
      <c r="G320" t="str">
        <f>IFERROR(VLOOKUP($A320,'Student Data'!$A$2:$AR$6,33,0),"")</f>
        <v/>
      </c>
      <c r="H320" t="str">
        <f>IFERROR(VLOOKUP($A320,'Student Data'!$A$2:$AR$6,34,0),"")</f>
        <v/>
      </c>
      <c r="I320" t="str">
        <f>IFERROR(VLOOKUP($A320,'Student Data'!$A$2:$AR$6,35,0),"")</f>
        <v/>
      </c>
      <c r="J320" t="str">
        <f>IFERROR(VLOOKUP($A320,'Student Data'!$A$2:$AR$6,36,0),"")</f>
        <v/>
      </c>
      <c r="K320" t="str">
        <f t="shared" si="8"/>
        <v/>
      </c>
      <c r="L320" t="str">
        <f t="shared" si="9"/>
        <v/>
      </c>
      <c r="M320" t="str">
        <f>IFERROR(IF($C320="","",SUMIFS(Ledger!$K$2:$K$4, Ledger!$B$2:$B$4, $A320, Ledger!$C$2:$C$4, M$2)),"****")</f>
        <v/>
      </c>
      <c r="N320" t="str">
        <f>IFERROR(IF($C320="","",SUMIFS(Ledger!$K$2:$K$4, Ledger!$B$2:$B$4, $A320, Ledger!$C$2:$C$4, N$2)),"****")</f>
        <v/>
      </c>
      <c r="O320" t="str">
        <f>IFERROR(IF($C320="","",SUMIFS(Ledger!$K$2:$K$4, Ledger!$B$2:$B$4, $A320, Ledger!$C$2:$C$4, O$2)),"****")</f>
        <v/>
      </c>
      <c r="P320" t="str">
        <f>IFERROR(IF($C320="","",SUMIFS(Ledger!$K$2:$K$4, Ledger!$B$2:$B$4, $A320, Ledger!$C$2:$C$4, P$2)),"****")</f>
        <v/>
      </c>
      <c r="Q320" t="str">
        <f>IFERROR(IF($C320="","",SUMIFS(Ledger!$K$2:$K$4, Ledger!$B$2:$B$4, $A320, Ledger!$C$2:$C$4, Q$2)),"****")</f>
        <v/>
      </c>
      <c r="R320" t="str">
        <f>IFERROR(IF($C320="","",SUMIFS(Ledger!$K$2:$K$4, Ledger!$B$2:$B$4, $A320, Ledger!$C$2:$C$4, R$2)),"****")</f>
        <v/>
      </c>
      <c r="S320" t="str">
        <f>IFERROR(IF($C320="","",SUMIFS(Ledger!$K$2:$K$4, Ledger!$B$2:$B$4, $A320, Ledger!$C$2:$C$4, S$2)),"****")</f>
        <v/>
      </c>
      <c r="T320" t="str">
        <f>IFERROR(IF($C320="","",SUMIFS(Ledger!$K$2:$K$4, Ledger!$B$2:$B$4, $A320, Ledger!$C$2:$C$4, T$2)),"****")</f>
        <v/>
      </c>
      <c r="U320" t="str">
        <f>IFERROR(IF($C320="","",SUMIFS(Ledger!$K$2:$K$4, Ledger!$B$2:$B$4, $A320, Ledger!$C$2:$C$4, U$2)),"****")</f>
        <v/>
      </c>
      <c r="V320" t="str">
        <f>IFERROR(IF($C320="","",SUMIFS(Ledger!$K$2:$K$4, Ledger!$B$2:$B$4, $A320, Ledger!$C$2:$C$4, V$2)),"****")</f>
        <v/>
      </c>
      <c r="W320" t="str">
        <f>IFERROR(IF($C320="","",SUMIFS(Ledger!$K$2:$K$4, Ledger!$B$2:$B$4, $A320, Ledger!$C$2:$C$4, W$2)),"****")</f>
        <v/>
      </c>
      <c r="X320" t="str">
        <f>IFERROR(IF($C320="","",SUMIFS(Ledger!$K$2:$K$4, Ledger!$B$2:$B$4, $A320, Ledger!$C$2:$C$4, X$2)),"****")</f>
        <v/>
      </c>
    </row>
    <row r="321" spans="1:24" x14ac:dyDescent="0.3">
      <c r="A321" s="106">
        <v>319</v>
      </c>
      <c r="B321" t="str">
        <f>IFERROR(VLOOKUP($A321, Ledger!$B$2:$L$8, 3, 0),"")</f>
        <v/>
      </c>
      <c r="C321" t="str">
        <f>IFERROR(VLOOKUP($A321, Ledger!$B$2:$L$8, 4, 0),"")</f>
        <v/>
      </c>
      <c r="D321" t="str">
        <f>IFERROR(VLOOKUP($A321, Ledger!$B$2:$L$8, 5, 0),"")</f>
        <v/>
      </c>
      <c r="E321" t="str">
        <f>IFERROR(VLOOKUP($A321, Ledger!$B$2:$L$8, 6, 0),"")</f>
        <v/>
      </c>
      <c r="F321" t="str">
        <f>IFERROR(VLOOKUP($A321,'Student Data'!$A$2:$AR$6,32,0),"")</f>
        <v/>
      </c>
      <c r="G321" t="str">
        <f>IFERROR(VLOOKUP($A321,'Student Data'!$A$2:$AR$6,33,0),"")</f>
        <v/>
      </c>
      <c r="H321" t="str">
        <f>IFERROR(VLOOKUP($A321,'Student Data'!$A$2:$AR$6,34,0),"")</f>
        <v/>
      </c>
      <c r="I321" t="str">
        <f>IFERROR(VLOOKUP($A321,'Student Data'!$A$2:$AR$6,35,0),"")</f>
        <v/>
      </c>
      <c r="J321" t="str">
        <f>IFERROR(VLOOKUP($A321,'Student Data'!$A$2:$AR$6,36,0),"")</f>
        <v/>
      </c>
      <c r="K321" t="str">
        <f t="shared" si="8"/>
        <v/>
      </c>
      <c r="L321" t="str">
        <f t="shared" si="9"/>
        <v/>
      </c>
      <c r="M321" t="str">
        <f>IFERROR(IF($C321="","",SUMIFS(Ledger!$K$2:$K$4, Ledger!$B$2:$B$4, $A321, Ledger!$C$2:$C$4, M$2)),"****")</f>
        <v/>
      </c>
      <c r="N321" t="str">
        <f>IFERROR(IF($C321="","",SUMIFS(Ledger!$K$2:$K$4, Ledger!$B$2:$B$4, $A321, Ledger!$C$2:$C$4, N$2)),"****")</f>
        <v/>
      </c>
      <c r="O321" t="str">
        <f>IFERROR(IF($C321="","",SUMIFS(Ledger!$K$2:$K$4, Ledger!$B$2:$B$4, $A321, Ledger!$C$2:$C$4, O$2)),"****")</f>
        <v/>
      </c>
      <c r="P321" t="str">
        <f>IFERROR(IF($C321="","",SUMIFS(Ledger!$K$2:$K$4, Ledger!$B$2:$B$4, $A321, Ledger!$C$2:$C$4, P$2)),"****")</f>
        <v/>
      </c>
      <c r="Q321" t="str">
        <f>IFERROR(IF($C321="","",SUMIFS(Ledger!$K$2:$K$4, Ledger!$B$2:$B$4, $A321, Ledger!$C$2:$C$4, Q$2)),"****")</f>
        <v/>
      </c>
      <c r="R321" t="str">
        <f>IFERROR(IF($C321="","",SUMIFS(Ledger!$K$2:$K$4, Ledger!$B$2:$B$4, $A321, Ledger!$C$2:$C$4, R$2)),"****")</f>
        <v/>
      </c>
      <c r="S321" t="str">
        <f>IFERROR(IF($C321="","",SUMIFS(Ledger!$K$2:$K$4, Ledger!$B$2:$B$4, $A321, Ledger!$C$2:$C$4, S$2)),"****")</f>
        <v/>
      </c>
      <c r="T321" t="str">
        <f>IFERROR(IF($C321="","",SUMIFS(Ledger!$K$2:$K$4, Ledger!$B$2:$B$4, $A321, Ledger!$C$2:$C$4, T$2)),"****")</f>
        <v/>
      </c>
      <c r="U321" t="str">
        <f>IFERROR(IF($C321="","",SUMIFS(Ledger!$K$2:$K$4, Ledger!$B$2:$B$4, $A321, Ledger!$C$2:$C$4, U$2)),"****")</f>
        <v/>
      </c>
      <c r="V321" t="str">
        <f>IFERROR(IF($C321="","",SUMIFS(Ledger!$K$2:$K$4, Ledger!$B$2:$B$4, $A321, Ledger!$C$2:$C$4, V$2)),"****")</f>
        <v/>
      </c>
      <c r="W321" t="str">
        <f>IFERROR(IF($C321="","",SUMIFS(Ledger!$K$2:$K$4, Ledger!$B$2:$B$4, $A321, Ledger!$C$2:$C$4, W$2)),"****")</f>
        <v/>
      </c>
      <c r="X321" t="str">
        <f>IFERROR(IF($C321="","",SUMIFS(Ledger!$K$2:$K$4, Ledger!$B$2:$B$4, $A321, Ledger!$C$2:$C$4, X$2)),"****")</f>
        <v/>
      </c>
    </row>
    <row r="322" spans="1:24" x14ac:dyDescent="0.3">
      <c r="A322" s="106">
        <v>320</v>
      </c>
      <c r="B322" t="str">
        <f>IFERROR(VLOOKUP($A322, Ledger!$B$2:$L$8, 3, 0),"")</f>
        <v/>
      </c>
      <c r="C322" t="str">
        <f>IFERROR(VLOOKUP($A322, Ledger!$B$2:$L$8, 4, 0),"")</f>
        <v/>
      </c>
      <c r="D322" t="str">
        <f>IFERROR(VLOOKUP($A322, Ledger!$B$2:$L$8, 5, 0),"")</f>
        <v/>
      </c>
      <c r="E322" t="str">
        <f>IFERROR(VLOOKUP($A322, Ledger!$B$2:$L$8, 6, 0),"")</f>
        <v/>
      </c>
      <c r="F322" t="str">
        <f>IFERROR(VLOOKUP($A322,'Student Data'!$A$2:$AR$6,32,0),"")</f>
        <v/>
      </c>
      <c r="G322" t="str">
        <f>IFERROR(VLOOKUP($A322,'Student Data'!$A$2:$AR$6,33,0),"")</f>
        <v/>
      </c>
      <c r="H322" t="str">
        <f>IFERROR(VLOOKUP($A322,'Student Data'!$A$2:$AR$6,34,0),"")</f>
        <v/>
      </c>
      <c r="I322" t="str">
        <f>IFERROR(VLOOKUP($A322,'Student Data'!$A$2:$AR$6,35,0),"")</f>
        <v/>
      </c>
      <c r="J322" t="str">
        <f>IFERROR(VLOOKUP($A322,'Student Data'!$A$2:$AR$6,36,0),"")</f>
        <v/>
      </c>
      <c r="K322" t="str">
        <f t="shared" si="8"/>
        <v/>
      </c>
      <c r="L322" t="str">
        <f t="shared" si="9"/>
        <v/>
      </c>
      <c r="M322" t="str">
        <f>IFERROR(IF($C322="","",SUMIFS(Ledger!$K$2:$K$4, Ledger!$B$2:$B$4, $A322, Ledger!$C$2:$C$4, M$2)),"****")</f>
        <v/>
      </c>
      <c r="N322" t="str">
        <f>IFERROR(IF($C322="","",SUMIFS(Ledger!$K$2:$K$4, Ledger!$B$2:$B$4, $A322, Ledger!$C$2:$C$4, N$2)),"****")</f>
        <v/>
      </c>
      <c r="O322" t="str">
        <f>IFERROR(IF($C322="","",SUMIFS(Ledger!$K$2:$K$4, Ledger!$B$2:$B$4, $A322, Ledger!$C$2:$C$4, O$2)),"****")</f>
        <v/>
      </c>
      <c r="P322" t="str">
        <f>IFERROR(IF($C322="","",SUMIFS(Ledger!$K$2:$K$4, Ledger!$B$2:$B$4, $A322, Ledger!$C$2:$C$4, P$2)),"****")</f>
        <v/>
      </c>
      <c r="Q322" t="str">
        <f>IFERROR(IF($C322="","",SUMIFS(Ledger!$K$2:$K$4, Ledger!$B$2:$B$4, $A322, Ledger!$C$2:$C$4, Q$2)),"****")</f>
        <v/>
      </c>
      <c r="R322" t="str">
        <f>IFERROR(IF($C322="","",SUMIFS(Ledger!$K$2:$K$4, Ledger!$B$2:$B$4, $A322, Ledger!$C$2:$C$4, R$2)),"****")</f>
        <v/>
      </c>
      <c r="S322" t="str">
        <f>IFERROR(IF($C322="","",SUMIFS(Ledger!$K$2:$K$4, Ledger!$B$2:$B$4, $A322, Ledger!$C$2:$C$4, S$2)),"****")</f>
        <v/>
      </c>
      <c r="T322" t="str">
        <f>IFERROR(IF($C322="","",SUMIFS(Ledger!$K$2:$K$4, Ledger!$B$2:$B$4, $A322, Ledger!$C$2:$C$4, T$2)),"****")</f>
        <v/>
      </c>
      <c r="U322" t="str">
        <f>IFERROR(IF($C322="","",SUMIFS(Ledger!$K$2:$K$4, Ledger!$B$2:$B$4, $A322, Ledger!$C$2:$C$4, U$2)),"****")</f>
        <v/>
      </c>
      <c r="V322" t="str">
        <f>IFERROR(IF($C322="","",SUMIFS(Ledger!$K$2:$K$4, Ledger!$B$2:$B$4, $A322, Ledger!$C$2:$C$4, V$2)),"****")</f>
        <v/>
      </c>
      <c r="W322" t="str">
        <f>IFERROR(IF($C322="","",SUMIFS(Ledger!$K$2:$K$4, Ledger!$B$2:$B$4, $A322, Ledger!$C$2:$C$4, W$2)),"****")</f>
        <v/>
      </c>
      <c r="X322" t="str">
        <f>IFERROR(IF($C322="","",SUMIFS(Ledger!$K$2:$K$4, Ledger!$B$2:$B$4, $A322, Ledger!$C$2:$C$4, X$2)),"****")</f>
        <v/>
      </c>
    </row>
    <row r="323" spans="1:24" x14ac:dyDescent="0.3">
      <c r="A323" s="106">
        <v>321</v>
      </c>
      <c r="B323" t="str">
        <f>IFERROR(VLOOKUP($A323, Ledger!$B$2:$L$8, 3, 0),"")</f>
        <v/>
      </c>
      <c r="C323" t="str">
        <f>IFERROR(VLOOKUP($A323, Ledger!$B$2:$L$8, 4, 0),"")</f>
        <v/>
      </c>
      <c r="D323" t="str">
        <f>IFERROR(VLOOKUP($A323, Ledger!$B$2:$L$8, 5, 0),"")</f>
        <v/>
      </c>
      <c r="E323" t="str">
        <f>IFERROR(VLOOKUP($A323, Ledger!$B$2:$L$8, 6, 0),"")</f>
        <v/>
      </c>
      <c r="F323" t="str">
        <f>IFERROR(VLOOKUP($A323,'Student Data'!$A$2:$AR$6,32,0),"")</f>
        <v/>
      </c>
      <c r="G323" t="str">
        <f>IFERROR(VLOOKUP($A323,'Student Data'!$A$2:$AR$6,33,0),"")</f>
        <v/>
      </c>
      <c r="H323" t="str">
        <f>IFERROR(VLOOKUP($A323,'Student Data'!$A$2:$AR$6,34,0),"")</f>
        <v/>
      </c>
      <c r="I323" t="str">
        <f>IFERROR(VLOOKUP($A323,'Student Data'!$A$2:$AR$6,35,0),"")</f>
        <v/>
      </c>
      <c r="J323" t="str">
        <f>IFERROR(VLOOKUP($A323,'Student Data'!$A$2:$AR$6,36,0),"")</f>
        <v/>
      </c>
      <c r="K323" t="str">
        <f t="shared" si="8"/>
        <v/>
      </c>
      <c r="L323" t="str">
        <f t="shared" si="9"/>
        <v/>
      </c>
      <c r="M323" t="str">
        <f>IFERROR(IF($C323="","",SUMIFS(Ledger!$K$2:$K$4, Ledger!$B$2:$B$4, $A323, Ledger!$C$2:$C$4, M$2)),"****")</f>
        <v/>
      </c>
      <c r="N323" t="str">
        <f>IFERROR(IF($C323="","",SUMIFS(Ledger!$K$2:$K$4, Ledger!$B$2:$B$4, $A323, Ledger!$C$2:$C$4, N$2)),"****")</f>
        <v/>
      </c>
      <c r="O323" t="str">
        <f>IFERROR(IF($C323="","",SUMIFS(Ledger!$K$2:$K$4, Ledger!$B$2:$B$4, $A323, Ledger!$C$2:$C$4, O$2)),"****")</f>
        <v/>
      </c>
      <c r="P323" t="str">
        <f>IFERROR(IF($C323="","",SUMIFS(Ledger!$K$2:$K$4, Ledger!$B$2:$B$4, $A323, Ledger!$C$2:$C$4, P$2)),"****")</f>
        <v/>
      </c>
      <c r="Q323" t="str">
        <f>IFERROR(IF($C323="","",SUMIFS(Ledger!$K$2:$K$4, Ledger!$B$2:$B$4, $A323, Ledger!$C$2:$C$4, Q$2)),"****")</f>
        <v/>
      </c>
      <c r="R323" t="str">
        <f>IFERROR(IF($C323="","",SUMIFS(Ledger!$K$2:$K$4, Ledger!$B$2:$B$4, $A323, Ledger!$C$2:$C$4, R$2)),"****")</f>
        <v/>
      </c>
      <c r="S323" t="str">
        <f>IFERROR(IF($C323="","",SUMIFS(Ledger!$K$2:$K$4, Ledger!$B$2:$B$4, $A323, Ledger!$C$2:$C$4, S$2)),"****")</f>
        <v/>
      </c>
      <c r="T323" t="str">
        <f>IFERROR(IF($C323="","",SUMIFS(Ledger!$K$2:$K$4, Ledger!$B$2:$B$4, $A323, Ledger!$C$2:$C$4, T$2)),"****")</f>
        <v/>
      </c>
      <c r="U323" t="str">
        <f>IFERROR(IF($C323="","",SUMIFS(Ledger!$K$2:$K$4, Ledger!$B$2:$B$4, $A323, Ledger!$C$2:$C$4, U$2)),"****")</f>
        <v/>
      </c>
      <c r="V323" t="str">
        <f>IFERROR(IF($C323="","",SUMIFS(Ledger!$K$2:$K$4, Ledger!$B$2:$B$4, $A323, Ledger!$C$2:$C$4, V$2)),"****")</f>
        <v/>
      </c>
      <c r="W323" t="str">
        <f>IFERROR(IF($C323="","",SUMIFS(Ledger!$K$2:$K$4, Ledger!$B$2:$B$4, $A323, Ledger!$C$2:$C$4, W$2)),"****")</f>
        <v/>
      </c>
      <c r="X323" t="str">
        <f>IFERROR(IF($C323="","",SUMIFS(Ledger!$K$2:$K$4, Ledger!$B$2:$B$4, $A323, Ledger!$C$2:$C$4, X$2)),"****")</f>
        <v/>
      </c>
    </row>
    <row r="324" spans="1:24" x14ac:dyDescent="0.3">
      <c r="A324" s="106">
        <v>322</v>
      </c>
      <c r="B324" t="str">
        <f>IFERROR(VLOOKUP($A324, Ledger!$B$2:$L$8, 3, 0),"")</f>
        <v/>
      </c>
      <c r="C324" t="str">
        <f>IFERROR(VLOOKUP($A324, Ledger!$B$2:$L$8, 4, 0),"")</f>
        <v/>
      </c>
      <c r="D324" t="str">
        <f>IFERROR(VLOOKUP($A324, Ledger!$B$2:$L$8, 5, 0),"")</f>
        <v/>
      </c>
      <c r="E324" t="str">
        <f>IFERROR(VLOOKUP($A324, Ledger!$B$2:$L$8, 6, 0),"")</f>
        <v/>
      </c>
      <c r="F324" t="str">
        <f>IFERROR(VLOOKUP($A324,'Student Data'!$A$2:$AR$6,32,0),"")</f>
        <v/>
      </c>
      <c r="G324" t="str">
        <f>IFERROR(VLOOKUP($A324,'Student Data'!$A$2:$AR$6,33,0),"")</f>
        <v/>
      </c>
      <c r="H324" t="str">
        <f>IFERROR(VLOOKUP($A324,'Student Data'!$A$2:$AR$6,34,0),"")</f>
        <v/>
      </c>
      <c r="I324" t="str">
        <f>IFERROR(VLOOKUP($A324,'Student Data'!$A$2:$AR$6,35,0),"")</f>
        <v/>
      </c>
      <c r="J324" t="str">
        <f>IFERROR(VLOOKUP($A324,'Student Data'!$A$2:$AR$6,36,0),"")</f>
        <v/>
      </c>
      <c r="K324" t="str">
        <f t="shared" ref="K324:K387" si="10">IFERROR(IF(C324="","",SUM(M324:X324)),"0")</f>
        <v/>
      </c>
      <c r="L324" t="str">
        <f t="shared" ref="L324:L387" si="11">IFERROR(IF(C324="","",J324-K324),"0")</f>
        <v/>
      </c>
      <c r="M324" t="str">
        <f>IFERROR(IF($C324="","",SUMIFS(Ledger!$K$2:$K$4, Ledger!$B$2:$B$4, $A324, Ledger!$C$2:$C$4, M$2)),"****")</f>
        <v/>
      </c>
      <c r="N324" t="str">
        <f>IFERROR(IF($C324="","",SUMIFS(Ledger!$K$2:$K$4, Ledger!$B$2:$B$4, $A324, Ledger!$C$2:$C$4, N$2)),"****")</f>
        <v/>
      </c>
      <c r="O324" t="str">
        <f>IFERROR(IF($C324="","",SUMIFS(Ledger!$K$2:$K$4, Ledger!$B$2:$B$4, $A324, Ledger!$C$2:$C$4, O$2)),"****")</f>
        <v/>
      </c>
      <c r="P324" t="str">
        <f>IFERROR(IF($C324="","",SUMIFS(Ledger!$K$2:$K$4, Ledger!$B$2:$B$4, $A324, Ledger!$C$2:$C$4, P$2)),"****")</f>
        <v/>
      </c>
      <c r="Q324" t="str">
        <f>IFERROR(IF($C324="","",SUMIFS(Ledger!$K$2:$K$4, Ledger!$B$2:$B$4, $A324, Ledger!$C$2:$C$4, Q$2)),"****")</f>
        <v/>
      </c>
      <c r="R324" t="str">
        <f>IFERROR(IF($C324="","",SUMIFS(Ledger!$K$2:$K$4, Ledger!$B$2:$B$4, $A324, Ledger!$C$2:$C$4, R$2)),"****")</f>
        <v/>
      </c>
      <c r="S324" t="str">
        <f>IFERROR(IF($C324="","",SUMIFS(Ledger!$K$2:$K$4, Ledger!$B$2:$B$4, $A324, Ledger!$C$2:$C$4, S$2)),"****")</f>
        <v/>
      </c>
      <c r="T324" t="str">
        <f>IFERROR(IF($C324="","",SUMIFS(Ledger!$K$2:$K$4, Ledger!$B$2:$B$4, $A324, Ledger!$C$2:$C$4, T$2)),"****")</f>
        <v/>
      </c>
      <c r="U324" t="str">
        <f>IFERROR(IF($C324="","",SUMIFS(Ledger!$K$2:$K$4, Ledger!$B$2:$B$4, $A324, Ledger!$C$2:$C$4, U$2)),"****")</f>
        <v/>
      </c>
      <c r="V324" t="str">
        <f>IFERROR(IF($C324="","",SUMIFS(Ledger!$K$2:$K$4, Ledger!$B$2:$B$4, $A324, Ledger!$C$2:$C$4, V$2)),"****")</f>
        <v/>
      </c>
      <c r="W324" t="str">
        <f>IFERROR(IF($C324="","",SUMIFS(Ledger!$K$2:$K$4, Ledger!$B$2:$B$4, $A324, Ledger!$C$2:$C$4, W$2)),"****")</f>
        <v/>
      </c>
      <c r="X324" t="str">
        <f>IFERROR(IF($C324="","",SUMIFS(Ledger!$K$2:$K$4, Ledger!$B$2:$B$4, $A324, Ledger!$C$2:$C$4, X$2)),"****")</f>
        <v/>
      </c>
    </row>
    <row r="325" spans="1:24" x14ac:dyDescent="0.3">
      <c r="A325" s="106">
        <v>323</v>
      </c>
      <c r="B325" t="str">
        <f>IFERROR(VLOOKUP($A325, Ledger!$B$2:$L$8, 3, 0),"")</f>
        <v/>
      </c>
      <c r="C325" t="str">
        <f>IFERROR(VLOOKUP($A325, Ledger!$B$2:$L$8, 4, 0),"")</f>
        <v/>
      </c>
      <c r="D325" t="str">
        <f>IFERROR(VLOOKUP($A325, Ledger!$B$2:$L$8, 5, 0),"")</f>
        <v/>
      </c>
      <c r="E325" t="str">
        <f>IFERROR(VLOOKUP($A325, Ledger!$B$2:$L$8, 6, 0),"")</f>
        <v/>
      </c>
      <c r="F325" t="str">
        <f>IFERROR(VLOOKUP($A325,'Student Data'!$A$2:$AR$6,32,0),"")</f>
        <v/>
      </c>
      <c r="G325" t="str">
        <f>IFERROR(VLOOKUP($A325,'Student Data'!$A$2:$AR$6,33,0),"")</f>
        <v/>
      </c>
      <c r="H325" t="str">
        <f>IFERROR(VLOOKUP($A325,'Student Data'!$A$2:$AR$6,34,0),"")</f>
        <v/>
      </c>
      <c r="I325" t="str">
        <f>IFERROR(VLOOKUP($A325,'Student Data'!$A$2:$AR$6,35,0),"")</f>
        <v/>
      </c>
      <c r="J325" t="str">
        <f>IFERROR(VLOOKUP($A325,'Student Data'!$A$2:$AR$6,36,0),"")</f>
        <v/>
      </c>
      <c r="K325" t="str">
        <f t="shared" si="10"/>
        <v/>
      </c>
      <c r="L325" t="str">
        <f t="shared" si="11"/>
        <v/>
      </c>
      <c r="M325" t="str">
        <f>IFERROR(IF($C325="","",SUMIFS(Ledger!$K$2:$K$4, Ledger!$B$2:$B$4, $A325, Ledger!$C$2:$C$4, M$2)),"****")</f>
        <v/>
      </c>
      <c r="N325" t="str">
        <f>IFERROR(IF($C325="","",SUMIFS(Ledger!$K$2:$K$4, Ledger!$B$2:$B$4, $A325, Ledger!$C$2:$C$4, N$2)),"****")</f>
        <v/>
      </c>
      <c r="O325" t="str">
        <f>IFERROR(IF($C325="","",SUMIFS(Ledger!$K$2:$K$4, Ledger!$B$2:$B$4, $A325, Ledger!$C$2:$C$4, O$2)),"****")</f>
        <v/>
      </c>
      <c r="P325" t="str">
        <f>IFERROR(IF($C325="","",SUMIFS(Ledger!$K$2:$K$4, Ledger!$B$2:$B$4, $A325, Ledger!$C$2:$C$4, P$2)),"****")</f>
        <v/>
      </c>
      <c r="Q325" t="str">
        <f>IFERROR(IF($C325="","",SUMIFS(Ledger!$K$2:$K$4, Ledger!$B$2:$B$4, $A325, Ledger!$C$2:$C$4, Q$2)),"****")</f>
        <v/>
      </c>
      <c r="R325" t="str">
        <f>IFERROR(IF($C325="","",SUMIFS(Ledger!$K$2:$K$4, Ledger!$B$2:$B$4, $A325, Ledger!$C$2:$C$4, R$2)),"****")</f>
        <v/>
      </c>
      <c r="S325" t="str">
        <f>IFERROR(IF($C325="","",SUMIFS(Ledger!$K$2:$K$4, Ledger!$B$2:$B$4, $A325, Ledger!$C$2:$C$4, S$2)),"****")</f>
        <v/>
      </c>
      <c r="T325" t="str">
        <f>IFERROR(IF($C325="","",SUMIFS(Ledger!$K$2:$K$4, Ledger!$B$2:$B$4, $A325, Ledger!$C$2:$C$4, T$2)),"****")</f>
        <v/>
      </c>
      <c r="U325" t="str">
        <f>IFERROR(IF($C325="","",SUMIFS(Ledger!$K$2:$K$4, Ledger!$B$2:$B$4, $A325, Ledger!$C$2:$C$4, U$2)),"****")</f>
        <v/>
      </c>
      <c r="V325" t="str">
        <f>IFERROR(IF($C325="","",SUMIFS(Ledger!$K$2:$K$4, Ledger!$B$2:$B$4, $A325, Ledger!$C$2:$C$4, V$2)),"****")</f>
        <v/>
      </c>
      <c r="W325" t="str">
        <f>IFERROR(IF($C325="","",SUMIFS(Ledger!$K$2:$K$4, Ledger!$B$2:$B$4, $A325, Ledger!$C$2:$C$4, W$2)),"****")</f>
        <v/>
      </c>
      <c r="X325" t="str">
        <f>IFERROR(IF($C325="","",SUMIFS(Ledger!$K$2:$K$4, Ledger!$B$2:$B$4, $A325, Ledger!$C$2:$C$4, X$2)),"****")</f>
        <v/>
      </c>
    </row>
    <row r="326" spans="1:24" x14ac:dyDescent="0.3">
      <c r="A326" s="106">
        <v>324</v>
      </c>
      <c r="B326" t="str">
        <f>IFERROR(VLOOKUP($A326, Ledger!$B$2:$L$8, 3, 0),"")</f>
        <v/>
      </c>
      <c r="C326" t="str">
        <f>IFERROR(VLOOKUP($A326, Ledger!$B$2:$L$8, 4, 0),"")</f>
        <v/>
      </c>
      <c r="D326" t="str">
        <f>IFERROR(VLOOKUP($A326, Ledger!$B$2:$L$8, 5, 0),"")</f>
        <v/>
      </c>
      <c r="E326" t="str">
        <f>IFERROR(VLOOKUP($A326, Ledger!$B$2:$L$8, 6, 0),"")</f>
        <v/>
      </c>
      <c r="F326" t="str">
        <f>IFERROR(VLOOKUP($A326,'Student Data'!$A$2:$AR$6,32,0),"")</f>
        <v/>
      </c>
      <c r="G326" t="str">
        <f>IFERROR(VLOOKUP($A326,'Student Data'!$A$2:$AR$6,33,0),"")</f>
        <v/>
      </c>
      <c r="H326" t="str">
        <f>IFERROR(VLOOKUP($A326,'Student Data'!$A$2:$AR$6,34,0),"")</f>
        <v/>
      </c>
      <c r="I326" t="str">
        <f>IFERROR(VLOOKUP($A326,'Student Data'!$A$2:$AR$6,35,0),"")</f>
        <v/>
      </c>
      <c r="J326" t="str">
        <f>IFERROR(VLOOKUP($A326,'Student Data'!$A$2:$AR$6,36,0),"")</f>
        <v/>
      </c>
      <c r="K326" t="str">
        <f t="shared" si="10"/>
        <v/>
      </c>
      <c r="L326" t="str">
        <f t="shared" si="11"/>
        <v/>
      </c>
      <c r="M326" t="str">
        <f>IFERROR(IF($C326="","",SUMIFS(Ledger!$K$2:$K$4, Ledger!$B$2:$B$4, $A326, Ledger!$C$2:$C$4, M$2)),"****")</f>
        <v/>
      </c>
      <c r="N326" t="str">
        <f>IFERROR(IF($C326="","",SUMIFS(Ledger!$K$2:$K$4, Ledger!$B$2:$B$4, $A326, Ledger!$C$2:$C$4, N$2)),"****")</f>
        <v/>
      </c>
      <c r="O326" t="str">
        <f>IFERROR(IF($C326="","",SUMIFS(Ledger!$K$2:$K$4, Ledger!$B$2:$B$4, $A326, Ledger!$C$2:$C$4, O$2)),"****")</f>
        <v/>
      </c>
      <c r="P326" t="str">
        <f>IFERROR(IF($C326="","",SUMIFS(Ledger!$K$2:$K$4, Ledger!$B$2:$B$4, $A326, Ledger!$C$2:$C$4, P$2)),"****")</f>
        <v/>
      </c>
      <c r="Q326" t="str">
        <f>IFERROR(IF($C326="","",SUMIFS(Ledger!$K$2:$K$4, Ledger!$B$2:$B$4, $A326, Ledger!$C$2:$C$4, Q$2)),"****")</f>
        <v/>
      </c>
      <c r="R326" t="str">
        <f>IFERROR(IF($C326="","",SUMIFS(Ledger!$K$2:$K$4, Ledger!$B$2:$B$4, $A326, Ledger!$C$2:$C$4, R$2)),"****")</f>
        <v/>
      </c>
      <c r="S326" t="str">
        <f>IFERROR(IF($C326="","",SUMIFS(Ledger!$K$2:$K$4, Ledger!$B$2:$B$4, $A326, Ledger!$C$2:$C$4, S$2)),"****")</f>
        <v/>
      </c>
      <c r="T326" t="str">
        <f>IFERROR(IF($C326="","",SUMIFS(Ledger!$K$2:$K$4, Ledger!$B$2:$B$4, $A326, Ledger!$C$2:$C$4, T$2)),"****")</f>
        <v/>
      </c>
      <c r="U326" t="str">
        <f>IFERROR(IF($C326="","",SUMIFS(Ledger!$K$2:$K$4, Ledger!$B$2:$B$4, $A326, Ledger!$C$2:$C$4, U$2)),"****")</f>
        <v/>
      </c>
      <c r="V326" t="str">
        <f>IFERROR(IF($C326="","",SUMIFS(Ledger!$K$2:$K$4, Ledger!$B$2:$B$4, $A326, Ledger!$C$2:$C$4, V$2)),"****")</f>
        <v/>
      </c>
      <c r="W326" t="str">
        <f>IFERROR(IF($C326="","",SUMIFS(Ledger!$K$2:$K$4, Ledger!$B$2:$B$4, $A326, Ledger!$C$2:$C$4, W$2)),"****")</f>
        <v/>
      </c>
      <c r="X326" t="str">
        <f>IFERROR(IF($C326="","",SUMIFS(Ledger!$K$2:$K$4, Ledger!$B$2:$B$4, $A326, Ledger!$C$2:$C$4, X$2)),"****")</f>
        <v/>
      </c>
    </row>
    <row r="327" spans="1:24" x14ac:dyDescent="0.3">
      <c r="A327" s="106">
        <v>325</v>
      </c>
      <c r="B327" t="str">
        <f>IFERROR(VLOOKUP($A327, Ledger!$B$2:$L$8, 3, 0),"")</f>
        <v/>
      </c>
      <c r="C327" t="str">
        <f>IFERROR(VLOOKUP($A327, Ledger!$B$2:$L$8, 4, 0),"")</f>
        <v/>
      </c>
      <c r="D327" t="str">
        <f>IFERROR(VLOOKUP($A327, Ledger!$B$2:$L$8, 5, 0),"")</f>
        <v/>
      </c>
      <c r="E327" t="str">
        <f>IFERROR(VLOOKUP($A327, Ledger!$B$2:$L$8, 6, 0),"")</f>
        <v/>
      </c>
      <c r="F327" t="str">
        <f>IFERROR(VLOOKUP($A327,'Student Data'!$A$2:$AR$6,32,0),"")</f>
        <v/>
      </c>
      <c r="G327" t="str">
        <f>IFERROR(VLOOKUP($A327,'Student Data'!$A$2:$AR$6,33,0),"")</f>
        <v/>
      </c>
      <c r="H327" t="str">
        <f>IFERROR(VLOOKUP($A327,'Student Data'!$A$2:$AR$6,34,0),"")</f>
        <v/>
      </c>
      <c r="I327" t="str">
        <f>IFERROR(VLOOKUP($A327,'Student Data'!$A$2:$AR$6,35,0),"")</f>
        <v/>
      </c>
      <c r="J327" t="str">
        <f>IFERROR(VLOOKUP($A327,'Student Data'!$A$2:$AR$6,36,0),"")</f>
        <v/>
      </c>
      <c r="K327" t="str">
        <f t="shared" si="10"/>
        <v/>
      </c>
      <c r="L327" t="str">
        <f t="shared" si="11"/>
        <v/>
      </c>
      <c r="M327" t="str">
        <f>IFERROR(IF($C327="","",SUMIFS(Ledger!$K$2:$K$4, Ledger!$B$2:$B$4, $A327, Ledger!$C$2:$C$4, M$2)),"****")</f>
        <v/>
      </c>
      <c r="N327" t="str">
        <f>IFERROR(IF($C327="","",SUMIFS(Ledger!$K$2:$K$4, Ledger!$B$2:$B$4, $A327, Ledger!$C$2:$C$4, N$2)),"****")</f>
        <v/>
      </c>
      <c r="O327" t="str">
        <f>IFERROR(IF($C327="","",SUMIFS(Ledger!$K$2:$K$4, Ledger!$B$2:$B$4, $A327, Ledger!$C$2:$C$4, O$2)),"****")</f>
        <v/>
      </c>
      <c r="P327" t="str">
        <f>IFERROR(IF($C327="","",SUMIFS(Ledger!$K$2:$K$4, Ledger!$B$2:$B$4, $A327, Ledger!$C$2:$C$4, P$2)),"****")</f>
        <v/>
      </c>
      <c r="Q327" t="str">
        <f>IFERROR(IF($C327="","",SUMIFS(Ledger!$K$2:$K$4, Ledger!$B$2:$B$4, $A327, Ledger!$C$2:$C$4, Q$2)),"****")</f>
        <v/>
      </c>
      <c r="R327" t="str">
        <f>IFERROR(IF($C327="","",SUMIFS(Ledger!$K$2:$K$4, Ledger!$B$2:$B$4, $A327, Ledger!$C$2:$C$4, R$2)),"****")</f>
        <v/>
      </c>
      <c r="S327" t="str">
        <f>IFERROR(IF($C327="","",SUMIFS(Ledger!$K$2:$K$4, Ledger!$B$2:$B$4, $A327, Ledger!$C$2:$C$4, S$2)),"****")</f>
        <v/>
      </c>
      <c r="T327" t="str">
        <f>IFERROR(IF($C327="","",SUMIFS(Ledger!$K$2:$K$4, Ledger!$B$2:$B$4, $A327, Ledger!$C$2:$C$4, T$2)),"****")</f>
        <v/>
      </c>
      <c r="U327" t="str">
        <f>IFERROR(IF($C327="","",SUMIFS(Ledger!$K$2:$K$4, Ledger!$B$2:$B$4, $A327, Ledger!$C$2:$C$4, U$2)),"****")</f>
        <v/>
      </c>
      <c r="V327" t="str">
        <f>IFERROR(IF($C327="","",SUMIFS(Ledger!$K$2:$K$4, Ledger!$B$2:$B$4, $A327, Ledger!$C$2:$C$4, V$2)),"****")</f>
        <v/>
      </c>
      <c r="W327" t="str">
        <f>IFERROR(IF($C327="","",SUMIFS(Ledger!$K$2:$K$4, Ledger!$B$2:$B$4, $A327, Ledger!$C$2:$C$4, W$2)),"****")</f>
        <v/>
      </c>
      <c r="X327" t="str">
        <f>IFERROR(IF($C327="","",SUMIFS(Ledger!$K$2:$K$4, Ledger!$B$2:$B$4, $A327, Ledger!$C$2:$C$4, X$2)),"****")</f>
        <v/>
      </c>
    </row>
    <row r="328" spans="1:24" x14ac:dyDescent="0.3">
      <c r="A328" s="106">
        <v>326</v>
      </c>
      <c r="B328" t="str">
        <f>IFERROR(VLOOKUP($A328, Ledger!$B$2:$L$8, 3, 0),"")</f>
        <v/>
      </c>
      <c r="C328" t="str">
        <f>IFERROR(VLOOKUP($A328, Ledger!$B$2:$L$8, 4, 0),"")</f>
        <v/>
      </c>
      <c r="D328" t="str">
        <f>IFERROR(VLOOKUP($A328, Ledger!$B$2:$L$8, 5, 0),"")</f>
        <v/>
      </c>
      <c r="E328" t="str">
        <f>IFERROR(VLOOKUP($A328, Ledger!$B$2:$L$8, 6, 0),"")</f>
        <v/>
      </c>
      <c r="F328" t="str">
        <f>IFERROR(VLOOKUP($A328,'Student Data'!$A$2:$AR$6,32,0),"")</f>
        <v/>
      </c>
      <c r="G328" t="str">
        <f>IFERROR(VLOOKUP($A328,'Student Data'!$A$2:$AR$6,33,0),"")</f>
        <v/>
      </c>
      <c r="H328" t="str">
        <f>IFERROR(VLOOKUP($A328,'Student Data'!$A$2:$AR$6,34,0),"")</f>
        <v/>
      </c>
      <c r="I328" t="str">
        <f>IFERROR(VLOOKUP($A328,'Student Data'!$A$2:$AR$6,35,0),"")</f>
        <v/>
      </c>
      <c r="J328" t="str">
        <f>IFERROR(VLOOKUP($A328,'Student Data'!$A$2:$AR$6,36,0),"")</f>
        <v/>
      </c>
      <c r="K328" t="str">
        <f t="shared" si="10"/>
        <v/>
      </c>
      <c r="L328" t="str">
        <f t="shared" si="11"/>
        <v/>
      </c>
      <c r="M328" t="str">
        <f>IFERROR(IF($C328="","",SUMIFS(Ledger!$K$2:$K$4, Ledger!$B$2:$B$4, $A328, Ledger!$C$2:$C$4, M$2)),"****")</f>
        <v/>
      </c>
      <c r="N328" t="str">
        <f>IFERROR(IF($C328="","",SUMIFS(Ledger!$K$2:$K$4, Ledger!$B$2:$B$4, $A328, Ledger!$C$2:$C$4, N$2)),"****")</f>
        <v/>
      </c>
      <c r="O328" t="str">
        <f>IFERROR(IF($C328="","",SUMIFS(Ledger!$K$2:$K$4, Ledger!$B$2:$B$4, $A328, Ledger!$C$2:$C$4, O$2)),"****")</f>
        <v/>
      </c>
      <c r="P328" t="str">
        <f>IFERROR(IF($C328="","",SUMIFS(Ledger!$K$2:$K$4, Ledger!$B$2:$B$4, $A328, Ledger!$C$2:$C$4, P$2)),"****")</f>
        <v/>
      </c>
      <c r="Q328" t="str">
        <f>IFERROR(IF($C328="","",SUMIFS(Ledger!$K$2:$K$4, Ledger!$B$2:$B$4, $A328, Ledger!$C$2:$C$4, Q$2)),"****")</f>
        <v/>
      </c>
      <c r="R328" t="str">
        <f>IFERROR(IF($C328="","",SUMIFS(Ledger!$K$2:$K$4, Ledger!$B$2:$B$4, $A328, Ledger!$C$2:$C$4, R$2)),"****")</f>
        <v/>
      </c>
      <c r="S328" t="str">
        <f>IFERROR(IF($C328="","",SUMIFS(Ledger!$K$2:$K$4, Ledger!$B$2:$B$4, $A328, Ledger!$C$2:$C$4, S$2)),"****")</f>
        <v/>
      </c>
      <c r="T328" t="str">
        <f>IFERROR(IF($C328="","",SUMIFS(Ledger!$K$2:$K$4, Ledger!$B$2:$B$4, $A328, Ledger!$C$2:$C$4, T$2)),"****")</f>
        <v/>
      </c>
      <c r="U328" t="str">
        <f>IFERROR(IF($C328="","",SUMIFS(Ledger!$K$2:$K$4, Ledger!$B$2:$B$4, $A328, Ledger!$C$2:$C$4, U$2)),"****")</f>
        <v/>
      </c>
      <c r="V328" t="str">
        <f>IFERROR(IF($C328="","",SUMIFS(Ledger!$K$2:$K$4, Ledger!$B$2:$B$4, $A328, Ledger!$C$2:$C$4, V$2)),"****")</f>
        <v/>
      </c>
      <c r="W328" t="str">
        <f>IFERROR(IF($C328="","",SUMIFS(Ledger!$K$2:$K$4, Ledger!$B$2:$B$4, $A328, Ledger!$C$2:$C$4, W$2)),"****")</f>
        <v/>
      </c>
      <c r="X328" t="str">
        <f>IFERROR(IF($C328="","",SUMIFS(Ledger!$K$2:$K$4, Ledger!$B$2:$B$4, $A328, Ledger!$C$2:$C$4, X$2)),"****")</f>
        <v/>
      </c>
    </row>
    <row r="329" spans="1:24" x14ac:dyDescent="0.3">
      <c r="A329" s="106">
        <v>327</v>
      </c>
      <c r="B329" t="str">
        <f>IFERROR(VLOOKUP($A329, Ledger!$B$2:$L$8, 3, 0),"")</f>
        <v/>
      </c>
      <c r="C329" t="str">
        <f>IFERROR(VLOOKUP($A329, Ledger!$B$2:$L$8, 4, 0),"")</f>
        <v/>
      </c>
      <c r="D329" t="str">
        <f>IFERROR(VLOOKUP($A329, Ledger!$B$2:$L$8, 5, 0),"")</f>
        <v/>
      </c>
      <c r="E329" t="str">
        <f>IFERROR(VLOOKUP($A329, Ledger!$B$2:$L$8, 6, 0),"")</f>
        <v/>
      </c>
      <c r="F329" t="str">
        <f>IFERROR(VLOOKUP($A329,'Student Data'!$A$2:$AR$6,32,0),"")</f>
        <v/>
      </c>
      <c r="G329" t="str">
        <f>IFERROR(VLOOKUP($A329,'Student Data'!$A$2:$AR$6,33,0),"")</f>
        <v/>
      </c>
      <c r="H329" t="str">
        <f>IFERROR(VLOOKUP($A329,'Student Data'!$A$2:$AR$6,34,0),"")</f>
        <v/>
      </c>
      <c r="I329" t="str">
        <f>IFERROR(VLOOKUP($A329,'Student Data'!$A$2:$AR$6,35,0),"")</f>
        <v/>
      </c>
      <c r="J329" t="str">
        <f>IFERROR(VLOOKUP($A329,'Student Data'!$A$2:$AR$6,36,0),"")</f>
        <v/>
      </c>
      <c r="K329" t="str">
        <f t="shared" si="10"/>
        <v/>
      </c>
      <c r="L329" t="str">
        <f t="shared" si="11"/>
        <v/>
      </c>
      <c r="M329" t="str">
        <f>IFERROR(IF($C329="","",SUMIFS(Ledger!$K$2:$K$4, Ledger!$B$2:$B$4, $A329, Ledger!$C$2:$C$4, M$2)),"****")</f>
        <v/>
      </c>
      <c r="N329" t="str">
        <f>IFERROR(IF($C329="","",SUMIFS(Ledger!$K$2:$K$4, Ledger!$B$2:$B$4, $A329, Ledger!$C$2:$C$4, N$2)),"****")</f>
        <v/>
      </c>
      <c r="O329" t="str">
        <f>IFERROR(IF($C329="","",SUMIFS(Ledger!$K$2:$K$4, Ledger!$B$2:$B$4, $A329, Ledger!$C$2:$C$4, O$2)),"****")</f>
        <v/>
      </c>
      <c r="P329" t="str">
        <f>IFERROR(IF($C329="","",SUMIFS(Ledger!$K$2:$K$4, Ledger!$B$2:$B$4, $A329, Ledger!$C$2:$C$4, P$2)),"****")</f>
        <v/>
      </c>
      <c r="Q329" t="str">
        <f>IFERROR(IF($C329="","",SUMIFS(Ledger!$K$2:$K$4, Ledger!$B$2:$B$4, $A329, Ledger!$C$2:$C$4, Q$2)),"****")</f>
        <v/>
      </c>
      <c r="R329" t="str">
        <f>IFERROR(IF($C329="","",SUMIFS(Ledger!$K$2:$K$4, Ledger!$B$2:$B$4, $A329, Ledger!$C$2:$C$4, R$2)),"****")</f>
        <v/>
      </c>
      <c r="S329" t="str">
        <f>IFERROR(IF($C329="","",SUMIFS(Ledger!$K$2:$K$4, Ledger!$B$2:$B$4, $A329, Ledger!$C$2:$C$4, S$2)),"****")</f>
        <v/>
      </c>
      <c r="T329" t="str">
        <f>IFERROR(IF($C329="","",SUMIFS(Ledger!$K$2:$K$4, Ledger!$B$2:$B$4, $A329, Ledger!$C$2:$C$4, T$2)),"****")</f>
        <v/>
      </c>
      <c r="U329" t="str">
        <f>IFERROR(IF($C329="","",SUMIFS(Ledger!$K$2:$K$4, Ledger!$B$2:$B$4, $A329, Ledger!$C$2:$C$4, U$2)),"****")</f>
        <v/>
      </c>
      <c r="V329" t="str">
        <f>IFERROR(IF($C329="","",SUMIFS(Ledger!$K$2:$K$4, Ledger!$B$2:$B$4, $A329, Ledger!$C$2:$C$4, V$2)),"****")</f>
        <v/>
      </c>
      <c r="W329" t="str">
        <f>IFERROR(IF($C329="","",SUMIFS(Ledger!$K$2:$K$4, Ledger!$B$2:$B$4, $A329, Ledger!$C$2:$C$4, W$2)),"****")</f>
        <v/>
      </c>
      <c r="X329" t="str">
        <f>IFERROR(IF($C329="","",SUMIFS(Ledger!$K$2:$K$4, Ledger!$B$2:$B$4, $A329, Ledger!$C$2:$C$4, X$2)),"****")</f>
        <v/>
      </c>
    </row>
    <row r="330" spans="1:24" x14ac:dyDescent="0.3">
      <c r="A330" s="106">
        <v>328</v>
      </c>
      <c r="B330" t="str">
        <f>IFERROR(VLOOKUP($A330, Ledger!$B$2:$L$8, 3, 0),"")</f>
        <v/>
      </c>
      <c r="C330" t="str">
        <f>IFERROR(VLOOKUP($A330, Ledger!$B$2:$L$8, 4, 0),"")</f>
        <v/>
      </c>
      <c r="D330" t="str">
        <f>IFERROR(VLOOKUP($A330, Ledger!$B$2:$L$8, 5, 0),"")</f>
        <v/>
      </c>
      <c r="E330" t="str">
        <f>IFERROR(VLOOKUP($A330, Ledger!$B$2:$L$8, 6, 0),"")</f>
        <v/>
      </c>
      <c r="F330" t="str">
        <f>IFERROR(VLOOKUP($A330,'Student Data'!$A$2:$AR$6,32,0),"")</f>
        <v/>
      </c>
      <c r="G330" t="str">
        <f>IFERROR(VLOOKUP($A330,'Student Data'!$A$2:$AR$6,33,0),"")</f>
        <v/>
      </c>
      <c r="H330" t="str">
        <f>IFERROR(VLOOKUP($A330,'Student Data'!$A$2:$AR$6,34,0),"")</f>
        <v/>
      </c>
      <c r="I330" t="str">
        <f>IFERROR(VLOOKUP($A330,'Student Data'!$A$2:$AR$6,35,0),"")</f>
        <v/>
      </c>
      <c r="J330" t="str">
        <f>IFERROR(VLOOKUP($A330,'Student Data'!$A$2:$AR$6,36,0),"")</f>
        <v/>
      </c>
      <c r="K330" t="str">
        <f t="shared" si="10"/>
        <v/>
      </c>
      <c r="L330" t="str">
        <f t="shared" si="11"/>
        <v/>
      </c>
      <c r="M330" t="str">
        <f>IFERROR(IF($C330="","",SUMIFS(Ledger!$K$2:$K$4, Ledger!$B$2:$B$4, $A330, Ledger!$C$2:$C$4, M$2)),"****")</f>
        <v/>
      </c>
      <c r="N330" t="str">
        <f>IFERROR(IF($C330="","",SUMIFS(Ledger!$K$2:$K$4, Ledger!$B$2:$B$4, $A330, Ledger!$C$2:$C$4, N$2)),"****")</f>
        <v/>
      </c>
      <c r="O330" t="str">
        <f>IFERROR(IF($C330="","",SUMIFS(Ledger!$K$2:$K$4, Ledger!$B$2:$B$4, $A330, Ledger!$C$2:$C$4, O$2)),"****")</f>
        <v/>
      </c>
      <c r="P330" t="str">
        <f>IFERROR(IF($C330="","",SUMIFS(Ledger!$K$2:$K$4, Ledger!$B$2:$B$4, $A330, Ledger!$C$2:$C$4, P$2)),"****")</f>
        <v/>
      </c>
      <c r="Q330" t="str">
        <f>IFERROR(IF($C330="","",SUMIFS(Ledger!$K$2:$K$4, Ledger!$B$2:$B$4, $A330, Ledger!$C$2:$C$4, Q$2)),"****")</f>
        <v/>
      </c>
      <c r="R330" t="str">
        <f>IFERROR(IF($C330="","",SUMIFS(Ledger!$K$2:$K$4, Ledger!$B$2:$B$4, $A330, Ledger!$C$2:$C$4, R$2)),"****")</f>
        <v/>
      </c>
      <c r="S330" t="str">
        <f>IFERROR(IF($C330="","",SUMIFS(Ledger!$K$2:$K$4, Ledger!$B$2:$B$4, $A330, Ledger!$C$2:$C$4, S$2)),"****")</f>
        <v/>
      </c>
      <c r="T330" t="str">
        <f>IFERROR(IF($C330="","",SUMIFS(Ledger!$K$2:$K$4, Ledger!$B$2:$B$4, $A330, Ledger!$C$2:$C$4, T$2)),"****")</f>
        <v/>
      </c>
      <c r="U330" t="str">
        <f>IFERROR(IF($C330="","",SUMIFS(Ledger!$K$2:$K$4, Ledger!$B$2:$B$4, $A330, Ledger!$C$2:$C$4, U$2)),"****")</f>
        <v/>
      </c>
      <c r="V330" t="str">
        <f>IFERROR(IF($C330="","",SUMIFS(Ledger!$K$2:$K$4, Ledger!$B$2:$B$4, $A330, Ledger!$C$2:$C$4, V$2)),"****")</f>
        <v/>
      </c>
      <c r="W330" t="str">
        <f>IFERROR(IF($C330="","",SUMIFS(Ledger!$K$2:$K$4, Ledger!$B$2:$B$4, $A330, Ledger!$C$2:$C$4, W$2)),"****")</f>
        <v/>
      </c>
      <c r="X330" t="str">
        <f>IFERROR(IF($C330="","",SUMIFS(Ledger!$K$2:$K$4, Ledger!$B$2:$B$4, $A330, Ledger!$C$2:$C$4, X$2)),"****")</f>
        <v/>
      </c>
    </row>
    <row r="331" spans="1:24" x14ac:dyDescent="0.3">
      <c r="A331" s="106">
        <v>329</v>
      </c>
      <c r="B331" t="str">
        <f>IFERROR(VLOOKUP($A331, Ledger!$B$2:$L$8, 3, 0),"")</f>
        <v/>
      </c>
      <c r="C331" t="str">
        <f>IFERROR(VLOOKUP($A331, Ledger!$B$2:$L$8, 4, 0),"")</f>
        <v/>
      </c>
      <c r="D331" t="str">
        <f>IFERROR(VLOOKUP($A331, Ledger!$B$2:$L$8, 5, 0),"")</f>
        <v/>
      </c>
      <c r="E331" t="str">
        <f>IFERROR(VLOOKUP($A331, Ledger!$B$2:$L$8, 6, 0),"")</f>
        <v/>
      </c>
      <c r="F331" t="str">
        <f>IFERROR(VLOOKUP($A331,'Student Data'!$A$2:$AR$6,32,0),"")</f>
        <v/>
      </c>
      <c r="G331" t="str">
        <f>IFERROR(VLOOKUP($A331,'Student Data'!$A$2:$AR$6,33,0),"")</f>
        <v/>
      </c>
      <c r="H331" t="str">
        <f>IFERROR(VLOOKUP($A331,'Student Data'!$A$2:$AR$6,34,0),"")</f>
        <v/>
      </c>
      <c r="I331" t="str">
        <f>IFERROR(VLOOKUP($A331,'Student Data'!$A$2:$AR$6,35,0),"")</f>
        <v/>
      </c>
      <c r="J331" t="str">
        <f>IFERROR(VLOOKUP($A331,'Student Data'!$A$2:$AR$6,36,0),"")</f>
        <v/>
      </c>
      <c r="K331" t="str">
        <f t="shared" si="10"/>
        <v/>
      </c>
      <c r="L331" t="str">
        <f t="shared" si="11"/>
        <v/>
      </c>
      <c r="M331" t="str">
        <f>IFERROR(IF($C331="","",SUMIFS(Ledger!$K$2:$K$4, Ledger!$B$2:$B$4, $A331, Ledger!$C$2:$C$4, M$2)),"****")</f>
        <v/>
      </c>
      <c r="N331" t="str">
        <f>IFERROR(IF($C331="","",SUMIFS(Ledger!$K$2:$K$4, Ledger!$B$2:$B$4, $A331, Ledger!$C$2:$C$4, N$2)),"****")</f>
        <v/>
      </c>
      <c r="O331" t="str">
        <f>IFERROR(IF($C331="","",SUMIFS(Ledger!$K$2:$K$4, Ledger!$B$2:$B$4, $A331, Ledger!$C$2:$C$4, O$2)),"****")</f>
        <v/>
      </c>
      <c r="P331" t="str">
        <f>IFERROR(IF($C331="","",SUMIFS(Ledger!$K$2:$K$4, Ledger!$B$2:$B$4, $A331, Ledger!$C$2:$C$4, P$2)),"****")</f>
        <v/>
      </c>
      <c r="Q331" t="str">
        <f>IFERROR(IF($C331="","",SUMIFS(Ledger!$K$2:$K$4, Ledger!$B$2:$B$4, $A331, Ledger!$C$2:$C$4, Q$2)),"****")</f>
        <v/>
      </c>
      <c r="R331" t="str">
        <f>IFERROR(IF($C331="","",SUMIFS(Ledger!$K$2:$K$4, Ledger!$B$2:$B$4, $A331, Ledger!$C$2:$C$4, R$2)),"****")</f>
        <v/>
      </c>
      <c r="S331" t="str">
        <f>IFERROR(IF($C331="","",SUMIFS(Ledger!$K$2:$K$4, Ledger!$B$2:$B$4, $A331, Ledger!$C$2:$C$4, S$2)),"****")</f>
        <v/>
      </c>
      <c r="T331" t="str">
        <f>IFERROR(IF($C331="","",SUMIFS(Ledger!$K$2:$K$4, Ledger!$B$2:$B$4, $A331, Ledger!$C$2:$C$4, T$2)),"****")</f>
        <v/>
      </c>
      <c r="U331" t="str">
        <f>IFERROR(IF($C331="","",SUMIFS(Ledger!$K$2:$K$4, Ledger!$B$2:$B$4, $A331, Ledger!$C$2:$C$4, U$2)),"****")</f>
        <v/>
      </c>
      <c r="V331" t="str">
        <f>IFERROR(IF($C331="","",SUMIFS(Ledger!$K$2:$K$4, Ledger!$B$2:$B$4, $A331, Ledger!$C$2:$C$4, V$2)),"****")</f>
        <v/>
      </c>
      <c r="W331" t="str">
        <f>IFERROR(IF($C331="","",SUMIFS(Ledger!$K$2:$K$4, Ledger!$B$2:$B$4, $A331, Ledger!$C$2:$C$4, W$2)),"****")</f>
        <v/>
      </c>
      <c r="X331" t="str">
        <f>IFERROR(IF($C331="","",SUMIFS(Ledger!$K$2:$K$4, Ledger!$B$2:$B$4, $A331, Ledger!$C$2:$C$4, X$2)),"****")</f>
        <v/>
      </c>
    </row>
    <row r="332" spans="1:24" x14ac:dyDescent="0.3">
      <c r="A332" s="106">
        <v>330</v>
      </c>
      <c r="B332" t="str">
        <f>IFERROR(VLOOKUP($A332, Ledger!$B$2:$L$8, 3, 0),"")</f>
        <v/>
      </c>
      <c r="C332" t="str">
        <f>IFERROR(VLOOKUP($A332, Ledger!$B$2:$L$8, 4, 0),"")</f>
        <v/>
      </c>
      <c r="D332" t="str">
        <f>IFERROR(VLOOKUP($A332, Ledger!$B$2:$L$8, 5, 0),"")</f>
        <v/>
      </c>
      <c r="E332" t="str">
        <f>IFERROR(VLOOKUP($A332, Ledger!$B$2:$L$8, 6, 0),"")</f>
        <v/>
      </c>
      <c r="F332" t="str">
        <f>IFERROR(VLOOKUP($A332,'Student Data'!$A$2:$AR$6,32,0),"")</f>
        <v/>
      </c>
      <c r="G332" t="str">
        <f>IFERROR(VLOOKUP($A332,'Student Data'!$A$2:$AR$6,33,0),"")</f>
        <v/>
      </c>
      <c r="H332" t="str">
        <f>IFERROR(VLOOKUP($A332,'Student Data'!$A$2:$AR$6,34,0),"")</f>
        <v/>
      </c>
      <c r="I332" t="str">
        <f>IFERROR(VLOOKUP($A332,'Student Data'!$A$2:$AR$6,35,0),"")</f>
        <v/>
      </c>
      <c r="J332" t="str">
        <f>IFERROR(VLOOKUP($A332,'Student Data'!$A$2:$AR$6,36,0),"")</f>
        <v/>
      </c>
      <c r="K332" t="str">
        <f t="shared" si="10"/>
        <v/>
      </c>
      <c r="L332" t="str">
        <f t="shared" si="11"/>
        <v/>
      </c>
      <c r="M332" t="str">
        <f>IFERROR(IF($C332="","",SUMIFS(Ledger!$K$2:$K$4, Ledger!$B$2:$B$4, $A332, Ledger!$C$2:$C$4, M$2)),"****")</f>
        <v/>
      </c>
      <c r="N332" t="str">
        <f>IFERROR(IF($C332="","",SUMIFS(Ledger!$K$2:$K$4, Ledger!$B$2:$B$4, $A332, Ledger!$C$2:$C$4, N$2)),"****")</f>
        <v/>
      </c>
      <c r="O332" t="str">
        <f>IFERROR(IF($C332="","",SUMIFS(Ledger!$K$2:$K$4, Ledger!$B$2:$B$4, $A332, Ledger!$C$2:$C$4, O$2)),"****")</f>
        <v/>
      </c>
      <c r="P332" t="str">
        <f>IFERROR(IF($C332="","",SUMIFS(Ledger!$K$2:$K$4, Ledger!$B$2:$B$4, $A332, Ledger!$C$2:$C$4, P$2)),"****")</f>
        <v/>
      </c>
      <c r="Q332" t="str">
        <f>IFERROR(IF($C332="","",SUMIFS(Ledger!$K$2:$K$4, Ledger!$B$2:$B$4, $A332, Ledger!$C$2:$C$4, Q$2)),"****")</f>
        <v/>
      </c>
      <c r="R332" t="str">
        <f>IFERROR(IF($C332="","",SUMIFS(Ledger!$K$2:$K$4, Ledger!$B$2:$B$4, $A332, Ledger!$C$2:$C$4, R$2)),"****")</f>
        <v/>
      </c>
      <c r="S332" t="str">
        <f>IFERROR(IF($C332="","",SUMIFS(Ledger!$K$2:$K$4, Ledger!$B$2:$B$4, $A332, Ledger!$C$2:$C$4, S$2)),"****")</f>
        <v/>
      </c>
      <c r="T332" t="str">
        <f>IFERROR(IF($C332="","",SUMIFS(Ledger!$K$2:$K$4, Ledger!$B$2:$B$4, $A332, Ledger!$C$2:$C$4, T$2)),"****")</f>
        <v/>
      </c>
      <c r="U332" t="str">
        <f>IFERROR(IF($C332="","",SUMIFS(Ledger!$K$2:$K$4, Ledger!$B$2:$B$4, $A332, Ledger!$C$2:$C$4, U$2)),"****")</f>
        <v/>
      </c>
      <c r="V332" t="str">
        <f>IFERROR(IF($C332="","",SUMIFS(Ledger!$K$2:$K$4, Ledger!$B$2:$B$4, $A332, Ledger!$C$2:$C$4, V$2)),"****")</f>
        <v/>
      </c>
      <c r="W332" t="str">
        <f>IFERROR(IF($C332="","",SUMIFS(Ledger!$K$2:$K$4, Ledger!$B$2:$B$4, $A332, Ledger!$C$2:$C$4, W$2)),"****")</f>
        <v/>
      </c>
      <c r="X332" t="str">
        <f>IFERROR(IF($C332="","",SUMIFS(Ledger!$K$2:$K$4, Ledger!$B$2:$B$4, $A332, Ledger!$C$2:$C$4, X$2)),"****")</f>
        <v/>
      </c>
    </row>
    <row r="333" spans="1:24" x14ac:dyDescent="0.3">
      <c r="A333" s="106">
        <v>331</v>
      </c>
      <c r="B333" t="str">
        <f>IFERROR(VLOOKUP($A333, Ledger!$B$2:$L$8, 3, 0),"")</f>
        <v/>
      </c>
      <c r="C333" t="str">
        <f>IFERROR(VLOOKUP($A333, Ledger!$B$2:$L$8, 4, 0),"")</f>
        <v/>
      </c>
      <c r="D333" t="str">
        <f>IFERROR(VLOOKUP($A333, Ledger!$B$2:$L$8, 5, 0),"")</f>
        <v/>
      </c>
      <c r="E333" t="str">
        <f>IFERROR(VLOOKUP($A333, Ledger!$B$2:$L$8, 6, 0),"")</f>
        <v/>
      </c>
      <c r="F333" t="str">
        <f>IFERROR(VLOOKUP($A333,'Student Data'!$A$2:$AR$6,32,0),"")</f>
        <v/>
      </c>
      <c r="G333" t="str">
        <f>IFERROR(VLOOKUP($A333,'Student Data'!$A$2:$AR$6,33,0),"")</f>
        <v/>
      </c>
      <c r="H333" t="str">
        <f>IFERROR(VLOOKUP($A333,'Student Data'!$A$2:$AR$6,34,0),"")</f>
        <v/>
      </c>
      <c r="I333" t="str">
        <f>IFERROR(VLOOKUP($A333,'Student Data'!$A$2:$AR$6,35,0),"")</f>
        <v/>
      </c>
      <c r="J333" t="str">
        <f>IFERROR(VLOOKUP($A333,'Student Data'!$A$2:$AR$6,36,0),"")</f>
        <v/>
      </c>
      <c r="K333" t="str">
        <f t="shared" si="10"/>
        <v/>
      </c>
      <c r="L333" t="str">
        <f t="shared" si="11"/>
        <v/>
      </c>
      <c r="M333" t="str">
        <f>IFERROR(IF($C333="","",SUMIFS(Ledger!$K$2:$K$4, Ledger!$B$2:$B$4, $A333, Ledger!$C$2:$C$4, M$2)),"****")</f>
        <v/>
      </c>
      <c r="N333" t="str">
        <f>IFERROR(IF($C333="","",SUMIFS(Ledger!$K$2:$K$4, Ledger!$B$2:$B$4, $A333, Ledger!$C$2:$C$4, N$2)),"****")</f>
        <v/>
      </c>
      <c r="O333" t="str">
        <f>IFERROR(IF($C333="","",SUMIFS(Ledger!$K$2:$K$4, Ledger!$B$2:$B$4, $A333, Ledger!$C$2:$C$4, O$2)),"****")</f>
        <v/>
      </c>
      <c r="P333" t="str">
        <f>IFERROR(IF($C333="","",SUMIFS(Ledger!$K$2:$K$4, Ledger!$B$2:$B$4, $A333, Ledger!$C$2:$C$4, P$2)),"****")</f>
        <v/>
      </c>
      <c r="Q333" t="str">
        <f>IFERROR(IF($C333="","",SUMIFS(Ledger!$K$2:$K$4, Ledger!$B$2:$B$4, $A333, Ledger!$C$2:$C$4, Q$2)),"****")</f>
        <v/>
      </c>
      <c r="R333" t="str">
        <f>IFERROR(IF($C333="","",SUMIFS(Ledger!$K$2:$K$4, Ledger!$B$2:$B$4, $A333, Ledger!$C$2:$C$4, R$2)),"****")</f>
        <v/>
      </c>
      <c r="S333" t="str">
        <f>IFERROR(IF($C333="","",SUMIFS(Ledger!$K$2:$K$4, Ledger!$B$2:$B$4, $A333, Ledger!$C$2:$C$4, S$2)),"****")</f>
        <v/>
      </c>
      <c r="T333" t="str">
        <f>IFERROR(IF($C333="","",SUMIFS(Ledger!$K$2:$K$4, Ledger!$B$2:$B$4, $A333, Ledger!$C$2:$C$4, T$2)),"****")</f>
        <v/>
      </c>
      <c r="U333" t="str">
        <f>IFERROR(IF($C333="","",SUMIFS(Ledger!$K$2:$K$4, Ledger!$B$2:$B$4, $A333, Ledger!$C$2:$C$4, U$2)),"****")</f>
        <v/>
      </c>
      <c r="V333" t="str">
        <f>IFERROR(IF($C333="","",SUMIFS(Ledger!$K$2:$K$4, Ledger!$B$2:$B$4, $A333, Ledger!$C$2:$C$4, V$2)),"****")</f>
        <v/>
      </c>
      <c r="W333" t="str">
        <f>IFERROR(IF($C333="","",SUMIFS(Ledger!$K$2:$K$4, Ledger!$B$2:$B$4, $A333, Ledger!$C$2:$C$4, W$2)),"****")</f>
        <v/>
      </c>
      <c r="X333" t="str">
        <f>IFERROR(IF($C333="","",SUMIFS(Ledger!$K$2:$K$4, Ledger!$B$2:$B$4, $A333, Ledger!$C$2:$C$4, X$2)),"****")</f>
        <v/>
      </c>
    </row>
    <row r="334" spans="1:24" x14ac:dyDescent="0.3">
      <c r="A334" s="106">
        <v>332</v>
      </c>
      <c r="B334" t="str">
        <f>IFERROR(VLOOKUP($A334, Ledger!$B$2:$L$8, 3, 0),"")</f>
        <v/>
      </c>
      <c r="C334" t="str">
        <f>IFERROR(VLOOKUP($A334, Ledger!$B$2:$L$8, 4, 0),"")</f>
        <v/>
      </c>
      <c r="D334" t="str">
        <f>IFERROR(VLOOKUP($A334, Ledger!$B$2:$L$8, 5, 0),"")</f>
        <v/>
      </c>
      <c r="E334" t="str">
        <f>IFERROR(VLOOKUP($A334, Ledger!$B$2:$L$8, 6, 0),"")</f>
        <v/>
      </c>
      <c r="F334" t="str">
        <f>IFERROR(VLOOKUP($A334,'Student Data'!$A$2:$AR$6,32,0),"")</f>
        <v/>
      </c>
      <c r="G334" t="str">
        <f>IFERROR(VLOOKUP($A334,'Student Data'!$A$2:$AR$6,33,0),"")</f>
        <v/>
      </c>
      <c r="H334" t="str">
        <f>IFERROR(VLOOKUP($A334,'Student Data'!$A$2:$AR$6,34,0),"")</f>
        <v/>
      </c>
      <c r="I334" t="str">
        <f>IFERROR(VLOOKUP($A334,'Student Data'!$A$2:$AR$6,35,0),"")</f>
        <v/>
      </c>
      <c r="J334" t="str">
        <f>IFERROR(VLOOKUP($A334,'Student Data'!$A$2:$AR$6,36,0),"")</f>
        <v/>
      </c>
      <c r="K334" t="str">
        <f t="shared" si="10"/>
        <v/>
      </c>
      <c r="L334" t="str">
        <f t="shared" si="11"/>
        <v/>
      </c>
      <c r="M334" t="str">
        <f>IFERROR(IF($C334="","",SUMIFS(Ledger!$K$2:$K$4, Ledger!$B$2:$B$4, $A334, Ledger!$C$2:$C$4, M$2)),"****")</f>
        <v/>
      </c>
      <c r="N334" t="str">
        <f>IFERROR(IF($C334="","",SUMIFS(Ledger!$K$2:$K$4, Ledger!$B$2:$B$4, $A334, Ledger!$C$2:$C$4, N$2)),"****")</f>
        <v/>
      </c>
      <c r="O334" t="str">
        <f>IFERROR(IF($C334="","",SUMIFS(Ledger!$K$2:$K$4, Ledger!$B$2:$B$4, $A334, Ledger!$C$2:$C$4, O$2)),"****")</f>
        <v/>
      </c>
      <c r="P334" t="str">
        <f>IFERROR(IF($C334="","",SUMIFS(Ledger!$K$2:$K$4, Ledger!$B$2:$B$4, $A334, Ledger!$C$2:$C$4, P$2)),"****")</f>
        <v/>
      </c>
      <c r="Q334" t="str">
        <f>IFERROR(IF($C334="","",SUMIFS(Ledger!$K$2:$K$4, Ledger!$B$2:$B$4, $A334, Ledger!$C$2:$C$4, Q$2)),"****")</f>
        <v/>
      </c>
      <c r="R334" t="str">
        <f>IFERROR(IF($C334="","",SUMIFS(Ledger!$K$2:$K$4, Ledger!$B$2:$B$4, $A334, Ledger!$C$2:$C$4, R$2)),"****")</f>
        <v/>
      </c>
      <c r="S334" t="str">
        <f>IFERROR(IF($C334="","",SUMIFS(Ledger!$K$2:$K$4, Ledger!$B$2:$B$4, $A334, Ledger!$C$2:$C$4, S$2)),"****")</f>
        <v/>
      </c>
      <c r="T334" t="str">
        <f>IFERROR(IF($C334="","",SUMIFS(Ledger!$K$2:$K$4, Ledger!$B$2:$B$4, $A334, Ledger!$C$2:$C$4, T$2)),"****")</f>
        <v/>
      </c>
      <c r="U334" t="str">
        <f>IFERROR(IF($C334="","",SUMIFS(Ledger!$K$2:$K$4, Ledger!$B$2:$B$4, $A334, Ledger!$C$2:$C$4, U$2)),"****")</f>
        <v/>
      </c>
      <c r="V334" t="str">
        <f>IFERROR(IF($C334="","",SUMIFS(Ledger!$K$2:$K$4, Ledger!$B$2:$B$4, $A334, Ledger!$C$2:$C$4, V$2)),"****")</f>
        <v/>
      </c>
      <c r="W334" t="str">
        <f>IFERROR(IF($C334="","",SUMIFS(Ledger!$K$2:$K$4, Ledger!$B$2:$B$4, $A334, Ledger!$C$2:$C$4, W$2)),"****")</f>
        <v/>
      </c>
      <c r="X334" t="str">
        <f>IFERROR(IF($C334="","",SUMIFS(Ledger!$K$2:$K$4, Ledger!$B$2:$B$4, $A334, Ledger!$C$2:$C$4, X$2)),"****")</f>
        <v/>
      </c>
    </row>
    <row r="335" spans="1:24" x14ac:dyDescent="0.3">
      <c r="A335" s="106">
        <v>333</v>
      </c>
      <c r="B335" t="str">
        <f>IFERROR(VLOOKUP($A335, Ledger!$B$2:$L$8, 3, 0),"")</f>
        <v/>
      </c>
      <c r="C335" t="str">
        <f>IFERROR(VLOOKUP($A335, Ledger!$B$2:$L$8, 4, 0),"")</f>
        <v/>
      </c>
      <c r="D335" t="str">
        <f>IFERROR(VLOOKUP($A335, Ledger!$B$2:$L$8, 5, 0),"")</f>
        <v/>
      </c>
      <c r="E335" t="str">
        <f>IFERROR(VLOOKUP($A335, Ledger!$B$2:$L$8, 6, 0),"")</f>
        <v/>
      </c>
      <c r="F335" t="str">
        <f>IFERROR(VLOOKUP($A335,'Student Data'!$A$2:$AR$6,32,0),"")</f>
        <v/>
      </c>
      <c r="G335" t="str">
        <f>IFERROR(VLOOKUP($A335,'Student Data'!$A$2:$AR$6,33,0),"")</f>
        <v/>
      </c>
      <c r="H335" t="str">
        <f>IFERROR(VLOOKUP($A335,'Student Data'!$A$2:$AR$6,34,0),"")</f>
        <v/>
      </c>
      <c r="I335" t="str">
        <f>IFERROR(VLOOKUP($A335,'Student Data'!$A$2:$AR$6,35,0),"")</f>
        <v/>
      </c>
      <c r="J335" t="str">
        <f>IFERROR(VLOOKUP($A335,'Student Data'!$A$2:$AR$6,36,0),"")</f>
        <v/>
      </c>
      <c r="K335" t="str">
        <f t="shared" si="10"/>
        <v/>
      </c>
      <c r="L335" t="str">
        <f t="shared" si="11"/>
        <v/>
      </c>
      <c r="M335" t="str">
        <f>IFERROR(IF($C335="","",SUMIFS(Ledger!$K$2:$K$4, Ledger!$B$2:$B$4, $A335, Ledger!$C$2:$C$4, M$2)),"****")</f>
        <v/>
      </c>
      <c r="N335" t="str">
        <f>IFERROR(IF($C335="","",SUMIFS(Ledger!$K$2:$K$4, Ledger!$B$2:$B$4, $A335, Ledger!$C$2:$C$4, N$2)),"****")</f>
        <v/>
      </c>
      <c r="O335" t="str">
        <f>IFERROR(IF($C335="","",SUMIFS(Ledger!$K$2:$K$4, Ledger!$B$2:$B$4, $A335, Ledger!$C$2:$C$4, O$2)),"****")</f>
        <v/>
      </c>
      <c r="P335" t="str">
        <f>IFERROR(IF($C335="","",SUMIFS(Ledger!$K$2:$K$4, Ledger!$B$2:$B$4, $A335, Ledger!$C$2:$C$4, P$2)),"****")</f>
        <v/>
      </c>
      <c r="Q335" t="str">
        <f>IFERROR(IF($C335="","",SUMIFS(Ledger!$K$2:$K$4, Ledger!$B$2:$B$4, $A335, Ledger!$C$2:$C$4, Q$2)),"****")</f>
        <v/>
      </c>
      <c r="R335" t="str">
        <f>IFERROR(IF($C335="","",SUMIFS(Ledger!$K$2:$K$4, Ledger!$B$2:$B$4, $A335, Ledger!$C$2:$C$4, R$2)),"****")</f>
        <v/>
      </c>
      <c r="S335" t="str">
        <f>IFERROR(IF($C335="","",SUMIFS(Ledger!$K$2:$K$4, Ledger!$B$2:$B$4, $A335, Ledger!$C$2:$C$4, S$2)),"****")</f>
        <v/>
      </c>
      <c r="T335" t="str">
        <f>IFERROR(IF($C335="","",SUMIFS(Ledger!$K$2:$K$4, Ledger!$B$2:$B$4, $A335, Ledger!$C$2:$C$4, T$2)),"****")</f>
        <v/>
      </c>
      <c r="U335" t="str">
        <f>IFERROR(IF($C335="","",SUMIFS(Ledger!$K$2:$K$4, Ledger!$B$2:$B$4, $A335, Ledger!$C$2:$C$4, U$2)),"****")</f>
        <v/>
      </c>
      <c r="V335" t="str">
        <f>IFERROR(IF($C335="","",SUMIFS(Ledger!$K$2:$K$4, Ledger!$B$2:$B$4, $A335, Ledger!$C$2:$C$4, V$2)),"****")</f>
        <v/>
      </c>
      <c r="W335" t="str">
        <f>IFERROR(IF($C335="","",SUMIFS(Ledger!$K$2:$K$4, Ledger!$B$2:$B$4, $A335, Ledger!$C$2:$C$4, W$2)),"****")</f>
        <v/>
      </c>
      <c r="X335" t="str">
        <f>IFERROR(IF($C335="","",SUMIFS(Ledger!$K$2:$K$4, Ledger!$B$2:$B$4, $A335, Ledger!$C$2:$C$4, X$2)),"****")</f>
        <v/>
      </c>
    </row>
    <row r="336" spans="1:24" x14ac:dyDescent="0.3">
      <c r="A336" s="106">
        <v>334</v>
      </c>
      <c r="B336" t="str">
        <f>IFERROR(VLOOKUP($A336, Ledger!$B$2:$L$8, 3, 0),"")</f>
        <v/>
      </c>
      <c r="C336" t="str">
        <f>IFERROR(VLOOKUP($A336, Ledger!$B$2:$L$8, 4, 0),"")</f>
        <v/>
      </c>
      <c r="D336" t="str">
        <f>IFERROR(VLOOKUP($A336, Ledger!$B$2:$L$8, 5, 0),"")</f>
        <v/>
      </c>
      <c r="E336" t="str">
        <f>IFERROR(VLOOKUP($A336, Ledger!$B$2:$L$8, 6, 0),"")</f>
        <v/>
      </c>
      <c r="F336" t="str">
        <f>IFERROR(VLOOKUP($A336,'Student Data'!$A$2:$AR$6,32,0),"")</f>
        <v/>
      </c>
      <c r="G336" t="str">
        <f>IFERROR(VLOOKUP($A336,'Student Data'!$A$2:$AR$6,33,0),"")</f>
        <v/>
      </c>
      <c r="H336" t="str">
        <f>IFERROR(VLOOKUP($A336,'Student Data'!$A$2:$AR$6,34,0),"")</f>
        <v/>
      </c>
      <c r="I336" t="str">
        <f>IFERROR(VLOOKUP($A336,'Student Data'!$A$2:$AR$6,35,0),"")</f>
        <v/>
      </c>
      <c r="J336" t="str">
        <f>IFERROR(VLOOKUP($A336,'Student Data'!$A$2:$AR$6,36,0),"")</f>
        <v/>
      </c>
      <c r="K336" t="str">
        <f t="shared" si="10"/>
        <v/>
      </c>
      <c r="L336" t="str">
        <f t="shared" si="11"/>
        <v/>
      </c>
      <c r="M336" t="str">
        <f>IFERROR(IF($C336="","",SUMIFS(Ledger!$K$2:$K$4, Ledger!$B$2:$B$4, $A336, Ledger!$C$2:$C$4, M$2)),"****")</f>
        <v/>
      </c>
      <c r="N336" t="str">
        <f>IFERROR(IF($C336="","",SUMIFS(Ledger!$K$2:$K$4, Ledger!$B$2:$B$4, $A336, Ledger!$C$2:$C$4, N$2)),"****")</f>
        <v/>
      </c>
      <c r="O336" t="str">
        <f>IFERROR(IF($C336="","",SUMIFS(Ledger!$K$2:$K$4, Ledger!$B$2:$B$4, $A336, Ledger!$C$2:$C$4, O$2)),"****")</f>
        <v/>
      </c>
      <c r="P336" t="str">
        <f>IFERROR(IF($C336="","",SUMIFS(Ledger!$K$2:$K$4, Ledger!$B$2:$B$4, $A336, Ledger!$C$2:$C$4, P$2)),"****")</f>
        <v/>
      </c>
      <c r="Q336" t="str">
        <f>IFERROR(IF($C336="","",SUMIFS(Ledger!$K$2:$K$4, Ledger!$B$2:$B$4, $A336, Ledger!$C$2:$C$4, Q$2)),"****")</f>
        <v/>
      </c>
      <c r="R336" t="str">
        <f>IFERROR(IF($C336="","",SUMIFS(Ledger!$K$2:$K$4, Ledger!$B$2:$B$4, $A336, Ledger!$C$2:$C$4, R$2)),"****")</f>
        <v/>
      </c>
      <c r="S336" t="str">
        <f>IFERROR(IF($C336="","",SUMIFS(Ledger!$K$2:$K$4, Ledger!$B$2:$B$4, $A336, Ledger!$C$2:$C$4, S$2)),"****")</f>
        <v/>
      </c>
      <c r="T336" t="str">
        <f>IFERROR(IF($C336="","",SUMIFS(Ledger!$K$2:$K$4, Ledger!$B$2:$B$4, $A336, Ledger!$C$2:$C$4, T$2)),"****")</f>
        <v/>
      </c>
      <c r="U336" t="str">
        <f>IFERROR(IF($C336="","",SUMIFS(Ledger!$K$2:$K$4, Ledger!$B$2:$B$4, $A336, Ledger!$C$2:$C$4, U$2)),"****")</f>
        <v/>
      </c>
      <c r="V336" t="str">
        <f>IFERROR(IF($C336="","",SUMIFS(Ledger!$K$2:$K$4, Ledger!$B$2:$B$4, $A336, Ledger!$C$2:$C$4, V$2)),"****")</f>
        <v/>
      </c>
      <c r="W336" t="str">
        <f>IFERROR(IF($C336="","",SUMIFS(Ledger!$K$2:$K$4, Ledger!$B$2:$B$4, $A336, Ledger!$C$2:$C$4, W$2)),"****")</f>
        <v/>
      </c>
      <c r="X336" t="str">
        <f>IFERROR(IF($C336="","",SUMIFS(Ledger!$K$2:$K$4, Ledger!$B$2:$B$4, $A336, Ledger!$C$2:$C$4, X$2)),"****")</f>
        <v/>
      </c>
    </row>
    <row r="337" spans="1:24" x14ac:dyDescent="0.3">
      <c r="A337" s="106">
        <v>335</v>
      </c>
      <c r="B337" t="str">
        <f>IFERROR(VLOOKUP($A337, Ledger!$B$2:$L$8, 3, 0),"")</f>
        <v/>
      </c>
      <c r="C337" t="str">
        <f>IFERROR(VLOOKUP($A337, Ledger!$B$2:$L$8, 4, 0),"")</f>
        <v/>
      </c>
      <c r="D337" t="str">
        <f>IFERROR(VLOOKUP($A337, Ledger!$B$2:$L$8, 5, 0),"")</f>
        <v/>
      </c>
      <c r="E337" t="str">
        <f>IFERROR(VLOOKUP($A337, Ledger!$B$2:$L$8, 6, 0),"")</f>
        <v/>
      </c>
      <c r="F337" t="str">
        <f>IFERROR(VLOOKUP($A337,'Student Data'!$A$2:$AR$6,32,0),"")</f>
        <v/>
      </c>
      <c r="G337" t="str">
        <f>IFERROR(VLOOKUP($A337,'Student Data'!$A$2:$AR$6,33,0),"")</f>
        <v/>
      </c>
      <c r="H337" t="str">
        <f>IFERROR(VLOOKUP($A337,'Student Data'!$A$2:$AR$6,34,0),"")</f>
        <v/>
      </c>
      <c r="I337" t="str">
        <f>IFERROR(VLOOKUP($A337,'Student Data'!$A$2:$AR$6,35,0),"")</f>
        <v/>
      </c>
      <c r="J337" t="str">
        <f>IFERROR(VLOOKUP($A337,'Student Data'!$A$2:$AR$6,36,0),"")</f>
        <v/>
      </c>
      <c r="K337" t="str">
        <f t="shared" si="10"/>
        <v/>
      </c>
      <c r="L337" t="str">
        <f t="shared" si="11"/>
        <v/>
      </c>
      <c r="M337" t="str">
        <f>IFERROR(IF($C337="","",SUMIFS(Ledger!$K$2:$K$4, Ledger!$B$2:$B$4, $A337, Ledger!$C$2:$C$4, M$2)),"****")</f>
        <v/>
      </c>
      <c r="N337" t="str">
        <f>IFERROR(IF($C337="","",SUMIFS(Ledger!$K$2:$K$4, Ledger!$B$2:$B$4, $A337, Ledger!$C$2:$C$4, N$2)),"****")</f>
        <v/>
      </c>
      <c r="O337" t="str">
        <f>IFERROR(IF($C337="","",SUMIFS(Ledger!$K$2:$K$4, Ledger!$B$2:$B$4, $A337, Ledger!$C$2:$C$4, O$2)),"****")</f>
        <v/>
      </c>
      <c r="P337" t="str">
        <f>IFERROR(IF($C337="","",SUMIFS(Ledger!$K$2:$K$4, Ledger!$B$2:$B$4, $A337, Ledger!$C$2:$C$4, P$2)),"****")</f>
        <v/>
      </c>
      <c r="Q337" t="str">
        <f>IFERROR(IF($C337="","",SUMIFS(Ledger!$K$2:$K$4, Ledger!$B$2:$B$4, $A337, Ledger!$C$2:$C$4, Q$2)),"****")</f>
        <v/>
      </c>
      <c r="R337" t="str">
        <f>IFERROR(IF($C337="","",SUMIFS(Ledger!$K$2:$K$4, Ledger!$B$2:$B$4, $A337, Ledger!$C$2:$C$4, R$2)),"****")</f>
        <v/>
      </c>
      <c r="S337" t="str">
        <f>IFERROR(IF($C337="","",SUMIFS(Ledger!$K$2:$K$4, Ledger!$B$2:$B$4, $A337, Ledger!$C$2:$C$4, S$2)),"****")</f>
        <v/>
      </c>
      <c r="T337" t="str">
        <f>IFERROR(IF($C337="","",SUMIFS(Ledger!$K$2:$K$4, Ledger!$B$2:$B$4, $A337, Ledger!$C$2:$C$4, T$2)),"****")</f>
        <v/>
      </c>
      <c r="U337" t="str">
        <f>IFERROR(IF($C337="","",SUMIFS(Ledger!$K$2:$K$4, Ledger!$B$2:$B$4, $A337, Ledger!$C$2:$C$4, U$2)),"****")</f>
        <v/>
      </c>
      <c r="V337" t="str">
        <f>IFERROR(IF($C337="","",SUMIFS(Ledger!$K$2:$K$4, Ledger!$B$2:$B$4, $A337, Ledger!$C$2:$C$4, V$2)),"****")</f>
        <v/>
      </c>
      <c r="W337" t="str">
        <f>IFERROR(IF($C337="","",SUMIFS(Ledger!$K$2:$K$4, Ledger!$B$2:$B$4, $A337, Ledger!$C$2:$C$4, W$2)),"****")</f>
        <v/>
      </c>
      <c r="X337" t="str">
        <f>IFERROR(IF($C337="","",SUMIFS(Ledger!$K$2:$K$4, Ledger!$B$2:$B$4, $A337, Ledger!$C$2:$C$4, X$2)),"****")</f>
        <v/>
      </c>
    </row>
    <row r="338" spans="1:24" x14ac:dyDescent="0.3">
      <c r="A338" s="106">
        <v>336</v>
      </c>
      <c r="B338" t="str">
        <f>IFERROR(VLOOKUP($A338, Ledger!$B$2:$L$8, 3, 0),"")</f>
        <v/>
      </c>
      <c r="C338" t="str">
        <f>IFERROR(VLOOKUP($A338, Ledger!$B$2:$L$8, 4, 0),"")</f>
        <v/>
      </c>
      <c r="D338" t="str">
        <f>IFERROR(VLOOKUP($A338, Ledger!$B$2:$L$8, 5, 0),"")</f>
        <v/>
      </c>
      <c r="E338" t="str">
        <f>IFERROR(VLOOKUP($A338, Ledger!$B$2:$L$8, 6, 0),"")</f>
        <v/>
      </c>
      <c r="F338" t="str">
        <f>IFERROR(VLOOKUP($A338,'Student Data'!$A$2:$AR$6,32,0),"")</f>
        <v/>
      </c>
      <c r="G338" t="str">
        <f>IFERROR(VLOOKUP($A338,'Student Data'!$A$2:$AR$6,33,0),"")</f>
        <v/>
      </c>
      <c r="H338" t="str">
        <f>IFERROR(VLOOKUP($A338,'Student Data'!$A$2:$AR$6,34,0),"")</f>
        <v/>
      </c>
      <c r="I338" t="str">
        <f>IFERROR(VLOOKUP($A338,'Student Data'!$A$2:$AR$6,35,0),"")</f>
        <v/>
      </c>
      <c r="J338" t="str">
        <f>IFERROR(VLOOKUP($A338,'Student Data'!$A$2:$AR$6,36,0),"")</f>
        <v/>
      </c>
      <c r="K338" t="str">
        <f t="shared" si="10"/>
        <v/>
      </c>
      <c r="L338" t="str">
        <f t="shared" si="11"/>
        <v/>
      </c>
      <c r="M338" t="str">
        <f>IFERROR(IF($C338="","",SUMIFS(Ledger!$K$2:$K$4, Ledger!$B$2:$B$4, $A338, Ledger!$C$2:$C$4, M$2)),"****")</f>
        <v/>
      </c>
      <c r="N338" t="str">
        <f>IFERROR(IF($C338="","",SUMIFS(Ledger!$K$2:$K$4, Ledger!$B$2:$B$4, $A338, Ledger!$C$2:$C$4, N$2)),"****")</f>
        <v/>
      </c>
      <c r="O338" t="str">
        <f>IFERROR(IF($C338="","",SUMIFS(Ledger!$K$2:$K$4, Ledger!$B$2:$B$4, $A338, Ledger!$C$2:$C$4, O$2)),"****")</f>
        <v/>
      </c>
      <c r="P338" t="str">
        <f>IFERROR(IF($C338="","",SUMIFS(Ledger!$K$2:$K$4, Ledger!$B$2:$B$4, $A338, Ledger!$C$2:$C$4, P$2)),"****")</f>
        <v/>
      </c>
      <c r="Q338" t="str">
        <f>IFERROR(IF($C338="","",SUMIFS(Ledger!$K$2:$K$4, Ledger!$B$2:$B$4, $A338, Ledger!$C$2:$C$4, Q$2)),"****")</f>
        <v/>
      </c>
      <c r="R338" t="str">
        <f>IFERROR(IF($C338="","",SUMIFS(Ledger!$K$2:$K$4, Ledger!$B$2:$B$4, $A338, Ledger!$C$2:$C$4, R$2)),"****")</f>
        <v/>
      </c>
      <c r="S338" t="str">
        <f>IFERROR(IF($C338="","",SUMIFS(Ledger!$K$2:$K$4, Ledger!$B$2:$B$4, $A338, Ledger!$C$2:$C$4, S$2)),"****")</f>
        <v/>
      </c>
      <c r="T338" t="str">
        <f>IFERROR(IF($C338="","",SUMIFS(Ledger!$K$2:$K$4, Ledger!$B$2:$B$4, $A338, Ledger!$C$2:$C$4, T$2)),"****")</f>
        <v/>
      </c>
      <c r="U338" t="str">
        <f>IFERROR(IF($C338="","",SUMIFS(Ledger!$K$2:$K$4, Ledger!$B$2:$B$4, $A338, Ledger!$C$2:$C$4, U$2)),"****")</f>
        <v/>
      </c>
      <c r="V338" t="str">
        <f>IFERROR(IF($C338="","",SUMIFS(Ledger!$K$2:$K$4, Ledger!$B$2:$B$4, $A338, Ledger!$C$2:$C$4, V$2)),"****")</f>
        <v/>
      </c>
      <c r="W338" t="str">
        <f>IFERROR(IF($C338="","",SUMIFS(Ledger!$K$2:$K$4, Ledger!$B$2:$B$4, $A338, Ledger!$C$2:$C$4, W$2)),"****")</f>
        <v/>
      </c>
      <c r="X338" t="str">
        <f>IFERROR(IF($C338="","",SUMIFS(Ledger!$K$2:$K$4, Ledger!$B$2:$B$4, $A338, Ledger!$C$2:$C$4, X$2)),"****")</f>
        <v/>
      </c>
    </row>
    <row r="339" spans="1:24" x14ac:dyDescent="0.3">
      <c r="A339" s="106">
        <v>337</v>
      </c>
      <c r="B339" t="str">
        <f>IFERROR(VLOOKUP($A339, Ledger!$B$2:$L$8, 3, 0),"")</f>
        <v/>
      </c>
      <c r="C339" t="str">
        <f>IFERROR(VLOOKUP($A339, Ledger!$B$2:$L$8, 4, 0),"")</f>
        <v/>
      </c>
      <c r="D339" t="str">
        <f>IFERROR(VLOOKUP($A339, Ledger!$B$2:$L$8, 5, 0),"")</f>
        <v/>
      </c>
      <c r="E339" t="str">
        <f>IFERROR(VLOOKUP($A339, Ledger!$B$2:$L$8, 6, 0),"")</f>
        <v/>
      </c>
      <c r="F339" t="str">
        <f>IFERROR(VLOOKUP($A339,'Student Data'!$A$2:$AR$6,32,0),"")</f>
        <v/>
      </c>
      <c r="G339" t="str">
        <f>IFERROR(VLOOKUP($A339,'Student Data'!$A$2:$AR$6,33,0),"")</f>
        <v/>
      </c>
      <c r="H339" t="str">
        <f>IFERROR(VLOOKUP($A339,'Student Data'!$A$2:$AR$6,34,0),"")</f>
        <v/>
      </c>
      <c r="I339" t="str">
        <f>IFERROR(VLOOKUP($A339,'Student Data'!$A$2:$AR$6,35,0),"")</f>
        <v/>
      </c>
      <c r="J339" t="str">
        <f>IFERROR(VLOOKUP($A339,'Student Data'!$A$2:$AR$6,36,0),"")</f>
        <v/>
      </c>
      <c r="K339" t="str">
        <f t="shared" si="10"/>
        <v/>
      </c>
      <c r="L339" t="str">
        <f t="shared" si="11"/>
        <v/>
      </c>
      <c r="M339" t="str">
        <f>IFERROR(IF($C339="","",SUMIFS(Ledger!$K$2:$K$4, Ledger!$B$2:$B$4, $A339, Ledger!$C$2:$C$4, M$2)),"****")</f>
        <v/>
      </c>
      <c r="N339" t="str">
        <f>IFERROR(IF($C339="","",SUMIFS(Ledger!$K$2:$K$4, Ledger!$B$2:$B$4, $A339, Ledger!$C$2:$C$4, N$2)),"****")</f>
        <v/>
      </c>
      <c r="O339" t="str">
        <f>IFERROR(IF($C339="","",SUMIFS(Ledger!$K$2:$K$4, Ledger!$B$2:$B$4, $A339, Ledger!$C$2:$C$4, O$2)),"****")</f>
        <v/>
      </c>
      <c r="P339" t="str">
        <f>IFERROR(IF($C339="","",SUMIFS(Ledger!$K$2:$K$4, Ledger!$B$2:$B$4, $A339, Ledger!$C$2:$C$4, P$2)),"****")</f>
        <v/>
      </c>
      <c r="Q339" t="str">
        <f>IFERROR(IF($C339="","",SUMIFS(Ledger!$K$2:$K$4, Ledger!$B$2:$B$4, $A339, Ledger!$C$2:$C$4, Q$2)),"****")</f>
        <v/>
      </c>
      <c r="R339" t="str">
        <f>IFERROR(IF($C339="","",SUMIFS(Ledger!$K$2:$K$4, Ledger!$B$2:$B$4, $A339, Ledger!$C$2:$C$4, R$2)),"****")</f>
        <v/>
      </c>
      <c r="S339" t="str">
        <f>IFERROR(IF($C339="","",SUMIFS(Ledger!$K$2:$K$4, Ledger!$B$2:$B$4, $A339, Ledger!$C$2:$C$4, S$2)),"****")</f>
        <v/>
      </c>
      <c r="T339" t="str">
        <f>IFERROR(IF($C339="","",SUMIFS(Ledger!$K$2:$K$4, Ledger!$B$2:$B$4, $A339, Ledger!$C$2:$C$4, T$2)),"****")</f>
        <v/>
      </c>
      <c r="U339" t="str">
        <f>IFERROR(IF($C339="","",SUMIFS(Ledger!$K$2:$K$4, Ledger!$B$2:$B$4, $A339, Ledger!$C$2:$C$4, U$2)),"****")</f>
        <v/>
      </c>
      <c r="V339" t="str">
        <f>IFERROR(IF($C339="","",SUMIFS(Ledger!$K$2:$K$4, Ledger!$B$2:$B$4, $A339, Ledger!$C$2:$C$4, V$2)),"****")</f>
        <v/>
      </c>
      <c r="W339" t="str">
        <f>IFERROR(IF($C339="","",SUMIFS(Ledger!$K$2:$K$4, Ledger!$B$2:$B$4, $A339, Ledger!$C$2:$C$4, W$2)),"****")</f>
        <v/>
      </c>
      <c r="X339" t="str">
        <f>IFERROR(IF($C339="","",SUMIFS(Ledger!$K$2:$K$4, Ledger!$B$2:$B$4, $A339, Ledger!$C$2:$C$4, X$2)),"****")</f>
        <v/>
      </c>
    </row>
    <row r="340" spans="1:24" x14ac:dyDescent="0.3">
      <c r="A340" s="106">
        <v>338</v>
      </c>
      <c r="B340" t="str">
        <f>IFERROR(VLOOKUP($A340, Ledger!$B$2:$L$8, 3, 0),"")</f>
        <v/>
      </c>
      <c r="C340" t="str">
        <f>IFERROR(VLOOKUP($A340, Ledger!$B$2:$L$8, 4, 0),"")</f>
        <v/>
      </c>
      <c r="D340" t="str">
        <f>IFERROR(VLOOKUP($A340, Ledger!$B$2:$L$8, 5, 0),"")</f>
        <v/>
      </c>
      <c r="E340" t="str">
        <f>IFERROR(VLOOKUP($A340, Ledger!$B$2:$L$8, 6, 0),"")</f>
        <v/>
      </c>
      <c r="F340" t="str">
        <f>IFERROR(VLOOKUP($A340,'Student Data'!$A$2:$AR$6,32,0),"")</f>
        <v/>
      </c>
      <c r="G340" t="str">
        <f>IFERROR(VLOOKUP($A340,'Student Data'!$A$2:$AR$6,33,0),"")</f>
        <v/>
      </c>
      <c r="H340" t="str">
        <f>IFERROR(VLOOKUP($A340,'Student Data'!$A$2:$AR$6,34,0),"")</f>
        <v/>
      </c>
      <c r="I340" t="str">
        <f>IFERROR(VLOOKUP($A340,'Student Data'!$A$2:$AR$6,35,0),"")</f>
        <v/>
      </c>
      <c r="J340" t="str">
        <f>IFERROR(VLOOKUP($A340,'Student Data'!$A$2:$AR$6,36,0),"")</f>
        <v/>
      </c>
      <c r="K340" t="str">
        <f t="shared" si="10"/>
        <v/>
      </c>
      <c r="L340" t="str">
        <f t="shared" si="11"/>
        <v/>
      </c>
      <c r="M340" t="str">
        <f>IFERROR(IF($C340="","",SUMIFS(Ledger!$K$2:$K$4, Ledger!$B$2:$B$4, $A340, Ledger!$C$2:$C$4, M$2)),"****")</f>
        <v/>
      </c>
      <c r="N340" t="str">
        <f>IFERROR(IF($C340="","",SUMIFS(Ledger!$K$2:$K$4, Ledger!$B$2:$B$4, $A340, Ledger!$C$2:$C$4, N$2)),"****")</f>
        <v/>
      </c>
      <c r="O340" t="str">
        <f>IFERROR(IF($C340="","",SUMIFS(Ledger!$K$2:$K$4, Ledger!$B$2:$B$4, $A340, Ledger!$C$2:$C$4, O$2)),"****")</f>
        <v/>
      </c>
      <c r="P340" t="str">
        <f>IFERROR(IF($C340="","",SUMIFS(Ledger!$K$2:$K$4, Ledger!$B$2:$B$4, $A340, Ledger!$C$2:$C$4, P$2)),"****")</f>
        <v/>
      </c>
      <c r="Q340" t="str">
        <f>IFERROR(IF($C340="","",SUMIFS(Ledger!$K$2:$K$4, Ledger!$B$2:$B$4, $A340, Ledger!$C$2:$C$4, Q$2)),"****")</f>
        <v/>
      </c>
      <c r="R340" t="str">
        <f>IFERROR(IF($C340="","",SUMIFS(Ledger!$K$2:$K$4, Ledger!$B$2:$B$4, $A340, Ledger!$C$2:$C$4, R$2)),"****")</f>
        <v/>
      </c>
      <c r="S340" t="str">
        <f>IFERROR(IF($C340="","",SUMIFS(Ledger!$K$2:$K$4, Ledger!$B$2:$B$4, $A340, Ledger!$C$2:$C$4, S$2)),"****")</f>
        <v/>
      </c>
      <c r="T340" t="str">
        <f>IFERROR(IF($C340="","",SUMIFS(Ledger!$K$2:$K$4, Ledger!$B$2:$B$4, $A340, Ledger!$C$2:$C$4, T$2)),"****")</f>
        <v/>
      </c>
      <c r="U340" t="str">
        <f>IFERROR(IF($C340="","",SUMIFS(Ledger!$K$2:$K$4, Ledger!$B$2:$B$4, $A340, Ledger!$C$2:$C$4, U$2)),"****")</f>
        <v/>
      </c>
      <c r="V340" t="str">
        <f>IFERROR(IF($C340="","",SUMIFS(Ledger!$K$2:$K$4, Ledger!$B$2:$B$4, $A340, Ledger!$C$2:$C$4, V$2)),"****")</f>
        <v/>
      </c>
      <c r="W340" t="str">
        <f>IFERROR(IF($C340="","",SUMIFS(Ledger!$K$2:$K$4, Ledger!$B$2:$B$4, $A340, Ledger!$C$2:$C$4, W$2)),"****")</f>
        <v/>
      </c>
      <c r="X340" t="str">
        <f>IFERROR(IF($C340="","",SUMIFS(Ledger!$K$2:$K$4, Ledger!$B$2:$B$4, $A340, Ledger!$C$2:$C$4, X$2)),"****")</f>
        <v/>
      </c>
    </row>
    <row r="341" spans="1:24" x14ac:dyDescent="0.3">
      <c r="A341" s="106">
        <v>339</v>
      </c>
      <c r="B341" t="str">
        <f>IFERROR(VLOOKUP($A341, Ledger!$B$2:$L$8, 3, 0),"")</f>
        <v/>
      </c>
      <c r="C341" t="str">
        <f>IFERROR(VLOOKUP($A341, Ledger!$B$2:$L$8, 4, 0),"")</f>
        <v/>
      </c>
      <c r="D341" t="str">
        <f>IFERROR(VLOOKUP($A341, Ledger!$B$2:$L$8, 5, 0),"")</f>
        <v/>
      </c>
      <c r="E341" t="str">
        <f>IFERROR(VLOOKUP($A341, Ledger!$B$2:$L$8, 6, 0),"")</f>
        <v/>
      </c>
      <c r="F341" t="str">
        <f>IFERROR(VLOOKUP($A341,'Student Data'!$A$2:$AR$6,32,0),"")</f>
        <v/>
      </c>
      <c r="G341" t="str">
        <f>IFERROR(VLOOKUP($A341,'Student Data'!$A$2:$AR$6,33,0),"")</f>
        <v/>
      </c>
      <c r="H341" t="str">
        <f>IFERROR(VLOOKUP($A341,'Student Data'!$A$2:$AR$6,34,0),"")</f>
        <v/>
      </c>
      <c r="I341" t="str">
        <f>IFERROR(VLOOKUP($A341,'Student Data'!$A$2:$AR$6,35,0),"")</f>
        <v/>
      </c>
      <c r="J341" t="str">
        <f>IFERROR(VLOOKUP($A341,'Student Data'!$A$2:$AR$6,36,0),"")</f>
        <v/>
      </c>
      <c r="K341" t="str">
        <f t="shared" si="10"/>
        <v/>
      </c>
      <c r="L341" t="str">
        <f t="shared" si="11"/>
        <v/>
      </c>
      <c r="M341" t="str">
        <f>IFERROR(IF($C341="","",SUMIFS(Ledger!$K$2:$K$4, Ledger!$B$2:$B$4, $A341, Ledger!$C$2:$C$4, M$2)),"****")</f>
        <v/>
      </c>
      <c r="N341" t="str">
        <f>IFERROR(IF($C341="","",SUMIFS(Ledger!$K$2:$K$4, Ledger!$B$2:$B$4, $A341, Ledger!$C$2:$C$4, N$2)),"****")</f>
        <v/>
      </c>
      <c r="O341" t="str">
        <f>IFERROR(IF($C341="","",SUMIFS(Ledger!$K$2:$K$4, Ledger!$B$2:$B$4, $A341, Ledger!$C$2:$C$4, O$2)),"****")</f>
        <v/>
      </c>
      <c r="P341" t="str">
        <f>IFERROR(IF($C341="","",SUMIFS(Ledger!$K$2:$K$4, Ledger!$B$2:$B$4, $A341, Ledger!$C$2:$C$4, P$2)),"****")</f>
        <v/>
      </c>
      <c r="Q341" t="str">
        <f>IFERROR(IF($C341="","",SUMIFS(Ledger!$K$2:$K$4, Ledger!$B$2:$B$4, $A341, Ledger!$C$2:$C$4, Q$2)),"****")</f>
        <v/>
      </c>
      <c r="R341" t="str">
        <f>IFERROR(IF($C341="","",SUMIFS(Ledger!$K$2:$K$4, Ledger!$B$2:$B$4, $A341, Ledger!$C$2:$C$4, R$2)),"****")</f>
        <v/>
      </c>
      <c r="S341" t="str">
        <f>IFERROR(IF($C341="","",SUMIFS(Ledger!$K$2:$K$4, Ledger!$B$2:$B$4, $A341, Ledger!$C$2:$C$4, S$2)),"****")</f>
        <v/>
      </c>
      <c r="T341" t="str">
        <f>IFERROR(IF($C341="","",SUMIFS(Ledger!$K$2:$K$4, Ledger!$B$2:$B$4, $A341, Ledger!$C$2:$C$4, T$2)),"****")</f>
        <v/>
      </c>
      <c r="U341" t="str">
        <f>IFERROR(IF($C341="","",SUMIFS(Ledger!$K$2:$K$4, Ledger!$B$2:$B$4, $A341, Ledger!$C$2:$C$4, U$2)),"****")</f>
        <v/>
      </c>
      <c r="V341" t="str">
        <f>IFERROR(IF($C341="","",SUMIFS(Ledger!$K$2:$K$4, Ledger!$B$2:$B$4, $A341, Ledger!$C$2:$C$4, V$2)),"****")</f>
        <v/>
      </c>
      <c r="W341" t="str">
        <f>IFERROR(IF($C341="","",SUMIFS(Ledger!$K$2:$K$4, Ledger!$B$2:$B$4, $A341, Ledger!$C$2:$C$4, W$2)),"****")</f>
        <v/>
      </c>
      <c r="X341" t="str">
        <f>IFERROR(IF($C341="","",SUMIFS(Ledger!$K$2:$K$4, Ledger!$B$2:$B$4, $A341, Ledger!$C$2:$C$4, X$2)),"****")</f>
        <v/>
      </c>
    </row>
    <row r="342" spans="1:24" x14ac:dyDescent="0.3">
      <c r="A342" s="106">
        <v>340</v>
      </c>
      <c r="B342" t="str">
        <f>IFERROR(VLOOKUP($A342, Ledger!$B$2:$L$8, 3, 0),"")</f>
        <v/>
      </c>
      <c r="C342" t="str">
        <f>IFERROR(VLOOKUP($A342, Ledger!$B$2:$L$8, 4, 0),"")</f>
        <v/>
      </c>
      <c r="D342" t="str">
        <f>IFERROR(VLOOKUP($A342, Ledger!$B$2:$L$8, 5, 0),"")</f>
        <v/>
      </c>
      <c r="E342" t="str">
        <f>IFERROR(VLOOKUP($A342, Ledger!$B$2:$L$8, 6, 0),"")</f>
        <v/>
      </c>
      <c r="F342" t="str">
        <f>IFERROR(VLOOKUP($A342,'Student Data'!$A$2:$AR$6,32,0),"")</f>
        <v/>
      </c>
      <c r="G342" t="str">
        <f>IFERROR(VLOOKUP($A342,'Student Data'!$A$2:$AR$6,33,0),"")</f>
        <v/>
      </c>
      <c r="H342" t="str">
        <f>IFERROR(VLOOKUP($A342,'Student Data'!$A$2:$AR$6,34,0),"")</f>
        <v/>
      </c>
      <c r="I342" t="str">
        <f>IFERROR(VLOOKUP($A342,'Student Data'!$A$2:$AR$6,35,0),"")</f>
        <v/>
      </c>
      <c r="J342" t="str">
        <f>IFERROR(VLOOKUP($A342,'Student Data'!$A$2:$AR$6,36,0),"")</f>
        <v/>
      </c>
      <c r="K342" t="str">
        <f t="shared" si="10"/>
        <v/>
      </c>
      <c r="L342" t="str">
        <f t="shared" si="11"/>
        <v/>
      </c>
      <c r="M342" t="str">
        <f>IFERROR(IF($C342="","",SUMIFS(Ledger!$K$2:$K$4, Ledger!$B$2:$B$4, $A342, Ledger!$C$2:$C$4, M$2)),"****")</f>
        <v/>
      </c>
      <c r="N342" t="str">
        <f>IFERROR(IF($C342="","",SUMIFS(Ledger!$K$2:$K$4, Ledger!$B$2:$B$4, $A342, Ledger!$C$2:$C$4, N$2)),"****")</f>
        <v/>
      </c>
      <c r="O342" t="str">
        <f>IFERROR(IF($C342="","",SUMIFS(Ledger!$K$2:$K$4, Ledger!$B$2:$B$4, $A342, Ledger!$C$2:$C$4, O$2)),"****")</f>
        <v/>
      </c>
      <c r="P342" t="str">
        <f>IFERROR(IF($C342="","",SUMIFS(Ledger!$K$2:$K$4, Ledger!$B$2:$B$4, $A342, Ledger!$C$2:$C$4, P$2)),"****")</f>
        <v/>
      </c>
      <c r="Q342" t="str">
        <f>IFERROR(IF($C342="","",SUMIFS(Ledger!$K$2:$K$4, Ledger!$B$2:$B$4, $A342, Ledger!$C$2:$C$4, Q$2)),"****")</f>
        <v/>
      </c>
      <c r="R342" t="str">
        <f>IFERROR(IF($C342="","",SUMIFS(Ledger!$K$2:$K$4, Ledger!$B$2:$B$4, $A342, Ledger!$C$2:$C$4, R$2)),"****")</f>
        <v/>
      </c>
      <c r="S342" t="str">
        <f>IFERROR(IF($C342="","",SUMIFS(Ledger!$K$2:$K$4, Ledger!$B$2:$B$4, $A342, Ledger!$C$2:$C$4, S$2)),"****")</f>
        <v/>
      </c>
      <c r="T342" t="str">
        <f>IFERROR(IF($C342="","",SUMIFS(Ledger!$K$2:$K$4, Ledger!$B$2:$B$4, $A342, Ledger!$C$2:$C$4, T$2)),"****")</f>
        <v/>
      </c>
      <c r="U342" t="str">
        <f>IFERROR(IF($C342="","",SUMIFS(Ledger!$K$2:$K$4, Ledger!$B$2:$B$4, $A342, Ledger!$C$2:$C$4, U$2)),"****")</f>
        <v/>
      </c>
      <c r="V342" t="str">
        <f>IFERROR(IF($C342="","",SUMIFS(Ledger!$K$2:$K$4, Ledger!$B$2:$B$4, $A342, Ledger!$C$2:$C$4, V$2)),"****")</f>
        <v/>
      </c>
      <c r="W342" t="str">
        <f>IFERROR(IF($C342="","",SUMIFS(Ledger!$K$2:$K$4, Ledger!$B$2:$B$4, $A342, Ledger!$C$2:$C$4, W$2)),"****")</f>
        <v/>
      </c>
      <c r="X342" t="str">
        <f>IFERROR(IF($C342="","",SUMIFS(Ledger!$K$2:$K$4, Ledger!$B$2:$B$4, $A342, Ledger!$C$2:$C$4, X$2)),"****")</f>
        <v/>
      </c>
    </row>
    <row r="343" spans="1:24" x14ac:dyDescent="0.3">
      <c r="A343" s="106">
        <v>341</v>
      </c>
      <c r="B343" t="str">
        <f>IFERROR(VLOOKUP($A343, Ledger!$B$2:$L$8, 3, 0),"")</f>
        <v/>
      </c>
      <c r="C343" t="str">
        <f>IFERROR(VLOOKUP($A343, Ledger!$B$2:$L$8, 4, 0),"")</f>
        <v/>
      </c>
      <c r="D343" t="str">
        <f>IFERROR(VLOOKUP($A343, Ledger!$B$2:$L$8, 5, 0),"")</f>
        <v/>
      </c>
      <c r="E343" t="str">
        <f>IFERROR(VLOOKUP($A343, Ledger!$B$2:$L$8, 6, 0),"")</f>
        <v/>
      </c>
      <c r="F343" t="str">
        <f>IFERROR(VLOOKUP($A343,'Student Data'!$A$2:$AR$6,32,0),"")</f>
        <v/>
      </c>
      <c r="G343" t="str">
        <f>IFERROR(VLOOKUP($A343,'Student Data'!$A$2:$AR$6,33,0),"")</f>
        <v/>
      </c>
      <c r="H343" t="str">
        <f>IFERROR(VLOOKUP($A343,'Student Data'!$A$2:$AR$6,34,0),"")</f>
        <v/>
      </c>
      <c r="I343" t="str">
        <f>IFERROR(VLOOKUP($A343,'Student Data'!$A$2:$AR$6,35,0),"")</f>
        <v/>
      </c>
      <c r="J343" t="str">
        <f>IFERROR(VLOOKUP($A343,'Student Data'!$A$2:$AR$6,36,0),"")</f>
        <v/>
      </c>
      <c r="K343" t="str">
        <f t="shared" si="10"/>
        <v/>
      </c>
      <c r="L343" t="str">
        <f t="shared" si="11"/>
        <v/>
      </c>
      <c r="M343" t="str">
        <f>IFERROR(IF($C343="","",SUMIFS(Ledger!$K$2:$K$4, Ledger!$B$2:$B$4, $A343, Ledger!$C$2:$C$4, M$2)),"****")</f>
        <v/>
      </c>
      <c r="N343" t="str">
        <f>IFERROR(IF($C343="","",SUMIFS(Ledger!$K$2:$K$4, Ledger!$B$2:$B$4, $A343, Ledger!$C$2:$C$4, N$2)),"****")</f>
        <v/>
      </c>
      <c r="O343" t="str">
        <f>IFERROR(IF($C343="","",SUMIFS(Ledger!$K$2:$K$4, Ledger!$B$2:$B$4, $A343, Ledger!$C$2:$C$4, O$2)),"****")</f>
        <v/>
      </c>
      <c r="P343" t="str">
        <f>IFERROR(IF($C343="","",SUMIFS(Ledger!$K$2:$K$4, Ledger!$B$2:$B$4, $A343, Ledger!$C$2:$C$4, P$2)),"****")</f>
        <v/>
      </c>
      <c r="Q343" t="str">
        <f>IFERROR(IF($C343="","",SUMIFS(Ledger!$K$2:$K$4, Ledger!$B$2:$B$4, $A343, Ledger!$C$2:$C$4, Q$2)),"****")</f>
        <v/>
      </c>
      <c r="R343" t="str">
        <f>IFERROR(IF($C343="","",SUMIFS(Ledger!$K$2:$K$4, Ledger!$B$2:$B$4, $A343, Ledger!$C$2:$C$4, R$2)),"****")</f>
        <v/>
      </c>
      <c r="S343" t="str">
        <f>IFERROR(IF($C343="","",SUMIFS(Ledger!$K$2:$K$4, Ledger!$B$2:$B$4, $A343, Ledger!$C$2:$C$4, S$2)),"****")</f>
        <v/>
      </c>
      <c r="T343" t="str">
        <f>IFERROR(IF($C343="","",SUMIFS(Ledger!$K$2:$K$4, Ledger!$B$2:$B$4, $A343, Ledger!$C$2:$C$4, T$2)),"****")</f>
        <v/>
      </c>
      <c r="U343" t="str">
        <f>IFERROR(IF($C343="","",SUMIFS(Ledger!$K$2:$K$4, Ledger!$B$2:$B$4, $A343, Ledger!$C$2:$C$4, U$2)),"****")</f>
        <v/>
      </c>
      <c r="V343" t="str">
        <f>IFERROR(IF($C343="","",SUMIFS(Ledger!$K$2:$K$4, Ledger!$B$2:$B$4, $A343, Ledger!$C$2:$C$4, V$2)),"****")</f>
        <v/>
      </c>
      <c r="W343" t="str">
        <f>IFERROR(IF($C343="","",SUMIFS(Ledger!$K$2:$K$4, Ledger!$B$2:$B$4, $A343, Ledger!$C$2:$C$4, W$2)),"****")</f>
        <v/>
      </c>
      <c r="X343" t="str">
        <f>IFERROR(IF($C343="","",SUMIFS(Ledger!$K$2:$K$4, Ledger!$B$2:$B$4, $A343, Ledger!$C$2:$C$4, X$2)),"****")</f>
        <v/>
      </c>
    </row>
    <row r="344" spans="1:24" x14ac:dyDescent="0.3">
      <c r="A344" s="106">
        <v>342</v>
      </c>
      <c r="B344" t="str">
        <f>IFERROR(VLOOKUP($A344, Ledger!$B$2:$L$8, 3, 0),"")</f>
        <v/>
      </c>
      <c r="C344" t="str">
        <f>IFERROR(VLOOKUP($A344, Ledger!$B$2:$L$8, 4, 0),"")</f>
        <v/>
      </c>
      <c r="D344" t="str">
        <f>IFERROR(VLOOKUP($A344, Ledger!$B$2:$L$8, 5, 0),"")</f>
        <v/>
      </c>
      <c r="E344" t="str">
        <f>IFERROR(VLOOKUP($A344, Ledger!$B$2:$L$8, 6, 0),"")</f>
        <v/>
      </c>
      <c r="F344" t="str">
        <f>IFERROR(VLOOKUP($A344,'Student Data'!$A$2:$AR$6,32,0),"")</f>
        <v/>
      </c>
      <c r="G344" t="str">
        <f>IFERROR(VLOOKUP($A344,'Student Data'!$A$2:$AR$6,33,0),"")</f>
        <v/>
      </c>
      <c r="H344" t="str">
        <f>IFERROR(VLOOKUP($A344,'Student Data'!$A$2:$AR$6,34,0),"")</f>
        <v/>
      </c>
      <c r="I344" t="str">
        <f>IFERROR(VLOOKUP($A344,'Student Data'!$A$2:$AR$6,35,0),"")</f>
        <v/>
      </c>
      <c r="J344" t="str">
        <f>IFERROR(VLOOKUP($A344,'Student Data'!$A$2:$AR$6,36,0),"")</f>
        <v/>
      </c>
      <c r="K344" t="str">
        <f t="shared" si="10"/>
        <v/>
      </c>
      <c r="L344" t="str">
        <f t="shared" si="11"/>
        <v/>
      </c>
      <c r="M344" t="str">
        <f>IFERROR(IF($C344="","",SUMIFS(Ledger!$K$2:$K$4, Ledger!$B$2:$B$4, $A344, Ledger!$C$2:$C$4, M$2)),"****")</f>
        <v/>
      </c>
      <c r="N344" t="str">
        <f>IFERROR(IF($C344="","",SUMIFS(Ledger!$K$2:$K$4, Ledger!$B$2:$B$4, $A344, Ledger!$C$2:$C$4, N$2)),"****")</f>
        <v/>
      </c>
      <c r="O344" t="str">
        <f>IFERROR(IF($C344="","",SUMIFS(Ledger!$K$2:$K$4, Ledger!$B$2:$B$4, $A344, Ledger!$C$2:$C$4, O$2)),"****")</f>
        <v/>
      </c>
      <c r="P344" t="str">
        <f>IFERROR(IF($C344="","",SUMIFS(Ledger!$K$2:$K$4, Ledger!$B$2:$B$4, $A344, Ledger!$C$2:$C$4, P$2)),"****")</f>
        <v/>
      </c>
      <c r="Q344" t="str">
        <f>IFERROR(IF($C344="","",SUMIFS(Ledger!$K$2:$K$4, Ledger!$B$2:$B$4, $A344, Ledger!$C$2:$C$4, Q$2)),"****")</f>
        <v/>
      </c>
      <c r="R344" t="str">
        <f>IFERROR(IF($C344="","",SUMIFS(Ledger!$K$2:$K$4, Ledger!$B$2:$B$4, $A344, Ledger!$C$2:$C$4, R$2)),"****")</f>
        <v/>
      </c>
      <c r="S344" t="str">
        <f>IFERROR(IF($C344="","",SUMIFS(Ledger!$K$2:$K$4, Ledger!$B$2:$B$4, $A344, Ledger!$C$2:$C$4, S$2)),"****")</f>
        <v/>
      </c>
      <c r="T344" t="str">
        <f>IFERROR(IF($C344="","",SUMIFS(Ledger!$K$2:$K$4, Ledger!$B$2:$B$4, $A344, Ledger!$C$2:$C$4, T$2)),"****")</f>
        <v/>
      </c>
      <c r="U344" t="str">
        <f>IFERROR(IF($C344="","",SUMIFS(Ledger!$K$2:$K$4, Ledger!$B$2:$B$4, $A344, Ledger!$C$2:$C$4, U$2)),"****")</f>
        <v/>
      </c>
      <c r="V344" t="str">
        <f>IFERROR(IF($C344="","",SUMIFS(Ledger!$K$2:$K$4, Ledger!$B$2:$B$4, $A344, Ledger!$C$2:$C$4, V$2)),"****")</f>
        <v/>
      </c>
      <c r="W344" t="str">
        <f>IFERROR(IF($C344="","",SUMIFS(Ledger!$K$2:$K$4, Ledger!$B$2:$B$4, $A344, Ledger!$C$2:$C$4, W$2)),"****")</f>
        <v/>
      </c>
      <c r="X344" t="str">
        <f>IFERROR(IF($C344="","",SUMIFS(Ledger!$K$2:$K$4, Ledger!$B$2:$B$4, $A344, Ledger!$C$2:$C$4, X$2)),"****")</f>
        <v/>
      </c>
    </row>
    <row r="345" spans="1:24" x14ac:dyDescent="0.3">
      <c r="A345" s="106">
        <v>343</v>
      </c>
      <c r="B345" t="str">
        <f>IFERROR(VLOOKUP($A345, Ledger!$B$2:$L$8, 3, 0),"")</f>
        <v/>
      </c>
      <c r="C345" t="str">
        <f>IFERROR(VLOOKUP($A345, Ledger!$B$2:$L$8, 4, 0),"")</f>
        <v/>
      </c>
      <c r="D345" t="str">
        <f>IFERROR(VLOOKUP($A345, Ledger!$B$2:$L$8, 5, 0),"")</f>
        <v/>
      </c>
      <c r="E345" t="str">
        <f>IFERROR(VLOOKUP($A345, Ledger!$B$2:$L$8, 6, 0),"")</f>
        <v/>
      </c>
      <c r="F345" t="str">
        <f>IFERROR(VLOOKUP($A345,'Student Data'!$A$2:$AR$6,32,0),"")</f>
        <v/>
      </c>
      <c r="G345" t="str">
        <f>IFERROR(VLOOKUP($A345,'Student Data'!$A$2:$AR$6,33,0),"")</f>
        <v/>
      </c>
      <c r="H345" t="str">
        <f>IFERROR(VLOOKUP($A345,'Student Data'!$A$2:$AR$6,34,0),"")</f>
        <v/>
      </c>
      <c r="I345" t="str">
        <f>IFERROR(VLOOKUP($A345,'Student Data'!$A$2:$AR$6,35,0),"")</f>
        <v/>
      </c>
      <c r="J345" t="str">
        <f>IFERROR(VLOOKUP($A345,'Student Data'!$A$2:$AR$6,36,0),"")</f>
        <v/>
      </c>
      <c r="K345" t="str">
        <f t="shared" si="10"/>
        <v/>
      </c>
      <c r="L345" t="str">
        <f t="shared" si="11"/>
        <v/>
      </c>
      <c r="M345" t="str">
        <f>IFERROR(IF($C345="","",SUMIFS(Ledger!$K$2:$K$4, Ledger!$B$2:$B$4, $A345, Ledger!$C$2:$C$4, M$2)),"****")</f>
        <v/>
      </c>
      <c r="N345" t="str">
        <f>IFERROR(IF($C345="","",SUMIFS(Ledger!$K$2:$K$4, Ledger!$B$2:$B$4, $A345, Ledger!$C$2:$C$4, N$2)),"****")</f>
        <v/>
      </c>
      <c r="O345" t="str">
        <f>IFERROR(IF($C345="","",SUMIFS(Ledger!$K$2:$K$4, Ledger!$B$2:$B$4, $A345, Ledger!$C$2:$C$4, O$2)),"****")</f>
        <v/>
      </c>
      <c r="P345" t="str">
        <f>IFERROR(IF($C345="","",SUMIFS(Ledger!$K$2:$K$4, Ledger!$B$2:$B$4, $A345, Ledger!$C$2:$C$4, P$2)),"****")</f>
        <v/>
      </c>
      <c r="Q345" t="str">
        <f>IFERROR(IF($C345="","",SUMIFS(Ledger!$K$2:$K$4, Ledger!$B$2:$B$4, $A345, Ledger!$C$2:$C$4, Q$2)),"****")</f>
        <v/>
      </c>
      <c r="R345" t="str">
        <f>IFERROR(IF($C345="","",SUMIFS(Ledger!$K$2:$K$4, Ledger!$B$2:$B$4, $A345, Ledger!$C$2:$C$4, R$2)),"****")</f>
        <v/>
      </c>
      <c r="S345" t="str">
        <f>IFERROR(IF($C345="","",SUMIFS(Ledger!$K$2:$K$4, Ledger!$B$2:$B$4, $A345, Ledger!$C$2:$C$4, S$2)),"****")</f>
        <v/>
      </c>
      <c r="T345" t="str">
        <f>IFERROR(IF($C345="","",SUMIFS(Ledger!$K$2:$K$4, Ledger!$B$2:$B$4, $A345, Ledger!$C$2:$C$4, T$2)),"****")</f>
        <v/>
      </c>
      <c r="U345" t="str">
        <f>IFERROR(IF($C345="","",SUMIFS(Ledger!$K$2:$K$4, Ledger!$B$2:$B$4, $A345, Ledger!$C$2:$C$4, U$2)),"****")</f>
        <v/>
      </c>
      <c r="V345" t="str">
        <f>IFERROR(IF($C345="","",SUMIFS(Ledger!$K$2:$K$4, Ledger!$B$2:$B$4, $A345, Ledger!$C$2:$C$4, V$2)),"****")</f>
        <v/>
      </c>
      <c r="W345" t="str">
        <f>IFERROR(IF($C345="","",SUMIFS(Ledger!$K$2:$K$4, Ledger!$B$2:$B$4, $A345, Ledger!$C$2:$C$4, W$2)),"****")</f>
        <v/>
      </c>
      <c r="X345" t="str">
        <f>IFERROR(IF($C345="","",SUMIFS(Ledger!$K$2:$K$4, Ledger!$B$2:$B$4, $A345, Ledger!$C$2:$C$4, X$2)),"****")</f>
        <v/>
      </c>
    </row>
    <row r="346" spans="1:24" x14ac:dyDescent="0.3">
      <c r="A346" s="106">
        <v>344</v>
      </c>
      <c r="B346" t="str">
        <f>IFERROR(VLOOKUP($A346, Ledger!$B$2:$L$8, 3, 0),"")</f>
        <v/>
      </c>
      <c r="C346" t="str">
        <f>IFERROR(VLOOKUP($A346, Ledger!$B$2:$L$8, 4, 0),"")</f>
        <v/>
      </c>
      <c r="D346" t="str">
        <f>IFERROR(VLOOKUP($A346, Ledger!$B$2:$L$8, 5, 0),"")</f>
        <v/>
      </c>
      <c r="E346" t="str">
        <f>IFERROR(VLOOKUP($A346, Ledger!$B$2:$L$8, 6, 0),"")</f>
        <v/>
      </c>
      <c r="F346" t="str">
        <f>IFERROR(VLOOKUP($A346,'Student Data'!$A$2:$AR$6,32,0),"")</f>
        <v/>
      </c>
      <c r="G346" t="str">
        <f>IFERROR(VLOOKUP($A346,'Student Data'!$A$2:$AR$6,33,0),"")</f>
        <v/>
      </c>
      <c r="H346" t="str">
        <f>IFERROR(VLOOKUP($A346,'Student Data'!$A$2:$AR$6,34,0),"")</f>
        <v/>
      </c>
      <c r="I346" t="str">
        <f>IFERROR(VLOOKUP($A346,'Student Data'!$A$2:$AR$6,35,0),"")</f>
        <v/>
      </c>
      <c r="J346" t="str">
        <f>IFERROR(VLOOKUP($A346,'Student Data'!$A$2:$AR$6,36,0),"")</f>
        <v/>
      </c>
      <c r="K346" t="str">
        <f t="shared" si="10"/>
        <v/>
      </c>
      <c r="L346" t="str">
        <f t="shared" si="11"/>
        <v/>
      </c>
      <c r="M346" t="str">
        <f>IFERROR(IF($C346="","",SUMIFS(Ledger!$K$2:$K$4, Ledger!$B$2:$B$4, $A346, Ledger!$C$2:$C$4, M$2)),"****")</f>
        <v/>
      </c>
      <c r="N346" t="str">
        <f>IFERROR(IF($C346="","",SUMIFS(Ledger!$K$2:$K$4, Ledger!$B$2:$B$4, $A346, Ledger!$C$2:$C$4, N$2)),"****")</f>
        <v/>
      </c>
      <c r="O346" t="str">
        <f>IFERROR(IF($C346="","",SUMIFS(Ledger!$K$2:$K$4, Ledger!$B$2:$B$4, $A346, Ledger!$C$2:$C$4, O$2)),"****")</f>
        <v/>
      </c>
      <c r="P346" t="str">
        <f>IFERROR(IF($C346="","",SUMIFS(Ledger!$K$2:$K$4, Ledger!$B$2:$B$4, $A346, Ledger!$C$2:$C$4, P$2)),"****")</f>
        <v/>
      </c>
      <c r="Q346" t="str">
        <f>IFERROR(IF($C346="","",SUMIFS(Ledger!$K$2:$K$4, Ledger!$B$2:$B$4, $A346, Ledger!$C$2:$C$4, Q$2)),"****")</f>
        <v/>
      </c>
      <c r="R346" t="str">
        <f>IFERROR(IF($C346="","",SUMIFS(Ledger!$K$2:$K$4, Ledger!$B$2:$B$4, $A346, Ledger!$C$2:$C$4, R$2)),"****")</f>
        <v/>
      </c>
      <c r="S346" t="str">
        <f>IFERROR(IF($C346="","",SUMIFS(Ledger!$K$2:$K$4, Ledger!$B$2:$B$4, $A346, Ledger!$C$2:$C$4, S$2)),"****")</f>
        <v/>
      </c>
      <c r="T346" t="str">
        <f>IFERROR(IF($C346="","",SUMIFS(Ledger!$K$2:$K$4, Ledger!$B$2:$B$4, $A346, Ledger!$C$2:$C$4, T$2)),"****")</f>
        <v/>
      </c>
      <c r="U346" t="str">
        <f>IFERROR(IF($C346="","",SUMIFS(Ledger!$K$2:$K$4, Ledger!$B$2:$B$4, $A346, Ledger!$C$2:$C$4, U$2)),"****")</f>
        <v/>
      </c>
      <c r="V346" t="str">
        <f>IFERROR(IF($C346="","",SUMIFS(Ledger!$K$2:$K$4, Ledger!$B$2:$B$4, $A346, Ledger!$C$2:$C$4, V$2)),"****")</f>
        <v/>
      </c>
      <c r="W346" t="str">
        <f>IFERROR(IF($C346="","",SUMIFS(Ledger!$K$2:$K$4, Ledger!$B$2:$B$4, $A346, Ledger!$C$2:$C$4, W$2)),"****")</f>
        <v/>
      </c>
      <c r="X346" t="str">
        <f>IFERROR(IF($C346="","",SUMIFS(Ledger!$K$2:$K$4, Ledger!$B$2:$B$4, $A346, Ledger!$C$2:$C$4, X$2)),"****")</f>
        <v/>
      </c>
    </row>
    <row r="347" spans="1:24" x14ac:dyDescent="0.3">
      <c r="A347" s="106">
        <v>345</v>
      </c>
      <c r="B347" t="str">
        <f>IFERROR(VLOOKUP($A347, Ledger!$B$2:$L$8, 3, 0),"")</f>
        <v/>
      </c>
      <c r="C347" t="str">
        <f>IFERROR(VLOOKUP($A347, Ledger!$B$2:$L$8, 4, 0),"")</f>
        <v/>
      </c>
      <c r="D347" t="str">
        <f>IFERROR(VLOOKUP($A347, Ledger!$B$2:$L$8, 5, 0),"")</f>
        <v/>
      </c>
      <c r="E347" t="str">
        <f>IFERROR(VLOOKUP($A347, Ledger!$B$2:$L$8, 6, 0),"")</f>
        <v/>
      </c>
      <c r="F347" t="str">
        <f>IFERROR(VLOOKUP($A347,'Student Data'!$A$2:$AR$6,32,0),"")</f>
        <v/>
      </c>
      <c r="G347" t="str">
        <f>IFERROR(VLOOKUP($A347,'Student Data'!$A$2:$AR$6,33,0),"")</f>
        <v/>
      </c>
      <c r="H347" t="str">
        <f>IFERROR(VLOOKUP($A347,'Student Data'!$A$2:$AR$6,34,0),"")</f>
        <v/>
      </c>
      <c r="I347" t="str">
        <f>IFERROR(VLOOKUP($A347,'Student Data'!$A$2:$AR$6,35,0),"")</f>
        <v/>
      </c>
      <c r="J347" t="str">
        <f>IFERROR(VLOOKUP($A347,'Student Data'!$A$2:$AR$6,36,0),"")</f>
        <v/>
      </c>
      <c r="K347" t="str">
        <f t="shared" si="10"/>
        <v/>
      </c>
      <c r="L347" t="str">
        <f t="shared" si="11"/>
        <v/>
      </c>
      <c r="M347" t="str">
        <f>IFERROR(IF($C347="","",SUMIFS(Ledger!$K$2:$K$4, Ledger!$B$2:$B$4, $A347, Ledger!$C$2:$C$4, M$2)),"****")</f>
        <v/>
      </c>
      <c r="N347" t="str">
        <f>IFERROR(IF($C347="","",SUMIFS(Ledger!$K$2:$K$4, Ledger!$B$2:$B$4, $A347, Ledger!$C$2:$C$4, N$2)),"****")</f>
        <v/>
      </c>
      <c r="O347" t="str">
        <f>IFERROR(IF($C347="","",SUMIFS(Ledger!$K$2:$K$4, Ledger!$B$2:$B$4, $A347, Ledger!$C$2:$C$4, O$2)),"****")</f>
        <v/>
      </c>
      <c r="P347" t="str">
        <f>IFERROR(IF($C347="","",SUMIFS(Ledger!$K$2:$K$4, Ledger!$B$2:$B$4, $A347, Ledger!$C$2:$C$4, P$2)),"****")</f>
        <v/>
      </c>
      <c r="Q347" t="str">
        <f>IFERROR(IF($C347="","",SUMIFS(Ledger!$K$2:$K$4, Ledger!$B$2:$B$4, $A347, Ledger!$C$2:$C$4, Q$2)),"****")</f>
        <v/>
      </c>
      <c r="R347" t="str">
        <f>IFERROR(IF($C347="","",SUMIFS(Ledger!$K$2:$K$4, Ledger!$B$2:$B$4, $A347, Ledger!$C$2:$C$4, R$2)),"****")</f>
        <v/>
      </c>
      <c r="S347" t="str">
        <f>IFERROR(IF($C347="","",SUMIFS(Ledger!$K$2:$K$4, Ledger!$B$2:$B$4, $A347, Ledger!$C$2:$C$4, S$2)),"****")</f>
        <v/>
      </c>
      <c r="T347" t="str">
        <f>IFERROR(IF($C347="","",SUMIFS(Ledger!$K$2:$K$4, Ledger!$B$2:$B$4, $A347, Ledger!$C$2:$C$4, T$2)),"****")</f>
        <v/>
      </c>
      <c r="U347" t="str">
        <f>IFERROR(IF($C347="","",SUMIFS(Ledger!$K$2:$K$4, Ledger!$B$2:$B$4, $A347, Ledger!$C$2:$C$4, U$2)),"****")</f>
        <v/>
      </c>
      <c r="V347" t="str">
        <f>IFERROR(IF($C347="","",SUMIFS(Ledger!$K$2:$K$4, Ledger!$B$2:$B$4, $A347, Ledger!$C$2:$C$4, V$2)),"****")</f>
        <v/>
      </c>
      <c r="W347" t="str">
        <f>IFERROR(IF($C347="","",SUMIFS(Ledger!$K$2:$K$4, Ledger!$B$2:$B$4, $A347, Ledger!$C$2:$C$4, W$2)),"****")</f>
        <v/>
      </c>
      <c r="X347" t="str">
        <f>IFERROR(IF($C347="","",SUMIFS(Ledger!$K$2:$K$4, Ledger!$B$2:$B$4, $A347, Ledger!$C$2:$C$4, X$2)),"****")</f>
        <v/>
      </c>
    </row>
    <row r="348" spans="1:24" x14ac:dyDescent="0.3">
      <c r="A348" s="106">
        <v>346</v>
      </c>
      <c r="B348" t="str">
        <f>IFERROR(VLOOKUP($A348, Ledger!$B$2:$L$8, 3, 0),"")</f>
        <v/>
      </c>
      <c r="C348" t="str">
        <f>IFERROR(VLOOKUP($A348, Ledger!$B$2:$L$8, 4, 0),"")</f>
        <v/>
      </c>
      <c r="D348" t="str">
        <f>IFERROR(VLOOKUP($A348, Ledger!$B$2:$L$8, 5, 0),"")</f>
        <v/>
      </c>
      <c r="E348" t="str">
        <f>IFERROR(VLOOKUP($A348, Ledger!$B$2:$L$8, 6, 0),"")</f>
        <v/>
      </c>
      <c r="F348" t="str">
        <f>IFERROR(VLOOKUP($A348,'Student Data'!$A$2:$AR$6,32,0),"")</f>
        <v/>
      </c>
      <c r="G348" t="str">
        <f>IFERROR(VLOOKUP($A348,'Student Data'!$A$2:$AR$6,33,0),"")</f>
        <v/>
      </c>
      <c r="H348" t="str">
        <f>IFERROR(VLOOKUP($A348,'Student Data'!$A$2:$AR$6,34,0),"")</f>
        <v/>
      </c>
      <c r="I348" t="str">
        <f>IFERROR(VLOOKUP($A348,'Student Data'!$A$2:$AR$6,35,0),"")</f>
        <v/>
      </c>
      <c r="J348" t="str">
        <f>IFERROR(VLOOKUP($A348,'Student Data'!$A$2:$AR$6,36,0),"")</f>
        <v/>
      </c>
      <c r="K348" t="str">
        <f t="shared" si="10"/>
        <v/>
      </c>
      <c r="L348" t="str">
        <f t="shared" si="11"/>
        <v/>
      </c>
      <c r="M348" t="str">
        <f>IFERROR(IF($C348="","",SUMIFS(Ledger!$K$2:$K$4, Ledger!$B$2:$B$4, $A348, Ledger!$C$2:$C$4, M$2)),"****")</f>
        <v/>
      </c>
      <c r="N348" t="str">
        <f>IFERROR(IF($C348="","",SUMIFS(Ledger!$K$2:$K$4, Ledger!$B$2:$B$4, $A348, Ledger!$C$2:$C$4, N$2)),"****")</f>
        <v/>
      </c>
      <c r="O348" t="str">
        <f>IFERROR(IF($C348="","",SUMIFS(Ledger!$K$2:$K$4, Ledger!$B$2:$B$4, $A348, Ledger!$C$2:$C$4, O$2)),"****")</f>
        <v/>
      </c>
      <c r="P348" t="str">
        <f>IFERROR(IF($C348="","",SUMIFS(Ledger!$K$2:$K$4, Ledger!$B$2:$B$4, $A348, Ledger!$C$2:$C$4, P$2)),"****")</f>
        <v/>
      </c>
      <c r="Q348" t="str">
        <f>IFERROR(IF($C348="","",SUMIFS(Ledger!$K$2:$K$4, Ledger!$B$2:$B$4, $A348, Ledger!$C$2:$C$4, Q$2)),"****")</f>
        <v/>
      </c>
      <c r="R348" t="str">
        <f>IFERROR(IF($C348="","",SUMIFS(Ledger!$K$2:$K$4, Ledger!$B$2:$B$4, $A348, Ledger!$C$2:$C$4, R$2)),"****")</f>
        <v/>
      </c>
      <c r="S348" t="str">
        <f>IFERROR(IF($C348="","",SUMIFS(Ledger!$K$2:$K$4, Ledger!$B$2:$B$4, $A348, Ledger!$C$2:$C$4, S$2)),"****")</f>
        <v/>
      </c>
      <c r="T348" t="str">
        <f>IFERROR(IF($C348="","",SUMIFS(Ledger!$K$2:$K$4, Ledger!$B$2:$B$4, $A348, Ledger!$C$2:$C$4, T$2)),"****")</f>
        <v/>
      </c>
      <c r="U348" t="str">
        <f>IFERROR(IF($C348="","",SUMIFS(Ledger!$K$2:$K$4, Ledger!$B$2:$B$4, $A348, Ledger!$C$2:$C$4, U$2)),"****")</f>
        <v/>
      </c>
      <c r="V348" t="str">
        <f>IFERROR(IF($C348="","",SUMIFS(Ledger!$K$2:$K$4, Ledger!$B$2:$B$4, $A348, Ledger!$C$2:$C$4, V$2)),"****")</f>
        <v/>
      </c>
      <c r="W348" t="str">
        <f>IFERROR(IF($C348="","",SUMIFS(Ledger!$K$2:$K$4, Ledger!$B$2:$B$4, $A348, Ledger!$C$2:$C$4, W$2)),"****")</f>
        <v/>
      </c>
      <c r="X348" t="str">
        <f>IFERROR(IF($C348="","",SUMIFS(Ledger!$K$2:$K$4, Ledger!$B$2:$B$4, $A348, Ledger!$C$2:$C$4, X$2)),"****")</f>
        <v/>
      </c>
    </row>
    <row r="349" spans="1:24" x14ac:dyDescent="0.3">
      <c r="A349" s="106">
        <v>347</v>
      </c>
      <c r="B349" t="str">
        <f>IFERROR(VLOOKUP($A349, Ledger!$B$2:$L$8, 3, 0),"")</f>
        <v/>
      </c>
      <c r="C349" t="str">
        <f>IFERROR(VLOOKUP($A349, Ledger!$B$2:$L$8, 4, 0),"")</f>
        <v/>
      </c>
      <c r="D349" t="str">
        <f>IFERROR(VLOOKUP($A349, Ledger!$B$2:$L$8, 5, 0),"")</f>
        <v/>
      </c>
      <c r="E349" t="str">
        <f>IFERROR(VLOOKUP($A349, Ledger!$B$2:$L$8, 6, 0),"")</f>
        <v/>
      </c>
      <c r="F349" t="str">
        <f>IFERROR(VLOOKUP($A349,'Student Data'!$A$2:$AR$6,32,0),"")</f>
        <v/>
      </c>
      <c r="G349" t="str">
        <f>IFERROR(VLOOKUP($A349,'Student Data'!$A$2:$AR$6,33,0),"")</f>
        <v/>
      </c>
      <c r="H349" t="str">
        <f>IFERROR(VLOOKUP($A349,'Student Data'!$A$2:$AR$6,34,0),"")</f>
        <v/>
      </c>
      <c r="I349" t="str">
        <f>IFERROR(VLOOKUP($A349,'Student Data'!$A$2:$AR$6,35,0),"")</f>
        <v/>
      </c>
      <c r="J349" t="str">
        <f>IFERROR(VLOOKUP($A349,'Student Data'!$A$2:$AR$6,36,0),"")</f>
        <v/>
      </c>
      <c r="K349" t="str">
        <f t="shared" si="10"/>
        <v/>
      </c>
      <c r="L349" t="str">
        <f t="shared" si="11"/>
        <v/>
      </c>
      <c r="M349" t="str">
        <f>IFERROR(IF($C349="","",SUMIFS(Ledger!$K$2:$K$4, Ledger!$B$2:$B$4, $A349, Ledger!$C$2:$C$4, M$2)),"****")</f>
        <v/>
      </c>
      <c r="N349" t="str">
        <f>IFERROR(IF($C349="","",SUMIFS(Ledger!$K$2:$K$4, Ledger!$B$2:$B$4, $A349, Ledger!$C$2:$C$4, N$2)),"****")</f>
        <v/>
      </c>
      <c r="O349" t="str">
        <f>IFERROR(IF($C349="","",SUMIFS(Ledger!$K$2:$K$4, Ledger!$B$2:$B$4, $A349, Ledger!$C$2:$C$4, O$2)),"****")</f>
        <v/>
      </c>
      <c r="P349" t="str">
        <f>IFERROR(IF($C349="","",SUMIFS(Ledger!$K$2:$K$4, Ledger!$B$2:$B$4, $A349, Ledger!$C$2:$C$4, P$2)),"****")</f>
        <v/>
      </c>
      <c r="Q349" t="str">
        <f>IFERROR(IF($C349="","",SUMIFS(Ledger!$K$2:$K$4, Ledger!$B$2:$B$4, $A349, Ledger!$C$2:$C$4, Q$2)),"****")</f>
        <v/>
      </c>
      <c r="R349" t="str">
        <f>IFERROR(IF($C349="","",SUMIFS(Ledger!$K$2:$K$4, Ledger!$B$2:$B$4, $A349, Ledger!$C$2:$C$4, R$2)),"****")</f>
        <v/>
      </c>
      <c r="S349" t="str">
        <f>IFERROR(IF($C349="","",SUMIFS(Ledger!$K$2:$K$4, Ledger!$B$2:$B$4, $A349, Ledger!$C$2:$C$4, S$2)),"****")</f>
        <v/>
      </c>
      <c r="T349" t="str">
        <f>IFERROR(IF($C349="","",SUMIFS(Ledger!$K$2:$K$4, Ledger!$B$2:$B$4, $A349, Ledger!$C$2:$C$4, T$2)),"****")</f>
        <v/>
      </c>
      <c r="U349" t="str">
        <f>IFERROR(IF($C349="","",SUMIFS(Ledger!$K$2:$K$4, Ledger!$B$2:$B$4, $A349, Ledger!$C$2:$C$4, U$2)),"****")</f>
        <v/>
      </c>
      <c r="V349" t="str">
        <f>IFERROR(IF($C349="","",SUMIFS(Ledger!$K$2:$K$4, Ledger!$B$2:$B$4, $A349, Ledger!$C$2:$C$4, V$2)),"****")</f>
        <v/>
      </c>
      <c r="W349" t="str">
        <f>IFERROR(IF($C349="","",SUMIFS(Ledger!$K$2:$K$4, Ledger!$B$2:$B$4, $A349, Ledger!$C$2:$C$4, W$2)),"****")</f>
        <v/>
      </c>
      <c r="X349" t="str">
        <f>IFERROR(IF($C349="","",SUMIFS(Ledger!$K$2:$K$4, Ledger!$B$2:$B$4, $A349, Ledger!$C$2:$C$4, X$2)),"****")</f>
        <v/>
      </c>
    </row>
    <row r="350" spans="1:24" x14ac:dyDescent="0.3">
      <c r="A350" s="106">
        <v>348</v>
      </c>
      <c r="B350" t="str">
        <f>IFERROR(VLOOKUP($A350, Ledger!$B$2:$L$8, 3, 0),"")</f>
        <v/>
      </c>
      <c r="C350" t="str">
        <f>IFERROR(VLOOKUP($A350, Ledger!$B$2:$L$8, 4, 0),"")</f>
        <v/>
      </c>
      <c r="D350" t="str">
        <f>IFERROR(VLOOKUP($A350, Ledger!$B$2:$L$8, 5, 0),"")</f>
        <v/>
      </c>
      <c r="E350" t="str">
        <f>IFERROR(VLOOKUP($A350, Ledger!$B$2:$L$8, 6, 0),"")</f>
        <v/>
      </c>
      <c r="F350" t="str">
        <f>IFERROR(VLOOKUP($A350,'Student Data'!$A$2:$AR$6,32,0),"")</f>
        <v/>
      </c>
      <c r="G350" t="str">
        <f>IFERROR(VLOOKUP($A350,'Student Data'!$A$2:$AR$6,33,0),"")</f>
        <v/>
      </c>
      <c r="H350" t="str">
        <f>IFERROR(VLOOKUP($A350,'Student Data'!$A$2:$AR$6,34,0),"")</f>
        <v/>
      </c>
      <c r="I350" t="str">
        <f>IFERROR(VLOOKUP($A350,'Student Data'!$A$2:$AR$6,35,0),"")</f>
        <v/>
      </c>
      <c r="J350" t="str">
        <f>IFERROR(VLOOKUP($A350,'Student Data'!$A$2:$AR$6,36,0),"")</f>
        <v/>
      </c>
      <c r="K350" t="str">
        <f t="shared" si="10"/>
        <v/>
      </c>
      <c r="L350" t="str">
        <f t="shared" si="11"/>
        <v/>
      </c>
      <c r="M350" t="str">
        <f>IFERROR(IF($C350="","",SUMIFS(Ledger!$K$2:$K$4, Ledger!$B$2:$B$4, $A350, Ledger!$C$2:$C$4, M$2)),"****")</f>
        <v/>
      </c>
      <c r="N350" t="str">
        <f>IFERROR(IF($C350="","",SUMIFS(Ledger!$K$2:$K$4, Ledger!$B$2:$B$4, $A350, Ledger!$C$2:$C$4, N$2)),"****")</f>
        <v/>
      </c>
      <c r="O350" t="str">
        <f>IFERROR(IF($C350="","",SUMIFS(Ledger!$K$2:$K$4, Ledger!$B$2:$B$4, $A350, Ledger!$C$2:$C$4, O$2)),"****")</f>
        <v/>
      </c>
      <c r="P350" t="str">
        <f>IFERROR(IF($C350="","",SUMIFS(Ledger!$K$2:$K$4, Ledger!$B$2:$B$4, $A350, Ledger!$C$2:$C$4, P$2)),"****")</f>
        <v/>
      </c>
      <c r="Q350" t="str">
        <f>IFERROR(IF($C350="","",SUMIFS(Ledger!$K$2:$K$4, Ledger!$B$2:$B$4, $A350, Ledger!$C$2:$C$4, Q$2)),"****")</f>
        <v/>
      </c>
      <c r="R350" t="str">
        <f>IFERROR(IF($C350="","",SUMIFS(Ledger!$K$2:$K$4, Ledger!$B$2:$B$4, $A350, Ledger!$C$2:$C$4, R$2)),"****")</f>
        <v/>
      </c>
      <c r="S350" t="str">
        <f>IFERROR(IF($C350="","",SUMIFS(Ledger!$K$2:$K$4, Ledger!$B$2:$B$4, $A350, Ledger!$C$2:$C$4, S$2)),"****")</f>
        <v/>
      </c>
      <c r="T350" t="str">
        <f>IFERROR(IF($C350="","",SUMIFS(Ledger!$K$2:$K$4, Ledger!$B$2:$B$4, $A350, Ledger!$C$2:$C$4, T$2)),"****")</f>
        <v/>
      </c>
      <c r="U350" t="str">
        <f>IFERROR(IF($C350="","",SUMIFS(Ledger!$K$2:$K$4, Ledger!$B$2:$B$4, $A350, Ledger!$C$2:$C$4, U$2)),"****")</f>
        <v/>
      </c>
      <c r="V350" t="str">
        <f>IFERROR(IF($C350="","",SUMIFS(Ledger!$K$2:$K$4, Ledger!$B$2:$B$4, $A350, Ledger!$C$2:$C$4, V$2)),"****")</f>
        <v/>
      </c>
      <c r="W350" t="str">
        <f>IFERROR(IF($C350="","",SUMIFS(Ledger!$K$2:$K$4, Ledger!$B$2:$B$4, $A350, Ledger!$C$2:$C$4, W$2)),"****")</f>
        <v/>
      </c>
      <c r="X350" t="str">
        <f>IFERROR(IF($C350="","",SUMIFS(Ledger!$K$2:$K$4, Ledger!$B$2:$B$4, $A350, Ledger!$C$2:$C$4, X$2)),"****")</f>
        <v/>
      </c>
    </row>
    <row r="351" spans="1:24" x14ac:dyDescent="0.3">
      <c r="A351" s="106">
        <v>349</v>
      </c>
      <c r="B351" t="str">
        <f>IFERROR(VLOOKUP($A351, Ledger!$B$2:$L$8, 3, 0),"")</f>
        <v/>
      </c>
      <c r="C351" t="str">
        <f>IFERROR(VLOOKUP($A351, Ledger!$B$2:$L$8, 4, 0),"")</f>
        <v/>
      </c>
      <c r="D351" t="str">
        <f>IFERROR(VLOOKUP($A351, Ledger!$B$2:$L$8, 5, 0),"")</f>
        <v/>
      </c>
      <c r="E351" t="str">
        <f>IFERROR(VLOOKUP($A351, Ledger!$B$2:$L$8, 6, 0),"")</f>
        <v/>
      </c>
      <c r="F351" t="str">
        <f>IFERROR(VLOOKUP($A351,'Student Data'!$A$2:$AR$6,32,0),"")</f>
        <v/>
      </c>
      <c r="G351" t="str">
        <f>IFERROR(VLOOKUP($A351,'Student Data'!$A$2:$AR$6,33,0),"")</f>
        <v/>
      </c>
      <c r="H351" t="str">
        <f>IFERROR(VLOOKUP($A351,'Student Data'!$A$2:$AR$6,34,0),"")</f>
        <v/>
      </c>
      <c r="I351" t="str">
        <f>IFERROR(VLOOKUP($A351,'Student Data'!$A$2:$AR$6,35,0),"")</f>
        <v/>
      </c>
      <c r="J351" t="str">
        <f>IFERROR(VLOOKUP($A351,'Student Data'!$A$2:$AR$6,36,0),"")</f>
        <v/>
      </c>
      <c r="K351" t="str">
        <f t="shared" si="10"/>
        <v/>
      </c>
      <c r="L351" t="str">
        <f t="shared" si="11"/>
        <v/>
      </c>
      <c r="M351" t="str">
        <f>IFERROR(IF($C351="","",SUMIFS(Ledger!$K$2:$K$4, Ledger!$B$2:$B$4, $A351, Ledger!$C$2:$C$4, M$2)),"****")</f>
        <v/>
      </c>
      <c r="N351" t="str">
        <f>IFERROR(IF($C351="","",SUMIFS(Ledger!$K$2:$K$4, Ledger!$B$2:$B$4, $A351, Ledger!$C$2:$C$4, N$2)),"****")</f>
        <v/>
      </c>
      <c r="O351" t="str">
        <f>IFERROR(IF($C351="","",SUMIFS(Ledger!$K$2:$K$4, Ledger!$B$2:$B$4, $A351, Ledger!$C$2:$C$4, O$2)),"****")</f>
        <v/>
      </c>
      <c r="P351" t="str">
        <f>IFERROR(IF($C351="","",SUMIFS(Ledger!$K$2:$K$4, Ledger!$B$2:$B$4, $A351, Ledger!$C$2:$C$4, P$2)),"****")</f>
        <v/>
      </c>
      <c r="Q351" t="str">
        <f>IFERROR(IF($C351="","",SUMIFS(Ledger!$K$2:$K$4, Ledger!$B$2:$B$4, $A351, Ledger!$C$2:$C$4, Q$2)),"****")</f>
        <v/>
      </c>
      <c r="R351" t="str">
        <f>IFERROR(IF($C351="","",SUMIFS(Ledger!$K$2:$K$4, Ledger!$B$2:$B$4, $A351, Ledger!$C$2:$C$4, R$2)),"****")</f>
        <v/>
      </c>
      <c r="S351" t="str">
        <f>IFERROR(IF($C351="","",SUMIFS(Ledger!$K$2:$K$4, Ledger!$B$2:$B$4, $A351, Ledger!$C$2:$C$4, S$2)),"****")</f>
        <v/>
      </c>
      <c r="T351" t="str">
        <f>IFERROR(IF($C351="","",SUMIFS(Ledger!$K$2:$K$4, Ledger!$B$2:$B$4, $A351, Ledger!$C$2:$C$4, T$2)),"****")</f>
        <v/>
      </c>
      <c r="U351" t="str">
        <f>IFERROR(IF($C351="","",SUMIFS(Ledger!$K$2:$K$4, Ledger!$B$2:$B$4, $A351, Ledger!$C$2:$C$4, U$2)),"****")</f>
        <v/>
      </c>
      <c r="V351" t="str">
        <f>IFERROR(IF($C351="","",SUMIFS(Ledger!$K$2:$K$4, Ledger!$B$2:$B$4, $A351, Ledger!$C$2:$C$4, V$2)),"****")</f>
        <v/>
      </c>
      <c r="W351" t="str">
        <f>IFERROR(IF($C351="","",SUMIFS(Ledger!$K$2:$K$4, Ledger!$B$2:$B$4, $A351, Ledger!$C$2:$C$4, W$2)),"****")</f>
        <v/>
      </c>
      <c r="X351" t="str">
        <f>IFERROR(IF($C351="","",SUMIFS(Ledger!$K$2:$K$4, Ledger!$B$2:$B$4, $A351, Ledger!$C$2:$C$4, X$2)),"****")</f>
        <v/>
      </c>
    </row>
    <row r="352" spans="1:24" x14ac:dyDescent="0.3">
      <c r="A352" s="106">
        <v>350</v>
      </c>
      <c r="B352" t="str">
        <f>IFERROR(VLOOKUP($A352, Ledger!$B$2:$L$8, 3, 0),"")</f>
        <v/>
      </c>
      <c r="C352" t="str">
        <f>IFERROR(VLOOKUP($A352, Ledger!$B$2:$L$8, 4, 0),"")</f>
        <v/>
      </c>
      <c r="D352" t="str">
        <f>IFERROR(VLOOKUP($A352, Ledger!$B$2:$L$8, 5, 0),"")</f>
        <v/>
      </c>
      <c r="E352" t="str">
        <f>IFERROR(VLOOKUP($A352, Ledger!$B$2:$L$8, 6, 0),"")</f>
        <v/>
      </c>
      <c r="F352" t="str">
        <f>IFERROR(VLOOKUP($A352,'Student Data'!$A$2:$AR$6,32,0),"")</f>
        <v/>
      </c>
      <c r="G352" t="str">
        <f>IFERROR(VLOOKUP($A352,'Student Data'!$A$2:$AR$6,33,0),"")</f>
        <v/>
      </c>
      <c r="H352" t="str">
        <f>IFERROR(VLOOKUP($A352,'Student Data'!$A$2:$AR$6,34,0),"")</f>
        <v/>
      </c>
      <c r="I352" t="str">
        <f>IFERROR(VLOOKUP($A352,'Student Data'!$A$2:$AR$6,35,0),"")</f>
        <v/>
      </c>
      <c r="J352" t="str">
        <f>IFERROR(VLOOKUP($A352,'Student Data'!$A$2:$AR$6,36,0),"")</f>
        <v/>
      </c>
      <c r="K352" t="str">
        <f t="shared" si="10"/>
        <v/>
      </c>
      <c r="L352" t="str">
        <f t="shared" si="11"/>
        <v/>
      </c>
      <c r="M352" t="str">
        <f>IFERROR(IF($C352="","",SUMIFS(Ledger!$K$2:$K$4, Ledger!$B$2:$B$4, $A352, Ledger!$C$2:$C$4, M$2)),"****")</f>
        <v/>
      </c>
      <c r="N352" t="str">
        <f>IFERROR(IF($C352="","",SUMIFS(Ledger!$K$2:$K$4, Ledger!$B$2:$B$4, $A352, Ledger!$C$2:$C$4, N$2)),"****")</f>
        <v/>
      </c>
      <c r="O352" t="str">
        <f>IFERROR(IF($C352="","",SUMIFS(Ledger!$K$2:$K$4, Ledger!$B$2:$B$4, $A352, Ledger!$C$2:$C$4, O$2)),"****")</f>
        <v/>
      </c>
      <c r="P352" t="str">
        <f>IFERROR(IF($C352="","",SUMIFS(Ledger!$K$2:$K$4, Ledger!$B$2:$B$4, $A352, Ledger!$C$2:$C$4, P$2)),"****")</f>
        <v/>
      </c>
      <c r="Q352" t="str">
        <f>IFERROR(IF($C352="","",SUMIFS(Ledger!$K$2:$K$4, Ledger!$B$2:$B$4, $A352, Ledger!$C$2:$C$4, Q$2)),"****")</f>
        <v/>
      </c>
      <c r="R352" t="str">
        <f>IFERROR(IF($C352="","",SUMIFS(Ledger!$K$2:$K$4, Ledger!$B$2:$B$4, $A352, Ledger!$C$2:$C$4, R$2)),"****")</f>
        <v/>
      </c>
      <c r="S352" t="str">
        <f>IFERROR(IF($C352="","",SUMIFS(Ledger!$K$2:$K$4, Ledger!$B$2:$B$4, $A352, Ledger!$C$2:$C$4, S$2)),"****")</f>
        <v/>
      </c>
      <c r="T352" t="str">
        <f>IFERROR(IF($C352="","",SUMIFS(Ledger!$K$2:$K$4, Ledger!$B$2:$B$4, $A352, Ledger!$C$2:$C$4, T$2)),"****")</f>
        <v/>
      </c>
      <c r="U352" t="str">
        <f>IFERROR(IF($C352="","",SUMIFS(Ledger!$K$2:$K$4, Ledger!$B$2:$B$4, $A352, Ledger!$C$2:$C$4, U$2)),"****")</f>
        <v/>
      </c>
      <c r="V352" t="str">
        <f>IFERROR(IF($C352="","",SUMIFS(Ledger!$K$2:$K$4, Ledger!$B$2:$B$4, $A352, Ledger!$C$2:$C$4, V$2)),"****")</f>
        <v/>
      </c>
      <c r="W352" t="str">
        <f>IFERROR(IF($C352="","",SUMIFS(Ledger!$K$2:$K$4, Ledger!$B$2:$B$4, $A352, Ledger!$C$2:$C$4, W$2)),"****")</f>
        <v/>
      </c>
      <c r="X352" t="str">
        <f>IFERROR(IF($C352="","",SUMIFS(Ledger!$K$2:$K$4, Ledger!$B$2:$B$4, $A352, Ledger!$C$2:$C$4, X$2)),"****")</f>
        <v/>
      </c>
    </row>
    <row r="353" spans="1:24" x14ac:dyDescent="0.3">
      <c r="A353" s="106">
        <v>351</v>
      </c>
      <c r="B353" t="str">
        <f>IFERROR(VLOOKUP($A353, Ledger!$B$2:$L$8, 3, 0),"")</f>
        <v/>
      </c>
      <c r="C353" t="str">
        <f>IFERROR(VLOOKUP($A353, Ledger!$B$2:$L$8, 4, 0),"")</f>
        <v/>
      </c>
      <c r="D353" t="str">
        <f>IFERROR(VLOOKUP($A353, Ledger!$B$2:$L$8, 5, 0),"")</f>
        <v/>
      </c>
      <c r="E353" t="str">
        <f>IFERROR(VLOOKUP($A353, Ledger!$B$2:$L$8, 6, 0),"")</f>
        <v/>
      </c>
      <c r="F353" t="str">
        <f>IFERROR(VLOOKUP($A353,'Student Data'!$A$2:$AR$6,32,0),"")</f>
        <v/>
      </c>
      <c r="G353" t="str">
        <f>IFERROR(VLOOKUP($A353,'Student Data'!$A$2:$AR$6,33,0),"")</f>
        <v/>
      </c>
      <c r="H353" t="str">
        <f>IFERROR(VLOOKUP($A353,'Student Data'!$A$2:$AR$6,34,0),"")</f>
        <v/>
      </c>
      <c r="I353" t="str">
        <f>IFERROR(VLOOKUP($A353,'Student Data'!$A$2:$AR$6,35,0),"")</f>
        <v/>
      </c>
      <c r="J353" t="str">
        <f>IFERROR(VLOOKUP($A353,'Student Data'!$A$2:$AR$6,36,0),"")</f>
        <v/>
      </c>
      <c r="K353" t="str">
        <f t="shared" si="10"/>
        <v/>
      </c>
      <c r="L353" t="str">
        <f t="shared" si="11"/>
        <v/>
      </c>
      <c r="M353" t="str">
        <f>IFERROR(IF($C353="","",SUMIFS(Ledger!$K$2:$K$4, Ledger!$B$2:$B$4, $A353, Ledger!$C$2:$C$4, M$2)),"****")</f>
        <v/>
      </c>
      <c r="N353" t="str">
        <f>IFERROR(IF($C353="","",SUMIFS(Ledger!$K$2:$K$4, Ledger!$B$2:$B$4, $A353, Ledger!$C$2:$C$4, N$2)),"****")</f>
        <v/>
      </c>
      <c r="O353" t="str">
        <f>IFERROR(IF($C353="","",SUMIFS(Ledger!$K$2:$K$4, Ledger!$B$2:$B$4, $A353, Ledger!$C$2:$C$4, O$2)),"****")</f>
        <v/>
      </c>
      <c r="P353" t="str">
        <f>IFERROR(IF($C353="","",SUMIFS(Ledger!$K$2:$K$4, Ledger!$B$2:$B$4, $A353, Ledger!$C$2:$C$4, P$2)),"****")</f>
        <v/>
      </c>
      <c r="Q353" t="str">
        <f>IFERROR(IF($C353="","",SUMIFS(Ledger!$K$2:$K$4, Ledger!$B$2:$B$4, $A353, Ledger!$C$2:$C$4, Q$2)),"****")</f>
        <v/>
      </c>
      <c r="R353" t="str">
        <f>IFERROR(IF($C353="","",SUMIFS(Ledger!$K$2:$K$4, Ledger!$B$2:$B$4, $A353, Ledger!$C$2:$C$4, R$2)),"****")</f>
        <v/>
      </c>
      <c r="S353" t="str">
        <f>IFERROR(IF($C353="","",SUMIFS(Ledger!$K$2:$K$4, Ledger!$B$2:$B$4, $A353, Ledger!$C$2:$C$4, S$2)),"****")</f>
        <v/>
      </c>
      <c r="T353" t="str">
        <f>IFERROR(IF($C353="","",SUMIFS(Ledger!$K$2:$K$4, Ledger!$B$2:$B$4, $A353, Ledger!$C$2:$C$4, T$2)),"****")</f>
        <v/>
      </c>
      <c r="U353" t="str">
        <f>IFERROR(IF($C353="","",SUMIFS(Ledger!$K$2:$K$4, Ledger!$B$2:$B$4, $A353, Ledger!$C$2:$C$4, U$2)),"****")</f>
        <v/>
      </c>
      <c r="V353" t="str">
        <f>IFERROR(IF($C353="","",SUMIFS(Ledger!$K$2:$K$4, Ledger!$B$2:$B$4, $A353, Ledger!$C$2:$C$4, V$2)),"****")</f>
        <v/>
      </c>
      <c r="W353" t="str">
        <f>IFERROR(IF($C353="","",SUMIFS(Ledger!$K$2:$K$4, Ledger!$B$2:$B$4, $A353, Ledger!$C$2:$C$4, W$2)),"****")</f>
        <v/>
      </c>
      <c r="X353" t="str">
        <f>IFERROR(IF($C353="","",SUMIFS(Ledger!$K$2:$K$4, Ledger!$B$2:$B$4, $A353, Ledger!$C$2:$C$4, X$2)),"****")</f>
        <v/>
      </c>
    </row>
    <row r="354" spans="1:24" x14ac:dyDescent="0.3">
      <c r="A354" s="106">
        <v>352</v>
      </c>
      <c r="B354" t="str">
        <f>IFERROR(VLOOKUP($A354, Ledger!$B$2:$L$8, 3, 0),"")</f>
        <v/>
      </c>
      <c r="C354" t="str">
        <f>IFERROR(VLOOKUP($A354, Ledger!$B$2:$L$8, 4, 0),"")</f>
        <v/>
      </c>
      <c r="D354" t="str">
        <f>IFERROR(VLOOKUP($A354, Ledger!$B$2:$L$8, 5, 0),"")</f>
        <v/>
      </c>
      <c r="E354" t="str">
        <f>IFERROR(VLOOKUP($A354, Ledger!$B$2:$L$8, 6, 0),"")</f>
        <v/>
      </c>
      <c r="F354" t="str">
        <f>IFERROR(VLOOKUP($A354,'Student Data'!$A$2:$AR$6,32,0),"")</f>
        <v/>
      </c>
      <c r="G354" t="str">
        <f>IFERROR(VLOOKUP($A354,'Student Data'!$A$2:$AR$6,33,0),"")</f>
        <v/>
      </c>
      <c r="H354" t="str">
        <f>IFERROR(VLOOKUP($A354,'Student Data'!$A$2:$AR$6,34,0),"")</f>
        <v/>
      </c>
      <c r="I354" t="str">
        <f>IFERROR(VLOOKUP($A354,'Student Data'!$A$2:$AR$6,35,0),"")</f>
        <v/>
      </c>
      <c r="J354" t="str">
        <f>IFERROR(VLOOKUP($A354,'Student Data'!$A$2:$AR$6,36,0),"")</f>
        <v/>
      </c>
      <c r="K354" t="str">
        <f t="shared" si="10"/>
        <v/>
      </c>
      <c r="L354" t="str">
        <f t="shared" si="11"/>
        <v/>
      </c>
      <c r="M354" t="str">
        <f>IFERROR(IF($C354="","",SUMIFS(Ledger!$K$2:$K$4, Ledger!$B$2:$B$4, $A354, Ledger!$C$2:$C$4, M$2)),"****")</f>
        <v/>
      </c>
      <c r="N354" t="str">
        <f>IFERROR(IF($C354="","",SUMIFS(Ledger!$K$2:$K$4, Ledger!$B$2:$B$4, $A354, Ledger!$C$2:$C$4, N$2)),"****")</f>
        <v/>
      </c>
      <c r="O354" t="str">
        <f>IFERROR(IF($C354="","",SUMIFS(Ledger!$K$2:$K$4, Ledger!$B$2:$B$4, $A354, Ledger!$C$2:$C$4, O$2)),"****")</f>
        <v/>
      </c>
      <c r="P354" t="str">
        <f>IFERROR(IF($C354="","",SUMIFS(Ledger!$K$2:$K$4, Ledger!$B$2:$B$4, $A354, Ledger!$C$2:$C$4, P$2)),"****")</f>
        <v/>
      </c>
      <c r="Q354" t="str">
        <f>IFERROR(IF($C354="","",SUMIFS(Ledger!$K$2:$K$4, Ledger!$B$2:$B$4, $A354, Ledger!$C$2:$C$4, Q$2)),"****")</f>
        <v/>
      </c>
      <c r="R354" t="str">
        <f>IFERROR(IF($C354="","",SUMIFS(Ledger!$K$2:$K$4, Ledger!$B$2:$B$4, $A354, Ledger!$C$2:$C$4, R$2)),"****")</f>
        <v/>
      </c>
      <c r="S354" t="str">
        <f>IFERROR(IF($C354="","",SUMIFS(Ledger!$K$2:$K$4, Ledger!$B$2:$B$4, $A354, Ledger!$C$2:$C$4, S$2)),"****")</f>
        <v/>
      </c>
      <c r="T354" t="str">
        <f>IFERROR(IF($C354="","",SUMIFS(Ledger!$K$2:$K$4, Ledger!$B$2:$B$4, $A354, Ledger!$C$2:$C$4, T$2)),"****")</f>
        <v/>
      </c>
      <c r="U354" t="str">
        <f>IFERROR(IF($C354="","",SUMIFS(Ledger!$K$2:$K$4, Ledger!$B$2:$B$4, $A354, Ledger!$C$2:$C$4, U$2)),"****")</f>
        <v/>
      </c>
      <c r="V354" t="str">
        <f>IFERROR(IF($C354="","",SUMIFS(Ledger!$K$2:$K$4, Ledger!$B$2:$B$4, $A354, Ledger!$C$2:$C$4, V$2)),"****")</f>
        <v/>
      </c>
      <c r="W354" t="str">
        <f>IFERROR(IF($C354="","",SUMIFS(Ledger!$K$2:$K$4, Ledger!$B$2:$B$4, $A354, Ledger!$C$2:$C$4, W$2)),"****")</f>
        <v/>
      </c>
      <c r="X354" t="str">
        <f>IFERROR(IF($C354="","",SUMIFS(Ledger!$K$2:$K$4, Ledger!$B$2:$B$4, $A354, Ledger!$C$2:$C$4, X$2)),"****")</f>
        <v/>
      </c>
    </row>
    <row r="355" spans="1:24" x14ac:dyDescent="0.3">
      <c r="A355" s="106">
        <v>353</v>
      </c>
      <c r="B355" t="str">
        <f>IFERROR(VLOOKUP($A355, Ledger!$B$2:$L$8, 3, 0),"")</f>
        <v/>
      </c>
      <c r="C355" t="str">
        <f>IFERROR(VLOOKUP($A355, Ledger!$B$2:$L$8, 4, 0),"")</f>
        <v/>
      </c>
      <c r="D355" t="str">
        <f>IFERROR(VLOOKUP($A355, Ledger!$B$2:$L$8, 5, 0),"")</f>
        <v/>
      </c>
      <c r="E355" t="str">
        <f>IFERROR(VLOOKUP($A355, Ledger!$B$2:$L$8, 6, 0),"")</f>
        <v/>
      </c>
      <c r="F355" t="str">
        <f>IFERROR(VLOOKUP($A355,'Student Data'!$A$2:$AR$6,32,0),"")</f>
        <v/>
      </c>
      <c r="G355" t="str">
        <f>IFERROR(VLOOKUP($A355,'Student Data'!$A$2:$AR$6,33,0),"")</f>
        <v/>
      </c>
      <c r="H355" t="str">
        <f>IFERROR(VLOOKUP($A355,'Student Data'!$A$2:$AR$6,34,0),"")</f>
        <v/>
      </c>
      <c r="I355" t="str">
        <f>IFERROR(VLOOKUP($A355,'Student Data'!$A$2:$AR$6,35,0),"")</f>
        <v/>
      </c>
      <c r="J355" t="str">
        <f>IFERROR(VLOOKUP($A355,'Student Data'!$A$2:$AR$6,36,0),"")</f>
        <v/>
      </c>
      <c r="K355" t="str">
        <f t="shared" si="10"/>
        <v/>
      </c>
      <c r="L355" t="str">
        <f t="shared" si="11"/>
        <v/>
      </c>
      <c r="M355" t="str">
        <f>IFERROR(IF($C355="","",SUMIFS(Ledger!$K$2:$K$4, Ledger!$B$2:$B$4, $A355, Ledger!$C$2:$C$4, M$2)),"****")</f>
        <v/>
      </c>
      <c r="N355" t="str">
        <f>IFERROR(IF($C355="","",SUMIFS(Ledger!$K$2:$K$4, Ledger!$B$2:$B$4, $A355, Ledger!$C$2:$C$4, N$2)),"****")</f>
        <v/>
      </c>
      <c r="O355" t="str">
        <f>IFERROR(IF($C355="","",SUMIFS(Ledger!$K$2:$K$4, Ledger!$B$2:$B$4, $A355, Ledger!$C$2:$C$4, O$2)),"****")</f>
        <v/>
      </c>
      <c r="P355" t="str">
        <f>IFERROR(IF($C355="","",SUMIFS(Ledger!$K$2:$K$4, Ledger!$B$2:$B$4, $A355, Ledger!$C$2:$C$4, P$2)),"****")</f>
        <v/>
      </c>
      <c r="Q355" t="str">
        <f>IFERROR(IF($C355="","",SUMIFS(Ledger!$K$2:$K$4, Ledger!$B$2:$B$4, $A355, Ledger!$C$2:$C$4, Q$2)),"****")</f>
        <v/>
      </c>
      <c r="R355" t="str">
        <f>IFERROR(IF($C355="","",SUMIFS(Ledger!$K$2:$K$4, Ledger!$B$2:$B$4, $A355, Ledger!$C$2:$C$4, R$2)),"****")</f>
        <v/>
      </c>
      <c r="S355" t="str">
        <f>IFERROR(IF($C355="","",SUMIFS(Ledger!$K$2:$K$4, Ledger!$B$2:$B$4, $A355, Ledger!$C$2:$C$4, S$2)),"****")</f>
        <v/>
      </c>
      <c r="T355" t="str">
        <f>IFERROR(IF($C355="","",SUMIFS(Ledger!$K$2:$K$4, Ledger!$B$2:$B$4, $A355, Ledger!$C$2:$C$4, T$2)),"****")</f>
        <v/>
      </c>
      <c r="U355" t="str">
        <f>IFERROR(IF($C355="","",SUMIFS(Ledger!$K$2:$K$4, Ledger!$B$2:$B$4, $A355, Ledger!$C$2:$C$4, U$2)),"****")</f>
        <v/>
      </c>
      <c r="V355" t="str">
        <f>IFERROR(IF($C355="","",SUMIFS(Ledger!$K$2:$K$4, Ledger!$B$2:$B$4, $A355, Ledger!$C$2:$C$4, V$2)),"****")</f>
        <v/>
      </c>
      <c r="W355" t="str">
        <f>IFERROR(IF($C355="","",SUMIFS(Ledger!$K$2:$K$4, Ledger!$B$2:$B$4, $A355, Ledger!$C$2:$C$4, W$2)),"****")</f>
        <v/>
      </c>
      <c r="X355" t="str">
        <f>IFERROR(IF($C355="","",SUMIFS(Ledger!$K$2:$K$4, Ledger!$B$2:$B$4, $A355, Ledger!$C$2:$C$4, X$2)),"****")</f>
        <v/>
      </c>
    </row>
    <row r="356" spans="1:24" x14ac:dyDescent="0.3">
      <c r="A356" s="106">
        <v>354</v>
      </c>
      <c r="B356" t="str">
        <f>IFERROR(VLOOKUP($A356, Ledger!$B$2:$L$8, 3, 0),"")</f>
        <v/>
      </c>
      <c r="C356" t="str">
        <f>IFERROR(VLOOKUP($A356, Ledger!$B$2:$L$8, 4, 0),"")</f>
        <v/>
      </c>
      <c r="D356" t="str">
        <f>IFERROR(VLOOKUP($A356, Ledger!$B$2:$L$8, 5, 0),"")</f>
        <v/>
      </c>
      <c r="E356" t="str">
        <f>IFERROR(VLOOKUP($A356, Ledger!$B$2:$L$8, 6, 0),"")</f>
        <v/>
      </c>
      <c r="F356" t="str">
        <f>IFERROR(VLOOKUP($A356,'Student Data'!$A$2:$AR$6,32,0),"")</f>
        <v/>
      </c>
      <c r="G356" t="str">
        <f>IFERROR(VLOOKUP($A356,'Student Data'!$A$2:$AR$6,33,0),"")</f>
        <v/>
      </c>
      <c r="H356" t="str">
        <f>IFERROR(VLOOKUP($A356,'Student Data'!$A$2:$AR$6,34,0),"")</f>
        <v/>
      </c>
      <c r="I356" t="str">
        <f>IFERROR(VLOOKUP($A356,'Student Data'!$A$2:$AR$6,35,0),"")</f>
        <v/>
      </c>
      <c r="J356" t="str">
        <f>IFERROR(VLOOKUP($A356,'Student Data'!$A$2:$AR$6,36,0),"")</f>
        <v/>
      </c>
      <c r="K356" t="str">
        <f t="shared" si="10"/>
        <v/>
      </c>
      <c r="L356" t="str">
        <f t="shared" si="11"/>
        <v/>
      </c>
      <c r="M356" t="str">
        <f>IFERROR(IF($C356="","",SUMIFS(Ledger!$K$2:$K$4, Ledger!$B$2:$B$4, $A356, Ledger!$C$2:$C$4, M$2)),"****")</f>
        <v/>
      </c>
      <c r="N356" t="str">
        <f>IFERROR(IF($C356="","",SUMIFS(Ledger!$K$2:$K$4, Ledger!$B$2:$B$4, $A356, Ledger!$C$2:$C$4, N$2)),"****")</f>
        <v/>
      </c>
      <c r="O356" t="str">
        <f>IFERROR(IF($C356="","",SUMIFS(Ledger!$K$2:$K$4, Ledger!$B$2:$B$4, $A356, Ledger!$C$2:$C$4, O$2)),"****")</f>
        <v/>
      </c>
      <c r="P356" t="str">
        <f>IFERROR(IF($C356="","",SUMIFS(Ledger!$K$2:$K$4, Ledger!$B$2:$B$4, $A356, Ledger!$C$2:$C$4, P$2)),"****")</f>
        <v/>
      </c>
      <c r="Q356" t="str">
        <f>IFERROR(IF($C356="","",SUMIFS(Ledger!$K$2:$K$4, Ledger!$B$2:$B$4, $A356, Ledger!$C$2:$C$4, Q$2)),"****")</f>
        <v/>
      </c>
      <c r="R356" t="str">
        <f>IFERROR(IF($C356="","",SUMIFS(Ledger!$K$2:$K$4, Ledger!$B$2:$B$4, $A356, Ledger!$C$2:$C$4, R$2)),"****")</f>
        <v/>
      </c>
      <c r="S356" t="str">
        <f>IFERROR(IF($C356="","",SUMIFS(Ledger!$K$2:$K$4, Ledger!$B$2:$B$4, $A356, Ledger!$C$2:$C$4, S$2)),"****")</f>
        <v/>
      </c>
      <c r="T356" t="str">
        <f>IFERROR(IF($C356="","",SUMIFS(Ledger!$K$2:$K$4, Ledger!$B$2:$B$4, $A356, Ledger!$C$2:$C$4, T$2)),"****")</f>
        <v/>
      </c>
      <c r="U356" t="str">
        <f>IFERROR(IF($C356="","",SUMIFS(Ledger!$K$2:$K$4, Ledger!$B$2:$B$4, $A356, Ledger!$C$2:$C$4, U$2)),"****")</f>
        <v/>
      </c>
      <c r="V356" t="str">
        <f>IFERROR(IF($C356="","",SUMIFS(Ledger!$K$2:$K$4, Ledger!$B$2:$B$4, $A356, Ledger!$C$2:$C$4, V$2)),"****")</f>
        <v/>
      </c>
      <c r="W356" t="str">
        <f>IFERROR(IF($C356="","",SUMIFS(Ledger!$K$2:$K$4, Ledger!$B$2:$B$4, $A356, Ledger!$C$2:$C$4, W$2)),"****")</f>
        <v/>
      </c>
      <c r="X356" t="str">
        <f>IFERROR(IF($C356="","",SUMIFS(Ledger!$K$2:$K$4, Ledger!$B$2:$B$4, $A356, Ledger!$C$2:$C$4, X$2)),"****")</f>
        <v/>
      </c>
    </row>
    <row r="357" spans="1:24" x14ac:dyDescent="0.3">
      <c r="A357" s="106">
        <v>355</v>
      </c>
      <c r="B357" t="str">
        <f>IFERROR(VLOOKUP($A357, Ledger!$B$2:$L$8, 3, 0),"")</f>
        <v/>
      </c>
      <c r="C357" t="str">
        <f>IFERROR(VLOOKUP($A357, Ledger!$B$2:$L$8, 4, 0),"")</f>
        <v/>
      </c>
      <c r="D357" t="str">
        <f>IFERROR(VLOOKUP($A357, Ledger!$B$2:$L$8, 5, 0),"")</f>
        <v/>
      </c>
      <c r="E357" t="str">
        <f>IFERROR(VLOOKUP($A357, Ledger!$B$2:$L$8, 6, 0),"")</f>
        <v/>
      </c>
      <c r="F357" t="str">
        <f>IFERROR(VLOOKUP($A357,'Student Data'!$A$2:$AR$6,32,0),"")</f>
        <v/>
      </c>
      <c r="G357" t="str">
        <f>IFERROR(VLOOKUP($A357,'Student Data'!$A$2:$AR$6,33,0),"")</f>
        <v/>
      </c>
      <c r="H357" t="str">
        <f>IFERROR(VLOOKUP($A357,'Student Data'!$A$2:$AR$6,34,0),"")</f>
        <v/>
      </c>
      <c r="I357" t="str">
        <f>IFERROR(VLOOKUP($A357,'Student Data'!$A$2:$AR$6,35,0),"")</f>
        <v/>
      </c>
      <c r="J357" t="str">
        <f>IFERROR(VLOOKUP($A357,'Student Data'!$A$2:$AR$6,36,0),"")</f>
        <v/>
      </c>
      <c r="K357" t="str">
        <f t="shared" si="10"/>
        <v/>
      </c>
      <c r="L357" t="str">
        <f t="shared" si="11"/>
        <v/>
      </c>
      <c r="M357" t="str">
        <f>IFERROR(IF($C357="","",SUMIFS(Ledger!$K$2:$K$4, Ledger!$B$2:$B$4, $A357, Ledger!$C$2:$C$4, M$2)),"****")</f>
        <v/>
      </c>
      <c r="N357" t="str">
        <f>IFERROR(IF($C357="","",SUMIFS(Ledger!$K$2:$K$4, Ledger!$B$2:$B$4, $A357, Ledger!$C$2:$C$4, N$2)),"****")</f>
        <v/>
      </c>
      <c r="O357" t="str">
        <f>IFERROR(IF($C357="","",SUMIFS(Ledger!$K$2:$K$4, Ledger!$B$2:$B$4, $A357, Ledger!$C$2:$C$4, O$2)),"****")</f>
        <v/>
      </c>
      <c r="P357" t="str">
        <f>IFERROR(IF($C357="","",SUMIFS(Ledger!$K$2:$K$4, Ledger!$B$2:$B$4, $A357, Ledger!$C$2:$C$4, P$2)),"****")</f>
        <v/>
      </c>
      <c r="Q357" t="str">
        <f>IFERROR(IF($C357="","",SUMIFS(Ledger!$K$2:$K$4, Ledger!$B$2:$B$4, $A357, Ledger!$C$2:$C$4, Q$2)),"****")</f>
        <v/>
      </c>
      <c r="R357" t="str">
        <f>IFERROR(IF($C357="","",SUMIFS(Ledger!$K$2:$K$4, Ledger!$B$2:$B$4, $A357, Ledger!$C$2:$C$4, R$2)),"****")</f>
        <v/>
      </c>
      <c r="S357" t="str">
        <f>IFERROR(IF($C357="","",SUMIFS(Ledger!$K$2:$K$4, Ledger!$B$2:$B$4, $A357, Ledger!$C$2:$C$4, S$2)),"****")</f>
        <v/>
      </c>
      <c r="T357" t="str">
        <f>IFERROR(IF($C357="","",SUMIFS(Ledger!$K$2:$K$4, Ledger!$B$2:$B$4, $A357, Ledger!$C$2:$C$4, T$2)),"****")</f>
        <v/>
      </c>
      <c r="U357" t="str">
        <f>IFERROR(IF($C357="","",SUMIFS(Ledger!$K$2:$K$4, Ledger!$B$2:$B$4, $A357, Ledger!$C$2:$C$4, U$2)),"****")</f>
        <v/>
      </c>
      <c r="V357" t="str">
        <f>IFERROR(IF($C357="","",SUMIFS(Ledger!$K$2:$K$4, Ledger!$B$2:$B$4, $A357, Ledger!$C$2:$C$4, V$2)),"****")</f>
        <v/>
      </c>
      <c r="W357" t="str">
        <f>IFERROR(IF($C357="","",SUMIFS(Ledger!$K$2:$K$4, Ledger!$B$2:$B$4, $A357, Ledger!$C$2:$C$4, W$2)),"****")</f>
        <v/>
      </c>
      <c r="X357" t="str">
        <f>IFERROR(IF($C357="","",SUMIFS(Ledger!$K$2:$K$4, Ledger!$B$2:$B$4, $A357, Ledger!$C$2:$C$4, X$2)),"****")</f>
        <v/>
      </c>
    </row>
    <row r="358" spans="1:24" x14ac:dyDescent="0.3">
      <c r="A358" s="106">
        <v>356</v>
      </c>
      <c r="B358" t="str">
        <f>IFERROR(VLOOKUP($A358, Ledger!$B$2:$L$8, 3, 0),"")</f>
        <v/>
      </c>
      <c r="C358" t="str">
        <f>IFERROR(VLOOKUP($A358, Ledger!$B$2:$L$8, 4, 0),"")</f>
        <v/>
      </c>
      <c r="D358" t="str">
        <f>IFERROR(VLOOKUP($A358, Ledger!$B$2:$L$8, 5, 0),"")</f>
        <v/>
      </c>
      <c r="E358" t="str">
        <f>IFERROR(VLOOKUP($A358, Ledger!$B$2:$L$8, 6, 0),"")</f>
        <v/>
      </c>
      <c r="F358" t="str">
        <f>IFERROR(VLOOKUP($A358,'Student Data'!$A$2:$AR$6,32,0),"")</f>
        <v/>
      </c>
      <c r="G358" t="str">
        <f>IFERROR(VLOOKUP($A358,'Student Data'!$A$2:$AR$6,33,0),"")</f>
        <v/>
      </c>
      <c r="H358" t="str">
        <f>IFERROR(VLOOKUP($A358,'Student Data'!$A$2:$AR$6,34,0),"")</f>
        <v/>
      </c>
      <c r="I358" t="str">
        <f>IFERROR(VLOOKUP($A358,'Student Data'!$A$2:$AR$6,35,0),"")</f>
        <v/>
      </c>
      <c r="J358" t="str">
        <f>IFERROR(VLOOKUP($A358,'Student Data'!$A$2:$AR$6,36,0),"")</f>
        <v/>
      </c>
      <c r="K358" t="str">
        <f t="shared" si="10"/>
        <v/>
      </c>
      <c r="L358" t="str">
        <f t="shared" si="11"/>
        <v/>
      </c>
      <c r="M358" t="str">
        <f>IFERROR(IF($C358="","",SUMIFS(Ledger!$K$2:$K$4, Ledger!$B$2:$B$4, $A358, Ledger!$C$2:$C$4, M$2)),"****")</f>
        <v/>
      </c>
      <c r="N358" t="str">
        <f>IFERROR(IF($C358="","",SUMIFS(Ledger!$K$2:$K$4, Ledger!$B$2:$B$4, $A358, Ledger!$C$2:$C$4, N$2)),"****")</f>
        <v/>
      </c>
      <c r="O358" t="str">
        <f>IFERROR(IF($C358="","",SUMIFS(Ledger!$K$2:$K$4, Ledger!$B$2:$B$4, $A358, Ledger!$C$2:$C$4, O$2)),"****")</f>
        <v/>
      </c>
      <c r="P358" t="str">
        <f>IFERROR(IF($C358="","",SUMIFS(Ledger!$K$2:$K$4, Ledger!$B$2:$B$4, $A358, Ledger!$C$2:$C$4, P$2)),"****")</f>
        <v/>
      </c>
      <c r="Q358" t="str">
        <f>IFERROR(IF($C358="","",SUMIFS(Ledger!$K$2:$K$4, Ledger!$B$2:$B$4, $A358, Ledger!$C$2:$C$4, Q$2)),"****")</f>
        <v/>
      </c>
      <c r="R358" t="str">
        <f>IFERROR(IF($C358="","",SUMIFS(Ledger!$K$2:$K$4, Ledger!$B$2:$B$4, $A358, Ledger!$C$2:$C$4, R$2)),"****")</f>
        <v/>
      </c>
      <c r="S358" t="str">
        <f>IFERROR(IF($C358="","",SUMIFS(Ledger!$K$2:$K$4, Ledger!$B$2:$B$4, $A358, Ledger!$C$2:$C$4, S$2)),"****")</f>
        <v/>
      </c>
      <c r="T358" t="str">
        <f>IFERROR(IF($C358="","",SUMIFS(Ledger!$K$2:$K$4, Ledger!$B$2:$B$4, $A358, Ledger!$C$2:$C$4, T$2)),"****")</f>
        <v/>
      </c>
      <c r="U358" t="str">
        <f>IFERROR(IF($C358="","",SUMIFS(Ledger!$K$2:$K$4, Ledger!$B$2:$B$4, $A358, Ledger!$C$2:$C$4, U$2)),"****")</f>
        <v/>
      </c>
      <c r="V358" t="str">
        <f>IFERROR(IF($C358="","",SUMIFS(Ledger!$K$2:$K$4, Ledger!$B$2:$B$4, $A358, Ledger!$C$2:$C$4, V$2)),"****")</f>
        <v/>
      </c>
      <c r="W358" t="str">
        <f>IFERROR(IF($C358="","",SUMIFS(Ledger!$K$2:$K$4, Ledger!$B$2:$B$4, $A358, Ledger!$C$2:$C$4, W$2)),"****")</f>
        <v/>
      </c>
      <c r="X358" t="str">
        <f>IFERROR(IF($C358="","",SUMIFS(Ledger!$K$2:$K$4, Ledger!$B$2:$B$4, $A358, Ledger!$C$2:$C$4, X$2)),"****")</f>
        <v/>
      </c>
    </row>
    <row r="359" spans="1:24" x14ac:dyDescent="0.3">
      <c r="A359" s="106">
        <v>357</v>
      </c>
      <c r="B359" t="str">
        <f>IFERROR(VLOOKUP($A359, Ledger!$B$2:$L$8, 3, 0),"")</f>
        <v/>
      </c>
      <c r="C359" t="str">
        <f>IFERROR(VLOOKUP($A359, Ledger!$B$2:$L$8, 4, 0),"")</f>
        <v/>
      </c>
      <c r="D359" t="str">
        <f>IFERROR(VLOOKUP($A359, Ledger!$B$2:$L$8, 5, 0),"")</f>
        <v/>
      </c>
      <c r="E359" t="str">
        <f>IFERROR(VLOOKUP($A359, Ledger!$B$2:$L$8, 6, 0),"")</f>
        <v/>
      </c>
      <c r="F359" t="str">
        <f>IFERROR(VLOOKUP($A359,'Student Data'!$A$2:$AR$6,32,0),"")</f>
        <v/>
      </c>
      <c r="G359" t="str">
        <f>IFERROR(VLOOKUP($A359,'Student Data'!$A$2:$AR$6,33,0),"")</f>
        <v/>
      </c>
      <c r="H359" t="str">
        <f>IFERROR(VLOOKUP($A359,'Student Data'!$A$2:$AR$6,34,0),"")</f>
        <v/>
      </c>
      <c r="I359" t="str">
        <f>IFERROR(VLOOKUP($A359,'Student Data'!$A$2:$AR$6,35,0),"")</f>
        <v/>
      </c>
      <c r="J359" t="str">
        <f>IFERROR(VLOOKUP($A359,'Student Data'!$A$2:$AR$6,36,0),"")</f>
        <v/>
      </c>
      <c r="K359" t="str">
        <f t="shared" si="10"/>
        <v/>
      </c>
      <c r="L359" t="str">
        <f t="shared" si="11"/>
        <v/>
      </c>
      <c r="M359" t="str">
        <f>IFERROR(IF($C359="","",SUMIFS(Ledger!$K$2:$K$4, Ledger!$B$2:$B$4, $A359, Ledger!$C$2:$C$4, M$2)),"****")</f>
        <v/>
      </c>
      <c r="N359" t="str">
        <f>IFERROR(IF($C359="","",SUMIFS(Ledger!$K$2:$K$4, Ledger!$B$2:$B$4, $A359, Ledger!$C$2:$C$4, N$2)),"****")</f>
        <v/>
      </c>
      <c r="O359" t="str">
        <f>IFERROR(IF($C359="","",SUMIFS(Ledger!$K$2:$K$4, Ledger!$B$2:$B$4, $A359, Ledger!$C$2:$C$4, O$2)),"****")</f>
        <v/>
      </c>
      <c r="P359" t="str">
        <f>IFERROR(IF($C359="","",SUMIFS(Ledger!$K$2:$K$4, Ledger!$B$2:$B$4, $A359, Ledger!$C$2:$C$4, P$2)),"****")</f>
        <v/>
      </c>
      <c r="Q359" t="str">
        <f>IFERROR(IF($C359="","",SUMIFS(Ledger!$K$2:$K$4, Ledger!$B$2:$B$4, $A359, Ledger!$C$2:$C$4, Q$2)),"****")</f>
        <v/>
      </c>
      <c r="R359" t="str">
        <f>IFERROR(IF($C359="","",SUMIFS(Ledger!$K$2:$K$4, Ledger!$B$2:$B$4, $A359, Ledger!$C$2:$C$4, R$2)),"****")</f>
        <v/>
      </c>
      <c r="S359" t="str">
        <f>IFERROR(IF($C359="","",SUMIFS(Ledger!$K$2:$K$4, Ledger!$B$2:$B$4, $A359, Ledger!$C$2:$C$4, S$2)),"****")</f>
        <v/>
      </c>
      <c r="T359" t="str">
        <f>IFERROR(IF($C359="","",SUMIFS(Ledger!$K$2:$K$4, Ledger!$B$2:$B$4, $A359, Ledger!$C$2:$C$4, T$2)),"****")</f>
        <v/>
      </c>
      <c r="U359" t="str">
        <f>IFERROR(IF($C359="","",SUMIFS(Ledger!$K$2:$K$4, Ledger!$B$2:$B$4, $A359, Ledger!$C$2:$C$4, U$2)),"****")</f>
        <v/>
      </c>
      <c r="V359" t="str">
        <f>IFERROR(IF($C359="","",SUMIFS(Ledger!$K$2:$K$4, Ledger!$B$2:$B$4, $A359, Ledger!$C$2:$C$4, V$2)),"****")</f>
        <v/>
      </c>
      <c r="W359" t="str">
        <f>IFERROR(IF($C359="","",SUMIFS(Ledger!$K$2:$K$4, Ledger!$B$2:$B$4, $A359, Ledger!$C$2:$C$4, W$2)),"****")</f>
        <v/>
      </c>
      <c r="X359" t="str">
        <f>IFERROR(IF($C359="","",SUMIFS(Ledger!$K$2:$K$4, Ledger!$B$2:$B$4, $A359, Ledger!$C$2:$C$4, X$2)),"****")</f>
        <v/>
      </c>
    </row>
    <row r="360" spans="1:24" x14ac:dyDescent="0.3">
      <c r="A360" s="106">
        <v>358</v>
      </c>
      <c r="B360" t="str">
        <f>IFERROR(VLOOKUP($A360, Ledger!$B$2:$L$8, 3, 0),"")</f>
        <v/>
      </c>
      <c r="C360" t="str">
        <f>IFERROR(VLOOKUP($A360, Ledger!$B$2:$L$8, 4, 0),"")</f>
        <v/>
      </c>
      <c r="D360" t="str">
        <f>IFERROR(VLOOKUP($A360, Ledger!$B$2:$L$8, 5, 0),"")</f>
        <v/>
      </c>
      <c r="E360" t="str">
        <f>IFERROR(VLOOKUP($A360, Ledger!$B$2:$L$8, 6, 0),"")</f>
        <v/>
      </c>
      <c r="F360" t="str">
        <f>IFERROR(VLOOKUP($A360,'Student Data'!$A$2:$AR$6,32,0),"")</f>
        <v/>
      </c>
      <c r="G360" t="str">
        <f>IFERROR(VLOOKUP($A360,'Student Data'!$A$2:$AR$6,33,0),"")</f>
        <v/>
      </c>
      <c r="H360" t="str">
        <f>IFERROR(VLOOKUP($A360,'Student Data'!$A$2:$AR$6,34,0),"")</f>
        <v/>
      </c>
      <c r="I360" t="str">
        <f>IFERROR(VLOOKUP($A360,'Student Data'!$A$2:$AR$6,35,0),"")</f>
        <v/>
      </c>
      <c r="J360" t="str">
        <f>IFERROR(VLOOKUP($A360,'Student Data'!$A$2:$AR$6,36,0),"")</f>
        <v/>
      </c>
      <c r="K360" t="str">
        <f t="shared" si="10"/>
        <v/>
      </c>
      <c r="L360" t="str">
        <f t="shared" si="11"/>
        <v/>
      </c>
      <c r="M360" t="str">
        <f>IFERROR(IF($C360="","",SUMIFS(Ledger!$K$2:$K$4, Ledger!$B$2:$B$4, $A360, Ledger!$C$2:$C$4, M$2)),"****")</f>
        <v/>
      </c>
      <c r="N360" t="str">
        <f>IFERROR(IF($C360="","",SUMIFS(Ledger!$K$2:$K$4, Ledger!$B$2:$B$4, $A360, Ledger!$C$2:$C$4, N$2)),"****")</f>
        <v/>
      </c>
      <c r="O360" t="str">
        <f>IFERROR(IF($C360="","",SUMIFS(Ledger!$K$2:$K$4, Ledger!$B$2:$B$4, $A360, Ledger!$C$2:$C$4, O$2)),"****")</f>
        <v/>
      </c>
      <c r="P360" t="str">
        <f>IFERROR(IF($C360="","",SUMIFS(Ledger!$K$2:$K$4, Ledger!$B$2:$B$4, $A360, Ledger!$C$2:$C$4, P$2)),"****")</f>
        <v/>
      </c>
      <c r="Q360" t="str">
        <f>IFERROR(IF($C360="","",SUMIFS(Ledger!$K$2:$K$4, Ledger!$B$2:$B$4, $A360, Ledger!$C$2:$C$4, Q$2)),"****")</f>
        <v/>
      </c>
      <c r="R360" t="str">
        <f>IFERROR(IF($C360="","",SUMIFS(Ledger!$K$2:$K$4, Ledger!$B$2:$B$4, $A360, Ledger!$C$2:$C$4, R$2)),"****")</f>
        <v/>
      </c>
      <c r="S360" t="str">
        <f>IFERROR(IF($C360="","",SUMIFS(Ledger!$K$2:$K$4, Ledger!$B$2:$B$4, $A360, Ledger!$C$2:$C$4, S$2)),"****")</f>
        <v/>
      </c>
      <c r="T360" t="str">
        <f>IFERROR(IF($C360="","",SUMIFS(Ledger!$K$2:$K$4, Ledger!$B$2:$B$4, $A360, Ledger!$C$2:$C$4, T$2)),"****")</f>
        <v/>
      </c>
      <c r="U360" t="str">
        <f>IFERROR(IF($C360="","",SUMIFS(Ledger!$K$2:$K$4, Ledger!$B$2:$B$4, $A360, Ledger!$C$2:$C$4, U$2)),"****")</f>
        <v/>
      </c>
      <c r="V360" t="str">
        <f>IFERROR(IF($C360="","",SUMIFS(Ledger!$K$2:$K$4, Ledger!$B$2:$B$4, $A360, Ledger!$C$2:$C$4, V$2)),"****")</f>
        <v/>
      </c>
      <c r="W360" t="str">
        <f>IFERROR(IF($C360="","",SUMIFS(Ledger!$K$2:$K$4, Ledger!$B$2:$B$4, $A360, Ledger!$C$2:$C$4, W$2)),"****")</f>
        <v/>
      </c>
      <c r="X360" t="str">
        <f>IFERROR(IF($C360="","",SUMIFS(Ledger!$K$2:$K$4, Ledger!$B$2:$B$4, $A360, Ledger!$C$2:$C$4, X$2)),"****")</f>
        <v/>
      </c>
    </row>
    <row r="361" spans="1:24" x14ac:dyDescent="0.3">
      <c r="A361" s="106">
        <v>359</v>
      </c>
      <c r="B361" t="str">
        <f>IFERROR(VLOOKUP($A361, Ledger!$B$2:$L$8, 3, 0),"")</f>
        <v/>
      </c>
      <c r="C361" t="str">
        <f>IFERROR(VLOOKUP($A361, Ledger!$B$2:$L$8, 4, 0),"")</f>
        <v/>
      </c>
      <c r="D361" t="str">
        <f>IFERROR(VLOOKUP($A361, Ledger!$B$2:$L$8, 5, 0),"")</f>
        <v/>
      </c>
      <c r="E361" t="str">
        <f>IFERROR(VLOOKUP($A361, Ledger!$B$2:$L$8, 6, 0),"")</f>
        <v/>
      </c>
      <c r="F361" t="str">
        <f>IFERROR(VLOOKUP($A361,'Student Data'!$A$2:$AR$6,32,0),"")</f>
        <v/>
      </c>
      <c r="G361" t="str">
        <f>IFERROR(VLOOKUP($A361,'Student Data'!$A$2:$AR$6,33,0),"")</f>
        <v/>
      </c>
      <c r="H361" t="str">
        <f>IFERROR(VLOOKUP($A361,'Student Data'!$A$2:$AR$6,34,0),"")</f>
        <v/>
      </c>
      <c r="I361" t="str">
        <f>IFERROR(VLOOKUP($A361,'Student Data'!$A$2:$AR$6,35,0),"")</f>
        <v/>
      </c>
      <c r="J361" t="str">
        <f>IFERROR(VLOOKUP($A361,'Student Data'!$A$2:$AR$6,36,0),"")</f>
        <v/>
      </c>
      <c r="K361" t="str">
        <f t="shared" si="10"/>
        <v/>
      </c>
      <c r="L361" t="str">
        <f t="shared" si="11"/>
        <v/>
      </c>
      <c r="M361" t="str">
        <f>IFERROR(IF($C361="","",SUMIFS(Ledger!$K$2:$K$4, Ledger!$B$2:$B$4, $A361, Ledger!$C$2:$C$4, M$2)),"****")</f>
        <v/>
      </c>
      <c r="N361" t="str">
        <f>IFERROR(IF($C361="","",SUMIFS(Ledger!$K$2:$K$4, Ledger!$B$2:$B$4, $A361, Ledger!$C$2:$C$4, N$2)),"****")</f>
        <v/>
      </c>
      <c r="O361" t="str">
        <f>IFERROR(IF($C361="","",SUMIFS(Ledger!$K$2:$K$4, Ledger!$B$2:$B$4, $A361, Ledger!$C$2:$C$4, O$2)),"****")</f>
        <v/>
      </c>
      <c r="P361" t="str">
        <f>IFERROR(IF($C361="","",SUMIFS(Ledger!$K$2:$K$4, Ledger!$B$2:$B$4, $A361, Ledger!$C$2:$C$4, P$2)),"****")</f>
        <v/>
      </c>
      <c r="Q361" t="str">
        <f>IFERROR(IF($C361="","",SUMIFS(Ledger!$K$2:$K$4, Ledger!$B$2:$B$4, $A361, Ledger!$C$2:$C$4, Q$2)),"****")</f>
        <v/>
      </c>
      <c r="R361" t="str">
        <f>IFERROR(IF($C361="","",SUMIFS(Ledger!$K$2:$K$4, Ledger!$B$2:$B$4, $A361, Ledger!$C$2:$C$4, R$2)),"****")</f>
        <v/>
      </c>
      <c r="S361" t="str">
        <f>IFERROR(IF($C361="","",SUMIFS(Ledger!$K$2:$K$4, Ledger!$B$2:$B$4, $A361, Ledger!$C$2:$C$4, S$2)),"****")</f>
        <v/>
      </c>
      <c r="T361" t="str">
        <f>IFERROR(IF($C361="","",SUMIFS(Ledger!$K$2:$K$4, Ledger!$B$2:$B$4, $A361, Ledger!$C$2:$C$4, T$2)),"****")</f>
        <v/>
      </c>
      <c r="U361" t="str">
        <f>IFERROR(IF($C361="","",SUMIFS(Ledger!$K$2:$K$4, Ledger!$B$2:$B$4, $A361, Ledger!$C$2:$C$4, U$2)),"****")</f>
        <v/>
      </c>
      <c r="V361" t="str">
        <f>IFERROR(IF($C361="","",SUMIFS(Ledger!$K$2:$K$4, Ledger!$B$2:$B$4, $A361, Ledger!$C$2:$C$4, V$2)),"****")</f>
        <v/>
      </c>
      <c r="W361" t="str">
        <f>IFERROR(IF($C361="","",SUMIFS(Ledger!$K$2:$K$4, Ledger!$B$2:$B$4, $A361, Ledger!$C$2:$C$4, W$2)),"****")</f>
        <v/>
      </c>
      <c r="X361" t="str">
        <f>IFERROR(IF($C361="","",SUMIFS(Ledger!$K$2:$K$4, Ledger!$B$2:$B$4, $A361, Ledger!$C$2:$C$4, X$2)),"****")</f>
        <v/>
      </c>
    </row>
    <row r="362" spans="1:24" x14ac:dyDescent="0.3">
      <c r="A362" s="106">
        <v>360</v>
      </c>
      <c r="B362" t="str">
        <f>IFERROR(VLOOKUP($A362, Ledger!$B$2:$L$8, 3, 0),"")</f>
        <v/>
      </c>
      <c r="C362" t="str">
        <f>IFERROR(VLOOKUP($A362, Ledger!$B$2:$L$8, 4, 0),"")</f>
        <v/>
      </c>
      <c r="D362" t="str">
        <f>IFERROR(VLOOKUP($A362, Ledger!$B$2:$L$8, 5, 0),"")</f>
        <v/>
      </c>
      <c r="E362" t="str">
        <f>IFERROR(VLOOKUP($A362, Ledger!$B$2:$L$8, 6, 0),"")</f>
        <v/>
      </c>
      <c r="F362" t="str">
        <f>IFERROR(VLOOKUP($A362,'Student Data'!$A$2:$AR$6,32,0),"")</f>
        <v/>
      </c>
      <c r="G362" t="str">
        <f>IFERROR(VLOOKUP($A362,'Student Data'!$A$2:$AR$6,33,0),"")</f>
        <v/>
      </c>
      <c r="H362" t="str">
        <f>IFERROR(VLOOKUP($A362,'Student Data'!$A$2:$AR$6,34,0),"")</f>
        <v/>
      </c>
      <c r="I362" t="str">
        <f>IFERROR(VLOOKUP($A362,'Student Data'!$A$2:$AR$6,35,0),"")</f>
        <v/>
      </c>
      <c r="J362" t="str">
        <f>IFERROR(VLOOKUP($A362,'Student Data'!$A$2:$AR$6,36,0),"")</f>
        <v/>
      </c>
      <c r="K362" t="str">
        <f t="shared" si="10"/>
        <v/>
      </c>
      <c r="L362" t="str">
        <f t="shared" si="11"/>
        <v/>
      </c>
      <c r="M362" t="str">
        <f>IFERROR(IF($C362="","",SUMIFS(Ledger!$K$2:$K$4, Ledger!$B$2:$B$4, $A362, Ledger!$C$2:$C$4, M$2)),"****")</f>
        <v/>
      </c>
      <c r="N362" t="str">
        <f>IFERROR(IF($C362="","",SUMIFS(Ledger!$K$2:$K$4, Ledger!$B$2:$B$4, $A362, Ledger!$C$2:$C$4, N$2)),"****")</f>
        <v/>
      </c>
      <c r="O362" t="str">
        <f>IFERROR(IF($C362="","",SUMIFS(Ledger!$K$2:$K$4, Ledger!$B$2:$B$4, $A362, Ledger!$C$2:$C$4, O$2)),"****")</f>
        <v/>
      </c>
      <c r="P362" t="str">
        <f>IFERROR(IF($C362="","",SUMIFS(Ledger!$K$2:$K$4, Ledger!$B$2:$B$4, $A362, Ledger!$C$2:$C$4, P$2)),"****")</f>
        <v/>
      </c>
      <c r="Q362" t="str">
        <f>IFERROR(IF($C362="","",SUMIFS(Ledger!$K$2:$K$4, Ledger!$B$2:$B$4, $A362, Ledger!$C$2:$C$4, Q$2)),"****")</f>
        <v/>
      </c>
      <c r="R362" t="str">
        <f>IFERROR(IF($C362="","",SUMIFS(Ledger!$K$2:$K$4, Ledger!$B$2:$B$4, $A362, Ledger!$C$2:$C$4, R$2)),"****")</f>
        <v/>
      </c>
      <c r="S362" t="str">
        <f>IFERROR(IF($C362="","",SUMIFS(Ledger!$K$2:$K$4, Ledger!$B$2:$B$4, $A362, Ledger!$C$2:$C$4, S$2)),"****")</f>
        <v/>
      </c>
      <c r="T362" t="str">
        <f>IFERROR(IF($C362="","",SUMIFS(Ledger!$K$2:$K$4, Ledger!$B$2:$B$4, $A362, Ledger!$C$2:$C$4, T$2)),"****")</f>
        <v/>
      </c>
      <c r="U362" t="str">
        <f>IFERROR(IF($C362="","",SUMIFS(Ledger!$K$2:$K$4, Ledger!$B$2:$B$4, $A362, Ledger!$C$2:$C$4, U$2)),"****")</f>
        <v/>
      </c>
      <c r="V362" t="str">
        <f>IFERROR(IF($C362="","",SUMIFS(Ledger!$K$2:$K$4, Ledger!$B$2:$B$4, $A362, Ledger!$C$2:$C$4, V$2)),"****")</f>
        <v/>
      </c>
      <c r="W362" t="str">
        <f>IFERROR(IF($C362="","",SUMIFS(Ledger!$K$2:$K$4, Ledger!$B$2:$B$4, $A362, Ledger!$C$2:$C$4, W$2)),"****")</f>
        <v/>
      </c>
      <c r="X362" t="str">
        <f>IFERROR(IF($C362="","",SUMIFS(Ledger!$K$2:$K$4, Ledger!$B$2:$B$4, $A362, Ledger!$C$2:$C$4, X$2)),"****")</f>
        <v/>
      </c>
    </row>
    <row r="363" spans="1:24" x14ac:dyDescent="0.3">
      <c r="A363" s="106">
        <v>361</v>
      </c>
      <c r="B363" t="str">
        <f>IFERROR(VLOOKUP($A363, Ledger!$B$2:$L$8, 3, 0),"")</f>
        <v/>
      </c>
      <c r="C363" t="str">
        <f>IFERROR(VLOOKUP($A363, Ledger!$B$2:$L$8, 4, 0),"")</f>
        <v/>
      </c>
      <c r="D363" t="str">
        <f>IFERROR(VLOOKUP($A363, Ledger!$B$2:$L$8, 5, 0),"")</f>
        <v/>
      </c>
      <c r="E363" t="str">
        <f>IFERROR(VLOOKUP($A363, Ledger!$B$2:$L$8, 6, 0),"")</f>
        <v/>
      </c>
      <c r="F363" t="str">
        <f>IFERROR(VLOOKUP($A363,'Student Data'!$A$2:$AR$6,32,0),"")</f>
        <v/>
      </c>
      <c r="G363" t="str">
        <f>IFERROR(VLOOKUP($A363,'Student Data'!$A$2:$AR$6,33,0),"")</f>
        <v/>
      </c>
      <c r="H363" t="str">
        <f>IFERROR(VLOOKUP($A363,'Student Data'!$A$2:$AR$6,34,0),"")</f>
        <v/>
      </c>
      <c r="I363" t="str">
        <f>IFERROR(VLOOKUP($A363,'Student Data'!$A$2:$AR$6,35,0),"")</f>
        <v/>
      </c>
      <c r="J363" t="str">
        <f>IFERROR(VLOOKUP($A363,'Student Data'!$A$2:$AR$6,36,0),"")</f>
        <v/>
      </c>
      <c r="K363" t="str">
        <f t="shared" si="10"/>
        <v/>
      </c>
      <c r="L363" t="str">
        <f t="shared" si="11"/>
        <v/>
      </c>
      <c r="M363" t="str">
        <f>IFERROR(IF($C363="","",SUMIFS(Ledger!$K$2:$K$4, Ledger!$B$2:$B$4, $A363, Ledger!$C$2:$C$4, M$2)),"****")</f>
        <v/>
      </c>
      <c r="N363" t="str">
        <f>IFERROR(IF($C363="","",SUMIFS(Ledger!$K$2:$K$4, Ledger!$B$2:$B$4, $A363, Ledger!$C$2:$C$4, N$2)),"****")</f>
        <v/>
      </c>
      <c r="O363" t="str">
        <f>IFERROR(IF($C363="","",SUMIFS(Ledger!$K$2:$K$4, Ledger!$B$2:$B$4, $A363, Ledger!$C$2:$C$4, O$2)),"****")</f>
        <v/>
      </c>
      <c r="P363" t="str">
        <f>IFERROR(IF($C363="","",SUMIFS(Ledger!$K$2:$K$4, Ledger!$B$2:$B$4, $A363, Ledger!$C$2:$C$4, P$2)),"****")</f>
        <v/>
      </c>
      <c r="Q363" t="str">
        <f>IFERROR(IF($C363="","",SUMIFS(Ledger!$K$2:$K$4, Ledger!$B$2:$B$4, $A363, Ledger!$C$2:$C$4, Q$2)),"****")</f>
        <v/>
      </c>
      <c r="R363" t="str">
        <f>IFERROR(IF($C363="","",SUMIFS(Ledger!$K$2:$K$4, Ledger!$B$2:$B$4, $A363, Ledger!$C$2:$C$4, R$2)),"****")</f>
        <v/>
      </c>
      <c r="S363" t="str">
        <f>IFERROR(IF($C363="","",SUMIFS(Ledger!$K$2:$K$4, Ledger!$B$2:$B$4, $A363, Ledger!$C$2:$C$4, S$2)),"****")</f>
        <v/>
      </c>
      <c r="T363" t="str">
        <f>IFERROR(IF($C363="","",SUMIFS(Ledger!$K$2:$K$4, Ledger!$B$2:$B$4, $A363, Ledger!$C$2:$C$4, T$2)),"****")</f>
        <v/>
      </c>
      <c r="U363" t="str">
        <f>IFERROR(IF($C363="","",SUMIFS(Ledger!$K$2:$K$4, Ledger!$B$2:$B$4, $A363, Ledger!$C$2:$C$4, U$2)),"****")</f>
        <v/>
      </c>
      <c r="V363" t="str">
        <f>IFERROR(IF($C363="","",SUMIFS(Ledger!$K$2:$K$4, Ledger!$B$2:$B$4, $A363, Ledger!$C$2:$C$4, V$2)),"****")</f>
        <v/>
      </c>
      <c r="W363" t="str">
        <f>IFERROR(IF($C363="","",SUMIFS(Ledger!$K$2:$K$4, Ledger!$B$2:$B$4, $A363, Ledger!$C$2:$C$4, W$2)),"****")</f>
        <v/>
      </c>
      <c r="X363" t="str">
        <f>IFERROR(IF($C363="","",SUMIFS(Ledger!$K$2:$K$4, Ledger!$B$2:$B$4, $A363, Ledger!$C$2:$C$4, X$2)),"****")</f>
        <v/>
      </c>
    </row>
    <row r="364" spans="1:24" x14ac:dyDescent="0.3">
      <c r="A364" s="106">
        <v>362</v>
      </c>
      <c r="B364" t="str">
        <f>IFERROR(VLOOKUP($A364, Ledger!$B$2:$L$8, 3, 0),"")</f>
        <v/>
      </c>
      <c r="C364" t="str">
        <f>IFERROR(VLOOKUP($A364, Ledger!$B$2:$L$8, 4, 0),"")</f>
        <v/>
      </c>
      <c r="D364" t="str">
        <f>IFERROR(VLOOKUP($A364, Ledger!$B$2:$L$8, 5, 0),"")</f>
        <v/>
      </c>
      <c r="E364" t="str">
        <f>IFERROR(VLOOKUP($A364, Ledger!$B$2:$L$8, 6, 0),"")</f>
        <v/>
      </c>
      <c r="F364" t="str">
        <f>IFERROR(VLOOKUP($A364,'Student Data'!$A$2:$AR$6,32,0),"")</f>
        <v/>
      </c>
      <c r="G364" t="str">
        <f>IFERROR(VLOOKUP($A364,'Student Data'!$A$2:$AR$6,33,0),"")</f>
        <v/>
      </c>
      <c r="H364" t="str">
        <f>IFERROR(VLOOKUP($A364,'Student Data'!$A$2:$AR$6,34,0),"")</f>
        <v/>
      </c>
      <c r="I364" t="str">
        <f>IFERROR(VLOOKUP($A364,'Student Data'!$A$2:$AR$6,35,0),"")</f>
        <v/>
      </c>
      <c r="J364" t="str">
        <f>IFERROR(VLOOKUP($A364,'Student Data'!$A$2:$AR$6,36,0),"")</f>
        <v/>
      </c>
      <c r="K364" t="str">
        <f t="shared" si="10"/>
        <v/>
      </c>
      <c r="L364" t="str">
        <f t="shared" si="11"/>
        <v/>
      </c>
      <c r="M364" t="str">
        <f>IFERROR(IF($C364="","",SUMIFS(Ledger!$K$2:$K$4, Ledger!$B$2:$B$4, $A364, Ledger!$C$2:$C$4, M$2)),"****")</f>
        <v/>
      </c>
      <c r="N364" t="str">
        <f>IFERROR(IF($C364="","",SUMIFS(Ledger!$K$2:$K$4, Ledger!$B$2:$B$4, $A364, Ledger!$C$2:$C$4, N$2)),"****")</f>
        <v/>
      </c>
      <c r="O364" t="str">
        <f>IFERROR(IF($C364="","",SUMIFS(Ledger!$K$2:$K$4, Ledger!$B$2:$B$4, $A364, Ledger!$C$2:$C$4, O$2)),"****")</f>
        <v/>
      </c>
      <c r="P364" t="str">
        <f>IFERROR(IF($C364="","",SUMIFS(Ledger!$K$2:$K$4, Ledger!$B$2:$B$4, $A364, Ledger!$C$2:$C$4, P$2)),"****")</f>
        <v/>
      </c>
      <c r="Q364" t="str">
        <f>IFERROR(IF($C364="","",SUMIFS(Ledger!$K$2:$K$4, Ledger!$B$2:$B$4, $A364, Ledger!$C$2:$C$4, Q$2)),"****")</f>
        <v/>
      </c>
      <c r="R364" t="str">
        <f>IFERROR(IF($C364="","",SUMIFS(Ledger!$K$2:$K$4, Ledger!$B$2:$B$4, $A364, Ledger!$C$2:$C$4, R$2)),"****")</f>
        <v/>
      </c>
      <c r="S364" t="str">
        <f>IFERROR(IF($C364="","",SUMIFS(Ledger!$K$2:$K$4, Ledger!$B$2:$B$4, $A364, Ledger!$C$2:$C$4, S$2)),"****")</f>
        <v/>
      </c>
      <c r="T364" t="str">
        <f>IFERROR(IF($C364="","",SUMIFS(Ledger!$K$2:$K$4, Ledger!$B$2:$B$4, $A364, Ledger!$C$2:$C$4, T$2)),"****")</f>
        <v/>
      </c>
      <c r="U364" t="str">
        <f>IFERROR(IF($C364="","",SUMIFS(Ledger!$K$2:$K$4, Ledger!$B$2:$B$4, $A364, Ledger!$C$2:$C$4, U$2)),"****")</f>
        <v/>
      </c>
      <c r="V364" t="str">
        <f>IFERROR(IF($C364="","",SUMIFS(Ledger!$K$2:$K$4, Ledger!$B$2:$B$4, $A364, Ledger!$C$2:$C$4, V$2)),"****")</f>
        <v/>
      </c>
      <c r="W364" t="str">
        <f>IFERROR(IF($C364="","",SUMIFS(Ledger!$K$2:$K$4, Ledger!$B$2:$B$4, $A364, Ledger!$C$2:$C$4, W$2)),"****")</f>
        <v/>
      </c>
      <c r="X364" t="str">
        <f>IFERROR(IF($C364="","",SUMIFS(Ledger!$K$2:$K$4, Ledger!$B$2:$B$4, $A364, Ledger!$C$2:$C$4, X$2)),"****")</f>
        <v/>
      </c>
    </row>
    <row r="365" spans="1:24" x14ac:dyDescent="0.3">
      <c r="A365" s="106">
        <v>363</v>
      </c>
      <c r="B365" t="str">
        <f>IFERROR(VLOOKUP($A365, Ledger!$B$2:$L$8, 3, 0),"")</f>
        <v/>
      </c>
      <c r="C365" t="str">
        <f>IFERROR(VLOOKUP($A365, Ledger!$B$2:$L$8, 4, 0),"")</f>
        <v/>
      </c>
      <c r="D365" t="str">
        <f>IFERROR(VLOOKUP($A365, Ledger!$B$2:$L$8, 5, 0),"")</f>
        <v/>
      </c>
      <c r="E365" t="str">
        <f>IFERROR(VLOOKUP($A365, Ledger!$B$2:$L$8, 6, 0),"")</f>
        <v/>
      </c>
      <c r="F365" t="str">
        <f>IFERROR(VLOOKUP($A365,'Student Data'!$A$2:$AR$6,32,0),"")</f>
        <v/>
      </c>
      <c r="G365" t="str">
        <f>IFERROR(VLOOKUP($A365,'Student Data'!$A$2:$AR$6,33,0),"")</f>
        <v/>
      </c>
      <c r="H365" t="str">
        <f>IFERROR(VLOOKUP($A365,'Student Data'!$A$2:$AR$6,34,0),"")</f>
        <v/>
      </c>
      <c r="I365" t="str">
        <f>IFERROR(VLOOKUP($A365,'Student Data'!$A$2:$AR$6,35,0),"")</f>
        <v/>
      </c>
      <c r="J365" t="str">
        <f>IFERROR(VLOOKUP($A365,'Student Data'!$A$2:$AR$6,36,0),"")</f>
        <v/>
      </c>
      <c r="K365" t="str">
        <f t="shared" si="10"/>
        <v/>
      </c>
      <c r="L365" t="str">
        <f t="shared" si="11"/>
        <v/>
      </c>
      <c r="M365" t="str">
        <f>IFERROR(IF($C365="","",SUMIFS(Ledger!$K$2:$K$4, Ledger!$B$2:$B$4, $A365, Ledger!$C$2:$C$4, M$2)),"****")</f>
        <v/>
      </c>
      <c r="N365" t="str">
        <f>IFERROR(IF($C365="","",SUMIFS(Ledger!$K$2:$K$4, Ledger!$B$2:$B$4, $A365, Ledger!$C$2:$C$4, N$2)),"****")</f>
        <v/>
      </c>
      <c r="O365" t="str">
        <f>IFERROR(IF($C365="","",SUMIFS(Ledger!$K$2:$K$4, Ledger!$B$2:$B$4, $A365, Ledger!$C$2:$C$4, O$2)),"****")</f>
        <v/>
      </c>
      <c r="P365" t="str">
        <f>IFERROR(IF($C365="","",SUMIFS(Ledger!$K$2:$K$4, Ledger!$B$2:$B$4, $A365, Ledger!$C$2:$C$4, P$2)),"****")</f>
        <v/>
      </c>
      <c r="Q365" t="str">
        <f>IFERROR(IF($C365="","",SUMIFS(Ledger!$K$2:$K$4, Ledger!$B$2:$B$4, $A365, Ledger!$C$2:$C$4, Q$2)),"****")</f>
        <v/>
      </c>
      <c r="R365" t="str">
        <f>IFERROR(IF($C365="","",SUMIFS(Ledger!$K$2:$K$4, Ledger!$B$2:$B$4, $A365, Ledger!$C$2:$C$4, R$2)),"****")</f>
        <v/>
      </c>
      <c r="S365" t="str">
        <f>IFERROR(IF($C365="","",SUMIFS(Ledger!$K$2:$K$4, Ledger!$B$2:$B$4, $A365, Ledger!$C$2:$C$4, S$2)),"****")</f>
        <v/>
      </c>
      <c r="T365" t="str">
        <f>IFERROR(IF($C365="","",SUMIFS(Ledger!$K$2:$K$4, Ledger!$B$2:$B$4, $A365, Ledger!$C$2:$C$4, T$2)),"****")</f>
        <v/>
      </c>
      <c r="U365" t="str">
        <f>IFERROR(IF($C365="","",SUMIFS(Ledger!$K$2:$K$4, Ledger!$B$2:$B$4, $A365, Ledger!$C$2:$C$4, U$2)),"****")</f>
        <v/>
      </c>
      <c r="V365" t="str">
        <f>IFERROR(IF($C365="","",SUMIFS(Ledger!$K$2:$K$4, Ledger!$B$2:$B$4, $A365, Ledger!$C$2:$C$4, V$2)),"****")</f>
        <v/>
      </c>
      <c r="W365" t="str">
        <f>IFERROR(IF($C365="","",SUMIFS(Ledger!$K$2:$K$4, Ledger!$B$2:$B$4, $A365, Ledger!$C$2:$C$4, W$2)),"****")</f>
        <v/>
      </c>
      <c r="X365" t="str">
        <f>IFERROR(IF($C365="","",SUMIFS(Ledger!$K$2:$K$4, Ledger!$B$2:$B$4, $A365, Ledger!$C$2:$C$4, X$2)),"****")</f>
        <v/>
      </c>
    </row>
    <row r="366" spans="1:24" x14ac:dyDescent="0.3">
      <c r="A366" s="106">
        <v>364</v>
      </c>
      <c r="B366" t="str">
        <f>IFERROR(VLOOKUP($A366, Ledger!$B$2:$L$8, 3, 0),"")</f>
        <v/>
      </c>
      <c r="C366" t="str">
        <f>IFERROR(VLOOKUP($A366, Ledger!$B$2:$L$8, 4, 0),"")</f>
        <v/>
      </c>
      <c r="D366" t="str">
        <f>IFERROR(VLOOKUP($A366, Ledger!$B$2:$L$8, 5, 0),"")</f>
        <v/>
      </c>
      <c r="E366" t="str">
        <f>IFERROR(VLOOKUP($A366, Ledger!$B$2:$L$8, 6, 0),"")</f>
        <v/>
      </c>
      <c r="F366" t="str">
        <f>IFERROR(VLOOKUP($A366,'Student Data'!$A$2:$AR$6,32,0),"")</f>
        <v/>
      </c>
      <c r="G366" t="str">
        <f>IFERROR(VLOOKUP($A366,'Student Data'!$A$2:$AR$6,33,0),"")</f>
        <v/>
      </c>
      <c r="H366" t="str">
        <f>IFERROR(VLOOKUP($A366,'Student Data'!$A$2:$AR$6,34,0),"")</f>
        <v/>
      </c>
      <c r="I366" t="str">
        <f>IFERROR(VLOOKUP($A366,'Student Data'!$A$2:$AR$6,35,0),"")</f>
        <v/>
      </c>
      <c r="J366" t="str">
        <f>IFERROR(VLOOKUP($A366,'Student Data'!$A$2:$AR$6,36,0),"")</f>
        <v/>
      </c>
      <c r="K366" t="str">
        <f t="shared" si="10"/>
        <v/>
      </c>
      <c r="L366" t="str">
        <f t="shared" si="11"/>
        <v/>
      </c>
      <c r="M366" t="str">
        <f>IFERROR(IF($C366="","",SUMIFS(Ledger!$K$2:$K$4, Ledger!$B$2:$B$4, $A366, Ledger!$C$2:$C$4, M$2)),"****")</f>
        <v/>
      </c>
      <c r="N366" t="str">
        <f>IFERROR(IF($C366="","",SUMIFS(Ledger!$K$2:$K$4, Ledger!$B$2:$B$4, $A366, Ledger!$C$2:$C$4, N$2)),"****")</f>
        <v/>
      </c>
      <c r="O366" t="str">
        <f>IFERROR(IF($C366="","",SUMIFS(Ledger!$K$2:$K$4, Ledger!$B$2:$B$4, $A366, Ledger!$C$2:$C$4, O$2)),"****")</f>
        <v/>
      </c>
      <c r="P366" t="str">
        <f>IFERROR(IF($C366="","",SUMIFS(Ledger!$K$2:$K$4, Ledger!$B$2:$B$4, $A366, Ledger!$C$2:$C$4, P$2)),"****")</f>
        <v/>
      </c>
      <c r="Q366" t="str">
        <f>IFERROR(IF($C366="","",SUMIFS(Ledger!$K$2:$K$4, Ledger!$B$2:$B$4, $A366, Ledger!$C$2:$C$4, Q$2)),"****")</f>
        <v/>
      </c>
      <c r="R366" t="str">
        <f>IFERROR(IF($C366="","",SUMIFS(Ledger!$K$2:$K$4, Ledger!$B$2:$B$4, $A366, Ledger!$C$2:$C$4, R$2)),"****")</f>
        <v/>
      </c>
      <c r="S366" t="str">
        <f>IFERROR(IF($C366="","",SUMIFS(Ledger!$K$2:$K$4, Ledger!$B$2:$B$4, $A366, Ledger!$C$2:$C$4, S$2)),"****")</f>
        <v/>
      </c>
      <c r="T366" t="str">
        <f>IFERROR(IF($C366="","",SUMIFS(Ledger!$K$2:$K$4, Ledger!$B$2:$B$4, $A366, Ledger!$C$2:$C$4, T$2)),"****")</f>
        <v/>
      </c>
      <c r="U366" t="str">
        <f>IFERROR(IF($C366="","",SUMIFS(Ledger!$K$2:$K$4, Ledger!$B$2:$B$4, $A366, Ledger!$C$2:$C$4, U$2)),"****")</f>
        <v/>
      </c>
      <c r="V366" t="str">
        <f>IFERROR(IF($C366="","",SUMIFS(Ledger!$K$2:$K$4, Ledger!$B$2:$B$4, $A366, Ledger!$C$2:$C$4, V$2)),"****")</f>
        <v/>
      </c>
      <c r="W366" t="str">
        <f>IFERROR(IF($C366="","",SUMIFS(Ledger!$K$2:$K$4, Ledger!$B$2:$B$4, $A366, Ledger!$C$2:$C$4, W$2)),"****")</f>
        <v/>
      </c>
      <c r="X366" t="str">
        <f>IFERROR(IF($C366="","",SUMIFS(Ledger!$K$2:$K$4, Ledger!$B$2:$B$4, $A366, Ledger!$C$2:$C$4, X$2)),"****")</f>
        <v/>
      </c>
    </row>
    <row r="367" spans="1:24" x14ac:dyDescent="0.3">
      <c r="A367" s="106">
        <v>365</v>
      </c>
      <c r="B367" t="str">
        <f>IFERROR(VLOOKUP($A367, Ledger!$B$2:$L$8, 3, 0),"")</f>
        <v/>
      </c>
      <c r="C367" t="str">
        <f>IFERROR(VLOOKUP($A367, Ledger!$B$2:$L$8, 4, 0),"")</f>
        <v/>
      </c>
      <c r="D367" t="str">
        <f>IFERROR(VLOOKUP($A367, Ledger!$B$2:$L$8, 5, 0),"")</f>
        <v/>
      </c>
      <c r="E367" t="str">
        <f>IFERROR(VLOOKUP($A367, Ledger!$B$2:$L$8, 6, 0),"")</f>
        <v/>
      </c>
      <c r="F367" t="str">
        <f>IFERROR(VLOOKUP($A367,'Student Data'!$A$2:$AR$6,32,0),"")</f>
        <v/>
      </c>
      <c r="G367" t="str">
        <f>IFERROR(VLOOKUP($A367,'Student Data'!$A$2:$AR$6,33,0),"")</f>
        <v/>
      </c>
      <c r="H367" t="str">
        <f>IFERROR(VLOOKUP($A367,'Student Data'!$A$2:$AR$6,34,0),"")</f>
        <v/>
      </c>
      <c r="I367" t="str">
        <f>IFERROR(VLOOKUP($A367,'Student Data'!$A$2:$AR$6,35,0),"")</f>
        <v/>
      </c>
      <c r="J367" t="str">
        <f>IFERROR(VLOOKUP($A367,'Student Data'!$A$2:$AR$6,36,0),"")</f>
        <v/>
      </c>
      <c r="K367" t="str">
        <f t="shared" si="10"/>
        <v/>
      </c>
      <c r="L367" t="str">
        <f t="shared" si="11"/>
        <v/>
      </c>
      <c r="M367" t="str">
        <f>IFERROR(IF($C367="","",SUMIFS(Ledger!$K$2:$K$4, Ledger!$B$2:$B$4, $A367, Ledger!$C$2:$C$4, M$2)),"****")</f>
        <v/>
      </c>
      <c r="N367" t="str">
        <f>IFERROR(IF($C367="","",SUMIFS(Ledger!$K$2:$K$4, Ledger!$B$2:$B$4, $A367, Ledger!$C$2:$C$4, N$2)),"****")</f>
        <v/>
      </c>
      <c r="O367" t="str">
        <f>IFERROR(IF($C367="","",SUMIFS(Ledger!$K$2:$K$4, Ledger!$B$2:$B$4, $A367, Ledger!$C$2:$C$4, O$2)),"****")</f>
        <v/>
      </c>
      <c r="P367" t="str">
        <f>IFERROR(IF($C367="","",SUMIFS(Ledger!$K$2:$K$4, Ledger!$B$2:$B$4, $A367, Ledger!$C$2:$C$4, P$2)),"****")</f>
        <v/>
      </c>
      <c r="Q367" t="str">
        <f>IFERROR(IF($C367="","",SUMIFS(Ledger!$K$2:$K$4, Ledger!$B$2:$B$4, $A367, Ledger!$C$2:$C$4, Q$2)),"****")</f>
        <v/>
      </c>
      <c r="R367" t="str">
        <f>IFERROR(IF($C367="","",SUMIFS(Ledger!$K$2:$K$4, Ledger!$B$2:$B$4, $A367, Ledger!$C$2:$C$4, R$2)),"****")</f>
        <v/>
      </c>
      <c r="S367" t="str">
        <f>IFERROR(IF($C367="","",SUMIFS(Ledger!$K$2:$K$4, Ledger!$B$2:$B$4, $A367, Ledger!$C$2:$C$4, S$2)),"****")</f>
        <v/>
      </c>
      <c r="T367" t="str">
        <f>IFERROR(IF($C367="","",SUMIFS(Ledger!$K$2:$K$4, Ledger!$B$2:$B$4, $A367, Ledger!$C$2:$C$4, T$2)),"****")</f>
        <v/>
      </c>
      <c r="U367" t="str">
        <f>IFERROR(IF($C367="","",SUMIFS(Ledger!$K$2:$K$4, Ledger!$B$2:$B$4, $A367, Ledger!$C$2:$C$4, U$2)),"****")</f>
        <v/>
      </c>
      <c r="V367" t="str">
        <f>IFERROR(IF($C367="","",SUMIFS(Ledger!$K$2:$K$4, Ledger!$B$2:$B$4, $A367, Ledger!$C$2:$C$4, V$2)),"****")</f>
        <v/>
      </c>
      <c r="W367" t="str">
        <f>IFERROR(IF($C367="","",SUMIFS(Ledger!$K$2:$K$4, Ledger!$B$2:$B$4, $A367, Ledger!$C$2:$C$4, W$2)),"****")</f>
        <v/>
      </c>
      <c r="X367" t="str">
        <f>IFERROR(IF($C367="","",SUMIFS(Ledger!$K$2:$K$4, Ledger!$B$2:$B$4, $A367, Ledger!$C$2:$C$4, X$2)),"****")</f>
        <v/>
      </c>
    </row>
    <row r="368" spans="1:24" x14ac:dyDescent="0.3">
      <c r="A368" s="106">
        <v>366</v>
      </c>
      <c r="B368" t="str">
        <f>IFERROR(VLOOKUP($A368, Ledger!$B$2:$L$8, 3, 0),"")</f>
        <v/>
      </c>
      <c r="C368" t="str">
        <f>IFERROR(VLOOKUP($A368, Ledger!$B$2:$L$8, 4, 0),"")</f>
        <v/>
      </c>
      <c r="D368" t="str">
        <f>IFERROR(VLOOKUP($A368, Ledger!$B$2:$L$8, 5, 0),"")</f>
        <v/>
      </c>
      <c r="E368" t="str">
        <f>IFERROR(VLOOKUP($A368, Ledger!$B$2:$L$8, 6, 0),"")</f>
        <v/>
      </c>
      <c r="F368" t="str">
        <f>IFERROR(VLOOKUP($A368,'Student Data'!$A$2:$AR$6,32,0),"")</f>
        <v/>
      </c>
      <c r="G368" t="str">
        <f>IFERROR(VLOOKUP($A368,'Student Data'!$A$2:$AR$6,33,0),"")</f>
        <v/>
      </c>
      <c r="H368" t="str">
        <f>IFERROR(VLOOKUP($A368,'Student Data'!$A$2:$AR$6,34,0),"")</f>
        <v/>
      </c>
      <c r="I368" t="str">
        <f>IFERROR(VLOOKUP($A368,'Student Data'!$A$2:$AR$6,35,0),"")</f>
        <v/>
      </c>
      <c r="J368" t="str">
        <f>IFERROR(VLOOKUP($A368,'Student Data'!$A$2:$AR$6,36,0),"")</f>
        <v/>
      </c>
      <c r="K368" t="str">
        <f t="shared" si="10"/>
        <v/>
      </c>
      <c r="L368" t="str">
        <f t="shared" si="11"/>
        <v/>
      </c>
      <c r="M368" t="str">
        <f>IFERROR(IF($C368="","",SUMIFS(Ledger!$K$2:$K$4, Ledger!$B$2:$B$4, $A368, Ledger!$C$2:$C$4, M$2)),"****")</f>
        <v/>
      </c>
      <c r="N368" t="str">
        <f>IFERROR(IF($C368="","",SUMIFS(Ledger!$K$2:$K$4, Ledger!$B$2:$B$4, $A368, Ledger!$C$2:$C$4, N$2)),"****")</f>
        <v/>
      </c>
      <c r="O368" t="str">
        <f>IFERROR(IF($C368="","",SUMIFS(Ledger!$K$2:$K$4, Ledger!$B$2:$B$4, $A368, Ledger!$C$2:$C$4, O$2)),"****")</f>
        <v/>
      </c>
      <c r="P368" t="str">
        <f>IFERROR(IF($C368="","",SUMIFS(Ledger!$K$2:$K$4, Ledger!$B$2:$B$4, $A368, Ledger!$C$2:$C$4, P$2)),"****")</f>
        <v/>
      </c>
      <c r="Q368" t="str">
        <f>IFERROR(IF($C368="","",SUMIFS(Ledger!$K$2:$K$4, Ledger!$B$2:$B$4, $A368, Ledger!$C$2:$C$4, Q$2)),"****")</f>
        <v/>
      </c>
      <c r="R368" t="str">
        <f>IFERROR(IF($C368="","",SUMIFS(Ledger!$K$2:$K$4, Ledger!$B$2:$B$4, $A368, Ledger!$C$2:$C$4, R$2)),"****")</f>
        <v/>
      </c>
      <c r="S368" t="str">
        <f>IFERROR(IF($C368="","",SUMIFS(Ledger!$K$2:$K$4, Ledger!$B$2:$B$4, $A368, Ledger!$C$2:$C$4, S$2)),"****")</f>
        <v/>
      </c>
      <c r="T368" t="str">
        <f>IFERROR(IF($C368="","",SUMIFS(Ledger!$K$2:$K$4, Ledger!$B$2:$B$4, $A368, Ledger!$C$2:$C$4, T$2)),"****")</f>
        <v/>
      </c>
      <c r="U368" t="str">
        <f>IFERROR(IF($C368="","",SUMIFS(Ledger!$K$2:$K$4, Ledger!$B$2:$B$4, $A368, Ledger!$C$2:$C$4, U$2)),"****")</f>
        <v/>
      </c>
      <c r="V368" t="str">
        <f>IFERROR(IF($C368="","",SUMIFS(Ledger!$K$2:$K$4, Ledger!$B$2:$B$4, $A368, Ledger!$C$2:$C$4, V$2)),"****")</f>
        <v/>
      </c>
      <c r="W368" t="str">
        <f>IFERROR(IF($C368="","",SUMIFS(Ledger!$K$2:$K$4, Ledger!$B$2:$B$4, $A368, Ledger!$C$2:$C$4, W$2)),"****")</f>
        <v/>
      </c>
      <c r="X368" t="str">
        <f>IFERROR(IF($C368="","",SUMIFS(Ledger!$K$2:$K$4, Ledger!$B$2:$B$4, $A368, Ledger!$C$2:$C$4, X$2)),"****")</f>
        <v/>
      </c>
    </row>
    <row r="369" spans="1:24" x14ac:dyDescent="0.3">
      <c r="A369" s="106">
        <v>367</v>
      </c>
      <c r="B369" t="str">
        <f>IFERROR(VLOOKUP($A369, Ledger!$B$2:$L$8, 3, 0),"")</f>
        <v/>
      </c>
      <c r="C369" t="str">
        <f>IFERROR(VLOOKUP($A369, Ledger!$B$2:$L$8, 4, 0),"")</f>
        <v/>
      </c>
      <c r="D369" t="str">
        <f>IFERROR(VLOOKUP($A369, Ledger!$B$2:$L$8, 5, 0),"")</f>
        <v/>
      </c>
      <c r="E369" t="str">
        <f>IFERROR(VLOOKUP($A369, Ledger!$B$2:$L$8, 6, 0),"")</f>
        <v/>
      </c>
      <c r="F369" t="str">
        <f>IFERROR(VLOOKUP($A369,'Student Data'!$A$2:$AR$6,32,0),"")</f>
        <v/>
      </c>
      <c r="G369" t="str">
        <f>IFERROR(VLOOKUP($A369,'Student Data'!$A$2:$AR$6,33,0),"")</f>
        <v/>
      </c>
      <c r="H369" t="str">
        <f>IFERROR(VLOOKUP($A369,'Student Data'!$A$2:$AR$6,34,0),"")</f>
        <v/>
      </c>
      <c r="I369" t="str">
        <f>IFERROR(VLOOKUP($A369,'Student Data'!$A$2:$AR$6,35,0),"")</f>
        <v/>
      </c>
      <c r="J369" t="str">
        <f>IFERROR(VLOOKUP($A369,'Student Data'!$A$2:$AR$6,36,0),"")</f>
        <v/>
      </c>
      <c r="K369" t="str">
        <f t="shared" si="10"/>
        <v/>
      </c>
      <c r="L369" t="str">
        <f t="shared" si="11"/>
        <v/>
      </c>
      <c r="M369" t="str">
        <f>IFERROR(IF($C369="","",SUMIFS(Ledger!$K$2:$K$4, Ledger!$B$2:$B$4, $A369, Ledger!$C$2:$C$4, M$2)),"****")</f>
        <v/>
      </c>
      <c r="N369" t="str">
        <f>IFERROR(IF($C369="","",SUMIFS(Ledger!$K$2:$K$4, Ledger!$B$2:$B$4, $A369, Ledger!$C$2:$C$4, N$2)),"****")</f>
        <v/>
      </c>
      <c r="O369" t="str">
        <f>IFERROR(IF($C369="","",SUMIFS(Ledger!$K$2:$K$4, Ledger!$B$2:$B$4, $A369, Ledger!$C$2:$C$4, O$2)),"****")</f>
        <v/>
      </c>
      <c r="P369" t="str">
        <f>IFERROR(IF($C369="","",SUMIFS(Ledger!$K$2:$K$4, Ledger!$B$2:$B$4, $A369, Ledger!$C$2:$C$4, P$2)),"****")</f>
        <v/>
      </c>
      <c r="Q369" t="str">
        <f>IFERROR(IF($C369="","",SUMIFS(Ledger!$K$2:$K$4, Ledger!$B$2:$B$4, $A369, Ledger!$C$2:$C$4, Q$2)),"****")</f>
        <v/>
      </c>
      <c r="R369" t="str">
        <f>IFERROR(IF($C369="","",SUMIFS(Ledger!$K$2:$K$4, Ledger!$B$2:$B$4, $A369, Ledger!$C$2:$C$4, R$2)),"****")</f>
        <v/>
      </c>
      <c r="S369" t="str">
        <f>IFERROR(IF($C369="","",SUMIFS(Ledger!$K$2:$K$4, Ledger!$B$2:$B$4, $A369, Ledger!$C$2:$C$4, S$2)),"****")</f>
        <v/>
      </c>
      <c r="T369" t="str">
        <f>IFERROR(IF($C369="","",SUMIFS(Ledger!$K$2:$K$4, Ledger!$B$2:$B$4, $A369, Ledger!$C$2:$C$4, T$2)),"****")</f>
        <v/>
      </c>
      <c r="U369" t="str">
        <f>IFERROR(IF($C369="","",SUMIFS(Ledger!$K$2:$K$4, Ledger!$B$2:$B$4, $A369, Ledger!$C$2:$C$4, U$2)),"****")</f>
        <v/>
      </c>
      <c r="V369" t="str">
        <f>IFERROR(IF($C369="","",SUMIFS(Ledger!$K$2:$K$4, Ledger!$B$2:$B$4, $A369, Ledger!$C$2:$C$4, V$2)),"****")</f>
        <v/>
      </c>
      <c r="W369" t="str">
        <f>IFERROR(IF($C369="","",SUMIFS(Ledger!$K$2:$K$4, Ledger!$B$2:$B$4, $A369, Ledger!$C$2:$C$4, W$2)),"****")</f>
        <v/>
      </c>
      <c r="X369" t="str">
        <f>IFERROR(IF($C369="","",SUMIFS(Ledger!$K$2:$K$4, Ledger!$B$2:$B$4, $A369, Ledger!$C$2:$C$4, X$2)),"****")</f>
        <v/>
      </c>
    </row>
    <row r="370" spans="1:24" x14ac:dyDescent="0.3">
      <c r="A370" s="106">
        <v>368</v>
      </c>
      <c r="B370" t="str">
        <f>IFERROR(VLOOKUP($A370, Ledger!$B$2:$L$8, 3, 0),"")</f>
        <v/>
      </c>
      <c r="C370" t="str">
        <f>IFERROR(VLOOKUP($A370, Ledger!$B$2:$L$8, 4, 0),"")</f>
        <v/>
      </c>
      <c r="D370" t="str">
        <f>IFERROR(VLOOKUP($A370, Ledger!$B$2:$L$8, 5, 0),"")</f>
        <v/>
      </c>
      <c r="E370" t="str">
        <f>IFERROR(VLOOKUP($A370, Ledger!$B$2:$L$8, 6, 0),"")</f>
        <v/>
      </c>
      <c r="F370" t="str">
        <f>IFERROR(VLOOKUP($A370,'Student Data'!$A$2:$AR$6,32,0),"")</f>
        <v/>
      </c>
      <c r="G370" t="str">
        <f>IFERROR(VLOOKUP($A370,'Student Data'!$A$2:$AR$6,33,0),"")</f>
        <v/>
      </c>
      <c r="H370" t="str">
        <f>IFERROR(VLOOKUP($A370,'Student Data'!$A$2:$AR$6,34,0),"")</f>
        <v/>
      </c>
      <c r="I370" t="str">
        <f>IFERROR(VLOOKUP($A370,'Student Data'!$A$2:$AR$6,35,0),"")</f>
        <v/>
      </c>
      <c r="J370" t="str">
        <f>IFERROR(VLOOKUP($A370,'Student Data'!$A$2:$AR$6,36,0),"")</f>
        <v/>
      </c>
      <c r="K370" t="str">
        <f t="shared" si="10"/>
        <v/>
      </c>
      <c r="L370" t="str">
        <f t="shared" si="11"/>
        <v/>
      </c>
      <c r="M370" t="str">
        <f>IFERROR(IF($C370="","",SUMIFS(Ledger!$K$2:$K$4, Ledger!$B$2:$B$4, $A370, Ledger!$C$2:$C$4, M$2)),"****")</f>
        <v/>
      </c>
      <c r="N370" t="str">
        <f>IFERROR(IF($C370="","",SUMIFS(Ledger!$K$2:$K$4, Ledger!$B$2:$B$4, $A370, Ledger!$C$2:$C$4, N$2)),"****")</f>
        <v/>
      </c>
      <c r="O370" t="str">
        <f>IFERROR(IF($C370="","",SUMIFS(Ledger!$K$2:$K$4, Ledger!$B$2:$B$4, $A370, Ledger!$C$2:$C$4, O$2)),"****")</f>
        <v/>
      </c>
      <c r="P370" t="str">
        <f>IFERROR(IF($C370="","",SUMIFS(Ledger!$K$2:$K$4, Ledger!$B$2:$B$4, $A370, Ledger!$C$2:$C$4, P$2)),"****")</f>
        <v/>
      </c>
      <c r="Q370" t="str">
        <f>IFERROR(IF($C370="","",SUMIFS(Ledger!$K$2:$K$4, Ledger!$B$2:$B$4, $A370, Ledger!$C$2:$C$4, Q$2)),"****")</f>
        <v/>
      </c>
      <c r="R370" t="str">
        <f>IFERROR(IF($C370="","",SUMIFS(Ledger!$K$2:$K$4, Ledger!$B$2:$B$4, $A370, Ledger!$C$2:$C$4, R$2)),"****")</f>
        <v/>
      </c>
      <c r="S370" t="str">
        <f>IFERROR(IF($C370="","",SUMIFS(Ledger!$K$2:$K$4, Ledger!$B$2:$B$4, $A370, Ledger!$C$2:$C$4, S$2)),"****")</f>
        <v/>
      </c>
      <c r="T370" t="str">
        <f>IFERROR(IF($C370="","",SUMIFS(Ledger!$K$2:$K$4, Ledger!$B$2:$B$4, $A370, Ledger!$C$2:$C$4, T$2)),"****")</f>
        <v/>
      </c>
      <c r="U370" t="str">
        <f>IFERROR(IF($C370="","",SUMIFS(Ledger!$K$2:$K$4, Ledger!$B$2:$B$4, $A370, Ledger!$C$2:$C$4, U$2)),"****")</f>
        <v/>
      </c>
      <c r="V370" t="str">
        <f>IFERROR(IF($C370="","",SUMIFS(Ledger!$K$2:$K$4, Ledger!$B$2:$B$4, $A370, Ledger!$C$2:$C$4, V$2)),"****")</f>
        <v/>
      </c>
      <c r="W370" t="str">
        <f>IFERROR(IF($C370="","",SUMIFS(Ledger!$K$2:$K$4, Ledger!$B$2:$B$4, $A370, Ledger!$C$2:$C$4, W$2)),"****")</f>
        <v/>
      </c>
      <c r="X370" t="str">
        <f>IFERROR(IF($C370="","",SUMIFS(Ledger!$K$2:$K$4, Ledger!$B$2:$B$4, $A370, Ledger!$C$2:$C$4, X$2)),"****")</f>
        <v/>
      </c>
    </row>
    <row r="371" spans="1:24" x14ac:dyDescent="0.3">
      <c r="A371" s="106">
        <v>369</v>
      </c>
      <c r="B371" t="str">
        <f>IFERROR(VLOOKUP($A371, Ledger!$B$2:$L$8, 3, 0),"")</f>
        <v/>
      </c>
      <c r="C371" t="str">
        <f>IFERROR(VLOOKUP($A371, Ledger!$B$2:$L$8, 4, 0),"")</f>
        <v/>
      </c>
      <c r="D371" t="str">
        <f>IFERROR(VLOOKUP($A371, Ledger!$B$2:$L$8, 5, 0),"")</f>
        <v/>
      </c>
      <c r="E371" t="str">
        <f>IFERROR(VLOOKUP($A371, Ledger!$B$2:$L$8, 6, 0),"")</f>
        <v/>
      </c>
      <c r="F371" t="str">
        <f>IFERROR(VLOOKUP($A371,'Student Data'!$A$2:$AR$6,32,0),"")</f>
        <v/>
      </c>
      <c r="G371" t="str">
        <f>IFERROR(VLOOKUP($A371,'Student Data'!$A$2:$AR$6,33,0),"")</f>
        <v/>
      </c>
      <c r="H371" t="str">
        <f>IFERROR(VLOOKUP($A371,'Student Data'!$A$2:$AR$6,34,0),"")</f>
        <v/>
      </c>
      <c r="I371" t="str">
        <f>IFERROR(VLOOKUP($A371,'Student Data'!$A$2:$AR$6,35,0),"")</f>
        <v/>
      </c>
      <c r="J371" t="str">
        <f>IFERROR(VLOOKUP($A371,'Student Data'!$A$2:$AR$6,36,0),"")</f>
        <v/>
      </c>
      <c r="K371" t="str">
        <f t="shared" si="10"/>
        <v/>
      </c>
      <c r="L371" t="str">
        <f t="shared" si="11"/>
        <v/>
      </c>
      <c r="M371" t="str">
        <f>IFERROR(IF($C371="","",SUMIFS(Ledger!$K$2:$K$4, Ledger!$B$2:$B$4, $A371, Ledger!$C$2:$C$4, M$2)),"****")</f>
        <v/>
      </c>
      <c r="N371" t="str">
        <f>IFERROR(IF($C371="","",SUMIFS(Ledger!$K$2:$K$4, Ledger!$B$2:$B$4, $A371, Ledger!$C$2:$C$4, N$2)),"****")</f>
        <v/>
      </c>
      <c r="O371" t="str">
        <f>IFERROR(IF($C371="","",SUMIFS(Ledger!$K$2:$K$4, Ledger!$B$2:$B$4, $A371, Ledger!$C$2:$C$4, O$2)),"****")</f>
        <v/>
      </c>
      <c r="P371" t="str">
        <f>IFERROR(IF($C371="","",SUMIFS(Ledger!$K$2:$K$4, Ledger!$B$2:$B$4, $A371, Ledger!$C$2:$C$4, P$2)),"****")</f>
        <v/>
      </c>
      <c r="Q371" t="str">
        <f>IFERROR(IF($C371="","",SUMIFS(Ledger!$K$2:$K$4, Ledger!$B$2:$B$4, $A371, Ledger!$C$2:$C$4, Q$2)),"****")</f>
        <v/>
      </c>
      <c r="R371" t="str">
        <f>IFERROR(IF($C371="","",SUMIFS(Ledger!$K$2:$K$4, Ledger!$B$2:$B$4, $A371, Ledger!$C$2:$C$4, R$2)),"****")</f>
        <v/>
      </c>
      <c r="S371" t="str">
        <f>IFERROR(IF($C371="","",SUMIFS(Ledger!$K$2:$K$4, Ledger!$B$2:$B$4, $A371, Ledger!$C$2:$C$4, S$2)),"****")</f>
        <v/>
      </c>
      <c r="T371" t="str">
        <f>IFERROR(IF($C371="","",SUMIFS(Ledger!$K$2:$K$4, Ledger!$B$2:$B$4, $A371, Ledger!$C$2:$C$4, T$2)),"****")</f>
        <v/>
      </c>
      <c r="U371" t="str">
        <f>IFERROR(IF($C371="","",SUMIFS(Ledger!$K$2:$K$4, Ledger!$B$2:$B$4, $A371, Ledger!$C$2:$C$4, U$2)),"****")</f>
        <v/>
      </c>
      <c r="V371" t="str">
        <f>IFERROR(IF($C371="","",SUMIFS(Ledger!$K$2:$K$4, Ledger!$B$2:$B$4, $A371, Ledger!$C$2:$C$4, V$2)),"****")</f>
        <v/>
      </c>
      <c r="W371" t="str">
        <f>IFERROR(IF($C371="","",SUMIFS(Ledger!$K$2:$K$4, Ledger!$B$2:$B$4, $A371, Ledger!$C$2:$C$4, W$2)),"****")</f>
        <v/>
      </c>
      <c r="X371" t="str">
        <f>IFERROR(IF($C371="","",SUMIFS(Ledger!$K$2:$K$4, Ledger!$B$2:$B$4, $A371, Ledger!$C$2:$C$4, X$2)),"****")</f>
        <v/>
      </c>
    </row>
    <row r="372" spans="1:24" x14ac:dyDescent="0.3">
      <c r="A372" s="106">
        <v>370</v>
      </c>
      <c r="B372" t="str">
        <f>IFERROR(VLOOKUP($A372, Ledger!$B$2:$L$8, 3, 0),"")</f>
        <v/>
      </c>
      <c r="C372" t="str">
        <f>IFERROR(VLOOKUP($A372, Ledger!$B$2:$L$8, 4, 0),"")</f>
        <v/>
      </c>
      <c r="D372" t="str">
        <f>IFERROR(VLOOKUP($A372, Ledger!$B$2:$L$8, 5, 0),"")</f>
        <v/>
      </c>
      <c r="E372" t="str">
        <f>IFERROR(VLOOKUP($A372, Ledger!$B$2:$L$8, 6, 0),"")</f>
        <v/>
      </c>
      <c r="F372" t="str">
        <f>IFERROR(VLOOKUP($A372,'Student Data'!$A$2:$AR$6,32,0),"")</f>
        <v/>
      </c>
      <c r="G372" t="str">
        <f>IFERROR(VLOOKUP($A372,'Student Data'!$A$2:$AR$6,33,0),"")</f>
        <v/>
      </c>
      <c r="H372" t="str">
        <f>IFERROR(VLOOKUP($A372,'Student Data'!$A$2:$AR$6,34,0),"")</f>
        <v/>
      </c>
      <c r="I372" t="str">
        <f>IFERROR(VLOOKUP($A372,'Student Data'!$A$2:$AR$6,35,0),"")</f>
        <v/>
      </c>
      <c r="J372" t="str">
        <f>IFERROR(VLOOKUP($A372,'Student Data'!$A$2:$AR$6,36,0),"")</f>
        <v/>
      </c>
      <c r="K372" t="str">
        <f t="shared" si="10"/>
        <v/>
      </c>
      <c r="L372" t="str">
        <f t="shared" si="11"/>
        <v/>
      </c>
      <c r="M372" t="str">
        <f>IFERROR(IF($C372="","",SUMIFS(Ledger!$K$2:$K$4, Ledger!$B$2:$B$4, $A372, Ledger!$C$2:$C$4, M$2)),"****")</f>
        <v/>
      </c>
      <c r="N372" t="str">
        <f>IFERROR(IF($C372="","",SUMIFS(Ledger!$K$2:$K$4, Ledger!$B$2:$B$4, $A372, Ledger!$C$2:$C$4, N$2)),"****")</f>
        <v/>
      </c>
      <c r="O372" t="str">
        <f>IFERROR(IF($C372="","",SUMIFS(Ledger!$K$2:$K$4, Ledger!$B$2:$B$4, $A372, Ledger!$C$2:$C$4, O$2)),"****")</f>
        <v/>
      </c>
      <c r="P372" t="str">
        <f>IFERROR(IF($C372="","",SUMIFS(Ledger!$K$2:$K$4, Ledger!$B$2:$B$4, $A372, Ledger!$C$2:$C$4, P$2)),"****")</f>
        <v/>
      </c>
      <c r="Q372" t="str">
        <f>IFERROR(IF($C372="","",SUMIFS(Ledger!$K$2:$K$4, Ledger!$B$2:$B$4, $A372, Ledger!$C$2:$C$4, Q$2)),"****")</f>
        <v/>
      </c>
      <c r="R372" t="str">
        <f>IFERROR(IF($C372="","",SUMIFS(Ledger!$K$2:$K$4, Ledger!$B$2:$B$4, $A372, Ledger!$C$2:$C$4, R$2)),"****")</f>
        <v/>
      </c>
      <c r="S372" t="str">
        <f>IFERROR(IF($C372="","",SUMIFS(Ledger!$K$2:$K$4, Ledger!$B$2:$B$4, $A372, Ledger!$C$2:$C$4, S$2)),"****")</f>
        <v/>
      </c>
      <c r="T372" t="str">
        <f>IFERROR(IF($C372="","",SUMIFS(Ledger!$K$2:$K$4, Ledger!$B$2:$B$4, $A372, Ledger!$C$2:$C$4, T$2)),"****")</f>
        <v/>
      </c>
      <c r="U372" t="str">
        <f>IFERROR(IF($C372="","",SUMIFS(Ledger!$K$2:$K$4, Ledger!$B$2:$B$4, $A372, Ledger!$C$2:$C$4, U$2)),"****")</f>
        <v/>
      </c>
      <c r="V372" t="str">
        <f>IFERROR(IF($C372="","",SUMIFS(Ledger!$K$2:$K$4, Ledger!$B$2:$B$4, $A372, Ledger!$C$2:$C$4, V$2)),"****")</f>
        <v/>
      </c>
      <c r="W372" t="str">
        <f>IFERROR(IF($C372="","",SUMIFS(Ledger!$K$2:$K$4, Ledger!$B$2:$B$4, $A372, Ledger!$C$2:$C$4, W$2)),"****")</f>
        <v/>
      </c>
      <c r="X372" t="str">
        <f>IFERROR(IF($C372="","",SUMIFS(Ledger!$K$2:$K$4, Ledger!$B$2:$B$4, $A372, Ledger!$C$2:$C$4, X$2)),"****")</f>
        <v/>
      </c>
    </row>
    <row r="373" spans="1:24" x14ac:dyDescent="0.3">
      <c r="A373" s="106">
        <v>371</v>
      </c>
      <c r="B373" t="str">
        <f>IFERROR(VLOOKUP($A373, Ledger!$B$2:$L$8, 3, 0),"")</f>
        <v/>
      </c>
      <c r="C373" t="str">
        <f>IFERROR(VLOOKUP($A373, Ledger!$B$2:$L$8, 4, 0),"")</f>
        <v/>
      </c>
      <c r="D373" t="str">
        <f>IFERROR(VLOOKUP($A373, Ledger!$B$2:$L$8, 5, 0),"")</f>
        <v/>
      </c>
      <c r="E373" t="str">
        <f>IFERROR(VLOOKUP($A373, Ledger!$B$2:$L$8, 6, 0),"")</f>
        <v/>
      </c>
      <c r="F373" t="str">
        <f>IFERROR(VLOOKUP($A373,'Student Data'!$A$2:$AR$6,32,0),"")</f>
        <v/>
      </c>
      <c r="G373" t="str">
        <f>IFERROR(VLOOKUP($A373,'Student Data'!$A$2:$AR$6,33,0),"")</f>
        <v/>
      </c>
      <c r="H373" t="str">
        <f>IFERROR(VLOOKUP($A373,'Student Data'!$A$2:$AR$6,34,0),"")</f>
        <v/>
      </c>
      <c r="I373" t="str">
        <f>IFERROR(VLOOKUP($A373,'Student Data'!$A$2:$AR$6,35,0),"")</f>
        <v/>
      </c>
      <c r="J373" t="str">
        <f>IFERROR(VLOOKUP($A373,'Student Data'!$A$2:$AR$6,36,0),"")</f>
        <v/>
      </c>
      <c r="K373" t="str">
        <f t="shared" si="10"/>
        <v/>
      </c>
      <c r="L373" t="str">
        <f t="shared" si="11"/>
        <v/>
      </c>
      <c r="M373" t="str">
        <f>IFERROR(IF($C373="","",SUMIFS(Ledger!$K$2:$K$4, Ledger!$B$2:$B$4, $A373, Ledger!$C$2:$C$4, M$2)),"****")</f>
        <v/>
      </c>
      <c r="N373" t="str">
        <f>IFERROR(IF($C373="","",SUMIFS(Ledger!$K$2:$K$4, Ledger!$B$2:$B$4, $A373, Ledger!$C$2:$C$4, N$2)),"****")</f>
        <v/>
      </c>
      <c r="O373" t="str">
        <f>IFERROR(IF($C373="","",SUMIFS(Ledger!$K$2:$K$4, Ledger!$B$2:$B$4, $A373, Ledger!$C$2:$C$4, O$2)),"****")</f>
        <v/>
      </c>
      <c r="P373" t="str">
        <f>IFERROR(IF($C373="","",SUMIFS(Ledger!$K$2:$K$4, Ledger!$B$2:$B$4, $A373, Ledger!$C$2:$C$4, P$2)),"****")</f>
        <v/>
      </c>
      <c r="Q373" t="str">
        <f>IFERROR(IF($C373="","",SUMIFS(Ledger!$K$2:$K$4, Ledger!$B$2:$B$4, $A373, Ledger!$C$2:$C$4, Q$2)),"****")</f>
        <v/>
      </c>
      <c r="R373" t="str">
        <f>IFERROR(IF($C373="","",SUMIFS(Ledger!$K$2:$K$4, Ledger!$B$2:$B$4, $A373, Ledger!$C$2:$C$4, R$2)),"****")</f>
        <v/>
      </c>
      <c r="S373" t="str">
        <f>IFERROR(IF($C373="","",SUMIFS(Ledger!$K$2:$K$4, Ledger!$B$2:$B$4, $A373, Ledger!$C$2:$C$4, S$2)),"****")</f>
        <v/>
      </c>
      <c r="T373" t="str">
        <f>IFERROR(IF($C373="","",SUMIFS(Ledger!$K$2:$K$4, Ledger!$B$2:$B$4, $A373, Ledger!$C$2:$C$4, T$2)),"****")</f>
        <v/>
      </c>
      <c r="U373" t="str">
        <f>IFERROR(IF($C373="","",SUMIFS(Ledger!$K$2:$K$4, Ledger!$B$2:$B$4, $A373, Ledger!$C$2:$C$4, U$2)),"****")</f>
        <v/>
      </c>
      <c r="V373" t="str">
        <f>IFERROR(IF($C373="","",SUMIFS(Ledger!$K$2:$K$4, Ledger!$B$2:$B$4, $A373, Ledger!$C$2:$C$4, V$2)),"****")</f>
        <v/>
      </c>
      <c r="W373" t="str">
        <f>IFERROR(IF($C373="","",SUMIFS(Ledger!$K$2:$K$4, Ledger!$B$2:$B$4, $A373, Ledger!$C$2:$C$4, W$2)),"****")</f>
        <v/>
      </c>
      <c r="X373" t="str">
        <f>IFERROR(IF($C373="","",SUMIFS(Ledger!$K$2:$K$4, Ledger!$B$2:$B$4, $A373, Ledger!$C$2:$C$4, X$2)),"****")</f>
        <v/>
      </c>
    </row>
    <row r="374" spans="1:24" x14ac:dyDescent="0.3">
      <c r="A374" s="106">
        <v>372</v>
      </c>
      <c r="B374" t="str">
        <f>IFERROR(VLOOKUP($A374, Ledger!$B$2:$L$8, 3, 0),"")</f>
        <v/>
      </c>
      <c r="C374" t="str">
        <f>IFERROR(VLOOKUP($A374, Ledger!$B$2:$L$8, 4, 0),"")</f>
        <v/>
      </c>
      <c r="D374" t="str">
        <f>IFERROR(VLOOKUP($A374, Ledger!$B$2:$L$8, 5, 0),"")</f>
        <v/>
      </c>
      <c r="E374" t="str">
        <f>IFERROR(VLOOKUP($A374, Ledger!$B$2:$L$8, 6, 0),"")</f>
        <v/>
      </c>
      <c r="F374" t="str">
        <f>IFERROR(VLOOKUP($A374,'Student Data'!$A$2:$AR$6,32,0),"")</f>
        <v/>
      </c>
      <c r="G374" t="str">
        <f>IFERROR(VLOOKUP($A374,'Student Data'!$A$2:$AR$6,33,0),"")</f>
        <v/>
      </c>
      <c r="H374" t="str">
        <f>IFERROR(VLOOKUP($A374,'Student Data'!$A$2:$AR$6,34,0),"")</f>
        <v/>
      </c>
      <c r="I374" t="str">
        <f>IFERROR(VLOOKUP($A374,'Student Data'!$A$2:$AR$6,35,0),"")</f>
        <v/>
      </c>
      <c r="J374" t="str">
        <f>IFERROR(VLOOKUP($A374,'Student Data'!$A$2:$AR$6,36,0),"")</f>
        <v/>
      </c>
      <c r="K374" t="str">
        <f t="shared" si="10"/>
        <v/>
      </c>
      <c r="L374" t="str">
        <f t="shared" si="11"/>
        <v/>
      </c>
      <c r="M374" t="str">
        <f>IFERROR(IF($C374="","",SUMIFS(Ledger!$K$2:$K$4, Ledger!$B$2:$B$4, $A374, Ledger!$C$2:$C$4, M$2)),"****")</f>
        <v/>
      </c>
      <c r="N374" t="str">
        <f>IFERROR(IF($C374="","",SUMIFS(Ledger!$K$2:$K$4, Ledger!$B$2:$B$4, $A374, Ledger!$C$2:$C$4, N$2)),"****")</f>
        <v/>
      </c>
      <c r="O374" t="str">
        <f>IFERROR(IF($C374="","",SUMIFS(Ledger!$K$2:$K$4, Ledger!$B$2:$B$4, $A374, Ledger!$C$2:$C$4, O$2)),"****")</f>
        <v/>
      </c>
      <c r="P374" t="str">
        <f>IFERROR(IF($C374="","",SUMIFS(Ledger!$K$2:$K$4, Ledger!$B$2:$B$4, $A374, Ledger!$C$2:$C$4, P$2)),"****")</f>
        <v/>
      </c>
      <c r="Q374" t="str">
        <f>IFERROR(IF($C374="","",SUMIFS(Ledger!$K$2:$K$4, Ledger!$B$2:$B$4, $A374, Ledger!$C$2:$C$4, Q$2)),"****")</f>
        <v/>
      </c>
      <c r="R374" t="str">
        <f>IFERROR(IF($C374="","",SUMIFS(Ledger!$K$2:$K$4, Ledger!$B$2:$B$4, $A374, Ledger!$C$2:$C$4, R$2)),"****")</f>
        <v/>
      </c>
      <c r="S374" t="str">
        <f>IFERROR(IF($C374="","",SUMIFS(Ledger!$K$2:$K$4, Ledger!$B$2:$B$4, $A374, Ledger!$C$2:$C$4, S$2)),"****")</f>
        <v/>
      </c>
      <c r="T374" t="str">
        <f>IFERROR(IF($C374="","",SUMIFS(Ledger!$K$2:$K$4, Ledger!$B$2:$B$4, $A374, Ledger!$C$2:$C$4, T$2)),"****")</f>
        <v/>
      </c>
      <c r="U374" t="str">
        <f>IFERROR(IF($C374="","",SUMIFS(Ledger!$K$2:$K$4, Ledger!$B$2:$B$4, $A374, Ledger!$C$2:$C$4, U$2)),"****")</f>
        <v/>
      </c>
      <c r="V374" t="str">
        <f>IFERROR(IF($C374="","",SUMIFS(Ledger!$K$2:$K$4, Ledger!$B$2:$B$4, $A374, Ledger!$C$2:$C$4, V$2)),"****")</f>
        <v/>
      </c>
      <c r="W374" t="str">
        <f>IFERROR(IF($C374="","",SUMIFS(Ledger!$K$2:$K$4, Ledger!$B$2:$B$4, $A374, Ledger!$C$2:$C$4, W$2)),"****")</f>
        <v/>
      </c>
      <c r="X374" t="str">
        <f>IFERROR(IF($C374="","",SUMIFS(Ledger!$K$2:$K$4, Ledger!$B$2:$B$4, $A374, Ledger!$C$2:$C$4, X$2)),"****")</f>
        <v/>
      </c>
    </row>
    <row r="375" spans="1:24" x14ac:dyDescent="0.3">
      <c r="A375" s="106">
        <v>373</v>
      </c>
      <c r="B375" t="str">
        <f>IFERROR(VLOOKUP($A375, Ledger!$B$2:$L$8, 3, 0),"")</f>
        <v/>
      </c>
      <c r="C375" t="str">
        <f>IFERROR(VLOOKUP($A375, Ledger!$B$2:$L$8, 4, 0),"")</f>
        <v/>
      </c>
      <c r="D375" t="str">
        <f>IFERROR(VLOOKUP($A375, Ledger!$B$2:$L$8, 5, 0),"")</f>
        <v/>
      </c>
      <c r="E375" t="str">
        <f>IFERROR(VLOOKUP($A375, Ledger!$B$2:$L$8, 6, 0),"")</f>
        <v/>
      </c>
      <c r="F375" t="str">
        <f>IFERROR(VLOOKUP($A375,'Student Data'!$A$2:$AR$6,32,0),"")</f>
        <v/>
      </c>
      <c r="G375" t="str">
        <f>IFERROR(VLOOKUP($A375,'Student Data'!$A$2:$AR$6,33,0),"")</f>
        <v/>
      </c>
      <c r="H375" t="str">
        <f>IFERROR(VLOOKUP($A375,'Student Data'!$A$2:$AR$6,34,0),"")</f>
        <v/>
      </c>
      <c r="I375" t="str">
        <f>IFERROR(VLOOKUP($A375,'Student Data'!$A$2:$AR$6,35,0),"")</f>
        <v/>
      </c>
      <c r="J375" t="str">
        <f>IFERROR(VLOOKUP($A375,'Student Data'!$A$2:$AR$6,36,0),"")</f>
        <v/>
      </c>
      <c r="K375" t="str">
        <f t="shared" si="10"/>
        <v/>
      </c>
      <c r="L375" t="str">
        <f t="shared" si="11"/>
        <v/>
      </c>
      <c r="M375" t="str">
        <f>IFERROR(IF($C375="","",SUMIFS(Ledger!$K$2:$K$4, Ledger!$B$2:$B$4, $A375, Ledger!$C$2:$C$4, M$2)),"****")</f>
        <v/>
      </c>
      <c r="N375" t="str">
        <f>IFERROR(IF($C375="","",SUMIFS(Ledger!$K$2:$K$4, Ledger!$B$2:$B$4, $A375, Ledger!$C$2:$C$4, N$2)),"****")</f>
        <v/>
      </c>
      <c r="O375" t="str">
        <f>IFERROR(IF($C375="","",SUMIFS(Ledger!$K$2:$K$4, Ledger!$B$2:$B$4, $A375, Ledger!$C$2:$C$4, O$2)),"****")</f>
        <v/>
      </c>
      <c r="P375" t="str">
        <f>IFERROR(IF($C375="","",SUMIFS(Ledger!$K$2:$K$4, Ledger!$B$2:$B$4, $A375, Ledger!$C$2:$C$4, P$2)),"****")</f>
        <v/>
      </c>
      <c r="Q375" t="str">
        <f>IFERROR(IF($C375="","",SUMIFS(Ledger!$K$2:$K$4, Ledger!$B$2:$B$4, $A375, Ledger!$C$2:$C$4, Q$2)),"****")</f>
        <v/>
      </c>
      <c r="R375" t="str">
        <f>IFERROR(IF($C375="","",SUMIFS(Ledger!$K$2:$K$4, Ledger!$B$2:$B$4, $A375, Ledger!$C$2:$C$4, R$2)),"****")</f>
        <v/>
      </c>
      <c r="S375" t="str">
        <f>IFERROR(IF($C375="","",SUMIFS(Ledger!$K$2:$K$4, Ledger!$B$2:$B$4, $A375, Ledger!$C$2:$C$4, S$2)),"****")</f>
        <v/>
      </c>
      <c r="T375" t="str">
        <f>IFERROR(IF($C375="","",SUMIFS(Ledger!$K$2:$K$4, Ledger!$B$2:$B$4, $A375, Ledger!$C$2:$C$4, T$2)),"****")</f>
        <v/>
      </c>
      <c r="U375" t="str">
        <f>IFERROR(IF($C375="","",SUMIFS(Ledger!$K$2:$K$4, Ledger!$B$2:$B$4, $A375, Ledger!$C$2:$C$4, U$2)),"****")</f>
        <v/>
      </c>
      <c r="V375" t="str">
        <f>IFERROR(IF($C375="","",SUMIFS(Ledger!$K$2:$K$4, Ledger!$B$2:$B$4, $A375, Ledger!$C$2:$C$4, V$2)),"****")</f>
        <v/>
      </c>
      <c r="W375" t="str">
        <f>IFERROR(IF($C375="","",SUMIFS(Ledger!$K$2:$K$4, Ledger!$B$2:$B$4, $A375, Ledger!$C$2:$C$4, W$2)),"****")</f>
        <v/>
      </c>
      <c r="X375" t="str">
        <f>IFERROR(IF($C375="","",SUMIFS(Ledger!$K$2:$K$4, Ledger!$B$2:$B$4, $A375, Ledger!$C$2:$C$4, X$2)),"****")</f>
        <v/>
      </c>
    </row>
    <row r="376" spans="1:24" x14ac:dyDescent="0.3">
      <c r="A376" s="106">
        <v>374</v>
      </c>
      <c r="B376" t="str">
        <f>IFERROR(VLOOKUP($A376, Ledger!$B$2:$L$8, 3, 0),"")</f>
        <v/>
      </c>
      <c r="C376" t="str">
        <f>IFERROR(VLOOKUP($A376, Ledger!$B$2:$L$8, 4, 0),"")</f>
        <v/>
      </c>
      <c r="D376" t="str">
        <f>IFERROR(VLOOKUP($A376, Ledger!$B$2:$L$8, 5, 0),"")</f>
        <v/>
      </c>
      <c r="E376" t="str">
        <f>IFERROR(VLOOKUP($A376, Ledger!$B$2:$L$8, 6, 0),"")</f>
        <v/>
      </c>
      <c r="F376" t="str">
        <f>IFERROR(VLOOKUP($A376,'Student Data'!$A$2:$AR$6,32,0),"")</f>
        <v/>
      </c>
      <c r="G376" t="str">
        <f>IFERROR(VLOOKUP($A376,'Student Data'!$A$2:$AR$6,33,0),"")</f>
        <v/>
      </c>
      <c r="H376" t="str">
        <f>IFERROR(VLOOKUP($A376,'Student Data'!$A$2:$AR$6,34,0),"")</f>
        <v/>
      </c>
      <c r="I376" t="str">
        <f>IFERROR(VLOOKUP($A376,'Student Data'!$A$2:$AR$6,35,0),"")</f>
        <v/>
      </c>
      <c r="J376" t="str">
        <f>IFERROR(VLOOKUP($A376,'Student Data'!$A$2:$AR$6,36,0),"")</f>
        <v/>
      </c>
      <c r="K376" t="str">
        <f t="shared" si="10"/>
        <v/>
      </c>
      <c r="L376" t="str">
        <f t="shared" si="11"/>
        <v/>
      </c>
      <c r="M376" t="str">
        <f>IFERROR(IF($C376="","",SUMIFS(Ledger!$K$2:$K$4, Ledger!$B$2:$B$4, $A376, Ledger!$C$2:$C$4, M$2)),"****")</f>
        <v/>
      </c>
      <c r="N376" t="str">
        <f>IFERROR(IF($C376="","",SUMIFS(Ledger!$K$2:$K$4, Ledger!$B$2:$B$4, $A376, Ledger!$C$2:$C$4, N$2)),"****")</f>
        <v/>
      </c>
      <c r="O376" t="str">
        <f>IFERROR(IF($C376="","",SUMIFS(Ledger!$K$2:$K$4, Ledger!$B$2:$B$4, $A376, Ledger!$C$2:$C$4, O$2)),"****")</f>
        <v/>
      </c>
      <c r="P376" t="str">
        <f>IFERROR(IF($C376="","",SUMIFS(Ledger!$K$2:$K$4, Ledger!$B$2:$B$4, $A376, Ledger!$C$2:$C$4, P$2)),"****")</f>
        <v/>
      </c>
      <c r="Q376" t="str">
        <f>IFERROR(IF($C376="","",SUMIFS(Ledger!$K$2:$K$4, Ledger!$B$2:$B$4, $A376, Ledger!$C$2:$C$4, Q$2)),"****")</f>
        <v/>
      </c>
      <c r="R376" t="str">
        <f>IFERROR(IF($C376="","",SUMIFS(Ledger!$K$2:$K$4, Ledger!$B$2:$B$4, $A376, Ledger!$C$2:$C$4, R$2)),"****")</f>
        <v/>
      </c>
      <c r="S376" t="str">
        <f>IFERROR(IF($C376="","",SUMIFS(Ledger!$K$2:$K$4, Ledger!$B$2:$B$4, $A376, Ledger!$C$2:$C$4, S$2)),"****")</f>
        <v/>
      </c>
      <c r="T376" t="str">
        <f>IFERROR(IF($C376="","",SUMIFS(Ledger!$K$2:$K$4, Ledger!$B$2:$B$4, $A376, Ledger!$C$2:$C$4, T$2)),"****")</f>
        <v/>
      </c>
      <c r="U376" t="str">
        <f>IFERROR(IF($C376="","",SUMIFS(Ledger!$K$2:$K$4, Ledger!$B$2:$B$4, $A376, Ledger!$C$2:$C$4, U$2)),"****")</f>
        <v/>
      </c>
      <c r="V376" t="str">
        <f>IFERROR(IF($C376="","",SUMIFS(Ledger!$K$2:$K$4, Ledger!$B$2:$B$4, $A376, Ledger!$C$2:$C$4, V$2)),"****")</f>
        <v/>
      </c>
      <c r="W376" t="str">
        <f>IFERROR(IF($C376="","",SUMIFS(Ledger!$K$2:$K$4, Ledger!$B$2:$B$4, $A376, Ledger!$C$2:$C$4, W$2)),"****")</f>
        <v/>
      </c>
      <c r="X376" t="str">
        <f>IFERROR(IF($C376="","",SUMIFS(Ledger!$K$2:$K$4, Ledger!$B$2:$B$4, $A376, Ledger!$C$2:$C$4, X$2)),"****")</f>
        <v/>
      </c>
    </row>
    <row r="377" spans="1:24" x14ac:dyDescent="0.3">
      <c r="A377" s="106">
        <v>375</v>
      </c>
      <c r="B377" t="str">
        <f>IFERROR(VLOOKUP($A377, Ledger!$B$2:$L$8, 3, 0),"")</f>
        <v/>
      </c>
      <c r="C377" t="str">
        <f>IFERROR(VLOOKUP($A377, Ledger!$B$2:$L$8, 4, 0),"")</f>
        <v/>
      </c>
      <c r="D377" t="str">
        <f>IFERROR(VLOOKUP($A377, Ledger!$B$2:$L$8, 5, 0),"")</f>
        <v/>
      </c>
      <c r="E377" t="str">
        <f>IFERROR(VLOOKUP($A377, Ledger!$B$2:$L$8, 6, 0),"")</f>
        <v/>
      </c>
      <c r="F377" t="str">
        <f>IFERROR(VLOOKUP($A377,'Student Data'!$A$2:$AR$6,32,0),"")</f>
        <v/>
      </c>
      <c r="G377" t="str">
        <f>IFERROR(VLOOKUP($A377,'Student Data'!$A$2:$AR$6,33,0),"")</f>
        <v/>
      </c>
      <c r="H377" t="str">
        <f>IFERROR(VLOOKUP($A377,'Student Data'!$A$2:$AR$6,34,0),"")</f>
        <v/>
      </c>
      <c r="I377" t="str">
        <f>IFERROR(VLOOKUP($A377,'Student Data'!$A$2:$AR$6,35,0),"")</f>
        <v/>
      </c>
      <c r="J377" t="str">
        <f>IFERROR(VLOOKUP($A377,'Student Data'!$A$2:$AR$6,36,0),"")</f>
        <v/>
      </c>
      <c r="K377" t="str">
        <f t="shared" si="10"/>
        <v/>
      </c>
      <c r="L377" t="str">
        <f t="shared" si="11"/>
        <v/>
      </c>
      <c r="M377" t="str">
        <f>IFERROR(IF($C377="","",SUMIFS(Ledger!$K$2:$K$4, Ledger!$B$2:$B$4, $A377, Ledger!$C$2:$C$4, M$2)),"****")</f>
        <v/>
      </c>
      <c r="N377" t="str">
        <f>IFERROR(IF($C377="","",SUMIFS(Ledger!$K$2:$K$4, Ledger!$B$2:$B$4, $A377, Ledger!$C$2:$C$4, N$2)),"****")</f>
        <v/>
      </c>
      <c r="O377" t="str">
        <f>IFERROR(IF($C377="","",SUMIFS(Ledger!$K$2:$K$4, Ledger!$B$2:$B$4, $A377, Ledger!$C$2:$C$4, O$2)),"****")</f>
        <v/>
      </c>
      <c r="P377" t="str">
        <f>IFERROR(IF($C377="","",SUMIFS(Ledger!$K$2:$K$4, Ledger!$B$2:$B$4, $A377, Ledger!$C$2:$C$4, P$2)),"****")</f>
        <v/>
      </c>
      <c r="Q377" t="str">
        <f>IFERROR(IF($C377="","",SUMIFS(Ledger!$K$2:$K$4, Ledger!$B$2:$B$4, $A377, Ledger!$C$2:$C$4, Q$2)),"****")</f>
        <v/>
      </c>
      <c r="R377" t="str">
        <f>IFERROR(IF($C377="","",SUMIFS(Ledger!$K$2:$K$4, Ledger!$B$2:$B$4, $A377, Ledger!$C$2:$C$4, R$2)),"****")</f>
        <v/>
      </c>
      <c r="S377" t="str">
        <f>IFERROR(IF($C377="","",SUMIFS(Ledger!$K$2:$K$4, Ledger!$B$2:$B$4, $A377, Ledger!$C$2:$C$4, S$2)),"****")</f>
        <v/>
      </c>
      <c r="T377" t="str">
        <f>IFERROR(IF($C377="","",SUMIFS(Ledger!$K$2:$K$4, Ledger!$B$2:$B$4, $A377, Ledger!$C$2:$C$4, T$2)),"****")</f>
        <v/>
      </c>
      <c r="U377" t="str">
        <f>IFERROR(IF($C377="","",SUMIFS(Ledger!$K$2:$K$4, Ledger!$B$2:$B$4, $A377, Ledger!$C$2:$C$4, U$2)),"****")</f>
        <v/>
      </c>
      <c r="V377" t="str">
        <f>IFERROR(IF($C377="","",SUMIFS(Ledger!$K$2:$K$4, Ledger!$B$2:$B$4, $A377, Ledger!$C$2:$C$4, V$2)),"****")</f>
        <v/>
      </c>
      <c r="W377" t="str">
        <f>IFERROR(IF($C377="","",SUMIFS(Ledger!$K$2:$K$4, Ledger!$B$2:$B$4, $A377, Ledger!$C$2:$C$4, W$2)),"****")</f>
        <v/>
      </c>
      <c r="X377" t="str">
        <f>IFERROR(IF($C377="","",SUMIFS(Ledger!$K$2:$K$4, Ledger!$B$2:$B$4, $A377, Ledger!$C$2:$C$4, X$2)),"****")</f>
        <v/>
      </c>
    </row>
    <row r="378" spans="1:24" x14ac:dyDescent="0.3">
      <c r="A378" s="106">
        <v>376</v>
      </c>
      <c r="B378" t="str">
        <f>IFERROR(VLOOKUP($A378, Ledger!$B$2:$L$8, 3, 0),"")</f>
        <v/>
      </c>
      <c r="C378" t="str">
        <f>IFERROR(VLOOKUP($A378, Ledger!$B$2:$L$8, 4, 0),"")</f>
        <v/>
      </c>
      <c r="D378" t="str">
        <f>IFERROR(VLOOKUP($A378, Ledger!$B$2:$L$8, 5, 0),"")</f>
        <v/>
      </c>
      <c r="E378" t="str">
        <f>IFERROR(VLOOKUP($A378, Ledger!$B$2:$L$8, 6, 0),"")</f>
        <v/>
      </c>
      <c r="F378" t="str">
        <f>IFERROR(VLOOKUP($A378,'Student Data'!$A$2:$AR$6,32,0),"")</f>
        <v/>
      </c>
      <c r="G378" t="str">
        <f>IFERROR(VLOOKUP($A378,'Student Data'!$A$2:$AR$6,33,0),"")</f>
        <v/>
      </c>
      <c r="H378" t="str">
        <f>IFERROR(VLOOKUP($A378,'Student Data'!$A$2:$AR$6,34,0),"")</f>
        <v/>
      </c>
      <c r="I378" t="str">
        <f>IFERROR(VLOOKUP($A378,'Student Data'!$A$2:$AR$6,35,0),"")</f>
        <v/>
      </c>
      <c r="J378" t="str">
        <f>IFERROR(VLOOKUP($A378,'Student Data'!$A$2:$AR$6,36,0),"")</f>
        <v/>
      </c>
      <c r="K378" t="str">
        <f t="shared" si="10"/>
        <v/>
      </c>
      <c r="L378" t="str">
        <f t="shared" si="11"/>
        <v/>
      </c>
      <c r="M378" t="str">
        <f>IFERROR(IF($C378="","",SUMIFS(Ledger!$K$2:$K$4, Ledger!$B$2:$B$4, $A378, Ledger!$C$2:$C$4, M$2)),"****")</f>
        <v/>
      </c>
      <c r="N378" t="str">
        <f>IFERROR(IF($C378="","",SUMIFS(Ledger!$K$2:$K$4, Ledger!$B$2:$B$4, $A378, Ledger!$C$2:$C$4, N$2)),"****")</f>
        <v/>
      </c>
      <c r="O378" t="str">
        <f>IFERROR(IF($C378="","",SUMIFS(Ledger!$K$2:$K$4, Ledger!$B$2:$B$4, $A378, Ledger!$C$2:$C$4, O$2)),"****")</f>
        <v/>
      </c>
      <c r="P378" t="str">
        <f>IFERROR(IF($C378="","",SUMIFS(Ledger!$K$2:$K$4, Ledger!$B$2:$B$4, $A378, Ledger!$C$2:$C$4, P$2)),"****")</f>
        <v/>
      </c>
      <c r="Q378" t="str">
        <f>IFERROR(IF($C378="","",SUMIFS(Ledger!$K$2:$K$4, Ledger!$B$2:$B$4, $A378, Ledger!$C$2:$C$4, Q$2)),"****")</f>
        <v/>
      </c>
      <c r="R378" t="str">
        <f>IFERROR(IF($C378="","",SUMIFS(Ledger!$K$2:$K$4, Ledger!$B$2:$B$4, $A378, Ledger!$C$2:$C$4, R$2)),"****")</f>
        <v/>
      </c>
      <c r="S378" t="str">
        <f>IFERROR(IF($C378="","",SUMIFS(Ledger!$K$2:$K$4, Ledger!$B$2:$B$4, $A378, Ledger!$C$2:$C$4, S$2)),"****")</f>
        <v/>
      </c>
      <c r="T378" t="str">
        <f>IFERROR(IF($C378="","",SUMIFS(Ledger!$K$2:$K$4, Ledger!$B$2:$B$4, $A378, Ledger!$C$2:$C$4, T$2)),"****")</f>
        <v/>
      </c>
      <c r="U378" t="str">
        <f>IFERROR(IF($C378="","",SUMIFS(Ledger!$K$2:$K$4, Ledger!$B$2:$B$4, $A378, Ledger!$C$2:$C$4, U$2)),"****")</f>
        <v/>
      </c>
      <c r="V378" t="str">
        <f>IFERROR(IF($C378="","",SUMIFS(Ledger!$K$2:$K$4, Ledger!$B$2:$B$4, $A378, Ledger!$C$2:$C$4, V$2)),"****")</f>
        <v/>
      </c>
      <c r="W378" t="str">
        <f>IFERROR(IF($C378="","",SUMIFS(Ledger!$K$2:$K$4, Ledger!$B$2:$B$4, $A378, Ledger!$C$2:$C$4, W$2)),"****")</f>
        <v/>
      </c>
      <c r="X378" t="str">
        <f>IFERROR(IF($C378="","",SUMIFS(Ledger!$K$2:$K$4, Ledger!$B$2:$B$4, $A378, Ledger!$C$2:$C$4, X$2)),"****")</f>
        <v/>
      </c>
    </row>
    <row r="379" spans="1:24" x14ac:dyDescent="0.3">
      <c r="A379" s="106">
        <v>377</v>
      </c>
      <c r="B379" t="str">
        <f>IFERROR(VLOOKUP($A379, Ledger!$B$2:$L$8, 3, 0),"")</f>
        <v/>
      </c>
      <c r="C379" t="str">
        <f>IFERROR(VLOOKUP($A379, Ledger!$B$2:$L$8, 4, 0),"")</f>
        <v/>
      </c>
      <c r="D379" t="str">
        <f>IFERROR(VLOOKUP($A379, Ledger!$B$2:$L$8, 5, 0),"")</f>
        <v/>
      </c>
      <c r="E379" t="str">
        <f>IFERROR(VLOOKUP($A379, Ledger!$B$2:$L$8, 6, 0),"")</f>
        <v/>
      </c>
      <c r="F379" t="str">
        <f>IFERROR(VLOOKUP($A379,'Student Data'!$A$2:$AR$6,32,0),"")</f>
        <v/>
      </c>
      <c r="G379" t="str">
        <f>IFERROR(VLOOKUP($A379,'Student Data'!$A$2:$AR$6,33,0),"")</f>
        <v/>
      </c>
      <c r="H379" t="str">
        <f>IFERROR(VLOOKUP($A379,'Student Data'!$A$2:$AR$6,34,0),"")</f>
        <v/>
      </c>
      <c r="I379" t="str">
        <f>IFERROR(VLOOKUP($A379,'Student Data'!$A$2:$AR$6,35,0),"")</f>
        <v/>
      </c>
      <c r="J379" t="str">
        <f>IFERROR(VLOOKUP($A379,'Student Data'!$A$2:$AR$6,36,0),"")</f>
        <v/>
      </c>
      <c r="K379" t="str">
        <f t="shared" si="10"/>
        <v/>
      </c>
      <c r="L379" t="str">
        <f t="shared" si="11"/>
        <v/>
      </c>
      <c r="M379" t="str">
        <f>IFERROR(IF($C379="","",SUMIFS(Ledger!$K$2:$K$4, Ledger!$B$2:$B$4, $A379, Ledger!$C$2:$C$4, M$2)),"****")</f>
        <v/>
      </c>
      <c r="N379" t="str">
        <f>IFERROR(IF($C379="","",SUMIFS(Ledger!$K$2:$K$4, Ledger!$B$2:$B$4, $A379, Ledger!$C$2:$C$4, N$2)),"****")</f>
        <v/>
      </c>
      <c r="O379" t="str">
        <f>IFERROR(IF($C379="","",SUMIFS(Ledger!$K$2:$K$4, Ledger!$B$2:$B$4, $A379, Ledger!$C$2:$C$4, O$2)),"****")</f>
        <v/>
      </c>
      <c r="P379" t="str">
        <f>IFERROR(IF($C379="","",SUMIFS(Ledger!$K$2:$K$4, Ledger!$B$2:$B$4, $A379, Ledger!$C$2:$C$4, P$2)),"****")</f>
        <v/>
      </c>
      <c r="Q379" t="str">
        <f>IFERROR(IF($C379="","",SUMIFS(Ledger!$K$2:$K$4, Ledger!$B$2:$B$4, $A379, Ledger!$C$2:$C$4, Q$2)),"****")</f>
        <v/>
      </c>
      <c r="R379" t="str">
        <f>IFERROR(IF($C379="","",SUMIFS(Ledger!$K$2:$K$4, Ledger!$B$2:$B$4, $A379, Ledger!$C$2:$C$4, R$2)),"****")</f>
        <v/>
      </c>
      <c r="S379" t="str">
        <f>IFERROR(IF($C379="","",SUMIFS(Ledger!$K$2:$K$4, Ledger!$B$2:$B$4, $A379, Ledger!$C$2:$C$4, S$2)),"****")</f>
        <v/>
      </c>
      <c r="T379" t="str">
        <f>IFERROR(IF($C379="","",SUMIFS(Ledger!$K$2:$K$4, Ledger!$B$2:$B$4, $A379, Ledger!$C$2:$C$4, T$2)),"****")</f>
        <v/>
      </c>
      <c r="U379" t="str">
        <f>IFERROR(IF($C379="","",SUMIFS(Ledger!$K$2:$K$4, Ledger!$B$2:$B$4, $A379, Ledger!$C$2:$C$4, U$2)),"****")</f>
        <v/>
      </c>
      <c r="V379" t="str">
        <f>IFERROR(IF($C379="","",SUMIFS(Ledger!$K$2:$K$4, Ledger!$B$2:$B$4, $A379, Ledger!$C$2:$C$4, V$2)),"****")</f>
        <v/>
      </c>
      <c r="W379" t="str">
        <f>IFERROR(IF($C379="","",SUMIFS(Ledger!$K$2:$K$4, Ledger!$B$2:$B$4, $A379, Ledger!$C$2:$C$4, W$2)),"****")</f>
        <v/>
      </c>
      <c r="X379" t="str">
        <f>IFERROR(IF($C379="","",SUMIFS(Ledger!$K$2:$K$4, Ledger!$B$2:$B$4, $A379, Ledger!$C$2:$C$4, X$2)),"****")</f>
        <v/>
      </c>
    </row>
    <row r="380" spans="1:24" x14ac:dyDescent="0.3">
      <c r="A380" s="106">
        <v>378</v>
      </c>
      <c r="B380" t="str">
        <f>IFERROR(VLOOKUP($A380, Ledger!$B$2:$L$8, 3, 0),"")</f>
        <v/>
      </c>
      <c r="C380" t="str">
        <f>IFERROR(VLOOKUP($A380, Ledger!$B$2:$L$8, 4, 0),"")</f>
        <v/>
      </c>
      <c r="D380" t="str">
        <f>IFERROR(VLOOKUP($A380, Ledger!$B$2:$L$8, 5, 0),"")</f>
        <v/>
      </c>
      <c r="E380" t="str">
        <f>IFERROR(VLOOKUP($A380, Ledger!$B$2:$L$8, 6, 0),"")</f>
        <v/>
      </c>
      <c r="F380" t="str">
        <f>IFERROR(VLOOKUP($A380,'Student Data'!$A$2:$AR$6,32,0),"")</f>
        <v/>
      </c>
      <c r="G380" t="str">
        <f>IFERROR(VLOOKUP($A380,'Student Data'!$A$2:$AR$6,33,0),"")</f>
        <v/>
      </c>
      <c r="H380" t="str">
        <f>IFERROR(VLOOKUP($A380,'Student Data'!$A$2:$AR$6,34,0),"")</f>
        <v/>
      </c>
      <c r="I380" t="str">
        <f>IFERROR(VLOOKUP($A380,'Student Data'!$A$2:$AR$6,35,0),"")</f>
        <v/>
      </c>
      <c r="J380" t="str">
        <f>IFERROR(VLOOKUP($A380,'Student Data'!$A$2:$AR$6,36,0),"")</f>
        <v/>
      </c>
      <c r="K380" t="str">
        <f t="shared" si="10"/>
        <v/>
      </c>
      <c r="L380" t="str">
        <f t="shared" si="11"/>
        <v/>
      </c>
      <c r="M380" t="str">
        <f>IFERROR(IF($C380="","",SUMIFS(Ledger!$K$2:$K$4, Ledger!$B$2:$B$4, $A380, Ledger!$C$2:$C$4, M$2)),"****")</f>
        <v/>
      </c>
      <c r="N380" t="str">
        <f>IFERROR(IF($C380="","",SUMIFS(Ledger!$K$2:$K$4, Ledger!$B$2:$B$4, $A380, Ledger!$C$2:$C$4, N$2)),"****")</f>
        <v/>
      </c>
      <c r="O380" t="str">
        <f>IFERROR(IF($C380="","",SUMIFS(Ledger!$K$2:$K$4, Ledger!$B$2:$B$4, $A380, Ledger!$C$2:$C$4, O$2)),"****")</f>
        <v/>
      </c>
      <c r="P380" t="str">
        <f>IFERROR(IF($C380="","",SUMIFS(Ledger!$K$2:$K$4, Ledger!$B$2:$B$4, $A380, Ledger!$C$2:$C$4, P$2)),"****")</f>
        <v/>
      </c>
      <c r="Q380" t="str">
        <f>IFERROR(IF($C380="","",SUMIFS(Ledger!$K$2:$K$4, Ledger!$B$2:$B$4, $A380, Ledger!$C$2:$C$4, Q$2)),"****")</f>
        <v/>
      </c>
      <c r="R380" t="str">
        <f>IFERROR(IF($C380="","",SUMIFS(Ledger!$K$2:$K$4, Ledger!$B$2:$B$4, $A380, Ledger!$C$2:$C$4, R$2)),"****")</f>
        <v/>
      </c>
      <c r="S380" t="str">
        <f>IFERROR(IF($C380="","",SUMIFS(Ledger!$K$2:$K$4, Ledger!$B$2:$B$4, $A380, Ledger!$C$2:$C$4, S$2)),"****")</f>
        <v/>
      </c>
      <c r="T380" t="str">
        <f>IFERROR(IF($C380="","",SUMIFS(Ledger!$K$2:$K$4, Ledger!$B$2:$B$4, $A380, Ledger!$C$2:$C$4, T$2)),"****")</f>
        <v/>
      </c>
      <c r="U380" t="str">
        <f>IFERROR(IF($C380="","",SUMIFS(Ledger!$K$2:$K$4, Ledger!$B$2:$B$4, $A380, Ledger!$C$2:$C$4, U$2)),"****")</f>
        <v/>
      </c>
      <c r="V380" t="str">
        <f>IFERROR(IF($C380="","",SUMIFS(Ledger!$K$2:$K$4, Ledger!$B$2:$B$4, $A380, Ledger!$C$2:$C$4, V$2)),"****")</f>
        <v/>
      </c>
      <c r="W380" t="str">
        <f>IFERROR(IF($C380="","",SUMIFS(Ledger!$K$2:$K$4, Ledger!$B$2:$B$4, $A380, Ledger!$C$2:$C$4, W$2)),"****")</f>
        <v/>
      </c>
      <c r="X380" t="str">
        <f>IFERROR(IF($C380="","",SUMIFS(Ledger!$K$2:$K$4, Ledger!$B$2:$B$4, $A380, Ledger!$C$2:$C$4, X$2)),"****")</f>
        <v/>
      </c>
    </row>
    <row r="381" spans="1:24" x14ac:dyDescent="0.3">
      <c r="A381" s="106">
        <v>379</v>
      </c>
      <c r="B381" t="str">
        <f>IFERROR(VLOOKUP($A381, Ledger!$B$2:$L$8, 3, 0),"")</f>
        <v/>
      </c>
      <c r="C381" t="str">
        <f>IFERROR(VLOOKUP($A381, Ledger!$B$2:$L$8, 4, 0),"")</f>
        <v/>
      </c>
      <c r="D381" t="str">
        <f>IFERROR(VLOOKUP($A381, Ledger!$B$2:$L$8, 5, 0),"")</f>
        <v/>
      </c>
      <c r="E381" t="str">
        <f>IFERROR(VLOOKUP($A381, Ledger!$B$2:$L$8, 6, 0),"")</f>
        <v/>
      </c>
      <c r="F381" t="str">
        <f>IFERROR(VLOOKUP($A381,'Student Data'!$A$2:$AR$6,32,0),"")</f>
        <v/>
      </c>
      <c r="G381" t="str">
        <f>IFERROR(VLOOKUP($A381,'Student Data'!$A$2:$AR$6,33,0),"")</f>
        <v/>
      </c>
      <c r="H381" t="str">
        <f>IFERROR(VLOOKUP($A381,'Student Data'!$A$2:$AR$6,34,0),"")</f>
        <v/>
      </c>
      <c r="I381" t="str">
        <f>IFERROR(VLOOKUP($A381,'Student Data'!$A$2:$AR$6,35,0),"")</f>
        <v/>
      </c>
      <c r="J381" t="str">
        <f>IFERROR(VLOOKUP($A381,'Student Data'!$A$2:$AR$6,36,0),"")</f>
        <v/>
      </c>
      <c r="K381" t="str">
        <f t="shared" si="10"/>
        <v/>
      </c>
      <c r="L381" t="str">
        <f t="shared" si="11"/>
        <v/>
      </c>
      <c r="M381" t="str">
        <f>IFERROR(IF($C381="","",SUMIFS(Ledger!$K$2:$K$4, Ledger!$B$2:$B$4, $A381, Ledger!$C$2:$C$4, M$2)),"****")</f>
        <v/>
      </c>
      <c r="N381" t="str">
        <f>IFERROR(IF($C381="","",SUMIFS(Ledger!$K$2:$K$4, Ledger!$B$2:$B$4, $A381, Ledger!$C$2:$C$4, N$2)),"****")</f>
        <v/>
      </c>
      <c r="O381" t="str">
        <f>IFERROR(IF($C381="","",SUMIFS(Ledger!$K$2:$K$4, Ledger!$B$2:$B$4, $A381, Ledger!$C$2:$C$4, O$2)),"****")</f>
        <v/>
      </c>
      <c r="P381" t="str">
        <f>IFERROR(IF($C381="","",SUMIFS(Ledger!$K$2:$K$4, Ledger!$B$2:$B$4, $A381, Ledger!$C$2:$C$4, P$2)),"****")</f>
        <v/>
      </c>
      <c r="Q381" t="str">
        <f>IFERROR(IF($C381="","",SUMIFS(Ledger!$K$2:$K$4, Ledger!$B$2:$B$4, $A381, Ledger!$C$2:$C$4, Q$2)),"****")</f>
        <v/>
      </c>
      <c r="R381" t="str">
        <f>IFERROR(IF($C381="","",SUMIFS(Ledger!$K$2:$K$4, Ledger!$B$2:$B$4, $A381, Ledger!$C$2:$C$4, R$2)),"****")</f>
        <v/>
      </c>
      <c r="S381" t="str">
        <f>IFERROR(IF($C381="","",SUMIFS(Ledger!$K$2:$K$4, Ledger!$B$2:$B$4, $A381, Ledger!$C$2:$C$4, S$2)),"****")</f>
        <v/>
      </c>
      <c r="T381" t="str">
        <f>IFERROR(IF($C381="","",SUMIFS(Ledger!$K$2:$K$4, Ledger!$B$2:$B$4, $A381, Ledger!$C$2:$C$4, T$2)),"****")</f>
        <v/>
      </c>
      <c r="U381" t="str">
        <f>IFERROR(IF($C381="","",SUMIFS(Ledger!$K$2:$K$4, Ledger!$B$2:$B$4, $A381, Ledger!$C$2:$C$4, U$2)),"****")</f>
        <v/>
      </c>
      <c r="V381" t="str">
        <f>IFERROR(IF($C381="","",SUMIFS(Ledger!$K$2:$K$4, Ledger!$B$2:$B$4, $A381, Ledger!$C$2:$C$4, V$2)),"****")</f>
        <v/>
      </c>
      <c r="W381" t="str">
        <f>IFERROR(IF($C381="","",SUMIFS(Ledger!$K$2:$K$4, Ledger!$B$2:$B$4, $A381, Ledger!$C$2:$C$4, W$2)),"****")</f>
        <v/>
      </c>
      <c r="X381" t="str">
        <f>IFERROR(IF($C381="","",SUMIFS(Ledger!$K$2:$K$4, Ledger!$B$2:$B$4, $A381, Ledger!$C$2:$C$4, X$2)),"****")</f>
        <v/>
      </c>
    </row>
    <row r="382" spans="1:24" x14ac:dyDescent="0.3">
      <c r="A382" s="106">
        <v>380</v>
      </c>
      <c r="B382" t="str">
        <f>IFERROR(VLOOKUP($A382, Ledger!$B$2:$L$8, 3, 0),"")</f>
        <v/>
      </c>
      <c r="C382" t="str">
        <f>IFERROR(VLOOKUP($A382, Ledger!$B$2:$L$8, 4, 0),"")</f>
        <v/>
      </c>
      <c r="D382" t="str">
        <f>IFERROR(VLOOKUP($A382, Ledger!$B$2:$L$8, 5, 0),"")</f>
        <v/>
      </c>
      <c r="E382" t="str">
        <f>IFERROR(VLOOKUP($A382, Ledger!$B$2:$L$8, 6, 0),"")</f>
        <v/>
      </c>
      <c r="F382" t="str">
        <f>IFERROR(VLOOKUP($A382,'Student Data'!$A$2:$AR$6,32,0),"")</f>
        <v/>
      </c>
      <c r="G382" t="str">
        <f>IFERROR(VLOOKUP($A382,'Student Data'!$A$2:$AR$6,33,0),"")</f>
        <v/>
      </c>
      <c r="H382" t="str">
        <f>IFERROR(VLOOKUP($A382,'Student Data'!$A$2:$AR$6,34,0),"")</f>
        <v/>
      </c>
      <c r="I382" t="str">
        <f>IFERROR(VLOOKUP($A382,'Student Data'!$A$2:$AR$6,35,0),"")</f>
        <v/>
      </c>
      <c r="J382" t="str">
        <f>IFERROR(VLOOKUP($A382,'Student Data'!$A$2:$AR$6,36,0),"")</f>
        <v/>
      </c>
      <c r="K382" t="str">
        <f t="shared" si="10"/>
        <v/>
      </c>
      <c r="L382" t="str">
        <f t="shared" si="11"/>
        <v/>
      </c>
      <c r="M382" t="str">
        <f>IFERROR(IF($C382="","",SUMIFS(Ledger!$K$2:$K$4, Ledger!$B$2:$B$4, $A382, Ledger!$C$2:$C$4, M$2)),"****")</f>
        <v/>
      </c>
      <c r="N382" t="str">
        <f>IFERROR(IF($C382="","",SUMIFS(Ledger!$K$2:$K$4, Ledger!$B$2:$B$4, $A382, Ledger!$C$2:$C$4, N$2)),"****")</f>
        <v/>
      </c>
      <c r="O382" t="str">
        <f>IFERROR(IF($C382="","",SUMIFS(Ledger!$K$2:$K$4, Ledger!$B$2:$B$4, $A382, Ledger!$C$2:$C$4, O$2)),"****")</f>
        <v/>
      </c>
      <c r="P382" t="str">
        <f>IFERROR(IF($C382="","",SUMIFS(Ledger!$K$2:$K$4, Ledger!$B$2:$B$4, $A382, Ledger!$C$2:$C$4, P$2)),"****")</f>
        <v/>
      </c>
      <c r="Q382" t="str">
        <f>IFERROR(IF($C382="","",SUMIFS(Ledger!$K$2:$K$4, Ledger!$B$2:$B$4, $A382, Ledger!$C$2:$C$4, Q$2)),"****")</f>
        <v/>
      </c>
      <c r="R382" t="str">
        <f>IFERROR(IF($C382="","",SUMIFS(Ledger!$K$2:$K$4, Ledger!$B$2:$B$4, $A382, Ledger!$C$2:$C$4, R$2)),"****")</f>
        <v/>
      </c>
      <c r="S382" t="str">
        <f>IFERROR(IF($C382="","",SUMIFS(Ledger!$K$2:$K$4, Ledger!$B$2:$B$4, $A382, Ledger!$C$2:$C$4, S$2)),"****")</f>
        <v/>
      </c>
      <c r="T382" t="str">
        <f>IFERROR(IF($C382="","",SUMIFS(Ledger!$K$2:$K$4, Ledger!$B$2:$B$4, $A382, Ledger!$C$2:$C$4, T$2)),"****")</f>
        <v/>
      </c>
      <c r="U382" t="str">
        <f>IFERROR(IF($C382="","",SUMIFS(Ledger!$K$2:$K$4, Ledger!$B$2:$B$4, $A382, Ledger!$C$2:$C$4, U$2)),"****")</f>
        <v/>
      </c>
      <c r="V382" t="str">
        <f>IFERROR(IF($C382="","",SUMIFS(Ledger!$K$2:$K$4, Ledger!$B$2:$B$4, $A382, Ledger!$C$2:$C$4, V$2)),"****")</f>
        <v/>
      </c>
      <c r="W382" t="str">
        <f>IFERROR(IF($C382="","",SUMIFS(Ledger!$K$2:$K$4, Ledger!$B$2:$B$4, $A382, Ledger!$C$2:$C$4, W$2)),"****")</f>
        <v/>
      </c>
      <c r="X382" t="str">
        <f>IFERROR(IF($C382="","",SUMIFS(Ledger!$K$2:$K$4, Ledger!$B$2:$B$4, $A382, Ledger!$C$2:$C$4, X$2)),"****")</f>
        <v/>
      </c>
    </row>
    <row r="383" spans="1:24" x14ac:dyDescent="0.3">
      <c r="A383" s="106">
        <v>381</v>
      </c>
      <c r="B383" t="str">
        <f>IFERROR(VLOOKUP($A383, Ledger!$B$2:$L$8, 3, 0),"")</f>
        <v/>
      </c>
      <c r="C383" t="str">
        <f>IFERROR(VLOOKUP($A383, Ledger!$B$2:$L$8, 4, 0),"")</f>
        <v/>
      </c>
      <c r="D383" t="str">
        <f>IFERROR(VLOOKUP($A383, Ledger!$B$2:$L$8, 5, 0),"")</f>
        <v/>
      </c>
      <c r="E383" t="str">
        <f>IFERROR(VLOOKUP($A383, Ledger!$B$2:$L$8, 6, 0),"")</f>
        <v/>
      </c>
      <c r="F383" t="str">
        <f>IFERROR(VLOOKUP($A383,'Student Data'!$A$2:$AR$6,32,0),"")</f>
        <v/>
      </c>
      <c r="G383" t="str">
        <f>IFERROR(VLOOKUP($A383,'Student Data'!$A$2:$AR$6,33,0),"")</f>
        <v/>
      </c>
      <c r="H383" t="str">
        <f>IFERROR(VLOOKUP($A383,'Student Data'!$A$2:$AR$6,34,0),"")</f>
        <v/>
      </c>
      <c r="I383" t="str">
        <f>IFERROR(VLOOKUP($A383,'Student Data'!$A$2:$AR$6,35,0),"")</f>
        <v/>
      </c>
      <c r="J383" t="str">
        <f>IFERROR(VLOOKUP($A383,'Student Data'!$A$2:$AR$6,36,0),"")</f>
        <v/>
      </c>
      <c r="K383" t="str">
        <f t="shared" si="10"/>
        <v/>
      </c>
      <c r="L383" t="str">
        <f t="shared" si="11"/>
        <v/>
      </c>
      <c r="M383" t="str">
        <f>IFERROR(IF($C383="","",SUMIFS(Ledger!$K$2:$K$4, Ledger!$B$2:$B$4, $A383, Ledger!$C$2:$C$4, M$2)),"****")</f>
        <v/>
      </c>
      <c r="N383" t="str">
        <f>IFERROR(IF($C383="","",SUMIFS(Ledger!$K$2:$K$4, Ledger!$B$2:$B$4, $A383, Ledger!$C$2:$C$4, N$2)),"****")</f>
        <v/>
      </c>
      <c r="O383" t="str">
        <f>IFERROR(IF($C383="","",SUMIFS(Ledger!$K$2:$K$4, Ledger!$B$2:$B$4, $A383, Ledger!$C$2:$C$4, O$2)),"****")</f>
        <v/>
      </c>
      <c r="P383" t="str">
        <f>IFERROR(IF($C383="","",SUMIFS(Ledger!$K$2:$K$4, Ledger!$B$2:$B$4, $A383, Ledger!$C$2:$C$4, P$2)),"****")</f>
        <v/>
      </c>
      <c r="Q383" t="str">
        <f>IFERROR(IF($C383="","",SUMIFS(Ledger!$K$2:$K$4, Ledger!$B$2:$B$4, $A383, Ledger!$C$2:$C$4, Q$2)),"****")</f>
        <v/>
      </c>
      <c r="R383" t="str">
        <f>IFERROR(IF($C383="","",SUMIFS(Ledger!$K$2:$K$4, Ledger!$B$2:$B$4, $A383, Ledger!$C$2:$C$4, R$2)),"****")</f>
        <v/>
      </c>
      <c r="S383" t="str">
        <f>IFERROR(IF($C383="","",SUMIFS(Ledger!$K$2:$K$4, Ledger!$B$2:$B$4, $A383, Ledger!$C$2:$C$4, S$2)),"****")</f>
        <v/>
      </c>
      <c r="T383" t="str">
        <f>IFERROR(IF($C383="","",SUMIFS(Ledger!$K$2:$K$4, Ledger!$B$2:$B$4, $A383, Ledger!$C$2:$C$4, T$2)),"****")</f>
        <v/>
      </c>
      <c r="U383" t="str">
        <f>IFERROR(IF($C383="","",SUMIFS(Ledger!$K$2:$K$4, Ledger!$B$2:$B$4, $A383, Ledger!$C$2:$C$4, U$2)),"****")</f>
        <v/>
      </c>
      <c r="V383" t="str">
        <f>IFERROR(IF($C383="","",SUMIFS(Ledger!$K$2:$K$4, Ledger!$B$2:$B$4, $A383, Ledger!$C$2:$C$4, V$2)),"****")</f>
        <v/>
      </c>
      <c r="W383" t="str">
        <f>IFERROR(IF($C383="","",SUMIFS(Ledger!$K$2:$K$4, Ledger!$B$2:$B$4, $A383, Ledger!$C$2:$C$4, W$2)),"****")</f>
        <v/>
      </c>
      <c r="X383" t="str">
        <f>IFERROR(IF($C383="","",SUMIFS(Ledger!$K$2:$K$4, Ledger!$B$2:$B$4, $A383, Ledger!$C$2:$C$4, X$2)),"****")</f>
        <v/>
      </c>
    </row>
    <row r="384" spans="1:24" x14ac:dyDescent="0.3">
      <c r="A384" s="106">
        <v>382</v>
      </c>
      <c r="B384" t="str">
        <f>IFERROR(VLOOKUP($A384, Ledger!$B$2:$L$8, 3, 0),"")</f>
        <v/>
      </c>
      <c r="C384" t="str">
        <f>IFERROR(VLOOKUP($A384, Ledger!$B$2:$L$8, 4, 0),"")</f>
        <v/>
      </c>
      <c r="D384" t="str">
        <f>IFERROR(VLOOKUP($A384, Ledger!$B$2:$L$8, 5, 0),"")</f>
        <v/>
      </c>
      <c r="E384" t="str">
        <f>IFERROR(VLOOKUP($A384, Ledger!$B$2:$L$8, 6, 0),"")</f>
        <v/>
      </c>
      <c r="F384" t="str">
        <f>IFERROR(VLOOKUP($A384,'Student Data'!$A$2:$AR$6,32,0),"")</f>
        <v/>
      </c>
      <c r="G384" t="str">
        <f>IFERROR(VLOOKUP($A384,'Student Data'!$A$2:$AR$6,33,0),"")</f>
        <v/>
      </c>
      <c r="H384" t="str">
        <f>IFERROR(VLOOKUP($A384,'Student Data'!$A$2:$AR$6,34,0),"")</f>
        <v/>
      </c>
      <c r="I384" t="str">
        <f>IFERROR(VLOOKUP($A384,'Student Data'!$A$2:$AR$6,35,0),"")</f>
        <v/>
      </c>
      <c r="J384" t="str">
        <f>IFERROR(VLOOKUP($A384,'Student Data'!$A$2:$AR$6,36,0),"")</f>
        <v/>
      </c>
      <c r="K384" t="str">
        <f t="shared" si="10"/>
        <v/>
      </c>
      <c r="L384" t="str">
        <f t="shared" si="11"/>
        <v/>
      </c>
      <c r="M384" t="str">
        <f>IFERROR(IF($C384="","",SUMIFS(Ledger!$K$2:$K$4, Ledger!$B$2:$B$4, $A384, Ledger!$C$2:$C$4, M$2)),"****")</f>
        <v/>
      </c>
      <c r="N384" t="str">
        <f>IFERROR(IF($C384="","",SUMIFS(Ledger!$K$2:$K$4, Ledger!$B$2:$B$4, $A384, Ledger!$C$2:$C$4, N$2)),"****")</f>
        <v/>
      </c>
      <c r="O384" t="str">
        <f>IFERROR(IF($C384="","",SUMIFS(Ledger!$K$2:$K$4, Ledger!$B$2:$B$4, $A384, Ledger!$C$2:$C$4, O$2)),"****")</f>
        <v/>
      </c>
      <c r="P384" t="str">
        <f>IFERROR(IF($C384="","",SUMIFS(Ledger!$K$2:$K$4, Ledger!$B$2:$B$4, $A384, Ledger!$C$2:$C$4, P$2)),"****")</f>
        <v/>
      </c>
      <c r="Q384" t="str">
        <f>IFERROR(IF($C384="","",SUMIFS(Ledger!$K$2:$K$4, Ledger!$B$2:$B$4, $A384, Ledger!$C$2:$C$4, Q$2)),"****")</f>
        <v/>
      </c>
      <c r="R384" t="str">
        <f>IFERROR(IF($C384="","",SUMIFS(Ledger!$K$2:$K$4, Ledger!$B$2:$B$4, $A384, Ledger!$C$2:$C$4, R$2)),"****")</f>
        <v/>
      </c>
      <c r="S384" t="str">
        <f>IFERROR(IF($C384="","",SUMIFS(Ledger!$K$2:$K$4, Ledger!$B$2:$B$4, $A384, Ledger!$C$2:$C$4, S$2)),"****")</f>
        <v/>
      </c>
      <c r="T384" t="str">
        <f>IFERROR(IF($C384="","",SUMIFS(Ledger!$K$2:$K$4, Ledger!$B$2:$B$4, $A384, Ledger!$C$2:$C$4, T$2)),"****")</f>
        <v/>
      </c>
      <c r="U384" t="str">
        <f>IFERROR(IF($C384="","",SUMIFS(Ledger!$K$2:$K$4, Ledger!$B$2:$B$4, $A384, Ledger!$C$2:$C$4, U$2)),"****")</f>
        <v/>
      </c>
      <c r="V384" t="str">
        <f>IFERROR(IF($C384="","",SUMIFS(Ledger!$K$2:$K$4, Ledger!$B$2:$B$4, $A384, Ledger!$C$2:$C$4, V$2)),"****")</f>
        <v/>
      </c>
      <c r="W384" t="str">
        <f>IFERROR(IF($C384="","",SUMIFS(Ledger!$K$2:$K$4, Ledger!$B$2:$B$4, $A384, Ledger!$C$2:$C$4, W$2)),"****")</f>
        <v/>
      </c>
      <c r="X384" t="str">
        <f>IFERROR(IF($C384="","",SUMIFS(Ledger!$K$2:$K$4, Ledger!$B$2:$B$4, $A384, Ledger!$C$2:$C$4, X$2)),"****")</f>
        <v/>
      </c>
    </row>
    <row r="385" spans="1:24" x14ac:dyDescent="0.3">
      <c r="A385" s="106">
        <v>383</v>
      </c>
      <c r="B385" t="str">
        <f>IFERROR(VLOOKUP($A385, Ledger!$B$2:$L$8, 3, 0),"")</f>
        <v/>
      </c>
      <c r="C385" t="str">
        <f>IFERROR(VLOOKUP($A385, Ledger!$B$2:$L$8, 4, 0),"")</f>
        <v/>
      </c>
      <c r="D385" t="str">
        <f>IFERROR(VLOOKUP($A385, Ledger!$B$2:$L$8, 5, 0),"")</f>
        <v/>
      </c>
      <c r="E385" t="str">
        <f>IFERROR(VLOOKUP($A385, Ledger!$B$2:$L$8, 6, 0),"")</f>
        <v/>
      </c>
      <c r="F385" t="str">
        <f>IFERROR(VLOOKUP($A385,'Student Data'!$A$2:$AR$6,32,0),"")</f>
        <v/>
      </c>
      <c r="G385" t="str">
        <f>IFERROR(VLOOKUP($A385,'Student Data'!$A$2:$AR$6,33,0),"")</f>
        <v/>
      </c>
      <c r="H385" t="str">
        <f>IFERROR(VLOOKUP($A385,'Student Data'!$A$2:$AR$6,34,0),"")</f>
        <v/>
      </c>
      <c r="I385" t="str">
        <f>IFERROR(VLOOKUP($A385,'Student Data'!$A$2:$AR$6,35,0),"")</f>
        <v/>
      </c>
      <c r="J385" t="str">
        <f>IFERROR(VLOOKUP($A385,'Student Data'!$A$2:$AR$6,36,0),"")</f>
        <v/>
      </c>
      <c r="K385" t="str">
        <f t="shared" si="10"/>
        <v/>
      </c>
      <c r="L385" t="str">
        <f t="shared" si="11"/>
        <v/>
      </c>
      <c r="M385" t="str">
        <f>IFERROR(IF($C385="","",SUMIFS(Ledger!$K$2:$K$4, Ledger!$B$2:$B$4, $A385, Ledger!$C$2:$C$4, M$2)),"****")</f>
        <v/>
      </c>
      <c r="N385" t="str">
        <f>IFERROR(IF($C385="","",SUMIFS(Ledger!$K$2:$K$4, Ledger!$B$2:$B$4, $A385, Ledger!$C$2:$C$4, N$2)),"****")</f>
        <v/>
      </c>
      <c r="O385" t="str">
        <f>IFERROR(IF($C385="","",SUMIFS(Ledger!$K$2:$K$4, Ledger!$B$2:$B$4, $A385, Ledger!$C$2:$C$4, O$2)),"****")</f>
        <v/>
      </c>
      <c r="P385" t="str">
        <f>IFERROR(IF($C385="","",SUMIFS(Ledger!$K$2:$K$4, Ledger!$B$2:$B$4, $A385, Ledger!$C$2:$C$4, P$2)),"****")</f>
        <v/>
      </c>
      <c r="Q385" t="str">
        <f>IFERROR(IF($C385="","",SUMIFS(Ledger!$K$2:$K$4, Ledger!$B$2:$B$4, $A385, Ledger!$C$2:$C$4, Q$2)),"****")</f>
        <v/>
      </c>
      <c r="R385" t="str">
        <f>IFERROR(IF($C385="","",SUMIFS(Ledger!$K$2:$K$4, Ledger!$B$2:$B$4, $A385, Ledger!$C$2:$C$4, R$2)),"****")</f>
        <v/>
      </c>
      <c r="S385" t="str">
        <f>IFERROR(IF($C385="","",SUMIFS(Ledger!$K$2:$K$4, Ledger!$B$2:$B$4, $A385, Ledger!$C$2:$C$4, S$2)),"****")</f>
        <v/>
      </c>
      <c r="T385" t="str">
        <f>IFERROR(IF($C385="","",SUMIFS(Ledger!$K$2:$K$4, Ledger!$B$2:$B$4, $A385, Ledger!$C$2:$C$4, T$2)),"****")</f>
        <v/>
      </c>
      <c r="U385" t="str">
        <f>IFERROR(IF($C385="","",SUMIFS(Ledger!$K$2:$K$4, Ledger!$B$2:$B$4, $A385, Ledger!$C$2:$C$4, U$2)),"****")</f>
        <v/>
      </c>
      <c r="V385" t="str">
        <f>IFERROR(IF($C385="","",SUMIFS(Ledger!$K$2:$K$4, Ledger!$B$2:$B$4, $A385, Ledger!$C$2:$C$4, V$2)),"****")</f>
        <v/>
      </c>
      <c r="W385" t="str">
        <f>IFERROR(IF($C385="","",SUMIFS(Ledger!$K$2:$K$4, Ledger!$B$2:$B$4, $A385, Ledger!$C$2:$C$4, W$2)),"****")</f>
        <v/>
      </c>
      <c r="X385" t="str">
        <f>IFERROR(IF($C385="","",SUMIFS(Ledger!$K$2:$K$4, Ledger!$B$2:$B$4, $A385, Ledger!$C$2:$C$4, X$2)),"****")</f>
        <v/>
      </c>
    </row>
    <row r="386" spans="1:24" x14ac:dyDescent="0.3">
      <c r="A386" s="106">
        <v>384</v>
      </c>
      <c r="B386" t="str">
        <f>IFERROR(VLOOKUP($A386, Ledger!$B$2:$L$8, 3, 0),"")</f>
        <v/>
      </c>
      <c r="C386" t="str">
        <f>IFERROR(VLOOKUP($A386, Ledger!$B$2:$L$8, 4, 0),"")</f>
        <v/>
      </c>
      <c r="D386" t="str">
        <f>IFERROR(VLOOKUP($A386, Ledger!$B$2:$L$8, 5, 0),"")</f>
        <v/>
      </c>
      <c r="E386" t="str">
        <f>IFERROR(VLOOKUP($A386, Ledger!$B$2:$L$8, 6, 0),"")</f>
        <v/>
      </c>
      <c r="F386" t="str">
        <f>IFERROR(VLOOKUP($A386,'Student Data'!$A$2:$AR$6,32,0),"")</f>
        <v/>
      </c>
      <c r="G386" t="str">
        <f>IFERROR(VLOOKUP($A386,'Student Data'!$A$2:$AR$6,33,0),"")</f>
        <v/>
      </c>
      <c r="H386" t="str">
        <f>IFERROR(VLOOKUP($A386,'Student Data'!$A$2:$AR$6,34,0),"")</f>
        <v/>
      </c>
      <c r="I386" t="str">
        <f>IFERROR(VLOOKUP($A386,'Student Data'!$A$2:$AR$6,35,0),"")</f>
        <v/>
      </c>
      <c r="J386" t="str">
        <f>IFERROR(VLOOKUP($A386,'Student Data'!$A$2:$AR$6,36,0),"")</f>
        <v/>
      </c>
      <c r="K386" t="str">
        <f t="shared" si="10"/>
        <v/>
      </c>
      <c r="L386" t="str">
        <f t="shared" si="11"/>
        <v/>
      </c>
      <c r="M386" t="str">
        <f>IFERROR(IF($C386="","",SUMIFS(Ledger!$K$2:$K$4, Ledger!$B$2:$B$4, $A386, Ledger!$C$2:$C$4, M$2)),"****")</f>
        <v/>
      </c>
      <c r="N386" t="str">
        <f>IFERROR(IF($C386="","",SUMIFS(Ledger!$K$2:$K$4, Ledger!$B$2:$B$4, $A386, Ledger!$C$2:$C$4, N$2)),"****")</f>
        <v/>
      </c>
      <c r="O386" t="str">
        <f>IFERROR(IF($C386="","",SUMIFS(Ledger!$K$2:$K$4, Ledger!$B$2:$B$4, $A386, Ledger!$C$2:$C$4, O$2)),"****")</f>
        <v/>
      </c>
      <c r="P386" t="str">
        <f>IFERROR(IF($C386="","",SUMIFS(Ledger!$K$2:$K$4, Ledger!$B$2:$B$4, $A386, Ledger!$C$2:$C$4, P$2)),"****")</f>
        <v/>
      </c>
      <c r="Q386" t="str">
        <f>IFERROR(IF($C386="","",SUMIFS(Ledger!$K$2:$K$4, Ledger!$B$2:$B$4, $A386, Ledger!$C$2:$C$4, Q$2)),"****")</f>
        <v/>
      </c>
      <c r="R386" t="str">
        <f>IFERROR(IF($C386="","",SUMIFS(Ledger!$K$2:$K$4, Ledger!$B$2:$B$4, $A386, Ledger!$C$2:$C$4, R$2)),"****")</f>
        <v/>
      </c>
      <c r="S386" t="str">
        <f>IFERROR(IF($C386="","",SUMIFS(Ledger!$K$2:$K$4, Ledger!$B$2:$B$4, $A386, Ledger!$C$2:$C$4, S$2)),"****")</f>
        <v/>
      </c>
      <c r="T386" t="str">
        <f>IFERROR(IF($C386="","",SUMIFS(Ledger!$K$2:$K$4, Ledger!$B$2:$B$4, $A386, Ledger!$C$2:$C$4, T$2)),"****")</f>
        <v/>
      </c>
      <c r="U386" t="str">
        <f>IFERROR(IF($C386="","",SUMIFS(Ledger!$K$2:$K$4, Ledger!$B$2:$B$4, $A386, Ledger!$C$2:$C$4, U$2)),"****")</f>
        <v/>
      </c>
      <c r="V386" t="str">
        <f>IFERROR(IF($C386="","",SUMIFS(Ledger!$K$2:$K$4, Ledger!$B$2:$B$4, $A386, Ledger!$C$2:$C$4, V$2)),"****")</f>
        <v/>
      </c>
      <c r="W386" t="str">
        <f>IFERROR(IF($C386="","",SUMIFS(Ledger!$K$2:$K$4, Ledger!$B$2:$B$4, $A386, Ledger!$C$2:$C$4, W$2)),"****")</f>
        <v/>
      </c>
      <c r="X386" t="str">
        <f>IFERROR(IF($C386="","",SUMIFS(Ledger!$K$2:$K$4, Ledger!$B$2:$B$4, $A386, Ledger!$C$2:$C$4, X$2)),"****")</f>
        <v/>
      </c>
    </row>
    <row r="387" spans="1:24" x14ac:dyDescent="0.3">
      <c r="A387" s="106">
        <v>385</v>
      </c>
      <c r="B387" t="str">
        <f>IFERROR(VLOOKUP($A387, Ledger!$B$2:$L$8, 3, 0),"")</f>
        <v/>
      </c>
      <c r="C387" t="str">
        <f>IFERROR(VLOOKUP($A387, Ledger!$B$2:$L$8, 4, 0),"")</f>
        <v/>
      </c>
      <c r="D387" t="str">
        <f>IFERROR(VLOOKUP($A387, Ledger!$B$2:$L$8, 5, 0),"")</f>
        <v/>
      </c>
      <c r="E387" t="str">
        <f>IFERROR(VLOOKUP($A387, Ledger!$B$2:$L$8, 6, 0),"")</f>
        <v/>
      </c>
      <c r="F387" t="str">
        <f>IFERROR(VLOOKUP($A387,'Student Data'!$A$2:$AR$6,32,0),"")</f>
        <v/>
      </c>
      <c r="G387" t="str">
        <f>IFERROR(VLOOKUP($A387,'Student Data'!$A$2:$AR$6,33,0),"")</f>
        <v/>
      </c>
      <c r="H387" t="str">
        <f>IFERROR(VLOOKUP($A387,'Student Data'!$A$2:$AR$6,34,0),"")</f>
        <v/>
      </c>
      <c r="I387" t="str">
        <f>IFERROR(VLOOKUP($A387,'Student Data'!$A$2:$AR$6,35,0),"")</f>
        <v/>
      </c>
      <c r="J387" t="str">
        <f>IFERROR(VLOOKUP($A387,'Student Data'!$A$2:$AR$6,36,0),"")</f>
        <v/>
      </c>
      <c r="K387" t="str">
        <f t="shared" si="10"/>
        <v/>
      </c>
      <c r="L387" t="str">
        <f t="shared" si="11"/>
        <v/>
      </c>
      <c r="M387" t="str">
        <f>IFERROR(IF($C387="","",SUMIFS(Ledger!$K$2:$K$4, Ledger!$B$2:$B$4, $A387, Ledger!$C$2:$C$4, M$2)),"****")</f>
        <v/>
      </c>
      <c r="N387" t="str">
        <f>IFERROR(IF($C387="","",SUMIFS(Ledger!$K$2:$K$4, Ledger!$B$2:$B$4, $A387, Ledger!$C$2:$C$4, N$2)),"****")</f>
        <v/>
      </c>
      <c r="O387" t="str">
        <f>IFERROR(IF($C387="","",SUMIFS(Ledger!$K$2:$K$4, Ledger!$B$2:$B$4, $A387, Ledger!$C$2:$C$4, O$2)),"****")</f>
        <v/>
      </c>
      <c r="P387" t="str">
        <f>IFERROR(IF($C387="","",SUMIFS(Ledger!$K$2:$K$4, Ledger!$B$2:$B$4, $A387, Ledger!$C$2:$C$4, P$2)),"****")</f>
        <v/>
      </c>
      <c r="Q387" t="str">
        <f>IFERROR(IF($C387="","",SUMIFS(Ledger!$K$2:$K$4, Ledger!$B$2:$B$4, $A387, Ledger!$C$2:$C$4, Q$2)),"****")</f>
        <v/>
      </c>
      <c r="R387" t="str">
        <f>IFERROR(IF($C387="","",SUMIFS(Ledger!$K$2:$K$4, Ledger!$B$2:$B$4, $A387, Ledger!$C$2:$C$4, R$2)),"****")</f>
        <v/>
      </c>
      <c r="S387" t="str">
        <f>IFERROR(IF($C387="","",SUMIFS(Ledger!$K$2:$K$4, Ledger!$B$2:$B$4, $A387, Ledger!$C$2:$C$4, S$2)),"****")</f>
        <v/>
      </c>
      <c r="T387" t="str">
        <f>IFERROR(IF($C387="","",SUMIFS(Ledger!$K$2:$K$4, Ledger!$B$2:$B$4, $A387, Ledger!$C$2:$C$4, T$2)),"****")</f>
        <v/>
      </c>
      <c r="U387" t="str">
        <f>IFERROR(IF($C387="","",SUMIFS(Ledger!$K$2:$K$4, Ledger!$B$2:$B$4, $A387, Ledger!$C$2:$C$4, U$2)),"****")</f>
        <v/>
      </c>
      <c r="V387" t="str">
        <f>IFERROR(IF($C387="","",SUMIFS(Ledger!$K$2:$K$4, Ledger!$B$2:$B$4, $A387, Ledger!$C$2:$C$4, V$2)),"****")</f>
        <v/>
      </c>
      <c r="W387" t="str">
        <f>IFERROR(IF($C387="","",SUMIFS(Ledger!$K$2:$K$4, Ledger!$B$2:$B$4, $A387, Ledger!$C$2:$C$4, W$2)),"****")</f>
        <v/>
      </c>
      <c r="X387" t="str">
        <f>IFERROR(IF($C387="","",SUMIFS(Ledger!$K$2:$K$4, Ledger!$B$2:$B$4, $A387, Ledger!$C$2:$C$4, X$2)),"****")</f>
        <v/>
      </c>
    </row>
    <row r="388" spans="1:24" x14ac:dyDescent="0.3">
      <c r="A388" s="106">
        <v>386</v>
      </c>
      <c r="B388" t="str">
        <f>IFERROR(VLOOKUP($A388, Ledger!$B$2:$L$8, 3, 0),"")</f>
        <v/>
      </c>
      <c r="C388" t="str">
        <f>IFERROR(VLOOKUP($A388, Ledger!$B$2:$L$8, 4, 0),"")</f>
        <v/>
      </c>
      <c r="D388" t="str">
        <f>IFERROR(VLOOKUP($A388, Ledger!$B$2:$L$8, 5, 0),"")</f>
        <v/>
      </c>
      <c r="E388" t="str">
        <f>IFERROR(VLOOKUP($A388, Ledger!$B$2:$L$8, 6, 0),"")</f>
        <v/>
      </c>
      <c r="F388" t="str">
        <f>IFERROR(VLOOKUP($A388,'Student Data'!$A$2:$AR$6,32,0),"")</f>
        <v/>
      </c>
      <c r="G388" t="str">
        <f>IFERROR(VLOOKUP($A388,'Student Data'!$A$2:$AR$6,33,0),"")</f>
        <v/>
      </c>
      <c r="H388" t="str">
        <f>IFERROR(VLOOKUP($A388,'Student Data'!$A$2:$AR$6,34,0),"")</f>
        <v/>
      </c>
      <c r="I388" t="str">
        <f>IFERROR(VLOOKUP($A388,'Student Data'!$A$2:$AR$6,35,0),"")</f>
        <v/>
      </c>
      <c r="J388" t="str">
        <f>IFERROR(VLOOKUP($A388,'Student Data'!$A$2:$AR$6,36,0),"")</f>
        <v/>
      </c>
      <c r="K388" t="str">
        <f t="shared" ref="K388:K451" si="12">IFERROR(IF(C388="","",SUM(M388:X388)),"0")</f>
        <v/>
      </c>
      <c r="L388" t="str">
        <f t="shared" ref="L388:L451" si="13">IFERROR(IF(C388="","",J388-K388),"0")</f>
        <v/>
      </c>
      <c r="M388" t="str">
        <f>IFERROR(IF($C388="","",SUMIFS(Ledger!$K$2:$K$4, Ledger!$B$2:$B$4, $A388, Ledger!$C$2:$C$4, M$2)),"****")</f>
        <v/>
      </c>
      <c r="N388" t="str">
        <f>IFERROR(IF($C388="","",SUMIFS(Ledger!$K$2:$K$4, Ledger!$B$2:$B$4, $A388, Ledger!$C$2:$C$4, N$2)),"****")</f>
        <v/>
      </c>
      <c r="O388" t="str">
        <f>IFERROR(IF($C388="","",SUMIFS(Ledger!$K$2:$K$4, Ledger!$B$2:$B$4, $A388, Ledger!$C$2:$C$4, O$2)),"****")</f>
        <v/>
      </c>
      <c r="P388" t="str">
        <f>IFERROR(IF($C388="","",SUMIFS(Ledger!$K$2:$K$4, Ledger!$B$2:$B$4, $A388, Ledger!$C$2:$C$4, P$2)),"****")</f>
        <v/>
      </c>
      <c r="Q388" t="str">
        <f>IFERROR(IF($C388="","",SUMIFS(Ledger!$K$2:$K$4, Ledger!$B$2:$B$4, $A388, Ledger!$C$2:$C$4, Q$2)),"****")</f>
        <v/>
      </c>
      <c r="R388" t="str">
        <f>IFERROR(IF($C388="","",SUMIFS(Ledger!$K$2:$K$4, Ledger!$B$2:$B$4, $A388, Ledger!$C$2:$C$4, R$2)),"****")</f>
        <v/>
      </c>
      <c r="S388" t="str">
        <f>IFERROR(IF($C388="","",SUMIFS(Ledger!$K$2:$K$4, Ledger!$B$2:$B$4, $A388, Ledger!$C$2:$C$4, S$2)),"****")</f>
        <v/>
      </c>
      <c r="T388" t="str">
        <f>IFERROR(IF($C388="","",SUMIFS(Ledger!$K$2:$K$4, Ledger!$B$2:$B$4, $A388, Ledger!$C$2:$C$4, T$2)),"****")</f>
        <v/>
      </c>
      <c r="U388" t="str">
        <f>IFERROR(IF($C388="","",SUMIFS(Ledger!$K$2:$K$4, Ledger!$B$2:$B$4, $A388, Ledger!$C$2:$C$4, U$2)),"****")</f>
        <v/>
      </c>
      <c r="V388" t="str">
        <f>IFERROR(IF($C388="","",SUMIFS(Ledger!$K$2:$K$4, Ledger!$B$2:$B$4, $A388, Ledger!$C$2:$C$4, V$2)),"****")</f>
        <v/>
      </c>
      <c r="W388" t="str">
        <f>IFERROR(IF($C388="","",SUMIFS(Ledger!$K$2:$K$4, Ledger!$B$2:$B$4, $A388, Ledger!$C$2:$C$4, W$2)),"****")</f>
        <v/>
      </c>
      <c r="X388" t="str">
        <f>IFERROR(IF($C388="","",SUMIFS(Ledger!$K$2:$K$4, Ledger!$B$2:$B$4, $A388, Ledger!$C$2:$C$4, X$2)),"****")</f>
        <v/>
      </c>
    </row>
    <row r="389" spans="1:24" x14ac:dyDescent="0.3">
      <c r="A389" s="106">
        <v>387</v>
      </c>
      <c r="B389" t="str">
        <f>IFERROR(VLOOKUP($A389, Ledger!$B$2:$L$8, 3, 0),"")</f>
        <v/>
      </c>
      <c r="C389" t="str">
        <f>IFERROR(VLOOKUP($A389, Ledger!$B$2:$L$8, 4, 0),"")</f>
        <v/>
      </c>
      <c r="D389" t="str">
        <f>IFERROR(VLOOKUP($A389, Ledger!$B$2:$L$8, 5, 0),"")</f>
        <v/>
      </c>
      <c r="E389" t="str">
        <f>IFERROR(VLOOKUP($A389, Ledger!$B$2:$L$8, 6, 0),"")</f>
        <v/>
      </c>
      <c r="F389" t="str">
        <f>IFERROR(VLOOKUP($A389,'Student Data'!$A$2:$AR$6,32,0),"")</f>
        <v/>
      </c>
      <c r="G389" t="str">
        <f>IFERROR(VLOOKUP($A389,'Student Data'!$A$2:$AR$6,33,0),"")</f>
        <v/>
      </c>
      <c r="H389" t="str">
        <f>IFERROR(VLOOKUP($A389,'Student Data'!$A$2:$AR$6,34,0),"")</f>
        <v/>
      </c>
      <c r="I389" t="str">
        <f>IFERROR(VLOOKUP($A389,'Student Data'!$A$2:$AR$6,35,0),"")</f>
        <v/>
      </c>
      <c r="J389" t="str">
        <f>IFERROR(VLOOKUP($A389,'Student Data'!$A$2:$AR$6,36,0),"")</f>
        <v/>
      </c>
      <c r="K389" t="str">
        <f t="shared" si="12"/>
        <v/>
      </c>
      <c r="L389" t="str">
        <f t="shared" si="13"/>
        <v/>
      </c>
      <c r="M389" t="str">
        <f>IFERROR(IF($C389="","",SUMIFS(Ledger!$K$2:$K$4, Ledger!$B$2:$B$4, $A389, Ledger!$C$2:$C$4, M$2)),"****")</f>
        <v/>
      </c>
      <c r="N389" t="str">
        <f>IFERROR(IF($C389="","",SUMIFS(Ledger!$K$2:$K$4, Ledger!$B$2:$B$4, $A389, Ledger!$C$2:$C$4, N$2)),"****")</f>
        <v/>
      </c>
      <c r="O389" t="str">
        <f>IFERROR(IF($C389="","",SUMIFS(Ledger!$K$2:$K$4, Ledger!$B$2:$B$4, $A389, Ledger!$C$2:$C$4, O$2)),"****")</f>
        <v/>
      </c>
      <c r="P389" t="str">
        <f>IFERROR(IF($C389="","",SUMIFS(Ledger!$K$2:$K$4, Ledger!$B$2:$B$4, $A389, Ledger!$C$2:$C$4, P$2)),"****")</f>
        <v/>
      </c>
      <c r="Q389" t="str">
        <f>IFERROR(IF($C389="","",SUMIFS(Ledger!$K$2:$K$4, Ledger!$B$2:$B$4, $A389, Ledger!$C$2:$C$4, Q$2)),"****")</f>
        <v/>
      </c>
      <c r="R389" t="str">
        <f>IFERROR(IF($C389="","",SUMIFS(Ledger!$K$2:$K$4, Ledger!$B$2:$B$4, $A389, Ledger!$C$2:$C$4, R$2)),"****")</f>
        <v/>
      </c>
      <c r="S389" t="str">
        <f>IFERROR(IF($C389="","",SUMIFS(Ledger!$K$2:$K$4, Ledger!$B$2:$B$4, $A389, Ledger!$C$2:$C$4, S$2)),"****")</f>
        <v/>
      </c>
      <c r="T389" t="str">
        <f>IFERROR(IF($C389="","",SUMIFS(Ledger!$K$2:$K$4, Ledger!$B$2:$B$4, $A389, Ledger!$C$2:$C$4, T$2)),"****")</f>
        <v/>
      </c>
      <c r="U389" t="str">
        <f>IFERROR(IF($C389="","",SUMIFS(Ledger!$K$2:$K$4, Ledger!$B$2:$B$4, $A389, Ledger!$C$2:$C$4, U$2)),"****")</f>
        <v/>
      </c>
      <c r="V389" t="str">
        <f>IFERROR(IF($C389="","",SUMIFS(Ledger!$K$2:$K$4, Ledger!$B$2:$B$4, $A389, Ledger!$C$2:$C$4, V$2)),"****")</f>
        <v/>
      </c>
      <c r="W389" t="str">
        <f>IFERROR(IF($C389="","",SUMIFS(Ledger!$K$2:$K$4, Ledger!$B$2:$B$4, $A389, Ledger!$C$2:$C$4, W$2)),"****")</f>
        <v/>
      </c>
      <c r="X389" t="str">
        <f>IFERROR(IF($C389="","",SUMIFS(Ledger!$K$2:$K$4, Ledger!$B$2:$B$4, $A389, Ledger!$C$2:$C$4, X$2)),"****")</f>
        <v/>
      </c>
    </row>
    <row r="390" spans="1:24" x14ac:dyDescent="0.3">
      <c r="A390" s="106">
        <v>388</v>
      </c>
      <c r="B390" t="str">
        <f>IFERROR(VLOOKUP($A390, Ledger!$B$2:$L$8, 3, 0),"")</f>
        <v/>
      </c>
      <c r="C390" t="str">
        <f>IFERROR(VLOOKUP($A390, Ledger!$B$2:$L$8, 4, 0),"")</f>
        <v/>
      </c>
      <c r="D390" t="str">
        <f>IFERROR(VLOOKUP($A390, Ledger!$B$2:$L$8, 5, 0),"")</f>
        <v/>
      </c>
      <c r="E390" t="str">
        <f>IFERROR(VLOOKUP($A390, Ledger!$B$2:$L$8, 6, 0),"")</f>
        <v/>
      </c>
      <c r="F390" t="str">
        <f>IFERROR(VLOOKUP($A390,'Student Data'!$A$2:$AR$6,32,0),"")</f>
        <v/>
      </c>
      <c r="G390" t="str">
        <f>IFERROR(VLOOKUP($A390,'Student Data'!$A$2:$AR$6,33,0),"")</f>
        <v/>
      </c>
      <c r="H390" t="str">
        <f>IFERROR(VLOOKUP($A390,'Student Data'!$A$2:$AR$6,34,0),"")</f>
        <v/>
      </c>
      <c r="I390" t="str">
        <f>IFERROR(VLOOKUP($A390,'Student Data'!$A$2:$AR$6,35,0),"")</f>
        <v/>
      </c>
      <c r="J390" t="str">
        <f>IFERROR(VLOOKUP($A390,'Student Data'!$A$2:$AR$6,36,0),"")</f>
        <v/>
      </c>
      <c r="K390" t="str">
        <f t="shared" si="12"/>
        <v/>
      </c>
      <c r="L390" t="str">
        <f t="shared" si="13"/>
        <v/>
      </c>
      <c r="M390" t="str">
        <f>IFERROR(IF($C390="","",SUMIFS(Ledger!$K$2:$K$4, Ledger!$B$2:$B$4, $A390, Ledger!$C$2:$C$4, M$2)),"****")</f>
        <v/>
      </c>
      <c r="N390" t="str">
        <f>IFERROR(IF($C390="","",SUMIFS(Ledger!$K$2:$K$4, Ledger!$B$2:$B$4, $A390, Ledger!$C$2:$C$4, N$2)),"****")</f>
        <v/>
      </c>
      <c r="O390" t="str">
        <f>IFERROR(IF($C390="","",SUMIFS(Ledger!$K$2:$K$4, Ledger!$B$2:$B$4, $A390, Ledger!$C$2:$C$4, O$2)),"****")</f>
        <v/>
      </c>
      <c r="P390" t="str">
        <f>IFERROR(IF($C390="","",SUMIFS(Ledger!$K$2:$K$4, Ledger!$B$2:$B$4, $A390, Ledger!$C$2:$C$4, P$2)),"****")</f>
        <v/>
      </c>
      <c r="Q390" t="str">
        <f>IFERROR(IF($C390="","",SUMIFS(Ledger!$K$2:$K$4, Ledger!$B$2:$B$4, $A390, Ledger!$C$2:$C$4, Q$2)),"****")</f>
        <v/>
      </c>
      <c r="R390" t="str">
        <f>IFERROR(IF($C390="","",SUMIFS(Ledger!$K$2:$K$4, Ledger!$B$2:$B$4, $A390, Ledger!$C$2:$C$4, R$2)),"****")</f>
        <v/>
      </c>
      <c r="S390" t="str">
        <f>IFERROR(IF($C390="","",SUMIFS(Ledger!$K$2:$K$4, Ledger!$B$2:$B$4, $A390, Ledger!$C$2:$C$4, S$2)),"****")</f>
        <v/>
      </c>
      <c r="T390" t="str">
        <f>IFERROR(IF($C390="","",SUMIFS(Ledger!$K$2:$K$4, Ledger!$B$2:$B$4, $A390, Ledger!$C$2:$C$4, T$2)),"****")</f>
        <v/>
      </c>
      <c r="U390" t="str">
        <f>IFERROR(IF($C390="","",SUMIFS(Ledger!$K$2:$K$4, Ledger!$B$2:$B$4, $A390, Ledger!$C$2:$C$4, U$2)),"****")</f>
        <v/>
      </c>
      <c r="V390" t="str">
        <f>IFERROR(IF($C390="","",SUMIFS(Ledger!$K$2:$K$4, Ledger!$B$2:$B$4, $A390, Ledger!$C$2:$C$4, V$2)),"****")</f>
        <v/>
      </c>
      <c r="W390" t="str">
        <f>IFERROR(IF($C390="","",SUMIFS(Ledger!$K$2:$K$4, Ledger!$B$2:$B$4, $A390, Ledger!$C$2:$C$4, W$2)),"****")</f>
        <v/>
      </c>
      <c r="X390" t="str">
        <f>IFERROR(IF($C390="","",SUMIFS(Ledger!$K$2:$K$4, Ledger!$B$2:$B$4, $A390, Ledger!$C$2:$C$4, X$2)),"****")</f>
        <v/>
      </c>
    </row>
    <row r="391" spans="1:24" x14ac:dyDescent="0.3">
      <c r="A391" s="106">
        <v>389</v>
      </c>
      <c r="B391" t="str">
        <f>IFERROR(VLOOKUP($A391, Ledger!$B$2:$L$8, 3, 0),"")</f>
        <v/>
      </c>
      <c r="C391" t="str">
        <f>IFERROR(VLOOKUP($A391, Ledger!$B$2:$L$8, 4, 0),"")</f>
        <v/>
      </c>
      <c r="D391" t="str">
        <f>IFERROR(VLOOKUP($A391, Ledger!$B$2:$L$8, 5, 0),"")</f>
        <v/>
      </c>
      <c r="E391" t="str">
        <f>IFERROR(VLOOKUP($A391, Ledger!$B$2:$L$8, 6, 0),"")</f>
        <v/>
      </c>
      <c r="F391" t="str">
        <f>IFERROR(VLOOKUP($A391,'Student Data'!$A$2:$AR$6,32,0),"")</f>
        <v/>
      </c>
      <c r="G391" t="str">
        <f>IFERROR(VLOOKUP($A391,'Student Data'!$A$2:$AR$6,33,0),"")</f>
        <v/>
      </c>
      <c r="H391" t="str">
        <f>IFERROR(VLOOKUP($A391,'Student Data'!$A$2:$AR$6,34,0),"")</f>
        <v/>
      </c>
      <c r="I391" t="str">
        <f>IFERROR(VLOOKUP($A391,'Student Data'!$A$2:$AR$6,35,0),"")</f>
        <v/>
      </c>
      <c r="J391" t="str">
        <f>IFERROR(VLOOKUP($A391,'Student Data'!$A$2:$AR$6,36,0),"")</f>
        <v/>
      </c>
      <c r="K391" t="str">
        <f t="shared" si="12"/>
        <v/>
      </c>
      <c r="L391" t="str">
        <f t="shared" si="13"/>
        <v/>
      </c>
      <c r="M391" t="str">
        <f>IFERROR(IF($C391="","",SUMIFS(Ledger!$K$2:$K$4, Ledger!$B$2:$B$4, $A391, Ledger!$C$2:$C$4, M$2)),"****")</f>
        <v/>
      </c>
      <c r="N391" t="str">
        <f>IFERROR(IF($C391="","",SUMIFS(Ledger!$K$2:$K$4, Ledger!$B$2:$B$4, $A391, Ledger!$C$2:$C$4, N$2)),"****")</f>
        <v/>
      </c>
      <c r="O391" t="str">
        <f>IFERROR(IF($C391="","",SUMIFS(Ledger!$K$2:$K$4, Ledger!$B$2:$B$4, $A391, Ledger!$C$2:$C$4, O$2)),"****")</f>
        <v/>
      </c>
      <c r="P391" t="str">
        <f>IFERROR(IF($C391="","",SUMIFS(Ledger!$K$2:$K$4, Ledger!$B$2:$B$4, $A391, Ledger!$C$2:$C$4, P$2)),"****")</f>
        <v/>
      </c>
      <c r="Q391" t="str">
        <f>IFERROR(IF($C391="","",SUMIFS(Ledger!$K$2:$K$4, Ledger!$B$2:$B$4, $A391, Ledger!$C$2:$C$4, Q$2)),"****")</f>
        <v/>
      </c>
      <c r="R391" t="str">
        <f>IFERROR(IF($C391="","",SUMIFS(Ledger!$K$2:$K$4, Ledger!$B$2:$B$4, $A391, Ledger!$C$2:$C$4, R$2)),"****")</f>
        <v/>
      </c>
      <c r="S391" t="str">
        <f>IFERROR(IF($C391="","",SUMIFS(Ledger!$K$2:$K$4, Ledger!$B$2:$B$4, $A391, Ledger!$C$2:$C$4, S$2)),"****")</f>
        <v/>
      </c>
      <c r="T391" t="str">
        <f>IFERROR(IF($C391="","",SUMIFS(Ledger!$K$2:$K$4, Ledger!$B$2:$B$4, $A391, Ledger!$C$2:$C$4, T$2)),"****")</f>
        <v/>
      </c>
      <c r="U391" t="str">
        <f>IFERROR(IF($C391="","",SUMIFS(Ledger!$K$2:$K$4, Ledger!$B$2:$B$4, $A391, Ledger!$C$2:$C$4, U$2)),"****")</f>
        <v/>
      </c>
      <c r="V391" t="str">
        <f>IFERROR(IF($C391="","",SUMIFS(Ledger!$K$2:$K$4, Ledger!$B$2:$B$4, $A391, Ledger!$C$2:$C$4, V$2)),"****")</f>
        <v/>
      </c>
      <c r="W391" t="str">
        <f>IFERROR(IF($C391="","",SUMIFS(Ledger!$K$2:$K$4, Ledger!$B$2:$B$4, $A391, Ledger!$C$2:$C$4, W$2)),"****")</f>
        <v/>
      </c>
      <c r="X391" t="str">
        <f>IFERROR(IF($C391="","",SUMIFS(Ledger!$K$2:$K$4, Ledger!$B$2:$B$4, $A391, Ledger!$C$2:$C$4, X$2)),"****")</f>
        <v/>
      </c>
    </row>
    <row r="392" spans="1:24" x14ac:dyDescent="0.3">
      <c r="A392" s="106">
        <v>390</v>
      </c>
      <c r="B392" t="str">
        <f>IFERROR(VLOOKUP($A392, Ledger!$B$2:$L$8, 3, 0),"")</f>
        <v/>
      </c>
      <c r="C392" t="str">
        <f>IFERROR(VLOOKUP($A392, Ledger!$B$2:$L$8, 4, 0),"")</f>
        <v/>
      </c>
      <c r="D392" t="str">
        <f>IFERROR(VLOOKUP($A392, Ledger!$B$2:$L$8, 5, 0),"")</f>
        <v/>
      </c>
      <c r="E392" t="str">
        <f>IFERROR(VLOOKUP($A392, Ledger!$B$2:$L$8, 6, 0),"")</f>
        <v/>
      </c>
      <c r="F392" t="str">
        <f>IFERROR(VLOOKUP($A392,'Student Data'!$A$2:$AR$6,32,0),"")</f>
        <v/>
      </c>
      <c r="G392" t="str">
        <f>IFERROR(VLOOKUP($A392,'Student Data'!$A$2:$AR$6,33,0),"")</f>
        <v/>
      </c>
      <c r="H392" t="str">
        <f>IFERROR(VLOOKUP($A392,'Student Data'!$A$2:$AR$6,34,0),"")</f>
        <v/>
      </c>
      <c r="I392" t="str">
        <f>IFERROR(VLOOKUP($A392,'Student Data'!$A$2:$AR$6,35,0),"")</f>
        <v/>
      </c>
      <c r="J392" t="str">
        <f>IFERROR(VLOOKUP($A392,'Student Data'!$A$2:$AR$6,36,0),"")</f>
        <v/>
      </c>
      <c r="K392" t="str">
        <f t="shared" si="12"/>
        <v/>
      </c>
      <c r="L392" t="str">
        <f t="shared" si="13"/>
        <v/>
      </c>
      <c r="M392" t="str">
        <f>IFERROR(IF($C392="","",SUMIFS(Ledger!$K$2:$K$4, Ledger!$B$2:$B$4, $A392, Ledger!$C$2:$C$4, M$2)),"****")</f>
        <v/>
      </c>
      <c r="N392" t="str">
        <f>IFERROR(IF($C392="","",SUMIFS(Ledger!$K$2:$K$4, Ledger!$B$2:$B$4, $A392, Ledger!$C$2:$C$4, N$2)),"****")</f>
        <v/>
      </c>
      <c r="O392" t="str">
        <f>IFERROR(IF($C392="","",SUMIFS(Ledger!$K$2:$K$4, Ledger!$B$2:$B$4, $A392, Ledger!$C$2:$C$4, O$2)),"****")</f>
        <v/>
      </c>
      <c r="P392" t="str">
        <f>IFERROR(IF($C392="","",SUMIFS(Ledger!$K$2:$K$4, Ledger!$B$2:$B$4, $A392, Ledger!$C$2:$C$4, P$2)),"****")</f>
        <v/>
      </c>
      <c r="Q392" t="str">
        <f>IFERROR(IF($C392="","",SUMIFS(Ledger!$K$2:$K$4, Ledger!$B$2:$B$4, $A392, Ledger!$C$2:$C$4, Q$2)),"****")</f>
        <v/>
      </c>
      <c r="R392" t="str">
        <f>IFERROR(IF($C392="","",SUMIFS(Ledger!$K$2:$K$4, Ledger!$B$2:$B$4, $A392, Ledger!$C$2:$C$4, R$2)),"****")</f>
        <v/>
      </c>
      <c r="S392" t="str">
        <f>IFERROR(IF($C392="","",SUMIFS(Ledger!$K$2:$K$4, Ledger!$B$2:$B$4, $A392, Ledger!$C$2:$C$4, S$2)),"****")</f>
        <v/>
      </c>
      <c r="T392" t="str">
        <f>IFERROR(IF($C392="","",SUMIFS(Ledger!$K$2:$K$4, Ledger!$B$2:$B$4, $A392, Ledger!$C$2:$C$4, T$2)),"****")</f>
        <v/>
      </c>
      <c r="U392" t="str">
        <f>IFERROR(IF($C392="","",SUMIFS(Ledger!$K$2:$K$4, Ledger!$B$2:$B$4, $A392, Ledger!$C$2:$C$4, U$2)),"****")</f>
        <v/>
      </c>
      <c r="V392" t="str">
        <f>IFERROR(IF($C392="","",SUMIFS(Ledger!$K$2:$K$4, Ledger!$B$2:$B$4, $A392, Ledger!$C$2:$C$4, V$2)),"****")</f>
        <v/>
      </c>
      <c r="W392" t="str">
        <f>IFERROR(IF($C392="","",SUMIFS(Ledger!$K$2:$K$4, Ledger!$B$2:$B$4, $A392, Ledger!$C$2:$C$4, W$2)),"****")</f>
        <v/>
      </c>
      <c r="X392" t="str">
        <f>IFERROR(IF($C392="","",SUMIFS(Ledger!$K$2:$K$4, Ledger!$B$2:$B$4, $A392, Ledger!$C$2:$C$4, X$2)),"****")</f>
        <v/>
      </c>
    </row>
    <row r="393" spans="1:24" x14ac:dyDescent="0.3">
      <c r="A393" s="106">
        <v>391</v>
      </c>
      <c r="B393" t="str">
        <f>IFERROR(VLOOKUP($A393, Ledger!$B$2:$L$8, 3, 0),"")</f>
        <v/>
      </c>
      <c r="C393" t="str">
        <f>IFERROR(VLOOKUP($A393, Ledger!$B$2:$L$8, 4, 0),"")</f>
        <v/>
      </c>
      <c r="D393" t="str">
        <f>IFERROR(VLOOKUP($A393, Ledger!$B$2:$L$8, 5, 0),"")</f>
        <v/>
      </c>
      <c r="E393" t="str">
        <f>IFERROR(VLOOKUP($A393, Ledger!$B$2:$L$8, 6, 0),"")</f>
        <v/>
      </c>
      <c r="F393" t="str">
        <f>IFERROR(VLOOKUP($A393,'Student Data'!$A$2:$AR$6,32,0),"")</f>
        <v/>
      </c>
      <c r="G393" t="str">
        <f>IFERROR(VLOOKUP($A393,'Student Data'!$A$2:$AR$6,33,0),"")</f>
        <v/>
      </c>
      <c r="H393" t="str">
        <f>IFERROR(VLOOKUP($A393,'Student Data'!$A$2:$AR$6,34,0),"")</f>
        <v/>
      </c>
      <c r="I393" t="str">
        <f>IFERROR(VLOOKUP($A393,'Student Data'!$A$2:$AR$6,35,0),"")</f>
        <v/>
      </c>
      <c r="J393" t="str">
        <f>IFERROR(VLOOKUP($A393,'Student Data'!$A$2:$AR$6,36,0),"")</f>
        <v/>
      </c>
      <c r="K393" t="str">
        <f t="shared" si="12"/>
        <v/>
      </c>
      <c r="L393" t="str">
        <f t="shared" si="13"/>
        <v/>
      </c>
      <c r="M393" t="str">
        <f>IFERROR(IF($C393="","",SUMIFS(Ledger!$K$2:$K$4, Ledger!$B$2:$B$4, $A393, Ledger!$C$2:$C$4, M$2)),"****")</f>
        <v/>
      </c>
      <c r="N393" t="str">
        <f>IFERROR(IF($C393="","",SUMIFS(Ledger!$K$2:$K$4, Ledger!$B$2:$B$4, $A393, Ledger!$C$2:$C$4, N$2)),"****")</f>
        <v/>
      </c>
      <c r="O393" t="str">
        <f>IFERROR(IF($C393="","",SUMIFS(Ledger!$K$2:$K$4, Ledger!$B$2:$B$4, $A393, Ledger!$C$2:$C$4, O$2)),"****")</f>
        <v/>
      </c>
      <c r="P393" t="str">
        <f>IFERROR(IF($C393="","",SUMIFS(Ledger!$K$2:$K$4, Ledger!$B$2:$B$4, $A393, Ledger!$C$2:$C$4, P$2)),"****")</f>
        <v/>
      </c>
      <c r="Q393" t="str">
        <f>IFERROR(IF($C393="","",SUMIFS(Ledger!$K$2:$K$4, Ledger!$B$2:$B$4, $A393, Ledger!$C$2:$C$4, Q$2)),"****")</f>
        <v/>
      </c>
      <c r="R393" t="str">
        <f>IFERROR(IF($C393="","",SUMIFS(Ledger!$K$2:$K$4, Ledger!$B$2:$B$4, $A393, Ledger!$C$2:$C$4, R$2)),"****")</f>
        <v/>
      </c>
      <c r="S393" t="str">
        <f>IFERROR(IF($C393="","",SUMIFS(Ledger!$K$2:$K$4, Ledger!$B$2:$B$4, $A393, Ledger!$C$2:$C$4, S$2)),"****")</f>
        <v/>
      </c>
      <c r="T393" t="str">
        <f>IFERROR(IF($C393="","",SUMIFS(Ledger!$K$2:$K$4, Ledger!$B$2:$B$4, $A393, Ledger!$C$2:$C$4, T$2)),"****")</f>
        <v/>
      </c>
      <c r="U393" t="str">
        <f>IFERROR(IF($C393="","",SUMIFS(Ledger!$K$2:$K$4, Ledger!$B$2:$B$4, $A393, Ledger!$C$2:$C$4, U$2)),"****")</f>
        <v/>
      </c>
      <c r="V393" t="str">
        <f>IFERROR(IF($C393="","",SUMIFS(Ledger!$K$2:$K$4, Ledger!$B$2:$B$4, $A393, Ledger!$C$2:$C$4, V$2)),"****")</f>
        <v/>
      </c>
      <c r="W393" t="str">
        <f>IFERROR(IF($C393="","",SUMIFS(Ledger!$K$2:$K$4, Ledger!$B$2:$B$4, $A393, Ledger!$C$2:$C$4, W$2)),"****")</f>
        <v/>
      </c>
      <c r="X393" t="str">
        <f>IFERROR(IF($C393="","",SUMIFS(Ledger!$K$2:$K$4, Ledger!$B$2:$B$4, $A393, Ledger!$C$2:$C$4, X$2)),"****")</f>
        <v/>
      </c>
    </row>
    <row r="394" spans="1:24" x14ac:dyDescent="0.3">
      <c r="A394" s="106">
        <v>392</v>
      </c>
      <c r="B394" t="str">
        <f>IFERROR(VLOOKUP($A394, Ledger!$B$2:$L$8, 3, 0),"")</f>
        <v/>
      </c>
      <c r="C394" t="str">
        <f>IFERROR(VLOOKUP($A394, Ledger!$B$2:$L$8, 4, 0),"")</f>
        <v/>
      </c>
      <c r="D394" t="str">
        <f>IFERROR(VLOOKUP($A394, Ledger!$B$2:$L$8, 5, 0),"")</f>
        <v/>
      </c>
      <c r="E394" t="str">
        <f>IFERROR(VLOOKUP($A394, Ledger!$B$2:$L$8, 6, 0),"")</f>
        <v/>
      </c>
      <c r="F394" t="str">
        <f>IFERROR(VLOOKUP($A394,'Student Data'!$A$2:$AR$6,32,0),"")</f>
        <v/>
      </c>
      <c r="G394" t="str">
        <f>IFERROR(VLOOKUP($A394,'Student Data'!$A$2:$AR$6,33,0),"")</f>
        <v/>
      </c>
      <c r="H394" t="str">
        <f>IFERROR(VLOOKUP($A394,'Student Data'!$A$2:$AR$6,34,0),"")</f>
        <v/>
      </c>
      <c r="I394" t="str">
        <f>IFERROR(VLOOKUP($A394,'Student Data'!$A$2:$AR$6,35,0),"")</f>
        <v/>
      </c>
      <c r="J394" t="str">
        <f>IFERROR(VLOOKUP($A394,'Student Data'!$A$2:$AR$6,36,0),"")</f>
        <v/>
      </c>
      <c r="K394" t="str">
        <f t="shared" si="12"/>
        <v/>
      </c>
      <c r="L394" t="str">
        <f t="shared" si="13"/>
        <v/>
      </c>
      <c r="M394" t="str">
        <f>IFERROR(IF($C394="","",SUMIFS(Ledger!$K$2:$K$4, Ledger!$B$2:$B$4, $A394, Ledger!$C$2:$C$4, M$2)),"****")</f>
        <v/>
      </c>
      <c r="N394" t="str">
        <f>IFERROR(IF($C394="","",SUMIFS(Ledger!$K$2:$K$4, Ledger!$B$2:$B$4, $A394, Ledger!$C$2:$C$4, N$2)),"****")</f>
        <v/>
      </c>
      <c r="O394" t="str">
        <f>IFERROR(IF($C394="","",SUMIFS(Ledger!$K$2:$K$4, Ledger!$B$2:$B$4, $A394, Ledger!$C$2:$C$4, O$2)),"****")</f>
        <v/>
      </c>
      <c r="P394" t="str">
        <f>IFERROR(IF($C394="","",SUMIFS(Ledger!$K$2:$K$4, Ledger!$B$2:$B$4, $A394, Ledger!$C$2:$C$4, P$2)),"****")</f>
        <v/>
      </c>
      <c r="Q394" t="str">
        <f>IFERROR(IF($C394="","",SUMIFS(Ledger!$K$2:$K$4, Ledger!$B$2:$B$4, $A394, Ledger!$C$2:$C$4, Q$2)),"****")</f>
        <v/>
      </c>
      <c r="R394" t="str">
        <f>IFERROR(IF($C394="","",SUMIFS(Ledger!$K$2:$K$4, Ledger!$B$2:$B$4, $A394, Ledger!$C$2:$C$4, R$2)),"****")</f>
        <v/>
      </c>
      <c r="S394" t="str">
        <f>IFERROR(IF($C394="","",SUMIFS(Ledger!$K$2:$K$4, Ledger!$B$2:$B$4, $A394, Ledger!$C$2:$C$4, S$2)),"****")</f>
        <v/>
      </c>
      <c r="T394" t="str">
        <f>IFERROR(IF($C394="","",SUMIFS(Ledger!$K$2:$K$4, Ledger!$B$2:$B$4, $A394, Ledger!$C$2:$C$4, T$2)),"****")</f>
        <v/>
      </c>
      <c r="U394" t="str">
        <f>IFERROR(IF($C394="","",SUMIFS(Ledger!$K$2:$K$4, Ledger!$B$2:$B$4, $A394, Ledger!$C$2:$C$4, U$2)),"****")</f>
        <v/>
      </c>
      <c r="V394" t="str">
        <f>IFERROR(IF($C394="","",SUMIFS(Ledger!$K$2:$K$4, Ledger!$B$2:$B$4, $A394, Ledger!$C$2:$C$4, V$2)),"****")</f>
        <v/>
      </c>
      <c r="W394" t="str">
        <f>IFERROR(IF($C394="","",SUMIFS(Ledger!$K$2:$K$4, Ledger!$B$2:$B$4, $A394, Ledger!$C$2:$C$4, W$2)),"****")</f>
        <v/>
      </c>
      <c r="X394" t="str">
        <f>IFERROR(IF($C394="","",SUMIFS(Ledger!$K$2:$K$4, Ledger!$B$2:$B$4, $A394, Ledger!$C$2:$C$4, X$2)),"****")</f>
        <v/>
      </c>
    </row>
    <row r="395" spans="1:24" x14ac:dyDescent="0.3">
      <c r="A395" s="106">
        <v>393</v>
      </c>
      <c r="B395" t="str">
        <f>IFERROR(VLOOKUP($A395, Ledger!$B$2:$L$8, 3, 0),"")</f>
        <v/>
      </c>
      <c r="C395" t="str">
        <f>IFERROR(VLOOKUP($A395, Ledger!$B$2:$L$8, 4, 0),"")</f>
        <v/>
      </c>
      <c r="D395" t="str">
        <f>IFERROR(VLOOKUP($A395, Ledger!$B$2:$L$8, 5, 0),"")</f>
        <v/>
      </c>
      <c r="E395" t="str">
        <f>IFERROR(VLOOKUP($A395, Ledger!$B$2:$L$8, 6, 0),"")</f>
        <v/>
      </c>
      <c r="F395" t="str">
        <f>IFERROR(VLOOKUP($A395,'Student Data'!$A$2:$AR$6,32,0),"")</f>
        <v/>
      </c>
      <c r="G395" t="str">
        <f>IFERROR(VLOOKUP($A395,'Student Data'!$A$2:$AR$6,33,0),"")</f>
        <v/>
      </c>
      <c r="H395" t="str">
        <f>IFERROR(VLOOKUP($A395,'Student Data'!$A$2:$AR$6,34,0),"")</f>
        <v/>
      </c>
      <c r="I395" t="str">
        <f>IFERROR(VLOOKUP($A395,'Student Data'!$A$2:$AR$6,35,0),"")</f>
        <v/>
      </c>
      <c r="J395" t="str">
        <f>IFERROR(VLOOKUP($A395,'Student Data'!$A$2:$AR$6,36,0),"")</f>
        <v/>
      </c>
      <c r="K395" t="str">
        <f t="shared" si="12"/>
        <v/>
      </c>
      <c r="L395" t="str">
        <f t="shared" si="13"/>
        <v/>
      </c>
      <c r="M395" t="str">
        <f>IFERROR(IF($C395="","",SUMIFS(Ledger!$K$2:$K$4, Ledger!$B$2:$B$4, $A395, Ledger!$C$2:$C$4, M$2)),"****")</f>
        <v/>
      </c>
      <c r="N395" t="str">
        <f>IFERROR(IF($C395="","",SUMIFS(Ledger!$K$2:$K$4, Ledger!$B$2:$B$4, $A395, Ledger!$C$2:$C$4, N$2)),"****")</f>
        <v/>
      </c>
      <c r="O395" t="str">
        <f>IFERROR(IF($C395="","",SUMIFS(Ledger!$K$2:$K$4, Ledger!$B$2:$B$4, $A395, Ledger!$C$2:$C$4, O$2)),"****")</f>
        <v/>
      </c>
      <c r="P395" t="str">
        <f>IFERROR(IF($C395="","",SUMIFS(Ledger!$K$2:$K$4, Ledger!$B$2:$B$4, $A395, Ledger!$C$2:$C$4, P$2)),"****")</f>
        <v/>
      </c>
      <c r="Q395" t="str">
        <f>IFERROR(IF($C395="","",SUMIFS(Ledger!$K$2:$K$4, Ledger!$B$2:$B$4, $A395, Ledger!$C$2:$C$4, Q$2)),"****")</f>
        <v/>
      </c>
      <c r="R395" t="str">
        <f>IFERROR(IF($C395="","",SUMIFS(Ledger!$K$2:$K$4, Ledger!$B$2:$B$4, $A395, Ledger!$C$2:$C$4, R$2)),"****")</f>
        <v/>
      </c>
      <c r="S395" t="str">
        <f>IFERROR(IF($C395="","",SUMIFS(Ledger!$K$2:$K$4, Ledger!$B$2:$B$4, $A395, Ledger!$C$2:$C$4, S$2)),"****")</f>
        <v/>
      </c>
      <c r="T395" t="str">
        <f>IFERROR(IF($C395="","",SUMIFS(Ledger!$K$2:$K$4, Ledger!$B$2:$B$4, $A395, Ledger!$C$2:$C$4, T$2)),"****")</f>
        <v/>
      </c>
      <c r="U395" t="str">
        <f>IFERROR(IF($C395="","",SUMIFS(Ledger!$K$2:$K$4, Ledger!$B$2:$B$4, $A395, Ledger!$C$2:$C$4, U$2)),"****")</f>
        <v/>
      </c>
      <c r="V395" t="str">
        <f>IFERROR(IF($C395="","",SUMIFS(Ledger!$K$2:$K$4, Ledger!$B$2:$B$4, $A395, Ledger!$C$2:$C$4, V$2)),"****")</f>
        <v/>
      </c>
      <c r="W395" t="str">
        <f>IFERROR(IF($C395="","",SUMIFS(Ledger!$K$2:$K$4, Ledger!$B$2:$B$4, $A395, Ledger!$C$2:$C$4, W$2)),"****")</f>
        <v/>
      </c>
      <c r="X395" t="str">
        <f>IFERROR(IF($C395="","",SUMIFS(Ledger!$K$2:$K$4, Ledger!$B$2:$B$4, $A395, Ledger!$C$2:$C$4, X$2)),"****")</f>
        <v/>
      </c>
    </row>
    <row r="396" spans="1:24" x14ac:dyDescent="0.3">
      <c r="A396" s="106">
        <v>394</v>
      </c>
      <c r="B396" t="str">
        <f>IFERROR(VLOOKUP($A396, Ledger!$B$2:$L$8, 3, 0),"")</f>
        <v/>
      </c>
      <c r="C396" t="str">
        <f>IFERROR(VLOOKUP($A396, Ledger!$B$2:$L$8, 4, 0),"")</f>
        <v/>
      </c>
      <c r="D396" t="str">
        <f>IFERROR(VLOOKUP($A396, Ledger!$B$2:$L$8, 5, 0),"")</f>
        <v/>
      </c>
      <c r="E396" t="str">
        <f>IFERROR(VLOOKUP($A396, Ledger!$B$2:$L$8, 6, 0),"")</f>
        <v/>
      </c>
      <c r="F396" t="str">
        <f>IFERROR(VLOOKUP($A396,'Student Data'!$A$2:$AR$6,32,0),"")</f>
        <v/>
      </c>
      <c r="G396" t="str">
        <f>IFERROR(VLOOKUP($A396,'Student Data'!$A$2:$AR$6,33,0),"")</f>
        <v/>
      </c>
      <c r="H396" t="str">
        <f>IFERROR(VLOOKUP($A396,'Student Data'!$A$2:$AR$6,34,0),"")</f>
        <v/>
      </c>
      <c r="I396" t="str">
        <f>IFERROR(VLOOKUP($A396,'Student Data'!$A$2:$AR$6,35,0),"")</f>
        <v/>
      </c>
      <c r="J396" t="str">
        <f>IFERROR(VLOOKUP($A396,'Student Data'!$A$2:$AR$6,36,0),"")</f>
        <v/>
      </c>
      <c r="K396" t="str">
        <f t="shared" si="12"/>
        <v/>
      </c>
      <c r="L396" t="str">
        <f t="shared" si="13"/>
        <v/>
      </c>
      <c r="M396" t="str">
        <f>IFERROR(IF($C396="","",SUMIFS(Ledger!$K$2:$K$4, Ledger!$B$2:$B$4, $A396, Ledger!$C$2:$C$4, M$2)),"****")</f>
        <v/>
      </c>
      <c r="N396" t="str">
        <f>IFERROR(IF($C396="","",SUMIFS(Ledger!$K$2:$K$4, Ledger!$B$2:$B$4, $A396, Ledger!$C$2:$C$4, N$2)),"****")</f>
        <v/>
      </c>
      <c r="O396" t="str">
        <f>IFERROR(IF($C396="","",SUMIFS(Ledger!$K$2:$K$4, Ledger!$B$2:$B$4, $A396, Ledger!$C$2:$C$4, O$2)),"****")</f>
        <v/>
      </c>
      <c r="P396" t="str">
        <f>IFERROR(IF($C396="","",SUMIFS(Ledger!$K$2:$K$4, Ledger!$B$2:$B$4, $A396, Ledger!$C$2:$C$4, P$2)),"****")</f>
        <v/>
      </c>
      <c r="Q396" t="str">
        <f>IFERROR(IF($C396="","",SUMIFS(Ledger!$K$2:$K$4, Ledger!$B$2:$B$4, $A396, Ledger!$C$2:$C$4, Q$2)),"****")</f>
        <v/>
      </c>
      <c r="R396" t="str">
        <f>IFERROR(IF($C396="","",SUMIFS(Ledger!$K$2:$K$4, Ledger!$B$2:$B$4, $A396, Ledger!$C$2:$C$4, R$2)),"****")</f>
        <v/>
      </c>
      <c r="S396" t="str">
        <f>IFERROR(IF($C396="","",SUMIFS(Ledger!$K$2:$K$4, Ledger!$B$2:$B$4, $A396, Ledger!$C$2:$C$4, S$2)),"****")</f>
        <v/>
      </c>
      <c r="T396" t="str">
        <f>IFERROR(IF($C396="","",SUMIFS(Ledger!$K$2:$K$4, Ledger!$B$2:$B$4, $A396, Ledger!$C$2:$C$4, T$2)),"****")</f>
        <v/>
      </c>
      <c r="U396" t="str">
        <f>IFERROR(IF($C396="","",SUMIFS(Ledger!$K$2:$K$4, Ledger!$B$2:$B$4, $A396, Ledger!$C$2:$C$4, U$2)),"****")</f>
        <v/>
      </c>
      <c r="V396" t="str">
        <f>IFERROR(IF($C396="","",SUMIFS(Ledger!$K$2:$K$4, Ledger!$B$2:$B$4, $A396, Ledger!$C$2:$C$4, V$2)),"****")</f>
        <v/>
      </c>
      <c r="W396" t="str">
        <f>IFERROR(IF($C396="","",SUMIFS(Ledger!$K$2:$K$4, Ledger!$B$2:$B$4, $A396, Ledger!$C$2:$C$4, W$2)),"****")</f>
        <v/>
      </c>
      <c r="X396" t="str">
        <f>IFERROR(IF($C396="","",SUMIFS(Ledger!$K$2:$K$4, Ledger!$B$2:$B$4, $A396, Ledger!$C$2:$C$4, X$2)),"****")</f>
        <v/>
      </c>
    </row>
    <row r="397" spans="1:24" x14ac:dyDescent="0.3">
      <c r="A397" s="106">
        <v>395</v>
      </c>
      <c r="B397" t="str">
        <f>IFERROR(VLOOKUP($A397, Ledger!$B$2:$L$8, 3, 0),"")</f>
        <v/>
      </c>
      <c r="C397" t="str">
        <f>IFERROR(VLOOKUP($A397, Ledger!$B$2:$L$8, 4, 0),"")</f>
        <v/>
      </c>
      <c r="D397" t="str">
        <f>IFERROR(VLOOKUP($A397, Ledger!$B$2:$L$8, 5, 0),"")</f>
        <v/>
      </c>
      <c r="E397" t="str">
        <f>IFERROR(VLOOKUP($A397, Ledger!$B$2:$L$8, 6, 0),"")</f>
        <v/>
      </c>
      <c r="F397" t="str">
        <f>IFERROR(VLOOKUP($A397,'Student Data'!$A$2:$AR$6,32,0),"")</f>
        <v/>
      </c>
      <c r="G397" t="str">
        <f>IFERROR(VLOOKUP($A397,'Student Data'!$A$2:$AR$6,33,0),"")</f>
        <v/>
      </c>
      <c r="H397" t="str">
        <f>IFERROR(VLOOKUP($A397,'Student Data'!$A$2:$AR$6,34,0),"")</f>
        <v/>
      </c>
      <c r="I397" t="str">
        <f>IFERROR(VLOOKUP($A397,'Student Data'!$A$2:$AR$6,35,0),"")</f>
        <v/>
      </c>
      <c r="J397" t="str">
        <f>IFERROR(VLOOKUP($A397,'Student Data'!$A$2:$AR$6,36,0),"")</f>
        <v/>
      </c>
      <c r="K397" t="str">
        <f t="shared" si="12"/>
        <v/>
      </c>
      <c r="L397" t="str">
        <f t="shared" si="13"/>
        <v/>
      </c>
      <c r="M397" t="str">
        <f>IFERROR(IF($C397="","",SUMIFS(Ledger!$K$2:$K$4, Ledger!$B$2:$B$4, $A397, Ledger!$C$2:$C$4, M$2)),"****")</f>
        <v/>
      </c>
      <c r="N397" t="str">
        <f>IFERROR(IF($C397="","",SUMIFS(Ledger!$K$2:$K$4, Ledger!$B$2:$B$4, $A397, Ledger!$C$2:$C$4, N$2)),"****")</f>
        <v/>
      </c>
      <c r="O397" t="str">
        <f>IFERROR(IF($C397="","",SUMIFS(Ledger!$K$2:$K$4, Ledger!$B$2:$B$4, $A397, Ledger!$C$2:$C$4, O$2)),"****")</f>
        <v/>
      </c>
      <c r="P397" t="str">
        <f>IFERROR(IF($C397="","",SUMIFS(Ledger!$K$2:$K$4, Ledger!$B$2:$B$4, $A397, Ledger!$C$2:$C$4, P$2)),"****")</f>
        <v/>
      </c>
      <c r="Q397" t="str">
        <f>IFERROR(IF($C397="","",SUMIFS(Ledger!$K$2:$K$4, Ledger!$B$2:$B$4, $A397, Ledger!$C$2:$C$4, Q$2)),"****")</f>
        <v/>
      </c>
      <c r="R397" t="str">
        <f>IFERROR(IF($C397="","",SUMIFS(Ledger!$K$2:$K$4, Ledger!$B$2:$B$4, $A397, Ledger!$C$2:$C$4, R$2)),"****")</f>
        <v/>
      </c>
      <c r="S397" t="str">
        <f>IFERROR(IF($C397="","",SUMIFS(Ledger!$K$2:$K$4, Ledger!$B$2:$B$4, $A397, Ledger!$C$2:$C$4, S$2)),"****")</f>
        <v/>
      </c>
      <c r="T397" t="str">
        <f>IFERROR(IF($C397="","",SUMIFS(Ledger!$K$2:$K$4, Ledger!$B$2:$B$4, $A397, Ledger!$C$2:$C$4, T$2)),"****")</f>
        <v/>
      </c>
      <c r="U397" t="str">
        <f>IFERROR(IF($C397="","",SUMIFS(Ledger!$K$2:$K$4, Ledger!$B$2:$B$4, $A397, Ledger!$C$2:$C$4, U$2)),"****")</f>
        <v/>
      </c>
      <c r="V397" t="str">
        <f>IFERROR(IF($C397="","",SUMIFS(Ledger!$K$2:$K$4, Ledger!$B$2:$B$4, $A397, Ledger!$C$2:$C$4, V$2)),"****")</f>
        <v/>
      </c>
      <c r="W397" t="str">
        <f>IFERROR(IF($C397="","",SUMIFS(Ledger!$K$2:$K$4, Ledger!$B$2:$B$4, $A397, Ledger!$C$2:$C$4, W$2)),"****")</f>
        <v/>
      </c>
      <c r="X397" t="str">
        <f>IFERROR(IF($C397="","",SUMIFS(Ledger!$K$2:$K$4, Ledger!$B$2:$B$4, $A397, Ledger!$C$2:$C$4, X$2)),"****")</f>
        <v/>
      </c>
    </row>
    <row r="398" spans="1:24" x14ac:dyDescent="0.3">
      <c r="A398" s="106">
        <v>396</v>
      </c>
      <c r="B398" t="str">
        <f>IFERROR(VLOOKUP($A398, Ledger!$B$2:$L$8, 3, 0),"")</f>
        <v/>
      </c>
      <c r="C398" t="str">
        <f>IFERROR(VLOOKUP($A398, Ledger!$B$2:$L$8, 4, 0),"")</f>
        <v/>
      </c>
      <c r="D398" t="str">
        <f>IFERROR(VLOOKUP($A398, Ledger!$B$2:$L$8, 5, 0),"")</f>
        <v/>
      </c>
      <c r="E398" t="str">
        <f>IFERROR(VLOOKUP($A398, Ledger!$B$2:$L$8, 6, 0),"")</f>
        <v/>
      </c>
      <c r="F398" t="str">
        <f>IFERROR(VLOOKUP($A398,'Student Data'!$A$2:$AR$6,32,0),"")</f>
        <v/>
      </c>
      <c r="G398" t="str">
        <f>IFERROR(VLOOKUP($A398,'Student Data'!$A$2:$AR$6,33,0),"")</f>
        <v/>
      </c>
      <c r="H398" t="str">
        <f>IFERROR(VLOOKUP($A398,'Student Data'!$A$2:$AR$6,34,0),"")</f>
        <v/>
      </c>
      <c r="I398" t="str">
        <f>IFERROR(VLOOKUP($A398,'Student Data'!$A$2:$AR$6,35,0),"")</f>
        <v/>
      </c>
      <c r="J398" t="str">
        <f>IFERROR(VLOOKUP($A398,'Student Data'!$A$2:$AR$6,36,0),"")</f>
        <v/>
      </c>
      <c r="K398" t="str">
        <f t="shared" si="12"/>
        <v/>
      </c>
      <c r="L398" t="str">
        <f t="shared" si="13"/>
        <v/>
      </c>
      <c r="M398" t="str">
        <f>IFERROR(IF($C398="","",SUMIFS(Ledger!$K$2:$K$4, Ledger!$B$2:$B$4, $A398, Ledger!$C$2:$C$4, M$2)),"****")</f>
        <v/>
      </c>
      <c r="N398" t="str">
        <f>IFERROR(IF($C398="","",SUMIFS(Ledger!$K$2:$K$4, Ledger!$B$2:$B$4, $A398, Ledger!$C$2:$C$4, N$2)),"****")</f>
        <v/>
      </c>
      <c r="O398" t="str">
        <f>IFERROR(IF($C398="","",SUMIFS(Ledger!$K$2:$K$4, Ledger!$B$2:$B$4, $A398, Ledger!$C$2:$C$4, O$2)),"****")</f>
        <v/>
      </c>
      <c r="P398" t="str">
        <f>IFERROR(IF($C398="","",SUMIFS(Ledger!$K$2:$K$4, Ledger!$B$2:$B$4, $A398, Ledger!$C$2:$C$4, P$2)),"****")</f>
        <v/>
      </c>
      <c r="Q398" t="str">
        <f>IFERROR(IF($C398="","",SUMIFS(Ledger!$K$2:$K$4, Ledger!$B$2:$B$4, $A398, Ledger!$C$2:$C$4, Q$2)),"****")</f>
        <v/>
      </c>
      <c r="R398" t="str">
        <f>IFERROR(IF($C398="","",SUMIFS(Ledger!$K$2:$K$4, Ledger!$B$2:$B$4, $A398, Ledger!$C$2:$C$4, R$2)),"****")</f>
        <v/>
      </c>
      <c r="S398" t="str">
        <f>IFERROR(IF($C398="","",SUMIFS(Ledger!$K$2:$K$4, Ledger!$B$2:$B$4, $A398, Ledger!$C$2:$C$4, S$2)),"****")</f>
        <v/>
      </c>
      <c r="T398" t="str">
        <f>IFERROR(IF($C398="","",SUMIFS(Ledger!$K$2:$K$4, Ledger!$B$2:$B$4, $A398, Ledger!$C$2:$C$4, T$2)),"****")</f>
        <v/>
      </c>
      <c r="U398" t="str">
        <f>IFERROR(IF($C398="","",SUMIFS(Ledger!$K$2:$K$4, Ledger!$B$2:$B$4, $A398, Ledger!$C$2:$C$4, U$2)),"****")</f>
        <v/>
      </c>
      <c r="V398" t="str">
        <f>IFERROR(IF($C398="","",SUMIFS(Ledger!$K$2:$K$4, Ledger!$B$2:$B$4, $A398, Ledger!$C$2:$C$4, V$2)),"****")</f>
        <v/>
      </c>
      <c r="W398" t="str">
        <f>IFERROR(IF($C398="","",SUMIFS(Ledger!$K$2:$K$4, Ledger!$B$2:$B$4, $A398, Ledger!$C$2:$C$4, W$2)),"****")</f>
        <v/>
      </c>
      <c r="X398" t="str">
        <f>IFERROR(IF($C398="","",SUMIFS(Ledger!$K$2:$K$4, Ledger!$B$2:$B$4, $A398, Ledger!$C$2:$C$4, X$2)),"****")</f>
        <v/>
      </c>
    </row>
    <row r="399" spans="1:24" x14ac:dyDescent="0.3">
      <c r="A399" s="106">
        <v>397</v>
      </c>
      <c r="B399" t="str">
        <f>IFERROR(VLOOKUP($A399, Ledger!$B$2:$L$8, 3, 0),"")</f>
        <v/>
      </c>
      <c r="C399" t="str">
        <f>IFERROR(VLOOKUP($A399, Ledger!$B$2:$L$8, 4, 0),"")</f>
        <v/>
      </c>
      <c r="D399" t="str">
        <f>IFERROR(VLOOKUP($A399, Ledger!$B$2:$L$8, 5, 0),"")</f>
        <v/>
      </c>
      <c r="E399" t="str">
        <f>IFERROR(VLOOKUP($A399, Ledger!$B$2:$L$8, 6, 0),"")</f>
        <v/>
      </c>
      <c r="F399" t="str">
        <f>IFERROR(VLOOKUP($A399,'Student Data'!$A$2:$AR$6,32,0),"")</f>
        <v/>
      </c>
      <c r="G399" t="str">
        <f>IFERROR(VLOOKUP($A399,'Student Data'!$A$2:$AR$6,33,0),"")</f>
        <v/>
      </c>
      <c r="H399" t="str">
        <f>IFERROR(VLOOKUP($A399,'Student Data'!$A$2:$AR$6,34,0),"")</f>
        <v/>
      </c>
      <c r="I399" t="str">
        <f>IFERROR(VLOOKUP($A399,'Student Data'!$A$2:$AR$6,35,0),"")</f>
        <v/>
      </c>
      <c r="J399" t="str">
        <f>IFERROR(VLOOKUP($A399,'Student Data'!$A$2:$AR$6,36,0),"")</f>
        <v/>
      </c>
      <c r="K399" t="str">
        <f t="shared" si="12"/>
        <v/>
      </c>
      <c r="L399" t="str">
        <f t="shared" si="13"/>
        <v/>
      </c>
      <c r="M399" t="str">
        <f>IFERROR(IF($C399="","",SUMIFS(Ledger!$K$2:$K$4, Ledger!$B$2:$B$4, $A399, Ledger!$C$2:$C$4, M$2)),"****")</f>
        <v/>
      </c>
      <c r="N399" t="str">
        <f>IFERROR(IF($C399="","",SUMIFS(Ledger!$K$2:$K$4, Ledger!$B$2:$B$4, $A399, Ledger!$C$2:$C$4, N$2)),"****")</f>
        <v/>
      </c>
      <c r="O399" t="str">
        <f>IFERROR(IF($C399="","",SUMIFS(Ledger!$K$2:$K$4, Ledger!$B$2:$B$4, $A399, Ledger!$C$2:$C$4, O$2)),"****")</f>
        <v/>
      </c>
      <c r="P399" t="str">
        <f>IFERROR(IF($C399="","",SUMIFS(Ledger!$K$2:$K$4, Ledger!$B$2:$B$4, $A399, Ledger!$C$2:$C$4, P$2)),"****")</f>
        <v/>
      </c>
      <c r="Q399" t="str">
        <f>IFERROR(IF($C399="","",SUMIFS(Ledger!$K$2:$K$4, Ledger!$B$2:$B$4, $A399, Ledger!$C$2:$C$4, Q$2)),"****")</f>
        <v/>
      </c>
      <c r="R399" t="str">
        <f>IFERROR(IF($C399="","",SUMIFS(Ledger!$K$2:$K$4, Ledger!$B$2:$B$4, $A399, Ledger!$C$2:$C$4, R$2)),"****")</f>
        <v/>
      </c>
      <c r="S399" t="str">
        <f>IFERROR(IF($C399="","",SUMIFS(Ledger!$K$2:$K$4, Ledger!$B$2:$B$4, $A399, Ledger!$C$2:$C$4, S$2)),"****")</f>
        <v/>
      </c>
      <c r="T399" t="str">
        <f>IFERROR(IF($C399="","",SUMIFS(Ledger!$K$2:$K$4, Ledger!$B$2:$B$4, $A399, Ledger!$C$2:$C$4, T$2)),"****")</f>
        <v/>
      </c>
      <c r="U399" t="str">
        <f>IFERROR(IF($C399="","",SUMIFS(Ledger!$K$2:$K$4, Ledger!$B$2:$B$4, $A399, Ledger!$C$2:$C$4, U$2)),"****")</f>
        <v/>
      </c>
      <c r="V399" t="str">
        <f>IFERROR(IF($C399="","",SUMIFS(Ledger!$K$2:$K$4, Ledger!$B$2:$B$4, $A399, Ledger!$C$2:$C$4, V$2)),"****")</f>
        <v/>
      </c>
      <c r="W399" t="str">
        <f>IFERROR(IF($C399="","",SUMIFS(Ledger!$K$2:$K$4, Ledger!$B$2:$B$4, $A399, Ledger!$C$2:$C$4, W$2)),"****")</f>
        <v/>
      </c>
      <c r="X399" t="str">
        <f>IFERROR(IF($C399="","",SUMIFS(Ledger!$K$2:$K$4, Ledger!$B$2:$B$4, $A399, Ledger!$C$2:$C$4, X$2)),"****")</f>
        <v/>
      </c>
    </row>
    <row r="400" spans="1:24" x14ac:dyDescent="0.3">
      <c r="A400" s="106">
        <v>398</v>
      </c>
      <c r="B400" t="str">
        <f>IFERROR(VLOOKUP($A400, Ledger!$B$2:$L$8, 3, 0),"")</f>
        <v/>
      </c>
      <c r="C400" t="str">
        <f>IFERROR(VLOOKUP($A400, Ledger!$B$2:$L$8, 4, 0),"")</f>
        <v/>
      </c>
      <c r="D400" t="str">
        <f>IFERROR(VLOOKUP($A400, Ledger!$B$2:$L$8, 5, 0),"")</f>
        <v/>
      </c>
      <c r="E400" t="str">
        <f>IFERROR(VLOOKUP($A400, Ledger!$B$2:$L$8, 6, 0),"")</f>
        <v/>
      </c>
      <c r="F400" t="str">
        <f>IFERROR(VLOOKUP($A400,'Student Data'!$A$2:$AR$6,32,0),"")</f>
        <v/>
      </c>
      <c r="G400" t="str">
        <f>IFERROR(VLOOKUP($A400,'Student Data'!$A$2:$AR$6,33,0),"")</f>
        <v/>
      </c>
      <c r="H400" t="str">
        <f>IFERROR(VLOOKUP($A400,'Student Data'!$A$2:$AR$6,34,0),"")</f>
        <v/>
      </c>
      <c r="I400" t="str">
        <f>IFERROR(VLOOKUP($A400,'Student Data'!$A$2:$AR$6,35,0),"")</f>
        <v/>
      </c>
      <c r="J400" t="str">
        <f>IFERROR(VLOOKUP($A400,'Student Data'!$A$2:$AR$6,36,0),"")</f>
        <v/>
      </c>
      <c r="K400" t="str">
        <f t="shared" si="12"/>
        <v/>
      </c>
      <c r="L400" t="str">
        <f t="shared" si="13"/>
        <v/>
      </c>
      <c r="M400" t="str">
        <f>IFERROR(IF($C400="","",SUMIFS(Ledger!$K$2:$K$4, Ledger!$B$2:$B$4, $A400, Ledger!$C$2:$C$4, M$2)),"****")</f>
        <v/>
      </c>
      <c r="N400" t="str">
        <f>IFERROR(IF($C400="","",SUMIFS(Ledger!$K$2:$K$4, Ledger!$B$2:$B$4, $A400, Ledger!$C$2:$C$4, N$2)),"****")</f>
        <v/>
      </c>
      <c r="O400" t="str">
        <f>IFERROR(IF($C400="","",SUMIFS(Ledger!$K$2:$K$4, Ledger!$B$2:$B$4, $A400, Ledger!$C$2:$C$4, O$2)),"****")</f>
        <v/>
      </c>
      <c r="P400" t="str">
        <f>IFERROR(IF($C400="","",SUMIFS(Ledger!$K$2:$K$4, Ledger!$B$2:$B$4, $A400, Ledger!$C$2:$C$4, P$2)),"****")</f>
        <v/>
      </c>
      <c r="Q400" t="str">
        <f>IFERROR(IF($C400="","",SUMIFS(Ledger!$K$2:$K$4, Ledger!$B$2:$B$4, $A400, Ledger!$C$2:$C$4, Q$2)),"****")</f>
        <v/>
      </c>
      <c r="R400" t="str">
        <f>IFERROR(IF($C400="","",SUMIFS(Ledger!$K$2:$K$4, Ledger!$B$2:$B$4, $A400, Ledger!$C$2:$C$4, R$2)),"****")</f>
        <v/>
      </c>
      <c r="S400" t="str">
        <f>IFERROR(IF($C400="","",SUMIFS(Ledger!$K$2:$K$4, Ledger!$B$2:$B$4, $A400, Ledger!$C$2:$C$4, S$2)),"****")</f>
        <v/>
      </c>
      <c r="T400" t="str">
        <f>IFERROR(IF($C400="","",SUMIFS(Ledger!$K$2:$K$4, Ledger!$B$2:$B$4, $A400, Ledger!$C$2:$C$4, T$2)),"****")</f>
        <v/>
      </c>
      <c r="U400" t="str">
        <f>IFERROR(IF($C400="","",SUMIFS(Ledger!$K$2:$K$4, Ledger!$B$2:$B$4, $A400, Ledger!$C$2:$C$4, U$2)),"****")</f>
        <v/>
      </c>
      <c r="V400" t="str">
        <f>IFERROR(IF($C400="","",SUMIFS(Ledger!$K$2:$K$4, Ledger!$B$2:$B$4, $A400, Ledger!$C$2:$C$4, V$2)),"****")</f>
        <v/>
      </c>
      <c r="W400" t="str">
        <f>IFERROR(IF($C400="","",SUMIFS(Ledger!$K$2:$K$4, Ledger!$B$2:$B$4, $A400, Ledger!$C$2:$C$4, W$2)),"****")</f>
        <v/>
      </c>
      <c r="X400" t="str">
        <f>IFERROR(IF($C400="","",SUMIFS(Ledger!$K$2:$K$4, Ledger!$B$2:$B$4, $A400, Ledger!$C$2:$C$4, X$2)),"****")</f>
        <v/>
      </c>
    </row>
    <row r="401" spans="1:24" x14ac:dyDescent="0.3">
      <c r="A401" s="106">
        <v>399</v>
      </c>
      <c r="B401" t="str">
        <f>IFERROR(VLOOKUP($A401, Ledger!$B$2:$L$8, 3, 0),"")</f>
        <v/>
      </c>
      <c r="C401" t="str">
        <f>IFERROR(VLOOKUP($A401, Ledger!$B$2:$L$8, 4, 0),"")</f>
        <v/>
      </c>
      <c r="D401" t="str">
        <f>IFERROR(VLOOKUP($A401, Ledger!$B$2:$L$8, 5, 0),"")</f>
        <v/>
      </c>
      <c r="E401" t="str">
        <f>IFERROR(VLOOKUP($A401, Ledger!$B$2:$L$8, 6, 0),"")</f>
        <v/>
      </c>
      <c r="F401" t="str">
        <f>IFERROR(VLOOKUP($A401,'Student Data'!$A$2:$AR$6,32,0),"")</f>
        <v/>
      </c>
      <c r="G401" t="str">
        <f>IFERROR(VLOOKUP($A401,'Student Data'!$A$2:$AR$6,33,0),"")</f>
        <v/>
      </c>
      <c r="H401" t="str">
        <f>IFERROR(VLOOKUP($A401,'Student Data'!$A$2:$AR$6,34,0),"")</f>
        <v/>
      </c>
      <c r="I401" t="str">
        <f>IFERROR(VLOOKUP($A401,'Student Data'!$A$2:$AR$6,35,0),"")</f>
        <v/>
      </c>
      <c r="J401" t="str">
        <f>IFERROR(VLOOKUP($A401,'Student Data'!$A$2:$AR$6,36,0),"")</f>
        <v/>
      </c>
      <c r="K401" t="str">
        <f t="shared" si="12"/>
        <v/>
      </c>
      <c r="L401" t="str">
        <f t="shared" si="13"/>
        <v/>
      </c>
      <c r="M401" t="str">
        <f>IFERROR(IF($C401="","",SUMIFS(Ledger!$K$2:$K$4, Ledger!$B$2:$B$4, $A401, Ledger!$C$2:$C$4, M$2)),"****")</f>
        <v/>
      </c>
      <c r="N401" t="str">
        <f>IFERROR(IF($C401="","",SUMIFS(Ledger!$K$2:$K$4, Ledger!$B$2:$B$4, $A401, Ledger!$C$2:$C$4, N$2)),"****")</f>
        <v/>
      </c>
      <c r="O401" t="str">
        <f>IFERROR(IF($C401="","",SUMIFS(Ledger!$K$2:$K$4, Ledger!$B$2:$B$4, $A401, Ledger!$C$2:$C$4, O$2)),"****")</f>
        <v/>
      </c>
      <c r="P401" t="str">
        <f>IFERROR(IF($C401="","",SUMIFS(Ledger!$K$2:$K$4, Ledger!$B$2:$B$4, $A401, Ledger!$C$2:$C$4, P$2)),"****")</f>
        <v/>
      </c>
      <c r="Q401" t="str">
        <f>IFERROR(IF($C401="","",SUMIFS(Ledger!$K$2:$K$4, Ledger!$B$2:$B$4, $A401, Ledger!$C$2:$C$4, Q$2)),"****")</f>
        <v/>
      </c>
      <c r="R401" t="str">
        <f>IFERROR(IF($C401="","",SUMIFS(Ledger!$K$2:$K$4, Ledger!$B$2:$B$4, $A401, Ledger!$C$2:$C$4, R$2)),"****")</f>
        <v/>
      </c>
      <c r="S401" t="str">
        <f>IFERROR(IF($C401="","",SUMIFS(Ledger!$K$2:$K$4, Ledger!$B$2:$B$4, $A401, Ledger!$C$2:$C$4, S$2)),"****")</f>
        <v/>
      </c>
      <c r="T401" t="str">
        <f>IFERROR(IF($C401="","",SUMIFS(Ledger!$K$2:$K$4, Ledger!$B$2:$B$4, $A401, Ledger!$C$2:$C$4, T$2)),"****")</f>
        <v/>
      </c>
      <c r="U401" t="str">
        <f>IFERROR(IF($C401="","",SUMIFS(Ledger!$K$2:$K$4, Ledger!$B$2:$B$4, $A401, Ledger!$C$2:$C$4, U$2)),"****")</f>
        <v/>
      </c>
      <c r="V401" t="str">
        <f>IFERROR(IF($C401="","",SUMIFS(Ledger!$K$2:$K$4, Ledger!$B$2:$B$4, $A401, Ledger!$C$2:$C$4, V$2)),"****")</f>
        <v/>
      </c>
      <c r="W401" t="str">
        <f>IFERROR(IF($C401="","",SUMIFS(Ledger!$K$2:$K$4, Ledger!$B$2:$B$4, $A401, Ledger!$C$2:$C$4, W$2)),"****")</f>
        <v/>
      </c>
      <c r="X401" t="str">
        <f>IFERROR(IF($C401="","",SUMIFS(Ledger!$K$2:$K$4, Ledger!$B$2:$B$4, $A401, Ledger!$C$2:$C$4, X$2)),"****")</f>
        <v/>
      </c>
    </row>
    <row r="402" spans="1:24" x14ac:dyDescent="0.3">
      <c r="A402" s="106">
        <v>400</v>
      </c>
      <c r="B402" t="str">
        <f>IFERROR(VLOOKUP($A402, Ledger!$B$2:$L$8, 3, 0),"")</f>
        <v/>
      </c>
      <c r="C402" t="str">
        <f>IFERROR(VLOOKUP($A402, Ledger!$B$2:$L$8, 4, 0),"")</f>
        <v/>
      </c>
      <c r="D402" t="str">
        <f>IFERROR(VLOOKUP($A402, Ledger!$B$2:$L$8, 5, 0),"")</f>
        <v/>
      </c>
      <c r="E402" t="str">
        <f>IFERROR(VLOOKUP($A402, Ledger!$B$2:$L$8, 6, 0),"")</f>
        <v/>
      </c>
      <c r="F402" t="str">
        <f>IFERROR(VLOOKUP($A402,'Student Data'!$A$2:$AR$6,32,0),"")</f>
        <v/>
      </c>
      <c r="G402" t="str">
        <f>IFERROR(VLOOKUP($A402,'Student Data'!$A$2:$AR$6,33,0),"")</f>
        <v/>
      </c>
      <c r="H402" t="str">
        <f>IFERROR(VLOOKUP($A402,'Student Data'!$A$2:$AR$6,34,0),"")</f>
        <v/>
      </c>
      <c r="I402" t="str">
        <f>IFERROR(VLOOKUP($A402,'Student Data'!$A$2:$AR$6,35,0),"")</f>
        <v/>
      </c>
      <c r="J402" t="str">
        <f>IFERROR(VLOOKUP($A402,'Student Data'!$A$2:$AR$6,36,0),"")</f>
        <v/>
      </c>
      <c r="K402" t="str">
        <f t="shared" si="12"/>
        <v/>
      </c>
      <c r="L402" t="str">
        <f t="shared" si="13"/>
        <v/>
      </c>
      <c r="M402" t="str">
        <f>IFERROR(IF($C402="","",SUMIFS(Ledger!$K$2:$K$4, Ledger!$B$2:$B$4, $A402, Ledger!$C$2:$C$4, M$2)),"****")</f>
        <v/>
      </c>
      <c r="N402" t="str">
        <f>IFERROR(IF($C402="","",SUMIFS(Ledger!$K$2:$K$4, Ledger!$B$2:$B$4, $A402, Ledger!$C$2:$C$4, N$2)),"****")</f>
        <v/>
      </c>
      <c r="O402" t="str">
        <f>IFERROR(IF($C402="","",SUMIFS(Ledger!$K$2:$K$4, Ledger!$B$2:$B$4, $A402, Ledger!$C$2:$C$4, O$2)),"****")</f>
        <v/>
      </c>
      <c r="P402" t="str">
        <f>IFERROR(IF($C402="","",SUMIFS(Ledger!$K$2:$K$4, Ledger!$B$2:$B$4, $A402, Ledger!$C$2:$C$4, P$2)),"****")</f>
        <v/>
      </c>
      <c r="Q402" t="str">
        <f>IFERROR(IF($C402="","",SUMIFS(Ledger!$K$2:$K$4, Ledger!$B$2:$B$4, $A402, Ledger!$C$2:$C$4, Q$2)),"****")</f>
        <v/>
      </c>
      <c r="R402" t="str">
        <f>IFERROR(IF($C402="","",SUMIFS(Ledger!$K$2:$K$4, Ledger!$B$2:$B$4, $A402, Ledger!$C$2:$C$4, R$2)),"****")</f>
        <v/>
      </c>
      <c r="S402" t="str">
        <f>IFERROR(IF($C402="","",SUMIFS(Ledger!$K$2:$K$4, Ledger!$B$2:$B$4, $A402, Ledger!$C$2:$C$4, S$2)),"****")</f>
        <v/>
      </c>
      <c r="T402" t="str">
        <f>IFERROR(IF($C402="","",SUMIFS(Ledger!$K$2:$K$4, Ledger!$B$2:$B$4, $A402, Ledger!$C$2:$C$4, T$2)),"****")</f>
        <v/>
      </c>
      <c r="U402" t="str">
        <f>IFERROR(IF($C402="","",SUMIFS(Ledger!$K$2:$K$4, Ledger!$B$2:$B$4, $A402, Ledger!$C$2:$C$4, U$2)),"****")</f>
        <v/>
      </c>
      <c r="V402" t="str">
        <f>IFERROR(IF($C402="","",SUMIFS(Ledger!$K$2:$K$4, Ledger!$B$2:$B$4, $A402, Ledger!$C$2:$C$4, V$2)),"****")</f>
        <v/>
      </c>
      <c r="W402" t="str">
        <f>IFERROR(IF($C402="","",SUMIFS(Ledger!$K$2:$K$4, Ledger!$B$2:$B$4, $A402, Ledger!$C$2:$C$4, W$2)),"****")</f>
        <v/>
      </c>
      <c r="X402" t="str">
        <f>IFERROR(IF($C402="","",SUMIFS(Ledger!$K$2:$K$4, Ledger!$B$2:$B$4, $A402, Ledger!$C$2:$C$4, X$2)),"****")</f>
        <v/>
      </c>
    </row>
    <row r="403" spans="1:24" x14ac:dyDescent="0.3">
      <c r="A403" s="106">
        <v>401</v>
      </c>
      <c r="B403" t="str">
        <f>IFERROR(VLOOKUP($A403, Ledger!$B$2:$L$8, 3, 0),"")</f>
        <v/>
      </c>
      <c r="C403" t="str">
        <f>IFERROR(VLOOKUP($A403, Ledger!$B$2:$L$8, 4, 0),"")</f>
        <v/>
      </c>
      <c r="D403" t="str">
        <f>IFERROR(VLOOKUP($A403, Ledger!$B$2:$L$8, 5, 0),"")</f>
        <v/>
      </c>
      <c r="E403" t="str">
        <f>IFERROR(VLOOKUP($A403, Ledger!$B$2:$L$8, 6, 0),"")</f>
        <v/>
      </c>
      <c r="F403" t="str">
        <f>IFERROR(VLOOKUP($A403,'Student Data'!$A$2:$AR$6,32,0),"")</f>
        <v/>
      </c>
      <c r="G403" t="str">
        <f>IFERROR(VLOOKUP($A403,'Student Data'!$A$2:$AR$6,33,0),"")</f>
        <v/>
      </c>
      <c r="H403" t="str">
        <f>IFERROR(VLOOKUP($A403,'Student Data'!$A$2:$AR$6,34,0),"")</f>
        <v/>
      </c>
      <c r="I403" t="str">
        <f>IFERROR(VLOOKUP($A403,'Student Data'!$A$2:$AR$6,35,0),"")</f>
        <v/>
      </c>
      <c r="J403" t="str">
        <f>IFERROR(VLOOKUP($A403,'Student Data'!$A$2:$AR$6,36,0),"")</f>
        <v/>
      </c>
      <c r="K403" t="str">
        <f t="shared" si="12"/>
        <v/>
      </c>
      <c r="L403" t="str">
        <f t="shared" si="13"/>
        <v/>
      </c>
      <c r="M403" t="str">
        <f>IFERROR(IF($C403="","",SUMIFS(Ledger!$K$2:$K$4, Ledger!$B$2:$B$4, $A403, Ledger!$C$2:$C$4, M$2)),"****")</f>
        <v/>
      </c>
      <c r="N403" t="str">
        <f>IFERROR(IF($C403="","",SUMIFS(Ledger!$K$2:$K$4, Ledger!$B$2:$B$4, $A403, Ledger!$C$2:$C$4, N$2)),"****")</f>
        <v/>
      </c>
      <c r="O403" t="str">
        <f>IFERROR(IF($C403="","",SUMIFS(Ledger!$K$2:$K$4, Ledger!$B$2:$B$4, $A403, Ledger!$C$2:$C$4, O$2)),"****")</f>
        <v/>
      </c>
      <c r="P403" t="str">
        <f>IFERROR(IF($C403="","",SUMIFS(Ledger!$K$2:$K$4, Ledger!$B$2:$B$4, $A403, Ledger!$C$2:$C$4, P$2)),"****")</f>
        <v/>
      </c>
      <c r="Q403" t="str">
        <f>IFERROR(IF($C403="","",SUMIFS(Ledger!$K$2:$K$4, Ledger!$B$2:$B$4, $A403, Ledger!$C$2:$C$4, Q$2)),"****")</f>
        <v/>
      </c>
      <c r="R403" t="str">
        <f>IFERROR(IF($C403="","",SUMIFS(Ledger!$K$2:$K$4, Ledger!$B$2:$B$4, $A403, Ledger!$C$2:$C$4, R$2)),"****")</f>
        <v/>
      </c>
      <c r="S403" t="str">
        <f>IFERROR(IF($C403="","",SUMIFS(Ledger!$K$2:$K$4, Ledger!$B$2:$B$4, $A403, Ledger!$C$2:$C$4, S$2)),"****")</f>
        <v/>
      </c>
      <c r="T403" t="str">
        <f>IFERROR(IF($C403="","",SUMIFS(Ledger!$K$2:$K$4, Ledger!$B$2:$B$4, $A403, Ledger!$C$2:$C$4, T$2)),"****")</f>
        <v/>
      </c>
      <c r="U403" t="str">
        <f>IFERROR(IF($C403="","",SUMIFS(Ledger!$K$2:$K$4, Ledger!$B$2:$B$4, $A403, Ledger!$C$2:$C$4, U$2)),"****")</f>
        <v/>
      </c>
      <c r="V403" t="str">
        <f>IFERROR(IF($C403="","",SUMIFS(Ledger!$K$2:$K$4, Ledger!$B$2:$B$4, $A403, Ledger!$C$2:$C$4, V$2)),"****")</f>
        <v/>
      </c>
      <c r="W403" t="str">
        <f>IFERROR(IF($C403="","",SUMIFS(Ledger!$K$2:$K$4, Ledger!$B$2:$B$4, $A403, Ledger!$C$2:$C$4, W$2)),"****")</f>
        <v/>
      </c>
      <c r="X403" t="str">
        <f>IFERROR(IF($C403="","",SUMIFS(Ledger!$K$2:$K$4, Ledger!$B$2:$B$4, $A403, Ledger!$C$2:$C$4, X$2)),"****")</f>
        <v/>
      </c>
    </row>
    <row r="404" spans="1:24" x14ac:dyDescent="0.3">
      <c r="A404" s="106">
        <v>402</v>
      </c>
      <c r="B404" t="str">
        <f>IFERROR(VLOOKUP($A404, Ledger!$B$2:$L$8, 3, 0),"")</f>
        <v/>
      </c>
      <c r="C404" t="str">
        <f>IFERROR(VLOOKUP($A404, Ledger!$B$2:$L$8, 4, 0),"")</f>
        <v/>
      </c>
      <c r="D404" t="str">
        <f>IFERROR(VLOOKUP($A404, Ledger!$B$2:$L$8, 5, 0),"")</f>
        <v/>
      </c>
      <c r="E404" t="str">
        <f>IFERROR(VLOOKUP($A404, Ledger!$B$2:$L$8, 6, 0),"")</f>
        <v/>
      </c>
      <c r="F404" t="str">
        <f>IFERROR(VLOOKUP($A404,'Student Data'!$A$2:$AR$6,32,0),"")</f>
        <v/>
      </c>
      <c r="G404" t="str">
        <f>IFERROR(VLOOKUP($A404,'Student Data'!$A$2:$AR$6,33,0),"")</f>
        <v/>
      </c>
      <c r="H404" t="str">
        <f>IFERROR(VLOOKUP($A404,'Student Data'!$A$2:$AR$6,34,0),"")</f>
        <v/>
      </c>
      <c r="I404" t="str">
        <f>IFERROR(VLOOKUP($A404,'Student Data'!$A$2:$AR$6,35,0),"")</f>
        <v/>
      </c>
      <c r="J404" t="str">
        <f>IFERROR(VLOOKUP($A404,'Student Data'!$A$2:$AR$6,36,0),"")</f>
        <v/>
      </c>
      <c r="K404" t="str">
        <f t="shared" si="12"/>
        <v/>
      </c>
      <c r="L404" t="str">
        <f t="shared" si="13"/>
        <v/>
      </c>
      <c r="M404" t="str">
        <f>IFERROR(IF($C404="","",SUMIFS(Ledger!$K$2:$K$4, Ledger!$B$2:$B$4, $A404, Ledger!$C$2:$C$4, M$2)),"****")</f>
        <v/>
      </c>
      <c r="N404" t="str">
        <f>IFERROR(IF($C404="","",SUMIFS(Ledger!$K$2:$K$4, Ledger!$B$2:$B$4, $A404, Ledger!$C$2:$C$4, N$2)),"****")</f>
        <v/>
      </c>
      <c r="O404" t="str">
        <f>IFERROR(IF($C404="","",SUMIFS(Ledger!$K$2:$K$4, Ledger!$B$2:$B$4, $A404, Ledger!$C$2:$C$4, O$2)),"****")</f>
        <v/>
      </c>
      <c r="P404" t="str">
        <f>IFERROR(IF($C404="","",SUMIFS(Ledger!$K$2:$K$4, Ledger!$B$2:$B$4, $A404, Ledger!$C$2:$C$4, P$2)),"****")</f>
        <v/>
      </c>
      <c r="Q404" t="str">
        <f>IFERROR(IF($C404="","",SUMIFS(Ledger!$K$2:$K$4, Ledger!$B$2:$B$4, $A404, Ledger!$C$2:$C$4, Q$2)),"****")</f>
        <v/>
      </c>
      <c r="R404" t="str">
        <f>IFERROR(IF($C404="","",SUMIFS(Ledger!$K$2:$K$4, Ledger!$B$2:$B$4, $A404, Ledger!$C$2:$C$4, R$2)),"****")</f>
        <v/>
      </c>
      <c r="S404" t="str">
        <f>IFERROR(IF($C404="","",SUMIFS(Ledger!$K$2:$K$4, Ledger!$B$2:$B$4, $A404, Ledger!$C$2:$C$4, S$2)),"****")</f>
        <v/>
      </c>
      <c r="T404" t="str">
        <f>IFERROR(IF($C404="","",SUMIFS(Ledger!$K$2:$K$4, Ledger!$B$2:$B$4, $A404, Ledger!$C$2:$C$4, T$2)),"****")</f>
        <v/>
      </c>
      <c r="U404" t="str">
        <f>IFERROR(IF($C404="","",SUMIFS(Ledger!$K$2:$K$4, Ledger!$B$2:$B$4, $A404, Ledger!$C$2:$C$4, U$2)),"****")</f>
        <v/>
      </c>
      <c r="V404" t="str">
        <f>IFERROR(IF($C404="","",SUMIFS(Ledger!$K$2:$K$4, Ledger!$B$2:$B$4, $A404, Ledger!$C$2:$C$4, V$2)),"****")</f>
        <v/>
      </c>
      <c r="W404" t="str">
        <f>IFERROR(IF($C404="","",SUMIFS(Ledger!$K$2:$K$4, Ledger!$B$2:$B$4, $A404, Ledger!$C$2:$C$4, W$2)),"****")</f>
        <v/>
      </c>
      <c r="X404" t="str">
        <f>IFERROR(IF($C404="","",SUMIFS(Ledger!$K$2:$K$4, Ledger!$B$2:$B$4, $A404, Ledger!$C$2:$C$4, X$2)),"****")</f>
        <v/>
      </c>
    </row>
    <row r="405" spans="1:24" x14ac:dyDescent="0.3">
      <c r="A405" s="106">
        <v>403</v>
      </c>
      <c r="B405" t="str">
        <f>IFERROR(VLOOKUP($A405, Ledger!$B$2:$L$8, 3, 0),"")</f>
        <v/>
      </c>
      <c r="C405" t="str">
        <f>IFERROR(VLOOKUP($A405, Ledger!$B$2:$L$8, 4, 0),"")</f>
        <v/>
      </c>
      <c r="D405" t="str">
        <f>IFERROR(VLOOKUP($A405, Ledger!$B$2:$L$8, 5, 0),"")</f>
        <v/>
      </c>
      <c r="E405" t="str">
        <f>IFERROR(VLOOKUP($A405, Ledger!$B$2:$L$8, 6, 0),"")</f>
        <v/>
      </c>
      <c r="F405" t="str">
        <f>IFERROR(VLOOKUP($A405,'Student Data'!$A$2:$AR$6,32,0),"")</f>
        <v/>
      </c>
      <c r="G405" t="str">
        <f>IFERROR(VLOOKUP($A405,'Student Data'!$A$2:$AR$6,33,0),"")</f>
        <v/>
      </c>
      <c r="H405" t="str">
        <f>IFERROR(VLOOKUP($A405,'Student Data'!$A$2:$AR$6,34,0),"")</f>
        <v/>
      </c>
      <c r="I405" t="str">
        <f>IFERROR(VLOOKUP($A405,'Student Data'!$A$2:$AR$6,35,0),"")</f>
        <v/>
      </c>
      <c r="J405" t="str">
        <f>IFERROR(VLOOKUP($A405,'Student Data'!$A$2:$AR$6,36,0),"")</f>
        <v/>
      </c>
      <c r="K405" t="str">
        <f t="shared" si="12"/>
        <v/>
      </c>
      <c r="L405" t="str">
        <f t="shared" si="13"/>
        <v/>
      </c>
      <c r="M405" t="str">
        <f>IFERROR(IF($C405="","",SUMIFS(Ledger!$K$2:$K$4, Ledger!$B$2:$B$4, $A405, Ledger!$C$2:$C$4, M$2)),"****")</f>
        <v/>
      </c>
      <c r="N405" t="str">
        <f>IFERROR(IF($C405="","",SUMIFS(Ledger!$K$2:$K$4, Ledger!$B$2:$B$4, $A405, Ledger!$C$2:$C$4, N$2)),"****")</f>
        <v/>
      </c>
      <c r="O405" t="str">
        <f>IFERROR(IF($C405="","",SUMIFS(Ledger!$K$2:$K$4, Ledger!$B$2:$B$4, $A405, Ledger!$C$2:$C$4, O$2)),"****")</f>
        <v/>
      </c>
      <c r="P405" t="str">
        <f>IFERROR(IF($C405="","",SUMIFS(Ledger!$K$2:$K$4, Ledger!$B$2:$B$4, $A405, Ledger!$C$2:$C$4, P$2)),"****")</f>
        <v/>
      </c>
      <c r="Q405" t="str">
        <f>IFERROR(IF($C405="","",SUMIFS(Ledger!$K$2:$K$4, Ledger!$B$2:$B$4, $A405, Ledger!$C$2:$C$4, Q$2)),"****")</f>
        <v/>
      </c>
      <c r="R405" t="str">
        <f>IFERROR(IF($C405="","",SUMIFS(Ledger!$K$2:$K$4, Ledger!$B$2:$B$4, $A405, Ledger!$C$2:$C$4, R$2)),"****")</f>
        <v/>
      </c>
      <c r="S405" t="str">
        <f>IFERROR(IF($C405="","",SUMIFS(Ledger!$K$2:$K$4, Ledger!$B$2:$B$4, $A405, Ledger!$C$2:$C$4, S$2)),"****")</f>
        <v/>
      </c>
      <c r="T405" t="str">
        <f>IFERROR(IF($C405="","",SUMIFS(Ledger!$K$2:$K$4, Ledger!$B$2:$B$4, $A405, Ledger!$C$2:$C$4, T$2)),"****")</f>
        <v/>
      </c>
      <c r="U405" t="str">
        <f>IFERROR(IF($C405="","",SUMIFS(Ledger!$K$2:$K$4, Ledger!$B$2:$B$4, $A405, Ledger!$C$2:$C$4, U$2)),"****")</f>
        <v/>
      </c>
      <c r="V405" t="str">
        <f>IFERROR(IF($C405="","",SUMIFS(Ledger!$K$2:$K$4, Ledger!$B$2:$B$4, $A405, Ledger!$C$2:$C$4, V$2)),"****")</f>
        <v/>
      </c>
      <c r="W405" t="str">
        <f>IFERROR(IF($C405="","",SUMIFS(Ledger!$K$2:$K$4, Ledger!$B$2:$B$4, $A405, Ledger!$C$2:$C$4, W$2)),"****")</f>
        <v/>
      </c>
      <c r="X405" t="str">
        <f>IFERROR(IF($C405="","",SUMIFS(Ledger!$K$2:$K$4, Ledger!$B$2:$B$4, $A405, Ledger!$C$2:$C$4, X$2)),"****")</f>
        <v/>
      </c>
    </row>
    <row r="406" spans="1:24" x14ac:dyDescent="0.3">
      <c r="A406" s="106">
        <v>404</v>
      </c>
      <c r="B406" t="str">
        <f>IFERROR(VLOOKUP($A406, Ledger!$B$2:$L$8, 3, 0),"")</f>
        <v/>
      </c>
      <c r="C406" t="str">
        <f>IFERROR(VLOOKUP($A406, Ledger!$B$2:$L$8, 4, 0),"")</f>
        <v/>
      </c>
      <c r="D406" t="str">
        <f>IFERROR(VLOOKUP($A406, Ledger!$B$2:$L$8, 5, 0),"")</f>
        <v/>
      </c>
      <c r="E406" t="str">
        <f>IFERROR(VLOOKUP($A406, Ledger!$B$2:$L$8, 6, 0),"")</f>
        <v/>
      </c>
      <c r="F406" t="str">
        <f>IFERROR(VLOOKUP($A406,'Student Data'!$A$2:$AR$6,32,0),"")</f>
        <v/>
      </c>
      <c r="G406" t="str">
        <f>IFERROR(VLOOKUP($A406,'Student Data'!$A$2:$AR$6,33,0),"")</f>
        <v/>
      </c>
      <c r="H406" t="str">
        <f>IFERROR(VLOOKUP($A406,'Student Data'!$A$2:$AR$6,34,0),"")</f>
        <v/>
      </c>
      <c r="I406" t="str">
        <f>IFERROR(VLOOKUP($A406,'Student Data'!$A$2:$AR$6,35,0),"")</f>
        <v/>
      </c>
      <c r="J406" t="str">
        <f>IFERROR(VLOOKUP($A406,'Student Data'!$A$2:$AR$6,36,0),"")</f>
        <v/>
      </c>
      <c r="K406" t="str">
        <f t="shared" si="12"/>
        <v/>
      </c>
      <c r="L406" t="str">
        <f t="shared" si="13"/>
        <v/>
      </c>
      <c r="M406" t="str">
        <f>IFERROR(IF($C406="","",SUMIFS(Ledger!$K$2:$K$4, Ledger!$B$2:$B$4, $A406, Ledger!$C$2:$C$4, M$2)),"****")</f>
        <v/>
      </c>
      <c r="N406" t="str">
        <f>IFERROR(IF($C406="","",SUMIFS(Ledger!$K$2:$K$4, Ledger!$B$2:$B$4, $A406, Ledger!$C$2:$C$4, N$2)),"****")</f>
        <v/>
      </c>
      <c r="O406" t="str">
        <f>IFERROR(IF($C406="","",SUMIFS(Ledger!$K$2:$K$4, Ledger!$B$2:$B$4, $A406, Ledger!$C$2:$C$4, O$2)),"****")</f>
        <v/>
      </c>
      <c r="P406" t="str">
        <f>IFERROR(IF($C406="","",SUMIFS(Ledger!$K$2:$K$4, Ledger!$B$2:$B$4, $A406, Ledger!$C$2:$C$4, P$2)),"****")</f>
        <v/>
      </c>
      <c r="Q406" t="str">
        <f>IFERROR(IF($C406="","",SUMIFS(Ledger!$K$2:$K$4, Ledger!$B$2:$B$4, $A406, Ledger!$C$2:$C$4, Q$2)),"****")</f>
        <v/>
      </c>
      <c r="R406" t="str">
        <f>IFERROR(IF($C406="","",SUMIFS(Ledger!$K$2:$K$4, Ledger!$B$2:$B$4, $A406, Ledger!$C$2:$C$4, R$2)),"****")</f>
        <v/>
      </c>
      <c r="S406" t="str">
        <f>IFERROR(IF($C406="","",SUMIFS(Ledger!$K$2:$K$4, Ledger!$B$2:$B$4, $A406, Ledger!$C$2:$C$4, S$2)),"****")</f>
        <v/>
      </c>
      <c r="T406" t="str">
        <f>IFERROR(IF($C406="","",SUMIFS(Ledger!$K$2:$K$4, Ledger!$B$2:$B$4, $A406, Ledger!$C$2:$C$4, T$2)),"****")</f>
        <v/>
      </c>
      <c r="U406" t="str">
        <f>IFERROR(IF($C406="","",SUMIFS(Ledger!$K$2:$K$4, Ledger!$B$2:$B$4, $A406, Ledger!$C$2:$C$4, U$2)),"****")</f>
        <v/>
      </c>
      <c r="V406" t="str">
        <f>IFERROR(IF($C406="","",SUMIFS(Ledger!$K$2:$K$4, Ledger!$B$2:$B$4, $A406, Ledger!$C$2:$C$4, V$2)),"****")</f>
        <v/>
      </c>
      <c r="W406" t="str">
        <f>IFERROR(IF($C406="","",SUMIFS(Ledger!$K$2:$K$4, Ledger!$B$2:$B$4, $A406, Ledger!$C$2:$C$4, W$2)),"****")</f>
        <v/>
      </c>
      <c r="X406" t="str">
        <f>IFERROR(IF($C406="","",SUMIFS(Ledger!$K$2:$K$4, Ledger!$B$2:$B$4, $A406, Ledger!$C$2:$C$4, X$2)),"****")</f>
        <v/>
      </c>
    </row>
    <row r="407" spans="1:24" x14ac:dyDescent="0.3">
      <c r="A407" s="106">
        <v>405</v>
      </c>
      <c r="B407" t="str">
        <f>IFERROR(VLOOKUP($A407, Ledger!$B$2:$L$8, 3, 0),"")</f>
        <v/>
      </c>
      <c r="C407" t="str">
        <f>IFERROR(VLOOKUP($A407, Ledger!$B$2:$L$8, 4, 0),"")</f>
        <v/>
      </c>
      <c r="D407" t="str">
        <f>IFERROR(VLOOKUP($A407, Ledger!$B$2:$L$8, 5, 0),"")</f>
        <v/>
      </c>
      <c r="E407" t="str">
        <f>IFERROR(VLOOKUP($A407, Ledger!$B$2:$L$8, 6, 0),"")</f>
        <v/>
      </c>
      <c r="F407" t="str">
        <f>IFERROR(VLOOKUP($A407,'Student Data'!$A$2:$AR$6,32,0),"")</f>
        <v/>
      </c>
      <c r="G407" t="str">
        <f>IFERROR(VLOOKUP($A407,'Student Data'!$A$2:$AR$6,33,0),"")</f>
        <v/>
      </c>
      <c r="H407" t="str">
        <f>IFERROR(VLOOKUP($A407,'Student Data'!$A$2:$AR$6,34,0),"")</f>
        <v/>
      </c>
      <c r="I407" t="str">
        <f>IFERROR(VLOOKUP($A407,'Student Data'!$A$2:$AR$6,35,0),"")</f>
        <v/>
      </c>
      <c r="J407" t="str">
        <f>IFERROR(VLOOKUP($A407,'Student Data'!$A$2:$AR$6,36,0),"")</f>
        <v/>
      </c>
      <c r="K407" t="str">
        <f t="shared" si="12"/>
        <v/>
      </c>
      <c r="L407" t="str">
        <f t="shared" si="13"/>
        <v/>
      </c>
      <c r="M407" t="str">
        <f>IFERROR(IF($C407="","",SUMIFS(Ledger!$K$2:$K$4, Ledger!$B$2:$B$4, $A407, Ledger!$C$2:$C$4, M$2)),"****")</f>
        <v/>
      </c>
      <c r="N407" t="str">
        <f>IFERROR(IF($C407="","",SUMIFS(Ledger!$K$2:$K$4, Ledger!$B$2:$B$4, $A407, Ledger!$C$2:$C$4, N$2)),"****")</f>
        <v/>
      </c>
      <c r="O407" t="str">
        <f>IFERROR(IF($C407="","",SUMIFS(Ledger!$K$2:$K$4, Ledger!$B$2:$B$4, $A407, Ledger!$C$2:$C$4, O$2)),"****")</f>
        <v/>
      </c>
      <c r="P407" t="str">
        <f>IFERROR(IF($C407="","",SUMIFS(Ledger!$K$2:$K$4, Ledger!$B$2:$B$4, $A407, Ledger!$C$2:$C$4, P$2)),"****")</f>
        <v/>
      </c>
      <c r="Q407" t="str">
        <f>IFERROR(IF($C407="","",SUMIFS(Ledger!$K$2:$K$4, Ledger!$B$2:$B$4, $A407, Ledger!$C$2:$C$4, Q$2)),"****")</f>
        <v/>
      </c>
      <c r="R407" t="str">
        <f>IFERROR(IF($C407="","",SUMIFS(Ledger!$K$2:$K$4, Ledger!$B$2:$B$4, $A407, Ledger!$C$2:$C$4, R$2)),"****")</f>
        <v/>
      </c>
      <c r="S407" t="str">
        <f>IFERROR(IF($C407="","",SUMIFS(Ledger!$K$2:$K$4, Ledger!$B$2:$B$4, $A407, Ledger!$C$2:$C$4, S$2)),"****")</f>
        <v/>
      </c>
      <c r="T407" t="str">
        <f>IFERROR(IF($C407="","",SUMIFS(Ledger!$K$2:$K$4, Ledger!$B$2:$B$4, $A407, Ledger!$C$2:$C$4, T$2)),"****")</f>
        <v/>
      </c>
      <c r="U407" t="str">
        <f>IFERROR(IF($C407="","",SUMIFS(Ledger!$K$2:$K$4, Ledger!$B$2:$B$4, $A407, Ledger!$C$2:$C$4, U$2)),"****")</f>
        <v/>
      </c>
      <c r="V407" t="str">
        <f>IFERROR(IF($C407="","",SUMIFS(Ledger!$K$2:$K$4, Ledger!$B$2:$B$4, $A407, Ledger!$C$2:$C$4, V$2)),"****")</f>
        <v/>
      </c>
      <c r="W407" t="str">
        <f>IFERROR(IF($C407="","",SUMIFS(Ledger!$K$2:$K$4, Ledger!$B$2:$B$4, $A407, Ledger!$C$2:$C$4, W$2)),"****")</f>
        <v/>
      </c>
      <c r="X407" t="str">
        <f>IFERROR(IF($C407="","",SUMIFS(Ledger!$K$2:$K$4, Ledger!$B$2:$B$4, $A407, Ledger!$C$2:$C$4, X$2)),"****")</f>
        <v/>
      </c>
    </row>
    <row r="408" spans="1:24" x14ac:dyDescent="0.3">
      <c r="A408" s="106">
        <v>406</v>
      </c>
      <c r="B408" t="str">
        <f>IFERROR(VLOOKUP($A408, Ledger!$B$2:$L$8, 3, 0),"")</f>
        <v/>
      </c>
      <c r="C408" t="str">
        <f>IFERROR(VLOOKUP($A408, Ledger!$B$2:$L$8, 4, 0),"")</f>
        <v/>
      </c>
      <c r="D408" t="str">
        <f>IFERROR(VLOOKUP($A408, Ledger!$B$2:$L$8, 5, 0),"")</f>
        <v/>
      </c>
      <c r="E408" t="str">
        <f>IFERROR(VLOOKUP($A408, Ledger!$B$2:$L$8, 6, 0),"")</f>
        <v/>
      </c>
      <c r="F408" t="str">
        <f>IFERROR(VLOOKUP($A408,'Student Data'!$A$2:$AR$6,32,0),"")</f>
        <v/>
      </c>
      <c r="G408" t="str">
        <f>IFERROR(VLOOKUP($A408,'Student Data'!$A$2:$AR$6,33,0),"")</f>
        <v/>
      </c>
      <c r="H408" t="str">
        <f>IFERROR(VLOOKUP($A408,'Student Data'!$A$2:$AR$6,34,0),"")</f>
        <v/>
      </c>
      <c r="I408" t="str">
        <f>IFERROR(VLOOKUP($A408,'Student Data'!$A$2:$AR$6,35,0),"")</f>
        <v/>
      </c>
      <c r="J408" t="str">
        <f>IFERROR(VLOOKUP($A408,'Student Data'!$A$2:$AR$6,36,0),"")</f>
        <v/>
      </c>
      <c r="K408" t="str">
        <f t="shared" si="12"/>
        <v/>
      </c>
      <c r="L408" t="str">
        <f t="shared" si="13"/>
        <v/>
      </c>
      <c r="M408" t="str">
        <f>IFERROR(IF($C408="","",SUMIFS(Ledger!$K$2:$K$4, Ledger!$B$2:$B$4, $A408, Ledger!$C$2:$C$4, M$2)),"****")</f>
        <v/>
      </c>
      <c r="N408" t="str">
        <f>IFERROR(IF($C408="","",SUMIFS(Ledger!$K$2:$K$4, Ledger!$B$2:$B$4, $A408, Ledger!$C$2:$C$4, N$2)),"****")</f>
        <v/>
      </c>
      <c r="O408" t="str">
        <f>IFERROR(IF($C408="","",SUMIFS(Ledger!$K$2:$K$4, Ledger!$B$2:$B$4, $A408, Ledger!$C$2:$C$4, O$2)),"****")</f>
        <v/>
      </c>
      <c r="P408" t="str">
        <f>IFERROR(IF($C408="","",SUMIFS(Ledger!$K$2:$K$4, Ledger!$B$2:$B$4, $A408, Ledger!$C$2:$C$4, P$2)),"****")</f>
        <v/>
      </c>
      <c r="Q408" t="str">
        <f>IFERROR(IF($C408="","",SUMIFS(Ledger!$K$2:$K$4, Ledger!$B$2:$B$4, $A408, Ledger!$C$2:$C$4, Q$2)),"****")</f>
        <v/>
      </c>
      <c r="R408" t="str">
        <f>IFERROR(IF($C408="","",SUMIFS(Ledger!$K$2:$K$4, Ledger!$B$2:$B$4, $A408, Ledger!$C$2:$C$4, R$2)),"****")</f>
        <v/>
      </c>
      <c r="S408" t="str">
        <f>IFERROR(IF($C408="","",SUMIFS(Ledger!$K$2:$K$4, Ledger!$B$2:$B$4, $A408, Ledger!$C$2:$C$4, S$2)),"****")</f>
        <v/>
      </c>
      <c r="T408" t="str">
        <f>IFERROR(IF($C408="","",SUMIFS(Ledger!$K$2:$K$4, Ledger!$B$2:$B$4, $A408, Ledger!$C$2:$C$4, T$2)),"****")</f>
        <v/>
      </c>
      <c r="U408" t="str">
        <f>IFERROR(IF($C408="","",SUMIFS(Ledger!$K$2:$K$4, Ledger!$B$2:$B$4, $A408, Ledger!$C$2:$C$4, U$2)),"****")</f>
        <v/>
      </c>
      <c r="V408" t="str">
        <f>IFERROR(IF($C408="","",SUMIFS(Ledger!$K$2:$K$4, Ledger!$B$2:$B$4, $A408, Ledger!$C$2:$C$4, V$2)),"****")</f>
        <v/>
      </c>
      <c r="W408" t="str">
        <f>IFERROR(IF($C408="","",SUMIFS(Ledger!$K$2:$K$4, Ledger!$B$2:$B$4, $A408, Ledger!$C$2:$C$4, W$2)),"****")</f>
        <v/>
      </c>
      <c r="X408" t="str">
        <f>IFERROR(IF($C408="","",SUMIFS(Ledger!$K$2:$K$4, Ledger!$B$2:$B$4, $A408, Ledger!$C$2:$C$4, X$2)),"****")</f>
        <v/>
      </c>
    </row>
    <row r="409" spans="1:24" x14ac:dyDescent="0.3">
      <c r="A409" s="106">
        <v>407</v>
      </c>
      <c r="B409" t="str">
        <f>IFERROR(VLOOKUP($A409, Ledger!$B$2:$L$8, 3, 0),"")</f>
        <v/>
      </c>
      <c r="C409" t="str">
        <f>IFERROR(VLOOKUP($A409, Ledger!$B$2:$L$8, 4, 0),"")</f>
        <v/>
      </c>
      <c r="D409" t="str">
        <f>IFERROR(VLOOKUP($A409, Ledger!$B$2:$L$8, 5, 0),"")</f>
        <v/>
      </c>
      <c r="E409" t="str">
        <f>IFERROR(VLOOKUP($A409, Ledger!$B$2:$L$8, 6, 0),"")</f>
        <v/>
      </c>
      <c r="F409" t="str">
        <f>IFERROR(VLOOKUP($A409,'Student Data'!$A$2:$AR$6,32,0),"")</f>
        <v/>
      </c>
      <c r="G409" t="str">
        <f>IFERROR(VLOOKUP($A409,'Student Data'!$A$2:$AR$6,33,0),"")</f>
        <v/>
      </c>
      <c r="H409" t="str">
        <f>IFERROR(VLOOKUP($A409,'Student Data'!$A$2:$AR$6,34,0),"")</f>
        <v/>
      </c>
      <c r="I409" t="str">
        <f>IFERROR(VLOOKUP($A409,'Student Data'!$A$2:$AR$6,35,0),"")</f>
        <v/>
      </c>
      <c r="J409" t="str">
        <f>IFERROR(VLOOKUP($A409,'Student Data'!$A$2:$AR$6,36,0),"")</f>
        <v/>
      </c>
      <c r="K409" t="str">
        <f t="shared" si="12"/>
        <v/>
      </c>
      <c r="L409" t="str">
        <f t="shared" si="13"/>
        <v/>
      </c>
      <c r="M409" t="str">
        <f>IFERROR(IF($C409="","",SUMIFS(Ledger!$K$2:$K$4, Ledger!$B$2:$B$4, $A409, Ledger!$C$2:$C$4, M$2)),"****")</f>
        <v/>
      </c>
      <c r="N409" t="str">
        <f>IFERROR(IF($C409="","",SUMIFS(Ledger!$K$2:$K$4, Ledger!$B$2:$B$4, $A409, Ledger!$C$2:$C$4, N$2)),"****")</f>
        <v/>
      </c>
      <c r="O409" t="str">
        <f>IFERROR(IF($C409="","",SUMIFS(Ledger!$K$2:$K$4, Ledger!$B$2:$B$4, $A409, Ledger!$C$2:$C$4, O$2)),"****")</f>
        <v/>
      </c>
      <c r="P409" t="str">
        <f>IFERROR(IF($C409="","",SUMIFS(Ledger!$K$2:$K$4, Ledger!$B$2:$B$4, $A409, Ledger!$C$2:$C$4, P$2)),"****")</f>
        <v/>
      </c>
      <c r="Q409" t="str">
        <f>IFERROR(IF($C409="","",SUMIFS(Ledger!$K$2:$K$4, Ledger!$B$2:$B$4, $A409, Ledger!$C$2:$C$4, Q$2)),"****")</f>
        <v/>
      </c>
      <c r="R409" t="str">
        <f>IFERROR(IF($C409="","",SUMIFS(Ledger!$K$2:$K$4, Ledger!$B$2:$B$4, $A409, Ledger!$C$2:$C$4, R$2)),"****")</f>
        <v/>
      </c>
      <c r="S409" t="str">
        <f>IFERROR(IF($C409="","",SUMIFS(Ledger!$K$2:$K$4, Ledger!$B$2:$B$4, $A409, Ledger!$C$2:$C$4, S$2)),"****")</f>
        <v/>
      </c>
      <c r="T409" t="str">
        <f>IFERROR(IF($C409="","",SUMIFS(Ledger!$K$2:$K$4, Ledger!$B$2:$B$4, $A409, Ledger!$C$2:$C$4, T$2)),"****")</f>
        <v/>
      </c>
      <c r="U409" t="str">
        <f>IFERROR(IF($C409="","",SUMIFS(Ledger!$K$2:$K$4, Ledger!$B$2:$B$4, $A409, Ledger!$C$2:$C$4, U$2)),"****")</f>
        <v/>
      </c>
      <c r="V409" t="str">
        <f>IFERROR(IF($C409="","",SUMIFS(Ledger!$K$2:$K$4, Ledger!$B$2:$B$4, $A409, Ledger!$C$2:$C$4, V$2)),"****")</f>
        <v/>
      </c>
      <c r="W409" t="str">
        <f>IFERROR(IF($C409="","",SUMIFS(Ledger!$K$2:$K$4, Ledger!$B$2:$B$4, $A409, Ledger!$C$2:$C$4, W$2)),"****")</f>
        <v/>
      </c>
      <c r="X409" t="str">
        <f>IFERROR(IF($C409="","",SUMIFS(Ledger!$K$2:$K$4, Ledger!$B$2:$B$4, $A409, Ledger!$C$2:$C$4, X$2)),"****")</f>
        <v/>
      </c>
    </row>
    <row r="410" spans="1:24" x14ac:dyDescent="0.3">
      <c r="A410" s="106">
        <v>408</v>
      </c>
      <c r="B410" t="str">
        <f>IFERROR(VLOOKUP($A410, Ledger!$B$2:$L$8, 3, 0),"")</f>
        <v/>
      </c>
      <c r="C410" t="str">
        <f>IFERROR(VLOOKUP($A410, Ledger!$B$2:$L$8, 4, 0),"")</f>
        <v/>
      </c>
      <c r="D410" t="str">
        <f>IFERROR(VLOOKUP($A410, Ledger!$B$2:$L$8, 5, 0),"")</f>
        <v/>
      </c>
      <c r="E410" t="str">
        <f>IFERROR(VLOOKUP($A410, Ledger!$B$2:$L$8, 6, 0),"")</f>
        <v/>
      </c>
      <c r="F410" t="str">
        <f>IFERROR(VLOOKUP($A410,'Student Data'!$A$2:$AR$6,32,0),"")</f>
        <v/>
      </c>
      <c r="G410" t="str">
        <f>IFERROR(VLOOKUP($A410,'Student Data'!$A$2:$AR$6,33,0),"")</f>
        <v/>
      </c>
      <c r="H410" t="str">
        <f>IFERROR(VLOOKUP($A410,'Student Data'!$A$2:$AR$6,34,0),"")</f>
        <v/>
      </c>
      <c r="I410" t="str">
        <f>IFERROR(VLOOKUP($A410,'Student Data'!$A$2:$AR$6,35,0),"")</f>
        <v/>
      </c>
      <c r="J410" t="str">
        <f>IFERROR(VLOOKUP($A410,'Student Data'!$A$2:$AR$6,36,0),"")</f>
        <v/>
      </c>
      <c r="K410" t="str">
        <f t="shared" si="12"/>
        <v/>
      </c>
      <c r="L410" t="str">
        <f t="shared" si="13"/>
        <v/>
      </c>
      <c r="M410" t="str">
        <f>IFERROR(IF($C410="","",SUMIFS(Ledger!$K$2:$K$4, Ledger!$B$2:$B$4, $A410, Ledger!$C$2:$C$4, M$2)),"****")</f>
        <v/>
      </c>
      <c r="N410" t="str">
        <f>IFERROR(IF($C410="","",SUMIFS(Ledger!$K$2:$K$4, Ledger!$B$2:$B$4, $A410, Ledger!$C$2:$C$4, N$2)),"****")</f>
        <v/>
      </c>
      <c r="O410" t="str">
        <f>IFERROR(IF($C410="","",SUMIFS(Ledger!$K$2:$K$4, Ledger!$B$2:$B$4, $A410, Ledger!$C$2:$C$4, O$2)),"****")</f>
        <v/>
      </c>
      <c r="P410" t="str">
        <f>IFERROR(IF($C410="","",SUMIFS(Ledger!$K$2:$K$4, Ledger!$B$2:$B$4, $A410, Ledger!$C$2:$C$4, P$2)),"****")</f>
        <v/>
      </c>
      <c r="Q410" t="str">
        <f>IFERROR(IF($C410="","",SUMIFS(Ledger!$K$2:$K$4, Ledger!$B$2:$B$4, $A410, Ledger!$C$2:$C$4, Q$2)),"****")</f>
        <v/>
      </c>
      <c r="R410" t="str">
        <f>IFERROR(IF($C410="","",SUMIFS(Ledger!$K$2:$K$4, Ledger!$B$2:$B$4, $A410, Ledger!$C$2:$C$4, R$2)),"****")</f>
        <v/>
      </c>
      <c r="S410" t="str">
        <f>IFERROR(IF($C410="","",SUMIFS(Ledger!$K$2:$K$4, Ledger!$B$2:$B$4, $A410, Ledger!$C$2:$C$4, S$2)),"****")</f>
        <v/>
      </c>
      <c r="T410" t="str">
        <f>IFERROR(IF($C410="","",SUMIFS(Ledger!$K$2:$K$4, Ledger!$B$2:$B$4, $A410, Ledger!$C$2:$C$4, T$2)),"****")</f>
        <v/>
      </c>
      <c r="U410" t="str">
        <f>IFERROR(IF($C410="","",SUMIFS(Ledger!$K$2:$K$4, Ledger!$B$2:$B$4, $A410, Ledger!$C$2:$C$4, U$2)),"****")</f>
        <v/>
      </c>
      <c r="V410" t="str">
        <f>IFERROR(IF($C410="","",SUMIFS(Ledger!$K$2:$K$4, Ledger!$B$2:$B$4, $A410, Ledger!$C$2:$C$4, V$2)),"****")</f>
        <v/>
      </c>
      <c r="W410" t="str">
        <f>IFERROR(IF($C410="","",SUMIFS(Ledger!$K$2:$K$4, Ledger!$B$2:$B$4, $A410, Ledger!$C$2:$C$4, W$2)),"****")</f>
        <v/>
      </c>
      <c r="X410" t="str">
        <f>IFERROR(IF($C410="","",SUMIFS(Ledger!$K$2:$K$4, Ledger!$B$2:$B$4, $A410, Ledger!$C$2:$C$4, X$2)),"****")</f>
        <v/>
      </c>
    </row>
    <row r="411" spans="1:24" x14ac:dyDescent="0.3">
      <c r="A411" s="106">
        <v>409</v>
      </c>
      <c r="B411" t="str">
        <f>IFERROR(VLOOKUP($A411, Ledger!$B$2:$L$8, 3, 0),"")</f>
        <v/>
      </c>
      <c r="C411" t="str">
        <f>IFERROR(VLOOKUP($A411, Ledger!$B$2:$L$8, 4, 0),"")</f>
        <v/>
      </c>
      <c r="D411" t="str">
        <f>IFERROR(VLOOKUP($A411, Ledger!$B$2:$L$8, 5, 0),"")</f>
        <v/>
      </c>
      <c r="E411" t="str">
        <f>IFERROR(VLOOKUP($A411, Ledger!$B$2:$L$8, 6, 0),"")</f>
        <v/>
      </c>
      <c r="F411" t="str">
        <f>IFERROR(VLOOKUP($A411,'Student Data'!$A$2:$AR$6,32,0),"")</f>
        <v/>
      </c>
      <c r="G411" t="str">
        <f>IFERROR(VLOOKUP($A411,'Student Data'!$A$2:$AR$6,33,0),"")</f>
        <v/>
      </c>
      <c r="H411" t="str">
        <f>IFERROR(VLOOKUP($A411,'Student Data'!$A$2:$AR$6,34,0),"")</f>
        <v/>
      </c>
      <c r="I411" t="str">
        <f>IFERROR(VLOOKUP($A411,'Student Data'!$A$2:$AR$6,35,0),"")</f>
        <v/>
      </c>
      <c r="J411" t="str">
        <f>IFERROR(VLOOKUP($A411,'Student Data'!$A$2:$AR$6,36,0),"")</f>
        <v/>
      </c>
      <c r="K411" t="str">
        <f t="shared" si="12"/>
        <v/>
      </c>
      <c r="L411" t="str">
        <f t="shared" si="13"/>
        <v/>
      </c>
      <c r="M411" t="str">
        <f>IFERROR(IF($C411="","",SUMIFS(Ledger!$K$2:$K$4, Ledger!$B$2:$B$4, $A411, Ledger!$C$2:$C$4, M$2)),"****")</f>
        <v/>
      </c>
      <c r="N411" t="str">
        <f>IFERROR(IF($C411="","",SUMIFS(Ledger!$K$2:$K$4, Ledger!$B$2:$B$4, $A411, Ledger!$C$2:$C$4, N$2)),"****")</f>
        <v/>
      </c>
      <c r="O411" t="str">
        <f>IFERROR(IF($C411="","",SUMIFS(Ledger!$K$2:$K$4, Ledger!$B$2:$B$4, $A411, Ledger!$C$2:$C$4, O$2)),"****")</f>
        <v/>
      </c>
      <c r="P411" t="str">
        <f>IFERROR(IF($C411="","",SUMIFS(Ledger!$K$2:$K$4, Ledger!$B$2:$B$4, $A411, Ledger!$C$2:$C$4, P$2)),"****")</f>
        <v/>
      </c>
      <c r="Q411" t="str">
        <f>IFERROR(IF($C411="","",SUMIFS(Ledger!$K$2:$K$4, Ledger!$B$2:$B$4, $A411, Ledger!$C$2:$C$4, Q$2)),"****")</f>
        <v/>
      </c>
      <c r="R411" t="str">
        <f>IFERROR(IF($C411="","",SUMIFS(Ledger!$K$2:$K$4, Ledger!$B$2:$B$4, $A411, Ledger!$C$2:$C$4, R$2)),"****")</f>
        <v/>
      </c>
      <c r="S411" t="str">
        <f>IFERROR(IF($C411="","",SUMIFS(Ledger!$K$2:$K$4, Ledger!$B$2:$B$4, $A411, Ledger!$C$2:$C$4, S$2)),"****")</f>
        <v/>
      </c>
      <c r="T411" t="str">
        <f>IFERROR(IF($C411="","",SUMIFS(Ledger!$K$2:$K$4, Ledger!$B$2:$B$4, $A411, Ledger!$C$2:$C$4, T$2)),"****")</f>
        <v/>
      </c>
      <c r="U411" t="str">
        <f>IFERROR(IF($C411="","",SUMIFS(Ledger!$K$2:$K$4, Ledger!$B$2:$B$4, $A411, Ledger!$C$2:$C$4, U$2)),"****")</f>
        <v/>
      </c>
      <c r="V411" t="str">
        <f>IFERROR(IF($C411="","",SUMIFS(Ledger!$K$2:$K$4, Ledger!$B$2:$B$4, $A411, Ledger!$C$2:$C$4, V$2)),"****")</f>
        <v/>
      </c>
      <c r="W411" t="str">
        <f>IFERROR(IF($C411="","",SUMIFS(Ledger!$K$2:$K$4, Ledger!$B$2:$B$4, $A411, Ledger!$C$2:$C$4, W$2)),"****")</f>
        <v/>
      </c>
      <c r="X411" t="str">
        <f>IFERROR(IF($C411="","",SUMIFS(Ledger!$K$2:$K$4, Ledger!$B$2:$B$4, $A411, Ledger!$C$2:$C$4, X$2)),"****")</f>
        <v/>
      </c>
    </row>
    <row r="412" spans="1:24" x14ac:dyDescent="0.3">
      <c r="A412" s="106">
        <v>410</v>
      </c>
      <c r="B412" t="str">
        <f>IFERROR(VLOOKUP($A412, Ledger!$B$2:$L$8, 3, 0),"")</f>
        <v/>
      </c>
      <c r="C412" t="str">
        <f>IFERROR(VLOOKUP($A412, Ledger!$B$2:$L$8, 4, 0),"")</f>
        <v/>
      </c>
      <c r="D412" t="str">
        <f>IFERROR(VLOOKUP($A412, Ledger!$B$2:$L$8, 5, 0),"")</f>
        <v/>
      </c>
      <c r="E412" t="str">
        <f>IFERROR(VLOOKUP($A412, Ledger!$B$2:$L$8, 6, 0),"")</f>
        <v/>
      </c>
      <c r="F412" t="str">
        <f>IFERROR(VLOOKUP($A412,'Student Data'!$A$2:$AR$6,32,0),"")</f>
        <v/>
      </c>
      <c r="G412" t="str">
        <f>IFERROR(VLOOKUP($A412,'Student Data'!$A$2:$AR$6,33,0),"")</f>
        <v/>
      </c>
      <c r="H412" t="str">
        <f>IFERROR(VLOOKUP($A412,'Student Data'!$A$2:$AR$6,34,0),"")</f>
        <v/>
      </c>
      <c r="I412" t="str">
        <f>IFERROR(VLOOKUP($A412,'Student Data'!$A$2:$AR$6,35,0),"")</f>
        <v/>
      </c>
      <c r="J412" t="str">
        <f>IFERROR(VLOOKUP($A412,'Student Data'!$A$2:$AR$6,36,0),"")</f>
        <v/>
      </c>
      <c r="K412" t="str">
        <f t="shared" si="12"/>
        <v/>
      </c>
      <c r="L412" t="str">
        <f t="shared" si="13"/>
        <v/>
      </c>
      <c r="M412" t="str">
        <f>IFERROR(IF($C412="","",SUMIFS(Ledger!$K$2:$K$4, Ledger!$B$2:$B$4, $A412, Ledger!$C$2:$C$4, M$2)),"****")</f>
        <v/>
      </c>
      <c r="N412" t="str">
        <f>IFERROR(IF($C412="","",SUMIFS(Ledger!$K$2:$K$4, Ledger!$B$2:$B$4, $A412, Ledger!$C$2:$C$4, N$2)),"****")</f>
        <v/>
      </c>
      <c r="O412" t="str">
        <f>IFERROR(IF($C412="","",SUMIFS(Ledger!$K$2:$K$4, Ledger!$B$2:$B$4, $A412, Ledger!$C$2:$C$4, O$2)),"****")</f>
        <v/>
      </c>
      <c r="P412" t="str">
        <f>IFERROR(IF($C412="","",SUMIFS(Ledger!$K$2:$K$4, Ledger!$B$2:$B$4, $A412, Ledger!$C$2:$C$4, P$2)),"****")</f>
        <v/>
      </c>
      <c r="Q412" t="str">
        <f>IFERROR(IF($C412="","",SUMIFS(Ledger!$K$2:$K$4, Ledger!$B$2:$B$4, $A412, Ledger!$C$2:$C$4, Q$2)),"****")</f>
        <v/>
      </c>
      <c r="R412" t="str">
        <f>IFERROR(IF($C412="","",SUMIFS(Ledger!$K$2:$K$4, Ledger!$B$2:$B$4, $A412, Ledger!$C$2:$C$4, R$2)),"****")</f>
        <v/>
      </c>
      <c r="S412" t="str">
        <f>IFERROR(IF($C412="","",SUMIFS(Ledger!$K$2:$K$4, Ledger!$B$2:$B$4, $A412, Ledger!$C$2:$C$4, S$2)),"****")</f>
        <v/>
      </c>
      <c r="T412" t="str">
        <f>IFERROR(IF($C412="","",SUMIFS(Ledger!$K$2:$K$4, Ledger!$B$2:$B$4, $A412, Ledger!$C$2:$C$4, T$2)),"****")</f>
        <v/>
      </c>
      <c r="U412" t="str">
        <f>IFERROR(IF($C412="","",SUMIFS(Ledger!$K$2:$K$4, Ledger!$B$2:$B$4, $A412, Ledger!$C$2:$C$4, U$2)),"****")</f>
        <v/>
      </c>
      <c r="V412" t="str">
        <f>IFERROR(IF($C412="","",SUMIFS(Ledger!$K$2:$K$4, Ledger!$B$2:$B$4, $A412, Ledger!$C$2:$C$4, V$2)),"****")</f>
        <v/>
      </c>
      <c r="W412" t="str">
        <f>IFERROR(IF($C412="","",SUMIFS(Ledger!$K$2:$K$4, Ledger!$B$2:$B$4, $A412, Ledger!$C$2:$C$4, W$2)),"****")</f>
        <v/>
      </c>
      <c r="X412" t="str">
        <f>IFERROR(IF($C412="","",SUMIFS(Ledger!$K$2:$K$4, Ledger!$B$2:$B$4, $A412, Ledger!$C$2:$C$4, X$2)),"****")</f>
        <v/>
      </c>
    </row>
    <row r="413" spans="1:24" x14ac:dyDescent="0.3">
      <c r="A413" s="106">
        <v>411</v>
      </c>
      <c r="B413" t="str">
        <f>IFERROR(VLOOKUP($A413, Ledger!$B$2:$L$8, 3, 0),"")</f>
        <v/>
      </c>
      <c r="C413" t="str">
        <f>IFERROR(VLOOKUP($A413, Ledger!$B$2:$L$8, 4, 0),"")</f>
        <v/>
      </c>
      <c r="D413" t="str">
        <f>IFERROR(VLOOKUP($A413, Ledger!$B$2:$L$8, 5, 0),"")</f>
        <v/>
      </c>
      <c r="E413" t="str">
        <f>IFERROR(VLOOKUP($A413, Ledger!$B$2:$L$8, 6, 0),"")</f>
        <v/>
      </c>
      <c r="F413" t="str">
        <f>IFERROR(VLOOKUP($A413,'Student Data'!$A$2:$AR$6,32,0),"")</f>
        <v/>
      </c>
      <c r="G413" t="str">
        <f>IFERROR(VLOOKUP($A413,'Student Data'!$A$2:$AR$6,33,0),"")</f>
        <v/>
      </c>
      <c r="H413" t="str">
        <f>IFERROR(VLOOKUP($A413,'Student Data'!$A$2:$AR$6,34,0),"")</f>
        <v/>
      </c>
      <c r="I413" t="str">
        <f>IFERROR(VLOOKUP($A413,'Student Data'!$A$2:$AR$6,35,0),"")</f>
        <v/>
      </c>
      <c r="J413" t="str">
        <f>IFERROR(VLOOKUP($A413,'Student Data'!$A$2:$AR$6,36,0),"")</f>
        <v/>
      </c>
      <c r="K413" t="str">
        <f t="shared" si="12"/>
        <v/>
      </c>
      <c r="L413" t="str">
        <f t="shared" si="13"/>
        <v/>
      </c>
      <c r="M413" t="str">
        <f>IFERROR(IF($C413="","",SUMIFS(Ledger!$K$2:$K$4, Ledger!$B$2:$B$4, $A413, Ledger!$C$2:$C$4, M$2)),"****")</f>
        <v/>
      </c>
      <c r="N413" t="str">
        <f>IFERROR(IF($C413="","",SUMIFS(Ledger!$K$2:$K$4, Ledger!$B$2:$B$4, $A413, Ledger!$C$2:$C$4, N$2)),"****")</f>
        <v/>
      </c>
      <c r="O413" t="str">
        <f>IFERROR(IF($C413="","",SUMIFS(Ledger!$K$2:$K$4, Ledger!$B$2:$B$4, $A413, Ledger!$C$2:$C$4, O$2)),"****")</f>
        <v/>
      </c>
      <c r="P413" t="str">
        <f>IFERROR(IF($C413="","",SUMIFS(Ledger!$K$2:$K$4, Ledger!$B$2:$B$4, $A413, Ledger!$C$2:$C$4, P$2)),"****")</f>
        <v/>
      </c>
      <c r="Q413" t="str">
        <f>IFERROR(IF($C413="","",SUMIFS(Ledger!$K$2:$K$4, Ledger!$B$2:$B$4, $A413, Ledger!$C$2:$C$4, Q$2)),"****")</f>
        <v/>
      </c>
      <c r="R413" t="str">
        <f>IFERROR(IF($C413="","",SUMIFS(Ledger!$K$2:$K$4, Ledger!$B$2:$B$4, $A413, Ledger!$C$2:$C$4, R$2)),"****")</f>
        <v/>
      </c>
      <c r="S413" t="str">
        <f>IFERROR(IF($C413="","",SUMIFS(Ledger!$K$2:$K$4, Ledger!$B$2:$B$4, $A413, Ledger!$C$2:$C$4, S$2)),"****")</f>
        <v/>
      </c>
      <c r="T413" t="str">
        <f>IFERROR(IF($C413="","",SUMIFS(Ledger!$K$2:$K$4, Ledger!$B$2:$B$4, $A413, Ledger!$C$2:$C$4, T$2)),"****")</f>
        <v/>
      </c>
      <c r="U413" t="str">
        <f>IFERROR(IF($C413="","",SUMIFS(Ledger!$K$2:$K$4, Ledger!$B$2:$B$4, $A413, Ledger!$C$2:$C$4, U$2)),"****")</f>
        <v/>
      </c>
      <c r="V413" t="str">
        <f>IFERROR(IF($C413="","",SUMIFS(Ledger!$K$2:$K$4, Ledger!$B$2:$B$4, $A413, Ledger!$C$2:$C$4, V$2)),"****")</f>
        <v/>
      </c>
      <c r="W413" t="str">
        <f>IFERROR(IF($C413="","",SUMIFS(Ledger!$K$2:$K$4, Ledger!$B$2:$B$4, $A413, Ledger!$C$2:$C$4, W$2)),"****")</f>
        <v/>
      </c>
      <c r="X413" t="str">
        <f>IFERROR(IF($C413="","",SUMIFS(Ledger!$K$2:$K$4, Ledger!$B$2:$B$4, $A413, Ledger!$C$2:$C$4, X$2)),"****")</f>
        <v/>
      </c>
    </row>
    <row r="414" spans="1:24" x14ac:dyDescent="0.3">
      <c r="A414" s="106">
        <v>412</v>
      </c>
      <c r="B414" t="str">
        <f>IFERROR(VLOOKUP($A414, Ledger!$B$2:$L$8, 3, 0),"")</f>
        <v/>
      </c>
      <c r="C414" t="str">
        <f>IFERROR(VLOOKUP($A414, Ledger!$B$2:$L$8, 4, 0),"")</f>
        <v/>
      </c>
      <c r="D414" t="str">
        <f>IFERROR(VLOOKUP($A414, Ledger!$B$2:$L$8, 5, 0),"")</f>
        <v/>
      </c>
      <c r="E414" t="str">
        <f>IFERROR(VLOOKUP($A414, Ledger!$B$2:$L$8, 6, 0),"")</f>
        <v/>
      </c>
      <c r="F414" t="str">
        <f>IFERROR(VLOOKUP($A414,'Student Data'!$A$2:$AR$6,32,0),"")</f>
        <v/>
      </c>
      <c r="G414" t="str">
        <f>IFERROR(VLOOKUP($A414,'Student Data'!$A$2:$AR$6,33,0),"")</f>
        <v/>
      </c>
      <c r="H414" t="str">
        <f>IFERROR(VLOOKUP($A414,'Student Data'!$A$2:$AR$6,34,0),"")</f>
        <v/>
      </c>
      <c r="I414" t="str">
        <f>IFERROR(VLOOKUP($A414,'Student Data'!$A$2:$AR$6,35,0),"")</f>
        <v/>
      </c>
      <c r="J414" t="str">
        <f>IFERROR(VLOOKUP($A414,'Student Data'!$A$2:$AR$6,36,0),"")</f>
        <v/>
      </c>
      <c r="K414" t="str">
        <f t="shared" si="12"/>
        <v/>
      </c>
      <c r="L414" t="str">
        <f t="shared" si="13"/>
        <v/>
      </c>
      <c r="M414" t="str">
        <f>IFERROR(IF($C414="","",SUMIFS(Ledger!$K$2:$K$4, Ledger!$B$2:$B$4, $A414, Ledger!$C$2:$C$4, M$2)),"****")</f>
        <v/>
      </c>
      <c r="N414" t="str">
        <f>IFERROR(IF($C414="","",SUMIFS(Ledger!$K$2:$K$4, Ledger!$B$2:$B$4, $A414, Ledger!$C$2:$C$4, N$2)),"****")</f>
        <v/>
      </c>
      <c r="O414" t="str">
        <f>IFERROR(IF($C414="","",SUMIFS(Ledger!$K$2:$K$4, Ledger!$B$2:$B$4, $A414, Ledger!$C$2:$C$4, O$2)),"****")</f>
        <v/>
      </c>
      <c r="P414" t="str">
        <f>IFERROR(IF($C414="","",SUMIFS(Ledger!$K$2:$K$4, Ledger!$B$2:$B$4, $A414, Ledger!$C$2:$C$4, P$2)),"****")</f>
        <v/>
      </c>
      <c r="Q414" t="str">
        <f>IFERROR(IF($C414="","",SUMIFS(Ledger!$K$2:$K$4, Ledger!$B$2:$B$4, $A414, Ledger!$C$2:$C$4, Q$2)),"****")</f>
        <v/>
      </c>
      <c r="R414" t="str">
        <f>IFERROR(IF($C414="","",SUMIFS(Ledger!$K$2:$K$4, Ledger!$B$2:$B$4, $A414, Ledger!$C$2:$C$4, R$2)),"****")</f>
        <v/>
      </c>
      <c r="S414" t="str">
        <f>IFERROR(IF($C414="","",SUMIFS(Ledger!$K$2:$K$4, Ledger!$B$2:$B$4, $A414, Ledger!$C$2:$C$4, S$2)),"****")</f>
        <v/>
      </c>
      <c r="T414" t="str">
        <f>IFERROR(IF($C414="","",SUMIFS(Ledger!$K$2:$K$4, Ledger!$B$2:$B$4, $A414, Ledger!$C$2:$C$4, T$2)),"****")</f>
        <v/>
      </c>
      <c r="U414" t="str">
        <f>IFERROR(IF($C414="","",SUMIFS(Ledger!$K$2:$K$4, Ledger!$B$2:$B$4, $A414, Ledger!$C$2:$C$4, U$2)),"****")</f>
        <v/>
      </c>
      <c r="V414" t="str">
        <f>IFERROR(IF($C414="","",SUMIFS(Ledger!$K$2:$K$4, Ledger!$B$2:$B$4, $A414, Ledger!$C$2:$C$4, V$2)),"****")</f>
        <v/>
      </c>
      <c r="W414" t="str">
        <f>IFERROR(IF($C414="","",SUMIFS(Ledger!$K$2:$K$4, Ledger!$B$2:$B$4, $A414, Ledger!$C$2:$C$4, W$2)),"****")</f>
        <v/>
      </c>
      <c r="X414" t="str">
        <f>IFERROR(IF($C414="","",SUMIFS(Ledger!$K$2:$K$4, Ledger!$B$2:$B$4, $A414, Ledger!$C$2:$C$4, X$2)),"****")</f>
        <v/>
      </c>
    </row>
    <row r="415" spans="1:24" x14ac:dyDescent="0.3">
      <c r="A415" s="106">
        <v>413</v>
      </c>
      <c r="B415" t="str">
        <f>IFERROR(VLOOKUP($A415, Ledger!$B$2:$L$8, 3, 0),"")</f>
        <v/>
      </c>
      <c r="C415" t="str">
        <f>IFERROR(VLOOKUP($A415, Ledger!$B$2:$L$8, 4, 0),"")</f>
        <v/>
      </c>
      <c r="D415" t="str">
        <f>IFERROR(VLOOKUP($A415, Ledger!$B$2:$L$8, 5, 0),"")</f>
        <v/>
      </c>
      <c r="E415" t="str">
        <f>IFERROR(VLOOKUP($A415, Ledger!$B$2:$L$8, 6, 0),"")</f>
        <v/>
      </c>
      <c r="F415" t="str">
        <f>IFERROR(VLOOKUP($A415,'Student Data'!$A$2:$AR$6,32,0),"")</f>
        <v/>
      </c>
      <c r="G415" t="str">
        <f>IFERROR(VLOOKUP($A415,'Student Data'!$A$2:$AR$6,33,0),"")</f>
        <v/>
      </c>
      <c r="H415" t="str">
        <f>IFERROR(VLOOKUP($A415,'Student Data'!$A$2:$AR$6,34,0),"")</f>
        <v/>
      </c>
      <c r="I415" t="str">
        <f>IFERROR(VLOOKUP($A415,'Student Data'!$A$2:$AR$6,35,0),"")</f>
        <v/>
      </c>
      <c r="J415" t="str">
        <f>IFERROR(VLOOKUP($A415,'Student Data'!$A$2:$AR$6,36,0),"")</f>
        <v/>
      </c>
      <c r="K415" t="str">
        <f t="shared" si="12"/>
        <v/>
      </c>
      <c r="L415" t="str">
        <f t="shared" si="13"/>
        <v/>
      </c>
      <c r="M415" t="str">
        <f>IFERROR(IF($C415="","",SUMIFS(Ledger!$K$2:$K$4, Ledger!$B$2:$B$4, $A415, Ledger!$C$2:$C$4, M$2)),"****")</f>
        <v/>
      </c>
      <c r="N415" t="str">
        <f>IFERROR(IF($C415="","",SUMIFS(Ledger!$K$2:$K$4, Ledger!$B$2:$B$4, $A415, Ledger!$C$2:$C$4, N$2)),"****")</f>
        <v/>
      </c>
      <c r="O415" t="str">
        <f>IFERROR(IF($C415="","",SUMIFS(Ledger!$K$2:$K$4, Ledger!$B$2:$B$4, $A415, Ledger!$C$2:$C$4, O$2)),"****")</f>
        <v/>
      </c>
      <c r="P415" t="str">
        <f>IFERROR(IF($C415="","",SUMIFS(Ledger!$K$2:$K$4, Ledger!$B$2:$B$4, $A415, Ledger!$C$2:$C$4, P$2)),"****")</f>
        <v/>
      </c>
      <c r="Q415" t="str">
        <f>IFERROR(IF($C415="","",SUMIFS(Ledger!$K$2:$K$4, Ledger!$B$2:$B$4, $A415, Ledger!$C$2:$C$4, Q$2)),"****")</f>
        <v/>
      </c>
      <c r="R415" t="str">
        <f>IFERROR(IF($C415="","",SUMIFS(Ledger!$K$2:$K$4, Ledger!$B$2:$B$4, $A415, Ledger!$C$2:$C$4, R$2)),"****")</f>
        <v/>
      </c>
      <c r="S415" t="str">
        <f>IFERROR(IF($C415="","",SUMIFS(Ledger!$K$2:$K$4, Ledger!$B$2:$B$4, $A415, Ledger!$C$2:$C$4, S$2)),"****")</f>
        <v/>
      </c>
      <c r="T415" t="str">
        <f>IFERROR(IF($C415="","",SUMIFS(Ledger!$K$2:$K$4, Ledger!$B$2:$B$4, $A415, Ledger!$C$2:$C$4, T$2)),"****")</f>
        <v/>
      </c>
      <c r="U415" t="str">
        <f>IFERROR(IF($C415="","",SUMIFS(Ledger!$K$2:$K$4, Ledger!$B$2:$B$4, $A415, Ledger!$C$2:$C$4, U$2)),"****")</f>
        <v/>
      </c>
      <c r="V415" t="str">
        <f>IFERROR(IF($C415="","",SUMIFS(Ledger!$K$2:$K$4, Ledger!$B$2:$B$4, $A415, Ledger!$C$2:$C$4, V$2)),"****")</f>
        <v/>
      </c>
      <c r="W415" t="str">
        <f>IFERROR(IF($C415="","",SUMIFS(Ledger!$K$2:$K$4, Ledger!$B$2:$B$4, $A415, Ledger!$C$2:$C$4, W$2)),"****")</f>
        <v/>
      </c>
      <c r="X415" t="str">
        <f>IFERROR(IF($C415="","",SUMIFS(Ledger!$K$2:$K$4, Ledger!$B$2:$B$4, $A415, Ledger!$C$2:$C$4, X$2)),"****")</f>
        <v/>
      </c>
    </row>
    <row r="416" spans="1:24" x14ac:dyDescent="0.3">
      <c r="A416" s="106">
        <v>414</v>
      </c>
      <c r="B416" t="str">
        <f>IFERROR(VLOOKUP($A416, Ledger!$B$2:$L$8, 3, 0),"")</f>
        <v/>
      </c>
      <c r="C416" t="str">
        <f>IFERROR(VLOOKUP($A416, Ledger!$B$2:$L$8, 4, 0),"")</f>
        <v/>
      </c>
      <c r="D416" t="str">
        <f>IFERROR(VLOOKUP($A416, Ledger!$B$2:$L$8, 5, 0),"")</f>
        <v/>
      </c>
      <c r="E416" t="str">
        <f>IFERROR(VLOOKUP($A416, Ledger!$B$2:$L$8, 6, 0),"")</f>
        <v/>
      </c>
      <c r="F416" t="str">
        <f>IFERROR(VLOOKUP($A416,'Student Data'!$A$2:$AR$6,32,0),"")</f>
        <v/>
      </c>
      <c r="G416" t="str">
        <f>IFERROR(VLOOKUP($A416,'Student Data'!$A$2:$AR$6,33,0),"")</f>
        <v/>
      </c>
      <c r="H416" t="str">
        <f>IFERROR(VLOOKUP($A416,'Student Data'!$A$2:$AR$6,34,0),"")</f>
        <v/>
      </c>
      <c r="I416" t="str">
        <f>IFERROR(VLOOKUP($A416,'Student Data'!$A$2:$AR$6,35,0),"")</f>
        <v/>
      </c>
      <c r="J416" t="str">
        <f>IFERROR(VLOOKUP($A416,'Student Data'!$A$2:$AR$6,36,0),"")</f>
        <v/>
      </c>
      <c r="K416" t="str">
        <f t="shared" si="12"/>
        <v/>
      </c>
      <c r="L416" t="str">
        <f t="shared" si="13"/>
        <v/>
      </c>
      <c r="M416" t="str">
        <f>IFERROR(IF($C416="","",SUMIFS(Ledger!$K$2:$K$4, Ledger!$B$2:$B$4, $A416, Ledger!$C$2:$C$4, M$2)),"****")</f>
        <v/>
      </c>
      <c r="N416" t="str">
        <f>IFERROR(IF($C416="","",SUMIFS(Ledger!$K$2:$K$4, Ledger!$B$2:$B$4, $A416, Ledger!$C$2:$C$4, N$2)),"****")</f>
        <v/>
      </c>
      <c r="O416" t="str">
        <f>IFERROR(IF($C416="","",SUMIFS(Ledger!$K$2:$K$4, Ledger!$B$2:$B$4, $A416, Ledger!$C$2:$C$4, O$2)),"****")</f>
        <v/>
      </c>
      <c r="P416" t="str">
        <f>IFERROR(IF($C416="","",SUMIFS(Ledger!$K$2:$K$4, Ledger!$B$2:$B$4, $A416, Ledger!$C$2:$C$4, P$2)),"****")</f>
        <v/>
      </c>
      <c r="Q416" t="str">
        <f>IFERROR(IF($C416="","",SUMIFS(Ledger!$K$2:$K$4, Ledger!$B$2:$B$4, $A416, Ledger!$C$2:$C$4, Q$2)),"****")</f>
        <v/>
      </c>
      <c r="R416" t="str">
        <f>IFERROR(IF($C416="","",SUMIFS(Ledger!$K$2:$K$4, Ledger!$B$2:$B$4, $A416, Ledger!$C$2:$C$4, R$2)),"****")</f>
        <v/>
      </c>
      <c r="S416" t="str">
        <f>IFERROR(IF($C416="","",SUMIFS(Ledger!$K$2:$K$4, Ledger!$B$2:$B$4, $A416, Ledger!$C$2:$C$4, S$2)),"****")</f>
        <v/>
      </c>
      <c r="T416" t="str">
        <f>IFERROR(IF($C416="","",SUMIFS(Ledger!$K$2:$K$4, Ledger!$B$2:$B$4, $A416, Ledger!$C$2:$C$4, T$2)),"****")</f>
        <v/>
      </c>
      <c r="U416" t="str">
        <f>IFERROR(IF($C416="","",SUMIFS(Ledger!$K$2:$K$4, Ledger!$B$2:$B$4, $A416, Ledger!$C$2:$C$4, U$2)),"****")</f>
        <v/>
      </c>
      <c r="V416" t="str">
        <f>IFERROR(IF($C416="","",SUMIFS(Ledger!$K$2:$K$4, Ledger!$B$2:$B$4, $A416, Ledger!$C$2:$C$4, V$2)),"****")</f>
        <v/>
      </c>
      <c r="W416" t="str">
        <f>IFERROR(IF($C416="","",SUMIFS(Ledger!$K$2:$K$4, Ledger!$B$2:$B$4, $A416, Ledger!$C$2:$C$4, W$2)),"****")</f>
        <v/>
      </c>
      <c r="X416" t="str">
        <f>IFERROR(IF($C416="","",SUMIFS(Ledger!$K$2:$K$4, Ledger!$B$2:$B$4, $A416, Ledger!$C$2:$C$4, X$2)),"****")</f>
        <v/>
      </c>
    </row>
    <row r="417" spans="1:24" x14ac:dyDescent="0.3">
      <c r="A417" s="106">
        <v>415</v>
      </c>
      <c r="B417" t="str">
        <f>IFERROR(VLOOKUP($A417, Ledger!$B$2:$L$8, 3, 0),"")</f>
        <v/>
      </c>
      <c r="C417" t="str">
        <f>IFERROR(VLOOKUP($A417, Ledger!$B$2:$L$8, 4, 0),"")</f>
        <v/>
      </c>
      <c r="D417" t="str">
        <f>IFERROR(VLOOKUP($A417, Ledger!$B$2:$L$8, 5, 0),"")</f>
        <v/>
      </c>
      <c r="E417" t="str">
        <f>IFERROR(VLOOKUP($A417, Ledger!$B$2:$L$8, 6, 0),"")</f>
        <v/>
      </c>
      <c r="F417" t="str">
        <f>IFERROR(VLOOKUP($A417,'Student Data'!$A$2:$AR$6,32,0),"")</f>
        <v/>
      </c>
      <c r="G417" t="str">
        <f>IFERROR(VLOOKUP($A417,'Student Data'!$A$2:$AR$6,33,0),"")</f>
        <v/>
      </c>
      <c r="H417" t="str">
        <f>IFERROR(VLOOKUP($A417,'Student Data'!$A$2:$AR$6,34,0),"")</f>
        <v/>
      </c>
      <c r="I417" t="str">
        <f>IFERROR(VLOOKUP($A417,'Student Data'!$A$2:$AR$6,35,0),"")</f>
        <v/>
      </c>
      <c r="J417" t="str">
        <f>IFERROR(VLOOKUP($A417,'Student Data'!$A$2:$AR$6,36,0),"")</f>
        <v/>
      </c>
      <c r="K417" t="str">
        <f t="shared" si="12"/>
        <v/>
      </c>
      <c r="L417" t="str">
        <f t="shared" si="13"/>
        <v/>
      </c>
      <c r="M417" t="str">
        <f>IFERROR(IF($C417="","",SUMIFS(Ledger!$K$2:$K$4, Ledger!$B$2:$B$4, $A417, Ledger!$C$2:$C$4, M$2)),"****")</f>
        <v/>
      </c>
      <c r="N417" t="str">
        <f>IFERROR(IF($C417="","",SUMIFS(Ledger!$K$2:$K$4, Ledger!$B$2:$B$4, $A417, Ledger!$C$2:$C$4, N$2)),"****")</f>
        <v/>
      </c>
      <c r="O417" t="str">
        <f>IFERROR(IF($C417="","",SUMIFS(Ledger!$K$2:$K$4, Ledger!$B$2:$B$4, $A417, Ledger!$C$2:$C$4, O$2)),"****")</f>
        <v/>
      </c>
      <c r="P417" t="str">
        <f>IFERROR(IF($C417="","",SUMIFS(Ledger!$K$2:$K$4, Ledger!$B$2:$B$4, $A417, Ledger!$C$2:$C$4, P$2)),"****")</f>
        <v/>
      </c>
      <c r="Q417" t="str">
        <f>IFERROR(IF($C417="","",SUMIFS(Ledger!$K$2:$K$4, Ledger!$B$2:$B$4, $A417, Ledger!$C$2:$C$4, Q$2)),"****")</f>
        <v/>
      </c>
      <c r="R417" t="str">
        <f>IFERROR(IF($C417="","",SUMIFS(Ledger!$K$2:$K$4, Ledger!$B$2:$B$4, $A417, Ledger!$C$2:$C$4, R$2)),"****")</f>
        <v/>
      </c>
      <c r="S417" t="str">
        <f>IFERROR(IF($C417="","",SUMIFS(Ledger!$K$2:$K$4, Ledger!$B$2:$B$4, $A417, Ledger!$C$2:$C$4, S$2)),"****")</f>
        <v/>
      </c>
      <c r="T417" t="str">
        <f>IFERROR(IF($C417="","",SUMIFS(Ledger!$K$2:$K$4, Ledger!$B$2:$B$4, $A417, Ledger!$C$2:$C$4, T$2)),"****")</f>
        <v/>
      </c>
      <c r="U417" t="str">
        <f>IFERROR(IF($C417="","",SUMIFS(Ledger!$K$2:$K$4, Ledger!$B$2:$B$4, $A417, Ledger!$C$2:$C$4, U$2)),"****")</f>
        <v/>
      </c>
      <c r="V417" t="str">
        <f>IFERROR(IF($C417="","",SUMIFS(Ledger!$K$2:$K$4, Ledger!$B$2:$B$4, $A417, Ledger!$C$2:$C$4, V$2)),"****")</f>
        <v/>
      </c>
      <c r="W417" t="str">
        <f>IFERROR(IF($C417="","",SUMIFS(Ledger!$K$2:$K$4, Ledger!$B$2:$B$4, $A417, Ledger!$C$2:$C$4, W$2)),"****")</f>
        <v/>
      </c>
      <c r="X417" t="str">
        <f>IFERROR(IF($C417="","",SUMIFS(Ledger!$K$2:$K$4, Ledger!$B$2:$B$4, $A417, Ledger!$C$2:$C$4, X$2)),"****")</f>
        <v/>
      </c>
    </row>
    <row r="418" spans="1:24" x14ac:dyDescent="0.3">
      <c r="A418" s="106">
        <v>416</v>
      </c>
      <c r="B418" t="str">
        <f>IFERROR(VLOOKUP($A418, Ledger!$B$2:$L$8, 3, 0),"")</f>
        <v/>
      </c>
      <c r="C418" t="str">
        <f>IFERROR(VLOOKUP($A418, Ledger!$B$2:$L$8, 4, 0),"")</f>
        <v/>
      </c>
      <c r="D418" t="str">
        <f>IFERROR(VLOOKUP($A418, Ledger!$B$2:$L$8, 5, 0),"")</f>
        <v/>
      </c>
      <c r="E418" t="str">
        <f>IFERROR(VLOOKUP($A418, Ledger!$B$2:$L$8, 6, 0),"")</f>
        <v/>
      </c>
      <c r="F418" t="str">
        <f>IFERROR(VLOOKUP($A418,'Student Data'!$A$2:$AR$6,32,0),"")</f>
        <v/>
      </c>
      <c r="G418" t="str">
        <f>IFERROR(VLOOKUP($A418,'Student Data'!$A$2:$AR$6,33,0),"")</f>
        <v/>
      </c>
      <c r="H418" t="str">
        <f>IFERROR(VLOOKUP($A418,'Student Data'!$A$2:$AR$6,34,0),"")</f>
        <v/>
      </c>
      <c r="I418" t="str">
        <f>IFERROR(VLOOKUP($A418,'Student Data'!$A$2:$AR$6,35,0),"")</f>
        <v/>
      </c>
      <c r="J418" t="str">
        <f>IFERROR(VLOOKUP($A418,'Student Data'!$A$2:$AR$6,36,0),"")</f>
        <v/>
      </c>
      <c r="K418" t="str">
        <f t="shared" si="12"/>
        <v/>
      </c>
      <c r="L418" t="str">
        <f t="shared" si="13"/>
        <v/>
      </c>
      <c r="M418" t="str">
        <f>IFERROR(IF($C418="","",SUMIFS(Ledger!$K$2:$K$4, Ledger!$B$2:$B$4, $A418, Ledger!$C$2:$C$4, M$2)),"****")</f>
        <v/>
      </c>
      <c r="N418" t="str">
        <f>IFERROR(IF($C418="","",SUMIFS(Ledger!$K$2:$K$4, Ledger!$B$2:$B$4, $A418, Ledger!$C$2:$C$4, N$2)),"****")</f>
        <v/>
      </c>
      <c r="O418" t="str">
        <f>IFERROR(IF($C418="","",SUMIFS(Ledger!$K$2:$K$4, Ledger!$B$2:$B$4, $A418, Ledger!$C$2:$C$4, O$2)),"****")</f>
        <v/>
      </c>
      <c r="P418" t="str">
        <f>IFERROR(IF($C418="","",SUMIFS(Ledger!$K$2:$K$4, Ledger!$B$2:$B$4, $A418, Ledger!$C$2:$C$4, P$2)),"****")</f>
        <v/>
      </c>
      <c r="Q418" t="str">
        <f>IFERROR(IF($C418="","",SUMIFS(Ledger!$K$2:$K$4, Ledger!$B$2:$B$4, $A418, Ledger!$C$2:$C$4, Q$2)),"****")</f>
        <v/>
      </c>
      <c r="R418" t="str">
        <f>IFERROR(IF($C418="","",SUMIFS(Ledger!$K$2:$K$4, Ledger!$B$2:$B$4, $A418, Ledger!$C$2:$C$4, R$2)),"****")</f>
        <v/>
      </c>
      <c r="S418" t="str">
        <f>IFERROR(IF($C418="","",SUMIFS(Ledger!$K$2:$K$4, Ledger!$B$2:$B$4, $A418, Ledger!$C$2:$C$4, S$2)),"****")</f>
        <v/>
      </c>
      <c r="T418" t="str">
        <f>IFERROR(IF($C418="","",SUMIFS(Ledger!$K$2:$K$4, Ledger!$B$2:$B$4, $A418, Ledger!$C$2:$C$4, T$2)),"****")</f>
        <v/>
      </c>
      <c r="U418" t="str">
        <f>IFERROR(IF($C418="","",SUMIFS(Ledger!$K$2:$K$4, Ledger!$B$2:$B$4, $A418, Ledger!$C$2:$C$4, U$2)),"****")</f>
        <v/>
      </c>
      <c r="V418" t="str">
        <f>IFERROR(IF($C418="","",SUMIFS(Ledger!$K$2:$K$4, Ledger!$B$2:$B$4, $A418, Ledger!$C$2:$C$4, V$2)),"****")</f>
        <v/>
      </c>
      <c r="W418" t="str">
        <f>IFERROR(IF($C418="","",SUMIFS(Ledger!$K$2:$K$4, Ledger!$B$2:$B$4, $A418, Ledger!$C$2:$C$4, W$2)),"****")</f>
        <v/>
      </c>
      <c r="X418" t="str">
        <f>IFERROR(IF($C418="","",SUMIFS(Ledger!$K$2:$K$4, Ledger!$B$2:$B$4, $A418, Ledger!$C$2:$C$4, X$2)),"****")</f>
        <v/>
      </c>
    </row>
    <row r="419" spans="1:24" x14ac:dyDescent="0.3">
      <c r="A419" s="106">
        <v>417</v>
      </c>
      <c r="B419" t="str">
        <f>IFERROR(VLOOKUP($A419, Ledger!$B$2:$L$8, 3, 0),"")</f>
        <v/>
      </c>
      <c r="C419" t="str">
        <f>IFERROR(VLOOKUP($A419, Ledger!$B$2:$L$8, 4, 0),"")</f>
        <v/>
      </c>
      <c r="D419" t="str">
        <f>IFERROR(VLOOKUP($A419, Ledger!$B$2:$L$8, 5, 0),"")</f>
        <v/>
      </c>
      <c r="E419" t="str">
        <f>IFERROR(VLOOKUP($A419, Ledger!$B$2:$L$8, 6, 0),"")</f>
        <v/>
      </c>
      <c r="F419" t="str">
        <f>IFERROR(VLOOKUP($A419,'Student Data'!$A$2:$AR$6,32,0),"")</f>
        <v/>
      </c>
      <c r="G419" t="str">
        <f>IFERROR(VLOOKUP($A419,'Student Data'!$A$2:$AR$6,33,0),"")</f>
        <v/>
      </c>
      <c r="H419" t="str">
        <f>IFERROR(VLOOKUP($A419,'Student Data'!$A$2:$AR$6,34,0),"")</f>
        <v/>
      </c>
      <c r="I419" t="str">
        <f>IFERROR(VLOOKUP($A419,'Student Data'!$A$2:$AR$6,35,0),"")</f>
        <v/>
      </c>
      <c r="J419" t="str">
        <f>IFERROR(VLOOKUP($A419,'Student Data'!$A$2:$AR$6,36,0),"")</f>
        <v/>
      </c>
      <c r="K419" t="str">
        <f t="shared" si="12"/>
        <v/>
      </c>
      <c r="L419" t="str">
        <f t="shared" si="13"/>
        <v/>
      </c>
      <c r="M419" t="str">
        <f>IFERROR(IF($C419="","",SUMIFS(Ledger!$K$2:$K$4, Ledger!$B$2:$B$4, $A419, Ledger!$C$2:$C$4, M$2)),"****")</f>
        <v/>
      </c>
      <c r="N419" t="str">
        <f>IFERROR(IF($C419="","",SUMIFS(Ledger!$K$2:$K$4, Ledger!$B$2:$B$4, $A419, Ledger!$C$2:$C$4, N$2)),"****")</f>
        <v/>
      </c>
      <c r="O419" t="str">
        <f>IFERROR(IF($C419="","",SUMIFS(Ledger!$K$2:$K$4, Ledger!$B$2:$B$4, $A419, Ledger!$C$2:$C$4, O$2)),"****")</f>
        <v/>
      </c>
      <c r="P419" t="str">
        <f>IFERROR(IF($C419="","",SUMIFS(Ledger!$K$2:$K$4, Ledger!$B$2:$B$4, $A419, Ledger!$C$2:$C$4, P$2)),"****")</f>
        <v/>
      </c>
      <c r="Q419" t="str">
        <f>IFERROR(IF($C419="","",SUMIFS(Ledger!$K$2:$K$4, Ledger!$B$2:$B$4, $A419, Ledger!$C$2:$C$4, Q$2)),"****")</f>
        <v/>
      </c>
      <c r="R419" t="str">
        <f>IFERROR(IF($C419="","",SUMIFS(Ledger!$K$2:$K$4, Ledger!$B$2:$B$4, $A419, Ledger!$C$2:$C$4, R$2)),"****")</f>
        <v/>
      </c>
      <c r="S419" t="str">
        <f>IFERROR(IF($C419="","",SUMIFS(Ledger!$K$2:$K$4, Ledger!$B$2:$B$4, $A419, Ledger!$C$2:$C$4, S$2)),"****")</f>
        <v/>
      </c>
      <c r="T419" t="str">
        <f>IFERROR(IF($C419="","",SUMIFS(Ledger!$K$2:$K$4, Ledger!$B$2:$B$4, $A419, Ledger!$C$2:$C$4, T$2)),"****")</f>
        <v/>
      </c>
      <c r="U419" t="str">
        <f>IFERROR(IF($C419="","",SUMIFS(Ledger!$K$2:$K$4, Ledger!$B$2:$B$4, $A419, Ledger!$C$2:$C$4, U$2)),"****")</f>
        <v/>
      </c>
      <c r="V419" t="str">
        <f>IFERROR(IF($C419="","",SUMIFS(Ledger!$K$2:$K$4, Ledger!$B$2:$B$4, $A419, Ledger!$C$2:$C$4, V$2)),"****")</f>
        <v/>
      </c>
      <c r="W419" t="str">
        <f>IFERROR(IF($C419="","",SUMIFS(Ledger!$K$2:$K$4, Ledger!$B$2:$B$4, $A419, Ledger!$C$2:$C$4, W$2)),"****")</f>
        <v/>
      </c>
      <c r="X419" t="str">
        <f>IFERROR(IF($C419="","",SUMIFS(Ledger!$K$2:$K$4, Ledger!$B$2:$B$4, $A419, Ledger!$C$2:$C$4, X$2)),"****")</f>
        <v/>
      </c>
    </row>
    <row r="420" spans="1:24" x14ac:dyDescent="0.3">
      <c r="A420" s="106">
        <v>418</v>
      </c>
      <c r="B420" t="str">
        <f>IFERROR(VLOOKUP($A420, Ledger!$B$2:$L$8, 3, 0),"")</f>
        <v/>
      </c>
      <c r="C420" t="str">
        <f>IFERROR(VLOOKUP($A420, Ledger!$B$2:$L$8, 4, 0),"")</f>
        <v/>
      </c>
      <c r="D420" t="str">
        <f>IFERROR(VLOOKUP($A420, Ledger!$B$2:$L$8, 5, 0),"")</f>
        <v/>
      </c>
      <c r="E420" t="str">
        <f>IFERROR(VLOOKUP($A420, Ledger!$B$2:$L$8, 6, 0),"")</f>
        <v/>
      </c>
      <c r="F420" t="str">
        <f>IFERROR(VLOOKUP($A420,'Student Data'!$A$2:$AR$6,32,0),"")</f>
        <v/>
      </c>
      <c r="G420" t="str">
        <f>IFERROR(VLOOKUP($A420,'Student Data'!$A$2:$AR$6,33,0),"")</f>
        <v/>
      </c>
      <c r="H420" t="str">
        <f>IFERROR(VLOOKUP($A420,'Student Data'!$A$2:$AR$6,34,0),"")</f>
        <v/>
      </c>
      <c r="I420" t="str">
        <f>IFERROR(VLOOKUP($A420,'Student Data'!$A$2:$AR$6,35,0),"")</f>
        <v/>
      </c>
      <c r="J420" t="str">
        <f>IFERROR(VLOOKUP($A420,'Student Data'!$A$2:$AR$6,36,0),"")</f>
        <v/>
      </c>
      <c r="K420" t="str">
        <f t="shared" si="12"/>
        <v/>
      </c>
      <c r="L420" t="str">
        <f t="shared" si="13"/>
        <v/>
      </c>
      <c r="M420" t="str">
        <f>IFERROR(IF($C420="","",SUMIFS(Ledger!$K$2:$K$4, Ledger!$B$2:$B$4, $A420, Ledger!$C$2:$C$4, M$2)),"****")</f>
        <v/>
      </c>
      <c r="N420" t="str">
        <f>IFERROR(IF($C420="","",SUMIFS(Ledger!$K$2:$K$4, Ledger!$B$2:$B$4, $A420, Ledger!$C$2:$C$4, N$2)),"****")</f>
        <v/>
      </c>
      <c r="O420" t="str">
        <f>IFERROR(IF($C420="","",SUMIFS(Ledger!$K$2:$K$4, Ledger!$B$2:$B$4, $A420, Ledger!$C$2:$C$4, O$2)),"****")</f>
        <v/>
      </c>
      <c r="P420" t="str">
        <f>IFERROR(IF($C420="","",SUMIFS(Ledger!$K$2:$K$4, Ledger!$B$2:$B$4, $A420, Ledger!$C$2:$C$4, P$2)),"****")</f>
        <v/>
      </c>
      <c r="Q420" t="str">
        <f>IFERROR(IF($C420="","",SUMIFS(Ledger!$K$2:$K$4, Ledger!$B$2:$B$4, $A420, Ledger!$C$2:$C$4, Q$2)),"****")</f>
        <v/>
      </c>
      <c r="R420" t="str">
        <f>IFERROR(IF($C420="","",SUMIFS(Ledger!$K$2:$K$4, Ledger!$B$2:$B$4, $A420, Ledger!$C$2:$C$4, R$2)),"****")</f>
        <v/>
      </c>
      <c r="S420" t="str">
        <f>IFERROR(IF($C420="","",SUMIFS(Ledger!$K$2:$K$4, Ledger!$B$2:$B$4, $A420, Ledger!$C$2:$C$4, S$2)),"****")</f>
        <v/>
      </c>
      <c r="T420" t="str">
        <f>IFERROR(IF($C420="","",SUMIFS(Ledger!$K$2:$K$4, Ledger!$B$2:$B$4, $A420, Ledger!$C$2:$C$4, T$2)),"****")</f>
        <v/>
      </c>
      <c r="U420" t="str">
        <f>IFERROR(IF($C420="","",SUMIFS(Ledger!$K$2:$K$4, Ledger!$B$2:$B$4, $A420, Ledger!$C$2:$C$4, U$2)),"****")</f>
        <v/>
      </c>
      <c r="V420" t="str">
        <f>IFERROR(IF($C420="","",SUMIFS(Ledger!$K$2:$K$4, Ledger!$B$2:$B$4, $A420, Ledger!$C$2:$C$4, V$2)),"****")</f>
        <v/>
      </c>
      <c r="W420" t="str">
        <f>IFERROR(IF($C420="","",SUMIFS(Ledger!$K$2:$K$4, Ledger!$B$2:$B$4, $A420, Ledger!$C$2:$C$4, W$2)),"****")</f>
        <v/>
      </c>
      <c r="X420" t="str">
        <f>IFERROR(IF($C420="","",SUMIFS(Ledger!$K$2:$K$4, Ledger!$B$2:$B$4, $A420, Ledger!$C$2:$C$4, X$2)),"****")</f>
        <v/>
      </c>
    </row>
    <row r="421" spans="1:24" x14ac:dyDescent="0.3">
      <c r="A421" s="106">
        <v>419</v>
      </c>
      <c r="B421" t="str">
        <f>IFERROR(VLOOKUP($A421, Ledger!$B$2:$L$8, 3, 0),"")</f>
        <v/>
      </c>
      <c r="C421" t="str">
        <f>IFERROR(VLOOKUP($A421, Ledger!$B$2:$L$8, 4, 0),"")</f>
        <v/>
      </c>
      <c r="D421" t="str">
        <f>IFERROR(VLOOKUP($A421, Ledger!$B$2:$L$8, 5, 0),"")</f>
        <v/>
      </c>
      <c r="E421" t="str">
        <f>IFERROR(VLOOKUP($A421, Ledger!$B$2:$L$8, 6, 0),"")</f>
        <v/>
      </c>
      <c r="F421" t="str">
        <f>IFERROR(VLOOKUP($A421,'Student Data'!$A$2:$AR$6,32,0),"")</f>
        <v/>
      </c>
      <c r="G421" t="str">
        <f>IFERROR(VLOOKUP($A421,'Student Data'!$A$2:$AR$6,33,0),"")</f>
        <v/>
      </c>
      <c r="H421" t="str">
        <f>IFERROR(VLOOKUP($A421,'Student Data'!$A$2:$AR$6,34,0),"")</f>
        <v/>
      </c>
      <c r="I421" t="str">
        <f>IFERROR(VLOOKUP($A421,'Student Data'!$A$2:$AR$6,35,0),"")</f>
        <v/>
      </c>
      <c r="J421" t="str">
        <f>IFERROR(VLOOKUP($A421,'Student Data'!$A$2:$AR$6,36,0),"")</f>
        <v/>
      </c>
      <c r="K421" t="str">
        <f t="shared" si="12"/>
        <v/>
      </c>
      <c r="L421" t="str">
        <f t="shared" si="13"/>
        <v/>
      </c>
      <c r="M421" t="str">
        <f>IFERROR(IF($C421="","",SUMIFS(Ledger!$K$2:$K$4, Ledger!$B$2:$B$4, $A421, Ledger!$C$2:$C$4, M$2)),"****")</f>
        <v/>
      </c>
      <c r="N421" t="str">
        <f>IFERROR(IF($C421="","",SUMIFS(Ledger!$K$2:$K$4, Ledger!$B$2:$B$4, $A421, Ledger!$C$2:$C$4, N$2)),"****")</f>
        <v/>
      </c>
      <c r="O421" t="str">
        <f>IFERROR(IF($C421="","",SUMIFS(Ledger!$K$2:$K$4, Ledger!$B$2:$B$4, $A421, Ledger!$C$2:$C$4, O$2)),"****")</f>
        <v/>
      </c>
      <c r="P421" t="str">
        <f>IFERROR(IF($C421="","",SUMIFS(Ledger!$K$2:$K$4, Ledger!$B$2:$B$4, $A421, Ledger!$C$2:$C$4, P$2)),"****")</f>
        <v/>
      </c>
      <c r="Q421" t="str">
        <f>IFERROR(IF($C421="","",SUMIFS(Ledger!$K$2:$K$4, Ledger!$B$2:$B$4, $A421, Ledger!$C$2:$C$4, Q$2)),"****")</f>
        <v/>
      </c>
      <c r="R421" t="str">
        <f>IFERROR(IF($C421="","",SUMIFS(Ledger!$K$2:$K$4, Ledger!$B$2:$B$4, $A421, Ledger!$C$2:$C$4, R$2)),"****")</f>
        <v/>
      </c>
      <c r="S421" t="str">
        <f>IFERROR(IF($C421="","",SUMIFS(Ledger!$K$2:$K$4, Ledger!$B$2:$B$4, $A421, Ledger!$C$2:$C$4, S$2)),"****")</f>
        <v/>
      </c>
      <c r="T421" t="str">
        <f>IFERROR(IF($C421="","",SUMIFS(Ledger!$K$2:$K$4, Ledger!$B$2:$B$4, $A421, Ledger!$C$2:$C$4, T$2)),"****")</f>
        <v/>
      </c>
      <c r="U421" t="str">
        <f>IFERROR(IF($C421="","",SUMIFS(Ledger!$K$2:$K$4, Ledger!$B$2:$B$4, $A421, Ledger!$C$2:$C$4, U$2)),"****")</f>
        <v/>
      </c>
      <c r="V421" t="str">
        <f>IFERROR(IF($C421="","",SUMIFS(Ledger!$K$2:$K$4, Ledger!$B$2:$B$4, $A421, Ledger!$C$2:$C$4, V$2)),"****")</f>
        <v/>
      </c>
      <c r="W421" t="str">
        <f>IFERROR(IF($C421="","",SUMIFS(Ledger!$K$2:$K$4, Ledger!$B$2:$B$4, $A421, Ledger!$C$2:$C$4, W$2)),"****")</f>
        <v/>
      </c>
      <c r="X421" t="str">
        <f>IFERROR(IF($C421="","",SUMIFS(Ledger!$K$2:$K$4, Ledger!$B$2:$B$4, $A421, Ledger!$C$2:$C$4, X$2)),"****")</f>
        <v/>
      </c>
    </row>
    <row r="422" spans="1:24" x14ac:dyDescent="0.3">
      <c r="A422" s="106">
        <v>420</v>
      </c>
      <c r="B422" t="str">
        <f>IFERROR(VLOOKUP($A422, Ledger!$B$2:$L$8, 3, 0),"")</f>
        <v/>
      </c>
      <c r="C422" t="str">
        <f>IFERROR(VLOOKUP($A422, Ledger!$B$2:$L$8, 4, 0),"")</f>
        <v/>
      </c>
      <c r="D422" t="str">
        <f>IFERROR(VLOOKUP($A422, Ledger!$B$2:$L$8, 5, 0),"")</f>
        <v/>
      </c>
      <c r="E422" t="str">
        <f>IFERROR(VLOOKUP($A422, Ledger!$B$2:$L$8, 6, 0),"")</f>
        <v/>
      </c>
      <c r="F422" t="str">
        <f>IFERROR(VLOOKUP($A422,'Student Data'!$A$2:$AR$6,32,0),"")</f>
        <v/>
      </c>
      <c r="G422" t="str">
        <f>IFERROR(VLOOKUP($A422,'Student Data'!$A$2:$AR$6,33,0),"")</f>
        <v/>
      </c>
      <c r="H422" t="str">
        <f>IFERROR(VLOOKUP($A422,'Student Data'!$A$2:$AR$6,34,0),"")</f>
        <v/>
      </c>
      <c r="I422" t="str">
        <f>IFERROR(VLOOKUP($A422,'Student Data'!$A$2:$AR$6,35,0),"")</f>
        <v/>
      </c>
      <c r="J422" t="str">
        <f>IFERROR(VLOOKUP($A422,'Student Data'!$A$2:$AR$6,36,0),"")</f>
        <v/>
      </c>
      <c r="K422" t="str">
        <f t="shared" si="12"/>
        <v/>
      </c>
      <c r="L422" t="str">
        <f t="shared" si="13"/>
        <v/>
      </c>
      <c r="M422" t="str">
        <f>IFERROR(IF($C422="","",SUMIFS(Ledger!$K$2:$K$4, Ledger!$B$2:$B$4, $A422, Ledger!$C$2:$C$4, M$2)),"****")</f>
        <v/>
      </c>
      <c r="N422" t="str">
        <f>IFERROR(IF($C422="","",SUMIFS(Ledger!$K$2:$K$4, Ledger!$B$2:$B$4, $A422, Ledger!$C$2:$C$4, N$2)),"****")</f>
        <v/>
      </c>
      <c r="O422" t="str">
        <f>IFERROR(IF($C422="","",SUMIFS(Ledger!$K$2:$K$4, Ledger!$B$2:$B$4, $A422, Ledger!$C$2:$C$4, O$2)),"****")</f>
        <v/>
      </c>
      <c r="P422" t="str">
        <f>IFERROR(IF($C422="","",SUMIFS(Ledger!$K$2:$K$4, Ledger!$B$2:$B$4, $A422, Ledger!$C$2:$C$4, P$2)),"****")</f>
        <v/>
      </c>
      <c r="Q422" t="str">
        <f>IFERROR(IF($C422="","",SUMIFS(Ledger!$K$2:$K$4, Ledger!$B$2:$B$4, $A422, Ledger!$C$2:$C$4, Q$2)),"****")</f>
        <v/>
      </c>
      <c r="R422" t="str">
        <f>IFERROR(IF($C422="","",SUMIFS(Ledger!$K$2:$K$4, Ledger!$B$2:$B$4, $A422, Ledger!$C$2:$C$4, R$2)),"****")</f>
        <v/>
      </c>
      <c r="S422" t="str">
        <f>IFERROR(IF($C422="","",SUMIFS(Ledger!$K$2:$K$4, Ledger!$B$2:$B$4, $A422, Ledger!$C$2:$C$4, S$2)),"****")</f>
        <v/>
      </c>
      <c r="T422" t="str">
        <f>IFERROR(IF($C422="","",SUMIFS(Ledger!$K$2:$K$4, Ledger!$B$2:$B$4, $A422, Ledger!$C$2:$C$4, T$2)),"****")</f>
        <v/>
      </c>
      <c r="U422" t="str">
        <f>IFERROR(IF($C422="","",SUMIFS(Ledger!$K$2:$K$4, Ledger!$B$2:$B$4, $A422, Ledger!$C$2:$C$4, U$2)),"****")</f>
        <v/>
      </c>
      <c r="V422" t="str">
        <f>IFERROR(IF($C422="","",SUMIFS(Ledger!$K$2:$K$4, Ledger!$B$2:$B$4, $A422, Ledger!$C$2:$C$4, V$2)),"****")</f>
        <v/>
      </c>
      <c r="W422" t="str">
        <f>IFERROR(IF($C422="","",SUMIFS(Ledger!$K$2:$K$4, Ledger!$B$2:$B$4, $A422, Ledger!$C$2:$C$4, W$2)),"****")</f>
        <v/>
      </c>
      <c r="X422" t="str">
        <f>IFERROR(IF($C422="","",SUMIFS(Ledger!$K$2:$K$4, Ledger!$B$2:$B$4, $A422, Ledger!$C$2:$C$4, X$2)),"****")</f>
        <v/>
      </c>
    </row>
    <row r="423" spans="1:24" x14ac:dyDescent="0.3">
      <c r="A423" s="106">
        <v>421</v>
      </c>
      <c r="B423" t="str">
        <f>IFERROR(VLOOKUP($A423, Ledger!$B$2:$L$8, 3, 0),"")</f>
        <v/>
      </c>
      <c r="C423" t="str">
        <f>IFERROR(VLOOKUP($A423, Ledger!$B$2:$L$8, 4, 0),"")</f>
        <v/>
      </c>
      <c r="D423" t="str">
        <f>IFERROR(VLOOKUP($A423, Ledger!$B$2:$L$8, 5, 0),"")</f>
        <v/>
      </c>
      <c r="E423" t="str">
        <f>IFERROR(VLOOKUP($A423, Ledger!$B$2:$L$8, 6, 0),"")</f>
        <v/>
      </c>
      <c r="F423" t="str">
        <f>IFERROR(VLOOKUP($A423,'Student Data'!$A$2:$AR$6,32,0),"")</f>
        <v/>
      </c>
      <c r="G423" t="str">
        <f>IFERROR(VLOOKUP($A423,'Student Data'!$A$2:$AR$6,33,0),"")</f>
        <v/>
      </c>
      <c r="H423" t="str">
        <f>IFERROR(VLOOKUP($A423,'Student Data'!$A$2:$AR$6,34,0),"")</f>
        <v/>
      </c>
      <c r="I423" t="str">
        <f>IFERROR(VLOOKUP($A423,'Student Data'!$A$2:$AR$6,35,0),"")</f>
        <v/>
      </c>
      <c r="J423" t="str">
        <f>IFERROR(VLOOKUP($A423,'Student Data'!$A$2:$AR$6,36,0),"")</f>
        <v/>
      </c>
      <c r="K423" t="str">
        <f t="shared" si="12"/>
        <v/>
      </c>
      <c r="L423" t="str">
        <f t="shared" si="13"/>
        <v/>
      </c>
      <c r="M423" t="str">
        <f>IFERROR(IF($C423="","",SUMIFS(Ledger!$K$2:$K$4, Ledger!$B$2:$B$4, $A423, Ledger!$C$2:$C$4, M$2)),"****")</f>
        <v/>
      </c>
      <c r="N423" t="str">
        <f>IFERROR(IF($C423="","",SUMIFS(Ledger!$K$2:$K$4, Ledger!$B$2:$B$4, $A423, Ledger!$C$2:$C$4, N$2)),"****")</f>
        <v/>
      </c>
      <c r="O423" t="str">
        <f>IFERROR(IF($C423="","",SUMIFS(Ledger!$K$2:$K$4, Ledger!$B$2:$B$4, $A423, Ledger!$C$2:$C$4, O$2)),"****")</f>
        <v/>
      </c>
      <c r="P423" t="str">
        <f>IFERROR(IF($C423="","",SUMIFS(Ledger!$K$2:$K$4, Ledger!$B$2:$B$4, $A423, Ledger!$C$2:$C$4, P$2)),"****")</f>
        <v/>
      </c>
      <c r="Q423" t="str">
        <f>IFERROR(IF($C423="","",SUMIFS(Ledger!$K$2:$K$4, Ledger!$B$2:$B$4, $A423, Ledger!$C$2:$C$4, Q$2)),"****")</f>
        <v/>
      </c>
      <c r="R423" t="str">
        <f>IFERROR(IF($C423="","",SUMIFS(Ledger!$K$2:$K$4, Ledger!$B$2:$B$4, $A423, Ledger!$C$2:$C$4, R$2)),"****")</f>
        <v/>
      </c>
      <c r="S423" t="str">
        <f>IFERROR(IF($C423="","",SUMIFS(Ledger!$K$2:$K$4, Ledger!$B$2:$B$4, $A423, Ledger!$C$2:$C$4, S$2)),"****")</f>
        <v/>
      </c>
      <c r="T423" t="str">
        <f>IFERROR(IF($C423="","",SUMIFS(Ledger!$K$2:$K$4, Ledger!$B$2:$B$4, $A423, Ledger!$C$2:$C$4, T$2)),"****")</f>
        <v/>
      </c>
      <c r="U423" t="str">
        <f>IFERROR(IF($C423="","",SUMIFS(Ledger!$K$2:$K$4, Ledger!$B$2:$B$4, $A423, Ledger!$C$2:$C$4, U$2)),"****")</f>
        <v/>
      </c>
      <c r="V423" t="str">
        <f>IFERROR(IF($C423="","",SUMIFS(Ledger!$K$2:$K$4, Ledger!$B$2:$B$4, $A423, Ledger!$C$2:$C$4, V$2)),"****")</f>
        <v/>
      </c>
      <c r="W423" t="str">
        <f>IFERROR(IF($C423="","",SUMIFS(Ledger!$K$2:$K$4, Ledger!$B$2:$B$4, $A423, Ledger!$C$2:$C$4, W$2)),"****")</f>
        <v/>
      </c>
      <c r="X423" t="str">
        <f>IFERROR(IF($C423="","",SUMIFS(Ledger!$K$2:$K$4, Ledger!$B$2:$B$4, $A423, Ledger!$C$2:$C$4, X$2)),"****")</f>
        <v/>
      </c>
    </row>
    <row r="424" spans="1:24" x14ac:dyDescent="0.3">
      <c r="A424" s="106">
        <v>422</v>
      </c>
      <c r="B424" t="str">
        <f>IFERROR(VLOOKUP($A424, Ledger!$B$2:$L$8, 3, 0),"")</f>
        <v/>
      </c>
      <c r="C424" t="str">
        <f>IFERROR(VLOOKUP($A424, Ledger!$B$2:$L$8, 4, 0),"")</f>
        <v/>
      </c>
      <c r="D424" t="str">
        <f>IFERROR(VLOOKUP($A424, Ledger!$B$2:$L$8, 5, 0),"")</f>
        <v/>
      </c>
      <c r="E424" t="str">
        <f>IFERROR(VLOOKUP($A424, Ledger!$B$2:$L$8, 6, 0),"")</f>
        <v/>
      </c>
      <c r="F424" t="str">
        <f>IFERROR(VLOOKUP($A424,'Student Data'!$A$2:$AR$6,32,0),"")</f>
        <v/>
      </c>
      <c r="G424" t="str">
        <f>IFERROR(VLOOKUP($A424,'Student Data'!$A$2:$AR$6,33,0),"")</f>
        <v/>
      </c>
      <c r="H424" t="str">
        <f>IFERROR(VLOOKUP($A424,'Student Data'!$A$2:$AR$6,34,0),"")</f>
        <v/>
      </c>
      <c r="I424" t="str">
        <f>IFERROR(VLOOKUP($A424,'Student Data'!$A$2:$AR$6,35,0),"")</f>
        <v/>
      </c>
      <c r="J424" t="str">
        <f>IFERROR(VLOOKUP($A424,'Student Data'!$A$2:$AR$6,36,0),"")</f>
        <v/>
      </c>
      <c r="K424" t="str">
        <f t="shared" si="12"/>
        <v/>
      </c>
      <c r="L424" t="str">
        <f t="shared" si="13"/>
        <v/>
      </c>
      <c r="M424" t="str">
        <f>IFERROR(IF($C424="","",SUMIFS(Ledger!$K$2:$K$4, Ledger!$B$2:$B$4, $A424, Ledger!$C$2:$C$4, M$2)),"****")</f>
        <v/>
      </c>
      <c r="N424" t="str">
        <f>IFERROR(IF($C424="","",SUMIFS(Ledger!$K$2:$K$4, Ledger!$B$2:$B$4, $A424, Ledger!$C$2:$C$4, N$2)),"****")</f>
        <v/>
      </c>
      <c r="O424" t="str">
        <f>IFERROR(IF($C424="","",SUMIFS(Ledger!$K$2:$K$4, Ledger!$B$2:$B$4, $A424, Ledger!$C$2:$C$4, O$2)),"****")</f>
        <v/>
      </c>
      <c r="P424" t="str">
        <f>IFERROR(IF($C424="","",SUMIFS(Ledger!$K$2:$K$4, Ledger!$B$2:$B$4, $A424, Ledger!$C$2:$C$4, P$2)),"****")</f>
        <v/>
      </c>
      <c r="Q424" t="str">
        <f>IFERROR(IF($C424="","",SUMIFS(Ledger!$K$2:$K$4, Ledger!$B$2:$B$4, $A424, Ledger!$C$2:$C$4, Q$2)),"****")</f>
        <v/>
      </c>
      <c r="R424" t="str">
        <f>IFERROR(IF($C424="","",SUMIFS(Ledger!$K$2:$K$4, Ledger!$B$2:$B$4, $A424, Ledger!$C$2:$C$4, R$2)),"****")</f>
        <v/>
      </c>
      <c r="S424" t="str">
        <f>IFERROR(IF($C424="","",SUMIFS(Ledger!$K$2:$K$4, Ledger!$B$2:$B$4, $A424, Ledger!$C$2:$C$4, S$2)),"****")</f>
        <v/>
      </c>
      <c r="T424" t="str">
        <f>IFERROR(IF($C424="","",SUMIFS(Ledger!$K$2:$K$4, Ledger!$B$2:$B$4, $A424, Ledger!$C$2:$C$4, T$2)),"****")</f>
        <v/>
      </c>
      <c r="U424" t="str">
        <f>IFERROR(IF($C424="","",SUMIFS(Ledger!$K$2:$K$4, Ledger!$B$2:$B$4, $A424, Ledger!$C$2:$C$4, U$2)),"****")</f>
        <v/>
      </c>
      <c r="V424" t="str">
        <f>IFERROR(IF($C424="","",SUMIFS(Ledger!$K$2:$K$4, Ledger!$B$2:$B$4, $A424, Ledger!$C$2:$C$4, V$2)),"****")</f>
        <v/>
      </c>
      <c r="W424" t="str">
        <f>IFERROR(IF($C424="","",SUMIFS(Ledger!$K$2:$K$4, Ledger!$B$2:$B$4, $A424, Ledger!$C$2:$C$4, W$2)),"****")</f>
        <v/>
      </c>
      <c r="X424" t="str">
        <f>IFERROR(IF($C424="","",SUMIFS(Ledger!$K$2:$K$4, Ledger!$B$2:$B$4, $A424, Ledger!$C$2:$C$4, X$2)),"****")</f>
        <v/>
      </c>
    </row>
    <row r="425" spans="1:24" x14ac:dyDescent="0.3">
      <c r="A425" s="106">
        <v>423</v>
      </c>
      <c r="B425" t="str">
        <f>IFERROR(VLOOKUP($A425, Ledger!$B$2:$L$8, 3, 0),"")</f>
        <v/>
      </c>
      <c r="C425" t="str">
        <f>IFERROR(VLOOKUP($A425, Ledger!$B$2:$L$8, 4, 0),"")</f>
        <v/>
      </c>
      <c r="D425" t="str">
        <f>IFERROR(VLOOKUP($A425, Ledger!$B$2:$L$8, 5, 0),"")</f>
        <v/>
      </c>
      <c r="E425" t="str">
        <f>IFERROR(VLOOKUP($A425, Ledger!$B$2:$L$8, 6, 0),"")</f>
        <v/>
      </c>
      <c r="F425" t="str">
        <f>IFERROR(VLOOKUP($A425,'Student Data'!$A$2:$AR$6,32,0),"")</f>
        <v/>
      </c>
      <c r="G425" t="str">
        <f>IFERROR(VLOOKUP($A425,'Student Data'!$A$2:$AR$6,33,0),"")</f>
        <v/>
      </c>
      <c r="H425" t="str">
        <f>IFERROR(VLOOKUP($A425,'Student Data'!$A$2:$AR$6,34,0),"")</f>
        <v/>
      </c>
      <c r="I425" t="str">
        <f>IFERROR(VLOOKUP($A425,'Student Data'!$A$2:$AR$6,35,0),"")</f>
        <v/>
      </c>
      <c r="J425" t="str">
        <f>IFERROR(VLOOKUP($A425,'Student Data'!$A$2:$AR$6,36,0),"")</f>
        <v/>
      </c>
      <c r="K425" t="str">
        <f t="shared" si="12"/>
        <v/>
      </c>
      <c r="L425" t="str">
        <f t="shared" si="13"/>
        <v/>
      </c>
      <c r="M425" t="str">
        <f>IFERROR(IF($C425="","",SUMIFS(Ledger!$K$2:$K$4, Ledger!$B$2:$B$4, $A425, Ledger!$C$2:$C$4, M$2)),"****")</f>
        <v/>
      </c>
      <c r="N425" t="str">
        <f>IFERROR(IF($C425="","",SUMIFS(Ledger!$K$2:$K$4, Ledger!$B$2:$B$4, $A425, Ledger!$C$2:$C$4, N$2)),"****")</f>
        <v/>
      </c>
      <c r="O425" t="str">
        <f>IFERROR(IF($C425="","",SUMIFS(Ledger!$K$2:$K$4, Ledger!$B$2:$B$4, $A425, Ledger!$C$2:$C$4, O$2)),"****")</f>
        <v/>
      </c>
      <c r="P425" t="str">
        <f>IFERROR(IF($C425="","",SUMIFS(Ledger!$K$2:$K$4, Ledger!$B$2:$B$4, $A425, Ledger!$C$2:$C$4, P$2)),"****")</f>
        <v/>
      </c>
      <c r="Q425" t="str">
        <f>IFERROR(IF($C425="","",SUMIFS(Ledger!$K$2:$K$4, Ledger!$B$2:$B$4, $A425, Ledger!$C$2:$C$4, Q$2)),"****")</f>
        <v/>
      </c>
      <c r="R425" t="str">
        <f>IFERROR(IF($C425="","",SUMIFS(Ledger!$K$2:$K$4, Ledger!$B$2:$B$4, $A425, Ledger!$C$2:$C$4, R$2)),"****")</f>
        <v/>
      </c>
      <c r="S425" t="str">
        <f>IFERROR(IF($C425="","",SUMIFS(Ledger!$K$2:$K$4, Ledger!$B$2:$B$4, $A425, Ledger!$C$2:$C$4, S$2)),"****")</f>
        <v/>
      </c>
      <c r="T425" t="str">
        <f>IFERROR(IF($C425="","",SUMIFS(Ledger!$K$2:$K$4, Ledger!$B$2:$B$4, $A425, Ledger!$C$2:$C$4, T$2)),"****")</f>
        <v/>
      </c>
      <c r="U425" t="str">
        <f>IFERROR(IF($C425="","",SUMIFS(Ledger!$K$2:$K$4, Ledger!$B$2:$B$4, $A425, Ledger!$C$2:$C$4, U$2)),"****")</f>
        <v/>
      </c>
      <c r="V425" t="str">
        <f>IFERROR(IF($C425="","",SUMIFS(Ledger!$K$2:$K$4, Ledger!$B$2:$B$4, $A425, Ledger!$C$2:$C$4, V$2)),"****")</f>
        <v/>
      </c>
      <c r="W425" t="str">
        <f>IFERROR(IF($C425="","",SUMIFS(Ledger!$K$2:$K$4, Ledger!$B$2:$B$4, $A425, Ledger!$C$2:$C$4, W$2)),"****")</f>
        <v/>
      </c>
      <c r="X425" t="str">
        <f>IFERROR(IF($C425="","",SUMIFS(Ledger!$K$2:$K$4, Ledger!$B$2:$B$4, $A425, Ledger!$C$2:$C$4, X$2)),"****")</f>
        <v/>
      </c>
    </row>
    <row r="426" spans="1:24" x14ac:dyDescent="0.3">
      <c r="A426" s="106">
        <v>424</v>
      </c>
      <c r="B426" t="str">
        <f>IFERROR(VLOOKUP($A426, Ledger!$B$2:$L$8, 3, 0),"")</f>
        <v/>
      </c>
      <c r="C426" t="str">
        <f>IFERROR(VLOOKUP($A426, Ledger!$B$2:$L$8, 4, 0),"")</f>
        <v/>
      </c>
      <c r="D426" t="str">
        <f>IFERROR(VLOOKUP($A426, Ledger!$B$2:$L$8, 5, 0),"")</f>
        <v/>
      </c>
      <c r="E426" t="str">
        <f>IFERROR(VLOOKUP($A426, Ledger!$B$2:$L$8, 6, 0),"")</f>
        <v/>
      </c>
      <c r="F426" t="str">
        <f>IFERROR(VLOOKUP($A426,'Student Data'!$A$2:$AR$6,32,0),"")</f>
        <v/>
      </c>
      <c r="G426" t="str">
        <f>IFERROR(VLOOKUP($A426,'Student Data'!$A$2:$AR$6,33,0),"")</f>
        <v/>
      </c>
      <c r="H426" t="str">
        <f>IFERROR(VLOOKUP($A426,'Student Data'!$A$2:$AR$6,34,0),"")</f>
        <v/>
      </c>
      <c r="I426" t="str">
        <f>IFERROR(VLOOKUP($A426,'Student Data'!$A$2:$AR$6,35,0),"")</f>
        <v/>
      </c>
      <c r="J426" t="str">
        <f>IFERROR(VLOOKUP($A426,'Student Data'!$A$2:$AR$6,36,0),"")</f>
        <v/>
      </c>
      <c r="K426" t="str">
        <f t="shared" si="12"/>
        <v/>
      </c>
      <c r="L426" t="str">
        <f t="shared" si="13"/>
        <v/>
      </c>
      <c r="M426" t="str">
        <f>IFERROR(IF($C426="","",SUMIFS(Ledger!$K$2:$K$4, Ledger!$B$2:$B$4, $A426, Ledger!$C$2:$C$4, M$2)),"****")</f>
        <v/>
      </c>
      <c r="N426" t="str">
        <f>IFERROR(IF($C426="","",SUMIFS(Ledger!$K$2:$K$4, Ledger!$B$2:$B$4, $A426, Ledger!$C$2:$C$4, N$2)),"****")</f>
        <v/>
      </c>
      <c r="O426" t="str">
        <f>IFERROR(IF($C426="","",SUMIFS(Ledger!$K$2:$K$4, Ledger!$B$2:$B$4, $A426, Ledger!$C$2:$C$4, O$2)),"****")</f>
        <v/>
      </c>
      <c r="P426" t="str">
        <f>IFERROR(IF($C426="","",SUMIFS(Ledger!$K$2:$K$4, Ledger!$B$2:$B$4, $A426, Ledger!$C$2:$C$4, P$2)),"****")</f>
        <v/>
      </c>
      <c r="Q426" t="str">
        <f>IFERROR(IF($C426="","",SUMIFS(Ledger!$K$2:$K$4, Ledger!$B$2:$B$4, $A426, Ledger!$C$2:$C$4, Q$2)),"****")</f>
        <v/>
      </c>
      <c r="R426" t="str">
        <f>IFERROR(IF($C426="","",SUMIFS(Ledger!$K$2:$K$4, Ledger!$B$2:$B$4, $A426, Ledger!$C$2:$C$4, R$2)),"****")</f>
        <v/>
      </c>
      <c r="S426" t="str">
        <f>IFERROR(IF($C426="","",SUMIFS(Ledger!$K$2:$K$4, Ledger!$B$2:$B$4, $A426, Ledger!$C$2:$C$4, S$2)),"****")</f>
        <v/>
      </c>
      <c r="T426" t="str">
        <f>IFERROR(IF($C426="","",SUMIFS(Ledger!$K$2:$K$4, Ledger!$B$2:$B$4, $A426, Ledger!$C$2:$C$4, T$2)),"****")</f>
        <v/>
      </c>
      <c r="U426" t="str">
        <f>IFERROR(IF($C426="","",SUMIFS(Ledger!$K$2:$K$4, Ledger!$B$2:$B$4, $A426, Ledger!$C$2:$C$4, U$2)),"****")</f>
        <v/>
      </c>
      <c r="V426" t="str">
        <f>IFERROR(IF($C426="","",SUMIFS(Ledger!$K$2:$K$4, Ledger!$B$2:$B$4, $A426, Ledger!$C$2:$C$4, V$2)),"****")</f>
        <v/>
      </c>
      <c r="W426" t="str">
        <f>IFERROR(IF($C426="","",SUMIFS(Ledger!$K$2:$K$4, Ledger!$B$2:$B$4, $A426, Ledger!$C$2:$C$4, W$2)),"****")</f>
        <v/>
      </c>
      <c r="X426" t="str">
        <f>IFERROR(IF($C426="","",SUMIFS(Ledger!$K$2:$K$4, Ledger!$B$2:$B$4, $A426, Ledger!$C$2:$C$4, X$2)),"****")</f>
        <v/>
      </c>
    </row>
    <row r="427" spans="1:24" x14ac:dyDescent="0.3">
      <c r="A427" s="106">
        <v>425</v>
      </c>
      <c r="B427" t="str">
        <f>IFERROR(VLOOKUP($A427, Ledger!$B$2:$L$8, 3, 0),"")</f>
        <v/>
      </c>
      <c r="C427" t="str">
        <f>IFERROR(VLOOKUP($A427, Ledger!$B$2:$L$8, 4, 0),"")</f>
        <v/>
      </c>
      <c r="D427" t="str">
        <f>IFERROR(VLOOKUP($A427, Ledger!$B$2:$L$8, 5, 0),"")</f>
        <v/>
      </c>
      <c r="E427" t="str">
        <f>IFERROR(VLOOKUP($A427, Ledger!$B$2:$L$8, 6, 0),"")</f>
        <v/>
      </c>
      <c r="F427" t="str">
        <f>IFERROR(VLOOKUP($A427,'Student Data'!$A$2:$AR$6,32,0),"")</f>
        <v/>
      </c>
      <c r="G427" t="str">
        <f>IFERROR(VLOOKUP($A427,'Student Data'!$A$2:$AR$6,33,0),"")</f>
        <v/>
      </c>
      <c r="H427" t="str">
        <f>IFERROR(VLOOKUP($A427,'Student Data'!$A$2:$AR$6,34,0),"")</f>
        <v/>
      </c>
      <c r="I427" t="str">
        <f>IFERROR(VLOOKUP($A427,'Student Data'!$A$2:$AR$6,35,0),"")</f>
        <v/>
      </c>
      <c r="J427" t="str">
        <f>IFERROR(VLOOKUP($A427,'Student Data'!$A$2:$AR$6,36,0),"")</f>
        <v/>
      </c>
      <c r="K427" t="str">
        <f t="shared" si="12"/>
        <v/>
      </c>
      <c r="L427" t="str">
        <f t="shared" si="13"/>
        <v/>
      </c>
      <c r="M427" t="str">
        <f>IFERROR(IF($C427="","",SUMIFS(Ledger!$K$2:$K$4, Ledger!$B$2:$B$4, $A427, Ledger!$C$2:$C$4, M$2)),"****")</f>
        <v/>
      </c>
      <c r="N427" t="str">
        <f>IFERROR(IF($C427="","",SUMIFS(Ledger!$K$2:$K$4, Ledger!$B$2:$B$4, $A427, Ledger!$C$2:$C$4, N$2)),"****")</f>
        <v/>
      </c>
      <c r="O427" t="str">
        <f>IFERROR(IF($C427="","",SUMIFS(Ledger!$K$2:$K$4, Ledger!$B$2:$B$4, $A427, Ledger!$C$2:$C$4, O$2)),"****")</f>
        <v/>
      </c>
      <c r="P427" t="str">
        <f>IFERROR(IF($C427="","",SUMIFS(Ledger!$K$2:$K$4, Ledger!$B$2:$B$4, $A427, Ledger!$C$2:$C$4, P$2)),"****")</f>
        <v/>
      </c>
      <c r="Q427" t="str">
        <f>IFERROR(IF($C427="","",SUMIFS(Ledger!$K$2:$K$4, Ledger!$B$2:$B$4, $A427, Ledger!$C$2:$C$4, Q$2)),"****")</f>
        <v/>
      </c>
      <c r="R427" t="str">
        <f>IFERROR(IF($C427="","",SUMIFS(Ledger!$K$2:$K$4, Ledger!$B$2:$B$4, $A427, Ledger!$C$2:$C$4, R$2)),"****")</f>
        <v/>
      </c>
      <c r="S427" t="str">
        <f>IFERROR(IF($C427="","",SUMIFS(Ledger!$K$2:$K$4, Ledger!$B$2:$B$4, $A427, Ledger!$C$2:$C$4, S$2)),"****")</f>
        <v/>
      </c>
      <c r="T427" t="str">
        <f>IFERROR(IF($C427="","",SUMIFS(Ledger!$K$2:$K$4, Ledger!$B$2:$B$4, $A427, Ledger!$C$2:$C$4, T$2)),"****")</f>
        <v/>
      </c>
      <c r="U427" t="str">
        <f>IFERROR(IF($C427="","",SUMIFS(Ledger!$K$2:$K$4, Ledger!$B$2:$B$4, $A427, Ledger!$C$2:$C$4, U$2)),"****")</f>
        <v/>
      </c>
      <c r="V427" t="str">
        <f>IFERROR(IF($C427="","",SUMIFS(Ledger!$K$2:$K$4, Ledger!$B$2:$B$4, $A427, Ledger!$C$2:$C$4, V$2)),"****")</f>
        <v/>
      </c>
      <c r="W427" t="str">
        <f>IFERROR(IF($C427="","",SUMIFS(Ledger!$K$2:$K$4, Ledger!$B$2:$B$4, $A427, Ledger!$C$2:$C$4, W$2)),"****")</f>
        <v/>
      </c>
      <c r="X427" t="str">
        <f>IFERROR(IF($C427="","",SUMIFS(Ledger!$K$2:$K$4, Ledger!$B$2:$B$4, $A427, Ledger!$C$2:$C$4, X$2)),"****")</f>
        <v/>
      </c>
    </row>
    <row r="428" spans="1:24" x14ac:dyDescent="0.3">
      <c r="A428" s="106">
        <v>426</v>
      </c>
      <c r="B428" t="str">
        <f>IFERROR(VLOOKUP($A428, Ledger!$B$2:$L$8, 3, 0),"")</f>
        <v/>
      </c>
      <c r="C428" t="str">
        <f>IFERROR(VLOOKUP($A428, Ledger!$B$2:$L$8, 4, 0),"")</f>
        <v/>
      </c>
      <c r="D428" t="str">
        <f>IFERROR(VLOOKUP($A428, Ledger!$B$2:$L$8, 5, 0),"")</f>
        <v/>
      </c>
      <c r="E428" t="str">
        <f>IFERROR(VLOOKUP($A428, Ledger!$B$2:$L$8, 6, 0),"")</f>
        <v/>
      </c>
      <c r="F428" t="str">
        <f>IFERROR(VLOOKUP($A428,'Student Data'!$A$2:$AR$6,32,0),"")</f>
        <v/>
      </c>
      <c r="G428" t="str">
        <f>IFERROR(VLOOKUP($A428,'Student Data'!$A$2:$AR$6,33,0),"")</f>
        <v/>
      </c>
      <c r="H428" t="str">
        <f>IFERROR(VLOOKUP($A428,'Student Data'!$A$2:$AR$6,34,0),"")</f>
        <v/>
      </c>
      <c r="I428" t="str">
        <f>IFERROR(VLOOKUP($A428,'Student Data'!$A$2:$AR$6,35,0),"")</f>
        <v/>
      </c>
      <c r="J428" t="str">
        <f>IFERROR(VLOOKUP($A428,'Student Data'!$A$2:$AR$6,36,0),"")</f>
        <v/>
      </c>
      <c r="K428" t="str">
        <f t="shared" si="12"/>
        <v/>
      </c>
      <c r="L428" t="str">
        <f t="shared" si="13"/>
        <v/>
      </c>
      <c r="M428" t="str">
        <f>IFERROR(IF($C428="","",SUMIFS(Ledger!$K$2:$K$4, Ledger!$B$2:$B$4, $A428, Ledger!$C$2:$C$4, M$2)),"****")</f>
        <v/>
      </c>
      <c r="N428" t="str">
        <f>IFERROR(IF($C428="","",SUMIFS(Ledger!$K$2:$K$4, Ledger!$B$2:$B$4, $A428, Ledger!$C$2:$C$4, N$2)),"****")</f>
        <v/>
      </c>
      <c r="O428" t="str">
        <f>IFERROR(IF($C428="","",SUMIFS(Ledger!$K$2:$K$4, Ledger!$B$2:$B$4, $A428, Ledger!$C$2:$C$4, O$2)),"****")</f>
        <v/>
      </c>
      <c r="P428" t="str">
        <f>IFERROR(IF($C428="","",SUMIFS(Ledger!$K$2:$K$4, Ledger!$B$2:$B$4, $A428, Ledger!$C$2:$C$4, P$2)),"****")</f>
        <v/>
      </c>
      <c r="Q428" t="str">
        <f>IFERROR(IF($C428="","",SUMIFS(Ledger!$K$2:$K$4, Ledger!$B$2:$B$4, $A428, Ledger!$C$2:$C$4, Q$2)),"****")</f>
        <v/>
      </c>
      <c r="R428" t="str">
        <f>IFERROR(IF($C428="","",SUMIFS(Ledger!$K$2:$K$4, Ledger!$B$2:$B$4, $A428, Ledger!$C$2:$C$4, R$2)),"****")</f>
        <v/>
      </c>
      <c r="S428" t="str">
        <f>IFERROR(IF($C428="","",SUMIFS(Ledger!$K$2:$K$4, Ledger!$B$2:$B$4, $A428, Ledger!$C$2:$C$4, S$2)),"****")</f>
        <v/>
      </c>
      <c r="T428" t="str">
        <f>IFERROR(IF($C428="","",SUMIFS(Ledger!$K$2:$K$4, Ledger!$B$2:$B$4, $A428, Ledger!$C$2:$C$4, T$2)),"****")</f>
        <v/>
      </c>
      <c r="U428" t="str">
        <f>IFERROR(IF($C428="","",SUMIFS(Ledger!$K$2:$K$4, Ledger!$B$2:$B$4, $A428, Ledger!$C$2:$C$4, U$2)),"****")</f>
        <v/>
      </c>
      <c r="V428" t="str">
        <f>IFERROR(IF($C428="","",SUMIFS(Ledger!$K$2:$K$4, Ledger!$B$2:$B$4, $A428, Ledger!$C$2:$C$4, V$2)),"****")</f>
        <v/>
      </c>
      <c r="W428" t="str">
        <f>IFERROR(IF($C428="","",SUMIFS(Ledger!$K$2:$K$4, Ledger!$B$2:$B$4, $A428, Ledger!$C$2:$C$4, W$2)),"****")</f>
        <v/>
      </c>
      <c r="X428" t="str">
        <f>IFERROR(IF($C428="","",SUMIFS(Ledger!$K$2:$K$4, Ledger!$B$2:$B$4, $A428, Ledger!$C$2:$C$4, X$2)),"****")</f>
        <v/>
      </c>
    </row>
    <row r="429" spans="1:24" x14ac:dyDescent="0.3">
      <c r="A429" s="106">
        <v>427</v>
      </c>
      <c r="B429" t="str">
        <f>IFERROR(VLOOKUP($A429, Ledger!$B$2:$L$8, 3, 0),"")</f>
        <v/>
      </c>
      <c r="C429" t="str">
        <f>IFERROR(VLOOKUP($A429, Ledger!$B$2:$L$8, 4, 0),"")</f>
        <v/>
      </c>
      <c r="D429" t="str">
        <f>IFERROR(VLOOKUP($A429, Ledger!$B$2:$L$8, 5, 0),"")</f>
        <v/>
      </c>
      <c r="E429" t="str">
        <f>IFERROR(VLOOKUP($A429, Ledger!$B$2:$L$8, 6, 0),"")</f>
        <v/>
      </c>
      <c r="F429" t="str">
        <f>IFERROR(VLOOKUP($A429,'Student Data'!$A$2:$AR$6,32,0),"")</f>
        <v/>
      </c>
      <c r="G429" t="str">
        <f>IFERROR(VLOOKUP($A429,'Student Data'!$A$2:$AR$6,33,0),"")</f>
        <v/>
      </c>
      <c r="H429" t="str">
        <f>IFERROR(VLOOKUP($A429,'Student Data'!$A$2:$AR$6,34,0),"")</f>
        <v/>
      </c>
      <c r="I429" t="str">
        <f>IFERROR(VLOOKUP($A429,'Student Data'!$A$2:$AR$6,35,0),"")</f>
        <v/>
      </c>
      <c r="J429" t="str">
        <f>IFERROR(VLOOKUP($A429,'Student Data'!$A$2:$AR$6,36,0),"")</f>
        <v/>
      </c>
      <c r="K429" t="str">
        <f t="shared" si="12"/>
        <v/>
      </c>
      <c r="L429" t="str">
        <f t="shared" si="13"/>
        <v/>
      </c>
      <c r="M429" t="str">
        <f>IFERROR(IF($C429="","",SUMIFS(Ledger!$K$2:$K$4, Ledger!$B$2:$B$4, $A429, Ledger!$C$2:$C$4, M$2)),"****")</f>
        <v/>
      </c>
      <c r="N429" t="str">
        <f>IFERROR(IF($C429="","",SUMIFS(Ledger!$K$2:$K$4, Ledger!$B$2:$B$4, $A429, Ledger!$C$2:$C$4, N$2)),"****")</f>
        <v/>
      </c>
      <c r="O429" t="str">
        <f>IFERROR(IF($C429="","",SUMIFS(Ledger!$K$2:$K$4, Ledger!$B$2:$B$4, $A429, Ledger!$C$2:$C$4, O$2)),"****")</f>
        <v/>
      </c>
      <c r="P429" t="str">
        <f>IFERROR(IF($C429="","",SUMIFS(Ledger!$K$2:$K$4, Ledger!$B$2:$B$4, $A429, Ledger!$C$2:$C$4, P$2)),"****")</f>
        <v/>
      </c>
      <c r="Q429" t="str">
        <f>IFERROR(IF($C429="","",SUMIFS(Ledger!$K$2:$K$4, Ledger!$B$2:$B$4, $A429, Ledger!$C$2:$C$4, Q$2)),"****")</f>
        <v/>
      </c>
      <c r="R429" t="str">
        <f>IFERROR(IF($C429="","",SUMIFS(Ledger!$K$2:$K$4, Ledger!$B$2:$B$4, $A429, Ledger!$C$2:$C$4, R$2)),"****")</f>
        <v/>
      </c>
      <c r="S429" t="str">
        <f>IFERROR(IF($C429="","",SUMIFS(Ledger!$K$2:$K$4, Ledger!$B$2:$B$4, $A429, Ledger!$C$2:$C$4, S$2)),"****")</f>
        <v/>
      </c>
      <c r="T429" t="str">
        <f>IFERROR(IF($C429="","",SUMIFS(Ledger!$K$2:$K$4, Ledger!$B$2:$B$4, $A429, Ledger!$C$2:$C$4, T$2)),"****")</f>
        <v/>
      </c>
      <c r="U429" t="str">
        <f>IFERROR(IF($C429="","",SUMIFS(Ledger!$K$2:$K$4, Ledger!$B$2:$B$4, $A429, Ledger!$C$2:$C$4, U$2)),"****")</f>
        <v/>
      </c>
      <c r="V429" t="str">
        <f>IFERROR(IF($C429="","",SUMIFS(Ledger!$K$2:$K$4, Ledger!$B$2:$B$4, $A429, Ledger!$C$2:$C$4, V$2)),"****")</f>
        <v/>
      </c>
      <c r="W429" t="str">
        <f>IFERROR(IF($C429="","",SUMIFS(Ledger!$K$2:$K$4, Ledger!$B$2:$B$4, $A429, Ledger!$C$2:$C$4, W$2)),"****")</f>
        <v/>
      </c>
      <c r="X429" t="str">
        <f>IFERROR(IF($C429="","",SUMIFS(Ledger!$K$2:$K$4, Ledger!$B$2:$B$4, $A429, Ledger!$C$2:$C$4, X$2)),"****")</f>
        <v/>
      </c>
    </row>
    <row r="430" spans="1:24" x14ac:dyDescent="0.3">
      <c r="A430" s="106">
        <v>428</v>
      </c>
      <c r="B430" t="str">
        <f>IFERROR(VLOOKUP($A430, Ledger!$B$2:$L$8, 3, 0),"")</f>
        <v/>
      </c>
      <c r="C430" t="str">
        <f>IFERROR(VLOOKUP($A430, Ledger!$B$2:$L$8, 4, 0),"")</f>
        <v/>
      </c>
      <c r="D430" t="str">
        <f>IFERROR(VLOOKUP($A430, Ledger!$B$2:$L$8, 5, 0),"")</f>
        <v/>
      </c>
      <c r="E430" t="str">
        <f>IFERROR(VLOOKUP($A430, Ledger!$B$2:$L$8, 6, 0),"")</f>
        <v/>
      </c>
      <c r="F430" t="str">
        <f>IFERROR(VLOOKUP($A430,'Student Data'!$A$2:$AR$6,32,0),"")</f>
        <v/>
      </c>
      <c r="G430" t="str">
        <f>IFERROR(VLOOKUP($A430,'Student Data'!$A$2:$AR$6,33,0),"")</f>
        <v/>
      </c>
      <c r="H430" t="str">
        <f>IFERROR(VLOOKUP($A430,'Student Data'!$A$2:$AR$6,34,0),"")</f>
        <v/>
      </c>
      <c r="I430" t="str">
        <f>IFERROR(VLOOKUP($A430,'Student Data'!$A$2:$AR$6,35,0),"")</f>
        <v/>
      </c>
      <c r="J430" t="str">
        <f>IFERROR(VLOOKUP($A430,'Student Data'!$A$2:$AR$6,36,0),"")</f>
        <v/>
      </c>
      <c r="K430" t="str">
        <f t="shared" si="12"/>
        <v/>
      </c>
      <c r="L430" t="str">
        <f t="shared" si="13"/>
        <v/>
      </c>
      <c r="M430" t="str">
        <f>IFERROR(IF($C430="","",SUMIFS(Ledger!$K$2:$K$4, Ledger!$B$2:$B$4, $A430, Ledger!$C$2:$C$4, M$2)),"****")</f>
        <v/>
      </c>
      <c r="N430" t="str">
        <f>IFERROR(IF($C430="","",SUMIFS(Ledger!$K$2:$K$4, Ledger!$B$2:$B$4, $A430, Ledger!$C$2:$C$4, N$2)),"****")</f>
        <v/>
      </c>
      <c r="O430" t="str">
        <f>IFERROR(IF($C430="","",SUMIFS(Ledger!$K$2:$K$4, Ledger!$B$2:$B$4, $A430, Ledger!$C$2:$C$4, O$2)),"****")</f>
        <v/>
      </c>
      <c r="P430" t="str">
        <f>IFERROR(IF($C430="","",SUMIFS(Ledger!$K$2:$K$4, Ledger!$B$2:$B$4, $A430, Ledger!$C$2:$C$4, P$2)),"****")</f>
        <v/>
      </c>
      <c r="Q430" t="str">
        <f>IFERROR(IF($C430="","",SUMIFS(Ledger!$K$2:$K$4, Ledger!$B$2:$B$4, $A430, Ledger!$C$2:$C$4, Q$2)),"****")</f>
        <v/>
      </c>
      <c r="R430" t="str">
        <f>IFERROR(IF($C430="","",SUMIFS(Ledger!$K$2:$K$4, Ledger!$B$2:$B$4, $A430, Ledger!$C$2:$C$4, R$2)),"****")</f>
        <v/>
      </c>
      <c r="S430" t="str">
        <f>IFERROR(IF($C430="","",SUMIFS(Ledger!$K$2:$K$4, Ledger!$B$2:$B$4, $A430, Ledger!$C$2:$C$4, S$2)),"****")</f>
        <v/>
      </c>
      <c r="T430" t="str">
        <f>IFERROR(IF($C430="","",SUMIFS(Ledger!$K$2:$K$4, Ledger!$B$2:$B$4, $A430, Ledger!$C$2:$C$4, T$2)),"****")</f>
        <v/>
      </c>
      <c r="U430" t="str">
        <f>IFERROR(IF($C430="","",SUMIFS(Ledger!$K$2:$K$4, Ledger!$B$2:$B$4, $A430, Ledger!$C$2:$C$4, U$2)),"****")</f>
        <v/>
      </c>
      <c r="V430" t="str">
        <f>IFERROR(IF($C430="","",SUMIFS(Ledger!$K$2:$K$4, Ledger!$B$2:$B$4, $A430, Ledger!$C$2:$C$4, V$2)),"****")</f>
        <v/>
      </c>
      <c r="W430" t="str">
        <f>IFERROR(IF($C430="","",SUMIFS(Ledger!$K$2:$K$4, Ledger!$B$2:$B$4, $A430, Ledger!$C$2:$C$4, W$2)),"****")</f>
        <v/>
      </c>
      <c r="X430" t="str">
        <f>IFERROR(IF($C430="","",SUMIFS(Ledger!$K$2:$K$4, Ledger!$B$2:$B$4, $A430, Ledger!$C$2:$C$4, X$2)),"****")</f>
        <v/>
      </c>
    </row>
    <row r="431" spans="1:24" x14ac:dyDescent="0.3">
      <c r="A431" s="106">
        <v>429</v>
      </c>
      <c r="B431" t="str">
        <f>IFERROR(VLOOKUP($A431, Ledger!$B$2:$L$8, 3, 0),"")</f>
        <v/>
      </c>
      <c r="C431" t="str">
        <f>IFERROR(VLOOKUP($A431, Ledger!$B$2:$L$8, 4, 0),"")</f>
        <v/>
      </c>
      <c r="D431" t="str">
        <f>IFERROR(VLOOKUP($A431, Ledger!$B$2:$L$8, 5, 0),"")</f>
        <v/>
      </c>
      <c r="E431" t="str">
        <f>IFERROR(VLOOKUP($A431, Ledger!$B$2:$L$8, 6, 0),"")</f>
        <v/>
      </c>
      <c r="F431" t="str">
        <f>IFERROR(VLOOKUP($A431,'Student Data'!$A$2:$AR$6,32,0),"")</f>
        <v/>
      </c>
      <c r="G431" t="str">
        <f>IFERROR(VLOOKUP($A431,'Student Data'!$A$2:$AR$6,33,0),"")</f>
        <v/>
      </c>
      <c r="H431" t="str">
        <f>IFERROR(VLOOKUP($A431,'Student Data'!$A$2:$AR$6,34,0),"")</f>
        <v/>
      </c>
      <c r="I431" t="str">
        <f>IFERROR(VLOOKUP($A431,'Student Data'!$A$2:$AR$6,35,0),"")</f>
        <v/>
      </c>
      <c r="J431" t="str">
        <f>IFERROR(VLOOKUP($A431,'Student Data'!$A$2:$AR$6,36,0),"")</f>
        <v/>
      </c>
      <c r="K431" t="str">
        <f t="shared" si="12"/>
        <v/>
      </c>
      <c r="L431" t="str">
        <f t="shared" si="13"/>
        <v/>
      </c>
      <c r="M431" t="str">
        <f>IFERROR(IF($C431="","",SUMIFS(Ledger!$K$2:$K$4, Ledger!$B$2:$B$4, $A431, Ledger!$C$2:$C$4, M$2)),"****")</f>
        <v/>
      </c>
      <c r="N431" t="str">
        <f>IFERROR(IF($C431="","",SUMIFS(Ledger!$K$2:$K$4, Ledger!$B$2:$B$4, $A431, Ledger!$C$2:$C$4, N$2)),"****")</f>
        <v/>
      </c>
      <c r="O431" t="str">
        <f>IFERROR(IF($C431="","",SUMIFS(Ledger!$K$2:$K$4, Ledger!$B$2:$B$4, $A431, Ledger!$C$2:$C$4, O$2)),"****")</f>
        <v/>
      </c>
      <c r="P431" t="str">
        <f>IFERROR(IF($C431="","",SUMIFS(Ledger!$K$2:$K$4, Ledger!$B$2:$B$4, $A431, Ledger!$C$2:$C$4, P$2)),"****")</f>
        <v/>
      </c>
      <c r="Q431" t="str">
        <f>IFERROR(IF($C431="","",SUMIFS(Ledger!$K$2:$K$4, Ledger!$B$2:$B$4, $A431, Ledger!$C$2:$C$4, Q$2)),"****")</f>
        <v/>
      </c>
      <c r="R431" t="str">
        <f>IFERROR(IF($C431="","",SUMIFS(Ledger!$K$2:$K$4, Ledger!$B$2:$B$4, $A431, Ledger!$C$2:$C$4, R$2)),"****")</f>
        <v/>
      </c>
      <c r="S431" t="str">
        <f>IFERROR(IF($C431="","",SUMIFS(Ledger!$K$2:$K$4, Ledger!$B$2:$B$4, $A431, Ledger!$C$2:$C$4, S$2)),"****")</f>
        <v/>
      </c>
      <c r="T431" t="str">
        <f>IFERROR(IF($C431="","",SUMIFS(Ledger!$K$2:$K$4, Ledger!$B$2:$B$4, $A431, Ledger!$C$2:$C$4, T$2)),"****")</f>
        <v/>
      </c>
      <c r="U431" t="str">
        <f>IFERROR(IF($C431="","",SUMIFS(Ledger!$K$2:$K$4, Ledger!$B$2:$B$4, $A431, Ledger!$C$2:$C$4, U$2)),"****")</f>
        <v/>
      </c>
      <c r="V431" t="str">
        <f>IFERROR(IF($C431="","",SUMIFS(Ledger!$K$2:$K$4, Ledger!$B$2:$B$4, $A431, Ledger!$C$2:$C$4, V$2)),"****")</f>
        <v/>
      </c>
      <c r="W431" t="str">
        <f>IFERROR(IF($C431="","",SUMIFS(Ledger!$K$2:$K$4, Ledger!$B$2:$B$4, $A431, Ledger!$C$2:$C$4, W$2)),"****")</f>
        <v/>
      </c>
      <c r="X431" t="str">
        <f>IFERROR(IF($C431="","",SUMIFS(Ledger!$K$2:$K$4, Ledger!$B$2:$B$4, $A431, Ledger!$C$2:$C$4, X$2)),"****")</f>
        <v/>
      </c>
    </row>
    <row r="432" spans="1:24" x14ac:dyDescent="0.3">
      <c r="A432" s="106">
        <v>430</v>
      </c>
      <c r="B432" t="str">
        <f>IFERROR(VLOOKUP($A432, Ledger!$B$2:$L$8, 3, 0),"")</f>
        <v/>
      </c>
      <c r="C432" t="str">
        <f>IFERROR(VLOOKUP($A432, Ledger!$B$2:$L$8, 4, 0),"")</f>
        <v/>
      </c>
      <c r="D432" t="str">
        <f>IFERROR(VLOOKUP($A432, Ledger!$B$2:$L$8, 5, 0),"")</f>
        <v/>
      </c>
      <c r="E432" t="str">
        <f>IFERROR(VLOOKUP($A432, Ledger!$B$2:$L$8, 6, 0),"")</f>
        <v/>
      </c>
      <c r="F432" t="str">
        <f>IFERROR(VLOOKUP($A432,'Student Data'!$A$2:$AR$6,32,0),"")</f>
        <v/>
      </c>
      <c r="G432" t="str">
        <f>IFERROR(VLOOKUP($A432,'Student Data'!$A$2:$AR$6,33,0),"")</f>
        <v/>
      </c>
      <c r="H432" t="str">
        <f>IFERROR(VLOOKUP($A432,'Student Data'!$A$2:$AR$6,34,0),"")</f>
        <v/>
      </c>
      <c r="I432" t="str">
        <f>IFERROR(VLOOKUP($A432,'Student Data'!$A$2:$AR$6,35,0),"")</f>
        <v/>
      </c>
      <c r="J432" t="str">
        <f>IFERROR(VLOOKUP($A432,'Student Data'!$A$2:$AR$6,36,0),"")</f>
        <v/>
      </c>
      <c r="K432" t="str">
        <f t="shared" si="12"/>
        <v/>
      </c>
      <c r="L432" t="str">
        <f t="shared" si="13"/>
        <v/>
      </c>
      <c r="M432" t="str">
        <f>IFERROR(IF($C432="","",SUMIFS(Ledger!$K$2:$K$4, Ledger!$B$2:$B$4, $A432, Ledger!$C$2:$C$4, M$2)),"****")</f>
        <v/>
      </c>
      <c r="N432" t="str">
        <f>IFERROR(IF($C432="","",SUMIFS(Ledger!$K$2:$K$4, Ledger!$B$2:$B$4, $A432, Ledger!$C$2:$C$4, N$2)),"****")</f>
        <v/>
      </c>
      <c r="O432" t="str">
        <f>IFERROR(IF($C432="","",SUMIFS(Ledger!$K$2:$K$4, Ledger!$B$2:$B$4, $A432, Ledger!$C$2:$C$4, O$2)),"****")</f>
        <v/>
      </c>
      <c r="P432" t="str">
        <f>IFERROR(IF($C432="","",SUMIFS(Ledger!$K$2:$K$4, Ledger!$B$2:$B$4, $A432, Ledger!$C$2:$C$4, P$2)),"****")</f>
        <v/>
      </c>
      <c r="Q432" t="str">
        <f>IFERROR(IF($C432="","",SUMIFS(Ledger!$K$2:$K$4, Ledger!$B$2:$B$4, $A432, Ledger!$C$2:$C$4, Q$2)),"****")</f>
        <v/>
      </c>
      <c r="R432" t="str">
        <f>IFERROR(IF($C432="","",SUMIFS(Ledger!$K$2:$K$4, Ledger!$B$2:$B$4, $A432, Ledger!$C$2:$C$4, R$2)),"****")</f>
        <v/>
      </c>
      <c r="S432" t="str">
        <f>IFERROR(IF($C432="","",SUMIFS(Ledger!$K$2:$K$4, Ledger!$B$2:$B$4, $A432, Ledger!$C$2:$C$4, S$2)),"****")</f>
        <v/>
      </c>
      <c r="T432" t="str">
        <f>IFERROR(IF($C432="","",SUMIFS(Ledger!$K$2:$K$4, Ledger!$B$2:$B$4, $A432, Ledger!$C$2:$C$4, T$2)),"****")</f>
        <v/>
      </c>
      <c r="U432" t="str">
        <f>IFERROR(IF($C432="","",SUMIFS(Ledger!$K$2:$K$4, Ledger!$B$2:$B$4, $A432, Ledger!$C$2:$C$4, U$2)),"****")</f>
        <v/>
      </c>
      <c r="V432" t="str">
        <f>IFERROR(IF($C432="","",SUMIFS(Ledger!$K$2:$K$4, Ledger!$B$2:$B$4, $A432, Ledger!$C$2:$C$4, V$2)),"****")</f>
        <v/>
      </c>
      <c r="W432" t="str">
        <f>IFERROR(IF($C432="","",SUMIFS(Ledger!$K$2:$K$4, Ledger!$B$2:$B$4, $A432, Ledger!$C$2:$C$4, W$2)),"****")</f>
        <v/>
      </c>
      <c r="X432" t="str">
        <f>IFERROR(IF($C432="","",SUMIFS(Ledger!$K$2:$K$4, Ledger!$B$2:$B$4, $A432, Ledger!$C$2:$C$4, X$2)),"****")</f>
        <v/>
      </c>
    </row>
    <row r="433" spans="1:24" x14ac:dyDescent="0.3">
      <c r="A433" s="106">
        <v>431</v>
      </c>
      <c r="B433" t="str">
        <f>IFERROR(VLOOKUP($A433, Ledger!$B$2:$L$8, 3, 0),"")</f>
        <v/>
      </c>
      <c r="C433" t="str">
        <f>IFERROR(VLOOKUP($A433, Ledger!$B$2:$L$8, 4, 0),"")</f>
        <v/>
      </c>
      <c r="D433" t="str">
        <f>IFERROR(VLOOKUP($A433, Ledger!$B$2:$L$8, 5, 0),"")</f>
        <v/>
      </c>
      <c r="E433" t="str">
        <f>IFERROR(VLOOKUP($A433, Ledger!$B$2:$L$8, 6, 0),"")</f>
        <v/>
      </c>
      <c r="F433" t="str">
        <f>IFERROR(VLOOKUP($A433,'Student Data'!$A$2:$AR$6,32,0),"")</f>
        <v/>
      </c>
      <c r="G433" t="str">
        <f>IFERROR(VLOOKUP($A433,'Student Data'!$A$2:$AR$6,33,0),"")</f>
        <v/>
      </c>
      <c r="H433" t="str">
        <f>IFERROR(VLOOKUP($A433,'Student Data'!$A$2:$AR$6,34,0),"")</f>
        <v/>
      </c>
      <c r="I433" t="str">
        <f>IFERROR(VLOOKUP($A433,'Student Data'!$A$2:$AR$6,35,0),"")</f>
        <v/>
      </c>
      <c r="J433" t="str">
        <f>IFERROR(VLOOKUP($A433,'Student Data'!$A$2:$AR$6,36,0),"")</f>
        <v/>
      </c>
      <c r="K433" t="str">
        <f t="shared" si="12"/>
        <v/>
      </c>
      <c r="L433" t="str">
        <f t="shared" si="13"/>
        <v/>
      </c>
      <c r="M433" t="str">
        <f>IFERROR(IF($C433="","",SUMIFS(Ledger!$K$2:$K$4, Ledger!$B$2:$B$4, $A433, Ledger!$C$2:$C$4, M$2)),"****")</f>
        <v/>
      </c>
      <c r="N433" t="str">
        <f>IFERROR(IF($C433="","",SUMIFS(Ledger!$K$2:$K$4, Ledger!$B$2:$B$4, $A433, Ledger!$C$2:$C$4, N$2)),"****")</f>
        <v/>
      </c>
      <c r="O433" t="str">
        <f>IFERROR(IF($C433="","",SUMIFS(Ledger!$K$2:$K$4, Ledger!$B$2:$B$4, $A433, Ledger!$C$2:$C$4, O$2)),"****")</f>
        <v/>
      </c>
      <c r="P433" t="str">
        <f>IFERROR(IF($C433="","",SUMIFS(Ledger!$K$2:$K$4, Ledger!$B$2:$B$4, $A433, Ledger!$C$2:$C$4, P$2)),"****")</f>
        <v/>
      </c>
      <c r="Q433" t="str">
        <f>IFERROR(IF($C433="","",SUMIFS(Ledger!$K$2:$K$4, Ledger!$B$2:$B$4, $A433, Ledger!$C$2:$C$4, Q$2)),"****")</f>
        <v/>
      </c>
      <c r="R433" t="str">
        <f>IFERROR(IF($C433="","",SUMIFS(Ledger!$K$2:$K$4, Ledger!$B$2:$B$4, $A433, Ledger!$C$2:$C$4, R$2)),"****")</f>
        <v/>
      </c>
      <c r="S433" t="str">
        <f>IFERROR(IF($C433="","",SUMIFS(Ledger!$K$2:$K$4, Ledger!$B$2:$B$4, $A433, Ledger!$C$2:$C$4, S$2)),"****")</f>
        <v/>
      </c>
      <c r="T433" t="str">
        <f>IFERROR(IF($C433="","",SUMIFS(Ledger!$K$2:$K$4, Ledger!$B$2:$B$4, $A433, Ledger!$C$2:$C$4, T$2)),"****")</f>
        <v/>
      </c>
      <c r="U433" t="str">
        <f>IFERROR(IF($C433="","",SUMIFS(Ledger!$K$2:$K$4, Ledger!$B$2:$B$4, $A433, Ledger!$C$2:$C$4, U$2)),"****")</f>
        <v/>
      </c>
      <c r="V433" t="str">
        <f>IFERROR(IF($C433="","",SUMIFS(Ledger!$K$2:$K$4, Ledger!$B$2:$B$4, $A433, Ledger!$C$2:$C$4, V$2)),"****")</f>
        <v/>
      </c>
      <c r="W433" t="str">
        <f>IFERROR(IF($C433="","",SUMIFS(Ledger!$K$2:$K$4, Ledger!$B$2:$B$4, $A433, Ledger!$C$2:$C$4, W$2)),"****")</f>
        <v/>
      </c>
      <c r="X433" t="str">
        <f>IFERROR(IF($C433="","",SUMIFS(Ledger!$K$2:$K$4, Ledger!$B$2:$B$4, $A433, Ledger!$C$2:$C$4, X$2)),"****")</f>
        <v/>
      </c>
    </row>
    <row r="434" spans="1:24" x14ac:dyDescent="0.3">
      <c r="A434" s="106">
        <v>432</v>
      </c>
      <c r="B434" t="str">
        <f>IFERROR(VLOOKUP($A434, Ledger!$B$2:$L$8, 3, 0),"")</f>
        <v/>
      </c>
      <c r="C434" t="str">
        <f>IFERROR(VLOOKUP($A434, Ledger!$B$2:$L$8, 4, 0),"")</f>
        <v/>
      </c>
      <c r="D434" t="str">
        <f>IFERROR(VLOOKUP($A434, Ledger!$B$2:$L$8, 5, 0),"")</f>
        <v/>
      </c>
      <c r="E434" t="str">
        <f>IFERROR(VLOOKUP($A434, Ledger!$B$2:$L$8, 6, 0),"")</f>
        <v/>
      </c>
      <c r="F434" t="str">
        <f>IFERROR(VLOOKUP($A434,'Student Data'!$A$2:$AR$6,32,0),"")</f>
        <v/>
      </c>
      <c r="G434" t="str">
        <f>IFERROR(VLOOKUP($A434,'Student Data'!$A$2:$AR$6,33,0),"")</f>
        <v/>
      </c>
      <c r="H434" t="str">
        <f>IFERROR(VLOOKUP($A434,'Student Data'!$A$2:$AR$6,34,0),"")</f>
        <v/>
      </c>
      <c r="I434" t="str">
        <f>IFERROR(VLOOKUP($A434,'Student Data'!$A$2:$AR$6,35,0),"")</f>
        <v/>
      </c>
      <c r="J434" t="str">
        <f>IFERROR(VLOOKUP($A434,'Student Data'!$A$2:$AR$6,36,0),"")</f>
        <v/>
      </c>
      <c r="K434" t="str">
        <f t="shared" si="12"/>
        <v/>
      </c>
      <c r="L434" t="str">
        <f t="shared" si="13"/>
        <v/>
      </c>
      <c r="M434" t="str">
        <f>IFERROR(IF($C434="","",SUMIFS(Ledger!$K$2:$K$4, Ledger!$B$2:$B$4, $A434, Ledger!$C$2:$C$4, M$2)),"****")</f>
        <v/>
      </c>
      <c r="N434" t="str">
        <f>IFERROR(IF($C434="","",SUMIFS(Ledger!$K$2:$K$4, Ledger!$B$2:$B$4, $A434, Ledger!$C$2:$C$4, N$2)),"****")</f>
        <v/>
      </c>
      <c r="O434" t="str">
        <f>IFERROR(IF($C434="","",SUMIFS(Ledger!$K$2:$K$4, Ledger!$B$2:$B$4, $A434, Ledger!$C$2:$C$4, O$2)),"****")</f>
        <v/>
      </c>
      <c r="P434" t="str">
        <f>IFERROR(IF($C434="","",SUMIFS(Ledger!$K$2:$K$4, Ledger!$B$2:$B$4, $A434, Ledger!$C$2:$C$4, P$2)),"****")</f>
        <v/>
      </c>
      <c r="Q434" t="str">
        <f>IFERROR(IF($C434="","",SUMIFS(Ledger!$K$2:$K$4, Ledger!$B$2:$B$4, $A434, Ledger!$C$2:$C$4, Q$2)),"****")</f>
        <v/>
      </c>
      <c r="R434" t="str">
        <f>IFERROR(IF($C434="","",SUMIFS(Ledger!$K$2:$K$4, Ledger!$B$2:$B$4, $A434, Ledger!$C$2:$C$4, R$2)),"****")</f>
        <v/>
      </c>
      <c r="S434" t="str">
        <f>IFERROR(IF($C434="","",SUMIFS(Ledger!$K$2:$K$4, Ledger!$B$2:$B$4, $A434, Ledger!$C$2:$C$4, S$2)),"****")</f>
        <v/>
      </c>
      <c r="T434" t="str">
        <f>IFERROR(IF($C434="","",SUMIFS(Ledger!$K$2:$K$4, Ledger!$B$2:$B$4, $A434, Ledger!$C$2:$C$4, T$2)),"****")</f>
        <v/>
      </c>
      <c r="U434" t="str">
        <f>IFERROR(IF($C434="","",SUMIFS(Ledger!$K$2:$K$4, Ledger!$B$2:$B$4, $A434, Ledger!$C$2:$C$4, U$2)),"****")</f>
        <v/>
      </c>
      <c r="V434" t="str">
        <f>IFERROR(IF($C434="","",SUMIFS(Ledger!$K$2:$K$4, Ledger!$B$2:$B$4, $A434, Ledger!$C$2:$C$4, V$2)),"****")</f>
        <v/>
      </c>
      <c r="W434" t="str">
        <f>IFERROR(IF($C434="","",SUMIFS(Ledger!$K$2:$K$4, Ledger!$B$2:$B$4, $A434, Ledger!$C$2:$C$4, W$2)),"****")</f>
        <v/>
      </c>
      <c r="X434" t="str">
        <f>IFERROR(IF($C434="","",SUMIFS(Ledger!$K$2:$K$4, Ledger!$B$2:$B$4, $A434, Ledger!$C$2:$C$4, X$2)),"****")</f>
        <v/>
      </c>
    </row>
    <row r="435" spans="1:24" x14ac:dyDescent="0.3">
      <c r="A435" s="106">
        <v>433</v>
      </c>
      <c r="B435" t="str">
        <f>IFERROR(VLOOKUP($A435, Ledger!$B$2:$L$8, 3, 0),"")</f>
        <v/>
      </c>
      <c r="C435" t="str">
        <f>IFERROR(VLOOKUP($A435, Ledger!$B$2:$L$8, 4, 0),"")</f>
        <v/>
      </c>
      <c r="D435" t="str">
        <f>IFERROR(VLOOKUP($A435, Ledger!$B$2:$L$8, 5, 0),"")</f>
        <v/>
      </c>
      <c r="E435" t="str">
        <f>IFERROR(VLOOKUP($A435, Ledger!$B$2:$L$8, 6, 0),"")</f>
        <v/>
      </c>
      <c r="F435" t="str">
        <f>IFERROR(VLOOKUP($A435,'Student Data'!$A$2:$AR$6,32,0),"")</f>
        <v/>
      </c>
      <c r="G435" t="str">
        <f>IFERROR(VLOOKUP($A435,'Student Data'!$A$2:$AR$6,33,0),"")</f>
        <v/>
      </c>
      <c r="H435" t="str">
        <f>IFERROR(VLOOKUP($A435,'Student Data'!$A$2:$AR$6,34,0),"")</f>
        <v/>
      </c>
      <c r="I435" t="str">
        <f>IFERROR(VLOOKUP($A435,'Student Data'!$A$2:$AR$6,35,0),"")</f>
        <v/>
      </c>
      <c r="J435" t="str">
        <f>IFERROR(VLOOKUP($A435,'Student Data'!$A$2:$AR$6,36,0),"")</f>
        <v/>
      </c>
      <c r="K435" t="str">
        <f t="shared" si="12"/>
        <v/>
      </c>
      <c r="L435" t="str">
        <f t="shared" si="13"/>
        <v/>
      </c>
      <c r="M435" t="str">
        <f>IFERROR(IF($C435="","",SUMIFS(Ledger!$K$2:$K$4, Ledger!$B$2:$B$4, $A435, Ledger!$C$2:$C$4, M$2)),"****")</f>
        <v/>
      </c>
      <c r="N435" t="str">
        <f>IFERROR(IF($C435="","",SUMIFS(Ledger!$K$2:$K$4, Ledger!$B$2:$B$4, $A435, Ledger!$C$2:$C$4, N$2)),"****")</f>
        <v/>
      </c>
      <c r="O435" t="str">
        <f>IFERROR(IF($C435="","",SUMIFS(Ledger!$K$2:$K$4, Ledger!$B$2:$B$4, $A435, Ledger!$C$2:$C$4, O$2)),"****")</f>
        <v/>
      </c>
      <c r="P435" t="str">
        <f>IFERROR(IF($C435="","",SUMIFS(Ledger!$K$2:$K$4, Ledger!$B$2:$B$4, $A435, Ledger!$C$2:$C$4, P$2)),"****")</f>
        <v/>
      </c>
      <c r="Q435" t="str">
        <f>IFERROR(IF($C435="","",SUMIFS(Ledger!$K$2:$K$4, Ledger!$B$2:$B$4, $A435, Ledger!$C$2:$C$4, Q$2)),"****")</f>
        <v/>
      </c>
      <c r="R435" t="str">
        <f>IFERROR(IF($C435="","",SUMIFS(Ledger!$K$2:$K$4, Ledger!$B$2:$B$4, $A435, Ledger!$C$2:$C$4, R$2)),"****")</f>
        <v/>
      </c>
      <c r="S435" t="str">
        <f>IFERROR(IF($C435="","",SUMIFS(Ledger!$K$2:$K$4, Ledger!$B$2:$B$4, $A435, Ledger!$C$2:$C$4, S$2)),"****")</f>
        <v/>
      </c>
      <c r="T435" t="str">
        <f>IFERROR(IF($C435="","",SUMIFS(Ledger!$K$2:$K$4, Ledger!$B$2:$B$4, $A435, Ledger!$C$2:$C$4, T$2)),"****")</f>
        <v/>
      </c>
      <c r="U435" t="str">
        <f>IFERROR(IF($C435="","",SUMIFS(Ledger!$K$2:$K$4, Ledger!$B$2:$B$4, $A435, Ledger!$C$2:$C$4, U$2)),"****")</f>
        <v/>
      </c>
      <c r="V435" t="str">
        <f>IFERROR(IF($C435="","",SUMIFS(Ledger!$K$2:$K$4, Ledger!$B$2:$B$4, $A435, Ledger!$C$2:$C$4, V$2)),"****")</f>
        <v/>
      </c>
      <c r="W435" t="str">
        <f>IFERROR(IF($C435="","",SUMIFS(Ledger!$K$2:$K$4, Ledger!$B$2:$B$4, $A435, Ledger!$C$2:$C$4, W$2)),"****")</f>
        <v/>
      </c>
      <c r="X435" t="str">
        <f>IFERROR(IF($C435="","",SUMIFS(Ledger!$K$2:$K$4, Ledger!$B$2:$B$4, $A435, Ledger!$C$2:$C$4, X$2)),"****")</f>
        <v/>
      </c>
    </row>
    <row r="436" spans="1:24" x14ac:dyDescent="0.3">
      <c r="A436" s="106">
        <v>434</v>
      </c>
      <c r="B436" t="str">
        <f>IFERROR(VLOOKUP($A436, Ledger!$B$2:$L$8, 3, 0),"")</f>
        <v/>
      </c>
      <c r="C436" t="str">
        <f>IFERROR(VLOOKUP($A436, Ledger!$B$2:$L$8, 4, 0),"")</f>
        <v/>
      </c>
      <c r="D436" t="str">
        <f>IFERROR(VLOOKUP($A436, Ledger!$B$2:$L$8, 5, 0),"")</f>
        <v/>
      </c>
      <c r="E436" t="str">
        <f>IFERROR(VLOOKUP($A436, Ledger!$B$2:$L$8, 6, 0),"")</f>
        <v/>
      </c>
      <c r="F436" t="str">
        <f>IFERROR(VLOOKUP($A436,'Student Data'!$A$2:$AR$6,32,0),"")</f>
        <v/>
      </c>
      <c r="G436" t="str">
        <f>IFERROR(VLOOKUP($A436,'Student Data'!$A$2:$AR$6,33,0),"")</f>
        <v/>
      </c>
      <c r="H436" t="str">
        <f>IFERROR(VLOOKUP($A436,'Student Data'!$A$2:$AR$6,34,0),"")</f>
        <v/>
      </c>
      <c r="I436" t="str">
        <f>IFERROR(VLOOKUP($A436,'Student Data'!$A$2:$AR$6,35,0),"")</f>
        <v/>
      </c>
      <c r="J436" t="str">
        <f>IFERROR(VLOOKUP($A436,'Student Data'!$A$2:$AR$6,36,0),"")</f>
        <v/>
      </c>
      <c r="K436" t="str">
        <f t="shared" si="12"/>
        <v/>
      </c>
      <c r="L436" t="str">
        <f t="shared" si="13"/>
        <v/>
      </c>
      <c r="M436" t="str">
        <f>IFERROR(IF($C436="","",SUMIFS(Ledger!$K$2:$K$4, Ledger!$B$2:$B$4, $A436, Ledger!$C$2:$C$4, M$2)),"****")</f>
        <v/>
      </c>
      <c r="N436" t="str">
        <f>IFERROR(IF($C436="","",SUMIFS(Ledger!$K$2:$K$4, Ledger!$B$2:$B$4, $A436, Ledger!$C$2:$C$4, N$2)),"****")</f>
        <v/>
      </c>
      <c r="O436" t="str">
        <f>IFERROR(IF($C436="","",SUMIFS(Ledger!$K$2:$K$4, Ledger!$B$2:$B$4, $A436, Ledger!$C$2:$C$4, O$2)),"****")</f>
        <v/>
      </c>
      <c r="P436" t="str">
        <f>IFERROR(IF($C436="","",SUMIFS(Ledger!$K$2:$K$4, Ledger!$B$2:$B$4, $A436, Ledger!$C$2:$C$4, P$2)),"****")</f>
        <v/>
      </c>
      <c r="Q436" t="str">
        <f>IFERROR(IF($C436="","",SUMIFS(Ledger!$K$2:$K$4, Ledger!$B$2:$B$4, $A436, Ledger!$C$2:$C$4, Q$2)),"****")</f>
        <v/>
      </c>
      <c r="R436" t="str">
        <f>IFERROR(IF($C436="","",SUMIFS(Ledger!$K$2:$K$4, Ledger!$B$2:$B$4, $A436, Ledger!$C$2:$C$4, R$2)),"****")</f>
        <v/>
      </c>
      <c r="S436" t="str">
        <f>IFERROR(IF($C436="","",SUMIFS(Ledger!$K$2:$K$4, Ledger!$B$2:$B$4, $A436, Ledger!$C$2:$C$4, S$2)),"****")</f>
        <v/>
      </c>
      <c r="T436" t="str">
        <f>IFERROR(IF($C436="","",SUMIFS(Ledger!$K$2:$K$4, Ledger!$B$2:$B$4, $A436, Ledger!$C$2:$C$4, T$2)),"****")</f>
        <v/>
      </c>
      <c r="U436" t="str">
        <f>IFERROR(IF($C436="","",SUMIFS(Ledger!$K$2:$K$4, Ledger!$B$2:$B$4, $A436, Ledger!$C$2:$C$4, U$2)),"****")</f>
        <v/>
      </c>
      <c r="V436" t="str">
        <f>IFERROR(IF($C436="","",SUMIFS(Ledger!$K$2:$K$4, Ledger!$B$2:$B$4, $A436, Ledger!$C$2:$C$4, V$2)),"****")</f>
        <v/>
      </c>
      <c r="W436" t="str">
        <f>IFERROR(IF($C436="","",SUMIFS(Ledger!$K$2:$K$4, Ledger!$B$2:$B$4, $A436, Ledger!$C$2:$C$4, W$2)),"****")</f>
        <v/>
      </c>
      <c r="X436" t="str">
        <f>IFERROR(IF($C436="","",SUMIFS(Ledger!$K$2:$K$4, Ledger!$B$2:$B$4, $A436, Ledger!$C$2:$C$4, X$2)),"****")</f>
        <v/>
      </c>
    </row>
    <row r="437" spans="1:24" x14ac:dyDescent="0.3">
      <c r="A437" s="106">
        <v>435</v>
      </c>
      <c r="B437" t="str">
        <f>IFERROR(VLOOKUP($A437, Ledger!$B$2:$L$8, 3, 0),"")</f>
        <v/>
      </c>
      <c r="C437" t="str">
        <f>IFERROR(VLOOKUP($A437, Ledger!$B$2:$L$8, 4, 0),"")</f>
        <v/>
      </c>
      <c r="D437" t="str">
        <f>IFERROR(VLOOKUP($A437, Ledger!$B$2:$L$8, 5, 0),"")</f>
        <v/>
      </c>
      <c r="E437" t="str">
        <f>IFERROR(VLOOKUP($A437, Ledger!$B$2:$L$8, 6, 0),"")</f>
        <v/>
      </c>
      <c r="F437" t="str">
        <f>IFERROR(VLOOKUP($A437,'Student Data'!$A$2:$AR$6,32,0),"")</f>
        <v/>
      </c>
      <c r="G437" t="str">
        <f>IFERROR(VLOOKUP($A437,'Student Data'!$A$2:$AR$6,33,0),"")</f>
        <v/>
      </c>
      <c r="H437" t="str">
        <f>IFERROR(VLOOKUP($A437,'Student Data'!$A$2:$AR$6,34,0),"")</f>
        <v/>
      </c>
      <c r="I437" t="str">
        <f>IFERROR(VLOOKUP($A437,'Student Data'!$A$2:$AR$6,35,0),"")</f>
        <v/>
      </c>
      <c r="J437" t="str">
        <f>IFERROR(VLOOKUP($A437,'Student Data'!$A$2:$AR$6,36,0),"")</f>
        <v/>
      </c>
      <c r="K437" t="str">
        <f t="shared" si="12"/>
        <v/>
      </c>
      <c r="L437" t="str">
        <f t="shared" si="13"/>
        <v/>
      </c>
      <c r="M437" t="str">
        <f>IFERROR(IF($C437="","",SUMIFS(Ledger!$K$2:$K$4, Ledger!$B$2:$B$4, $A437, Ledger!$C$2:$C$4, M$2)),"****")</f>
        <v/>
      </c>
      <c r="N437" t="str">
        <f>IFERROR(IF($C437="","",SUMIFS(Ledger!$K$2:$K$4, Ledger!$B$2:$B$4, $A437, Ledger!$C$2:$C$4, N$2)),"****")</f>
        <v/>
      </c>
      <c r="O437" t="str">
        <f>IFERROR(IF($C437="","",SUMIFS(Ledger!$K$2:$K$4, Ledger!$B$2:$B$4, $A437, Ledger!$C$2:$C$4, O$2)),"****")</f>
        <v/>
      </c>
      <c r="P437" t="str">
        <f>IFERROR(IF($C437="","",SUMIFS(Ledger!$K$2:$K$4, Ledger!$B$2:$B$4, $A437, Ledger!$C$2:$C$4, P$2)),"****")</f>
        <v/>
      </c>
      <c r="Q437" t="str">
        <f>IFERROR(IF($C437="","",SUMIFS(Ledger!$K$2:$K$4, Ledger!$B$2:$B$4, $A437, Ledger!$C$2:$C$4, Q$2)),"****")</f>
        <v/>
      </c>
      <c r="R437" t="str">
        <f>IFERROR(IF($C437="","",SUMIFS(Ledger!$K$2:$K$4, Ledger!$B$2:$B$4, $A437, Ledger!$C$2:$C$4, R$2)),"****")</f>
        <v/>
      </c>
      <c r="S437" t="str">
        <f>IFERROR(IF($C437="","",SUMIFS(Ledger!$K$2:$K$4, Ledger!$B$2:$B$4, $A437, Ledger!$C$2:$C$4, S$2)),"****")</f>
        <v/>
      </c>
      <c r="T437" t="str">
        <f>IFERROR(IF($C437="","",SUMIFS(Ledger!$K$2:$K$4, Ledger!$B$2:$B$4, $A437, Ledger!$C$2:$C$4, T$2)),"****")</f>
        <v/>
      </c>
      <c r="U437" t="str">
        <f>IFERROR(IF($C437="","",SUMIFS(Ledger!$K$2:$K$4, Ledger!$B$2:$B$4, $A437, Ledger!$C$2:$C$4, U$2)),"****")</f>
        <v/>
      </c>
      <c r="V437" t="str">
        <f>IFERROR(IF($C437="","",SUMIFS(Ledger!$K$2:$K$4, Ledger!$B$2:$B$4, $A437, Ledger!$C$2:$C$4, V$2)),"****")</f>
        <v/>
      </c>
      <c r="W437" t="str">
        <f>IFERROR(IF($C437="","",SUMIFS(Ledger!$K$2:$K$4, Ledger!$B$2:$B$4, $A437, Ledger!$C$2:$C$4, W$2)),"****")</f>
        <v/>
      </c>
      <c r="X437" t="str">
        <f>IFERROR(IF($C437="","",SUMIFS(Ledger!$K$2:$K$4, Ledger!$B$2:$B$4, $A437, Ledger!$C$2:$C$4, X$2)),"****")</f>
        <v/>
      </c>
    </row>
    <row r="438" spans="1:24" x14ac:dyDescent="0.3">
      <c r="A438" s="106">
        <v>436</v>
      </c>
      <c r="B438" t="str">
        <f>IFERROR(VLOOKUP($A438, Ledger!$B$2:$L$8, 3, 0),"")</f>
        <v/>
      </c>
      <c r="C438" t="str">
        <f>IFERROR(VLOOKUP($A438, Ledger!$B$2:$L$8, 4, 0),"")</f>
        <v/>
      </c>
      <c r="D438" t="str">
        <f>IFERROR(VLOOKUP($A438, Ledger!$B$2:$L$8, 5, 0),"")</f>
        <v/>
      </c>
      <c r="E438" t="str">
        <f>IFERROR(VLOOKUP($A438, Ledger!$B$2:$L$8, 6, 0),"")</f>
        <v/>
      </c>
      <c r="F438" t="str">
        <f>IFERROR(VLOOKUP($A438,'Student Data'!$A$2:$AR$6,32,0),"")</f>
        <v/>
      </c>
      <c r="G438" t="str">
        <f>IFERROR(VLOOKUP($A438,'Student Data'!$A$2:$AR$6,33,0),"")</f>
        <v/>
      </c>
      <c r="H438" t="str">
        <f>IFERROR(VLOOKUP($A438,'Student Data'!$A$2:$AR$6,34,0),"")</f>
        <v/>
      </c>
      <c r="I438" t="str">
        <f>IFERROR(VLOOKUP($A438,'Student Data'!$A$2:$AR$6,35,0),"")</f>
        <v/>
      </c>
      <c r="J438" t="str">
        <f>IFERROR(VLOOKUP($A438,'Student Data'!$A$2:$AR$6,36,0),"")</f>
        <v/>
      </c>
      <c r="K438" t="str">
        <f t="shared" si="12"/>
        <v/>
      </c>
      <c r="L438" t="str">
        <f t="shared" si="13"/>
        <v/>
      </c>
      <c r="M438" t="str">
        <f>IFERROR(IF($C438="","",SUMIFS(Ledger!$K$2:$K$4, Ledger!$B$2:$B$4, $A438, Ledger!$C$2:$C$4, M$2)),"****")</f>
        <v/>
      </c>
      <c r="N438" t="str">
        <f>IFERROR(IF($C438="","",SUMIFS(Ledger!$K$2:$K$4, Ledger!$B$2:$B$4, $A438, Ledger!$C$2:$C$4, N$2)),"****")</f>
        <v/>
      </c>
      <c r="O438" t="str">
        <f>IFERROR(IF($C438="","",SUMIFS(Ledger!$K$2:$K$4, Ledger!$B$2:$B$4, $A438, Ledger!$C$2:$C$4, O$2)),"****")</f>
        <v/>
      </c>
      <c r="P438" t="str">
        <f>IFERROR(IF($C438="","",SUMIFS(Ledger!$K$2:$K$4, Ledger!$B$2:$B$4, $A438, Ledger!$C$2:$C$4, P$2)),"****")</f>
        <v/>
      </c>
      <c r="Q438" t="str">
        <f>IFERROR(IF($C438="","",SUMIFS(Ledger!$K$2:$K$4, Ledger!$B$2:$B$4, $A438, Ledger!$C$2:$C$4, Q$2)),"****")</f>
        <v/>
      </c>
      <c r="R438" t="str">
        <f>IFERROR(IF($C438="","",SUMIFS(Ledger!$K$2:$K$4, Ledger!$B$2:$B$4, $A438, Ledger!$C$2:$C$4, R$2)),"****")</f>
        <v/>
      </c>
      <c r="S438" t="str">
        <f>IFERROR(IF($C438="","",SUMIFS(Ledger!$K$2:$K$4, Ledger!$B$2:$B$4, $A438, Ledger!$C$2:$C$4, S$2)),"****")</f>
        <v/>
      </c>
      <c r="T438" t="str">
        <f>IFERROR(IF($C438="","",SUMIFS(Ledger!$K$2:$K$4, Ledger!$B$2:$B$4, $A438, Ledger!$C$2:$C$4, T$2)),"****")</f>
        <v/>
      </c>
      <c r="U438" t="str">
        <f>IFERROR(IF($C438="","",SUMIFS(Ledger!$K$2:$K$4, Ledger!$B$2:$B$4, $A438, Ledger!$C$2:$C$4, U$2)),"****")</f>
        <v/>
      </c>
      <c r="V438" t="str">
        <f>IFERROR(IF($C438="","",SUMIFS(Ledger!$K$2:$K$4, Ledger!$B$2:$B$4, $A438, Ledger!$C$2:$C$4, V$2)),"****")</f>
        <v/>
      </c>
      <c r="W438" t="str">
        <f>IFERROR(IF($C438="","",SUMIFS(Ledger!$K$2:$K$4, Ledger!$B$2:$B$4, $A438, Ledger!$C$2:$C$4, W$2)),"****")</f>
        <v/>
      </c>
      <c r="X438" t="str">
        <f>IFERROR(IF($C438="","",SUMIFS(Ledger!$K$2:$K$4, Ledger!$B$2:$B$4, $A438, Ledger!$C$2:$C$4, X$2)),"****")</f>
        <v/>
      </c>
    </row>
    <row r="439" spans="1:24" x14ac:dyDescent="0.3">
      <c r="A439" s="106">
        <v>437</v>
      </c>
      <c r="B439" t="str">
        <f>IFERROR(VLOOKUP($A439, Ledger!$B$2:$L$8, 3, 0),"")</f>
        <v/>
      </c>
      <c r="C439" t="str">
        <f>IFERROR(VLOOKUP($A439, Ledger!$B$2:$L$8, 4, 0),"")</f>
        <v/>
      </c>
      <c r="D439" t="str">
        <f>IFERROR(VLOOKUP($A439, Ledger!$B$2:$L$8, 5, 0),"")</f>
        <v/>
      </c>
      <c r="E439" t="str">
        <f>IFERROR(VLOOKUP($A439, Ledger!$B$2:$L$8, 6, 0),"")</f>
        <v/>
      </c>
      <c r="F439" t="str">
        <f>IFERROR(VLOOKUP($A439,'Student Data'!$A$2:$AR$6,32,0),"")</f>
        <v/>
      </c>
      <c r="G439" t="str">
        <f>IFERROR(VLOOKUP($A439,'Student Data'!$A$2:$AR$6,33,0),"")</f>
        <v/>
      </c>
      <c r="H439" t="str">
        <f>IFERROR(VLOOKUP($A439,'Student Data'!$A$2:$AR$6,34,0),"")</f>
        <v/>
      </c>
      <c r="I439" t="str">
        <f>IFERROR(VLOOKUP($A439,'Student Data'!$A$2:$AR$6,35,0),"")</f>
        <v/>
      </c>
      <c r="J439" t="str">
        <f>IFERROR(VLOOKUP($A439,'Student Data'!$A$2:$AR$6,36,0),"")</f>
        <v/>
      </c>
      <c r="K439" t="str">
        <f t="shared" si="12"/>
        <v/>
      </c>
      <c r="L439" t="str">
        <f t="shared" si="13"/>
        <v/>
      </c>
      <c r="M439" t="str">
        <f>IFERROR(IF($C439="","",SUMIFS(Ledger!$K$2:$K$4, Ledger!$B$2:$B$4, $A439, Ledger!$C$2:$C$4, M$2)),"****")</f>
        <v/>
      </c>
      <c r="N439" t="str">
        <f>IFERROR(IF($C439="","",SUMIFS(Ledger!$K$2:$K$4, Ledger!$B$2:$B$4, $A439, Ledger!$C$2:$C$4, N$2)),"****")</f>
        <v/>
      </c>
      <c r="O439" t="str">
        <f>IFERROR(IF($C439="","",SUMIFS(Ledger!$K$2:$K$4, Ledger!$B$2:$B$4, $A439, Ledger!$C$2:$C$4, O$2)),"****")</f>
        <v/>
      </c>
      <c r="P439" t="str">
        <f>IFERROR(IF($C439="","",SUMIFS(Ledger!$K$2:$K$4, Ledger!$B$2:$B$4, $A439, Ledger!$C$2:$C$4, P$2)),"****")</f>
        <v/>
      </c>
      <c r="Q439" t="str">
        <f>IFERROR(IF($C439="","",SUMIFS(Ledger!$K$2:$K$4, Ledger!$B$2:$B$4, $A439, Ledger!$C$2:$C$4, Q$2)),"****")</f>
        <v/>
      </c>
      <c r="R439" t="str">
        <f>IFERROR(IF($C439="","",SUMIFS(Ledger!$K$2:$K$4, Ledger!$B$2:$B$4, $A439, Ledger!$C$2:$C$4, R$2)),"****")</f>
        <v/>
      </c>
      <c r="S439" t="str">
        <f>IFERROR(IF($C439="","",SUMIFS(Ledger!$K$2:$K$4, Ledger!$B$2:$B$4, $A439, Ledger!$C$2:$C$4, S$2)),"****")</f>
        <v/>
      </c>
      <c r="T439" t="str">
        <f>IFERROR(IF($C439="","",SUMIFS(Ledger!$K$2:$K$4, Ledger!$B$2:$B$4, $A439, Ledger!$C$2:$C$4, T$2)),"****")</f>
        <v/>
      </c>
      <c r="U439" t="str">
        <f>IFERROR(IF($C439="","",SUMIFS(Ledger!$K$2:$K$4, Ledger!$B$2:$B$4, $A439, Ledger!$C$2:$C$4, U$2)),"****")</f>
        <v/>
      </c>
      <c r="V439" t="str">
        <f>IFERROR(IF($C439="","",SUMIFS(Ledger!$K$2:$K$4, Ledger!$B$2:$B$4, $A439, Ledger!$C$2:$C$4, V$2)),"****")</f>
        <v/>
      </c>
      <c r="W439" t="str">
        <f>IFERROR(IF($C439="","",SUMIFS(Ledger!$K$2:$K$4, Ledger!$B$2:$B$4, $A439, Ledger!$C$2:$C$4, W$2)),"****")</f>
        <v/>
      </c>
      <c r="X439" t="str">
        <f>IFERROR(IF($C439="","",SUMIFS(Ledger!$K$2:$K$4, Ledger!$B$2:$B$4, $A439, Ledger!$C$2:$C$4, X$2)),"****")</f>
        <v/>
      </c>
    </row>
    <row r="440" spans="1:24" x14ac:dyDescent="0.3">
      <c r="A440" s="106">
        <v>438</v>
      </c>
      <c r="B440" t="str">
        <f>IFERROR(VLOOKUP($A440, Ledger!$B$2:$L$8, 3, 0),"")</f>
        <v/>
      </c>
      <c r="C440" t="str">
        <f>IFERROR(VLOOKUP($A440, Ledger!$B$2:$L$8, 4, 0),"")</f>
        <v/>
      </c>
      <c r="D440" t="str">
        <f>IFERROR(VLOOKUP($A440, Ledger!$B$2:$L$8, 5, 0),"")</f>
        <v/>
      </c>
      <c r="E440" t="str">
        <f>IFERROR(VLOOKUP($A440, Ledger!$B$2:$L$8, 6, 0),"")</f>
        <v/>
      </c>
      <c r="F440" t="str">
        <f>IFERROR(VLOOKUP($A440,'Student Data'!$A$2:$AR$6,32,0),"")</f>
        <v/>
      </c>
      <c r="G440" t="str">
        <f>IFERROR(VLOOKUP($A440,'Student Data'!$A$2:$AR$6,33,0),"")</f>
        <v/>
      </c>
      <c r="H440" t="str">
        <f>IFERROR(VLOOKUP($A440,'Student Data'!$A$2:$AR$6,34,0),"")</f>
        <v/>
      </c>
      <c r="I440" t="str">
        <f>IFERROR(VLOOKUP($A440,'Student Data'!$A$2:$AR$6,35,0),"")</f>
        <v/>
      </c>
      <c r="J440" t="str">
        <f>IFERROR(VLOOKUP($A440,'Student Data'!$A$2:$AR$6,36,0),"")</f>
        <v/>
      </c>
      <c r="K440" t="str">
        <f t="shared" si="12"/>
        <v/>
      </c>
      <c r="L440" t="str">
        <f t="shared" si="13"/>
        <v/>
      </c>
      <c r="M440" t="str">
        <f>IFERROR(IF($C440="","",SUMIFS(Ledger!$K$2:$K$4, Ledger!$B$2:$B$4, $A440, Ledger!$C$2:$C$4, M$2)),"****")</f>
        <v/>
      </c>
      <c r="N440" t="str">
        <f>IFERROR(IF($C440="","",SUMIFS(Ledger!$K$2:$K$4, Ledger!$B$2:$B$4, $A440, Ledger!$C$2:$C$4, N$2)),"****")</f>
        <v/>
      </c>
      <c r="O440" t="str">
        <f>IFERROR(IF($C440="","",SUMIFS(Ledger!$K$2:$K$4, Ledger!$B$2:$B$4, $A440, Ledger!$C$2:$C$4, O$2)),"****")</f>
        <v/>
      </c>
      <c r="P440" t="str">
        <f>IFERROR(IF($C440="","",SUMIFS(Ledger!$K$2:$K$4, Ledger!$B$2:$B$4, $A440, Ledger!$C$2:$C$4, P$2)),"****")</f>
        <v/>
      </c>
      <c r="Q440" t="str">
        <f>IFERROR(IF($C440="","",SUMIFS(Ledger!$K$2:$K$4, Ledger!$B$2:$B$4, $A440, Ledger!$C$2:$C$4, Q$2)),"****")</f>
        <v/>
      </c>
      <c r="R440" t="str">
        <f>IFERROR(IF($C440="","",SUMIFS(Ledger!$K$2:$K$4, Ledger!$B$2:$B$4, $A440, Ledger!$C$2:$C$4, R$2)),"****")</f>
        <v/>
      </c>
      <c r="S440" t="str">
        <f>IFERROR(IF($C440="","",SUMIFS(Ledger!$K$2:$K$4, Ledger!$B$2:$B$4, $A440, Ledger!$C$2:$C$4, S$2)),"****")</f>
        <v/>
      </c>
      <c r="T440" t="str">
        <f>IFERROR(IF($C440="","",SUMIFS(Ledger!$K$2:$K$4, Ledger!$B$2:$B$4, $A440, Ledger!$C$2:$C$4, T$2)),"****")</f>
        <v/>
      </c>
      <c r="U440" t="str">
        <f>IFERROR(IF($C440="","",SUMIFS(Ledger!$K$2:$K$4, Ledger!$B$2:$B$4, $A440, Ledger!$C$2:$C$4, U$2)),"****")</f>
        <v/>
      </c>
      <c r="V440" t="str">
        <f>IFERROR(IF($C440="","",SUMIFS(Ledger!$K$2:$K$4, Ledger!$B$2:$B$4, $A440, Ledger!$C$2:$C$4, V$2)),"****")</f>
        <v/>
      </c>
      <c r="W440" t="str">
        <f>IFERROR(IF($C440="","",SUMIFS(Ledger!$K$2:$K$4, Ledger!$B$2:$B$4, $A440, Ledger!$C$2:$C$4, W$2)),"****")</f>
        <v/>
      </c>
      <c r="X440" t="str">
        <f>IFERROR(IF($C440="","",SUMIFS(Ledger!$K$2:$K$4, Ledger!$B$2:$B$4, $A440, Ledger!$C$2:$C$4, X$2)),"****")</f>
        <v/>
      </c>
    </row>
    <row r="441" spans="1:24" x14ac:dyDescent="0.3">
      <c r="A441" s="106">
        <v>439</v>
      </c>
      <c r="B441" t="str">
        <f>IFERROR(VLOOKUP($A441, Ledger!$B$2:$L$8, 3, 0),"")</f>
        <v/>
      </c>
      <c r="C441" t="str">
        <f>IFERROR(VLOOKUP($A441, Ledger!$B$2:$L$8, 4, 0),"")</f>
        <v/>
      </c>
      <c r="D441" t="str">
        <f>IFERROR(VLOOKUP($A441, Ledger!$B$2:$L$8, 5, 0),"")</f>
        <v/>
      </c>
      <c r="E441" t="str">
        <f>IFERROR(VLOOKUP($A441, Ledger!$B$2:$L$8, 6, 0),"")</f>
        <v/>
      </c>
      <c r="F441" t="str">
        <f>IFERROR(VLOOKUP($A441,'Student Data'!$A$2:$AR$6,32,0),"")</f>
        <v/>
      </c>
      <c r="G441" t="str">
        <f>IFERROR(VLOOKUP($A441,'Student Data'!$A$2:$AR$6,33,0),"")</f>
        <v/>
      </c>
      <c r="H441" t="str">
        <f>IFERROR(VLOOKUP($A441,'Student Data'!$A$2:$AR$6,34,0),"")</f>
        <v/>
      </c>
      <c r="I441" t="str">
        <f>IFERROR(VLOOKUP($A441,'Student Data'!$A$2:$AR$6,35,0),"")</f>
        <v/>
      </c>
      <c r="J441" t="str">
        <f>IFERROR(VLOOKUP($A441,'Student Data'!$A$2:$AR$6,36,0),"")</f>
        <v/>
      </c>
      <c r="K441" t="str">
        <f t="shared" si="12"/>
        <v/>
      </c>
      <c r="L441" t="str">
        <f t="shared" si="13"/>
        <v/>
      </c>
      <c r="M441" t="str">
        <f>IFERROR(IF($C441="","",SUMIFS(Ledger!$K$2:$K$4, Ledger!$B$2:$B$4, $A441, Ledger!$C$2:$C$4, M$2)),"****")</f>
        <v/>
      </c>
      <c r="N441" t="str">
        <f>IFERROR(IF($C441="","",SUMIFS(Ledger!$K$2:$K$4, Ledger!$B$2:$B$4, $A441, Ledger!$C$2:$C$4, N$2)),"****")</f>
        <v/>
      </c>
      <c r="O441" t="str">
        <f>IFERROR(IF($C441="","",SUMIFS(Ledger!$K$2:$K$4, Ledger!$B$2:$B$4, $A441, Ledger!$C$2:$C$4, O$2)),"****")</f>
        <v/>
      </c>
      <c r="P441" t="str">
        <f>IFERROR(IF($C441="","",SUMIFS(Ledger!$K$2:$K$4, Ledger!$B$2:$B$4, $A441, Ledger!$C$2:$C$4, P$2)),"****")</f>
        <v/>
      </c>
      <c r="Q441" t="str">
        <f>IFERROR(IF($C441="","",SUMIFS(Ledger!$K$2:$K$4, Ledger!$B$2:$B$4, $A441, Ledger!$C$2:$C$4, Q$2)),"****")</f>
        <v/>
      </c>
      <c r="R441" t="str">
        <f>IFERROR(IF($C441="","",SUMIFS(Ledger!$K$2:$K$4, Ledger!$B$2:$B$4, $A441, Ledger!$C$2:$C$4, R$2)),"****")</f>
        <v/>
      </c>
      <c r="S441" t="str">
        <f>IFERROR(IF($C441="","",SUMIFS(Ledger!$K$2:$K$4, Ledger!$B$2:$B$4, $A441, Ledger!$C$2:$C$4, S$2)),"****")</f>
        <v/>
      </c>
      <c r="T441" t="str">
        <f>IFERROR(IF($C441="","",SUMIFS(Ledger!$K$2:$K$4, Ledger!$B$2:$B$4, $A441, Ledger!$C$2:$C$4, T$2)),"****")</f>
        <v/>
      </c>
      <c r="U441" t="str">
        <f>IFERROR(IF($C441="","",SUMIFS(Ledger!$K$2:$K$4, Ledger!$B$2:$B$4, $A441, Ledger!$C$2:$C$4, U$2)),"****")</f>
        <v/>
      </c>
      <c r="V441" t="str">
        <f>IFERROR(IF($C441="","",SUMIFS(Ledger!$K$2:$K$4, Ledger!$B$2:$B$4, $A441, Ledger!$C$2:$C$4, V$2)),"****")</f>
        <v/>
      </c>
      <c r="W441" t="str">
        <f>IFERROR(IF($C441="","",SUMIFS(Ledger!$K$2:$K$4, Ledger!$B$2:$B$4, $A441, Ledger!$C$2:$C$4, W$2)),"****")</f>
        <v/>
      </c>
      <c r="X441" t="str">
        <f>IFERROR(IF($C441="","",SUMIFS(Ledger!$K$2:$K$4, Ledger!$B$2:$B$4, $A441, Ledger!$C$2:$C$4, X$2)),"****")</f>
        <v/>
      </c>
    </row>
    <row r="442" spans="1:24" x14ac:dyDescent="0.3">
      <c r="A442" s="106">
        <v>440</v>
      </c>
      <c r="B442" t="str">
        <f>IFERROR(VLOOKUP($A442, Ledger!$B$2:$L$8, 3, 0),"")</f>
        <v/>
      </c>
      <c r="C442" t="str">
        <f>IFERROR(VLOOKUP($A442, Ledger!$B$2:$L$8, 4, 0),"")</f>
        <v/>
      </c>
      <c r="D442" t="str">
        <f>IFERROR(VLOOKUP($A442, Ledger!$B$2:$L$8, 5, 0),"")</f>
        <v/>
      </c>
      <c r="E442" t="str">
        <f>IFERROR(VLOOKUP($A442, Ledger!$B$2:$L$8, 6, 0),"")</f>
        <v/>
      </c>
      <c r="F442" t="str">
        <f>IFERROR(VLOOKUP($A442,'Student Data'!$A$2:$AR$6,32,0),"")</f>
        <v/>
      </c>
      <c r="G442" t="str">
        <f>IFERROR(VLOOKUP($A442,'Student Data'!$A$2:$AR$6,33,0),"")</f>
        <v/>
      </c>
      <c r="H442" t="str">
        <f>IFERROR(VLOOKUP($A442,'Student Data'!$A$2:$AR$6,34,0),"")</f>
        <v/>
      </c>
      <c r="I442" t="str">
        <f>IFERROR(VLOOKUP($A442,'Student Data'!$A$2:$AR$6,35,0),"")</f>
        <v/>
      </c>
      <c r="J442" t="str">
        <f>IFERROR(VLOOKUP($A442,'Student Data'!$A$2:$AR$6,36,0),"")</f>
        <v/>
      </c>
      <c r="K442" t="str">
        <f t="shared" si="12"/>
        <v/>
      </c>
      <c r="L442" t="str">
        <f t="shared" si="13"/>
        <v/>
      </c>
      <c r="M442" t="str">
        <f>IFERROR(IF($C442="","",SUMIFS(Ledger!$K$2:$K$4, Ledger!$B$2:$B$4, $A442, Ledger!$C$2:$C$4, M$2)),"****")</f>
        <v/>
      </c>
      <c r="N442" t="str">
        <f>IFERROR(IF($C442="","",SUMIFS(Ledger!$K$2:$K$4, Ledger!$B$2:$B$4, $A442, Ledger!$C$2:$C$4, N$2)),"****")</f>
        <v/>
      </c>
      <c r="O442" t="str">
        <f>IFERROR(IF($C442="","",SUMIFS(Ledger!$K$2:$K$4, Ledger!$B$2:$B$4, $A442, Ledger!$C$2:$C$4, O$2)),"****")</f>
        <v/>
      </c>
      <c r="P442" t="str">
        <f>IFERROR(IF($C442="","",SUMIFS(Ledger!$K$2:$K$4, Ledger!$B$2:$B$4, $A442, Ledger!$C$2:$C$4, P$2)),"****")</f>
        <v/>
      </c>
      <c r="Q442" t="str">
        <f>IFERROR(IF($C442="","",SUMIFS(Ledger!$K$2:$K$4, Ledger!$B$2:$B$4, $A442, Ledger!$C$2:$C$4, Q$2)),"****")</f>
        <v/>
      </c>
      <c r="R442" t="str">
        <f>IFERROR(IF($C442="","",SUMIFS(Ledger!$K$2:$K$4, Ledger!$B$2:$B$4, $A442, Ledger!$C$2:$C$4, R$2)),"****")</f>
        <v/>
      </c>
      <c r="S442" t="str">
        <f>IFERROR(IF($C442="","",SUMIFS(Ledger!$K$2:$K$4, Ledger!$B$2:$B$4, $A442, Ledger!$C$2:$C$4, S$2)),"****")</f>
        <v/>
      </c>
      <c r="T442" t="str">
        <f>IFERROR(IF($C442="","",SUMIFS(Ledger!$K$2:$K$4, Ledger!$B$2:$B$4, $A442, Ledger!$C$2:$C$4, T$2)),"****")</f>
        <v/>
      </c>
      <c r="U442" t="str">
        <f>IFERROR(IF($C442="","",SUMIFS(Ledger!$K$2:$K$4, Ledger!$B$2:$B$4, $A442, Ledger!$C$2:$C$4, U$2)),"****")</f>
        <v/>
      </c>
      <c r="V442" t="str">
        <f>IFERROR(IF($C442="","",SUMIFS(Ledger!$K$2:$K$4, Ledger!$B$2:$B$4, $A442, Ledger!$C$2:$C$4, V$2)),"****")</f>
        <v/>
      </c>
      <c r="W442" t="str">
        <f>IFERROR(IF($C442="","",SUMIFS(Ledger!$K$2:$K$4, Ledger!$B$2:$B$4, $A442, Ledger!$C$2:$C$4, W$2)),"****")</f>
        <v/>
      </c>
      <c r="X442" t="str">
        <f>IFERROR(IF($C442="","",SUMIFS(Ledger!$K$2:$K$4, Ledger!$B$2:$B$4, $A442, Ledger!$C$2:$C$4, X$2)),"****")</f>
        <v/>
      </c>
    </row>
    <row r="443" spans="1:24" x14ac:dyDescent="0.3">
      <c r="A443" s="106">
        <v>441</v>
      </c>
      <c r="B443" t="str">
        <f>IFERROR(VLOOKUP($A443, Ledger!$B$2:$L$8, 3, 0),"")</f>
        <v/>
      </c>
      <c r="C443" t="str">
        <f>IFERROR(VLOOKUP($A443, Ledger!$B$2:$L$8, 4, 0),"")</f>
        <v/>
      </c>
      <c r="D443" t="str">
        <f>IFERROR(VLOOKUP($A443, Ledger!$B$2:$L$8, 5, 0),"")</f>
        <v/>
      </c>
      <c r="E443" t="str">
        <f>IFERROR(VLOOKUP($A443, Ledger!$B$2:$L$8, 6, 0),"")</f>
        <v/>
      </c>
      <c r="F443" t="str">
        <f>IFERROR(VLOOKUP($A443,'Student Data'!$A$2:$AR$6,32,0),"")</f>
        <v/>
      </c>
      <c r="G443" t="str">
        <f>IFERROR(VLOOKUP($A443,'Student Data'!$A$2:$AR$6,33,0),"")</f>
        <v/>
      </c>
      <c r="H443" t="str">
        <f>IFERROR(VLOOKUP($A443,'Student Data'!$A$2:$AR$6,34,0),"")</f>
        <v/>
      </c>
      <c r="I443" t="str">
        <f>IFERROR(VLOOKUP($A443,'Student Data'!$A$2:$AR$6,35,0),"")</f>
        <v/>
      </c>
      <c r="J443" t="str">
        <f>IFERROR(VLOOKUP($A443,'Student Data'!$A$2:$AR$6,36,0),"")</f>
        <v/>
      </c>
      <c r="K443" t="str">
        <f t="shared" si="12"/>
        <v/>
      </c>
      <c r="L443" t="str">
        <f t="shared" si="13"/>
        <v/>
      </c>
      <c r="M443" t="str">
        <f>IFERROR(IF($C443="","",SUMIFS(Ledger!$K$2:$K$4, Ledger!$B$2:$B$4, $A443, Ledger!$C$2:$C$4, M$2)),"****")</f>
        <v/>
      </c>
      <c r="N443" t="str">
        <f>IFERROR(IF($C443="","",SUMIFS(Ledger!$K$2:$K$4, Ledger!$B$2:$B$4, $A443, Ledger!$C$2:$C$4, N$2)),"****")</f>
        <v/>
      </c>
      <c r="O443" t="str">
        <f>IFERROR(IF($C443="","",SUMIFS(Ledger!$K$2:$K$4, Ledger!$B$2:$B$4, $A443, Ledger!$C$2:$C$4, O$2)),"****")</f>
        <v/>
      </c>
      <c r="P443" t="str">
        <f>IFERROR(IF($C443="","",SUMIFS(Ledger!$K$2:$K$4, Ledger!$B$2:$B$4, $A443, Ledger!$C$2:$C$4, P$2)),"****")</f>
        <v/>
      </c>
      <c r="Q443" t="str">
        <f>IFERROR(IF($C443="","",SUMIFS(Ledger!$K$2:$K$4, Ledger!$B$2:$B$4, $A443, Ledger!$C$2:$C$4, Q$2)),"****")</f>
        <v/>
      </c>
      <c r="R443" t="str">
        <f>IFERROR(IF($C443="","",SUMIFS(Ledger!$K$2:$K$4, Ledger!$B$2:$B$4, $A443, Ledger!$C$2:$C$4, R$2)),"****")</f>
        <v/>
      </c>
      <c r="S443" t="str">
        <f>IFERROR(IF($C443="","",SUMIFS(Ledger!$K$2:$K$4, Ledger!$B$2:$B$4, $A443, Ledger!$C$2:$C$4, S$2)),"****")</f>
        <v/>
      </c>
      <c r="T443" t="str">
        <f>IFERROR(IF($C443="","",SUMIFS(Ledger!$K$2:$K$4, Ledger!$B$2:$B$4, $A443, Ledger!$C$2:$C$4, T$2)),"****")</f>
        <v/>
      </c>
      <c r="U443" t="str">
        <f>IFERROR(IF($C443="","",SUMIFS(Ledger!$K$2:$K$4, Ledger!$B$2:$B$4, $A443, Ledger!$C$2:$C$4, U$2)),"****")</f>
        <v/>
      </c>
      <c r="V443" t="str">
        <f>IFERROR(IF($C443="","",SUMIFS(Ledger!$K$2:$K$4, Ledger!$B$2:$B$4, $A443, Ledger!$C$2:$C$4, V$2)),"****")</f>
        <v/>
      </c>
      <c r="W443" t="str">
        <f>IFERROR(IF($C443="","",SUMIFS(Ledger!$K$2:$K$4, Ledger!$B$2:$B$4, $A443, Ledger!$C$2:$C$4, W$2)),"****")</f>
        <v/>
      </c>
      <c r="X443" t="str">
        <f>IFERROR(IF($C443="","",SUMIFS(Ledger!$K$2:$K$4, Ledger!$B$2:$B$4, $A443, Ledger!$C$2:$C$4, X$2)),"****")</f>
        <v/>
      </c>
    </row>
    <row r="444" spans="1:24" x14ac:dyDescent="0.3">
      <c r="A444" s="106">
        <v>442</v>
      </c>
      <c r="B444" t="str">
        <f>IFERROR(VLOOKUP($A444, Ledger!$B$2:$L$8, 3, 0),"")</f>
        <v/>
      </c>
      <c r="C444" t="str">
        <f>IFERROR(VLOOKUP($A444, Ledger!$B$2:$L$8, 4, 0),"")</f>
        <v/>
      </c>
      <c r="D444" t="str">
        <f>IFERROR(VLOOKUP($A444, Ledger!$B$2:$L$8, 5, 0),"")</f>
        <v/>
      </c>
      <c r="E444" t="str">
        <f>IFERROR(VLOOKUP($A444, Ledger!$B$2:$L$8, 6, 0),"")</f>
        <v/>
      </c>
      <c r="F444" t="str">
        <f>IFERROR(VLOOKUP($A444,'Student Data'!$A$2:$AR$6,32,0),"")</f>
        <v/>
      </c>
      <c r="G444" t="str">
        <f>IFERROR(VLOOKUP($A444,'Student Data'!$A$2:$AR$6,33,0),"")</f>
        <v/>
      </c>
      <c r="H444" t="str">
        <f>IFERROR(VLOOKUP($A444,'Student Data'!$A$2:$AR$6,34,0),"")</f>
        <v/>
      </c>
      <c r="I444" t="str">
        <f>IFERROR(VLOOKUP($A444,'Student Data'!$A$2:$AR$6,35,0),"")</f>
        <v/>
      </c>
      <c r="J444" t="str">
        <f>IFERROR(VLOOKUP($A444,'Student Data'!$A$2:$AR$6,36,0),"")</f>
        <v/>
      </c>
      <c r="K444" t="str">
        <f t="shared" si="12"/>
        <v/>
      </c>
      <c r="L444" t="str">
        <f t="shared" si="13"/>
        <v/>
      </c>
      <c r="M444" t="str">
        <f>IFERROR(IF($C444="","",SUMIFS(Ledger!$K$2:$K$4, Ledger!$B$2:$B$4, $A444, Ledger!$C$2:$C$4, M$2)),"****")</f>
        <v/>
      </c>
      <c r="N444" t="str">
        <f>IFERROR(IF($C444="","",SUMIFS(Ledger!$K$2:$K$4, Ledger!$B$2:$B$4, $A444, Ledger!$C$2:$C$4, N$2)),"****")</f>
        <v/>
      </c>
      <c r="O444" t="str">
        <f>IFERROR(IF($C444="","",SUMIFS(Ledger!$K$2:$K$4, Ledger!$B$2:$B$4, $A444, Ledger!$C$2:$C$4, O$2)),"****")</f>
        <v/>
      </c>
      <c r="P444" t="str">
        <f>IFERROR(IF($C444="","",SUMIFS(Ledger!$K$2:$K$4, Ledger!$B$2:$B$4, $A444, Ledger!$C$2:$C$4, P$2)),"****")</f>
        <v/>
      </c>
      <c r="Q444" t="str">
        <f>IFERROR(IF($C444="","",SUMIFS(Ledger!$K$2:$K$4, Ledger!$B$2:$B$4, $A444, Ledger!$C$2:$C$4, Q$2)),"****")</f>
        <v/>
      </c>
      <c r="R444" t="str">
        <f>IFERROR(IF($C444="","",SUMIFS(Ledger!$K$2:$K$4, Ledger!$B$2:$B$4, $A444, Ledger!$C$2:$C$4, R$2)),"****")</f>
        <v/>
      </c>
      <c r="S444" t="str">
        <f>IFERROR(IF($C444="","",SUMIFS(Ledger!$K$2:$K$4, Ledger!$B$2:$B$4, $A444, Ledger!$C$2:$C$4, S$2)),"****")</f>
        <v/>
      </c>
      <c r="T444" t="str">
        <f>IFERROR(IF($C444="","",SUMIFS(Ledger!$K$2:$K$4, Ledger!$B$2:$B$4, $A444, Ledger!$C$2:$C$4, T$2)),"****")</f>
        <v/>
      </c>
      <c r="U444" t="str">
        <f>IFERROR(IF($C444="","",SUMIFS(Ledger!$K$2:$K$4, Ledger!$B$2:$B$4, $A444, Ledger!$C$2:$C$4, U$2)),"****")</f>
        <v/>
      </c>
      <c r="V444" t="str">
        <f>IFERROR(IF($C444="","",SUMIFS(Ledger!$K$2:$K$4, Ledger!$B$2:$B$4, $A444, Ledger!$C$2:$C$4, V$2)),"****")</f>
        <v/>
      </c>
      <c r="W444" t="str">
        <f>IFERROR(IF($C444="","",SUMIFS(Ledger!$K$2:$K$4, Ledger!$B$2:$B$4, $A444, Ledger!$C$2:$C$4, W$2)),"****")</f>
        <v/>
      </c>
      <c r="X444" t="str">
        <f>IFERROR(IF($C444="","",SUMIFS(Ledger!$K$2:$K$4, Ledger!$B$2:$B$4, $A444, Ledger!$C$2:$C$4, X$2)),"****")</f>
        <v/>
      </c>
    </row>
    <row r="445" spans="1:24" x14ac:dyDescent="0.3">
      <c r="A445" s="106">
        <v>443</v>
      </c>
      <c r="B445" t="str">
        <f>IFERROR(VLOOKUP($A445, Ledger!$B$2:$L$8, 3, 0),"")</f>
        <v/>
      </c>
      <c r="C445" t="str">
        <f>IFERROR(VLOOKUP($A445, Ledger!$B$2:$L$8, 4, 0),"")</f>
        <v/>
      </c>
      <c r="D445" t="str">
        <f>IFERROR(VLOOKUP($A445, Ledger!$B$2:$L$8, 5, 0),"")</f>
        <v/>
      </c>
      <c r="E445" t="str">
        <f>IFERROR(VLOOKUP($A445, Ledger!$B$2:$L$8, 6, 0),"")</f>
        <v/>
      </c>
      <c r="F445" t="str">
        <f>IFERROR(VLOOKUP($A445,'Student Data'!$A$2:$AR$6,32,0),"")</f>
        <v/>
      </c>
      <c r="G445" t="str">
        <f>IFERROR(VLOOKUP($A445,'Student Data'!$A$2:$AR$6,33,0),"")</f>
        <v/>
      </c>
      <c r="H445" t="str">
        <f>IFERROR(VLOOKUP($A445,'Student Data'!$A$2:$AR$6,34,0),"")</f>
        <v/>
      </c>
      <c r="I445" t="str">
        <f>IFERROR(VLOOKUP($A445,'Student Data'!$A$2:$AR$6,35,0),"")</f>
        <v/>
      </c>
      <c r="J445" t="str">
        <f>IFERROR(VLOOKUP($A445,'Student Data'!$A$2:$AR$6,36,0),"")</f>
        <v/>
      </c>
      <c r="K445" t="str">
        <f t="shared" si="12"/>
        <v/>
      </c>
      <c r="L445" t="str">
        <f t="shared" si="13"/>
        <v/>
      </c>
      <c r="M445" t="str">
        <f>IFERROR(IF($C445="","",SUMIFS(Ledger!$K$2:$K$4, Ledger!$B$2:$B$4, $A445, Ledger!$C$2:$C$4, M$2)),"****")</f>
        <v/>
      </c>
      <c r="N445" t="str">
        <f>IFERROR(IF($C445="","",SUMIFS(Ledger!$K$2:$K$4, Ledger!$B$2:$B$4, $A445, Ledger!$C$2:$C$4, N$2)),"****")</f>
        <v/>
      </c>
      <c r="O445" t="str">
        <f>IFERROR(IF($C445="","",SUMIFS(Ledger!$K$2:$K$4, Ledger!$B$2:$B$4, $A445, Ledger!$C$2:$C$4, O$2)),"****")</f>
        <v/>
      </c>
      <c r="P445" t="str">
        <f>IFERROR(IF($C445="","",SUMIFS(Ledger!$K$2:$K$4, Ledger!$B$2:$B$4, $A445, Ledger!$C$2:$C$4, P$2)),"****")</f>
        <v/>
      </c>
      <c r="Q445" t="str">
        <f>IFERROR(IF($C445="","",SUMIFS(Ledger!$K$2:$K$4, Ledger!$B$2:$B$4, $A445, Ledger!$C$2:$C$4, Q$2)),"****")</f>
        <v/>
      </c>
      <c r="R445" t="str">
        <f>IFERROR(IF($C445="","",SUMIFS(Ledger!$K$2:$K$4, Ledger!$B$2:$B$4, $A445, Ledger!$C$2:$C$4, R$2)),"****")</f>
        <v/>
      </c>
      <c r="S445" t="str">
        <f>IFERROR(IF($C445="","",SUMIFS(Ledger!$K$2:$K$4, Ledger!$B$2:$B$4, $A445, Ledger!$C$2:$C$4, S$2)),"****")</f>
        <v/>
      </c>
      <c r="T445" t="str">
        <f>IFERROR(IF($C445="","",SUMIFS(Ledger!$K$2:$K$4, Ledger!$B$2:$B$4, $A445, Ledger!$C$2:$C$4, T$2)),"****")</f>
        <v/>
      </c>
      <c r="U445" t="str">
        <f>IFERROR(IF($C445="","",SUMIFS(Ledger!$K$2:$K$4, Ledger!$B$2:$B$4, $A445, Ledger!$C$2:$C$4, U$2)),"****")</f>
        <v/>
      </c>
      <c r="V445" t="str">
        <f>IFERROR(IF($C445="","",SUMIFS(Ledger!$K$2:$K$4, Ledger!$B$2:$B$4, $A445, Ledger!$C$2:$C$4, V$2)),"****")</f>
        <v/>
      </c>
      <c r="W445" t="str">
        <f>IFERROR(IF($C445="","",SUMIFS(Ledger!$K$2:$K$4, Ledger!$B$2:$B$4, $A445, Ledger!$C$2:$C$4, W$2)),"****")</f>
        <v/>
      </c>
      <c r="X445" t="str">
        <f>IFERROR(IF($C445="","",SUMIFS(Ledger!$K$2:$K$4, Ledger!$B$2:$B$4, $A445, Ledger!$C$2:$C$4, X$2)),"****")</f>
        <v/>
      </c>
    </row>
    <row r="446" spans="1:24" x14ac:dyDescent="0.3">
      <c r="A446" s="106">
        <v>444</v>
      </c>
      <c r="B446" t="str">
        <f>IFERROR(VLOOKUP($A446, Ledger!$B$2:$L$8, 3, 0),"")</f>
        <v/>
      </c>
      <c r="C446" t="str">
        <f>IFERROR(VLOOKUP($A446, Ledger!$B$2:$L$8, 4, 0),"")</f>
        <v/>
      </c>
      <c r="D446" t="str">
        <f>IFERROR(VLOOKUP($A446, Ledger!$B$2:$L$8, 5, 0),"")</f>
        <v/>
      </c>
      <c r="E446" t="str">
        <f>IFERROR(VLOOKUP($A446, Ledger!$B$2:$L$8, 6, 0),"")</f>
        <v/>
      </c>
      <c r="F446" t="str">
        <f>IFERROR(VLOOKUP($A446,'Student Data'!$A$2:$AR$6,32,0),"")</f>
        <v/>
      </c>
      <c r="G446" t="str">
        <f>IFERROR(VLOOKUP($A446,'Student Data'!$A$2:$AR$6,33,0),"")</f>
        <v/>
      </c>
      <c r="H446" t="str">
        <f>IFERROR(VLOOKUP($A446,'Student Data'!$A$2:$AR$6,34,0),"")</f>
        <v/>
      </c>
      <c r="I446" t="str">
        <f>IFERROR(VLOOKUP($A446,'Student Data'!$A$2:$AR$6,35,0),"")</f>
        <v/>
      </c>
      <c r="J446" t="str">
        <f>IFERROR(VLOOKUP($A446,'Student Data'!$A$2:$AR$6,36,0),"")</f>
        <v/>
      </c>
      <c r="K446" t="str">
        <f t="shared" si="12"/>
        <v/>
      </c>
      <c r="L446" t="str">
        <f t="shared" si="13"/>
        <v/>
      </c>
      <c r="M446" t="str">
        <f>IFERROR(IF($C446="","",SUMIFS(Ledger!$K$2:$K$4, Ledger!$B$2:$B$4, $A446, Ledger!$C$2:$C$4, M$2)),"****")</f>
        <v/>
      </c>
      <c r="N446" t="str">
        <f>IFERROR(IF($C446="","",SUMIFS(Ledger!$K$2:$K$4, Ledger!$B$2:$B$4, $A446, Ledger!$C$2:$C$4, N$2)),"****")</f>
        <v/>
      </c>
      <c r="O446" t="str">
        <f>IFERROR(IF($C446="","",SUMIFS(Ledger!$K$2:$K$4, Ledger!$B$2:$B$4, $A446, Ledger!$C$2:$C$4, O$2)),"****")</f>
        <v/>
      </c>
      <c r="P446" t="str">
        <f>IFERROR(IF($C446="","",SUMIFS(Ledger!$K$2:$K$4, Ledger!$B$2:$B$4, $A446, Ledger!$C$2:$C$4, P$2)),"****")</f>
        <v/>
      </c>
      <c r="Q446" t="str">
        <f>IFERROR(IF($C446="","",SUMIFS(Ledger!$K$2:$K$4, Ledger!$B$2:$B$4, $A446, Ledger!$C$2:$C$4, Q$2)),"****")</f>
        <v/>
      </c>
      <c r="R446" t="str">
        <f>IFERROR(IF($C446="","",SUMIFS(Ledger!$K$2:$K$4, Ledger!$B$2:$B$4, $A446, Ledger!$C$2:$C$4, R$2)),"****")</f>
        <v/>
      </c>
      <c r="S446" t="str">
        <f>IFERROR(IF($C446="","",SUMIFS(Ledger!$K$2:$K$4, Ledger!$B$2:$B$4, $A446, Ledger!$C$2:$C$4, S$2)),"****")</f>
        <v/>
      </c>
      <c r="T446" t="str">
        <f>IFERROR(IF($C446="","",SUMIFS(Ledger!$K$2:$K$4, Ledger!$B$2:$B$4, $A446, Ledger!$C$2:$C$4, T$2)),"****")</f>
        <v/>
      </c>
      <c r="U446" t="str">
        <f>IFERROR(IF($C446="","",SUMIFS(Ledger!$K$2:$K$4, Ledger!$B$2:$B$4, $A446, Ledger!$C$2:$C$4, U$2)),"****")</f>
        <v/>
      </c>
      <c r="V446" t="str">
        <f>IFERROR(IF($C446="","",SUMIFS(Ledger!$K$2:$K$4, Ledger!$B$2:$B$4, $A446, Ledger!$C$2:$C$4, V$2)),"****")</f>
        <v/>
      </c>
      <c r="W446" t="str">
        <f>IFERROR(IF($C446="","",SUMIFS(Ledger!$K$2:$K$4, Ledger!$B$2:$B$4, $A446, Ledger!$C$2:$C$4, W$2)),"****")</f>
        <v/>
      </c>
      <c r="X446" t="str">
        <f>IFERROR(IF($C446="","",SUMIFS(Ledger!$K$2:$K$4, Ledger!$B$2:$B$4, $A446, Ledger!$C$2:$C$4, X$2)),"****")</f>
        <v/>
      </c>
    </row>
    <row r="447" spans="1:24" x14ac:dyDescent="0.3">
      <c r="A447" s="106">
        <v>445</v>
      </c>
      <c r="B447" t="str">
        <f>IFERROR(VLOOKUP($A447, Ledger!$B$2:$L$8, 3, 0),"")</f>
        <v/>
      </c>
      <c r="C447" t="str">
        <f>IFERROR(VLOOKUP($A447, Ledger!$B$2:$L$8, 4, 0),"")</f>
        <v/>
      </c>
      <c r="D447" t="str">
        <f>IFERROR(VLOOKUP($A447, Ledger!$B$2:$L$8, 5, 0),"")</f>
        <v/>
      </c>
      <c r="E447" t="str">
        <f>IFERROR(VLOOKUP($A447, Ledger!$B$2:$L$8, 6, 0),"")</f>
        <v/>
      </c>
      <c r="F447" t="str">
        <f>IFERROR(VLOOKUP($A447,'Student Data'!$A$2:$AR$6,32,0),"")</f>
        <v/>
      </c>
      <c r="G447" t="str">
        <f>IFERROR(VLOOKUP($A447,'Student Data'!$A$2:$AR$6,33,0),"")</f>
        <v/>
      </c>
      <c r="H447" t="str">
        <f>IFERROR(VLOOKUP($A447,'Student Data'!$A$2:$AR$6,34,0),"")</f>
        <v/>
      </c>
      <c r="I447" t="str">
        <f>IFERROR(VLOOKUP($A447,'Student Data'!$A$2:$AR$6,35,0),"")</f>
        <v/>
      </c>
      <c r="J447" t="str">
        <f>IFERROR(VLOOKUP($A447,'Student Data'!$A$2:$AR$6,36,0),"")</f>
        <v/>
      </c>
      <c r="K447" t="str">
        <f t="shared" si="12"/>
        <v/>
      </c>
      <c r="L447" t="str">
        <f t="shared" si="13"/>
        <v/>
      </c>
      <c r="M447" t="str">
        <f>IFERROR(IF($C447="","",SUMIFS(Ledger!$K$2:$K$4, Ledger!$B$2:$B$4, $A447, Ledger!$C$2:$C$4, M$2)),"****")</f>
        <v/>
      </c>
      <c r="N447" t="str">
        <f>IFERROR(IF($C447="","",SUMIFS(Ledger!$K$2:$K$4, Ledger!$B$2:$B$4, $A447, Ledger!$C$2:$C$4, N$2)),"****")</f>
        <v/>
      </c>
      <c r="O447" t="str">
        <f>IFERROR(IF($C447="","",SUMIFS(Ledger!$K$2:$K$4, Ledger!$B$2:$B$4, $A447, Ledger!$C$2:$C$4, O$2)),"****")</f>
        <v/>
      </c>
      <c r="P447" t="str">
        <f>IFERROR(IF($C447="","",SUMIFS(Ledger!$K$2:$K$4, Ledger!$B$2:$B$4, $A447, Ledger!$C$2:$C$4, P$2)),"****")</f>
        <v/>
      </c>
      <c r="Q447" t="str">
        <f>IFERROR(IF($C447="","",SUMIFS(Ledger!$K$2:$K$4, Ledger!$B$2:$B$4, $A447, Ledger!$C$2:$C$4, Q$2)),"****")</f>
        <v/>
      </c>
      <c r="R447" t="str">
        <f>IFERROR(IF($C447="","",SUMIFS(Ledger!$K$2:$K$4, Ledger!$B$2:$B$4, $A447, Ledger!$C$2:$C$4, R$2)),"****")</f>
        <v/>
      </c>
      <c r="S447" t="str">
        <f>IFERROR(IF($C447="","",SUMIFS(Ledger!$K$2:$K$4, Ledger!$B$2:$B$4, $A447, Ledger!$C$2:$C$4, S$2)),"****")</f>
        <v/>
      </c>
      <c r="T447" t="str">
        <f>IFERROR(IF($C447="","",SUMIFS(Ledger!$K$2:$K$4, Ledger!$B$2:$B$4, $A447, Ledger!$C$2:$C$4, T$2)),"****")</f>
        <v/>
      </c>
      <c r="U447" t="str">
        <f>IFERROR(IF($C447="","",SUMIFS(Ledger!$K$2:$K$4, Ledger!$B$2:$B$4, $A447, Ledger!$C$2:$C$4, U$2)),"****")</f>
        <v/>
      </c>
      <c r="V447" t="str">
        <f>IFERROR(IF($C447="","",SUMIFS(Ledger!$K$2:$K$4, Ledger!$B$2:$B$4, $A447, Ledger!$C$2:$C$4, V$2)),"****")</f>
        <v/>
      </c>
      <c r="W447" t="str">
        <f>IFERROR(IF($C447="","",SUMIFS(Ledger!$K$2:$K$4, Ledger!$B$2:$B$4, $A447, Ledger!$C$2:$C$4, W$2)),"****")</f>
        <v/>
      </c>
      <c r="X447" t="str">
        <f>IFERROR(IF($C447="","",SUMIFS(Ledger!$K$2:$K$4, Ledger!$B$2:$B$4, $A447, Ledger!$C$2:$C$4, X$2)),"****")</f>
        <v/>
      </c>
    </row>
    <row r="448" spans="1:24" x14ac:dyDescent="0.3">
      <c r="A448" s="106">
        <v>446</v>
      </c>
      <c r="B448" t="str">
        <f>IFERROR(VLOOKUP($A448, Ledger!$B$2:$L$8, 3, 0),"")</f>
        <v/>
      </c>
      <c r="C448" t="str">
        <f>IFERROR(VLOOKUP($A448, Ledger!$B$2:$L$8, 4, 0),"")</f>
        <v/>
      </c>
      <c r="D448" t="str">
        <f>IFERROR(VLOOKUP($A448, Ledger!$B$2:$L$8, 5, 0),"")</f>
        <v/>
      </c>
      <c r="E448" t="str">
        <f>IFERROR(VLOOKUP($A448, Ledger!$B$2:$L$8, 6, 0),"")</f>
        <v/>
      </c>
      <c r="F448" t="str">
        <f>IFERROR(VLOOKUP($A448,'Student Data'!$A$2:$AR$6,32,0),"")</f>
        <v/>
      </c>
      <c r="G448" t="str">
        <f>IFERROR(VLOOKUP($A448,'Student Data'!$A$2:$AR$6,33,0),"")</f>
        <v/>
      </c>
      <c r="H448" t="str">
        <f>IFERROR(VLOOKUP($A448,'Student Data'!$A$2:$AR$6,34,0),"")</f>
        <v/>
      </c>
      <c r="I448" t="str">
        <f>IFERROR(VLOOKUP($A448,'Student Data'!$A$2:$AR$6,35,0),"")</f>
        <v/>
      </c>
      <c r="J448" t="str">
        <f>IFERROR(VLOOKUP($A448,'Student Data'!$A$2:$AR$6,36,0),"")</f>
        <v/>
      </c>
      <c r="K448" t="str">
        <f t="shared" si="12"/>
        <v/>
      </c>
      <c r="L448" t="str">
        <f t="shared" si="13"/>
        <v/>
      </c>
      <c r="M448" t="str">
        <f>IFERROR(IF($C448="","",SUMIFS(Ledger!$K$2:$K$4, Ledger!$B$2:$B$4, $A448, Ledger!$C$2:$C$4, M$2)),"****")</f>
        <v/>
      </c>
      <c r="N448" t="str">
        <f>IFERROR(IF($C448="","",SUMIFS(Ledger!$K$2:$K$4, Ledger!$B$2:$B$4, $A448, Ledger!$C$2:$C$4, N$2)),"****")</f>
        <v/>
      </c>
      <c r="O448" t="str">
        <f>IFERROR(IF($C448="","",SUMIFS(Ledger!$K$2:$K$4, Ledger!$B$2:$B$4, $A448, Ledger!$C$2:$C$4, O$2)),"****")</f>
        <v/>
      </c>
      <c r="P448" t="str">
        <f>IFERROR(IF($C448="","",SUMIFS(Ledger!$K$2:$K$4, Ledger!$B$2:$B$4, $A448, Ledger!$C$2:$C$4, P$2)),"****")</f>
        <v/>
      </c>
      <c r="Q448" t="str">
        <f>IFERROR(IF($C448="","",SUMIFS(Ledger!$K$2:$K$4, Ledger!$B$2:$B$4, $A448, Ledger!$C$2:$C$4, Q$2)),"****")</f>
        <v/>
      </c>
      <c r="R448" t="str">
        <f>IFERROR(IF($C448="","",SUMIFS(Ledger!$K$2:$K$4, Ledger!$B$2:$B$4, $A448, Ledger!$C$2:$C$4, R$2)),"****")</f>
        <v/>
      </c>
      <c r="S448" t="str">
        <f>IFERROR(IF($C448="","",SUMIFS(Ledger!$K$2:$K$4, Ledger!$B$2:$B$4, $A448, Ledger!$C$2:$C$4, S$2)),"****")</f>
        <v/>
      </c>
      <c r="T448" t="str">
        <f>IFERROR(IF($C448="","",SUMIFS(Ledger!$K$2:$K$4, Ledger!$B$2:$B$4, $A448, Ledger!$C$2:$C$4, T$2)),"****")</f>
        <v/>
      </c>
      <c r="U448" t="str">
        <f>IFERROR(IF($C448="","",SUMIFS(Ledger!$K$2:$K$4, Ledger!$B$2:$B$4, $A448, Ledger!$C$2:$C$4, U$2)),"****")</f>
        <v/>
      </c>
      <c r="V448" t="str">
        <f>IFERROR(IF($C448="","",SUMIFS(Ledger!$K$2:$K$4, Ledger!$B$2:$B$4, $A448, Ledger!$C$2:$C$4, V$2)),"****")</f>
        <v/>
      </c>
      <c r="W448" t="str">
        <f>IFERROR(IF($C448="","",SUMIFS(Ledger!$K$2:$K$4, Ledger!$B$2:$B$4, $A448, Ledger!$C$2:$C$4, W$2)),"****")</f>
        <v/>
      </c>
      <c r="X448" t="str">
        <f>IFERROR(IF($C448="","",SUMIFS(Ledger!$K$2:$K$4, Ledger!$B$2:$B$4, $A448, Ledger!$C$2:$C$4, X$2)),"****")</f>
        <v/>
      </c>
    </row>
    <row r="449" spans="1:24" x14ac:dyDescent="0.3">
      <c r="A449" s="106">
        <v>447</v>
      </c>
      <c r="B449" t="str">
        <f>IFERROR(VLOOKUP($A449, Ledger!$B$2:$L$8, 3, 0),"")</f>
        <v/>
      </c>
      <c r="C449" t="str">
        <f>IFERROR(VLOOKUP($A449, Ledger!$B$2:$L$8, 4, 0),"")</f>
        <v/>
      </c>
      <c r="D449" t="str">
        <f>IFERROR(VLOOKUP($A449, Ledger!$B$2:$L$8, 5, 0),"")</f>
        <v/>
      </c>
      <c r="E449" t="str">
        <f>IFERROR(VLOOKUP($A449, Ledger!$B$2:$L$8, 6, 0),"")</f>
        <v/>
      </c>
      <c r="F449" t="str">
        <f>IFERROR(VLOOKUP($A449,'Student Data'!$A$2:$AR$6,32,0),"")</f>
        <v/>
      </c>
      <c r="G449" t="str">
        <f>IFERROR(VLOOKUP($A449,'Student Data'!$A$2:$AR$6,33,0),"")</f>
        <v/>
      </c>
      <c r="H449" t="str">
        <f>IFERROR(VLOOKUP($A449,'Student Data'!$A$2:$AR$6,34,0),"")</f>
        <v/>
      </c>
      <c r="I449" t="str">
        <f>IFERROR(VLOOKUP($A449,'Student Data'!$A$2:$AR$6,35,0),"")</f>
        <v/>
      </c>
      <c r="J449" t="str">
        <f>IFERROR(VLOOKUP($A449,'Student Data'!$A$2:$AR$6,36,0),"")</f>
        <v/>
      </c>
      <c r="K449" t="str">
        <f t="shared" si="12"/>
        <v/>
      </c>
      <c r="L449" t="str">
        <f t="shared" si="13"/>
        <v/>
      </c>
      <c r="M449" t="str">
        <f>IFERROR(IF($C449="","",SUMIFS(Ledger!$K$2:$K$4, Ledger!$B$2:$B$4, $A449, Ledger!$C$2:$C$4, M$2)),"****")</f>
        <v/>
      </c>
      <c r="N449" t="str">
        <f>IFERROR(IF($C449="","",SUMIFS(Ledger!$K$2:$K$4, Ledger!$B$2:$B$4, $A449, Ledger!$C$2:$C$4, N$2)),"****")</f>
        <v/>
      </c>
      <c r="O449" t="str">
        <f>IFERROR(IF($C449="","",SUMIFS(Ledger!$K$2:$K$4, Ledger!$B$2:$B$4, $A449, Ledger!$C$2:$C$4, O$2)),"****")</f>
        <v/>
      </c>
      <c r="P449" t="str">
        <f>IFERROR(IF($C449="","",SUMIFS(Ledger!$K$2:$K$4, Ledger!$B$2:$B$4, $A449, Ledger!$C$2:$C$4, P$2)),"****")</f>
        <v/>
      </c>
      <c r="Q449" t="str">
        <f>IFERROR(IF($C449="","",SUMIFS(Ledger!$K$2:$K$4, Ledger!$B$2:$B$4, $A449, Ledger!$C$2:$C$4, Q$2)),"****")</f>
        <v/>
      </c>
      <c r="R449" t="str">
        <f>IFERROR(IF($C449="","",SUMIFS(Ledger!$K$2:$K$4, Ledger!$B$2:$B$4, $A449, Ledger!$C$2:$C$4, R$2)),"****")</f>
        <v/>
      </c>
      <c r="S449" t="str">
        <f>IFERROR(IF($C449="","",SUMIFS(Ledger!$K$2:$K$4, Ledger!$B$2:$B$4, $A449, Ledger!$C$2:$C$4, S$2)),"****")</f>
        <v/>
      </c>
      <c r="T449" t="str">
        <f>IFERROR(IF($C449="","",SUMIFS(Ledger!$K$2:$K$4, Ledger!$B$2:$B$4, $A449, Ledger!$C$2:$C$4, T$2)),"****")</f>
        <v/>
      </c>
      <c r="U449" t="str">
        <f>IFERROR(IF($C449="","",SUMIFS(Ledger!$K$2:$K$4, Ledger!$B$2:$B$4, $A449, Ledger!$C$2:$C$4, U$2)),"****")</f>
        <v/>
      </c>
      <c r="V449" t="str">
        <f>IFERROR(IF($C449="","",SUMIFS(Ledger!$K$2:$K$4, Ledger!$B$2:$B$4, $A449, Ledger!$C$2:$C$4, V$2)),"****")</f>
        <v/>
      </c>
      <c r="W449" t="str">
        <f>IFERROR(IF($C449="","",SUMIFS(Ledger!$K$2:$K$4, Ledger!$B$2:$B$4, $A449, Ledger!$C$2:$C$4, W$2)),"****")</f>
        <v/>
      </c>
      <c r="X449" t="str">
        <f>IFERROR(IF($C449="","",SUMIFS(Ledger!$K$2:$K$4, Ledger!$B$2:$B$4, $A449, Ledger!$C$2:$C$4, X$2)),"****")</f>
        <v/>
      </c>
    </row>
    <row r="450" spans="1:24" x14ac:dyDescent="0.3">
      <c r="A450" s="106">
        <v>448</v>
      </c>
      <c r="B450" t="str">
        <f>IFERROR(VLOOKUP($A450, Ledger!$B$2:$L$8, 3, 0),"")</f>
        <v/>
      </c>
      <c r="C450" t="str">
        <f>IFERROR(VLOOKUP($A450, Ledger!$B$2:$L$8, 4, 0),"")</f>
        <v/>
      </c>
      <c r="D450" t="str">
        <f>IFERROR(VLOOKUP($A450, Ledger!$B$2:$L$8, 5, 0),"")</f>
        <v/>
      </c>
      <c r="E450" t="str">
        <f>IFERROR(VLOOKUP($A450, Ledger!$B$2:$L$8, 6, 0),"")</f>
        <v/>
      </c>
      <c r="F450" t="str">
        <f>IFERROR(VLOOKUP($A450,'Student Data'!$A$2:$AR$6,32,0),"")</f>
        <v/>
      </c>
      <c r="G450" t="str">
        <f>IFERROR(VLOOKUP($A450,'Student Data'!$A$2:$AR$6,33,0),"")</f>
        <v/>
      </c>
      <c r="H450" t="str">
        <f>IFERROR(VLOOKUP($A450,'Student Data'!$A$2:$AR$6,34,0),"")</f>
        <v/>
      </c>
      <c r="I450" t="str">
        <f>IFERROR(VLOOKUP($A450,'Student Data'!$A$2:$AR$6,35,0),"")</f>
        <v/>
      </c>
      <c r="J450" t="str">
        <f>IFERROR(VLOOKUP($A450,'Student Data'!$A$2:$AR$6,36,0),"")</f>
        <v/>
      </c>
      <c r="K450" t="str">
        <f t="shared" si="12"/>
        <v/>
      </c>
      <c r="L450" t="str">
        <f t="shared" si="13"/>
        <v/>
      </c>
      <c r="M450" t="str">
        <f>IFERROR(IF($C450="","",SUMIFS(Ledger!$K$2:$K$4, Ledger!$B$2:$B$4, $A450, Ledger!$C$2:$C$4, M$2)),"****")</f>
        <v/>
      </c>
      <c r="N450" t="str">
        <f>IFERROR(IF($C450="","",SUMIFS(Ledger!$K$2:$K$4, Ledger!$B$2:$B$4, $A450, Ledger!$C$2:$C$4, N$2)),"****")</f>
        <v/>
      </c>
      <c r="O450" t="str">
        <f>IFERROR(IF($C450="","",SUMIFS(Ledger!$K$2:$K$4, Ledger!$B$2:$B$4, $A450, Ledger!$C$2:$C$4, O$2)),"****")</f>
        <v/>
      </c>
      <c r="P450" t="str">
        <f>IFERROR(IF($C450="","",SUMIFS(Ledger!$K$2:$K$4, Ledger!$B$2:$B$4, $A450, Ledger!$C$2:$C$4, P$2)),"****")</f>
        <v/>
      </c>
      <c r="Q450" t="str">
        <f>IFERROR(IF($C450="","",SUMIFS(Ledger!$K$2:$K$4, Ledger!$B$2:$B$4, $A450, Ledger!$C$2:$C$4, Q$2)),"****")</f>
        <v/>
      </c>
      <c r="R450" t="str">
        <f>IFERROR(IF($C450="","",SUMIFS(Ledger!$K$2:$K$4, Ledger!$B$2:$B$4, $A450, Ledger!$C$2:$C$4, R$2)),"****")</f>
        <v/>
      </c>
      <c r="S450" t="str">
        <f>IFERROR(IF($C450="","",SUMIFS(Ledger!$K$2:$K$4, Ledger!$B$2:$B$4, $A450, Ledger!$C$2:$C$4, S$2)),"****")</f>
        <v/>
      </c>
      <c r="T450" t="str">
        <f>IFERROR(IF($C450="","",SUMIFS(Ledger!$K$2:$K$4, Ledger!$B$2:$B$4, $A450, Ledger!$C$2:$C$4, T$2)),"****")</f>
        <v/>
      </c>
      <c r="U450" t="str">
        <f>IFERROR(IF($C450="","",SUMIFS(Ledger!$K$2:$K$4, Ledger!$B$2:$B$4, $A450, Ledger!$C$2:$C$4, U$2)),"****")</f>
        <v/>
      </c>
      <c r="V450" t="str">
        <f>IFERROR(IF($C450="","",SUMIFS(Ledger!$K$2:$K$4, Ledger!$B$2:$B$4, $A450, Ledger!$C$2:$C$4, V$2)),"****")</f>
        <v/>
      </c>
      <c r="W450" t="str">
        <f>IFERROR(IF($C450="","",SUMIFS(Ledger!$K$2:$K$4, Ledger!$B$2:$B$4, $A450, Ledger!$C$2:$C$4, W$2)),"****")</f>
        <v/>
      </c>
      <c r="X450" t="str">
        <f>IFERROR(IF($C450="","",SUMIFS(Ledger!$K$2:$K$4, Ledger!$B$2:$B$4, $A450, Ledger!$C$2:$C$4, X$2)),"****")</f>
        <v/>
      </c>
    </row>
    <row r="451" spans="1:24" x14ac:dyDescent="0.3">
      <c r="A451" s="106">
        <v>449</v>
      </c>
      <c r="B451" t="str">
        <f>IFERROR(VLOOKUP($A451, Ledger!$B$2:$L$8, 3, 0),"")</f>
        <v/>
      </c>
      <c r="C451" t="str">
        <f>IFERROR(VLOOKUP($A451, Ledger!$B$2:$L$8, 4, 0),"")</f>
        <v/>
      </c>
      <c r="D451" t="str">
        <f>IFERROR(VLOOKUP($A451, Ledger!$B$2:$L$8, 5, 0),"")</f>
        <v/>
      </c>
      <c r="E451" t="str">
        <f>IFERROR(VLOOKUP($A451, Ledger!$B$2:$L$8, 6, 0),"")</f>
        <v/>
      </c>
      <c r="F451" t="str">
        <f>IFERROR(VLOOKUP($A451,'Student Data'!$A$2:$AR$6,32,0),"")</f>
        <v/>
      </c>
      <c r="G451" t="str">
        <f>IFERROR(VLOOKUP($A451,'Student Data'!$A$2:$AR$6,33,0),"")</f>
        <v/>
      </c>
      <c r="H451" t="str">
        <f>IFERROR(VLOOKUP($A451,'Student Data'!$A$2:$AR$6,34,0),"")</f>
        <v/>
      </c>
      <c r="I451" t="str">
        <f>IFERROR(VLOOKUP($A451,'Student Data'!$A$2:$AR$6,35,0),"")</f>
        <v/>
      </c>
      <c r="J451" t="str">
        <f>IFERROR(VLOOKUP($A451,'Student Data'!$A$2:$AR$6,36,0),"")</f>
        <v/>
      </c>
      <c r="K451" t="str">
        <f t="shared" si="12"/>
        <v/>
      </c>
      <c r="L451" t="str">
        <f t="shared" si="13"/>
        <v/>
      </c>
      <c r="M451" t="str">
        <f>IFERROR(IF($C451="","",SUMIFS(Ledger!$K$2:$K$4, Ledger!$B$2:$B$4, $A451, Ledger!$C$2:$C$4, M$2)),"****")</f>
        <v/>
      </c>
      <c r="N451" t="str">
        <f>IFERROR(IF($C451="","",SUMIFS(Ledger!$K$2:$K$4, Ledger!$B$2:$B$4, $A451, Ledger!$C$2:$C$4, N$2)),"****")</f>
        <v/>
      </c>
      <c r="O451" t="str">
        <f>IFERROR(IF($C451="","",SUMIFS(Ledger!$K$2:$K$4, Ledger!$B$2:$B$4, $A451, Ledger!$C$2:$C$4, O$2)),"****")</f>
        <v/>
      </c>
      <c r="P451" t="str">
        <f>IFERROR(IF($C451="","",SUMIFS(Ledger!$K$2:$K$4, Ledger!$B$2:$B$4, $A451, Ledger!$C$2:$C$4, P$2)),"****")</f>
        <v/>
      </c>
      <c r="Q451" t="str">
        <f>IFERROR(IF($C451="","",SUMIFS(Ledger!$K$2:$K$4, Ledger!$B$2:$B$4, $A451, Ledger!$C$2:$C$4, Q$2)),"****")</f>
        <v/>
      </c>
      <c r="R451" t="str">
        <f>IFERROR(IF($C451="","",SUMIFS(Ledger!$K$2:$K$4, Ledger!$B$2:$B$4, $A451, Ledger!$C$2:$C$4, R$2)),"****")</f>
        <v/>
      </c>
      <c r="S451" t="str">
        <f>IFERROR(IF($C451="","",SUMIFS(Ledger!$K$2:$K$4, Ledger!$B$2:$B$4, $A451, Ledger!$C$2:$C$4, S$2)),"****")</f>
        <v/>
      </c>
      <c r="T451" t="str">
        <f>IFERROR(IF($C451="","",SUMIFS(Ledger!$K$2:$K$4, Ledger!$B$2:$B$4, $A451, Ledger!$C$2:$C$4, T$2)),"****")</f>
        <v/>
      </c>
      <c r="U451" t="str">
        <f>IFERROR(IF($C451="","",SUMIFS(Ledger!$K$2:$K$4, Ledger!$B$2:$B$4, $A451, Ledger!$C$2:$C$4, U$2)),"****")</f>
        <v/>
      </c>
      <c r="V451" t="str">
        <f>IFERROR(IF($C451="","",SUMIFS(Ledger!$K$2:$K$4, Ledger!$B$2:$B$4, $A451, Ledger!$C$2:$C$4, V$2)),"****")</f>
        <v/>
      </c>
      <c r="W451" t="str">
        <f>IFERROR(IF($C451="","",SUMIFS(Ledger!$K$2:$K$4, Ledger!$B$2:$B$4, $A451, Ledger!$C$2:$C$4, W$2)),"****")</f>
        <v/>
      </c>
      <c r="X451" t="str">
        <f>IFERROR(IF($C451="","",SUMIFS(Ledger!$K$2:$K$4, Ledger!$B$2:$B$4, $A451, Ledger!$C$2:$C$4, X$2)),"****")</f>
        <v/>
      </c>
    </row>
    <row r="452" spans="1:24" x14ac:dyDescent="0.3">
      <c r="A452" s="106">
        <v>450</v>
      </c>
      <c r="B452" t="str">
        <f>IFERROR(VLOOKUP($A452, Ledger!$B$2:$L$8, 3, 0),"")</f>
        <v/>
      </c>
      <c r="C452" t="str">
        <f>IFERROR(VLOOKUP($A452, Ledger!$B$2:$L$8, 4, 0),"")</f>
        <v/>
      </c>
      <c r="D452" t="str">
        <f>IFERROR(VLOOKUP($A452, Ledger!$B$2:$L$8, 5, 0),"")</f>
        <v/>
      </c>
      <c r="E452" t="str">
        <f>IFERROR(VLOOKUP($A452, Ledger!$B$2:$L$8, 6, 0),"")</f>
        <v/>
      </c>
      <c r="F452" t="str">
        <f>IFERROR(VLOOKUP($A452,'Student Data'!$A$2:$AR$6,32,0),"")</f>
        <v/>
      </c>
      <c r="G452" t="str">
        <f>IFERROR(VLOOKUP($A452,'Student Data'!$A$2:$AR$6,33,0),"")</f>
        <v/>
      </c>
      <c r="H452" t="str">
        <f>IFERROR(VLOOKUP($A452,'Student Data'!$A$2:$AR$6,34,0),"")</f>
        <v/>
      </c>
      <c r="I452" t="str">
        <f>IFERROR(VLOOKUP($A452,'Student Data'!$A$2:$AR$6,35,0),"")</f>
        <v/>
      </c>
      <c r="J452" t="str">
        <f>IFERROR(VLOOKUP($A452,'Student Data'!$A$2:$AR$6,36,0),"")</f>
        <v/>
      </c>
      <c r="K452" t="str">
        <f t="shared" ref="K452:K515" si="14">IFERROR(IF(C452="","",SUM(M452:X452)),"0")</f>
        <v/>
      </c>
      <c r="L452" t="str">
        <f t="shared" ref="L452:L515" si="15">IFERROR(IF(C452="","",J452-K452),"0")</f>
        <v/>
      </c>
      <c r="M452" t="str">
        <f>IFERROR(IF($C452="","",SUMIFS(Ledger!$K$2:$K$4, Ledger!$B$2:$B$4, $A452, Ledger!$C$2:$C$4, M$2)),"****")</f>
        <v/>
      </c>
      <c r="N452" t="str">
        <f>IFERROR(IF($C452="","",SUMIFS(Ledger!$K$2:$K$4, Ledger!$B$2:$B$4, $A452, Ledger!$C$2:$C$4, N$2)),"****")</f>
        <v/>
      </c>
      <c r="O452" t="str">
        <f>IFERROR(IF($C452="","",SUMIFS(Ledger!$K$2:$K$4, Ledger!$B$2:$B$4, $A452, Ledger!$C$2:$C$4, O$2)),"****")</f>
        <v/>
      </c>
      <c r="P452" t="str">
        <f>IFERROR(IF($C452="","",SUMIFS(Ledger!$K$2:$K$4, Ledger!$B$2:$B$4, $A452, Ledger!$C$2:$C$4, P$2)),"****")</f>
        <v/>
      </c>
      <c r="Q452" t="str">
        <f>IFERROR(IF($C452="","",SUMIFS(Ledger!$K$2:$K$4, Ledger!$B$2:$B$4, $A452, Ledger!$C$2:$C$4, Q$2)),"****")</f>
        <v/>
      </c>
      <c r="R452" t="str">
        <f>IFERROR(IF($C452="","",SUMIFS(Ledger!$K$2:$K$4, Ledger!$B$2:$B$4, $A452, Ledger!$C$2:$C$4, R$2)),"****")</f>
        <v/>
      </c>
      <c r="S452" t="str">
        <f>IFERROR(IF($C452="","",SUMIFS(Ledger!$K$2:$K$4, Ledger!$B$2:$B$4, $A452, Ledger!$C$2:$C$4, S$2)),"****")</f>
        <v/>
      </c>
      <c r="T452" t="str">
        <f>IFERROR(IF($C452="","",SUMIFS(Ledger!$K$2:$K$4, Ledger!$B$2:$B$4, $A452, Ledger!$C$2:$C$4, T$2)),"****")</f>
        <v/>
      </c>
      <c r="U452" t="str">
        <f>IFERROR(IF($C452="","",SUMIFS(Ledger!$K$2:$K$4, Ledger!$B$2:$B$4, $A452, Ledger!$C$2:$C$4, U$2)),"****")</f>
        <v/>
      </c>
      <c r="V452" t="str">
        <f>IFERROR(IF($C452="","",SUMIFS(Ledger!$K$2:$K$4, Ledger!$B$2:$B$4, $A452, Ledger!$C$2:$C$4, V$2)),"****")</f>
        <v/>
      </c>
      <c r="W452" t="str">
        <f>IFERROR(IF($C452="","",SUMIFS(Ledger!$K$2:$K$4, Ledger!$B$2:$B$4, $A452, Ledger!$C$2:$C$4, W$2)),"****")</f>
        <v/>
      </c>
      <c r="X452" t="str">
        <f>IFERROR(IF($C452="","",SUMIFS(Ledger!$K$2:$K$4, Ledger!$B$2:$B$4, $A452, Ledger!$C$2:$C$4, X$2)),"****")</f>
        <v/>
      </c>
    </row>
    <row r="453" spans="1:24" x14ac:dyDescent="0.3">
      <c r="A453" s="106">
        <v>451</v>
      </c>
      <c r="B453" t="str">
        <f>IFERROR(VLOOKUP($A453, Ledger!$B$2:$L$8, 3, 0),"")</f>
        <v/>
      </c>
      <c r="C453" t="str">
        <f>IFERROR(VLOOKUP($A453, Ledger!$B$2:$L$8, 4, 0),"")</f>
        <v/>
      </c>
      <c r="D453" t="str">
        <f>IFERROR(VLOOKUP($A453, Ledger!$B$2:$L$8, 5, 0),"")</f>
        <v/>
      </c>
      <c r="E453" t="str">
        <f>IFERROR(VLOOKUP($A453, Ledger!$B$2:$L$8, 6, 0),"")</f>
        <v/>
      </c>
      <c r="F453" t="str">
        <f>IFERROR(VLOOKUP($A453,'Student Data'!$A$2:$AR$6,32,0),"")</f>
        <v/>
      </c>
      <c r="G453" t="str">
        <f>IFERROR(VLOOKUP($A453,'Student Data'!$A$2:$AR$6,33,0),"")</f>
        <v/>
      </c>
      <c r="H453" t="str">
        <f>IFERROR(VLOOKUP($A453,'Student Data'!$A$2:$AR$6,34,0),"")</f>
        <v/>
      </c>
      <c r="I453" t="str">
        <f>IFERROR(VLOOKUP($A453,'Student Data'!$A$2:$AR$6,35,0),"")</f>
        <v/>
      </c>
      <c r="J453" t="str">
        <f>IFERROR(VLOOKUP($A453,'Student Data'!$A$2:$AR$6,36,0),"")</f>
        <v/>
      </c>
      <c r="K453" t="str">
        <f t="shared" si="14"/>
        <v/>
      </c>
      <c r="L453" t="str">
        <f t="shared" si="15"/>
        <v/>
      </c>
      <c r="M453" t="str">
        <f>IFERROR(IF($C453="","",SUMIFS(Ledger!$K$2:$K$4, Ledger!$B$2:$B$4, $A453, Ledger!$C$2:$C$4, M$2)),"****")</f>
        <v/>
      </c>
      <c r="N453" t="str">
        <f>IFERROR(IF($C453="","",SUMIFS(Ledger!$K$2:$K$4, Ledger!$B$2:$B$4, $A453, Ledger!$C$2:$C$4, N$2)),"****")</f>
        <v/>
      </c>
      <c r="O453" t="str">
        <f>IFERROR(IF($C453="","",SUMIFS(Ledger!$K$2:$K$4, Ledger!$B$2:$B$4, $A453, Ledger!$C$2:$C$4, O$2)),"****")</f>
        <v/>
      </c>
      <c r="P453" t="str">
        <f>IFERROR(IF($C453="","",SUMIFS(Ledger!$K$2:$K$4, Ledger!$B$2:$B$4, $A453, Ledger!$C$2:$C$4, P$2)),"****")</f>
        <v/>
      </c>
      <c r="Q453" t="str">
        <f>IFERROR(IF($C453="","",SUMIFS(Ledger!$K$2:$K$4, Ledger!$B$2:$B$4, $A453, Ledger!$C$2:$C$4, Q$2)),"****")</f>
        <v/>
      </c>
      <c r="R453" t="str">
        <f>IFERROR(IF($C453="","",SUMIFS(Ledger!$K$2:$K$4, Ledger!$B$2:$B$4, $A453, Ledger!$C$2:$C$4, R$2)),"****")</f>
        <v/>
      </c>
      <c r="S453" t="str">
        <f>IFERROR(IF($C453="","",SUMIFS(Ledger!$K$2:$K$4, Ledger!$B$2:$B$4, $A453, Ledger!$C$2:$C$4, S$2)),"****")</f>
        <v/>
      </c>
      <c r="T453" t="str">
        <f>IFERROR(IF($C453="","",SUMIFS(Ledger!$K$2:$K$4, Ledger!$B$2:$B$4, $A453, Ledger!$C$2:$C$4, T$2)),"****")</f>
        <v/>
      </c>
      <c r="U453" t="str">
        <f>IFERROR(IF($C453="","",SUMIFS(Ledger!$K$2:$K$4, Ledger!$B$2:$B$4, $A453, Ledger!$C$2:$C$4, U$2)),"****")</f>
        <v/>
      </c>
      <c r="V453" t="str">
        <f>IFERROR(IF($C453="","",SUMIFS(Ledger!$K$2:$K$4, Ledger!$B$2:$B$4, $A453, Ledger!$C$2:$C$4, V$2)),"****")</f>
        <v/>
      </c>
      <c r="W453" t="str">
        <f>IFERROR(IF($C453="","",SUMIFS(Ledger!$K$2:$K$4, Ledger!$B$2:$B$4, $A453, Ledger!$C$2:$C$4, W$2)),"****")</f>
        <v/>
      </c>
      <c r="X453" t="str">
        <f>IFERROR(IF($C453="","",SUMIFS(Ledger!$K$2:$K$4, Ledger!$B$2:$B$4, $A453, Ledger!$C$2:$C$4, X$2)),"****")</f>
        <v/>
      </c>
    </row>
    <row r="454" spans="1:24" x14ac:dyDescent="0.3">
      <c r="A454" s="106">
        <v>452</v>
      </c>
      <c r="B454" t="str">
        <f>IFERROR(VLOOKUP($A454, Ledger!$B$2:$L$8, 3, 0),"")</f>
        <v/>
      </c>
      <c r="C454" t="str">
        <f>IFERROR(VLOOKUP($A454, Ledger!$B$2:$L$8, 4, 0),"")</f>
        <v/>
      </c>
      <c r="D454" t="str">
        <f>IFERROR(VLOOKUP($A454, Ledger!$B$2:$L$8, 5, 0),"")</f>
        <v/>
      </c>
      <c r="E454" t="str">
        <f>IFERROR(VLOOKUP($A454, Ledger!$B$2:$L$8, 6, 0),"")</f>
        <v/>
      </c>
      <c r="F454" t="str">
        <f>IFERROR(VLOOKUP($A454,'Student Data'!$A$2:$AR$6,32,0),"")</f>
        <v/>
      </c>
      <c r="G454" t="str">
        <f>IFERROR(VLOOKUP($A454,'Student Data'!$A$2:$AR$6,33,0),"")</f>
        <v/>
      </c>
      <c r="H454" t="str">
        <f>IFERROR(VLOOKUP($A454,'Student Data'!$A$2:$AR$6,34,0),"")</f>
        <v/>
      </c>
      <c r="I454" t="str">
        <f>IFERROR(VLOOKUP($A454,'Student Data'!$A$2:$AR$6,35,0),"")</f>
        <v/>
      </c>
      <c r="J454" t="str">
        <f>IFERROR(VLOOKUP($A454,'Student Data'!$A$2:$AR$6,36,0),"")</f>
        <v/>
      </c>
      <c r="K454" t="str">
        <f t="shared" si="14"/>
        <v/>
      </c>
      <c r="L454" t="str">
        <f t="shared" si="15"/>
        <v/>
      </c>
      <c r="M454" t="str">
        <f>IFERROR(IF($C454="","",SUMIFS(Ledger!$K$2:$K$4, Ledger!$B$2:$B$4, $A454, Ledger!$C$2:$C$4, M$2)),"****")</f>
        <v/>
      </c>
      <c r="N454" t="str">
        <f>IFERROR(IF($C454="","",SUMIFS(Ledger!$K$2:$K$4, Ledger!$B$2:$B$4, $A454, Ledger!$C$2:$C$4, N$2)),"****")</f>
        <v/>
      </c>
      <c r="O454" t="str">
        <f>IFERROR(IF($C454="","",SUMIFS(Ledger!$K$2:$K$4, Ledger!$B$2:$B$4, $A454, Ledger!$C$2:$C$4, O$2)),"****")</f>
        <v/>
      </c>
      <c r="P454" t="str">
        <f>IFERROR(IF($C454="","",SUMIFS(Ledger!$K$2:$K$4, Ledger!$B$2:$B$4, $A454, Ledger!$C$2:$C$4, P$2)),"****")</f>
        <v/>
      </c>
      <c r="Q454" t="str">
        <f>IFERROR(IF($C454="","",SUMIFS(Ledger!$K$2:$K$4, Ledger!$B$2:$B$4, $A454, Ledger!$C$2:$C$4, Q$2)),"****")</f>
        <v/>
      </c>
      <c r="R454" t="str">
        <f>IFERROR(IF($C454="","",SUMIFS(Ledger!$K$2:$K$4, Ledger!$B$2:$B$4, $A454, Ledger!$C$2:$C$4, R$2)),"****")</f>
        <v/>
      </c>
      <c r="S454" t="str">
        <f>IFERROR(IF($C454="","",SUMIFS(Ledger!$K$2:$K$4, Ledger!$B$2:$B$4, $A454, Ledger!$C$2:$C$4, S$2)),"****")</f>
        <v/>
      </c>
      <c r="T454" t="str">
        <f>IFERROR(IF($C454="","",SUMIFS(Ledger!$K$2:$K$4, Ledger!$B$2:$B$4, $A454, Ledger!$C$2:$C$4, T$2)),"****")</f>
        <v/>
      </c>
      <c r="U454" t="str">
        <f>IFERROR(IF($C454="","",SUMIFS(Ledger!$K$2:$K$4, Ledger!$B$2:$B$4, $A454, Ledger!$C$2:$C$4, U$2)),"****")</f>
        <v/>
      </c>
      <c r="V454" t="str">
        <f>IFERROR(IF($C454="","",SUMIFS(Ledger!$K$2:$K$4, Ledger!$B$2:$B$4, $A454, Ledger!$C$2:$C$4, V$2)),"****")</f>
        <v/>
      </c>
      <c r="W454" t="str">
        <f>IFERROR(IF($C454="","",SUMIFS(Ledger!$K$2:$K$4, Ledger!$B$2:$B$4, $A454, Ledger!$C$2:$C$4, W$2)),"****")</f>
        <v/>
      </c>
      <c r="X454" t="str">
        <f>IFERROR(IF($C454="","",SUMIFS(Ledger!$K$2:$K$4, Ledger!$B$2:$B$4, $A454, Ledger!$C$2:$C$4, X$2)),"****")</f>
        <v/>
      </c>
    </row>
    <row r="455" spans="1:24" x14ac:dyDescent="0.3">
      <c r="A455" s="106">
        <v>453</v>
      </c>
      <c r="B455" t="str">
        <f>IFERROR(VLOOKUP($A455, Ledger!$B$2:$L$8, 3, 0),"")</f>
        <v/>
      </c>
      <c r="C455" t="str">
        <f>IFERROR(VLOOKUP($A455, Ledger!$B$2:$L$8, 4, 0),"")</f>
        <v/>
      </c>
      <c r="D455" t="str">
        <f>IFERROR(VLOOKUP($A455, Ledger!$B$2:$L$8, 5, 0),"")</f>
        <v/>
      </c>
      <c r="E455" t="str">
        <f>IFERROR(VLOOKUP($A455, Ledger!$B$2:$L$8, 6, 0),"")</f>
        <v/>
      </c>
      <c r="F455" t="str">
        <f>IFERROR(VLOOKUP($A455,'Student Data'!$A$2:$AR$6,32,0),"")</f>
        <v/>
      </c>
      <c r="G455" t="str">
        <f>IFERROR(VLOOKUP($A455,'Student Data'!$A$2:$AR$6,33,0),"")</f>
        <v/>
      </c>
      <c r="H455" t="str">
        <f>IFERROR(VLOOKUP($A455,'Student Data'!$A$2:$AR$6,34,0),"")</f>
        <v/>
      </c>
      <c r="I455" t="str">
        <f>IFERROR(VLOOKUP($A455,'Student Data'!$A$2:$AR$6,35,0),"")</f>
        <v/>
      </c>
      <c r="J455" t="str">
        <f>IFERROR(VLOOKUP($A455,'Student Data'!$A$2:$AR$6,36,0),"")</f>
        <v/>
      </c>
      <c r="K455" t="str">
        <f t="shared" si="14"/>
        <v/>
      </c>
      <c r="L455" t="str">
        <f t="shared" si="15"/>
        <v/>
      </c>
      <c r="M455" t="str">
        <f>IFERROR(IF($C455="","",SUMIFS(Ledger!$K$2:$K$4, Ledger!$B$2:$B$4, $A455, Ledger!$C$2:$C$4, M$2)),"****")</f>
        <v/>
      </c>
      <c r="N455" t="str">
        <f>IFERROR(IF($C455="","",SUMIFS(Ledger!$K$2:$K$4, Ledger!$B$2:$B$4, $A455, Ledger!$C$2:$C$4, N$2)),"****")</f>
        <v/>
      </c>
      <c r="O455" t="str">
        <f>IFERROR(IF($C455="","",SUMIFS(Ledger!$K$2:$K$4, Ledger!$B$2:$B$4, $A455, Ledger!$C$2:$C$4, O$2)),"****")</f>
        <v/>
      </c>
      <c r="P455" t="str">
        <f>IFERROR(IF($C455="","",SUMIFS(Ledger!$K$2:$K$4, Ledger!$B$2:$B$4, $A455, Ledger!$C$2:$C$4, P$2)),"****")</f>
        <v/>
      </c>
      <c r="Q455" t="str">
        <f>IFERROR(IF($C455="","",SUMIFS(Ledger!$K$2:$K$4, Ledger!$B$2:$B$4, $A455, Ledger!$C$2:$C$4, Q$2)),"****")</f>
        <v/>
      </c>
      <c r="R455" t="str">
        <f>IFERROR(IF($C455="","",SUMIFS(Ledger!$K$2:$K$4, Ledger!$B$2:$B$4, $A455, Ledger!$C$2:$C$4, R$2)),"****")</f>
        <v/>
      </c>
      <c r="S455" t="str">
        <f>IFERROR(IF($C455="","",SUMIFS(Ledger!$K$2:$K$4, Ledger!$B$2:$B$4, $A455, Ledger!$C$2:$C$4, S$2)),"****")</f>
        <v/>
      </c>
      <c r="T455" t="str">
        <f>IFERROR(IF($C455="","",SUMIFS(Ledger!$K$2:$K$4, Ledger!$B$2:$B$4, $A455, Ledger!$C$2:$C$4, T$2)),"****")</f>
        <v/>
      </c>
      <c r="U455" t="str">
        <f>IFERROR(IF($C455="","",SUMIFS(Ledger!$K$2:$K$4, Ledger!$B$2:$B$4, $A455, Ledger!$C$2:$C$4, U$2)),"****")</f>
        <v/>
      </c>
      <c r="V455" t="str">
        <f>IFERROR(IF($C455="","",SUMIFS(Ledger!$K$2:$K$4, Ledger!$B$2:$B$4, $A455, Ledger!$C$2:$C$4, V$2)),"****")</f>
        <v/>
      </c>
      <c r="W455" t="str">
        <f>IFERROR(IF($C455="","",SUMIFS(Ledger!$K$2:$K$4, Ledger!$B$2:$B$4, $A455, Ledger!$C$2:$C$4, W$2)),"****")</f>
        <v/>
      </c>
      <c r="X455" t="str">
        <f>IFERROR(IF($C455="","",SUMIFS(Ledger!$K$2:$K$4, Ledger!$B$2:$B$4, $A455, Ledger!$C$2:$C$4, X$2)),"****")</f>
        <v/>
      </c>
    </row>
    <row r="456" spans="1:24" x14ac:dyDescent="0.3">
      <c r="A456" s="106">
        <v>454</v>
      </c>
      <c r="B456" t="str">
        <f>IFERROR(VLOOKUP($A456, Ledger!$B$2:$L$8, 3, 0),"")</f>
        <v/>
      </c>
      <c r="C456" t="str">
        <f>IFERROR(VLOOKUP($A456, Ledger!$B$2:$L$8, 4, 0),"")</f>
        <v/>
      </c>
      <c r="D456" t="str">
        <f>IFERROR(VLOOKUP($A456, Ledger!$B$2:$L$8, 5, 0),"")</f>
        <v/>
      </c>
      <c r="E456" t="str">
        <f>IFERROR(VLOOKUP($A456, Ledger!$B$2:$L$8, 6, 0),"")</f>
        <v/>
      </c>
      <c r="F456" t="str">
        <f>IFERROR(VLOOKUP($A456,'Student Data'!$A$2:$AR$6,32,0),"")</f>
        <v/>
      </c>
      <c r="G456" t="str">
        <f>IFERROR(VLOOKUP($A456,'Student Data'!$A$2:$AR$6,33,0),"")</f>
        <v/>
      </c>
      <c r="H456" t="str">
        <f>IFERROR(VLOOKUP($A456,'Student Data'!$A$2:$AR$6,34,0),"")</f>
        <v/>
      </c>
      <c r="I456" t="str">
        <f>IFERROR(VLOOKUP($A456,'Student Data'!$A$2:$AR$6,35,0),"")</f>
        <v/>
      </c>
      <c r="J456" t="str">
        <f>IFERROR(VLOOKUP($A456,'Student Data'!$A$2:$AR$6,36,0),"")</f>
        <v/>
      </c>
      <c r="K456" t="str">
        <f t="shared" si="14"/>
        <v/>
      </c>
      <c r="L456" t="str">
        <f t="shared" si="15"/>
        <v/>
      </c>
      <c r="M456" t="str">
        <f>IFERROR(IF($C456="","",SUMIFS(Ledger!$K$2:$K$4, Ledger!$B$2:$B$4, $A456, Ledger!$C$2:$C$4, M$2)),"****")</f>
        <v/>
      </c>
      <c r="N456" t="str">
        <f>IFERROR(IF($C456="","",SUMIFS(Ledger!$K$2:$K$4, Ledger!$B$2:$B$4, $A456, Ledger!$C$2:$C$4, N$2)),"****")</f>
        <v/>
      </c>
      <c r="O456" t="str">
        <f>IFERROR(IF($C456="","",SUMIFS(Ledger!$K$2:$K$4, Ledger!$B$2:$B$4, $A456, Ledger!$C$2:$C$4, O$2)),"****")</f>
        <v/>
      </c>
      <c r="P456" t="str">
        <f>IFERROR(IF($C456="","",SUMIFS(Ledger!$K$2:$K$4, Ledger!$B$2:$B$4, $A456, Ledger!$C$2:$C$4, P$2)),"****")</f>
        <v/>
      </c>
      <c r="Q456" t="str">
        <f>IFERROR(IF($C456="","",SUMIFS(Ledger!$K$2:$K$4, Ledger!$B$2:$B$4, $A456, Ledger!$C$2:$C$4, Q$2)),"****")</f>
        <v/>
      </c>
      <c r="R456" t="str">
        <f>IFERROR(IF($C456="","",SUMIFS(Ledger!$K$2:$K$4, Ledger!$B$2:$B$4, $A456, Ledger!$C$2:$C$4, R$2)),"****")</f>
        <v/>
      </c>
      <c r="S456" t="str">
        <f>IFERROR(IF($C456="","",SUMIFS(Ledger!$K$2:$K$4, Ledger!$B$2:$B$4, $A456, Ledger!$C$2:$C$4, S$2)),"****")</f>
        <v/>
      </c>
      <c r="T456" t="str">
        <f>IFERROR(IF($C456="","",SUMIFS(Ledger!$K$2:$K$4, Ledger!$B$2:$B$4, $A456, Ledger!$C$2:$C$4, T$2)),"****")</f>
        <v/>
      </c>
      <c r="U456" t="str">
        <f>IFERROR(IF($C456="","",SUMIFS(Ledger!$K$2:$K$4, Ledger!$B$2:$B$4, $A456, Ledger!$C$2:$C$4, U$2)),"****")</f>
        <v/>
      </c>
      <c r="V456" t="str">
        <f>IFERROR(IF($C456="","",SUMIFS(Ledger!$K$2:$K$4, Ledger!$B$2:$B$4, $A456, Ledger!$C$2:$C$4, V$2)),"****")</f>
        <v/>
      </c>
      <c r="W456" t="str">
        <f>IFERROR(IF($C456="","",SUMIFS(Ledger!$K$2:$K$4, Ledger!$B$2:$B$4, $A456, Ledger!$C$2:$C$4, W$2)),"****")</f>
        <v/>
      </c>
      <c r="X456" t="str">
        <f>IFERROR(IF($C456="","",SUMIFS(Ledger!$K$2:$K$4, Ledger!$B$2:$B$4, $A456, Ledger!$C$2:$C$4, X$2)),"****")</f>
        <v/>
      </c>
    </row>
    <row r="457" spans="1:24" x14ac:dyDescent="0.3">
      <c r="A457" s="106">
        <v>455</v>
      </c>
      <c r="B457" t="str">
        <f>IFERROR(VLOOKUP($A457, Ledger!$B$2:$L$8, 3, 0),"")</f>
        <v/>
      </c>
      <c r="C457" t="str">
        <f>IFERROR(VLOOKUP($A457, Ledger!$B$2:$L$8, 4, 0),"")</f>
        <v/>
      </c>
      <c r="D457" t="str">
        <f>IFERROR(VLOOKUP($A457, Ledger!$B$2:$L$8, 5, 0),"")</f>
        <v/>
      </c>
      <c r="E457" t="str">
        <f>IFERROR(VLOOKUP($A457, Ledger!$B$2:$L$8, 6, 0),"")</f>
        <v/>
      </c>
      <c r="F457" t="str">
        <f>IFERROR(VLOOKUP($A457,'Student Data'!$A$2:$AR$6,32,0),"")</f>
        <v/>
      </c>
      <c r="G457" t="str">
        <f>IFERROR(VLOOKUP($A457,'Student Data'!$A$2:$AR$6,33,0),"")</f>
        <v/>
      </c>
      <c r="H457" t="str">
        <f>IFERROR(VLOOKUP($A457,'Student Data'!$A$2:$AR$6,34,0),"")</f>
        <v/>
      </c>
      <c r="I457" t="str">
        <f>IFERROR(VLOOKUP($A457,'Student Data'!$A$2:$AR$6,35,0),"")</f>
        <v/>
      </c>
      <c r="J457" t="str">
        <f>IFERROR(VLOOKUP($A457,'Student Data'!$A$2:$AR$6,36,0),"")</f>
        <v/>
      </c>
      <c r="K457" t="str">
        <f t="shared" si="14"/>
        <v/>
      </c>
      <c r="L457" t="str">
        <f t="shared" si="15"/>
        <v/>
      </c>
      <c r="M457" t="str">
        <f>IFERROR(IF($C457="","",SUMIFS(Ledger!$K$2:$K$4, Ledger!$B$2:$B$4, $A457, Ledger!$C$2:$C$4, M$2)),"****")</f>
        <v/>
      </c>
      <c r="N457" t="str">
        <f>IFERROR(IF($C457="","",SUMIFS(Ledger!$K$2:$K$4, Ledger!$B$2:$B$4, $A457, Ledger!$C$2:$C$4, N$2)),"****")</f>
        <v/>
      </c>
      <c r="O457" t="str">
        <f>IFERROR(IF($C457="","",SUMIFS(Ledger!$K$2:$K$4, Ledger!$B$2:$B$4, $A457, Ledger!$C$2:$C$4, O$2)),"****")</f>
        <v/>
      </c>
      <c r="P457" t="str">
        <f>IFERROR(IF($C457="","",SUMIFS(Ledger!$K$2:$K$4, Ledger!$B$2:$B$4, $A457, Ledger!$C$2:$C$4, P$2)),"****")</f>
        <v/>
      </c>
      <c r="Q457" t="str">
        <f>IFERROR(IF($C457="","",SUMIFS(Ledger!$K$2:$K$4, Ledger!$B$2:$B$4, $A457, Ledger!$C$2:$C$4, Q$2)),"****")</f>
        <v/>
      </c>
      <c r="R457" t="str">
        <f>IFERROR(IF($C457="","",SUMIFS(Ledger!$K$2:$K$4, Ledger!$B$2:$B$4, $A457, Ledger!$C$2:$C$4, R$2)),"****")</f>
        <v/>
      </c>
      <c r="S457" t="str">
        <f>IFERROR(IF($C457="","",SUMIFS(Ledger!$K$2:$K$4, Ledger!$B$2:$B$4, $A457, Ledger!$C$2:$C$4, S$2)),"****")</f>
        <v/>
      </c>
      <c r="T457" t="str">
        <f>IFERROR(IF($C457="","",SUMIFS(Ledger!$K$2:$K$4, Ledger!$B$2:$B$4, $A457, Ledger!$C$2:$C$4, T$2)),"****")</f>
        <v/>
      </c>
      <c r="U457" t="str">
        <f>IFERROR(IF($C457="","",SUMIFS(Ledger!$K$2:$K$4, Ledger!$B$2:$B$4, $A457, Ledger!$C$2:$C$4, U$2)),"****")</f>
        <v/>
      </c>
      <c r="V457" t="str">
        <f>IFERROR(IF($C457="","",SUMIFS(Ledger!$K$2:$K$4, Ledger!$B$2:$B$4, $A457, Ledger!$C$2:$C$4, V$2)),"****")</f>
        <v/>
      </c>
      <c r="W457" t="str">
        <f>IFERROR(IF($C457="","",SUMIFS(Ledger!$K$2:$K$4, Ledger!$B$2:$B$4, $A457, Ledger!$C$2:$C$4, W$2)),"****")</f>
        <v/>
      </c>
      <c r="X457" t="str">
        <f>IFERROR(IF($C457="","",SUMIFS(Ledger!$K$2:$K$4, Ledger!$B$2:$B$4, $A457, Ledger!$C$2:$C$4, X$2)),"****")</f>
        <v/>
      </c>
    </row>
    <row r="458" spans="1:24" x14ac:dyDescent="0.3">
      <c r="A458" s="106">
        <v>456</v>
      </c>
      <c r="B458" t="str">
        <f>IFERROR(VLOOKUP($A458, Ledger!$B$2:$L$8, 3, 0),"")</f>
        <v/>
      </c>
      <c r="C458" t="str">
        <f>IFERROR(VLOOKUP($A458, Ledger!$B$2:$L$8, 4, 0),"")</f>
        <v/>
      </c>
      <c r="D458" t="str">
        <f>IFERROR(VLOOKUP($A458, Ledger!$B$2:$L$8, 5, 0),"")</f>
        <v/>
      </c>
      <c r="E458" t="str">
        <f>IFERROR(VLOOKUP($A458, Ledger!$B$2:$L$8, 6, 0),"")</f>
        <v/>
      </c>
      <c r="F458" t="str">
        <f>IFERROR(VLOOKUP($A458,'Student Data'!$A$2:$AR$6,32,0),"")</f>
        <v/>
      </c>
      <c r="G458" t="str">
        <f>IFERROR(VLOOKUP($A458,'Student Data'!$A$2:$AR$6,33,0),"")</f>
        <v/>
      </c>
      <c r="H458" t="str">
        <f>IFERROR(VLOOKUP($A458,'Student Data'!$A$2:$AR$6,34,0),"")</f>
        <v/>
      </c>
      <c r="I458" t="str">
        <f>IFERROR(VLOOKUP($A458,'Student Data'!$A$2:$AR$6,35,0),"")</f>
        <v/>
      </c>
      <c r="J458" t="str">
        <f>IFERROR(VLOOKUP($A458,'Student Data'!$A$2:$AR$6,36,0),"")</f>
        <v/>
      </c>
      <c r="K458" t="str">
        <f t="shared" si="14"/>
        <v/>
      </c>
      <c r="L458" t="str">
        <f t="shared" si="15"/>
        <v/>
      </c>
      <c r="M458" t="str">
        <f>IFERROR(IF($C458="","",SUMIFS(Ledger!$K$2:$K$4, Ledger!$B$2:$B$4, $A458, Ledger!$C$2:$C$4, M$2)),"****")</f>
        <v/>
      </c>
      <c r="N458" t="str">
        <f>IFERROR(IF($C458="","",SUMIFS(Ledger!$K$2:$K$4, Ledger!$B$2:$B$4, $A458, Ledger!$C$2:$C$4, N$2)),"****")</f>
        <v/>
      </c>
      <c r="O458" t="str">
        <f>IFERROR(IF($C458="","",SUMIFS(Ledger!$K$2:$K$4, Ledger!$B$2:$B$4, $A458, Ledger!$C$2:$C$4, O$2)),"****")</f>
        <v/>
      </c>
      <c r="P458" t="str">
        <f>IFERROR(IF($C458="","",SUMIFS(Ledger!$K$2:$K$4, Ledger!$B$2:$B$4, $A458, Ledger!$C$2:$C$4, P$2)),"****")</f>
        <v/>
      </c>
      <c r="Q458" t="str">
        <f>IFERROR(IF($C458="","",SUMIFS(Ledger!$K$2:$K$4, Ledger!$B$2:$B$4, $A458, Ledger!$C$2:$C$4, Q$2)),"****")</f>
        <v/>
      </c>
      <c r="R458" t="str">
        <f>IFERROR(IF($C458="","",SUMIFS(Ledger!$K$2:$K$4, Ledger!$B$2:$B$4, $A458, Ledger!$C$2:$C$4, R$2)),"****")</f>
        <v/>
      </c>
      <c r="S458" t="str">
        <f>IFERROR(IF($C458="","",SUMIFS(Ledger!$K$2:$K$4, Ledger!$B$2:$B$4, $A458, Ledger!$C$2:$C$4, S$2)),"****")</f>
        <v/>
      </c>
      <c r="T458" t="str">
        <f>IFERROR(IF($C458="","",SUMIFS(Ledger!$K$2:$K$4, Ledger!$B$2:$B$4, $A458, Ledger!$C$2:$C$4, T$2)),"****")</f>
        <v/>
      </c>
      <c r="U458" t="str">
        <f>IFERROR(IF($C458="","",SUMIFS(Ledger!$K$2:$K$4, Ledger!$B$2:$B$4, $A458, Ledger!$C$2:$C$4, U$2)),"****")</f>
        <v/>
      </c>
      <c r="V458" t="str">
        <f>IFERROR(IF($C458="","",SUMIFS(Ledger!$K$2:$K$4, Ledger!$B$2:$B$4, $A458, Ledger!$C$2:$C$4, V$2)),"****")</f>
        <v/>
      </c>
      <c r="W458" t="str">
        <f>IFERROR(IF($C458="","",SUMIFS(Ledger!$K$2:$K$4, Ledger!$B$2:$B$4, $A458, Ledger!$C$2:$C$4, W$2)),"****")</f>
        <v/>
      </c>
      <c r="X458" t="str">
        <f>IFERROR(IF($C458="","",SUMIFS(Ledger!$K$2:$K$4, Ledger!$B$2:$B$4, $A458, Ledger!$C$2:$C$4, X$2)),"****")</f>
        <v/>
      </c>
    </row>
    <row r="459" spans="1:24" x14ac:dyDescent="0.3">
      <c r="A459" s="106">
        <v>457</v>
      </c>
      <c r="B459" t="str">
        <f>IFERROR(VLOOKUP($A459, Ledger!$B$2:$L$8, 3, 0),"")</f>
        <v/>
      </c>
      <c r="C459" t="str">
        <f>IFERROR(VLOOKUP($A459, Ledger!$B$2:$L$8, 4, 0),"")</f>
        <v/>
      </c>
      <c r="D459" t="str">
        <f>IFERROR(VLOOKUP($A459, Ledger!$B$2:$L$8, 5, 0),"")</f>
        <v/>
      </c>
      <c r="E459" t="str">
        <f>IFERROR(VLOOKUP($A459, Ledger!$B$2:$L$8, 6, 0),"")</f>
        <v/>
      </c>
      <c r="F459" t="str">
        <f>IFERROR(VLOOKUP($A459,'Student Data'!$A$2:$AR$6,32,0),"")</f>
        <v/>
      </c>
      <c r="G459" t="str">
        <f>IFERROR(VLOOKUP($A459,'Student Data'!$A$2:$AR$6,33,0),"")</f>
        <v/>
      </c>
      <c r="H459" t="str">
        <f>IFERROR(VLOOKUP($A459,'Student Data'!$A$2:$AR$6,34,0),"")</f>
        <v/>
      </c>
      <c r="I459" t="str">
        <f>IFERROR(VLOOKUP($A459,'Student Data'!$A$2:$AR$6,35,0),"")</f>
        <v/>
      </c>
      <c r="J459" t="str">
        <f>IFERROR(VLOOKUP($A459,'Student Data'!$A$2:$AR$6,36,0),"")</f>
        <v/>
      </c>
      <c r="K459" t="str">
        <f t="shared" si="14"/>
        <v/>
      </c>
      <c r="L459" t="str">
        <f t="shared" si="15"/>
        <v/>
      </c>
      <c r="M459" t="str">
        <f>IFERROR(IF($C459="","",SUMIFS(Ledger!$K$2:$K$4, Ledger!$B$2:$B$4, $A459, Ledger!$C$2:$C$4, M$2)),"****")</f>
        <v/>
      </c>
      <c r="N459" t="str">
        <f>IFERROR(IF($C459="","",SUMIFS(Ledger!$K$2:$K$4, Ledger!$B$2:$B$4, $A459, Ledger!$C$2:$C$4, N$2)),"****")</f>
        <v/>
      </c>
      <c r="O459" t="str">
        <f>IFERROR(IF($C459="","",SUMIFS(Ledger!$K$2:$K$4, Ledger!$B$2:$B$4, $A459, Ledger!$C$2:$C$4, O$2)),"****")</f>
        <v/>
      </c>
      <c r="P459" t="str">
        <f>IFERROR(IF($C459="","",SUMIFS(Ledger!$K$2:$K$4, Ledger!$B$2:$B$4, $A459, Ledger!$C$2:$C$4, P$2)),"****")</f>
        <v/>
      </c>
      <c r="Q459" t="str">
        <f>IFERROR(IF($C459="","",SUMIFS(Ledger!$K$2:$K$4, Ledger!$B$2:$B$4, $A459, Ledger!$C$2:$C$4, Q$2)),"****")</f>
        <v/>
      </c>
      <c r="R459" t="str">
        <f>IFERROR(IF($C459="","",SUMIFS(Ledger!$K$2:$K$4, Ledger!$B$2:$B$4, $A459, Ledger!$C$2:$C$4, R$2)),"****")</f>
        <v/>
      </c>
      <c r="S459" t="str">
        <f>IFERROR(IF($C459="","",SUMIFS(Ledger!$K$2:$K$4, Ledger!$B$2:$B$4, $A459, Ledger!$C$2:$C$4, S$2)),"****")</f>
        <v/>
      </c>
      <c r="T459" t="str">
        <f>IFERROR(IF($C459="","",SUMIFS(Ledger!$K$2:$K$4, Ledger!$B$2:$B$4, $A459, Ledger!$C$2:$C$4, T$2)),"****")</f>
        <v/>
      </c>
      <c r="U459" t="str">
        <f>IFERROR(IF($C459="","",SUMIFS(Ledger!$K$2:$K$4, Ledger!$B$2:$B$4, $A459, Ledger!$C$2:$C$4, U$2)),"****")</f>
        <v/>
      </c>
      <c r="V459" t="str">
        <f>IFERROR(IF($C459="","",SUMIFS(Ledger!$K$2:$K$4, Ledger!$B$2:$B$4, $A459, Ledger!$C$2:$C$4, V$2)),"****")</f>
        <v/>
      </c>
      <c r="W459" t="str">
        <f>IFERROR(IF($C459="","",SUMIFS(Ledger!$K$2:$K$4, Ledger!$B$2:$B$4, $A459, Ledger!$C$2:$C$4, W$2)),"****")</f>
        <v/>
      </c>
      <c r="X459" t="str">
        <f>IFERROR(IF($C459="","",SUMIFS(Ledger!$K$2:$K$4, Ledger!$B$2:$B$4, $A459, Ledger!$C$2:$C$4, X$2)),"****")</f>
        <v/>
      </c>
    </row>
    <row r="460" spans="1:24" x14ac:dyDescent="0.3">
      <c r="A460" s="106">
        <v>458</v>
      </c>
      <c r="B460" t="str">
        <f>IFERROR(VLOOKUP($A460, Ledger!$B$2:$L$8, 3, 0),"")</f>
        <v/>
      </c>
      <c r="C460" t="str">
        <f>IFERROR(VLOOKUP($A460, Ledger!$B$2:$L$8, 4, 0),"")</f>
        <v/>
      </c>
      <c r="D460" t="str">
        <f>IFERROR(VLOOKUP($A460, Ledger!$B$2:$L$8, 5, 0),"")</f>
        <v/>
      </c>
      <c r="E460" t="str">
        <f>IFERROR(VLOOKUP($A460, Ledger!$B$2:$L$8, 6, 0),"")</f>
        <v/>
      </c>
      <c r="F460" t="str">
        <f>IFERROR(VLOOKUP($A460,'Student Data'!$A$2:$AR$6,32,0),"")</f>
        <v/>
      </c>
      <c r="G460" t="str">
        <f>IFERROR(VLOOKUP($A460,'Student Data'!$A$2:$AR$6,33,0),"")</f>
        <v/>
      </c>
      <c r="H460" t="str">
        <f>IFERROR(VLOOKUP($A460,'Student Data'!$A$2:$AR$6,34,0),"")</f>
        <v/>
      </c>
      <c r="I460" t="str">
        <f>IFERROR(VLOOKUP($A460,'Student Data'!$A$2:$AR$6,35,0),"")</f>
        <v/>
      </c>
      <c r="J460" t="str">
        <f>IFERROR(VLOOKUP($A460,'Student Data'!$A$2:$AR$6,36,0),"")</f>
        <v/>
      </c>
      <c r="K460" t="str">
        <f t="shared" si="14"/>
        <v/>
      </c>
      <c r="L460" t="str">
        <f t="shared" si="15"/>
        <v/>
      </c>
      <c r="M460" t="str">
        <f>IFERROR(IF($C460="","",SUMIFS(Ledger!$K$2:$K$4, Ledger!$B$2:$B$4, $A460, Ledger!$C$2:$C$4, M$2)),"****")</f>
        <v/>
      </c>
      <c r="N460" t="str">
        <f>IFERROR(IF($C460="","",SUMIFS(Ledger!$K$2:$K$4, Ledger!$B$2:$B$4, $A460, Ledger!$C$2:$C$4, N$2)),"****")</f>
        <v/>
      </c>
      <c r="O460" t="str">
        <f>IFERROR(IF($C460="","",SUMIFS(Ledger!$K$2:$K$4, Ledger!$B$2:$B$4, $A460, Ledger!$C$2:$C$4, O$2)),"****")</f>
        <v/>
      </c>
      <c r="P460" t="str">
        <f>IFERROR(IF($C460="","",SUMIFS(Ledger!$K$2:$K$4, Ledger!$B$2:$B$4, $A460, Ledger!$C$2:$C$4, P$2)),"****")</f>
        <v/>
      </c>
      <c r="Q460" t="str">
        <f>IFERROR(IF($C460="","",SUMIFS(Ledger!$K$2:$K$4, Ledger!$B$2:$B$4, $A460, Ledger!$C$2:$C$4, Q$2)),"****")</f>
        <v/>
      </c>
      <c r="R460" t="str">
        <f>IFERROR(IF($C460="","",SUMIFS(Ledger!$K$2:$K$4, Ledger!$B$2:$B$4, $A460, Ledger!$C$2:$C$4, R$2)),"****")</f>
        <v/>
      </c>
      <c r="S460" t="str">
        <f>IFERROR(IF($C460="","",SUMIFS(Ledger!$K$2:$K$4, Ledger!$B$2:$B$4, $A460, Ledger!$C$2:$C$4, S$2)),"****")</f>
        <v/>
      </c>
      <c r="T460" t="str">
        <f>IFERROR(IF($C460="","",SUMIFS(Ledger!$K$2:$K$4, Ledger!$B$2:$B$4, $A460, Ledger!$C$2:$C$4, T$2)),"****")</f>
        <v/>
      </c>
      <c r="U460" t="str">
        <f>IFERROR(IF($C460="","",SUMIFS(Ledger!$K$2:$K$4, Ledger!$B$2:$B$4, $A460, Ledger!$C$2:$C$4, U$2)),"****")</f>
        <v/>
      </c>
      <c r="V460" t="str">
        <f>IFERROR(IF($C460="","",SUMIFS(Ledger!$K$2:$K$4, Ledger!$B$2:$B$4, $A460, Ledger!$C$2:$C$4, V$2)),"****")</f>
        <v/>
      </c>
      <c r="W460" t="str">
        <f>IFERROR(IF($C460="","",SUMIFS(Ledger!$K$2:$K$4, Ledger!$B$2:$B$4, $A460, Ledger!$C$2:$C$4, W$2)),"****")</f>
        <v/>
      </c>
      <c r="X460" t="str">
        <f>IFERROR(IF($C460="","",SUMIFS(Ledger!$K$2:$K$4, Ledger!$B$2:$B$4, $A460, Ledger!$C$2:$C$4, X$2)),"****")</f>
        <v/>
      </c>
    </row>
    <row r="461" spans="1:24" x14ac:dyDescent="0.3">
      <c r="A461" s="106">
        <v>459</v>
      </c>
      <c r="B461" t="str">
        <f>IFERROR(VLOOKUP($A461, Ledger!$B$2:$L$8, 3, 0),"")</f>
        <v/>
      </c>
      <c r="C461" t="str">
        <f>IFERROR(VLOOKUP($A461, Ledger!$B$2:$L$8, 4, 0),"")</f>
        <v/>
      </c>
      <c r="D461" t="str">
        <f>IFERROR(VLOOKUP($A461, Ledger!$B$2:$L$8, 5, 0),"")</f>
        <v/>
      </c>
      <c r="E461" t="str">
        <f>IFERROR(VLOOKUP($A461, Ledger!$B$2:$L$8, 6, 0),"")</f>
        <v/>
      </c>
      <c r="F461" t="str">
        <f>IFERROR(VLOOKUP($A461,'Student Data'!$A$2:$AR$6,32,0),"")</f>
        <v/>
      </c>
      <c r="G461" t="str">
        <f>IFERROR(VLOOKUP($A461,'Student Data'!$A$2:$AR$6,33,0),"")</f>
        <v/>
      </c>
      <c r="H461" t="str">
        <f>IFERROR(VLOOKUP($A461,'Student Data'!$A$2:$AR$6,34,0),"")</f>
        <v/>
      </c>
      <c r="I461" t="str">
        <f>IFERROR(VLOOKUP($A461,'Student Data'!$A$2:$AR$6,35,0),"")</f>
        <v/>
      </c>
      <c r="J461" t="str">
        <f>IFERROR(VLOOKUP($A461,'Student Data'!$A$2:$AR$6,36,0),"")</f>
        <v/>
      </c>
      <c r="K461" t="str">
        <f t="shared" si="14"/>
        <v/>
      </c>
      <c r="L461" t="str">
        <f t="shared" si="15"/>
        <v/>
      </c>
      <c r="M461" t="str">
        <f>IFERROR(IF($C461="","",SUMIFS(Ledger!$K$2:$K$4, Ledger!$B$2:$B$4, $A461, Ledger!$C$2:$C$4, M$2)),"****")</f>
        <v/>
      </c>
      <c r="N461" t="str">
        <f>IFERROR(IF($C461="","",SUMIFS(Ledger!$K$2:$K$4, Ledger!$B$2:$B$4, $A461, Ledger!$C$2:$C$4, N$2)),"****")</f>
        <v/>
      </c>
      <c r="O461" t="str">
        <f>IFERROR(IF($C461="","",SUMIFS(Ledger!$K$2:$K$4, Ledger!$B$2:$B$4, $A461, Ledger!$C$2:$C$4, O$2)),"****")</f>
        <v/>
      </c>
      <c r="P461" t="str">
        <f>IFERROR(IF($C461="","",SUMIFS(Ledger!$K$2:$K$4, Ledger!$B$2:$B$4, $A461, Ledger!$C$2:$C$4, P$2)),"****")</f>
        <v/>
      </c>
      <c r="Q461" t="str">
        <f>IFERROR(IF($C461="","",SUMIFS(Ledger!$K$2:$K$4, Ledger!$B$2:$B$4, $A461, Ledger!$C$2:$C$4, Q$2)),"****")</f>
        <v/>
      </c>
      <c r="R461" t="str">
        <f>IFERROR(IF($C461="","",SUMIFS(Ledger!$K$2:$K$4, Ledger!$B$2:$B$4, $A461, Ledger!$C$2:$C$4, R$2)),"****")</f>
        <v/>
      </c>
      <c r="S461" t="str">
        <f>IFERROR(IF($C461="","",SUMIFS(Ledger!$K$2:$K$4, Ledger!$B$2:$B$4, $A461, Ledger!$C$2:$C$4, S$2)),"****")</f>
        <v/>
      </c>
      <c r="T461" t="str">
        <f>IFERROR(IF($C461="","",SUMIFS(Ledger!$K$2:$K$4, Ledger!$B$2:$B$4, $A461, Ledger!$C$2:$C$4, T$2)),"****")</f>
        <v/>
      </c>
      <c r="U461" t="str">
        <f>IFERROR(IF($C461="","",SUMIFS(Ledger!$K$2:$K$4, Ledger!$B$2:$B$4, $A461, Ledger!$C$2:$C$4, U$2)),"****")</f>
        <v/>
      </c>
      <c r="V461" t="str">
        <f>IFERROR(IF($C461="","",SUMIFS(Ledger!$K$2:$K$4, Ledger!$B$2:$B$4, $A461, Ledger!$C$2:$C$4, V$2)),"****")</f>
        <v/>
      </c>
      <c r="W461" t="str">
        <f>IFERROR(IF($C461="","",SUMIFS(Ledger!$K$2:$K$4, Ledger!$B$2:$B$4, $A461, Ledger!$C$2:$C$4, W$2)),"****")</f>
        <v/>
      </c>
      <c r="X461" t="str">
        <f>IFERROR(IF($C461="","",SUMIFS(Ledger!$K$2:$K$4, Ledger!$B$2:$B$4, $A461, Ledger!$C$2:$C$4, X$2)),"****")</f>
        <v/>
      </c>
    </row>
    <row r="462" spans="1:24" x14ac:dyDescent="0.3">
      <c r="A462" s="106">
        <v>460</v>
      </c>
      <c r="B462" t="str">
        <f>IFERROR(VLOOKUP($A462, Ledger!$B$2:$L$8, 3, 0),"")</f>
        <v/>
      </c>
      <c r="C462" t="str">
        <f>IFERROR(VLOOKUP($A462, Ledger!$B$2:$L$8, 4, 0),"")</f>
        <v/>
      </c>
      <c r="D462" t="str">
        <f>IFERROR(VLOOKUP($A462, Ledger!$B$2:$L$8, 5, 0),"")</f>
        <v/>
      </c>
      <c r="E462" t="str">
        <f>IFERROR(VLOOKUP($A462, Ledger!$B$2:$L$8, 6, 0),"")</f>
        <v/>
      </c>
      <c r="F462" t="str">
        <f>IFERROR(VLOOKUP($A462,'Student Data'!$A$2:$AR$6,32,0),"")</f>
        <v/>
      </c>
      <c r="G462" t="str">
        <f>IFERROR(VLOOKUP($A462,'Student Data'!$A$2:$AR$6,33,0),"")</f>
        <v/>
      </c>
      <c r="H462" t="str">
        <f>IFERROR(VLOOKUP($A462,'Student Data'!$A$2:$AR$6,34,0),"")</f>
        <v/>
      </c>
      <c r="I462" t="str">
        <f>IFERROR(VLOOKUP($A462,'Student Data'!$A$2:$AR$6,35,0),"")</f>
        <v/>
      </c>
      <c r="J462" t="str">
        <f>IFERROR(VLOOKUP($A462,'Student Data'!$A$2:$AR$6,36,0),"")</f>
        <v/>
      </c>
      <c r="K462" t="str">
        <f t="shared" si="14"/>
        <v/>
      </c>
      <c r="L462" t="str">
        <f t="shared" si="15"/>
        <v/>
      </c>
      <c r="M462" t="str">
        <f>IFERROR(IF($C462="","",SUMIFS(Ledger!$K$2:$K$4, Ledger!$B$2:$B$4, $A462, Ledger!$C$2:$C$4, M$2)),"****")</f>
        <v/>
      </c>
      <c r="N462" t="str">
        <f>IFERROR(IF($C462="","",SUMIFS(Ledger!$K$2:$K$4, Ledger!$B$2:$B$4, $A462, Ledger!$C$2:$C$4, N$2)),"****")</f>
        <v/>
      </c>
      <c r="O462" t="str">
        <f>IFERROR(IF($C462="","",SUMIFS(Ledger!$K$2:$K$4, Ledger!$B$2:$B$4, $A462, Ledger!$C$2:$C$4, O$2)),"****")</f>
        <v/>
      </c>
      <c r="P462" t="str">
        <f>IFERROR(IF($C462="","",SUMIFS(Ledger!$K$2:$K$4, Ledger!$B$2:$B$4, $A462, Ledger!$C$2:$C$4, P$2)),"****")</f>
        <v/>
      </c>
      <c r="Q462" t="str">
        <f>IFERROR(IF($C462="","",SUMIFS(Ledger!$K$2:$K$4, Ledger!$B$2:$B$4, $A462, Ledger!$C$2:$C$4, Q$2)),"****")</f>
        <v/>
      </c>
      <c r="R462" t="str">
        <f>IFERROR(IF($C462="","",SUMIFS(Ledger!$K$2:$K$4, Ledger!$B$2:$B$4, $A462, Ledger!$C$2:$C$4, R$2)),"****")</f>
        <v/>
      </c>
      <c r="S462" t="str">
        <f>IFERROR(IF($C462="","",SUMIFS(Ledger!$K$2:$K$4, Ledger!$B$2:$B$4, $A462, Ledger!$C$2:$C$4, S$2)),"****")</f>
        <v/>
      </c>
      <c r="T462" t="str">
        <f>IFERROR(IF($C462="","",SUMIFS(Ledger!$K$2:$K$4, Ledger!$B$2:$B$4, $A462, Ledger!$C$2:$C$4, T$2)),"****")</f>
        <v/>
      </c>
      <c r="U462" t="str">
        <f>IFERROR(IF($C462="","",SUMIFS(Ledger!$K$2:$K$4, Ledger!$B$2:$B$4, $A462, Ledger!$C$2:$C$4, U$2)),"****")</f>
        <v/>
      </c>
      <c r="V462" t="str">
        <f>IFERROR(IF($C462="","",SUMIFS(Ledger!$K$2:$K$4, Ledger!$B$2:$B$4, $A462, Ledger!$C$2:$C$4, V$2)),"****")</f>
        <v/>
      </c>
      <c r="W462" t="str">
        <f>IFERROR(IF($C462="","",SUMIFS(Ledger!$K$2:$K$4, Ledger!$B$2:$B$4, $A462, Ledger!$C$2:$C$4, W$2)),"****")</f>
        <v/>
      </c>
      <c r="X462" t="str">
        <f>IFERROR(IF($C462="","",SUMIFS(Ledger!$K$2:$K$4, Ledger!$B$2:$B$4, $A462, Ledger!$C$2:$C$4, X$2)),"****")</f>
        <v/>
      </c>
    </row>
    <row r="463" spans="1:24" x14ac:dyDescent="0.3">
      <c r="A463" s="106">
        <v>461</v>
      </c>
      <c r="B463" t="str">
        <f>IFERROR(VLOOKUP($A463, Ledger!$B$2:$L$8, 3, 0),"")</f>
        <v/>
      </c>
      <c r="C463" t="str">
        <f>IFERROR(VLOOKUP($A463, Ledger!$B$2:$L$8, 4, 0),"")</f>
        <v/>
      </c>
      <c r="D463" t="str">
        <f>IFERROR(VLOOKUP($A463, Ledger!$B$2:$L$8, 5, 0),"")</f>
        <v/>
      </c>
      <c r="E463" t="str">
        <f>IFERROR(VLOOKUP($A463, Ledger!$B$2:$L$8, 6, 0),"")</f>
        <v/>
      </c>
      <c r="F463" t="str">
        <f>IFERROR(VLOOKUP($A463,'Student Data'!$A$2:$AR$6,32,0),"")</f>
        <v/>
      </c>
      <c r="G463" t="str">
        <f>IFERROR(VLOOKUP($A463,'Student Data'!$A$2:$AR$6,33,0),"")</f>
        <v/>
      </c>
      <c r="H463" t="str">
        <f>IFERROR(VLOOKUP($A463,'Student Data'!$A$2:$AR$6,34,0),"")</f>
        <v/>
      </c>
      <c r="I463" t="str">
        <f>IFERROR(VLOOKUP($A463,'Student Data'!$A$2:$AR$6,35,0),"")</f>
        <v/>
      </c>
      <c r="J463" t="str">
        <f>IFERROR(VLOOKUP($A463,'Student Data'!$A$2:$AR$6,36,0),"")</f>
        <v/>
      </c>
      <c r="K463" t="str">
        <f t="shared" si="14"/>
        <v/>
      </c>
      <c r="L463" t="str">
        <f t="shared" si="15"/>
        <v/>
      </c>
      <c r="M463" t="str">
        <f>IFERROR(IF($C463="","",SUMIFS(Ledger!$K$2:$K$4, Ledger!$B$2:$B$4, $A463, Ledger!$C$2:$C$4, M$2)),"****")</f>
        <v/>
      </c>
      <c r="N463" t="str">
        <f>IFERROR(IF($C463="","",SUMIFS(Ledger!$K$2:$K$4, Ledger!$B$2:$B$4, $A463, Ledger!$C$2:$C$4, N$2)),"****")</f>
        <v/>
      </c>
      <c r="O463" t="str">
        <f>IFERROR(IF($C463="","",SUMIFS(Ledger!$K$2:$K$4, Ledger!$B$2:$B$4, $A463, Ledger!$C$2:$C$4, O$2)),"****")</f>
        <v/>
      </c>
      <c r="P463" t="str">
        <f>IFERROR(IF($C463="","",SUMIFS(Ledger!$K$2:$K$4, Ledger!$B$2:$B$4, $A463, Ledger!$C$2:$C$4, P$2)),"****")</f>
        <v/>
      </c>
      <c r="Q463" t="str">
        <f>IFERROR(IF($C463="","",SUMIFS(Ledger!$K$2:$K$4, Ledger!$B$2:$B$4, $A463, Ledger!$C$2:$C$4, Q$2)),"****")</f>
        <v/>
      </c>
      <c r="R463" t="str">
        <f>IFERROR(IF($C463="","",SUMIFS(Ledger!$K$2:$K$4, Ledger!$B$2:$B$4, $A463, Ledger!$C$2:$C$4, R$2)),"****")</f>
        <v/>
      </c>
      <c r="S463" t="str">
        <f>IFERROR(IF($C463="","",SUMIFS(Ledger!$K$2:$K$4, Ledger!$B$2:$B$4, $A463, Ledger!$C$2:$C$4, S$2)),"****")</f>
        <v/>
      </c>
      <c r="T463" t="str">
        <f>IFERROR(IF($C463="","",SUMIFS(Ledger!$K$2:$K$4, Ledger!$B$2:$B$4, $A463, Ledger!$C$2:$C$4, T$2)),"****")</f>
        <v/>
      </c>
      <c r="U463" t="str">
        <f>IFERROR(IF($C463="","",SUMIFS(Ledger!$K$2:$K$4, Ledger!$B$2:$B$4, $A463, Ledger!$C$2:$C$4, U$2)),"****")</f>
        <v/>
      </c>
      <c r="V463" t="str">
        <f>IFERROR(IF($C463="","",SUMIFS(Ledger!$K$2:$K$4, Ledger!$B$2:$B$4, $A463, Ledger!$C$2:$C$4, V$2)),"****")</f>
        <v/>
      </c>
      <c r="W463" t="str">
        <f>IFERROR(IF($C463="","",SUMIFS(Ledger!$K$2:$K$4, Ledger!$B$2:$B$4, $A463, Ledger!$C$2:$C$4, W$2)),"****")</f>
        <v/>
      </c>
      <c r="X463" t="str">
        <f>IFERROR(IF($C463="","",SUMIFS(Ledger!$K$2:$K$4, Ledger!$B$2:$B$4, $A463, Ledger!$C$2:$C$4, X$2)),"****")</f>
        <v/>
      </c>
    </row>
    <row r="464" spans="1:24" x14ac:dyDescent="0.3">
      <c r="A464" s="106">
        <v>462</v>
      </c>
      <c r="B464" t="str">
        <f>IFERROR(VLOOKUP($A464, Ledger!$B$2:$L$8, 3, 0),"")</f>
        <v/>
      </c>
      <c r="C464" t="str">
        <f>IFERROR(VLOOKUP($A464, Ledger!$B$2:$L$8, 4, 0),"")</f>
        <v/>
      </c>
      <c r="D464" t="str">
        <f>IFERROR(VLOOKUP($A464, Ledger!$B$2:$L$8, 5, 0),"")</f>
        <v/>
      </c>
      <c r="E464" t="str">
        <f>IFERROR(VLOOKUP($A464, Ledger!$B$2:$L$8, 6, 0),"")</f>
        <v/>
      </c>
      <c r="F464" t="str">
        <f>IFERROR(VLOOKUP($A464,'Student Data'!$A$2:$AR$6,32,0),"")</f>
        <v/>
      </c>
      <c r="G464" t="str">
        <f>IFERROR(VLOOKUP($A464,'Student Data'!$A$2:$AR$6,33,0),"")</f>
        <v/>
      </c>
      <c r="H464" t="str">
        <f>IFERROR(VLOOKUP($A464,'Student Data'!$A$2:$AR$6,34,0),"")</f>
        <v/>
      </c>
      <c r="I464" t="str">
        <f>IFERROR(VLOOKUP($A464,'Student Data'!$A$2:$AR$6,35,0),"")</f>
        <v/>
      </c>
      <c r="J464" t="str">
        <f>IFERROR(VLOOKUP($A464,'Student Data'!$A$2:$AR$6,36,0),"")</f>
        <v/>
      </c>
      <c r="K464" t="str">
        <f t="shared" si="14"/>
        <v/>
      </c>
      <c r="L464" t="str">
        <f t="shared" si="15"/>
        <v/>
      </c>
      <c r="M464" t="str">
        <f>IFERROR(IF($C464="","",SUMIFS(Ledger!$K$2:$K$4, Ledger!$B$2:$B$4, $A464, Ledger!$C$2:$C$4, M$2)),"****")</f>
        <v/>
      </c>
      <c r="N464" t="str">
        <f>IFERROR(IF($C464="","",SUMIFS(Ledger!$K$2:$K$4, Ledger!$B$2:$B$4, $A464, Ledger!$C$2:$C$4, N$2)),"****")</f>
        <v/>
      </c>
      <c r="O464" t="str">
        <f>IFERROR(IF($C464="","",SUMIFS(Ledger!$K$2:$K$4, Ledger!$B$2:$B$4, $A464, Ledger!$C$2:$C$4, O$2)),"****")</f>
        <v/>
      </c>
      <c r="P464" t="str">
        <f>IFERROR(IF($C464="","",SUMIFS(Ledger!$K$2:$K$4, Ledger!$B$2:$B$4, $A464, Ledger!$C$2:$C$4, P$2)),"****")</f>
        <v/>
      </c>
      <c r="Q464" t="str">
        <f>IFERROR(IF($C464="","",SUMIFS(Ledger!$K$2:$K$4, Ledger!$B$2:$B$4, $A464, Ledger!$C$2:$C$4, Q$2)),"****")</f>
        <v/>
      </c>
      <c r="R464" t="str">
        <f>IFERROR(IF($C464="","",SUMIFS(Ledger!$K$2:$K$4, Ledger!$B$2:$B$4, $A464, Ledger!$C$2:$C$4, R$2)),"****")</f>
        <v/>
      </c>
      <c r="S464" t="str">
        <f>IFERROR(IF($C464="","",SUMIFS(Ledger!$K$2:$K$4, Ledger!$B$2:$B$4, $A464, Ledger!$C$2:$C$4, S$2)),"****")</f>
        <v/>
      </c>
      <c r="T464" t="str">
        <f>IFERROR(IF($C464="","",SUMIFS(Ledger!$K$2:$K$4, Ledger!$B$2:$B$4, $A464, Ledger!$C$2:$C$4, T$2)),"****")</f>
        <v/>
      </c>
      <c r="U464" t="str">
        <f>IFERROR(IF($C464="","",SUMIFS(Ledger!$K$2:$K$4, Ledger!$B$2:$B$4, $A464, Ledger!$C$2:$C$4, U$2)),"****")</f>
        <v/>
      </c>
      <c r="V464" t="str">
        <f>IFERROR(IF($C464="","",SUMIFS(Ledger!$K$2:$K$4, Ledger!$B$2:$B$4, $A464, Ledger!$C$2:$C$4, V$2)),"****")</f>
        <v/>
      </c>
      <c r="W464" t="str">
        <f>IFERROR(IF($C464="","",SUMIFS(Ledger!$K$2:$K$4, Ledger!$B$2:$B$4, $A464, Ledger!$C$2:$C$4, W$2)),"****")</f>
        <v/>
      </c>
      <c r="X464" t="str">
        <f>IFERROR(IF($C464="","",SUMIFS(Ledger!$K$2:$K$4, Ledger!$B$2:$B$4, $A464, Ledger!$C$2:$C$4, X$2)),"****")</f>
        <v/>
      </c>
    </row>
    <row r="465" spans="1:24" x14ac:dyDescent="0.3">
      <c r="A465" s="106">
        <v>463</v>
      </c>
      <c r="B465" t="str">
        <f>IFERROR(VLOOKUP($A465, Ledger!$B$2:$L$8, 3, 0),"")</f>
        <v/>
      </c>
      <c r="C465" t="str">
        <f>IFERROR(VLOOKUP($A465, Ledger!$B$2:$L$8, 4, 0),"")</f>
        <v/>
      </c>
      <c r="D465" t="str">
        <f>IFERROR(VLOOKUP($A465, Ledger!$B$2:$L$8, 5, 0),"")</f>
        <v/>
      </c>
      <c r="E465" t="str">
        <f>IFERROR(VLOOKUP($A465, Ledger!$B$2:$L$8, 6, 0),"")</f>
        <v/>
      </c>
      <c r="F465" t="str">
        <f>IFERROR(VLOOKUP($A465,'Student Data'!$A$2:$AR$6,32,0),"")</f>
        <v/>
      </c>
      <c r="G465" t="str">
        <f>IFERROR(VLOOKUP($A465,'Student Data'!$A$2:$AR$6,33,0),"")</f>
        <v/>
      </c>
      <c r="H465" t="str">
        <f>IFERROR(VLOOKUP($A465,'Student Data'!$A$2:$AR$6,34,0),"")</f>
        <v/>
      </c>
      <c r="I465" t="str">
        <f>IFERROR(VLOOKUP($A465,'Student Data'!$A$2:$AR$6,35,0),"")</f>
        <v/>
      </c>
      <c r="J465" t="str">
        <f>IFERROR(VLOOKUP($A465,'Student Data'!$A$2:$AR$6,36,0),"")</f>
        <v/>
      </c>
      <c r="K465" t="str">
        <f t="shared" si="14"/>
        <v/>
      </c>
      <c r="L465" t="str">
        <f t="shared" si="15"/>
        <v/>
      </c>
      <c r="M465" t="str">
        <f>IFERROR(IF($C465="","",SUMIFS(Ledger!$K$2:$K$4, Ledger!$B$2:$B$4, $A465, Ledger!$C$2:$C$4, M$2)),"****")</f>
        <v/>
      </c>
      <c r="N465" t="str">
        <f>IFERROR(IF($C465="","",SUMIFS(Ledger!$K$2:$K$4, Ledger!$B$2:$B$4, $A465, Ledger!$C$2:$C$4, N$2)),"****")</f>
        <v/>
      </c>
      <c r="O465" t="str">
        <f>IFERROR(IF($C465="","",SUMIFS(Ledger!$K$2:$K$4, Ledger!$B$2:$B$4, $A465, Ledger!$C$2:$C$4, O$2)),"****")</f>
        <v/>
      </c>
      <c r="P465" t="str">
        <f>IFERROR(IF($C465="","",SUMIFS(Ledger!$K$2:$K$4, Ledger!$B$2:$B$4, $A465, Ledger!$C$2:$C$4, P$2)),"****")</f>
        <v/>
      </c>
      <c r="Q465" t="str">
        <f>IFERROR(IF($C465="","",SUMIFS(Ledger!$K$2:$K$4, Ledger!$B$2:$B$4, $A465, Ledger!$C$2:$C$4, Q$2)),"****")</f>
        <v/>
      </c>
      <c r="R465" t="str">
        <f>IFERROR(IF($C465="","",SUMIFS(Ledger!$K$2:$K$4, Ledger!$B$2:$B$4, $A465, Ledger!$C$2:$C$4, R$2)),"****")</f>
        <v/>
      </c>
      <c r="S465" t="str">
        <f>IFERROR(IF($C465="","",SUMIFS(Ledger!$K$2:$K$4, Ledger!$B$2:$B$4, $A465, Ledger!$C$2:$C$4, S$2)),"****")</f>
        <v/>
      </c>
      <c r="T465" t="str">
        <f>IFERROR(IF($C465="","",SUMIFS(Ledger!$K$2:$K$4, Ledger!$B$2:$B$4, $A465, Ledger!$C$2:$C$4, T$2)),"****")</f>
        <v/>
      </c>
      <c r="U465" t="str">
        <f>IFERROR(IF($C465="","",SUMIFS(Ledger!$K$2:$K$4, Ledger!$B$2:$B$4, $A465, Ledger!$C$2:$C$4, U$2)),"****")</f>
        <v/>
      </c>
      <c r="V465" t="str">
        <f>IFERROR(IF($C465="","",SUMIFS(Ledger!$K$2:$K$4, Ledger!$B$2:$B$4, $A465, Ledger!$C$2:$C$4, V$2)),"****")</f>
        <v/>
      </c>
      <c r="W465" t="str">
        <f>IFERROR(IF($C465="","",SUMIFS(Ledger!$K$2:$K$4, Ledger!$B$2:$B$4, $A465, Ledger!$C$2:$C$4, W$2)),"****")</f>
        <v/>
      </c>
      <c r="X465" t="str">
        <f>IFERROR(IF($C465="","",SUMIFS(Ledger!$K$2:$K$4, Ledger!$B$2:$B$4, $A465, Ledger!$C$2:$C$4, X$2)),"****")</f>
        <v/>
      </c>
    </row>
    <row r="466" spans="1:24" x14ac:dyDescent="0.3">
      <c r="A466" s="106">
        <v>464</v>
      </c>
      <c r="B466" t="str">
        <f>IFERROR(VLOOKUP($A466, Ledger!$B$2:$L$8, 3, 0),"")</f>
        <v/>
      </c>
      <c r="C466" t="str">
        <f>IFERROR(VLOOKUP($A466, Ledger!$B$2:$L$8, 4, 0),"")</f>
        <v/>
      </c>
      <c r="D466" t="str">
        <f>IFERROR(VLOOKUP($A466, Ledger!$B$2:$L$8, 5, 0),"")</f>
        <v/>
      </c>
      <c r="E466" t="str">
        <f>IFERROR(VLOOKUP($A466, Ledger!$B$2:$L$8, 6, 0),"")</f>
        <v/>
      </c>
      <c r="F466" t="str">
        <f>IFERROR(VLOOKUP($A466,'Student Data'!$A$2:$AR$6,32,0),"")</f>
        <v/>
      </c>
      <c r="G466" t="str">
        <f>IFERROR(VLOOKUP($A466,'Student Data'!$A$2:$AR$6,33,0),"")</f>
        <v/>
      </c>
      <c r="H466" t="str">
        <f>IFERROR(VLOOKUP($A466,'Student Data'!$A$2:$AR$6,34,0),"")</f>
        <v/>
      </c>
      <c r="I466" t="str">
        <f>IFERROR(VLOOKUP($A466,'Student Data'!$A$2:$AR$6,35,0),"")</f>
        <v/>
      </c>
      <c r="J466" t="str">
        <f>IFERROR(VLOOKUP($A466,'Student Data'!$A$2:$AR$6,36,0),"")</f>
        <v/>
      </c>
      <c r="K466" t="str">
        <f t="shared" si="14"/>
        <v/>
      </c>
      <c r="L466" t="str">
        <f t="shared" si="15"/>
        <v/>
      </c>
      <c r="M466" t="str">
        <f>IFERROR(IF($C466="","",SUMIFS(Ledger!$K$2:$K$4, Ledger!$B$2:$B$4, $A466, Ledger!$C$2:$C$4, M$2)),"****")</f>
        <v/>
      </c>
      <c r="N466" t="str">
        <f>IFERROR(IF($C466="","",SUMIFS(Ledger!$K$2:$K$4, Ledger!$B$2:$B$4, $A466, Ledger!$C$2:$C$4, N$2)),"****")</f>
        <v/>
      </c>
      <c r="O466" t="str">
        <f>IFERROR(IF($C466="","",SUMIFS(Ledger!$K$2:$K$4, Ledger!$B$2:$B$4, $A466, Ledger!$C$2:$C$4, O$2)),"****")</f>
        <v/>
      </c>
      <c r="P466" t="str">
        <f>IFERROR(IF($C466="","",SUMIFS(Ledger!$K$2:$K$4, Ledger!$B$2:$B$4, $A466, Ledger!$C$2:$C$4, P$2)),"****")</f>
        <v/>
      </c>
      <c r="Q466" t="str">
        <f>IFERROR(IF($C466="","",SUMIFS(Ledger!$K$2:$K$4, Ledger!$B$2:$B$4, $A466, Ledger!$C$2:$C$4, Q$2)),"****")</f>
        <v/>
      </c>
      <c r="R466" t="str">
        <f>IFERROR(IF($C466="","",SUMIFS(Ledger!$K$2:$K$4, Ledger!$B$2:$B$4, $A466, Ledger!$C$2:$C$4, R$2)),"****")</f>
        <v/>
      </c>
      <c r="S466" t="str">
        <f>IFERROR(IF($C466="","",SUMIFS(Ledger!$K$2:$K$4, Ledger!$B$2:$B$4, $A466, Ledger!$C$2:$C$4, S$2)),"****")</f>
        <v/>
      </c>
      <c r="T466" t="str">
        <f>IFERROR(IF($C466="","",SUMIFS(Ledger!$K$2:$K$4, Ledger!$B$2:$B$4, $A466, Ledger!$C$2:$C$4, T$2)),"****")</f>
        <v/>
      </c>
      <c r="U466" t="str">
        <f>IFERROR(IF($C466="","",SUMIFS(Ledger!$K$2:$K$4, Ledger!$B$2:$B$4, $A466, Ledger!$C$2:$C$4, U$2)),"****")</f>
        <v/>
      </c>
      <c r="V466" t="str">
        <f>IFERROR(IF($C466="","",SUMIFS(Ledger!$K$2:$K$4, Ledger!$B$2:$B$4, $A466, Ledger!$C$2:$C$4, V$2)),"****")</f>
        <v/>
      </c>
      <c r="W466" t="str">
        <f>IFERROR(IF($C466="","",SUMIFS(Ledger!$K$2:$K$4, Ledger!$B$2:$B$4, $A466, Ledger!$C$2:$C$4, W$2)),"****")</f>
        <v/>
      </c>
      <c r="X466" t="str">
        <f>IFERROR(IF($C466="","",SUMIFS(Ledger!$K$2:$K$4, Ledger!$B$2:$B$4, $A466, Ledger!$C$2:$C$4, X$2)),"****")</f>
        <v/>
      </c>
    </row>
    <row r="467" spans="1:24" x14ac:dyDescent="0.3">
      <c r="A467" s="106">
        <v>465</v>
      </c>
      <c r="B467" t="str">
        <f>IFERROR(VLOOKUP($A467, Ledger!$B$2:$L$8, 3, 0),"")</f>
        <v/>
      </c>
      <c r="C467" t="str">
        <f>IFERROR(VLOOKUP($A467, Ledger!$B$2:$L$8, 4, 0),"")</f>
        <v/>
      </c>
      <c r="D467" t="str">
        <f>IFERROR(VLOOKUP($A467, Ledger!$B$2:$L$8, 5, 0),"")</f>
        <v/>
      </c>
      <c r="E467" t="str">
        <f>IFERROR(VLOOKUP($A467, Ledger!$B$2:$L$8, 6, 0),"")</f>
        <v/>
      </c>
      <c r="F467" t="str">
        <f>IFERROR(VLOOKUP($A467,'Student Data'!$A$2:$AR$6,32,0),"")</f>
        <v/>
      </c>
      <c r="G467" t="str">
        <f>IFERROR(VLOOKUP($A467,'Student Data'!$A$2:$AR$6,33,0),"")</f>
        <v/>
      </c>
      <c r="H467" t="str">
        <f>IFERROR(VLOOKUP($A467,'Student Data'!$A$2:$AR$6,34,0),"")</f>
        <v/>
      </c>
      <c r="I467" t="str">
        <f>IFERROR(VLOOKUP($A467,'Student Data'!$A$2:$AR$6,35,0),"")</f>
        <v/>
      </c>
      <c r="J467" t="str">
        <f>IFERROR(VLOOKUP($A467,'Student Data'!$A$2:$AR$6,36,0),"")</f>
        <v/>
      </c>
      <c r="K467" t="str">
        <f t="shared" si="14"/>
        <v/>
      </c>
      <c r="L467" t="str">
        <f t="shared" si="15"/>
        <v/>
      </c>
      <c r="M467" t="str">
        <f>IFERROR(IF($C467="","",SUMIFS(Ledger!$K$2:$K$4, Ledger!$B$2:$B$4, $A467, Ledger!$C$2:$C$4, M$2)),"****")</f>
        <v/>
      </c>
      <c r="N467" t="str">
        <f>IFERROR(IF($C467="","",SUMIFS(Ledger!$K$2:$K$4, Ledger!$B$2:$B$4, $A467, Ledger!$C$2:$C$4, N$2)),"****")</f>
        <v/>
      </c>
      <c r="O467" t="str">
        <f>IFERROR(IF($C467="","",SUMIFS(Ledger!$K$2:$K$4, Ledger!$B$2:$B$4, $A467, Ledger!$C$2:$C$4, O$2)),"****")</f>
        <v/>
      </c>
      <c r="P467" t="str">
        <f>IFERROR(IF($C467="","",SUMIFS(Ledger!$K$2:$K$4, Ledger!$B$2:$B$4, $A467, Ledger!$C$2:$C$4, P$2)),"****")</f>
        <v/>
      </c>
      <c r="Q467" t="str">
        <f>IFERROR(IF($C467="","",SUMIFS(Ledger!$K$2:$K$4, Ledger!$B$2:$B$4, $A467, Ledger!$C$2:$C$4, Q$2)),"****")</f>
        <v/>
      </c>
      <c r="R467" t="str">
        <f>IFERROR(IF($C467="","",SUMIFS(Ledger!$K$2:$K$4, Ledger!$B$2:$B$4, $A467, Ledger!$C$2:$C$4, R$2)),"****")</f>
        <v/>
      </c>
      <c r="S467" t="str">
        <f>IFERROR(IF($C467="","",SUMIFS(Ledger!$K$2:$K$4, Ledger!$B$2:$B$4, $A467, Ledger!$C$2:$C$4, S$2)),"****")</f>
        <v/>
      </c>
      <c r="T467" t="str">
        <f>IFERROR(IF($C467="","",SUMIFS(Ledger!$K$2:$K$4, Ledger!$B$2:$B$4, $A467, Ledger!$C$2:$C$4, T$2)),"****")</f>
        <v/>
      </c>
      <c r="U467" t="str">
        <f>IFERROR(IF($C467="","",SUMIFS(Ledger!$K$2:$K$4, Ledger!$B$2:$B$4, $A467, Ledger!$C$2:$C$4, U$2)),"****")</f>
        <v/>
      </c>
      <c r="V467" t="str">
        <f>IFERROR(IF($C467="","",SUMIFS(Ledger!$K$2:$K$4, Ledger!$B$2:$B$4, $A467, Ledger!$C$2:$C$4, V$2)),"****")</f>
        <v/>
      </c>
      <c r="W467" t="str">
        <f>IFERROR(IF($C467="","",SUMIFS(Ledger!$K$2:$K$4, Ledger!$B$2:$B$4, $A467, Ledger!$C$2:$C$4, W$2)),"****")</f>
        <v/>
      </c>
      <c r="X467" t="str">
        <f>IFERROR(IF($C467="","",SUMIFS(Ledger!$K$2:$K$4, Ledger!$B$2:$B$4, $A467, Ledger!$C$2:$C$4, X$2)),"****")</f>
        <v/>
      </c>
    </row>
    <row r="468" spans="1:24" x14ac:dyDescent="0.3">
      <c r="A468" s="106">
        <v>466</v>
      </c>
      <c r="B468" t="str">
        <f>IFERROR(VLOOKUP($A468, Ledger!$B$2:$L$8, 3, 0),"")</f>
        <v/>
      </c>
      <c r="C468" t="str">
        <f>IFERROR(VLOOKUP($A468, Ledger!$B$2:$L$8, 4, 0),"")</f>
        <v/>
      </c>
      <c r="D468" t="str">
        <f>IFERROR(VLOOKUP($A468, Ledger!$B$2:$L$8, 5, 0),"")</f>
        <v/>
      </c>
      <c r="E468" t="str">
        <f>IFERROR(VLOOKUP($A468, Ledger!$B$2:$L$8, 6, 0),"")</f>
        <v/>
      </c>
      <c r="F468" t="str">
        <f>IFERROR(VLOOKUP($A468,'Student Data'!$A$2:$AR$6,32,0),"")</f>
        <v/>
      </c>
      <c r="G468" t="str">
        <f>IFERROR(VLOOKUP($A468,'Student Data'!$A$2:$AR$6,33,0),"")</f>
        <v/>
      </c>
      <c r="H468" t="str">
        <f>IFERROR(VLOOKUP($A468,'Student Data'!$A$2:$AR$6,34,0),"")</f>
        <v/>
      </c>
      <c r="I468" t="str">
        <f>IFERROR(VLOOKUP($A468,'Student Data'!$A$2:$AR$6,35,0),"")</f>
        <v/>
      </c>
      <c r="J468" t="str">
        <f>IFERROR(VLOOKUP($A468,'Student Data'!$A$2:$AR$6,36,0),"")</f>
        <v/>
      </c>
      <c r="K468" t="str">
        <f t="shared" si="14"/>
        <v/>
      </c>
      <c r="L468" t="str">
        <f t="shared" si="15"/>
        <v/>
      </c>
      <c r="M468" t="str">
        <f>IFERROR(IF($C468="","",SUMIFS(Ledger!$K$2:$K$4, Ledger!$B$2:$B$4, $A468, Ledger!$C$2:$C$4, M$2)),"****")</f>
        <v/>
      </c>
      <c r="N468" t="str">
        <f>IFERROR(IF($C468="","",SUMIFS(Ledger!$K$2:$K$4, Ledger!$B$2:$B$4, $A468, Ledger!$C$2:$C$4, N$2)),"****")</f>
        <v/>
      </c>
      <c r="O468" t="str">
        <f>IFERROR(IF($C468="","",SUMIFS(Ledger!$K$2:$K$4, Ledger!$B$2:$B$4, $A468, Ledger!$C$2:$C$4, O$2)),"****")</f>
        <v/>
      </c>
      <c r="P468" t="str">
        <f>IFERROR(IF($C468="","",SUMIFS(Ledger!$K$2:$K$4, Ledger!$B$2:$B$4, $A468, Ledger!$C$2:$C$4, P$2)),"****")</f>
        <v/>
      </c>
      <c r="Q468" t="str">
        <f>IFERROR(IF($C468="","",SUMIFS(Ledger!$K$2:$K$4, Ledger!$B$2:$B$4, $A468, Ledger!$C$2:$C$4, Q$2)),"****")</f>
        <v/>
      </c>
      <c r="R468" t="str">
        <f>IFERROR(IF($C468="","",SUMIFS(Ledger!$K$2:$K$4, Ledger!$B$2:$B$4, $A468, Ledger!$C$2:$C$4, R$2)),"****")</f>
        <v/>
      </c>
      <c r="S468" t="str">
        <f>IFERROR(IF($C468="","",SUMIFS(Ledger!$K$2:$K$4, Ledger!$B$2:$B$4, $A468, Ledger!$C$2:$C$4, S$2)),"****")</f>
        <v/>
      </c>
      <c r="T468" t="str">
        <f>IFERROR(IF($C468="","",SUMIFS(Ledger!$K$2:$K$4, Ledger!$B$2:$B$4, $A468, Ledger!$C$2:$C$4, T$2)),"****")</f>
        <v/>
      </c>
      <c r="U468" t="str">
        <f>IFERROR(IF($C468="","",SUMIFS(Ledger!$K$2:$K$4, Ledger!$B$2:$B$4, $A468, Ledger!$C$2:$C$4, U$2)),"****")</f>
        <v/>
      </c>
      <c r="V468" t="str">
        <f>IFERROR(IF($C468="","",SUMIFS(Ledger!$K$2:$K$4, Ledger!$B$2:$B$4, $A468, Ledger!$C$2:$C$4, V$2)),"****")</f>
        <v/>
      </c>
      <c r="W468" t="str">
        <f>IFERROR(IF($C468="","",SUMIFS(Ledger!$K$2:$K$4, Ledger!$B$2:$B$4, $A468, Ledger!$C$2:$C$4, W$2)),"****")</f>
        <v/>
      </c>
      <c r="X468" t="str">
        <f>IFERROR(IF($C468="","",SUMIFS(Ledger!$K$2:$K$4, Ledger!$B$2:$B$4, $A468, Ledger!$C$2:$C$4, X$2)),"****")</f>
        <v/>
      </c>
    </row>
    <row r="469" spans="1:24" x14ac:dyDescent="0.3">
      <c r="A469" s="106">
        <v>467</v>
      </c>
      <c r="B469" t="str">
        <f>IFERROR(VLOOKUP($A469, Ledger!$B$2:$L$8, 3, 0),"")</f>
        <v/>
      </c>
      <c r="C469" t="str">
        <f>IFERROR(VLOOKUP($A469, Ledger!$B$2:$L$8, 4, 0),"")</f>
        <v/>
      </c>
      <c r="D469" t="str">
        <f>IFERROR(VLOOKUP($A469, Ledger!$B$2:$L$8, 5, 0),"")</f>
        <v/>
      </c>
      <c r="E469" t="str">
        <f>IFERROR(VLOOKUP($A469, Ledger!$B$2:$L$8, 6, 0),"")</f>
        <v/>
      </c>
      <c r="F469" t="str">
        <f>IFERROR(VLOOKUP($A469,'Student Data'!$A$2:$AR$6,32,0),"")</f>
        <v/>
      </c>
      <c r="G469" t="str">
        <f>IFERROR(VLOOKUP($A469,'Student Data'!$A$2:$AR$6,33,0),"")</f>
        <v/>
      </c>
      <c r="H469" t="str">
        <f>IFERROR(VLOOKUP($A469,'Student Data'!$A$2:$AR$6,34,0),"")</f>
        <v/>
      </c>
      <c r="I469" t="str">
        <f>IFERROR(VLOOKUP($A469,'Student Data'!$A$2:$AR$6,35,0),"")</f>
        <v/>
      </c>
      <c r="J469" t="str">
        <f>IFERROR(VLOOKUP($A469,'Student Data'!$A$2:$AR$6,36,0),"")</f>
        <v/>
      </c>
      <c r="K469" t="str">
        <f t="shared" si="14"/>
        <v/>
      </c>
      <c r="L469" t="str">
        <f t="shared" si="15"/>
        <v/>
      </c>
      <c r="M469" t="str">
        <f>IFERROR(IF($C469="","",SUMIFS(Ledger!$K$2:$K$4, Ledger!$B$2:$B$4, $A469, Ledger!$C$2:$C$4, M$2)),"****")</f>
        <v/>
      </c>
      <c r="N469" t="str">
        <f>IFERROR(IF($C469="","",SUMIFS(Ledger!$K$2:$K$4, Ledger!$B$2:$B$4, $A469, Ledger!$C$2:$C$4, N$2)),"****")</f>
        <v/>
      </c>
      <c r="O469" t="str">
        <f>IFERROR(IF($C469="","",SUMIFS(Ledger!$K$2:$K$4, Ledger!$B$2:$B$4, $A469, Ledger!$C$2:$C$4, O$2)),"****")</f>
        <v/>
      </c>
      <c r="P469" t="str">
        <f>IFERROR(IF($C469="","",SUMIFS(Ledger!$K$2:$K$4, Ledger!$B$2:$B$4, $A469, Ledger!$C$2:$C$4, P$2)),"****")</f>
        <v/>
      </c>
      <c r="Q469" t="str">
        <f>IFERROR(IF($C469="","",SUMIFS(Ledger!$K$2:$K$4, Ledger!$B$2:$B$4, $A469, Ledger!$C$2:$C$4, Q$2)),"****")</f>
        <v/>
      </c>
      <c r="R469" t="str">
        <f>IFERROR(IF($C469="","",SUMIFS(Ledger!$K$2:$K$4, Ledger!$B$2:$B$4, $A469, Ledger!$C$2:$C$4, R$2)),"****")</f>
        <v/>
      </c>
      <c r="S469" t="str">
        <f>IFERROR(IF($C469="","",SUMIFS(Ledger!$K$2:$K$4, Ledger!$B$2:$B$4, $A469, Ledger!$C$2:$C$4, S$2)),"****")</f>
        <v/>
      </c>
      <c r="T469" t="str">
        <f>IFERROR(IF($C469="","",SUMIFS(Ledger!$K$2:$K$4, Ledger!$B$2:$B$4, $A469, Ledger!$C$2:$C$4, T$2)),"****")</f>
        <v/>
      </c>
      <c r="U469" t="str">
        <f>IFERROR(IF($C469="","",SUMIFS(Ledger!$K$2:$K$4, Ledger!$B$2:$B$4, $A469, Ledger!$C$2:$C$4, U$2)),"****")</f>
        <v/>
      </c>
      <c r="V469" t="str">
        <f>IFERROR(IF($C469="","",SUMIFS(Ledger!$K$2:$K$4, Ledger!$B$2:$B$4, $A469, Ledger!$C$2:$C$4, V$2)),"****")</f>
        <v/>
      </c>
      <c r="W469" t="str">
        <f>IFERROR(IF($C469="","",SUMIFS(Ledger!$K$2:$K$4, Ledger!$B$2:$B$4, $A469, Ledger!$C$2:$C$4, W$2)),"****")</f>
        <v/>
      </c>
      <c r="X469" t="str">
        <f>IFERROR(IF($C469="","",SUMIFS(Ledger!$K$2:$K$4, Ledger!$B$2:$B$4, $A469, Ledger!$C$2:$C$4, X$2)),"****")</f>
        <v/>
      </c>
    </row>
    <row r="470" spans="1:24" x14ac:dyDescent="0.3">
      <c r="A470" s="106">
        <v>468</v>
      </c>
      <c r="B470" t="str">
        <f>IFERROR(VLOOKUP($A470, Ledger!$B$2:$L$8, 3, 0),"")</f>
        <v/>
      </c>
      <c r="C470" t="str">
        <f>IFERROR(VLOOKUP($A470, Ledger!$B$2:$L$8, 4, 0),"")</f>
        <v/>
      </c>
      <c r="D470" t="str">
        <f>IFERROR(VLOOKUP($A470, Ledger!$B$2:$L$8, 5, 0),"")</f>
        <v/>
      </c>
      <c r="E470" t="str">
        <f>IFERROR(VLOOKUP($A470, Ledger!$B$2:$L$8, 6, 0),"")</f>
        <v/>
      </c>
      <c r="F470" t="str">
        <f>IFERROR(VLOOKUP($A470,'Student Data'!$A$2:$AR$6,32,0),"")</f>
        <v/>
      </c>
      <c r="G470" t="str">
        <f>IFERROR(VLOOKUP($A470,'Student Data'!$A$2:$AR$6,33,0),"")</f>
        <v/>
      </c>
      <c r="H470" t="str">
        <f>IFERROR(VLOOKUP($A470,'Student Data'!$A$2:$AR$6,34,0),"")</f>
        <v/>
      </c>
      <c r="I470" t="str">
        <f>IFERROR(VLOOKUP($A470,'Student Data'!$A$2:$AR$6,35,0),"")</f>
        <v/>
      </c>
      <c r="J470" t="str">
        <f>IFERROR(VLOOKUP($A470,'Student Data'!$A$2:$AR$6,36,0),"")</f>
        <v/>
      </c>
      <c r="K470" t="str">
        <f t="shared" si="14"/>
        <v/>
      </c>
      <c r="L470" t="str">
        <f t="shared" si="15"/>
        <v/>
      </c>
      <c r="M470" t="str">
        <f>IFERROR(IF($C470="","",SUMIFS(Ledger!$K$2:$K$4, Ledger!$B$2:$B$4, $A470, Ledger!$C$2:$C$4, M$2)),"****")</f>
        <v/>
      </c>
      <c r="N470" t="str">
        <f>IFERROR(IF($C470="","",SUMIFS(Ledger!$K$2:$K$4, Ledger!$B$2:$B$4, $A470, Ledger!$C$2:$C$4, N$2)),"****")</f>
        <v/>
      </c>
      <c r="O470" t="str">
        <f>IFERROR(IF($C470="","",SUMIFS(Ledger!$K$2:$K$4, Ledger!$B$2:$B$4, $A470, Ledger!$C$2:$C$4, O$2)),"****")</f>
        <v/>
      </c>
      <c r="P470" t="str">
        <f>IFERROR(IF($C470="","",SUMIFS(Ledger!$K$2:$K$4, Ledger!$B$2:$B$4, $A470, Ledger!$C$2:$C$4, P$2)),"****")</f>
        <v/>
      </c>
      <c r="Q470" t="str">
        <f>IFERROR(IF($C470="","",SUMIFS(Ledger!$K$2:$K$4, Ledger!$B$2:$B$4, $A470, Ledger!$C$2:$C$4, Q$2)),"****")</f>
        <v/>
      </c>
      <c r="R470" t="str">
        <f>IFERROR(IF($C470="","",SUMIFS(Ledger!$K$2:$K$4, Ledger!$B$2:$B$4, $A470, Ledger!$C$2:$C$4, R$2)),"****")</f>
        <v/>
      </c>
      <c r="S470" t="str">
        <f>IFERROR(IF($C470="","",SUMIFS(Ledger!$K$2:$K$4, Ledger!$B$2:$B$4, $A470, Ledger!$C$2:$C$4, S$2)),"****")</f>
        <v/>
      </c>
      <c r="T470" t="str">
        <f>IFERROR(IF($C470="","",SUMIFS(Ledger!$K$2:$K$4, Ledger!$B$2:$B$4, $A470, Ledger!$C$2:$C$4, T$2)),"****")</f>
        <v/>
      </c>
      <c r="U470" t="str">
        <f>IFERROR(IF($C470="","",SUMIFS(Ledger!$K$2:$K$4, Ledger!$B$2:$B$4, $A470, Ledger!$C$2:$C$4, U$2)),"****")</f>
        <v/>
      </c>
      <c r="V470" t="str">
        <f>IFERROR(IF($C470="","",SUMIFS(Ledger!$K$2:$K$4, Ledger!$B$2:$B$4, $A470, Ledger!$C$2:$C$4, V$2)),"****")</f>
        <v/>
      </c>
      <c r="W470" t="str">
        <f>IFERROR(IF($C470="","",SUMIFS(Ledger!$K$2:$K$4, Ledger!$B$2:$B$4, $A470, Ledger!$C$2:$C$4, W$2)),"****")</f>
        <v/>
      </c>
      <c r="X470" t="str">
        <f>IFERROR(IF($C470="","",SUMIFS(Ledger!$K$2:$K$4, Ledger!$B$2:$B$4, $A470, Ledger!$C$2:$C$4, X$2)),"****")</f>
        <v/>
      </c>
    </row>
    <row r="471" spans="1:24" x14ac:dyDescent="0.3">
      <c r="A471" s="106">
        <v>469</v>
      </c>
      <c r="B471" t="str">
        <f>IFERROR(VLOOKUP($A471, Ledger!$B$2:$L$8, 3, 0),"")</f>
        <v/>
      </c>
      <c r="C471" t="str">
        <f>IFERROR(VLOOKUP($A471, Ledger!$B$2:$L$8, 4, 0),"")</f>
        <v/>
      </c>
      <c r="D471" t="str">
        <f>IFERROR(VLOOKUP($A471, Ledger!$B$2:$L$8, 5, 0),"")</f>
        <v/>
      </c>
      <c r="E471" t="str">
        <f>IFERROR(VLOOKUP($A471, Ledger!$B$2:$L$8, 6, 0),"")</f>
        <v/>
      </c>
      <c r="F471" t="str">
        <f>IFERROR(VLOOKUP($A471,'Student Data'!$A$2:$AR$6,32,0),"")</f>
        <v/>
      </c>
      <c r="G471" t="str">
        <f>IFERROR(VLOOKUP($A471,'Student Data'!$A$2:$AR$6,33,0),"")</f>
        <v/>
      </c>
      <c r="H471" t="str">
        <f>IFERROR(VLOOKUP($A471,'Student Data'!$A$2:$AR$6,34,0),"")</f>
        <v/>
      </c>
      <c r="I471" t="str">
        <f>IFERROR(VLOOKUP($A471,'Student Data'!$A$2:$AR$6,35,0),"")</f>
        <v/>
      </c>
      <c r="J471" t="str">
        <f>IFERROR(VLOOKUP($A471,'Student Data'!$A$2:$AR$6,36,0),"")</f>
        <v/>
      </c>
      <c r="K471" t="str">
        <f t="shared" si="14"/>
        <v/>
      </c>
      <c r="L471" t="str">
        <f t="shared" si="15"/>
        <v/>
      </c>
      <c r="M471" t="str">
        <f>IFERROR(IF($C471="","",SUMIFS(Ledger!$K$2:$K$4, Ledger!$B$2:$B$4, $A471, Ledger!$C$2:$C$4, M$2)),"****")</f>
        <v/>
      </c>
      <c r="N471" t="str">
        <f>IFERROR(IF($C471="","",SUMIFS(Ledger!$K$2:$K$4, Ledger!$B$2:$B$4, $A471, Ledger!$C$2:$C$4, N$2)),"****")</f>
        <v/>
      </c>
      <c r="O471" t="str">
        <f>IFERROR(IF($C471="","",SUMIFS(Ledger!$K$2:$K$4, Ledger!$B$2:$B$4, $A471, Ledger!$C$2:$C$4, O$2)),"****")</f>
        <v/>
      </c>
      <c r="P471" t="str">
        <f>IFERROR(IF($C471="","",SUMIFS(Ledger!$K$2:$K$4, Ledger!$B$2:$B$4, $A471, Ledger!$C$2:$C$4, P$2)),"****")</f>
        <v/>
      </c>
      <c r="Q471" t="str">
        <f>IFERROR(IF($C471="","",SUMIFS(Ledger!$K$2:$K$4, Ledger!$B$2:$B$4, $A471, Ledger!$C$2:$C$4, Q$2)),"****")</f>
        <v/>
      </c>
      <c r="R471" t="str">
        <f>IFERROR(IF($C471="","",SUMIFS(Ledger!$K$2:$K$4, Ledger!$B$2:$B$4, $A471, Ledger!$C$2:$C$4, R$2)),"****")</f>
        <v/>
      </c>
      <c r="S471" t="str">
        <f>IFERROR(IF($C471="","",SUMIFS(Ledger!$K$2:$K$4, Ledger!$B$2:$B$4, $A471, Ledger!$C$2:$C$4, S$2)),"****")</f>
        <v/>
      </c>
      <c r="T471" t="str">
        <f>IFERROR(IF($C471="","",SUMIFS(Ledger!$K$2:$K$4, Ledger!$B$2:$B$4, $A471, Ledger!$C$2:$C$4, T$2)),"****")</f>
        <v/>
      </c>
      <c r="U471" t="str">
        <f>IFERROR(IF($C471="","",SUMIFS(Ledger!$K$2:$K$4, Ledger!$B$2:$B$4, $A471, Ledger!$C$2:$C$4, U$2)),"****")</f>
        <v/>
      </c>
      <c r="V471" t="str">
        <f>IFERROR(IF($C471="","",SUMIFS(Ledger!$K$2:$K$4, Ledger!$B$2:$B$4, $A471, Ledger!$C$2:$C$4, V$2)),"****")</f>
        <v/>
      </c>
      <c r="W471" t="str">
        <f>IFERROR(IF($C471="","",SUMIFS(Ledger!$K$2:$K$4, Ledger!$B$2:$B$4, $A471, Ledger!$C$2:$C$4, W$2)),"****")</f>
        <v/>
      </c>
      <c r="X471" t="str">
        <f>IFERROR(IF($C471="","",SUMIFS(Ledger!$K$2:$K$4, Ledger!$B$2:$B$4, $A471, Ledger!$C$2:$C$4, X$2)),"****")</f>
        <v/>
      </c>
    </row>
    <row r="472" spans="1:24" x14ac:dyDescent="0.3">
      <c r="A472" s="106">
        <v>470</v>
      </c>
      <c r="B472" t="str">
        <f>IFERROR(VLOOKUP($A472, Ledger!$B$2:$L$8, 3, 0),"")</f>
        <v/>
      </c>
      <c r="C472" t="str">
        <f>IFERROR(VLOOKUP($A472, Ledger!$B$2:$L$8, 4, 0),"")</f>
        <v/>
      </c>
      <c r="D472" t="str">
        <f>IFERROR(VLOOKUP($A472, Ledger!$B$2:$L$8, 5, 0),"")</f>
        <v/>
      </c>
      <c r="E472" t="str">
        <f>IFERROR(VLOOKUP($A472, Ledger!$B$2:$L$8, 6, 0),"")</f>
        <v/>
      </c>
      <c r="F472" t="str">
        <f>IFERROR(VLOOKUP($A472,'Student Data'!$A$2:$AR$6,32,0),"")</f>
        <v/>
      </c>
      <c r="G472" t="str">
        <f>IFERROR(VLOOKUP($A472,'Student Data'!$A$2:$AR$6,33,0),"")</f>
        <v/>
      </c>
      <c r="H472" t="str">
        <f>IFERROR(VLOOKUP($A472,'Student Data'!$A$2:$AR$6,34,0),"")</f>
        <v/>
      </c>
      <c r="I472" t="str">
        <f>IFERROR(VLOOKUP($A472,'Student Data'!$A$2:$AR$6,35,0),"")</f>
        <v/>
      </c>
      <c r="J472" t="str">
        <f>IFERROR(VLOOKUP($A472,'Student Data'!$A$2:$AR$6,36,0),"")</f>
        <v/>
      </c>
      <c r="K472" t="str">
        <f t="shared" si="14"/>
        <v/>
      </c>
      <c r="L472" t="str">
        <f t="shared" si="15"/>
        <v/>
      </c>
      <c r="M472" t="str">
        <f>IFERROR(IF($C472="","",SUMIFS(Ledger!$K$2:$K$4, Ledger!$B$2:$B$4, $A472, Ledger!$C$2:$C$4, M$2)),"****")</f>
        <v/>
      </c>
      <c r="N472" t="str">
        <f>IFERROR(IF($C472="","",SUMIFS(Ledger!$K$2:$K$4, Ledger!$B$2:$B$4, $A472, Ledger!$C$2:$C$4, N$2)),"****")</f>
        <v/>
      </c>
      <c r="O472" t="str">
        <f>IFERROR(IF($C472="","",SUMIFS(Ledger!$K$2:$K$4, Ledger!$B$2:$B$4, $A472, Ledger!$C$2:$C$4, O$2)),"****")</f>
        <v/>
      </c>
      <c r="P472" t="str">
        <f>IFERROR(IF($C472="","",SUMIFS(Ledger!$K$2:$K$4, Ledger!$B$2:$B$4, $A472, Ledger!$C$2:$C$4, P$2)),"****")</f>
        <v/>
      </c>
      <c r="Q472" t="str">
        <f>IFERROR(IF($C472="","",SUMIFS(Ledger!$K$2:$K$4, Ledger!$B$2:$B$4, $A472, Ledger!$C$2:$C$4, Q$2)),"****")</f>
        <v/>
      </c>
      <c r="R472" t="str">
        <f>IFERROR(IF($C472="","",SUMIFS(Ledger!$K$2:$K$4, Ledger!$B$2:$B$4, $A472, Ledger!$C$2:$C$4, R$2)),"****")</f>
        <v/>
      </c>
      <c r="S472" t="str">
        <f>IFERROR(IF($C472="","",SUMIFS(Ledger!$K$2:$K$4, Ledger!$B$2:$B$4, $A472, Ledger!$C$2:$C$4, S$2)),"****")</f>
        <v/>
      </c>
      <c r="T472" t="str">
        <f>IFERROR(IF($C472="","",SUMIFS(Ledger!$K$2:$K$4, Ledger!$B$2:$B$4, $A472, Ledger!$C$2:$C$4, T$2)),"****")</f>
        <v/>
      </c>
      <c r="U472" t="str">
        <f>IFERROR(IF($C472="","",SUMIFS(Ledger!$K$2:$K$4, Ledger!$B$2:$B$4, $A472, Ledger!$C$2:$C$4, U$2)),"****")</f>
        <v/>
      </c>
      <c r="V472" t="str">
        <f>IFERROR(IF($C472="","",SUMIFS(Ledger!$K$2:$K$4, Ledger!$B$2:$B$4, $A472, Ledger!$C$2:$C$4, V$2)),"****")</f>
        <v/>
      </c>
      <c r="W472" t="str">
        <f>IFERROR(IF($C472="","",SUMIFS(Ledger!$K$2:$K$4, Ledger!$B$2:$B$4, $A472, Ledger!$C$2:$C$4, W$2)),"****")</f>
        <v/>
      </c>
      <c r="X472" t="str">
        <f>IFERROR(IF($C472="","",SUMIFS(Ledger!$K$2:$K$4, Ledger!$B$2:$B$4, $A472, Ledger!$C$2:$C$4, X$2)),"****")</f>
        <v/>
      </c>
    </row>
    <row r="473" spans="1:24" x14ac:dyDescent="0.3">
      <c r="A473" s="106">
        <v>471</v>
      </c>
      <c r="B473" t="str">
        <f>IFERROR(VLOOKUP($A473, Ledger!$B$2:$L$8, 3, 0),"")</f>
        <v/>
      </c>
      <c r="C473" t="str">
        <f>IFERROR(VLOOKUP($A473, Ledger!$B$2:$L$8, 4, 0),"")</f>
        <v/>
      </c>
      <c r="D473" t="str">
        <f>IFERROR(VLOOKUP($A473, Ledger!$B$2:$L$8, 5, 0),"")</f>
        <v/>
      </c>
      <c r="E473" t="str">
        <f>IFERROR(VLOOKUP($A473, Ledger!$B$2:$L$8, 6, 0),"")</f>
        <v/>
      </c>
      <c r="F473" t="str">
        <f>IFERROR(VLOOKUP($A473,'Student Data'!$A$2:$AR$6,32,0),"")</f>
        <v/>
      </c>
      <c r="G473" t="str">
        <f>IFERROR(VLOOKUP($A473,'Student Data'!$A$2:$AR$6,33,0),"")</f>
        <v/>
      </c>
      <c r="H473" t="str">
        <f>IFERROR(VLOOKUP($A473,'Student Data'!$A$2:$AR$6,34,0),"")</f>
        <v/>
      </c>
      <c r="I473" t="str">
        <f>IFERROR(VLOOKUP($A473,'Student Data'!$A$2:$AR$6,35,0),"")</f>
        <v/>
      </c>
      <c r="J473" t="str">
        <f>IFERROR(VLOOKUP($A473,'Student Data'!$A$2:$AR$6,36,0),"")</f>
        <v/>
      </c>
      <c r="K473" t="str">
        <f t="shared" si="14"/>
        <v/>
      </c>
      <c r="L473" t="str">
        <f t="shared" si="15"/>
        <v/>
      </c>
      <c r="M473" t="str">
        <f>IFERROR(IF($C473="","",SUMIFS(Ledger!$K$2:$K$4, Ledger!$B$2:$B$4, $A473, Ledger!$C$2:$C$4, M$2)),"****")</f>
        <v/>
      </c>
      <c r="N473" t="str">
        <f>IFERROR(IF($C473="","",SUMIFS(Ledger!$K$2:$K$4, Ledger!$B$2:$B$4, $A473, Ledger!$C$2:$C$4, N$2)),"****")</f>
        <v/>
      </c>
      <c r="O473" t="str">
        <f>IFERROR(IF($C473="","",SUMIFS(Ledger!$K$2:$K$4, Ledger!$B$2:$B$4, $A473, Ledger!$C$2:$C$4, O$2)),"****")</f>
        <v/>
      </c>
      <c r="P473" t="str">
        <f>IFERROR(IF($C473="","",SUMIFS(Ledger!$K$2:$K$4, Ledger!$B$2:$B$4, $A473, Ledger!$C$2:$C$4, P$2)),"****")</f>
        <v/>
      </c>
      <c r="Q473" t="str">
        <f>IFERROR(IF($C473="","",SUMIFS(Ledger!$K$2:$K$4, Ledger!$B$2:$B$4, $A473, Ledger!$C$2:$C$4, Q$2)),"****")</f>
        <v/>
      </c>
      <c r="R473" t="str">
        <f>IFERROR(IF($C473="","",SUMIFS(Ledger!$K$2:$K$4, Ledger!$B$2:$B$4, $A473, Ledger!$C$2:$C$4, R$2)),"****")</f>
        <v/>
      </c>
      <c r="S473" t="str">
        <f>IFERROR(IF($C473="","",SUMIFS(Ledger!$K$2:$K$4, Ledger!$B$2:$B$4, $A473, Ledger!$C$2:$C$4, S$2)),"****")</f>
        <v/>
      </c>
      <c r="T473" t="str">
        <f>IFERROR(IF($C473="","",SUMIFS(Ledger!$K$2:$K$4, Ledger!$B$2:$B$4, $A473, Ledger!$C$2:$C$4, T$2)),"****")</f>
        <v/>
      </c>
      <c r="U473" t="str">
        <f>IFERROR(IF($C473="","",SUMIFS(Ledger!$K$2:$K$4, Ledger!$B$2:$B$4, $A473, Ledger!$C$2:$C$4, U$2)),"****")</f>
        <v/>
      </c>
      <c r="V473" t="str">
        <f>IFERROR(IF($C473="","",SUMIFS(Ledger!$K$2:$K$4, Ledger!$B$2:$B$4, $A473, Ledger!$C$2:$C$4, V$2)),"****")</f>
        <v/>
      </c>
      <c r="W473" t="str">
        <f>IFERROR(IF($C473="","",SUMIFS(Ledger!$K$2:$K$4, Ledger!$B$2:$B$4, $A473, Ledger!$C$2:$C$4, W$2)),"****")</f>
        <v/>
      </c>
      <c r="X473" t="str">
        <f>IFERROR(IF($C473="","",SUMIFS(Ledger!$K$2:$K$4, Ledger!$B$2:$B$4, $A473, Ledger!$C$2:$C$4, X$2)),"****")</f>
        <v/>
      </c>
    </row>
    <row r="474" spans="1:24" x14ac:dyDescent="0.3">
      <c r="A474" s="106">
        <v>472</v>
      </c>
      <c r="B474" t="str">
        <f>IFERROR(VLOOKUP($A474, Ledger!$B$2:$L$8, 3, 0),"")</f>
        <v/>
      </c>
      <c r="C474" t="str">
        <f>IFERROR(VLOOKUP($A474, Ledger!$B$2:$L$8, 4, 0),"")</f>
        <v/>
      </c>
      <c r="D474" t="str">
        <f>IFERROR(VLOOKUP($A474, Ledger!$B$2:$L$8, 5, 0),"")</f>
        <v/>
      </c>
      <c r="E474" t="str">
        <f>IFERROR(VLOOKUP($A474, Ledger!$B$2:$L$8, 6, 0),"")</f>
        <v/>
      </c>
      <c r="F474" t="str">
        <f>IFERROR(VLOOKUP($A474,'Student Data'!$A$2:$AR$6,32,0),"")</f>
        <v/>
      </c>
      <c r="G474" t="str">
        <f>IFERROR(VLOOKUP($A474,'Student Data'!$A$2:$AR$6,33,0),"")</f>
        <v/>
      </c>
      <c r="H474" t="str">
        <f>IFERROR(VLOOKUP($A474,'Student Data'!$A$2:$AR$6,34,0),"")</f>
        <v/>
      </c>
      <c r="I474" t="str">
        <f>IFERROR(VLOOKUP($A474,'Student Data'!$A$2:$AR$6,35,0),"")</f>
        <v/>
      </c>
      <c r="J474" t="str">
        <f>IFERROR(VLOOKUP($A474,'Student Data'!$A$2:$AR$6,36,0),"")</f>
        <v/>
      </c>
      <c r="K474" t="str">
        <f t="shared" si="14"/>
        <v/>
      </c>
      <c r="L474" t="str">
        <f t="shared" si="15"/>
        <v/>
      </c>
      <c r="M474" t="str">
        <f>IFERROR(IF($C474="","",SUMIFS(Ledger!$K$2:$K$4, Ledger!$B$2:$B$4, $A474, Ledger!$C$2:$C$4, M$2)),"****")</f>
        <v/>
      </c>
      <c r="N474" t="str">
        <f>IFERROR(IF($C474="","",SUMIFS(Ledger!$K$2:$K$4, Ledger!$B$2:$B$4, $A474, Ledger!$C$2:$C$4, N$2)),"****")</f>
        <v/>
      </c>
      <c r="O474" t="str">
        <f>IFERROR(IF($C474="","",SUMIFS(Ledger!$K$2:$K$4, Ledger!$B$2:$B$4, $A474, Ledger!$C$2:$C$4, O$2)),"****")</f>
        <v/>
      </c>
      <c r="P474" t="str">
        <f>IFERROR(IF($C474="","",SUMIFS(Ledger!$K$2:$K$4, Ledger!$B$2:$B$4, $A474, Ledger!$C$2:$C$4, P$2)),"****")</f>
        <v/>
      </c>
      <c r="Q474" t="str">
        <f>IFERROR(IF($C474="","",SUMIFS(Ledger!$K$2:$K$4, Ledger!$B$2:$B$4, $A474, Ledger!$C$2:$C$4, Q$2)),"****")</f>
        <v/>
      </c>
      <c r="R474" t="str">
        <f>IFERROR(IF($C474="","",SUMIFS(Ledger!$K$2:$K$4, Ledger!$B$2:$B$4, $A474, Ledger!$C$2:$C$4, R$2)),"****")</f>
        <v/>
      </c>
      <c r="S474" t="str">
        <f>IFERROR(IF($C474="","",SUMIFS(Ledger!$K$2:$K$4, Ledger!$B$2:$B$4, $A474, Ledger!$C$2:$C$4, S$2)),"****")</f>
        <v/>
      </c>
      <c r="T474" t="str">
        <f>IFERROR(IF($C474="","",SUMIFS(Ledger!$K$2:$K$4, Ledger!$B$2:$B$4, $A474, Ledger!$C$2:$C$4, T$2)),"****")</f>
        <v/>
      </c>
      <c r="U474" t="str">
        <f>IFERROR(IF($C474="","",SUMIFS(Ledger!$K$2:$K$4, Ledger!$B$2:$B$4, $A474, Ledger!$C$2:$C$4, U$2)),"****")</f>
        <v/>
      </c>
      <c r="V474" t="str">
        <f>IFERROR(IF($C474="","",SUMIFS(Ledger!$K$2:$K$4, Ledger!$B$2:$B$4, $A474, Ledger!$C$2:$C$4, V$2)),"****")</f>
        <v/>
      </c>
      <c r="W474" t="str">
        <f>IFERROR(IF($C474="","",SUMIFS(Ledger!$K$2:$K$4, Ledger!$B$2:$B$4, $A474, Ledger!$C$2:$C$4, W$2)),"****")</f>
        <v/>
      </c>
      <c r="X474" t="str">
        <f>IFERROR(IF($C474="","",SUMIFS(Ledger!$K$2:$K$4, Ledger!$B$2:$B$4, $A474, Ledger!$C$2:$C$4, X$2)),"****")</f>
        <v/>
      </c>
    </row>
    <row r="475" spans="1:24" x14ac:dyDescent="0.3">
      <c r="A475" s="106">
        <v>473</v>
      </c>
      <c r="B475" t="str">
        <f>IFERROR(VLOOKUP($A475, Ledger!$B$2:$L$8, 3, 0),"")</f>
        <v/>
      </c>
      <c r="C475" t="str">
        <f>IFERROR(VLOOKUP($A475, Ledger!$B$2:$L$8, 4, 0),"")</f>
        <v/>
      </c>
      <c r="D475" t="str">
        <f>IFERROR(VLOOKUP($A475, Ledger!$B$2:$L$8, 5, 0),"")</f>
        <v/>
      </c>
      <c r="E475" t="str">
        <f>IFERROR(VLOOKUP($A475, Ledger!$B$2:$L$8, 6, 0),"")</f>
        <v/>
      </c>
      <c r="F475" t="str">
        <f>IFERROR(VLOOKUP($A475,'Student Data'!$A$2:$AR$6,32,0),"")</f>
        <v/>
      </c>
      <c r="G475" t="str">
        <f>IFERROR(VLOOKUP($A475,'Student Data'!$A$2:$AR$6,33,0),"")</f>
        <v/>
      </c>
      <c r="H475" t="str">
        <f>IFERROR(VLOOKUP($A475,'Student Data'!$A$2:$AR$6,34,0),"")</f>
        <v/>
      </c>
      <c r="I475" t="str">
        <f>IFERROR(VLOOKUP($A475,'Student Data'!$A$2:$AR$6,35,0),"")</f>
        <v/>
      </c>
      <c r="J475" t="str">
        <f>IFERROR(VLOOKUP($A475,'Student Data'!$A$2:$AR$6,36,0),"")</f>
        <v/>
      </c>
      <c r="K475" t="str">
        <f t="shared" si="14"/>
        <v/>
      </c>
      <c r="L475" t="str">
        <f t="shared" si="15"/>
        <v/>
      </c>
      <c r="M475" t="str">
        <f>IFERROR(IF($C475="","",SUMIFS(Ledger!$K$2:$K$4, Ledger!$B$2:$B$4, $A475, Ledger!$C$2:$C$4, M$2)),"****")</f>
        <v/>
      </c>
      <c r="N475" t="str">
        <f>IFERROR(IF($C475="","",SUMIFS(Ledger!$K$2:$K$4, Ledger!$B$2:$B$4, $A475, Ledger!$C$2:$C$4, N$2)),"****")</f>
        <v/>
      </c>
      <c r="O475" t="str">
        <f>IFERROR(IF($C475="","",SUMIFS(Ledger!$K$2:$K$4, Ledger!$B$2:$B$4, $A475, Ledger!$C$2:$C$4, O$2)),"****")</f>
        <v/>
      </c>
      <c r="P475" t="str">
        <f>IFERROR(IF($C475="","",SUMIFS(Ledger!$K$2:$K$4, Ledger!$B$2:$B$4, $A475, Ledger!$C$2:$C$4, P$2)),"****")</f>
        <v/>
      </c>
      <c r="Q475" t="str">
        <f>IFERROR(IF($C475="","",SUMIFS(Ledger!$K$2:$K$4, Ledger!$B$2:$B$4, $A475, Ledger!$C$2:$C$4, Q$2)),"****")</f>
        <v/>
      </c>
      <c r="R475" t="str">
        <f>IFERROR(IF($C475="","",SUMIFS(Ledger!$K$2:$K$4, Ledger!$B$2:$B$4, $A475, Ledger!$C$2:$C$4, R$2)),"****")</f>
        <v/>
      </c>
      <c r="S475" t="str">
        <f>IFERROR(IF($C475="","",SUMIFS(Ledger!$K$2:$K$4, Ledger!$B$2:$B$4, $A475, Ledger!$C$2:$C$4, S$2)),"****")</f>
        <v/>
      </c>
      <c r="T475" t="str">
        <f>IFERROR(IF($C475="","",SUMIFS(Ledger!$K$2:$K$4, Ledger!$B$2:$B$4, $A475, Ledger!$C$2:$C$4, T$2)),"****")</f>
        <v/>
      </c>
      <c r="U475" t="str">
        <f>IFERROR(IF($C475="","",SUMIFS(Ledger!$K$2:$K$4, Ledger!$B$2:$B$4, $A475, Ledger!$C$2:$C$4, U$2)),"****")</f>
        <v/>
      </c>
      <c r="V475" t="str">
        <f>IFERROR(IF($C475="","",SUMIFS(Ledger!$K$2:$K$4, Ledger!$B$2:$B$4, $A475, Ledger!$C$2:$C$4, V$2)),"****")</f>
        <v/>
      </c>
      <c r="W475" t="str">
        <f>IFERROR(IF($C475="","",SUMIFS(Ledger!$K$2:$K$4, Ledger!$B$2:$B$4, $A475, Ledger!$C$2:$C$4, W$2)),"****")</f>
        <v/>
      </c>
      <c r="X475" t="str">
        <f>IFERROR(IF($C475="","",SUMIFS(Ledger!$K$2:$K$4, Ledger!$B$2:$B$4, $A475, Ledger!$C$2:$C$4, X$2)),"****")</f>
        <v/>
      </c>
    </row>
    <row r="476" spans="1:24" x14ac:dyDescent="0.3">
      <c r="A476" s="106">
        <v>474</v>
      </c>
      <c r="B476" t="str">
        <f>IFERROR(VLOOKUP($A476, Ledger!$B$2:$L$8, 3, 0),"")</f>
        <v/>
      </c>
      <c r="C476" t="str">
        <f>IFERROR(VLOOKUP($A476, Ledger!$B$2:$L$8, 4, 0),"")</f>
        <v/>
      </c>
      <c r="D476" t="str">
        <f>IFERROR(VLOOKUP($A476, Ledger!$B$2:$L$8, 5, 0),"")</f>
        <v/>
      </c>
      <c r="E476" t="str">
        <f>IFERROR(VLOOKUP($A476, Ledger!$B$2:$L$8, 6, 0),"")</f>
        <v/>
      </c>
      <c r="F476" t="str">
        <f>IFERROR(VLOOKUP($A476,'Student Data'!$A$2:$AR$6,32,0),"")</f>
        <v/>
      </c>
      <c r="G476" t="str">
        <f>IFERROR(VLOOKUP($A476,'Student Data'!$A$2:$AR$6,33,0),"")</f>
        <v/>
      </c>
      <c r="H476" t="str">
        <f>IFERROR(VLOOKUP($A476,'Student Data'!$A$2:$AR$6,34,0),"")</f>
        <v/>
      </c>
      <c r="I476" t="str">
        <f>IFERROR(VLOOKUP($A476,'Student Data'!$A$2:$AR$6,35,0),"")</f>
        <v/>
      </c>
      <c r="J476" t="str">
        <f>IFERROR(VLOOKUP($A476,'Student Data'!$A$2:$AR$6,36,0),"")</f>
        <v/>
      </c>
      <c r="K476" t="str">
        <f t="shared" si="14"/>
        <v/>
      </c>
      <c r="L476" t="str">
        <f t="shared" si="15"/>
        <v/>
      </c>
      <c r="M476" t="str">
        <f>IFERROR(IF($C476="","",SUMIFS(Ledger!$K$2:$K$4, Ledger!$B$2:$B$4, $A476, Ledger!$C$2:$C$4, M$2)),"****")</f>
        <v/>
      </c>
      <c r="N476" t="str">
        <f>IFERROR(IF($C476="","",SUMIFS(Ledger!$K$2:$K$4, Ledger!$B$2:$B$4, $A476, Ledger!$C$2:$C$4, N$2)),"****")</f>
        <v/>
      </c>
      <c r="O476" t="str">
        <f>IFERROR(IF($C476="","",SUMIFS(Ledger!$K$2:$K$4, Ledger!$B$2:$B$4, $A476, Ledger!$C$2:$C$4, O$2)),"****")</f>
        <v/>
      </c>
      <c r="P476" t="str">
        <f>IFERROR(IF($C476="","",SUMIFS(Ledger!$K$2:$K$4, Ledger!$B$2:$B$4, $A476, Ledger!$C$2:$C$4, P$2)),"****")</f>
        <v/>
      </c>
      <c r="Q476" t="str">
        <f>IFERROR(IF($C476="","",SUMIFS(Ledger!$K$2:$K$4, Ledger!$B$2:$B$4, $A476, Ledger!$C$2:$C$4, Q$2)),"****")</f>
        <v/>
      </c>
      <c r="R476" t="str">
        <f>IFERROR(IF($C476="","",SUMIFS(Ledger!$K$2:$K$4, Ledger!$B$2:$B$4, $A476, Ledger!$C$2:$C$4, R$2)),"****")</f>
        <v/>
      </c>
      <c r="S476" t="str">
        <f>IFERROR(IF($C476="","",SUMIFS(Ledger!$K$2:$K$4, Ledger!$B$2:$B$4, $A476, Ledger!$C$2:$C$4, S$2)),"****")</f>
        <v/>
      </c>
      <c r="T476" t="str">
        <f>IFERROR(IF($C476="","",SUMIFS(Ledger!$K$2:$K$4, Ledger!$B$2:$B$4, $A476, Ledger!$C$2:$C$4, T$2)),"****")</f>
        <v/>
      </c>
      <c r="U476" t="str">
        <f>IFERROR(IF($C476="","",SUMIFS(Ledger!$K$2:$K$4, Ledger!$B$2:$B$4, $A476, Ledger!$C$2:$C$4, U$2)),"****")</f>
        <v/>
      </c>
      <c r="V476" t="str">
        <f>IFERROR(IF($C476="","",SUMIFS(Ledger!$K$2:$K$4, Ledger!$B$2:$B$4, $A476, Ledger!$C$2:$C$4, V$2)),"****")</f>
        <v/>
      </c>
      <c r="W476" t="str">
        <f>IFERROR(IF($C476="","",SUMIFS(Ledger!$K$2:$K$4, Ledger!$B$2:$B$4, $A476, Ledger!$C$2:$C$4, W$2)),"****")</f>
        <v/>
      </c>
      <c r="X476" t="str">
        <f>IFERROR(IF($C476="","",SUMIFS(Ledger!$K$2:$K$4, Ledger!$B$2:$B$4, $A476, Ledger!$C$2:$C$4, X$2)),"****")</f>
        <v/>
      </c>
    </row>
    <row r="477" spans="1:24" x14ac:dyDescent="0.3">
      <c r="A477" s="106">
        <v>475</v>
      </c>
      <c r="B477" t="str">
        <f>IFERROR(VLOOKUP($A477, Ledger!$B$2:$L$8, 3, 0),"")</f>
        <v/>
      </c>
      <c r="C477" t="str">
        <f>IFERROR(VLOOKUP($A477, Ledger!$B$2:$L$8, 4, 0),"")</f>
        <v/>
      </c>
      <c r="D477" t="str">
        <f>IFERROR(VLOOKUP($A477, Ledger!$B$2:$L$8, 5, 0),"")</f>
        <v/>
      </c>
      <c r="E477" t="str">
        <f>IFERROR(VLOOKUP($A477, Ledger!$B$2:$L$8, 6, 0),"")</f>
        <v/>
      </c>
      <c r="F477" t="str">
        <f>IFERROR(VLOOKUP($A477,'Student Data'!$A$2:$AR$6,32,0),"")</f>
        <v/>
      </c>
      <c r="G477" t="str">
        <f>IFERROR(VLOOKUP($A477,'Student Data'!$A$2:$AR$6,33,0),"")</f>
        <v/>
      </c>
      <c r="H477" t="str">
        <f>IFERROR(VLOOKUP($A477,'Student Data'!$A$2:$AR$6,34,0),"")</f>
        <v/>
      </c>
      <c r="I477" t="str">
        <f>IFERROR(VLOOKUP($A477,'Student Data'!$A$2:$AR$6,35,0),"")</f>
        <v/>
      </c>
      <c r="J477" t="str">
        <f>IFERROR(VLOOKUP($A477,'Student Data'!$A$2:$AR$6,36,0),"")</f>
        <v/>
      </c>
      <c r="K477" t="str">
        <f t="shared" si="14"/>
        <v/>
      </c>
      <c r="L477" t="str">
        <f t="shared" si="15"/>
        <v/>
      </c>
      <c r="M477" t="str">
        <f>IFERROR(IF($C477="","",SUMIFS(Ledger!$K$2:$K$4, Ledger!$B$2:$B$4, $A477, Ledger!$C$2:$C$4, M$2)),"****")</f>
        <v/>
      </c>
      <c r="N477" t="str">
        <f>IFERROR(IF($C477="","",SUMIFS(Ledger!$K$2:$K$4, Ledger!$B$2:$B$4, $A477, Ledger!$C$2:$C$4, N$2)),"****")</f>
        <v/>
      </c>
      <c r="O477" t="str">
        <f>IFERROR(IF($C477="","",SUMIFS(Ledger!$K$2:$K$4, Ledger!$B$2:$B$4, $A477, Ledger!$C$2:$C$4, O$2)),"****")</f>
        <v/>
      </c>
      <c r="P477" t="str">
        <f>IFERROR(IF($C477="","",SUMIFS(Ledger!$K$2:$K$4, Ledger!$B$2:$B$4, $A477, Ledger!$C$2:$C$4, P$2)),"****")</f>
        <v/>
      </c>
      <c r="Q477" t="str">
        <f>IFERROR(IF($C477="","",SUMIFS(Ledger!$K$2:$K$4, Ledger!$B$2:$B$4, $A477, Ledger!$C$2:$C$4, Q$2)),"****")</f>
        <v/>
      </c>
      <c r="R477" t="str">
        <f>IFERROR(IF($C477="","",SUMIFS(Ledger!$K$2:$K$4, Ledger!$B$2:$B$4, $A477, Ledger!$C$2:$C$4, R$2)),"****")</f>
        <v/>
      </c>
      <c r="S477" t="str">
        <f>IFERROR(IF($C477="","",SUMIFS(Ledger!$K$2:$K$4, Ledger!$B$2:$B$4, $A477, Ledger!$C$2:$C$4, S$2)),"****")</f>
        <v/>
      </c>
      <c r="T477" t="str">
        <f>IFERROR(IF($C477="","",SUMIFS(Ledger!$K$2:$K$4, Ledger!$B$2:$B$4, $A477, Ledger!$C$2:$C$4, T$2)),"****")</f>
        <v/>
      </c>
      <c r="U477" t="str">
        <f>IFERROR(IF($C477="","",SUMIFS(Ledger!$K$2:$K$4, Ledger!$B$2:$B$4, $A477, Ledger!$C$2:$C$4, U$2)),"****")</f>
        <v/>
      </c>
      <c r="V477" t="str">
        <f>IFERROR(IF($C477="","",SUMIFS(Ledger!$K$2:$K$4, Ledger!$B$2:$B$4, $A477, Ledger!$C$2:$C$4, V$2)),"****")</f>
        <v/>
      </c>
      <c r="W477" t="str">
        <f>IFERROR(IF($C477="","",SUMIFS(Ledger!$K$2:$K$4, Ledger!$B$2:$B$4, $A477, Ledger!$C$2:$C$4, W$2)),"****")</f>
        <v/>
      </c>
      <c r="X477" t="str">
        <f>IFERROR(IF($C477="","",SUMIFS(Ledger!$K$2:$K$4, Ledger!$B$2:$B$4, $A477, Ledger!$C$2:$C$4, X$2)),"****")</f>
        <v/>
      </c>
    </row>
    <row r="478" spans="1:24" x14ac:dyDescent="0.3">
      <c r="A478" s="106">
        <v>476</v>
      </c>
      <c r="B478" t="str">
        <f>IFERROR(VLOOKUP($A478, Ledger!$B$2:$L$8, 3, 0),"")</f>
        <v/>
      </c>
      <c r="C478" t="str">
        <f>IFERROR(VLOOKUP($A478, Ledger!$B$2:$L$8, 4, 0),"")</f>
        <v/>
      </c>
      <c r="D478" t="str">
        <f>IFERROR(VLOOKUP($A478, Ledger!$B$2:$L$8, 5, 0),"")</f>
        <v/>
      </c>
      <c r="E478" t="str">
        <f>IFERROR(VLOOKUP($A478, Ledger!$B$2:$L$8, 6, 0),"")</f>
        <v/>
      </c>
      <c r="F478" t="str">
        <f>IFERROR(VLOOKUP($A478,'Student Data'!$A$2:$AR$6,32,0),"")</f>
        <v/>
      </c>
      <c r="G478" t="str">
        <f>IFERROR(VLOOKUP($A478,'Student Data'!$A$2:$AR$6,33,0),"")</f>
        <v/>
      </c>
      <c r="H478" t="str">
        <f>IFERROR(VLOOKUP($A478,'Student Data'!$A$2:$AR$6,34,0),"")</f>
        <v/>
      </c>
      <c r="I478" t="str">
        <f>IFERROR(VLOOKUP($A478,'Student Data'!$A$2:$AR$6,35,0),"")</f>
        <v/>
      </c>
      <c r="J478" t="str">
        <f>IFERROR(VLOOKUP($A478,'Student Data'!$A$2:$AR$6,36,0),"")</f>
        <v/>
      </c>
      <c r="K478" t="str">
        <f t="shared" si="14"/>
        <v/>
      </c>
      <c r="L478" t="str">
        <f t="shared" si="15"/>
        <v/>
      </c>
      <c r="M478" t="str">
        <f>IFERROR(IF($C478="","",SUMIFS(Ledger!$K$2:$K$4, Ledger!$B$2:$B$4, $A478, Ledger!$C$2:$C$4, M$2)),"****")</f>
        <v/>
      </c>
      <c r="N478" t="str">
        <f>IFERROR(IF($C478="","",SUMIFS(Ledger!$K$2:$K$4, Ledger!$B$2:$B$4, $A478, Ledger!$C$2:$C$4, N$2)),"****")</f>
        <v/>
      </c>
      <c r="O478" t="str">
        <f>IFERROR(IF($C478="","",SUMIFS(Ledger!$K$2:$K$4, Ledger!$B$2:$B$4, $A478, Ledger!$C$2:$C$4, O$2)),"****")</f>
        <v/>
      </c>
      <c r="P478" t="str">
        <f>IFERROR(IF($C478="","",SUMIFS(Ledger!$K$2:$K$4, Ledger!$B$2:$B$4, $A478, Ledger!$C$2:$C$4, P$2)),"****")</f>
        <v/>
      </c>
      <c r="Q478" t="str">
        <f>IFERROR(IF($C478="","",SUMIFS(Ledger!$K$2:$K$4, Ledger!$B$2:$B$4, $A478, Ledger!$C$2:$C$4, Q$2)),"****")</f>
        <v/>
      </c>
      <c r="R478" t="str">
        <f>IFERROR(IF($C478="","",SUMIFS(Ledger!$K$2:$K$4, Ledger!$B$2:$B$4, $A478, Ledger!$C$2:$C$4, R$2)),"****")</f>
        <v/>
      </c>
      <c r="S478" t="str">
        <f>IFERROR(IF($C478="","",SUMIFS(Ledger!$K$2:$K$4, Ledger!$B$2:$B$4, $A478, Ledger!$C$2:$C$4, S$2)),"****")</f>
        <v/>
      </c>
      <c r="T478" t="str">
        <f>IFERROR(IF($C478="","",SUMIFS(Ledger!$K$2:$K$4, Ledger!$B$2:$B$4, $A478, Ledger!$C$2:$C$4, T$2)),"****")</f>
        <v/>
      </c>
      <c r="U478" t="str">
        <f>IFERROR(IF($C478="","",SUMIFS(Ledger!$K$2:$K$4, Ledger!$B$2:$B$4, $A478, Ledger!$C$2:$C$4, U$2)),"****")</f>
        <v/>
      </c>
      <c r="V478" t="str">
        <f>IFERROR(IF($C478="","",SUMIFS(Ledger!$K$2:$K$4, Ledger!$B$2:$B$4, $A478, Ledger!$C$2:$C$4, V$2)),"****")</f>
        <v/>
      </c>
      <c r="W478" t="str">
        <f>IFERROR(IF($C478="","",SUMIFS(Ledger!$K$2:$K$4, Ledger!$B$2:$B$4, $A478, Ledger!$C$2:$C$4, W$2)),"****")</f>
        <v/>
      </c>
      <c r="X478" t="str">
        <f>IFERROR(IF($C478="","",SUMIFS(Ledger!$K$2:$K$4, Ledger!$B$2:$B$4, $A478, Ledger!$C$2:$C$4, X$2)),"****")</f>
        <v/>
      </c>
    </row>
    <row r="479" spans="1:24" x14ac:dyDescent="0.3">
      <c r="A479" s="106">
        <v>477</v>
      </c>
      <c r="B479" t="str">
        <f>IFERROR(VLOOKUP($A479, Ledger!$B$2:$L$8, 3, 0),"")</f>
        <v/>
      </c>
      <c r="C479" t="str">
        <f>IFERROR(VLOOKUP($A479, Ledger!$B$2:$L$8, 4, 0),"")</f>
        <v/>
      </c>
      <c r="D479" t="str">
        <f>IFERROR(VLOOKUP($A479, Ledger!$B$2:$L$8, 5, 0),"")</f>
        <v/>
      </c>
      <c r="E479" t="str">
        <f>IFERROR(VLOOKUP($A479, Ledger!$B$2:$L$8, 6, 0),"")</f>
        <v/>
      </c>
      <c r="F479" t="str">
        <f>IFERROR(VLOOKUP($A479,'Student Data'!$A$2:$AR$6,32,0),"")</f>
        <v/>
      </c>
      <c r="G479" t="str">
        <f>IFERROR(VLOOKUP($A479,'Student Data'!$A$2:$AR$6,33,0),"")</f>
        <v/>
      </c>
      <c r="H479" t="str">
        <f>IFERROR(VLOOKUP($A479,'Student Data'!$A$2:$AR$6,34,0),"")</f>
        <v/>
      </c>
      <c r="I479" t="str">
        <f>IFERROR(VLOOKUP($A479,'Student Data'!$A$2:$AR$6,35,0),"")</f>
        <v/>
      </c>
      <c r="J479" t="str">
        <f>IFERROR(VLOOKUP($A479,'Student Data'!$A$2:$AR$6,36,0),"")</f>
        <v/>
      </c>
      <c r="K479" t="str">
        <f t="shared" si="14"/>
        <v/>
      </c>
      <c r="L479" t="str">
        <f t="shared" si="15"/>
        <v/>
      </c>
      <c r="M479" t="str">
        <f>IFERROR(IF($C479="","",SUMIFS(Ledger!$K$2:$K$4, Ledger!$B$2:$B$4, $A479, Ledger!$C$2:$C$4, M$2)),"****")</f>
        <v/>
      </c>
      <c r="N479" t="str">
        <f>IFERROR(IF($C479="","",SUMIFS(Ledger!$K$2:$K$4, Ledger!$B$2:$B$4, $A479, Ledger!$C$2:$C$4, N$2)),"****")</f>
        <v/>
      </c>
      <c r="O479" t="str">
        <f>IFERROR(IF($C479="","",SUMIFS(Ledger!$K$2:$K$4, Ledger!$B$2:$B$4, $A479, Ledger!$C$2:$C$4, O$2)),"****")</f>
        <v/>
      </c>
      <c r="P479" t="str">
        <f>IFERROR(IF($C479="","",SUMIFS(Ledger!$K$2:$K$4, Ledger!$B$2:$B$4, $A479, Ledger!$C$2:$C$4, P$2)),"****")</f>
        <v/>
      </c>
      <c r="Q479" t="str">
        <f>IFERROR(IF($C479="","",SUMIFS(Ledger!$K$2:$K$4, Ledger!$B$2:$B$4, $A479, Ledger!$C$2:$C$4, Q$2)),"****")</f>
        <v/>
      </c>
      <c r="R479" t="str">
        <f>IFERROR(IF($C479="","",SUMIFS(Ledger!$K$2:$K$4, Ledger!$B$2:$B$4, $A479, Ledger!$C$2:$C$4, R$2)),"****")</f>
        <v/>
      </c>
      <c r="S479" t="str">
        <f>IFERROR(IF($C479="","",SUMIFS(Ledger!$K$2:$K$4, Ledger!$B$2:$B$4, $A479, Ledger!$C$2:$C$4, S$2)),"****")</f>
        <v/>
      </c>
      <c r="T479" t="str">
        <f>IFERROR(IF($C479="","",SUMIFS(Ledger!$K$2:$K$4, Ledger!$B$2:$B$4, $A479, Ledger!$C$2:$C$4, T$2)),"****")</f>
        <v/>
      </c>
      <c r="U479" t="str">
        <f>IFERROR(IF($C479="","",SUMIFS(Ledger!$K$2:$K$4, Ledger!$B$2:$B$4, $A479, Ledger!$C$2:$C$4, U$2)),"****")</f>
        <v/>
      </c>
      <c r="V479" t="str">
        <f>IFERROR(IF($C479="","",SUMIFS(Ledger!$K$2:$K$4, Ledger!$B$2:$B$4, $A479, Ledger!$C$2:$C$4, V$2)),"****")</f>
        <v/>
      </c>
      <c r="W479" t="str">
        <f>IFERROR(IF($C479="","",SUMIFS(Ledger!$K$2:$K$4, Ledger!$B$2:$B$4, $A479, Ledger!$C$2:$C$4, W$2)),"****")</f>
        <v/>
      </c>
      <c r="X479" t="str">
        <f>IFERROR(IF($C479="","",SUMIFS(Ledger!$K$2:$K$4, Ledger!$B$2:$B$4, $A479, Ledger!$C$2:$C$4, X$2)),"****")</f>
        <v/>
      </c>
    </row>
    <row r="480" spans="1:24" x14ac:dyDescent="0.3">
      <c r="A480" s="106">
        <v>478</v>
      </c>
      <c r="B480" t="str">
        <f>IFERROR(VLOOKUP($A480, Ledger!$B$2:$L$8, 3, 0),"")</f>
        <v/>
      </c>
      <c r="C480" t="str">
        <f>IFERROR(VLOOKUP($A480, Ledger!$B$2:$L$8, 4, 0),"")</f>
        <v/>
      </c>
      <c r="D480" t="str">
        <f>IFERROR(VLOOKUP($A480, Ledger!$B$2:$L$8, 5, 0),"")</f>
        <v/>
      </c>
      <c r="E480" t="str">
        <f>IFERROR(VLOOKUP($A480, Ledger!$B$2:$L$8, 6, 0),"")</f>
        <v/>
      </c>
      <c r="F480" t="str">
        <f>IFERROR(VLOOKUP($A480,'Student Data'!$A$2:$AR$6,32,0),"")</f>
        <v/>
      </c>
      <c r="G480" t="str">
        <f>IFERROR(VLOOKUP($A480,'Student Data'!$A$2:$AR$6,33,0),"")</f>
        <v/>
      </c>
      <c r="H480" t="str">
        <f>IFERROR(VLOOKUP($A480,'Student Data'!$A$2:$AR$6,34,0),"")</f>
        <v/>
      </c>
      <c r="I480" t="str">
        <f>IFERROR(VLOOKUP($A480,'Student Data'!$A$2:$AR$6,35,0),"")</f>
        <v/>
      </c>
      <c r="J480" t="str">
        <f>IFERROR(VLOOKUP($A480,'Student Data'!$A$2:$AR$6,36,0),"")</f>
        <v/>
      </c>
      <c r="K480" t="str">
        <f t="shared" si="14"/>
        <v/>
      </c>
      <c r="L480" t="str">
        <f t="shared" si="15"/>
        <v/>
      </c>
      <c r="M480" t="str">
        <f>IFERROR(IF($C480="","",SUMIFS(Ledger!$K$2:$K$4, Ledger!$B$2:$B$4, $A480, Ledger!$C$2:$C$4, M$2)),"****")</f>
        <v/>
      </c>
      <c r="N480" t="str">
        <f>IFERROR(IF($C480="","",SUMIFS(Ledger!$K$2:$K$4, Ledger!$B$2:$B$4, $A480, Ledger!$C$2:$C$4, N$2)),"****")</f>
        <v/>
      </c>
      <c r="O480" t="str">
        <f>IFERROR(IF($C480="","",SUMIFS(Ledger!$K$2:$K$4, Ledger!$B$2:$B$4, $A480, Ledger!$C$2:$C$4, O$2)),"****")</f>
        <v/>
      </c>
      <c r="P480" t="str">
        <f>IFERROR(IF($C480="","",SUMIFS(Ledger!$K$2:$K$4, Ledger!$B$2:$B$4, $A480, Ledger!$C$2:$C$4, P$2)),"****")</f>
        <v/>
      </c>
      <c r="Q480" t="str">
        <f>IFERROR(IF($C480="","",SUMIFS(Ledger!$K$2:$K$4, Ledger!$B$2:$B$4, $A480, Ledger!$C$2:$C$4, Q$2)),"****")</f>
        <v/>
      </c>
      <c r="R480" t="str">
        <f>IFERROR(IF($C480="","",SUMIFS(Ledger!$K$2:$K$4, Ledger!$B$2:$B$4, $A480, Ledger!$C$2:$C$4, R$2)),"****")</f>
        <v/>
      </c>
      <c r="S480" t="str">
        <f>IFERROR(IF($C480="","",SUMIFS(Ledger!$K$2:$K$4, Ledger!$B$2:$B$4, $A480, Ledger!$C$2:$C$4, S$2)),"****")</f>
        <v/>
      </c>
      <c r="T480" t="str">
        <f>IFERROR(IF($C480="","",SUMIFS(Ledger!$K$2:$K$4, Ledger!$B$2:$B$4, $A480, Ledger!$C$2:$C$4, T$2)),"****")</f>
        <v/>
      </c>
      <c r="U480" t="str">
        <f>IFERROR(IF($C480="","",SUMIFS(Ledger!$K$2:$K$4, Ledger!$B$2:$B$4, $A480, Ledger!$C$2:$C$4, U$2)),"****")</f>
        <v/>
      </c>
      <c r="V480" t="str">
        <f>IFERROR(IF($C480="","",SUMIFS(Ledger!$K$2:$K$4, Ledger!$B$2:$B$4, $A480, Ledger!$C$2:$C$4, V$2)),"****")</f>
        <v/>
      </c>
      <c r="W480" t="str">
        <f>IFERROR(IF($C480="","",SUMIFS(Ledger!$K$2:$K$4, Ledger!$B$2:$B$4, $A480, Ledger!$C$2:$C$4, W$2)),"****")</f>
        <v/>
      </c>
      <c r="X480" t="str">
        <f>IFERROR(IF($C480="","",SUMIFS(Ledger!$K$2:$K$4, Ledger!$B$2:$B$4, $A480, Ledger!$C$2:$C$4, X$2)),"****")</f>
        <v/>
      </c>
    </row>
    <row r="481" spans="1:24" x14ac:dyDescent="0.3">
      <c r="A481" s="106">
        <v>479</v>
      </c>
      <c r="B481" t="str">
        <f>IFERROR(VLOOKUP($A481, Ledger!$B$2:$L$8, 3, 0),"")</f>
        <v/>
      </c>
      <c r="C481" t="str">
        <f>IFERROR(VLOOKUP($A481, Ledger!$B$2:$L$8, 4, 0),"")</f>
        <v/>
      </c>
      <c r="D481" t="str">
        <f>IFERROR(VLOOKUP($A481, Ledger!$B$2:$L$8, 5, 0),"")</f>
        <v/>
      </c>
      <c r="E481" t="str">
        <f>IFERROR(VLOOKUP($A481, Ledger!$B$2:$L$8, 6, 0),"")</f>
        <v/>
      </c>
      <c r="F481" t="str">
        <f>IFERROR(VLOOKUP($A481,'Student Data'!$A$2:$AR$6,32,0),"")</f>
        <v/>
      </c>
      <c r="G481" t="str">
        <f>IFERROR(VLOOKUP($A481,'Student Data'!$A$2:$AR$6,33,0),"")</f>
        <v/>
      </c>
      <c r="H481" t="str">
        <f>IFERROR(VLOOKUP($A481,'Student Data'!$A$2:$AR$6,34,0),"")</f>
        <v/>
      </c>
      <c r="I481" t="str">
        <f>IFERROR(VLOOKUP($A481,'Student Data'!$A$2:$AR$6,35,0),"")</f>
        <v/>
      </c>
      <c r="J481" t="str">
        <f>IFERROR(VLOOKUP($A481,'Student Data'!$A$2:$AR$6,36,0),"")</f>
        <v/>
      </c>
      <c r="K481" t="str">
        <f t="shared" si="14"/>
        <v/>
      </c>
      <c r="L481" t="str">
        <f t="shared" si="15"/>
        <v/>
      </c>
      <c r="M481" t="str">
        <f>IFERROR(IF($C481="","",SUMIFS(Ledger!$K$2:$K$4, Ledger!$B$2:$B$4, $A481, Ledger!$C$2:$C$4, M$2)),"****")</f>
        <v/>
      </c>
      <c r="N481" t="str">
        <f>IFERROR(IF($C481="","",SUMIFS(Ledger!$K$2:$K$4, Ledger!$B$2:$B$4, $A481, Ledger!$C$2:$C$4, N$2)),"****")</f>
        <v/>
      </c>
      <c r="O481" t="str">
        <f>IFERROR(IF($C481="","",SUMIFS(Ledger!$K$2:$K$4, Ledger!$B$2:$B$4, $A481, Ledger!$C$2:$C$4, O$2)),"****")</f>
        <v/>
      </c>
      <c r="P481" t="str">
        <f>IFERROR(IF($C481="","",SUMIFS(Ledger!$K$2:$K$4, Ledger!$B$2:$B$4, $A481, Ledger!$C$2:$C$4, P$2)),"****")</f>
        <v/>
      </c>
      <c r="Q481" t="str">
        <f>IFERROR(IF($C481="","",SUMIFS(Ledger!$K$2:$K$4, Ledger!$B$2:$B$4, $A481, Ledger!$C$2:$C$4, Q$2)),"****")</f>
        <v/>
      </c>
      <c r="R481" t="str">
        <f>IFERROR(IF($C481="","",SUMIFS(Ledger!$K$2:$K$4, Ledger!$B$2:$B$4, $A481, Ledger!$C$2:$C$4, R$2)),"****")</f>
        <v/>
      </c>
      <c r="S481" t="str">
        <f>IFERROR(IF($C481="","",SUMIFS(Ledger!$K$2:$K$4, Ledger!$B$2:$B$4, $A481, Ledger!$C$2:$C$4, S$2)),"****")</f>
        <v/>
      </c>
      <c r="T481" t="str">
        <f>IFERROR(IF($C481="","",SUMIFS(Ledger!$K$2:$K$4, Ledger!$B$2:$B$4, $A481, Ledger!$C$2:$C$4, T$2)),"****")</f>
        <v/>
      </c>
      <c r="U481" t="str">
        <f>IFERROR(IF($C481="","",SUMIFS(Ledger!$K$2:$K$4, Ledger!$B$2:$B$4, $A481, Ledger!$C$2:$C$4, U$2)),"****")</f>
        <v/>
      </c>
      <c r="V481" t="str">
        <f>IFERROR(IF($C481="","",SUMIFS(Ledger!$K$2:$K$4, Ledger!$B$2:$B$4, $A481, Ledger!$C$2:$C$4, V$2)),"****")</f>
        <v/>
      </c>
      <c r="W481" t="str">
        <f>IFERROR(IF($C481="","",SUMIFS(Ledger!$K$2:$K$4, Ledger!$B$2:$B$4, $A481, Ledger!$C$2:$C$4, W$2)),"****")</f>
        <v/>
      </c>
      <c r="X481" t="str">
        <f>IFERROR(IF($C481="","",SUMIFS(Ledger!$K$2:$K$4, Ledger!$B$2:$B$4, $A481, Ledger!$C$2:$C$4, X$2)),"****")</f>
        <v/>
      </c>
    </row>
    <row r="482" spans="1:24" x14ac:dyDescent="0.3">
      <c r="A482" s="106">
        <v>480</v>
      </c>
      <c r="B482" t="str">
        <f>IFERROR(VLOOKUP($A482, Ledger!$B$2:$L$8, 3, 0),"")</f>
        <v/>
      </c>
      <c r="C482" t="str">
        <f>IFERROR(VLOOKUP($A482, Ledger!$B$2:$L$8, 4, 0),"")</f>
        <v/>
      </c>
      <c r="D482" t="str">
        <f>IFERROR(VLOOKUP($A482, Ledger!$B$2:$L$8, 5, 0),"")</f>
        <v/>
      </c>
      <c r="E482" t="str">
        <f>IFERROR(VLOOKUP($A482, Ledger!$B$2:$L$8, 6, 0),"")</f>
        <v/>
      </c>
      <c r="F482" t="str">
        <f>IFERROR(VLOOKUP($A482,'Student Data'!$A$2:$AR$6,32,0),"")</f>
        <v/>
      </c>
      <c r="G482" t="str">
        <f>IFERROR(VLOOKUP($A482,'Student Data'!$A$2:$AR$6,33,0),"")</f>
        <v/>
      </c>
      <c r="H482" t="str">
        <f>IFERROR(VLOOKUP($A482,'Student Data'!$A$2:$AR$6,34,0),"")</f>
        <v/>
      </c>
      <c r="I482" t="str">
        <f>IFERROR(VLOOKUP($A482,'Student Data'!$A$2:$AR$6,35,0),"")</f>
        <v/>
      </c>
      <c r="J482" t="str">
        <f>IFERROR(VLOOKUP($A482,'Student Data'!$A$2:$AR$6,36,0),"")</f>
        <v/>
      </c>
      <c r="K482" t="str">
        <f t="shared" si="14"/>
        <v/>
      </c>
      <c r="L482" t="str">
        <f t="shared" si="15"/>
        <v/>
      </c>
      <c r="M482" t="str">
        <f>IFERROR(IF($C482="","",SUMIFS(Ledger!$K$2:$K$4, Ledger!$B$2:$B$4, $A482, Ledger!$C$2:$C$4, M$2)),"****")</f>
        <v/>
      </c>
      <c r="N482" t="str">
        <f>IFERROR(IF($C482="","",SUMIFS(Ledger!$K$2:$K$4, Ledger!$B$2:$B$4, $A482, Ledger!$C$2:$C$4, N$2)),"****")</f>
        <v/>
      </c>
      <c r="O482" t="str">
        <f>IFERROR(IF($C482="","",SUMIFS(Ledger!$K$2:$K$4, Ledger!$B$2:$B$4, $A482, Ledger!$C$2:$C$4, O$2)),"****")</f>
        <v/>
      </c>
      <c r="P482" t="str">
        <f>IFERROR(IF($C482="","",SUMIFS(Ledger!$K$2:$K$4, Ledger!$B$2:$B$4, $A482, Ledger!$C$2:$C$4, P$2)),"****")</f>
        <v/>
      </c>
      <c r="Q482" t="str">
        <f>IFERROR(IF($C482="","",SUMIFS(Ledger!$K$2:$K$4, Ledger!$B$2:$B$4, $A482, Ledger!$C$2:$C$4, Q$2)),"****")</f>
        <v/>
      </c>
      <c r="R482" t="str">
        <f>IFERROR(IF($C482="","",SUMIFS(Ledger!$K$2:$K$4, Ledger!$B$2:$B$4, $A482, Ledger!$C$2:$C$4, R$2)),"****")</f>
        <v/>
      </c>
      <c r="S482" t="str">
        <f>IFERROR(IF($C482="","",SUMIFS(Ledger!$K$2:$K$4, Ledger!$B$2:$B$4, $A482, Ledger!$C$2:$C$4, S$2)),"****")</f>
        <v/>
      </c>
      <c r="T482" t="str">
        <f>IFERROR(IF($C482="","",SUMIFS(Ledger!$K$2:$K$4, Ledger!$B$2:$B$4, $A482, Ledger!$C$2:$C$4, T$2)),"****")</f>
        <v/>
      </c>
      <c r="U482" t="str">
        <f>IFERROR(IF($C482="","",SUMIFS(Ledger!$K$2:$K$4, Ledger!$B$2:$B$4, $A482, Ledger!$C$2:$C$4, U$2)),"****")</f>
        <v/>
      </c>
      <c r="V482" t="str">
        <f>IFERROR(IF($C482="","",SUMIFS(Ledger!$K$2:$K$4, Ledger!$B$2:$B$4, $A482, Ledger!$C$2:$C$4, V$2)),"****")</f>
        <v/>
      </c>
      <c r="W482" t="str">
        <f>IFERROR(IF($C482="","",SUMIFS(Ledger!$K$2:$K$4, Ledger!$B$2:$B$4, $A482, Ledger!$C$2:$C$4, W$2)),"****")</f>
        <v/>
      </c>
      <c r="X482" t="str">
        <f>IFERROR(IF($C482="","",SUMIFS(Ledger!$K$2:$K$4, Ledger!$B$2:$B$4, $A482, Ledger!$C$2:$C$4, X$2)),"****")</f>
        <v/>
      </c>
    </row>
    <row r="483" spans="1:24" x14ac:dyDescent="0.3">
      <c r="A483" s="106">
        <v>481</v>
      </c>
      <c r="B483" t="str">
        <f>IFERROR(VLOOKUP($A483, Ledger!$B$2:$L$8, 3, 0),"")</f>
        <v/>
      </c>
      <c r="C483" t="str">
        <f>IFERROR(VLOOKUP($A483, Ledger!$B$2:$L$8, 4, 0),"")</f>
        <v/>
      </c>
      <c r="D483" t="str">
        <f>IFERROR(VLOOKUP($A483, Ledger!$B$2:$L$8, 5, 0),"")</f>
        <v/>
      </c>
      <c r="E483" t="str">
        <f>IFERROR(VLOOKUP($A483, Ledger!$B$2:$L$8, 6, 0),"")</f>
        <v/>
      </c>
      <c r="F483" t="str">
        <f>IFERROR(VLOOKUP($A483,'Student Data'!$A$2:$AR$6,32,0),"")</f>
        <v/>
      </c>
      <c r="G483" t="str">
        <f>IFERROR(VLOOKUP($A483,'Student Data'!$A$2:$AR$6,33,0),"")</f>
        <v/>
      </c>
      <c r="H483" t="str">
        <f>IFERROR(VLOOKUP($A483,'Student Data'!$A$2:$AR$6,34,0),"")</f>
        <v/>
      </c>
      <c r="I483" t="str">
        <f>IFERROR(VLOOKUP($A483,'Student Data'!$A$2:$AR$6,35,0),"")</f>
        <v/>
      </c>
      <c r="J483" t="str">
        <f>IFERROR(VLOOKUP($A483,'Student Data'!$A$2:$AR$6,36,0),"")</f>
        <v/>
      </c>
      <c r="K483" t="str">
        <f t="shared" si="14"/>
        <v/>
      </c>
      <c r="L483" t="str">
        <f t="shared" si="15"/>
        <v/>
      </c>
      <c r="M483" t="str">
        <f>IFERROR(IF($C483="","",SUMIFS(Ledger!$K$2:$K$4, Ledger!$B$2:$B$4, $A483, Ledger!$C$2:$C$4, M$2)),"****")</f>
        <v/>
      </c>
      <c r="N483" t="str">
        <f>IFERROR(IF($C483="","",SUMIFS(Ledger!$K$2:$K$4, Ledger!$B$2:$B$4, $A483, Ledger!$C$2:$C$4, N$2)),"****")</f>
        <v/>
      </c>
      <c r="O483" t="str">
        <f>IFERROR(IF($C483="","",SUMIFS(Ledger!$K$2:$K$4, Ledger!$B$2:$B$4, $A483, Ledger!$C$2:$C$4, O$2)),"****")</f>
        <v/>
      </c>
      <c r="P483" t="str">
        <f>IFERROR(IF($C483="","",SUMIFS(Ledger!$K$2:$K$4, Ledger!$B$2:$B$4, $A483, Ledger!$C$2:$C$4, P$2)),"****")</f>
        <v/>
      </c>
      <c r="Q483" t="str">
        <f>IFERROR(IF($C483="","",SUMIFS(Ledger!$K$2:$K$4, Ledger!$B$2:$B$4, $A483, Ledger!$C$2:$C$4, Q$2)),"****")</f>
        <v/>
      </c>
      <c r="R483" t="str">
        <f>IFERROR(IF($C483="","",SUMIFS(Ledger!$K$2:$K$4, Ledger!$B$2:$B$4, $A483, Ledger!$C$2:$C$4, R$2)),"****")</f>
        <v/>
      </c>
      <c r="S483" t="str">
        <f>IFERROR(IF($C483="","",SUMIFS(Ledger!$K$2:$K$4, Ledger!$B$2:$B$4, $A483, Ledger!$C$2:$C$4, S$2)),"****")</f>
        <v/>
      </c>
      <c r="T483" t="str">
        <f>IFERROR(IF($C483="","",SUMIFS(Ledger!$K$2:$K$4, Ledger!$B$2:$B$4, $A483, Ledger!$C$2:$C$4, T$2)),"****")</f>
        <v/>
      </c>
      <c r="U483" t="str">
        <f>IFERROR(IF($C483="","",SUMIFS(Ledger!$K$2:$K$4, Ledger!$B$2:$B$4, $A483, Ledger!$C$2:$C$4, U$2)),"****")</f>
        <v/>
      </c>
      <c r="V483" t="str">
        <f>IFERROR(IF($C483="","",SUMIFS(Ledger!$K$2:$K$4, Ledger!$B$2:$B$4, $A483, Ledger!$C$2:$C$4, V$2)),"****")</f>
        <v/>
      </c>
      <c r="W483" t="str">
        <f>IFERROR(IF($C483="","",SUMIFS(Ledger!$K$2:$K$4, Ledger!$B$2:$B$4, $A483, Ledger!$C$2:$C$4, W$2)),"****")</f>
        <v/>
      </c>
      <c r="X483" t="str">
        <f>IFERROR(IF($C483="","",SUMIFS(Ledger!$K$2:$K$4, Ledger!$B$2:$B$4, $A483, Ledger!$C$2:$C$4, X$2)),"****")</f>
        <v/>
      </c>
    </row>
    <row r="484" spans="1:24" x14ac:dyDescent="0.3">
      <c r="A484" s="106">
        <v>482</v>
      </c>
      <c r="B484" t="str">
        <f>IFERROR(VLOOKUP($A484, Ledger!$B$2:$L$8, 3, 0),"")</f>
        <v/>
      </c>
      <c r="C484" t="str">
        <f>IFERROR(VLOOKUP($A484, Ledger!$B$2:$L$8, 4, 0),"")</f>
        <v/>
      </c>
      <c r="D484" t="str">
        <f>IFERROR(VLOOKUP($A484, Ledger!$B$2:$L$8, 5, 0),"")</f>
        <v/>
      </c>
      <c r="E484" t="str">
        <f>IFERROR(VLOOKUP($A484, Ledger!$B$2:$L$8, 6, 0),"")</f>
        <v/>
      </c>
      <c r="F484" t="str">
        <f>IFERROR(VLOOKUP($A484,'Student Data'!$A$2:$AR$6,32,0),"")</f>
        <v/>
      </c>
      <c r="G484" t="str">
        <f>IFERROR(VLOOKUP($A484,'Student Data'!$A$2:$AR$6,33,0),"")</f>
        <v/>
      </c>
      <c r="H484" t="str">
        <f>IFERROR(VLOOKUP($A484,'Student Data'!$A$2:$AR$6,34,0),"")</f>
        <v/>
      </c>
      <c r="I484" t="str">
        <f>IFERROR(VLOOKUP($A484,'Student Data'!$A$2:$AR$6,35,0),"")</f>
        <v/>
      </c>
      <c r="J484" t="str">
        <f>IFERROR(VLOOKUP($A484,'Student Data'!$A$2:$AR$6,36,0),"")</f>
        <v/>
      </c>
      <c r="K484" t="str">
        <f t="shared" si="14"/>
        <v/>
      </c>
      <c r="L484" t="str">
        <f t="shared" si="15"/>
        <v/>
      </c>
      <c r="M484" t="str">
        <f>IFERROR(IF($C484="","",SUMIFS(Ledger!$K$2:$K$4, Ledger!$B$2:$B$4, $A484, Ledger!$C$2:$C$4, M$2)),"****")</f>
        <v/>
      </c>
      <c r="N484" t="str">
        <f>IFERROR(IF($C484="","",SUMIFS(Ledger!$K$2:$K$4, Ledger!$B$2:$B$4, $A484, Ledger!$C$2:$C$4, N$2)),"****")</f>
        <v/>
      </c>
      <c r="O484" t="str">
        <f>IFERROR(IF($C484="","",SUMIFS(Ledger!$K$2:$K$4, Ledger!$B$2:$B$4, $A484, Ledger!$C$2:$C$4, O$2)),"****")</f>
        <v/>
      </c>
      <c r="P484" t="str">
        <f>IFERROR(IF($C484="","",SUMIFS(Ledger!$K$2:$K$4, Ledger!$B$2:$B$4, $A484, Ledger!$C$2:$C$4, P$2)),"****")</f>
        <v/>
      </c>
      <c r="Q484" t="str">
        <f>IFERROR(IF($C484="","",SUMIFS(Ledger!$K$2:$K$4, Ledger!$B$2:$B$4, $A484, Ledger!$C$2:$C$4, Q$2)),"****")</f>
        <v/>
      </c>
      <c r="R484" t="str">
        <f>IFERROR(IF($C484="","",SUMIFS(Ledger!$K$2:$K$4, Ledger!$B$2:$B$4, $A484, Ledger!$C$2:$C$4, R$2)),"****")</f>
        <v/>
      </c>
      <c r="S484" t="str">
        <f>IFERROR(IF($C484="","",SUMIFS(Ledger!$K$2:$K$4, Ledger!$B$2:$B$4, $A484, Ledger!$C$2:$C$4, S$2)),"****")</f>
        <v/>
      </c>
      <c r="T484" t="str">
        <f>IFERROR(IF($C484="","",SUMIFS(Ledger!$K$2:$K$4, Ledger!$B$2:$B$4, $A484, Ledger!$C$2:$C$4, T$2)),"****")</f>
        <v/>
      </c>
      <c r="U484" t="str">
        <f>IFERROR(IF($C484="","",SUMIFS(Ledger!$K$2:$K$4, Ledger!$B$2:$B$4, $A484, Ledger!$C$2:$C$4, U$2)),"****")</f>
        <v/>
      </c>
      <c r="V484" t="str">
        <f>IFERROR(IF($C484="","",SUMIFS(Ledger!$K$2:$K$4, Ledger!$B$2:$B$4, $A484, Ledger!$C$2:$C$4, V$2)),"****")</f>
        <v/>
      </c>
      <c r="W484" t="str">
        <f>IFERROR(IF($C484="","",SUMIFS(Ledger!$K$2:$K$4, Ledger!$B$2:$B$4, $A484, Ledger!$C$2:$C$4, W$2)),"****")</f>
        <v/>
      </c>
      <c r="X484" t="str">
        <f>IFERROR(IF($C484="","",SUMIFS(Ledger!$K$2:$K$4, Ledger!$B$2:$B$4, $A484, Ledger!$C$2:$C$4, X$2)),"****")</f>
        <v/>
      </c>
    </row>
    <row r="485" spans="1:24" x14ac:dyDescent="0.3">
      <c r="A485" s="106">
        <v>483</v>
      </c>
      <c r="B485" t="str">
        <f>IFERROR(VLOOKUP($A485, Ledger!$B$2:$L$8, 3, 0),"")</f>
        <v/>
      </c>
      <c r="C485" t="str">
        <f>IFERROR(VLOOKUP($A485, Ledger!$B$2:$L$8, 4, 0),"")</f>
        <v/>
      </c>
      <c r="D485" t="str">
        <f>IFERROR(VLOOKUP($A485, Ledger!$B$2:$L$8, 5, 0),"")</f>
        <v/>
      </c>
      <c r="E485" t="str">
        <f>IFERROR(VLOOKUP($A485, Ledger!$B$2:$L$8, 6, 0),"")</f>
        <v/>
      </c>
      <c r="F485" t="str">
        <f>IFERROR(VLOOKUP($A485,'Student Data'!$A$2:$AR$6,32,0),"")</f>
        <v/>
      </c>
      <c r="G485" t="str">
        <f>IFERROR(VLOOKUP($A485,'Student Data'!$A$2:$AR$6,33,0),"")</f>
        <v/>
      </c>
      <c r="H485" t="str">
        <f>IFERROR(VLOOKUP($A485,'Student Data'!$A$2:$AR$6,34,0),"")</f>
        <v/>
      </c>
      <c r="I485" t="str">
        <f>IFERROR(VLOOKUP($A485,'Student Data'!$A$2:$AR$6,35,0),"")</f>
        <v/>
      </c>
      <c r="J485" t="str">
        <f>IFERROR(VLOOKUP($A485,'Student Data'!$A$2:$AR$6,36,0),"")</f>
        <v/>
      </c>
      <c r="K485" t="str">
        <f t="shared" si="14"/>
        <v/>
      </c>
      <c r="L485" t="str">
        <f t="shared" si="15"/>
        <v/>
      </c>
      <c r="M485" t="str">
        <f>IFERROR(IF($C485="","",SUMIFS(Ledger!$K$2:$K$4, Ledger!$B$2:$B$4, $A485, Ledger!$C$2:$C$4, M$2)),"****")</f>
        <v/>
      </c>
      <c r="N485" t="str">
        <f>IFERROR(IF($C485="","",SUMIFS(Ledger!$K$2:$K$4, Ledger!$B$2:$B$4, $A485, Ledger!$C$2:$C$4, N$2)),"****")</f>
        <v/>
      </c>
      <c r="O485" t="str">
        <f>IFERROR(IF($C485="","",SUMIFS(Ledger!$K$2:$K$4, Ledger!$B$2:$B$4, $A485, Ledger!$C$2:$C$4, O$2)),"****")</f>
        <v/>
      </c>
      <c r="P485" t="str">
        <f>IFERROR(IF($C485="","",SUMIFS(Ledger!$K$2:$K$4, Ledger!$B$2:$B$4, $A485, Ledger!$C$2:$C$4, P$2)),"****")</f>
        <v/>
      </c>
      <c r="Q485" t="str">
        <f>IFERROR(IF($C485="","",SUMIFS(Ledger!$K$2:$K$4, Ledger!$B$2:$B$4, $A485, Ledger!$C$2:$C$4, Q$2)),"****")</f>
        <v/>
      </c>
      <c r="R485" t="str">
        <f>IFERROR(IF($C485="","",SUMIFS(Ledger!$K$2:$K$4, Ledger!$B$2:$B$4, $A485, Ledger!$C$2:$C$4, R$2)),"****")</f>
        <v/>
      </c>
      <c r="S485" t="str">
        <f>IFERROR(IF($C485="","",SUMIFS(Ledger!$K$2:$K$4, Ledger!$B$2:$B$4, $A485, Ledger!$C$2:$C$4, S$2)),"****")</f>
        <v/>
      </c>
      <c r="T485" t="str">
        <f>IFERROR(IF($C485="","",SUMIFS(Ledger!$K$2:$K$4, Ledger!$B$2:$B$4, $A485, Ledger!$C$2:$C$4, T$2)),"****")</f>
        <v/>
      </c>
      <c r="U485" t="str">
        <f>IFERROR(IF($C485="","",SUMIFS(Ledger!$K$2:$K$4, Ledger!$B$2:$B$4, $A485, Ledger!$C$2:$C$4, U$2)),"****")</f>
        <v/>
      </c>
      <c r="V485" t="str">
        <f>IFERROR(IF($C485="","",SUMIFS(Ledger!$K$2:$K$4, Ledger!$B$2:$B$4, $A485, Ledger!$C$2:$C$4, V$2)),"****")</f>
        <v/>
      </c>
      <c r="W485" t="str">
        <f>IFERROR(IF($C485="","",SUMIFS(Ledger!$K$2:$K$4, Ledger!$B$2:$B$4, $A485, Ledger!$C$2:$C$4, W$2)),"****")</f>
        <v/>
      </c>
      <c r="X485" t="str">
        <f>IFERROR(IF($C485="","",SUMIFS(Ledger!$K$2:$K$4, Ledger!$B$2:$B$4, $A485, Ledger!$C$2:$C$4, X$2)),"****")</f>
        <v/>
      </c>
    </row>
    <row r="486" spans="1:24" x14ac:dyDescent="0.3">
      <c r="A486" s="106">
        <v>484</v>
      </c>
      <c r="B486" t="str">
        <f>IFERROR(VLOOKUP($A486, Ledger!$B$2:$L$8, 3, 0),"")</f>
        <v/>
      </c>
      <c r="C486" t="str">
        <f>IFERROR(VLOOKUP($A486, Ledger!$B$2:$L$8, 4, 0),"")</f>
        <v/>
      </c>
      <c r="D486" t="str">
        <f>IFERROR(VLOOKUP($A486, Ledger!$B$2:$L$8, 5, 0),"")</f>
        <v/>
      </c>
      <c r="E486" t="str">
        <f>IFERROR(VLOOKUP($A486, Ledger!$B$2:$L$8, 6, 0),"")</f>
        <v/>
      </c>
      <c r="F486" t="str">
        <f>IFERROR(VLOOKUP($A486,'Student Data'!$A$2:$AR$6,32,0),"")</f>
        <v/>
      </c>
      <c r="G486" t="str">
        <f>IFERROR(VLOOKUP($A486,'Student Data'!$A$2:$AR$6,33,0),"")</f>
        <v/>
      </c>
      <c r="H486" t="str">
        <f>IFERROR(VLOOKUP($A486,'Student Data'!$A$2:$AR$6,34,0),"")</f>
        <v/>
      </c>
      <c r="I486" t="str">
        <f>IFERROR(VLOOKUP($A486,'Student Data'!$A$2:$AR$6,35,0),"")</f>
        <v/>
      </c>
      <c r="J486" t="str">
        <f>IFERROR(VLOOKUP($A486,'Student Data'!$A$2:$AR$6,36,0),"")</f>
        <v/>
      </c>
      <c r="K486" t="str">
        <f t="shared" si="14"/>
        <v/>
      </c>
      <c r="L486" t="str">
        <f t="shared" si="15"/>
        <v/>
      </c>
      <c r="M486" t="str">
        <f>IFERROR(IF($C486="","",SUMIFS(Ledger!$K$2:$K$4, Ledger!$B$2:$B$4, $A486, Ledger!$C$2:$C$4, M$2)),"****")</f>
        <v/>
      </c>
      <c r="N486" t="str">
        <f>IFERROR(IF($C486="","",SUMIFS(Ledger!$K$2:$K$4, Ledger!$B$2:$B$4, $A486, Ledger!$C$2:$C$4, N$2)),"****")</f>
        <v/>
      </c>
      <c r="O486" t="str">
        <f>IFERROR(IF($C486="","",SUMIFS(Ledger!$K$2:$K$4, Ledger!$B$2:$B$4, $A486, Ledger!$C$2:$C$4, O$2)),"****")</f>
        <v/>
      </c>
      <c r="P486" t="str">
        <f>IFERROR(IF($C486="","",SUMIFS(Ledger!$K$2:$K$4, Ledger!$B$2:$B$4, $A486, Ledger!$C$2:$C$4, P$2)),"****")</f>
        <v/>
      </c>
      <c r="Q486" t="str">
        <f>IFERROR(IF($C486="","",SUMIFS(Ledger!$K$2:$K$4, Ledger!$B$2:$B$4, $A486, Ledger!$C$2:$C$4, Q$2)),"****")</f>
        <v/>
      </c>
      <c r="R486" t="str">
        <f>IFERROR(IF($C486="","",SUMIFS(Ledger!$K$2:$K$4, Ledger!$B$2:$B$4, $A486, Ledger!$C$2:$C$4, R$2)),"****")</f>
        <v/>
      </c>
      <c r="S486" t="str">
        <f>IFERROR(IF($C486="","",SUMIFS(Ledger!$K$2:$K$4, Ledger!$B$2:$B$4, $A486, Ledger!$C$2:$C$4, S$2)),"****")</f>
        <v/>
      </c>
      <c r="T486" t="str">
        <f>IFERROR(IF($C486="","",SUMIFS(Ledger!$K$2:$K$4, Ledger!$B$2:$B$4, $A486, Ledger!$C$2:$C$4, T$2)),"****")</f>
        <v/>
      </c>
      <c r="U486" t="str">
        <f>IFERROR(IF($C486="","",SUMIFS(Ledger!$K$2:$K$4, Ledger!$B$2:$B$4, $A486, Ledger!$C$2:$C$4, U$2)),"****")</f>
        <v/>
      </c>
      <c r="V486" t="str">
        <f>IFERROR(IF($C486="","",SUMIFS(Ledger!$K$2:$K$4, Ledger!$B$2:$B$4, $A486, Ledger!$C$2:$C$4, V$2)),"****")</f>
        <v/>
      </c>
      <c r="W486" t="str">
        <f>IFERROR(IF($C486="","",SUMIFS(Ledger!$K$2:$K$4, Ledger!$B$2:$B$4, $A486, Ledger!$C$2:$C$4, W$2)),"****")</f>
        <v/>
      </c>
      <c r="X486" t="str">
        <f>IFERROR(IF($C486="","",SUMIFS(Ledger!$K$2:$K$4, Ledger!$B$2:$B$4, $A486, Ledger!$C$2:$C$4, X$2)),"****")</f>
        <v/>
      </c>
    </row>
    <row r="487" spans="1:24" x14ac:dyDescent="0.3">
      <c r="A487" s="106">
        <v>485</v>
      </c>
      <c r="B487" t="str">
        <f>IFERROR(VLOOKUP($A487, Ledger!$B$2:$L$8, 3, 0),"")</f>
        <v/>
      </c>
      <c r="C487" t="str">
        <f>IFERROR(VLOOKUP($A487, Ledger!$B$2:$L$8, 4, 0),"")</f>
        <v/>
      </c>
      <c r="D487" t="str">
        <f>IFERROR(VLOOKUP($A487, Ledger!$B$2:$L$8, 5, 0),"")</f>
        <v/>
      </c>
      <c r="E487" t="str">
        <f>IFERROR(VLOOKUP($A487, Ledger!$B$2:$L$8, 6, 0),"")</f>
        <v/>
      </c>
      <c r="F487" t="str">
        <f>IFERROR(VLOOKUP($A487,'Student Data'!$A$2:$AR$6,32,0),"")</f>
        <v/>
      </c>
      <c r="G487" t="str">
        <f>IFERROR(VLOOKUP($A487,'Student Data'!$A$2:$AR$6,33,0),"")</f>
        <v/>
      </c>
      <c r="H487" t="str">
        <f>IFERROR(VLOOKUP($A487,'Student Data'!$A$2:$AR$6,34,0),"")</f>
        <v/>
      </c>
      <c r="I487" t="str">
        <f>IFERROR(VLOOKUP($A487,'Student Data'!$A$2:$AR$6,35,0),"")</f>
        <v/>
      </c>
      <c r="J487" t="str">
        <f>IFERROR(VLOOKUP($A487,'Student Data'!$A$2:$AR$6,36,0),"")</f>
        <v/>
      </c>
      <c r="K487" t="str">
        <f t="shared" si="14"/>
        <v/>
      </c>
      <c r="L487" t="str">
        <f t="shared" si="15"/>
        <v/>
      </c>
      <c r="M487" t="str">
        <f>IFERROR(IF($C487="","",SUMIFS(Ledger!$K$2:$K$4, Ledger!$B$2:$B$4, $A487, Ledger!$C$2:$C$4, M$2)),"****")</f>
        <v/>
      </c>
      <c r="N487" t="str">
        <f>IFERROR(IF($C487="","",SUMIFS(Ledger!$K$2:$K$4, Ledger!$B$2:$B$4, $A487, Ledger!$C$2:$C$4, N$2)),"****")</f>
        <v/>
      </c>
      <c r="O487" t="str">
        <f>IFERROR(IF($C487="","",SUMIFS(Ledger!$K$2:$K$4, Ledger!$B$2:$B$4, $A487, Ledger!$C$2:$C$4, O$2)),"****")</f>
        <v/>
      </c>
      <c r="P487" t="str">
        <f>IFERROR(IF($C487="","",SUMIFS(Ledger!$K$2:$K$4, Ledger!$B$2:$B$4, $A487, Ledger!$C$2:$C$4, P$2)),"****")</f>
        <v/>
      </c>
      <c r="Q487" t="str">
        <f>IFERROR(IF($C487="","",SUMIFS(Ledger!$K$2:$K$4, Ledger!$B$2:$B$4, $A487, Ledger!$C$2:$C$4, Q$2)),"****")</f>
        <v/>
      </c>
      <c r="R487" t="str">
        <f>IFERROR(IF($C487="","",SUMIFS(Ledger!$K$2:$K$4, Ledger!$B$2:$B$4, $A487, Ledger!$C$2:$C$4, R$2)),"****")</f>
        <v/>
      </c>
      <c r="S487" t="str">
        <f>IFERROR(IF($C487="","",SUMIFS(Ledger!$K$2:$K$4, Ledger!$B$2:$B$4, $A487, Ledger!$C$2:$C$4, S$2)),"****")</f>
        <v/>
      </c>
      <c r="T487" t="str">
        <f>IFERROR(IF($C487="","",SUMIFS(Ledger!$K$2:$K$4, Ledger!$B$2:$B$4, $A487, Ledger!$C$2:$C$4, T$2)),"****")</f>
        <v/>
      </c>
      <c r="U487" t="str">
        <f>IFERROR(IF($C487="","",SUMIFS(Ledger!$K$2:$K$4, Ledger!$B$2:$B$4, $A487, Ledger!$C$2:$C$4, U$2)),"****")</f>
        <v/>
      </c>
      <c r="V487" t="str">
        <f>IFERROR(IF($C487="","",SUMIFS(Ledger!$K$2:$K$4, Ledger!$B$2:$B$4, $A487, Ledger!$C$2:$C$4, V$2)),"****")</f>
        <v/>
      </c>
      <c r="W487" t="str">
        <f>IFERROR(IF($C487="","",SUMIFS(Ledger!$K$2:$K$4, Ledger!$B$2:$B$4, $A487, Ledger!$C$2:$C$4, W$2)),"****")</f>
        <v/>
      </c>
      <c r="X487" t="str">
        <f>IFERROR(IF($C487="","",SUMIFS(Ledger!$K$2:$K$4, Ledger!$B$2:$B$4, $A487, Ledger!$C$2:$C$4, X$2)),"****")</f>
        <v/>
      </c>
    </row>
    <row r="488" spans="1:24" x14ac:dyDescent="0.3">
      <c r="A488" s="106">
        <v>486</v>
      </c>
      <c r="B488" t="str">
        <f>IFERROR(VLOOKUP($A488, Ledger!$B$2:$L$8, 3, 0),"")</f>
        <v/>
      </c>
      <c r="C488" t="str">
        <f>IFERROR(VLOOKUP($A488, Ledger!$B$2:$L$8, 4, 0),"")</f>
        <v/>
      </c>
      <c r="D488" t="str">
        <f>IFERROR(VLOOKUP($A488, Ledger!$B$2:$L$8, 5, 0),"")</f>
        <v/>
      </c>
      <c r="E488" t="str">
        <f>IFERROR(VLOOKUP($A488, Ledger!$B$2:$L$8, 6, 0),"")</f>
        <v/>
      </c>
      <c r="F488" t="str">
        <f>IFERROR(VLOOKUP($A488,'Student Data'!$A$2:$AR$6,32,0),"")</f>
        <v/>
      </c>
      <c r="G488" t="str">
        <f>IFERROR(VLOOKUP($A488,'Student Data'!$A$2:$AR$6,33,0),"")</f>
        <v/>
      </c>
      <c r="H488" t="str">
        <f>IFERROR(VLOOKUP($A488,'Student Data'!$A$2:$AR$6,34,0),"")</f>
        <v/>
      </c>
      <c r="I488" t="str">
        <f>IFERROR(VLOOKUP($A488,'Student Data'!$A$2:$AR$6,35,0),"")</f>
        <v/>
      </c>
      <c r="J488" t="str">
        <f>IFERROR(VLOOKUP($A488,'Student Data'!$A$2:$AR$6,36,0),"")</f>
        <v/>
      </c>
      <c r="K488" t="str">
        <f t="shared" si="14"/>
        <v/>
      </c>
      <c r="L488" t="str">
        <f t="shared" si="15"/>
        <v/>
      </c>
      <c r="M488" t="str">
        <f>IFERROR(IF($C488="","",SUMIFS(Ledger!$K$2:$K$4, Ledger!$B$2:$B$4, $A488, Ledger!$C$2:$C$4, M$2)),"****")</f>
        <v/>
      </c>
      <c r="N488" t="str">
        <f>IFERROR(IF($C488="","",SUMIFS(Ledger!$K$2:$K$4, Ledger!$B$2:$B$4, $A488, Ledger!$C$2:$C$4, N$2)),"****")</f>
        <v/>
      </c>
      <c r="O488" t="str">
        <f>IFERROR(IF($C488="","",SUMIFS(Ledger!$K$2:$K$4, Ledger!$B$2:$B$4, $A488, Ledger!$C$2:$C$4, O$2)),"****")</f>
        <v/>
      </c>
      <c r="P488" t="str">
        <f>IFERROR(IF($C488="","",SUMIFS(Ledger!$K$2:$K$4, Ledger!$B$2:$B$4, $A488, Ledger!$C$2:$C$4, P$2)),"****")</f>
        <v/>
      </c>
      <c r="Q488" t="str">
        <f>IFERROR(IF($C488="","",SUMIFS(Ledger!$K$2:$K$4, Ledger!$B$2:$B$4, $A488, Ledger!$C$2:$C$4, Q$2)),"****")</f>
        <v/>
      </c>
      <c r="R488" t="str">
        <f>IFERROR(IF($C488="","",SUMIFS(Ledger!$K$2:$K$4, Ledger!$B$2:$B$4, $A488, Ledger!$C$2:$C$4, R$2)),"****")</f>
        <v/>
      </c>
      <c r="S488" t="str">
        <f>IFERROR(IF($C488="","",SUMIFS(Ledger!$K$2:$K$4, Ledger!$B$2:$B$4, $A488, Ledger!$C$2:$C$4, S$2)),"****")</f>
        <v/>
      </c>
      <c r="T488" t="str">
        <f>IFERROR(IF($C488="","",SUMIFS(Ledger!$K$2:$K$4, Ledger!$B$2:$B$4, $A488, Ledger!$C$2:$C$4, T$2)),"****")</f>
        <v/>
      </c>
      <c r="U488" t="str">
        <f>IFERROR(IF($C488="","",SUMIFS(Ledger!$K$2:$K$4, Ledger!$B$2:$B$4, $A488, Ledger!$C$2:$C$4, U$2)),"****")</f>
        <v/>
      </c>
      <c r="V488" t="str">
        <f>IFERROR(IF($C488="","",SUMIFS(Ledger!$K$2:$K$4, Ledger!$B$2:$B$4, $A488, Ledger!$C$2:$C$4, V$2)),"****")</f>
        <v/>
      </c>
      <c r="W488" t="str">
        <f>IFERROR(IF($C488="","",SUMIFS(Ledger!$K$2:$K$4, Ledger!$B$2:$B$4, $A488, Ledger!$C$2:$C$4, W$2)),"****")</f>
        <v/>
      </c>
      <c r="X488" t="str">
        <f>IFERROR(IF($C488="","",SUMIFS(Ledger!$K$2:$K$4, Ledger!$B$2:$B$4, $A488, Ledger!$C$2:$C$4, X$2)),"****")</f>
        <v/>
      </c>
    </row>
    <row r="489" spans="1:24" x14ac:dyDescent="0.3">
      <c r="A489" s="106">
        <v>487</v>
      </c>
      <c r="B489" t="str">
        <f>IFERROR(VLOOKUP($A489, Ledger!$B$2:$L$8, 3, 0),"")</f>
        <v/>
      </c>
      <c r="C489" t="str">
        <f>IFERROR(VLOOKUP($A489, Ledger!$B$2:$L$8, 4, 0),"")</f>
        <v/>
      </c>
      <c r="D489" t="str">
        <f>IFERROR(VLOOKUP($A489, Ledger!$B$2:$L$8, 5, 0),"")</f>
        <v/>
      </c>
      <c r="E489" t="str">
        <f>IFERROR(VLOOKUP($A489, Ledger!$B$2:$L$8, 6, 0),"")</f>
        <v/>
      </c>
      <c r="F489" t="str">
        <f>IFERROR(VLOOKUP($A489,'Student Data'!$A$2:$AR$6,32,0),"")</f>
        <v/>
      </c>
      <c r="G489" t="str">
        <f>IFERROR(VLOOKUP($A489,'Student Data'!$A$2:$AR$6,33,0),"")</f>
        <v/>
      </c>
      <c r="H489" t="str">
        <f>IFERROR(VLOOKUP($A489,'Student Data'!$A$2:$AR$6,34,0),"")</f>
        <v/>
      </c>
      <c r="I489" t="str">
        <f>IFERROR(VLOOKUP($A489,'Student Data'!$A$2:$AR$6,35,0),"")</f>
        <v/>
      </c>
      <c r="J489" t="str">
        <f>IFERROR(VLOOKUP($A489,'Student Data'!$A$2:$AR$6,36,0),"")</f>
        <v/>
      </c>
      <c r="K489" t="str">
        <f t="shared" si="14"/>
        <v/>
      </c>
      <c r="L489" t="str">
        <f t="shared" si="15"/>
        <v/>
      </c>
      <c r="M489" t="str">
        <f>IFERROR(IF($C489="","",SUMIFS(Ledger!$K$2:$K$4, Ledger!$B$2:$B$4, $A489, Ledger!$C$2:$C$4, M$2)),"****")</f>
        <v/>
      </c>
      <c r="N489" t="str">
        <f>IFERROR(IF($C489="","",SUMIFS(Ledger!$K$2:$K$4, Ledger!$B$2:$B$4, $A489, Ledger!$C$2:$C$4, N$2)),"****")</f>
        <v/>
      </c>
      <c r="O489" t="str">
        <f>IFERROR(IF($C489="","",SUMIFS(Ledger!$K$2:$K$4, Ledger!$B$2:$B$4, $A489, Ledger!$C$2:$C$4, O$2)),"****")</f>
        <v/>
      </c>
      <c r="P489" t="str">
        <f>IFERROR(IF($C489="","",SUMIFS(Ledger!$K$2:$K$4, Ledger!$B$2:$B$4, $A489, Ledger!$C$2:$C$4, P$2)),"****")</f>
        <v/>
      </c>
      <c r="Q489" t="str">
        <f>IFERROR(IF($C489="","",SUMIFS(Ledger!$K$2:$K$4, Ledger!$B$2:$B$4, $A489, Ledger!$C$2:$C$4, Q$2)),"****")</f>
        <v/>
      </c>
      <c r="R489" t="str">
        <f>IFERROR(IF($C489="","",SUMIFS(Ledger!$K$2:$K$4, Ledger!$B$2:$B$4, $A489, Ledger!$C$2:$C$4, R$2)),"****")</f>
        <v/>
      </c>
      <c r="S489" t="str">
        <f>IFERROR(IF($C489="","",SUMIFS(Ledger!$K$2:$K$4, Ledger!$B$2:$B$4, $A489, Ledger!$C$2:$C$4, S$2)),"****")</f>
        <v/>
      </c>
      <c r="T489" t="str">
        <f>IFERROR(IF($C489="","",SUMIFS(Ledger!$K$2:$K$4, Ledger!$B$2:$B$4, $A489, Ledger!$C$2:$C$4, T$2)),"****")</f>
        <v/>
      </c>
      <c r="U489" t="str">
        <f>IFERROR(IF($C489="","",SUMIFS(Ledger!$K$2:$K$4, Ledger!$B$2:$B$4, $A489, Ledger!$C$2:$C$4, U$2)),"****")</f>
        <v/>
      </c>
      <c r="V489" t="str">
        <f>IFERROR(IF($C489="","",SUMIFS(Ledger!$K$2:$K$4, Ledger!$B$2:$B$4, $A489, Ledger!$C$2:$C$4, V$2)),"****")</f>
        <v/>
      </c>
      <c r="W489" t="str">
        <f>IFERROR(IF($C489="","",SUMIFS(Ledger!$K$2:$K$4, Ledger!$B$2:$B$4, $A489, Ledger!$C$2:$C$4, W$2)),"****")</f>
        <v/>
      </c>
      <c r="X489" t="str">
        <f>IFERROR(IF($C489="","",SUMIFS(Ledger!$K$2:$K$4, Ledger!$B$2:$B$4, $A489, Ledger!$C$2:$C$4, X$2)),"****")</f>
        <v/>
      </c>
    </row>
    <row r="490" spans="1:24" x14ac:dyDescent="0.3">
      <c r="A490" s="106">
        <v>488</v>
      </c>
      <c r="B490" t="str">
        <f>IFERROR(VLOOKUP($A490, Ledger!$B$2:$L$8, 3, 0),"")</f>
        <v/>
      </c>
      <c r="C490" t="str">
        <f>IFERROR(VLOOKUP($A490, Ledger!$B$2:$L$8, 4, 0),"")</f>
        <v/>
      </c>
      <c r="D490" t="str">
        <f>IFERROR(VLOOKUP($A490, Ledger!$B$2:$L$8, 5, 0),"")</f>
        <v/>
      </c>
      <c r="E490" t="str">
        <f>IFERROR(VLOOKUP($A490, Ledger!$B$2:$L$8, 6, 0),"")</f>
        <v/>
      </c>
      <c r="F490" t="str">
        <f>IFERROR(VLOOKUP($A490,'Student Data'!$A$2:$AR$6,32,0),"")</f>
        <v/>
      </c>
      <c r="G490" t="str">
        <f>IFERROR(VLOOKUP($A490,'Student Data'!$A$2:$AR$6,33,0),"")</f>
        <v/>
      </c>
      <c r="H490" t="str">
        <f>IFERROR(VLOOKUP($A490,'Student Data'!$A$2:$AR$6,34,0),"")</f>
        <v/>
      </c>
      <c r="I490" t="str">
        <f>IFERROR(VLOOKUP($A490,'Student Data'!$A$2:$AR$6,35,0),"")</f>
        <v/>
      </c>
      <c r="J490" t="str">
        <f>IFERROR(VLOOKUP($A490,'Student Data'!$A$2:$AR$6,36,0),"")</f>
        <v/>
      </c>
      <c r="K490" t="str">
        <f t="shared" si="14"/>
        <v/>
      </c>
      <c r="L490" t="str">
        <f t="shared" si="15"/>
        <v/>
      </c>
      <c r="M490" t="str">
        <f>IFERROR(IF($C490="","",SUMIFS(Ledger!$K$2:$K$4, Ledger!$B$2:$B$4, $A490, Ledger!$C$2:$C$4, M$2)),"****")</f>
        <v/>
      </c>
      <c r="N490" t="str">
        <f>IFERROR(IF($C490="","",SUMIFS(Ledger!$K$2:$K$4, Ledger!$B$2:$B$4, $A490, Ledger!$C$2:$C$4, N$2)),"****")</f>
        <v/>
      </c>
      <c r="O490" t="str">
        <f>IFERROR(IF($C490="","",SUMIFS(Ledger!$K$2:$K$4, Ledger!$B$2:$B$4, $A490, Ledger!$C$2:$C$4, O$2)),"****")</f>
        <v/>
      </c>
      <c r="P490" t="str">
        <f>IFERROR(IF($C490="","",SUMIFS(Ledger!$K$2:$K$4, Ledger!$B$2:$B$4, $A490, Ledger!$C$2:$C$4, P$2)),"****")</f>
        <v/>
      </c>
      <c r="Q490" t="str">
        <f>IFERROR(IF($C490="","",SUMIFS(Ledger!$K$2:$K$4, Ledger!$B$2:$B$4, $A490, Ledger!$C$2:$C$4, Q$2)),"****")</f>
        <v/>
      </c>
      <c r="R490" t="str">
        <f>IFERROR(IF($C490="","",SUMIFS(Ledger!$K$2:$K$4, Ledger!$B$2:$B$4, $A490, Ledger!$C$2:$C$4, R$2)),"****")</f>
        <v/>
      </c>
      <c r="S490" t="str">
        <f>IFERROR(IF($C490="","",SUMIFS(Ledger!$K$2:$K$4, Ledger!$B$2:$B$4, $A490, Ledger!$C$2:$C$4, S$2)),"****")</f>
        <v/>
      </c>
      <c r="T490" t="str">
        <f>IFERROR(IF($C490="","",SUMIFS(Ledger!$K$2:$K$4, Ledger!$B$2:$B$4, $A490, Ledger!$C$2:$C$4, T$2)),"****")</f>
        <v/>
      </c>
      <c r="U490" t="str">
        <f>IFERROR(IF($C490="","",SUMIFS(Ledger!$K$2:$K$4, Ledger!$B$2:$B$4, $A490, Ledger!$C$2:$C$4, U$2)),"****")</f>
        <v/>
      </c>
      <c r="V490" t="str">
        <f>IFERROR(IF($C490="","",SUMIFS(Ledger!$K$2:$K$4, Ledger!$B$2:$B$4, $A490, Ledger!$C$2:$C$4, V$2)),"****")</f>
        <v/>
      </c>
      <c r="W490" t="str">
        <f>IFERROR(IF($C490="","",SUMIFS(Ledger!$K$2:$K$4, Ledger!$B$2:$B$4, $A490, Ledger!$C$2:$C$4, W$2)),"****")</f>
        <v/>
      </c>
      <c r="X490" t="str">
        <f>IFERROR(IF($C490="","",SUMIFS(Ledger!$K$2:$K$4, Ledger!$B$2:$B$4, $A490, Ledger!$C$2:$C$4, X$2)),"****")</f>
        <v/>
      </c>
    </row>
    <row r="491" spans="1:24" x14ac:dyDescent="0.3">
      <c r="A491" s="106">
        <v>489</v>
      </c>
      <c r="B491" t="str">
        <f>IFERROR(VLOOKUP($A491, Ledger!$B$2:$L$8, 3, 0),"")</f>
        <v/>
      </c>
      <c r="C491" t="str">
        <f>IFERROR(VLOOKUP($A491, Ledger!$B$2:$L$8, 4, 0),"")</f>
        <v/>
      </c>
      <c r="D491" t="str">
        <f>IFERROR(VLOOKUP($A491, Ledger!$B$2:$L$8, 5, 0),"")</f>
        <v/>
      </c>
      <c r="E491" t="str">
        <f>IFERROR(VLOOKUP($A491, Ledger!$B$2:$L$8, 6, 0),"")</f>
        <v/>
      </c>
      <c r="F491" t="str">
        <f>IFERROR(VLOOKUP($A491,'Student Data'!$A$2:$AR$6,32,0),"")</f>
        <v/>
      </c>
      <c r="G491" t="str">
        <f>IFERROR(VLOOKUP($A491,'Student Data'!$A$2:$AR$6,33,0),"")</f>
        <v/>
      </c>
      <c r="H491" t="str">
        <f>IFERROR(VLOOKUP($A491,'Student Data'!$A$2:$AR$6,34,0),"")</f>
        <v/>
      </c>
      <c r="I491" t="str">
        <f>IFERROR(VLOOKUP($A491,'Student Data'!$A$2:$AR$6,35,0),"")</f>
        <v/>
      </c>
      <c r="J491" t="str">
        <f>IFERROR(VLOOKUP($A491,'Student Data'!$A$2:$AR$6,36,0),"")</f>
        <v/>
      </c>
      <c r="K491" t="str">
        <f t="shared" si="14"/>
        <v/>
      </c>
      <c r="L491" t="str">
        <f t="shared" si="15"/>
        <v/>
      </c>
      <c r="M491" t="str">
        <f>IFERROR(IF($C491="","",SUMIFS(Ledger!$K$2:$K$4, Ledger!$B$2:$B$4, $A491, Ledger!$C$2:$C$4, M$2)),"****")</f>
        <v/>
      </c>
      <c r="N491" t="str">
        <f>IFERROR(IF($C491="","",SUMIFS(Ledger!$K$2:$K$4, Ledger!$B$2:$B$4, $A491, Ledger!$C$2:$C$4, N$2)),"****")</f>
        <v/>
      </c>
      <c r="O491" t="str">
        <f>IFERROR(IF($C491="","",SUMIFS(Ledger!$K$2:$K$4, Ledger!$B$2:$B$4, $A491, Ledger!$C$2:$C$4, O$2)),"****")</f>
        <v/>
      </c>
      <c r="P491" t="str">
        <f>IFERROR(IF($C491="","",SUMIFS(Ledger!$K$2:$K$4, Ledger!$B$2:$B$4, $A491, Ledger!$C$2:$C$4, P$2)),"****")</f>
        <v/>
      </c>
      <c r="Q491" t="str">
        <f>IFERROR(IF($C491="","",SUMIFS(Ledger!$K$2:$K$4, Ledger!$B$2:$B$4, $A491, Ledger!$C$2:$C$4, Q$2)),"****")</f>
        <v/>
      </c>
      <c r="R491" t="str">
        <f>IFERROR(IF($C491="","",SUMIFS(Ledger!$K$2:$K$4, Ledger!$B$2:$B$4, $A491, Ledger!$C$2:$C$4, R$2)),"****")</f>
        <v/>
      </c>
      <c r="S491" t="str">
        <f>IFERROR(IF($C491="","",SUMIFS(Ledger!$K$2:$K$4, Ledger!$B$2:$B$4, $A491, Ledger!$C$2:$C$4, S$2)),"****")</f>
        <v/>
      </c>
      <c r="T491" t="str">
        <f>IFERROR(IF($C491="","",SUMIFS(Ledger!$K$2:$K$4, Ledger!$B$2:$B$4, $A491, Ledger!$C$2:$C$4, T$2)),"****")</f>
        <v/>
      </c>
      <c r="U491" t="str">
        <f>IFERROR(IF($C491="","",SUMIFS(Ledger!$K$2:$K$4, Ledger!$B$2:$B$4, $A491, Ledger!$C$2:$C$4, U$2)),"****")</f>
        <v/>
      </c>
      <c r="V491" t="str">
        <f>IFERROR(IF($C491="","",SUMIFS(Ledger!$K$2:$K$4, Ledger!$B$2:$B$4, $A491, Ledger!$C$2:$C$4, V$2)),"****")</f>
        <v/>
      </c>
      <c r="W491" t="str">
        <f>IFERROR(IF($C491="","",SUMIFS(Ledger!$K$2:$K$4, Ledger!$B$2:$B$4, $A491, Ledger!$C$2:$C$4, W$2)),"****")</f>
        <v/>
      </c>
      <c r="X491" t="str">
        <f>IFERROR(IF($C491="","",SUMIFS(Ledger!$K$2:$K$4, Ledger!$B$2:$B$4, $A491, Ledger!$C$2:$C$4, X$2)),"****")</f>
        <v/>
      </c>
    </row>
    <row r="492" spans="1:24" x14ac:dyDescent="0.3">
      <c r="A492" s="106">
        <v>490</v>
      </c>
      <c r="B492" t="str">
        <f>IFERROR(VLOOKUP($A492, Ledger!$B$2:$L$8, 3, 0),"")</f>
        <v/>
      </c>
      <c r="C492" t="str">
        <f>IFERROR(VLOOKUP($A492, Ledger!$B$2:$L$8, 4, 0),"")</f>
        <v/>
      </c>
      <c r="D492" t="str">
        <f>IFERROR(VLOOKUP($A492, Ledger!$B$2:$L$8, 5, 0),"")</f>
        <v/>
      </c>
      <c r="E492" t="str">
        <f>IFERROR(VLOOKUP($A492, Ledger!$B$2:$L$8, 6, 0),"")</f>
        <v/>
      </c>
      <c r="F492" t="str">
        <f>IFERROR(VLOOKUP($A492,'Student Data'!$A$2:$AR$6,32,0),"")</f>
        <v/>
      </c>
      <c r="G492" t="str">
        <f>IFERROR(VLOOKUP($A492,'Student Data'!$A$2:$AR$6,33,0),"")</f>
        <v/>
      </c>
      <c r="H492" t="str">
        <f>IFERROR(VLOOKUP($A492,'Student Data'!$A$2:$AR$6,34,0),"")</f>
        <v/>
      </c>
      <c r="I492" t="str">
        <f>IFERROR(VLOOKUP($A492,'Student Data'!$A$2:$AR$6,35,0),"")</f>
        <v/>
      </c>
      <c r="J492" t="str">
        <f>IFERROR(VLOOKUP($A492,'Student Data'!$A$2:$AR$6,36,0),"")</f>
        <v/>
      </c>
      <c r="K492" t="str">
        <f t="shared" si="14"/>
        <v/>
      </c>
      <c r="L492" t="str">
        <f t="shared" si="15"/>
        <v/>
      </c>
      <c r="M492" t="str">
        <f>IFERROR(IF($C492="","",SUMIFS(Ledger!$K$2:$K$4, Ledger!$B$2:$B$4, $A492, Ledger!$C$2:$C$4, M$2)),"****")</f>
        <v/>
      </c>
      <c r="N492" t="str">
        <f>IFERROR(IF($C492="","",SUMIFS(Ledger!$K$2:$K$4, Ledger!$B$2:$B$4, $A492, Ledger!$C$2:$C$4, N$2)),"****")</f>
        <v/>
      </c>
      <c r="O492" t="str">
        <f>IFERROR(IF($C492="","",SUMIFS(Ledger!$K$2:$K$4, Ledger!$B$2:$B$4, $A492, Ledger!$C$2:$C$4, O$2)),"****")</f>
        <v/>
      </c>
      <c r="P492" t="str">
        <f>IFERROR(IF($C492="","",SUMIFS(Ledger!$K$2:$K$4, Ledger!$B$2:$B$4, $A492, Ledger!$C$2:$C$4, P$2)),"****")</f>
        <v/>
      </c>
      <c r="Q492" t="str">
        <f>IFERROR(IF($C492="","",SUMIFS(Ledger!$K$2:$K$4, Ledger!$B$2:$B$4, $A492, Ledger!$C$2:$C$4, Q$2)),"****")</f>
        <v/>
      </c>
      <c r="R492" t="str">
        <f>IFERROR(IF($C492="","",SUMIFS(Ledger!$K$2:$K$4, Ledger!$B$2:$B$4, $A492, Ledger!$C$2:$C$4, R$2)),"****")</f>
        <v/>
      </c>
      <c r="S492" t="str">
        <f>IFERROR(IF($C492="","",SUMIFS(Ledger!$K$2:$K$4, Ledger!$B$2:$B$4, $A492, Ledger!$C$2:$C$4, S$2)),"****")</f>
        <v/>
      </c>
      <c r="T492" t="str">
        <f>IFERROR(IF($C492="","",SUMIFS(Ledger!$K$2:$K$4, Ledger!$B$2:$B$4, $A492, Ledger!$C$2:$C$4, T$2)),"****")</f>
        <v/>
      </c>
      <c r="U492" t="str">
        <f>IFERROR(IF($C492="","",SUMIFS(Ledger!$K$2:$K$4, Ledger!$B$2:$B$4, $A492, Ledger!$C$2:$C$4, U$2)),"****")</f>
        <v/>
      </c>
      <c r="V492" t="str">
        <f>IFERROR(IF($C492="","",SUMIFS(Ledger!$K$2:$K$4, Ledger!$B$2:$B$4, $A492, Ledger!$C$2:$C$4, V$2)),"****")</f>
        <v/>
      </c>
      <c r="W492" t="str">
        <f>IFERROR(IF($C492="","",SUMIFS(Ledger!$K$2:$K$4, Ledger!$B$2:$B$4, $A492, Ledger!$C$2:$C$4, W$2)),"****")</f>
        <v/>
      </c>
      <c r="X492" t="str">
        <f>IFERROR(IF($C492="","",SUMIFS(Ledger!$K$2:$K$4, Ledger!$B$2:$B$4, $A492, Ledger!$C$2:$C$4, X$2)),"****")</f>
        <v/>
      </c>
    </row>
    <row r="493" spans="1:24" x14ac:dyDescent="0.3">
      <c r="A493" s="106">
        <v>491</v>
      </c>
      <c r="B493" t="str">
        <f>IFERROR(VLOOKUP($A493, Ledger!$B$2:$L$8, 3, 0),"")</f>
        <v/>
      </c>
      <c r="C493" t="str">
        <f>IFERROR(VLOOKUP($A493, Ledger!$B$2:$L$8, 4, 0),"")</f>
        <v/>
      </c>
      <c r="D493" t="str">
        <f>IFERROR(VLOOKUP($A493, Ledger!$B$2:$L$8, 5, 0),"")</f>
        <v/>
      </c>
      <c r="E493" t="str">
        <f>IFERROR(VLOOKUP($A493, Ledger!$B$2:$L$8, 6, 0),"")</f>
        <v/>
      </c>
      <c r="F493" t="str">
        <f>IFERROR(VLOOKUP($A493,'Student Data'!$A$2:$AR$6,32,0),"")</f>
        <v/>
      </c>
      <c r="G493" t="str">
        <f>IFERROR(VLOOKUP($A493,'Student Data'!$A$2:$AR$6,33,0),"")</f>
        <v/>
      </c>
      <c r="H493" t="str">
        <f>IFERROR(VLOOKUP($A493,'Student Data'!$A$2:$AR$6,34,0),"")</f>
        <v/>
      </c>
      <c r="I493" t="str">
        <f>IFERROR(VLOOKUP($A493,'Student Data'!$A$2:$AR$6,35,0),"")</f>
        <v/>
      </c>
      <c r="J493" t="str">
        <f>IFERROR(VLOOKUP($A493,'Student Data'!$A$2:$AR$6,36,0),"")</f>
        <v/>
      </c>
      <c r="K493" t="str">
        <f t="shared" si="14"/>
        <v/>
      </c>
      <c r="L493" t="str">
        <f t="shared" si="15"/>
        <v/>
      </c>
      <c r="M493" t="str">
        <f>IFERROR(IF($C493="","",SUMIFS(Ledger!$K$2:$K$4, Ledger!$B$2:$B$4, $A493, Ledger!$C$2:$C$4, M$2)),"****")</f>
        <v/>
      </c>
      <c r="N493" t="str">
        <f>IFERROR(IF($C493="","",SUMIFS(Ledger!$K$2:$K$4, Ledger!$B$2:$B$4, $A493, Ledger!$C$2:$C$4, N$2)),"****")</f>
        <v/>
      </c>
      <c r="O493" t="str">
        <f>IFERROR(IF($C493="","",SUMIFS(Ledger!$K$2:$K$4, Ledger!$B$2:$B$4, $A493, Ledger!$C$2:$C$4, O$2)),"****")</f>
        <v/>
      </c>
      <c r="P493" t="str">
        <f>IFERROR(IF($C493="","",SUMIFS(Ledger!$K$2:$K$4, Ledger!$B$2:$B$4, $A493, Ledger!$C$2:$C$4, P$2)),"****")</f>
        <v/>
      </c>
      <c r="Q493" t="str">
        <f>IFERROR(IF($C493="","",SUMIFS(Ledger!$K$2:$K$4, Ledger!$B$2:$B$4, $A493, Ledger!$C$2:$C$4, Q$2)),"****")</f>
        <v/>
      </c>
      <c r="R493" t="str">
        <f>IFERROR(IF($C493="","",SUMIFS(Ledger!$K$2:$K$4, Ledger!$B$2:$B$4, $A493, Ledger!$C$2:$C$4, R$2)),"****")</f>
        <v/>
      </c>
      <c r="S493" t="str">
        <f>IFERROR(IF($C493="","",SUMIFS(Ledger!$K$2:$K$4, Ledger!$B$2:$B$4, $A493, Ledger!$C$2:$C$4, S$2)),"****")</f>
        <v/>
      </c>
      <c r="T493" t="str">
        <f>IFERROR(IF($C493="","",SUMIFS(Ledger!$K$2:$K$4, Ledger!$B$2:$B$4, $A493, Ledger!$C$2:$C$4, T$2)),"****")</f>
        <v/>
      </c>
      <c r="U493" t="str">
        <f>IFERROR(IF($C493="","",SUMIFS(Ledger!$K$2:$K$4, Ledger!$B$2:$B$4, $A493, Ledger!$C$2:$C$4, U$2)),"****")</f>
        <v/>
      </c>
      <c r="V493" t="str">
        <f>IFERROR(IF($C493="","",SUMIFS(Ledger!$K$2:$K$4, Ledger!$B$2:$B$4, $A493, Ledger!$C$2:$C$4, V$2)),"****")</f>
        <v/>
      </c>
      <c r="W493" t="str">
        <f>IFERROR(IF($C493="","",SUMIFS(Ledger!$K$2:$K$4, Ledger!$B$2:$B$4, $A493, Ledger!$C$2:$C$4, W$2)),"****")</f>
        <v/>
      </c>
      <c r="X493" t="str">
        <f>IFERROR(IF($C493="","",SUMIFS(Ledger!$K$2:$K$4, Ledger!$B$2:$B$4, $A493, Ledger!$C$2:$C$4, X$2)),"****")</f>
        <v/>
      </c>
    </row>
    <row r="494" spans="1:24" x14ac:dyDescent="0.3">
      <c r="A494" s="106">
        <v>492</v>
      </c>
      <c r="B494" t="str">
        <f>IFERROR(VLOOKUP($A494, Ledger!$B$2:$L$8, 3, 0),"")</f>
        <v/>
      </c>
      <c r="C494" t="str">
        <f>IFERROR(VLOOKUP($A494, Ledger!$B$2:$L$8, 4, 0),"")</f>
        <v/>
      </c>
      <c r="D494" t="str">
        <f>IFERROR(VLOOKUP($A494, Ledger!$B$2:$L$8, 5, 0),"")</f>
        <v/>
      </c>
      <c r="E494" t="str">
        <f>IFERROR(VLOOKUP($A494, Ledger!$B$2:$L$8, 6, 0),"")</f>
        <v/>
      </c>
      <c r="F494" t="str">
        <f>IFERROR(VLOOKUP($A494,'Student Data'!$A$2:$AR$6,32,0),"")</f>
        <v/>
      </c>
      <c r="G494" t="str">
        <f>IFERROR(VLOOKUP($A494,'Student Data'!$A$2:$AR$6,33,0),"")</f>
        <v/>
      </c>
      <c r="H494" t="str">
        <f>IFERROR(VLOOKUP($A494,'Student Data'!$A$2:$AR$6,34,0),"")</f>
        <v/>
      </c>
      <c r="I494" t="str">
        <f>IFERROR(VLOOKUP($A494,'Student Data'!$A$2:$AR$6,35,0),"")</f>
        <v/>
      </c>
      <c r="J494" t="str">
        <f>IFERROR(VLOOKUP($A494,'Student Data'!$A$2:$AR$6,36,0),"")</f>
        <v/>
      </c>
      <c r="K494" t="str">
        <f t="shared" si="14"/>
        <v/>
      </c>
      <c r="L494" t="str">
        <f t="shared" si="15"/>
        <v/>
      </c>
      <c r="M494" t="str">
        <f>IFERROR(IF($C494="","",SUMIFS(Ledger!$K$2:$K$4, Ledger!$B$2:$B$4, $A494, Ledger!$C$2:$C$4, M$2)),"****")</f>
        <v/>
      </c>
      <c r="N494" t="str">
        <f>IFERROR(IF($C494="","",SUMIFS(Ledger!$K$2:$K$4, Ledger!$B$2:$B$4, $A494, Ledger!$C$2:$C$4, N$2)),"****")</f>
        <v/>
      </c>
      <c r="O494" t="str">
        <f>IFERROR(IF($C494="","",SUMIFS(Ledger!$K$2:$K$4, Ledger!$B$2:$B$4, $A494, Ledger!$C$2:$C$4, O$2)),"****")</f>
        <v/>
      </c>
      <c r="P494" t="str">
        <f>IFERROR(IF($C494="","",SUMIFS(Ledger!$K$2:$K$4, Ledger!$B$2:$B$4, $A494, Ledger!$C$2:$C$4, P$2)),"****")</f>
        <v/>
      </c>
      <c r="Q494" t="str">
        <f>IFERROR(IF($C494="","",SUMIFS(Ledger!$K$2:$K$4, Ledger!$B$2:$B$4, $A494, Ledger!$C$2:$C$4, Q$2)),"****")</f>
        <v/>
      </c>
      <c r="R494" t="str">
        <f>IFERROR(IF($C494="","",SUMIFS(Ledger!$K$2:$K$4, Ledger!$B$2:$B$4, $A494, Ledger!$C$2:$C$4, R$2)),"****")</f>
        <v/>
      </c>
      <c r="S494" t="str">
        <f>IFERROR(IF($C494="","",SUMIFS(Ledger!$K$2:$K$4, Ledger!$B$2:$B$4, $A494, Ledger!$C$2:$C$4, S$2)),"****")</f>
        <v/>
      </c>
      <c r="T494" t="str">
        <f>IFERROR(IF($C494="","",SUMIFS(Ledger!$K$2:$K$4, Ledger!$B$2:$B$4, $A494, Ledger!$C$2:$C$4, T$2)),"****")</f>
        <v/>
      </c>
      <c r="U494" t="str">
        <f>IFERROR(IF($C494="","",SUMIFS(Ledger!$K$2:$K$4, Ledger!$B$2:$B$4, $A494, Ledger!$C$2:$C$4, U$2)),"****")</f>
        <v/>
      </c>
      <c r="V494" t="str">
        <f>IFERROR(IF($C494="","",SUMIFS(Ledger!$K$2:$K$4, Ledger!$B$2:$B$4, $A494, Ledger!$C$2:$C$4, V$2)),"****")</f>
        <v/>
      </c>
      <c r="W494" t="str">
        <f>IFERROR(IF($C494="","",SUMIFS(Ledger!$K$2:$K$4, Ledger!$B$2:$B$4, $A494, Ledger!$C$2:$C$4, W$2)),"****")</f>
        <v/>
      </c>
      <c r="X494" t="str">
        <f>IFERROR(IF($C494="","",SUMIFS(Ledger!$K$2:$K$4, Ledger!$B$2:$B$4, $A494, Ledger!$C$2:$C$4, X$2)),"****")</f>
        <v/>
      </c>
    </row>
    <row r="495" spans="1:24" x14ac:dyDescent="0.3">
      <c r="A495" s="106">
        <v>493</v>
      </c>
      <c r="B495" t="str">
        <f>IFERROR(VLOOKUP($A495, Ledger!$B$2:$L$8, 3, 0),"")</f>
        <v/>
      </c>
      <c r="C495" t="str">
        <f>IFERROR(VLOOKUP($A495, Ledger!$B$2:$L$8, 4, 0),"")</f>
        <v/>
      </c>
      <c r="D495" t="str">
        <f>IFERROR(VLOOKUP($A495, Ledger!$B$2:$L$8, 5, 0),"")</f>
        <v/>
      </c>
      <c r="E495" t="str">
        <f>IFERROR(VLOOKUP($A495, Ledger!$B$2:$L$8, 6, 0),"")</f>
        <v/>
      </c>
      <c r="F495" t="str">
        <f>IFERROR(VLOOKUP($A495,'Student Data'!$A$2:$AR$6,32,0),"")</f>
        <v/>
      </c>
      <c r="G495" t="str">
        <f>IFERROR(VLOOKUP($A495,'Student Data'!$A$2:$AR$6,33,0),"")</f>
        <v/>
      </c>
      <c r="H495" t="str">
        <f>IFERROR(VLOOKUP($A495,'Student Data'!$A$2:$AR$6,34,0),"")</f>
        <v/>
      </c>
      <c r="I495" t="str">
        <f>IFERROR(VLOOKUP($A495,'Student Data'!$A$2:$AR$6,35,0),"")</f>
        <v/>
      </c>
      <c r="J495" t="str">
        <f>IFERROR(VLOOKUP($A495,'Student Data'!$A$2:$AR$6,36,0),"")</f>
        <v/>
      </c>
      <c r="K495" t="str">
        <f t="shared" si="14"/>
        <v/>
      </c>
      <c r="L495" t="str">
        <f t="shared" si="15"/>
        <v/>
      </c>
      <c r="M495" t="str">
        <f>IFERROR(IF($C495="","",SUMIFS(Ledger!$K$2:$K$4, Ledger!$B$2:$B$4, $A495, Ledger!$C$2:$C$4, M$2)),"****")</f>
        <v/>
      </c>
      <c r="N495" t="str">
        <f>IFERROR(IF($C495="","",SUMIFS(Ledger!$K$2:$K$4, Ledger!$B$2:$B$4, $A495, Ledger!$C$2:$C$4, N$2)),"****")</f>
        <v/>
      </c>
      <c r="O495" t="str">
        <f>IFERROR(IF($C495="","",SUMIFS(Ledger!$K$2:$K$4, Ledger!$B$2:$B$4, $A495, Ledger!$C$2:$C$4, O$2)),"****")</f>
        <v/>
      </c>
      <c r="P495" t="str">
        <f>IFERROR(IF($C495="","",SUMIFS(Ledger!$K$2:$K$4, Ledger!$B$2:$B$4, $A495, Ledger!$C$2:$C$4, P$2)),"****")</f>
        <v/>
      </c>
      <c r="Q495" t="str">
        <f>IFERROR(IF($C495="","",SUMIFS(Ledger!$K$2:$K$4, Ledger!$B$2:$B$4, $A495, Ledger!$C$2:$C$4, Q$2)),"****")</f>
        <v/>
      </c>
      <c r="R495" t="str">
        <f>IFERROR(IF($C495="","",SUMIFS(Ledger!$K$2:$K$4, Ledger!$B$2:$B$4, $A495, Ledger!$C$2:$C$4, R$2)),"****")</f>
        <v/>
      </c>
      <c r="S495" t="str">
        <f>IFERROR(IF($C495="","",SUMIFS(Ledger!$K$2:$K$4, Ledger!$B$2:$B$4, $A495, Ledger!$C$2:$C$4, S$2)),"****")</f>
        <v/>
      </c>
      <c r="T495" t="str">
        <f>IFERROR(IF($C495="","",SUMIFS(Ledger!$K$2:$K$4, Ledger!$B$2:$B$4, $A495, Ledger!$C$2:$C$4, T$2)),"****")</f>
        <v/>
      </c>
      <c r="U495" t="str">
        <f>IFERROR(IF($C495="","",SUMIFS(Ledger!$K$2:$K$4, Ledger!$B$2:$B$4, $A495, Ledger!$C$2:$C$4, U$2)),"****")</f>
        <v/>
      </c>
      <c r="V495" t="str">
        <f>IFERROR(IF($C495="","",SUMIFS(Ledger!$K$2:$K$4, Ledger!$B$2:$B$4, $A495, Ledger!$C$2:$C$4, V$2)),"****")</f>
        <v/>
      </c>
      <c r="W495" t="str">
        <f>IFERROR(IF($C495="","",SUMIFS(Ledger!$K$2:$K$4, Ledger!$B$2:$B$4, $A495, Ledger!$C$2:$C$4, W$2)),"****")</f>
        <v/>
      </c>
      <c r="X495" t="str">
        <f>IFERROR(IF($C495="","",SUMIFS(Ledger!$K$2:$K$4, Ledger!$B$2:$B$4, $A495, Ledger!$C$2:$C$4, X$2)),"****")</f>
        <v/>
      </c>
    </row>
    <row r="496" spans="1:24" x14ac:dyDescent="0.3">
      <c r="A496" s="106">
        <v>494</v>
      </c>
      <c r="B496" t="str">
        <f>IFERROR(VLOOKUP($A496, Ledger!$B$2:$L$8, 3, 0),"")</f>
        <v/>
      </c>
      <c r="C496" t="str">
        <f>IFERROR(VLOOKUP($A496, Ledger!$B$2:$L$8, 4, 0),"")</f>
        <v/>
      </c>
      <c r="D496" t="str">
        <f>IFERROR(VLOOKUP($A496, Ledger!$B$2:$L$8, 5, 0),"")</f>
        <v/>
      </c>
      <c r="E496" t="str">
        <f>IFERROR(VLOOKUP($A496, Ledger!$B$2:$L$8, 6, 0),"")</f>
        <v/>
      </c>
      <c r="F496" t="str">
        <f>IFERROR(VLOOKUP($A496,'Student Data'!$A$2:$AR$6,32,0),"")</f>
        <v/>
      </c>
      <c r="G496" t="str">
        <f>IFERROR(VLOOKUP($A496,'Student Data'!$A$2:$AR$6,33,0),"")</f>
        <v/>
      </c>
      <c r="H496" t="str">
        <f>IFERROR(VLOOKUP($A496,'Student Data'!$A$2:$AR$6,34,0),"")</f>
        <v/>
      </c>
      <c r="I496" t="str">
        <f>IFERROR(VLOOKUP($A496,'Student Data'!$A$2:$AR$6,35,0),"")</f>
        <v/>
      </c>
      <c r="J496" t="str">
        <f>IFERROR(VLOOKUP($A496,'Student Data'!$A$2:$AR$6,36,0),"")</f>
        <v/>
      </c>
      <c r="K496" t="str">
        <f t="shared" si="14"/>
        <v/>
      </c>
      <c r="L496" t="str">
        <f t="shared" si="15"/>
        <v/>
      </c>
      <c r="M496" t="str">
        <f>IFERROR(IF($C496="","",SUMIFS(Ledger!$K$2:$K$4, Ledger!$B$2:$B$4, $A496, Ledger!$C$2:$C$4, M$2)),"****")</f>
        <v/>
      </c>
      <c r="N496" t="str">
        <f>IFERROR(IF($C496="","",SUMIFS(Ledger!$K$2:$K$4, Ledger!$B$2:$B$4, $A496, Ledger!$C$2:$C$4, N$2)),"****")</f>
        <v/>
      </c>
      <c r="O496" t="str">
        <f>IFERROR(IF($C496="","",SUMIFS(Ledger!$K$2:$K$4, Ledger!$B$2:$B$4, $A496, Ledger!$C$2:$C$4, O$2)),"****")</f>
        <v/>
      </c>
      <c r="P496" t="str">
        <f>IFERROR(IF($C496="","",SUMIFS(Ledger!$K$2:$K$4, Ledger!$B$2:$B$4, $A496, Ledger!$C$2:$C$4, P$2)),"****")</f>
        <v/>
      </c>
      <c r="Q496" t="str">
        <f>IFERROR(IF($C496="","",SUMIFS(Ledger!$K$2:$K$4, Ledger!$B$2:$B$4, $A496, Ledger!$C$2:$C$4, Q$2)),"****")</f>
        <v/>
      </c>
      <c r="R496" t="str">
        <f>IFERROR(IF($C496="","",SUMIFS(Ledger!$K$2:$K$4, Ledger!$B$2:$B$4, $A496, Ledger!$C$2:$C$4, R$2)),"****")</f>
        <v/>
      </c>
      <c r="S496" t="str">
        <f>IFERROR(IF($C496="","",SUMIFS(Ledger!$K$2:$K$4, Ledger!$B$2:$B$4, $A496, Ledger!$C$2:$C$4, S$2)),"****")</f>
        <v/>
      </c>
      <c r="T496" t="str">
        <f>IFERROR(IF($C496="","",SUMIFS(Ledger!$K$2:$K$4, Ledger!$B$2:$B$4, $A496, Ledger!$C$2:$C$4, T$2)),"****")</f>
        <v/>
      </c>
      <c r="U496" t="str">
        <f>IFERROR(IF($C496="","",SUMIFS(Ledger!$K$2:$K$4, Ledger!$B$2:$B$4, $A496, Ledger!$C$2:$C$4, U$2)),"****")</f>
        <v/>
      </c>
      <c r="V496" t="str">
        <f>IFERROR(IF($C496="","",SUMIFS(Ledger!$K$2:$K$4, Ledger!$B$2:$B$4, $A496, Ledger!$C$2:$C$4, V$2)),"****")</f>
        <v/>
      </c>
      <c r="W496" t="str">
        <f>IFERROR(IF($C496="","",SUMIFS(Ledger!$K$2:$K$4, Ledger!$B$2:$B$4, $A496, Ledger!$C$2:$C$4, W$2)),"****")</f>
        <v/>
      </c>
      <c r="X496" t="str">
        <f>IFERROR(IF($C496="","",SUMIFS(Ledger!$K$2:$K$4, Ledger!$B$2:$B$4, $A496, Ledger!$C$2:$C$4, X$2)),"****")</f>
        <v/>
      </c>
    </row>
    <row r="497" spans="1:24" x14ac:dyDescent="0.3">
      <c r="A497" s="106">
        <v>495</v>
      </c>
      <c r="B497" t="str">
        <f>IFERROR(VLOOKUP($A497, Ledger!$B$2:$L$8, 3, 0),"")</f>
        <v/>
      </c>
      <c r="C497" t="str">
        <f>IFERROR(VLOOKUP($A497, Ledger!$B$2:$L$8, 4, 0),"")</f>
        <v/>
      </c>
      <c r="D497" t="str">
        <f>IFERROR(VLOOKUP($A497, Ledger!$B$2:$L$8, 5, 0),"")</f>
        <v/>
      </c>
      <c r="E497" t="str">
        <f>IFERROR(VLOOKUP($A497, Ledger!$B$2:$L$8, 6, 0),"")</f>
        <v/>
      </c>
      <c r="F497" t="str">
        <f>IFERROR(VLOOKUP($A497,'Student Data'!$A$2:$AR$6,32,0),"")</f>
        <v/>
      </c>
      <c r="G497" t="str">
        <f>IFERROR(VLOOKUP($A497,'Student Data'!$A$2:$AR$6,33,0),"")</f>
        <v/>
      </c>
      <c r="H497" t="str">
        <f>IFERROR(VLOOKUP($A497,'Student Data'!$A$2:$AR$6,34,0),"")</f>
        <v/>
      </c>
      <c r="I497" t="str">
        <f>IFERROR(VLOOKUP($A497,'Student Data'!$A$2:$AR$6,35,0),"")</f>
        <v/>
      </c>
      <c r="J497" t="str">
        <f>IFERROR(VLOOKUP($A497,'Student Data'!$A$2:$AR$6,36,0),"")</f>
        <v/>
      </c>
      <c r="K497" t="str">
        <f t="shared" si="14"/>
        <v/>
      </c>
      <c r="L497" t="str">
        <f t="shared" si="15"/>
        <v/>
      </c>
      <c r="M497" t="str">
        <f>IFERROR(IF($C497="","",SUMIFS(Ledger!$K$2:$K$4, Ledger!$B$2:$B$4, $A497, Ledger!$C$2:$C$4, M$2)),"****")</f>
        <v/>
      </c>
      <c r="N497" t="str">
        <f>IFERROR(IF($C497="","",SUMIFS(Ledger!$K$2:$K$4, Ledger!$B$2:$B$4, $A497, Ledger!$C$2:$C$4, N$2)),"****")</f>
        <v/>
      </c>
      <c r="O497" t="str">
        <f>IFERROR(IF($C497="","",SUMIFS(Ledger!$K$2:$K$4, Ledger!$B$2:$B$4, $A497, Ledger!$C$2:$C$4, O$2)),"****")</f>
        <v/>
      </c>
      <c r="P497" t="str">
        <f>IFERROR(IF($C497="","",SUMIFS(Ledger!$K$2:$K$4, Ledger!$B$2:$B$4, $A497, Ledger!$C$2:$C$4, P$2)),"****")</f>
        <v/>
      </c>
      <c r="Q497" t="str">
        <f>IFERROR(IF($C497="","",SUMIFS(Ledger!$K$2:$K$4, Ledger!$B$2:$B$4, $A497, Ledger!$C$2:$C$4, Q$2)),"****")</f>
        <v/>
      </c>
      <c r="R497" t="str">
        <f>IFERROR(IF($C497="","",SUMIFS(Ledger!$K$2:$K$4, Ledger!$B$2:$B$4, $A497, Ledger!$C$2:$C$4, R$2)),"****")</f>
        <v/>
      </c>
      <c r="S497" t="str">
        <f>IFERROR(IF($C497="","",SUMIFS(Ledger!$K$2:$K$4, Ledger!$B$2:$B$4, $A497, Ledger!$C$2:$C$4, S$2)),"****")</f>
        <v/>
      </c>
      <c r="T497" t="str">
        <f>IFERROR(IF($C497="","",SUMIFS(Ledger!$K$2:$K$4, Ledger!$B$2:$B$4, $A497, Ledger!$C$2:$C$4, T$2)),"****")</f>
        <v/>
      </c>
      <c r="U497" t="str">
        <f>IFERROR(IF($C497="","",SUMIFS(Ledger!$K$2:$K$4, Ledger!$B$2:$B$4, $A497, Ledger!$C$2:$C$4, U$2)),"****")</f>
        <v/>
      </c>
      <c r="V497" t="str">
        <f>IFERROR(IF($C497="","",SUMIFS(Ledger!$K$2:$K$4, Ledger!$B$2:$B$4, $A497, Ledger!$C$2:$C$4, V$2)),"****")</f>
        <v/>
      </c>
      <c r="W497" t="str">
        <f>IFERROR(IF($C497="","",SUMIFS(Ledger!$K$2:$K$4, Ledger!$B$2:$B$4, $A497, Ledger!$C$2:$C$4, W$2)),"****")</f>
        <v/>
      </c>
      <c r="X497" t="str">
        <f>IFERROR(IF($C497="","",SUMIFS(Ledger!$K$2:$K$4, Ledger!$B$2:$B$4, $A497, Ledger!$C$2:$C$4, X$2)),"****")</f>
        <v/>
      </c>
    </row>
    <row r="498" spans="1:24" x14ac:dyDescent="0.3">
      <c r="A498" s="106">
        <v>496</v>
      </c>
      <c r="B498" t="str">
        <f>IFERROR(VLOOKUP($A498, Ledger!$B$2:$L$8, 3, 0),"")</f>
        <v/>
      </c>
      <c r="C498" t="str">
        <f>IFERROR(VLOOKUP($A498, Ledger!$B$2:$L$8, 4, 0),"")</f>
        <v/>
      </c>
      <c r="D498" t="str">
        <f>IFERROR(VLOOKUP($A498, Ledger!$B$2:$L$8, 5, 0),"")</f>
        <v/>
      </c>
      <c r="E498" t="str">
        <f>IFERROR(VLOOKUP($A498, Ledger!$B$2:$L$8, 6, 0),"")</f>
        <v/>
      </c>
      <c r="F498" t="str">
        <f>IFERROR(VLOOKUP($A498,'Student Data'!$A$2:$AR$6,32,0),"")</f>
        <v/>
      </c>
      <c r="G498" t="str">
        <f>IFERROR(VLOOKUP($A498,'Student Data'!$A$2:$AR$6,33,0),"")</f>
        <v/>
      </c>
      <c r="H498" t="str">
        <f>IFERROR(VLOOKUP($A498,'Student Data'!$A$2:$AR$6,34,0),"")</f>
        <v/>
      </c>
      <c r="I498" t="str">
        <f>IFERROR(VLOOKUP($A498,'Student Data'!$A$2:$AR$6,35,0),"")</f>
        <v/>
      </c>
      <c r="J498" t="str">
        <f>IFERROR(VLOOKUP($A498,'Student Data'!$A$2:$AR$6,36,0),"")</f>
        <v/>
      </c>
      <c r="K498" t="str">
        <f t="shared" si="14"/>
        <v/>
      </c>
      <c r="L498" t="str">
        <f t="shared" si="15"/>
        <v/>
      </c>
      <c r="M498" t="str">
        <f>IFERROR(IF($C498="","",SUMIFS(Ledger!$K$2:$K$4, Ledger!$B$2:$B$4, $A498, Ledger!$C$2:$C$4, M$2)),"****")</f>
        <v/>
      </c>
      <c r="N498" t="str">
        <f>IFERROR(IF($C498="","",SUMIFS(Ledger!$K$2:$K$4, Ledger!$B$2:$B$4, $A498, Ledger!$C$2:$C$4, N$2)),"****")</f>
        <v/>
      </c>
      <c r="O498" t="str">
        <f>IFERROR(IF($C498="","",SUMIFS(Ledger!$K$2:$K$4, Ledger!$B$2:$B$4, $A498, Ledger!$C$2:$C$4, O$2)),"****")</f>
        <v/>
      </c>
      <c r="P498" t="str">
        <f>IFERROR(IF($C498="","",SUMIFS(Ledger!$K$2:$K$4, Ledger!$B$2:$B$4, $A498, Ledger!$C$2:$C$4, P$2)),"****")</f>
        <v/>
      </c>
      <c r="Q498" t="str">
        <f>IFERROR(IF($C498="","",SUMIFS(Ledger!$K$2:$K$4, Ledger!$B$2:$B$4, $A498, Ledger!$C$2:$C$4, Q$2)),"****")</f>
        <v/>
      </c>
      <c r="R498" t="str">
        <f>IFERROR(IF($C498="","",SUMIFS(Ledger!$K$2:$K$4, Ledger!$B$2:$B$4, $A498, Ledger!$C$2:$C$4, R$2)),"****")</f>
        <v/>
      </c>
      <c r="S498" t="str">
        <f>IFERROR(IF($C498="","",SUMIFS(Ledger!$K$2:$K$4, Ledger!$B$2:$B$4, $A498, Ledger!$C$2:$C$4, S$2)),"****")</f>
        <v/>
      </c>
      <c r="T498" t="str">
        <f>IFERROR(IF($C498="","",SUMIFS(Ledger!$K$2:$K$4, Ledger!$B$2:$B$4, $A498, Ledger!$C$2:$C$4, T$2)),"****")</f>
        <v/>
      </c>
      <c r="U498" t="str">
        <f>IFERROR(IF($C498="","",SUMIFS(Ledger!$K$2:$K$4, Ledger!$B$2:$B$4, $A498, Ledger!$C$2:$C$4, U$2)),"****")</f>
        <v/>
      </c>
      <c r="V498" t="str">
        <f>IFERROR(IF($C498="","",SUMIFS(Ledger!$K$2:$K$4, Ledger!$B$2:$B$4, $A498, Ledger!$C$2:$C$4, V$2)),"****")</f>
        <v/>
      </c>
      <c r="W498" t="str">
        <f>IFERROR(IF($C498="","",SUMIFS(Ledger!$K$2:$K$4, Ledger!$B$2:$B$4, $A498, Ledger!$C$2:$C$4, W$2)),"****")</f>
        <v/>
      </c>
      <c r="X498" t="str">
        <f>IFERROR(IF($C498="","",SUMIFS(Ledger!$K$2:$K$4, Ledger!$B$2:$B$4, $A498, Ledger!$C$2:$C$4, X$2)),"****")</f>
        <v/>
      </c>
    </row>
    <row r="499" spans="1:24" x14ac:dyDescent="0.3">
      <c r="A499" s="106">
        <v>497</v>
      </c>
      <c r="B499" t="str">
        <f>IFERROR(VLOOKUP($A499, Ledger!$B$2:$L$8, 3, 0),"")</f>
        <v/>
      </c>
      <c r="C499" t="str">
        <f>IFERROR(VLOOKUP($A499, Ledger!$B$2:$L$8, 4, 0),"")</f>
        <v/>
      </c>
      <c r="D499" t="str">
        <f>IFERROR(VLOOKUP($A499, Ledger!$B$2:$L$8, 5, 0),"")</f>
        <v/>
      </c>
      <c r="E499" t="str">
        <f>IFERROR(VLOOKUP($A499, Ledger!$B$2:$L$8, 6, 0),"")</f>
        <v/>
      </c>
      <c r="F499" t="str">
        <f>IFERROR(VLOOKUP($A499,'Student Data'!$A$2:$AR$6,32,0),"")</f>
        <v/>
      </c>
      <c r="G499" t="str">
        <f>IFERROR(VLOOKUP($A499,'Student Data'!$A$2:$AR$6,33,0),"")</f>
        <v/>
      </c>
      <c r="H499" t="str">
        <f>IFERROR(VLOOKUP($A499,'Student Data'!$A$2:$AR$6,34,0),"")</f>
        <v/>
      </c>
      <c r="I499" t="str">
        <f>IFERROR(VLOOKUP($A499,'Student Data'!$A$2:$AR$6,35,0),"")</f>
        <v/>
      </c>
      <c r="J499" t="str">
        <f>IFERROR(VLOOKUP($A499,'Student Data'!$A$2:$AR$6,36,0),"")</f>
        <v/>
      </c>
      <c r="K499" t="str">
        <f t="shared" si="14"/>
        <v/>
      </c>
      <c r="L499" t="str">
        <f t="shared" si="15"/>
        <v/>
      </c>
      <c r="M499" t="str">
        <f>IFERROR(IF($C499="","",SUMIFS(Ledger!$K$2:$K$4, Ledger!$B$2:$B$4, $A499, Ledger!$C$2:$C$4, M$2)),"****")</f>
        <v/>
      </c>
      <c r="N499" t="str">
        <f>IFERROR(IF($C499="","",SUMIFS(Ledger!$K$2:$K$4, Ledger!$B$2:$B$4, $A499, Ledger!$C$2:$C$4, N$2)),"****")</f>
        <v/>
      </c>
      <c r="O499" t="str">
        <f>IFERROR(IF($C499="","",SUMIFS(Ledger!$K$2:$K$4, Ledger!$B$2:$B$4, $A499, Ledger!$C$2:$C$4, O$2)),"****")</f>
        <v/>
      </c>
      <c r="P499" t="str">
        <f>IFERROR(IF($C499="","",SUMIFS(Ledger!$K$2:$K$4, Ledger!$B$2:$B$4, $A499, Ledger!$C$2:$C$4, P$2)),"****")</f>
        <v/>
      </c>
      <c r="Q499" t="str">
        <f>IFERROR(IF($C499="","",SUMIFS(Ledger!$K$2:$K$4, Ledger!$B$2:$B$4, $A499, Ledger!$C$2:$C$4, Q$2)),"****")</f>
        <v/>
      </c>
      <c r="R499" t="str">
        <f>IFERROR(IF($C499="","",SUMIFS(Ledger!$K$2:$K$4, Ledger!$B$2:$B$4, $A499, Ledger!$C$2:$C$4, R$2)),"****")</f>
        <v/>
      </c>
      <c r="S499" t="str">
        <f>IFERROR(IF($C499="","",SUMIFS(Ledger!$K$2:$K$4, Ledger!$B$2:$B$4, $A499, Ledger!$C$2:$C$4, S$2)),"****")</f>
        <v/>
      </c>
      <c r="T499" t="str">
        <f>IFERROR(IF($C499="","",SUMIFS(Ledger!$K$2:$K$4, Ledger!$B$2:$B$4, $A499, Ledger!$C$2:$C$4, T$2)),"****")</f>
        <v/>
      </c>
      <c r="U499" t="str">
        <f>IFERROR(IF($C499="","",SUMIFS(Ledger!$K$2:$K$4, Ledger!$B$2:$B$4, $A499, Ledger!$C$2:$C$4, U$2)),"****")</f>
        <v/>
      </c>
      <c r="V499" t="str">
        <f>IFERROR(IF($C499="","",SUMIFS(Ledger!$K$2:$K$4, Ledger!$B$2:$B$4, $A499, Ledger!$C$2:$C$4, V$2)),"****")</f>
        <v/>
      </c>
      <c r="W499" t="str">
        <f>IFERROR(IF($C499="","",SUMIFS(Ledger!$K$2:$K$4, Ledger!$B$2:$B$4, $A499, Ledger!$C$2:$C$4, W$2)),"****")</f>
        <v/>
      </c>
      <c r="X499" t="str">
        <f>IFERROR(IF($C499="","",SUMIFS(Ledger!$K$2:$K$4, Ledger!$B$2:$B$4, $A499, Ledger!$C$2:$C$4, X$2)),"****")</f>
        <v/>
      </c>
    </row>
    <row r="500" spans="1:24" x14ac:dyDescent="0.3">
      <c r="A500" s="106">
        <v>498</v>
      </c>
      <c r="B500" t="str">
        <f>IFERROR(VLOOKUP($A500, Ledger!$B$2:$L$8, 3, 0),"")</f>
        <v/>
      </c>
      <c r="C500" t="str">
        <f>IFERROR(VLOOKUP($A500, Ledger!$B$2:$L$8, 4, 0),"")</f>
        <v/>
      </c>
      <c r="D500" t="str">
        <f>IFERROR(VLOOKUP($A500, Ledger!$B$2:$L$8, 5, 0),"")</f>
        <v/>
      </c>
      <c r="E500" t="str">
        <f>IFERROR(VLOOKUP($A500, Ledger!$B$2:$L$8, 6, 0),"")</f>
        <v/>
      </c>
      <c r="F500" t="str">
        <f>IFERROR(VLOOKUP($A500,'Student Data'!$A$2:$AR$6,32,0),"")</f>
        <v/>
      </c>
      <c r="G500" t="str">
        <f>IFERROR(VLOOKUP($A500,'Student Data'!$A$2:$AR$6,33,0),"")</f>
        <v/>
      </c>
      <c r="H500" t="str">
        <f>IFERROR(VLOOKUP($A500,'Student Data'!$A$2:$AR$6,34,0),"")</f>
        <v/>
      </c>
      <c r="I500" t="str">
        <f>IFERROR(VLOOKUP($A500,'Student Data'!$A$2:$AR$6,35,0),"")</f>
        <v/>
      </c>
      <c r="J500" t="str">
        <f>IFERROR(VLOOKUP($A500,'Student Data'!$A$2:$AR$6,36,0),"")</f>
        <v/>
      </c>
      <c r="K500" t="str">
        <f t="shared" si="14"/>
        <v/>
      </c>
      <c r="L500" t="str">
        <f t="shared" si="15"/>
        <v/>
      </c>
      <c r="M500" t="str">
        <f>IFERROR(IF($C500="","",SUMIFS(Ledger!$K$2:$K$4, Ledger!$B$2:$B$4, $A500, Ledger!$C$2:$C$4, M$2)),"****")</f>
        <v/>
      </c>
      <c r="N500" t="str">
        <f>IFERROR(IF($C500="","",SUMIFS(Ledger!$K$2:$K$4, Ledger!$B$2:$B$4, $A500, Ledger!$C$2:$C$4, N$2)),"****")</f>
        <v/>
      </c>
      <c r="O500" t="str">
        <f>IFERROR(IF($C500="","",SUMIFS(Ledger!$K$2:$K$4, Ledger!$B$2:$B$4, $A500, Ledger!$C$2:$C$4, O$2)),"****")</f>
        <v/>
      </c>
      <c r="P500" t="str">
        <f>IFERROR(IF($C500="","",SUMIFS(Ledger!$K$2:$K$4, Ledger!$B$2:$B$4, $A500, Ledger!$C$2:$C$4, P$2)),"****")</f>
        <v/>
      </c>
      <c r="Q500" t="str">
        <f>IFERROR(IF($C500="","",SUMIFS(Ledger!$K$2:$K$4, Ledger!$B$2:$B$4, $A500, Ledger!$C$2:$C$4, Q$2)),"****")</f>
        <v/>
      </c>
      <c r="R500" t="str">
        <f>IFERROR(IF($C500="","",SUMIFS(Ledger!$K$2:$K$4, Ledger!$B$2:$B$4, $A500, Ledger!$C$2:$C$4, R$2)),"****")</f>
        <v/>
      </c>
      <c r="S500" t="str">
        <f>IFERROR(IF($C500="","",SUMIFS(Ledger!$K$2:$K$4, Ledger!$B$2:$B$4, $A500, Ledger!$C$2:$C$4, S$2)),"****")</f>
        <v/>
      </c>
      <c r="T500" t="str">
        <f>IFERROR(IF($C500="","",SUMIFS(Ledger!$K$2:$K$4, Ledger!$B$2:$B$4, $A500, Ledger!$C$2:$C$4, T$2)),"****")</f>
        <v/>
      </c>
      <c r="U500" t="str">
        <f>IFERROR(IF($C500="","",SUMIFS(Ledger!$K$2:$K$4, Ledger!$B$2:$B$4, $A500, Ledger!$C$2:$C$4, U$2)),"****")</f>
        <v/>
      </c>
      <c r="V500" t="str">
        <f>IFERROR(IF($C500="","",SUMIFS(Ledger!$K$2:$K$4, Ledger!$B$2:$B$4, $A500, Ledger!$C$2:$C$4, V$2)),"****")</f>
        <v/>
      </c>
      <c r="W500" t="str">
        <f>IFERROR(IF($C500="","",SUMIFS(Ledger!$K$2:$K$4, Ledger!$B$2:$B$4, $A500, Ledger!$C$2:$C$4, W$2)),"****")</f>
        <v/>
      </c>
      <c r="X500" t="str">
        <f>IFERROR(IF($C500="","",SUMIFS(Ledger!$K$2:$K$4, Ledger!$B$2:$B$4, $A500, Ledger!$C$2:$C$4, X$2)),"****")</f>
        <v/>
      </c>
    </row>
    <row r="501" spans="1:24" x14ac:dyDescent="0.3">
      <c r="A501" s="106">
        <v>499</v>
      </c>
      <c r="B501" t="str">
        <f>IFERROR(VLOOKUP($A501, Ledger!$B$2:$L$8, 3, 0),"")</f>
        <v/>
      </c>
      <c r="C501" t="str">
        <f>IFERROR(VLOOKUP($A501, Ledger!$B$2:$L$8, 4, 0),"")</f>
        <v/>
      </c>
      <c r="D501" t="str">
        <f>IFERROR(VLOOKUP($A501, Ledger!$B$2:$L$8, 5, 0),"")</f>
        <v/>
      </c>
      <c r="E501" t="str">
        <f>IFERROR(VLOOKUP($A501, Ledger!$B$2:$L$8, 6, 0),"")</f>
        <v/>
      </c>
      <c r="F501" t="str">
        <f>IFERROR(VLOOKUP($A501,'Student Data'!$A$2:$AR$6,32,0),"")</f>
        <v/>
      </c>
      <c r="G501" t="str">
        <f>IFERROR(VLOOKUP($A501,'Student Data'!$A$2:$AR$6,33,0),"")</f>
        <v/>
      </c>
      <c r="H501" t="str">
        <f>IFERROR(VLOOKUP($A501,'Student Data'!$A$2:$AR$6,34,0),"")</f>
        <v/>
      </c>
      <c r="I501" t="str">
        <f>IFERROR(VLOOKUP($A501,'Student Data'!$A$2:$AR$6,35,0),"")</f>
        <v/>
      </c>
      <c r="J501" t="str">
        <f>IFERROR(VLOOKUP($A501,'Student Data'!$A$2:$AR$6,36,0),"")</f>
        <v/>
      </c>
      <c r="K501" t="str">
        <f t="shared" si="14"/>
        <v/>
      </c>
      <c r="L501" t="str">
        <f t="shared" si="15"/>
        <v/>
      </c>
      <c r="M501" t="str">
        <f>IFERROR(IF($C501="","",SUMIFS(Ledger!$K$2:$K$4, Ledger!$B$2:$B$4, $A501, Ledger!$C$2:$C$4, M$2)),"****")</f>
        <v/>
      </c>
      <c r="N501" t="str">
        <f>IFERROR(IF($C501="","",SUMIFS(Ledger!$K$2:$K$4, Ledger!$B$2:$B$4, $A501, Ledger!$C$2:$C$4, N$2)),"****")</f>
        <v/>
      </c>
      <c r="O501" t="str">
        <f>IFERROR(IF($C501="","",SUMIFS(Ledger!$K$2:$K$4, Ledger!$B$2:$B$4, $A501, Ledger!$C$2:$C$4, O$2)),"****")</f>
        <v/>
      </c>
      <c r="P501" t="str">
        <f>IFERROR(IF($C501="","",SUMIFS(Ledger!$K$2:$K$4, Ledger!$B$2:$B$4, $A501, Ledger!$C$2:$C$4, P$2)),"****")</f>
        <v/>
      </c>
      <c r="Q501" t="str">
        <f>IFERROR(IF($C501="","",SUMIFS(Ledger!$K$2:$K$4, Ledger!$B$2:$B$4, $A501, Ledger!$C$2:$C$4, Q$2)),"****")</f>
        <v/>
      </c>
      <c r="R501" t="str">
        <f>IFERROR(IF($C501="","",SUMIFS(Ledger!$K$2:$K$4, Ledger!$B$2:$B$4, $A501, Ledger!$C$2:$C$4, R$2)),"****")</f>
        <v/>
      </c>
      <c r="S501" t="str">
        <f>IFERROR(IF($C501="","",SUMIFS(Ledger!$K$2:$K$4, Ledger!$B$2:$B$4, $A501, Ledger!$C$2:$C$4, S$2)),"****")</f>
        <v/>
      </c>
      <c r="T501" t="str">
        <f>IFERROR(IF($C501="","",SUMIFS(Ledger!$K$2:$K$4, Ledger!$B$2:$B$4, $A501, Ledger!$C$2:$C$4, T$2)),"****")</f>
        <v/>
      </c>
      <c r="U501" t="str">
        <f>IFERROR(IF($C501="","",SUMIFS(Ledger!$K$2:$K$4, Ledger!$B$2:$B$4, $A501, Ledger!$C$2:$C$4, U$2)),"****")</f>
        <v/>
      </c>
      <c r="V501" t="str">
        <f>IFERROR(IF($C501="","",SUMIFS(Ledger!$K$2:$K$4, Ledger!$B$2:$B$4, $A501, Ledger!$C$2:$C$4, V$2)),"****")</f>
        <v/>
      </c>
      <c r="W501" t="str">
        <f>IFERROR(IF($C501="","",SUMIFS(Ledger!$K$2:$K$4, Ledger!$B$2:$B$4, $A501, Ledger!$C$2:$C$4, W$2)),"****")</f>
        <v/>
      </c>
      <c r="X501" t="str">
        <f>IFERROR(IF($C501="","",SUMIFS(Ledger!$K$2:$K$4, Ledger!$B$2:$B$4, $A501, Ledger!$C$2:$C$4, X$2)),"****")</f>
        <v/>
      </c>
    </row>
    <row r="502" spans="1:24" x14ac:dyDescent="0.3">
      <c r="A502" s="106">
        <v>500</v>
      </c>
      <c r="B502" t="str">
        <f>IFERROR(VLOOKUP($A502, Ledger!$B$2:$L$8, 3, 0),"")</f>
        <v/>
      </c>
      <c r="C502" t="str">
        <f>IFERROR(VLOOKUP($A502, Ledger!$B$2:$L$8, 4, 0),"")</f>
        <v/>
      </c>
      <c r="D502" t="str">
        <f>IFERROR(VLOOKUP($A502, Ledger!$B$2:$L$8, 5, 0),"")</f>
        <v/>
      </c>
      <c r="E502" t="str">
        <f>IFERROR(VLOOKUP($A502, Ledger!$B$2:$L$8, 6, 0),"")</f>
        <v/>
      </c>
      <c r="F502" t="str">
        <f>IFERROR(VLOOKUP($A502,'Student Data'!$A$2:$AR$6,32,0),"")</f>
        <v/>
      </c>
      <c r="G502" t="str">
        <f>IFERROR(VLOOKUP($A502,'Student Data'!$A$2:$AR$6,33,0),"")</f>
        <v/>
      </c>
      <c r="H502" t="str">
        <f>IFERROR(VLOOKUP($A502,'Student Data'!$A$2:$AR$6,34,0),"")</f>
        <v/>
      </c>
      <c r="I502" t="str">
        <f>IFERROR(VLOOKUP($A502,'Student Data'!$A$2:$AR$6,35,0),"")</f>
        <v/>
      </c>
      <c r="J502" t="str">
        <f>IFERROR(VLOOKUP($A502,'Student Data'!$A$2:$AR$6,36,0),"")</f>
        <v/>
      </c>
      <c r="K502" t="str">
        <f t="shared" si="14"/>
        <v/>
      </c>
      <c r="L502" t="str">
        <f t="shared" si="15"/>
        <v/>
      </c>
      <c r="M502" t="str">
        <f>IFERROR(IF($C502="","",SUMIFS(Ledger!$K$2:$K$4, Ledger!$B$2:$B$4, $A502, Ledger!$C$2:$C$4, M$2)),"****")</f>
        <v/>
      </c>
      <c r="N502" t="str">
        <f>IFERROR(IF($C502="","",SUMIFS(Ledger!$K$2:$K$4, Ledger!$B$2:$B$4, $A502, Ledger!$C$2:$C$4, N$2)),"****")</f>
        <v/>
      </c>
      <c r="O502" t="str">
        <f>IFERROR(IF($C502="","",SUMIFS(Ledger!$K$2:$K$4, Ledger!$B$2:$B$4, $A502, Ledger!$C$2:$C$4, O$2)),"****")</f>
        <v/>
      </c>
      <c r="P502" t="str">
        <f>IFERROR(IF($C502="","",SUMIFS(Ledger!$K$2:$K$4, Ledger!$B$2:$B$4, $A502, Ledger!$C$2:$C$4, P$2)),"****")</f>
        <v/>
      </c>
      <c r="Q502" t="str">
        <f>IFERROR(IF($C502="","",SUMIFS(Ledger!$K$2:$K$4, Ledger!$B$2:$B$4, $A502, Ledger!$C$2:$C$4, Q$2)),"****")</f>
        <v/>
      </c>
      <c r="R502" t="str">
        <f>IFERROR(IF($C502="","",SUMIFS(Ledger!$K$2:$K$4, Ledger!$B$2:$B$4, $A502, Ledger!$C$2:$C$4, R$2)),"****")</f>
        <v/>
      </c>
      <c r="S502" t="str">
        <f>IFERROR(IF($C502="","",SUMIFS(Ledger!$K$2:$K$4, Ledger!$B$2:$B$4, $A502, Ledger!$C$2:$C$4, S$2)),"****")</f>
        <v/>
      </c>
      <c r="T502" t="str">
        <f>IFERROR(IF($C502="","",SUMIFS(Ledger!$K$2:$K$4, Ledger!$B$2:$B$4, $A502, Ledger!$C$2:$C$4, T$2)),"****")</f>
        <v/>
      </c>
      <c r="U502" t="str">
        <f>IFERROR(IF($C502="","",SUMIFS(Ledger!$K$2:$K$4, Ledger!$B$2:$B$4, $A502, Ledger!$C$2:$C$4, U$2)),"****")</f>
        <v/>
      </c>
      <c r="V502" t="str">
        <f>IFERROR(IF($C502="","",SUMIFS(Ledger!$K$2:$K$4, Ledger!$B$2:$B$4, $A502, Ledger!$C$2:$C$4, V$2)),"****")</f>
        <v/>
      </c>
      <c r="W502" t="str">
        <f>IFERROR(IF($C502="","",SUMIFS(Ledger!$K$2:$K$4, Ledger!$B$2:$B$4, $A502, Ledger!$C$2:$C$4, W$2)),"****")</f>
        <v/>
      </c>
      <c r="X502" t="str">
        <f>IFERROR(IF($C502="","",SUMIFS(Ledger!$K$2:$K$4, Ledger!$B$2:$B$4, $A502, Ledger!$C$2:$C$4, X$2)),"****")</f>
        <v/>
      </c>
    </row>
    <row r="503" spans="1:24" x14ac:dyDescent="0.3">
      <c r="A503" s="106">
        <v>501</v>
      </c>
      <c r="B503" t="str">
        <f>IFERROR(VLOOKUP($A503, Ledger!$B$2:$L$8, 3, 0),"")</f>
        <v/>
      </c>
      <c r="C503" t="str">
        <f>IFERROR(VLOOKUP($A503, Ledger!$B$2:$L$8, 4, 0),"")</f>
        <v/>
      </c>
      <c r="D503" t="str">
        <f>IFERROR(VLOOKUP($A503, Ledger!$B$2:$L$8, 5, 0),"")</f>
        <v/>
      </c>
      <c r="E503" t="str">
        <f>IFERROR(VLOOKUP($A503, Ledger!$B$2:$L$8, 6, 0),"")</f>
        <v/>
      </c>
      <c r="F503" t="str">
        <f>IFERROR(VLOOKUP($A503,'Student Data'!$A$2:$AR$6,32,0),"")</f>
        <v/>
      </c>
      <c r="G503" t="str">
        <f>IFERROR(VLOOKUP($A503,'Student Data'!$A$2:$AR$6,33,0),"")</f>
        <v/>
      </c>
      <c r="H503" t="str">
        <f>IFERROR(VLOOKUP($A503,'Student Data'!$A$2:$AR$6,34,0),"")</f>
        <v/>
      </c>
      <c r="I503" t="str">
        <f>IFERROR(VLOOKUP($A503,'Student Data'!$A$2:$AR$6,35,0),"")</f>
        <v/>
      </c>
      <c r="J503" t="str">
        <f>IFERROR(VLOOKUP($A503,'Student Data'!$A$2:$AR$6,36,0),"")</f>
        <v/>
      </c>
      <c r="K503" t="str">
        <f t="shared" si="14"/>
        <v/>
      </c>
      <c r="L503" t="str">
        <f t="shared" si="15"/>
        <v/>
      </c>
      <c r="M503" t="str">
        <f>IFERROR(IF($C503="","",SUMIFS(Ledger!$K$2:$K$4, Ledger!$B$2:$B$4, $A503, Ledger!$C$2:$C$4, M$2)),"****")</f>
        <v/>
      </c>
      <c r="N503" t="str">
        <f>IFERROR(IF($C503="","",SUMIFS(Ledger!$K$2:$K$4, Ledger!$B$2:$B$4, $A503, Ledger!$C$2:$C$4, N$2)),"****")</f>
        <v/>
      </c>
      <c r="O503" t="str">
        <f>IFERROR(IF($C503="","",SUMIFS(Ledger!$K$2:$K$4, Ledger!$B$2:$B$4, $A503, Ledger!$C$2:$C$4, O$2)),"****")</f>
        <v/>
      </c>
      <c r="P503" t="str">
        <f>IFERROR(IF($C503="","",SUMIFS(Ledger!$K$2:$K$4, Ledger!$B$2:$B$4, $A503, Ledger!$C$2:$C$4, P$2)),"****")</f>
        <v/>
      </c>
      <c r="Q503" t="str">
        <f>IFERROR(IF($C503="","",SUMIFS(Ledger!$K$2:$K$4, Ledger!$B$2:$B$4, $A503, Ledger!$C$2:$C$4, Q$2)),"****")</f>
        <v/>
      </c>
      <c r="R503" t="str">
        <f>IFERROR(IF($C503="","",SUMIFS(Ledger!$K$2:$K$4, Ledger!$B$2:$B$4, $A503, Ledger!$C$2:$C$4, R$2)),"****")</f>
        <v/>
      </c>
      <c r="S503" t="str">
        <f>IFERROR(IF($C503="","",SUMIFS(Ledger!$K$2:$K$4, Ledger!$B$2:$B$4, $A503, Ledger!$C$2:$C$4, S$2)),"****")</f>
        <v/>
      </c>
      <c r="T503" t="str">
        <f>IFERROR(IF($C503="","",SUMIFS(Ledger!$K$2:$K$4, Ledger!$B$2:$B$4, $A503, Ledger!$C$2:$C$4, T$2)),"****")</f>
        <v/>
      </c>
      <c r="U503" t="str">
        <f>IFERROR(IF($C503="","",SUMIFS(Ledger!$K$2:$K$4, Ledger!$B$2:$B$4, $A503, Ledger!$C$2:$C$4, U$2)),"****")</f>
        <v/>
      </c>
      <c r="V503" t="str">
        <f>IFERROR(IF($C503="","",SUMIFS(Ledger!$K$2:$K$4, Ledger!$B$2:$B$4, $A503, Ledger!$C$2:$C$4, V$2)),"****")</f>
        <v/>
      </c>
      <c r="W503" t="str">
        <f>IFERROR(IF($C503="","",SUMIFS(Ledger!$K$2:$K$4, Ledger!$B$2:$B$4, $A503, Ledger!$C$2:$C$4, W$2)),"****")</f>
        <v/>
      </c>
      <c r="X503" t="str">
        <f>IFERROR(IF($C503="","",SUMIFS(Ledger!$K$2:$K$4, Ledger!$B$2:$B$4, $A503, Ledger!$C$2:$C$4, X$2)),"****")</f>
        <v/>
      </c>
    </row>
    <row r="504" spans="1:24" x14ac:dyDescent="0.3">
      <c r="A504" s="106">
        <v>502</v>
      </c>
      <c r="B504" t="str">
        <f>IFERROR(VLOOKUP($A504, Ledger!$B$2:$L$8, 3, 0),"")</f>
        <v/>
      </c>
      <c r="C504" t="str">
        <f>IFERROR(VLOOKUP($A504, Ledger!$B$2:$L$8, 4, 0),"")</f>
        <v/>
      </c>
      <c r="D504" t="str">
        <f>IFERROR(VLOOKUP($A504, Ledger!$B$2:$L$8, 5, 0),"")</f>
        <v/>
      </c>
      <c r="E504" t="str">
        <f>IFERROR(VLOOKUP($A504, Ledger!$B$2:$L$8, 6, 0),"")</f>
        <v/>
      </c>
      <c r="F504" t="str">
        <f>IFERROR(VLOOKUP($A504,'Student Data'!$A$2:$AR$6,32,0),"")</f>
        <v/>
      </c>
      <c r="G504" t="str">
        <f>IFERROR(VLOOKUP($A504,'Student Data'!$A$2:$AR$6,33,0),"")</f>
        <v/>
      </c>
      <c r="H504" t="str">
        <f>IFERROR(VLOOKUP($A504,'Student Data'!$A$2:$AR$6,34,0),"")</f>
        <v/>
      </c>
      <c r="I504" t="str">
        <f>IFERROR(VLOOKUP($A504,'Student Data'!$A$2:$AR$6,35,0),"")</f>
        <v/>
      </c>
      <c r="J504" t="str">
        <f>IFERROR(VLOOKUP($A504,'Student Data'!$A$2:$AR$6,36,0),"")</f>
        <v/>
      </c>
      <c r="K504" t="str">
        <f t="shared" si="14"/>
        <v/>
      </c>
      <c r="L504" t="str">
        <f t="shared" si="15"/>
        <v/>
      </c>
      <c r="M504" t="str">
        <f>IFERROR(IF($C504="","",SUMIFS(Ledger!$K$2:$K$4, Ledger!$B$2:$B$4, $A504, Ledger!$C$2:$C$4, M$2)),"****")</f>
        <v/>
      </c>
      <c r="N504" t="str">
        <f>IFERROR(IF($C504="","",SUMIFS(Ledger!$K$2:$K$4, Ledger!$B$2:$B$4, $A504, Ledger!$C$2:$C$4, N$2)),"****")</f>
        <v/>
      </c>
      <c r="O504" t="str">
        <f>IFERROR(IF($C504="","",SUMIFS(Ledger!$K$2:$K$4, Ledger!$B$2:$B$4, $A504, Ledger!$C$2:$C$4, O$2)),"****")</f>
        <v/>
      </c>
      <c r="P504" t="str">
        <f>IFERROR(IF($C504="","",SUMIFS(Ledger!$K$2:$K$4, Ledger!$B$2:$B$4, $A504, Ledger!$C$2:$C$4, P$2)),"****")</f>
        <v/>
      </c>
      <c r="Q504" t="str">
        <f>IFERROR(IF($C504="","",SUMIFS(Ledger!$K$2:$K$4, Ledger!$B$2:$B$4, $A504, Ledger!$C$2:$C$4, Q$2)),"****")</f>
        <v/>
      </c>
      <c r="R504" t="str">
        <f>IFERROR(IF($C504="","",SUMIFS(Ledger!$K$2:$K$4, Ledger!$B$2:$B$4, $A504, Ledger!$C$2:$C$4, R$2)),"****")</f>
        <v/>
      </c>
      <c r="S504" t="str">
        <f>IFERROR(IF($C504="","",SUMIFS(Ledger!$K$2:$K$4, Ledger!$B$2:$B$4, $A504, Ledger!$C$2:$C$4, S$2)),"****")</f>
        <v/>
      </c>
      <c r="T504" t="str">
        <f>IFERROR(IF($C504="","",SUMIFS(Ledger!$K$2:$K$4, Ledger!$B$2:$B$4, $A504, Ledger!$C$2:$C$4, T$2)),"****")</f>
        <v/>
      </c>
      <c r="U504" t="str">
        <f>IFERROR(IF($C504="","",SUMIFS(Ledger!$K$2:$K$4, Ledger!$B$2:$B$4, $A504, Ledger!$C$2:$C$4, U$2)),"****")</f>
        <v/>
      </c>
      <c r="V504" t="str">
        <f>IFERROR(IF($C504="","",SUMIFS(Ledger!$K$2:$K$4, Ledger!$B$2:$B$4, $A504, Ledger!$C$2:$C$4, V$2)),"****")</f>
        <v/>
      </c>
      <c r="W504" t="str">
        <f>IFERROR(IF($C504="","",SUMIFS(Ledger!$K$2:$K$4, Ledger!$B$2:$B$4, $A504, Ledger!$C$2:$C$4, W$2)),"****")</f>
        <v/>
      </c>
      <c r="X504" t="str">
        <f>IFERROR(IF($C504="","",SUMIFS(Ledger!$K$2:$K$4, Ledger!$B$2:$B$4, $A504, Ledger!$C$2:$C$4, X$2)),"****")</f>
        <v/>
      </c>
    </row>
    <row r="505" spans="1:24" x14ac:dyDescent="0.3">
      <c r="A505" s="106">
        <v>503</v>
      </c>
      <c r="B505" t="str">
        <f>IFERROR(VLOOKUP($A505, Ledger!$B$2:$L$8, 3, 0),"")</f>
        <v/>
      </c>
      <c r="C505" t="str">
        <f>IFERROR(VLOOKUP($A505, Ledger!$B$2:$L$8, 4, 0),"")</f>
        <v/>
      </c>
      <c r="D505" t="str">
        <f>IFERROR(VLOOKUP($A505, Ledger!$B$2:$L$8, 5, 0),"")</f>
        <v/>
      </c>
      <c r="E505" t="str">
        <f>IFERROR(VLOOKUP($A505, Ledger!$B$2:$L$8, 6, 0),"")</f>
        <v/>
      </c>
      <c r="F505" t="str">
        <f>IFERROR(VLOOKUP($A505,'Student Data'!$A$2:$AR$6,32,0),"")</f>
        <v/>
      </c>
      <c r="G505" t="str">
        <f>IFERROR(VLOOKUP($A505,'Student Data'!$A$2:$AR$6,33,0),"")</f>
        <v/>
      </c>
      <c r="H505" t="str">
        <f>IFERROR(VLOOKUP($A505,'Student Data'!$A$2:$AR$6,34,0),"")</f>
        <v/>
      </c>
      <c r="I505" t="str">
        <f>IFERROR(VLOOKUP($A505,'Student Data'!$A$2:$AR$6,35,0),"")</f>
        <v/>
      </c>
      <c r="J505" t="str">
        <f>IFERROR(VLOOKUP($A505,'Student Data'!$A$2:$AR$6,36,0),"")</f>
        <v/>
      </c>
      <c r="K505" t="str">
        <f t="shared" si="14"/>
        <v/>
      </c>
      <c r="L505" t="str">
        <f t="shared" si="15"/>
        <v/>
      </c>
      <c r="M505" t="str">
        <f>IFERROR(IF($C505="","",SUMIFS(Ledger!$K$2:$K$4, Ledger!$B$2:$B$4, $A505, Ledger!$C$2:$C$4, M$2)),"****")</f>
        <v/>
      </c>
      <c r="N505" t="str">
        <f>IFERROR(IF($C505="","",SUMIFS(Ledger!$K$2:$K$4, Ledger!$B$2:$B$4, $A505, Ledger!$C$2:$C$4, N$2)),"****")</f>
        <v/>
      </c>
      <c r="O505" t="str">
        <f>IFERROR(IF($C505="","",SUMIFS(Ledger!$K$2:$K$4, Ledger!$B$2:$B$4, $A505, Ledger!$C$2:$C$4, O$2)),"****")</f>
        <v/>
      </c>
      <c r="P505" t="str">
        <f>IFERROR(IF($C505="","",SUMIFS(Ledger!$K$2:$K$4, Ledger!$B$2:$B$4, $A505, Ledger!$C$2:$C$4, P$2)),"****")</f>
        <v/>
      </c>
      <c r="Q505" t="str">
        <f>IFERROR(IF($C505="","",SUMIFS(Ledger!$K$2:$K$4, Ledger!$B$2:$B$4, $A505, Ledger!$C$2:$C$4, Q$2)),"****")</f>
        <v/>
      </c>
      <c r="R505" t="str">
        <f>IFERROR(IF($C505="","",SUMIFS(Ledger!$K$2:$K$4, Ledger!$B$2:$B$4, $A505, Ledger!$C$2:$C$4, R$2)),"****")</f>
        <v/>
      </c>
      <c r="S505" t="str">
        <f>IFERROR(IF($C505="","",SUMIFS(Ledger!$K$2:$K$4, Ledger!$B$2:$B$4, $A505, Ledger!$C$2:$C$4, S$2)),"****")</f>
        <v/>
      </c>
      <c r="T505" t="str">
        <f>IFERROR(IF($C505="","",SUMIFS(Ledger!$K$2:$K$4, Ledger!$B$2:$B$4, $A505, Ledger!$C$2:$C$4, T$2)),"****")</f>
        <v/>
      </c>
      <c r="U505" t="str">
        <f>IFERROR(IF($C505="","",SUMIFS(Ledger!$K$2:$K$4, Ledger!$B$2:$B$4, $A505, Ledger!$C$2:$C$4, U$2)),"****")</f>
        <v/>
      </c>
      <c r="V505" t="str">
        <f>IFERROR(IF($C505="","",SUMIFS(Ledger!$K$2:$K$4, Ledger!$B$2:$B$4, $A505, Ledger!$C$2:$C$4, V$2)),"****")</f>
        <v/>
      </c>
      <c r="W505" t="str">
        <f>IFERROR(IF($C505="","",SUMIFS(Ledger!$K$2:$K$4, Ledger!$B$2:$B$4, $A505, Ledger!$C$2:$C$4, W$2)),"****")</f>
        <v/>
      </c>
      <c r="X505" t="str">
        <f>IFERROR(IF($C505="","",SUMIFS(Ledger!$K$2:$K$4, Ledger!$B$2:$B$4, $A505, Ledger!$C$2:$C$4, X$2)),"****")</f>
        <v/>
      </c>
    </row>
    <row r="506" spans="1:24" x14ac:dyDescent="0.3">
      <c r="A506" s="106">
        <v>504</v>
      </c>
      <c r="B506" t="str">
        <f>IFERROR(VLOOKUP($A506, Ledger!$B$2:$L$8, 3, 0),"")</f>
        <v/>
      </c>
      <c r="C506" t="str">
        <f>IFERROR(VLOOKUP($A506, Ledger!$B$2:$L$8, 4, 0),"")</f>
        <v/>
      </c>
      <c r="D506" t="str">
        <f>IFERROR(VLOOKUP($A506, Ledger!$B$2:$L$8, 5, 0),"")</f>
        <v/>
      </c>
      <c r="E506" t="str">
        <f>IFERROR(VLOOKUP($A506, Ledger!$B$2:$L$8, 6, 0),"")</f>
        <v/>
      </c>
      <c r="F506" t="str">
        <f>IFERROR(VLOOKUP($A506,'Student Data'!$A$2:$AR$6,32,0),"")</f>
        <v/>
      </c>
      <c r="G506" t="str">
        <f>IFERROR(VLOOKUP($A506,'Student Data'!$A$2:$AR$6,33,0),"")</f>
        <v/>
      </c>
      <c r="H506" t="str">
        <f>IFERROR(VLOOKUP($A506,'Student Data'!$A$2:$AR$6,34,0),"")</f>
        <v/>
      </c>
      <c r="I506" t="str">
        <f>IFERROR(VLOOKUP($A506,'Student Data'!$A$2:$AR$6,35,0),"")</f>
        <v/>
      </c>
      <c r="J506" t="str">
        <f>IFERROR(VLOOKUP($A506,'Student Data'!$A$2:$AR$6,36,0),"")</f>
        <v/>
      </c>
      <c r="K506" t="str">
        <f t="shared" si="14"/>
        <v/>
      </c>
      <c r="L506" t="str">
        <f t="shared" si="15"/>
        <v/>
      </c>
      <c r="M506" t="str">
        <f>IFERROR(IF($C506="","",SUMIFS(Ledger!$K$2:$K$4, Ledger!$B$2:$B$4, $A506, Ledger!$C$2:$C$4, M$2)),"****")</f>
        <v/>
      </c>
      <c r="N506" t="str">
        <f>IFERROR(IF($C506="","",SUMIFS(Ledger!$K$2:$K$4, Ledger!$B$2:$B$4, $A506, Ledger!$C$2:$C$4, N$2)),"****")</f>
        <v/>
      </c>
      <c r="O506" t="str">
        <f>IFERROR(IF($C506="","",SUMIFS(Ledger!$K$2:$K$4, Ledger!$B$2:$B$4, $A506, Ledger!$C$2:$C$4, O$2)),"****")</f>
        <v/>
      </c>
      <c r="P506" t="str">
        <f>IFERROR(IF($C506="","",SUMIFS(Ledger!$K$2:$K$4, Ledger!$B$2:$B$4, $A506, Ledger!$C$2:$C$4, P$2)),"****")</f>
        <v/>
      </c>
      <c r="Q506" t="str">
        <f>IFERROR(IF($C506="","",SUMIFS(Ledger!$K$2:$K$4, Ledger!$B$2:$B$4, $A506, Ledger!$C$2:$C$4, Q$2)),"****")</f>
        <v/>
      </c>
      <c r="R506" t="str">
        <f>IFERROR(IF($C506="","",SUMIFS(Ledger!$K$2:$K$4, Ledger!$B$2:$B$4, $A506, Ledger!$C$2:$C$4, R$2)),"****")</f>
        <v/>
      </c>
      <c r="S506" t="str">
        <f>IFERROR(IF($C506="","",SUMIFS(Ledger!$K$2:$K$4, Ledger!$B$2:$B$4, $A506, Ledger!$C$2:$C$4, S$2)),"****")</f>
        <v/>
      </c>
      <c r="T506" t="str">
        <f>IFERROR(IF($C506="","",SUMIFS(Ledger!$K$2:$K$4, Ledger!$B$2:$B$4, $A506, Ledger!$C$2:$C$4, T$2)),"****")</f>
        <v/>
      </c>
      <c r="U506" t="str">
        <f>IFERROR(IF($C506="","",SUMIFS(Ledger!$K$2:$K$4, Ledger!$B$2:$B$4, $A506, Ledger!$C$2:$C$4, U$2)),"****")</f>
        <v/>
      </c>
      <c r="V506" t="str">
        <f>IFERROR(IF($C506="","",SUMIFS(Ledger!$K$2:$K$4, Ledger!$B$2:$B$4, $A506, Ledger!$C$2:$C$4, V$2)),"****")</f>
        <v/>
      </c>
      <c r="W506" t="str">
        <f>IFERROR(IF($C506="","",SUMIFS(Ledger!$K$2:$K$4, Ledger!$B$2:$B$4, $A506, Ledger!$C$2:$C$4, W$2)),"****")</f>
        <v/>
      </c>
      <c r="X506" t="str">
        <f>IFERROR(IF($C506="","",SUMIFS(Ledger!$K$2:$K$4, Ledger!$B$2:$B$4, $A506, Ledger!$C$2:$C$4, X$2)),"****")</f>
        <v/>
      </c>
    </row>
    <row r="507" spans="1:24" x14ac:dyDescent="0.3">
      <c r="A507" s="106">
        <v>505</v>
      </c>
      <c r="B507" t="str">
        <f>IFERROR(VLOOKUP($A507, Ledger!$B$2:$L$8, 3, 0),"")</f>
        <v/>
      </c>
      <c r="C507" t="str">
        <f>IFERROR(VLOOKUP($A507, Ledger!$B$2:$L$8, 4, 0),"")</f>
        <v/>
      </c>
      <c r="D507" t="str">
        <f>IFERROR(VLOOKUP($A507, Ledger!$B$2:$L$8, 5, 0),"")</f>
        <v/>
      </c>
      <c r="E507" t="str">
        <f>IFERROR(VLOOKUP($A507, Ledger!$B$2:$L$8, 6, 0),"")</f>
        <v/>
      </c>
      <c r="F507" t="str">
        <f>IFERROR(VLOOKUP($A507,'Student Data'!$A$2:$AR$6,32,0),"")</f>
        <v/>
      </c>
      <c r="G507" t="str">
        <f>IFERROR(VLOOKUP($A507,'Student Data'!$A$2:$AR$6,33,0),"")</f>
        <v/>
      </c>
      <c r="H507" t="str">
        <f>IFERROR(VLOOKUP($A507,'Student Data'!$A$2:$AR$6,34,0),"")</f>
        <v/>
      </c>
      <c r="I507" t="str">
        <f>IFERROR(VLOOKUP($A507,'Student Data'!$A$2:$AR$6,35,0),"")</f>
        <v/>
      </c>
      <c r="J507" t="str">
        <f>IFERROR(VLOOKUP($A507,'Student Data'!$A$2:$AR$6,36,0),"")</f>
        <v/>
      </c>
      <c r="K507" t="str">
        <f t="shared" si="14"/>
        <v/>
      </c>
      <c r="L507" t="str">
        <f t="shared" si="15"/>
        <v/>
      </c>
      <c r="M507" t="str">
        <f>IFERROR(IF($C507="","",SUMIFS(Ledger!$K$2:$K$4, Ledger!$B$2:$B$4, $A507, Ledger!$C$2:$C$4, M$2)),"****")</f>
        <v/>
      </c>
      <c r="N507" t="str">
        <f>IFERROR(IF($C507="","",SUMIFS(Ledger!$K$2:$K$4, Ledger!$B$2:$B$4, $A507, Ledger!$C$2:$C$4, N$2)),"****")</f>
        <v/>
      </c>
      <c r="O507" t="str">
        <f>IFERROR(IF($C507="","",SUMIFS(Ledger!$K$2:$K$4, Ledger!$B$2:$B$4, $A507, Ledger!$C$2:$C$4, O$2)),"****")</f>
        <v/>
      </c>
      <c r="P507" t="str">
        <f>IFERROR(IF($C507="","",SUMIFS(Ledger!$K$2:$K$4, Ledger!$B$2:$B$4, $A507, Ledger!$C$2:$C$4, P$2)),"****")</f>
        <v/>
      </c>
      <c r="Q507" t="str">
        <f>IFERROR(IF($C507="","",SUMIFS(Ledger!$K$2:$K$4, Ledger!$B$2:$B$4, $A507, Ledger!$C$2:$C$4, Q$2)),"****")</f>
        <v/>
      </c>
      <c r="R507" t="str">
        <f>IFERROR(IF($C507="","",SUMIFS(Ledger!$K$2:$K$4, Ledger!$B$2:$B$4, $A507, Ledger!$C$2:$C$4, R$2)),"****")</f>
        <v/>
      </c>
      <c r="S507" t="str">
        <f>IFERROR(IF($C507="","",SUMIFS(Ledger!$K$2:$K$4, Ledger!$B$2:$B$4, $A507, Ledger!$C$2:$C$4, S$2)),"****")</f>
        <v/>
      </c>
      <c r="T507" t="str">
        <f>IFERROR(IF($C507="","",SUMIFS(Ledger!$K$2:$K$4, Ledger!$B$2:$B$4, $A507, Ledger!$C$2:$C$4, T$2)),"****")</f>
        <v/>
      </c>
      <c r="U507" t="str">
        <f>IFERROR(IF($C507="","",SUMIFS(Ledger!$K$2:$K$4, Ledger!$B$2:$B$4, $A507, Ledger!$C$2:$C$4, U$2)),"****")</f>
        <v/>
      </c>
      <c r="V507" t="str">
        <f>IFERROR(IF($C507="","",SUMIFS(Ledger!$K$2:$K$4, Ledger!$B$2:$B$4, $A507, Ledger!$C$2:$C$4, V$2)),"****")</f>
        <v/>
      </c>
      <c r="W507" t="str">
        <f>IFERROR(IF($C507="","",SUMIFS(Ledger!$K$2:$K$4, Ledger!$B$2:$B$4, $A507, Ledger!$C$2:$C$4, W$2)),"****")</f>
        <v/>
      </c>
      <c r="X507" t="str">
        <f>IFERROR(IF($C507="","",SUMIFS(Ledger!$K$2:$K$4, Ledger!$B$2:$B$4, $A507, Ledger!$C$2:$C$4, X$2)),"****")</f>
        <v/>
      </c>
    </row>
    <row r="508" spans="1:24" x14ac:dyDescent="0.3">
      <c r="A508" s="106">
        <v>506</v>
      </c>
      <c r="B508" t="str">
        <f>IFERROR(VLOOKUP($A508, Ledger!$B$2:$L$8, 3, 0),"")</f>
        <v/>
      </c>
      <c r="C508" t="str">
        <f>IFERROR(VLOOKUP($A508, Ledger!$B$2:$L$8, 4, 0),"")</f>
        <v/>
      </c>
      <c r="D508" t="str">
        <f>IFERROR(VLOOKUP($A508, Ledger!$B$2:$L$8, 5, 0),"")</f>
        <v/>
      </c>
      <c r="E508" t="str">
        <f>IFERROR(VLOOKUP($A508, Ledger!$B$2:$L$8, 6, 0),"")</f>
        <v/>
      </c>
      <c r="F508" t="str">
        <f>IFERROR(VLOOKUP($A508,'Student Data'!$A$2:$AR$6,32,0),"")</f>
        <v/>
      </c>
      <c r="G508" t="str">
        <f>IFERROR(VLOOKUP($A508,'Student Data'!$A$2:$AR$6,33,0),"")</f>
        <v/>
      </c>
      <c r="H508" t="str">
        <f>IFERROR(VLOOKUP($A508,'Student Data'!$A$2:$AR$6,34,0),"")</f>
        <v/>
      </c>
      <c r="I508" t="str">
        <f>IFERROR(VLOOKUP($A508,'Student Data'!$A$2:$AR$6,35,0),"")</f>
        <v/>
      </c>
      <c r="J508" t="str">
        <f>IFERROR(VLOOKUP($A508,'Student Data'!$A$2:$AR$6,36,0),"")</f>
        <v/>
      </c>
      <c r="K508" t="str">
        <f t="shared" si="14"/>
        <v/>
      </c>
      <c r="L508" t="str">
        <f t="shared" si="15"/>
        <v/>
      </c>
      <c r="M508" t="str">
        <f>IFERROR(IF($C508="","",SUMIFS(Ledger!$K$2:$K$4, Ledger!$B$2:$B$4, $A508, Ledger!$C$2:$C$4, M$2)),"****")</f>
        <v/>
      </c>
      <c r="N508" t="str">
        <f>IFERROR(IF($C508="","",SUMIFS(Ledger!$K$2:$K$4, Ledger!$B$2:$B$4, $A508, Ledger!$C$2:$C$4, N$2)),"****")</f>
        <v/>
      </c>
      <c r="O508" t="str">
        <f>IFERROR(IF($C508="","",SUMIFS(Ledger!$K$2:$K$4, Ledger!$B$2:$B$4, $A508, Ledger!$C$2:$C$4, O$2)),"****")</f>
        <v/>
      </c>
      <c r="P508" t="str">
        <f>IFERROR(IF($C508="","",SUMIFS(Ledger!$K$2:$K$4, Ledger!$B$2:$B$4, $A508, Ledger!$C$2:$C$4, P$2)),"****")</f>
        <v/>
      </c>
      <c r="Q508" t="str">
        <f>IFERROR(IF($C508="","",SUMIFS(Ledger!$K$2:$K$4, Ledger!$B$2:$B$4, $A508, Ledger!$C$2:$C$4, Q$2)),"****")</f>
        <v/>
      </c>
      <c r="R508" t="str">
        <f>IFERROR(IF($C508="","",SUMIFS(Ledger!$K$2:$K$4, Ledger!$B$2:$B$4, $A508, Ledger!$C$2:$C$4, R$2)),"****")</f>
        <v/>
      </c>
      <c r="S508" t="str">
        <f>IFERROR(IF($C508="","",SUMIFS(Ledger!$K$2:$K$4, Ledger!$B$2:$B$4, $A508, Ledger!$C$2:$C$4, S$2)),"****")</f>
        <v/>
      </c>
      <c r="T508" t="str">
        <f>IFERROR(IF($C508="","",SUMIFS(Ledger!$K$2:$K$4, Ledger!$B$2:$B$4, $A508, Ledger!$C$2:$C$4, T$2)),"****")</f>
        <v/>
      </c>
      <c r="U508" t="str">
        <f>IFERROR(IF($C508="","",SUMIFS(Ledger!$K$2:$K$4, Ledger!$B$2:$B$4, $A508, Ledger!$C$2:$C$4, U$2)),"****")</f>
        <v/>
      </c>
      <c r="V508" t="str">
        <f>IFERROR(IF($C508="","",SUMIFS(Ledger!$K$2:$K$4, Ledger!$B$2:$B$4, $A508, Ledger!$C$2:$C$4, V$2)),"****")</f>
        <v/>
      </c>
      <c r="W508" t="str">
        <f>IFERROR(IF($C508="","",SUMIFS(Ledger!$K$2:$K$4, Ledger!$B$2:$B$4, $A508, Ledger!$C$2:$C$4, W$2)),"****")</f>
        <v/>
      </c>
      <c r="X508" t="str">
        <f>IFERROR(IF($C508="","",SUMIFS(Ledger!$K$2:$K$4, Ledger!$B$2:$B$4, $A508, Ledger!$C$2:$C$4, X$2)),"****")</f>
        <v/>
      </c>
    </row>
    <row r="509" spans="1:24" x14ac:dyDescent="0.3">
      <c r="A509" s="106">
        <v>507</v>
      </c>
      <c r="B509" t="str">
        <f>IFERROR(VLOOKUP($A509, Ledger!$B$2:$L$8, 3, 0),"")</f>
        <v/>
      </c>
      <c r="C509" t="str">
        <f>IFERROR(VLOOKUP($A509, Ledger!$B$2:$L$8, 4, 0),"")</f>
        <v/>
      </c>
      <c r="D509" t="str">
        <f>IFERROR(VLOOKUP($A509, Ledger!$B$2:$L$8, 5, 0),"")</f>
        <v/>
      </c>
      <c r="E509" t="str">
        <f>IFERROR(VLOOKUP($A509, Ledger!$B$2:$L$8, 6, 0),"")</f>
        <v/>
      </c>
      <c r="F509" t="str">
        <f>IFERROR(VLOOKUP($A509,'Student Data'!$A$2:$AR$6,32,0),"")</f>
        <v/>
      </c>
      <c r="G509" t="str">
        <f>IFERROR(VLOOKUP($A509,'Student Data'!$A$2:$AR$6,33,0),"")</f>
        <v/>
      </c>
      <c r="H509" t="str">
        <f>IFERROR(VLOOKUP($A509,'Student Data'!$A$2:$AR$6,34,0),"")</f>
        <v/>
      </c>
      <c r="I509" t="str">
        <f>IFERROR(VLOOKUP($A509,'Student Data'!$A$2:$AR$6,35,0),"")</f>
        <v/>
      </c>
      <c r="J509" t="str">
        <f>IFERROR(VLOOKUP($A509,'Student Data'!$A$2:$AR$6,36,0),"")</f>
        <v/>
      </c>
      <c r="K509" t="str">
        <f t="shared" si="14"/>
        <v/>
      </c>
      <c r="L509" t="str">
        <f t="shared" si="15"/>
        <v/>
      </c>
      <c r="M509" t="str">
        <f>IFERROR(IF($C509="","",SUMIFS(Ledger!$K$2:$K$4, Ledger!$B$2:$B$4, $A509, Ledger!$C$2:$C$4, M$2)),"****")</f>
        <v/>
      </c>
      <c r="N509" t="str">
        <f>IFERROR(IF($C509="","",SUMIFS(Ledger!$K$2:$K$4, Ledger!$B$2:$B$4, $A509, Ledger!$C$2:$C$4, N$2)),"****")</f>
        <v/>
      </c>
      <c r="O509" t="str">
        <f>IFERROR(IF($C509="","",SUMIFS(Ledger!$K$2:$K$4, Ledger!$B$2:$B$4, $A509, Ledger!$C$2:$C$4, O$2)),"****")</f>
        <v/>
      </c>
      <c r="P509" t="str">
        <f>IFERROR(IF($C509="","",SUMIFS(Ledger!$K$2:$K$4, Ledger!$B$2:$B$4, $A509, Ledger!$C$2:$C$4, P$2)),"****")</f>
        <v/>
      </c>
      <c r="Q509" t="str">
        <f>IFERROR(IF($C509="","",SUMIFS(Ledger!$K$2:$K$4, Ledger!$B$2:$B$4, $A509, Ledger!$C$2:$C$4, Q$2)),"****")</f>
        <v/>
      </c>
      <c r="R509" t="str">
        <f>IFERROR(IF($C509="","",SUMIFS(Ledger!$K$2:$K$4, Ledger!$B$2:$B$4, $A509, Ledger!$C$2:$C$4, R$2)),"****")</f>
        <v/>
      </c>
      <c r="S509" t="str">
        <f>IFERROR(IF($C509="","",SUMIFS(Ledger!$K$2:$K$4, Ledger!$B$2:$B$4, $A509, Ledger!$C$2:$C$4, S$2)),"****")</f>
        <v/>
      </c>
      <c r="T509" t="str">
        <f>IFERROR(IF($C509="","",SUMIFS(Ledger!$K$2:$K$4, Ledger!$B$2:$B$4, $A509, Ledger!$C$2:$C$4, T$2)),"****")</f>
        <v/>
      </c>
      <c r="U509" t="str">
        <f>IFERROR(IF($C509="","",SUMIFS(Ledger!$K$2:$K$4, Ledger!$B$2:$B$4, $A509, Ledger!$C$2:$C$4, U$2)),"****")</f>
        <v/>
      </c>
      <c r="V509" t="str">
        <f>IFERROR(IF($C509="","",SUMIFS(Ledger!$K$2:$K$4, Ledger!$B$2:$B$4, $A509, Ledger!$C$2:$C$4, V$2)),"****")</f>
        <v/>
      </c>
      <c r="W509" t="str">
        <f>IFERROR(IF($C509="","",SUMIFS(Ledger!$K$2:$K$4, Ledger!$B$2:$B$4, $A509, Ledger!$C$2:$C$4, W$2)),"****")</f>
        <v/>
      </c>
      <c r="X509" t="str">
        <f>IFERROR(IF($C509="","",SUMIFS(Ledger!$K$2:$K$4, Ledger!$B$2:$B$4, $A509, Ledger!$C$2:$C$4, X$2)),"****")</f>
        <v/>
      </c>
    </row>
    <row r="510" spans="1:24" x14ac:dyDescent="0.3">
      <c r="A510" s="106">
        <v>508</v>
      </c>
      <c r="B510" t="str">
        <f>IFERROR(VLOOKUP($A510, Ledger!$B$2:$L$8, 3, 0),"")</f>
        <v/>
      </c>
      <c r="C510" t="str">
        <f>IFERROR(VLOOKUP($A510, Ledger!$B$2:$L$8, 4, 0),"")</f>
        <v/>
      </c>
      <c r="D510" t="str">
        <f>IFERROR(VLOOKUP($A510, Ledger!$B$2:$L$8, 5, 0),"")</f>
        <v/>
      </c>
      <c r="E510" t="str">
        <f>IFERROR(VLOOKUP($A510, Ledger!$B$2:$L$8, 6, 0),"")</f>
        <v/>
      </c>
      <c r="F510" t="str">
        <f>IFERROR(VLOOKUP($A510,'Student Data'!$A$2:$AR$6,32,0),"")</f>
        <v/>
      </c>
      <c r="G510" t="str">
        <f>IFERROR(VLOOKUP($A510,'Student Data'!$A$2:$AR$6,33,0),"")</f>
        <v/>
      </c>
      <c r="H510" t="str">
        <f>IFERROR(VLOOKUP($A510,'Student Data'!$A$2:$AR$6,34,0),"")</f>
        <v/>
      </c>
      <c r="I510" t="str">
        <f>IFERROR(VLOOKUP($A510,'Student Data'!$A$2:$AR$6,35,0),"")</f>
        <v/>
      </c>
      <c r="J510" t="str">
        <f>IFERROR(VLOOKUP($A510,'Student Data'!$A$2:$AR$6,36,0),"")</f>
        <v/>
      </c>
      <c r="K510" t="str">
        <f t="shared" si="14"/>
        <v/>
      </c>
      <c r="L510" t="str">
        <f t="shared" si="15"/>
        <v/>
      </c>
      <c r="M510" t="str">
        <f>IFERROR(IF($C510="","",SUMIFS(Ledger!$K$2:$K$4, Ledger!$B$2:$B$4, $A510, Ledger!$C$2:$C$4, M$2)),"****")</f>
        <v/>
      </c>
      <c r="N510" t="str">
        <f>IFERROR(IF($C510="","",SUMIFS(Ledger!$K$2:$K$4, Ledger!$B$2:$B$4, $A510, Ledger!$C$2:$C$4, N$2)),"****")</f>
        <v/>
      </c>
      <c r="O510" t="str">
        <f>IFERROR(IF($C510="","",SUMIFS(Ledger!$K$2:$K$4, Ledger!$B$2:$B$4, $A510, Ledger!$C$2:$C$4, O$2)),"****")</f>
        <v/>
      </c>
      <c r="P510" t="str">
        <f>IFERROR(IF($C510="","",SUMIFS(Ledger!$K$2:$K$4, Ledger!$B$2:$B$4, $A510, Ledger!$C$2:$C$4, P$2)),"****")</f>
        <v/>
      </c>
      <c r="Q510" t="str">
        <f>IFERROR(IF($C510="","",SUMIFS(Ledger!$K$2:$K$4, Ledger!$B$2:$B$4, $A510, Ledger!$C$2:$C$4, Q$2)),"****")</f>
        <v/>
      </c>
      <c r="R510" t="str">
        <f>IFERROR(IF($C510="","",SUMIFS(Ledger!$K$2:$K$4, Ledger!$B$2:$B$4, $A510, Ledger!$C$2:$C$4, R$2)),"****")</f>
        <v/>
      </c>
      <c r="S510" t="str">
        <f>IFERROR(IF($C510="","",SUMIFS(Ledger!$K$2:$K$4, Ledger!$B$2:$B$4, $A510, Ledger!$C$2:$C$4, S$2)),"****")</f>
        <v/>
      </c>
      <c r="T510" t="str">
        <f>IFERROR(IF($C510="","",SUMIFS(Ledger!$K$2:$K$4, Ledger!$B$2:$B$4, $A510, Ledger!$C$2:$C$4, T$2)),"****")</f>
        <v/>
      </c>
      <c r="U510" t="str">
        <f>IFERROR(IF($C510="","",SUMIFS(Ledger!$K$2:$K$4, Ledger!$B$2:$B$4, $A510, Ledger!$C$2:$C$4, U$2)),"****")</f>
        <v/>
      </c>
      <c r="V510" t="str">
        <f>IFERROR(IF($C510="","",SUMIFS(Ledger!$K$2:$K$4, Ledger!$B$2:$B$4, $A510, Ledger!$C$2:$C$4, V$2)),"****")</f>
        <v/>
      </c>
      <c r="W510" t="str">
        <f>IFERROR(IF($C510="","",SUMIFS(Ledger!$K$2:$K$4, Ledger!$B$2:$B$4, $A510, Ledger!$C$2:$C$4, W$2)),"****")</f>
        <v/>
      </c>
      <c r="X510" t="str">
        <f>IFERROR(IF($C510="","",SUMIFS(Ledger!$K$2:$K$4, Ledger!$B$2:$B$4, $A510, Ledger!$C$2:$C$4, X$2)),"****")</f>
        <v/>
      </c>
    </row>
    <row r="511" spans="1:24" x14ac:dyDescent="0.3">
      <c r="A511" s="106">
        <v>509</v>
      </c>
      <c r="B511" t="str">
        <f>IFERROR(VLOOKUP($A511, Ledger!$B$2:$L$8, 3, 0),"")</f>
        <v/>
      </c>
      <c r="C511" t="str">
        <f>IFERROR(VLOOKUP($A511, Ledger!$B$2:$L$8, 4, 0),"")</f>
        <v/>
      </c>
      <c r="D511" t="str">
        <f>IFERROR(VLOOKUP($A511, Ledger!$B$2:$L$8, 5, 0),"")</f>
        <v/>
      </c>
      <c r="E511" t="str">
        <f>IFERROR(VLOOKUP($A511, Ledger!$B$2:$L$8, 6, 0),"")</f>
        <v/>
      </c>
      <c r="F511" t="str">
        <f>IFERROR(VLOOKUP($A511,'Student Data'!$A$2:$AR$6,32,0),"")</f>
        <v/>
      </c>
      <c r="G511" t="str">
        <f>IFERROR(VLOOKUP($A511,'Student Data'!$A$2:$AR$6,33,0),"")</f>
        <v/>
      </c>
      <c r="H511" t="str">
        <f>IFERROR(VLOOKUP($A511,'Student Data'!$A$2:$AR$6,34,0),"")</f>
        <v/>
      </c>
      <c r="I511" t="str">
        <f>IFERROR(VLOOKUP($A511,'Student Data'!$A$2:$AR$6,35,0),"")</f>
        <v/>
      </c>
      <c r="J511" t="str">
        <f>IFERROR(VLOOKUP($A511,'Student Data'!$A$2:$AR$6,36,0),"")</f>
        <v/>
      </c>
      <c r="K511" t="str">
        <f t="shared" si="14"/>
        <v/>
      </c>
      <c r="L511" t="str">
        <f t="shared" si="15"/>
        <v/>
      </c>
      <c r="M511" t="str">
        <f>IFERROR(IF($C511="","",SUMIFS(Ledger!$K$2:$K$4, Ledger!$B$2:$B$4, $A511, Ledger!$C$2:$C$4, M$2)),"****")</f>
        <v/>
      </c>
      <c r="N511" t="str">
        <f>IFERROR(IF($C511="","",SUMIFS(Ledger!$K$2:$K$4, Ledger!$B$2:$B$4, $A511, Ledger!$C$2:$C$4, N$2)),"****")</f>
        <v/>
      </c>
      <c r="O511" t="str">
        <f>IFERROR(IF($C511="","",SUMIFS(Ledger!$K$2:$K$4, Ledger!$B$2:$B$4, $A511, Ledger!$C$2:$C$4, O$2)),"****")</f>
        <v/>
      </c>
      <c r="P511" t="str">
        <f>IFERROR(IF($C511="","",SUMIFS(Ledger!$K$2:$K$4, Ledger!$B$2:$B$4, $A511, Ledger!$C$2:$C$4, P$2)),"****")</f>
        <v/>
      </c>
      <c r="Q511" t="str">
        <f>IFERROR(IF($C511="","",SUMIFS(Ledger!$K$2:$K$4, Ledger!$B$2:$B$4, $A511, Ledger!$C$2:$C$4, Q$2)),"****")</f>
        <v/>
      </c>
      <c r="R511" t="str">
        <f>IFERROR(IF($C511="","",SUMIFS(Ledger!$K$2:$K$4, Ledger!$B$2:$B$4, $A511, Ledger!$C$2:$C$4, R$2)),"****")</f>
        <v/>
      </c>
      <c r="S511" t="str">
        <f>IFERROR(IF($C511="","",SUMIFS(Ledger!$K$2:$K$4, Ledger!$B$2:$B$4, $A511, Ledger!$C$2:$C$4, S$2)),"****")</f>
        <v/>
      </c>
      <c r="T511" t="str">
        <f>IFERROR(IF($C511="","",SUMIFS(Ledger!$K$2:$K$4, Ledger!$B$2:$B$4, $A511, Ledger!$C$2:$C$4, T$2)),"****")</f>
        <v/>
      </c>
      <c r="U511" t="str">
        <f>IFERROR(IF($C511="","",SUMIFS(Ledger!$K$2:$K$4, Ledger!$B$2:$B$4, $A511, Ledger!$C$2:$C$4, U$2)),"****")</f>
        <v/>
      </c>
      <c r="V511" t="str">
        <f>IFERROR(IF($C511="","",SUMIFS(Ledger!$K$2:$K$4, Ledger!$B$2:$B$4, $A511, Ledger!$C$2:$C$4, V$2)),"****")</f>
        <v/>
      </c>
      <c r="W511" t="str">
        <f>IFERROR(IF($C511="","",SUMIFS(Ledger!$K$2:$K$4, Ledger!$B$2:$B$4, $A511, Ledger!$C$2:$C$4, W$2)),"****")</f>
        <v/>
      </c>
      <c r="X511" t="str">
        <f>IFERROR(IF($C511="","",SUMIFS(Ledger!$K$2:$K$4, Ledger!$B$2:$B$4, $A511, Ledger!$C$2:$C$4, X$2)),"****")</f>
        <v/>
      </c>
    </row>
    <row r="512" spans="1:24" x14ac:dyDescent="0.3">
      <c r="A512" s="106">
        <v>510</v>
      </c>
      <c r="B512" t="str">
        <f>IFERROR(VLOOKUP($A512, Ledger!$B$2:$L$8, 3, 0),"")</f>
        <v/>
      </c>
      <c r="C512" t="str">
        <f>IFERROR(VLOOKUP($A512, Ledger!$B$2:$L$8, 4, 0),"")</f>
        <v/>
      </c>
      <c r="D512" t="str">
        <f>IFERROR(VLOOKUP($A512, Ledger!$B$2:$L$8, 5, 0),"")</f>
        <v/>
      </c>
      <c r="E512" t="str">
        <f>IFERROR(VLOOKUP($A512, Ledger!$B$2:$L$8, 6, 0),"")</f>
        <v/>
      </c>
      <c r="F512" t="str">
        <f>IFERROR(VLOOKUP($A512,'Student Data'!$A$2:$AR$6,32,0),"")</f>
        <v/>
      </c>
      <c r="G512" t="str">
        <f>IFERROR(VLOOKUP($A512,'Student Data'!$A$2:$AR$6,33,0),"")</f>
        <v/>
      </c>
      <c r="H512" t="str">
        <f>IFERROR(VLOOKUP($A512,'Student Data'!$A$2:$AR$6,34,0),"")</f>
        <v/>
      </c>
      <c r="I512" t="str">
        <f>IFERROR(VLOOKUP($A512,'Student Data'!$A$2:$AR$6,35,0),"")</f>
        <v/>
      </c>
      <c r="J512" t="str">
        <f>IFERROR(VLOOKUP($A512,'Student Data'!$A$2:$AR$6,36,0),"")</f>
        <v/>
      </c>
      <c r="K512" t="str">
        <f t="shared" si="14"/>
        <v/>
      </c>
      <c r="L512" t="str">
        <f t="shared" si="15"/>
        <v/>
      </c>
      <c r="M512" t="str">
        <f>IFERROR(IF($C512="","",SUMIFS(Ledger!$K$2:$K$4, Ledger!$B$2:$B$4, $A512, Ledger!$C$2:$C$4, M$2)),"****")</f>
        <v/>
      </c>
      <c r="N512" t="str">
        <f>IFERROR(IF($C512="","",SUMIFS(Ledger!$K$2:$K$4, Ledger!$B$2:$B$4, $A512, Ledger!$C$2:$C$4, N$2)),"****")</f>
        <v/>
      </c>
      <c r="O512" t="str">
        <f>IFERROR(IF($C512="","",SUMIFS(Ledger!$K$2:$K$4, Ledger!$B$2:$B$4, $A512, Ledger!$C$2:$C$4, O$2)),"****")</f>
        <v/>
      </c>
      <c r="P512" t="str">
        <f>IFERROR(IF($C512="","",SUMIFS(Ledger!$K$2:$K$4, Ledger!$B$2:$B$4, $A512, Ledger!$C$2:$C$4, P$2)),"****")</f>
        <v/>
      </c>
      <c r="Q512" t="str">
        <f>IFERROR(IF($C512="","",SUMIFS(Ledger!$K$2:$K$4, Ledger!$B$2:$B$4, $A512, Ledger!$C$2:$C$4, Q$2)),"****")</f>
        <v/>
      </c>
      <c r="R512" t="str">
        <f>IFERROR(IF($C512="","",SUMIFS(Ledger!$K$2:$K$4, Ledger!$B$2:$B$4, $A512, Ledger!$C$2:$C$4, R$2)),"****")</f>
        <v/>
      </c>
      <c r="S512" t="str">
        <f>IFERROR(IF($C512="","",SUMIFS(Ledger!$K$2:$K$4, Ledger!$B$2:$B$4, $A512, Ledger!$C$2:$C$4, S$2)),"****")</f>
        <v/>
      </c>
      <c r="T512" t="str">
        <f>IFERROR(IF($C512="","",SUMIFS(Ledger!$K$2:$K$4, Ledger!$B$2:$B$4, $A512, Ledger!$C$2:$C$4, T$2)),"****")</f>
        <v/>
      </c>
      <c r="U512" t="str">
        <f>IFERROR(IF($C512="","",SUMIFS(Ledger!$K$2:$K$4, Ledger!$B$2:$B$4, $A512, Ledger!$C$2:$C$4, U$2)),"****")</f>
        <v/>
      </c>
      <c r="V512" t="str">
        <f>IFERROR(IF($C512="","",SUMIFS(Ledger!$K$2:$K$4, Ledger!$B$2:$B$4, $A512, Ledger!$C$2:$C$4, V$2)),"****")</f>
        <v/>
      </c>
      <c r="W512" t="str">
        <f>IFERROR(IF($C512="","",SUMIFS(Ledger!$K$2:$K$4, Ledger!$B$2:$B$4, $A512, Ledger!$C$2:$C$4, W$2)),"****")</f>
        <v/>
      </c>
      <c r="X512" t="str">
        <f>IFERROR(IF($C512="","",SUMIFS(Ledger!$K$2:$K$4, Ledger!$B$2:$B$4, $A512, Ledger!$C$2:$C$4, X$2)),"****")</f>
        <v/>
      </c>
    </row>
    <row r="513" spans="1:24" x14ac:dyDescent="0.3">
      <c r="A513" s="106">
        <v>511</v>
      </c>
      <c r="B513" t="str">
        <f>IFERROR(VLOOKUP($A513, Ledger!$B$2:$L$8, 3, 0),"")</f>
        <v/>
      </c>
      <c r="C513" t="str">
        <f>IFERROR(VLOOKUP($A513, Ledger!$B$2:$L$8, 4, 0),"")</f>
        <v/>
      </c>
      <c r="D513" t="str">
        <f>IFERROR(VLOOKUP($A513, Ledger!$B$2:$L$8, 5, 0),"")</f>
        <v/>
      </c>
      <c r="E513" t="str">
        <f>IFERROR(VLOOKUP($A513, Ledger!$B$2:$L$8, 6, 0),"")</f>
        <v/>
      </c>
      <c r="F513" t="str">
        <f>IFERROR(VLOOKUP($A513,'Student Data'!$A$2:$AR$6,32,0),"")</f>
        <v/>
      </c>
      <c r="G513" t="str">
        <f>IFERROR(VLOOKUP($A513,'Student Data'!$A$2:$AR$6,33,0),"")</f>
        <v/>
      </c>
      <c r="H513" t="str">
        <f>IFERROR(VLOOKUP($A513,'Student Data'!$A$2:$AR$6,34,0),"")</f>
        <v/>
      </c>
      <c r="I513" t="str">
        <f>IFERROR(VLOOKUP($A513,'Student Data'!$A$2:$AR$6,35,0),"")</f>
        <v/>
      </c>
      <c r="J513" t="str">
        <f>IFERROR(VLOOKUP($A513,'Student Data'!$A$2:$AR$6,36,0),"")</f>
        <v/>
      </c>
      <c r="K513" t="str">
        <f t="shared" si="14"/>
        <v/>
      </c>
      <c r="L513" t="str">
        <f t="shared" si="15"/>
        <v/>
      </c>
      <c r="M513" t="str">
        <f>IFERROR(IF($C513="","",SUMIFS(Ledger!$K$2:$K$4, Ledger!$B$2:$B$4, $A513, Ledger!$C$2:$C$4, M$2)),"****")</f>
        <v/>
      </c>
      <c r="N513" t="str">
        <f>IFERROR(IF($C513="","",SUMIFS(Ledger!$K$2:$K$4, Ledger!$B$2:$B$4, $A513, Ledger!$C$2:$C$4, N$2)),"****")</f>
        <v/>
      </c>
      <c r="O513" t="str">
        <f>IFERROR(IF($C513="","",SUMIFS(Ledger!$K$2:$K$4, Ledger!$B$2:$B$4, $A513, Ledger!$C$2:$C$4, O$2)),"****")</f>
        <v/>
      </c>
      <c r="P513" t="str">
        <f>IFERROR(IF($C513="","",SUMIFS(Ledger!$K$2:$K$4, Ledger!$B$2:$B$4, $A513, Ledger!$C$2:$C$4, P$2)),"****")</f>
        <v/>
      </c>
      <c r="Q513" t="str">
        <f>IFERROR(IF($C513="","",SUMIFS(Ledger!$K$2:$K$4, Ledger!$B$2:$B$4, $A513, Ledger!$C$2:$C$4, Q$2)),"****")</f>
        <v/>
      </c>
      <c r="R513" t="str">
        <f>IFERROR(IF($C513="","",SUMIFS(Ledger!$K$2:$K$4, Ledger!$B$2:$B$4, $A513, Ledger!$C$2:$C$4, R$2)),"****")</f>
        <v/>
      </c>
      <c r="S513" t="str">
        <f>IFERROR(IF($C513="","",SUMIFS(Ledger!$K$2:$K$4, Ledger!$B$2:$B$4, $A513, Ledger!$C$2:$C$4, S$2)),"****")</f>
        <v/>
      </c>
      <c r="T513" t="str">
        <f>IFERROR(IF($C513="","",SUMIFS(Ledger!$K$2:$K$4, Ledger!$B$2:$B$4, $A513, Ledger!$C$2:$C$4, T$2)),"****")</f>
        <v/>
      </c>
      <c r="U513" t="str">
        <f>IFERROR(IF($C513="","",SUMIFS(Ledger!$K$2:$K$4, Ledger!$B$2:$B$4, $A513, Ledger!$C$2:$C$4, U$2)),"****")</f>
        <v/>
      </c>
      <c r="V513" t="str">
        <f>IFERROR(IF($C513="","",SUMIFS(Ledger!$K$2:$K$4, Ledger!$B$2:$B$4, $A513, Ledger!$C$2:$C$4, V$2)),"****")</f>
        <v/>
      </c>
      <c r="W513" t="str">
        <f>IFERROR(IF($C513="","",SUMIFS(Ledger!$K$2:$K$4, Ledger!$B$2:$B$4, $A513, Ledger!$C$2:$C$4, W$2)),"****")</f>
        <v/>
      </c>
      <c r="X513" t="str">
        <f>IFERROR(IF($C513="","",SUMIFS(Ledger!$K$2:$K$4, Ledger!$B$2:$B$4, $A513, Ledger!$C$2:$C$4, X$2)),"****")</f>
        <v/>
      </c>
    </row>
    <row r="514" spans="1:24" x14ac:dyDescent="0.3">
      <c r="A514" s="106">
        <v>512</v>
      </c>
      <c r="B514" t="str">
        <f>IFERROR(VLOOKUP($A514, Ledger!$B$2:$L$8, 3, 0),"")</f>
        <v/>
      </c>
      <c r="C514" t="str">
        <f>IFERROR(VLOOKUP($A514, Ledger!$B$2:$L$8, 4, 0),"")</f>
        <v/>
      </c>
      <c r="D514" t="str">
        <f>IFERROR(VLOOKUP($A514, Ledger!$B$2:$L$8, 5, 0),"")</f>
        <v/>
      </c>
      <c r="E514" t="str">
        <f>IFERROR(VLOOKUP($A514, Ledger!$B$2:$L$8, 6, 0),"")</f>
        <v/>
      </c>
      <c r="F514" t="str">
        <f>IFERROR(VLOOKUP($A514,'Student Data'!$A$2:$AR$6,32,0),"")</f>
        <v/>
      </c>
      <c r="G514" t="str">
        <f>IFERROR(VLOOKUP($A514,'Student Data'!$A$2:$AR$6,33,0),"")</f>
        <v/>
      </c>
      <c r="H514" t="str">
        <f>IFERROR(VLOOKUP($A514,'Student Data'!$A$2:$AR$6,34,0),"")</f>
        <v/>
      </c>
      <c r="I514" t="str">
        <f>IFERROR(VLOOKUP($A514,'Student Data'!$A$2:$AR$6,35,0),"")</f>
        <v/>
      </c>
      <c r="J514" t="str">
        <f>IFERROR(VLOOKUP($A514,'Student Data'!$A$2:$AR$6,36,0),"")</f>
        <v/>
      </c>
      <c r="K514" t="str">
        <f t="shared" si="14"/>
        <v/>
      </c>
      <c r="L514" t="str">
        <f t="shared" si="15"/>
        <v/>
      </c>
      <c r="M514" t="str">
        <f>IFERROR(IF($C514="","",SUMIFS(Ledger!$K$2:$K$4, Ledger!$B$2:$B$4, $A514, Ledger!$C$2:$C$4, M$2)),"****")</f>
        <v/>
      </c>
      <c r="N514" t="str">
        <f>IFERROR(IF($C514="","",SUMIFS(Ledger!$K$2:$K$4, Ledger!$B$2:$B$4, $A514, Ledger!$C$2:$C$4, N$2)),"****")</f>
        <v/>
      </c>
      <c r="O514" t="str">
        <f>IFERROR(IF($C514="","",SUMIFS(Ledger!$K$2:$K$4, Ledger!$B$2:$B$4, $A514, Ledger!$C$2:$C$4, O$2)),"****")</f>
        <v/>
      </c>
      <c r="P514" t="str">
        <f>IFERROR(IF($C514="","",SUMIFS(Ledger!$K$2:$K$4, Ledger!$B$2:$B$4, $A514, Ledger!$C$2:$C$4, P$2)),"****")</f>
        <v/>
      </c>
      <c r="Q514" t="str">
        <f>IFERROR(IF($C514="","",SUMIFS(Ledger!$K$2:$K$4, Ledger!$B$2:$B$4, $A514, Ledger!$C$2:$C$4, Q$2)),"****")</f>
        <v/>
      </c>
      <c r="R514" t="str">
        <f>IFERROR(IF($C514="","",SUMIFS(Ledger!$K$2:$K$4, Ledger!$B$2:$B$4, $A514, Ledger!$C$2:$C$4, R$2)),"****")</f>
        <v/>
      </c>
      <c r="S514" t="str">
        <f>IFERROR(IF($C514="","",SUMIFS(Ledger!$K$2:$K$4, Ledger!$B$2:$B$4, $A514, Ledger!$C$2:$C$4, S$2)),"****")</f>
        <v/>
      </c>
      <c r="T514" t="str">
        <f>IFERROR(IF($C514="","",SUMIFS(Ledger!$K$2:$K$4, Ledger!$B$2:$B$4, $A514, Ledger!$C$2:$C$4, T$2)),"****")</f>
        <v/>
      </c>
      <c r="U514" t="str">
        <f>IFERROR(IF($C514="","",SUMIFS(Ledger!$K$2:$K$4, Ledger!$B$2:$B$4, $A514, Ledger!$C$2:$C$4, U$2)),"****")</f>
        <v/>
      </c>
      <c r="V514" t="str">
        <f>IFERROR(IF($C514="","",SUMIFS(Ledger!$K$2:$K$4, Ledger!$B$2:$B$4, $A514, Ledger!$C$2:$C$4, V$2)),"****")</f>
        <v/>
      </c>
      <c r="W514" t="str">
        <f>IFERROR(IF($C514="","",SUMIFS(Ledger!$K$2:$K$4, Ledger!$B$2:$B$4, $A514, Ledger!$C$2:$C$4, W$2)),"****")</f>
        <v/>
      </c>
      <c r="X514" t="str">
        <f>IFERROR(IF($C514="","",SUMIFS(Ledger!$K$2:$K$4, Ledger!$B$2:$B$4, $A514, Ledger!$C$2:$C$4, X$2)),"****")</f>
        <v/>
      </c>
    </row>
    <row r="515" spans="1:24" x14ac:dyDescent="0.3">
      <c r="A515" s="106">
        <v>513</v>
      </c>
      <c r="B515" t="str">
        <f>IFERROR(VLOOKUP($A515, Ledger!$B$2:$L$8, 3, 0),"")</f>
        <v/>
      </c>
      <c r="C515" t="str">
        <f>IFERROR(VLOOKUP($A515, Ledger!$B$2:$L$8, 4, 0),"")</f>
        <v/>
      </c>
      <c r="D515" t="str">
        <f>IFERROR(VLOOKUP($A515, Ledger!$B$2:$L$8, 5, 0),"")</f>
        <v/>
      </c>
      <c r="E515" t="str">
        <f>IFERROR(VLOOKUP($A515, Ledger!$B$2:$L$8, 6, 0),"")</f>
        <v/>
      </c>
      <c r="F515" t="str">
        <f>IFERROR(VLOOKUP($A515,'Student Data'!$A$2:$AR$6,32,0),"")</f>
        <v/>
      </c>
      <c r="G515" t="str">
        <f>IFERROR(VLOOKUP($A515,'Student Data'!$A$2:$AR$6,33,0),"")</f>
        <v/>
      </c>
      <c r="H515" t="str">
        <f>IFERROR(VLOOKUP($A515,'Student Data'!$A$2:$AR$6,34,0),"")</f>
        <v/>
      </c>
      <c r="I515" t="str">
        <f>IFERROR(VLOOKUP($A515,'Student Data'!$A$2:$AR$6,35,0),"")</f>
        <v/>
      </c>
      <c r="J515" t="str">
        <f>IFERROR(VLOOKUP($A515,'Student Data'!$A$2:$AR$6,36,0),"")</f>
        <v/>
      </c>
      <c r="K515" t="str">
        <f t="shared" si="14"/>
        <v/>
      </c>
      <c r="L515" t="str">
        <f t="shared" si="15"/>
        <v/>
      </c>
      <c r="M515" t="str">
        <f>IFERROR(IF($C515="","",SUMIFS(Ledger!$K$2:$K$4, Ledger!$B$2:$B$4, $A515, Ledger!$C$2:$C$4, M$2)),"****")</f>
        <v/>
      </c>
      <c r="N515" t="str">
        <f>IFERROR(IF($C515="","",SUMIFS(Ledger!$K$2:$K$4, Ledger!$B$2:$B$4, $A515, Ledger!$C$2:$C$4, N$2)),"****")</f>
        <v/>
      </c>
      <c r="O515" t="str">
        <f>IFERROR(IF($C515="","",SUMIFS(Ledger!$K$2:$K$4, Ledger!$B$2:$B$4, $A515, Ledger!$C$2:$C$4, O$2)),"****")</f>
        <v/>
      </c>
      <c r="P515" t="str">
        <f>IFERROR(IF($C515="","",SUMIFS(Ledger!$K$2:$K$4, Ledger!$B$2:$B$4, $A515, Ledger!$C$2:$C$4, P$2)),"****")</f>
        <v/>
      </c>
      <c r="Q515" t="str">
        <f>IFERROR(IF($C515="","",SUMIFS(Ledger!$K$2:$K$4, Ledger!$B$2:$B$4, $A515, Ledger!$C$2:$C$4, Q$2)),"****")</f>
        <v/>
      </c>
      <c r="R515" t="str">
        <f>IFERROR(IF($C515="","",SUMIFS(Ledger!$K$2:$K$4, Ledger!$B$2:$B$4, $A515, Ledger!$C$2:$C$4, R$2)),"****")</f>
        <v/>
      </c>
      <c r="S515" t="str">
        <f>IFERROR(IF($C515="","",SUMIFS(Ledger!$K$2:$K$4, Ledger!$B$2:$B$4, $A515, Ledger!$C$2:$C$4, S$2)),"****")</f>
        <v/>
      </c>
      <c r="T515" t="str">
        <f>IFERROR(IF($C515="","",SUMIFS(Ledger!$K$2:$K$4, Ledger!$B$2:$B$4, $A515, Ledger!$C$2:$C$4, T$2)),"****")</f>
        <v/>
      </c>
      <c r="U515" t="str">
        <f>IFERROR(IF($C515="","",SUMIFS(Ledger!$K$2:$K$4, Ledger!$B$2:$B$4, $A515, Ledger!$C$2:$C$4, U$2)),"****")</f>
        <v/>
      </c>
      <c r="V515" t="str">
        <f>IFERROR(IF($C515="","",SUMIFS(Ledger!$K$2:$K$4, Ledger!$B$2:$B$4, $A515, Ledger!$C$2:$C$4, V$2)),"****")</f>
        <v/>
      </c>
      <c r="W515" t="str">
        <f>IFERROR(IF($C515="","",SUMIFS(Ledger!$K$2:$K$4, Ledger!$B$2:$B$4, $A515, Ledger!$C$2:$C$4, W$2)),"****")</f>
        <v/>
      </c>
      <c r="X515" t="str">
        <f>IFERROR(IF($C515="","",SUMIFS(Ledger!$K$2:$K$4, Ledger!$B$2:$B$4, $A515, Ledger!$C$2:$C$4, X$2)),"****")</f>
        <v/>
      </c>
    </row>
    <row r="516" spans="1:24" x14ac:dyDescent="0.3">
      <c r="A516" s="106">
        <v>514</v>
      </c>
      <c r="B516" t="str">
        <f>IFERROR(VLOOKUP($A516, Ledger!$B$2:$L$8, 3, 0),"")</f>
        <v/>
      </c>
      <c r="C516" t="str">
        <f>IFERROR(VLOOKUP($A516, Ledger!$B$2:$L$8, 4, 0),"")</f>
        <v/>
      </c>
      <c r="D516" t="str">
        <f>IFERROR(VLOOKUP($A516, Ledger!$B$2:$L$8, 5, 0),"")</f>
        <v/>
      </c>
      <c r="E516" t="str">
        <f>IFERROR(VLOOKUP($A516, Ledger!$B$2:$L$8, 6, 0),"")</f>
        <v/>
      </c>
      <c r="F516" t="str">
        <f>IFERROR(VLOOKUP($A516,'Student Data'!$A$2:$AR$6,32,0),"")</f>
        <v/>
      </c>
      <c r="G516" t="str">
        <f>IFERROR(VLOOKUP($A516,'Student Data'!$A$2:$AR$6,33,0),"")</f>
        <v/>
      </c>
      <c r="H516" t="str">
        <f>IFERROR(VLOOKUP($A516,'Student Data'!$A$2:$AR$6,34,0),"")</f>
        <v/>
      </c>
      <c r="I516" t="str">
        <f>IFERROR(VLOOKUP($A516,'Student Data'!$A$2:$AR$6,35,0),"")</f>
        <v/>
      </c>
      <c r="J516" t="str">
        <f>IFERROR(VLOOKUP($A516,'Student Data'!$A$2:$AR$6,36,0),"")</f>
        <v/>
      </c>
      <c r="K516" t="str">
        <f t="shared" ref="K516:K579" si="16">IFERROR(IF(C516="","",SUM(M516:X516)),"0")</f>
        <v/>
      </c>
      <c r="L516" t="str">
        <f t="shared" ref="L516:L579" si="17">IFERROR(IF(C516="","",J516-K516),"0")</f>
        <v/>
      </c>
      <c r="M516" t="str">
        <f>IFERROR(IF($C516="","",SUMIFS(Ledger!$K$2:$K$4, Ledger!$B$2:$B$4, $A516, Ledger!$C$2:$C$4, M$2)),"****")</f>
        <v/>
      </c>
      <c r="N516" t="str">
        <f>IFERROR(IF($C516="","",SUMIFS(Ledger!$K$2:$K$4, Ledger!$B$2:$B$4, $A516, Ledger!$C$2:$C$4, N$2)),"****")</f>
        <v/>
      </c>
      <c r="O516" t="str">
        <f>IFERROR(IF($C516="","",SUMIFS(Ledger!$K$2:$K$4, Ledger!$B$2:$B$4, $A516, Ledger!$C$2:$C$4, O$2)),"****")</f>
        <v/>
      </c>
      <c r="P516" t="str">
        <f>IFERROR(IF($C516="","",SUMIFS(Ledger!$K$2:$K$4, Ledger!$B$2:$B$4, $A516, Ledger!$C$2:$C$4, P$2)),"****")</f>
        <v/>
      </c>
      <c r="Q516" t="str">
        <f>IFERROR(IF($C516="","",SUMIFS(Ledger!$K$2:$K$4, Ledger!$B$2:$B$4, $A516, Ledger!$C$2:$C$4, Q$2)),"****")</f>
        <v/>
      </c>
      <c r="R516" t="str">
        <f>IFERROR(IF($C516="","",SUMIFS(Ledger!$K$2:$K$4, Ledger!$B$2:$B$4, $A516, Ledger!$C$2:$C$4, R$2)),"****")</f>
        <v/>
      </c>
      <c r="S516" t="str">
        <f>IFERROR(IF($C516="","",SUMIFS(Ledger!$K$2:$K$4, Ledger!$B$2:$B$4, $A516, Ledger!$C$2:$C$4, S$2)),"****")</f>
        <v/>
      </c>
      <c r="T516" t="str">
        <f>IFERROR(IF($C516="","",SUMIFS(Ledger!$K$2:$K$4, Ledger!$B$2:$B$4, $A516, Ledger!$C$2:$C$4, T$2)),"****")</f>
        <v/>
      </c>
      <c r="U516" t="str">
        <f>IFERROR(IF($C516="","",SUMIFS(Ledger!$K$2:$K$4, Ledger!$B$2:$B$4, $A516, Ledger!$C$2:$C$4, U$2)),"****")</f>
        <v/>
      </c>
      <c r="V516" t="str">
        <f>IFERROR(IF($C516="","",SUMIFS(Ledger!$K$2:$K$4, Ledger!$B$2:$B$4, $A516, Ledger!$C$2:$C$4, V$2)),"****")</f>
        <v/>
      </c>
      <c r="W516" t="str">
        <f>IFERROR(IF($C516="","",SUMIFS(Ledger!$K$2:$K$4, Ledger!$B$2:$B$4, $A516, Ledger!$C$2:$C$4, W$2)),"****")</f>
        <v/>
      </c>
      <c r="X516" t="str">
        <f>IFERROR(IF($C516="","",SUMIFS(Ledger!$K$2:$K$4, Ledger!$B$2:$B$4, $A516, Ledger!$C$2:$C$4, X$2)),"****")</f>
        <v/>
      </c>
    </row>
    <row r="517" spans="1:24" x14ac:dyDescent="0.3">
      <c r="A517" s="106">
        <v>515</v>
      </c>
      <c r="B517" t="str">
        <f>IFERROR(VLOOKUP($A517, Ledger!$B$2:$L$8, 3, 0),"")</f>
        <v/>
      </c>
      <c r="C517" t="str">
        <f>IFERROR(VLOOKUP($A517, Ledger!$B$2:$L$8, 4, 0),"")</f>
        <v/>
      </c>
      <c r="D517" t="str">
        <f>IFERROR(VLOOKUP($A517, Ledger!$B$2:$L$8, 5, 0),"")</f>
        <v/>
      </c>
      <c r="E517" t="str">
        <f>IFERROR(VLOOKUP($A517, Ledger!$B$2:$L$8, 6, 0),"")</f>
        <v/>
      </c>
      <c r="F517" t="str">
        <f>IFERROR(VLOOKUP($A517,'Student Data'!$A$2:$AR$6,32,0),"")</f>
        <v/>
      </c>
      <c r="G517" t="str">
        <f>IFERROR(VLOOKUP($A517,'Student Data'!$A$2:$AR$6,33,0),"")</f>
        <v/>
      </c>
      <c r="H517" t="str">
        <f>IFERROR(VLOOKUP($A517,'Student Data'!$A$2:$AR$6,34,0),"")</f>
        <v/>
      </c>
      <c r="I517" t="str">
        <f>IFERROR(VLOOKUP($A517,'Student Data'!$A$2:$AR$6,35,0),"")</f>
        <v/>
      </c>
      <c r="J517" t="str">
        <f>IFERROR(VLOOKUP($A517,'Student Data'!$A$2:$AR$6,36,0),"")</f>
        <v/>
      </c>
      <c r="K517" t="str">
        <f t="shared" si="16"/>
        <v/>
      </c>
      <c r="L517" t="str">
        <f t="shared" si="17"/>
        <v/>
      </c>
      <c r="M517" t="str">
        <f>IFERROR(IF($C517="","",SUMIFS(Ledger!$K$2:$K$4, Ledger!$B$2:$B$4, $A517, Ledger!$C$2:$C$4, M$2)),"****")</f>
        <v/>
      </c>
      <c r="N517" t="str">
        <f>IFERROR(IF($C517="","",SUMIFS(Ledger!$K$2:$K$4, Ledger!$B$2:$B$4, $A517, Ledger!$C$2:$C$4, N$2)),"****")</f>
        <v/>
      </c>
      <c r="O517" t="str">
        <f>IFERROR(IF($C517="","",SUMIFS(Ledger!$K$2:$K$4, Ledger!$B$2:$B$4, $A517, Ledger!$C$2:$C$4, O$2)),"****")</f>
        <v/>
      </c>
      <c r="P517" t="str">
        <f>IFERROR(IF($C517="","",SUMIFS(Ledger!$K$2:$K$4, Ledger!$B$2:$B$4, $A517, Ledger!$C$2:$C$4, P$2)),"****")</f>
        <v/>
      </c>
      <c r="Q517" t="str">
        <f>IFERROR(IF($C517="","",SUMIFS(Ledger!$K$2:$K$4, Ledger!$B$2:$B$4, $A517, Ledger!$C$2:$C$4, Q$2)),"****")</f>
        <v/>
      </c>
      <c r="R517" t="str">
        <f>IFERROR(IF($C517="","",SUMIFS(Ledger!$K$2:$K$4, Ledger!$B$2:$B$4, $A517, Ledger!$C$2:$C$4, R$2)),"****")</f>
        <v/>
      </c>
      <c r="S517" t="str">
        <f>IFERROR(IF($C517="","",SUMIFS(Ledger!$K$2:$K$4, Ledger!$B$2:$B$4, $A517, Ledger!$C$2:$C$4, S$2)),"****")</f>
        <v/>
      </c>
      <c r="T517" t="str">
        <f>IFERROR(IF($C517="","",SUMIFS(Ledger!$K$2:$K$4, Ledger!$B$2:$B$4, $A517, Ledger!$C$2:$C$4, T$2)),"****")</f>
        <v/>
      </c>
      <c r="U517" t="str">
        <f>IFERROR(IF($C517="","",SUMIFS(Ledger!$K$2:$K$4, Ledger!$B$2:$B$4, $A517, Ledger!$C$2:$C$4, U$2)),"****")</f>
        <v/>
      </c>
      <c r="V517" t="str">
        <f>IFERROR(IF($C517="","",SUMIFS(Ledger!$K$2:$K$4, Ledger!$B$2:$B$4, $A517, Ledger!$C$2:$C$4, V$2)),"****")</f>
        <v/>
      </c>
      <c r="W517" t="str">
        <f>IFERROR(IF($C517="","",SUMIFS(Ledger!$K$2:$K$4, Ledger!$B$2:$B$4, $A517, Ledger!$C$2:$C$4, W$2)),"****")</f>
        <v/>
      </c>
      <c r="X517" t="str">
        <f>IFERROR(IF($C517="","",SUMIFS(Ledger!$K$2:$K$4, Ledger!$B$2:$B$4, $A517, Ledger!$C$2:$C$4, X$2)),"****")</f>
        <v/>
      </c>
    </row>
    <row r="518" spans="1:24" x14ac:dyDescent="0.3">
      <c r="A518" s="106">
        <v>516</v>
      </c>
      <c r="B518" t="str">
        <f>IFERROR(VLOOKUP($A518, Ledger!$B$2:$L$8, 3, 0),"")</f>
        <v/>
      </c>
      <c r="C518" t="str">
        <f>IFERROR(VLOOKUP($A518, Ledger!$B$2:$L$8, 4, 0),"")</f>
        <v/>
      </c>
      <c r="D518" t="str">
        <f>IFERROR(VLOOKUP($A518, Ledger!$B$2:$L$8, 5, 0),"")</f>
        <v/>
      </c>
      <c r="E518" t="str">
        <f>IFERROR(VLOOKUP($A518, Ledger!$B$2:$L$8, 6, 0),"")</f>
        <v/>
      </c>
      <c r="F518" t="str">
        <f>IFERROR(VLOOKUP($A518,'Student Data'!$A$2:$AR$6,32,0),"")</f>
        <v/>
      </c>
      <c r="G518" t="str">
        <f>IFERROR(VLOOKUP($A518,'Student Data'!$A$2:$AR$6,33,0),"")</f>
        <v/>
      </c>
      <c r="H518" t="str">
        <f>IFERROR(VLOOKUP($A518,'Student Data'!$A$2:$AR$6,34,0),"")</f>
        <v/>
      </c>
      <c r="I518" t="str">
        <f>IFERROR(VLOOKUP($A518,'Student Data'!$A$2:$AR$6,35,0),"")</f>
        <v/>
      </c>
      <c r="J518" t="str">
        <f>IFERROR(VLOOKUP($A518,'Student Data'!$A$2:$AR$6,36,0),"")</f>
        <v/>
      </c>
      <c r="K518" t="str">
        <f t="shared" si="16"/>
        <v/>
      </c>
      <c r="L518" t="str">
        <f t="shared" si="17"/>
        <v/>
      </c>
      <c r="M518" t="str">
        <f>IFERROR(IF($C518="","",SUMIFS(Ledger!$K$2:$K$4, Ledger!$B$2:$B$4, $A518, Ledger!$C$2:$C$4, M$2)),"****")</f>
        <v/>
      </c>
      <c r="N518" t="str">
        <f>IFERROR(IF($C518="","",SUMIFS(Ledger!$K$2:$K$4, Ledger!$B$2:$B$4, $A518, Ledger!$C$2:$C$4, N$2)),"****")</f>
        <v/>
      </c>
      <c r="O518" t="str">
        <f>IFERROR(IF($C518="","",SUMIFS(Ledger!$K$2:$K$4, Ledger!$B$2:$B$4, $A518, Ledger!$C$2:$C$4, O$2)),"****")</f>
        <v/>
      </c>
      <c r="P518" t="str">
        <f>IFERROR(IF($C518="","",SUMIFS(Ledger!$K$2:$K$4, Ledger!$B$2:$B$4, $A518, Ledger!$C$2:$C$4, P$2)),"****")</f>
        <v/>
      </c>
      <c r="Q518" t="str">
        <f>IFERROR(IF($C518="","",SUMIFS(Ledger!$K$2:$K$4, Ledger!$B$2:$B$4, $A518, Ledger!$C$2:$C$4, Q$2)),"****")</f>
        <v/>
      </c>
      <c r="R518" t="str">
        <f>IFERROR(IF($C518="","",SUMIFS(Ledger!$K$2:$K$4, Ledger!$B$2:$B$4, $A518, Ledger!$C$2:$C$4, R$2)),"****")</f>
        <v/>
      </c>
      <c r="S518" t="str">
        <f>IFERROR(IF($C518="","",SUMIFS(Ledger!$K$2:$K$4, Ledger!$B$2:$B$4, $A518, Ledger!$C$2:$C$4, S$2)),"****")</f>
        <v/>
      </c>
      <c r="T518" t="str">
        <f>IFERROR(IF($C518="","",SUMIFS(Ledger!$K$2:$K$4, Ledger!$B$2:$B$4, $A518, Ledger!$C$2:$C$4, T$2)),"****")</f>
        <v/>
      </c>
      <c r="U518" t="str">
        <f>IFERROR(IF($C518="","",SUMIFS(Ledger!$K$2:$K$4, Ledger!$B$2:$B$4, $A518, Ledger!$C$2:$C$4, U$2)),"****")</f>
        <v/>
      </c>
      <c r="V518" t="str">
        <f>IFERROR(IF($C518="","",SUMIFS(Ledger!$K$2:$K$4, Ledger!$B$2:$B$4, $A518, Ledger!$C$2:$C$4, V$2)),"****")</f>
        <v/>
      </c>
      <c r="W518" t="str">
        <f>IFERROR(IF($C518="","",SUMIFS(Ledger!$K$2:$K$4, Ledger!$B$2:$B$4, $A518, Ledger!$C$2:$C$4, W$2)),"****")</f>
        <v/>
      </c>
      <c r="X518" t="str">
        <f>IFERROR(IF($C518="","",SUMIFS(Ledger!$K$2:$K$4, Ledger!$B$2:$B$4, $A518, Ledger!$C$2:$C$4, X$2)),"****")</f>
        <v/>
      </c>
    </row>
    <row r="519" spans="1:24" x14ac:dyDescent="0.3">
      <c r="A519" s="106">
        <v>517</v>
      </c>
      <c r="B519" t="str">
        <f>IFERROR(VLOOKUP($A519, Ledger!$B$2:$L$8, 3, 0),"")</f>
        <v/>
      </c>
      <c r="C519" t="str">
        <f>IFERROR(VLOOKUP($A519, Ledger!$B$2:$L$8, 4, 0),"")</f>
        <v/>
      </c>
      <c r="D519" t="str">
        <f>IFERROR(VLOOKUP($A519, Ledger!$B$2:$L$8, 5, 0),"")</f>
        <v/>
      </c>
      <c r="E519" t="str">
        <f>IFERROR(VLOOKUP($A519, Ledger!$B$2:$L$8, 6, 0),"")</f>
        <v/>
      </c>
      <c r="F519" t="str">
        <f>IFERROR(VLOOKUP($A519,'Student Data'!$A$2:$AR$6,32,0),"")</f>
        <v/>
      </c>
      <c r="G519" t="str">
        <f>IFERROR(VLOOKUP($A519,'Student Data'!$A$2:$AR$6,33,0),"")</f>
        <v/>
      </c>
      <c r="H519" t="str">
        <f>IFERROR(VLOOKUP($A519,'Student Data'!$A$2:$AR$6,34,0),"")</f>
        <v/>
      </c>
      <c r="I519" t="str">
        <f>IFERROR(VLOOKUP($A519,'Student Data'!$A$2:$AR$6,35,0),"")</f>
        <v/>
      </c>
      <c r="J519" t="str">
        <f>IFERROR(VLOOKUP($A519,'Student Data'!$A$2:$AR$6,36,0),"")</f>
        <v/>
      </c>
      <c r="K519" t="str">
        <f t="shared" si="16"/>
        <v/>
      </c>
      <c r="L519" t="str">
        <f t="shared" si="17"/>
        <v/>
      </c>
      <c r="M519" t="str">
        <f>IFERROR(IF($C519="","",SUMIFS(Ledger!$K$2:$K$4, Ledger!$B$2:$B$4, $A519, Ledger!$C$2:$C$4, M$2)),"****")</f>
        <v/>
      </c>
      <c r="N519" t="str">
        <f>IFERROR(IF($C519="","",SUMIFS(Ledger!$K$2:$K$4, Ledger!$B$2:$B$4, $A519, Ledger!$C$2:$C$4, N$2)),"****")</f>
        <v/>
      </c>
      <c r="O519" t="str">
        <f>IFERROR(IF($C519="","",SUMIFS(Ledger!$K$2:$K$4, Ledger!$B$2:$B$4, $A519, Ledger!$C$2:$C$4, O$2)),"****")</f>
        <v/>
      </c>
      <c r="P519" t="str">
        <f>IFERROR(IF($C519="","",SUMIFS(Ledger!$K$2:$K$4, Ledger!$B$2:$B$4, $A519, Ledger!$C$2:$C$4, P$2)),"****")</f>
        <v/>
      </c>
      <c r="Q519" t="str">
        <f>IFERROR(IF($C519="","",SUMIFS(Ledger!$K$2:$K$4, Ledger!$B$2:$B$4, $A519, Ledger!$C$2:$C$4, Q$2)),"****")</f>
        <v/>
      </c>
      <c r="R519" t="str">
        <f>IFERROR(IF($C519="","",SUMIFS(Ledger!$K$2:$K$4, Ledger!$B$2:$B$4, $A519, Ledger!$C$2:$C$4, R$2)),"****")</f>
        <v/>
      </c>
      <c r="S519" t="str">
        <f>IFERROR(IF($C519="","",SUMIFS(Ledger!$K$2:$K$4, Ledger!$B$2:$B$4, $A519, Ledger!$C$2:$C$4, S$2)),"****")</f>
        <v/>
      </c>
      <c r="T519" t="str">
        <f>IFERROR(IF($C519="","",SUMIFS(Ledger!$K$2:$K$4, Ledger!$B$2:$B$4, $A519, Ledger!$C$2:$C$4, T$2)),"****")</f>
        <v/>
      </c>
      <c r="U519" t="str">
        <f>IFERROR(IF($C519="","",SUMIFS(Ledger!$K$2:$K$4, Ledger!$B$2:$B$4, $A519, Ledger!$C$2:$C$4, U$2)),"****")</f>
        <v/>
      </c>
      <c r="V519" t="str">
        <f>IFERROR(IF($C519="","",SUMIFS(Ledger!$K$2:$K$4, Ledger!$B$2:$B$4, $A519, Ledger!$C$2:$C$4, V$2)),"****")</f>
        <v/>
      </c>
      <c r="W519" t="str">
        <f>IFERROR(IF($C519="","",SUMIFS(Ledger!$K$2:$K$4, Ledger!$B$2:$B$4, $A519, Ledger!$C$2:$C$4, W$2)),"****")</f>
        <v/>
      </c>
      <c r="X519" t="str">
        <f>IFERROR(IF($C519="","",SUMIFS(Ledger!$K$2:$K$4, Ledger!$B$2:$B$4, $A519, Ledger!$C$2:$C$4, X$2)),"****")</f>
        <v/>
      </c>
    </row>
    <row r="520" spans="1:24" x14ac:dyDescent="0.3">
      <c r="A520" s="106">
        <v>518</v>
      </c>
      <c r="B520" t="str">
        <f>IFERROR(VLOOKUP($A520, Ledger!$B$2:$L$8, 3, 0),"")</f>
        <v/>
      </c>
      <c r="C520" t="str">
        <f>IFERROR(VLOOKUP($A520, Ledger!$B$2:$L$8, 4, 0),"")</f>
        <v/>
      </c>
      <c r="D520" t="str">
        <f>IFERROR(VLOOKUP($A520, Ledger!$B$2:$L$8, 5, 0),"")</f>
        <v/>
      </c>
      <c r="E520" t="str">
        <f>IFERROR(VLOOKUP($A520, Ledger!$B$2:$L$8, 6, 0),"")</f>
        <v/>
      </c>
      <c r="F520" t="str">
        <f>IFERROR(VLOOKUP($A520,'Student Data'!$A$2:$AR$6,32,0),"")</f>
        <v/>
      </c>
      <c r="G520" t="str">
        <f>IFERROR(VLOOKUP($A520,'Student Data'!$A$2:$AR$6,33,0),"")</f>
        <v/>
      </c>
      <c r="H520" t="str">
        <f>IFERROR(VLOOKUP($A520,'Student Data'!$A$2:$AR$6,34,0),"")</f>
        <v/>
      </c>
      <c r="I520" t="str">
        <f>IFERROR(VLOOKUP($A520,'Student Data'!$A$2:$AR$6,35,0),"")</f>
        <v/>
      </c>
      <c r="J520" t="str">
        <f>IFERROR(VLOOKUP($A520,'Student Data'!$A$2:$AR$6,36,0),"")</f>
        <v/>
      </c>
      <c r="K520" t="str">
        <f t="shared" si="16"/>
        <v/>
      </c>
      <c r="L520" t="str">
        <f t="shared" si="17"/>
        <v/>
      </c>
      <c r="M520" t="str">
        <f>IFERROR(IF($C520="","",SUMIFS(Ledger!$K$2:$K$4, Ledger!$B$2:$B$4, $A520, Ledger!$C$2:$C$4, M$2)),"****")</f>
        <v/>
      </c>
      <c r="N520" t="str">
        <f>IFERROR(IF($C520="","",SUMIFS(Ledger!$K$2:$K$4, Ledger!$B$2:$B$4, $A520, Ledger!$C$2:$C$4, N$2)),"****")</f>
        <v/>
      </c>
      <c r="O520" t="str">
        <f>IFERROR(IF($C520="","",SUMIFS(Ledger!$K$2:$K$4, Ledger!$B$2:$B$4, $A520, Ledger!$C$2:$C$4, O$2)),"****")</f>
        <v/>
      </c>
      <c r="P520" t="str">
        <f>IFERROR(IF($C520="","",SUMIFS(Ledger!$K$2:$K$4, Ledger!$B$2:$B$4, $A520, Ledger!$C$2:$C$4, P$2)),"****")</f>
        <v/>
      </c>
      <c r="Q520" t="str">
        <f>IFERROR(IF($C520="","",SUMIFS(Ledger!$K$2:$K$4, Ledger!$B$2:$B$4, $A520, Ledger!$C$2:$C$4, Q$2)),"****")</f>
        <v/>
      </c>
      <c r="R520" t="str">
        <f>IFERROR(IF($C520="","",SUMIFS(Ledger!$K$2:$K$4, Ledger!$B$2:$B$4, $A520, Ledger!$C$2:$C$4, R$2)),"****")</f>
        <v/>
      </c>
      <c r="S520" t="str">
        <f>IFERROR(IF($C520="","",SUMIFS(Ledger!$K$2:$K$4, Ledger!$B$2:$B$4, $A520, Ledger!$C$2:$C$4, S$2)),"****")</f>
        <v/>
      </c>
      <c r="T520" t="str">
        <f>IFERROR(IF($C520="","",SUMIFS(Ledger!$K$2:$K$4, Ledger!$B$2:$B$4, $A520, Ledger!$C$2:$C$4, T$2)),"****")</f>
        <v/>
      </c>
      <c r="U520" t="str">
        <f>IFERROR(IF($C520="","",SUMIFS(Ledger!$K$2:$K$4, Ledger!$B$2:$B$4, $A520, Ledger!$C$2:$C$4, U$2)),"****")</f>
        <v/>
      </c>
      <c r="V520" t="str">
        <f>IFERROR(IF($C520="","",SUMIFS(Ledger!$K$2:$K$4, Ledger!$B$2:$B$4, $A520, Ledger!$C$2:$C$4, V$2)),"****")</f>
        <v/>
      </c>
      <c r="W520" t="str">
        <f>IFERROR(IF($C520="","",SUMIFS(Ledger!$K$2:$K$4, Ledger!$B$2:$B$4, $A520, Ledger!$C$2:$C$4, W$2)),"****")</f>
        <v/>
      </c>
      <c r="X520" t="str">
        <f>IFERROR(IF($C520="","",SUMIFS(Ledger!$K$2:$K$4, Ledger!$B$2:$B$4, $A520, Ledger!$C$2:$C$4, X$2)),"****")</f>
        <v/>
      </c>
    </row>
    <row r="521" spans="1:24" x14ac:dyDescent="0.3">
      <c r="A521" s="106">
        <v>519</v>
      </c>
      <c r="B521" t="str">
        <f>IFERROR(VLOOKUP($A521, Ledger!$B$2:$L$8, 3, 0),"")</f>
        <v/>
      </c>
      <c r="C521" t="str">
        <f>IFERROR(VLOOKUP($A521, Ledger!$B$2:$L$8, 4, 0),"")</f>
        <v/>
      </c>
      <c r="D521" t="str">
        <f>IFERROR(VLOOKUP($A521, Ledger!$B$2:$L$8, 5, 0),"")</f>
        <v/>
      </c>
      <c r="E521" t="str">
        <f>IFERROR(VLOOKUP($A521, Ledger!$B$2:$L$8, 6, 0),"")</f>
        <v/>
      </c>
      <c r="F521" t="str">
        <f>IFERROR(VLOOKUP($A521,'Student Data'!$A$2:$AR$6,32,0),"")</f>
        <v/>
      </c>
      <c r="G521" t="str">
        <f>IFERROR(VLOOKUP($A521,'Student Data'!$A$2:$AR$6,33,0),"")</f>
        <v/>
      </c>
      <c r="H521" t="str">
        <f>IFERROR(VLOOKUP($A521,'Student Data'!$A$2:$AR$6,34,0),"")</f>
        <v/>
      </c>
      <c r="I521" t="str">
        <f>IFERROR(VLOOKUP($A521,'Student Data'!$A$2:$AR$6,35,0),"")</f>
        <v/>
      </c>
      <c r="J521" t="str">
        <f>IFERROR(VLOOKUP($A521,'Student Data'!$A$2:$AR$6,36,0),"")</f>
        <v/>
      </c>
      <c r="K521" t="str">
        <f t="shared" si="16"/>
        <v/>
      </c>
      <c r="L521" t="str">
        <f t="shared" si="17"/>
        <v/>
      </c>
      <c r="M521" t="str">
        <f>IFERROR(IF($C521="","",SUMIFS(Ledger!$K$2:$K$4, Ledger!$B$2:$B$4, $A521, Ledger!$C$2:$C$4, M$2)),"****")</f>
        <v/>
      </c>
      <c r="N521" t="str">
        <f>IFERROR(IF($C521="","",SUMIFS(Ledger!$K$2:$K$4, Ledger!$B$2:$B$4, $A521, Ledger!$C$2:$C$4, N$2)),"****")</f>
        <v/>
      </c>
      <c r="O521" t="str">
        <f>IFERROR(IF($C521="","",SUMIFS(Ledger!$K$2:$K$4, Ledger!$B$2:$B$4, $A521, Ledger!$C$2:$C$4, O$2)),"****")</f>
        <v/>
      </c>
      <c r="P521" t="str">
        <f>IFERROR(IF($C521="","",SUMIFS(Ledger!$K$2:$K$4, Ledger!$B$2:$B$4, $A521, Ledger!$C$2:$C$4, P$2)),"****")</f>
        <v/>
      </c>
      <c r="Q521" t="str">
        <f>IFERROR(IF($C521="","",SUMIFS(Ledger!$K$2:$K$4, Ledger!$B$2:$B$4, $A521, Ledger!$C$2:$C$4, Q$2)),"****")</f>
        <v/>
      </c>
      <c r="R521" t="str">
        <f>IFERROR(IF($C521="","",SUMIFS(Ledger!$K$2:$K$4, Ledger!$B$2:$B$4, $A521, Ledger!$C$2:$C$4, R$2)),"****")</f>
        <v/>
      </c>
      <c r="S521" t="str">
        <f>IFERROR(IF($C521="","",SUMIFS(Ledger!$K$2:$K$4, Ledger!$B$2:$B$4, $A521, Ledger!$C$2:$C$4, S$2)),"****")</f>
        <v/>
      </c>
      <c r="T521" t="str">
        <f>IFERROR(IF($C521="","",SUMIFS(Ledger!$K$2:$K$4, Ledger!$B$2:$B$4, $A521, Ledger!$C$2:$C$4, T$2)),"****")</f>
        <v/>
      </c>
      <c r="U521" t="str">
        <f>IFERROR(IF($C521="","",SUMIFS(Ledger!$K$2:$K$4, Ledger!$B$2:$B$4, $A521, Ledger!$C$2:$C$4, U$2)),"****")</f>
        <v/>
      </c>
      <c r="V521" t="str">
        <f>IFERROR(IF($C521="","",SUMIFS(Ledger!$K$2:$K$4, Ledger!$B$2:$B$4, $A521, Ledger!$C$2:$C$4, V$2)),"****")</f>
        <v/>
      </c>
      <c r="W521" t="str">
        <f>IFERROR(IF($C521="","",SUMIFS(Ledger!$K$2:$K$4, Ledger!$B$2:$B$4, $A521, Ledger!$C$2:$C$4, W$2)),"****")</f>
        <v/>
      </c>
      <c r="X521" t="str">
        <f>IFERROR(IF($C521="","",SUMIFS(Ledger!$K$2:$K$4, Ledger!$B$2:$B$4, $A521, Ledger!$C$2:$C$4, X$2)),"****")</f>
        <v/>
      </c>
    </row>
    <row r="522" spans="1:24" x14ac:dyDescent="0.3">
      <c r="A522" s="106">
        <v>520</v>
      </c>
      <c r="B522" t="str">
        <f>IFERROR(VLOOKUP($A522, Ledger!$B$2:$L$8, 3, 0),"")</f>
        <v/>
      </c>
      <c r="C522" t="str">
        <f>IFERROR(VLOOKUP($A522, Ledger!$B$2:$L$8, 4, 0),"")</f>
        <v/>
      </c>
      <c r="D522" t="str">
        <f>IFERROR(VLOOKUP($A522, Ledger!$B$2:$L$8, 5, 0),"")</f>
        <v/>
      </c>
      <c r="E522" t="str">
        <f>IFERROR(VLOOKUP($A522, Ledger!$B$2:$L$8, 6, 0),"")</f>
        <v/>
      </c>
      <c r="F522" t="str">
        <f>IFERROR(VLOOKUP($A522,'Student Data'!$A$2:$AR$6,32,0),"")</f>
        <v/>
      </c>
      <c r="G522" t="str">
        <f>IFERROR(VLOOKUP($A522,'Student Data'!$A$2:$AR$6,33,0),"")</f>
        <v/>
      </c>
      <c r="H522" t="str">
        <f>IFERROR(VLOOKUP($A522,'Student Data'!$A$2:$AR$6,34,0),"")</f>
        <v/>
      </c>
      <c r="I522" t="str">
        <f>IFERROR(VLOOKUP($A522,'Student Data'!$A$2:$AR$6,35,0),"")</f>
        <v/>
      </c>
      <c r="J522" t="str">
        <f>IFERROR(VLOOKUP($A522,'Student Data'!$A$2:$AR$6,36,0),"")</f>
        <v/>
      </c>
      <c r="K522" t="str">
        <f t="shared" si="16"/>
        <v/>
      </c>
      <c r="L522" t="str">
        <f t="shared" si="17"/>
        <v/>
      </c>
      <c r="M522" t="str">
        <f>IFERROR(IF($C522="","",SUMIFS(Ledger!$K$2:$K$4, Ledger!$B$2:$B$4, $A522, Ledger!$C$2:$C$4, M$2)),"****")</f>
        <v/>
      </c>
      <c r="N522" t="str">
        <f>IFERROR(IF($C522="","",SUMIFS(Ledger!$K$2:$K$4, Ledger!$B$2:$B$4, $A522, Ledger!$C$2:$C$4, N$2)),"****")</f>
        <v/>
      </c>
      <c r="O522" t="str">
        <f>IFERROR(IF($C522="","",SUMIFS(Ledger!$K$2:$K$4, Ledger!$B$2:$B$4, $A522, Ledger!$C$2:$C$4, O$2)),"****")</f>
        <v/>
      </c>
      <c r="P522" t="str">
        <f>IFERROR(IF($C522="","",SUMIFS(Ledger!$K$2:$K$4, Ledger!$B$2:$B$4, $A522, Ledger!$C$2:$C$4, P$2)),"****")</f>
        <v/>
      </c>
      <c r="Q522" t="str">
        <f>IFERROR(IF($C522="","",SUMIFS(Ledger!$K$2:$K$4, Ledger!$B$2:$B$4, $A522, Ledger!$C$2:$C$4, Q$2)),"****")</f>
        <v/>
      </c>
      <c r="R522" t="str">
        <f>IFERROR(IF($C522="","",SUMIFS(Ledger!$K$2:$K$4, Ledger!$B$2:$B$4, $A522, Ledger!$C$2:$C$4, R$2)),"****")</f>
        <v/>
      </c>
      <c r="S522" t="str">
        <f>IFERROR(IF($C522="","",SUMIFS(Ledger!$K$2:$K$4, Ledger!$B$2:$B$4, $A522, Ledger!$C$2:$C$4, S$2)),"****")</f>
        <v/>
      </c>
      <c r="T522" t="str">
        <f>IFERROR(IF($C522="","",SUMIFS(Ledger!$K$2:$K$4, Ledger!$B$2:$B$4, $A522, Ledger!$C$2:$C$4, T$2)),"****")</f>
        <v/>
      </c>
      <c r="U522" t="str">
        <f>IFERROR(IF($C522="","",SUMIFS(Ledger!$K$2:$K$4, Ledger!$B$2:$B$4, $A522, Ledger!$C$2:$C$4, U$2)),"****")</f>
        <v/>
      </c>
      <c r="V522" t="str">
        <f>IFERROR(IF($C522="","",SUMIFS(Ledger!$K$2:$K$4, Ledger!$B$2:$B$4, $A522, Ledger!$C$2:$C$4, V$2)),"****")</f>
        <v/>
      </c>
      <c r="W522" t="str">
        <f>IFERROR(IF($C522="","",SUMIFS(Ledger!$K$2:$K$4, Ledger!$B$2:$B$4, $A522, Ledger!$C$2:$C$4, W$2)),"****")</f>
        <v/>
      </c>
      <c r="X522" t="str">
        <f>IFERROR(IF($C522="","",SUMIFS(Ledger!$K$2:$K$4, Ledger!$B$2:$B$4, $A522, Ledger!$C$2:$C$4, X$2)),"****")</f>
        <v/>
      </c>
    </row>
    <row r="523" spans="1:24" x14ac:dyDescent="0.3">
      <c r="A523" s="106">
        <v>521</v>
      </c>
      <c r="B523" t="str">
        <f>IFERROR(VLOOKUP($A523, Ledger!$B$2:$L$8, 3, 0),"")</f>
        <v/>
      </c>
      <c r="C523" t="str">
        <f>IFERROR(VLOOKUP($A523, Ledger!$B$2:$L$8, 4, 0),"")</f>
        <v/>
      </c>
      <c r="D523" t="str">
        <f>IFERROR(VLOOKUP($A523, Ledger!$B$2:$L$8, 5, 0),"")</f>
        <v/>
      </c>
      <c r="E523" t="str">
        <f>IFERROR(VLOOKUP($A523, Ledger!$B$2:$L$8, 6, 0),"")</f>
        <v/>
      </c>
      <c r="F523" t="str">
        <f>IFERROR(VLOOKUP($A523,'Student Data'!$A$2:$AR$6,32,0),"")</f>
        <v/>
      </c>
      <c r="G523" t="str">
        <f>IFERROR(VLOOKUP($A523,'Student Data'!$A$2:$AR$6,33,0),"")</f>
        <v/>
      </c>
      <c r="H523" t="str">
        <f>IFERROR(VLOOKUP($A523,'Student Data'!$A$2:$AR$6,34,0),"")</f>
        <v/>
      </c>
      <c r="I523" t="str">
        <f>IFERROR(VLOOKUP($A523,'Student Data'!$A$2:$AR$6,35,0),"")</f>
        <v/>
      </c>
      <c r="J523" t="str">
        <f>IFERROR(VLOOKUP($A523,'Student Data'!$A$2:$AR$6,36,0),"")</f>
        <v/>
      </c>
      <c r="K523" t="str">
        <f t="shared" si="16"/>
        <v/>
      </c>
      <c r="L523" t="str">
        <f t="shared" si="17"/>
        <v/>
      </c>
      <c r="M523" t="str">
        <f>IFERROR(IF($C523="","",SUMIFS(Ledger!$K$2:$K$4, Ledger!$B$2:$B$4, $A523, Ledger!$C$2:$C$4, M$2)),"****")</f>
        <v/>
      </c>
      <c r="N523" t="str">
        <f>IFERROR(IF($C523="","",SUMIFS(Ledger!$K$2:$K$4, Ledger!$B$2:$B$4, $A523, Ledger!$C$2:$C$4, N$2)),"****")</f>
        <v/>
      </c>
      <c r="O523" t="str">
        <f>IFERROR(IF($C523="","",SUMIFS(Ledger!$K$2:$K$4, Ledger!$B$2:$B$4, $A523, Ledger!$C$2:$C$4, O$2)),"****")</f>
        <v/>
      </c>
      <c r="P523" t="str">
        <f>IFERROR(IF($C523="","",SUMIFS(Ledger!$K$2:$K$4, Ledger!$B$2:$B$4, $A523, Ledger!$C$2:$C$4, P$2)),"****")</f>
        <v/>
      </c>
      <c r="Q523" t="str">
        <f>IFERROR(IF($C523="","",SUMIFS(Ledger!$K$2:$K$4, Ledger!$B$2:$B$4, $A523, Ledger!$C$2:$C$4, Q$2)),"****")</f>
        <v/>
      </c>
      <c r="R523" t="str">
        <f>IFERROR(IF($C523="","",SUMIFS(Ledger!$K$2:$K$4, Ledger!$B$2:$B$4, $A523, Ledger!$C$2:$C$4, R$2)),"****")</f>
        <v/>
      </c>
      <c r="S523" t="str">
        <f>IFERROR(IF($C523="","",SUMIFS(Ledger!$K$2:$K$4, Ledger!$B$2:$B$4, $A523, Ledger!$C$2:$C$4, S$2)),"****")</f>
        <v/>
      </c>
      <c r="T523" t="str">
        <f>IFERROR(IF($C523="","",SUMIFS(Ledger!$K$2:$K$4, Ledger!$B$2:$B$4, $A523, Ledger!$C$2:$C$4, T$2)),"****")</f>
        <v/>
      </c>
      <c r="U523" t="str">
        <f>IFERROR(IF($C523="","",SUMIFS(Ledger!$K$2:$K$4, Ledger!$B$2:$B$4, $A523, Ledger!$C$2:$C$4, U$2)),"****")</f>
        <v/>
      </c>
      <c r="V523" t="str">
        <f>IFERROR(IF($C523="","",SUMIFS(Ledger!$K$2:$K$4, Ledger!$B$2:$B$4, $A523, Ledger!$C$2:$C$4, V$2)),"****")</f>
        <v/>
      </c>
      <c r="W523" t="str">
        <f>IFERROR(IF($C523="","",SUMIFS(Ledger!$K$2:$K$4, Ledger!$B$2:$B$4, $A523, Ledger!$C$2:$C$4, W$2)),"****")</f>
        <v/>
      </c>
      <c r="X523" t="str">
        <f>IFERROR(IF($C523="","",SUMIFS(Ledger!$K$2:$K$4, Ledger!$B$2:$B$4, $A523, Ledger!$C$2:$C$4, X$2)),"****")</f>
        <v/>
      </c>
    </row>
    <row r="524" spans="1:24" x14ac:dyDescent="0.3">
      <c r="A524" s="106">
        <v>522</v>
      </c>
      <c r="B524" t="str">
        <f>IFERROR(VLOOKUP($A524, Ledger!$B$2:$L$8, 3, 0),"")</f>
        <v/>
      </c>
      <c r="C524" t="str">
        <f>IFERROR(VLOOKUP($A524, Ledger!$B$2:$L$8, 4, 0),"")</f>
        <v/>
      </c>
      <c r="D524" t="str">
        <f>IFERROR(VLOOKUP($A524, Ledger!$B$2:$L$8, 5, 0),"")</f>
        <v/>
      </c>
      <c r="E524" t="str">
        <f>IFERROR(VLOOKUP($A524, Ledger!$B$2:$L$8, 6, 0),"")</f>
        <v/>
      </c>
      <c r="F524" t="str">
        <f>IFERROR(VLOOKUP($A524,'Student Data'!$A$2:$AR$6,32,0),"")</f>
        <v/>
      </c>
      <c r="G524" t="str">
        <f>IFERROR(VLOOKUP($A524,'Student Data'!$A$2:$AR$6,33,0),"")</f>
        <v/>
      </c>
      <c r="H524" t="str">
        <f>IFERROR(VLOOKUP($A524,'Student Data'!$A$2:$AR$6,34,0),"")</f>
        <v/>
      </c>
      <c r="I524" t="str">
        <f>IFERROR(VLOOKUP($A524,'Student Data'!$A$2:$AR$6,35,0),"")</f>
        <v/>
      </c>
      <c r="J524" t="str">
        <f>IFERROR(VLOOKUP($A524,'Student Data'!$A$2:$AR$6,36,0),"")</f>
        <v/>
      </c>
      <c r="K524" t="str">
        <f t="shared" si="16"/>
        <v/>
      </c>
      <c r="L524" t="str">
        <f t="shared" si="17"/>
        <v/>
      </c>
      <c r="M524" t="str">
        <f>IFERROR(IF($C524="","",SUMIFS(Ledger!$K$2:$K$4, Ledger!$B$2:$B$4, $A524, Ledger!$C$2:$C$4, M$2)),"****")</f>
        <v/>
      </c>
      <c r="N524" t="str">
        <f>IFERROR(IF($C524="","",SUMIFS(Ledger!$K$2:$K$4, Ledger!$B$2:$B$4, $A524, Ledger!$C$2:$C$4, N$2)),"****")</f>
        <v/>
      </c>
      <c r="O524" t="str">
        <f>IFERROR(IF($C524="","",SUMIFS(Ledger!$K$2:$K$4, Ledger!$B$2:$B$4, $A524, Ledger!$C$2:$C$4, O$2)),"****")</f>
        <v/>
      </c>
      <c r="P524" t="str">
        <f>IFERROR(IF($C524="","",SUMIFS(Ledger!$K$2:$K$4, Ledger!$B$2:$B$4, $A524, Ledger!$C$2:$C$4, P$2)),"****")</f>
        <v/>
      </c>
      <c r="Q524" t="str">
        <f>IFERROR(IF($C524="","",SUMIFS(Ledger!$K$2:$K$4, Ledger!$B$2:$B$4, $A524, Ledger!$C$2:$C$4, Q$2)),"****")</f>
        <v/>
      </c>
      <c r="R524" t="str">
        <f>IFERROR(IF($C524="","",SUMIFS(Ledger!$K$2:$K$4, Ledger!$B$2:$B$4, $A524, Ledger!$C$2:$C$4, R$2)),"****")</f>
        <v/>
      </c>
      <c r="S524" t="str">
        <f>IFERROR(IF($C524="","",SUMIFS(Ledger!$K$2:$K$4, Ledger!$B$2:$B$4, $A524, Ledger!$C$2:$C$4, S$2)),"****")</f>
        <v/>
      </c>
      <c r="T524" t="str">
        <f>IFERROR(IF($C524="","",SUMIFS(Ledger!$K$2:$K$4, Ledger!$B$2:$B$4, $A524, Ledger!$C$2:$C$4, T$2)),"****")</f>
        <v/>
      </c>
      <c r="U524" t="str">
        <f>IFERROR(IF($C524="","",SUMIFS(Ledger!$K$2:$K$4, Ledger!$B$2:$B$4, $A524, Ledger!$C$2:$C$4, U$2)),"****")</f>
        <v/>
      </c>
      <c r="V524" t="str">
        <f>IFERROR(IF($C524="","",SUMIFS(Ledger!$K$2:$K$4, Ledger!$B$2:$B$4, $A524, Ledger!$C$2:$C$4, V$2)),"****")</f>
        <v/>
      </c>
      <c r="W524" t="str">
        <f>IFERROR(IF($C524="","",SUMIFS(Ledger!$K$2:$K$4, Ledger!$B$2:$B$4, $A524, Ledger!$C$2:$C$4, W$2)),"****")</f>
        <v/>
      </c>
      <c r="X524" t="str">
        <f>IFERROR(IF($C524="","",SUMIFS(Ledger!$K$2:$K$4, Ledger!$B$2:$B$4, $A524, Ledger!$C$2:$C$4, X$2)),"****")</f>
        <v/>
      </c>
    </row>
    <row r="525" spans="1:24" x14ac:dyDescent="0.3">
      <c r="A525" s="106">
        <v>523</v>
      </c>
      <c r="B525" t="str">
        <f>IFERROR(VLOOKUP($A525, Ledger!$B$2:$L$8, 3, 0),"")</f>
        <v/>
      </c>
      <c r="C525" t="str">
        <f>IFERROR(VLOOKUP($A525, Ledger!$B$2:$L$8, 4, 0),"")</f>
        <v/>
      </c>
      <c r="D525" t="str">
        <f>IFERROR(VLOOKUP($A525, Ledger!$B$2:$L$8, 5, 0),"")</f>
        <v/>
      </c>
      <c r="E525" t="str">
        <f>IFERROR(VLOOKUP($A525, Ledger!$B$2:$L$8, 6, 0),"")</f>
        <v/>
      </c>
      <c r="F525" t="str">
        <f>IFERROR(VLOOKUP($A525,'Student Data'!$A$2:$AR$6,32,0),"")</f>
        <v/>
      </c>
      <c r="G525" t="str">
        <f>IFERROR(VLOOKUP($A525,'Student Data'!$A$2:$AR$6,33,0),"")</f>
        <v/>
      </c>
      <c r="H525" t="str">
        <f>IFERROR(VLOOKUP($A525,'Student Data'!$A$2:$AR$6,34,0),"")</f>
        <v/>
      </c>
      <c r="I525" t="str">
        <f>IFERROR(VLOOKUP($A525,'Student Data'!$A$2:$AR$6,35,0),"")</f>
        <v/>
      </c>
      <c r="J525" t="str">
        <f>IFERROR(VLOOKUP($A525,'Student Data'!$A$2:$AR$6,36,0),"")</f>
        <v/>
      </c>
      <c r="K525" t="str">
        <f t="shared" si="16"/>
        <v/>
      </c>
      <c r="L525" t="str">
        <f t="shared" si="17"/>
        <v/>
      </c>
      <c r="M525" t="str">
        <f>IFERROR(IF($C525="","",SUMIFS(Ledger!$K$2:$K$4, Ledger!$B$2:$B$4, $A525, Ledger!$C$2:$C$4, M$2)),"****")</f>
        <v/>
      </c>
      <c r="N525" t="str">
        <f>IFERROR(IF($C525="","",SUMIFS(Ledger!$K$2:$K$4, Ledger!$B$2:$B$4, $A525, Ledger!$C$2:$C$4, N$2)),"****")</f>
        <v/>
      </c>
      <c r="O525" t="str">
        <f>IFERROR(IF($C525="","",SUMIFS(Ledger!$K$2:$K$4, Ledger!$B$2:$B$4, $A525, Ledger!$C$2:$C$4, O$2)),"****")</f>
        <v/>
      </c>
      <c r="P525" t="str">
        <f>IFERROR(IF($C525="","",SUMIFS(Ledger!$K$2:$K$4, Ledger!$B$2:$B$4, $A525, Ledger!$C$2:$C$4, P$2)),"****")</f>
        <v/>
      </c>
      <c r="Q525" t="str">
        <f>IFERROR(IF($C525="","",SUMIFS(Ledger!$K$2:$K$4, Ledger!$B$2:$B$4, $A525, Ledger!$C$2:$C$4, Q$2)),"****")</f>
        <v/>
      </c>
      <c r="R525" t="str">
        <f>IFERROR(IF($C525="","",SUMIFS(Ledger!$K$2:$K$4, Ledger!$B$2:$B$4, $A525, Ledger!$C$2:$C$4, R$2)),"****")</f>
        <v/>
      </c>
      <c r="S525" t="str">
        <f>IFERROR(IF($C525="","",SUMIFS(Ledger!$K$2:$K$4, Ledger!$B$2:$B$4, $A525, Ledger!$C$2:$C$4, S$2)),"****")</f>
        <v/>
      </c>
      <c r="T525" t="str">
        <f>IFERROR(IF($C525="","",SUMIFS(Ledger!$K$2:$K$4, Ledger!$B$2:$B$4, $A525, Ledger!$C$2:$C$4, T$2)),"****")</f>
        <v/>
      </c>
      <c r="U525" t="str">
        <f>IFERROR(IF($C525="","",SUMIFS(Ledger!$K$2:$K$4, Ledger!$B$2:$B$4, $A525, Ledger!$C$2:$C$4, U$2)),"****")</f>
        <v/>
      </c>
      <c r="V525" t="str">
        <f>IFERROR(IF($C525="","",SUMIFS(Ledger!$K$2:$K$4, Ledger!$B$2:$B$4, $A525, Ledger!$C$2:$C$4, V$2)),"****")</f>
        <v/>
      </c>
      <c r="W525" t="str">
        <f>IFERROR(IF($C525="","",SUMIFS(Ledger!$K$2:$K$4, Ledger!$B$2:$B$4, $A525, Ledger!$C$2:$C$4, W$2)),"****")</f>
        <v/>
      </c>
      <c r="X525" t="str">
        <f>IFERROR(IF($C525="","",SUMIFS(Ledger!$K$2:$K$4, Ledger!$B$2:$B$4, $A525, Ledger!$C$2:$C$4, X$2)),"****")</f>
        <v/>
      </c>
    </row>
    <row r="526" spans="1:24" x14ac:dyDescent="0.3">
      <c r="A526" s="106">
        <v>524</v>
      </c>
      <c r="B526" t="str">
        <f>IFERROR(VLOOKUP($A526, Ledger!$B$2:$L$8, 3, 0),"")</f>
        <v/>
      </c>
      <c r="C526" t="str">
        <f>IFERROR(VLOOKUP($A526, Ledger!$B$2:$L$8, 4, 0),"")</f>
        <v/>
      </c>
      <c r="D526" t="str">
        <f>IFERROR(VLOOKUP($A526, Ledger!$B$2:$L$8, 5, 0),"")</f>
        <v/>
      </c>
      <c r="E526" t="str">
        <f>IFERROR(VLOOKUP($A526, Ledger!$B$2:$L$8, 6, 0),"")</f>
        <v/>
      </c>
      <c r="F526" t="str">
        <f>IFERROR(VLOOKUP($A526,'Student Data'!$A$2:$AR$6,32,0),"")</f>
        <v/>
      </c>
      <c r="G526" t="str">
        <f>IFERROR(VLOOKUP($A526,'Student Data'!$A$2:$AR$6,33,0),"")</f>
        <v/>
      </c>
      <c r="H526" t="str">
        <f>IFERROR(VLOOKUP($A526,'Student Data'!$A$2:$AR$6,34,0),"")</f>
        <v/>
      </c>
      <c r="I526" t="str">
        <f>IFERROR(VLOOKUP($A526,'Student Data'!$A$2:$AR$6,35,0),"")</f>
        <v/>
      </c>
      <c r="J526" t="str">
        <f>IFERROR(VLOOKUP($A526,'Student Data'!$A$2:$AR$6,36,0),"")</f>
        <v/>
      </c>
      <c r="K526" t="str">
        <f t="shared" si="16"/>
        <v/>
      </c>
      <c r="L526" t="str">
        <f t="shared" si="17"/>
        <v/>
      </c>
      <c r="M526" t="str">
        <f>IFERROR(IF($C526="","",SUMIFS(Ledger!$K$2:$K$4, Ledger!$B$2:$B$4, $A526, Ledger!$C$2:$C$4, M$2)),"****")</f>
        <v/>
      </c>
      <c r="N526" t="str">
        <f>IFERROR(IF($C526="","",SUMIFS(Ledger!$K$2:$K$4, Ledger!$B$2:$B$4, $A526, Ledger!$C$2:$C$4, N$2)),"****")</f>
        <v/>
      </c>
      <c r="O526" t="str">
        <f>IFERROR(IF($C526="","",SUMIFS(Ledger!$K$2:$K$4, Ledger!$B$2:$B$4, $A526, Ledger!$C$2:$C$4, O$2)),"****")</f>
        <v/>
      </c>
      <c r="P526" t="str">
        <f>IFERROR(IF($C526="","",SUMIFS(Ledger!$K$2:$K$4, Ledger!$B$2:$B$4, $A526, Ledger!$C$2:$C$4, P$2)),"****")</f>
        <v/>
      </c>
      <c r="Q526" t="str">
        <f>IFERROR(IF($C526="","",SUMIFS(Ledger!$K$2:$K$4, Ledger!$B$2:$B$4, $A526, Ledger!$C$2:$C$4, Q$2)),"****")</f>
        <v/>
      </c>
      <c r="R526" t="str">
        <f>IFERROR(IF($C526="","",SUMIFS(Ledger!$K$2:$K$4, Ledger!$B$2:$B$4, $A526, Ledger!$C$2:$C$4, R$2)),"****")</f>
        <v/>
      </c>
      <c r="S526" t="str">
        <f>IFERROR(IF($C526="","",SUMIFS(Ledger!$K$2:$K$4, Ledger!$B$2:$B$4, $A526, Ledger!$C$2:$C$4, S$2)),"****")</f>
        <v/>
      </c>
      <c r="T526" t="str">
        <f>IFERROR(IF($C526="","",SUMIFS(Ledger!$K$2:$K$4, Ledger!$B$2:$B$4, $A526, Ledger!$C$2:$C$4, T$2)),"****")</f>
        <v/>
      </c>
      <c r="U526" t="str">
        <f>IFERROR(IF($C526="","",SUMIFS(Ledger!$K$2:$K$4, Ledger!$B$2:$B$4, $A526, Ledger!$C$2:$C$4, U$2)),"****")</f>
        <v/>
      </c>
      <c r="V526" t="str">
        <f>IFERROR(IF($C526="","",SUMIFS(Ledger!$K$2:$K$4, Ledger!$B$2:$B$4, $A526, Ledger!$C$2:$C$4, V$2)),"****")</f>
        <v/>
      </c>
      <c r="W526" t="str">
        <f>IFERROR(IF($C526="","",SUMIFS(Ledger!$K$2:$K$4, Ledger!$B$2:$B$4, $A526, Ledger!$C$2:$C$4, W$2)),"****")</f>
        <v/>
      </c>
      <c r="X526" t="str">
        <f>IFERROR(IF($C526="","",SUMIFS(Ledger!$K$2:$K$4, Ledger!$B$2:$B$4, $A526, Ledger!$C$2:$C$4, X$2)),"****")</f>
        <v/>
      </c>
    </row>
    <row r="527" spans="1:24" x14ac:dyDescent="0.3">
      <c r="A527" s="106">
        <v>525</v>
      </c>
      <c r="B527" t="str">
        <f>IFERROR(VLOOKUP($A527, Ledger!$B$2:$L$8, 3, 0),"")</f>
        <v/>
      </c>
      <c r="C527" t="str">
        <f>IFERROR(VLOOKUP($A527, Ledger!$B$2:$L$8, 4, 0),"")</f>
        <v/>
      </c>
      <c r="D527" t="str">
        <f>IFERROR(VLOOKUP($A527, Ledger!$B$2:$L$8, 5, 0),"")</f>
        <v/>
      </c>
      <c r="E527" t="str">
        <f>IFERROR(VLOOKUP($A527, Ledger!$B$2:$L$8, 6, 0),"")</f>
        <v/>
      </c>
      <c r="F527" t="str">
        <f>IFERROR(VLOOKUP($A527,'Student Data'!$A$2:$AR$6,32,0),"")</f>
        <v/>
      </c>
      <c r="G527" t="str">
        <f>IFERROR(VLOOKUP($A527,'Student Data'!$A$2:$AR$6,33,0),"")</f>
        <v/>
      </c>
      <c r="H527" t="str">
        <f>IFERROR(VLOOKUP($A527,'Student Data'!$A$2:$AR$6,34,0),"")</f>
        <v/>
      </c>
      <c r="I527" t="str">
        <f>IFERROR(VLOOKUP($A527,'Student Data'!$A$2:$AR$6,35,0),"")</f>
        <v/>
      </c>
      <c r="J527" t="str">
        <f>IFERROR(VLOOKUP($A527,'Student Data'!$A$2:$AR$6,36,0),"")</f>
        <v/>
      </c>
      <c r="K527" t="str">
        <f t="shared" si="16"/>
        <v/>
      </c>
      <c r="L527" t="str">
        <f t="shared" si="17"/>
        <v/>
      </c>
      <c r="M527" t="str">
        <f>IFERROR(IF($C527="","",SUMIFS(Ledger!$K$2:$K$4, Ledger!$B$2:$B$4, $A527, Ledger!$C$2:$C$4, M$2)),"****")</f>
        <v/>
      </c>
      <c r="N527" t="str">
        <f>IFERROR(IF($C527="","",SUMIFS(Ledger!$K$2:$K$4, Ledger!$B$2:$B$4, $A527, Ledger!$C$2:$C$4, N$2)),"****")</f>
        <v/>
      </c>
      <c r="O527" t="str">
        <f>IFERROR(IF($C527="","",SUMIFS(Ledger!$K$2:$K$4, Ledger!$B$2:$B$4, $A527, Ledger!$C$2:$C$4, O$2)),"****")</f>
        <v/>
      </c>
      <c r="P527" t="str">
        <f>IFERROR(IF($C527="","",SUMIFS(Ledger!$K$2:$K$4, Ledger!$B$2:$B$4, $A527, Ledger!$C$2:$C$4, P$2)),"****")</f>
        <v/>
      </c>
      <c r="Q527" t="str">
        <f>IFERROR(IF($C527="","",SUMIFS(Ledger!$K$2:$K$4, Ledger!$B$2:$B$4, $A527, Ledger!$C$2:$C$4, Q$2)),"****")</f>
        <v/>
      </c>
      <c r="R527" t="str">
        <f>IFERROR(IF($C527="","",SUMIFS(Ledger!$K$2:$K$4, Ledger!$B$2:$B$4, $A527, Ledger!$C$2:$C$4, R$2)),"****")</f>
        <v/>
      </c>
      <c r="S527" t="str">
        <f>IFERROR(IF($C527="","",SUMIFS(Ledger!$K$2:$K$4, Ledger!$B$2:$B$4, $A527, Ledger!$C$2:$C$4, S$2)),"****")</f>
        <v/>
      </c>
      <c r="T527" t="str">
        <f>IFERROR(IF($C527="","",SUMIFS(Ledger!$K$2:$K$4, Ledger!$B$2:$B$4, $A527, Ledger!$C$2:$C$4, T$2)),"****")</f>
        <v/>
      </c>
      <c r="U527" t="str">
        <f>IFERROR(IF($C527="","",SUMIFS(Ledger!$K$2:$K$4, Ledger!$B$2:$B$4, $A527, Ledger!$C$2:$C$4, U$2)),"****")</f>
        <v/>
      </c>
      <c r="V527" t="str">
        <f>IFERROR(IF($C527="","",SUMIFS(Ledger!$K$2:$K$4, Ledger!$B$2:$B$4, $A527, Ledger!$C$2:$C$4, V$2)),"****")</f>
        <v/>
      </c>
      <c r="W527" t="str">
        <f>IFERROR(IF($C527="","",SUMIFS(Ledger!$K$2:$K$4, Ledger!$B$2:$B$4, $A527, Ledger!$C$2:$C$4, W$2)),"****")</f>
        <v/>
      </c>
      <c r="X527" t="str">
        <f>IFERROR(IF($C527="","",SUMIFS(Ledger!$K$2:$K$4, Ledger!$B$2:$B$4, $A527, Ledger!$C$2:$C$4, X$2)),"****")</f>
        <v/>
      </c>
    </row>
    <row r="528" spans="1:24" x14ac:dyDescent="0.3">
      <c r="A528" s="106">
        <v>526</v>
      </c>
      <c r="B528" t="str">
        <f>IFERROR(VLOOKUP($A528, Ledger!$B$2:$L$8, 3, 0),"")</f>
        <v/>
      </c>
      <c r="C528" t="str">
        <f>IFERROR(VLOOKUP($A528, Ledger!$B$2:$L$8, 4, 0),"")</f>
        <v/>
      </c>
      <c r="D528" t="str">
        <f>IFERROR(VLOOKUP($A528, Ledger!$B$2:$L$8, 5, 0),"")</f>
        <v/>
      </c>
      <c r="E528" t="str">
        <f>IFERROR(VLOOKUP($A528, Ledger!$B$2:$L$8, 6, 0),"")</f>
        <v/>
      </c>
      <c r="F528" t="str">
        <f>IFERROR(VLOOKUP($A528,'Student Data'!$A$2:$AR$6,32,0),"")</f>
        <v/>
      </c>
      <c r="G528" t="str">
        <f>IFERROR(VLOOKUP($A528,'Student Data'!$A$2:$AR$6,33,0),"")</f>
        <v/>
      </c>
      <c r="H528" t="str">
        <f>IFERROR(VLOOKUP($A528,'Student Data'!$A$2:$AR$6,34,0),"")</f>
        <v/>
      </c>
      <c r="I528" t="str">
        <f>IFERROR(VLOOKUP($A528,'Student Data'!$A$2:$AR$6,35,0),"")</f>
        <v/>
      </c>
      <c r="J528" t="str">
        <f>IFERROR(VLOOKUP($A528,'Student Data'!$A$2:$AR$6,36,0),"")</f>
        <v/>
      </c>
      <c r="K528" t="str">
        <f t="shared" si="16"/>
        <v/>
      </c>
      <c r="L528" t="str">
        <f t="shared" si="17"/>
        <v/>
      </c>
      <c r="M528" t="str">
        <f>IFERROR(IF($C528="","",SUMIFS(Ledger!$K$2:$K$4, Ledger!$B$2:$B$4, $A528, Ledger!$C$2:$C$4, M$2)),"****")</f>
        <v/>
      </c>
      <c r="N528" t="str">
        <f>IFERROR(IF($C528="","",SUMIFS(Ledger!$K$2:$K$4, Ledger!$B$2:$B$4, $A528, Ledger!$C$2:$C$4, N$2)),"****")</f>
        <v/>
      </c>
      <c r="O528" t="str">
        <f>IFERROR(IF($C528="","",SUMIFS(Ledger!$K$2:$K$4, Ledger!$B$2:$B$4, $A528, Ledger!$C$2:$C$4, O$2)),"****")</f>
        <v/>
      </c>
      <c r="P528" t="str">
        <f>IFERROR(IF($C528="","",SUMIFS(Ledger!$K$2:$K$4, Ledger!$B$2:$B$4, $A528, Ledger!$C$2:$C$4, P$2)),"****")</f>
        <v/>
      </c>
      <c r="Q528" t="str">
        <f>IFERROR(IF($C528="","",SUMIFS(Ledger!$K$2:$K$4, Ledger!$B$2:$B$4, $A528, Ledger!$C$2:$C$4, Q$2)),"****")</f>
        <v/>
      </c>
      <c r="R528" t="str">
        <f>IFERROR(IF($C528="","",SUMIFS(Ledger!$K$2:$K$4, Ledger!$B$2:$B$4, $A528, Ledger!$C$2:$C$4, R$2)),"****")</f>
        <v/>
      </c>
      <c r="S528" t="str">
        <f>IFERROR(IF($C528="","",SUMIFS(Ledger!$K$2:$K$4, Ledger!$B$2:$B$4, $A528, Ledger!$C$2:$C$4, S$2)),"****")</f>
        <v/>
      </c>
      <c r="T528" t="str">
        <f>IFERROR(IF($C528="","",SUMIFS(Ledger!$K$2:$K$4, Ledger!$B$2:$B$4, $A528, Ledger!$C$2:$C$4, T$2)),"****")</f>
        <v/>
      </c>
      <c r="U528" t="str">
        <f>IFERROR(IF($C528="","",SUMIFS(Ledger!$K$2:$K$4, Ledger!$B$2:$B$4, $A528, Ledger!$C$2:$C$4, U$2)),"****")</f>
        <v/>
      </c>
      <c r="V528" t="str">
        <f>IFERROR(IF($C528="","",SUMIFS(Ledger!$K$2:$K$4, Ledger!$B$2:$B$4, $A528, Ledger!$C$2:$C$4, V$2)),"****")</f>
        <v/>
      </c>
      <c r="W528" t="str">
        <f>IFERROR(IF($C528="","",SUMIFS(Ledger!$K$2:$K$4, Ledger!$B$2:$B$4, $A528, Ledger!$C$2:$C$4, W$2)),"****")</f>
        <v/>
      </c>
      <c r="X528" t="str">
        <f>IFERROR(IF($C528="","",SUMIFS(Ledger!$K$2:$K$4, Ledger!$B$2:$B$4, $A528, Ledger!$C$2:$C$4, X$2)),"****")</f>
        <v/>
      </c>
    </row>
    <row r="529" spans="1:24" x14ac:dyDescent="0.3">
      <c r="A529" s="106">
        <v>527</v>
      </c>
      <c r="B529" t="str">
        <f>IFERROR(VLOOKUP($A529, Ledger!$B$2:$L$8, 3, 0),"")</f>
        <v/>
      </c>
      <c r="C529" t="str">
        <f>IFERROR(VLOOKUP($A529, Ledger!$B$2:$L$8, 4, 0),"")</f>
        <v/>
      </c>
      <c r="D529" t="str">
        <f>IFERROR(VLOOKUP($A529, Ledger!$B$2:$L$8, 5, 0),"")</f>
        <v/>
      </c>
      <c r="E529" t="str">
        <f>IFERROR(VLOOKUP($A529, Ledger!$B$2:$L$8, 6, 0),"")</f>
        <v/>
      </c>
      <c r="F529" t="str">
        <f>IFERROR(VLOOKUP($A529,'Student Data'!$A$2:$AR$6,32,0),"")</f>
        <v/>
      </c>
      <c r="G529" t="str">
        <f>IFERROR(VLOOKUP($A529,'Student Data'!$A$2:$AR$6,33,0),"")</f>
        <v/>
      </c>
      <c r="H529" t="str">
        <f>IFERROR(VLOOKUP($A529,'Student Data'!$A$2:$AR$6,34,0),"")</f>
        <v/>
      </c>
      <c r="I529" t="str">
        <f>IFERROR(VLOOKUP($A529,'Student Data'!$A$2:$AR$6,35,0),"")</f>
        <v/>
      </c>
      <c r="J529" t="str">
        <f>IFERROR(VLOOKUP($A529,'Student Data'!$A$2:$AR$6,36,0),"")</f>
        <v/>
      </c>
      <c r="K529" t="str">
        <f t="shared" si="16"/>
        <v/>
      </c>
      <c r="L529" t="str">
        <f t="shared" si="17"/>
        <v/>
      </c>
      <c r="M529" t="str">
        <f>IFERROR(IF($C529="","",SUMIFS(Ledger!$K$2:$K$4, Ledger!$B$2:$B$4, $A529, Ledger!$C$2:$C$4, M$2)),"****")</f>
        <v/>
      </c>
      <c r="N529" t="str">
        <f>IFERROR(IF($C529="","",SUMIFS(Ledger!$K$2:$K$4, Ledger!$B$2:$B$4, $A529, Ledger!$C$2:$C$4, N$2)),"****")</f>
        <v/>
      </c>
      <c r="O529" t="str">
        <f>IFERROR(IF($C529="","",SUMIFS(Ledger!$K$2:$K$4, Ledger!$B$2:$B$4, $A529, Ledger!$C$2:$C$4, O$2)),"****")</f>
        <v/>
      </c>
      <c r="P529" t="str">
        <f>IFERROR(IF($C529="","",SUMIFS(Ledger!$K$2:$K$4, Ledger!$B$2:$B$4, $A529, Ledger!$C$2:$C$4, P$2)),"****")</f>
        <v/>
      </c>
      <c r="Q529" t="str">
        <f>IFERROR(IF($C529="","",SUMIFS(Ledger!$K$2:$K$4, Ledger!$B$2:$B$4, $A529, Ledger!$C$2:$C$4, Q$2)),"****")</f>
        <v/>
      </c>
      <c r="R529" t="str">
        <f>IFERROR(IF($C529="","",SUMIFS(Ledger!$K$2:$K$4, Ledger!$B$2:$B$4, $A529, Ledger!$C$2:$C$4, R$2)),"****")</f>
        <v/>
      </c>
      <c r="S529" t="str">
        <f>IFERROR(IF($C529="","",SUMIFS(Ledger!$K$2:$K$4, Ledger!$B$2:$B$4, $A529, Ledger!$C$2:$C$4, S$2)),"****")</f>
        <v/>
      </c>
      <c r="T529" t="str">
        <f>IFERROR(IF($C529="","",SUMIFS(Ledger!$K$2:$K$4, Ledger!$B$2:$B$4, $A529, Ledger!$C$2:$C$4, T$2)),"****")</f>
        <v/>
      </c>
      <c r="U529" t="str">
        <f>IFERROR(IF($C529="","",SUMIFS(Ledger!$K$2:$K$4, Ledger!$B$2:$B$4, $A529, Ledger!$C$2:$C$4, U$2)),"****")</f>
        <v/>
      </c>
      <c r="V529" t="str">
        <f>IFERROR(IF($C529="","",SUMIFS(Ledger!$K$2:$K$4, Ledger!$B$2:$B$4, $A529, Ledger!$C$2:$C$4, V$2)),"****")</f>
        <v/>
      </c>
      <c r="W529" t="str">
        <f>IFERROR(IF($C529="","",SUMIFS(Ledger!$K$2:$K$4, Ledger!$B$2:$B$4, $A529, Ledger!$C$2:$C$4, W$2)),"****")</f>
        <v/>
      </c>
      <c r="X529" t="str">
        <f>IFERROR(IF($C529="","",SUMIFS(Ledger!$K$2:$K$4, Ledger!$B$2:$B$4, $A529, Ledger!$C$2:$C$4, X$2)),"****")</f>
        <v/>
      </c>
    </row>
    <row r="530" spans="1:24" x14ac:dyDescent="0.3">
      <c r="A530" s="106">
        <v>528</v>
      </c>
      <c r="B530" t="str">
        <f>IFERROR(VLOOKUP($A530, Ledger!$B$2:$L$8, 3, 0),"")</f>
        <v/>
      </c>
      <c r="C530" t="str">
        <f>IFERROR(VLOOKUP($A530, Ledger!$B$2:$L$8, 4, 0),"")</f>
        <v/>
      </c>
      <c r="D530" t="str">
        <f>IFERROR(VLOOKUP($A530, Ledger!$B$2:$L$8, 5, 0),"")</f>
        <v/>
      </c>
      <c r="E530" t="str">
        <f>IFERROR(VLOOKUP($A530, Ledger!$B$2:$L$8, 6, 0),"")</f>
        <v/>
      </c>
      <c r="F530" t="str">
        <f>IFERROR(VLOOKUP($A530,'Student Data'!$A$2:$AR$6,32,0),"")</f>
        <v/>
      </c>
      <c r="G530" t="str">
        <f>IFERROR(VLOOKUP($A530,'Student Data'!$A$2:$AR$6,33,0),"")</f>
        <v/>
      </c>
      <c r="H530" t="str">
        <f>IFERROR(VLOOKUP($A530,'Student Data'!$A$2:$AR$6,34,0),"")</f>
        <v/>
      </c>
      <c r="I530" t="str">
        <f>IFERROR(VLOOKUP($A530,'Student Data'!$A$2:$AR$6,35,0),"")</f>
        <v/>
      </c>
      <c r="J530" t="str">
        <f>IFERROR(VLOOKUP($A530,'Student Data'!$A$2:$AR$6,36,0),"")</f>
        <v/>
      </c>
      <c r="K530" t="str">
        <f t="shared" si="16"/>
        <v/>
      </c>
      <c r="L530" t="str">
        <f t="shared" si="17"/>
        <v/>
      </c>
      <c r="M530" t="str">
        <f>IFERROR(IF($C530="","",SUMIFS(Ledger!$K$2:$K$4, Ledger!$B$2:$B$4, $A530, Ledger!$C$2:$C$4, M$2)),"****")</f>
        <v/>
      </c>
      <c r="N530" t="str">
        <f>IFERROR(IF($C530="","",SUMIFS(Ledger!$K$2:$K$4, Ledger!$B$2:$B$4, $A530, Ledger!$C$2:$C$4, N$2)),"****")</f>
        <v/>
      </c>
      <c r="O530" t="str">
        <f>IFERROR(IF($C530="","",SUMIFS(Ledger!$K$2:$K$4, Ledger!$B$2:$B$4, $A530, Ledger!$C$2:$C$4, O$2)),"****")</f>
        <v/>
      </c>
      <c r="P530" t="str">
        <f>IFERROR(IF($C530="","",SUMIFS(Ledger!$K$2:$K$4, Ledger!$B$2:$B$4, $A530, Ledger!$C$2:$C$4, P$2)),"****")</f>
        <v/>
      </c>
      <c r="Q530" t="str">
        <f>IFERROR(IF($C530="","",SUMIFS(Ledger!$K$2:$K$4, Ledger!$B$2:$B$4, $A530, Ledger!$C$2:$C$4, Q$2)),"****")</f>
        <v/>
      </c>
      <c r="R530" t="str">
        <f>IFERROR(IF($C530="","",SUMIFS(Ledger!$K$2:$K$4, Ledger!$B$2:$B$4, $A530, Ledger!$C$2:$C$4, R$2)),"****")</f>
        <v/>
      </c>
      <c r="S530" t="str">
        <f>IFERROR(IF($C530="","",SUMIFS(Ledger!$K$2:$K$4, Ledger!$B$2:$B$4, $A530, Ledger!$C$2:$C$4, S$2)),"****")</f>
        <v/>
      </c>
      <c r="T530" t="str">
        <f>IFERROR(IF($C530="","",SUMIFS(Ledger!$K$2:$K$4, Ledger!$B$2:$B$4, $A530, Ledger!$C$2:$C$4, T$2)),"****")</f>
        <v/>
      </c>
      <c r="U530" t="str">
        <f>IFERROR(IF($C530="","",SUMIFS(Ledger!$K$2:$K$4, Ledger!$B$2:$B$4, $A530, Ledger!$C$2:$C$4, U$2)),"****")</f>
        <v/>
      </c>
      <c r="V530" t="str">
        <f>IFERROR(IF($C530="","",SUMIFS(Ledger!$K$2:$K$4, Ledger!$B$2:$B$4, $A530, Ledger!$C$2:$C$4, V$2)),"****")</f>
        <v/>
      </c>
      <c r="W530" t="str">
        <f>IFERROR(IF($C530="","",SUMIFS(Ledger!$K$2:$K$4, Ledger!$B$2:$B$4, $A530, Ledger!$C$2:$C$4, W$2)),"****")</f>
        <v/>
      </c>
      <c r="X530" t="str">
        <f>IFERROR(IF($C530="","",SUMIFS(Ledger!$K$2:$K$4, Ledger!$B$2:$B$4, $A530, Ledger!$C$2:$C$4, X$2)),"****")</f>
        <v/>
      </c>
    </row>
    <row r="531" spans="1:24" x14ac:dyDescent="0.3">
      <c r="A531" s="106">
        <v>529</v>
      </c>
      <c r="B531" t="str">
        <f>IFERROR(VLOOKUP($A531, Ledger!$B$2:$L$8, 3, 0),"")</f>
        <v/>
      </c>
      <c r="C531" t="str">
        <f>IFERROR(VLOOKUP($A531, Ledger!$B$2:$L$8, 4, 0),"")</f>
        <v/>
      </c>
      <c r="D531" t="str">
        <f>IFERROR(VLOOKUP($A531, Ledger!$B$2:$L$8, 5, 0),"")</f>
        <v/>
      </c>
      <c r="E531" t="str">
        <f>IFERROR(VLOOKUP($A531, Ledger!$B$2:$L$8, 6, 0),"")</f>
        <v/>
      </c>
      <c r="F531" t="str">
        <f>IFERROR(VLOOKUP($A531,'Student Data'!$A$2:$AR$6,32,0),"")</f>
        <v/>
      </c>
      <c r="G531" t="str">
        <f>IFERROR(VLOOKUP($A531,'Student Data'!$A$2:$AR$6,33,0),"")</f>
        <v/>
      </c>
      <c r="H531" t="str">
        <f>IFERROR(VLOOKUP($A531,'Student Data'!$A$2:$AR$6,34,0),"")</f>
        <v/>
      </c>
      <c r="I531" t="str">
        <f>IFERROR(VLOOKUP($A531,'Student Data'!$A$2:$AR$6,35,0),"")</f>
        <v/>
      </c>
      <c r="J531" t="str">
        <f>IFERROR(VLOOKUP($A531,'Student Data'!$A$2:$AR$6,36,0),"")</f>
        <v/>
      </c>
      <c r="K531" t="str">
        <f t="shared" si="16"/>
        <v/>
      </c>
      <c r="L531" t="str">
        <f t="shared" si="17"/>
        <v/>
      </c>
      <c r="M531" t="str">
        <f>IFERROR(IF($C531="","",SUMIFS(Ledger!$K$2:$K$4, Ledger!$B$2:$B$4, $A531, Ledger!$C$2:$C$4, M$2)),"****")</f>
        <v/>
      </c>
      <c r="N531" t="str">
        <f>IFERROR(IF($C531="","",SUMIFS(Ledger!$K$2:$K$4, Ledger!$B$2:$B$4, $A531, Ledger!$C$2:$C$4, N$2)),"****")</f>
        <v/>
      </c>
      <c r="O531" t="str">
        <f>IFERROR(IF($C531="","",SUMIFS(Ledger!$K$2:$K$4, Ledger!$B$2:$B$4, $A531, Ledger!$C$2:$C$4, O$2)),"****")</f>
        <v/>
      </c>
      <c r="P531" t="str">
        <f>IFERROR(IF($C531="","",SUMIFS(Ledger!$K$2:$K$4, Ledger!$B$2:$B$4, $A531, Ledger!$C$2:$C$4, P$2)),"****")</f>
        <v/>
      </c>
      <c r="Q531" t="str">
        <f>IFERROR(IF($C531="","",SUMIFS(Ledger!$K$2:$K$4, Ledger!$B$2:$B$4, $A531, Ledger!$C$2:$C$4, Q$2)),"****")</f>
        <v/>
      </c>
      <c r="R531" t="str">
        <f>IFERROR(IF($C531="","",SUMIFS(Ledger!$K$2:$K$4, Ledger!$B$2:$B$4, $A531, Ledger!$C$2:$C$4, R$2)),"****")</f>
        <v/>
      </c>
      <c r="S531" t="str">
        <f>IFERROR(IF($C531="","",SUMIFS(Ledger!$K$2:$K$4, Ledger!$B$2:$B$4, $A531, Ledger!$C$2:$C$4, S$2)),"****")</f>
        <v/>
      </c>
      <c r="T531" t="str">
        <f>IFERROR(IF($C531="","",SUMIFS(Ledger!$K$2:$K$4, Ledger!$B$2:$B$4, $A531, Ledger!$C$2:$C$4, T$2)),"****")</f>
        <v/>
      </c>
      <c r="U531" t="str">
        <f>IFERROR(IF($C531="","",SUMIFS(Ledger!$K$2:$K$4, Ledger!$B$2:$B$4, $A531, Ledger!$C$2:$C$4, U$2)),"****")</f>
        <v/>
      </c>
      <c r="V531" t="str">
        <f>IFERROR(IF($C531="","",SUMIFS(Ledger!$K$2:$K$4, Ledger!$B$2:$B$4, $A531, Ledger!$C$2:$C$4, V$2)),"****")</f>
        <v/>
      </c>
      <c r="W531" t="str">
        <f>IFERROR(IF($C531="","",SUMIFS(Ledger!$K$2:$K$4, Ledger!$B$2:$B$4, $A531, Ledger!$C$2:$C$4, W$2)),"****")</f>
        <v/>
      </c>
      <c r="X531" t="str">
        <f>IFERROR(IF($C531="","",SUMIFS(Ledger!$K$2:$K$4, Ledger!$B$2:$B$4, $A531, Ledger!$C$2:$C$4, X$2)),"****")</f>
        <v/>
      </c>
    </row>
    <row r="532" spans="1:24" x14ac:dyDescent="0.3">
      <c r="A532" s="106">
        <v>530</v>
      </c>
      <c r="B532" t="str">
        <f>IFERROR(VLOOKUP($A532, Ledger!$B$2:$L$8, 3, 0),"")</f>
        <v/>
      </c>
      <c r="C532" t="str">
        <f>IFERROR(VLOOKUP($A532, Ledger!$B$2:$L$8, 4, 0),"")</f>
        <v/>
      </c>
      <c r="D532" t="str">
        <f>IFERROR(VLOOKUP($A532, Ledger!$B$2:$L$8, 5, 0),"")</f>
        <v/>
      </c>
      <c r="E532" t="str">
        <f>IFERROR(VLOOKUP($A532, Ledger!$B$2:$L$8, 6, 0),"")</f>
        <v/>
      </c>
      <c r="F532" t="str">
        <f>IFERROR(VLOOKUP($A532,'Student Data'!$A$2:$AR$6,32,0),"")</f>
        <v/>
      </c>
      <c r="G532" t="str">
        <f>IFERROR(VLOOKUP($A532,'Student Data'!$A$2:$AR$6,33,0),"")</f>
        <v/>
      </c>
      <c r="H532" t="str">
        <f>IFERROR(VLOOKUP($A532,'Student Data'!$A$2:$AR$6,34,0),"")</f>
        <v/>
      </c>
      <c r="I532" t="str">
        <f>IFERROR(VLOOKUP($A532,'Student Data'!$A$2:$AR$6,35,0),"")</f>
        <v/>
      </c>
      <c r="J532" t="str">
        <f>IFERROR(VLOOKUP($A532,'Student Data'!$A$2:$AR$6,36,0),"")</f>
        <v/>
      </c>
      <c r="K532" t="str">
        <f t="shared" si="16"/>
        <v/>
      </c>
      <c r="L532" t="str">
        <f t="shared" si="17"/>
        <v/>
      </c>
      <c r="M532" t="str">
        <f>IFERROR(IF($C532="","",SUMIFS(Ledger!$K$2:$K$4, Ledger!$B$2:$B$4, $A532, Ledger!$C$2:$C$4, M$2)),"****")</f>
        <v/>
      </c>
      <c r="N532" t="str">
        <f>IFERROR(IF($C532="","",SUMIFS(Ledger!$K$2:$K$4, Ledger!$B$2:$B$4, $A532, Ledger!$C$2:$C$4, N$2)),"****")</f>
        <v/>
      </c>
      <c r="O532" t="str">
        <f>IFERROR(IF($C532="","",SUMIFS(Ledger!$K$2:$K$4, Ledger!$B$2:$B$4, $A532, Ledger!$C$2:$C$4, O$2)),"****")</f>
        <v/>
      </c>
      <c r="P532" t="str">
        <f>IFERROR(IF($C532="","",SUMIFS(Ledger!$K$2:$K$4, Ledger!$B$2:$B$4, $A532, Ledger!$C$2:$C$4, P$2)),"****")</f>
        <v/>
      </c>
      <c r="Q532" t="str">
        <f>IFERROR(IF($C532="","",SUMIFS(Ledger!$K$2:$K$4, Ledger!$B$2:$B$4, $A532, Ledger!$C$2:$C$4, Q$2)),"****")</f>
        <v/>
      </c>
      <c r="R532" t="str">
        <f>IFERROR(IF($C532="","",SUMIFS(Ledger!$K$2:$K$4, Ledger!$B$2:$B$4, $A532, Ledger!$C$2:$C$4, R$2)),"****")</f>
        <v/>
      </c>
      <c r="S532" t="str">
        <f>IFERROR(IF($C532="","",SUMIFS(Ledger!$K$2:$K$4, Ledger!$B$2:$B$4, $A532, Ledger!$C$2:$C$4, S$2)),"****")</f>
        <v/>
      </c>
      <c r="T532" t="str">
        <f>IFERROR(IF($C532="","",SUMIFS(Ledger!$K$2:$K$4, Ledger!$B$2:$B$4, $A532, Ledger!$C$2:$C$4, T$2)),"****")</f>
        <v/>
      </c>
      <c r="U532" t="str">
        <f>IFERROR(IF($C532="","",SUMIFS(Ledger!$K$2:$K$4, Ledger!$B$2:$B$4, $A532, Ledger!$C$2:$C$4, U$2)),"****")</f>
        <v/>
      </c>
      <c r="V532" t="str">
        <f>IFERROR(IF($C532="","",SUMIFS(Ledger!$K$2:$K$4, Ledger!$B$2:$B$4, $A532, Ledger!$C$2:$C$4, V$2)),"****")</f>
        <v/>
      </c>
      <c r="W532" t="str">
        <f>IFERROR(IF($C532="","",SUMIFS(Ledger!$K$2:$K$4, Ledger!$B$2:$B$4, $A532, Ledger!$C$2:$C$4, W$2)),"****")</f>
        <v/>
      </c>
      <c r="X532" t="str">
        <f>IFERROR(IF($C532="","",SUMIFS(Ledger!$K$2:$K$4, Ledger!$B$2:$B$4, $A532, Ledger!$C$2:$C$4, X$2)),"****")</f>
        <v/>
      </c>
    </row>
    <row r="533" spans="1:24" x14ac:dyDescent="0.3">
      <c r="A533" s="106">
        <v>531</v>
      </c>
      <c r="B533" t="str">
        <f>IFERROR(VLOOKUP($A533, Ledger!$B$2:$L$8, 3, 0),"")</f>
        <v/>
      </c>
      <c r="C533" t="str">
        <f>IFERROR(VLOOKUP($A533, Ledger!$B$2:$L$8, 4, 0),"")</f>
        <v/>
      </c>
      <c r="D533" t="str">
        <f>IFERROR(VLOOKUP($A533, Ledger!$B$2:$L$8, 5, 0),"")</f>
        <v/>
      </c>
      <c r="E533" t="str">
        <f>IFERROR(VLOOKUP($A533, Ledger!$B$2:$L$8, 6, 0),"")</f>
        <v/>
      </c>
      <c r="F533" t="str">
        <f>IFERROR(VLOOKUP($A533,'Student Data'!$A$2:$AR$6,32,0),"")</f>
        <v/>
      </c>
      <c r="G533" t="str">
        <f>IFERROR(VLOOKUP($A533,'Student Data'!$A$2:$AR$6,33,0),"")</f>
        <v/>
      </c>
      <c r="H533" t="str">
        <f>IFERROR(VLOOKUP($A533,'Student Data'!$A$2:$AR$6,34,0),"")</f>
        <v/>
      </c>
      <c r="I533" t="str">
        <f>IFERROR(VLOOKUP($A533,'Student Data'!$A$2:$AR$6,35,0),"")</f>
        <v/>
      </c>
      <c r="J533" t="str">
        <f>IFERROR(VLOOKUP($A533,'Student Data'!$A$2:$AR$6,36,0),"")</f>
        <v/>
      </c>
      <c r="K533" t="str">
        <f t="shared" si="16"/>
        <v/>
      </c>
      <c r="L533" t="str">
        <f t="shared" si="17"/>
        <v/>
      </c>
      <c r="M533" t="str">
        <f>IFERROR(IF($C533="","",SUMIFS(Ledger!$K$2:$K$4, Ledger!$B$2:$B$4, $A533, Ledger!$C$2:$C$4, M$2)),"****")</f>
        <v/>
      </c>
      <c r="N533" t="str">
        <f>IFERROR(IF($C533="","",SUMIFS(Ledger!$K$2:$K$4, Ledger!$B$2:$B$4, $A533, Ledger!$C$2:$C$4, N$2)),"****")</f>
        <v/>
      </c>
      <c r="O533" t="str">
        <f>IFERROR(IF($C533="","",SUMIFS(Ledger!$K$2:$K$4, Ledger!$B$2:$B$4, $A533, Ledger!$C$2:$C$4, O$2)),"****")</f>
        <v/>
      </c>
      <c r="P533" t="str">
        <f>IFERROR(IF($C533="","",SUMIFS(Ledger!$K$2:$K$4, Ledger!$B$2:$B$4, $A533, Ledger!$C$2:$C$4, P$2)),"****")</f>
        <v/>
      </c>
      <c r="Q533" t="str">
        <f>IFERROR(IF($C533="","",SUMIFS(Ledger!$K$2:$K$4, Ledger!$B$2:$B$4, $A533, Ledger!$C$2:$C$4, Q$2)),"****")</f>
        <v/>
      </c>
      <c r="R533" t="str">
        <f>IFERROR(IF($C533="","",SUMIFS(Ledger!$K$2:$K$4, Ledger!$B$2:$B$4, $A533, Ledger!$C$2:$C$4, R$2)),"****")</f>
        <v/>
      </c>
      <c r="S533" t="str">
        <f>IFERROR(IF($C533="","",SUMIFS(Ledger!$K$2:$K$4, Ledger!$B$2:$B$4, $A533, Ledger!$C$2:$C$4, S$2)),"****")</f>
        <v/>
      </c>
      <c r="T533" t="str">
        <f>IFERROR(IF($C533="","",SUMIFS(Ledger!$K$2:$K$4, Ledger!$B$2:$B$4, $A533, Ledger!$C$2:$C$4, T$2)),"****")</f>
        <v/>
      </c>
      <c r="U533" t="str">
        <f>IFERROR(IF($C533="","",SUMIFS(Ledger!$K$2:$K$4, Ledger!$B$2:$B$4, $A533, Ledger!$C$2:$C$4, U$2)),"****")</f>
        <v/>
      </c>
      <c r="V533" t="str">
        <f>IFERROR(IF($C533="","",SUMIFS(Ledger!$K$2:$K$4, Ledger!$B$2:$B$4, $A533, Ledger!$C$2:$C$4, V$2)),"****")</f>
        <v/>
      </c>
      <c r="W533" t="str">
        <f>IFERROR(IF($C533="","",SUMIFS(Ledger!$K$2:$K$4, Ledger!$B$2:$B$4, $A533, Ledger!$C$2:$C$4, W$2)),"****")</f>
        <v/>
      </c>
      <c r="X533" t="str">
        <f>IFERROR(IF($C533="","",SUMIFS(Ledger!$K$2:$K$4, Ledger!$B$2:$B$4, $A533, Ledger!$C$2:$C$4, X$2)),"****")</f>
        <v/>
      </c>
    </row>
    <row r="534" spans="1:24" x14ac:dyDescent="0.3">
      <c r="A534" s="106">
        <v>532</v>
      </c>
      <c r="B534" t="str">
        <f>IFERROR(VLOOKUP($A534, Ledger!$B$2:$L$8, 3, 0),"")</f>
        <v/>
      </c>
      <c r="C534" t="str">
        <f>IFERROR(VLOOKUP($A534, Ledger!$B$2:$L$8, 4, 0),"")</f>
        <v/>
      </c>
      <c r="D534" t="str">
        <f>IFERROR(VLOOKUP($A534, Ledger!$B$2:$L$8, 5, 0),"")</f>
        <v/>
      </c>
      <c r="E534" t="str">
        <f>IFERROR(VLOOKUP($A534, Ledger!$B$2:$L$8, 6, 0),"")</f>
        <v/>
      </c>
      <c r="F534" t="str">
        <f>IFERROR(VLOOKUP($A534,'Student Data'!$A$2:$AR$6,32,0),"")</f>
        <v/>
      </c>
      <c r="G534" t="str">
        <f>IFERROR(VLOOKUP($A534,'Student Data'!$A$2:$AR$6,33,0),"")</f>
        <v/>
      </c>
      <c r="H534" t="str">
        <f>IFERROR(VLOOKUP($A534,'Student Data'!$A$2:$AR$6,34,0),"")</f>
        <v/>
      </c>
      <c r="I534" t="str">
        <f>IFERROR(VLOOKUP($A534,'Student Data'!$A$2:$AR$6,35,0),"")</f>
        <v/>
      </c>
      <c r="J534" t="str">
        <f>IFERROR(VLOOKUP($A534,'Student Data'!$A$2:$AR$6,36,0),"")</f>
        <v/>
      </c>
      <c r="K534" t="str">
        <f t="shared" si="16"/>
        <v/>
      </c>
      <c r="L534" t="str">
        <f t="shared" si="17"/>
        <v/>
      </c>
      <c r="M534" t="str">
        <f>IFERROR(IF($C534="","",SUMIFS(Ledger!$K$2:$K$4, Ledger!$B$2:$B$4, $A534, Ledger!$C$2:$C$4, M$2)),"****")</f>
        <v/>
      </c>
      <c r="N534" t="str">
        <f>IFERROR(IF($C534="","",SUMIFS(Ledger!$K$2:$K$4, Ledger!$B$2:$B$4, $A534, Ledger!$C$2:$C$4, N$2)),"****")</f>
        <v/>
      </c>
      <c r="O534" t="str">
        <f>IFERROR(IF($C534="","",SUMIFS(Ledger!$K$2:$K$4, Ledger!$B$2:$B$4, $A534, Ledger!$C$2:$C$4, O$2)),"****")</f>
        <v/>
      </c>
      <c r="P534" t="str">
        <f>IFERROR(IF($C534="","",SUMIFS(Ledger!$K$2:$K$4, Ledger!$B$2:$B$4, $A534, Ledger!$C$2:$C$4, P$2)),"****")</f>
        <v/>
      </c>
      <c r="Q534" t="str">
        <f>IFERROR(IF($C534="","",SUMIFS(Ledger!$K$2:$K$4, Ledger!$B$2:$B$4, $A534, Ledger!$C$2:$C$4, Q$2)),"****")</f>
        <v/>
      </c>
      <c r="R534" t="str">
        <f>IFERROR(IF($C534="","",SUMIFS(Ledger!$K$2:$K$4, Ledger!$B$2:$B$4, $A534, Ledger!$C$2:$C$4, R$2)),"****")</f>
        <v/>
      </c>
      <c r="S534" t="str">
        <f>IFERROR(IF($C534="","",SUMIFS(Ledger!$K$2:$K$4, Ledger!$B$2:$B$4, $A534, Ledger!$C$2:$C$4, S$2)),"****")</f>
        <v/>
      </c>
      <c r="T534" t="str">
        <f>IFERROR(IF($C534="","",SUMIFS(Ledger!$K$2:$K$4, Ledger!$B$2:$B$4, $A534, Ledger!$C$2:$C$4, T$2)),"****")</f>
        <v/>
      </c>
      <c r="U534" t="str">
        <f>IFERROR(IF($C534="","",SUMIFS(Ledger!$K$2:$K$4, Ledger!$B$2:$B$4, $A534, Ledger!$C$2:$C$4, U$2)),"****")</f>
        <v/>
      </c>
      <c r="V534" t="str">
        <f>IFERROR(IF($C534="","",SUMIFS(Ledger!$K$2:$K$4, Ledger!$B$2:$B$4, $A534, Ledger!$C$2:$C$4, V$2)),"****")</f>
        <v/>
      </c>
      <c r="W534" t="str">
        <f>IFERROR(IF($C534="","",SUMIFS(Ledger!$K$2:$K$4, Ledger!$B$2:$B$4, $A534, Ledger!$C$2:$C$4, W$2)),"****")</f>
        <v/>
      </c>
      <c r="X534" t="str">
        <f>IFERROR(IF($C534="","",SUMIFS(Ledger!$K$2:$K$4, Ledger!$B$2:$B$4, $A534, Ledger!$C$2:$C$4, X$2)),"****")</f>
        <v/>
      </c>
    </row>
    <row r="535" spans="1:24" x14ac:dyDescent="0.3">
      <c r="A535" s="106">
        <v>533</v>
      </c>
      <c r="B535" t="str">
        <f>IFERROR(VLOOKUP($A535, Ledger!$B$2:$L$8, 3, 0),"")</f>
        <v/>
      </c>
      <c r="C535" t="str">
        <f>IFERROR(VLOOKUP($A535, Ledger!$B$2:$L$8, 4, 0),"")</f>
        <v/>
      </c>
      <c r="D535" t="str">
        <f>IFERROR(VLOOKUP($A535, Ledger!$B$2:$L$8, 5, 0),"")</f>
        <v/>
      </c>
      <c r="E535" t="str">
        <f>IFERROR(VLOOKUP($A535, Ledger!$B$2:$L$8, 6, 0),"")</f>
        <v/>
      </c>
      <c r="F535" t="str">
        <f>IFERROR(VLOOKUP($A535,'Student Data'!$A$2:$AR$6,32,0),"")</f>
        <v/>
      </c>
      <c r="G535" t="str">
        <f>IFERROR(VLOOKUP($A535,'Student Data'!$A$2:$AR$6,33,0),"")</f>
        <v/>
      </c>
      <c r="H535" t="str">
        <f>IFERROR(VLOOKUP($A535,'Student Data'!$A$2:$AR$6,34,0),"")</f>
        <v/>
      </c>
      <c r="I535" t="str">
        <f>IFERROR(VLOOKUP($A535,'Student Data'!$A$2:$AR$6,35,0),"")</f>
        <v/>
      </c>
      <c r="J535" t="str">
        <f>IFERROR(VLOOKUP($A535,'Student Data'!$A$2:$AR$6,36,0),"")</f>
        <v/>
      </c>
      <c r="K535" t="str">
        <f t="shared" si="16"/>
        <v/>
      </c>
      <c r="L535" t="str">
        <f t="shared" si="17"/>
        <v/>
      </c>
      <c r="M535" t="str">
        <f>IFERROR(IF($C535="","",SUMIFS(Ledger!$K$2:$K$4, Ledger!$B$2:$B$4, $A535, Ledger!$C$2:$C$4, M$2)),"****")</f>
        <v/>
      </c>
      <c r="N535" t="str">
        <f>IFERROR(IF($C535="","",SUMIFS(Ledger!$K$2:$K$4, Ledger!$B$2:$B$4, $A535, Ledger!$C$2:$C$4, N$2)),"****")</f>
        <v/>
      </c>
      <c r="O535" t="str">
        <f>IFERROR(IF($C535="","",SUMIFS(Ledger!$K$2:$K$4, Ledger!$B$2:$B$4, $A535, Ledger!$C$2:$C$4, O$2)),"****")</f>
        <v/>
      </c>
      <c r="P535" t="str">
        <f>IFERROR(IF($C535="","",SUMIFS(Ledger!$K$2:$K$4, Ledger!$B$2:$B$4, $A535, Ledger!$C$2:$C$4, P$2)),"****")</f>
        <v/>
      </c>
      <c r="Q535" t="str">
        <f>IFERROR(IF($C535="","",SUMIFS(Ledger!$K$2:$K$4, Ledger!$B$2:$B$4, $A535, Ledger!$C$2:$C$4, Q$2)),"****")</f>
        <v/>
      </c>
      <c r="R535" t="str">
        <f>IFERROR(IF($C535="","",SUMIFS(Ledger!$K$2:$K$4, Ledger!$B$2:$B$4, $A535, Ledger!$C$2:$C$4, R$2)),"****")</f>
        <v/>
      </c>
      <c r="S535" t="str">
        <f>IFERROR(IF($C535="","",SUMIFS(Ledger!$K$2:$K$4, Ledger!$B$2:$B$4, $A535, Ledger!$C$2:$C$4, S$2)),"****")</f>
        <v/>
      </c>
      <c r="T535" t="str">
        <f>IFERROR(IF($C535="","",SUMIFS(Ledger!$K$2:$K$4, Ledger!$B$2:$B$4, $A535, Ledger!$C$2:$C$4, T$2)),"****")</f>
        <v/>
      </c>
      <c r="U535" t="str">
        <f>IFERROR(IF($C535="","",SUMIFS(Ledger!$K$2:$K$4, Ledger!$B$2:$B$4, $A535, Ledger!$C$2:$C$4, U$2)),"****")</f>
        <v/>
      </c>
      <c r="V535" t="str">
        <f>IFERROR(IF($C535="","",SUMIFS(Ledger!$K$2:$K$4, Ledger!$B$2:$B$4, $A535, Ledger!$C$2:$C$4, V$2)),"****")</f>
        <v/>
      </c>
      <c r="W535" t="str">
        <f>IFERROR(IF($C535="","",SUMIFS(Ledger!$K$2:$K$4, Ledger!$B$2:$B$4, $A535, Ledger!$C$2:$C$4, W$2)),"****")</f>
        <v/>
      </c>
      <c r="X535" t="str">
        <f>IFERROR(IF($C535="","",SUMIFS(Ledger!$K$2:$K$4, Ledger!$B$2:$B$4, $A535, Ledger!$C$2:$C$4, X$2)),"****")</f>
        <v/>
      </c>
    </row>
    <row r="536" spans="1:24" x14ac:dyDescent="0.3">
      <c r="A536" s="106">
        <v>534</v>
      </c>
      <c r="B536" t="str">
        <f>IFERROR(VLOOKUP($A536, Ledger!$B$2:$L$8, 3, 0),"")</f>
        <v/>
      </c>
      <c r="C536" t="str">
        <f>IFERROR(VLOOKUP($A536, Ledger!$B$2:$L$8, 4, 0),"")</f>
        <v/>
      </c>
      <c r="D536" t="str">
        <f>IFERROR(VLOOKUP($A536, Ledger!$B$2:$L$8, 5, 0),"")</f>
        <v/>
      </c>
      <c r="E536" t="str">
        <f>IFERROR(VLOOKUP($A536, Ledger!$B$2:$L$8, 6, 0),"")</f>
        <v/>
      </c>
      <c r="F536" t="str">
        <f>IFERROR(VLOOKUP($A536,'Student Data'!$A$2:$AR$6,32,0),"")</f>
        <v/>
      </c>
      <c r="G536" t="str">
        <f>IFERROR(VLOOKUP($A536,'Student Data'!$A$2:$AR$6,33,0),"")</f>
        <v/>
      </c>
      <c r="H536" t="str">
        <f>IFERROR(VLOOKUP($A536,'Student Data'!$A$2:$AR$6,34,0),"")</f>
        <v/>
      </c>
      <c r="I536" t="str">
        <f>IFERROR(VLOOKUP($A536,'Student Data'!$A$2:$AR$6,35,0),"")</f>
        <v/>
      </c>
      <c r="J536" t="str">
        <f>IFERROR(VLOOKUP($A536,'Student Data'!$A$2:$AR$6,36,0),"")</f>
        <v/>
      </c>
      <c r="K536" t="str">
        <f t="shared" si="16"/>
        <v/>
      </c>
      <c r="L536" t="str">
        <f t="shared" si="17"/>
        <v/>
      </c>
      <c r="M536" t="str">
        <f>IFERROR(IF($C536="","",SUMIFS(Ledger!$K$2:$K$4, Ledger!$B$2:$B$4, $A536, Ledger!$C$2:$C$4, M$2)),"****")</f>
        <v/>
      </c>
      <c r="N536" t="str">
        <f>IFERROR(IF($C536="","",SUMIFS(Ledger!$K$2:$K$4, Ledger!$B$2:$B$4, $A536, Ledger!$C$2:$C$4, N$2)),"****")</f>
        <v/>
      </c>
      <c r="O536" t="str">
        <f>IFERROR(IF($C536="","",SUMIFS(Ledger!$K$2:$K$4, Ledger!$B$2:$B$4, $A536, Ledger!$C$2:$C$4, O$2)),"****")</f>
        <v/>
      </c>
      <c r="P536" t="str">
        <f>IFERROR(IF($C536="","",SUMIFS(Ledger!$K$2:$K$4, Ledger!$B$2:$B$4, $A536, Ledger!$C$2:$C$4, P$2)),"****")</f>
        <v/>
      </c>
      <c r="Q536" t="str">
        <f>IFERROR(IF($C536="","",SUMIFS(Ledger!$K$2:$K$4, Ledger!$B$2:$B$4, $A536, Ledger!$C$2:$C$4, Q$2)),"****")</f>
        <v/>
      </c>
      <c r="R536" t="str">
        <f>IFERROR(IF($C536="","",SUMIFS(Ledger!$K$2:$K$4, Ledger!$B$2:$B$4, $A536, Ledger!$C$2:$C$4, R$2)),"****")</f>
        <v/>
      </c>
      <c r="S536" t="str">
        <f>IFERROR(IF($C536="","",SUMIFS(Ledger!$K$2:$K$4, Ledger!$B$2:$B$4, $A536, Ledger!$C$2:$C$4, S$2)),"****")</f>
        <v/>
      </c>
      <c r="T536" t="str">
        <f>IFERROR(IF($C536="","",SUMIFS(Ledger!$K$2:$K$4, Ledger!$B$2:$B$4, $A536, Ledger!$C$2:$C$4, T$2)),"****")</f>
        <v/>
      </c>
      <c r="U536" t="str">
        <f>IFERROR(IF($C536="","",SUMIFS(Ledger!$K$2:$K$4, Ledger!$B$2:$B$4, $A536, Ledger!$C$2:$C$4, U$2)),"****")</f>
        <v/>
      </c>
      <c r="V536" t="str">
        <f>IFERROR(IF($C536="","",SUMIFS(Ledger!$K$2:$K$4, Ledger!$B$2:$B$4, $A536, Ledger!$C$2:$C$4, V$2)),"****")</f>
        <v/>
      </c>
      <c r="W536" t="str">
        <f>IFERROR(IF($C536="","",SUMIFS(Ledger!$K$2:$K$4, Ledger!$B$2:$B$4, $A536, Ledger!$C$2:$C$4, W$2)),"****")</f>
        <v/>
      </c>
      <c r="X536" t="str">
        <f>IFERROR(IF($C536="","",SUMIFS(Ledger!$K$2:$K$4, Ledger!$B$2:$B$4, $A536, Ledger!$C$2:$C$4, X$2)),"****")</f>
        <v/>
      </c>
    </row>
    <row r="537" spans="1:24" x14ac:dyDescent="0.3">
      <c r="A537" s="106">
        <v>535</v>
      </c>
      <c r="B537" t="str">
        <f>IFERROR(VLOOKUP($A537, Ledger!$B$2:$L$8, 3, 0),"")</f>
        <v/>
      </c>
      <c r="C537" t="str">
        <f>IFERROR(VLOOKUP($A537, Ledger!$B$2:$L$8, 4, 0),"")</f>
        <v/>
      </c>
      <c r="D537" t="str">
        <f>IFERROR(VLOOKUP($A537, Ledger!$B$2:$L$8, 5, 0),"")</f>
        <v/>
      </c>
      <c r="E537" t="str">
        <f>IFERROR(VLOOKUP($A537, Ledger!$B$2:$L$8, 6, 0),"")</f>
        <v/>
      </c>
      <c r="F537" t="str">
        <f>IFERROR(VLOOKUP($A537,'Student Data'!$A$2:$AR$6,32,0),"")</f>
        <v/>
      </c>
      <c r="G537" t="str">
        <f>IFERROR(VLOOKUP($A537,'Student Data'!$A$2:$AR$6,33,0),"")</f>
        <v/>
      </c>
      <c r="H537" t="str">
        <f>IFERROR(VLOOKUP($A537,'Student Data'!$A$2:$AR$6,34,0),"")</f>
        <v/>
      </c>
      <c r="I537" t="str">
        <f>IFERROR(VLOOKUP($A537,'Student Data'!$A$2:$AR$6,35,0),"")</f>
        <v/>
      </c>
      <c r="J537" t="str">
        <f>IFERROR(VLOOKUP($A537,'Student Data'!$A$2:$AR$6,36,0),"")</f>
        <v/>
      </c>
      <c r="K537" t="str">
        <f t="shared" si="16"/>
        <v/>
      </c>
      <c r="L537" t="str">
        <f t="shared" si="17"/>
        <v/>
      </c>
      <c r="M537" t="str">
        <f>IFERROR(IF($C537="","",SUMIFS(Ledger!$K$2:$K$4, Ledger!$B$2:$B$4, $A537, Ledger!$C$2:$C$4, M$2)),"****")</f>
        <v/>
      </c>
      <c r="N537" t="str">
        <f>IFERROR(IF($C537="","",SUMIFS(Ledger!$K$2:$K$4, Ledger!$B$2:$B$4, $A537, Ledger!$C$2:$C$4, N$2)),"****")</f>
        <v/>
      </c>
      <c r="O537" t="str">
        <f>IFERROR(IF($C537="","",SUMIFS(Ledger!$K$2:$K$4, Ledger!$B$2:$B$4, $A537, Ledger!$C$2:$C$4, O$2)),"****")</f>
        <v/>
      </c>
      <c r="P537" t="str">
        <f>IFERROR(IF($C537="","",SUMIFS(Ledger!$K$2:$K$4, Ledger!$B$2:$B$4, $A537, Ledger!$C$2:$C$4, P$2)),"****")</f>
        <v/>
      </c>
      <c r="Q537" t="str">
        <f>IFERROR(IF($C537="","",SUMIFS(Ledger!$K$2:$K$4, Ledger!$B$2:$B$4, $A537, Ledger!$C$2:$C$4, Q$2)),"****")</f>
        <v/>
      </c>
      <c r="R537" t="str">
        <f>IFERROR(IF($C537="","",SUMIFS(Ledger!$K$2:$K$4, Ledger!$B$2:$B$4, $A537, Ledger!$C$2:$C$4, R$2)),"****")</f>
        <v/>
      </c>
      <c r="S537" t="str">
        <f>IFERROR(IF($C537="","",SUMIFS(Ledger!$K$2:$K$4, Ledger!$B$2:$B$4, $A537, Ledger!$C$2:$C$4, S$2)),"****")</f>
        <v/>
      </c>
      <c r="T537" t="str">
        <f>IFERROR(IF($C537="","",SUMIFS(Ledger!$K$2:$K$4, Ledger!$B$2:$B$4, $A537, Ledger!$C$2:$C$4, T$2)),"****")</f>
        <v/>
      </c>
      <c r="U537" t="str">
        <f>IFERROR(IF($C537="","",SUMIFS(Ledger!$K$2:$K$4, Ledger!$B$2:$B$4, $A537, Ledger!$C$2:$C$4, U$2)),"****")</f>
        <v/>
      </c>
      <c r="V537" t="str">
        <f>IFERROR(IF($C537="","",SUMIFS(Ledger!$K$2:$K$4, Ledger!$B$2:$B$4, $A537, Ledger!$C$2:$C$4, V$2)),"****")</f>
        <v/>
      </c>
      <c r="W537" t="str">
        <f>IFERROR(IF($C537="","",SUMIFS(Ledger!$K$2:$K$4, Ledger!$B$2:$B$4, $A537, Ledger!$C$2:$C$4, W$2)),"****")</f>
        <v/>
      </c>
      <c r="X537" t="str">
        <f>IFERROR(IF($C537="","",SUMIFS(Ledger!$K$2:$K$4, Ledger!$B$2:$B$4, $A537, Ledger!$C$2:$C$4, X$2)),"****")</f>
        <v/>
      </c>
    </row>
    <row r="538" spans="1:24" x14ac:dyDescent="0.3">
      <c r="A538" s="106">
        <v>536</v>
      </c>
      <c r="B538" t="str">
        <f>IFERROR(VLOOKUP($A538, Ledger!$B$2:$L$8, 3, 0),"")</f>
        <v/>
      </c>
      <c r="C538" t="str">
        <f>IFERROR(VLOOKUP($A538, Ledger!$B$2:$L$8, 4, 0),"")</f>
        <v/>
      </c>
      <c r="D538" t="str">
        <f>IFERROR(VLOOKUP($A538, Ledger!$B$2:$L$8, 5, 0),"")</f>
        <v/>
      </c>
      <c r="E538" t="str">
        <f>IFERROR(VLOOKUP($A538, Ledger!$B$2:$L$8, 6, 0),"")</f>
        <v/>
      </c>
      <c r="F538" t="str">
        <f>IFERROR(VLOOKUP($A538,'Student Data'!$A$2:$AR$6,32,0),"")</f>
        <v/>
      </c>
      <c r="G538" t="str">
        <f>IFERROR(VLOOKUP($A538,'Student Data'!$A$2:$AR$6,33,0),"")</f>
        <v/>
      </c>
      <c r="H538" t="str">
        <f>IFERROR(VLOOKUP($A538,'Student Data'!$A$2:$AR$6,34,0),"")</f>
        <v/>
      </c>
      <c r="I538" t="str">
        <f>IFERROR(VLOOKUP($A538,'Student Data'!$A$2:$AR$6,35,0),"")</f>
        <v/>
      </c>
      <c r="J538" t="str">
        <f>IFERROR(VLOOKUP($A538,'Student Data'!$A$2:$AR$6,36,0),"")</f>
        <v/>
      </c>
      <c r="K538" t="str">
        <f t="shared" si="16"/>
        <v/>
      </c>
      <c r="L538" t="str">
        <f t="shared" si="17"/>
        <v/>
      </c>
      <c r="M538" t="str">
        <f>IFERROR(IF($C538="","",SUMIFS(Ledger!$K$2:$K$4, Ledger!$B$2:$B$4, $A538, Ledger!$C$2:$C$4, M$2)),"****")</f>
        <v/>
      </c>
      <c r="N538" t="str">
        <f>IFERROR(IF($C538="","",SUMIFS(Ledger!$K$2:$K$4, Ledger!$B$2:$B$4, $A538, Ledger!$C$2:$C$4, N$2)),"****")</f>
        <v/>
      </c>
      <c r="O538" t="str">
        <f>IFERROR(IF($C538="","",SUMIFS(Ledger!$K$2:$K$4, Ledger!$B$2:$B$4, $A538, Ledger!$C$2:$C$4, O$2)),"****")</f>
        <v/>
      </c>
      <c r="P538" t="str">
        <f>IFERROR(IF($C538="","",SUMIFS(Ledger!$K$2:$K$4, Ledger!$B$2:$B$4, $A538, Ledger!$C$2:$C$4, P$2)),"****")</f>
        <v/>
      </c>
      <c r="Q538" t="str">
        <f>IFERROR(IF($C538="","",SUMIFS(Ledger!$K$2:$K$4, Ledger!$B$2:$B$4, $A538, Ledger!$C$2:$C$4, Q$2)),"****")</f>
        <v/>
      </c>
      <c r="R538" t="str">
        <f>IFERROR(IF($C538="","",SUMIFS(Ledger!$K$2:$K$4, Ledger!$B$2:$B$4, $A538, Ledger!$C$2:$C$4, R$2)),"****")</f>
        <v/>
      </c>
      <c r="S538" t="str">
        <f>IFERROR(IF($C538="","",SUMIFS(Ledger!$K$2:$K$4, Ledger!$B$2:$B$4, $A538, Ledger!$C$2:$C$4, S$2)),"****")</f>
        <v/>
      </c>
      <c r="T538" t="str">
        <f>IFERROR(IF($C538="","",SUMIFS(Ledger!$K$2:$K$4, Ledger!$B$2:$B$4, $A538, Ledger!$C$2:$C$4, T$2)),"****")</f>
        <v/>
      </c>
      <c r="U538" t="str">
        <f>IFERROR(IF($C538="","",SUMIFS(Ledger!$K$2:$K$4, Ledger!$B$2:$B$4, $A538, Ledger!$C$2:$C$4, U$2)),"****")</f>
        <v/>
      </c>
      <c r="V538" t="str">
        <f>IFERROR(IF($C538="","",SUMIFS(Ledger!$K$2:$K$4, Ledger!$B$2:$B$4, $A538, Ledger!$C$2:$C$4, V$2)),"****")</f>
        <v/>
      </c>
      <c r="W538" t="str">
        <f>IFERROR(IF($C538="","",SUMIFS(Ledger!$K$2:$K$4, Ledger!$B$2:$B$4, $A538, Ledger!$C$2:$C$4, W$2)),"****")</f>
        <v/>
      </c>
      <c r="X538" t="str">
        <f>IFERROR(IF($C538="","",SUMIFS(Ledger!$K$2:$K$4, Ledger!$B$2:$B$4, $A538, Ledger!$C$2:$C$4, X$2)),"****")</f>
        <v/>
      </c>
    </row>
    <row r="539" spans="1:24" x14ac:dyDescent="0.3">
      <c r="A539" s="106">
        <v>537</v>
      </c>
      <c r="B539" t="str">
        <f>IFERROR(VLOOKUP($A539, Ledger!$B$2:$L$8, 3, 0),"")</f>
        <v/>
      </c>
      <c r="C539" t="str">
        <f>IFERROR(VLOOKUP($A539, Ledger!$B$2:$L$8, 4, 0),"")</f>
        <v/>
      </c>
      <c r="D539" t="str">
        <f>IFERROR(VLOOKUP($A539, Ledger!$B$2:$L$8, 5, 0),"")</f>
        <v/>
      </c>
      <c r="E539" t="str">
        <f>IFERROR(VLOOKUP($A539, Ledger!$B$2:$L$8, 6, 0),"")</f>
        <v/>
      </c>
      <c r="F539" t="str">
        <f>IFERROR(VLOOKUP($A539,'Student Data'!$A$2:$AR$6,32,0),"")</f>
        <v/>
      </c>
      <c r="G539" t="str">
        <f>IFERROR(VLOOKUP($A539,'Student Data'!$A$2:$AR$6,33,0),"")</f>
        <v/>
      </c>
      <c r="H539" t="str">
        <f>IFERROR(VLOOKUP($A539,'Student Data'!$A$2:$AR$6,34,0),"")</f>
        <v/>
      </c>
      <c r="I539" t="str">
        <f>IFERROR(VLOOKUP($A539,'Student Data'!$A$2:$AR$6,35,0),"")</f>
        <v/>
      </c>
      <c r="J539" t="str">
        <f>IFERROR(VLOOKUP($A539,'Student Data'!$A$2:$AR$6,36,0),"")</f>
        <v/>
      </c>
      <c r="K539" t="str">
        <f t="shared" si="16"/>
        <v/>
      </c>
      <c r="L539" t="str">
        <f t="shared" si="17"/>
        <v/>
      </c>
      <c r="M539" t="str">
        <f>IFERROR(IF($C539="","",SUMIFS(Ledger!$K$2:$K$4, Ledger!$B$2:$B$4, $A539, Ledger!$C$2:$C$4, M$2)),"****")</f>
        <v/>
      </c>
      <c r="N539" t="str">
        <f>IFERROR(IF($C539="","",SUMIFS(Ledger!$K$2:$K$4, Ledger!$B$2:$B$4, $A539, Ledger!$C$2:$C$4, N$2)),"****")</f>
        <v/>
      </c>
      <c r="O539" t="str">
        <f>IFERROR(IF($C539="","",SUMIFS(Ledger!$K$2:$K$4, Ledger!$B$2:$B$4, $A539, Ledger!$C$2:$C$4, O$2)),"****")</f>
        <v/>
      </c>
      <c r="P539" t="str">
        <f>IFERROR(IF($C539="","",SUMIFS(Ledger!$K$2:$K$4, Ledger!$B$2:$B$4, $A539, Ledger!$C$2:$C$4, P$2)),"****")</f>
        <v/>
      </c>
      <c r="Q539" t="str">
        <f>IFERROR(IF($C539="","",SUMIFS(Ledger!$K$2:$K$4, Ledger!$B$2:$B$4, $A539, Ledger!$C$2:$C$4, Q$2)),"****")</f>
        <v/>
      </c>
      <c r="R539" t="str">
        <f>IFERROR(IF($C539="","",SUMIFS(Ledger!$K$2:$K$4, Ledger!$B$2:$B$4, $A539, Ledger!$C$2:$C$4, R$2)),"****")</f>
        <v/>
      </c>
      <c r="S539" t="str">
        <f>IFERROR(IF($C539="","",SUMIFS(Ledger!$K$2:$K$4, Ledger!$B$2:$B$4, $A539, Ledger!$C$2:$C$4, S$2)),"****")</f>
        <v/>
      </c>
      <c r="T539" t="str">
        <f>IFERROR(IF($C539="","",SUMIFS(Ledger!$K$2:$K$4, Ledger!$B$2:$B$4, $A539, Ledger!$C$2:$C$4, T$2)),"****")</f>
        <v/>
      </c>
      <c r="U539" t="str">
        <f>IFERROR(IF($C539="","",SUMIFS(Ledger!$K$2:$K$4, Ledger!$B$2:$B$4, $A539, Ledger!$C$2:$C$4, U$2)),"****")</f>
        <v/>
      </c>
      <c r="V539" t="str">
        <f>IFERROR(IF($C539="","",SUMIFS(Ledger!$K$2:$K$4, Ledger!$B$2:$B$4, $A539, Ledger!$C$2:$C$4, V$2)),"****")</f>
        <v/>
      </c>
      <c r="W539" t="str">
        <f>IFERROR(IF($C539="","",SUMIFS(Ledger!$K$2:$K$4, Ledger!$B$2:$B$4, $A539, Ledger!$C$2:$C$4, W$2)),"****")</f>
        <v/>
      </c>
      <c r="X539" t="str">
        <f>IFERROR(IF($C539="","",SUMIFS(Ledger!$K$2:$K$4, Ledger!$B$2:$B$4, $A539, Ledger!$C$2:$C$4, X$2)),"****")</f>
        <v/>
      </c>
    </row>
    <row r="540" spans="1:24" x14ac:dyDescent="0.3">
      <c r="A540" s="106">
        <v>538</v>
      </c>
      <c r="B540" t="str">
        <f>IFERROR(VLOOKUP($A540, Ledger!$B$2:$L$8, 3, 0),"")</f>
        <v/>
      </c>
      <c r="C540" t="str">
        <f>IFERROR(VLOOKUP($A540, Ledger!$B$2:$L$8, 4, 0),"")</f>
        <v/>
      </c>
      <c r="D540" t="str">
        <f>IFERROR(VLOOKUP($A540, Ledger!$B$2:$L$8, 5, 0),"")</f>
        <v/>
      </c>
      <c r="E540" t="str">
        <f>IFERROR(VLOOKUP($A540, Ledger!$B$2:$L$8, 6, 0),"")</f>
        <v/>
      </c>
      <c r="F540" t="str">
        <f>IFERROR(VLOOKUP($A540,'Student Data'!$A$2:$AR$6,32,0),"")</f>
        <v/>
      </c>
      <c r="G540" t="str">
        <f>IFERROR(VLOOKUP($A540,'Student Data'!$A$2:$AR$6,33,0),"")</f>
        <v/>
      </c>
      <c r="H540" t="str">
        <f>IFERROR(VLOOKUP($A540,'Student Data'!$A$2:$AR$6,34,0),"")</f>
        <v/>
      </c>
      <c r="I540" t="str">
        <f>IFERROR(VLOOKUP($A540,'Student Data'!$A$2:$AR$6,35,0),"")</f>
        <v/>
      </c>
      <c r="J540" t="str">
        <f>IFERROR(VLOOKUP($A540,'Student Data'!$A$2:$AR$6,36,0),"")</f>
        <v/>
      </c>
      <c r="K540" t="str">
        <f t="shared" si="16"/>
        <v/>
      </c>
      <c r="L540" t="str">
        <f t="shared" si="17"/>
        <v/>
      </c>
      <c r="M540" t="str">
        <f>IFERROR(IF($C540="","",SUMIFS(Ledger!$K$2:$K$4, Ledger!$B$2:$B$4, $A540, Ledger!$C$2:$C$4, M$2)),"****")</f>
        <v/>
      </c>
      <c r="N540" t="str">
        <f>IFERROR(IF($C540="","",SUMIFS(Ledger!$K$2:$K$4, Ledger!$B$2:$B$4, $A540, Ledger!$C$2:$C$4, N$2)),"****")</f>
        <v/>
      </c>
      <c r="O540" t="str">
        <f>IFERROR(IF($C540="","",SUMIFS(Ledger!$K$2:$K$4, Ledger!$B$2:$B$4, $A540, Ledger!$C$2:$C$4, O$2)),"****")</f>
        <v/>
      </c>
      <c r="P540" t="str">
        <f>IFERROR(IF($C540="","",SUMIFS(Ledger!$K$2:$K$4, Ledger!$B$2:$B$4, $A540, Ledger!$C$2:$C$4, P$2)),"****")</f>
        <v/>
      </c>
      <c r="Q540" t="str">
        <f>IFERROR(IF($C540="","",SUMIFS(Ledger!$K$2:$K$4, Ledger!$B$2:$B$4, $A540, Ledger!$C$2:$C$4, Q$2)),"****")</f>
        <v/>
      </c>
      <c r="R540" t="str">
        <f>IFERROR(IF($C540="","",SUMIFS(Ledger!$K$2:$K$4, Ledger!$B$2:$B$4, $A540, Ledger!$C$2:$C$4, R$2)),"****")</f>
        <v/>
      </c>
      <c r="S540" t="str">
        <f>IFERROR(IF($C540="","",SUMIFS(Ledger!$K$2:$K$4, Ledger!$B$2:$B$4, $A540, Ledger!$C$2:$C$4, S$2)),"****")</f>
        <v/>
      </c>
      <c r="T540" t="str">
        <f>IFERROR(IF($C540="","",SUMIFS(Ledger!$K$2:$K$4, Ledger!$B$2:$B$4, $A540, Ledger!$C$2:$C$4, T$2)),"****")</f>
        <v/>
      </c>
      <c r="U540" t="str">
        <f>IFERROR(IF($C540="","",SUMIFS(Ledger!$K$2:$K$4, Ledger!$B$2:$B$4, $A540, Ledger!$C$2:$C$4, U$2)),"****")</f>
        <v/>
      </c>
      <c r="V540" t="str">
        <f>IFERROR(IF($C540="","",SUMIFS(Ledger!$K$2:$K$4, Ledger!$B$2:$B$4, $A540, Ledger!$C$2:$C$4, V$2)),"****")</f>
        <v/>
      </c>
      <c r="W540" t="str">
        <f>IFERROR(IF($C540="","",SUMIFS(Ledger!$K$2:$K$4, Ledger!$B$2:$B$4, $A540, Ledger!$C$2:$C$4, W$2)),"****")</f>
        <v/>
      </c>
      <c r="X540" t="str">
        <f>IFERROR(IF($C540="","",SUMIFS(Ledger!$K$2:$K$4, Ledger!$B$2:$B$4, $A540, Ledger!$C$2:$C$4, X$2)),"****")</f>
        <v/>
      </c>
    </row>
    <row r="541" spans="1:24" x14ac:dyDescent="0.3">
      <c r="A541" s="106">
        <v>539</v>
      </c>
      <c r="B541" t="str">
        <f>IFERROR(VLOOKUP($A541, Ledger!$B$2:$L$8, 3, 0),"")</f>
        <v/>
      </c>
      <c r="C541" t="str">
        <f>IFERROR(VLOOKUP($A541, Ledger!$B$2:$L$8, 4, 0),"")</f>
        <v/>
      </c>
      <c r="D541" t="str">
        <f>IFERROR(VLOOKUP($A541, Ledger!$B$2:$L$8, 5, 0),"")</f>
        <v/>
      </c>
      <c r="E541" t="str">
        <f>IFERROR(VLOOKUP($A541, Ledger!$B$2:$L$8, 6, 0),"")</f>
        <v/>
      </c>
      <c r="F541" t="str">
        <f>IFERROR(VLOOKUP($A541,'Student Data'!$A$2:$AR$6,32,0),"")</f>
        <v/>
      </c>
      <c r="G541" t="str">
        <f>IFERROR(VLOOKUP($A541,'Student Data'!$A$2:$AR$6,33,0),"")</f>
        <v/>
      </c>
      <c r="H541" t="str">
        <f>IFERROR(VLOOKUP($A541,'Student Data'!$A$2:$AR$6,34,0),"")</f>
        <v/>
      </c>
      <c r="I541" t="str">
        <f>IFERROR(VLOOKUP($A541,'Student Data'!$A$2:$AR$6,35,0),"")</f>
        <v/>
      </c>
      <c r="J541" t="str">
        <f>IFERROR(VLOOKUP($A541,'Student Data'!$A$2:$AR$6,36,0),"")</f>
        <v/>
      </c>
      <c r="K541" t="str">
        <f t="shared" si="16"/>
        <v/>
      </c>
      <c r="L541" t="str">
        <f t="shared" si="17"/>
        <v/>
      </c>
      <c r="M541" t="str">
        <f>IFERROR(IF($C541="","",SUMIFS(Ledger!$K$2:$K$4, Ledger!$B$2:$B$4, $A541, Ledger!$C$2:$C$4, M$2)),"****")</f>
        <v/>
      </c>
      <c r="N541" t="str">
        <f>IFERROR(IF($C541="","",SUMIFS(Ledger!$K$2:$K$4, Ledger!$B$2:$B$4, $A541, Ledger!$C$2:$C$4, N$2)),"****")</f>
        <v/>
      </c>
      <c r="O541" t="str">
        <f>IFERROR(IF($C541="","",SUMIFS(Ledger!$K$2:$K$4, Ledger!$B$2:$B$4, $A541, Ledger!$C$2:$C$4, O$2)),"****")</f>
        <v/>
      </c>
      <c r="P541" t="str">
        <f>IFERROR(IF($C541="","",SUMIFS(Ledger!$K$2:$K$4, Ledger!$B$2:$B$4, $A541, Ledger!$C$2:$C$4, P$2)),"****")</f>
        <v/>
      </c>
      <c r="Q541" t="str">
        <f>IFERROR(IF($C541="","",SUMIFS(Ledger!$K$2:$K$4, Ledger!$B$2:$B$4, $A541, Ledger!$C$2:$C$4, Q$2)),"****")</f>
        <v/>
      </c>
      <c r="R541" t="str">
        <f>IFERROR(IF($C541="","",SUMIFS(Ledger!$K$2:$K$4, Ledger!$B$2:$B$4, $A541, Ledger!$C$2:$C$4, R$2)),"****")</f>
        <v/>
      </c>
      <c r="S541" t="str">
        <f>IFERROR(IF($C541="","",SUMIFS(Ledger!$K$2:$K$4, Ledger!$B$2:$B$4, $A541, Ledger!$C$2:$C$4, S$2)),"****")</f>
        <v/>
      </c>
      <c r="T541" t="str">
        <f>IFERROR(IF($C541="","",SUMIFS(Ledger!$K$2:$K$4, Ledger!$B$2:$B$4, $A541, Ledger!$C$2:$C$4, T$2)),"****")</f>
        <v/>
      </c>
      <c r="U541" t="str">
        <f>IFERROR(IF($C541="","",SUMIFS(Ledger!$K$2:$K$4, Ledger!$B$2:$B$4, $A541, Ledger!$C$2:$C$4, U$2)),"****")</f>
        <v/>
      </c>
      <c r="V541" t="str">
        <f>IFERROR(IF($C541="","",SUMIFS(Ledger!$K$2:$K$4, Ledger!$B$2:$B$4, $A541, Ledger!$C$2:$C$4, V$2)),"****")</f>
        <v/>
      </c>
      <c r="W541" t="str">
        <f>IFERROR(IF($C541="","",SUMIFS(Ledger!$K$2:$K$4, Ledger!$B$2:$B$4, $A541, Ledger!$C$2:$C$4, W$2)),"****")</f>
        <v/>
      </c>
      <c r="X541" t="str">
        <f>IFERROR(IF($C541="","",SUMIFS(Ledger!$K$2:$K$4, Ledger!$B$2:$B$4, $A541, Ledger!$C$2:$C$4, X$2)),"****")</f>
        <v/>
      </c>
    </row>
    <row r="542" spans="1:24" x14ac:dyDescent="0.3">
      <c r="A542" s="106">
        <v>540</v>
      </c>
      <c r="B542" t="str">
        <f>IFERROR(VLOOKUP($A542, Ledger!$B$2:$L$8, 3, 0),"")</f>
        <v/>
      </c>
      <c r="C542" t="str">
        <f>IFERROR(VLOOKUP($A542, Ledger!$B$2:$L$8, 4, 0),"")</f>
        <v/>
      </c>
      <c r="D542" t="str">
        <f>IFERROR(VLOOKUP($A542, Ledger!$B$2:$L$8, 5, 0),"")</f>
        <v/>
      </c>
      <c r="E542" t="str">
        <f>IFERROR(VLOOKUP($A542, Ledger!$B$2:$L$8, 6, 0),"")</f>
        <v/>
      </c>
      <c r="F542" t="str">
        <f>IFERROR(VLOOKUP($A542,'Student Data'!$A$2:$AR$6,32,0),"")</f>
        <v/>
      </c>
      <c r="G542" t="str">
        <f>IFERROR(VLOOKUP($A542,'Student Data'!$A$2:$AR$6,33,0),"")</f>
        <v/>
      </c>
      <c r="H542" t="str">
        <f>IFERROR(VLOOKUP($A542,'Student Data'!$A$2:$AR$6,34,0),"")</f>
        <v/>
      </c>
      <c r="I542" t="str">
        <f>IFERROR(VLOOKUP($A542,'Student Data'!$A$2:$AR$6,35,0),"")</f>
        <v/>
      </c>
      <c r="J542" t="str">
        <f>IFERROR(VLOOKUP($A542,'Student Data'!$A$2:$AR$6,36,0),"")</f>
        <v/>
      </c>
      <c r="K542" t="str">
        <f t="shared" si="16"/>
        <v/>
      </c>
      <c r="L542" t="str">
        <f t="shared" si="17"/>
        <v/>
      </c>
      <c r="M542" t="str">
        <f>IFERROR(IF($C542="","",SUMIFS(Ledger!$K$2:$K$4, Ledger!$B$2:$B$4, $A542, Ledger!$C$2:$C$4, M$2)),"****")</f>
        <v/>
      </c>
      <c r="N542" t="str">
        <f>IFERROR(IF($C542="","",SUMIFS(Ledger!$K$2:$K$4, Ledger!$B$2:$B$4, $A542, Ledger!$C$2:$C$4, N$2)),"****")</f>
        <v/>
      </c>
      <c r="O542" t="str">
        <f>IFERROR(IF($C542="","",SUMIFS(Ledger!$K$2:$K$4, Ledger!$B$2:$B$4, $A542, Ledger!$C$2:$C$4, O$2)),"****")</f>
        <v/>
      </c>
      <c r="P542" t="str">
        <f>IFERROR(IF($C542="","",SUMIFS(Ledger!$K$2:$K$4, Ledger!$B$2:$B$4, $A542, Ledger!$C$2:$C$4, P$2)),"****")</f>
        <v/>
      </c>
      <c r="Q542" t="str">
        <f>IFERROR(IF($C542="","",SUMIFS(Ledger!$K$2:$K$4, Ledger!$B$2:$B$4, $A542, Ledger!$C$2:$C$4, Q$2)),"****")</f>
        <v/>
      </c>
      <c r="R542" t="str">
        <f>IFERROR(IF($C542="","",SUMIFS(Ledger!$K$2:$K$4, Ledger!$B$2:$B$4, $A542, Ledger!$C$2:$C$4, R$2)),"****")</f>
        <v/>
      </c>
      <c r="S542" t="str">
        <f>IFERROR(IF($C542="","",SUMIFS(Ledger!$K$2:$K$4, Ledger!$B$2:$B$4, $A542, Ledger!$C$2:$C$4, S$2)),"****")</f>
        <v/>
      </c>
      <c r="T542" t="str">
        <f>IFERROR(IF($C542="","",SUMIFS(Ledger!$K$2:$K$4, Ledger!$B$2:$B$4, $A542, Ledger!$C$2:$C$4, T$2)),"****")</f>
        <v/>
      </c>
      <c r="U542" t="str">
        <f>IFERROR(IF($C542="","",SUMIFS(Ledger!$K$2:$K$4, Ledger!$B$2:$B$4, $A542, Ledger!$C$2:$C$4, U$2)),"****")</f>
        <v/>
      </c>
      <c r="V542" t="str">
        <f>IFERROR(IF($C542="","",SUMIFS(Ledger!$K$2:$K$4, Ledger!$B$2:$B$4, $A542, Ledger!$C$2:$C$4, V$2)),"****")</f>
        <v/>
      </c>
      <c r="W542" t="str">
        <f>IFERROR(IF($C542="","",SUMIFS(Ledger!$K$2:$K$4, Ledger!$B$2:$B$4, $A542, Ledger!$C$2:$C$4, W$2)),"****")</f>
        <v/>
      </c>
      <c r="X542" t="str">
        <f>IFERROR(IF($C542="","",SUMIFS(Ledger!$K$2:$K$4, Ledger!$B$2:$B$4, $A542, Ledger!$C$2:$C$4, X$2)),"****")</f>
        <v/>
      </c>
    </row>
    <row r="543" spans="1:24" x14ac:dyDescent="0.3">
      <c r="A543" s="106">
        <v>541</v>
      </c>
      <c r="B543" t="str">
        <f>IFERROR(VLOOKUP($A543, Ledger!$B$2:$L$8, 3, 0),"")</f>
        <v/>
      </c>
      <c r="C543" t="str">
        <f>IFERROR(VLOOKUP($A543, Ledger!$B$2:$L$8, 4, 0),"")</f>
        <v/>
      </c>
      <c r="D543" t="str">
        <f>IFERROR(VLOOKUP($A543, Ledger!$B$2:$L$8, 5, 0),"")</f>
        <v/>
      </c>
      <c r="E543" t="str">
        <f>IFERROR(VLOOKUP($A543, Ledger!$B$2:$L$8, 6, 0),"")</f>
        <v/>
      </c>
      <c r="F543" t="str">
        <f>IFERROR(VLOOKUP($A543,'Student Data'!$A$2:$AR$6,32,0),"")</f>
        <v/>
      </c>
      <c r="G543" t="str">
        <f>IFERROR(VLOOKUP($A543,'Student Data'!$A$2:$AR$6,33,0),"")</f>
        <v/>
      </c>
      <c r="H543" t="str">
        <f>IFERROR(VLOOKUP($A543,'Student Data'!$A$2:$AR$6,34,0),"")</f>
        <v/>
      </c>
      <c r="I543" t="str">
        <f>IFERROR(VLOOKUP($A543,'Student Data'!$A$2:$AR$6,35,0),"")</f>
        <v/>
      </c>
      <c r="J543" t="str">
        <f>IFERROR(VLOOKUP($A543,'Student Data'!$A$2:$AR$6,36,0),"")</f>
        <v/>
      </c>
      <c r="K543" t="str">
        <f t="shared" si="16"/>
        <v/>
      </c>
      <c r="L543" t="str">
        <f t="shared" si="17"/>
        <v/>
      </c>
      <c r="M543" t="str">
        <f>IFERROR(IF($C543="","",SUMIFS(Ledger!$K$2:$K$4, Ledger!$B$2:$B$4, $A543, Ledger!$C$2:$C$4, M$2)),"****")</f>
        <v/>
      </c>
      <c r="N543" t="str">
        <f>IFERROR(IF($C543="","",SUMIFS(Ledger!$K$2:$K$4, Ledger!$B$2:$B$4, $A543, Ledger!$C$2:$C$4, N$2)),"****")</f>
        <v/>
      </c>
      <c r="O543" t="str">
        <f>IFERROR(IF($C543="","",SUMIFS(Ledger!$K$2:$K$4, Ledger!$B$2:$B$4, $A543, Ledger!$C$2:$C$4, O$2)),"****")</f>
        <v/>
      </c>
      <c r="P543" t="str">
        <f>IFERROR(IF($C543="","",SUMIFS(Ledger!$K$2:$K$4, Ledger!$B$2:$B$4, $A543, Ledger!$C$2:$C$4, P$2)),"****")</f>
        <v/>
      </c>
      <c r="Q543" t="str">
        <f>IFERROR(IF($C543="","",SUMIFS(Ledger!$K$2:$K$4, Ledger!$B$2:$B$4, $A543, Ledger!$C$2:$C$4, Q$2)),"****")</f>
        <v/>
      </c>
      <c r="R543" t="str">
        <f>IFERROR(IF($C543="","",SUMIFS(Ledger!$K$2:$K$4, Ledger!$B$2:$B$4, $A543, Ledger!$C$2:$C$4, R$2)),"****")</f>
        <v/>
      </c>
      <c r="S543" t="str">
        <f>IFERROR(IF($C543="","",SUMIFS(Ledger!$K$2:$K$4, Ledger!$B$2:$B$4, $A543, Ledger!$C$2:$C$4, S$2)),"****")</f>
        <v/>
      </c>
      <c r="T543" t="str">
        <f>IFERROR(IF($C543="","",SUMIFS(Ledger!$K$2:$K$4, Ledger!$B$2:$B$4, $A543, Ledger!$C$2:$C$4, T$2)),"****")</f>
        <v/>
      </c>
      <c r="U543" t="str">
        <f>IFERROR(IF($C543="","",SUMIFS(Ledger!$K$2:$K$4, Ledger!$B$2:$B$4, $A543, Ledger!$C$2:$C$4, U$2)),"****")</f>
        <v/>
      </c>
      <c r="V543" t="str">
        <f>IFERROR(IF($C543="","",SUMIFS(Ledger!$K$2:$K$4, Ledger!$B$2:$B$4, $A543, Ledger!$C$2:$C$4, V$2)),"****")</f>
        <v/>
      </c>
      <c r="W543" t="str">
        <f>IFERROR(IF($C543="","",SUMIFS(Ledger!$K$2:$K$4, Ledger!$B$2:$B$4, $A543, Ledger!$C$2:$C$4, W$2)),"****")</f>
        <v/>
      </c>
      <c r="X543" t="str">
        <f>IFERROR(IF($C543="","",SUMIFS(Ledger!$K$2:$K$4, Ledger!$B$2:$B$4, $A543, Ledger!$C$2:$C$4, X$2)),"****")</f>
        <v/>
      </c>
    </row>
    <row r="544" spans="1:24" x14ac:dyDescent="0.3">
      <c r="A544" s="106">
        <v>542</v>
      </c>
      <c r="B544" t="str">
        <f>IFERROR(VLOOKUP($A544, Ledger!$B$2:$L$8, 3, 0),"")</f>
        <v/>
      </c>
      <c r="C544" t="str">
        <f>IFERROR(VLOOKUP($A544, Ledger!$B$2:$L$8, 4, 0),"")</f>
        <v/>
      </c>
      <c r="D544" t="str">
        <f>IFERROR(VLOOKUP($A544, Ledger!$B$2:$L$8, 5, 0),"")</f>
        <v/>
      </c>
      <c r="E544" t="str">
        <f>IFERROR(VLOOKUP($A544, Ledger!$B$2:$L$8, 6, 0),"")</f>
        <v/>
      </c>
      <c r="F544" t="str">
        <f>IFERROR(VLOOKUP($A544,'Student Data'!$A$2:$AR$6,32,0),"")</f>
        <v/>
      </c>
      <c r="G544" t="str">
        <f>IFERROR(VLOOKUP($A544,'Student Data'!$A$2:$AR$6,33,0),"")</f>
        <v/>
      </c>
      <c r="H544" t="str">
        <f>IFERROR(VLOOKUP($A544,'Student Data'!$A$2:$AR$6,34,0),"")</f>
        <v/>
      </c>
      <c r="I544" t="str">
        <f>IFERROR(VLOOKUP($A544,'Student Data'!$A$2:$AR$6,35,0),"")</f>
        <v/>
      </c>
      <c r="J544" t="str">
        <f>IFERROR(VLOOKUP($A544,'Student Data'!$A$2:$AR$6,36,0),"")</f>
        <v/>
      </c>
      <c r="K544" t="str">
        <f t="shared" si="16"/>
        <v/>
      </c>
      <c r="L544" t="str">
        <f t="shared" si="17"/>
        <v/>
      </c>
      <c r="M544" t="str">
        <f>IFERROR(IF($C544="","",SUMIFS(Ledger!$K$2:$K$4, Ledger!$B$2:$B$4, $A544, Ledger!$C$2:$C$4, M$2)),"****")</f>
        <v/>
      </c>
      <c r="N544" t="str">
        <f>IFERROR(IF($C544="","",SUMIFS(Ledger!$K$2:$K$4, Ledger!$B$2:$B$4, $A544, Ledger!$C$2:$C$4, N$2)),"****")</f>
        <v/>
      </c>
      <c r="O544" t="str">
        <f>IFERROR(IF($C544="","",SUMIFS(Ledger!$K$2:$K$4, Ledger!$B$2:$B$4, $A544, Ledger!$C$2:$C$4, O$2)),"****")</f>
        <v/>
      </c>
      <c r="P544" t="str">
        <f>IFERROR(IF($C544="","",SUMIFS(Ledger!$K$2:$K$4, Ledger!$B$2:$B$4, $A544, Ledger!$C$2:$C$4, P$2)),"****")</f>
        <v/>
      </c>
      <c r="Q544" t="str">
        <f>IFERROR(IF($C544="","",SUMIFS(Ledger!$K$2:$K$4, Ledger!$B$2:$B$4, $A544, Ledger!$C$2:$C$4, Q$2)),"****")</f>
        <v/>
      </c>
      <c r="R544" t="str">
        <f>IFERROR(IF($C544="","",SUMIFS(Ledger!$K$2:$K$4, Ledger!$B$2:$B$4, $A544, Ledger!$C$2:$C$4, R$2)),"****")</f>
        <v/>
      </c>
      <c r="S544" t="str">
        <f>IFERROR(IF($C544="","",SUMIFS(Ledger!$K$2:$K$4, Ledger!$B$2:$B$4, $A544, Ledger!$C$2:$C$4, S$2)),"****")</f>
        <v/>
      </c>
      <c r="T544" t="str">
        <f>IFERROR(IF($C544="","",SUMIFS(Ledger!$K$2:$K$4, Ledger!$B$2:$B$4, $A544, Ledger!$C$2:$C$4, T$2)),"****")</f>
        <v/>
      </c>
      <c r="U544" t="str">
        <f>IFERROR(IF($C544="","",SUMIFS(Ledger!$K$2:$K$4, Ledger!$B$2:$B$4, $A544, Ledger!$C$2:$C$4, U$2)),"****")</f>
        <v/>
      </c>
      <c r="V544" t="str">
        <f>IFERROR(IF($C544="","",SUMIFS(Ledger!$K$2:$K$4, Ledger!$B$2:$B$4, $A544, Ledger!$C$2:$C$4, V$2)),"****")</f>
        <v/>
      </c>
      <c r="W544" t="str">
        <f>IFERROR(IF($C544="","",SUMIFS(Ledger!$K$2:$K$4, Ledger!$B$2:$B$4, $A544, Ledger!$C$2:$C$4, W$2)),"****")</f>
        <v/>
      </c>
      <c r="X544" t="str">
        <f>IFERROR(IF($C544="","",SUMIFS(Ledger!$K$2:$K$4, Ledger!$B$2:$B$4, $A544, Ledger!$C$2:$C$4, X$2)),"****")</f>
        <v/>
      </c>
    </row>
    <row r="545" spans="1:24" x14ac:dyDescent="0.3">
      <c r="A545" s="106">
        <v>543</v>
      </c>
      <c r="B545" t="str">
        <f>IFERROR(VLOOKUP($A545, Ledger!$B$2:$L$8, 3, 0),"")</f>
        <v/>
      </c>
      <c r="C545" t="str">
        <f>IFERROR(VLOOKUP($A545, Ledger!$B$2:$L$8, 4, 0),"")</f>
        <v/>
      </c>
      <c r="D545" t="str">
        <f>IFERROR(VLOOKUP($A545, Ledger!$B$2:$L$8, 5, 0),"")</f>
        <v/>
      </c>
      <c r="E545" t="str">
        <f>IFERROR(VLOOKUP($A545, Ledger!$B$2:$L$8, 6, 0),"")</f>
        <v/>
      </c>
      <c r="F545" t="str">
        <f>IFERROR(VLOOKUP($A545,'Student Data'!$A$2:$AR$6,32,0),"")</f>
        <v/>
      </c>
      <c r="G545" t="str">
        <f>IFERROR(VLOOKUP($A545,'Student Data'!$A$2:$AR$6,33,0),"")</f>
        <v/>
      </c>
      <c r="H545" t="str">
        <f>IFERROR(VLOOKUP($A545,'Student Data'!$A$2:$AR$6,34,0),"")</f>
        <v/>
      </c>
      <c r="I545" t="str">
        <f>IFERROR(VLOOKUP($A545,'Student Data'!$A$2:$AR$6,35,0),"")</f>
        <v/>
      </c>
      <c r="J545" t="str">
        <f>IFERROR(VLOOKUP($A545,'Student Data'!$A$2:$AR$6,36,0),"")</f>
        <v/>
      </c>
      <c r="K545" t="str">
        <f t="shared" si="16"/>
        <v/>
      </c>
      <c r="L545" t="str">
        <f t="shared" si="17"/>
        <v/>
      </c>
      <c r="M545" t="str">
        <f>IFERROR(IF($C545="","",SUMIFS(Ledger!$K$2:$K$4, Ledger!$B$2:$B$4, $A545, Ledger!$C$2:$C$4, M$2)),"****")</f>
        <v/>
      </c>
      <c r="N545" t="str">
        <f>IFERROR(IF($C545="","",SUMIFS(Ledger!$K$2:$K$4, Ledger!$B$2:$B$4, $A545, Ledger!$C$2:$C$4, N$2)),"****")</f>
        <v/>
      </c>
      <c r="O545" t="str">
        <f>IFERROR(IF($C545="","",SUMIFS(Ledger!$K$2:$K$4, Ledger!$B$2:$B$4, $A545, Ledger!$C$2:$C$4, O$2)),"****")</f>
        <v/>
      </c>
      <c r="P545" t="str">
        <f>IFERROR(IF($C545="","",SUMIFS(Ledger!$K$2:$K$4, Ledger!$B$2:$B$4, $A545, Ledger!$C$2:$C$4, P$2)),"****")</f>
        <v/>
      </c>
      <c r="Q545" t="str">
        <f>IFERROR(IF($C545="","",SUMIFS(Ledger!$K$2:$K$4, Ledger!$B$2:$B$4, $A545, Ledger!$C$2:$C$4, Q$2)),"****")</f>
        <v/>
      </c>
      <c r="R545" t="str">
        <f>IFERROR(IF($C545="","",SUMIFS(Ledger!$K$2:$K$4, Ledger!$B$2:$B$4, $A545, Ledger!$C$2:$C$4, R$2)),"****")</f>
        <v/>
      </c>
      <c r="S545" t="str">
        <f>IFERROR(IF($C545="","",SUMIFS(Ledger!$K$2:$K$4, Ledger!$B$2:$B$4, $A545, Ledger!$C$2:$C$4, S$2)),"****")</f>
        <v/>
      </c>
      <c r="T545" t="str">
        <f>IFERROR(IF($C545="","",SUMIFS(Ledger!$K$2:$K$4, Ledger!$B$2:$B$4, $A545, Ledger!$C$2:$C$4, T$2)),"****")</f>
        <v/>
      </c>
      <c r="U545" t="str">
        <f>IFERROR(IF($C545="","",SUMIFS(Ledger!$K$2:$K$4, Ledger!$B$2:$B$4, $A545, Ledger!$C$2:$C$4, U$2)),"****")</f>
        <v/>
      </c>
      <c r="V545" t="str">
        <f>IFERROR(IF($C545="","",SUMIFS(Ledger!$K$2:$K$4, Ledger!$B$2:$B$4, $A545, Ledger!$C$2:$C$4, V$2)),"****")</f>
        <v/>
      </c>
      <c r="W545" t="str">
        <f>IFERROR(IF($C545="","",SUMIFS(Ledger!$K$2:$K$4, Ledger!$B$2:$B$4, $A545, Ledger!$C$2:$C$4, W$2)),"****")</f>
        <v/>
      </c>
      <c r="X545" t="str">
        <f>IFERROR(IF($C545="","",SUMIFS(Ledger!$K$2:$K$4, Ledger!$B$2:$B$4, $A545, Ledger!$C$2:$C$4, X$2)),"****")</f>
        <v/>
      </c>
    </row>
    <row r="546" spans="1:24" x14ac:dyDescent="0.3">
      <c r="A546" s="106">
        <v>544</v>
      </c>
      <c r="B546" t="str">
        <f>IFERROR(VLOOKUP($A546, Ledger!$B$2:$L$8, 3, 0),"")</f>
        <v/>
      </c>
      <c r="C546" t="str">
        <f>IFERROR(VLOOKUP($A546, Ledger!$B$2:$L$8, 4, 0),"")</f>
        <v/>
      </c>
      <c r="D546" t="str">
        <f>IFERROR(VLOOKUP($A546, Ledger!$B$2:$L$8, 5, 0),"")</f>
        <v/>
      </c>
      <c r="E546" t="str">
        <f>IFERROR(VLOOKUP($A546, Ledger!$B$2:$L$8, 6, 0),"")</f>
        <v/>
      </c>
      <c r="F546" t="str">
        <f>IFERROR(VLOOKUP($A546,'Student Data'!$A$2:$AR$6,32,0),"")</f>
        <v/>
      </c>
      <c r="G546" t="str">
        <f>IFERROR(VLOOKUP($A546,'Student Data'!$A$2:$AR$6,33,0),"")</f>
        <v/>
      </c>
      <c r="H546" t="str">
        <f>IFERROR(VLOOKUP($A546,'Student Data'!$A$2:$AR$6,34,0),"")</f>
        <v/>
      </c>
      <c r="I546" t="str">
        <f>IFERROR(VLOOKUP($A546,'Student Data'!$A$2:$AR$6,35,0),"")</f>
        <v/>
      </c>
      <c r="J546" t="str">
        <f>IFERROR(VLOOKUP($A546,'Student Data'!$A$2:$AR$6,36,0),"")</f>
        <v/>
      </c>
      <c r="K546" t="str">
        <f t="shared" si="16"/>
        <v/>
      </c>
      <c r="L546" t="str">
        <f t="shared" si="17"/>
        <v/>
      </c>
      <c r="M546" t="str">
        <f>IFERROR(IF($C546="","",SUMIFS(Ledger!$K$2:$K$4, Ledger!$B$2:$B$4, $A546, Ledger!$C$2:$C$4, M$2)),"****")</f>
        <v/>
      </c>
      <c r="N546" t="str">
        <f>IFERROR(IF($C546="","",SUMIFS(Ledger!$K$2:$K$4, Ledger!$B$2:$B$4, $A546, Ledger!$C$2:$C$4, N$2)),"****")</f>
        <v/>
      </c>
      <c r="O546" t="str">
        <f>IFERROR(IF($C546="","",SUMIFS(Ledger!$K$2:$K$4, Ledger!$B$2:$B$4, $A546, Ledger!$C$2:$C$4, O$2)),"****")</f>
        <v/>
      </c>
      <c r="P546" t="str">
        <f>IFERROR(IF($C546="","",SUMIFS(Ledger!$K$2:$K$4, Ledger!$B$2:$B$4, $A546, Ledger!$C$2:$C$4, P$2)),"****")</f>
        <v/>
      </c>
      <c r="Q546" t="str">
        <f>IFERROR(IF($C546="","",SUMIFS(Ledger!$K$2:$K$4, Ledger!$B$2:$B$4, $A546, Ledger!$C$2:$C$4, Q$2)),"****")</f>
        <v/>
      </c>
      <c r="R546" t="str">
        <f>IFERROR(IF($C546="","",SUMIFS(Ledger!$K$2:$K$4, Ledger!$B$2:$B$4, $A546, Ledger!$C$2:$C$4, R$2)),"****")</f>
        <v/>
      </c>
      <c r="S546" t="str">
        <f>IFERROR(IF($C546="","",SUMIFS(Ledger!$K$2:$K$4, Ledger!$B$2:$B$4, $A546, Ledger!$C$2:$C$4, S$2)),"****")</f>
        <v/>
      </c>
      <c r="T546" t="str">
        <f>IFERROR(IF($C546="","",SUMIFS(Ledger!$K$2:$K$4, Ledger!$B$2:$B$4, $A546, Ledger!$C$2:$C$4, T$2)),"****")</f>
        <v/>
      </c>
      <c r="U546" t="str">
        <f>IFERROR(IF($C546="","",SUMIFS(Ledger!$K$2:$K$4, Ledger!$B$2:$B$4, $A546, Ledger!$C$2:$C$4, U$2)),"****")</f>
        <v/>
      </c>
      <c r="V546" t="str">
        <f>IFERROR(IF($C546="","",SUMIFS(Ledger!$K$2:$K$4, Ledger!$B$2:$B$4, $A546, Ledger!$C$2:$C$4, V$2)),"****")</f>
        <v/>
      </c>
      <c r="W546" t="str">
        <f>IFERROR(IF($C546="","",SUMIFS(Ledger!$K$2:$K$4, Ledger!$B$2:$B$4, $A546, Ledger!$C$2:$C$4, W$2)),"****")</f>
        <v/>
      </c>
      <c r="X546" t="str">
        <f>IFERROR(IF($C546="","",SUMIFS(Ledger!$K$2:$K$4, Ledger!$B$2:$B$4, $A546, Ledger!$C$2:$C$4, X$2)),"****")</f>
        <v/>
      </c>
    </row>
    <row r="547" spans="1:24" x14ac:dyDescent="0.3">
      <c r="A547" s="106">
        <v>545</v>
      </c>
      <c r="B547" t="str">
        <f>IFERROR(VLOOKUP($A547, Ledger!$B$2:$L$8, 3, 0),"")</f>
        <v/>
      </c>
      <c r="C547" t="str">
        <f>IFERROR(VLOOKUP($A547, Ledger!$B$2:$L$8, 4, 0),"")</f>
        <v/>
      </c>
      <c r="D547" t="str">
        <f>IFERROR(VLOOKUP($A547, Ledger!$B$2:$L$8, 5, 0),"")</f>
        <v/>
      </c>
      <c r="E547" t="str">
        <f>IFERROR(VLOOKUP($A547, Ledger!$B$2:$L$8, 6, 0),"")</f>
        <v/>
      </c>
      <c r="F547" t="str">
        <f>IFERROR(VLOOKUP($A547,'Student Data'!$A$2:$AR$6,32,0),"")</f>
        <v/>
      </c>
      <c r="G547" t="str">
        <f>IFERROR(VLOOKUP($A547,'Student Data'!$A$2:$AR$6,33,0),"")</f>
        <v/>
      </c>
      <c r="H547" t="str">
        <f>IFERROR(VLOOKUP($A547,'Student Data'!$A$2:$AR$6,34,0),"")</f>
        <v/>
      </c>
      <c r="I547" t="str">
        <f>IFERROR(VLOOKUP($A547,'Student Data'!$A$2:$AR$6,35,0),"")</f>
        <v/>
      </c>
      <c r="J547" t="str">
        <f>IFERROR(VLOOKUP($A547,'Student Data'!$A$2:$AR$6,36,0),"")</f>
        <v/>
      </c>
      <c r="K547" t="str">
        <f t="shared" si="16"/>
        <v/>
      </c>
      <c r="L547" t="str">
        <f t="shared" si="17"/>
        <v/>
      </c>
      <c r="M547" t="str">
        <f>IFERROR(IF($C547="","",SUMIFS(Ledger!$K$2:$K$4, Ledger!$B$2:$B$4, $A547, Ledger!$C$2:$C$4, M$2)),"****")</f>
        <v/>
      </c>
      <c r="N547" t="str">
        <f>IFERROR(IF($C547="","",SUMIFS(Ledger!$K$2:$K$4, Ledger!$B$2:$B$4, $A547, Ledger!$C$2:$C$4, N$2)),"****")</f>
        <v/>
      </c>
      <c r="O547" t="str">
        <f>IFERROR(IF($C547="","",SUMIFS(Ledger!$K$2:$K$4, Ledger!$B$2:$B$4, $A547, Ledger!$C$2:$C$4, O$2)),"****")</f>
        <v/>
      </c>
      <c r="P547" t="str">
        <f>IFERROR(IF($C547="","",SUMIFS(Ledger!$K$2:$K$4, Ledger!$B$2:$B$4, $A547, Ledger!$C$2:$C$4, P$2)),"****")</f>
        <v/>
      </c>
      <c r="Q547" t="str">
        <f>IFERROR(IF($C547="","",SUMIFS(Ledger!$K$2:$K$4, Ledger!$B$2:$B$4, $A547, Ledger!$C$2:$C$4, Q$2)),"****")</f>
        <v/>
      </c>
      <c r="R547" t="str">
        <f>IFERROR(IF($C547="","",SUMIFS(Ledger!$K$2:$K$4, Ledger!$B$2:$B$4, $A547, Ledger!$C$2:$C$4, R$2)),"****")</f>
        <v/>
      </c>
      <c r="S547" t="str">
        <f>IFERROR(IF($C547="","",SUMIFS(Ledger!$K$2:$K$4, Ledger!$B$2:$B$4, $A547, Ledger!$C$2:$C$4, S$2)),"****")</f>
        <v/>
      </c>
      <c r="T547" t="str">
        <f>IFERROR(IF($C547="","",SUMIFS(Ledger!$K$2:$K$4, Ledger!$B$2:$B$4, $A547, Ledger!$C$2:$C$4, T$2)),"****")</f>
        <v/>
      </c>
      <c r="U547" t="str">
        <f>IFERROR(IF($C547="","",SUMIFS(Ledger!$K$2:$K$4, Ledger!$B$2:$B$4, $A547, Ledger!$C$2:$C$4, U$2)),"****")</f>
        <v/>
      </c>
      <c r="V547" t="str">
        <f>IFERROR(IF($C547="","",SUMIFS(Ledger!$K$2:$K$4, Ledger!$B$2:$B$4, $A547, Ledger!$C$2:$C$4, V$2)),"****")</f>
        <v/>
      </c>
      <c r="W547" t="str">
        <f>IFERROR(IF($C547="","",SUMIFS(Ledger!$K$2:$K$4, Ledger!$B$2:$B$4, $A547, Ledger!$C$2:$C$4, W$2)),"****")</f>
        <v/>
      </c>
      <c r="X547" t="str">
        <f>IFERROR(IF($C547="","",SUMIFS(Ledger!$K$2:$K$4, Ledger!$B$2:$B$4, $A547, Ledger!$C$2:$C$4, X$2)),"****")</f>
        <v/>
      </c>
    </row>
    <row r="548" spans="1:24" x14ac:dyDescent="0.3">
      <c r="A548" s="106">
        <v>546</v>
      </c>
      <c r="B548" t="str">
        <f>IFERROR(VLOOKUP($A548, Ledger!$B$2:$L$8, 3, 0),"")</f>
        <v/>
      </c>
      <c r="C548" t="str">
        <f>IFERROR(VLOOKUP($A548, Ledger!$B$2:$L$8, 4, 0),"")</f>
        <v/>
      </c>
      <c r="D548" t="str">
        <f>IFERROR(VLOOKUP($A548, Ledger!$B$2:$L$8, 5, 0),"")</f>
        <v/>
      </c>
      <c r="E548" t="str">
        <f>IFERROR(VLOOKUP($A548, Ledger!$B$2:$L$8, 6, 0),"")</f>
        <v/>
      </c>
      <c r="F548" t="str">
        <f>IFERROR(VLOOKUP($A548,'Student Data'!$A$2:$AR$6,32,0),"")</f>
        <v/>
      </c>
      <c r="G548" t="str">
        <f>IFERROR(VLOOKUP($A548,'Student Data'!$A$2:$AR$6,33,0),"")</f>
        <v/>
      </c>
      <c r="H548" t="str">
        <f>IFERROR(VLOOKUP($A548,'Student Data'!$A$2:$AR$6,34,0),"")</f>
        <v/>
      </c>
      <c r="I548" t="str">
        <f>IFERROR(VLOOKUP($A548,'Student Data'!$A$2:$AR$6,35,0),"")</f>
        <v/>
      </c>
      <c r="J548" t="str">
        <f>IFERROR(VLOOKUP($A548,'Student Data'!$A$2:$AR$6,36,0),"")</f>
        <v/>
      </c>
      <c r="K548" t="str">
        <f t="shared" si="16"/>
        <v/>
      </c>
      <c r="L548" t="str">
        <f t="shared" si="17"/>
        <v/>
      </c>
      <c r="M548" t="str">
        <f>IFERROR(IF($C548="","",SUMIFS(Ledger!$K$2:$K$4, Ledger!$B$2:$B$4, $A548, Ledger!$C$2:$C$4, M$2)),"****")</f>
        <v/>
      </c>
      <c r="N548" t="str">
        <f>IFERROR(IF($C548="","",SUMIFS(Ledger!$K$2:$K$4, Ledger!$B$2:$B$4, $A548, Ledger!$C$2:$C$4, N$2)),"****")</f>
        <v/>
      </c>
      <c r="O548" t="str">
        <f>IFERROR(IF($C548="","",SUMIFS(Ledger!$K$2:$K$4, Ledger!$B$2:$B$4, $A548, Ledger!$C$2:$C$4, O$2)),"****")</f>
        <v/>
      </c>
      <c r="P548" t="str">
        <f>IFERROR(IF($C548="","",SUMIFS(Ledger!$K$2:$K$4, Ledger!$B$2:$B$4, $A548, Ledger!$C$2:$C$4, P$2)),"****")</f>
        <v/>
      </c>
      <c r="Q548" t="str">
        <f>IFERROR(IF($C548="","",SUMIFS(Ledger!$K$2:$K$4, Ledger!$B$2:$B$4, $A548, Ledger!$C$2:$C$4, Q$2)),"****")</f>
        <v/>
      </c>
      <c r="R548" t="str">
        <f>IFERROR(IF($C548="","",SUMIFS(Ledger!$K$2:$K$4, Ledger!$B$2:$B$4, $A548, Ledger!$C$2:$C$4, R$2)),"****")</f>
        <v/>
      </c>
      <c r="S548" t="str">
        <f>IFERROR(IF($C548="","",SUMIFS(Ledger!$K$2:$K$4, Ledger!$B$2:$B$4, $A548, Ledger!$C$2:$C$4, S$2)),"****")</f>
        <v/>
      </c>
      <c r="T548" t="str">
        <f>IFERROR(IF($C548="","",SUMIFS(Ledger!$K$2:$K$4, Ledger!$B$2:$B$4, $A548, Ledger!$C$2:$C$4, T$2)),"****")</f>
        <v/>
      </c>
      <c r="U548" t="str">
        <f>IFERROR(IF($C548="","",SUMIFS(Ledger!$K$2:$K$4, Ledger!$B$2:$B$4, $A548, Ledger!$C$2:$C$4, U$2)),"****")</f>
        <v/>
      </c>
      <c r="V548" t="str">
        <f>IFERROR(IF($C548="","",SUMIFS(Ledger!$K$2:$K$4, Ledger!$B$2:$B$4, $A548, Ledger!$C$2:$C$4, V$2)),"****")</f>
        <v/>
      </c>
      <c r="W548" t="str">
        <f>IFERROR(IF($C548="","",SUMIFS(Ledger!$K$2:$K$4, Ledger!$B$2:$B$4, $A548, Ledger!$C$2:$C$4, W$2)),"****")</f>
        <v/>
      </c>
      <c r="X548" t="str">
        <f>IFERROR(IF($C548="","",SUMIFS(Ledger!$K$2:$K$4, Ledger!$B$2:$B$4, $A548, Ledger!$C$2:$C$4, X$2)),"****")</f>
        <v/>
      </c>
    </row>
    <row r="549" spans="1:24" x14ac:dyDescent="0.3">
      <c r="A549" s="106">
        <v>547</v>
      </c>
      <c r="B549" t="str">
        <f>IFERROR(VLOOKUP($A549, Ledger!$B$2:$L$8, 3, 0),"")</f>
        <v/>
      </c>
      <c r="C549" t="str">
        <f>IFERROR(VLOOKUP($A549, Ledger!$B$2:$L$8, 4, 0),"")</f>
        <v/>
      </c>
      <c r="D549" t="str">
        <f>IFERROR(VLOOKUP($A549, Ledger!$B$2:$L$8, 5, 0),"")</f>
        <v/>
      </c>
      <c r="E549" t="str">
        <f>IFERROR(VLOOKUP($A549, Ledger!$B$2:$L$8, 6, 0),"")</f>
        <v/>
      </c>
      <c r="F549" t="str">
        <f>IFERROR(VLOOKUP($A549,'Student Data'!$A$2:$AR$6,32,0),"")</f>
        <v/>
      </c>
      <c r="G549" t="str">
        <f>IFERROR(VLOOKUP($A549,'Student Data'!$A$2:$AR$6,33,0),"")</f>
        <v/>
      </c>
      <c r="H549" t="str">
        <f>IFERROR(VLOOKUP($A549,'Student Data'!$A$2:$AR$6,34,0),"")</f>
        <v/>
      </c>
      <c r="I549" t="str">
        <f>IFERROR(VLOOKUP($A549,'Student Data'!$A$2:$AR$6,35,0),"")</f>
        <v/>
      </c>
      <c r="J549" t="str">
        <f>IFERROR(VLOOKUP($A549,'Student Data'!$A$2:$AR$6,36,0),"")</f>
        <v/>
      </c>
      <c r="K549" t="str">
        <f t="shared" si="16"/>
        <v/>
      </c>
      <c r="L549" t="str">
        <f t="shared" si="17"/>
        <v/>
      </c>
      <c r="M549" t="str">
        <f>IFERROR(IF($C549="","",SUMIFS(Ledger!$K$2:$K$4, Ledger!$B$2:$B$4, $A549, Ledger!$C$2:$C$4, M$2)),"****")</f>
        <v/>
      </c>
      <c r="N549" t="str">
        <f>IFERROR(IF($C549="","",SUMIFS(Ledger!$K$2:$K$4, Ledger!$B$2:$B$4, $A549, Ledger!$C$2:$C$4, N$2)),"****")</f>
        <v/>
      </c>
      <c r="O549" t="str">
        <f>IFERROR(IF($C549="","",SUMIFS(Ledger!$K$2:$K$4, Ledger!$B$2:$B$4, $A549, Ledger!$C$2:$C$4, O$2)),"****")</f>
        <v/>
      </c>
      <c r="P549" t="str">
        <f>IFERROR(IF($C549="","",SUMIFS(Ledger!$K$2:$K$4, Ledger!$B$2:$B$4, $A549, Ledger!$C$2:$C$4, P$2)),"****")</f>
        <v/>
      </c>
      <c r="Q549" t="str">
        <f>IFERROR(IF($C549="","",SUMIFS(Ledger!$K$2:$K$4, Ledger!$B$2:$B$4, $A549, Ledger!$C$2:$C$4, Q$2)),"****")</f>
        <v/>
      </c>
      <c r="R549" t="str">
        <f>IFERROR(IF($C549="","",SUMIFS(Ledger!$K$2:$K$4, Ledger!$B$2:$B$4, $A549, Ledger!$C$2:$C$4, R$2)),"****")</f>
        <v/>
      </c>
      <c r="S549" t="str">
        <f>IFERROR(IF($C549="","",SUMIFS(Ledger!$K$2:$K$4, Ledger!$B$2:$B$4, $A549, Ledger!$C$2:$C$4, S$2)),"****")</f>
        <v/>
      </c>
      <c r="T549" t="str">
        <f>IFERROR(IF($C549="","",SUMIFS(Ledger!$K$2:$K$4, Ledger!$B$2:$B$4, $A549, Ledger!$C$2:$C$4, T$2)),"****")</f>
        <v/>
      </c>
      <c r="U549" t="str">
        <f>IFERROR(IF($C549="","",SUMIFS(Ledger!$K$2:$K$4, Ledger!$B$2:$B$4, $A549, Ledger!$C$2:$C$4, U$2)),"****")</f>
        <v/>
      </c>
      <c r="V549" t="str">
        <f>IFERROR(IF($C549="","",SUMIFS(Ledger!$K$2:$K$4, Ledger!$B$2:$B$4, $A549, Ledger!$C$2:$C$4, V$2)),"****")</f>
        <v/>
      </c>
      <c r="W549" t="str">
        <f>IFERROR(IF($C549="","",SUMIFS(Ledger!$K$2:$K$4, Ledger!$B$2:$B$4, $A549, Ledger!$C$2:$C$4, W$2)),"****")</f>
        <v/>
      </c>
      <c r="X549" t="str">
        <f>IFERROR(IF($C549="","",SUMIFS(Ledger!$K$2:$K$4, Ledger!$B$2:$B$4, $A549, Ledger!$C$2:$C$4, X$2)),"****")</f>
        <v/>
      </c>
    </row>
    <row r="550" spans="1:24" x14ac:dyDescent="0.3">
      <c r="A550" s="106">
        <v>548</v>
      </c>
      <c r="B550" t="str">
        <f>IFERROR(VLOOKUP($A550, Ledger!$B$2:$L$8, 3, 0),"")</f>
        <v/>
      </c>
      <c r="C550" t="str">
        <f>IFERROR(VLOOKUP($A550, Ledger!$B$2:$L$8, 4, 0),"")</f>
        <v/>
      </c>
      <c r="D550" t="str">
        <f>IFERROR(VLOOKUP($A550, Ledger!$B$2:$L$8, 5, 0),"")</f>
        <v/>
      </c>
      <c r="E550" t="str">
        <f>IFERROR(VLOOKUP($A550, Ledger!$B$2:$L$8, 6, 0),"")</f>
        <v/>
      </c>
      <c r="F550" t="str">
        <f>IFERROR(VLOOKUP($A550,'Student Data'!$A$2:$AR$6,32,0),"")</f>
        <v/>
      </c>
      <c r="G550" t="str">
        <f>IFERROR(VLOOKUP($A550,'Student Data'!$A$2:$AR$6,33,0),"")</f>
        <v/>
      </c>
      <c r="H550" t="str">
        <f>IFERROR(VLOOKUP($A550,'Student Data'!$A$2:$AR$6,34,0),"")</f>
        <v/>
      </c>
      <c r="I550" t="str">
        <f>IFERROR(VLOOKUP($A550,'Student Data'!$A$2:$AR$6,35,0),"")</f>
        <v/>
      </c>
      <c r="J550" t="str">
        <f>IFERROR(VLOOKUP($A550,'Student Data'!$A$2:$AR$6,36,0),"")</f>
        <v/>
      </c>
      <c r="K550" t="str">
        <f t="shared" si="16"/>
        <v/>
      </c>
      <c r="L550" t="str">
        <f t="shared" si="17"/>
        <v/>
      </c>
      <c r="M550" t="str">
        <f>IFERROR(IF($C550="","",SUMIFS(Ledger!$K$2:$K$4, Ledger!$B$2:$B$4, $A550, Ledger!$C$2:$C$4, M$2)),"****")</f>
        <v/>
      </c>
      <c r="N550" t="str">
        <f>IFERROR(IF($C550="","",SUMIFS(Ledger!$K$2:$K$4, Ledger!$B$2:$B$4, $A550, Ledger!$C$2:$C$4, N$2)),"****")</f>
        <v/>
      </c>
      <c r="O550" t="str">
        <f>IFERROR(IF($C550="","",SUMIFS(Ledger!$K$2:$K$4, Ledger!$B$2:$B$4, $A550, Ledger!$C$2:$C$4, O$2)),"****")</f>
        <v/>
      </c>
      <c r="P550" t="str">
        <f>IFERROR(IF($C550="","",SUMIFS(Ledger!$K$2:$K$4, Ledger!$B$2:$B$4, $A550, Ledger!$C$2:$C$4, P$2)),"****")</f>
        <v/>
      </c>
      <c r="Q550" t="str">
        <f>IFERROR(IF($C550="","",SUMIFS(Ledger!$K$2:$K$4, Ledger!$B$2:$B$4, $A550, Ledger!$C$2:$C$4, Q$2)),"****")</f>
        <v/>
      </c>
      <c r="R550" t="str">
        <f>IFERROR(IF($C550="","",SUMIFS(Ledger!$K$2:$K$4, Ledger!$B$2:$B$4, $A550, Ledger!$C$2:$C$4, R$2)),"****")</f>
        <v/>
      </c>
      <c r="S550" t="str">
        <f>IFERROR(IF($C550="","",SUMIFS(Ledger!$K$2:$K$4, Ledger!$B$2:$B$4, $A550, Ledger!$C$2:$C$4, S$2)),"****")</f>
        <v/>
      </c>
      <c r="T550" t="str">
        <f>IFERROR(IF($C550="","",SUMIFS(Ledger!$K$2:$K$4, Ledger!$B$2:$B$4, $A550, Ledger!$C$2:$C$4, T$2)),"****")</f>
        <v/>
      </c>
      <c r="U550" t="str">
        <f>IFERROR(IF($C550="","",SUMIFS(Ledger!$K$2:$K$4, Ledger!$B$2:$B$4, $A550, Ledger!$C$2:$C$4, U$2)),"****")</f>
        <v/>
      </c>
      <c r="V550" t="str">
        <f>IFERROR(IF($C550="","",SUMIFS(Ledger!$K$2:$K$4, Ledger!$B$2:$B$4, $A550, Ledger!$C$2:$C$4, V$2)),"****")</f>
        <v/>
      </c>
      <c r="W550" t="str">
        <f>IFERROR(IF($C550="","",SUMIFS(Ledger!$K$2:$K$4, Ledger!$B$2:$B$4, $A550, Ledger!$C$2:$C$4, W$2)),"****")</f>
        <v/>
      </c>
      <c r="X550" t="str">
        <f>IFERROR(IF($C550="","",SUMIFS(Ledger!$K$2:$K$4, Ledger!$B$2:$B$4, $A550, Ledger!$C$2:$C$4, X$2)),"****")</f>
        <v/>
      </c>
    </row>
    <row r="551" spans="1:24" x14ac:dyDescent="0.3">
      <c r="A551" s="106">
        <v>549</v>
      </c>
      <c r="B551" t="str">
        <f>IFERROR(VLOOKUP($A551, Ledger!$B$2:$L$8, 3, 0),"")</f>
        <v/>
      </c>
      <c r="C551" t="str">
        <f>IFERROR(VLOOKUP($A551, Ledger!$B$2:$L$8, 4, 0),"")</f>
        <v/>
      </c>
      <c r="D551" t="str">
        <f>IFERROR(VLOOKUP($A551, Ledger!$B$2:$L$8, 5, 0),"")</f>
        <v/>
      </c>
      <c r="E551" t="str">
        <f>IFERROR(VLOOKUP($A551, Ledger!$B$2:$L$8, 6, 0),"")</f>
        <v/>
      </c>
      <c r="F551" t="str">
        <f>IFERROR(VLOOKUP($A551,'Student Data'!$A$2:$AR$6,32,0),"")</f>
        <v/>
      </c>
      <c r="G551" t="str">
        <f>IFERROR(VLOOKUP($A551,'Student Data'!$A$2:$AR$6,33,0),"")</f>
        <v/>
      </c>
      <c r="H551" t="str">
        <f>IFERROR(VLOOKUP($A551,'Student Data'!$A$2:$AR$6,34,0),"")</f>
        <v/>
      </c>
      <c r="I551" t="str">
        <f>IFERROR(VLOOKUP($A551,'Student Data'!$A$2:$AR$6,35,0),"")</f>
        <v/>
      </c>
      <c r="J551" t="str">
        <f>IFERROR(VLOOKUP($A551,'Student Data'!$A$2:$AR$6,36,0),"")</f>
        <v/>
      </c>
      <c r="K551" t="str">
        <f t="shared" si="16"/>
        <v/>
      </c>
      <c r="L551" t="str">
        <f t="shared" si="17"/>
        <v/>
      </c>
      <c r="M551" t="str">
        <f>IFERROR(IF($C551="","",SUMIFS(Ledger!$K$2:$K$4, Ledger!$B$2:$B$4, $A551, Ledger!$C$2:$C$4, M$2)),"****")</f>
        <v/>
      </c>
      <c r="N551" t="str">
        <f>IFERROR(IF($C551="","",SUMIFS(Ledger!$K$2:$K$4, Ledger!$B$2:$B$4, $A551, Ledger!$C$2:$C$4, N$2)),"****")</f>
        <v/>
      </c>
      <c r="O551" t="str">
        <f>IFERROR(IF($C551="","",SUMIFS(Ledger!$K$2:$K$4, Ledger!$B$2:$B$4, $A551, Ledger!$C$2:$C$4, O$2)),"****")</f>
        <v/>
      </c>
      <c r="P551" t="str">
        <f>IFERROR(IF($C551="","",SUMIFS(Ledger!$K$2:$K$4, Ledger!$B$2:$B$4, $A551, Ledger!$C$2:$C$4, P$2)),"****")</f>
        <v/>
      </c>
      <c r="Q551" t="str">
        <f>IFERROR(IF($C551="","",SUMIFS(Ledger!$K$2:$K$4, Ledger!$B$2:$B$4, $A551, Ledger!$C$2:$C$4, Q$2)),"****")</f>
        <v/>
      </c>
      <c r="R551" t="str">
        <f>IFERROR(IF($C551="","",SUMIFS(Ledger!$K$2:$K$4, Ledger!$B$2:$B$4, $A551, Ledger!$C$2:$C$4, R$2)),"****")</f>
        <v/>
      </c>
      <c r="S551" t="str">
        <f>IFERROR(IF($C551="","",SUMIFS(Ledger!$K$2:$K$4, Ledger!$B$2:$B$4, $A551, Ledger!$C$2:$C$4, S$2)),"****")</f>
        <v/>
      </c>
      <c r="T551" t="str">
        <f>IFERROR(IF($C551="","",SUMIFS(Ledger!$K$2:$K$4, Ledger!$B$2:$B$4, $A551, Ledger!$C$2:$C$4, T$2)),"****")</f>
        <v/>
      </c>
      <c r="U551" t="str">
        <f>IFERROR(IF($C551="","",SUMIFS(Ledger!$K$2:$K$4, Ledger!$B$2:$B$4, $A551, Ledger!$C$2:$C$4, U$2)),"****")</f>
        <v/>
      </c>
      <c r="V551" t="str">
        <f>IFERROR(IF($C551="","",SUMIFS(Ledger!$K$2:$K$4, Ledger!$B$2:$B$4, $A551, Ledger!$C$2:$C$4, V$2)),"****")</f>
        <v/>
      </c>
      <c r="W551" t="str">
        <f>IFERROR(IF($C551="","",SUMIFS(Ledger!$K$2:$K$4, Ledger!$B$2:$B$4, $A551, Ledger!$C$2:$C$4, W$2)),"****")</f>
        <v/>
      </c>
      <c r="X551" t="str">
        <f>IFERROR(IF($C551="","",SUMIFS(Ledger!$K$2:$K$4, Ledger!$B$2:$B$4, $A551, Ledger!$C$2:$C$4, X$2)),"****")</f>
        <v/>
      </c>
    </row>
    <row r="552" spans="1:24" x14ac:dyDescent="0.3">
      <c r="A552" s="106">
        <v>550</v>
      </c>
      <c r="B552" t="str">
        <f>IFERROR(VLOOKUP($A552, Ledger!$B$2:$L$8, 3, 0),"")</f>
        <v/>
      </c>
      <c r="C552" t="str">
        <f>IFERROR(VLOOKUP($A552, Ledger!$B$2:$L$8, 4, 0),"")</f>
        <v/>
      </c>
      <c r="D552" t="str">
        <f>IFERROR(VLOOKUP($A552, Ledger!$B$2:$L$8, 5, 0),"")</f>
        <v/>
      </c>
      <c r="E552" t="str">
        <f>IFERROR(VLOOKUP($A552, Ledger!$B$2:$L$8, 6, 0),"")</f>
        <v/>
      </c>
      <c r="F552" t="str">
        <f>IFERROR(VLOOKUP($A552,'Student Data'!$A$2:$AR$6,32,0),"")</f>
        <v/>
      </c>
      <c r="G552" t="str">
        <f>IFERROR(VLOOKUP($A552,'Student Data'!$A$2:$AR$6,33,0),"")</f>
        <v/>
      </c>
      <c r="H552" t="str">
        <f>IFERROR(VLOOKUP($A552,'Student Data'!$A$2:$AR$6,34,0),"")</f>
        <v/>
      </c>
      <c r="I552" t="str">
        <f>IFERROR(VLOOKUP($A552,'Student Data'!$A$2:$AR$6,35,0),"")</f>
        <v/>
      </c>
      <c r="J552" t="str">
        <f>IFERROR(VLOOKUP($A552,'Student Data'!$A$2:$AR$6,36,0),"")</f>
        <v/>
      </c>
      <c r="K552" t="str">
        <f t="shared" si="16"/>
        <v/>
      </c>
      <c r="L552" t="str">
        <f t="shared" si="17"/>
        <v/>
      </c>
      <c r="M552" t="str">
        <f>IFERROR(IF($C552="","",SUMIFS(Ledger!$K$2:$K$4, Ledger!$B$2:$B$4, $A552, Ledger!$C$2:$C$4, M$2)),"****")</f>
        <v/>
      </c>
      <c r="N552" t="str">
        <f>IFERROR(IF($C552="","",SUMIFS(Ledger!$K$2:$K$4, Ledger!$B$2:$B$4, $A552, Ledger!$C$2:$C$4, N$2)),"****")</f>
        <v/>
      </c>
      <c r="O552" t="str">
        <f>IFERROR(IF($C552="","",SUMIFS(Ledger!$K$2:$K$4, Ledger!$B$2:$B$4, $A552, Ledger!$C$2:$C$4, O$2)),"****")</f>
        <v/>
      </c>
      <c r="P552" t="str">
        <f>IFERROR(IF($C552="","",SUMIFS(Ledger!$K$2:$K$4, Ledger!$B$2:$B$4, $A552, Ledger!$C$2:$C$4, P$2)),"****")</f>
        <v/>
      </c>
      <c r="Q552" t="str">
        <f>IFERROR(IF($C552="","",SUMIFS(Ledger!$K$2:$K$4, Ledger!$B$2:$B$4, $A552, Ledger!$C$2:$C$4, Q$2)),"****")</f>
        <v/>
      </c>
      <c r="R552" t="str">
        <f>IFERROR(IF($C552="","",SUMIFS(Ledger!$K$2:$K$4, Ledger!$B$2:$B$4, $A552, Ledger!$C$2:$C$4, R$2)),"****")</f>
        <v/>
      </c>
      <c r="S552" t="str">
        <f>IFERROR(IF($C552="","",SUMIFS(Ledger!$K$2:$K$4, Ledger!$B$2:$B$4, $A552, Ledger!$C$2:$C$4, S$2)),"****")</f>
        <v/>
      </c>
      <c r="T552" t="str">
        <f>IFERROR(IF($C552="","",SUMIFS(Ledger!$K$2:$K$4, Ledger!$B$2:$B$4, $A552, Ledger!$C$2:$C$4, T$2)),"****")</f>
        <v/>
      </c>
      <c r="U552" t="str">
        <f>IFERROR(IF($C552="","",SUMIFS(Ledger!$K$2:$K$4, Ledger!$B$2:$B$4, $A552, Ledger!$C$2:$C$4, U$2)),"****")</f>
        <v/>
      </c>
      <c r="V552" t="str">
        <f>IFERROR(IF($C552="","",SUMIFS(Ledger!$K$2:$K$4, Ledger!$B$2:$B$4, $A552, Ledger!$C$2:$C$4, V$2)),"****")</f>
        <v/>
      </c>
      <c r="W552" t="str">
        <f>IFERROR(IF($C552="","",SUMIFS(Ledger!$K$2:$K$4, Ledger!$B$2:$B$4, $A552, Ledger!$C$2:$C$4, W$2)),"****")</f>
        <v/>
      </c>
      <c r="X552" t="str">
        <f>IFERROR(IF($C552="","",SUMIFS(Ledger!$K$2:$K$4, Ledger!$B$2:$B$4, $A552, Ledger!$C$2:$C$4, X$2)),"****")</f>
        <v/>
      </c>
    </row>
    <row r="553" spans="1:24" x14ac:dyDescent="0.3">
      <c r="A553" s="106">
        <v>551</v>
      </c>
      <c r="B553" t="str">
        <f>IFERROR(VLOOKUP($A553, Ledger!$B$2:$L$8, 3, 0),"")</f>
        <v/>
      </c>
      <c r="C553" t="str">
        <f>IFERROR(VLOOKUP($A553, Ledger!$B$2:$L$8, 4, 0),"")</f>
        <v/>
      </c>
      <c r="D553" t="str">
        <f>IFERROR(VLOOKUP($A553, Ledger!$B$2:$L$8, 5, 0),"")</f>
        <v/>
      </c>
      <c r="E553" t="str">
        <f>IFERROR(VLOOKUP($A553, Ledger!$B$2:$L$8, 6, 0),"")</f>
        <v/>
      </c>
      <c r="F553" t="str">
        <f>IFERROR(VLOOKUP($A553,'Student Data'!$A$2:$AR$6,32,0),"")</f>
        <v/>
      </c>
      <c r="G553" t="str">
        <f>IFERROR(VLOOKUP($A553,'Student Data'!$A$2:$AR$6,33,0),"")</f>
        <v/>
      </c>
      <c r="H553" t="str">
        <f>IFERROR(VLOOKUP($A553,'Student Data'!$A$2:$AR$6,34,0),"")</f>
        <v/>
      </c>
      <c r="I553" t="str">
        <f>IFERROR(VLOOKUP($A553,'Student Data'!$A$2:$AR$6,35,0),"")</f>
        <v/>
      </c>
      <c r="J553" t="str">
        <f>IFERROR(VLOOKUP($A553,'Student Data'!$A$2:$AR$6,36,0),"")</f>
        <v/>
      </c>
      <c r="K553" t="str">
        <f t="shared" si="16"/>
        <v/>
      </c>
      <c r="L553" t="str">
        <f t="shared" si="17"/>
        <v/>
      </c>
      <c r="M553" t="str">
        <f>IFERROR(IF($C553="","",SUMIFS(Ledger!$K$2:$K$4, Ledger!$B$2:$B$4, $A553, Ledger!$C$2:$C$4, M$2)),"****")</f>
        <v/>
      </c>
      <c r="N553" t="str">
        <f>IFERROR(IF($C553="","",SUMIFS(Ledger!$K$2:$K$4, Ledger!$B$2:$B$4, $A553, Ledger!$C$2:$C$4, N$2)),"****")</f>
        <v/>
      </c>
      <c r="O553" t="str">
        <f>IFERROR(IF($C553="","",SUMIFS(Ledger!$K$2:$K$4, Ledger!$B$2:$B$4, $A553, Ledger!$C$2:$C$4, O$2)),"****")</f>
        <v/>
      </c>
      <c r="P553" t="str">
        <f>IFERROR(IF($C553="","",SUMIFS(Ledger!$K$2:$K$4, Ledger!$B$2:$B$4, $A553, Ledger!$C$2:$C$4, P$2)),"****")</f>
        <v/>
      </c>
      <c r="Q553" t="str">
        <f>IFERROR(IF($C553="","",SUMIFS(Ledger!$K$2:$K$4, Ledger!$B$2:$B$4, $A553, Ledger!$C$2:$C$4, Q$2)),"****")</f>
        <v/>
      </c>
      <c r="R553" t="str">
        <f>IFERROR(IF($C553="","",SUMIFS(Ledger!$K$2:$K$4, Ledger!$B$2:$B$4, $A553, Ledger!$C$2:$C$4, R$2)),"****")</f>
        <v/>
      </c>
      <c r="S553" t="str">
        <f>IFERROR(IF($C553="","",SUMIFS(Ledger!$K$2:$K$4, Ledger!$B$2:$B$4, $A553, Ledger!$C$2:$C$4, S$2)),"****")</f>
        <v/>
      </c>
      <c r="T553" t="str">
        <f>IFERROR(IF($C553="","",SUMIFS(Ledger!$K$2:$K$4, Ledger!$B$2:$B$4, $A553, Ledger!$C$2:$C$4, T$2)),"****")</f>
        <v/>
      </c>
      <c r="U553" t="str">
        <f>IFERROR(IF($C553="","",SUMIFS(Ledger!$K$2:$K$4, Ledger!$B$2:$B$4, $A553, Ledger!$C$2:$C$4, U$2)),"****")</f>
        <v/>
      </c>
      <c r="V553" t="str">
        <f>IFERROR(IF($C553="","",SUMIFS(Ledger!$K$2:$K$4, Ledger!$B$2:$B$4, $A553, Ledger!$C$2:$C$4, V$2)),"****")</f>
        <v/>
      </c>
      <c r="W553" t="str">
        <f>IFERROR(IF($C553="","",SUMIFS(Ledger!$K$2:$K$4, Ledger!$B$2:$B$4, $A553, Ledger!$C$2:$C$4, W$2)),"****")</f>
        <v/>
      </c>
      <c r="X553" t="str">
        <f>IFERROR(IF($C553="","",SUMIFS(Ledger!$K$2:$K$4, Ledger!$B$2:$B$4, $A553, Ledger!$C$2:$C$4, X$2)),"****")</f>
        <v/>
      </c>
    </row>
    <row r="554" spans="1:24" x14ac:dyDescent="0.3">
      <c r="A554" s="106">
        <v>552</v>
      </c>
      <c r="B554" t="str">
        <f>IFERROR(VLOOKUP($A554, Ledger!$B$2:$L$8, 3, 0),"")</f>
        <v/>
      </c>
      <c r="C554" t="str">
        <f>IFERROR(VLOOKUP($A554, Ledger!$B$2:$L$8, 4, 0),"")</f>
        <v/>
      </c>
      <c r="D554" t="str">
        <f>IFERROR(VLOOKUP($A554, Ledger!$B$2:$L$8, 5, 0),"")</f>
        <v/>
      </c>
      <c r="E554" t="str">
        <f>IFERROR(VLOOKUP($A554, Ledger!$B$2:$L$8, 6, 0),"")</f>
        <v/>
      </c>
      <c r="F554" t="str">
        <f>IFERROR(VLOOKUP($A554,'Student Data'!$A$2:$AR$6,32,0),"")</f>
        <v/>
      </c>
      <c r="G554" t="str">
        <f>IFERROR(VLOOKUP($A554,'Student Data'!$A$2:$AR$6,33,0),"")</f>
        <v/>
      </c>
      <c r="H554" t="str">
        <f>IFERROR(VLOOKUP($A554,'Student Data'!$A$2:$AR$6,34,0),"")</f>
        <v/>
      </c>
      <c r="I554" t="str">
        <f>IFERROR(VLOOKUP($A554,'Student Data'!$A$2:$AR$6,35,0),"")</f>
        <v/>
      </c>
      <c r="J554" t="str">
        <f>IFERROR(VLOOKUP($A554,'Student Data'!$A$2:$AR$6,36,0),"")</f>
        <v/>
      </c>
      <c r="K554" t="str">
        <f t="shared" si="16"/>
        <v/>
      </c>
      <c r="L554" t="str">
        <f t="shared" si="17"/>
        <v/>
      </c>
      <c r="M554" t="str">
        <f>IFERROR(IF($C554="","",SUMIFS(Ledger!$K$2:$K$4, Ledger!$B$2:$B$4, $A554, Ledger!$C$2:$C$4, M$2)),"****")</f>
        <v/>
      </c>
      <c r="N554" t="str">
        <f>IFERROR(IF($C554="","",SUMIFS(Ledger!$K$2:$K$4, Ledger!$B$2:$B$4, $A554, Ledger!$C$2:$C$4, N$2)),"****")</f>
        <v/>
      </c>
      <c r="O554" t="str">
        <f>IFERROR(IF($C554="","",SUMIFS(Ledger!$K$2:$K$4, Ledger!$B$2:$B$4, $A554, Ledger!$C$2:$C$4, O$2)),"****")</f>
        <v/>
      </c>
      <c r="P554" t="str">
        <f>IFERROR(IF($C554="","",SUMIFS(Ledger!$K$2:$K$4, Ledger!$B$2:$B$4, $A554, Ledger!$C$2:$C$4, P$2)),"****")</f>
        <v/>
      </c>
      <c r="Q554" t="str">
        <f>IFERROR(IF($C554="","",SUMIFS(Ledger!$K$2:$K$4, Ledger!$B$2:$B$4, $A554, Ledger!$C$2:$C$4, Q$2)),"****")</f>
        <v/>
      </c>
      <c r="R554" t="str">
        <f>IFERROR(IF($C554="","",SUMIFS(Ledger!$K$2:$K$4, Ledger!$B$2:$B$4, $A554, Ledger!$C$2:$C$4, R$2)),"****")</f>
        <v/>
      </c>
      <c r="S554" t="str">
        <f>IFERROR(IF($C554="","",SUMIFS(Ledger!$K$2:$K$4, Ledger!$B$2:$B$4, $A554, Ledger!$C$2:$C$4, S$2)),"****")</f>
        <v/>
      </c>
      <c r="T554" t="str">
        <f>IFERROR(IF($C554="","",SUMIFS(Ledger!$K$2:$K$4, Ledger!$B$2:$B$4, $A554, Ledger!$C$2:$C$4, T$2)),"****")</f>
        <v/>
      </c>
      <c r="U554" t="str">
        <f>IFERROR(IF($C554="","",SUMIFS(Ledger!$K$2:$K$4, Ledger!$B$2:$B$4, $A554, Ledger!$C$2:$C$4, U$2)),"****")</f>
        <v/>
      </c>
      <c r="V554" t="str">
        <f>IFERROR(IF($C554="","",SUMIFS(Ledger!$K$2:$K$4, Ledger!$B$2:$B$4, $A554, Ledger!$C$2:$C$4, V$2)),"****")</f>
        <v/>
      </c>
      <c r="W554" t="str">
        <f>IFERROR(IF($C554="","",SUMIFS(Ledger!$K$2:$K$4, Ledger!$B$2:$B$4, $A554, Ledger!$C$2:$C$4, W$2)),"****")</f>
        <v/>
      </c>
      <c r="X554" t="str">
        <f>IFERROR(IF($C554="","",SUMIFS(Ledger!$K$2:$K$4, Ledger!$B$2:$B$4, $A554, Ledger!$C$2:$C$4, X$2)),"****")</f>
        <v/>
      </c>
    </row>
    <row r="555" spans="1:24" x14ac:dyDescent="0.3">
      <c r="A555" s="106">
        <v>553</v>
      </c>
      <c r="B555" t="str">
        <f>IFERROR(VLOOKUP($A555, Ledger!$B$2:$L$8, 3, 0),"")</f>
        <v/>
      </c>
      <c r="C555" t="str">
        <f>IFERROR(VLOOKUP($A555, Ledger!$B$2:$L$8, 4, 0),"")</f>
        <v/>
      </c>
      <c r="D555" t="str">
        <f>IFERROR(VLOOKUP($A555, Ledger!$B$2:$L$8, 5, 0),"")</f>
        <v/>
      </c>
      <c r="E555" t="str">
        <f>IFERROR(VLOOKUP($A555, Ledger!$B$2:$L$8, 6, 0),"")</f>
        <v/>
      </c>
      <c r="F555" t="str">
        <f>IFERROR(VLOOKUP($A555,'Student Data'!$A$2:$AR$6,32,0),"")</f>
        <v/>
      </c>
      <c r="G555" t="str">
        <f>IFERROR(VLOOKUP($A555,'Student Data'!$A$2:$AR$6,33,0),"")</f>
        <v/>
      </c>
      <c r="H555" t="str">
        <f>IFERROR(VLOOKUP($A555,'Student Data'!$A$2:$AR$6,34,0),"")</f>
        <v/>
      </c>
      <c r="I555" t="str">
        <f>IFERROR(VLOOKUP($A555,'Student Data'!$A$2:$AR$6,35,0),"")</f>
        <v/>
      </c>
      <c r="J555" t="str">
        <f>IFERROR(VLOOKUP($A555,'Student Data'!$A$2:$AR$6,36,0),"")</f>
        <v/>
      </c>
      <c r="K555" t="str">
        <f t="shared" si="16"/>
        <v/>
      </c>
      <c r="L555" t="str">
        <f t="shared" si="17"/>
        <v/>
      </c>
      <c r="M555" t="str">
        <f>IFERROR(IF($C555="","",SUMIFS(Ledger!$K$2:$K$4, Ledger!$B$2:$B$4, $A555, Ledger!$C$2:$C$4, M$2)),"****")</f>
        <v/>
      </c>
      <c r="N555" t="str">
        <f>IFERROR(IF($C555="","",SUMIFS(Ledger!$K$2:$K$4, Ledger!$B$2:$B$4, $A555, Ledger!$C$2:$C$4, N$2)),"****")</f>
        <v/>
      </c>
      <c r="O555" t="str">
        <f>IFERROR(IF($C555="","",SUMIFS(Ledger!$K$2:$K$4, Ledger!$B$2:$B$4, $A555, Ledger!$C$2:$C$4, O$2)),"****")</f>
        <v/>
      </c>
      <c r="P555" t="str">
        <f>IFERROR(IF($C555="","",SUMIFS(Ledger!$K$2:$K$4, Ledger!$B$2:$B$4, $A555, Ledger!$C$2:$C$4, P$2)),"****")</f>
        <v/>
      </c>
      <c r="Q555" t="str">
        <f>IFERROR(IF($C555="","",SUMIFS(Ledger!$K$2:$K$4, Ledger!$B$2:$B$4, $A555, Ledger!$C$2:$C$4, Q$2)),"****")</f>
        <v/>
      </c>
      <c r="R555" t="str">
        <f>IFERROR(IF($C555="","",SUMIFS(Ledger!$K$2:$K$4, Ledger!$B$2:$B$4, $A555, Ledger!$C$2:$C$4, R$2)),"****")</f>
        <v/>
      </c>
      <c r="S555" t="str">
        <f>IFERROR(IF($C555="","",SUMIFS(Ledger!$K$2:$K$4, Ledger!$B$2:$B$4, $A555, Ledger!$C$2:$C$4, S$2)),"****")</f>
        <v/>
      </c>
      <c r="T555" t="str">
        <f>IFERROR(IF($C555="","",SUMIFS(Ledger!$K$2:$K$4, Ledger!$B$2:$B$4, $A555, Ledger!$C$2:$C$4, T$2)),"****")</f>
        <v/>
      </c>
      <c r="U555" t="str">
        <f>IFERROR(IF($C555="","",SUMIFS(Ledger!$K$2:$K$4, Ledger!$B$2:$B$4, $A555, Ledger!$C$2:$C$4, U$2)),"****")</f>
        <v/>
      </c>
      <c r="V555" t="str">
        <f>IFERROR(IF($C555="","",SUMIFS(Ledger!$K$2:$K$4, Ledger!$B$2:$B$4, $A555, Ledger!$C$2:$C$4, V$2)),"****")</f>
        <v/>
      </c>
      <c r="W555" t="str">
        <f>IFERROR(IF($C555="","",SUMIFS(Ledger!$K$2:$K$4, Ledger!$B$2:$B$4, $A555, Ledger!$C$2:$C$4, W$2)),"****")</f>
        <v/>
      </c>
      <c r="X555" t="str">
        <f>IFERROR(IF($C555="","",SUMIFS(Ledger!$K$2:$K$4, Ledger!$B$2:$B$4, $A555, Ledger!$C$2:$C$4, X$2)),"****")</f>
        <v/>
      </c>
    </row>
    <row r="556" spans="1:24" x14ac:dyDescent="0.3">
      <c r="A556" s="106">
        <v>554</v>
      </c>
      <c r="B556" t="str">
        <f>IFERROR(VLOOKUP($A556, Ledger!$B$2:$L$8, 3, 0),"")</f>
        <v/>
      </c>
      <c r="C556" t="str">
        <f>IFERROR(VLOOKUP($A556, Ledger!$B$2:$L$8, 4, 0),"")</f>
        <v/>
      </c>
      <c r="D556" t="str">
        <f>IFERROR(VLOOKUP($A556, Ledger!$B$2:$L$8, 5, 0),"")</f>
        <v/>
      </c>
      <c r="E556" t="str">
        <f>IFERROR(VLOOKUP($A556, Ledger!$B$2:$L$8, 6, 0),"")</f>
        <v/>
      </c>
      <c r="F556" t="str">
        <f>IFERROR(VLOOKUP($A556,'Student Data'!$A$2:$AR$6,32,0),"")</f>
        <v/>
      </c>
      <c r="G556" t="str">
        <f>IFERROR(VLOOKUP($A556,'Student Data'!$A$2:$AR$6,33,0),"")</f>
        <v/>
      </c>
      <c r="H556" t="str">
        <f>IFERROR(VLOOKUP($A556,'Student Data'!$A$2:$AR$6,34,0),"")</f>
        <v/>
      </c>
      <c r="I556" t="str">
        <f>IFERROR(VLOOKUP($A556,'Student Data'!$A$2:$AR$6,35,0),"")</f>
        <v/>
      </c>
      <c r="J556" t="str">
        <f>IFERROR(VLOOKUP($A556,'Student Data'!$A$2:$AR$6,36,0),"")</f>
        <v/>
      </c>
      <c r="K556" t="str">
        <f t="shared" si="16"/>
        <v/>
      </c>
      <c r="L556" t="str">
        <f t="shared" si="17"/>
        <v/>
      </c>
      <c r="M556" t="str">
        <f>IFERROR(IF($C556="","",SUMIFS(Ledger!$K$2:$K$4, Ledger!$B$2:$B$4, $A556, Ledger!$C$2:$C$4, M$2)),"****")</f>
        <v/>
      </c>
      <c r="N556" t="str">
        <f>IFERROR(IF($C556="","",SUMIFS(Ledger!$K$2:$K$4, Ledger!$B$2:$B$4, $A556, Ledger!$C$2:$C$4, N$2)),"****")</f>
        <v/>
      </c>
      <c r="O556" t="str">
        <f>IFERROR(IF($C556="","",SUMIFS(Ledger!$K$2:$K$4, Ledger!$B$2:$B$4, $A556, Ledger!$C$2:$C$4, O$2)),"****")</f>
        <v/>
      </c>
      <c r="P556" t="str">
        <f>IFERROR(IF($C556="","",SUMIFS(Ledger!$K$2:$K$4, Ledger!$B$2:$B$4, $A556, Ledger!$C$2:$C$4, P$2)),"****")</f>
        <v/>
      </c>
      <c r="Q556" t="str">
        <f>IFERROR(IF($C556="","",SUMIFS(Ledger!$K$2:$K$4, Ledger!$B$2:$B$4, $A556, Ledger!$C$2:$C$4, Q$2)),"****")</f>
        <v/>
      </c>
      <c r="R556" t="str">
        <f>IFERROR(IF($C556="","",SUMIFS(Ledger!$K$2:$K$4, Ledger!$B$2:$B$4, $A556, Ledger!$C$2:$C$4, R$2)),"****")</f>
        <v/>
      </c>
      <c r="S556" t="str">
        <f>IFERROR(IF($C556="","",SUMIFS(Ledger!$K$2:$K$4, Ledger!$B$2:$B$4, $A556, Ledger!$C$2:$C$4, S$2)),"****")</f>
        <v/>
      </c>
      <c r="T556" t="str">
        <f>IFERROR(IF($C556="","",SUMIFS(Ledger!$K$2:$K$4, Ledger!$B$2:$B$4, $A556, Ledger!$C$2:$C$4, T$2)),"****")</f>
        <v/>
      </c>
      <c r="U556" t="str">
        <f>IFERROR(IF($C556="","",SUMIFS(Ledger!$K$2:$K$4, Ledger!$B$2:$B$4, $A556, Ledger!$C$2:$C$4, U$2)),"****")</f>
        <v/>
      </c>
      <c r="V556" t="str">
        <f>IFERROR(IF($C556="","",SUMIFS(Ledger!$K$2:$K$4, Ledger!$B$2:$B$4, $A556, Ledger!$C$2:$C$4, V$2)),"****")</f>
        <v/>
      </c>
      <c r="W556" t="str">
        <f>IFERROR(IF($C556="","",SUMIFS(Ledger!$K$2:$K$4, Ledger!$B$2:$B$4, $A556, Ledger!$C$2:$C$4, W$2)),"****")</f>
        <v/>
      </c>
      <c r="X556" t="str">
        <f>IFERROR(IF($C556="","",SUMIFS(Ledger!$K$2:$K$4, Ledger!$B$2:$B$4, $A556, Ledger!$C$2:$C$4, X$2)),"****")</f>
        <v/>
      </c>
    </row>
    <row r="557" spans="1:24" x14ac:dyDescent="0.3">
      <c r="A557" s="106">
        <v>555</v>
      </c>
      <c r="B557" t="str">
        <f>IFERROR(VLOOKUP($A557, Ledger!$B$2:$L$8, 3, 0),"")</f>
        <v/>
      </c>
      <c r="C557" t="str">
        <f>IFERROR(VLOOKUP($A557, Ledger!$B$2:$L$8, 4, 0),"")</f>
        <v/>
      </c>
      <c r="D557" t="str">
        <f>IFERROR(VLOOKUP($A557, Ledger!$B$2:$L$8, 5, 0),"")</f>
        <v/>
      </c>
      <c r="E557" t="str">
        <f>IFERROR(VLOOKUP($A557, Ledger!$B$2:$L$8, 6, 0),"")</f>
        <v/>
      </c>
      <c r="F557" t="str">
        <f>IFERROR(VLOOKUP($A557,'Student Data'!$A$2:$AR$6,32,0),"")</f>
        <v/>
      </c>
      <c r="G557" t="str">
        <f>IFERROR(VLOOKUP($A557,'Student Data'!$A$2:$AR$6,33,0),"")</f>
        <v/>
      </c>
      <c r="H557" t="str">
        <f>IFERROR(VLOOKUP($A557,'Student Data'!$A$2:$AR$6,34,0),"")</f>
        <v/>
      </c>
      <c r="I557" t="str">
        <f>IFERROR(VLOOKUP($A557,'Student Data'!$A$2:$AR$6,35,0),"")</f>
        <v/>
      </c>
      <c r="J557" t="str">
        <f>IFERROR(VLOOKUP($A557,'Student Data'!$A$2:$AR$6,36,0),"")</f>
        <v/>
      </c>
      <c r="K557" t="str">
        <f t="shared" si="16"/>
        <v/>
      </c>
      <c r="L557" t="str">
        <f t="shared" si="17"/>
        <v/>
      </c>
      <c r="M557" t="str">
        <f>IFERROR(IF($C557="","",SUMIFS(Ledger!$K$2:$K$4, Ledger!$B$2:$B$4, $A557, Ledger!$C$2:$C$4, M$2)),"****")</f>
        <v/>
      </c>
      <c r="N557" t="str">
        <f>IFERROR(IF($C557="","",SUMIFS(Ledger!$K$2:$K$4, Ledger!$B$2:$B$4, $A557, Ledger!$C$2:$C$4, N$2)),"****")</f>
        <v/>
      </c>
      <c r="O557" t="str">
        <f>IFERROR(IF($C557="","",SUMIFS(Ledger!$K$2:$K$4, Ledger!$B$2:$B$4, $A557, Ledger!$C$2:$C$4, O$2)),"****")</f>
        <v/>
      </c>
      <c r="P557" t="str">
        <f>IFERROR(IF($C557="","",SUMIFS(Ledger!$K$2:$K$4, Ledger!$B$2:$B$4, $A557, Ledger!$C$2:$C$4, P$2)),"****")</f>
        <v/>
      </c>
      <c r="Q557" t="str">
        <f>IFERROR(IF($C557="","",SUMIFS(Ledger!$K$2:$K$4, Ledger!$B$2:$B$4, $A557, Ledger!$C$2:$C$4, Q$2)),"****")</f>
        <v/>
      </c>
      <c r="R557" t="str">
        <f>IFERROR(IF($C557="","",SUMIFS(Ledger!$K$2:$K$4, Ledger!$B$2:$B$4, $A557, Ledger!$C$2:$C$4, R$2)),"****")</f>
        <v/>
      </c>
      <c r="S557" t="str">
        <f>IFERROR(IF($C557="","",SUMIFS(Ledger!$K$2:$K$4, Ledger!$B$2:$B$4, $A557, Ledger!$C$2:$C$4, S$2)),"****")</f>
        <v/>
      </c>
      <c r="T557" t="str">
        <f>IFERROR(IF($C557="","",SUMIFS(Ledger!$K$2:$K$4, Ledger!$B$2:$B$4, $A557, Ledger!$C$2:$C$4, T$2)),"****")</f>
        <v/>
      </c>
      <c r="U557" t="str">
        <f>IFERROR(IF($C557="","",SUMIFS(Ledger!$K$2:$K$4, Ledger!$B$2:$B$4, $A557, Ledger!$C$2:$C$4, U$2)),"****")</f>
        <v/>
      </c>
      <c r="V557" t="str">
        <f>IFERROR(IF($C557="","",SUMIFS(Ledger!$K$2:$K$4, Ledger!$B$2:$B$4, $A557, Ledger!$C$2:$C$4, V$2)),"****")</f>
        <v/>
      </c>
      <c r="W557" t="str">
        <f>IFERROR(IF($C557="","",SUMIFS(Ledger!$K$2:$K$4, Ledger!$B$2:$B$4, $A557, Ledger!$C$2:$C$4, W$2)),"****")</f>
        <v/>
      </c>
      <c r="X557" t="str">
        <f>IFERROR(IF($C557="","",SUMIFS(Ledger!$K$2:$K$4, Ledger!$B$2:$B$4, $A557, Ledger!$C$2:$C$4, X$2)),"****")</f>
        <v/>
      </c>
    </row>
    <row r="558" spans="1:24" x14ac:dyDescent="0.3">
      <c r="A558" s="106">
        <v>556</v>
      </c>
      <c r="B558" t="str">
        <f>IFERROR(VLOOKUP($A558, Ledger!$B$2:$L$8, 3, 0),"")</f>
        <v/>
      </c>
      <c r="C558" t="str">
        <f>IFERROR(VLOOKUP($A558, Ledger!$B$2:$L$8, 4, 0),"")</f>
        <v/>
      </c>
      <c r="D558" t="str">
        <f>IFERROR(VLOOKUP($A558, Ledger!$B$2:$L$8, 5, 0),"")</f>
        <v/>
      </c>
      <c r="E558" t="str">
        <f>IFERROR(VLOOKUP($A558, Ledger!$B$2:$L$8, 6, 0),"")</f>
        <v/>
      </c>
      <c r="F558" t="str">
        <f>IFERROR(VLOOKUP($A558,'Student Data'!$A$2:$AR$6,32,0),"")</f>
        <v/>
      </c>
      <c r="G558" t="str">
        <f>IFERROR(VLOOKUP($A558,'Student Data'!$A$2:$AR$6,33,0),"")</f>
        <v/>
      </c>
      <c r="H558" t="str">
        <f>IFERROR(VLOOKUP($A558,'Student Data'!$A$2:$AR$6,34,0),"")</f>
        <v/>
      </c>
      <c r="I558" t="str">
        <f>IFERROR(VLOOKUP($A558,'Student Data'!$A$2:$AR$6,35,0),"")</f>
        <v/>
      </c>
      <c r="J558" t="str">
        <f>IFERROR(VLOOKUP($A558,'Student Data'!$A$2:$AR$6,36,0),"")</f>
        <v/>
      </c>
      <c r="K558" t="str">
        <f t="shared" si="16"/>
        <v/>
      </c>
      <c r="L558" t="str">
        <f t="shared" si="17"/>
        <v/>
      </c>
      <c r="M558" t="str">
        <f>IFERROR(IF($C558="","",SUMIFS(Ledger!$K$2:$K$4, Ledger!$B$2:$B$4, $A558, Ledger!$C$2:$C$4, M$2)),"****")</f>
        <v/>
      </c>
      <c r="N558" t="str">
        <f>IFERROR(IF($C558="","",SUMIFS(Ledger!$K$2:$K$4, Ledger!$B$2:$B$4, $A558, Ledger!$C$2:$C$4, N$2)),"****")</f>
        <v/>
      </c>
      <c r="O558" t="str">
        <f>IFERROR(IF($C558="","",SUMIFS(Ledger!$K$2:$K$4, Ledger!$B$2:$B$4, $A558, Ledger!$C$2:$C$4, O$2)),"****")</f>
        <v/>
      </c>
      <c r="P558" t="str">
        <f>IFERROR(IF($C558="","",SUMIFS(Ledger!$K$2:$K$4, Ledger!$B$2:$B$4, $A558, Ledger!$C$2:$C$4, P$2)),"****")</f>
        <v/>
      </c>
      <c r="Q558" t="str">
        <f>IFERROR(IF($C558="","",SUMIFS(Ledger!$K$2:$K$4, Ledger!$B$2:$B$4, $A558, Ledger!$C$2:$C$4, Q$2)),"****")</f>
        <v/>
      </c>
      <c r="R558" t="str">
        <f>IFERROR(IF($C558="","",SUMIFS(Ledger!$K$2:$K$4, Ledger!$B$2:$B$4, $A558, Ledger!$C$2:$C$4, R$2)),"****")</f>
        <v/>
      </c>
      <c r="S558" t="str">
        <f>IFERROR(IF($C558="","",SUMIFS(Ledger!$K$2:$K$4, Ledger!$B$2:$B$4, $A558, Ledger!$C$2:$C$4, S$2)),"****")</f>
        <v/>
      </c>
      <c r="T558" t="str">
        <f>IFERROR(IF($C558="","",SUMIFS(Ledger!$K$2:$K$4, Ledger!$B$2:$B$4, $A558, Ledger!$C$2:$C$4, T$2)),"****")</f>
        <v/>
      </c>
      <c r="U558" t="str">
        <f>IFERROR(IF($C558="","",SUMIFS(Ledger!$K$2:$K$4, Ledger!$B$2:$B$4, $A558, Ledger!$C$2:$C$4, U$2)),"****")</f>
        <v/>
      </c>
      <c r="V558" t="str">
        <f>IFERROR(IF($C558="","",SUMIFS(Ledger!$K$2:$K$4, Ledger!$B$2:$B$4, $A558, Ledger!$C$2:$C$4, V$2)),"****")</f>
        <v/>
      </c>
      <c r="W558" t="str">
        <f>IFERROR(IF($C558="","",SUMIFS(Ledger!$K$2:$K$4, Ledger!$B$2:$B$4, $A558, Ledger!$C$2:$C$4, W$2)),"****")</f>
        <v/>
      </c>
      <c r="X558" t="str">
        <f>IFERROR(IF($C558="","",SUMIFS(Ledger!$K$2:$K$4, Ledger!$B$2:$B$4, $A558, Ledger!$C$2:$C$4, X$2)),"****")</f>
        <v/>
      </c>
    </row>
    <row r="559" spans="1:24" x14ac:dyDescent="0.3">
      <c r="A559" s="106">
        <v>557</v>
      </c>
      <c r="B559" t="str">
        <f>IFERROR(VLOOKUP($A559, Ledger!$B$2:$L$8, 3, 0),"")</f>
        <v/>
      </c>
      <c r="C559" t="str">
        <f>IFERROR(VLOOKUP($A559, Ledger!$B$2:$L$8, 4, 0),"")</f>
        <v/>
      </c>
      <c r="D559" t="str">
        <f>IFERROR(VLOOKUP($A559, Ledger!$B$2:$L$8, 5, 0),"")</f>
        <v/>
      </c>
      <c r="E559" t="str">
        <f>IFERROR(VLOOKUP($A559, Ledger!$B$2:$L$8, 6, 0),"")</f>
        <v/>
      </c>
      <c r="F559" t="str">
        <f>IFERROR(VLOOKUP($A559,'Student Data'!$A$2:$AR$6,32,0),"")</f>
        <v/>
      </c>
      <c r="G559" t="str">
        <f>IFERROR(VLOOKUP($A559,'Student Data'!$A$2:$AR$6,33,0),"")</f>
        <v/>
      </c>
      <c r="H559" t="str">
        <f>IFERROR(VLOOKUP($A559,'Student Data'!$A$2:$AR$6,34,0),"")</f>
        <v/>
      </c>
      <c r="I559" t="str">
        <f>IFERROR(VLOOKUP($A559,'Student Data'!$A$2:$AR$6,35,0),"")</f>
        <v/>
      </c>
      <c r="J559" t="str">
        <f>IFERROR(VLOOKUP($A559,'Student Data'!$A$2:$AR$6,36,0),"")</f>
        <v/>
      </c>
      <c r="K559" t="str">
        <f t="shared" si="16"/>
        <v/>
      </c>
      <c r="L559" t="str">
        <f t="shared" si="17"/>
        <v/>
      </c>
      <c r="M559" t="str">
        <f>IFERROR(IF($C559="","",SUMIFS(Ledger!$K$2:$K$4, Ledger!$B$2:$B$4, $A559, Ledger!$C$2:$C$4, M$2)),"****")</f>
        <v/>
      </c>
      <c r="N559" t="str">
        <f>IFERROR(IF($C559="","",SUMIFS(Ledger!$K$2:$K$4, Ledger!$B$2:$B$4, $A559, Ledger!$C$2:$C$4, N$2)),"****")</f>
        <v/>
      </c>
      <c r="O559" t="str">
        <f>IFERROR(IF($C559="","",SUMIFS(Ledger!$K$2:$K$4, Ledger!$B$2:$B$4, $A559, Ledger!$C$2:$C$4, O$2)),"****")</f>
        <v/>
      </c>
      <c r="P559" t="str">
        <f>IFERROR(IF($C559="","",SUMIFS(Ledger!$K$2:$K$4, Ledger!$B$2:$B$4, $A559, Ledger!$C$2:$C$4, P$2)),"****")</f>
        <v/>
      </c>
      <c r="Q559" t="str">
        <f>IFERROR(IF($C559="","",SUMIFS(Ledger!$K$2:$K$4, Ledger!$B$2:$B$4, $A559, Ledger!$C$2:$C$4, Q$2)),"****")</f>
        <v/>
      </c>
      <c r="R559" t="str">
        <f>IFERROR(IF($C559="","",SUMIFS(Ledger!$K$2:$K$4, Ledger!$B$2:$B$4, $A559, Ledger!$C$2:$C$4, R$2)),"****")</f>
        <v/>
      </c>
      <c r="S559" t="str">
        <f>IFERROR(IF($C559="","",SUMIFS(Ledger!$K$2:$K$4, Ledger!$B$2:$B$4, $A559, Ledger!$C$2:$C$4, S$2)),"****")</f>
        <v/>
      </c>
      <c r="T559" t="str">
        <f>IFERROR(IF($C559="","",SUMIFS(Ledger!$K$2:$K$4, Ledger!$B$2:$B$4, $A559, Ledger!$C$2:$C$4, T$2)),"****")</f>
        <v/>
      </c>
      <c r="U559" t="str">
        <f>IFERROR(IF($C559="","",SUMIFS(Ledger!$K$2:$K$4, Ledger!$B$2:$B$4, $A559, Ledger!$C$2:$C$4, U$2)),"****")</f>
        <v/>
      </c>
      <c r="V559" t="str">
        <f>IFERROR(IF($C559="","",SUMIFS(Ledger!$K$2:$K$4, Ledger!$B$2:$B$4, $A559, Ledger!$C$2:$C$4, V$2)),"****")</f>
        <v/>
      </c>
      <c r="W559" t="str">
        <f>IFERROR(IF($C559="","",SUMIFS(Ledger!$K$2:$K$4, Ledger!$B$2:$B$4, $A559, Ledger!$C$2:$C$4, W$2)),"****")</f>
        <v/>
      </c>
      <c r="X559" t="str">
        <f>IFERROR(IF($C559="","",SUMIFS(Ledger!$K$2:$K$4, Ledger!$B$2:$B$4, $A559, Ledger!$C$2:$C$4, X$2)),"****")</f>
        <v/>
      </c>
    </row>
    <row r="560" spans="1:24" x14ac:dyDescent="0.3">
      <c r="A560" s="106">
        <v>558</v>
      </c>
      <c r="B560" t="str">
        <f>IFERROR(VLOOKUP($A560, Ledger!$B$2:$L$8, 3, 0),"")</f>
        <v/>
      </c>
      <c r="C560" t="str">
        <f>IFERROR(VLOOKUP($A560, Ledger!$B$2:$L$8, 4, 0),"")</f>
        <v/>
      </c>
      <c r="D560" t="str">
        <f>IFERROR(VLOOKUP($A560, Ledger!$B$2:$L$8, 5, 0),"")</f>
        <v/>
      </c>
      <c r="E560" t="str">
        <f>IFERROR(VLOOKUP($A560, Ledger!$B$2:$L$8, 6, 0),"")</f>
        <v/>
      </c>
      <c r="F560" t="str">
        <f>IFERROR(VLOOKUP($A560,'Student Data'!$A$2:$AR$6,32,0),"")</f>
        <v/>
      </c>
      <c r="G560" t="str">
        <f>IFERROR(VLOOKUP($A560,'Student Data'!$A$2:$AR$6,33,0),"")</f>
        <v/>
      </c>
      <c r="H560" t="str">
        <f>IFERROR(VLOOKUP($A560,'Student Data'!$A$2:$AR$6,34,0),"")</f>
        <v/>
      </c>
      <c r="I560" t="str">
        <f>IFERROR(VLOOKUP($A560,'Student Data'!$A$2:$AR$6,35,0),"")</f>
        <v/>
      </c>
      <c r="J560" t="str">
        <f>IFERROR(VLOOKUP($A560,'Student Data'!$A$2:$AR$6,36,0),"")</f>
        <v/>
      </c>
      <c r="K560" t="str">
        <f t="shared" si="16"/>
        <v/>
      </c>
      <c r="L560" t="str">
        <f t="shared" si="17"/>
        <v/>
      </c>
      <c r="M560" t="str">
        <f>IFERROR(IF($C560="","",SUMIFS(Ledger!$K$2:$K$4, Ledger!$B$2:$B$4, $A560, Ledger!$C$2:$C$4, M$2)),"****")</f>
        <v/>
      </c>
      <c r="N560" t="str">
        <f>IFERROR(IF($C560="","",SUMIFS(Ledger!$K$2:$K$4, Ledger!$B$2:$B$4, $A560, Ledger!$C$2:$C$4, N$2)),"****")</f>
        <v/>
      </c>
      <c r="O560" t="str">
        <f>IFERROR(IF($C560="","",SUMIFS(Ledger!$K$2:$K$4, Ledger!$B$2:$B$4, $A560, Ledger!$C$2:$C$4, O$2)),"****")</f>
        <v/>
      </c>
      <c r="P560" t="str">
        <f>IFERROR(IF($C560="","",SUMIFS(Ledger!$K$2:$K$4, Ledger!$B$2:$B$4, $A560, Ledger!$C$2:$C$4, P$2)),"****")</f>
        <v/>
      </c>
      <c r="Q560" t="str">
        <f>IFERROR(IF($C560="","",SUMIFS(Ledger!$K$2:$K$4, Ledger!$B$2:$B$4, $A560, Ledger!$C$2:$C$4, Q$2)),"****")</f>
        <v/>
      </c>
      <c r="R560" t="str">
        <f>IFERROR(IF($C560="","",SUMIFS(Ledger!$K$2:$K$4, Ledger!$B$2:$B$4, $A560, Ledger!$C$2:$C$4, R$2)),"****")</f>
        <v/>
      </c>
      <c r="S560" t="str">
        <f>IFERROR(IF($C560="","",SUMIFS(Ledger!$K$2:$K$4, Ledger!$B$2:$B$4, $A560, Ledger!$C$2:$C$4, S$2)),"****")</f>
        <v/>
      </c>
      <c r="T560" t="str">
        <f>IFERROR(IF($C560="","",SUMIFS(Ledger!$K$2:$K$4, Ledger!$B$2:$B$4, $A560, Ledger!$C$2:$C$4, T$2)),"****")</f>
        <v/>
      </c>
      <c r="U560" t="str">
        <f>IFERROR(IF($C560="","",SUMIFS(Ledger!$K$2:$K$4, Ledger!$B$2:$B$4, $A560, Ledger!$C$2:$C$4, U$2)),"****")</f>
        <v/>
      </c>
      <c r="V560" t="str">
        <f>IFERROR(IF($C560="","",SUMIFS(Ledger!$K$2:$K$4, Ledger!$B$2:$B$4, $A560, Ledger!$C$2:$C$4, V$2)),"****")</f>
        <v/>
      </c>
      <c r="W560" t="str">
        <f>IFERROR(IF($C560="","",SUMIFS(Ledger!$K$2:$K$4, Ledger!$B$2:$B$4, $A560, Ledger!$C$2:$C$4, W$2)),"****")</f>
        <v/>
      </c>
      <c r="X560" t="str">
        <f>IFERROR(IF($C560="","",SUMIFS(Ledger!$K$2:$K$4, Ledger!$B$2:$B$4, $A560, Ledger!$C$2:$C$4, X$2)),"****")</f>
        <v/>
      </c>
    </row>
    <row r="561" spans="1:24" x14ac:dyDescent="0.3">
      <c r="A561" s="106">
        <v>559</v>
      </c>
      <c r="B561" t="str">
        <f>IFERROR(VLOOKUP($A561, Ledger!$B$2:$L$8, 3, 0),"")</f>
        <v/>
      </c>
      <c r="C561" t="str">
        <f>IFERROR(VLOOKUP($A561, Ledger!$B$2:$L$8, 4, 0),"")</f>
        <v/>
      </c>
      <c r="D561" t="str">
        <f>IFERROR(VLOOKUP($A561, Ledger!$B$2:$L$8, 5, 0),"")</f>
        <v/>
      </c>
      <c r="E561" t="str">
        <f>IFERROR(VLOOKUP($A561, Ledger!$B$2:$L$8, 6, 0),"")</f>
        <v/>
      </c>
      <c r="F561" t="str">
        <f>IFERROR(VLOOKUP($A561,'Student Data'!$A$2:$AR$6,32,0),"")</f>
        <v/>
      </c>
      <c r="G561" t="str">
        <f>IFERROR(VLOOKUP($A561,'Student Data'!$A$2:$AR$6,33,0),"")</f>
        <v/>
      </c>
      <c r="H561" t="str">
        <f>IFERROR(VLOOKUP($A561,'Student Data'!$A$2:$AR$6,34,0),"")</f>
        <v/>
      </c>
      <c r="I561" t="str">
        <f>IFERROR(VLOOKUP($A561,'Student Data'!$A$2:$AR$6,35,0),"")</f>
        <v/>
      </c>
      <c r="J561" t="str">
        <f>IFERROR(VLOOKUP($A561,'Student Data'!$A$2:$AR$6,36,0),"")</f>
        <v/>
      </c>
      <c r="K561" t="str">
        <f t="shared" si="16"/>
        <v/>
      </c>
      <c r="L561" t="str">
        <f t="shared" si="17"/>
        <v/>
      </c>
      <c r="M561" t="str">
        <f>IFERROR(IF($C561="","",SUMIFS(Ledger!$K$2:$K$4, Ledger!$B$2:$B$4, $A561, Ledger!$C$2:$C$4, M$2)),"****")</f>
        <v/>
      </c>
      <c r="N561" t="str">
        <f>IFERROR(IF($C561="","",SUMIFS(Ledger!$K$2:$K$4, Ledger!$B$2:$B$4, $A561, Ledger!$C$2:$C$4, N$2)),"****")</f>
        <v/>
      </c>
      <c r="O561" t="str">
        <f>IFERROR(IF($C561="","",SUMIFS(Ledger!$K$2:$K$4, Ledger!$B$2:$B$4, $A561, Ledger!$C$2:$C$4, O$2)),"****")</f>
        <v/>
      </c>
      <c r="P561" t="str">
        <f>IFERROR(IF($C561="","",SUMIFS(Ledger!$K$2:$K$4, Ledger!$B$2:$B$4, $A561, Ledger!$C$2:$C$4, P$2)),"****")</f>
        <v/>
      </c>
      <c r="Q561" t="str">
        <f>IFERROR(IF($C561="","",SUMIFS(Ledger!$K$2:$K$4, Ledger!$B$2:$B$4, $A561, Ledger!$C$2:$C$4, Q$2)),"****")</f>
        <v/>
      </c>
      <c r="R561" t="str">
        <f>IFERROR(IF($C561="","",SUMIFS(Ledger!$K$2:$K$4, Ledger!$B$2:$B$4, $A561, Ledger!$C$2:$C$4, R$2)),"****")</f>
        <v/>
      </c>
      <c r="S561" t="str">
        <f>IFERROR(IF($C561="","",SUMIFS(Ledger!$K$2:$K$4, Ledger!$B$2:$B$4, $A561, Ledger!$C$2:$C$4, S$2)),"****")</f>
        <v/>
      </c>
      <c r="T561" t="str">
        <f>IFERROR(IF($C561="","",SUMIFS(Ledger!$K$2:$K$4, Ledger!$B$2:$B$4, $A561, Ledger!$C$2:$C$4, T$2)),"****")</f>
        <v/>
      </c>
      <c r="U561" t="str">
        <f>IFERROR(IF($C561="","",SUMIFS(Ledger!$K$2:$K$4, Ledger!$B$2:$B$4, $A561, Ledger!$C$2:$C$4, U$2)),"****")</f>
        <v/>
      </c>
      <c r="V561" t="str">
        <f>IFERROR(IF($C561="","",SUMIFS(Ledger!$K$2:$K$4, Ledger!$B$2:$B$4, $A561, Ledger!$C$2:$C$4, V$2)),"****")</f>
        <v/>
      </c>
      <c r="W561" t="str">
        <f>IFERROR(IF($C561="","",SUMIFS(Ledger!$K$2:$K$4, Ledger!$B$2:$B$4, $A561, Ledger!$C$2:$C$4, W$2)),"****")</f>
        <v/>
      </c>
      <c r="X561" t="str">
        <f>IFERROR(IF($C561="","",SUMIFS(Ledger!$K$2:$K$4, Ledger!$B$2:$B$4, $A561, Ledger!$C$2:$C$4, X$2)),"****")</f>
        <v/>
      </c>
    </row>
    <row r="562" spans="1:24" x14ac:dyDescent="0.3">
      <c r="A562" s="106">
        <v>560</v>
      </c>
      <c r="B562" t="str">
        <f>IFERROR(VLOOKUP($A562, Ledger!$B$2:$L$8, 3, 0),"")</f>
        <v/>
      </c>
      <c r="C562" t="str">
        <f>IFERROR(VLOOKUP($A562, Ledger!$B$2:$L$8, 4, 0),"")</f>
        <v/>
      </c>
      <c r="D562" t="str">
        <f>IFERROR(VLOOKUP($A562, Ledger!$B$2:$L$8, 5, 0),"")</f>
        <v/>
      </c>
      <c r="E562" t="str">
        <f>IFERROR(VLOOKUP($A562, Ledger!$B$2:$L$8, 6, 0),"")</f>
        <v/>
      </c>
      <c r="F562" t="str">
        <f>IFERROR(VLOOKUP($A562,'Student Data'!$A$2:$AR$6,32,0),"")</f>
        <v/>
      </c>
      <c r="G562" t="str">
        <f>IFERROR(VLOOKUP($A562,'Student Data'!$A$2:$AR$6,33,0),"")</f>
        <v/>
      </c>
      <c r="H562" t="str">
        <f>IFERROR(VLOOKUP($A562,'Student Data'!$A$2:$AR$6,34,0),"")</f>
        <v/>
      </c>
      <c r="I562" t="str">
        <f>IFERROR(VLOOKUP($A562,'Student Data'!$A$2:$AR$6,35,0),"")</f>
        <v/>
      </c>
      <c r="J562" t="str">
        <f>IFERROR(VLOOKUP($A562,'Student Data'!$A$2:$AR$6,36,0),"")</f>
        <v/>
      </c>
      <c r="K562" t="str">
        <f t="shared" si="16"/>
        <v/>
      </c>
      <c r="L562" t="str">
        <f t="shared" si="17"/>
        <v/>
      </c>
      <c r="M562" t="str">
        <f>IFERROR(IF($C562="","",SUMIFS(Ledger!$K$2:$K$4, Ledger!$B$2:$B$4, $A562, Ledger!$C$2:$C$4, M$2)),"****")</f>
        <v/>
      </c>
      <c r="N562" t="str">
        <f>IFERROR(IF($C562="","",SUMIFS(Ledger!$K$2:$K$4, Ledger!$B$2:$B$4, $A562, Ledger!$C$2:$C$4, N$2)),"****")</f>
        <v/>
      </c>
      <c r="O562" t="str">
        <f>IFERROR(IF($C562="","",SUMIFS(Ledger!$K$2:$K$4, Ledger!$B$2:$B$4, $A562, Ledger!$C$2:$C$4, O$2)),"****")</f>
        <v/>
      </c>
      <c r="P562" t="str">
        <f>IFERROR(IF($C562="","",SUMIFS(Ledger!$K$2:$K$4, Ledger!$B$2:$B$4, $A562, Ledger!$C$2:$C$4, P$2)),"****")</f>
        <v/>
      </c>
      <c r="Q562" t="str">
        <f>IFERROR(IF($C562="","",SUMIFS(Ledger!$K$2:$K$4, Ledger!$B$2:$B$4, $A562, Ledger!$C$2:$C$4, Q$2)),"****")</f>
        <v/>
      </c>
      <c r="R562" t="str">
        <f>IFERROR(IF($C562="","",SUMIFS(Ledger!$K$2:$K$4, Ledger!$B$2:$B$4, $A562, Ledger!$C$2:$C$4, R$2)),"****")</f>
        <v/>
      </c>
      <c r="S562" t="str">
        <f>IFERROR(IF($C562="","",SUMIFS(Ledger!$K$2:$K$4, Ledger!$B$2:$B$4, $A562, Ledger!$C$2:$C$4, S$2)),"****")</f>
        <v/>
      </c>
      <c r="T562" t="str">
        <f>IFERROR(IF($C562="","",SUMIFS(Ledger!$K$2:$K$4, Ledger!$B$2:$B$4, $A562, Ledger!$C$2:$C$4, T$2)),"****")</f>
        <v/>
      </c>
      <c r="U562" t="str">
        <f>IFERROR(IF($C562="","",SUMIFS(Ledger!$K$2:$K$4, Ledger!$B$2:$B$4, $A562, Ledger!$C$2:$C$4, U$2)),"****")</f>
        <v/>
      </c>
      <c r="V562" t="str">
        <f>IFERROR(IF($C562="","",SUMIFS(Ledger!$K$2:$K$4, Ledger!$B$2:$B$4, $A562, Ledger!$C$2:$C$4, V$2)),"****")</f>
        <v/>
      </c>
      <c r="W562" t="str">
        <f>IFERROR(IF($C562="","",SUMIFS(Ledger!$K$2:$K$4, Ledger!$B$2:$B$4, $A562, Ledger!$C$2:$C$4, W$2)),"****")</f>
        <v/>
      </c>
      <c r="X562" t="str">
        <f>IFERROR(IF($C562="","",SUMIFS(Ledger!$K$2:$K$4, Ledger!$B$2:$B$4, $A562, Ledger!$C$2:$C$4, X$2)),"****")</f>
        <v/>
      </c>
    </row>
    <row r="563" spans="1:24" x14ac:dyDescent="0.3">
      <c r="A563" s="106">
        <v>561</v>
      </c>
      <c r="B563" t="str">
        <f>IFERROR(VLOOKUP($A563, Ledger!$B$2:$L$8, 3, 0),"")</f>
        <v/>
      </c>
      <c r="C563" t="str">
        <f>IFERROR(VLOOKUP($A563, Ledger!$B$2:$L$8, 4, 0),"")</f>
        <v/>
      </c>
      <c r="D563" t="str">
        <f>IFERROR(VLOOKUP($A563, Ledger!$B$2:$L$8, 5, 0),"")</f>
        <v/>
      </c>
      <c r="E563" t="str">
        <f>IFERROR(VLOOKUP($A563, Ledger!$B$2:$L$8, 6, 0),"")</f>
        <v/>
      </c>
      <c r="F563" t="str">
        <f>IFERROR(VLOOKUP($A563,'Student Data'!$A$2:$AR$6,32,0),"")</f>
        <v/>
      </c>
      <c r="G563" t="str">
        <f>IFERROR(VLOOKUP($A563,'Student Data'!$A$2:$AR$6,33,0),"")</f>
        <v/>
      </c>
      <c r="H563" t="str">
        <f>IFERROR(VLOOKUP($A563,'Student Data'!$A$2:$AR$6,34,0),"")</f>
        <v/>
      </c>
      <c r="I563" t="str">
        <f>IFERROR(VLOOKUP($A563,'Student Data'!$A$2:$AR$6,35,0),"")</f>
        <v/>
      </c>
      <c r="J563" t="str">
        <f>IFERROR(VLOOKUP($A563,'Student Data'!$A$2:$AR$6,36,0),"")</f>
        <v/>
      </c>
      <c r="K563" t="str">
        <f t="shared" si="16"/>
        <v/>
      </c>
      <c r="L563" t="str">
        <f t="shared" si="17"/>
        <v/>
      </c>
      <c r="M563" t="str">
        <f>IFERROR(IF($C563="","",SUMIFS(Ledger!$K$2:$K$4, Ledger!$B$2:$B$4, $A563, Ledger!$C$2:$C$4, M$2)),"****")</f>
        <v/>
      </c>
      <c r="N563" t="str">
        <f>IFERROR(IF($C563="","",SUMIFS(Ledger!$K$2:$K$4, Ledger!$B$2:$B$4, $A563, Ledger!$C$2:$C$4, N$2)),"****")</f>
        <v/>
      </c>
      <c r="O563" t="str">
        <f>IFERROR(IF($C563="","",SUMIFS(Ledger!$K$2:$K$4, Ledger!$B$2:$B$4, $A563, Ledger!$C$2:$C$4, O$2)),"****")</f>
        <v/>
      </c>
      <c r="P563" t="str">
        <f>IFERROR(IF($C563="","",SUMIFS(Ledger!$K$2:$K$4, Ledger!$B$2:$B$4, $A563, Ledger!$C$2:$C$4, P$2)),"****")</f>
        <v/>
      </c>
      <c r="Q563" t="str">
        <f>IFERROR(IF($C563="","",SUMIFS(Ledger!$K$2:$K$4, Ledger!$B$2:$B$4, $A563, Ledger!$C$2:$C$4, Q$2)),"****")</f>
        <v/>
      </c>
      <c r="R563" t="str">
        <f>IFERROR(IF($C563="","",SUMIFS(Ledger!$K$2:$K$4, Ledger!$B$2:$B$4, $A563, Ledger!$C$2:$C$4, R$2)),"****")</f>
        <v/>
      </c>
      <c r="S563" t="str">
        <f>IFERROR(IF($C563="","",SUMIFS(Ledger!$K$2:$K$4, Ledger!$B$2:$B$4, $A563, Ledger!$C$2:$C$4, S$2)),"****")</f>
        <v/>
      </c>
      <c r="T563" t="str">
        <f>IFERROR(IF($C563="","",SUMIFS(Ledger!$K$2:$K$4, Ledger!$B$2:$B$4, $A563, Ledger!$C$2:$C$4, T$2)),"****")</f>
        <v/>
      </c>
      <c r="U563" t="str">
        <f>IFERROR(IF($C563="","",SUMIFS(Ledger!$K$2:$K$4, Ledger!$B$2:$B$4, $A563, Ledger!$C$2:$C$4, U$2)),"****")</f>
        <v/>
      </c>
      <c r="V563" t="str">
        <f>IFERROR(IF($C563="","",SUMIFS(Ledger!$K$2:$K$4, Ledger!$B$2:$B$4, $A563, Ledger!$C$2:$C$4, V$2)),"****")</f>
        <v/>
      </c>
      <c r="W563" t="str">
        <f>IFERROR(IF($C563="","",SUMIFS(Ledger!$K$2:$K$4, Ledger!$B$2:$B$4, $A563, Ledger!$C$2:$C$4, W$2)),"****")</f>
        <v/>
      </c>
      <c r="X563" t="str">
        <f>IFERROR(IF($C563="","",SUMIFS(Ledger!$K$2:$K$4, Ledger!$B$2:$B$4, $A563, Ledger!$C$2:$C$4, X$2)),"****")</f>
        <v/>
      </c>
    </row>
    <row r="564" spans="1:24" x14ac:dyDescent="0.3">
      <c r="A564" s="106">
        <v>562</v>
      </c>
      <c r="B564" t="str">
        <f>IFERROR(VLOOKUP($A564, Ledger!$B$2:$L$8, 3, 0),"")</f>
        <v/>
      </c>
      <c r="C564" t="str">
        <f>IFERROR(VLOOKUP($A564, Ledger!$B$2:$L$8, 4, 0),"")</f>
        <v/>
      </c>
      <c r="D564" t="str">
        <f>IFERROR(VLOOKUP($A564, Ledger!$B$2:$L$8, 5, 0),"")</f>
        <v/>
      </c>
      <c r="E564" t="str">
        <f>IFERROR(VLOOKUP($A564, Ledger!$B$2:$L$8, 6, 0),"")</f>
        <v/>
      </c>
      <c r="F564" t="str">
        <f>IFERROR(VLOOKUP($A564,'Student Data'!$A$2:$AR$6,32,0),"")</f>
        <v/>
      </c>
      <c r="G564" t="str">
        <f>IFERROR(VLOOKUP($A564,'Student Data'!$A$2:$AR$6,33,0),"")</f>
        <v/>
      </c>
      <c r="H564" t="str">
        <f>IFERROR(VLOOKUP($A564,'Student Data'!$A$2:$AR$6,34,0),"")</f>
        <v/>
      </c>
      <c r="I564" t="str">
        <f>IFERROR(VLOOKUP($A564,'Student Data'!$A$2:$AR$6,35,0),"")</f>
        <v/>
      </c>
      <c r="J564" t="str">
        <f>IFERROR(VLOOKUP($A564,'Student Data'!$A$2:$AR$6,36,0),"")</f>
        <v/>
      </c>
      <c r="K564" t="str">
        <f t="shared" si="16"/>
        <v/>
      </c>
      <c r="L564" t="str">
        <f t="shared" si="17"/>
        <v/>
      </c>
      <c r="M564" t="str">
        <f>IFERROR(IF($C564="","",SUMIFS(Ledger!$K$2:$K$4, Ledger!$B$2:$B$4, $A564, Ledger!$C$2:$C$4, M$2)),"****")</f>
        <v/>
      </c>
      <c r="N564" t="str">
        <f>IFERROR(IF($C564="","",SUMIFS(Ledger!$K$2:$K$4, Ledger!$B$2:$B$4, $A564, Ledger!$C$2:$C$4, N$2)),"****")</f>
        <v/>
      </c>
      <c r="O564" t="str">
        <f>IFERROR(IF($C564="","",SUMIFS(Ledger!$K$2:$K$4, Ledger!$B$2:$B$4, $A564, Ledger!$C$2:$C$4, O$2)),"****")</f>
        <v/>
      </c>
      <c r="P564" t="str">
        <f>IFERROR(IF($C564="","",SUMIFS(Ledger!$K$2:$K$4, Ledger!$B$2:$B$4, $A564, Ledger!$C$2:$C$4, P$2)),"****")</f>
        <v/>
      </c>
      <c r="Q564" t="str">
        <f>IFERROR(IF($C564="","",SUMIFS(Ledger!$K$2:$K$4, Ledger!$B$2:$B$4, $A564, Ledger!$C$2:$C$4, Q$2)),"****")</f>
        <v/>
      </c>
      <c r="R564" t="str">
        <f>IFERROR(IF($C564="","",SUMIFS(Ledger!$K$2:$K$4, Ledger!$B$2:$B$4, $A564, Ledger!$C$2:$C$4, R$2)),"****")</f>
        <v/>
      </c>
      <c r="S564" t="str">
        <f>IFERROR(IF($C564="","",SUMIFS(Ledger!$K$2:$K$4, Ledger!$B$2:$B$4, $A564, Ledger!$C$2:$C$4, S$2)),"****")</f>
        <v/>
      </c>
      <c r="T564" t="str">
        <f>IFERROR(IF($C564="","",SUMIFS(Ledger!$K$2:$K$4, Ledger!$B$2:$B$4, $A564, Ledger!$C$2:$C$4, T$2)),"****")</f>
        <v/>
      </c>
      <c r="U564" t="str">
        <f>IFERROR(IF($C564="","",SUMIFS(Ledger!$K$2:$K$4, Ledger!$B$2:$B$4, $A564, Ledger!$C$2:$C$4, U$2)),"****")</f>
        <v/>
      </c>
      <c r="V564" t="str">
        <f>IFERROR(IF($C564="","",SUMIFS(Ledger!$K$2:$K$4, Ledger!$B$2:$B$4, $A564, Ledger!$C$2:$C$4, V$2)),"****")</f>
        <v/>
      </c>
      <c r="W564" t="str">
        <f>IFERROR(IF($C564="","",SUMIFS(Ledger!$K$2:$K$4, Ledger!$B$2:$B$4, $A564, Ledger!$C$2:$C$4, W$2)),"****")</f>
        <v/>
      </c>
      <c r="X564" t="str">
        <f>IFERROR(IF($C564="","",SUMIFS(Ledger!$K$2:$K$4, Ledger!$B$2:$B$4, $A564, Ledger!$C$2:$C$4, X$2)),"****")</f>
        <v/>
      </c>
    </row>
    <row r="565" spans="1:24" x14ac:dyDescent="0.3">
      <c r="A565" s="106">
        <v>563</v>
      </c>
      <c r="B565" t="str">
        <f>IFERROR(VLOOKUP($A565, Ledger!$B$2:$L$8, 3, 0),"")</f>
        <v/>
      </c>
      <c r="C565" t="str">
        <f>IFERROR(VLOOKUP($A565, Ledger!$B$2:$L$8, 4, 0),"")</f>
        <v/>
      </c>
      <c r="D565" t="str">
        <f>IFERROR(VLOOKUP($A565, Ledger!$B$2:$L$8, 5, 0),"")</f>
        <v/>
      </c>
      <c r="E565" t="str">
        <f>IFERROR(VLOOKUP($A565, Ledger!$B$2:$L$8, 6, 0),"")</f>
        <v/>
      </c>
      <c r="F565" t="str">
        <f>IFERROR(VLOOKUP($A565,'Student Data'!$A$2:$AR$6,32,0),"")</f>
        <v/>
      </c>
      <c r="G565" t="str">
        <f>IFERROR(VLOOKUP($A565,'Student Data'!$A$2:$AR$6,33,0),"")</f>
        <v/>
      </c>
      <c r="H565" t="str">
        <f>IFERROR(VLOOKUP($A565,'Student Data'!$A$2:$AR$6,34,0),"")</f>
        <v/>
      </c>
      <c r="I565" t="str">
        <f>IFERROR(VLOOKUP($A565,'Student Data'!$A$2:$AR$6,35,0),"")</f>
        <v/>
      </c>
      <c r="J565" t="str">
        <f>IFERROR(VLOOKUP($A565,'Student Data'!$A$2:$AR$6,36,0),"")</f>
        <v/>
      </c>
      <c r="K565" t="str">
        <f t="shared" si="16"/>
        <v/>
      </c>
      <c r="L565" t="str">
        <f t="shared" si="17"/>
        <v/>
      </c>
      <c r="M565" t="str">
        <f>IFERROR(IF($C565="","",SUMIFS(Ledger!$K$2:$K$4, Ledger!$B$2:$B$4, $A565, Ledger!$C$2:$C$4, M$2)),"****")</f>
        <v/>
      </c>
      <c r="N565" t="str">
        <f>IFERROR(IF($C565="","",SUMIFS(Ledger!$K$2:$K$4, Ledger!$B$2:$B$4, $A565, Ledger!$C$2:$C$4, N$2)),"****")</f>
        <v/>
      </c>
      <c r="O565" t="str">
        <f>IFERROR(IF($C565="","",SUMIFS(Ledger!$K$2:$K$4, Ledger!$B$2:$B$4, $A565, Ledger!$C$2:$C$4, O$2)),"****")</f>
        <v/>
      </c>
      <c r="P565" t="str">
        <f>IFERROR(IF($C565="","",SUMIFS(Ledger!$K$2:$K$4, Ledger!$B$2:$B$4, $A565, Ledger!$C$2:$C$4, P$2)),"****")</f>
        <v/>
      </c>
      <c r="Q565" t="str">
        <f>IFERROR(IF($C565="","",SUMIFS(Ledger!$K$2:$K$4, Ledger!$B$2:$B$4, $A565, Ledger!$C$2:$C$4, Q$2)),"****")</f>
        <v/>
      </c>
      <c r="R565" t="str">
        <f>IFERROR(IF($C565="","",SUMIFS(Ledger!$K$2:$K$4, Ledger!$B$2:$B$4, $A565, Ledger!$C$2:$C$4, R$2)),"****")</f>
        <v/>
      </c>
      <c r="S565" t="str">
        <f>IFERROR(IF($C565="","",SUMIFS(Ledger!$K$2:$K$4, Ledger!$B$2:$B$4, $A565, Ledger!$C$2:$C$4, S$2)),"****")</f>
        <v/>
      </c>
      <c r="T565" t="str">
        <f>IFERROR(IF($C565="","",SUMIFS(Ledger!$K$2:$K$4, Ledger!$B$2:$B$4, $A565, Ledger!$C$2:$C$4, T$2)),"****")</f>
        <v/>
      </c>
      <c r="U565" t="str">
        <f>IFERROR(IF($C565="","",SUMIFS(Ledger!$K$2:$K$4, Ledger!$B$2:$B$4, $A565, Ledger!$C$2:$C$4, U$2)),"****")</f>
        <v/>
      </c>
      <c r="V565" t="str">
        <f>IFERROR(IF($C565="","",SUMIFS(Ledger!$K$2:$K$4, Ledger!$B$2:$B$4, $A565, Ledger!$C$2:$C$4, V$2)),"****")</f>
        <v/>
      </c>
      <c r="W565" t="str">
        <f>IFERROR(IF($C565="","",SUMIFS(Ledger!$K$2:$K$4, Ledger!$B$2:$B$4, $A565, Ledger!$C$2:$C$4, W$2)),"****")</f>
        <v/>
      </c>
      <c r="X565" t="str">
        <f>IFERROR(IF($C565="","",SUMIFS(Ledger!$K$2:$K$4, Ledger!$B$2:$B$4, $A565, Ledger!$C$2:$C$4, X$2)),"****")</f>
        <v/>
      </c>
    </row>
    <row r="566" spans="1:24" x14ac:dyDescent="0.3">
      <c r="A566" s="106">
        <v>564</v>
      </c>
      <c r="B566" t="str">
        <f>IFERROR(VLOOKUP($A566, Ledger!$B$2:$L$8, 3, 0),"")</f>
        <v/>
      </c>
      <c r="C566" t="str">
        <f>IFERROR(VLOOKUP($A566, Ledger!$B$2:$L$8, 4, 0),"")</f>
        <v/>
      </c>
      <c r="D566" t="str">
        <f>IFERROR(VLOOKUP($A566, Ledger!$B$2:$L$8, 5, 0),"")</f>
        <v/>
      </c>
      <c r="E566" t="str">
        <f>IFERROR(VLOOKUP($A566, Ledger!$B$2:$L$8, 6, 0),"")</f>
        <v/>
      </c>
      <c r="F566" t="str">
        <f>IFERROR(VLOOKUP($A566,'Student Data'!$A$2:$AR$6,32,0),"")</f>
        <v/>
      </c>
      <c r="G566" t="str">
        <f>IFERROR(VLOOKUP($A566,'Student Data'!$A$2:$AR$6,33,0),"")</f>
        <v/>
      </c>
      <c r="H566" t="str">
        <f>IFERROR(VLOOKUP($A566,'Student Data'!$A$2:$AR$6,34,0),"")</f>
        <v/>
      </c>
      <c r="I566" t="str">
        <f>IFERROR(VLOOKUP($A566,'Student Data'!$A$2:$AR$6,35,0),"")</f>
        <v/>
      </c>
      <c r="J566" t="str">
        <f>IFERROR(VLOOKUP($A566,'Student Data'!$A$2:$AR$6,36,0),"")</f>
        <v/>
      </c>
      <c r="K566" t="str">
        <f t="shared" si="16"/>
        <v/>
      </c>
      <c r="L566" t="str">
        <f t="shared" si="17"/>
        <v/>
      </c>
      <c r="M566" t="str">
        <f>IFERROR(IF($C566="","",SUMIFS(Ledger!$K$2:$K$4, Ledger!$B$2:$B$4, $A566, Ledger!$C$2:$C$4, M$2)),"****")</f>
        <v/>
      </c>
      <c r="N566" t="str">
        <f>IFERROR(IF($C566="","",SUMIFS(Ledger!$K$2:$K$4, Ledger!$B$2:$B$4, $A566, Ledger!$C$2:$C$4, N$2)),"****")</f>
        <v/>
      </c>
      <c r="O566" t="str">
        <f>IFERROR(IF($C566="","",SUMIFS(Ledger!$K$2:$K$4, Ledger!$B$2:$B$4, $A566, Ledger!$C$2:$C$4, O$2)),"****")</f>
        <v/>
      </c>
      <c r="P566" t="str">
        <f>IFERROR(IF($C566="","",SUMIFS(Ledger!$K$2:$K$4, Ledger!$B$2:$B$4, $A566, Ledger!$C$2:$C$4, P$2)),"****")</f>
        <v/>
      </c>
      <c r="Q566" t="str">
        <f>IFERROR(IF($C566="","",SUMIFS(Ledger!$K$2:$K$4, Ledger!$B$2:$B$4, $A566, Ledger!$C$2:$C$4, Q$2)),"****")</f>
        <v/>
      </c>
      <c r="R566" t="str">
        <f>IFERROR(IF($C566="","",SUMIFS(Ledger!$K$2:$K$4, Ledger!$B$2:$B$4, $A566, Ledger!$C$2:$C$4, R$2)),"****")</f>
        <v/>
      </c>
      <c r="S566" t="str">
        <f>IFERROR(IF($C566="","",SUMIFS(Ledger!$K$2:$K$4, Ledger!$B$2:$B$4, $A566, Ledger!$C$2:$C$4, S$2)),"****")</f>
        <v/>
      </c>
      <c r="T566" t="str">
        <f>IFERROR(IF($C566="","",SUMIFS(Ledger!$K$2:$K$4, Ledger!$B$2:$B$4, $A566, Ledger!$C$2:$C$4, T$2)),"****")</f>
        <v/>
      </c>
      <c r="U566" t="str">
        <f>IFERROR(IF($C566="","",SUMIFS(Ledger!$K$2:$K$4, Ledger!$B$2:$B$4, $A566, Ledger!$C$2:$C$4, U$2)),"****")</f>
        <v/>
      </c>
      <c r="V566" t="str">
        <f>IFERROR(IF($C566="","",SUMIFS(Ledger!$K$2:$K$4, Ledger!$B$2:$B$4, $A566, Ledger!$C$2:$C$4, V$2)),"****")</f>
        <v/>
      </c>
      <c r="W566" t="str">
        <f>IFERROR(IF($C566="","",SUMIFS(Ledger!$K$2:$K$4, Ledger!$B$2:$B$4, $A566, Ledger!$C$2:$C$4, W$2)),"****")</f>
        <v/>
      </c>
      <c r="X566" t="str">
        <f>IFERROR(IF($C566="","",SUMIFS(Ledger!$K$2:$K$4, Ledger!$B$2:$B$4, $A566, Ledger!$C$2:$C$4, X$2)),"****")</f>
        <v/>
      </c>
    </row>
    <row r="567" spans="1:24" x14ac:dyDescent="0.3">
      <c r="A567" s="106">
        <v>565</v>
      </c>
      <c r="B567" t="str">
        <f>IFERROR(VLOOKUP($A567, Ledger!$B$2:$L$8, 3, 0),"")</f>
        <v/>
      </c>
      <c r="C567" t="str">
        <f>IFERROR(VLOOKUP($A567, Ledger!$B$2:$L$8, 4, 0),"")</f>
        <v/>
      </c>
      <c r="D567" t="str">
        <f>IFERROR(VLOOKUP($A567, Ledger!$B$2:$L$8, 5, 0),"")</f>
        <v/>
      </c>
      <c r="E567" t="str">
        <f>IFERROR(VLOOKUP($A567, Ledger!$B$2:$L$8, 6, 0),"")</f>
        <v/>
      </c>
      <c r="F567" t="str">
        <f>IFERROR(VLOOKUP($A567,'Student Data'!$A$2:$AR$6,32,0),"")</f>
        <v/>
      </c>
      <c r="G567" t="str">
        <f>IFERROR(VLOOKUP($A567,'Student Data'!$A$2:$AR$6,33,0),"")</f>
        <v/>
      </c>
      <c r="H567" t="str">
        <f>IFERROR(VLOOKUP($A567,'Student Data'!$A$2:$AR$6,34,0),"")</f>
        <v/>
      </c>
      <c r="I567" t="str">
        <f>IFERROR(VLOOKUP($A567,'Student Data'!$A$2:$AR$6,35,0),"")</f>
        <v/>
      </c>
      <c r="J567" t="str">
        <f>IFERROR(VLOOKUP($A567,'Student Data'!$A$2:$AR$6,36,0),"")</f>
        <v/>
      </c>
      <c r="K567" t="str">
        <f t="shared" si="16"/>
        <v/>
      </c>
      <c r="L567" t="str">
        <f t="shared" si="17"/>
        <v/>
      </c>
      <c r="M567" t="str">
        <f>IFERROR(IF($C567="","",SUMIFS(Ledger!$K$2:$K$4, Ledger!$B$2:$B$4, $A567, Ledger!$C$2:$C$4, M$2)),"****")</f>
        <v/>
      </c>
      <c r="N567" t="str">
        <f>IFERROR(IF($C567="","",SUMIFS(Ledger!$K$2:$K$4, Ledger!$B$2:$B$4, $A567, Ledger!$C$2:$C$4, N$2)),"****")</f>
        <v/>
      </c>
      <c r="O567" t="str">
        <f>IFERROR(IF($C567="","",SUMIFS(Ledger!$K$2:$K$4, Ledger!$B$2:$B$4, $A567, Ledger!$C$2:$C$4, O$2)),"****")</f>
        <v/>
      </c>
      <c r="P567" t="str">
        <f>IFERROR(IF($C567="","",SUMIFS(Ledger!$K$2:$K$4, Ledger!$B$2:$B$4, $A567, Ledger!$C$2:$C$4, P$2)),"****")</f>
        <v/>
      </c>
      <c r="Q567" t="str">
        <f>IFERROR(IF($C567="","",SUMIFS(Ledger!$K$2:$K$4, Ledger!$B$2:$B$4, $A567, Ledger!$C$2:$C$4, Q$2)),"****")</f>
        <v/>
      </c>
      <c r="R567" t="str">
        <f>IFERROR(IF($C567="","",SUMIFS(Ledger!$K$2:$K$4, Ledger!$B$2:$B$4, $A567, Ledger!$C$2:$C$4, R$2)),"****")</f>
        <v/>
      </c>
      <c r="S567" t="str">
        <f>IFERROR(IF($C567="","",SUMIFS(Ledger!$K$2:$K$4, Ledger!$B$2:$B$4, $A567, Ledger!$C$2:$C$4, S$2)),"****")</f>
        <v/>
      </c>
      <c r="T567" t="str">
        <f>IFERROR(IF($C567="","",SUMIFS(Ledger!$K$2:$K$4, Ledger!$B$2:$B$4, $A567, Ledger!$C$2:$C$4, T$2)),"****")</f>
        <v/>
      </c>
      <c r="U567" t="str">
        <f>IFERROR(IF($C567="","",SUMIFS(Ledger!$K$2:$K$4, Ledger!$B$2:$B$4, $A567, Ledger!$C$2:$C$4, U$2)),"****")</f>
        <v/>
      </c>
      <c r="V567" t="str">
        <f>IFERROR(IF($C567="","",SUMIFS(Ledger!$K$2:$K$4, Ledger!$B$2:$B$4, $A567, Ledger!$C$2:$C$4, V$2)),"****")</f>
        <v/>
      </c>
      <c r="W567" t="str">
        <f>IFERROR(IF($C567="","",SUMIFS(Ledger!$K$2:$K$4, Ledger!$B$2:$B$4, $A567, Ledger!$C$2:$C$4, W$2)),"****")</f>
        <v/>
      </c>
      <c r="X567" t="str">
        <f>IFERROR(IF($C567="","",SUMIFS(Ledger!$K$2:$K$4, Ledger!$B$2:$B$4, $A567, Ledger!$C$2:$C$4, X$2)),"****")</f>
        <v/>
      </c>
    </row>
    <row r="568" spans="1:24" x14ac:dyDescent="0.3">
      <c r="A568" s="106">
        <v>566</v>
      </c>
      <c r="B568" t="str">
        <f>IFERROR(VLOOKUP($A568, Ledger!$B$2:$L$8, 3, 0),"")</f>
        <v/>
      </c>
      <c r="C568" t="str">
        <f>IFERROR(VLOOKUP($A568, Ledger!$B$2:$L$8, 4, 0),"")</f>
        <v/>
      </c>
      <c r="D568" t="str">
        <f>IFERROR(VLOOKUP($A568, Ledger!$B$2:$L$8, 5, 0),"")</f>
        <v/>
      </c>
      <c r="E568" t="str">
        <f>IFERROR(VLOOKUP($A568, Ledger!$B$2:$L$8, 6, 0),"")</f>
        <v/>
      </c>
      <c r="F568" t="str">
        <f>IFERROR(VLOOKUP($A568,'Student Data'!$A$2:$AR$6,32,0),"")</f>
        <v/>
      </c>
      <c r="G568" t="str">
        <f>IFERROR(VLOOKUP($A568,'Student Data'!$A$2:$AR$6,33,0),"")</f>
        <v/>
      </c>
      <c r="H568" t="str">
        <f>IFERROR(VLOOKUP($A568,'Student Data'!$A$2:$AR$6,34,0),"")</f>
        <v/>
      </c>
      <c r="I568" t="str">
        <f>IFERROR(VLOOKUP($A568,'Student Data'!$A$2:$AR$6,35,0),"")</f>
        <v/>
      </c>
      <c r="J568" t="str">
        <f>IFERROR(VLOOKUP($A568,'Student Data'!$A$2:$AR$6,36,0),"")</f>
        <v/>
      </c>
      <c r="K568" t="str">
        <f t="shared" si="16"/>
        <v/>
      </c>
      <c r="L568" t="str">
        <f t="shared" si="17"/>
        <v/>
      </c>
      <c r="M568" t="str">
        <f>IFERROR(IF($C568="","",SUMIFS(Ledger!$K$2:$K$4, Ledger!$B$2:$B$4, $A568, Ledger!$C$2:$C$4, M$2)),"****")</f>
        <v/>
      </c>
      <c r="N568" t="str">
        <f>IFERROR(IF($C568="","",SUMIFS(Ledger!$K$2:$K$4, Ledger!$B$2:$B$4, $A568, Ledger!$C$2:$C$4, N$2)),"****")</f>
        <v/>
      </c>
      <c r="O568" t="str">
        <f>IFERROR(IF($C568="","",SUMIFS(Ledger!$K$2:$K$4, Ledger!$B$2:$B$4, $A568, Ledger!$C$2:$C$4, O$2)),"****")</f>
        <v/>
      </c>
      <c r="P568" t="str">
        <f>IFERROR(IF($C568="","",SUMIFS(Ledger!$K$2:$K$4, Ledger!$B$2:$B$4, $A568, Ledger!$C$2:$C$4, P$2)),"****")</f>
        <v/>
      </c>
      <c r="Q568" t="str">
        <f>IFERROR(IF($C568="","",SUMIFS(Ledger!$K$2:$K$4, Ledger!$B$2:$B$4, $A568, Ledger!$C$2:$C$4, Q$2)),"****")</f>
        <v/>
      </c>
      <c r="R568" t="str">
        <f>IFERROR(IF($C568="","",SUMIFS(Ledger!$K$2:$K$4, Ledger!$B$2:$B$4, $A568, Ledger!$C$2:$C$4, R$2)),"****")</f>
        <v/>
      </c>
      <c r="S568" t="str">
        <f>IFERROR(IF($C568="","",SUMIFS(Ledger!$K$2:$K$4, Ledger!$B$2:$B$4, $A568, Ledger!$C$2:$C$4, S$2)),"****")</f>
        <v/>
      </c>
      <c r="T568" t="str">
        <f>IFERROR(IF($C568="","",SUMIFS(Ledger!$K$2:$K$4, Ledger!$B$2:$B$4, $A568, Ledger!$C$2:$C$4, T$2)),"****")</f>
        <v/>
      </c>
      <c r="U568" t="str">
        <f>IFERROR(IF($C568="","",SUMIFS(Ledger!$K$2:$K$4, Ledger!$B$2:$B$4, $A568, Ledger!$C$2:$C$4, U$2)),"****")</f>
        <v/>
      </c>
      <c r="V568" t="str">
        <f>IFERROR(IF($C568="","",SUMIFS(Ledger!$K$2:$K$4, Ledger!$B$2:$B$4, $A568, Ledger!$C$2:$C$4, V$2)),"****")</f>
        <v/>
      </c>
      <c r="W568" t="str">
        <f>IFERROR(IF($C568="","",SUMIFS(Ledger!$K$2:$K$4, Ledger!$B$2:$B$4, $A568, Ledger!$C$2:$C$4, W$2)),"****")</f>
        <v/>
      </c>
      <c r="X568" t="str">
        <f>IFERROR(IF($C568="","",SUMIFS(Ledger!$K$2:$K$4, Ledger!$B$2:$B$4, $A568, Ledger!$C$2:$C$4, X$2)),"****")</f>
        <v/>
      </c>
    </row>
    <row r="569" spans="1:24" x14ac:dyDescent="0.3">
      <c r="A569" s="106">
        <v>567</v>
      </c>
      <c r="B569" t="str">
        <f>IFERROR(VLOOKUP($A569, Ledger!$B$2:$L$8, 3, 0),"")</f>
        <v/>
      </c>
      <c r="C569" t="str">
        <f>IFERROR(VLOOKUP($A569, Ledger!$B$2:$L$8, 4, 0),"")</f>
        <v/>
      </c>
      <c r="D569" t="str">
        <f>IFERROR(VLOOKUP($A569, Ledger!$B$2:$L$8, 5, 0),"")</f>
        <v/>
      </c>
      <c r="E569" t="str">
        <f>IFERROR(VLOOKUP($A569, Ledger!$B$2:$L$8, 6, 0),"")</f>
        <v/>
      </c>
      <c r="F569" t="str">
        <f>IFERROR(VLOOKUP($A569,'Student Data'!$A$2:$AR$6,32,0),"")</f>
        <v/>
      </c>
      <c r="G569" t="str">
        <f>IFERROR(VLOOKUP($A569,'Student Data'!$A$2:$AR$6,33,0),"")</f>
        <v/>
      </c>
      <c r="H569" t="str">
        <f>IFERROR(VLOOKUP($A569,'Student Data'!$A$2:$AR$6,34,0),"")</f>
        <v/>
      </c>
      <c r="I569" t="str">
        <f>IFERROR(VLOOKUP($A569,'Student Data'!$A$2:$AR$6,35,0),"")</f>
        <v/>
      </c>
      <c r="J569" t="str">
        <f>IFERROR(VLOOKUP($A569,'Student Data'!$A$2:$AR$6,36,0),"")</f>
        <v/>
      </c>
      <c r="K569" t="str">
        <f t="shared" si="16"/>
        <v/>
      </c>
      <c r="L569" t="str">
        <f t="shared" si="17"/>
        <v/>
      </c>
      <c r="M569" t="str">
        <f>IFERROR(IF($C569="","",SUMIFS(Ledger!$K$2:$K$4, Ledger!$B$2:$B$4, $A569, Ledger!$C$2:$C$4, M$2)),"****")</f>
        <v/>
      </c>
      <c r="N569" t="str">
        <f>IFERROR(IF($C569="","",SUMIFS(Ledger!$K$2:$K$4, Ledger!$B$2:$B$4, $A569, Ledger!$C$2:$C$4, N$2)),"****")</f>
        <v/>
      </c>
      <c r="O569" t="str">
        <f>IFERROR(IF($C569="","",SUMIFS(Ledger!$K$2:$K$4, Ledger!$B$2:$B$4, $A569, Ledger!$C$2:$C$4, O$2)),"****")</f>
        <v/>
      </c>
      <c r="P569" t="str">
        <f>IFERROR(IF($C569="","",SUMIFS(Ledger!$K$2:$K$4, Ledger!$B$2:$B$4, $A569, Ledger!$C$2:$C$4, P$2)),"****")</f>
        <v/>
      </c>
      <c r="Q569" t="str">
        <f>IFERROR(IF($C569="","",SUMIFS(Ledger!$K$2:$K$4, Ledger!$B$2:$B$4, $A569, Ledger!$C$2:$C$4, Q$2)),"****")</f>
        <v/>
      </c>
      <c r="R569" t="str">
        <f>IFERROR(IF($C569="","",SUMIFS(Ledger!$K$2:$K$4, Ledger!$B$2:$B$4, $A569, Ledger!$C$2:$C$4, R$2)),"****")</f>
        <v/>
      </c>
      <c r="S569" t="str">
        <f>IFERROR(IF($C569="","",SUMIFS(Ledger!$K$2:$K$4, Ledger!$B$2:$B$4, $A569, Ledger!$C$2:$C$4, S$2)),"****")</f>
        <v/>
      </c>
      <c r="T569" t="str">
        <f>IFERROR(IF($C569="","",SUMIFS(Ledger!$K$2:$K$4, Ledger!$B$2:$B$4, $A569, Ledger!$C$2:$C$4, T$2)),"****")</f>
        <v/>
      </c>
      <c r="U569" t="str">
        <f>IFERROR(IF($C569="","",SUMIFS(Ledger!$K$2:$K$4, Ledger!$B$2:$B$4, $A569, Ledger!$C$2:$C$4, U$2)),"****")</f>
        <v/>
      </c>
      <c r="V569" t="str">
        <f>IFERROR(IF($C569="","",SUMIFS(Ledger!$K$2:$K$4, Ledger!$B$2:$B$4, $A569, Ledger!$C$2:$C$4, V$2)),"****")</f>
        <v/>
      </c>
      <c r="W569" t="str">
        <f>IFERROR(IF($C569="","",SUMIFS(Ledger!$K$2:$K$4, Ledger!$B$2:$B$4, $A569, Ledger!$C$2:$C$4, W$2)),"****")</f>
        <v/>
      </c>
      <c r="X569" t="str">
        <f>IFERROR(IF($C569="","",SUMIFS(Ledger!$K$2:$K$4, Ledger!$B$2:$B$4, $A569, Ledger!$C$2:$C$4, X$2)),"****")</f>
        <v/>
      </c>
    </row>
    <row r="570" spans="1:24" x14ac:dyDescent="0.3">
      <c r="A570" s="106">
        <v>568</v>
      </c>
      <c r="B570" t="str">
        <f>IFERROR(VLOOKUP($A570, Ledger!$B$2:$L$8, 3, 0),"")</f>
        <v/>
      </c>
      <c r="C570" t="str">
        <f>IFERROR(VLOOKUP($A570, Ledger!$B$2:$L$8, 4, 0),"")</f>
        <v/>
      </c>
      <c r="D570" t="str">
        <f>IFERROR(VLOOKUP($A570, Ledger!$B$2:$L$8, 5, 0),"")</f>
        <v/>
      </c>
      <c r="E570" t="str">
        <f>IFERROR(VLOOKUP($A570, Ledger!$B$2:$L$8, 6, 0),"")</f>
        <v/>
      </c>
      <c r="F570" t="str">
        <f>IFERROR(VLOOKUP($A570,'Student Data'!$A$2:$AR$6,32,0),"")</f>
        <v/>
      </c>
      <c r="G570" t="str">
        <f>IFERROR(VLOOKUP($A570,'Student Data'!$A$2:$AR$6,33,0),"")</f>
        <v/>
      </c>
      <c r="H570" t="str">
        <f>IFERROR(VLOOKUP($A570,'Student Data'!$A$2:$AR$6,34,0),"")</f>
        <v/>
      </c>
      <c r="I570" t="str">
        <f>IFERROR(VLOOKUP($A570,'Student Data'!$A$2:$AR$6,35,0),"")</f>
        <v/>
      </c>
      <c r="J570" t="str">
        <f>IFERROR(VLOOKUP($A570,'Student Data'!$A$2:$AR$6,36,0),"")</f>
        <v/>
      </c>
      <c r="K570" t="str">
        <f t="shared" si="16"/>
        <v/>
      </c>
      <c r="L570" t="str">
        <f t="shared" si="17"/>
        <v/>
      </c>
      <c r="M570" t="str">
        <f>IFERROR(IF($C570="","",SUMIFS(Ledger!$K$2:$K$4, Ledger!$B$2:$B$4, $A570, Ledger!$C$2:$C$4, M$2)),"****")</f>
        <v/>
      </c>
      <c r="N570" t="str">
        <f>IFERROR(IF($C570="","",SUMIFS(Ledger!$K$2:$K$4, Ledger!$B$2:$B$4, $A570, Ledger!$C$2:$C$4, N$2)),"****")</f>
        <v/>
      </c>
      <c r="O570" t="str">
        <f>IFERROR(IF($C570="","",SUMIFS(Ledger!$K$2:$K$4, Ledger!$B$2:$B$4, $A570, Ledger!$C$2:$C$4, O$2)),"****")</f>
        <v/>
      </c>
      <c r="P570" t="str">
        <f>IFERROR(IF($C570="","",SUMIFS(Ledger!$K$2:$K$4, Ledger!$B$2:$B$4, $A570, Ledger!$C$2:$C$4, P$2)),"****")</f>
        <v/>
      </c>
      <c r="Q570" t="str">
        <f>IFERROR(IF($C570="","",SUMIFS(Ledger!$K$2:$K$4, Ledger!$B$2:$B$4, $A570, Ledger!$C$2:$C$4, Q$2)),"****")</f>
        <v/>
      </c>
      <c r="R570" t="str">
        <f>IFERROR(IF($C570="","",SUMIFS(Ledger!$K$2:$K$4, Ledger!$B$2:$B$4, $A570, Ledger!$C$2:$C$4, R$2)),"****")</f>
        <v/>
      </c>
      <c r="S570" t="str">
        <f>IFERROR(IF($C570="","",SUMIFS(Ledger!$K$2:$K$4, Ledger!$B$2:$B$4, $A570, Ledger!$C$2:$C$4, S$2)),"****")</f>
        <v/>
      </c>
      <c r="T570" t="str">
        <f>IFERROR(IF($C570="","",SUMIFS(Ledger!$K$2:$K$4, Ledger!$B$2:$B$4, $A570, Ledger!$C$2:$C$4, T$2)),"****")</f>
        <v/>
      </c>
      <c r="U570" t="str">
        <f>IFERROR(IF($C570="","",SUMIFS(Ledger!$K$2:$K$4, Ledger!$B$2:$B$4, $A570, Ledger!$C$2:$C$4, U$2)),"****")</f>
        <v/>
      </c>
      <c r="V570" t="str">
        <f>IFERROR(IF($C570="","",SUMIFS(Ledger!$K$2:$K$4, Ledger!$B$2:$B$4, $A570, Ledger!$C$2:$C$4, V$2)),"****")</f>
        <v/>
      </c>
      <c r="W570" t="str">
        <f>IFERROR(IF($C570="","",SUMIFS(Ledger!$K$2:$K$4, Ledger!$B$2:$B$4, $A570, Ledger!$C$2:$C$4, W$2)),"****")</f>
        <v/>
      </c>
      <c r="X570" t="str">
        <f>IFERROR(IF($C570="","",SUMIFS(Ledger!$K$2:$K$4, Ledger!$B$2:$B$4, $A570, Ledger!$C$2:$C$4, X$2)),"****")</f>
        <v/>
      </c>
    </row>
    <row r="571" spans="1:24" x14ac:dyDescent="0.3">
      <c r="A571" s="106">
        <v>569</v>
      </c>
      <c r="B571" t="str">
        <f>IFERROR(VLOOKUP($A571, Ledger!$B$2:$L$8, 3, 0),"")</f>
        <v/>
      </c>
      <c r="C571" t="str">
        <f>IFERROR(VLOOKUP($A571, Ledger!$B$2:$L$8, 4, 0),"")</f>
        <v/>
      </c>
      <c r="D571" t="str">
        <f>IFERROR(VLOOKUP($A571, Ledger!$B$2:$L$8, 5, 0),"")</f>
        <v/>
      </c>
      <c r="E571" t="str">
        <f>IFERROR(VLOOKUP($A571, Ledger!$B$2:$L$8, 6, 0),"")</f>
        <v/>
      </c>
      <c r="F571" t="str">
        <f>IFERROR(VLOOKUP($A571,'Student Data'!$A$2:$AR$6,32,0),"")</f>
        <v/>
      </c>
      <c r="G571" t="str">
        <f>IFERROR(VLOOKUP($A571,'Student Data'!$A$2:$AR$6,33,0),"")</f>
        <v/>
      </c>
      <c r="H571" t="str">
        <f>IFERROR(VLOOKUP($A571,'Student Data'!$A$2:$AR$6,34,0),"")</f>
        <v/>
      </c>
      <c r="I571" t="str">
        <f>IFERROR(VLOOKUP($A571,'Student Data'!$A$2:$AR$6,35,0),"")</f>
        <v/>
      </c>
      <c r="J571" t="str">
        <f>IFERROR(VLOOKUP($A571,'Student Data'!$A$2:$AR$6,36,0),"")</f>
        <v/>
      </c>
      <c r="K571" t="str">
        <f t="shared" si="16"/>
        <v/>
      </c>
      <c r="L571" t="str">
        <f t="shared" si="17"/>
        <v/>
      </c>
      <c r="M571" t="str">
        <f>IFERROR(IF($C571="","",SUMIFS(Ledger!$K$2:$K$4, Ledger!$B$2:$B$4, $A571, Ledger!$C$2:$C$4, M$2)),"****")</f>
        <v/>
      </c>
      <c r="N571" t="str">
        <f>IFERROR(IF($C571="","",SUMIFS(Ledger!$K$2:$K$4, Ledger!$B$2:$B$4, $A571, Ledger!$C$2:$C$4, N$2)),"****")</f>
        <v/>
      </c>
      <c r="O571" t="str">
        <f>IFERROR(IF($C571="","",SUMIFS(Ledger!$K$2:$K$4, Ledger!$B$2:$B$4, $A571, Ledger!$C$2:$C$4, O$2)),"****")</f>
        <v/>
      </c>
      <c r="P571" t="str">
        <f>IFERROR(IF($C571="","",SUMIFS(Ledger!$K$2:$K$4, Ledger!$B$2:$B$4, $A571, Ledger!$C$2:$C$4, P$2)),"****")</f>
        <v/>
      </c>
      <c r="Q571" t="str">
        <f>IFERROR(IF($C571="","",SUMIFS(Ledger!$K$2:$K$4, Ledger!$B$2:$B$4, $A571, Ledger!$C$2:$C$4, Q$2)),"****")</f>
        <v/>
      </c>
      <c r="R571" t="str">
        <f>IFERROR(IF($C571="","",SUMIFS(Ledger!$K$2:$K$4, Ledger!$B$2:$B$4, $A571, Ledger!$C$2:$C$4, R$2)),"****")</f>
        <v/>
      </c>
      <c r="S571" t="str">
        <f>IFERROR(IF($C571="","",SUMIFS(Ledger!$K$2:$K$4, Ledger!$B$2:$B$4, $A571, Ledger!$C$2:$C$4, S$2)),"****")</f>
        <v/>
      </c>
      <c r="T571" t="str">
        <f>IFERROR(IF($C571="","",SUMIFS(Ledger!$K$2:$K$4, Ledger!$B$2:$B$4, $A571, Ledger!$C$2:$C$4, T$2)),"****")</f>
        <v/>
      </c>
      <c r="U571" t="str">
        <f>IFERROR(IF($C571="","",SUMIFS(Ledger!$K$2:$K$4, Ledger!$B$2:$B$4, $A571, Ledger!$C$2:$C$4, U$2)),"****")</f>
        <v/>
      </c>
      <c r="V571" t="str">
        <f>IFERROR(IF($C571="","",SUMIFS(Ledger!$K$2:$K$4, Ledger!$B$2:$B$4, $A571, Ledger!$C$2:$C$4, V$2)),"****")</f>
        <v/>
      </c>
      <c r="W571" t="str">
        <f>IFERROR(IF($C571="","",SUMIFS(Ledger!$K$2:$K$4, Ledger!$B$2:$B$4, $A571, Ledger!$C$2:$C$4, W$2)),"****")</f>
        <v/>
      </c>
      <c r="X571" t="str">
        <f>IFERROR(IF($C571="","",SUMIFS(Ledger!$K$2:$K$4, Ledger!$B$2:$B$4, $A571, Ledger!$C$2:$C$4, X$2)),"****")</f>
        <v/>
      </c>
    </row>
    <row r="572" spans="1:24" x14ac:dyDescent="0.3">
      <c r="A572" s="106">
        <v>570</v>
      </c>
      <c r="B572" t="str">
        <f>IFERROR(VLOOKUP($A572, Ledger!$B$2:$L$8, 3, 0),"")</f>
        <v/>
      </c>
      <c r="C572" t="str">
        <f>IFERROR(VLOOKUP($A572, Ledger!$B$2:$L$8, 4, 0),"")</f>
        <v/>
      </c>
      <c r="D572" t="str">
        <f>IFERROR(VLOOKUP($A572, Ledger!$B$2:$L$8, 5, 0),"")</f>
        <v/>
      </c>
      <c r="E572" t="str">
        <f>IFERROR(VLOOKUP($A572, Ledger!$B$2:$L$8, 6, 0),"")</f>
        <v/>
      </c>
      <c r="F572" t="str">
        <f>IFERROR(VLOOKUP($A572,'Student Data'!$A$2:$AR$6,32,0),"")</f>
        <v/>
      </c>
      <c r="G572" t="str">
        <f>IFERROR(VLOOKUP($A572,'Student Data'!$A$2:$AR$6,33,0),"")</f>
        <v/>
      </c>
      <c r="H572" t="str">
        <f>IFERROR(VLOOKUP($A572,'Student Data'!$A$2:$AR$6,34,0),"")</f>
        <v/>
      </c>
      <c r="I572" t="str">
        <f>IFERROR(VLOOKUP($A572,'Student Data'!$A$2:$AR$6,35,0),"")</f>
        <v/>
      </c>
      <c r="J572" t="str">
        <f>IFERROR(VLOOKUP($A572,'Student Data'!$A$2:$AR$6,36,0),"")</f>
        <v/>
      </c>
      <c r="K572" t="str">
        <f t="shared" si="16"/>
        <v/>
      </c>
      <c r="L572" t="str">
        <f t="shared" si="17"/>
        <v/>
      </c>
      <c r="M572" t="str">
        <f>IFERROR(IF($C572="","",SUMIFS(Ledger!$K$2:$K$4, Ledger!$B$2:$B$4, $A572, Ledger!$C$2:$C$4, M$2)),"****")</f>
        <v/>
      </c>
      <c r="N572" t="str">
        <f>IFERROR(IF($C572="","",SUMIFS(Ledger!$K$2:$K$4, Ledger!$B$2:$B$4, $A572, Ledger!$C$2:$C$4, N$2)),"****")</f>
        <v/>
      </c>
      <c r="O572" t="str">
        <f>IFERROR(IF($C572="","",SUMIFS(Ledger!$K$2:$K$4, Ledger!$B$2:$B$4, $A572, Ledger!$C$2:$C$4, O$2)),"****")</f>
        <v/>
      </c>
      <c r="P572" t="str">
        <f>IFERROR(IF($C572="","",SUMIFS(Ledger!$K$2:$K$4, Ledger!$B$2:$B$4, $A572, Ledger!$C$2:$C$4, P$2)),"****")</f>
        <v/>
      </c>
      <c r="Q572" t="str">
        <f>IFERROR(IF($C572="","",SUMIFS(Ledger!$K$2:$K$4, Ledger!$B$2:$B$4, $A572, Ledger!$C$2:$C$4, Q$2)),"****")</f>
        <v/>
      </c>
      <c r="R572" t="str">
        <f>IFERROR(IF($C572="","",SUMIFS(Ledger!$K$2:$K$4, Ledger!$B$2:$B$4, $A572, Ledger!$C$2:$C$4, R$2)),"****")</f>
        <v/>
      </c>
      <c r="S572" t="str">
        <f>IFERROR(IF($C572="","",SUMIFS(Ledger!$K$2:$K$4, Ledger!$B$2:$B$4, $A572, Ledger!$C$2:$C$4, S$2)),"****")</f>
        <v/>
      </c>
      <c r="T572" t="str">
        <f>IFERROR(IF($C572="","",SUMIFS(Ledger!$K$2:$K$4, Ledger!$B$2:$B$4, $A572, Ledger!$C$2:$C$4, T$2)),"****")</f>
        <v/>
      </c>
      <c r="U572" t="str">
        <f>IFERROR(IF($C572="","",SUMIFS(Ledger!$K$2:$K$4, Ledger!$B$2:$B$4, $A572, Ledger!$C$2:$C$4, U$2)),"****")</f>
        <v/>
      </c>
      <c r="V572" t="str">
        <f>IFERROR(IF($C572="","",SUMIFS(Ledger!$K$2:$K$4, Ledger!$B$2:$B$4, $A572, Ledger!$C$2:$C$4, V$2)),"****")</f>
        <v/>
      </c>
      <c r="W572" t="str">
        <f>IFERROR(IF($C572="","",SUMIFS(Ledger!$K$2:$K$4, Ledger!$B$2:$B$4, $A572, Ledger!$C$2:$C$4, W$2)),"****")</f>
        <v/>
      </c>
      <c r="X572" t="str">
        <f>IFERROR(IF($C572="","",SUMIFS(Ledger!$K$2:$K$4, Ledger!$B$2:$B$4, $A572, Ledger!$C$2:$C$4, X$2)),"****")</f>
        <v/>
      </c>
    </row>
    <row r="573" spans="1:24" x14ac:dyDescent="0.3">
      <c r="A573" s="106">
        <v>571</v>
      </c>
      <c r="B573" t="str">
        <f>IFERROR(VLOOKUP($A573, Ledger!$B$2:$L$8, 3, 0),"")</f>
        <v/>
      </c>
      <c r="C573" t="str">
        <f>IFERROR(VLOOKUP($A573, Ledger!$B$2:$L$8, 4, 0),"")</f>
        <v/>
      </c>
      <c r="D573" t="str">
        <f>IFERROR(VLOOKUP($A573, Ledger!$B$2:$L$8, 5, 0),"")</f>
        <v/>
      </c>
      <c r="E573" t="str">
        <f>IFERROR(VLOOKUP($A573, Ledger!$B$2:$L$8, 6, 0),"")</f>
        <v/>
      </c>
      <c r="F573" t="str">
        <f>IFERROR(VLOOKUP($A573,'Student Data'!$A$2:$AR$6,32,0),"")</f>
        <v/>
      </c>
      <c r="G573" t="str">
        <f>IFERROR(VLOOKUP($A573,'Student Data'!$A$2:$AR$6,33,0),"")</f>
        <v/>
      </c>
      <c r="H573" t="str">
        <f>IFERROR(VLOOKUP($A573,'Student Data'!$A$2:$AR$6,34,0),"")</f>
        <v/>
      </c>
      <c r="I573" t="str">
        <f>IFERROR(VLOOKUP($A573,'Student Data'!$A$2:$AR$6,35,0),"")</f>
        <v/>
      </c>
      <c r="J573" t="str">
        <f>IFERROR(VLOOKUP($A573,'Student Data'!$A$2:$AR$6,36,0),"")</f>
        <v/>
      </c>
      <c r="K573" t="str">
        <f t="shared" si="16"/>
        <v/>
      </c>
      <c r="L573" t="str">
        <f t="shared" si="17"/>
        <v/>
      </c>
      <c r="M573" t="str">
        <f>IFERROR(IF($C573="","",SUMIFS(Ledger!$K$2:$K$4, Ledger!$B$2:$B$4, $A573, Ledger!$C$2:$C$4, M$2)),"****")</f>
        <v/>
      </c>
      <c r="N573" t="str">
        <f>IFERROR(IF($C573="","",SUMIFS(Ledger!$K$2:$K$4, Ledger!$B$2:$B$4, $A573, Ledger!$C$2:$C$4, N$2)),"****")</f>
        <v/>
      </c>
      <c r="O573" t="str">
        <f>IFERROR(IF($C573="","",SUMIFS(Ledger!$K$2:$K$4, Ledger!$B$2:$B$4, $A573, Ledger!$C$2:$C$4, O$2)),"****")</f>
        <v/>
      </c>
      <c r="P573" t="str">
        <f>IFERROR(IF($C573="","",SUMIFS(Ledger!$K$2:$K$4, Ledger!$B$2:$B$4, $A573, Ledger!$C$2:$C$4, P$2)),"****")</f>
        <v/>
      </c>
      <c r="Q573" t="str">
        <f>IFERROR(IF($C573="","",SUMIFS(Ledger!$K$2:$K$4, Ledger!$B$2:$B$4, $A573, Ledger!$C$2:$C$4, Q$2)),"****")</f>
        <v/>
      </c>
      <c r="R573" t="str">
        <f>IFERROR(IF($C573="","",SUMIFS(Ledger!$K$2:$K$4, Ledger!$B$2:$B$4, $A573, Ledger!$C$2:$C$4, R$2)),"****")</f>
        <v/>
      </c>
      <c r="S573" t="str">
        <f>IFERROR(IF($C573="","",SUMIFS(Ledger!$K$2:$K$4, Ledger!$B$2:$B$4, $A573, Ledger!$C$2:$C$4, S$2)),"****")</f>
        <v/>
      </c>
      <c r="T573" t="str">
        <f>IFERROR(IF($C573="","",SUMIFS(Ledger!$K$2:$K$4, Ledger!$B$2:$B$4, $A573, Ledger!$C$2:$C$4, T$2)),"****")</f>
        <v/>
      </c>
      <c r="U573" t="str">
        <f>IFERROR(IF($C573="","",SUMIFS(Ledger!$K$2:$K$4, Ledger!$B$2:$B$4, $A573, Ledger!$C$2:$C$4, U$2)),"****")</f>
        <v/>
      </c>
      <c r="V573" t="str">
        <f>IFERROR(IF($C573="","",SUMIFS(Ledger!$K$2:$K$4, Ledger!$B$2:$B$4, $A573, Ledger!$C$2:$C$4, V$2)),"****")</f>
        <v/>
      </c>
      <c r="W573" t="str">
        <f>IFERROR(IF($C573="","",SUMIFS(Ledger!$K$2:$K$4, Ledger!$B$2:$B$4, $A573, Ledger!$C$2:$C$4, W$2)),"****")</f>
        <v/>
      </c>
      <c r="X573" t="str">
        <f>IFERROR(IF($C573="","",SUMIFS(Ledger!$K$2:$K$4, Ledger!$B$2:$B$4, $A573, Ledger!$C$2:$C$4, X$2)),"****")</f>
        <v/>
      </c>
    </row>
    <row r="574" spans="1:24" x14ac:dyDescent="0.3">
      <c r="A574" s="106">
        <v>572</v>
      </c>
      <c r="B574" t="str">
        <f>IFERROR(VLOOKUP($A574, Ledger!$B$2:$L$8, 3, 0),"")</f>
        <v/>
      </c>
      <c r="C574" t="str">
        <f>IFERROR(VLOOKUP($A574, Ledger!$B$2:$L$8, 4, 0),"")</f>
        <v/>
      </c>
      <c r="D574" t="str">
        <f>IFERROR(VLOOKUP($A574, Ledger!$B$2:$L$8, 5, 0),"")</f>
        <v/>
      </c>
      <c r="E574" t="str">
        <f>IFERROR(VLOOKUP($A574, Ledger!$B$2:$L$8, 6, 0),"")</f>
        <v/>
      </c>
      <c r="F574" t="str">
        <f>IFERROR(VLOOKUP($A574,'Student Data'!$A$2:$AR$6,32,0),"")</f>
        <v/>
      </c>
      <c r="G574" t="str">
        <f>IFERROR(VLOOKUP($A574,'Student Data'!$A$2:$AR$6,33,0),"")</f>
        <v/>
      </c>
      <c r="H574" t="str">
        <f>IFERROR(VLOOKUP($A574,'Student Data'!$A$2:$AR$6,34,0),"")</f>
        <v/>
      </c>
      <c r="I574" t="str">
        <f>IFERROR(VLOOKUP($A574,'Student Data'!$A$2:$AR$6,35,0),"")</f>
        <v/>
      </c>
      <c r="J574" t="str">
        <f>IFERROR(VLOOKUP($A574,'Student Data'!$A$2:$AR$6,36,0),"")</f>
        <v/>
      </c>
      <c r="K574" t="str">
        <f t="shared" si="16"/>
        <v/>
      </c>
      <c r="L574" t="str">
        <f t="shared" si="17"/>
        <v/>
      </c>
      <c r="M574" t="str">
        <f>IFERROR(IF($C574="","",SUMIFS(Ledger!$K$2:$K$4, Ledger!$B$2:$B$4, $A574, Ledger!$C$2:$C$4, M$2)),"****")</f>
        <v/>
      </c>
      <c r="N574" t="str">
        <f>IFERROR(IF($C574="","",SUMIFS(Ledger!$K$2:$K$4, Ledger!$B$2:$B$4, $A574, Ledger!$C$2:$C$4, N$2)),"****")</f>
        <v/>
      </c>
      <c r="O574" t="str">
        <f>IFERROR(IF($C574="","",SUMIFS(Ledger!$K$2:$K$4, Ledger!$B$2:$B$4, $A574, Ledger!$C$2:$C$4, O$2)),"****")</f>
        <v/>
      </c>
      <c r="P574" t="str">
        <f>IFERROR(IF($C574="","",SUMIFS(Ledger!$K$2:$K$4, Ledger!$B$2:$B$4, $A574, Ledger!$C$2:$C$4, P$2)),"****")</f>
        <v/>
      </c>
      <c r="Q574" t="str">
        <f>IFERROR(IF($C574="","",SUMIFS(Ledger!$K$2:$K$4, Ledger!$B$2:$B$4, $A574, Ledger!$C$2:$C$4, Q$2)),"****")</f>
        <v/>
      </c>
      <c r="R574" t="str">
        <f>IFERROR(IF($C574="","",SUMIFS(Ledger!$K$2:$K$4, Ledger!$B$2:$B$4, $A574, Ledger!$C$2:$C$4, R$2)),"****")</f>
        <v/>
      </c>
      <c r="S574" t="str">
        <f>IFERROR(IF($C574="","",SUMIFS(Ledger!$K$2:$K$4, Ledger!$B$2:$B$4, $A574, Ledger!$C$2:$C$4, S$2)),"****")</f>
        <v/>
      </c>
      <c r="T574" t="str">
        <f>IFERROR(IF($C574="","",SUMIFS(Ledger!$K$2:$K$4, Ledger!$B$2:$B$4, $A574, Ledger!$C$2:$C$4, T$2)),"****")</f>
        <v/>
      </c>
      <c r="U574" t="str">
        <f>IFERROR(IF($C574="","",SUMIFS(Ledger!$K$2:$K$4, Ledger!$B$2:$B$4, $A574, Ledger!$C$2:$C$4, U$2)),"****")</f>
        <v/>
      </c>
      <c r="V574" t="str">
        <f>IFERROR(IF($C574="","",SUMIFS(Ledger!$K$2:$K$4, Ledger!$B$2:$B$4, $A574, Ledger!$C$2:$C$4, V$2)),"****")</f>
        <v/>
      </c>
      <c r="W574" t="str">
        <f>IFERROR(IF($C574="","",SUMIFS(Ledger!$K$2:$K$4, Ledger!$B$2:$B$4, $A574, Ledger!$C$2:$C$4, W$2)),"****")</f>
        <v/>
      </c>
      <c r="X574" t="str">
        <f>IFERROR(IF($C574="","",SUMIFS(Ledger!$K$2:$K$4, Ledger!$B$2:$B$4, $A574, Ledger!$C$2:$C$4, X$2)),"****")</f>
        <v/>
      </c>
    </row>
    <row r="575" spans="1:24" x14ac:dyDescent="0.3">
      <c r="A575" s="106">
        <v>573</v>
      </c>
      <c r="B575" t="str">
        <f>IFERROR(VLOOKUP($A575, Ledger!$B$2:$L$8, 3, 0),"")</f>
        <v/>
      </c>
      <c r="C575" t="str">
        <f>IFERROR(VLOOKUP($A575, Ledger!$B$2:$L$8, 4, 0),"")</f>
        <v/>
      </c>
      <c r="D575" t="str">
        <f>IFERROR(VLOOKUP($A575, Ledger!$B$2:$L$8, 5, 0),"")</f>
        <v/>
      </c>
      <c r="E575" t="str">
        <f>IFERROR(VLOOKUP($A575, Ledger!$B$2:$L$8, 6, 0),"")</f>
        <v/>
      </c>
      <c r="F575" t="str">
        <f>IFERROR(VLOOKUP($A575,'Student Data'!$A$2:$AR$6,32,0),"")</f>
        <v/>
      </c>
      <c r="G575" t="str">
        <f>IFERROR(VLOOKUP($A575,'Student Data'!$A$2:$AR$6,33,0),"")</f>
        <v/>
      </c>
      <c r="H575" t="str">
        <f>IFERROR(VLOOKUP($A575,'Student Data'!$A$2:$AR$6,34,0),"")</f>
        <v/>
      </c>
      <c r="I575" t="str">
        <f>IFERROR(VLOOKUP($A575,'Student Data'!$A$2:$AR$6,35,0),"")</f>
        <v/>
      </c>
      <c r="J575" t="str">
        <f>IFERROR(VLOOKUP($A575,'Student Data'!$A$2:$AR$6,36,0),"")</f>
        <v/>
      </c>
      <c r="K575" t="str">
        <f t="shared" si="16"/>
        <v/>
      </c>
      <c r="L575" t="str">
        <f t="shared" si="17"/>
        <v/>
      </c>
      <c r="M575" t="str">
        <f>IFERROR(IF($C575="","",SUMIFS(Ledger!$K$2:$K$4, Ledger!$B$2:$B$4, $A575, Ledger!$C$2:$C$4, M$2)),"****")</f>
        <v/>
      </c>
      <c r="N575" t="str">
        <f>IFERROR(IF($C575="","",SUMIFS(Ledger!$K$2:$K$4, Ledger!$B$2:$B$4, $A575, Ledger!$C$2:$C$4, N$2)),"****")</f>
        <v/>
      </c>
      <c r="O575" t="str">
        <f>IFERROR(IF($C575="","",SUMIFS(Ledger!$K$2:$K$4, Ledger!$B$2:$B$4, $A575, Ledger!$C$2:$C$4, O$2)),"****")</f>
        <v/>
      </c>
      <c r="P575" t="str">
        <f>IFERROR(IF($C575="","",SUMIFS(Ledger!$K$2:$K$4, Ledger!$B$2:$B$4, $A575, Ledger!$C$2:$C$4, P$2)),"****")</f>
        <v/>
      </c>
      <c r="Q575" t="str">
        <f>IFERROR(IF($C575="","",SUMIFS(Ledger!$K$2:$K$4, Ledger!$B$2:$B$4, $A575, Ledger!$C$2:$C$4, Q$2)),"****")</f>
        <v/>
      </c>
      <c r="R575" t="str">
        <f>IFERROR(IF($C575="","",SUMIFS(Ledger!$K$2:$K$4, Ledger!$B$2:$B$4, $A575, Ledger!$C$2:$C$4, R$2)),"****")</f>
        <v/>
      </c>
      <c r="S575" t="str">
        <f>IFERROR(IF($C575="","",SUMIFS(Ledger!$K$2:$K$4, Ledger!$B$2:$B$4, $A575, Ledger!$C$2:$C$4, S$2)),"****")</f>
        <v/>
      </c>
      <c r="T575" t="str">
        <f>IFERROR(IF($C575="","",SUMIFS(Ledger!$K$2:$K$4, Ledger!$B$2:$B$4, $A575, Ledger!$C$2:$C$4, T$2)),"****")</f>
        <v/>
      </c>
      <c r="U575" t="str">
        <f>IFERROR(IF($C575="","",SUMIFS(Ledger!$K$2:$K$4, Ledger!$B$2:$B$4, $A575, Ledger!$C$2:$C$4, U$2)),"****")</f>
        <v/>
      </c>
      <c r="V575" t="str">
        <f>IFERROR(IF($C575="","",SUMIFS(Ledger!$K$2:$K$4, Ledger!$B$2:$B$4, $A575, Ledger!$C$2:$C$4, V$2)),"****")</f>
        <v/>
      </c>
      <c r="W575" t="str">
        <f>IFERROR(IF($C575="","",SUMIFS(Ledger!$K$2:$K$4, Ledger!$B$2:$B$4, $A575, Ledger!$C$2:$C$4, W$2)),"****")</f>
        <v/>
      </c>
      <c r="X575" t="str">
        <f>IFERROR(IF($C575="","",SUMIFS(Ledger!$K$2:$K$4, Ledger!$B$2:$B$4, $A575, Ledger!$C$2:$C$4, X$2)),"****")</f>
        <v/>
      </c>
    </row>
    <row r="576" spans="1:24" x14ac:dyDescent="0.3">
      <c r="A576" s="106">
        <v>574</v>
      </c>
      <c r="B576" t="str">
        <f>IFERROR(VLOOKUP($A576, Ledger!$B$2:$L$8, 3, 0),"")</f>
        <v/>
      </c>
      <c r="C576" t="str">
        <f>IFERROR(VLOOKUP($A576, Ledger!$B$2:$L$8, 4, 0),"")</f>
        <v/>
      </c>
      <c r="D576" t="str">
        <f>IFERROR(VLOOKUP($A576, Ledger!$B$2:$L$8, 5, 0),"")</f>
        <v/>
      </c>
      <c r="E576" t="str">
        <f>IFERROR(VLOOKUP($A576, Ledger!$B$2:$L$8, 6, 0),"")</f>
        <v/>
      </c>
      <c r="F576" t="str">
        <f>IFERROR(VLOOKUP($A576,'Student Data'!$A$2:$AR$6,32,0),"")</f>
        <v/>
      </c>
      <c r="G576" t="str">
        <f>IFERROR(VLOOKUP($A576,'Student Data'!$A$2:$AR$6,33,0),"")</f>
        <v/>
      </c>
      <c r="H576" t="str">
        <f>IFERROR(VLOOKUP($A576,'Student Data'!$A$2:$AR$6,34,0),"")</f>
        <v/>
      </c>
      <c r="I576" t="str">
        <f>IFERROR(VLOOKUP($A576,'Student Data'!$A$2:$AR$6,35,0),"")</f>
        <v/>
      </c>
      <c r="J576" t="str">
        <f>IFERROR(VLOOKUP($A576,'Student Data'!$A$2:$AR$6,36,0),"")</f>
        <v/>
      </c>
      <c r="K576" t="str">
        <f t="shared" si="16"/>
        <v/>
      </c>
      <c r="L576" t="str">
        <f t="shared" si="17"/>
        <v/>
      </c>
      <c r="M576" t="str">
        <f>IFERROR(IF($C576="","",SUMIFS(Ledger!$K$2:$K$4, Ledger!$B$2:$B$4, $A576, Ledger!$C$2:$C$4, M$2)),"****")</f>
        <v/>
      </c>
      <c r="N576" t="str">
        <f>IFERROR(IF($C576="","",SUMIFS(Ledger!$K$2:$K$4, Ledger!$B$2:$B$4, $A576, Ledger!$C$2:$C$4, N$2)),"****")</f>
        <v/>
      </c>
      <c r="O576" t="str">
        <f>IFERROR(IF($C576="","",SUMIFS(Ledger!$K$2:$K$4, Ledger!$B$2:$B$4, $A576, Ledger!$C$2:$C$4, O$2)),"****")</f>
        <v/>
      </c>
      <c r="P576" t="str">
        <f>IFERROR(IF($C576="","",SUMIFS(Ledger!$K$2:$K$4, Ledger!$B$2:$B$4, $A576, Ledger!$C$2:$C$4, P$2)),"****")</f>
        <v/>
      </c>
      <c r="Q576" t="str">
        <f>IFERROR(IF($C576="","",SUMIFS(Ledger!$K$2:$K$4, Ledger!$B$2:$B$4, $A576, Ledger!$C$2:$C$4, Q$2)),"****")</f>
        <v/>
      </c>
      <c r="R576" t="str">
        <f>IFERROR(IF($C576="","",SUMIFS(Ledger!$K$2:$K$4, Ledger!$B$2:$B$4, $A576, Ledger!$C$2:$C$4, R$2)),"****")</f>
        <v/>
      </c>
      <c r="S576" t="str">
        <f>IFERROR(IF($C576="","",SUMIFS(Ledger!$K$2:$K$4, Ledger!$B$2:$B$4, $A576, Ledger!$C$2:$C$4, S$2)),"****")</f>
        <v/>
      </c>
      <c r="T576" t="str">
        <f>IFERROR(IF($C576="","",SUMIFS(Ledger!$K$2:$K$4, Ledger!$B$2:$B$4, $A576, Ledger!$C$2:$C$4, T$2)),"****")</f>
        <v/>
      </c>
      <c r="U576" t="str">
        <f>IFERROR(IF($C576="","",SUMIFS(Ledger!$K$2:$K$4, Ledger!$B$2:$B$4, $A576, Ledger!$C$2:$C$4, U$2)),"****")</f>
        <v/>
      </c>
      <c r="V576" t="str">
        <f>IFERROR(IF($C576="","",SUMIFS(Ledger!$K$2:$K$4, Ledger!$B$2:$B$4, $A576, Ledger!$C$2:$C$4, V$2)),"****")</f>
        <v/>
      </c>
      <c r="W576" t="str">
        <f>IFERROR(IF($C576="","",SUMIFS(Ledger!$K$2:$K$4, Ledger!$B$2:$B$4, $A576, Ledger!$C$2:$C$4, W$2)),"****")</f>
        <v/>
      </c>
      <c r="X576" t="str">
        <f>IFERROR(IF($C576="","",SUMIFS(Ledger!$K$2:$K$4, Ledger!$B$2:$B$4, $A576, Ledger!$C$2:$C$4, X$2)),"****")</f>
        <v/>
      </c>
    </row>
    <row r="577" spans="1:24" x14ac:dyDescent="0.3">
      <c r="A577" s="106">
        <v>575</v>
      </c>
      <c r="B577" t="str">
        <f>IFERROR(VLOOKUP($A577, Ledger!$B$2:$L$8, 3, 0),"")</f>
        <v/>
      </c>
      <c r="C577" t="str">
        <f>IFERROR(VLOOKUP($A577, Ledger!$B$2:$L$8, 4, 0),"")</f>
        <v/>
      </c>
      <c r="D577" t="str">
        <f>IFERROR(VLOOKUP($A577, Ledger!$B$2:$L$8, 5, 0),"")</f>
        <v/>
      </c>
      <c r="E577" t="str">
        <f>IFERROR(VLOOKUP($A577, Ledger!$B$2:$L$8, 6, 0),"")</f>
        <v/>
      </c>
      <c r="F577" t="str">
        <f>IFERROR(VLOOKUP($A577,'Student Data'!$A$2:$AR$6,32,0),"")</f>
        <v/>
      </c>
      <c r="G577" t="str">
        <f>IFERROR(VLOOKUP($A577,'Student Data'!$A$2:$AR$6,33,0),"")</f>
        <v/>
      </c>
      <c r="H577" t="str">
        <f>IFERROR(VLOOKUP($A577,'Student Data'!$A$2:$AR$6,34,0),"")</f>
        <v/>
      </c>
      <c r="I577" t="str">
        <f>IFERROR(VLOOKUP($A577,'Student Data'!$A$2:$AR$6,35,0),"")</f>
        <v/>
      </c>
      <c r="J577" t="str">
        <f>IFERROR(VLOOKUP($A577,'Student Data'!$A$2:$AR$6,36,0),"")</f>
        <v/>
      </c>
      <c r="K577" t="str">
        <f t="shared" si="16"/>
        <v/>
      </c>
      <c r="L577" t="str">
        <f t="shared" si="17"/>
        <v/>
      </c>
      <c r="M577" t="str">
        <f>IFERROR(IF($C577="","",SUMIFS(Ledger!$K$2:$K$4, Ledger!$B$2:$B$4, $A577, Ledger!$C$2:$C$4, M$2)),"****")</f>
        <v/>
      </c>
      <c r="N577" t="str">
        <f>IFERROR(IF($C577="","",SUMIFS(Ledger!$K$2:$K$4, Ledger!$B$2:$B$4, $A577, Ledger!$C$2:$C$4, N$2)),"****")</f>
        <v/>
      </c>
      <c r="O577" t="str">
        <f>IFERROR(IF($C577="","",SUMIFS(Ledger!$K$2:$K$4, Ledger!$B$2:$B$4, $A577, Ledger!$C$2:$C$4, O$2)),"****")</f>
        <v/>
      </c>
      <c r="P577" t="str">
        <f>IFERROR(IF($C577="","",SUMIFS(Ledger!$K$2:$K$4, Ledger!$B$2:$B$4, $A577, Ledger!$C$2:$C$4, P$2)),"****")</f>
        <v/>
      </c>
      <c r="Q577" t="str">
        <f>IFERROR(IF($C577="","",SUMIFS(Ledger!$K$2:$K$4, Ledger!$B$2:$B$4, $A577, Ledger!$C$2:$C$4, Q$2)),"****")</f>
        <v/>
      </c>
      <c r="R577" t="str">
        <f>IFERROR(IF($C577="","",SUMIFS(Ledger!$K$2:$K$4, Ledger!$B$2:$B$4, $A577, Ledger!$C$2:$C$4, R$2)),"****")</f>
        <v/>
      </c>
      <c r="S577" t="str">
        <f>IFERROR(IF($C577="","",SUMIFS(Ledger!$K$2:$K$4, Ledger!$B$2:$B$4, $A577, Ledger!$C$2:$C$4, S$2)),"****")</f>
        <v/>
      </c>
      <c r="T577" t="str">
        <f>IFERROR(IF($C577="","",SUMIFS(Ledger!$K$2:$K$4, Ledger!$B$2:$B$4, $A577, Ledger!$C$2:$C$4, T$2)),"****")</f>
        <v/>
      </c>
      <c r="U577" t="str">
        <f>IFERROR(IF($C577="","",SUMIFS(Ledger!$K$2:$K$4, Ledger!$B$2:$B$4, $A577, Ledger!$C$2:$C$4, U$2)),"****")</f>
        <v/>
      </c>
      <c r="V577" t="str">
        <f>IFERROR(IF($C577="","",SUMIFS(Ledger!$K$2:$K$4, Ledger!$B$2:$B$4, $A577, Ledger!$C$2:$C$4, V$2)),"****")</f>
        <v/>
      </c>
      <c r="W577" t="str">
        <f>IFERROR(IF($C577="","",SUMIFS(Ledger!$K$2:$K$4, Ledger!$B$2:$B$4, $A577, Ledger!$C$2:$C$4, W$2)),"****")</f>
        <v/>
      </c>
      <c r="X577" t="str">
        <f>IFERROR(IF($C577="","",SUMIFS(Ledger!$K$2:$K$4, Ledger!$B$2:$B$4, $A577, Ledger!$C$2:$C$4, X$2)),"****")</f>
        <v/>
      </c>
    </row>
    <row r="578" spans="1:24" x14ac:dyDescent="0.3">
      <c r="A578" s="106">
        <v>576</v>
      </c>
      <c r="B578" t="str">
        <f>IFERROR(VLOOKUP($A578, Ledger!$B$2:$L$8, 3, 0),"")</f>
        <v/>
      </c>
      <c r="C578" t="str">
        <f>IFERROR(VLOOKUP($A578, Ledger!$B$2:$L$8, 4, 0),"")</f>
        <v/>
      </c>
      <c r="D578" t="str">
        <f>IFERROR(VLOOKUP($A578, Ledger!$B$2:$L$8, 5, 0),"")</f>
        <v/>
      </c>
      <c r="E578" t="str">
        <f>IFERROR(VLOOKUP($A578, Ledger!$B$2:$L$8, 6, 0),"")</f>
        <v/>
      </c>
      <c r="F578" t="str">
        <f>IFERROR(VLOOKUP($A578,'Student Data'!$A$2:$AR$6,32,0),"")</f>
        <v/>
      </c>
      <c r="G578" t="str">
        <f>IFERROR(VLOOKUP($A578,'Student Data'!$A$2:$AR$6,33,0),"")</f>
        <v/>
      </c>
      <c r="H578" t="str">
        <f>IFERROR(VLOOKUP($A578,'Student Data'!$A$2:$AR$6,34,0),"")</f>
        <v/>
      </c>
      <c r="I578" t="str">
        <f>IFERROR(VLOOKUP($A578,'Student Data'!$A$2:$AR$6,35,0),"")</f>
        <v/>
      </c>
      <c r="J578" t="str">
        <f>IFERROR(VLOOKUP($A578,'Student Data'!$A$2:$AR$6,36,0),"")</f>
        <v/>
      </c>
      <c r="K578" t="str">
        <f t="shared" si="16"/>
        <v/>
      </c>
      <c r="L578" t="str">
        <f t="shared" si="17"/>
        <v/>
      </c>
      <c r="M578" t="str">
        <f>IFERROR(IF($C578="","",SUMIFS(Ledger!$K$2:$K$4, Ledger!$B$2:$B$4, $A578, Ledger!$C$2:$C$4, M$2)),"****")</f>
        <v/>
      </c>
      <c r="N578" t="str">
        <f>IFERROR(IF($C578="","",SUMIFS(Ledger!$K$2:$K$4, Ledger!$B$2:$B$4, $A578, Ledger!$C$2:$C$4, N$2)),"****")</f>
        <v/>
      </c>
      <c r="O578" t="str">
        <f>IFERROR(IF($C578="","",SUMIFS(Ledger!$K$2:$K$4, Ledger!$B$2:$B$4, $A578, Ledger!$C$2:$C$4, O$2)),"****")</f>
        <v/>
      </c>
      <c r="P578" t="str">
        <f>IFERROR(IF($C578="","",SUMIFS(Ledger!$K$2:$K$4, Ledger!$B$2:$B$4, $A578, Ledger!$C$2:$C$4, P$2)),"****")</f>
        <v/>
      </c>
      <c r="Q578" t="str">
        <f>IFERROR(IF($C578="","",SUMIFS(Ledger!$K$2:$K$4, Ledger!$B$2:$B$4, $A578, Ledger!$C$2:$C$4, Q$2)),"****")</f>
        <v/>
      </c>
      <c r="R578" t="str">
        <f>IFERROR(IF($C578="","",SUMIFS(Ledger!$K$2:$K$4, Ledger!$B$2:$B$4, $A578, Ledger!$C$2:$C$4, R$2)),"****")</f>
        <v/>
      </c>
      <c r="S578" t="str">
        <f>IFERROR(IF($C578="","",SUMIFS(Ledger!$K$2:$K$4, Ledger!$B$2:$B$4, $A578, Ledger!$C$2:$C$4, S$2)),"****")</f>
        <v/>
      </c>
      <c r="T578" t="str">
        <f>IFERROR(IF($C578="","",SUMIFS(Ledger!$K$2:$K$4, Ledger!$B$2:$B$4, $A578, Ledger!$C$2:$C$4, T$2)),"****")</f>
        <v/>
      </c>
      <c r="U578" t="str">
        <f>IFERROR(IF($C578="","",SUMIFS(Ledger!$K$2:$K$4, Ledger!$B$2:$B$4, $A578, Ledger!$C$2:$C$4, U$2)),"****")</f>
        <v/>
      </c>
      <c r="V578" t="str">
        <f>IFERROR(IF($C578="","",SUMIFS(Ledger!$K$2:$K$4, Ledger!$B$2:$B$4, $A578, Ledger!$C$2:$C$4, V$2)),"****")</f>
        <v/>
      </c>
      <c r="W578" t="str">
        <f>IFERROR(IF($C578="","",SUMIFS(Ledger!$K$2:$K$4, Ledger!$B$2:$B$4, $A578, Ledger!$C$2:$C$4, W$2)),"****")</f>
        <v/>
      </c>
      <c r="X578" t="str">
        <f>IFERROR(IF($C578="","",SUMIFS(Ledger!$K$2:$K$4, Ledger!$B$2:$B$4, $A578, Ledger!$C$2:$C$4, X$2)),"****")</f>
        <v/>
      </c>
    </row>
    <row r="579" spans="1:24" x14ac:dyDescent="0.3">
      <c r="A579" s="106">
        <v>577</v>
      </c>
      <c r="B579" t="str">
        <f>IFERROR(VLOOKUP($A579, Ledger!$B$2:$L$8, 3, 0),"")</f>
        <v/>
      </c>
      <c r="C579" t="str">
        <f>IFERROR(VLOOKUP($A579, Ledger!$B$2:$L$8, 4, 0),"")</f>
        <v/>
      </c>
      <c r="D579" t="str">
        <f>IFERROR(VLOOKUP($A579, Ledger!$B$2:$L$8, 5, 0),"")</f>
        <v/>
      </c>
      <c r="E579" t="str">
        <f>IFERROR(VLOOKUP($A579, Ledger!$B$2:$L$8, 6, 0),"")</f>
        <v/>
      </c>
      <c r="F579" t="str">
        <f>IFERROR(VLOOKUP($A579,'Student Data'!$A$2:$AR$6,32,0),"")</f>
        <v/>
      </c>
      <c r="G579" t="str">
        <f>IFERROR(VLOOKUP($A579,'Student Data'!$A$2:$AR$6,33,0),"")</f>
        <v/>
      </c>
      <c r="H579" t="str">
        <f>IFERROR(VLOOKUP($A579,'Student Data'!$A$2:$AR$6,34,0),"")</f>
        <v/>
      </c>
      <c r="I579" t="str">
        <f>IFERROR(VLOOKUP($A579,'Student Data'!$A$2:$AR$6,35,0),"")</f>
        <v/>
      </c>
      <c r="J579" t="str">
        <f>IFERROR(VLOOKUP($A579,'Student Data'!$A$2:$AR$6,36,0),"")</f>
        <v/>
      </c>
      <c r="K579" t="str">
        <f t="shared" si="16"/>
        <v/>
      </c>
      <c r="L579" t="str">
        <f t="shared" si="17"/>
        <v/>
      </c>
      <c r="M579" t="str">
        <f>IFERROR(IF($C579="","",SUMIFS(Ledger!$K$2:$K$4, Ledger!$B$2:$B$4, $A579, Ledger!$C$2:$C$4, M$2)),"****")</f>
        <v/>
      </c>
      <c r="N579" t="str">
        <f>IFERROR(IF($C579="","",SUMIFS(Ledger!$K$2:$K$4, Ledger!$B$2:$B$4, $A579, Ledger!$C$2:$C$4, N$2)),"****")</f>
        <v/>
      </c>
      <c r="O579" t="str">
        <f>IFERROR(IF($C579="","",SUMIFS(Ledger!$K$2:$K$4, Ledger!$B$2:$B$4, $A579, Ledger!$C$2:$C$4, O$2)),"****")</f>
        <v/>
      </c>
      <c r="P579" t="str">
        <f>IFERROR(IF($C579="","",SUMIFS(Ledger!$K$2:$K$4, Ledger!$B$2:$B$4, $A579, Ledger!$C$2:$C$4, P$2)),"****")</f>
        <v/>
      </c>
      <c r="Q579" t="str">
        <f>IFERROR(IF($C579="","",SUMIFS(Ledger!$K$2:$K$4, Ledger!$B$2:$B$4, $A579, Ledger!$C$2:$C$4, Q$2)),"****")</f>
        <v/>
      </c>
      <c r="R579" t="str">
        <f>IFERROR(IF($C579="","",SUMIFS(Ledger!$K$2:$K$4, Ledger!$B$2:$B$4, $A579, Ledger!$C$2:$C$4, R$2)),"****")</f>
        <v/>
      </c>
      <c r="S579" t="str">
        <f>IFERROR(IF($C579="","",SUMIFS(Ledger!$K$2:$K$4, Ledger!$B$2:$B$4, $A579, Ledger!$C$2:$C$4, S$2)),"****")</f>
        <v/>
      </c>
      <c r="T579" t="str">
        <f>IFERROR(IF($C579="","",SUMIFS(Ledger!$K$2:$K$4, Ledger!$B$2:$B$4, $A579, Ledger!$C$2:$C$4, T$2)),"****")</f>
        <v/>
      </c>
      <c r="U579" t="str">
        <f>IFERROR(IF($C579="","",SUMIFS(Ledger!$K$2:$K$4, Ledger!$B$2:$B$4, $A579, Ledger!$C$2:$C$4, U$2)),"****")</f>
        <v/>
      </c>
      <c r="V579" t="str">
        <f>IFERROR(IF($C579="","",SUMIFS(Ledger!$K$2:$K$4, Ledger!$B$2:$B$4, $A579, Ledger!$C$2:$C$4, V$2)),"****")</f>
        <v/>
      </c>
      <c r="W579" t="str">
        <f>IFERROR(IF($C579="","",SUMIFS(Ledger!$K$2:$K$4, Ledger!$B$2:$B$4, $A579, Ledger!$C$2:$C$4, W$2)),"****")</f>
        <v/>
      </c>
      <c r="X579" t="str">
        <f>IFERROR(IF($C579="","",SUMIFS(Ledger!$K$2:$K$4, Ledger!$B$2:$B$4, $A579, Ledger!$C$2:$C$4, X$2)),"****")</f>
        <v/>
      </c>
    </row>
    <row r="580" spans="1:24" x14ac:dyDescent="0.3">
      <c r="A580" s="106">
        <v>578</v>
      </c>
      <c r="B580" t="str">
        <f>IFERROR(VLOOKUP($A580, Ledger!$B$2:$L$8, 3, 0),"")</f>
        <v/>
      </c>
      <c r="C580" t="str">
        <f>IFERROR(VLOOKUP($A580, Ledger!$B$2:$L$8, 4, 0),"")</f>
        <v/>
      </c>
      <c r="D580" t="str">
        <f>IFERROR(VLOOKUP($A580, Ledger!$B$2:$L$8, 5, 0),"")</f>
        <v/>
      </c>
      <c r="E580" t="str">
        <f>IFERROR(VLOOKUP($A580, Ledger!$B$2:$L$8, 6, 0),"")</f>
        <v/>
      </c>
      <c r="F580" t="str">
        <f>IFERROR(VLOOKUP($A580,'Student Data'!$A$2:$AR$6,32,0),"")</f>
        <v/>
      </c>
      <c r="G580" t="str">
        <f>IFERROR(VLOOKUP($A580,'Student Data'!$A$2:$AR$6,33,0),"")</f>
        <v/>
      </c>
      <c r="H580" t="str">
        <f>IFERROR(VLOOKUP($A580,'Student Data'!$A$2:$AR$6,34,0),"")</f>
        <v/>
      </c>
      <c r="I580" t="str">
        <f>IFERROR(VLOOKUP($A580,'Student Data'!$A$2:$AR$6,35,0),"")</f>
        <v/>
      </c>
      <c r="J580" t="str">
        <f>IFERROR(VLOOKUP($A580,'Student Data'!$A$2:$AR$6,36,0),"")</f>
        <v/>
      </c>
      <c r="K580" t="str">
        <f t="shared" ref="K580:K643" si="18">IFERROR(IF(C580="","",SUM(M580:X580)),"0")</f>
        <v/>
      </c>
      <c r="L580" t="str">
        <f t="shared" ref="L580:L643" si="19">IFERROR(IF(C580="","",J580-K580),"0")</f>
        <v/>
      </c>
      <c r="M580" t="str">
        <f>IFERROR(IF($C580="","",SUMIFS(Ledger!$K$2:$K$4, Ledger!$B$2:$B$4, $A580, Ledger!$C$2:$C$4, M$2)),"****")</f>
        <v/>
      </c>
      <c r="N580" t="str">
        <f>IFERROR(IF($C580="","",SUMIFS(Ledger!$K$2:$K$4, Ledger!$B$2:$B$4, $A580, Ledger!$C$2:$C$4, N$2)),"****")</f>
        <v/>
      </c>
      <c r="O580" t="str">
        <f>IFERROR(IF($C580="","",SUMIFS(Ledger!$K$2:$K$4, Ledger!$B$2:$B$4, $A580, Ledger!$C$2:$C$4, O$2)),"****")</f>
        <v/>
      </c>
      <c r="P580" t="str">
        <f>IFERROR(IF($C580="","",SUMIFS(Ledger!$K$2:$K$4, Ledger!$B$2:$B$4, $A580, Ledger!$C$2:$C$4, P$2)),"****")</f>
        <v/>
      </c>
      <c r="Q580" t="str">
        <f>IFERROR(IF($C580="","",SUMIFS(Ledger!$K$2:$K$4, Ledger!$B$2:$B$4, $A580, Ledger!$C$2:$C$4, Q$2)),"****")</f>
        <v/>
      </c>
      <c r="R580" t="str">
        <f>IFERROR(IF($C580="","",SUMIFS(Ledger!$K$2:$K$4, Ledger!$B$2:$B$4, $A580, Ledger!$C$2:$C$4, R$2)),"****")</f>
        <v/>
      </c>
      <c r="S580" t="str">
        <f>IFERROR(IF($C580="","",SUMIFS(Ledger!$K$2:$K$4, Ledger!$B$2:$B$4, $A580, Ledger!$C$2:$C$4, S$2)),"****")</f>
        <v/>
      </c>
      <c r="T580" t="str">
        <f>IFERROR(IF($C580="","",SUMIFS(Ledger!$K$2:$K$4, Ledger!$B$2:$B$4, $A580, Ledger!$C$2:$C$4, T$2)),"****")</f>
        <v/>
      </c>
      <c r="U580" t="str">
        <f>IFERROR(IF($C580="","",SUMIFS(Ledger!$K$2:$K$4, Ledger!$B$2:$B$4, $A580, Ledger!$C$2:$C$4, U$2)),"****")</f>
        <v/>
      </c>
      <c r="V580" t="str">
        <f>IFERROR(IF($C580="","",SUMIFS(Ledger!$K$2:$K$4, Ledger!$B$2:$B$4, $A580, Ledger!$C$2:$C$4, V$2)),"****")</f>
        <v/>
      </c>
      <c r="W580" t="str">
        <f>IFERROR(IF($C580="","",SUMIFS(Ledger!$K$2:$K$4, Ledger!$B$2:$B$4, $A580, Ledger!$C$2:$C$4, W$2)),"****")</f>
        <v/>
      </c>
      <c r="X580" t="str">
        <f>IFERROR(IF($C580="","",SUMIFS(Ledger!$K$2:$K$4, Ledger!$B$2:$B$4, $A580, Ledger!$C$2:$C$4, X$2)),"****")</f>
        <v/>
      </c>
    </row>
    <row r="581" spans="1:24" x14ac:dyDescent="0.3">
      <c r="A581" s="106">
        <v>579</v>
      </c>
      <c r="B581" t="str">
        <f>IFERROR(VLOOKUP($A581, Ledger!$B$2:$L$8, 3, 0),"")</f>
        <v/>
      </c>
      <c r="C581" t="str">
        <f>IFERROR(VLOOKUP($A581, Ledger!$B$2:$L$8, 4, 0),"")</f>
        <v/>
      </c>
      <c r="D581" t="str">
        <f>IFERROR(VLOOKUP($A581, Ledger!$B$2:$L$8, 5, 0),"")</f>
        <v/>
      </c>
      <c r="E581" t="str">
        <f>IFERROR(VLOOKUP($A581, Ledger!$B$2:$L$8, 6, 0),"")</f>
        <v/>
      </c>
      <c r="F581" t="str">
        <f>IFERROR(VLOOKUP($A581,'Student Data'!$A$2:$AR$6,32,0),"")</f>
        <v/>
      </c>
      <c r="G581" t="str">
        <f>IFERROR(VLOOKUP($A581,'Student Data'!$A$2:$AR$6,33,0),"")</f>
        <v/>
      </c>
      <c r="H581" t="str">
        <f>IFERROR(VLOOKUP($A581,'Student Data'!$A$2:$AR$6,34,0),"")</f>
        <v/>
      </c>
      <c r="I581" t="str">
        <f>IFERROR(VLOOKUP($A581,'Student Data'!$A$2:$AR$6,35,0),"")</f>
        <v/>
      </c>
      <c r="J581" t="str">
        <f>IFERROR(VLOOKUP($A581,'Student Data'!$A$2:$AR$6,36,0),"")</f>
        <v/>
      </c>
      <c r="K581" t="str">
        <f t="shared" si="18"/>
        <v/>
      </c>
      <c r="L581" t="str">
        <f t="shared" si="19"/>
        <v/>
      </c>
      <c r="M581" t="str">
        <f>IFERROR(IF($C581="","",SUMIFS(Ledger!$K$2:$K$4, Ledger!$B$2:$B$4, $A581, Ledger!$C$2:$C$4, M$2)),"****")</f>
        <v/>
      </c>
      <c r="N581" t="str">
        <f>IFERROR(IF($C581="","",SUMIFS(Ledger!$K$2:$K$4, Ledger!$B$2:$B$4, $A581, Ledger!$C$2:$C$4, N$2)),"****")</f>
        <v/>
      </c>
      <c r="O581" t="str">
        <f>IFERROR(IF($C581="","",SUMIFS(Ledger!$K$2:$K$4, Ledger!$B$2:$B$4, $A581, Ledger!$C$2:$C$4, O$2)),"****")</f>
        <v/>
      </c>
      <c r="P581" t="str">
        <f>IFERROR(IF($C581="","",SUMIFS(Ledger!$K$2:$K$4, Ledger!$B$2:$B$4, $A581, Ledger!$C$2:$C$4, P$2)),"****")</f>
        <v/>
      </c>
      <c r="Q581" t="str">
        <f>IFERROR(IF($C581="","",SUMIFS(Ledger!$K$2:$K$4, Ledger!$B$2:$B$4, $A581, Ledger!$C$2:$C$4, Q$2)),"****")</f>
        <v/>
      </c>
      <c r="R581" t="str">
        <f>IFERROR(IF($C581="","",SUMIFS(Ledger!$K$2:$K$4, Ledger!$B$2:$B$4, $A581, Ledger!$C$2:$C$4, R$2)),"****")</f>
        <v/>
      </c>
      <c r="S581" t="str">
        <f>IFERROR(IF($C581="","",SUMIFS(Ledger!$K$2:$K$4, Ledger!$B$2:$B$4, $A581, Ledger!$C$2:$C$4, S$2)),"****")</f>
        <v/>
      </c>
      <c r="T581" t="str">
        <f>IFERROR(IF($C581="","",SUMIFS(Ledger!$K$2:$K$4, Ledger!$B$2:$B$4, $A581, Ledger!$C$2:$C$4, T$2)),"****")</f>
        <v/>
      </c>
      <c r="U581" t="str">
        <f>IFERROR(IF($C581="","",SUMIFS(Ledger!$K$2:$K$4, Ledger!$B$2:$B$4, $A581, Ledger!$C$2:$C$4, U$2)),"****")</f>
        <v/>
      </c>
      <c r="V581" t="str">
        <f>IFERROR(IF($C581="","",SUMIFS(Ledger!$K$2:$K$4, Ledger!$B$2:$B$4, $A581, Ledger!$C$2:$C$4, V$2)),"****")</f>
        <v/>
      </c>
      <c r="W581" t="str">
        <f>IFERROR(IF($C581="","",SUMIFS(Ledger!$K$2:$K$4, Ledger!$B$2:$B$4, $A581, Ledger!$C$2:$C$4, W$2)),"****")</f>
        <v/>
      </c>
      <c r="X581" t="str">
        <f>IFERROR(IF($C581="","",SUMIFS(Ledger!$K$2:$K$4, Ledger!$B$2:$B$4, $A581, Ledger!$C$2:$C$4, X$2)),"****")</f>
        <v/>
      </c>
    </row>
    <row r="582" spans="1:24" x14ac:dyDescent="0.3">
      <c r="A582" s="106">
        <v>580</v>
      </c>
      <c r="B582" t="str">
        <f>IFERROR(VLOOKUP($A582, Ledger!$B$2:$L$8, 3, 0),"")</f>
        <v/>
      </c>
      <c r="C582" t="str">
        <f>IFERROR(VLOOKUP($A582, Ledger!$B$2:$L$8, 4, 0),"")</f>
        <v/>
      </c>
      <c r="D582" t="str">
        <f>IFERROR(VLOOKUP($A582, Ledger!$B$2:$L$8, 5, 0),"")</f>
        <v/>
      </c>
      <c r="E582" t="str">
        <f>IFERROR(VLOOKUP($A582, Ledger!$B$2:$L$8, 6, 0),"")</f>
        <v/>
      </c>
      <c r="F582" t="str">
        <f>IFERROR(VLOOKUP($A582,'Student Data'!$A$2:$AR$6,32,0),"")</f>
        <v/>
      </c>
      <c r="G582" t="str">
        <f>IFERROR(VLOOKUP($A582,'Student Data'!$A$2:$AR$6,33,0),"")</f>
        <v/>
      </c>
      <c r="H582" t="str">
        <f>IFERROR(VLOOKUP($A582,'Student Data'!$A$2:$AR$6,34,0),"")</f>
        <v/>
      </c>
      <c r="I582" t="str">
        <f>IFERROR(VLOOKUP($A582,'Student Data'!$A$2:$AR$6,35,0),"")</f>
        <v/>
      </c>
      <c r="J582" t="str">
        <f>IFERROR(VLOOKUP($A582,'Student Data'!$A$2:$AR$6,36,0),"")</f>
        <v/>
      </c>
      <c r="K582" t="str">
        <f t="shared" si="18"/>
        <v/>
      </c>
      <c r="L582" t="str">
        <f t="shared" si="19"/>
        <v/>
      </c>
      <c r="M582" t="str">
        <f>IFERROR(IF($C582="","",SUMIFS(Ledger!$K$2:$K$4, Ledger!$B$2:$B$4, $A582, Ledger!$C$2:$C$4, M$2)),"****")</f>
        <v/>
      </c>
      <c r="N582" t="str">
        <f>IFERROR(IF($C582="","",SUMIFS(Ledger!$K$2:$K$4, Ledger!$B$2:$B$4, $A582, Ledger!$C$2:$C$4, N$2)),"****")</f>
        <v/>
      </c>
      <c r="O582" t="str">
        <f>IFERROR(IF($C582="","",SUMIFS(Ledger!$K$2:$K$4, Ledger!$B$2:$B$4, $A582, Ledger!$C$2:$C$4, O$2)),"****")</f>
        <v/>
      </c>
      <c r="P582" t="str">
        <f>IFERROR(IF($C582="","",SUMIFS(Ledger!$K$2:$K$4, Ledger!$B$2:$B$4, $A582, Ledger!$C$2:$C$4, P$2)),"****")</f>
        <v/>
      </c>
      <c r="Q582" t="str">
        <f>IFERROR(IF($C582="","",SUMIFS(Ledger!$K$2:$K$4, Ledger!$B$2:$B$4, $A582, Ledger!$C$2:$C$4, Q$2)),"****")</f>
        <v/>
      </c>
      <c r="R582" t="str">
        <f>IFERROR(IF($C582="","",SUMIFS(Ledger!$K$2:$K$4, Ledger!$B$2:$B$4, $A582, Ledger!$C$2:$C$4, R$2)),"****")</f>
        <v/>
      </c>
      <c r="S582" t="str">
        <f>IFERROR(IF($C582="","",SUMIFS(Ledger!$K$2:$K$4, Ledger!$B$2:$B$4, $A582, Ledger!$C$2:$C$4, S$2)),"****")</f>
        <v/>
      </c>
      <c r="T582" t="str">
        <f>IFERROR(IF($C582="","",SUMIFS(Ledger!$K$2:$K$4, Ledger!$B$2:$B$4, $A582, Ledger!$C$2:$C$4, T$2)),"****")</f>
        <v/>
      </c>
      <c r="U582" t="str">
        <f>IFERROR(IF($C582="","",SUMIFS(Ledger!$K$2:$K$4, Ledger!$B$2:$B$4, $A582, Ledger!$C$2:$C$4, U$2)),"****")</f>
        <v/>
      </c>
      <c r="V582" t="str">
        <f>IFERROR(IF($C582="","",SUMIFS(Ledger!$K$2:$K$4, Ledger!$B$2:$B$4, $A582, Ledger!$C$2:$C$4, V$2)),"****")</f>
        <v/>
      </c>
      <c r="W582" t="str">
        <f>IFERROR(IF($C582="","",SUMIFS(Ledger!$K$2:$K$4, Ledger!$B$2:$B$4, $A582, Ledger!$C$2:$C$4, W$2)),"****")</f>
        <v/>
      </c>
      <c r="X582" t="str">
        <f>IFERROR(IF($C582="","",SUMIFS(Ledger!$K$2:$K$4, Ledger!$B$2:$B$4, $A582, Ledger!$C$2:$C$4, X$2)),"****")</f>
        <v/>
      </c>
    </row>
    <row r="583" spans="1:24" x14ac:dyDescent="0.3">
      <c r="A583" s="106">
        <v>581</v>
      </c>
      <c r="B583" t="str">
        <f>IFERROR(VLOOKUP($A583, Ledger!$B$2:$L$8, 3, 0),"")</f>
        <v/>
      </c>
      <c r="C583" t="str">
        <f>IFERROR(VLOOKUP($A583, Ledger!$B$2:$L$8, 4, 0),"")</f>
        <v/>
      </c>
      <c r="D583" t="str">
        <f>IFERROR(VLOOKUP($A583, Ledger!$B$2:$L$8, 5, 0),"")</f>
        <v/>
      </c>
      <c r="E583" t="str">
        <f>IFERROR(VLOOKUP($A583, Ledger!$B$2:$L$8, 6, 0),"")</f>
        <v/>
      </c>
      <c r="F583" t="str">
        <f>IFERROR(VLOOKUP($A583,'Student Data'!$A$2:$AR$6,32,0),"")</f>
        <v/>
      </c>
      <c r="G583" t="str">
        <f>IFERROR(VLOOKUP($A583,'Student Data'!$A$2:$AR$6,33,0),"")</f>
        <v/>
      </c>
      <c r="H583" t="str">
        <f>IFERROR(VLOOKUP($A583,'Student Data'!$A$2:$AR$6,34,0),"")</f>
        <v/>
      </c>
      <c r="I583" t="str">
        <f>IFERROR(VLOOKUP($A583,'Student Data'!$A$2:$AR$6,35,0),"")</f>
        <v/>
      </c>
      <c r="J583" t="str">
        <f>IFERROR(VLOOKUP($A583,'Student Data'!$A$2:$AR$6,36,0),"")</f>
        <v/>
      </c>
      <c r="K583" t="str">
        <f t="shared" si="18"/>
        <v/>
      </c>
      <c r="L583" t="str">
        <f t="shared" si="19"/>
        <v/>
      </c>
      <c r="M583" t="str">
        <f>IFERROR(IF($C583="","",SUMIFS(Ledger!$K$2:$K$4, Ledger!$B$2:$B$4, $A583, Ledger!$C$2:$C$4, M$2)),"****")</f>
        <v/>
      </c>
      <c r="N583" t="str">
        <f>IFERROR(IF($C583="","",SUMIFS(Ledger!$K$2:$K$4, Ledger!$B$2:$B$4, $A583, Ledger!$C$2:$C$4, N$2)),"****")</f>
        <v/>
      </c>
      <c r="O583" t="str">
        <f>IFERROR(IF($C583="","",SUMIFS(Ledger!$K$2:$K$4, Ledger!$B$2:$B$4, $A583, Ledger!$C$2:$C$4, O$2)),"****")</f>
        <v/>
      </c>
      <c r="P583" t="str">
        <f>IFERROR(IF($C583="","",SUMIFS(Ledger!$K$2:$K$4, Ledger!$B$2:$B$4, $A583, Ledger!$C$2:$C$4, P$2)),"****")</f>
        <v/>
      </c>
      <c r="Q583" t="str">
        <f>IFERROR(IF($C583="","",SUMIFS(Ledger!$K$2:$K$4, Ledger!$B$2:$B$4, $A583, Ledger!$C$2:$C$4, Q$2)),"****")</f>
        <v/>
      </c>
      <c r="R583" t="str">
        <f>IFERROR(IF($C583="","",SUMIFS(Ledger!$K$2:$K$4, Ledger!$B$2:$B$4, $A583, Ledger!$C$2:$C$4, R$2)),"****")</f>
        <v/>
      </c>
      <c r="S583" t="str">
        <f>IFERROR(IF($C583="","",SUMIFS(Ledger!$K$2:$K$4, Ledger!$B$2:$B$4, $A583, Ledger!$C$2:$C$4, S$2)),"****")</f>
        <v/>
      </c>
      <c r="T583" t="str">
        <f>IFERROR(IF($C583="","",SUMIFS(Ledger!$K$2:$K$4, Ledger!$B$2:$B$4, $A583, Ledger!$C$2:$C$4, T$2)),"****")</f>
        <v/>
      </c>
      <c r="U583" t="str">
        <f>IFERROR(IF($C583="","",SUMIFS(Ledger!$K$2:$K$4, Ledger!$B$2:$B$4, $A583, Ledger!$C$2:$C$4, U$2)),"****")</f>
        <v/>
      </c>
      <c r="V583" t="str">
        <f>IFERROR(IF($C583="","",SUMIFS(Ledger!$K$2:$K$4, Ledger!$B$2:$B$4, $A583, Ledger!$C$2:$C$4, V$2)),"****")</f>
        <v/>
      </c>
      <c r="W583" t="str">
        <f>IFERROR(IF($C583="","",SUMIFS(Ledger!$K$2:$K$4, Ledger!$B$2:$B$4, $A583, Ledger!$C$2:$C$4, W$2)),"****")</f>
        <v/>
      </c>
      <c r="X583" t="str">
        <f>IFERROR(IF($C583="","",SUMIFS(Ledger!$K$2:$K$4, Ledger!$B$2:$B$4, $A583, Ledger!$C$2:$C$4, X$2)),"****")</f>
        <v/>
      </c>
    </row>
    <row r="584" spans="1:24" x14ac:dyDescent="0.3">
      <c r="A584" s="106">
        <v>582</v>
      </c>
      <c r="B584" t="str">
        <f>IFERROR(VLOOKUP($A584, Ledger!$B$2:$L$8, 3, 0),"")</f>
        <v/>
      </c>
      <c r="C584" t="str">
        <f>IFERROR(VLOOKUP($A584, Ledger!$B$2:$L$8, 4, 0),"")</f>
        <v/>
      </c>
      <c r="D584" t="str">
        <f>IFERROR(VLOOKUP($A584, Ledger!$B$2:$L$8, 5, 0),"")</f>
        <v/>
      </c>
      <c r="E584" t="str">
        <f>IFERROR(VLOOKUP($A584, Ledger!$B$2:$L$8, 6, 0),"")</f>
        <v/>
      </c>
      <c r="F584" t="str">
        <f>IFERROR(VLOOKUP($A584,'Student Data'!$A$2:$AR$6,32,0),"")</f>
        <v/>
      </c>
      <c r="G584" t="str">
        <f>IFERROR(VLOOKUP($A584,'Student Data'!$A$2:$AR$6,33,0),"")</f>
        <v/>
      </c>
      <c r="H584" t="str">
        <f>IFERROR(VLOOKUP($A584,'Student Data'!$A$2:$AR$6,34,0),"")</f>
        <v/>
      </c>
      <c r="I584" t="str">
        <f>IFERROR(VLOOKUP($A584,'Student Data'!$A$2:$AR$6,35,0),"")</f>
        <v/>
      </c>
      <c r="J584" t="str">
        <f>IFERROR(VLOOKUP($A584,'Student Data'!$A$2:$AR$6,36,0),"")</f>
        <v/>
      </c>
      <c r="K584" t="str">
        <f t="shared" si="18"/>
        <v/>
      </c>
      <c r="L584" t="str">
        <f t="shared" si="19"/>
        <v/>
      </c>
      <c r="M584" t="str">
        <f>IFERROR(IF($C584="","",SUMIFS(Ledger!$K$2:$K$4, Ledger!$B$2:$B$4, $A584, Ledger!$C$2:$C$4, M$2)),"****")</f>
        <v/>
      </c>
      <c r="N584" t="str">
        <f>IFERROR(IF($C584="","",SUMIFS(Ledger!$K$2:$K$4, Ledger!$B$2:$B$4, $A584, Ledger!$C$2:$C$4, N$2)),"****")</f>
        <v/>
      </c>
      <c r="O584" t="str">
        <f>IFERROR(IF($C584="","",SUMIFS(Ledger!$K$2:$K$4, Ledger!$B$2:$B$4, $A584, Ledger!$C$2:$C$4, O$2)),"****")</f>
        <v/>
      </c>
      <c r="P584" t="str">
        <f>IFERROR(IF($C584="","",SUMIFS(Ledger!$K$2:$K$4, Ledger!$B$2:$B$4, $A584, Ledger!$C$2:$C$4, P$2)),"****")</f>
        <v/>
      </c>
      <c r="Q584" t="str">
        <f>IFERROR(IF($C584="","",SUMIFS(Ledger!$K$2:$K$4, Ledger!$B$2:$B$4, $A584, Ledger!$C$2:$C$4, Q$2)),"****")</f>
        <v/>
      </c>
      <c r="R584" t="str">
        <f>IFERROR(IF($C584="","",SUMIFS(Ledger!$K$2:$K$4, Ledger!$B$2:$B$4, $A584, Ledger!$C$2:$C$4, R$2)),"****")</f>
        <v/>
      </c>
      <c r="S584" t="str">
        <f>IFERROR(IF($C584="","",SUMIFS(Ledger!$K$2:$K$4, Ledger!$B$2:$B$4, $A584, Ledger!$C$2:$C$4, S$2)),"****")</f>
        <v/>
      </c>
      <c r="T584" t="str">
        <f>IFERROR(IF($C584="","",SUMIFS(Ledger!$K$2:$K$4, Ledger!$B$2:$B$4, $A584, Ledger!$C$2:$C$4, T$2)),"****")</f>
        <v/>
      </c>
      <c r="U584" t="str">
        <f>IFERROR(IF($C584="","",SUMIFS(Ledger!$K$2:$K$4, Ledger!$B$2:$B$4, $A584, Ledger!$C$2:$C$4, U$2)),"****")</f>
        <v/>
      </c>
      <c r="V584" t="str">
        <f>IFERROR(IF($C584="","",SUMIFS(Ledger!$K$2:$K$4, Ledger!$B$2:$B$4, $A584, Ledger!$C$2:$C$4, V$2)),"****")</f>
        <v/>
      </c>
      <c r="W584" t="str">
        <f>IFERROR(IF($C584="","",SUMIFS(Ledger!$K$2:$K$4, Ledger!$B$2:$B$4, $A584, Ledger!$C$2:$C$4, W$2)),"****")</f>
        <v/>
      </c>
      <c r="X584" t="str">
        <f>IFERROR(IF($C584="","",SUMIFS(Ledger!$K$2:$K$4, Ledger!$B$2:$B$4, $A584, Ledger!$C$2:$C$4, X$2)),"****")</f>
        <v/>
      </c>
    </row>
    <row r="585" spans="1:24" x14ac:dyDescent="0.3">
      <c r="A585" s="106">
        <v>583</v>
      </c>
      <c r="B585" t="str">
        <f>IFERROR(VLOOKUP($A585, Ledger!$B$2:$L$8, 3, 0),"")</f>
        <v/>
      </c>
      <c r="C585" t="str">
        <f>IFERROR(VLOOKUP($A585, Ledger!$B$2:$L$8, 4, 0),"")</f>
        <v/>
      </c>
      <c r="D585" t="str">
        <f>IFERROR(VLOOKUP($A585, Ledger!$B$2:$L$8, 5, 0),"")</f>
        <v/>
      </c>
      <c r="E585" t="str">
        <f>IFERROR(VLOOKUP($A585, Ledger!$B$2:$L$8, 6, 0),"")</f>
        <v/>
      </c>
      <c r="F585" t="str">
        <f>IFERROR(VLOOKUP($A585,'Student Data'!$A$2:$AR$6,32,0),"")</f>
        <v/>
      </c>
      <c r="G585" t="str">
        <f>IFERROR(VLOOKUP($A585,'Student Data'!$A$2:$AR$6,33,0),"")</f>
        <v/>
      </c>
      <c r="H585" t="str">
        <f>IFERROR(VLOOKUP($A585,'Student Data'!$A$2:$AR$6,34,0),"")</f>
        <v/>
      </c>
      <c r="I585" t="str">
        <f>IFERROR(VLOOKUP($A585,'Student Data'!$A$2:$AR$6,35,0),"")</f>
        <v/>
      </c>
      <c r="J585" t="str">
        <f>IFERROR(VLOOKUP($A585,'Student Data'!$A$2:$AR$6,36,0),"")</f>
        <v/>
      </c>
      <c r="K585" t="str">
        <f t="shared" si="18"/>
        <v/>
      </c>
      <c r="L585" t="str">
        <f t="shared" si="19"/>
        <v/>
      </c>
      <c r="M585" t="str">
        <f>IFERROR(IF($C585="","",SUMIFS(Ledger!$K$2:$K$4, Ledger!$B$2:$B$4, $A585, Ledger!$C$2:$C$4, M$2)),"****")</f>
        <v/>
      </c>
      <c r="N585" t="str">
        <f>IFERROR(IF($C585="","",SUMIFS(Ledger!$K$2:$K$4, Ledger!$B$2:$B$4, $A585, Ledger!$C$2:$C$4, N$2)),"****")</f>
        <v/>
      </c>
      <c r="O585" t="str">
        <f>IFERROR(IF($C585="","",SUMIFS(Ledger!$K$2:$K$4, Ledger!$B$2:$B$4, $A585, Ledger!$C$2:$C$4, O$2)),"****")</f>
        <v/>
      </c>
      <c r="P585" t="str">
        <f>IFERROR(IF($C585="","",SUMIFS(Ledger!$K$2:$K$4, Ledger!$B$2:$B$4, $A585, Ledger!$C$2:$C$4, P$2)),"****")</f>
        <v/>
      </c>
      <c r="Q585" t="str">
        <f>IFERROR(IF($C585="","",SUMIFS(Ledger!$K$2:$K$4, Ledger!$B$2:$B$4, $A585, Ledger!$C$2:$C$4, Q$2)),"****")</f>
        <v/>
      </c>
      <c r="R585" t="str">
        <f>IFERROR(IF($C585="","",SUMIFS(Ledger!$K$2:$K$4, Ledger!$B$2:$B$4, $A585, Ledger!$C$2:$C$4, R$2)),"****")</f>
        <v/>
      </c>
      <c r="S585" t="str">
        <f>IFERROR(IF($C585="","",SUMIFS(Ledger!$K$2:$K$4, Ledger!$B$2:$B$4, $A585, Ledger!$C$2:$C$4, S$2)),"****")</f>
        <v/>
      </c>
      <c r="T585" t="str">
        <f>IFERROR(IF($C585="","",SUMIFS(Ledger!$K$2:$K$4, Ledger!$B$2:$B$4, $A585, Ledger!$C$2:$C$4, T$2)),"****")</f>
        <v/>
      </c>
      <c r="U585" t="str">
        <f>IFERROR(IF($C585="","",SUMIFS(Ledger!$K$2:$K$4, Ledger!$B$2:$B$4, $A585, Ledger!$C$2:$C$4, U$2)),"****")</f>
        <v/>
      </c>
      <c r="V585" t="str">
        <f>IFERROR(IF($C585="","",SUMIFS(Ledger!$K$2:$K$4, Ledger!$B$2:$B$4, $A585, Ledger!$C$2:$C$4, V$2)),"****")</f>
        <v/>
      </c>
      <c r="W585" t="str">
        <f>IFERROR(IF($C585="","",SUMIFS(Ledger!$K$2:$K$4, Ledger!$B$2:$B$4, $A585, Ledger!$C$2:$C$4, W$2)),"****")</f>
        <v/>
      </c>
      <c r="X585" t="str">
        <f>IFERROR(IF($C585="","",SUMIFS(Ledger!$K$2:$K$4, Ledger!$B$2:$B$4, $A585, Ledger!$C$2:$C$4, X$2)),"****")</f>
        <v/>
      </c>
    </row>
    <row r="586" spans="1:24" x14ac:dyDescent="0.3">
      <c r="A586" s="106">
        <v>584</v>
      </c>
      <c r="B586" t="str">
        <f>IFERROR(VLOOKUP($A586, Ledger!$B$2:$L$8, 3, 0),"")</f>
        <v/>
      </c>
      <c r="C586" t="str">
        <f>IFERROR(VLOOKUP($A586, Ledger!$B$2:$L$8, 4, 0),"")</f>
        <v/>
      </c>
      <c r="D586" t="str">
        <f>IFERROR(VLOOKUP($A586, Ledger!$B$2:$L$8, 5, 0),"")</f>
        <v/>
      </c>
      <c r="E586" t="str">
        <f>IFERROR(VLOOKUP($A586, Ledger!$B$2:$L$8, 6, 0),"")</f>
        <v/>
      </c>
      <c r="F586" t="str">
        <f>IFERROR(VLOOKUP($A586,'Student Data'!$A$2:$AR$6,32,0),"")</f>
        <v/>
      </c>
      <c r="G586" t="str">
        <f>IFERROR(VLOOKUP($A586,'Student Data'!$A$2:$AR$6,33,0),"")</f>
        <v/>
      </c>
      <c r="H586" t="str">
        <f>IFERROR(VLOOKUP($A586,'Student Data'!$A$2:$AR$6,34,0),"")</f>
        <v/>
      </c>
      <c r="I586" t="str">
        <f>IFERROR(VLOOKUP($A586,'Student Data'!$A$2:$AR$6,35,0),"")</f>
        <v/>
      </c>
      <c r="J586" t="str">
        <f>IFERROR(VLOOKUP($A586,'Student Data'!$A$2:$AR$6,36,0),"")</f>
        <v/>
      </c>
      <c r="K586" t="str">
        <f t="shared" si="18"/>
        <v/>
      </c>
      <c r="L586" t="str">
        <f t="shared" si="19"/>
        <v/>
      </c>
      <c r="M586" t="str">
        <f>IFERROR(IF($C586="","",SUMIFS(Ledger!$K$2:$K$4, Ledger!$B$2:$B$4, $A586, Ledger!$C$2:$C$4, M$2)),"****")</f>
        <v/>
      </c>
      <c r="N586" t="str">
        <f>IFERROR(IF($C586="","",SUMIFS(Ledger!$K$2:$K$4, Ledger!$B$2:$B$4, $A586, Ledger!$C$2:$C$4, N$2)),"****")</f>
        <v/>
      </c>
      <c r="O586" t="str">
        <f>IFERROR(IF($C586="","",SUMIFS(Ledger!$K$2:$K$4, Ledger!$B$2:$B$4, $A586, Ledger!$C$2:$C$4, O$2)),"****")</f>
        <v/>
      </c>
      <c r="P586" t="str">
        <f>IFERROR(IF($C586="","",SUMIFS(Ledger!$K$2:$K$4, Ledger!$B$2:$B$4, $A586, Ledger!$C$2:$C$4, P$2)),"****")</f>
        <v/>
      </c>
      <c r="Q586" t="str">
        <f>IFERROR(IF($C586="","",SUMIFS(Ledger!$K$2:$K$4, Ledger!$B$2:$B$4, $A586, Ledger!$C$2:$C$4, Q$2)),"****")</f>
        <v/>
      </c>
      <c r="R586" t="str">
        <f>IFERROR(IF($C586="","",SUMIFS(Ledger!$K$2:$K$4, Ledger!$B$2:$B$4, $A586, Ledger!$C$2:$C$4, R$2)),"****")</f>
        <v/>
      </c>
      <c r="S586" t="str">
        <f>IFERROR(IF($C586="","",SUMIFS(Ledger!$K$2:$K$4, Ledger!$B$2:$B$4, $A586, Ledger!$C$2:$C$4, S$2)),"****")</f>
        <v/>
      </c>
      <c r="T586" t="str">
        <f>IFERROR(IF($C586="","",SUMIFS(Ledger!$K$2:$K$4, Ledger!$B$2:$B$4, $A586, Ledger!$C$2:$C$4, T$2)),"****")</f>
        <v/>
      </c>
      <c r="U586" t="str">
        <f>IFERROR(IF($C586="","",SUMIFS(Ledger!$K$2:$K$4, Ledger!$B$2:$B$4, $A586, Ledger!$C$2:$C$4, U$2)),"****")</f>
        <v/>
      </c>
      <c r="V586" t="str">
        <f>IFERROR(IF($C586="","",SUMIFS(Ledger!$K$2:$K$4, Ledger!$B$2:$B$4, $A586, Ledger!$C$2:$C$4, V$2)),"****")</f>
        <v/>
      </c>
      <c r="W586" t="str">
        <f>IFERROR(IF($C586="","",SUMIFS(Ledger!$K$2:$K$4, Ledger!$B$2:$B$4, $A586, Ledger!$C$2:$C$4, W$2)),"****")</f>
        <v/>
      </c>
      <c r="X586" t="str">
        <f>IFERROR(IF($C586="","",SUMIFS(Ledger!$K$2:$K$4, Ledger!$B$2:$B$4, $A586, Ledger!$C$2:$C$4, X$2)),"****")</f>
        <v/>
      </c>
    </row>
    <row r="587" spans="1:24" x14ac:dyDescent="0.3">
      <c r="A587" s="106">
        <v>585</v>
      </c>
      <c r="B587" t="str">
        <f>IFERROR(VLOOKUP($A587, Ledger!$B$2:$L$8, 3, 0),"")</f>
        <v/>
      </c>
      <c r="C587" t="str">
        <f>IFERROR(VLOOKUP($A587, Ledger!$B$2:$L$8, 4, 0),"")</f>
        <v/>
      </c>
      <c r="D587" t="str">
        <f>IFERROR(VLOOKUP($A587, Ledger!$B$2:$L$8, 5, 0),"")</f>
        <v/>
      </c>
      <c r="E587" t="str">
        <f>IFERROR(VLOOKUP($A587, Ledger!$B$2:$L$8, 6, 0),"")</f>
        <v/>
      </c>
      <c r="F587" t="str">
        <f>IFERROR(VLOOKUP($A587,'Student Data'!$A$2:$AR$6,32,0),"")</f>
        <v/>
      </c>
      <c r="G587" t="str">
        <f>IFERROR(VLOOKUP($A587,'Student Data'!$A$2:$AR$6,33,0),"")</f>
        <v/>
      </c>
      <c r="H587" t="str">
        <f>IFERROR(VLOOKUP($A587,'Student Data'!$A$2:$AR$6,34,0),"")</f>
        <v/>
      </c>
      <c r="I587" t="str">
        <f>IFERROR(VLOOKUP($A587,'Student Data'!$A$2:$AR$6,35,0),"")</f>
        <v/>
      </c>
      <c r="J587" t="str">
        <f>IFERROR(VLOOKUP($A587,'Student Data'!$A$2:$AR$6,36,0),"")</f>
        <v/>
      </c>
      <c r="K587" t="str">
        <f t="shared" si="18"/>
        <v/>
      </c>
      <c r="L587" t="str">
        <f t="shared" si="19"/>
        <v/>
      </c>
      <c r="M587" t="str">
        <f>IFERROR(IF($C587="","",SUMIFS(Ledger!$K$2:$K$4, Ledger!$B$2:$B$4, $A587, Ledger!$C$2:$C$4, M$2)),"****")</f>
        <v/>
      </c>
      <c r="N587" t="str">
        <f>IFERROR(IF($C587="","",SUMIFS(Ledger!$K$2:$K$4, Ledger!$B$2:$B$4, $A587, Ledger!$C$2:$C$4, N$2)),"****")</f>
        <v/>
      </c>
      <c r="O587" t="str">
        <f>IFERROR(IF($C587="","",SUMIFS(Ledger!$K$2:$K$4, Ledger!$B$2:$B$4, $A587, Ledger!$C$2:$C$4, O$2)),"****")</f>
        <v/>
      </c>
      <c r="P587" t="str">
        <f>IFERROR(IF($C587="","",SUMIFS(Ledger!$K$2:$K$4, Ledger!$B$2:$B$4, $A587, Ledger!$C$2:$C$4, P$2)),"****")</f>
        <v/>
      </c>
      <c r="Q587" t="str">
        <f>IFERROR(IF($C587="","",SUMIFS(Ledger!$K$2:$K$4, Ledger!$B$2:$B$4, $A587, Ledger!$C$2:$C$4, Q$2)),"****")</f>
        <v/>
      </c>
      <c r="R587" t="str">
        <f>IFERROR(IF($C587="","",SUMIFS(Ledger!$K$2:$K$4, Ledger!$B$2:$B$4, $A587, Ledger!$C$2:$C$4, R$2)),"****")</f>
        <v/>
      </c>
      <c r="S587" t="str">
        <f>IFERROR(IF($C587="","",SUMIFS(Ledger!$K$2:$K$4, Ledger!$B$2:$B$4, $A587, Ledger!$C$2:$C$4, S$2)),"****")</f>
        <v/>
      </c>
      <c r="T587" t="str">
        <f>IFERROR(IF($C587="","",SUMIFS(Ledger!$K$2:$K$4, Ledger!$B$2:$B$4, $A587, Ledger!$C$2:$C$4, T$2)),"****")</f>
        <v/>
      </c>
      <c r="U587" t="str">
        <f>IFERROR(IF($C587="","",SUMIFS(Ledger!$K$2:$K$4, Ledger!$B$2:$B$4, $A587, Ledger!$C$2:$C$4, U$2)),"****")</f>
        <v/>
      </c>
      <c r="V587" t="str">
        <f>IFERROR(IF($C587="","",SUMIFS(Ledger!$K$2:$K$4, Ledger!$B$2:$B$4, $A587, Ledger!$C$2:$C$4, V$2)),"****")</f>
        <v/>
      </c>
      <c r="W587" t="str">
        <f>IFERROR(IF($C587="","",SUMIFS(Ledger!$K$2:$K$4, Ledger!$B$2:$B$4, $A587, Ledger!$C$2:$C$4, W$2)),"****")</f>
        <v/>
      </c>
      <c r="X587" t="str">
        <f>IFERROR(IF($C587="","",SUMIFS(Ledger!$K$2:$K$4, Ledger!$B$2:$B$4, $A587, Ledger!$C$2:$C$4, X$2)),"****")</f>
        <v/>
      </c>
    </row>
    <row r="588" spans="1:24" x14ac:dyDescent="0.3">
      <c r="A588" s="106">
        <v>586</v>
      </c>
      <c r="B588" t="str">
        <f>IFERROR(VLOOKUP($A588, Ledger!$B$2:$L$8, 3, 0),"")</f>
        <v/>
      </c>
      <c r="C588" t="str">
        <f>IFERROR(VLOOKUP($A588, Ledger!$B$2:$L$8, 4, 0),"")</f>
        <v/>
      </c>
      <c r="D588" t="str">
        <f>IFERROR(VLOOKUP($A588, Ledger!$B$2:$L$8, 5, 0),"")</f>
        <v/>
      </c>
      <c r="E588" t="str">
        <f>IFERROR(VLOOKUP($A588, Ledger!$B$2:$L$8, 6, 0),"")</f>
        <v/>
      </c>
      <c r="F588" t="str">
        <f>IFERROR(VLOOKUP($A588,'Student Data'!$A$2:$AR$6,32,0),"")</f>
        <v/>
      </c>
      <c r="G588" t="str">
        <f>IFERROR(VLOOKUP($A588,'Student Data'!$A$2:$AR$6,33,0),"")</f>
        <v/>
      </c>
      <c r="H588" t="str">
        <f>IFERROR(VLOOKUP($A588,'Student Data'!$A$2:$AR$6,34,0),"")</f>
        <v/>
      </c>
      <c r="I588" t="str">
        <f>IFERROR(VLOOKUP($A588,'Student Data'!$A$2:$AR$6,35,0),"")</f>
        <v/>
      </c>
      <c r="J588" t="str">
        <f>IFERROR(VLOOKUP($A588,'Student Data'!$A$2:$AR$6,36,0),"")</f>
        <v/>
      </c>
      <c r="K588" t="str">
        <f t="shared" si="18"/>
        <v/>
      </c>
      <c r="L588" t="str">
        <f t="shared" si="19"/>
        <v/>
      </c>
      <c r="M588" t="str">
        <f>IFERROR(IF($C588="","",SUMIFS(Ledger!$K$2:$K$4, Ledger!$B$2:$B$4, $A588, Ledger!$C$2:$C$4, M$2)),"****")</f>
        <v/>
      </c>
      <c r="N588" t="str">
        <f>IFERROR(IF($C588="","",SUMIFS(Ledger!$K$2:$K$4, Ledger!$B$2:$B$4, $A588, Ledger!$C$2:$C$4, N$2)),"****")</f>
        <v/>
      </c>
      <c r="O588" t="str">
        <f>IFERROR(IF($C588="","",SUMIFS(Ledger!$K$2:$K$4, Ledger!$B$2:$B$4, $A588, Ledger!$C$2:$C$4, O$2)),"****")</f>
        <v/>
      </c>
      <c r="P588" t="str">
        <f>IFERROR(IF($C588="","",SUMIFS(Ledger!$K$2:$K$4, Ledger!$B$2:$B$4, $A588, Ledger!$C$2:$C$4, P$2)),"****")</f>
        <v/>
      </c>
      <c r="Q588" t="str">
        <f>IFERROR(IF($C588="","",SUMIFS(Ledger!$K$2:$K$4, Ledger!$B$2:$B$4, $A588, Ledger!$C$2:$C$4, Q$2)),"****")</f>
        <v/>
      </c>
      <c r="R588" t="str">
        <f>IFERROR(IF($C588="","",SUMIFS(Ledger!$K$2:$K$4, Ledger!$B$2:$B$4, $A588, Ledger!$C$2:$C$4, R$2)),"****")</f>
        <v/>
      </c>
      <c r="S588" t="str">
        <f>IFERROR(IF($C588="","",SUMIFS(Ledger!$K$2:$K$4, Ledger!$B$2:$B$4, $A588, Ledger!$C$2:$C$4, S$2)),"****")</f>
        <v/>
      </c>
      <c r="T588" t="str">
        <f>IFERROR(IF($C588="","",SUMIFS(Ledger!$K$2:$K$4, Ledger!$B$2:$B$4, $A588, Ledger!$C$2:$C$4, T$2)),"****")</f>
        <v/>
      </c>
      <c r="U588" t="str">
        <f>IFERROR(IF($C588="","",SUMIFS(Ledger!$K$2:$K$4, Ledger!$B$2:$B$4, $A588, Ledger!$C$2:$C$4, U$2)),"****")</f>
        <v/>
      </c>
      <c r="V588" t="str">
        <f>IFERROR(IF($C588="","",SUMIFS(Ledger!$K$2:$K$4, Ledger!$B$2:$B$4, $A588, Ledger!$C$2:$C$4, V$2)),"****")</f>
        <v/>
      </c>
      <c r="W588" t="str">
        <f>IFERROR(IF($C588="","",SUMIFS(Ledger!$K$2:$K$4, Ledger!$B$2:$B$4, $A588, Ledger!$C$2:$C$4, W$2)),"****")</f>
        <v/>
      </c>
      <c r="X588" t="str">
        <f>IFERROR(IF($C588="","",SUMIFS(Ledger!$K$2:$K$4, Ledger!$B$2:$B$4, $A588, Ledger!$C$2:$C$4, X$2)),"****")</f>
        <v/>
      </c>
    </row>
    <row r="589" spans="1:24" x14ac:dyDescent="0.3">
      <c r="A589" s="106">
        <v>587</v>
      </c>
      <c r="B589" t="str">
        <f>IFERROR(VLOOKUP($A589, Ledger!$B$2:$L$8, 3, 0),"")</f>
        <v/>
      </c>
      <c r="C589" t="str">
        <f>IFERROR(VLOOKUP($A589, Ledger!$B$2:$L$8, 4, 0),"")</f>
        <v/>
      </c>
      <c r="D589" t="str">
        <f>IFERROR(VLOOKUP($A589, Ledger!$B$2:$L$8, 5, 0),"")</f>
        <v/>
      </c>
      <c r="E589" t="str">
        <f>IFERROR(VLOOKUP($A589, Ledger!$B$2:$L$8, 6, 0),"")</f>
        <v/>
      </c>
      <c r="F589" t="str">
        <f>IFERROR(VLOOKUP($A589,'Student Data'!$A$2:$AR$6,32,0),"")</f>
        <v/>
      </c>
      <c r="G589" t="str">
        <f>IFERROR(VLOOKUP($A589,'Student Data'!$A$2:$AR$6,33,0),"")</f>
        <v/>
      </c>
      <c r="H589" t="str">
        <f>IFERROR(VLOOKUP($A589,'Student Data'!$A$2:$AR$6,34,0),"")</f>
        <v/>
      </c>
      <c r="I589" t="str">
        <f>IFERROR(VLOOKUP($A589,'Student Data'!$A$2:$AR$6,35,0),"")</f>
        <v/>
      </c>
      <c r="J589" t="str">
        <f>IFERROR(VLOOKUP($A589,'Student Data'!$A$2:$AR$6,36,0),"")</f>
        <v/>
      </c>
      <c r="K589" t="str">
        <f t="shared" si="18"/>
        <v/>
      </c>
      <c r="L589" t="str">
        <f t="shared" si="19"/>
        <v/>
      </c>
      <c r="M589" t="str">
        <f>IFERROR(IF($C589="","",SUMIFS(Ledger!$K$2:$K$4, Ledger!$B$2:$B$4, $A589, Ledger!$C$2:$C$4, M$2)),"****")</f>
        <v/>
      </c>
      <c r="N589" t="str">
        <f>IFERROR(IF($C589="","",SUMIFS(Ledger!$K$2:$K$4, Ledger!$B$2:$B$4, $A589, Ledger!$C$2:$C$4, N$2)),"****")</f>
        <v/>
      </c>
      <c r="O589" t="str">
        <f>IFERROR(IF($C589="","",SUMIFS(Ledger!$K$2:$K$4, Ledger!$B$2:$B$4, $A589, Ledger!$C$2:$C$4, O$2)),"****")</f>
        <v/>
      </c>
      <c r="P589" t="str">
        <f>IFERROR(IF($C589="","",SUMIFS(Ledger!$K$2:$K$4, Ledger!$B$2:$B$4, $A589, Ledger!$C$2:$C$4, P$2)),"****")</f>
        <v/>
      </c>
      <c r="Q589" t="str">
        <f>IFERROR(IF($C589="","",SUMIFS(Ledger!$K$2:$K$4, Ledger!$B$2:$B$4, $A589, Ledger!$C$2:$C$4, Q$2)),"****")</f>
        <v/>
      </c>
      <c r="R589" t="str">
        <f>IFERROR(IF($C589="","",SUMIFS(Ledger!$K$2:$K$4, Ledger!$B$2:$B$4, $A589, Ledger!$C$2:$C$4, R$2)),"****")</f>
        <v/>
      </c>
      <c r="S589" t="str">
        <f>IFERROR(IF($C589="","",SUMIFS(Ledger!$K$2:$K$4, Ledger!$B$2:$B$4, $A589, Ledger!$C$2:$C$4, S$2)),"****")</f>
        <v/>
      </c>
      <c r="T589" t="str">
        <f>IFERROR(IF($C589="","",SUMIFS(Ledger!$K$2:$K$4, Ledger!$B$2:$B$4, $A589, Ledger!$C$2:$C$4, T$2)),"****")</f>
        <v/>
      </c>
      <c r="U589" t="str">
        <f>IFERROR(IF($C589="","",SUMIFS(Ledger!$K$2:$K$4, Ledger!$B$2:$B$4, $A589, Ledger!$C$2:$C$4, U$2)),"****")</f>
        <v/>
      </c>
      <c r="V589" t="str">
        <f>IFERROR(IF($C589="","",SUMIFS(Ledger!$K$2:$K$4, Ledger!$B$2:$B$4, $A589, Ledger!$C$2:$C$4, V$2)),"****")</f>
        <v/>
      </c>
      <c r="W589" t="str">
        <f>IFERROR(IF($C589="","",SUMIFS(Ledger!$K$2:$K$4, Ledger!$B$2:$B$4, $A589, Ledger!$C$2:$C$4, W$2)),"****")</f>
        <v/>
      </c>
      <c r="X589" t="str">
        <f>IFERROR(IF($C589="","",SUMIFS(Ledger!$K$2:$K$4, Ledger!$B$2:$B$4, $A589, Ledger!$C$2:$C$4, X$2)),"****")</f>
        <v/>
      </c>
    </row>
    <row r="590" spans="1:24" x14ac:dyDescent="0.3">
      <c r="A590" s="106">
        <v>588</v>
      </c>
      <c r="B590" t="str">
        <f>IFERROR(VLOOKUP($A590, Ledger!$B$2:$L$8, 3, 0),"")</f>
        <v/>
      </c>
      <c r="C590" t="str">
        <f>IFERROR(VLOOKUP($A590, Ledger!$B$2:$L$8, 4, 0),"")</f>
        <v/>
      </c>
      <c r="D590" t="str">
        <f>IFERROR(VLOOKUP($A590, Ledger!$B$2:$L$8, 5, 0),"")</f>
        <v/>
      </c>
      <c r="E590" t="str">
        <f>IFERROR(VLOOKUP($A590, Ledger!$B$2:$L$8, 6, 0),"")</f>
        <v/>
      </c>
      <c r="F590" t="str">
        <f>IFERROR(VLOOKUP($A590,'Student Data'!$A$2:$AR$6,32,0),"")</f>
        <v/>
      </c>
      <c r="G590" t="str">
        <f>IFERROR(VLOOKUP($A590,'Student Data'!$A$2:$AR$6,33,0),"")</f>
        <v/>
      </c>
      <c r="H590" t="str">
        <f>IFERROR(VLOOKUP($A590,'Student Data'!$A$2:$AR$6,34,0),"")</f>
        <v/>
      </c>
      <c r="I590" t="str">
        <f>IFERROR(VLOOKUP($A590,'Student Data'!$A$2:$AR$6,35,0),"")</f>
        <v/>
      </c>
      <c r="J590" t="str">
        <f>IFERROR(VLOOKUP($A590,'Student Data'!$A$2:$AR$6,36,0),"")</f>
        <v/>
      </c>
      <c r="K590" t="str">
        <f t="shared" si="18"/>
        <v/>
      </c>
      <c r="L590" t="str">
        <f t="shared" si="19"/>
        <v/>
      </c>
      <c r="M590" t="str">
        <f>IFERROR(IF($C590="","",SUMIFS(Ledger!$K$2:$K$4, Ledger!$B$2:$B$4, $A590, Ledger!$C$2:$C$4, M$2)),"****")</f>
        <v/>
      </c>
      <c r="N590" t="str">
        <f>IFERROR(IF($C590="","",SUMIFS(Ledger!$K$2:$K$4, Ledger!$B$2:$B$4, $A590, Ledger!$C$2:$C$4, N$2)),"****")</f>
        <v/>
      </c>
      <c r="O590" t="str">
        <f>IFERROR(IF($C590="","",SUMIFS(Ledger!$K$2:$K$4, Ledger!$B$2:$B$4, $A590, Ledger!$C$2:$C$4, O$2)),"****")</f>
        <v/>
      </c>
      <c r="P590" t="str">
        <f>IFERROR(IF($C590="","",SUMIFS(Ledger!$K$2:$K$4, Ledger!$B$2:$B$4, $A590, Ledger!$C$2:$C$4, P$2)),"****")</f>
        <v/>
      </c>
      <c r="Q590" t="str">
        <f>IFERROR(IF($C590="","",SUMIFS(Ledger!$K$2:$K$4, Ledger!$B$2:$B$4, $A590, Ledger!$C$2:$C$4, Q$2)),"****")</f>
        <v/>
      </c>
      <c r="R590" t="str">
        <f>IFERROR(IF($C590="","",SUMIFS(Ledger!$K$2:$K$4, Ledger!$B$2:$B$4, $A590, Ledger!$C$2:$C$4, R$2)),"****")</f>
        <v/>
      </c>
      <c r="S590" t="str">
        <f>IFERROR(IF($C590="","",SUMIFS(Ledger!$K$2:$K$4, Ledger!$B$2:$B$4, $A590, Ledger!$C$2:$C$4, S$2)),"****")</f>
        <v/>
      </c>
      <c r="T590" t="str">
        <f>IFERROR(IF($C590="","",SUMIFS(Ledger!$K$2:$K$4, Ledger!$B$2:$B$4, $A590, Ledger!$C$2:$C$4, T$2)),"****")</f>
        <v/>
      </c>
      <c r="U590" t="str">
        <f>IFERROR(IF($C590="","",SUMIFS(Ledger!$K$2:$K$4, Ledger!$B$2:$B$4, $A590, Ledger!$C$2:$C$4, U$2)),"****")</f>
        <v/>
      </c>
      <c r="V590" t="str">
        <f>IFERROR(IF($C590="","",SUMIFS(Ledger!$K$2:$K$4, Ledger!$B$2:$B$4, $A590, Ledger!$C$2:$C$4, V$2)),"****")</f>
        <v/>
      </c>
      <c r="W590" t="str">
        <f>IFERROR(IF($C590="","",SUMIFS(Ledger!$K$2:$K$4, Ledger!$B$2:$B$4, $A590, Ledger!$C$2:$C$4, W$2)),"****")</f>
        <v/>
      </c>
      <c r="X590" t="str">
        <f>IFERROR(IF($C590="","",SUMIFS(Ledger!$K$2:$K$4, Ledger!$B$2:$B$4, $A590, Ledger!$C$2:$C$4, X$2)),"****")</f>
        <v/>
      </c>
    </row>
    <row r="591" spans="1:24" x14ac:dyDescent="0.3">
      <c r="A591" s="106">
        <v>589</v>
      </c>
      <c r="B591" t="str">
        <f>IFERROR(VLOOKUP($A591, Ledger!$B$2:$L$8, 3, 0),"")</f>
        <v/>
      </c>
      <c r="C591" t="str">
        <f>IFERROR(VLOOKUP($A591, Ledger!$B$2:$L$8, 4, 0),"")</f>
        <v/>
      </c>
      <c r="D591" t="str">
        <f>IFERROR(VLOOKUP($A591, Ledger!$B$2:$L$8, 5, 0),"")</f>
        <v/>
      </c>
      <c r="E591" t="str">
        <f>IFERROR(VLOOKUP($A591, Ledger!$B$2:$L$8, 6, 0),"")</f>
        <v/>
      </c>
      <c r="F591" t="str">
        <f>IFERROR(VLOOKUP($A591,'Student Data'!$A$2:$AR$6,32,0),"")</f>
        <v/>
      </c>
      <c r="G591" t="str">
        <f>IFERROR(VLOOKUP($A591,'Student Data'!$A$2:$AR$6,33,0),"")</f>
        <v/>
      </c>
      <c r="H591" t="str">
        <f>IFERROR(VLOOKUP($A591,'Student Data'!$A$2:$AR$6,34,0),"")</f>
        <v/>
      </c>
      <c r="I591" t="str">
        <f>IFERROR(VLOOKUP($A591,'Student Data'!$A$2:$AR$6,35,0),"")</f>
        <v/>
      </c>
      <c r="J591" t="str">
        <f>IFERROR(VLOOKUP($A591,'Student Data'!$A$2:$AR$6,36,0),"")</f>
        <v/>
      </c>
      <c r="K591" t="str">
        <f t="shared" si="18"/>
        <v/>
      </c>
      <c r="L591" t="str">
        <f t="shared" si="19"/>
        <v/>
      </c>
      <c r="M591" t="str">
        <f>IFERROR(IF($C591="","",SUMIFS(Ledger!$K$2:$K$4, Ledger!$B$2:$B$4, $A591, Ledger!$C$2:$C$4, M$2)),"****")</f>
        <v/>
      </c>
      <c r="N591" t="str">
        <f>IFERROR(IF($C591="","",SUMIFS(Ledger!$K$2:$K$4, Ledger!$B$2:$B$4, $A591, Ledger!$C$2:$C$4, N$2)),"****")</f>
        <v/>
      </c>
      <c r="O591" t="str">
        <f>IFERROR(IF($C591="","",SUMIFS(Ledger!$K$2:$K$4, Ledger!$B$2:$B$4, $A591, Ledger!$C$2:$C$4, O$2)),"****")</f>
        <v/>
      </c>
      <c r="P591" t="str">
        <f>IFERROR(IF($C591="","",SUMIFS(Ledger!$K$2:$K$4, Ledger!$B$2:$B$4, $A591, Ledger!$C$2:$C$4, P$2)),"****")</f>
        <v/>
      </c>
      <c r="Q591" t="str">
        <f>IFERROR(IF($C591="","",SUMIFS(Ledger!$K$2:$K$4, Ledger!$B$2:$B$4, $A591, Ledger!$C$2:$C$4, Q$2)),"****")</f>
        <v/>
      </c>
      <c r="R591" t="str">
        <f>IFERROR(IF($C591="","",SUMIFS(Ledger!$K$2:$K$4, Ledger!$B$2:$B$4, $A591, Ledger!$C$2:$C$4, R$2)),"****")</f>
        <v/>
      </c>
      <c r="S591" t="str">
        <f>IFERROR(IF($C591="","",SUMIFS(Ledger!$K$2:$K$4, Ledger!$B$2:$B$4, $A591, Ledger!$C$2:$C$4, S$2)),"****")</f>
        <v/>
      </c>
      <c r="T591" t="str">
        <f>IFERROR(IF($C591="","",SUMIFS(Ledger!$K$2:$K$4, Ledger!$B$2:$B$4, $A591, Ledger!$C$2:$C$4, T$2)),"****")</f>
        <v/>
      </c>
      <c r="U591" t="str">
        <f>IFERROR(IF($C591="","",SUMIFS(Ledger!$K$2:$K$4, Ledger!$B$2:$B$4, $A591, Ledger!$C$2:$C$4, U$2)),"****")</f>
        <v/>
      </c>
      <c r="V591" t="str">
        <f>IFERROR(IF($C591="","",SUMIFS(Ledger!$K$2:$K$4, Ledger!$B$2:$B$4, $A591, Ledger!$C$2:$C$4, V$2)),"****")</f>
        <v/>
      </c>
      <c r="W591" t="str">
        <f>IFERROR(IF($C591="","",SUMIFS(Ledger!$K$2:$K$4, Ledger!$B$2:$B$4, $A591, Ledger!$C$2:$C$4, W$2)),"****")</f>
        <v/>
      </c>
      <c r="X591" t="str">
        <f>IFERROR(IF($C591="","",SUMIFS(Ledger!$K$2:$K$4, Ledger!$B$2:$B$4, $A591, Ledger!$C$2:$C$4, X$2)),"****")</f>
        <v/>
      </c>
    </row>
    <row r="592" spans="1:24" x14ac:dyDescent="0.3">
      <c r="A592" s="106">
        <v>590</v>
      </c>
      <c r="B592" t="str">
        <f>IFERROR(VLOOKUP($A592, Ledger!$B$2:$L$8, 3, 0),"")</f>
        <v/>
      </c>
      <c r="C592" t="str">
        <f>IFERROR(VLOOKUP($A592, Ledger!$B$2:$L$8, 4, 0),"")</f>
        <v/>
      </c>
      <c r="D592" t="str">
        <f>IFERROR(VLOOKUP($A592, Ledger!$B$2:$L$8, 5, 0),"")</f>
        <v/>
      </c>
      <c r="E592" t="str">
        <f>IFERROR(VLOOKUP($A592, Ledger!$B$2:$L$8, 6, 0),"")</f>
        <v/>
      </c>
      <c r="F592" t="str">
        <f>IFERROR(VLOOKUP($A592,'Student Data'!$A$2:$AR$6,32,0),"")</f>
        <v/>
      </c>
      <c r="G592" t="str">
        <f>IFERROR(VLOOKUP($A592,'Student Data'!$A$2:$AR$6,33,0),"")</f>
        <v/>
      </c>
      <c r="H592" t="str">
        <f>IFERROR(VLOOKUP($A592,'Student Data'!$A$2:$AR$6,34,0),"")</f>
        <v/>
      </c>
      <c r="I592" t="str">
        <f>IFERROR(VLOOKUP($A592,'Student Data'!$A$2:$AR$6,35,0),"")</f>
        <v/>
      </c>
      <c r="J592" t="str">
        <f>IFERROR(VLOOKUP($A592,'Student Data'!$A$2:$AR$6,36,0),"")</f>
        <v/>
      </c>
      <c r="K592" t="str">
        <f t="shared" si="18"/>
        <v/>
      </c>
      <c r="L592" t="str">
        <f t="shared" si="19"/>
        <v/>
      </c>
      <c r="M592" t="str">
        <f>IFERROR(IF($C592="","",SUMIFS(Ledger!$K$2:$K$4, Ledger!$B$2:$B$4, $A592, Ledger!$C$2:$C$4, M$2)),"****")</f>
        <v/>
      </c>
      <c r="N592" t="str">
        <f>IFERROR(IF($C592="","",SUMIFS(Ledger!$K$2:$K$4, Ledger!$B$2:$B$4, $A592, Ledger!$C$2:$C$4, N$2)),"****")</f>
        <v/>
      </c>
      <c r="O592" t="str">
        <f>IFERROR(IF($C592="","",SUMIFS(Ledger!$K$2:$K$4, Ledger!$B$2:$B$4, $A592, Ledger!$C$2:$C$4, O$2)),"****")</f>
        <v/>
      </c>
      <c r="P592" t="str">
        <f>IFERROR(IF($C592="","",SUMIFS(Ledger!$K$2:$K$4, Ledger!$B$2:$B$4, $A592, Ledger!$C$2:$C$4, P$2)),"****")</f>
        <v/>
      </c>
      <c r="Q592" t="str">
        <f>IFERROR(IF($C592="","",SUMIFS(Ledger!$K$2:$K$4, Ledger!$B$2:$B$4, $A592, Ledger!$C$2:$C$4, Q$2)),"****")</f>
        <v/>
      </c>
      <c r="R592" t="str">
        <f>IFERROR(IF($C592="","",SUMIFS(Ledger!$K$2:$K$4, Ledger!$B$2:$B$4, $A592, Ledger!$C$2:$C$4, R$2)),"****")</f>
        <v/>
      </c>
      <c r="S592" t="str">
        <f>IFERROR(IF($C592="","",SUMIFS(Ledger!$K$2:$K$4, Ledger!$B$2:$B$4, $A592, Ledger!$C$2:$C$4, S$2)),"****")</f>
        <v/>
      </c>
      <c r="T592" t="str">
        <f>IFERROR(IF($C592="","",SUMIFS(Ledger!$K$2:$K$4, Ledger!$B$2:$B$4, $A592, Ledger!$C$2:$C$4, T$2)),"****")</f>
        <v/>
      </c>
      <c r="U592" t="str">
        <f>IFERROR(IF($C592="","",SUMIFS(Ledger!$K$2:$K$4, Ledger!$B$2:$B$4, $A592, Ledger!$C$2:$C$4, U$2)),"****")</f>
        <v/>
      </c>
      <c r="V592" t="str">
        <f>IFERROR(IF($C592="","",SUMIFS(Ledger!$K$2:$K$4, Ledger!$B$2:$B$4, $A592, Ledger!$C$2:$C$4, V$2)),"****")</f>
        <v/>
      </c>
      <c r="W592" t="str">
        <f>IFERROR(IF($C592="","",SUMIFS(Ledger!$K$2:$K$4, Ledger!$B$2:$B$4, $A592, Ledger!$C$2:$C$4, W$2)),"****")</f>
        <v/>
      </c>
      <c r="X592" t="str">
        <f>IFERROR(IF($C592="","",SUMIFS(Ledger!$K$2:$K$4, Ledger!$B$2:$B$4, $A592, Ledger!$C$2:$C$4, X$2)),"****")</f>
        <v/>
      </c>
    </row>
    <row r="593" spans="1:24" x14ac:dyDescent="0.3">
      <c r="A593" s="106">
        <v>591</v>
      </c>
      <c r="B593" t="str">
        <f>IFERROR(VLOOKUP($A593, Ledger!$B$2:$L$8, 3, 0),"")</f>
        <v/>
      </c>
      <c r="C593" t="str">
        <f>IFERROR(VLOOKUP($A593, Ledger!$B$2:$L$8, 4, 0),"")</f>
        <v/>
      </c>
      <c r="D593" t="str">
        <f>IFERROR(VLOOKUP($A593, Ledger!$B$2:$L$8, 5, 0),"")</f>
        <v/>
      </c>
      <c r="E593" t="str">
        <f>IFERROR(VLOOKUP($A593, Ledger!$B$2:$L$8, 6, 0),"")</f>
        <v/>
      </c>
      <c r="F593" t="str">
        <f>IFERROR(VLOOKUP($A593,'Student Data'!$A$2:$AR$6,32,0),"")</f>
        <v/>
      </c>
      <c r="G593" t="str">
        <f>IFERROR(VLOOKUP($A593,'Student Data'!$A$2:$AR$6,33,0),"")</f>
        <v/>
      </c>
      <c r="H593" t="str">
        <f>IFERROR(VLOOKUP($A593,'Student Data'!$A$2:$AR$6,34,0),"")</f>
        <v/>
      </c>
      <c r="I593" t="str">
        <f>IFERROR(VLOOKUP($A593,'Student Data'!$A$2:$AR$6,35,0),"")</f>
        <v/>
      </c>
      <c r="J593" t="str">
        <f>IFERROR(VLOOKUP($A593,'Student Data'!$A$2:$AR$6,36,0),"")</f>
        <v/>
      </c>
      <c r="K593" t="str">
        <f t="shared" si="18"/>
        <v/>
      </c>
      <c r="L593" t="str">
        <f t="shared" si="19"/>
        <v/>
      </c>
      <c r="M593" t="str">
        <f>IFERROR(IF($C593="","",SUMIFS(Ledger!$K$2:$K$4, Ledger!$B$2:$B$4, $A593, Ledger!$C$2:$C$4, M$2)),"****")</f>
        <v/>
      </c>
      <c r="N593" t="str">
        <f>IFERROR(IF($C593="","",SUMIFS(Ledger!$K$2:$K$4, Ledger!$B$2:$B$4, $A593, Ledger!$C$2:$C$4, N$2)),"****")</f>
        <v/>
      </c>
      <c r="O593" t="str">
        <f>IFERROR(IF($C593="","",SUMIFS(Ledger!$K$2:$K$4, Ledger!$B$2:$B$4, $A593, Ledger!$C$2:$C$4, O$2)),"****")</f>
        <v/>
      </c>
      <c r="P593" t="str">
        <f>IFERROR(IF($C593="","",SUMIFS(Ledger!$K$2:$K$4, Ledger!$B$2:$B$4, $A593, Ledger!$C$2:$C$4, P$2)),"****")</f>
        <v/>
      </c>
      <c r="Q593" t="str">
        <f>IFERROR(IF($C593="","",SUMIFS(Ledger!$K$2:$K$4, Ledger!$B$2:$B$4, $A593, Ledger!$C$2:$C$4, Q$2)),"****")</f>
        <v/>
      </c>
      <c r="R593" t="str">
        <f>IFERROR(IF($C593="","",SUMIFS(Ledger!$K$2:$K$4, Ledger!$B$2:$B$4, $A593, Ledger!$C$2:$C$4, R$2)),"****")</f>
        <v/>
      </c>
      <c r="S593" t="str">
        <f>IFERROR(IF($C593="","",SUMIFS(Ledger!$K$2:$K$4, Ledger!$B$2:$B$4, $A593, Ledger!$C$2:$C$4, S$2)),"****")</f>
        <v/>
      </c>
      <c r="T593" t="str">
        <f>IFERROR(IF($C593="","",SUMIFS(Ledger!$K$2:$K$4, Ledger!$B$2:$B$4, $A593, Ledger!$C$2:$C$4, T$2)),"****")</f>
        <v/>
      </c>
      <c r="U593" t="str">
        <f>IFERROR(IF($C593="","",SUMIFS(Ledger!$K$2:$K$4, Ledger!$B$2:$B$4, $A593, Ledger!$C$2:$C$4, U$2)),"****")</f>
        <v/>
      </c>
      <c r="V593" t="str">
        <f>IFERROR(IF($C593="","",SUMIFS(Ledger!$K$2:$K$4, Ledger!$B$2:$B$4, $A593, Ledger!$C$2:$C$4, V$2)),"****")</f>
        <v/>
      </c>
      <c r="W593" t="str">
        <f>IFERROR(IF($C593="","",SUMIFS(Ledger!$K$2:$K$4, Ledger!$B$2:$B$4, $A593, Ledger!$C$2:$C$4, W$2)),"****")</f>
        <v/>
      </c>
      <c r="X593" t="str">
        <f>IFERROR(IF($C593="","",SUMIFS(Ledger!$K$2:$K$4, Ledger!$B$2:$B$4, $A593, Ledger!$C$2:$C$4, X$2)),"****")</f>
        <v/>
      </c>
    </row>
    <row r="594" spans="1:24" x14ac:dyDescent="0.3">
      <c r="A594" s="106">
        <v>592</v>
      </c>
      <c r="B594" t="str">
        <f>IFERROR(VLOOKUP($A594, Ledger!$B$2:$L$8, 3, 0),"")</f>
        <v/>
      </c>
      <c r="C594" t="str">
        <f>IFERROR(VLOOKUP($A594, Ledger!$B$2:$L$8, 4, 0),"")</f>
        <v/>
      </c>
      <c r="D594" t="str">
        <f>IFERROR(VLOOKUP($A594, Ledger!$B$2:$L$8, 5, 0),"")</f>
        <v/>
      </c>
      <c r="E594" t="str">
        <f>IFERROR(VLOOKUP($A594, Ledger!$B$2:$L$8, 6, 0),"")</f>
        <v/>
      </c>
      <c r="F594" t="str">
        <f>IFERROR(VLOOKUP($A594,'Student Data'!$A$2:$AR$6,32,0),"")</f>
        <v/>
      </c>
      <c r="G594" t="str">
        <f>IFERROR(VLOOKUP($A594,'Student Data'!$A$2:$AR$6,33,0),"")</f>
        <v/>
      </c>
      <c r="H594" t="str">
        <f>IFERROR(VLOOKUP($A594,'Student Data'!$A$2:$AR$6,34,0),"")</f>
        <v/>
      </c>
      <c r="I594" t="str">
        <f>IFERROR(VLOOKUP($A594,'Student Data'!$A$2:$AR$6,35,0),"")</f>
        <v/>
      </c>
      <c r="J594" t="str">
        <f>IFERROR(VLOOKUP($A594,'Student Data'!$A$2:$AR$6,36,0),"")</f>
        <v/>
      </c>
      <c r="K594" t="str">
        <f t="shared" si="18"/>
        <v/>
      </c>
      <c r="L594" t="str">
        <f t="shared" si="19"/>
        <v/>
      </c>
      <c r="M594" t="str">
        <f>IFERROR(IF($C594="","",SUMIFS(Ledger!$K$2:$K$4, Ledger!$B$2:$B$4, $A594, Ledger!$C$2:$C$4, M$2)),"****")</f>
        <v/>
      </c>
      <c r="N594" t="str">
        <f>IFERROR(IF($C594="","",SUMIFS(Ledger!$K$2:$K$4, Ledger!$B$2:$B$4, $A594, Ledger!$C$2:$C$4, N$2)),"****")</f>
        <v/>
      </c>
      <c r="O594" t="str">
        <f>IFERROR(IF($C594="","",SUMIFS(Ledger!$K$2:$K$4, Ledger!$B$2:$B$4, $A594, Ledger!$C$2:$C$4, O$2)),"****")</f>
        <v/>
      </c>
      <c r="P594" t="str">
        <f>IFERROR(IF($C594="","",SUMIFS(Ledger!$K$2:$K$4, Ledger!$B$2:$B$4, $A594, Ledger!$C$2:$C$4, P$2)),"****")</f>
        <v/>
      </c>
      <c r="Q594" t="str">
        <f>IFERROR(IF($C594="","",SUMIFS(Ledger!$K$2:$K$4, Ledger!$B$2:$B$4, $A594, Ledger!$C$2:$C$4, Q$2)),"****")</f>
        <v/>
      </c>
      <c r="R594" t="str">
        <f>IFERROR(IF($C594="","",SUMIFS(Ledger!$K$2:$K$4, Ledger!$B$2:$B$4, $A594, Ledger!$C$2:$C$4, R$2)),"****")</f>
        <v/>
      </c>
      <c r="S594" t="str">
        <f>IFERROR(IF($C594="","",SUMIFS(Ledger!$K$2:$K$4, Ledger!$B$2:$B$4, $A594, Ledger!$C$2:$C$4, S$2)),"****")</f>
        <v/>
      </c>
      <c r="T594" t="str">
        <f>IFERROR(IF($C594="","",SUMIFS(Ledger!$K$2:$K$4, Ledger!$B$2:$B$4, $A594, Ledger!$C$2:$C$4, T$2)),"****")</f>
        <v/>
      </c>
      <c r="U594" t="str">
        <f>IFERROR(IF($C594="","",SUMIFS(Ledger!$K$2:$K$4, Ledger!$B$2:$B$4, $A594, Ledger!$C$2:$C$4, U$2)),"****")</f>
        <v/>
      </c>
      <c r="V594" t="str">
        <f>IFERROR(IF($C594="","",SUMIFS(Ledger!$K$2:$K$4, Ledger!$B$2:$B$4, $A594, Ledger!$C$2:$C$4, V$2)),"****")</f>
        <v/>
      </c>
      <c r="W594" t="str">
        <f>IFERROR(IF($C594="","",SUMIFS(Ledger!$K$2:$K$4, Ledger!$B$2:$B$4, $A594, Ledger!$C$2:$C$4, W$2)),"****")</f>
        <v/>
      </c>
      <c r="X594" t="str">
        <f>IFERROR(IF($C594="","",SUMIFS(Ledger!$K$2:$K$4, Ledger!$B$2:$B$4, $A594, Ledger!$C$2:$C$4, X$2)),"****")</f>
        <v/>
      </c>
    </row>
    <row r="595" spans="1:24" x14ac:dyDescent="0.3">
      <c r="A595" s="106">
        <v>593</v>
      </c>
      <c r="B595" t="str">
        <f>IFERROR(VLOOKUP($A595, Ledger!$B$2:$L$8, 3, 0),"")</f>
        <v/>
      </c>
      <c r="C595" t="str">
        <f>IFERROR(VLOOKUP($A595, Ledger!$B$2:$L$8, 4, 0),"")</f>
        <v/>
      </c>
      <c r="D595" t="str">
        <f>IFERROR(VLOOKUP($A595, Ledger!$B$2:$L$8, 5, 0),"")</f>
        <v/>
      </c>
      <c r="E595" t="str">
        <f>IFERROR(VLOOKUP($A595, Ledger!$B$2:$L$8, 6, 0),"")</f>
        <v/>
      </c>
      <c r="F595" t="str">
        <f>IFERROR(VLOOKUP($A595,'Student Data'!$A$2:$AR$6,32,0),"")</f>
        <v/>
      </c>
      <c r="G595" t="str">
        <f>IFERROR(VLOOKUP($A595,'Student Data'!$A$2:$AR$6,33,0),"")</f>
        <v/>
      </c>
      <c r="H595" t="str">
        <f>IFERROR(VLOOKUP($A595,'Student Data'!$A$2:$AR$6,34,0),"")</f>
        <v/>
      </c>
      <c r="I595" t="str">
        <f>IFERROR(VLOOKUP($A595,'Student Data'!$A$2:$AR$6,35,0),"")</f>
        <v/>
      </c>
      <c r="J595" t="str">
        <f>IFERROR(VLOOKUP($A595,'Student Data'!$A$2:$AR$6,36,0),"")</f>
        <v/>
      </c>
      <c r="K595" t="str">
        <f t="shared" si="18"/>
        <v/>
      </c>
      <c r="L595" t="str">
        <f t="shared" si="19"/>
        <v/>
      </c>
      <c r="M595" t="str">
        <f>IFERROR(IF($C595="","",SUMIFS(Ledger!$K$2:$K$4, Ledger!$B$2:$B$4, $A595, Ledger!$C$2:$C$4, M$2)),"****")</f>
        <v/>
      </c>
      <c r="N595" t="str">
        <f>IFERROR(IF($C595="","",SUMIFS(Ledger!$K$2:$K$4, Ledger!$B$2:$B$4, $A595, Ledger!$C$2:$C$4, N$2)),"****")</f>
        <v/>
      </c>
      <c r="O595" t="str">
        <f>IFERROR(IF($C595="","",SUMIFS(Ledger!$K$2:$K$4, Ledger!$B$2:$B$4, $A595, Ledger!$C$2:$C$4, O$2)),"****")</f>
        <v/>
      </c>
      <c r="P595" t="str">
        <f>IFERROR(IF($C595="","",SUMIFS(Ledger!$K$2:$K$4, Ledger!$B$2:$B$4, $A595, Ledger!$C$2:$C$4, P$2)),"****")</f>
        <v/>
      </c>
      <c r="Q595" t="str">
        <f>IFERROR(IF($C595="","",SUMIFS(Ledger!$K$2:$K$4, Ledger!$B$2:$B$4, $A595, Ledger!$C$2:$C$4, Q$2)),"****")</f>
        <v/>
      </c>
      <c r="R595" t="str">
        <f>IFERROR(IF($C595="","",SUMIFS(Ledger!$K$2:$K$4, Ledger!$B$2:$B$4, $A595, Ledger!$C$2:$C$4, R$2)),"****")</f>
        <v/>
      </c>
      <c r="S595" t="str">
        <f>IFERROR(IF($C595="","",SUMIFS(Ledger!$K$2:$K$4, Ledger!$B$2:$B$4, $A595, Ledger!$C$2:$C$4, S$2)),"****")</f>
        <v/>
      </c>
      <c r="T595" t="str">
        <f>IFERROR(IF($C595="","",SUMIFS(Ledger!$K$2:$K$4, Ledger!$B$2:$B$4, $A595, Ledger!$C$2:$C$4, T$2)),"****")</f>
        <v/>
      </c>
      <c r="U595" t="str">
        <f>IFERROR(IF($C595="","",SUMIFS(Ledger!$K$2:$K$4, Ledger!$B$2:$B$4, $A595, Ledger!$C$2:$C$4, U$2)),"****")</f>
        <v/>
      </c>
      <c r="V595" t="str">
        <f>IFERROR(IF($C595="","",SUMIFS(Ledger!$K$2:$K$4, Ledger!$B$2:$B$4, $A595, Ledger!$C$2:$C$4, V$2)),"****")</f>
        <v/>
      </c>
      <c r="W595" t="str">
        <f>IFERROR(IF($C595="","",SUMIFS(Ledger!$K$2:$K$4, Ledger!$B$2:$B$4, $A595, Ledger!$C$2:$C$4, W$2)),"****")</f>
        <v/>
      </c>
      <c r="X595" t="str">
        <f>IFERROR(IF($C595="","",SUMIFS(Ledger!$K$2:$K$4, Ledger!$B$2:$B$4, $A595, Ledger!$C$2:$C$4, X$2)),"****")</f>
        <v/>
      </c>
    </row>
    <row r="596" spans="1:24" x14ac:dyDescent="0.3">
      <c r="A596" s="106">
        <v>594</v>
      </c>
      <c r="B596" t="str">
        <f>IFERROR(VLOOKUP($A596, Ledger!$B$2:$L$8, 3, 0),"")</f>
        <v/>
      </c>
      <c r="C596" t="str">
        <f>IFERROR(VLOOKUP($A596, Ledger!$B$2:$L$8, 4, 0),"")</f>
        <v/>
      </c>
      <c r="D596" t="str">
        <f>IFERROR(VLOOKUP($A596, Ledger!$B$2:$L$8, 5, 0),"")</f>
        <v/>
      </c>
      <c r="E596" t="str">
        <f>IFERROR(VLOOKUP($A596, Ledger!$B$2:$L$8, 6, 0),"")</f>
        <v/>
      </c>
      <c r="F596" t="str">
        <f>IFERROR(VLOOKUP($A596,'Student Data'!$A$2:$AR$6,32,0),"")</f>
        <v/>
      </c>
      <c r="G596" t="str">
        <f>IFERROR(VLOOKUP($A596,'Student Data'!$A$2:$AR$6,33,0),"")</f>
        <v/>
      </c>
      <c r="H596" t="str">
        <f>IFERROR(VLOOKUP($A596,'Student Data'!$A$2:$AR$6,34,0),"")</f>
        <v/>
      </c>
      <c r="I596" t="str">
        <f>IFERROR(VLOOKUP($A596,'Student Data'!$A$2:$AR$6,35,0),"")</f>
        <v/>
      </c>
      <c r="J596" t="str">
        <f>IFERROR(VLOOKUP($A596,'Student Data'!$A$2:$AR$6,36,0),"")</f>
        <v/>
      </c>
      <c r="K596" t="str">
        <f t="shared" si="18"/>
        <v/>
      </c>
      <c r="L596" t="str">
        <f t="shared" si="19"/>
        <v/>
      </c>
      <c r="M596" t="str">
        <f>IFERROR(IF($C596="","",SUMIFS(Ledger!$K$2:$K$4, Ledger!$B$2:$B$4, $A596, Ledger!$C$2:$C$4, M$2)),"****")</f>
        <v/>
      </c>
      <c r="N596" t="str">
        <f>IFERROR(IF($C596="","",SUMIFS(Ledger!$K$2:$K$4, Ledger!$B$2:$B$4, $A596, Ledger!$C$2:$C$4, N$2)),"****")</f>
        <v/>
      </c>
      <c r="O596" t="str">
        <f>IFERROR(IF($C596="","",SUMIFS(Ledger!$K$2:$K$4, Ledger!$B$2:$B$4, $A596, Ledger!$C$2:$C$4, O$2)),"****")</f>
        <v/>
      </c>
      <c r="P596" t="str">
        <f>IFERROR(IF($C596="","",SUMIFS(Ledger!$K$2:$K$4, Ledger!$B$2:$B$4, $A596, Ledger!$C$2:$C$4, P$2)),"****")</f>
        <v/>
      </c>
      <c r="Q596" t="str">
        <f>IFERROR(IF($C596="","",SUMIFS(Ledger!$K$2:$K$4, Ledger!$B$2:$B$4, $A596, Ledger!$C$2:$C$4, Q$2)),"****")</f>
        <v/>
      </c>
      <c r="R596" t="str">
        <f>IFERROR(IF($C596="","",SUMIFS(Ledger!$K$2:$K$4, Ledger!$B$2:$B$4, $A596, Ledger!$C$2:$C$4, R$2)),"****")</f>
        <v/>
      </c>
      <c r="S596" t="str">
        <f>IFERROR(IF($C596="","",SUMIFS(Ledger!$K$2:$K$4, Ledger!$B$2:$B$4, $A596, Ledger!$C$2:$C$4, S$2)),"****")</f>
        <v/>
      </c>
      <c r="T596" t="str">
        <f>IFERROR(IF($C596="","",SUMIFS(Ledger!$K$2:$K$4, Ledger!$B$2:$B$4, $A596, Ledger!$C$2:$C$4, T$2)),"****")</f>
        <v/>
      </c>
      <c r="U596" t="str">
        <f>IFERROR(IF($C596="","",SUMIFS(Ledger!$K$2:$K$4, Ledger!$B$2:$B$4, $A596, Ledger!$C$2:$C$4, U$2)),"****")</f>
        <v/>
      </c>
      <c r="V596" t="str">
        <f>IFERROR(IF($C596="","",SUMIFS(Ledger!$K$2:$K$4, Ledger!$B$2:$B$4, $A596, Ledger!$C$2:$C$4, V$2)),"****")</f>
        <v/>
      </c>
      <c r="W596" t="str">
        <f>IFERROR(IF($C596="","",SUMIFS(Ledger!$K$2:$K$4, Ledger!$B$2:$B$4, $A596, Ledger!$C$2:$C$4, W$2)),"****")</f>
        <v/>
      </c>
      <c r="X596" t="str">
        <f>IFERROR(IF($C596="","",SUMIFS(Ledger!$K$2:$K$4, Ledger!$B$2:$B$4, $A596, Ledger!$C$2:$C$4, X$2)),"****")</f>
        <v/>
      </c>
    </row>
    <row r="597" spans="1:24" x14ac:dyDescent="0.3">
      <c r="A597" s="106">
        <v>595</v>
      </c>
      <c r="B597" t="str">
        <f>IFERROR(VLOOKUP($A597, Ledger!$B$2:$L$8, 3, 0),"")</f>
        <v/>
      </c>
      <c r="C597" t="str">
        <f>IFERROR(VLOOKUP($A597, Ledger!$B$2:$L$8, 4, 0),"")</f>
        <v/>
      </c>
      <c r="D597" t="str">
        <f>IFERROR(VLOOKUP($A597, Ledger!$B$2:$L$8, 5, 0),"")</f>
        <v/>
      </c>
      <c r="E597" t="str">
        <f>IFERROR(VLOOKUP($A597, Ledger!$B$2:$L$8, 6, 0),"")</f>
        <v/>
      </c>
      <c r="F597" t="str">
        <f>IFERROR(VLOOKUP($A597,'Student Data'!$A$2:$AR$6,32,0),"")</f>
        <v/>
      </c>
      <c r="G597" t="str">
        <f>IFERROR(VLOOKUP($A597,'Student Data'!$A$2:$AR$6,33,0),"")</f>
        <v/>
      </c>
      <c r="H597" t="str">
        <f>IFERROR(VLOOKUP($A597,'Student Data'!$A$2:$AR$6,34,0),"")</f>
        <v/>
      </c>
      <c r="I597" t="str">
        <f>IFERROR(VLOOKUP($A597,'Student Data'!$A$2:$AR$6,35,0),"")</f>
        <v/>
      </c>
      <c r="J597" t="str">
        <f>IFERROR(VLOOKUP($A597,'Student Data'!$A$2:$AR$6,36,0),"")</f>
        <v/>
      </c>
      <c r="K597" t="str">
        <f t="shared" si="18"/>
        <v/>
      </c>
      <c r="L597" t="str">
        <f t="shared" si="19"/>
        <v/>
      </c>
      <c r="M597" t="str">
        <f>IFERROR(IF($C597="","",SUMIFS(Ledger!$K$2:$K$4, Ledger!$B$2:$B$4, $A597, Ledger!$C$2:$C$4, M$2)),"****")</f>
        <v/>
      </c>
      <c r="N597" t="str">
        <f>IFERROR(IF($C597="","",SUMIFS(Ledger!$K$2:$K$4, Ledger!$B$2:$B$4, $A597, Ledger!$C$2:$C$4, N$2)),"****")</f>
        <v/>
      </c>
      <c r="O597" t="str">
        <f>IFERROR(IF($C597="","",SUMIFS(Ledger!$K$2:$K$4, Ledger!$B$2:$B$4, $A597, Ledger!$C$2:$C$4, O$2)),"****")</f>
        <v/>
      </c>
      <c r="P597" t="str">
        <f>IFERROR(IF($C597="","",SUMIFS(Ledger!$K$2:$K$4, Ledger!$B$2:$B$4, $A597, Ledger!$C$2:$C$4, P$2)),"****")</f>
        <v/>
      </c>
      <c r="Q597" t="str">
        <f>IFERROR(IF($C597="","",SUMIFS(Ledger!$K$2:$K$4, Ledger!$B$2:$B$4, $A597, Ledger!$C$2:$C$4, Q$2)),"****")</f>
        <v/>
      </c>
      <c r="R597" t="str">
        <f>IFERROR(IF($C597="","",SUMIFS(Ledger!$K$2:$K$4, Ledger!$B$2:$B$4, $A597, Ledger!$C$2:$C$4, R$2)),"****")</f>
        <v/>
      </c>
      <c r="S597" t="str">
        <f>IFERROR(IF($C597="","",SUMIFS(Ledger!$K$2:$K$4, Ledger!$B$2:$B$4, $A597, Ledger!$C$2:$C$4, S$2)),"****")</f>
        <v/>
      </c>
      <c r="T597" t="str">
        <f>IFERROR(IF($C597="","",SUMIFS(Ledger!$K$2:$K$4, Ledger!$B$2:$B$4, $A597, Ledger!$C$2:$C$4, T$2)),"****")</f>
        <v/>
      </c>
      <c r="U597" t="str">
        <f>IFERROR(IF($C597="","",SUMIFS(Ledger!$K$2:$K$4, Ledger!$B$2:$B$4, $A597, Ledger!$C$2:$C$4, U$2)),"****")</f>
        <v/>
      </c>
      <c r="V597" t="str">
        <f>IFERROR(IF($C597="","",SUMIFS(Ledger!$K$2:$K$4, Ledger!$B$2:$B$4, $A597, Ledger!$C$2:$C$4, V$2)),"****")</f>
        <v/>
      </c>
      <c r="W597" t="str">
        <f>IFERROR(IF($C597="","",SUMIFS(Ledger!$K$2:$K$4, Ledger!$B$2:$B$4, $A597, Ledger!$C$2:$C$4, W$2)),"****")</f>
        <v/>
      </c>
      <c r="X597" t="str">
        <f>IFERROR(IF($C597="","",SUMIFS(Ledger!$K$2:$K$4, Ledger!$B$2:$B$4, $A597, Ledger!$C$2:$C$4, X$2)),"****")</f>
        <v/>
      </c>
    </row>
    <row r="598" spans="1:24" x14ac:dyDescent="0.3">
      <c r="A598" s="106">
        <v>596</v>
      </c>
      <c r="B598" t="str">
        <f>IFERROR(VLOOKUP($A598, Ledger!$B$2:$L$8, 3, 0),"")</f>
        <v/>
      </c>
      <c r="C598" t="str">
        <f>IFERROR(VLOOKUP($A598, Ledger!$B$2:$L$8, 4, 0),"")</f>
        <v/>
      </c>
      <c r="D598" t="str">
        <f>IFERROR(VLOOKUP($A598, Ledger!$B$2:$L$8, 5, 0),"")</f>
        <v/>
      </c>
      <c r="E598" t="str">
        <f>IFERROR(VLOOKUP($A598, Ledger!$B$2:$L$8, 6, 0),"")</f>
        <v/>
      </c>
      <c r="F598" t="str">
        <f>IFERROR(VLOOKUP($A598,'Student Data'!$A$2:$AR$6,32,0),"")</f>
        <v/>
      </c>
      <c r="G598" t="str">
        <f>IFERROR(VLOOKUP($A598,'Student Data'!$A$2:$AR$6,33,0),"")</f>
        <v/>
      </c>
      <c r="H598" t="str">
        <f>IFERROR(VLOOKUP($A598,'Student Data'!$A$2:$AR$6,34,0),"")</f>
        <v/>
      </c>
      <c r="I598" t="str">
        <f>IFERROR(VLOOKUP($A598,'Student Data'!$A$2:$AR$6,35,0),"")</f>
        <v/>
      </c>
      <c r="J598" t="str">
        <f>IFERROR(VLOOKUP($A598,'Student Data'!$A$2:$AR$6,36,0),"")</f>
        <v/>
      </c>
      <c r="K598" t="str">
        <f t="shared" si="18"/>
        <v/>
      </c>
      <c r="L598" t="str">
        <f t="shared" si="19"/>
        <v/>
      </c>
      <c r="M598" t="str">
        <f>IFERROR(IF($C598="","",SUMIFS(Ledger!$K$2:$K$4, Ledger!$B$2:$B$4, $A598, Ledger!$C$2:$C$4, M$2)),"****")</f>
        <v/>
      </c>
      <c r="N598" t="str">
        <f>IFERROR(IF($C598="","",SUMIFS(Ledger!$K$2:$K$4, Ledger!$B$2:$B$4, $A598, Ledger!$C$2:$C$4, N$2)),"****")</f>
        <v/>
      </c>
      <c r="O598" t="str">
        <f>IFERROR(IF($C598="","",SUMIFS(Ledger!$K$2:$K$4, Ledger!$B$2:$B$4, $A598, Ledger!$C$2:$C$4, O$2)),"****")</f>
        <v/>
      </c>
      <c r="P598" t="str">
        <f>IFERROR(IF($C598="","",SUMIFS(Ledger!$K$2:$K$4, Ledger!$B$2:$B$4, $A598, Ledger!$C$2:$C$4, P$2)),"****")</f>
        <v/>
      </c>
      <c r="Q598" t="str">
        <f>IFERROR(IF($C598="","",SUMIFS(Ledger!$K$2:$K$4, Ledger!$B$2:$B$4, $A598, Ledger!$C$2:$C$4, Q$2)),"****")</f>
        <v/>
      </c>
      <c r="R598" t="str">
        <f>IFERROR(IF($C598="","",SUMIFS(Ledger!$K$2:$K$4, Ledger!$B$2:$B$4, $A598, Ledger!$C$2:$C$4, R$2)),"****")</f>
        <v/>
      </c>
      <c r="S598" t="str">
        <f>IFERROR(IF($C598="","",SUMIFS(Ledger!$K$2:$K$4, Ledger!$B$2:$B$4, $A598, Ledger!$C$2:$C$4, S$2)),"****")</f>
        <v/>
      </c>
      <c r="T598" t="str">
        <f>IFERROR(IF($C598="","",SUMIFS(Ledger!$K$2:$K$4, Ledger!$B$2:$B$4, $A598, Ledger!$C$2:$C$4, T$2)),"****")</f>
        <v/>
      </c>
      <c r="U598" t="str">
        <f>IFERROR(IF($C598="","",SUMIFS(Ledger!$K$2:$K$4, Ledger!$B$2:$B$4, $A598, Ledger!$C$2:$C$4, U$2)),"****")</f>
        <v/>
      </c>
      <c r="V598" t="str">
        <f>IFERROR(IF($C598="","",SUMIFS(Ledger!$K$2:$K$4, Ledger!$B$2:$B$4, $A598, Ledger!$C$2:$C$4, V$2)),"****")</f>
        <v/>
      </c>
      <c r="W598" t="str">
        <f>IFERROR(IF($C598="","",SUMIFS(Ledger!$K$2:$K$4, Ledger!$B$2:$B$4, $A598, Ledger!$C$2:$C$4, W$2)),"****")</f>
        <v/>
      </c>
      <c r="X598" t="str">
        <f>IFERROR(IF($C598="","",SUMIFS(Ledger!$K$2:$K$4, Ledger!$B$2:$B$4, $A598, Ledger!$C$2:$C$4, X$2)),"****")</f>
        <v/>
      </c>
    </row>
    <row r="599" spans="1:24" x14ac:dyDescent="0.3">
      <c r="A599" s="106">
        <v>597</v>
      </c>
      <c r="B599" t="str">
        <f>IFERROR(VLOOKUP($A599, Ledger!$B$2:$L$8, 3, 0),"")</f>
        <v/>
      </c>
      <c r="C599" t="str">
        <f>IFERROR(VLOOKUP($A599, Ledger!$B$2:$L$8, 4, 0),"")</f>
        <v/>
      </c>
      <c r="D599" t="str">
        <f>IFERROR(VLOOKUP($A599, Ledger!$B$2:$L$8, 5, 0),"")</f>
        <v/>
      </c>
      <c r="E599" t="str">
        <f>IFERROR(VLOOKUP($A599, Ledger!$B$2:$L$8, 6, 0),"")</f>
        <v/>
      </c>
      <c r="F599" t="str">
        <f>IFERROR(VLOOKUP($A599,'Student Data'!$A$2:$AR$6,32,0),"")</f>
        <v/>
      </c>
      <c r="G599" t="str">
        <f>IFERROR(VLOOKUP($A599,'Student Data'!$A$2:$AR$6,33,0),"")</f>
        <v/>
      </c>
      <c r="H599" t="str">
        <f>IFERROR(VLOOKUP($A599,'Student Data'!$A$2:$AR$6,34,0),"")</f>
        <v/>
      </c>
      <c r="I599" t="str">
        <f>IFERROR(VLOOKUP($A599,'Student Data'!$A$2:$AR$6,35,0),"")</f>
        <v/>
      </c>
      <c r="J599" t="str">
        <f>IFERROR(VLOOKUP($A599,'Student Data'!$A$2:$AR$6,36,0),"")</f>
        <v/>
      </c>
      <c r="K599" t="str">
        <f t="shared" si="18"/>
        <v/>
      </c>
      <c r="L599" t="str">
        <f t="shared" si="19"/>
        <v/>
      </c>
      <c r="M599" t="str">
        <f>IFERROR(IF($C599="","",SUMIFS(Ledger!$K$2:$K$4, Ledger!$B$2:$B$4, $A599, Ledger!$C$2:$C$4, M$2)),"****")</f>
        <v/>
      </c>
      <c r="N599" t="str">
        <f>IFERROR(IF($C599="","",SUMIFS(Ledger!$K$2:$K$4, Ledger!$B$2:$B$4, $A599, Ledger!$C$2:$C$4, N$2)),"****")</f>
        <v/>
      </c>
      <c r="O599" t="str">
        <f>IFERROR(IF($C599="","",SUMIFS(Ledger!$K$2:$K$4, Ledger!$B$2:$B$4, $A599, Ledger!$C$2:$C$4, O$2)),"****")</f>
        <v/>
      </c>
      <c r="P599" t="str">
        <f>IFERROR(IF($C599="","",SUMIFS(Ledger!$K$2:$K$4, Ledger!$B$2:$B$4, $A599, Ledger!$C$2:$C$4, P$2)),"****")</f>
        <v/>
      </c>
      <c r="Q599" t="str">
        <f>IFERROR(IF($C599="","",SUMIFS(Ledger!$K$2:$K$4, Ledger!$B$2:$B$4, $A599, Ledger!$C$2:$C$4, Q$2)),"****")</f>
        <v/>
      </c>
      <c r="R599" t="str">
        <f>IFERROR(IF($C599="","",SUMIFS(Ledger!$K$2:$K$4, Ledger!$B$2:$B$4, $A599, Ledger!$C$2:$C$4, R$2)),"****")</f>
        <v/>
      </c>
      <c r="S599" t="str">
        <f>IFERROR(IF($C599="","",SUMIFS(Ledger!$K$2:$K$4, Ledger!$B$2:$B$4, $A599, Ledger!$C$2:$C$4, S$2)),"****")</f>
        <v/>
      </c>
      <c r="T599" t="str">
        <f>IFERROR(IF($C599="","",SUMIFS(Ledger!$K$2:$K$4, Ledger!$B$2:$B$4, $A599, Ledger!$C$2:$C$4, T$2)),"****")</f>
        <v/>
      </c>
      <c r="U599" t="str">
        <f>IFERROR(IF($C599="","",SUMIFS(Ledger!$K$2:$K$4, Ledger!$B$2:$B$4, $A599, Ledger!$C$2:$C$4, U$2)),"****")</f>
        <v/>
      </c>
      <c r="V599" t="str">
        <f>IFERROR(IF($C599="","",SUMIFS(Ledger!$K$2:$K$4, Ledger!$B$2:$B$4, $A599, Ledger!$C$2:$C$4, V$2)),"****")</f>
        <v/>
      </c>
      <c r="W599" t="str">
        <f>IFERROR(IF($C599="","",SUMIFS(Ledger!$K$2:$K$4, Ledger!$B$2:$B$4, $A599, Ledger!$C$2:$C$4, W$2)),"****")</f>
        <v/>
      </c>
      <c r="X599" t="str">
        <f>IFERROR(IF($C599="","",SUMIFS(Ledger!$K$2:$K$4, Ledger!$B$2:$B$4, $A599, Ledger!$C$2:$C$4, X$2)),"****")</f>
        <v/>
      </c>
    </row>
    <row r="600" spans="1:24" x14ac:dyDescent="0.3">
      <c r="A600" s="106">
        <v>598</v>
      </c>
      <c r="B600" t="str">
        <f>IFERROR(VLOOKUP($A600, Ledger!$B$2:$L$8, 3, 0),"")</f>
        <v/>
      </c>
      <c r="C600" t="str">
        <f>IFERROR(VLOOKUP($A600, Ledger!$B$2:$L$8, 4, 0),"")</f>
        <v/>
      </c>
      <c r="D600" t="str">
        <f>IFERROR(VLOOKUP($A600, Ledger!$B$2:$L$8, 5, 0),"")</f>
        <v/>
      </c>
      <c r="E600" t="str">
        <f>IFERROR(VLOOKUP($A600, Ledger!$B$2:$L$8, 6, 0),"")</f>
        <v/>
      </c>
      <c r="F600" t="str">
        <f>IFERROR(VLOOKUP($A600,'Student Data'!$A$2:$AR$6,32,0),"")</f>
        <v/>
      </c>
      <c r="G600" t="str">
        <f>IFERROR(VLOOKUP($A600,'Student Data'!$A$2:$AR$6,33,0),"")</f>
        <v/>
      </c>
      <c r="H600" t="str">
        <f>IFERROR(VLOOKUP($A600,'Student Data'!$A$2:$AR$6,34,0),"")</f>
        <v/>
      </c>
      <c r="I600" t="str">
        <f>IFERROR(VLOOKUP($A600,'Student Data'!$A$2:$AR$6,35,0),"")</f>
        <v/>
      </c>
      <c r="J600" t="str">
        <f>IFERROR(VLOOKUP($A600,'Student Data'!$A$2:$AR$6,36,0),"")</f>
        <v/>
      </c>
      <c r="K600" t="str">
        <f t="shared" si="18"/>
        <v/>
      </c>
      <c r="L600" t="str">
        <f t="shared" si="19"/>
        <v/>
      </c>
      <c r="M600" t="str">
        <f>IFERROR(IF($C600="","",SUMIFS(Ledger!$K$2:$K$4, Ledger!$B$2:$B$4, $A600, Ledger!$C$2:$C$4, M$2)),"****")</f>
        <v/>
      </c>
      <c r="N600" t="str">
        <f>IFERROR(IF($C600="","",SUMIFS(Ledger!$K$2:$K$4, Ledger!$B$2:$B$4, $A600, Ledger!$C$2:$C$4, N$2)),"****")</f>
        <v/>
      </c>
      <c r="O600" t="str">
        <f>IFERROR(IF($C600="","",SUMIFS(Ledger!$K$2:$K$4, Ledger!$B$2:$B$4, $A600, Ledger!$C$2:$C$4, O$2)),"****")</f>
        <v/>
      </c>
      <c r="P600" t="str">
        <f>IFERROR(IF($C600="","",SUMIFS(Ledger!$K$2:$K$4, Ledger!$B$2:$B$4, $A600, Ledger!$C$2:$C$4, P$2)),"****")</f>
        <v/>
      </c>
      <c r="Q600" t="str">
        <f>IFERROR(IF($C600="","",SUMIFS(Ledger!$K$2:$K$4, Ledger!$B$2:$B$4, $A600, Ledger!$C$2:$C$4, Q$2)),"****")</f>
        <v/>
      </c>
      <c r="R600" t="str">
        <f>IFERROR(IF($C600="","",SUMIFS(Ledger!$K$2:$K$4, Ledger!$B$2:$B$4, $A600, Ledger!$C$2:$C$4, R$2)),"****")</f>
        <v/>
      </c>
      <c r="S600" t="str">
        <f>IFERROR(IF($C600="","",SUMIFS(Ledger!$K$2:$K$4, Ledger!$B$2:$B$4, $A600, Ledger!$C$2:$C$4, S$2)),"****")</f>
        <v/>
      </c>
      <c r="T600" t="str">
        <f>IFERROR(IF($C600="","",SUMIFS(Ledger!$K$2:$K$4, Ledger!$B$2:$B$4, $A600, Ledger!$C$2:$C$4, T$2)),"****")</f>
        <v/>
      </c>
      <c r="U600" t="str">
        <f>IFERROR(IF($C600="","",SUMIFS(Ledger!$K$2:$K$4, Ledger!$B$2:$B$4, $A600, Ledger!$C$2:$C$4, U$2)),"****")</f>
        <v/>
      </c>
      <c r="V600" t="str">
        <f>IFERROR(IF($C600="","",SUMIFS(Ledger!$K$2:$K$4, Ledger!$B$2:$B$4, $A600, Ledger!$C$2:$C$4, V$2)),"****")</f>
        <v/>
      </c>
      <c r="W600" t="str">
        <f>IFERROR(IF($C600="","",SUMIFS(Ledger!$K$2:$K$4, Ledger!$B$2:$B$4, $A600, Ledger!$C$2:$C$4, W$2)),"****")</f>
        <v/>
      </c>
      <c r="X600" t="str">
        <f>IFERROR(IF($C600="","",SUMIFS(Ledger!$K$2:$K$4, Ledger!$B$2:$B$4, $A600, Ledger!$C$2:$C$4, X$2)),"****")</f>
        <v/>
      </c>
    </row>
    <row r="601" spans="1:24" x14ac:dyDescent="0.3">
      <c r="A601" s="106">
        <v>599</v>
      </c>
      <c r="B601" t="str">
        <f>IFERROR(VLOOKUP($A601, Ledger!$B$2:$L$8, 3, 0),"")</f>
        <v/>
      </c>
      <c r="C601" t="str">
        <f>IFERROR(VLOOKUP($A601, Ledger!$B$2:$L$8, 4, 0),"")</f>
        <v/>
      </c>
      <c r="D601" t="str">
        <f>IFERROR(VLOOKUP($A601, Ledger!$B$2:$L$8, 5, 0),"")</f>
        <v/>
      </c>
      <c r="E601" t="str">
        <f>IFERROR(VLOOKUP($A601, Ledger!$B$2:$L$8, 6, 0),"")</f>
        <v/>
      </c>
      <c r="F601" t="str">
        <f>IFERROR(VLOOKUP($A601,'Student Data'!$A$2:$AR$6,32,0),"")</f>
        <v/>
      </c>
      <c r="G601" t="str">
        <f>IFERROR(VLOOKUP($A601,'Student Data'!$A$2:$AR$6,33,0),"")</f>
        <v/>
      </c>
      <c r="H601" t="str">
        <f>IFERROR(VLOOKUP($A601,'Student Data'!$A$2:$AR$6,34,0),"")</f>
        <v/>
      </c>
      <c r="I601" t="str">
        <f>IFERROR(VLOOKUP($A601,'Student Data'!$A$2:$AR$6,35,0),"")</f>
        <v/>
      </c>
      <c r="J601" t="str">
        <f>IFERROR(VLOOKUP($A601,'Student Data'!$A$2:$AR$6,36,0),"")</f>
        <v/>
      </c>
      <c r="K601" t="str">
        <f t="shared" si="18"/>
        <v/>
      </c>
      <c r="L601" t="str">
        <f t="shared" si="19"/>
        <v/>
      </c>
      <c r="M601" t="str">
        <f>IFERROR(IF($C601="","",SUMIFS(Ledger!$K$2:$K$4, Ledger!$B$2:$B$4, $A601, Ledger!$C$2:$C$4, M$2)),"****")</f>
        <v/>
      </c>
      <c r="N601" t="str">
        <f>IFERROR(IF($C601="","",SUMIFS(Ledger!$K$2:$K$4, Ledger!$B$2:$B$4, $A601, Ledger!$C$2:$C$4, N$2)),"****")</f>
        <v/>
      </c>
      <c r="O601" t="str">
        <f>IFERROR(IF($C601="","",SUMIFS(Ledger!$K$2:$K$4, Ledger!$B$2:$B$4, $A601, Ledger!$C$2:$C$4, O$2)),"****")</f>
        <v/>
      </c>
      <c r="P601" t="str">
        <f>IFERROR(IF($C601="","",SUMIFS(Ledger!$K$2:$K$4, Ledger!$B$2:$B$4, $A601, Ledger!$C$2:$C$4, P$2)),"****")</f>
        <v/>
      </c>
      <c r="Q601" t="str">
        <f>IFERROR(IF($C601="","",SUMIFS(Ledger!$K$2:$K$4, Ledger!$B$2:$B$4, $A601, Ledger!$C$2:$C$4, Q$2)),"****")</f>
        <v/>
      </c>
      <c r="R601" t="str">
        <f>IFERROR(IF($C601="","",SUMIFS(Ledger!$K$2:$K$4, Ledger!$B$2:$B$4, $A601, Ledger!$C$2:$C$4, R$2)),"****")</f>
        <v/>
      </c>
      <c r="S601" t="str">
        <f>IFERROR(IF($C601="","",SUMIFS(Ledger!$K$2:$K$4, Ledger!$B$2:$B$4, $A601, Ledger!$C$2:$C$4, S$2)),"****")</f>
        <v/>
      </c>
      <c r="T601" t="str">
        <f>IFERROR(IF($C601="","",SUMIFS(Ledger!$K$2:$K$4, Ledger!$B$2:$B$4, $A601, Ledger!$C$2:$C$4, T$2)),"****")</f>
        <v/>
      </c>
      <c r="U601" t="str">
        <f>IFERROR(IF($C601="","",SUMIFS(Ledger!$K$2:$K$4, Ledger!$B$2:$B$4, $A601, Ledger!$C$2:$C$4, U$2)),"****")</f>
        <v/>
      </c>
      <c r="V601" t="str">
        <f>IFERROR(IF($C601="","",SUMIFS(Ledger!$K$2:$K$4, Ledger!$B$2:$B$4, $A601, Ledger!$C$2:$C$4, V$2)),"****")</f>
        <v/>
      </c>
      <c r="W601" t="str">
        <f>IFERROR(IF($C601="","",SUMIFS(Ledger!$K$2:$K$4, Ledger!$B$2:$B$4, $A601, Ledger!$C$2:$C$4, W$2)),"****")</f>
        <v/>
      </c>
      <c r="X601" t="str">
        <f>IFERROR(IF($C601="","",SUMIFS(Ledger!$K$2:$K$4, Ledger!$B$2:$B$4, $A601, Ledger!$C$2:$C$4, X$2)),"****")</f>
        <v/>
      </c>
    </row>
    <row r="602" spans="1:24" x14ac:dyDescent="0.3">
      <c r="A602" s="106">
        <v>600</v>
      </c>
      <c r="B602" t="str">
        <f>IFERROR(VLOOKUP($A602, Ledger!$B$2:$L$8, 3, 0),"")</f>
        <v/>
      </c>
      <c r="C602" t="str">
        <f>IFERROR(VLOOKUP($A602, Ledger!$B$2:$L$8, 4, 0),"")</f>
        <v/>
      </c>
      <c r="D602" t="str">
        <f>IFERROR(VLOOKUP($A602, Ledger!$B$2:$L$8, 5, 0),"")</f>
        <v/>
      </c>
      <c r="E602" t="str">
        <f>IFERROR(VLOOKUP($A602, Ledger!$B$2:$L$8, 6, 0),"")</f>
        <v/>
      </c>
      <c r="F602" t="str">
        <f>IFERROR(VLOOKUP($A602,'Student Data'!$A$2:$AR$6,32,0),"")</f>
        <v/>
      </c>
      <c r="G602" t="str">
        <f>IFERROR(VLOOKUP($A602,'Student Data'!$A$2:$AR$6,33,0),"")</f>
        <v/>
      </c>
      <c r="H602" t="str">
        <f>IFERROR(VLOOKUP($A602,'Student Data'!$A$2:$AR$6,34,0),"")</f>
        <v/>
      </c>
      <c r="I602" t="str">
        <f>IFERROR(VLOOKUP($A602,'Student Data'!$A$2:$AR$6,35,0),"")</f>
        <v/>
      </c>
      <c r="J602" t="str">
        <f>IFERROR(VLOOKUP($A602,'Student Data'!$A$2:$AR$6,36,0),"")</f>
        <v/>
      </c>
      <c r="K602" t="str">
        <f t="shared" si="18"/>
        <v/>
      </c>
      <c r="L602" t="str">
        <f t="shared" si="19"/>
        <v/>
      </c>
      <c r="M602" t="str">
        <f>IFERROR(IF($C602="","",SUMIFS(Ledger!$K$2:$K$4, Ledger!$B$2:$B$4, $A602, Ledger!$C$2:$C$4, M$2)),"****")</f>
        <v/>
      </c>
      <c r="N602" t="str">
        <f>IFERROR(IF($C602="","",SUMIFS(Ledger!$K$2:$K$4, Ledger!$B$2:$B$4, $A602, Ledger!$C$2:$C$4, N$2)),"****")</f>
        <v/>
      </c>
      <c r="O602" t="str">
        <f>IFERROR(IF($C602="","",SUMIFS(Ledger!$K$2:$K$4, Ledger!$B$2:$B$4, $A602, Ledger!$C$2:$C$4, O$2)),"****")</f>
        <v/>
      </c>
      <c r="P602" t="str">
        <f>IFERROR(IF($C602="","",SUMIFS(Ledger!$K$2:$K$4, Ledger!$B$2:$B$4, $A602, Ledger!$C$2:$C$4, P$2)),"****")</f>
        <v/>
      </c>
      <c r="Q602" t="str">
        <f>IFERROR(IF($C602="","",SUMIFS(Ledger!$K$2:$K$4, Ledger!$B$2:$B$4, $A602, Ledger!$C$2:$C$4, Q$2)),"****")</f>
        <v/>
      </c>
      <c r="R602" t="str">
        <f>IFERROR(IF($C602="","",SUMIFS(Ledger!$K$2:$K$4, Ledger!$B$2:$B$4, $A602, Ledger!$C$2:$C$4, R$2)),"****")</f>
        <v/>
      </c>
      <c r="S602" t="str">
        <f>IFERROR(IF($C602="","",SUMIFS(Ledger!$K$2:$K$4, Ledger!$B$2:$B$4, $A602, Ledger!$C$2:$C$4, S$2)),"****")</f>
        <v/>
      </c>
      <c r="T602" t="str">
        <f>IFERROR(IF($C602="","",SUMIFS(Ledger!$K$2:$K$4, Ledger!$B$2:$B$4, $A602, Ledger!$C$2:$C$4, T$2)),"****")</f>
        <v/>
      </c>
      <c r="U602" t="str">
        <f>IFERROR(IF($C602="","",SUMIFS(Ledger!$K$2:$K$4, Ledger!$B$2:$B$4, $A602, Ledger!$C$2:$C$4, U$2)),"****")</f>
        <v/>
      </c>
      <c r="V602" t="str">
        <f>IFERROR(IF($C602="","",SUMIFS(Ledger!$K$2:$K$4, Ledger!$B$2:$B$4, $A602, Ledger!$C$2:$C$4, V$2)),"****")</f>
        <v/>
      </c>
      <c r="W602" t="str">
        <f>IFERROR(IF($C602="","",SUMIFS(Ledger!$K$2:$K$4, Ledger!$B$2:$B$4, $A602, Ledger!$C$2:$C$4, W$2)),"****")</f>
        <v/>
      </c>
      <c r="X602" t="str">
        <f>IFERROR(IF($C602="","",SUMIFS(Ledger!$K$2:$K$4, Ledger!$B$2:$B$4, $A602, Ledger!$C$2:$C$4, X$2)),"****")</f>
        <v/>
      </c>
    </row>
    <row r="603" spans="1:24" x14ac:dyDescent="0.3">
      <c r="A603" s="106">
        <v>601</v>
      </c>
      <c r="B603" t="str">
        <f>IFERROR(VLOOKUP($A603, Ledger!$B$2:$L$8, 3, 0),"")</f>
        <v/>
      </c>
      <c r="C603" t="str">
        <f>IFERROR(VLOOKUP($A603, Ledger!$B$2:$L$8, 4, 0),"")</f>
        <v/>
      </c>
      <c r="D603" t="str">
        <f>IFERROR(VLOOKUP($A603, Ledger!$B$2:$L$8, 5, 0),"")</f>
        <v/>
      </c>
      <c r="E603" t="str">
        <f>IFERROR(VLOOKUP($A603, Ledger!$B$2:$L$8, 6, 0),"")</f>
        <v/>
      </c>
      <c r="F603" t="str">
        <f>IFERROR(VLOOKUP($A603,'Student Data'!$A$2:$AR$6,32,0),"")</f>
        <v/>
      </c>
      <c r="G603" t="str">
        <f>IFERROR(VLOOKUP($A603,'Student Data'!$A$2:$AR$6,33,0),"")</f>
        <v/>
      </c>
      <c r="H603" t="str">
        <f>IFERROR(VLOOKUP($A603,'Student Data'!$A$2:$AR$6,34,0),"")</f>
        <v/>
      </c>
      <c r="I603" t="str">
        <f>IFERROR(VLOOKUP($A603,'Student Data'!$A$2:$AR$6,35,0),"")</f>
        <v/>
      </c>
      <c r="J603" t="str">
        <f>IFERROR(VLOOKUP($A603,'Student Data'!$A$2:$AR$6,36,0),"")</f>
        <v/>
      </c>
      <c r="K603" t="str">
        <f t="shared" si="18"/>
        <v/>
      </c>
      <c r="L603" t="str">
        <f t="shared" si="19"/>
        <v/>
      </c>
      <c r="M603" t="str">
        <f>IFERROR(IF($C603="","",SUMIFS(Ledger!$K$2:$K$4, Ledger!$B$2:$B$4, $A603, Ledger!$C$2:$C$4, M$2)),"****")</f>
        <v/>
      </c>
      <c r="N603" t="str">
        <f>IFERROR(IF($C603="","",SUMIFS(Ledger!$K$2:$K$4, Ledger!$B$2:$B$4, $A603, Ledger!$C$2:$C$4, N$2)),"****")</f>
        <v/>
      </c>
      <c r="O603" t="str">
        <f>IFERROR(IF($C603="","",SUMIFS(Ledger!$K$2:$K$4, Ledger!$B$2:$B$4, $A603, Ledger!$C$2:$C$4, O$2)),"****")</f>
        <v/>
      </c>
      <c r="P603" t="str">
        <f>IFERROR(IF($C603="","",SUMIFS(Ledger!$K$2:$K$4, Ledger!$B$2:$B$4, $A603, Ledger!$C$2:$C$4, P$2)),"****")</f>
        <v/>
      </c>
      <c r="Q603" t="str">
        <f>IFERROR(IF($C603="","",SUMIFS(Ledger!$K$2:$K$4, Ledger!$B$2:$B$4, $A603, Ledger!$C$2:$C$4, Q$2)),"****")</f>
        <v/>
      </c>
      <c r="R603" t="str">
        <f>IFERROR(IF($C603="","",SUMIFS(Ledger!$K$2:$K$4, Ledger!$B$2:$B$4, $A603, Ledger!$C$2:$C$4, R$2)),"****")</f>
        <v/>
      </c>
      <c r="S603" t="str">
        <f>IFERROR(IF($C603="","",SUMIFS(Ledger!$K$2:$K$4, Ledger!$B$2:$B$4, $A603, Ledger!$C$2:$C$4, S$2)),"****")</f>
        <v/>
      </c>
      <c r="T603" t="str">
        <f>IFERROR(IF($C603="","",SUMIFS(Ledger!$K$2:$K$4, Ledger!$B$2:$B$4, $A603, Ledger!$C$2:$C$4, T$2)),"****")</f>
        <v/>
      </c>
      <c r="U603" t="str">
        <f>IFERROR(IF($C603="","",SUMIFS(Ledger!$K$2:$K$4, Ledger!$B$2:$B$4, $A603, Ledger!$C$2:$C$4, U$2)),"****")</f>
        <v/>
      </c>
      <c r="V603" t="str">
        <f>IFERROR(IF($C603="","",SUMIFS(Ledger!$K$2:$K$4, Ledger!$B$2:$B$4, $A603, Ledger!$C$2:$C$4, V$2)),"****")</f>
        <v/>
      </c>
      <c r="W603" t="str">
        <f>IFERROR(IF($C603="","",SUMIFS(Ledger!$K$2:$K$4, Ledger!$B$2:$B$4, $A603, Ledger!$C$2:$C$4, W$2)),"****")</f>
        <v/>
      </c>
      <c r="X603" t="str">
        <f>IFERROR(IF($C603="","",SUMIFS(Ledger!$K$2:$K$4, Ledger!$B$2:$B$4, $A603, Ledger!$C$2:$C$4, X$2)),"****")</f>
        <v/>
      </c>
    </row>
    <row r="604" spans="1:24" x14ac:dyDescent="0.3">
      <c r="A604" s="106">
        <v>602</v>
      </c>
      <c r="B604" t="str">
        <f>IFERROR(VLOOKUP($A604, Ledger!$B$2:$L$8, 3, 0),"")</f>
        <v/>
      </c>
      <c r="C604" t="str">
        <f>IFERROR(VLOOKUP($A604, Ledger!$B$2:$L$8, 4, 0),"")</f>
        <v/>
      </c>
      <c r="D604" t="str">
        <f>IFERROR(VLOOKUP($A604, Ledger!$B$2:$L$8, 5, 0),"")</f>
        <v/>
      </c>
      <c r="E604" t="str">
        <f>IFERROR(VLOOKUP($A604, Ledger!$B$2:$L$8, 6, 0),"")</f>
        <v/>
      </c>
      <c r="F604" t="str">
        <f>IFERROR(VLOOKUP($A604,'Student Data'!$A$2:$AR$6,32,0),"")</f>
        <v/>
      </c>
      <c r="G604" t="str">
        <f>IFERROR(VLOOKUP($A604,'Student Data'!$A$2:$AR$6,33,0),"")</f>
        <v/>
      </c>
      <c r="H604" t="str">
        <f>IFERROR(VLOOKUP($A604,'Student Data'!$A$2:$AR$6,34,0),"")</f>
        <v/>
      </c>
      <c r="I604" t="str">
        <f>IFERROR(VLOOKUP($A604,'Student Data'!$A$2:$AR$6,35,0),"")</f>
        <v/>
      </c>
      <c r="J604" t="str">
        <f>IFERROR(VLOOKUP($A604,'Student Data'!$A$2:$AR$6,36,0),"")</f>
        <v/>
      </c>
      <c r="K604" t="str">
        <f t="shared" si="18"/>
        <v/>
      </c>
      <c r="L604" t="str">
        <f t="shared" si="19"/>
        <v/>
      </c>
      <c r="M604" t="str">
        <f>IFERROR(IF($C604="","",SUMIFS(Ledger!$K$2:$K$4, Ledger!$B$2:$B$4, $A604, Ledger!$C$2:$C$4, M$2)),"****")</f>
        <v/>
      </c>
      <c r="N604" t="str">
        <f>IFERROR(IF($C604="","",SUMIFS(Ledger!$K$2:$K$4, Ledger!$B$2:$B$4, $A604, Ledger!$C$2:$C$4, N$2)),"****")</f>
        <v/>
      </c>
      <c r="O604" t="str">
        <f>IFERROR(IF($C604="","",SUMIFS(Ledger!$K$2:$K$4, Ledger!$B$2:$B$4, $A604, Ledger!$C$2:$C$4, O$2)),"****")</f>
        <v/>
      </c>
      <c r="P604" t="str">
        <f>IFERROR(IF($C604="","",SUMIFS(Ledger!$K$2:$K$4, Ledger!$B$2:$B$4, $A604, Ledger!$C$2:$C$4, P$2)),"****")</f>
        <v/>
      </c>
      <c r="Q604" t="str">
        <f>IFERROR(IF($C604="","",SUMIFS(Ledger!$K$2:$K$4, Ledger!$B$2:$B$4, $A604, Ledger!$C$2:$C$4, Q$2)),"****")</f>
        <v/>
      </c>
      <c r="R604" t="str">
        <f>IFERROR(IF($C604="","",SUMIFS(Ledger!$K$2:$K$4, Ledger!$B$2:$B$4, $A604, Ledger!$C$2:$C$4, R$2)),"****")</f>
        <v/>
      </c>
      <c r="S604" t="str">
        <f>IFERROR(IF($C604="","",SUMIFS(Ledger!$K$2:$K$4, Ledger!$B$2:$B$4, $A604, Ledger!$C$2:$C$4, S$2)),"****")</f>
        <v/>
      </c>
      <c r="T604" t="str">
        <f>IFERROR(IF($C604="","",SUMIFS(Ledger!$K$2:$K$4, Ledger!$B$2:$B$4, $A604, Ledger!$C$2:$C$4, T$2)),"****")</f>
        <v/>
      </c>
      <c r="U604" t="str">
        <f>IFERROR(IF($C604="","",SUMIFS(Ledger!$K$2:$K$4, Ledger!$B$2:$B$4, $A604, Ledger!$C$2:$C$4, U$2)),"****")</f>
        <v/>
      </c>
      <c r="V604" t="str">
        <f>IFERROR(IF($C604="","",SUMIFS(Ledger!$K$2:$K$4, Ledger!$B$2:$B$4, $A604, Ledger!$C$2:$C$4, V$2)),"****")</f>
        <v/>
      </c>
      <c r="W604" t="str">
        <f>IFERROR(IF($C604="","",SUMIFS(Ledger!$K$2:$K$4, Ledger!$B$2:$B$4, $A604, Ledger!$C$2:$C$4, W$2)),"****")</f>
        <v/>
      </c>
      <c r="X604" t="str">
        <f>IFERROR(IF($C604="","",SUMIFS(Ledger!$K$2:$K$4, Ledger!$B$2:$B$4, $A604, Ledger!$C$2:$C$4, X$2)),"****")</f>
        <v/>
      </c>
    </row>
    <row r="605" spans="1:24" x14ac:dyDescent="0.3">
      <c r="A605" s="106">
        <v>603</v>
      </c>
      <c r="B605" t="str">
        <f>IFERROR(VLOOKUP($A605, Ledger!$B$2:$L$8, 3, 0),"")</f>
        <v/>
      </c>
      <c r="C605" t="str">
        <f>IFERROR(VLOOKUP($A605, Ledger!$B$2:$L$8, 4, 0),"")</f>
        <v/>
      </c>
      <c r="D605" t="str">
        <f>IFERROR(VLOOKUP($A605, Ledger!$B$2:$L$8, 5, 0),"")</f>
        <v/>
      </c>
      <c r="E605" t="str">
        <f>IFERROR(VLOOKUP($A605, Ledger!$B$2:$L$8, 6, 0),"")</f>
        <v/>
      </c>
      <c r="F605" t="str">
        <f>IFERROR(VLOOKUP($A605,'Student Data'!$A$2:$AR$6,32,0),"")</f>
        <v/>
      </c>
      <c r="G605" t="str">
        <f>IFERROR(VLOOKUP($A605,'Student Data'!$A$2:$AR$6,33,0),"")</f>
        <v/>
      </c>
      <c r="H605" t="str">
        <f>IFERROR(VLOOKUP($A605,'Student Data'!$A$2:$AR$6,34,0),"")</f>
        <v/>
      </c>
      <c r="I605" t="str">
        <f>IFERROR(VLOOKUP($A605,'Student Data'!$A$2:$AR$6,35,0),"")</f>
        <v/>
      </c>
      <c r="J605" t="str">
        <f>IFERROR(VLOOKUP($A605,'Student Data'!$A$2:$AR$6,36,0),"")</f>
        <v/>
      </c>
      <c r="K605" t="str">
        <f t="shared" si="18"/>
        <v/>
      </c>
      <c r="L605" t="str">
        <f t="shared" si="19"/>
        <v/>
      </c>
      <c r="M605" t="str">
        <f>IFERROR(IF($C605="","",SUMIFS(Ledger!$K$2:$K$4, Ledger!$B$2:$B$4, $A605, Ledger!$C$2:$C$4, M$2)),"****")</f>
        <v/>
      </c>
      <c r="N605" t="str">
        <f>IFERROR(IF($C605="","",SUMIFS(Ledger!$K$2:$K$4, Ledger!$B$2:$B$4, $A605, Ledger!$C$2:$C$4, N$2)),"****")</f>
        <v/>
      </c>
      <c r="O605" t="str">
        <f>IFERROR(IF($C605="","",SUMIFS(Ledger!$K$2:$K$4, Ledger!$B$2:$B$4, $A605, Ledger!$C$2:$C$4, O$2)),"****")</f>
        <v/>
      </c>
      <c r="P605" t="str">
        <f>IFERROR(IF($C605="","",SUMIFS(Ledger!$K$2:$K$4, Ledger!$B$2:$B$4, $A605, Ledger!$C$2:$C$4, P$2)),"****")</f>
        <v/>
      </c>
      <c r="Q605" t="str">
        <f>IFERROR(IF($C605="","",SUMIFS(Ledger!$K$2:$K$4, Ledger!$B$2:$B$4, $A605, Ledger!$C$2:$C$4, Q$2)),"****")</f>
        <v/>
      </c>
      <c r="R605" t="str">
        <f>IFERROR(IF($C605="","",SUMIFS(Ledger!$K$2:$K$4, Ledger!$B$2:$B$4, $A605, Ledger!$C$2:$C$4, R$2)),"****")</f>
        <v/>
      </c>
      <c r="S605" t="str">
        <f>IFERROR(IF($C605="","",SUMIFS(Ledger!$K$2:$K$4, Ledger!$B$2:$B$4, $A605, Ledger!$C$2:$C$4, S$2)),"****")</f>
        <v/>
      </c>
      <c r="T605" t="str">
        <f>IFERROR(IF($C605="","",SUMIFS(Ledger!$K$2:$K$4, Ledger!$B$2:$B$4, $A605, Ledger!$C$2:$C$4, T$2)),"****")</f>
        <v/>
      </c>
      <c r="U605" t="str">
        <f>IFERROR(IF($C605="","",SUMIFS(Ledger!$K$2:$K$4, Ledger!$B$2:$B$4, $A605, Ledger!$C$2:$C$4, U$2)),"****")</f>
        <v/>
      </c>
      <c r="V605" t="str">
        <f>IFERROR(IF($C605="","",SUMIFS(Ledger!$K$2:$K$4, Ledger!$B$2:$B$4, $A605, Ledger!$C$2:$C$4, V$2)),"****")</f>
        <v/>
      </c>
      <c r="W605" t="str">
        <f>IFERROR(IF($C605="","",SUMIFS(Ledger!$K$2:$K$4, Ledger!$B$2:$B$4, $A605, Ledger!$C$2:$C$4, W$2)),"****")</f>
        <v/>
      </c>
      <c r="X605" t="str">
        <f>IFERROR(IF($C605="","",SUMIFS(Ledger!$K$2:$K$4, Ledger!$B$2:$B$4, $A605, Ledger!$C$2:$C$4, X$2)),"****")</f>
        <v/>
      </c>
    </row>
    <row r="606" spans="1:24" x14ac:dyDescent="0.3">
      <c r="A606" s="106">
        <v>604</v>
      </c>
      <c r="B606" t="str">
        <f>IFERROR(VLOOKUP($A606, Ledger!$B$2:$L$8, 3, 0),"")</f>
        <v/>
      </c>
      <c r="C606" t="str">
        <f>IFERROR(VLOOKUP($A606, Ledger!$B$2:$L$8, 4, 0),"")</f>
        <v/>
      </c>
      <c r="D606" t="str">
        <f>IFERROR(VLOOKUP($A606, Ledger!$B$2:$L$8, 5, 0),"")</f>
        <v/>
      </c>
      <c r="E606" t="str">
        <f>IFERROR(VLOOKUP($A606, Ledger!$B$2:$L$8, 6, 0),"")</f>
        <v/>
      </c>
      <c r="F606" t="str">
        <f>IFERROR(VLOOKUP($A606,'Student Data'!$A$2:$AR$6,32,0),"")</f>
        <v/>
      </c>
      <c r="G606" t="str">
        <f>IFERROR(VLOOKUP($A606,'Student Data'!$A$2:$AR$6,33,0),"")</f>
        <v/>
      </c>
      <c r="H606" t="str">
        <f>IFERROR(VLOOKUP($A606,'Student Data'!$A$2:$AR$6,34,0),"")</f>
        <v/>
      </c>
      <c r="I606" t="str">
        <f>IFERROR(VLOOKUP($A606,'Student Data'!$A$2:$AR$6,35,0),"")</f>
        <v/>
      </c>
      <c r="J606" t="str">
        <f>IFERROR(VLOOKUP($A606,'Student Data'!$A$2:$AR$6,36,0),"")</f>
        <v/>
      </c>
      <c r="K606" t="str">
        <f t="shared" si="18"/>
        <v/>
      </c>
      <c r="L606" t="str">
        <f t="shared" si="19"/>
        <v/>
      </c>
      <c r="M606" t="str">
        <f>IFERROR(IF($C606="","",SUMIFS(Ledger!$K$2:$K$4, Ledger!$B$2:$B$4, $A606, Ledger!$C$2:$C$4, M$2)),"****")</f>
        <v/>
      </c>
      <c r="N606" t="str">
        <f>IFERROR(IF($C606="","",SUMIFS(Ledger!$K$2:$K$4, Ledger!$B$2:$B$4, $A606, Ledger!$C$2:$C$4, N$2)),"****")</f>
        <v/>
      </c>
      <c r="O606" t="str">
        <f>IFERROR(IF($C606="","",SUMIFS(Ledger!$K$2:$K$4, Ledger!$B$2:$B$4, $A606, Ledger!$C$2:$C$4, O$2)),"****")</f>
        <v/>
      </c>
      <c r="P606" t="str">
        <f>IFERROR(IF($C606="","",SUMIFS(Ledger!$K$2:$K$4, Ledger!$B$2:$B$4, $A606, Ledger!$C$2:$C$4, P$2)),"****")</f>
        <v/>
      </c>
      <c r="Q606" t="str">
        <f>IFERROR(IF($C606="","",SUMIFS(Ledger!$K$2:$K$4, Ledger!$B$2:$B$4, $A606, Ledger!$C$2:$C$4, Q$2)),"****")</f>
        <v/>
      </c>
      <c r="R606" t="str">
        <f>IFERROR(IF($C606="","",SUMIFS(Ledger!$K$2:$K$4, Ledger!$B$2:$B$4, $A606, Ledger!$C$2:$C$4, R$2)),"****")</f>
        <v/>
      </c>
      <c r="S606" t="str">
        <f>IFERROR(IF($C606="","",SUMIFS(Ledger!$K$2:$K$4, Ledger!$B$2:$B$4, $A606, Ledger!$C$2:$C$4, S$2)),"****")</f>
        <v/>
      </c>
      <c r="T606" t="str">
        <f>IFERROR(IF($C606="","",SUMIFS(Ledger!$K$2:$K$4, Ledger!$B$2:$B$4, $A606, Ledger!$C$2:$C$4, T$2)),"****")</f>
        <v/>
      </c>
      <c r="U606" t="str">
        <f>IFERROR(IF($C606="","",SUMIFS(Ledger!$K$2:$K$4, Ledger!$B$2:$B$4, $A606, Ledger!$C$2:$C$4, U$2)),"****")</f>
        <v/>
      </c>
      <c r="V606" t="str">
        <f>IFERROR(IF($C606="","",SUMIFS(Ledger!$K$2:$K$4, Ledger!$B$2:$B$4, $A606, Ledger!$C$2:$C$4, V$2)),"****")</f>
        <v/>
      </c>
      <c r="W606" t="str">
        <f>IFERROR(IF($C606="","",SUMIFS(Ledger!$K$2:$K$4, Ledger!$B$2:$B$4, $A606, Ledger!$C$2:$C$4, W$2)),"****")</f>
        <v/>
      </c>
      <c r="X606" t="str">
        <f>IFERROR(IF($C606="","",SUMIFS(Ledger!$K$2:$K$4, Ledger!$B$2:$B$4, $A606, Ledger!$C$2:$C$4, X$2)),"****")</f>
        <v/>
      </c>
    </row>
    <row r="607" spans="1:24" x14ac:dyDescent="0.3">
      <c r="A607" s="106">
        <v>605</v>
      </c>
      <c r="B607" t="str">
        <f>IFERROR(VLOOKUP($A607, Ledger!$B$2:$L$8, 3, 0),"")</f>
        <v/>
      </c>
      <c r="C607" t="str">
        <f>IFERROR(VLOOKUP($A607, Ledger!$B$2:$L$8, 4, 0),"")</f>
        <v/>
      </c>
      <c r="D607" t="str">
        <f>IFERROR(VLOOKUP($A607, Ledger!$B$2:$L$8, 5, 0),"")</f>
        <v/>
      </c>
      <c r="E607" t="str">
        <f>IFERROR(VLOOKUP($A607, Ledger!$B$2:$L$8, 6, 0),"")</f>
        <v/>
      </c>
      <c r="F607" t="str">
        <f>IFERROR(VLOOKUP($A607,'Student Data'!$A$2:$AR$6,32,0),"")</f>
        <v/>
      </c>
      <c r="G607" t="str">
        <f>IFERROR(VLOOKUP($A607,'Student Data'!$A$2:$AR$6,33,0),"")</f>
        <v/>
      </c>
      <c r="H607" t="str">
        <f>IFERROR(VLOOKUP($A607,'Student Data'!$A$2:$AR$6,34,0),"")</f>
        <v/>
      </c>
      <c r="I607" t="str">
        <f>IFERROR(VLOOKUP($A607,'Student Data'!$A$2:$AR$6,35,0),"")</f>
        <v/>
      </c>
      <c r="J607" t="str">
        <f>IFERROR(VLOOKUP($A607,'Student Data'!$A$2:$AR$6,36,0),"")</f>
        <v/>
      </c>
      <c r="K607" t="str">
        <f t="shared" si="18"/>
        <v/>
      </c>
      <c r="L607" t="str">
        <f t="shared" si="19"/>
        <v/>
      </c>
      <c r="M607" t="str">
        <f>IFERROR(IF($C607="","",SUMIFS(Ledger!$K$2:$K$4, Ledger!$B$2:$B$4, $A607, Ledger!$C$2:$C$4, M$2)),"****")</f>
        <v/>
      </c>
      <c r="N607" t="str">
        <f>IFERROR(IF($C607="","",SUMIFS(Ledger!$K$2:$K$4, Ledger!$B$2:$B$4, $A607, Ledger!$C$2:$C$4, N$2)),"****")</f>
        <v/>
      </c>
      <c r="O607" t="str">
        <f>IFERROR(IF($C607="","",SUMIFS(Ledger!$K$2:$K$4, Ledger!$B$2:$B$4, $A607, Ledger!$C$2:$C$4, O$2)),"****")</f>
        <v/>
      </c>
      <c r="P607" t="str">
        <f>IFERROR(IF($C607="","",SUMIFS(Ledger!$K$2:$K$4, Ledger!$B$2:$B$4, $A607, Ledger!$C$2:$C$4, P$2)),"****")</f>
        <v/>
      </c>
      <c r="Q607" t="str">
        <f>IFERROR(IF($C607="","",SUMIFS(Ledger!$K$2:$K$4, Ledger!$B$2:$B$4, $A607, Ledger!$C$2:$C$4, Q$2)),"****")</f>
        <v/>
      </c>
      <c r="R607" t="str">
        <f>IFERROR(IF($C607="","",SUMIFS(Ledger!$K$2:$K$4, Ledger!$B$2:$B$4, $A607, Ledger!$C$2:$C$4, R$2)),"****")</f>
        <v/>
      </c>
      <c r="S607" t="str">
        <f>IFERROR(IF($C607="","",SUMIFS(Ledger!$K$2:$K$4, Ledger!$B$2:$B$4, $A607, Ledger!$C$2:$C$4, S$2)),"****")</f>
        <v/>
      </c>
      <c r="T607" t="str">
        <f>IFERROR(IF($C607="","",SUMIFS(Ledger!$K$2:$K$4, Ledger!$B$2:$B$4, $A607, Ledger!$C$2:$C$4, T$2)),"****")</f>
        <v/>
      </c>
      <c r="U607" t="str">
        <f>IFERROR(IF($C607="","",SUMIFS(Ledger!$K$2:$K$4, Ledger!$B$2:$B$4, $A607, Ledger!$C$2:$C$4, U$2)),"****")</f>
        <v/>
      </c>
      <c r="V607" t="str">
        <f>IFERROR(IF($C607="","",SUMIFS(Ledger!$K$2:$K$4, Ledger!$B$2:$B$4, $A607, Ledger!$C$2:$C$4, V$2)),"****")</f>
        <v/>
      </c>
      <c r="W607" t="str">
        <f>IFERROR(IF($C607="","",SUMIFS(Ledger!$K$2:$K$4, Ledger!$B$2:$B$4, $A607, Ledger!$C$2:$C$4, W$2)),"****")</f>
        <v/>
      </c>
      <c r="X607" t="str">
        <f>IFERROR(IF($C607="","",SUMIFS(Ledger!$K$2:$K$4, Ledger!$B$2:$B$4, $A607, Ledger!$C$2:$C$4, X$2)),"****")</f>
        <v/>
      </c>
    </row>
    <row r="608" spans="1:24" x14ac:dyDescent="0.3">
      <c r="A608" s="106">
        <v>606</v>
      </c>
      <c r="B608" t="str">
        <f>IFERROR(VLOOKUP($A608, Ledger!$B$2:$L$8, 3, 0),"")</f>
        <v/>
      </c>
      <c r="C608" t="str">
        <f>IFERROR(VLOOKUP($A608, Ledger!$B$2:$L$8, 4, 0),"")</f>
        <v/>
      </c>
      <c r="D608" t="str">
        <f>IFERROR(VLOOKUP($A608, Ledger!$B$2:$L$8, 5, 0),"")</f>
        <v/>
      </c>
      <c r="E608" t="str">
        <f>IFERROR(VLOOKUP($A608, Ledger!$B$2:$L$8, 6, 0),"")</f>
        <v/>
      </c>
      <c r="F608" t="str">
        <f>IFERROR(VLOOKUP($A608,'Student Data'!$A$2:$AR$6,32,0),"")</f>
        <v/>
      </c>
      <c r="G608" t="str">
        <f>IFERROR(VLOOKUP($A608,'Student Data'!$A$2:$AR$6,33,0),"")</f>
        <v/>
      </c>
      <c r="H608" t="str">
        <f>IFERROR(VLOOKUP($A608,'Student Data'!$A$2:$AR$6,34,0),"")</f>
        <v/>
      </c>
      <c r="I608" t="str">
        <f>IFERROR(VLOOKUP($A608,'Student Data'!$A$2:$AR$6,35,0),"")</f>
        <v/>
      </c>
      <c r="J608" t="str">
        <f>IFERROR(VLOOKUP($A608,'Student Data'!$A$2:$AR$6,36,0),"")</f>
        <v/>
      </c>
      <c r="K608" t="str">
        <f t="shared" si="18"/>
        <v/>
      </c>
      <c r="L608" t="str">
        <f t="shared" si="19"/>
        <v/>
      </c>
      <c r="M608" t="str">
        <f>IFERROR(IF($C608="","",SUMIFS(Ledger!$K$2:$K$4, Ledger!$B$2:$B$4, $A608, Ledger!$C$2:$C$4, M$2)),"****")</f>
        <v/>
      </c>
      <c r="N608" t="str">
        <f>IFERROR(IF($C608="","",SUMIFS(Ledger!$K$2:$K$4, Ledger!$B$2:$B$4, $A608, Ledger!$C$2:$C$4, N$2)),"****")</f>
        <v/>
      </c>
      <c r="O608" t="str">
        <f>IFERROR(IF($C608="","",SUMIFS(Ledger!$K$2:$K$4, Ledger!$B$2:$B$4, $A608, Ledger!$C$2:$C$4, O$2)),"****")</f>
        <v/>
      </c>
      <c r="P608" t="str">
        <f>IFERROR(IF($C608="","",SUMIFS(Ledger!$K$2:$K$4, Ledger!$B$2:$B$4, $A608, Ledger!$C$2:$C$4, P$2)),"****")</f>
        <v/>
      </c>
      <c r="Q608" t="str">
        <f>IFERROR(IF($C608="","",SUMIFS(Ledger!$K$2:$K$4, Ledger!$B$2:$B$4, $A608, Ledger!$C$2:$C$4, Q$2)),"****")</f>
        <v/>
      </c>
      <c r="R608" t="str">
        <f>IFERROR(IF($C608="","",SUMIFS(Ledger!$K$2:$K$4, Ledger!$B$2:$B$4, $A608, Ledger!$C$2:$C$4, R$2)),"****")</f>
        <v/>
      </c>
      <c r="S608" t="str">
        <f>IFERROR(IF($C608="","",SUMIFS(Ledger!$K$2:$K$4, Ledger!$B$2:$B$4, $A608, Ledger!$C$2:$C$4, S$2)),"****")</f>
        <v/>
      </c>
      <c r="T608" t="str">
        <f>IFERROR(IF($C608="","",SUMIFS(Ledger!$K$2:$K$4, Ledger!$B$2:$B$4, $A608, Ledger!$C$2:$C$4, T$2)),"****")</f>
        <v/>
      </c>
      <c r="U608" t="str">
        <f>IFERROR(IF($C608="","",SUMIFS(Ledger!$K$2:$K$4, Ledger!$B$2:$B$4, $A608, Ledger!$C$2:$C$4, U$2)),"****")</f>
        <v/>
      </c>
      <c r="V608" t="str">
        <f>IFERROR(IF($C608="","",SUMIFS(Ledger!$K$2:$K$4, Ledger!$B$2:$B$4, $A608, Ledger!$C$2:$C$4, V$2)),"****")</f>
        <v/>
      </c>
      <c r="W608" t="str">
        <f>IFERROR(IF($C608="","",SUMIFS(Ledger!$K$2:$K$4, Ledger!$B$2:$B$4, $A608, Ledger!$C$2:$C$4, W$2)),"****")</f>
        <v/>
      </c>
      <c r="X608" t="str">
        <f>IFERROR(IF($C608="","",SUMIFS(Ledger!$K$2:$K$4, Ledger!$B$2:$B$4, $A608, Ledger!$C$2:$C$4, X$2)),"****")</f>
        <v/>
      </c>
    </row>
    <row r="609" spans="1:24" x14ac:dyDescent="0.3">
      <c r="A609" s="106">
        <v>607</v>
      </c>
      <c r="B609" t="str">
        <f>IFERROR(VLOOKUP($A609, Ledger!$B$2:$L$8, 3, 0),"")</f>
        <v/>
      </c>
      <c r="C609" t="str">
        <f>IFERROR(VLOOKUP($A609, Ledger!$B$2:$L$8, 4, 0),"")</f>
        <v/>
      </c>
      <c r="D609" t="str">
        <f>IFERROR(VLOOKUP($A609, Ledger!$B$2:$L$8, 5, 0),"")</f>
        <v/>
      </c>
      <c r="E609" t="str">
        <f>IFERROR(VLOOKUP($A609, Ledger!$B$2:$L$8, 6, 0),"")</f>
        <v/>
      </c>
      <c r="F609" t="str">
        <f>IFERROR(VLOOKUP($A609,'Student Data'!$A$2:$AR$6,32,0),"")</f>
        <v/>
      </c>
      <c r="G609" t="str">
        <f>IFERROR(VLOOKUP($A609,'Student Data'!$A$2:$AR$6,33,0),"")</f>
        <v/>
      </c>
      <c r="H609" t="str">
        <f>IFERROR(VLOOKUP($A609,'Student Data'!$A$2:$AR$6,34,0),"")</f>
        <v/>
      </c>
      <c r="I609" t="str">
        <f>IFERROR(VLOOKUP($A609,'Student Data'!$A$2:$AR$6,35,0),"")</f>
        <v/>
      </c>
      <c r="J609" t="str">
        <f>IFERROR(VLOOKUP($A609,'Student Data'!$A$2:$AR$6,36,0),"")</f>
        <v/>
      </c>
      <c r="K609" t="str">
        <f t="shared" si="18"/>
        <v/>
      </c>
      <c r="L609" t="str">
        <f t="shared" si="19"/>
        <v/>
      </c>
      <c r="M609" t="str">
        <f>IFERROR(IF($C609="","",SUMIFS(Ledger!$K$2:$K$4, Ledger!$B$2:$B$4, $A609, Ledger!$C$2:$C$4, M$2)),"****")</f>
        <v/>
      </c>
      <c r="N609" t="str">
        <f>IFERROR(IF($C609="","",SUMIFS(Ledger!$K$2:$K$4, Ledger!$B$2:$B$4, $A609, Ledger!$C$2:$C$4, N$2)),"****")</f>
        <v/>
      </c>
      <c r="O609" t="str">
        <f>IFERROR(IF($C609="","",SUMIFS(Ledger!$K$2:$K$4, Ledger!$B$2:$B$4, $A609, Ledger!$C$2:$C$4, O$2)),"****")</f>
        <v/>
      </c>
      <c r="P609" t="str">
        <f>IFERROR(IF($C609="","",SUMIFS(Ledger!$K$2:$K$4, Ledger!$B$2:$B$4, $A609, Ledger!$C$2:$C$4, P$2)),"****")</f>
        <v/>
      </c>
      <c r="Q609" t="str">
        <f>IFERROR(IF($C609="","",SUMIFS(Ledger!$K$2:$K$4, Ledger!$B$2:$B$4, $A609, Ledger!$C$2:$C$4, Q$2)),"****")</f>
        <v/>
      </c>
      <c r="R609" t="str">
        <f>IFERROR(IF($C609="","",SUMIFS(Ledger!$K$2:$K$4, Ledger!$B$2:$B$4, $A609, Ledger!$C$2:$C$4, R$2)),"****")</f>
        <v/>
      </c>
      <c r="S609" t="str">
        <f>IFERROR(IF($C609="","",SUMIFS(Ledger!$K$2:$K$4, Ledger!$B$2:$B$4, $A609, Ledger!$C$2:$C$4, S$2)),"****")</f>
        <v/>
      </c>
      <c r="T609" t="str">
        <f>IFERROR(IF($C609="","",SUMIFS(Ledger!$K$2:$K$4, Ledger!$B$2:$B$4, $A609, Ledger!$C$2:$C$4, T$2)),"****")</f>
        <v/>
      </c>
      <c r="U609" t="str">
        <f>IFERROR(IF($C609="","",SUMIFS(Ledger!$K$2:$K$4, Ledger!$B$2:$B$4, $A609, Ledger!$C$2:$C$4, U$2)),"****")</f>
        <v/>
      </c>
      <c r="V609" t="str">
        <f>IFERROR(IF($C609="","",SUMIFS(Ledger!$K$2:$K$4, Ledger!$B$2:$B$4, $A609, Ledger!$C$2:$C$4, V$2)),"****")</f>
        <v/>
      </c>
      <c r="W609" t="str">
        <f>IFERROR(IF($C609="","",SUMIFS(Ledger!$K$2:$K$4, Ledger!$B$2:$B$4, $A609, Ledger!$C$2:$C$4, W$2)),"****")</f>
        <v/>
      </c>
      <c r="X609" t="str">
        <f>IFERROR(IF($C609="","",SUMIFS(Ledger!$K$2:$K$4, Ledger!$B$2:$B$4, $A609, Ledger!$C$2:$C$4, X$2)),"****")</f>
        <v/>
      </c>
    </row>
    <row r="610" spans="1:24" x14ac:dyDescent="0.3">
      <c r="A610" s="106">
        <v>608</v>
      </c>
      <c r="B610" t="str">
        <f>IFERROR(VLOOKUP($A610, Ledger!$B$2:$L$8, 3, 0),"")</f>
        <v/>
      </c>
      <c r="C610" t="str">
        <f>IFERROR(VLOOKUP($A610, Ledger!$B$2:$L$8, 4, 0),"")</f>
        <v/>
      </c>
      <c r="D610" t="str">
        <f>IFERROR(VLOOKUP($A610, Ledger!$B$2:$L$8, 5, 0),"")</f>
        <v/>
      </c>
      <c r="E610" t="str">
        <f>IFERROR(VLOOKUP($A610, Ledger!$B$2:$L$8, 6, 0),"")</f>
        <v/>
      </c>
      <c r="F610" t="str">
        <f>IFERROR(VLOOKUP($A610,'Student Data'!$A$2:$AR$6,32,0),"")</f>
        <v/>
      </c>
      <c r="G610" t="str">
        <f>IFERROR(VLOOKUP($A610,'Student Data'!$A$2:$AR$6,33,0),"")</f>
        <v/>
      </c>
      <c r="H610" t="str">
        <f>IFERROR(VLOOKUP($A610,'Student Data'!$A$2:$AR$6,34,0),"")</f>
        <v/>
      </c>
      <c r="I610" t="str">
        <f>IFERROR(VLOOKUP($A610,'Student Data'!$A$2:$AR$6,35,0),"")</f>
        <v/>
      </c>
      <c r="J610" t="str">
        <f>IFERROR(VLOOKUP($A610,'Student Data'!$A$2:$AR$6,36,0),"")</f>
        <v/>
      </c>
      <c r="K610" t="str">
        <f t="shared" si="18"/>
        <v/>
      </c>
      <c r="L610" t="str">
        <f t="shared" si="19"/>
        <v/>
      </c>
      <c r="M610" t="str">
        <f>IFERROR(IF($C610="","",SUMIFS(Ledger!$K$2:$K$4, Ledger!$B$2:$B$4, $A610, Ledger!$C$2:$C$4, M$2)),"****")</f>
        <v/>
      </c>
      <c r="N610" t="str">
        <f>IFERROR(IF($C610="","",SUMIFS(Ledger!$K$2:$K$4, Ledger!$B$2:$B$4, $A610, Ledger!$C$2:$C$4, N$2)),"****")</f>
        <v/>
      </c>
      <c r="O610" t="str">
        <f>IFERROR(IF($C610="","",SUMIFS(Ledger!$K$2:$K$4, Ledger!$B$2:$B$4, $A610, Ledger!$C$2:$C$4, O$2)),"****")</f>
        <v/>
      </c>
      <c r="P610" t="str">
        <f>IFERROR(IF($C610="","",SUMIFS(Ledger!$K$2:$K$4, Ledger!$B$2:$B$4, $A610, Ledger!$C$2:$C$4, P$2)),"****")</f>
        <v/>
      </c>
      <c r="Q610" t="str">
        <f>IFERROR(IF($C610="","",SUMIFS(Ledger!$K$2:$K$4, Ledger!$B$2:$B$4, $A610, Ledger!$C$2:$C$4, Q$2)),"****")</f>
        <v/>
      </c>
      <c r="R610" t="str">
        <f>IFERROR(IF($C610="","",SUMIFS(Ledger!$K$2:$K$4, Ledger!$B$2:$B$4, $A610, Ledger!$C$2:$C$4, R$2)),"****")</f>
        <v/>
      </c>
      <c r="S610" t="str">
        <f>IFERROR(IF($C610="","",SUMIFS(Ledger!$K$2:$K$4, Ledger!$B$2:$B$4, $A610, Ledger!$C$2:$C$4, S$2)),"****")</f>
        <v/>
      </c>
      <c r="T610" t="str">
        <f>IFERROR(IF($C610="","",SUMIFS(Ledger!$K$2:$K$4, Ledger!$B$2:$B$4, $A610, Ledger!$C$2:$C$4, T$2)),"****")</f>
        <v/>
      </c>
      <c r="U610" t="str">
        <f>IFERROR(IF($C610="","",SUMIFS(Ledger!$K$2:$K$4, Ledger!$B$2:$B$4, $A610, Ledger!$C$2:$C$4, U$2)),"****")</f>
        <v/>
      </c>
      <c r="V610" t="str">
        <f>IFERROR(IF($C610="","",SUMIFS(Ledger!$K$2:$K$4, Ledger!$B$2:$B$4, $A610, Ledger!$C$2:$C$4, V$2)),"****")</f>
        <v/>
      </c>
      <c r="W610" t="str">
        <f>IFERROR(IF($C610="","",SUMIFS(Ledger!$K$2:$K$4, Ledger!$B$2:$B$4, $A610, Ledger!$C$2:$C$4, W$2)),"****")</f>
        <v/>
      </c>
      <c r="X610" t="str">
        <f>IFERROR(IF($C610="","",SUMIFS(Ledger!$K$2:$K$4, Ledger!$B$2:$B$4, $A610, Ledger!$C$2:$C$4, X$2)),"****")</f>
        <v/>
      </c>
    </row>
    <row r="611" spans="1:24" x14ac:dyDescent="0.3">
      <c r="A611" s="106">
        <v>609</v>
      </c>
      <c r="B611" t="str">
        <f>IFERROR(VLOOKUP($A611, Ledger!$B$2:$L$8, 3, 0),"")</f>
        <v/>
      </c>
      <c r="C611" t="str">
        <f>IFERROR(VLOOKUP($A611, Ledger!$B$2:$L$8, 4, 0),"")</f>
        <v/>
      </c>
      <c r="D611" t="str">
        <f>IFERROR(VLOOKUP($A611, Ledger!$B$2:$L$8, 5, 0),"")</f>
        <v/>
      </c>
      <c r="E611" t="str">
        <f>IFERROR(VLOOKUP($A611, Ledger!$B$2:$L$8, 6, 0),"")</f>
        <v/>
      </c>
      <c r="F611" t="str">
        <f>IFERROR(VLOOKUP($A611,'Student Data'!$A$2:$AR$6,32,0),"")</f>
        <v/>
      </c>
      <c r="G611" t="str">
        <f>IFERROR(VLOOKUP($A611,'Student Data'!$A$2:$AR$6,33,0),"")</f>
        <v/>
      </c>
      <c r="H611" t="str">
        <f>IFERROR(VLOOKUP($A611,'Student Data'!$A$2:$AR$6,34,0),"")</f>
        <v/>
      </c>
      <c r="I611" t="str">
        <f>IFERROR(VLOOKUP($A611,'Student Data'!$A$2:$AR$6,35,0),"")</f>
        <v/>
      </c>
      <c r="J611" t="str">
        <f>IFERROR(VLOOKUP($A611,'Student Data'!$A$2:$AR$6,36,0),"")</f>
        <v/>
      </c>
      <c r="K611" t="str">
        <f t="shared" si="18"/>
        <v/>
      </c>
      <c r="L611" t="str">
        <f t="shared" si="19"/>
        <v/>
      </c>
      <c r="M611" t="str">
        <f>IFERROR(IF($C611="","",SUMIFS(Ledger!$K$2:$K$4, Ledger!$B$2:$B$4, $A611, Ledger!$C$2:$C$4, M$2)),"****")</f>
        <v/>
      </c>
      <c r="N611" t="str">
        <f>IFERROR(IF($C611="","",SUMIFS(Ledger!$K$2:$K$4, Ledger!$B$2:$B$4, $A611, Ledger!$C$2:$C$4, N$2)),"****")</f>
        <v/>
      </c>
      <c r="O611" t="str">
        <f>IFERROR(IF($C611="","",SUMIFS(Ledger!$K$2:$K$4, Ledger!$B$2:$B$4, $A611, Ledger!$C$2:$C$4, O$2)),"****")</f>
        <v/>
      </c>
      <c r="P611" t="str">
        <f>IFERROR(IF($C611="","",SUMIFS(Ledger!$K$2:$K$4, Ledger!$B$2:$B$4, $A611, Ledger!$C$2:$C$4, P$2)),"****")</f>
        <v/>
      </c>
      <c r="Q611" t="str">
        <f>IFERROR(IF($C611="","",SUMIFS(Ledger!$K$2:$K$4, Ledger!$B$2:$B$4, $A611, Ledger!$C$2:$C$4, Q$2)),"****")</f>
        <v/>
      </c>
      <c r="R611" t="str">
        <f>IFERROR(IF($C611="","",SUMIFS(Ledger!$K$2:$K$4, Ledger!$B$2:$B$4, $A611, Ledger!$C$2:$C$4, R$2)),"****")</f>
        <v/>
      </c>
      <c r="S611" t="str">
        <f>IFERROR(IF($C611="","",SUMIFS(Ledger!$K$2:$K$4, Ledger!$B$2:$B$4, $A611, Ledger!$C$2:$C$4, S$2)),"****")</f>
        <v/>
      </c>
      <c r="T611" t="str">
        <f>IFERROR(IF($C611="","",SUMIFS(Ledger!$K$2:$K$4, Ledger!$B$2:$B$4, $A611, Ledger!$C$2:$C$4, T$2)),"****")</f>
        <v/>
      </c>
      <c r="U611" t="str">
        <f>IFERROR(IF($C611="","",SUMIFS(Ledger!$K$2:$K$4, Ledger!$B$2:$B$4, $A611, Ledger!$C$2:$C$4, U$2)),"****")</f>
        <v/>
      </c>
      <c r="V611" t="str">
        <f>IFERROR(IF($C611="","",SUMIFS(Ledger!$K$2:$K$4, Ledger!$B$2:$B$4, $A611, Ledger!$C$2:$C$4, V$2)),"****")</f>
        <v/>
      </c>
      <c r="W611" t="str">
        <f>IFERROR(IF($C611="","",SUMIFS(Ledger!$K$2:$K$4, Ledger!$B$2:$B$4, $A611, Ledger!$C$2:$C$4, W$2)),"****")</f>
        <v/>
      </c>
      <c r="X611" t="str">
        <f>IFERROR(IF($C611="","",SUMIFS(Ledger!$K$2:$K$4, Ledger!$B$2:$B$4, $A611, Ledger!$C$2:$C$4, X$2)),"****")</f>
        <v/>
      </c>
    </row>
    <row r="612" spans="1:24" x14ac:dyDescent="0.3">
      <c r="A612" s="106">
        <v>610</v>
      </c>
      <c r="B612" t="str">
        <f>IFERROR(VLOOKUP($A612, Ledger!$B$2:$L$8, 3, 0),"")</f>
        <v/>
      </c>
      <c r="C612" t="str">
        <f>IFERROR(VLOOKUP($A612, Ledger!$B$2:$L$8, 4, 0),"")</f>
        <v/>
      </c>
      <c r="D612" t="str">
        <f>IFERROR(VLOOKUP($A612, Ledger!$B$2:$L$8, 5, 0),"")</f>
        <v/>
      </c>
      <c r="E612" t="str">
        <f>IFERROR(VLOOKUP($A612, Ledger!$B$2:$L$8, 6, 0),"")</f>
        <v/>
      </c>
      <c r="F612" t="str">
        <f>IFERROR(VLOOKUP($A612,'Student Data'!$A$2:$AR$6,32,0),"")</f>
        <v/>
      </c>
      <c r="G612" t="str">
        <f>IFERROR(VLOOKUP($A612,'Student Data'!$A$2:$AR$6,33,0),"")</f>
        <v/>
      </c>
      <c r="H612" t="str">
        <f>IFERROR(VLOOKUP($A612,'Student Data'!$A$2:$AR$6,34,0),"")</f>
        <v/>
      </c>
      <c r="I612" t="str">
        <f>IFERROR(VLOOKUP($A612,'Student Data'!$A$2:$AR$6,35,0),"")</f>
        <v/>
      </c>
      <c r="J612" t="str">
        <f>IFERROR(VLOOKUP($A612,'Student Data'!$A$2:$AR$6,36,0),"")</f>
        <v/>
      </c>
      <c r="K612" t="str">
        <f t="shared" si="18"/>
        <v/>
      </c>
      <c r="L612" t="str">
        <f t="shared" si="19"/>
        <v/>
      </c>
      <c r="M612" t="str">
        <f>IFERROR(IF($C612="","",SUMIFS(Ledger!$K$2:$K$4, Ledger!$B$2:$B$4, $A612, Ledger!$C$2:$C$4, M$2)),"****")</f>
        <v/>
      </c>
      <c r="N612" t="str">
        <f>IFERROR(IF($C612="","",SUMIFS(Ledger!$K$2:$K$4, Ledger!$B$2:$B$4, $A612, Ledger!$C$2:$C$4, N$2)),"****")</f>
        <v/>
      </c>
      <c r="O612" t="str">
        <f>IFERROR(IF($C612="","",SUMIFS(Ledger!$K$2:$K$4, Ledger!$B$2:$B$4, $A612, Ledger!$C$2:$C$4, O$2)),"****")</f>
        <v/>
      </c>
      <c r="P612" t="str">
        <f>IFERROR(IF($C612="","",SUMIFS(Ledger!$K$2:$K$4, Ledger!$B$2:$B$4, $A612, Ledger!$C$2:$C$4, P$2)),"****")</f>
        <v/>
      </c>
      <c r="Q612" t="str">
        <f>IFERROR(IF($C612="","",SUMIFS(Ledger!$K$2:$K$4, Ledger!$B$2:$B$4, $A612, Ledger!$C$2:$C$4, Q$2)),"****")</f>
        <v/>
      </c>
      <c r="R612" t="str">
        <f>IFERROR(IF($C612="","",SUMIFS(Ledger!$K$2:$K$4, Ledger!$B$2:$B$4, $A612, Ledger!$C$2:$C$4, R$2)),"****")</f>
        <v/>
      </c>
      <c r="S612" t="str">
        <f>IFERROR(IF($C612="","",SUMIFS(Ledger!$K$2:$K$4, Ledger!$B$2:$B$4, $A612, Ledger!$C$2:$C$4, S$2)),"****")</f>
        <v/>
      </c>
      <c r="T612" t="str">
        <f>IFERROR(IF($C612="","",SUMIFS(Ledger!$K$2:$K$4, Ledger!$B$2:$B$4, $A612, Ledger!$C$2:$C$4, T$2)),"****")</f>
        <v/>
      </c>
      <c r="U612" t="str">
        <f>IFERROR(IF($C612="","",SUMIFS(Ledger!$K$2:$K$4, Ledger!$B$2:$B$4, $A612, Ledger!$C$2:$C$4, U$2)),"****")</f>
        <v/>
      </c>
      <c r="V612" t="str">
        <f>IFERROR(IF($C612="","",SUMIFS(Ledger!$K$2:$K$4, Ledger!$B$2:$B$4, $A612, Ledger!$C$2:$C$4, V$2)),"****")</f>
        <v/>
      </c>
      <c r="W612" t="str">
        <f>IFERROR(IF($C612="","",SUMIFS(Ledger!$K$2:$K$4, Ledger!$B$2:$B$4, $A612, Ledger!$C$2:$C$4, W$2)),"****")</f>
        <v/>
      </c>
      <c r="X612" t="str">
        <f>IFERROR(IF($C612="","",SUMIFS(Ledger!$K$2:$K$4, Ledger!$B$2:$B$4, $A612, Ledger!$C$2:$C$4, X$2)),"****")</f>
        <v/>
      </c>
    </row>
    <row r="613" spans="1:24" x14ac:dyDescent="0.3">
      <c r="A613" s="106">
        <v>611</v>
      </c>
      <c r="B613" t="str">
        <f>IFERROR(VLOOKUP($A613, Ledger!$B$2:$L$8, 3, 0),"")</f>
        <v/>
      </c>
      <c r="C613" t="str">
        <f>IFERROR(VLOOKUP($A613, Ledger!$B$2:$L$8, 4, 0),"")</f>
        <v/>
      </c>
      <c r="D613" t="str">
        <f>IFERROR(VLOOKUP($A613, Ledger!$B$2:$L$8, 5, 0),"")</f>
        <v/>
      </c>
      <c r="E613" t="str">
        <f>IFERROR(VLOOKUP($A613, Ledger!$B$2:$L$8, 6, 0),"")</f>
        <v/>
      </c>
      <c r="F613" t="str">
        <f>IFERROR(VLOOKUP($A613,'Student Data'!$A$2:$AR$6,32,0),"")</f>
        <v/>
      </c>
      <c r="G613" t="str">
        <f>IFERROR(VLOOKUP($A613,'Student Data'!$A$2:$AR$6,33,0),"")</f>
        <v/>
      </c>
      <c r="H613" t="str">
        <f>IFERROR(VLOOKUP($A613,'Student Data'!$A$2:$AR$6,34,0),"")</f>
        <v/>
      </c>
      <c r="I613" t="str">
        <f>IFERROR(VLOOKUP($A613,'Student Data'!$A$2:$AR$6,35,0),"")</f>
        <v/>
      </c>
      <c r="J613" t="str">
        <f>IFERROR(VLOOKUP($A613,'Student Data'!$A$2:$AR$6,36,0),"")</f>
        <v/>
      </c>
      <c r="K613" t="str">
        <f t="shared" si="18"/>
        <v/>
      </c>
      <c r="L613" t="str">
        <f t="shared" si="19"/>
        <v/>
      </c>
      <c r="M613" t="str">
        <f>IFERROR(IF($C613="","",SUMIFS(Ledger!$K$2:$K$4, Ledger!$B$2:$B$4, $A613, Ledger!$C$2:$C$4, M$2)),"****")</f>
        <v/>
      </c>
      <c r="N613" t="str">
        <f>IFERROR(IF($C613="","",SUMIFS(Ledger!$K$2:$K$4, Ledger!$B$2:$B$4, $A613, Ledger!$C$2:$C$4, N$2)),"****")</f>
        <v/>
      </c>
      <c r="O613" t="str">
        <f>IFERROR(IF($C613="","",SUMIFS(Ledger!$K$2:$K$4, Ledger!$B$2:$B$4, $A613, Ledger!$C$2:$C$4, O$2)),"****")</f>
        <v/>
      </c>
      <c r="P613" t="str">
        <f>IFERROR(IF($C613="","",SUMIFS(Ledger!$K$2:$K$4, Ledger!$B$2:$B$4, $A613, Ledger!$C$2:$C$4, P$2)),"****")</f>
        <v/>
      </c>
      <c r="Q613" t="str">
        <f>IFERROR(IF($C613="","",SUMIFS(Ledger!$K$2:$K$4, Ledger!$B$2:$B$4, $A613, Ledger!$C$2:$C$4, Q$2)),"****")</f>
        <v/>
      </c>
      <c r="R613" t="str">
        <f>IFERROR(IF($C613="","",SUMIFS(Ledger!$K$2:$K$4, Ledger!$B$2:$B$4, $A613, Ledger!$C$2:$C$4, R$2)),"****")</f>
        <v/>
      </c>
      <c r="S613" t="str">
        <f>IFERROR(IF($C613="","",SUMIFS(Ledger!$K$2:$K$4, Ledger!$B$2:$B$4, $A613, Ledger!$C$2:$C$4, S$2)),"****")</f>
        <v/>
      </c>
      <c r="T613" t="str">
        <f>IFERROR(IF($C613="","",SUMIFS(Ledger!$K$2:$K$4, Ledger!$B$2:$B$4, $A613, Ledger!$C$2:$C$4, T$2)),"****")</f>
        <v/>
      </c>
      <c r="U613" t="str">
        <f>IFERROR(IF($C613="","",SUMIFS(Ledger!$K$2:$K$4, Ledger!$B$2:$B$4, $A613, Ledger!$C$2:$C$4, U$2)),"****")</f>
        <v/>
      </c>
      <c r="V613" t="str">
        <f>IFERROR(IF($C613="","",SUMIFS(Ledger!$K$2:$K$4, Ledger!$B$2:$B$4, $A613, Ledger!$C$2:$C$4, V$2)),"****")</f>
        <v/>
      </c>
      <c r="W613" t="str">
        <f>IFERROR(IF($C613="","",SUMIFS(Ledger!$K$2:$K$4, Ledger!$B$2:$B$4, $A613, Ledger!$C$2:$C$4, W$2)),"****")</f>
        <v/>
      </c>
      <c r="X613" t="str">
        <f>IFERROR(IF($C613="","",SUMIFS(Ledger!$K$2:$K$4, Ledger!$B$2:$B$4, $A613, Ledger!$C$2:$C$4, X$2)),"****")</f>
        <v/>
      </c>
    </row>
    <row r="614" spans="1:24" x14ac:dyDescent="0.3">
      <c r="A614" s="106">
        <v>612</v>
      </c>
      <c r="B614" t="str">
        <f>IFERROR(VLOOKUP($A614, Ledger!$B$2:$L$8, 3, 0),"")</f>
        <v/>
      </c>
      <c r="C614" t="str">
        <f>IFERROR(VLOOKUP($A614, Ledger!$B$2:$L$8, 4, 0),"")</f>
        <v/>
      </c>
      <c r="D614" t="str">
        <f>IFERROR(VLOOKUP($A614, Ledger!$B$2:$L$8, 5, 0),"")</f>
        <v/>
      </c>
      <c r="E614" t="str">
        <f>IFERROR(VLOOKUP($A614, Ledger!$B$2:$L$8, 6, 0),"")</f>
        <v/>
      </c>
      <c r="F614" t="str">
        <f>IFERROR(VLOOKUP($A614,'Student Data'!$A$2:$AR$6,32,0),"")</f>
        <v/>
      </c>
      <c r="G614" t="str">
        <f>IFERROR(VLOOKUP($A614,'Student Data'!$A$2:$AR$6,33,0),"")</f>
        <v/>
      </c>
      <c r="H614" t="str">
        <f>IFERROR(VLOOKUP($A614,'Student Data'!$A$2:$AR$6,34,0),"")</f>
        <v/>
      </c>
      <c r="I614" t="str">
        <f>IFERROR(VLOOKUP($A614,'Student Data'!$A$2:$AR$6,35,0),"")</f>
        <v/>
      </c>
      <c r="J614" t="str">
        <f>IFERROR(VLOOKUP($A614,'Student Data'!$A$2:$AR$6,36,0),"")</f>
        <v/>
      </c>
      <c r="K614" t="str">
        <f t="shared" si="18"/>
        <v/>
      </c>
      <c r="L614" t="str">
        <f t="shared" si="19"/>
        <v/>
      </c>
      <c r="M614" t="str">
        <f>IFERROR(IF($C614="","",SUMIFS(Ledger!$K$2:$K$4, Ledger!$B$2:$B$4, $A614, Ledger!$C$2:$C$4, M$2)),"****")</f>
        <v/>
      </c>
      <c r="N614" t="str">
        <f>IFERROR(IF($C614="","",SUMIFS(Ledger!$K$2:$K$4, Ledger!$B$2:$B$4, $A614, Ledger!$C$2:$C$4, N$2)),"****")</f>
        <v/>
      </c>
      <c r="O614" t="str">
        <f>IFERROR(IF($C614="","",SUMIFS(Ledger!$K$2:$K$4, Ledger!$B$2:$B$4, $A614, Ledger!$C$2:$C$4, O$2)),"****")</f>
        <v/>
      </c>
      <c r="P614" t="str">
        <f>IFERROR(IF($C614="","",SUMIFS(Ledger!$K$2:$K$4, Ledger!$B$2:$B$4, $A614, Ledger!$C$2:$C$4, P$2)),"****")</f>
        <v/>
      </c>
      <c r="Q614" t="str">
        <f>IFERROR(IF($C614="","",SUMIFS(Ledger!$K$2:$K$4, Ledger!$B$2:$B$4, $A614, Ledger!$C$2:$C$4, Q$2)),"****")</f>
        <v/>
      </c>
      <c r="R614" t="str">
        <f>IFERROR(IF($C614="","",SUMIFS(Ledger!$K$2:$K$4, Ledger!$B$2:$B$4, $A614, Ledger!$C$2:$C$4, R$2)),"****")</f>
        <v/>
      </c>
      <c r="S614" t="str">
        <f>IFERROR(IF($C614="","",SUMIFS(Ledger!$K$2:$K$4, Ledger!$B$2:$B$4, $A614, Ledger!$C$2:$C$4, S$2)),"****")</f>
        <v/>
      </c>
      <c r="T614" t="str">
        <f>IFERROR(IF($C614="","",SUMIFS(Ledger!$K$2:$K$4, Ledger!$B$2:$B$4, $A614, Ledger!$C$2:$C$4, T$2)),"****")</f>
        <v/>
      </c>
      <c r="U614" t="str">
        <f>IFERROR(IF($C614="","",SUMIFS(Ledger!$K$2:$K$4, Ledger!$B$2:$B$4, $A614, Ledger!$C$2:$C$4, U$2)),"****")</f>
        <v/>
      </c>
      <c r="V614" t="str">
        <f>IFERROR(IF($C614="","",SUMIFS(Ledger!$K$2:$K$4, Ledger!$B$2:$B$4, $A614, Ledger!$C$2:$C$4, V$2)),"****")</f>
        <v/>
      </c>
      <c r="W614" t="str">
        <f>IFERROR(IF($C614="","",SUMIFS(Ledger!$K$2:$K$4, Ledger!$B$2:$B$4, $A614, Ledger!$C$2:$C$4, W$2)),"****")</f>
        <v/>
      </c>
      <c r="X614" t="str">
        <f>IFERROR(IF($C614="","",SUMIFS(Ledger!$K$2:$K$4, Ledger!$B$2:$B$4, $A614, Ledger!$C$2:$C$4, X$2)),"****")</f>
        <v/>
      </c>
    </row>
    <row r="615" spans="1:24" x14ac:dyDescent="0.3">
      <c r="A615" s="106">
        <v>613</v>
      </c>
      <c r="B615" t="str">
        <f>IFERROR(VLOOKUP($A615, Ledger!$B$2:$L$8, 3, 0),"")</f>
        <v/>
      </c>
      <c r="C615" t="str">
        <f>IFERROR(VLOOKUP($A615, Ledger!$B$2:$L$8, 4, 0),"")</f>
        <v/>
      </c>
      <c r="D615" t="str">
        <f>IFERROR(VLOOKUP($A615, Ledger!$B$2:$L$8, 5, 0),"")</f>
        <v/>
      </c>
      <c r="E615" t="str">
        <f>IFERROR(VLOOKUP($A615, Ledger!$B$2:$L$8, 6, 0),"")</f>
        <v/>
      </c>
      <c r="F615" t="str">
        <f>IFERROR(VLOOKUP($A615,'Student Data'!$A$2:$AR$6,32,0),"")</f>
        <v/>
      </c>
      <c r="G615" t="str">
        <f>IFERROR(VLOOKUP($A615,'Student Data'!$A$2:$AR$6,33,0),"")</f>
        <v/>
      </c>
      <c r="H615" t="str">
        <f>IFERROR(VLOOKUP($A615,'Student Data'!$A$2:$AR$6,34,0),"")</f>
        <v/>
      </c>
      <c r="I615" t="str">
        <f>IFERROR(VLOOKUP($A615,'Student Data'!$A$2:$AR$6,35,0),"")</f>
        <v/>
      </c>
      <c r="J615" t="str">
        <f>IFERROR(VLOOKUP($A615,'Student Data'!$A$2:$AR$6,36,0),"")</f>
        <v/>
      </c>
      <c r="K615" t="str">
        <f t="shared" si="18"/>
        <v/>
      </c>
      <c r="L615" t="str">
        <f t="shared" si="19"/>
        <v/>
      </c>
      <c r="M615" t="str">
        <f>IFERROR(IF($C615="","",SUMIFS(Ledger!$K$2:$K$4, Ledger!$B$2:$B$4, $A615, Ledger!$C$2:$C$4, M$2)),"****")</f>
        <v/>
      </c>
      <c r="N615" t="str">
        <f>IFERROR(IF($C615="","",SUMIFS(Ledger!$K$2:$K$4, Ledger!$B$2:$B$4, $A615, Ledger!$C$2:$C$4, N$2)),"****")</f>
        <v/>
      </c>
      <c r="O615" t="str">
        <f>IFERROR(IF($C615="","",SUMIFS(Ledger!$K$2:$K$4, Ledger!$B$2:$B$4, $A615, Ledger!$C$2:$C$4, O$2)),"****")</f>
        <v/>
      </c>
      <c r="P615" t="str">
        <f>IFERROR(IF($C615="","",SUMIFS(Ledger!$K$2:$K$4, Ledger!$B$2:$B$4, $A615, Ledger!$C$2:$C$4, P$2)),"****")</f>
        <v/>
      </c>
      <c r="Q615" t="str">
        <f>IFERROR(IF($C615="","",SUMIFS(Ledger!$K$2:$K$4, Ledger!$B$2:$B$4, $A615, Ledger!$C$2:$C$4, Q$2)),"****")</f>
        <v/>
      </c>
      <c r="R615" t="str">
        <f>IFERROR(IF($C615="","",SUMIFS(Ledger!$K$2:$K$4, Ledger!$B$2:$B$4, $A615, Ledger!$C$2:$C$4, R$2)),"****")</f>
        <v/>
      </c>
      <c r="S615" t="str">
        <f>IFERROR(IF($C615="","",SUMIFS(Ledger!$K$2:$K$4, Ledger!$B$2:$B$4, $A615, Ledger!$C$2:$C$4, S$2)),"****")</f>
        <v/>
      </c>
      <c r="T615" t="str">
        <f>IFERROR(IF($C615="","",SUMIFS(Ledger!$K$2:$K$4, Ledger!$B$2:$B$4, $A615, Ledger!$C$2:$C$4, T$2)),"****")</f>
        <v/>
      </c>
      <c r="U615" t="str">
        <f>IFERROR(IF($C615="","",SUMIFS(Ledger!$K$2:$K$4, Ledger!$B$2:$B$4, $A615, Ledger!$C$2:$C$4, U$2)),"****")</f>
        <v/>
      </c>
      <c r="V615" t="str">
        <f>IFERROR(IF($C615="","",SUMIFS(Ledger!$K$2:$K$4, Ledger!$B$2:$B$4, $A615, Ledger!$C$2:$C$4, V$2)),"****")</f>
        <v/>
      </c>
      <c r="W615" t="str">
        <f>IFERROR(IF($C615="","",SUMIFS(Ledger!$K$2:$K$4, Ledger!$B$2:$B$4, $A615, Ledger!$C$2:$C$4, W$2)),"****")</f>
        <v/>
      </c>
      <c r="X615" t="str">
        <f>IFERROR(IF($C615="","",SUMIFS(Ledger!$K$2:$K$4, Ledger!$B$2:$B$4, $A615, Ledger!$C$2:$C$4, X$2)),"****")</f>
        <v/>
      </c>
    </row>
    <row r="616" spans="1:24" x14ac:dyDescent="0.3">
      <c r="A616" s="106">
        <v>614</v>
      </c>
      <c r="B616" t="str">
        <f>IFERROR(VLOOKUP($A616, Ledger!$B$2:$L$8, 3, 0),"")</f>
        <v/>
      </c>
      <c r="C616" t="str">
        <f>IFERROR(VLOOKUP($A616, Ledger!$B$2:$L$8, 4, 0),"")</f>
        <v/>
      </c>
      <c r="D616" t="str">
        <f>IFERROR(VLOOKUP($A616, Ledger!$B$2:$L$8, 5, 0),"")</f>
        <v/>
      </c>
      <c r="E616" t="str">
        <f>IFERROR(VLOOKUP($A616, Ledger!$B$2:$L$8, 6, 0),"")</f>
        <v/>
      </c>
      <c r="F616" t="str">
        <f>IFERROR(VLOOKUP($A616,'Student Data'!$A$2:$AR$6,32,0),"")</f>
        <v/>
      </c>
      <c r="G616" t="str">
        <f>IFERROR(VLOOKUP($A616,'Student Data'!$A$2:$AR$6,33,0),"")</f>
        <v/>
      </c>
      <c r="H616" t="str">
        <f>IFERROR(VLOOKUP($A616,'Student Data'!$A$2:$AR$6,34,0),"")</f>
        <v/>
      </c>
      <c r="I616" t="str">
        <f>IFERROR(VLOOKUP($A616,'Student Data'!$A$2:$AR$6,35,0),"")</f>
        <v/>
      </c>
      <c r="J616" t="str">
        <f>IFERROR(VLOOKUP($A616,'Student Data'!$A$2:$AR$6,36,0),"")</f>
        <v/>
      </c>
      <c r="K616" t="str">
        <f t="shared" si="18"/>
        <v/>
      </c>
      <c r="L616" t="str">
        <f t="shared" si="19"/>
        <v/>
      </c>
      <c r="M616" t="str">
        <f>IFERROR(IF($C616="","",SUMIFS(Ledger!$K$2:$K$4, Ledger!$B$2:$B$4, $A616, Ledger!$C$2:$C$4, M$2)),"****")</f>
        <v/>
      </c>
      <c r="N616" t="str">
        <f>IFERROR(IF($C616="","",SUMIFS(Ledger!$K$2:$K$4, Ledger!$B$2:$B$4, $A616, Ledger!$C$2:$C$4, N$2)),"****")</f>
        <v/>
      </c>
      <c r="O616" t="str">
        <f>IFERROR(IF($C616="","",SUMIFS(Ledger!$K$2:$K$4, Ledger!$B$2:$B$4, $A616, Ledger!$C$2:$C$4, O$2)),"****")</f>
        <v/>
      </c>
      <c r="P616" t="str">
        <f>IFERROR(IF($C616="","",SUMIFS(Ledger!$K$2:$K$4, Ledger!$B$2:$B$4, $A616, Ledger!$C$2:$C$4, P$2)),"****")</f>
        <v/>
      </c>
      <c r="Q616" t="str">
        <f>IFERROR(IF($C616="","",SUMIFS(Ledger!$K$2:$K$4, Ledger!$B$2:$B$4, $A616, Ledger!$C$2:$C$4, Q$2)),"****")</f>
        <v/>
      </c>
      <c r="R616" t="str">
        <f>IFERROR(IF($C616="","",SUMIFS(Ledger!$K$2:$K$4, Ledger!$B$2:$B$4, $A616, Ledger!$C$2:$C$4, R$2)),"****")</f>
        <v/>
      </c>
      <c r="S616" t="str">
        <f>IFERROR(IF($C616="","",SUMIFS(Ledger!$K$2:$K$4, Ledger!$B$2:$B$4, $A616, Ledger!$C$2:$C$4, S$2)),"****")</f>
        <v/>
      </c>
      <c r="T616" t="str">
        <f>IFERROR(IF($C616="","",SUMIFS(Ledger!$K$2:$K$4, Ledger!$B$2:$B$4, $A616, Ledger!$C$2:$C$4, T$2)),"****")</f>
        <v/>
      </c>
      <c r="U616" t="str">
        <f>IFERROR(IF($C616="","",SUMIFS(Ledger!$K$2:$K$4, Ledger!$B$2:$B$4, $A616, Ledger!$C$2:$C$4, U$2)),"****")</f>
        <v/>
      </c>
      <c r="V616" t="str">
        <f>IFERROR(IF($C616="","",SUMIFS(Ledger!$K$2:$K$4, Ledger!$B$2:$B$4, $A616, Ledger!$C$2:$C$4, V$2)),"****")</f>
        <v/>
      </c>
      <c r="W616" t="str">
        <f>IFERROR(IF($C616="","",SUMIFS(Ledger!$K$2:$K$4, Ledger!$B$2:$B$4, $A616, Ledger!$C$2:$C$4, W$2)),"****")</f>
        <v/>
      </c>
      <c r="X616" t="str">
        <f>IFERROR(IF($C616="","",SUMIFS(Ledger!$K$2:$K$4, Ledger!$B$2:$B$4, $A616, Ledger!$C$2:$C$4, X$2)),"****")</f>
        <v/>
      </c>
    </row>
    <row r="617" spans="1:24" x14ac:dyDescent="0.3">
      <c r="A617" s="106">
        <v>615</v>
      </c>
      <c r="B617" t="str">
        <f>IFERROR(VLOOKUP($A617, Ledger!$B$2:$L$8, 3, 0),"")</f>
        <v/>
      </c>
      <c r="C617" t="str">
        <f>IFERROR(VLOOKUP($A617, Ledger!$B$2:$L$8, 4, 0),"")</f>
        <v/>
      </c>
      <c r="D617" t="str">
        <f>IFERROR(VLOOKUP($A617, Ledger!$B$2:$L$8, 5, 0),"")</f>
        <v/>
      </c>
      <c r="E617" t="str">
        <f>IFERROR(VLOOKUP($A617, Ledger!$B$2:$L$8, 6, 0),"")</f>
        <v/>
      </c>
      <c r="F617" t="str">
        <f>IFERROR(VLOOKUP($A617,'Student Data'!$A$2:$AR$6,32,0),"")</f>
        <v/>
      </c>
      <c r="G617" t="str">
        <f>IFERROR(VLOOKUP($A617,'Student Data'!$A$2:$AR$6,33,0),"")</f>
        <v/>
      </c>
      <c r="H617" t="str">
        <f>IFERROR(VLOOKUP($A617,'Student Data'!$A$2:$AR$6,34,0),"")</f>
        <v/>
      </c>
      <c r="I617" t="str">
        <f>IFERROR(VLOOKUP($A617,'Student Data'!$A$2:$AR$6,35,0),"")</f>
        <v/>
      </c>
      <c r="J617" t="str">
        <f>IFERROR(VLOOKUP($A617,'Student Data'!$A$2:$AR$6,36,0),"")</f>
        <v/>
      </c>
      <c r="K617" t="str">
        <f t="shared" si="18"/>
        <v/>
      </c>
      <c r="L617" t="str">
        <f t="shared" si="19"/>
        <v/>
      </c>
      <c r="M617" t="str">
        <f>IFERROR(IF($C617="","",SUMIFS(Ledger!$K$2:$K$4, Ledger!$B$2:$B$4, $A617, Ledger!$C$2:$C$4, M$2)),"****")</f>
        <v/>
      </c>
      <c r="N617" t="str">
        <f>IFERROR(IF($C617="","",SUMIFS(Ledger!$K$2:$K$4, Ledger!$B$2:$B$4, $A617, Ledger!$C$2:$C$4, N$2)),"****")</f>
        <v/>
      </c>
      <c r="O617" t="str">
        <f>IFERROR(IF($C617="","",SUMIFS(Ledger!$K$2:$K$4, Ledger!$B$2:$B$4, $A617, Ledger!$C$2:$C$4, O$2)),"****")</f>
        <v/>
      </c>
      <c r="P617" t="str">
        <f>IFERROR(IF($C617="","",SUMIFS(Ledger!$K$2:$K$4, Ledger!$B$2:$B$4, $A617, Ledger!$C$2:$C$4, P$2)),"****")</f>
        <v/>
      </c>
      <c r="Q617" t="str">
        <f>IFERROR(IF($C617="","",SUMIFS(Ledger!$K$2:$K$4, Ledger!$B$2:$B$4, $A617, Ledger!$C$2:$C$4, Q$2)),"****")</f>
        <v/>
      </c>
      <c r="R617" t="str">
        <f>IFERROR(IF($C617="","",SUMIFS(Ledger!$K$2:$K$4, Ledger!$B$2:$B$4, $A617, Ledger!$C$2:$C$4, R$2)),"****")</f>
        <v/>
      </c>
      <c r="S617" t="str">
        <f>IFERROR(IF($C617="","",SUMIFS(Ledger!$K$2:$K$4, Ledger!$B$2:$B$4, $A617, Ledger!$C$2:$C$4, S$2)),"****")</f>
        <v/>
      </c>
      <c r="T617" t="str">
        <f>IFERROR(IF($C617="","",SUMIFS(Ledger!$K$2:$K$4, Ledger!$B$2:$B$4, $A617, Ledger!$C$2:$C$4, T$2)),"****")</f>
        <v/>
      </c>
      <c r="U617" t="str">
        <f>IFERROR(IF($C617="","",SUMIFS(Ledger!$K$2:$K$4, Ledger!$B$2:$B$4, $A617, Ledger!$C$2:$C$4, U$2)),"****")</f>
        <v/>
      </c>
      <c r="V617" t="str">
        <f>IFERROR(IF($C617="","",SUMIFS(Ledger!$K$2:$K$4, Ledger!$B$2:$B$4, $A617, Ledger!$C$2:$C$4, V$2)),"****")</f>
        <v/>
      </c>
      <c r="W617" t="str">
        <f>IFERROR(IF($C617="","",SUMIFS(Ledger!$K$2:$K$4, Ledger!$B$2:$B$4, $A617, Ledger!$C$2:$C$4, W$2)),"****")</f>
        <v/>
      </c>
      <c r="X617" t="str">
        <f>IFERROR(IF($C617="","",SUMIFS(Ledger!$K$2:$K$4, Ledger!$B$2:$B$4, $A617, Ledger!$C$2:$C$4, X$2)),"****")</f>
        <v/>
      </c>
    </row>
    <row r="618" spans="1:24" x14ac:dyDescent="0.3">
      <c r="A618" s="106">
        <v>616</v>
      </c>
      <c r="B618" t="str">
        <f>IFERROR(VLOOKUP($A618, Ledger!$B$2:$L$8, 3, 0),"")</f>
        <v/>
      </c>
      <c r="C618" t="str">
        <f>IFERROR(VLOOKUP($A618, Ledger!$B$2:$L$8, 4, 0),"")</f>
        <v/>
      </c>
      <c r="D618" t="str">
        <f>IFERROR(VLOOKUP($A618, Ledger!$B$2:$L$8, 5, 0),"")</f>
        <v/>
      </c>
      <c r="E618" t="str">
        <f>IFERROR(VLOOKUP($A618, Ledger!$B$2:$L$8, 6, 0),"")</f>
        <v/>
      </c>
      <c r="F618" t="str">
        <f>IFERROR(VLOOKUP($A618,'Student Data'!$A$2:$AR$6,32,0),"")</f>
        <v/>
      </c>
      <c r="G618" t="str">
        <f>IFERROR(VLOOKUP($A618,'Student Data'!$A$2:$AR$6,33,0),"")</f>
        <v/>
      </c>
      <c r="H618" t="str">
        <f>IFERROR(VLOOKUP($A618,'Student Data'!$A$2:$AR$6,34,0),"")</f>
        <v/>
      </c>
      <c r="I618" t="str">
        <f>IFERROR(VLOOKUP($A618,'Student Data'!$A$2:$AR$6,35,0),"")</f>
        <v/>
      </c>
      <c r="J618" t="str">
        <f>IFERROR(VLOOKUP($A618,'Student Data'!$A$2:$AR$6,36,0),"")</f>
        <v/>
      </c>
      <c r="K618" t="str">
        <f t="shared" si="18"/>
        <v/>
      </c>
      <c r="L618" t="str">
        <f t="shared" si="19"/>
        <v/>
      </c>
      <c r="M618" t="str">
        <f>IFERROR(IF($C618="","",SUMIFS(Ledger!$K$2:$K$4, Ledger!$B$2:$B$4, $A618, Ledger!$C$2:$C$4, M$2)),"****")</f>
        <v/>
      </c>
      <c r="N618" t="str">
        <f>IFERROR(IF($C618="","",SUMIFS(Ledger!$K$2:$K$4, Ledger!$B$2:$B$4, $A618, Ledger!$C$2:$C$4, N$2)),"****")</f>
        <v/>
      </c>
      <c r="O618" t="str">
        <f>IFERROR(IF($C618="","",SUMIFS(Ledger!$K$2:$K$4, Ledger!$B$2:$B$4, $A618, Ledger!$C$2:$C$4, O$2)),"****")</f>
        <v/>
      </c>
      <c r="P618" t="str">
        <f>IFERROR(IF($C618="","",SUMIFS(Ledger!$K$2:$K$4, Ledger!$B$2:$B$4, $A618, Ledger!$C$2:$C$4, P$2)),"****")</f>
        <v/>
      </c>
      <c r="Q618" t="str">
        <f>IFERROR(IF($C618="","",SUMIFS(Ledger!$K$2:$K$4, Ledger!$B$2:$B$4, $A618, Ledger!$C$2:$C$4, Q$2)),"****")</f>
        <v/>
      </c>
      <c r="R618" t="str">
        <f>IFERROR(IF($C618="","",SUMIFS(Ledger!$K$2:$K$4, Ledger!$B$2:$B$4, $A618, Ledger!$C$2:$C$4, R$2)),"****")</f>
        <v/>
      </c>
      <c r="S618" t="str">
        <f>IFERROR(IF($C618="","",SUMIFS(Ledger!$K$2:$K$4, Ledger!$B$2:$B$4, $A618, Ledger!$C$2:$C$4, S$2)),"****")</f>
        <v/>
      </c>
      <c r="T618" t="str">
        <f>IFERROR(IF($C618="","",SUMIFS(Ledger!$K$2:$K$4, Ledger!$B$2:$B$4, $A618, Ledger!$C$2:$C$4, T$2)),"****")</f>
        <v/>
      </c>
      <c r="U618" t="str">
        <f>IFERROR(IF($C618="","",SUMIFS(Ledger!$K$2:$K$4, Ledger!$B$2:$B$4, $A618, Ledger!$C$2:$C$4, U$2)),"****")</f>
        <v/>
      </c>
      <c r="V618" t="str">
        <f>IFERROR(IF($C618="","",SUMIFS(Ledger!$K$2:$K$4, Ledger!$B$2:$B$4, $A618, Ledger!$C$2:$C$4, V$2)),"****")</f>
        <v/>
      </c>
      <c r="W618" t="str">
        <f>IFERROR(IF($C618="","",SUMIFS(Ledger!$K$2:$K$4, Ledger!$B$2:$B$4, $A618, Ledger!$C$2:$C$4, W$2)),"****")</f>
        <v/>
      </c>
      <c r="X618" t="str">
        <f>IFERROR(IF($C618="","",SUMIFS(Ledger!$K$2:$K$4, Ledger!$B$2:$B$4, $A618, Ledger!$C$2:$C$4, X$2)),"****")</f>
        <v/>
      </c>
    </row>
    <row r="619" spans="1:24" x14ac:dyDescent="0.3">
      <c r="A619" s="106">
        <v>617</v>
      </c>
      <c r="B619" t="str">
        <f>IFERROR(VLOOKUP($A619, Ledger!$B$2:$L$8, 3, 0),"")</f>
        <v/>
      </c>
      <c r="C619" t="str">
        <f>IFERROR(VLOOKUP($A619, Ledger!$B$2:$L$8, 4, 0),"")</f>
        <v/>
      </c>
      <c r="D619" t="str">
        <f>IFERROR(VLOOKUP($A619, Ledger!$B$2:$L$8, 5, 0),"")</f>
        <v/>
      </c>
      <c r="E619" t="str">
        <f>IFERROR(VLOOKUP($A619, Ledger!$B$2:$L$8, 6, 0),"")</f>
        <v/>
      </c>
      <c r="F619" t="str">
        <f>IFERROR(VLOOKUP($A619,'Student Data'!$A$2:$AR$6,32,0),"")</f>
        <v/>
      </c>
      <c r="G619" t="str">
        <f>IFERROR(VLOOKUP($A619,'Student Data'!$A$2:$AR$6,33,0),"")</f>
        <v/>
      </c>
      <c r="H619" t="str">
        <f>IFERROR(VLOOKUP($A619,'Student Data'!$A$2:$AR$6,34,0),"")</f>
        <v/>
      </c>
      <c r="I619" t="str">
        <f>IFERROR(VLOOKUP($A619,'Student Data'!$A$2:$AR$6,35,0),"")</f>
        <v/>
      </c>
      <c r="J619" t="str">
        <f>IFERROR(VLOOKUP($A619,'Student Data'!$A$2:$AR$6,36,0),"")</f>
        <v/>
      </c>
      <c r="K619" t="str">
        <f t="shared" si="18"/>
        <v/>
      </c>
      <c r="L619" t="str">
        <f t="shared" si="19"/>
        <v/>
      </c>
      <c r="M619" t="str">
        <f>IFERROR(IF($C619="","",SUMIFS(Ledger!$K$2:$K$4, Ledger!$B$2:$B$4, $A619, Ledger!$C$2:$C$4, M$2)),"****")</f>
        <v/>
      </c>
      <c r="N619" t="str">
        <f>IFERROR(IF($C619="","",SUMIFS(Ledger!$K$2:$K$4, Ledger!$B$2:$B$4, $A619, Ledger!$C$2:$C$4, N$2)),"****")</f>
        <v/>
      </c>
      <c r="O619" t="str">
        <f>IFERROR(IF($C619="","",SUMIFS(Ledger!$K$2:$K$4, Ledger!$B$2:$B$4, $A619, Ledger!$C$2:$C$4, O$2)),"****")</f>
        <v/>
      </c>
      <c r="P619" t="str">
        <f>IFERROR(IF($C619="","",SUMIFS(Ledger!$K$2:$K$4, Ledger!$B$2:$B$4, $A619, Ledger!$C$2:$C$4, P$2)),"****")</f>
        <v/>
      </c>
      <c r="Q619" t="str">
        <f>IFERROR(IF($C619="","",SUMIFS(Ledger!$K$2:$K$4, Ledger!$B$2:$B$4, $A619, Ledger!$C$2:$C$4, Q$2)),"****")</f>
        <v/>
      </c>
      <c r="R619" t="str">
        <f>IFERROR(IF($C619="","",SUMIFS(Ledger!$K$2:$K$4, Ledger!$B$2:$B$4, $A619, Ledger!$C$2:$C$4, R$2)),"****")</f>
        <v/>
      </c>
      <c r="S619" t="str">
        <f>IFERROR(IF($C619="","",SUMIFS(Ledger!$K$2:$K$4, Ledger!$B$2:$B$4, $A619, Ledger!$C$2:$C$4, S$2)),"****")</f>
        <v/>
      </c>
      <c r="T619" t="str">
        <f>IFERROR(IF($C619="","",SUMIFS(Ledger!$K$2:$K$4, Ledger!$B$2:$B$4, $A619, Ledger!$C$2:$C$4, T$2)),"****")</f>
        <v/>
      </c>
      <c r="U619" t="str">
        <f>IFERROR(IF($C619="","",SUMIFS(Ledger!$K$2:$K$4, Ledger!$B$2:$B$4, $A619, Ledger!$C$2:$C$4, U$2)),"****")</f>
        <v/>
      </c>
      <c r="V619" t="str">
        <f>IFERROR(IF($C619="","",SUMIFS(Ledger!$K$2:$K$4, Ledger!$B$2:$B$4, $A619, Ledger!$C$2:$C$4, V$2)),"****")</f>
        <v/>
      </c>
      <c r="W619" t="str">
        <f>IFERROR(IF($C619="","",SUMIFS(Ledger!$K$2:$K$4, Ledger!$B$2:$B$4, $A619, Ledger!$C$2:$C$4, W$2)),"****")</f>
        <v/>
      </c>
      <c r="X619" t="str">
        <f>IFERROR(IF($C619="","",SUMIFS(Ledger!$K$2:$K$4, Ledger!$B$2:$B$4, $A619, Ledger!$C$2:$C$4, X$2)),"****")</f>
        <v/>
      </c>
    </row>
    <row r="620" spans="1:24" x14ac:dyDescent="0.3">
      <c r="A620" s="106">
        <v>618</v>
      </c>
      <c r="B620" t="str">
        <f>IFERROR(VLOOKUP($A620, Ledger!$B$2:$L$8, 3, 0),"")</f>
        <v/>
      </c>
      <c r="C620" t="str">
        <f>IFERROR(VLOOKUP($A620, Ledger!$B$2:$L$8, 4, 0),"")</f>
        <v/>
      </c>
      <c r="D620" t="str">
        <f>IFERROR(VLOOKUP($A620, Ledger!$B$2:$L$8, 5, 0),"")</f>
        <v/>
      </c>
      <c r="E620" t="str">
        <f>IFERROR(VLOOKUP($A620, Ledger!$B$2:$L$8, 6, 0),"")</f>
        <v/>
      </c>
      <c r="F620" t="str">
        <f>IFERROR(VLOOKUP($A620,'Student Data'!$A$2:$AR$6,32,0),"")</f>
        <v/>
      </c>
      <c r="G620" t="str">
        <f>IFERROR(VLOOKUP($A620,'Student Data'!$A$2:$AR$6,33,0),"")</f>
        <v/>
      </c>
      <c r="H620" t="str">
        <f>IFERROR(VLOOKUP($A620,'Student Data'!$A$2:$AR$6,34,0),"")</f>
        <v/>
      </c>
      <c r="I620" t="str">
        <f>IFERROR(VLOOKUP($A620,'Student Data'!$A$2:$AR$6,35,0),"")</f>
        <v/>
      </c>
      <c r="J620" t="str">
        <f>IFERROR(VLOOKUP($A620,'Student Data'!$A$2:$AR$6,36,0),"")</f>
        <v/>
      </c>
      <c r="K620" t="str">
        <f t="shared" si="18"/>
        <v/>
      </c>
      <c r="L620" t="str">
        <f t="shared" si="19"/>
        <v/>
      </c>
      <c r="M620" t="str">
        <f>IFERROR(IF($C620="","",SUMIFS(Ledger!$K$2:$K$4, Ledger!$B$2:$B$4, $A620, Ledger!$C$2:$C$4, M$2)),"****")</f>
        <v/>
      </c>
      <c r="N620" t="str">
        <f>IFERROR(IF($C620="","",SUMIFS(Ledger!$K$2:$K$4, Ledger!$B$2:$B$4, $A620, Ledger!$C$2:$C$4, N$2)),"****")</f>
        <v/>
      </c>
      <c r="O620" t="str">
        <f>IFERROR(IF($C620="","",SUMIFS(Ledger!$K$2:$K$4, Ledger!$B$2:$B$4, $A620, Ledger!$C$2:$C$4, O$2)),"****")</f>
        <v/>
      </c>
      <c r="P620" t="str">
        <f>IFERROR(IF($C620="","",SUMIFS(Ledger!$K$2:$K$4, Ledger!$B$2:$B$4, $A620, Ledger!$C$2:$C$4, P$2)),"****")</f>
        <v/>
      </c>
      <c r="Q620" t="str">
        <f>IFERROR(IF($C620="","",SUMIFS(Ledger!$K$2:$K$4, Ledger!$B$2:$B$4, $A620, Ledger!$C$2:$C$4, Q$2)),"****")</f>
        <v/>
      </c>
      <c r="R620" t="str">
        <f>IFERROR(IF($C620="","",SUMIFS(Ledger!$K$2:$K$4, Ledger!$B$2:$B$4, $A620, Ledger!$C$2:$C$4, R$2)),"****")</f>
        <v/>
      </c>
      <c r="S620" t="str">
        <f>IFERROR(IF($C620="","",SUMIFS(Ledger!$K$2:$K$4, Ledger!$B$2:$B$4, $A620, Ledger!$C$2:$C$4, S$2)),"****")</f>
        <v/>
      </c>
      <c r="T620" t="str">
        <f>IFERROR(IF($C620="","",SUMIFS(Ledger!$K$2:$K$4, Ledger!$B$2:$B$4, $A620, Ledger!$C$2:$C$4, T$2)),"****")</f>
        <v/>
      </c>
      <c r="U620" t="str">
        <f>IFERROR(IF($C620="","",SUMIFS(Ledger!$K$2:$K$4, Ledger!$B$2:$B$4, $A620, Ledger!$C$2:$C$4, U$2)),"****")</f>
        <v/>
      </c>
      <c r="V620" t="str">
        <f>IFERROR(IF($C620="","",SUMIFS(Ledger!$K$2:$K$4, Ledger!$B$2:$B$4, $A620, Ledger!$C$2:$C$4, V$2)),"****")</f>
        <v/>
      </c>
      <c r="W620" t="str">
        <f>IFERROR(IF($C620="","",SUMIFS(Ledger!$K$2:$K$4, Ledger!$B$2:$B$4, $A620, Ledger!$C$2:$C$4, W$2)),"****")</f>
        <v/>
      </c>
      <c r="X620" t="str">
        <f>IFERROR(IF($C620="","",SUMIFS(Ledger!$K$2:$K$4, Ledger!$B$2:$B$4, $A620, Ledger!$C$2:$C$4, X$2)),"****")</f>
        <v/>
      </c>
    </row>
    <row r="621" spans="1:24" x14ac:dyDescent="0.3">
      <c r="A621" s="106">
        <v>619</v>
      </c>
      <c r="B621" t="str">
        <f>IFERROR(VLOOKUP($A621, Ledger!$B$2:$L$8, 3, 0),"")</f>
        <v/>
      </c>
      <c r="C621" t="str">
        <f>IFERROR(VLOOKUP($A621, Ledger!$B$2:$L$8, 4, 0),"")</f>
        <v/>
      </c>
      <c r="D621" t="str">
        <f>IFERROR(VLOOKUP($A621, Ledger!$B$2:$L$8, 5, 0),"")</f>
        <v/>
      </c>
      <c r="E621" t="str">
        <f>IFERROR(VLOOKUP($A621, Ledger!$B$2:$L$8, 6, 0),"")</f>
        <v/>
      </c>
      <c r="F621" t="str">
        <f>IFERROR(VLOOKUP($A621,'Student Data'!$A$2:$AR$6,32,0),"")</f>
        <v/>
      </c>
      <c r="G621" t="str">
        <f>IFERROR(VLOOKUP($A621,'Student Data'!$A$2:$AR$6,33,0),"")</f>
        <v/>
      </c>
      <c r="H621" t="str">
        <f>IFERROR(VLOOKUP($A621,'Student Data'!$A$2:$AR$6,34,0),"")</f>
        <v/>
      </c>
      <c r="I621" t="str">
        <f>IFERROR(VLOOKUP($A621,'Student Data'!$A$2:$AR$6,35,0),"")</f>
        <v/>
      </c>
      <c r="J621" t="str">
        <f>IFERROR(VLOOKUP($A621,'Student Data'!$A$2:$AR$6,36,0),"")</f>
        <v/>
      </c>
      <c r="K621" t="str">
        <f t="shared" si="18"/>
        <v/>
      </c>
      <c r="L621" t="str">
        <f t="shared" si="19"/>
        <v/>
      </c>
      <c r="M621" t="str">
        <f>IFERROR(IF($C621="","",SUMIFS(Ledger!$K$2:$K$4, Ledger!$B$2:$B$4, $A621, Ledger!$C$2:$C$4, M$2)),"****")</f>
        <v/>
      </c>
      <c r="N621" t="str">
        <f>IFERROR(IF($C621="","",SUMIFS(Ledger!$K$2:$K$4, Ledger!$B$2:$B$4, $A621, Ledger!$C$2:$C$4, N$2)),"****")</f>
        <v/>
      </c>
      <c r="O621" t="str">
        <f>IFERROR(IF($C621="","",SUMIFS(Ledger!$K$2:$K$4, Ledger!$B$2:$B$4, $A621, Ledger!$C$2:$C$4, O$2)),"****")</f>
        <v/>
      </c>
      <c r="P621" t="str">
        <f>IFERROR(IF($C621="","",SUMIFS(Ledger!$K$2:$K$4, Ledger!$B$2:$B$4, $A621, Ledger!$C$2:$C$4, P$2)),"****")</f>
        <v/>
      </c>
      <c r="Q621" t="str">
        <f>IFERROR(IF($C621="","",SUMIFS(Ledger!$K$2:$K$4, Ledger!$B$2:$B$4, $A621, Ledger!$C$2:$C$4, Q$2)),"****")</f>
        <v/>
      </c>
      <c r="R621" t="str">
        <f>IFERROR(IF($C621="","",SUMIFS(Ledger!$K$2:$K$4, Ledger!$B$2:$B$4, $A621, Ledger!$C$2:$C$4, R$2)),"****")</f>
        <v/>
      </c>
      <c r="S621" t="str">
        <f>IFERROR(IF($C621="","",SUMIFS(Ledger!$K$2:$K$4, Ledger!$B$2:$B$4, $A621, Ledger!$C$2:$C$4, S$2)),"****")</f>
        <v/>
      </c>
      <c r="T621" t="str">
        <f>IFERROR(IF($C621="","",SUMIFS(Ledger!$K$2:$K$4, Ledger!$B$2:$B$4, $A621, Ledger!$C$2:$C$4, T$2)),"****")</f>
        <v/>
      </c>
      <c r="U621" t="str">
        <f>IFERROR(IF($C621="","",SUMIFS(Ledger!$K$2:$K$4, Ledger!$B$2:$B$4, $A621, Ledger!$C$2:$C$4, U$2)),"****")</f>
        <v/>
      </c>
      <c r="V621" t="str">
        <f>IFERROR(IF($C621="","",SUMIFS(Ledger!$K$2:$K$4, Ledger!$B$2:$B$4, $A621, Ledger!$C$2:$C$4, V$2)),"****")</f>
        <v/>
      </c>
      <c r="W621" t="str">
        <f>IFERROR(IF($C621="","",SUMIFS(Ledger!$K$2:$K$4, Ledger!$B$2:$B$4, $A621, Ledger!$C$2:$C$4, W$2)),"****")</f>
        <v/>
      </c>
      <c r="X621" t="str">
        <f>IFERROR(IF($C621="","",SUMIFS(Ledger!$K$2:$K$4, Ledger!$B$2:$B$4, $A621, Ledger!$C$2:$C$4, X$2)),"****")</f>
        <v/>
      </c>
    </row>
    <row r="622" spans="1:24" x14ac:dyDescent="0.3">
      <c r="A622" s="106">
        <v>620</v>
      </c>
      <c r="B622" t="str">
        <f>IFERROR(VLOOKUP($A622, Ledger!$B$2:$L$8, 3, 0),"")</f>
        <v/>
      </c>
      <c r="C622" t="str">
        <f>IFERROR(VLOOKUP($A622, Ledger!$B$2:$L$8, 4, 0),"")</f>
        <v/>
      </c>
      <c r="D622" t="str">
        <f>IFERROR(VLOOKUP($A622, Ledger!$B$2:$L$8, 5, 0),"")</f>
        <v/>
      </c>
      <c r="E622" t="str">
        <f>IFERROR(VLOOKUP($A622, Ledger!$B$2:$L$8, 6, 0),"")</f>
        <v/>
      </c>
      <c r="F622" t="str">
        <f>IFERROR(VLOOKUP($A622,'Student Data'!$A$2:$AR$6,32,0),"")</f>
        <v/>
      </c>
      <c r="G622" t="str">
        <f>IFERROR(VLOOKUP($A622,'Student Data'!$A$2:$AR$6,33,0),"")</f>
        <v/>
      </c>
      <c r="H622" t="str">
        <f>IFERROR(VLOOKUP($A622,'Student Data'!$A$2:$AR$6,34,0),"")</f>
        <v/>
      </c>
      <c r="I622" t="str">
        <f>IFERROR(VLOOKUP($A622,'Student Data'!$A$2:$AR$6,35,0),"")</f>
        <v/>
      </c>
      <c r="J622" t="str">
        <f>IFERROR(VLOOKUP($A622,'Student Data'!$A$2:$AR$6,36,0),"")</f>
        <v/>
      </c>
      <c r="K622" t="str">
        <f t="shared" si="18"/>
        <v/>
      </c>
      <c r="L622" t="str">
        <f t="shared" si="19"/>
        <v/>
      </c>
      <c r="M622" t="str">
        <f>IFERROR(IF($C622="","",SUMIFS(Ledger!$K$2:$K$4, Ledger!$B$2:$B$4, $A622, Ledger!$C$2:$C$4, M$2)),"****")</f>
        <v/>
      </c>
      <c r="N622" t="str">
        <f>IFERROR(IF($C622="","",SUMIFS(Ledger!$K$2:$K$4, Ledger!$B$2:$B$4, $A622, Ledger!$C$2:$C$4, N$2)),"****")</f>
        <v/>
      </c>
      <c r="O622" t="str">
        <f>IFERROR(IF($C622="","",SUMIFS(Ledger!$K$2:$K$4, Ledger!$B$2:$B$4, $A622, Ledger!$C$2:$C$4, O$2)),"****")</f>
        <v/>
      </c>
      <c r="P622" t="str">
        <f>IFERROR(IF($C622="","",SUMIFS(Ledger!$K$2:$K$4, Ledger!$B$2:$B$4, $A622, Ledger!$C$2:$C$4, P$2)),"****")</f>
        <v/>
      </c>
      <c r="Q622" t="str">
        <f>IFERROR(IF($C622="","",SUMIFS(Ledger!$K$2:$K$4, Ledger!$B$2:$B$4, $A622, Ledger!$C$2:$C$4, Q$2)),"****")</f>
        <v/>
      </c>
      <c r="R622" t="str">
        <f>IFERROR(IF($C622="","",SUMIFS(Ledger!$K$2:$K$4, Ledger!$B$2:$B$4, $A622, Ledger!$C$2:$C$4, R$2)),"****")</f>
        <v/>
      </c>
      <c r="S622" t="str">
        <f>IFERROR(IF($C622="","",SUMIFS(Ledger!$K$2:$K$4, Ledger!$B$2:$B$4, $A622, Ledger!$C$2:$C$4, S$2)),"****")</f>
        <v/>
      </c>
      <c r="T622" t="str">
        <f>IFERROR(IF($C622="","",SUMIFS(Ledger!$K$2:$K$4, Ledger!$B$2:$B$4, $A622, Ledger!$C$2:$C$4, T$2)),"****")</f>
        <v/>
      </c>
      <c r="U622" t="str">
        <f>IFERROR(IF($C622="","",SUMIFS(Ledger!$K$2:$K$4, Ledger!$B$2:$B$4, $A622, Ledger!$C$2:$C$4, U$2)),"****")</f>
        <v/>
      </c>
      <c r="V622" t="str">
        <f>IFERROR(IF($C622="","",SUMIFS(Ledger!$K$2:$K$4, Ledger!$B$2:$B$4, $A622, Ledger!$C$2:$C$4, V$2)),"****")</f>
        <v/>
      </c>
      <c r="W622" t="str">
        <f>IFERROR(IF($C622="","",SUMIFS(Ledger!$K$2:$K$4, Ledger!$B$2:$B$4, $A622, Ledger!$C$2:$C$4, W$2)),"****")</f>
        <v/>
      </c>
      <c r="X622" t="str">
        <f>IFERROR(IF($C622="","",SUMIFS(Ledger!$K$2:$K$4, Ledger!$B$2:$B$4, $A622, Ledger!$C$2:$C$4, X$2)),"****")</f>
        <v/>
      </c>
    </row>
    <row r="623" spans="1:24" x14ac:dyDescent="0.3">
      <c r="A623" s="106">
        <v>621</v>
      </c>
      <c r="B623" t="str">
        <f>IFERROR(VLOOKUP($A623, Ledger!$B$2:$L$8, 3, 0),"")</f>
        <v/>
      </c>
      <c r="C623" t="str">
        <f>IFERROR(VLOOKUP($A623, Ledger!$B$2:$L$8, 4, 0),"")</f>
        <v/>
      </c>
      <c r="D623" t="str">
        <f>IFERROR(VLOOKUP($A623, Ledger!$B$2:$L$8, 5, 0),"")</f>
        <v/>
      </c>
      <c r="E623" t="str">
        <f>IFERROR(VLOOKUP($A623, Ledger!$B$2:$L$8, 6, 0),"")</f>
        <v/>
      </c>
      <c r="F623" t="str">
        <f>IFERROR(VLOOKUP($A623,'Student Data'!$A$2:$AR$6,32,0),"")</f>
        <v/>
      </c>
      <c r="G623" t="str">
        <f>IFERROR(VLOOKUP($A623,'Student Data'!$A$2:$AR$6,33,0),"")</f>
        <v/>
      </c>
      <c r="H623" t="str">
        <f>IFERROR(VLOOKUP($A623,'Student Data'!$A$2:$AR$6,34,0),"")</f>
        <v/>
      </c>
      <c r="I623" t="str">
        <f>IFERROR(VLOOKUP($A623,'Student Data'!$A$2:$AR$6,35,0),"")</f>
        <v/>
      </c>
      <c r="J623" t="str">
        <f>IFERROR(VLOOKUP($A623,'Student Data'!$A$2:$AR$6,36,0),"")</f>
        <v/>
      </c>
      <c r="K623" t="str">
        <f t="shared" si="18"/>
        <v/>
      </c>
      <c r="L623" t="str">
        <f t="shared" si="19"/>
        <v/>
      </c>
      <c r="M623" t="str">
        <f>IFERROR(IF($C623="","",SUMIFS(Ledger!$K$2:$K$4, Ledger!$B$2:$B$4, $A623, Ledger!$C$2:$C$4, M$2)),"****")</f>
        <v/>
      </c>
      <c r="N623" t="str">
        <f>IFERROR(IF($C623="","",SUMIFS(Ledger!$K$2:$K$4, Ledger!$B$2:$B$4, $A623, Ledger!$C$2:$C$4, N$2)),"****")</f>
        <v/>
      </c>
      <c r="O623" t="str">
        <f>IFERROR(IF($C623="","",SUMIFS(Ledger!$K$2:$K$4, Ledger!$B$2:$B$4, $A623, Ledger!$C$2:$C$4, O$2)),"****")</f>
        <v/>
      </c>
      <c r="P623" t="str">
        <f>IFERROR(IF($C623="","",SUMIFS(Ledger!$K$2:$K$4, Ledger!$B$2:$B$4, $A623, Ledger!$C$2:$C$4, P$2)),"****")</f>
        <v/>
      </c>
      <c r="Q623" t="str">
        <f>IFERROR(IF($C623="","",SUMIFS(Ledger!$K$2:$K$4, Ledger!$B$2:$B$4, $A623, Ledger!$C$2:$C$4, Q$2)),"****")</f>
        <v/>
      </c>
      <c r="R623" t="str">
        <f>IFERROR(IF($C623="","",SUMIFS(Ledger!$K$2:$K$4, Ledger!$B$2:$B$4, $A623, Ledger!$C$2:$C$4, R$2)),"****")</f>
        <v/>
      </c>
      <c r="S623" t="str">
        <f>IFERROR(IF($C623="","",SUMIFS(Ledger!$K$2:$K$4, Ledger!$B$2:$B$4, $A623, Ledger!$C$2:$C$4, S$2)),"****")</f>
        <v/>
      </c>
      <c r="T623" t="str">
        <f>IFERROR(IF($C623="","",SUMIFS(Ledger!$K$2:$K$4, Ledger!$B$2:$B$4, $A623, Ledger!$C$2:$C$4, T$2)),"****")</f>
        <v/>
      </c>
      <c r="U623" t="str">
        <f>IFERROR(IF($C623="","",SUMIFS(Ledger!$K$2:$K$4, Ledger!$B$2:$B$4, $A623, Ledger!$C$2:$C$4, U$2)),"****")</f>
        <v/>
      </c>
      <c r="V623" t="str">
        <f>IFERROR(IF($C623="","",SUMIFS(Ledger!$K$2:$K$4, Ledger!$B$2:$B$4, $A623, Ledger!$C$2:$C$4, V$2)),"****")</f>
        <v/>
      </c>
      <c r="W623" t="str">
        <f>IFERROR(IF($C623="","",SUMIFS(Ledger!$K$2:$K$4, Ledger!$B$2:$B$4, $A623, Ledger!$C$2:$C$4, W$2)),"****")</f>
        <v/>
      </c>
      <c r="X623" t="str">
        <f>IFERROR(IF($C623="","",SUMIFS(Ledger!$K$2:$K$4, Ledger!$B$2:$B$4, $A623, Ledger!$C$2:$C$4, X$2)),"****")</f>
        <v/>
      </c>
    </row>
    <row r="624" spans="1:24" x14ac:dyDescent="0.3">
      <c r="A624" s="106">
        <v>622</v>
      </c>
      <c r="B624" t="str">
        <f>IFERROR(VLOOKUP($A624, Ledger!$B$2:$L$8, 3, 0),"")</f>
        <v/>
      </c>
      <c r="C624" t="str">
        <f>IFERROR(VLOOKUP($A624, Ledger!$B$2:$L$8, 4, 0),"")</f>
        <v/>
      </c>
      <c r="D624" t="str">
        <f>IFERROR(VLOOKUP($A624, Ledger!$B$2:$L$8, 5, 0),"")</f>
        <v/>
      </c>
      <c r="E624" t="str">
        <f>IFERROR(VLOOKUP($A624, Ledger!$B$2:$L$8, 6, 0),"")</f>
        <v/>
      </c>
      <c r="F624" t="str">
        <f>IFERROR(VLOOKUP($A624,'Student Data'!$A$2:$AR$6,32,0),"")</f>
        <v/>
      </c>
      <c r="G624" t="str">
        <f>IFERROR(VLOOKUP($A624,'Student Data'!$A$2:$AR$6,33,0),"")</f>
        <v/>
      </c>
      <c r="H624" t="str">
        <f>IFERROR(VLOOKUP($A624,'Student Data'!$A$2:$AR$6,34,0),"")</f>
        <v/>
      </c>
      <c r="I624" t="str">
        <f>IFERROR(VLOOKUP($A624,'Student Data'!$A$2:$AR$6,35,0),"")</f>
        <v/>
      </c>
      <c r="J624" t="str">
        <f>IFERROR(VLOOKUP($A624,'Student Data'!$A$2:$AR$6,36,0),"")</f>
        <v/>
      </c>
      <c r="K624" t="str">
        <f t="shared" si="18"/>
        <v/>
      </c>
      <c r="L624" t="str">
        <f t="shared" si="19"/>
        <v/>
      </c>
      <c r="M624" t="str">
        <f>IFERROR(IF($C624="","",SUMIFS(Ledger!$K$2:$K$4, Ledger!$B$2:$B$4, $A624, Ledger!$C$2:$C$4, M$2)),"****")</f>
        <v/>
      </c>
      <c r="N624" t="str">
        <f>IFERROR(IF($C624="","",SUMIFS(Ledger!$K$2:$K$4, Ledger!$B$2:$B$4, $A624, Ledger!$C$2:$C$4, N$2)),"****")</f>
        <v/>
      </c>
      <c r="O624" t="str">
        <f>IFERROR(IF($C624="","",SUMIFS(Ledger!$K$2:$K$4, Ledger!$B$2:$B$4, $A624, Ledger!$C$2:$C$4, O$2)),"****")</f>
        <v/>
      </c>
      <c r="P624" t="str">
        <f>IFERROR(IF($C624="","",SUMIFS(Ledger!$K$2:$K$4, Ledger!$B$2:$B$4, $A624, Ledger!$C$2:$C$4, P$2)),"****")</f>
        <v/>
      </c>
      <c r="Q624" t="str">
        <f>IFERROR(IF($C624="","",SUMIFS(Ledger!$K$2:$K$4, Ledger!$B$2:$B$4, $A624, Ledger!$C$2:$C$4, Q$2)),"****")</f>
        <v/>
      </c>
      <c r="R624" t="str">
        <f>IFERROR(IF($C624="","",SUMIFS(Ledger!$K$2:$K$4, Ledger!$B$2:$B$4, $A624, Ledger!$C$2:$C$4, R$2)),"****")</f>
        <v/>
      </c>
      <c r="S624" t="str">
        <f>IFERROR(IF($C624="","",SUMIFS(Ledger!$K$2:$K$4, Ledger!$B$2:$B$4, $A624, Ledger!$C$2:$C$4, S$2)),"****")</f>
        <v/>
      </c>
      <c r="T624" t="str">
        <f>IFERROR(IF($C624="","",SUMIFS(Ledger!$K$2:$K$4, Ledger!$B$2:$B$4, $A624, Ledger!$C$2:$C$4, T$2)),"****")</f>
        <v/>
      </c>
      <c r="U624" t="str">
        <f>IFERROR(IF($C624="","",SUMIFS(Ledger!$K$2:$K$4, Ledger!$B$2:$B$4, $A624, Ledger!$C$2:$C$4, U$2)),"****")</f>
        <v/>
      </c>
      <c r="V624" t="str">
        <f>IFERROR(IF($C624="","",SUMIFS(Ledger!$K$2:$K$4, Ledger!$B$2:$B$4, $A624, Ledger!$C$2:$C$4, V$2)),"****")</f>
        <v/>
      </c>
      <c r="W624" t="str">
        <f>IFERROR(IF($C624="","",SUMIFS(Ledger!$K$2:$K$4, Ledger!$B$2:$B$4, $A624, Ledger!$C$2:$C$4, W$2)),"****")</f>
        <v/>
      </c>
      <c r="X624" t="str">
        <f>IFERROR(IF($C624="","",SUMIFS(Ledger!$K$2:$K$4, Ledger!$B$2:$B$4, $A624, Ledger!$C$2:$C$4, X$2)),"****")</f>
        <v/>
      </c>
    </row>
    <row r="625" spans="1:24" x14ac:dyDescent="0.3">
      <c r="A625" s="106">
        <v>623</v>
      </c>
      <c r="B625" t="str">
        <f>IFERROR(VLOOKUP($A625, Ledger!$B$2:$L$8, 3, 0),"")</f>
        <v/>
      </c>
      <c r="C625" t="str">
        <f>IFERROR(VLOOKUP($A625, Ledger!$B$2:$L$8, 4, 0),"")</f>
        <v/>
      </c>
      <c r="D625" t="str">
        <f>IFERROR(VLOOKUP($A625, Ledger!$B$2:$L$8, 5, 0),"")</f>
        <v/>
      </c>
      <c r="E625" t="str">
        <f>IFERROR(VLOOKUP($A625, Ledger!$B$2:$L$8, 6, 0),"")</f>
        <v/>
      </c>
      <c r="F625" t="str">
        <f>IFERROR(VLOOKUP($A625,'Student Data'!$A$2:$AR$6,32,0),"")</f>
        <v/>
      </c>
      <c r="G625" t="str">
        <f>IFERROR(VLOOKUP($A625,'Student Data'!$A$2:$AR$6,33,0),"")</f>
        <v/>
      </c>
      <c r="H625" t="str">
        <f>IFERROR(VLOOKUP($A625,'Student Data'!$A$2:$AR$6,34,0),"")</f>
        <v/>
      </c>
      <c r="I625" t="str">
        <f>IFERROR(VLOOKUP($A625,'Student Data'!$A$2:$AR$6,35,0),"")</f>
        <v/>
      </c>
      <c r="J625" t="str">
        <f>IFERROR(VLOOKUP($A625,'Student Data'!$A$2:$AR$6,36,0),"")</f>
        <v/>
      </c>
      <c r="K625" t="str">
        <f t="shared" si="18"/>
        <v/>
      </c>
      <c r="L625" t="str">
        <f t="shared" si="19"/>
        <v/>
      </c>
      <c r="M625" t="str">
        <f>IFERROR(IF($C625="","",SUMIFS(Ledger!$K$2:$K$4, Ledger!$B$2:$B$4, $A625, Ledger!$C$2:$C$4, M$2)),"****")</f>
        <v/>
      </c>
      <c r="N625" t="str">
        <f>IFERROR(IF($C625="","",SUMIFS(Ledger!$K$2:$K$4, Ledger!$B$2:$B$4, $A625, Ledger!$C$2:$C$4, N$2)),"****")</f>
        <v/>
      </c>
      <c r="O625" t="str">
        <f>IFERROR(IF($C625="","",SUMIFS(Ledger!$K$2:$K$4, Ledger!$B$2:$B$4, $A625, Ledger!$C$2:$C$4, O$2)),"****")</f>
        <v/>
      </c>
      <c r="P625" t="str">
        <f>IFERROR(IF($C625="","",SUMIFS(Ledger!$K$2:$K$4, Ledger!$B$2:$B$4, $A625, Ledger!$C$2:$C$4, P$2)),"****")</f>
        <v/>
      </c>
      <c r="Q625" t="str">
        <f>IFERROR(IF($C625="","",SUMIFS(Ledger!$K$2:$K$4, Ledger!$B$2:$B$4, $A625, Ledger!$C$2:$C$4, Q$2)),"****")</f>
        <v/>
      </c>
      <c r="R625" t="str">
        <f>IFERROR(IF($C625="","",SUMIFS(Ledger!$K$2:$K$4, Ledger!$B$2:$B$4, $A625, Ledger!$C$2:$C$4, R$2)),"****")</f>
        <v/>
      </c>
      <c r="S625" t="str">
        <f>IFERROR(IF($C625="","",SUMIFS(Ledger!$K$2:$K$4, Ledger!$B$2:$B$4, $A625, Ledger!$C$2:$C$4, S$2)),"****")</f>
        <v/>
      </c>
      <c r="T625" t="str">
        <f>IFERROR(IF($C625="","",SUMIFS(Ledger!$K$2:$K$4, Ledger!$B$2:$B$4, $A625, Ledger!$C$2:$C$4, T$2)),"****")</f>
        <v/>
      </c>
      <c r="U625" t="str">
        <f>IFERROR(IF($C625="","",SUMIFS(Ledger!$K$2:$K$4, Ledger!$B$2:$B$4, $A625, Ledger!$C$2:$C$4, U$2)),"****")</f>
        <v/>
      </c>
      <c r="V625" t="str">
        <f>IFERROR(IF($C625="","",SUMIFS(Ledger!$K$2:$K$4, Ledger!$B$2:$B$4, $A625, Ledger!$C$2:$C$4, V$2)),"****")</f>
        <v/>
      </c>
      <c r="W625" t="str">
        <f>IFERROR(IF($C625="","",SUMIFS(Ledger!$K$2:$K$4, Ledger!$B$2:$B$4, $A625, Ledger!$C$2:$C$4, W$2)),"****")</f>
        <v/>
      </c>
      <c r="X625" t="str">
        <f>IFERROR(IF($C625="","",SUMIFS(Ledger!$K$2:$K$4, Ledger!$B$2:$B$4, $A625, Ledger!$C$2:$C$4, X$2)),"****")</f>
        <v/>
      </c>
    </row>
    <row r="626" spans="1:24" x14ac:dyDescent="0.3">
      <c r="A626" s="106">
        <v>624</v>
      </c>
      <c r="B626" t="str">
        <f>IFERROR(VLOOKUP($A626, Ledger!$B$2:$L$8, 3, 0),"")</f>
        <v/>
      </c>
      <c r="C626" t="str">
        <f>IFERROR(VLOOKUP($A626, Ledger!$B$2:$L$8, 4, 0),"")</f>
        <v/>
      </c>
      <c r="D626" t="str">
        <f>IFERROR(VLOOKUP($A626, Ledger!$B$2:$L$8, 5, 0),"")</f>
        <v/>
      </c>
      <c r="E626" t="str">
        <f>IFERROR(VLOOKUP($A626, Ledger!$B$2:$L$8, 6, 0),"")</f>
        <v/>
      </c>
      <c r="F626" t="str">
        <f>IFERROR(VLOOKUP($A626,'Student Data'!$A$2:$AR$6,32,0),"")</f>
        <v/>
      </c>
      <c r="G626" t="str">
        <f>IFERROR(VLOOKUP($A626,'Student Data'!$A$2:$AR$6,33,0),"")</f>
        <v/>
      </c>
      <c r="H626" t="str">
        <f>IFERROR(VLOOKUP($A626,'Student Data'!$A$2:$AR$6,34,0),"")</f>
        <v/>
      </c>
      <c r="I626" t="str">
        <f>IFERROR(VLOOKUP($A626,'Student Data'!$A$2:$AR$6,35,0),"")</f>
        <v/>
      </c>
      <c r="J626" t="str">
        <f>IFERROR(VLOOKUP($A626,'Student Data'!$A$2:$AR$6,36,0),"")</f>
        <v/>
      </c>
      <c r="K626" t="str">
        <f t="shared" si="18"/>
        <v/>
      </c>
      <c r="L626" t="str">
        <f t="shared" si="19"/>
        <v/>
      </c>
      <c r="M626" t="str">
        <f>IFERROR(IF($C626="","",SUMIFS(Ledger!$K$2:$K$4, Ledger!$B$2:$B$4, $A626, Ledger!$C$2:$C$4, M$2)),"****")</f>
        <v/>
      </c>
      <c r="N626" t="str">
        <f>IFERROR(IF($C626="","",SUMIFS(Ledger!$K$2:$K$4, Ledger!$B$2:$B$4, $A626, Ledger!$C$2:$C$4, N$2)),"****")</f>
        <v/>
      </c>
      <c r="O626" t="str">
        <f>IFERROR(IF($C626="","",SUMIFS(Ledger!$K$2:$K$4, Ledger!$B$2:$B$4, $A626, Ledger!$C$2:$C$4, O$2)),"****")</f>
        <v/>
      </c>
      <c r="P626" t="str">
        <f>IFERROR(IF($C626="","",SUMIFS(Ledger!$K$2:$K$4, Ledger!$B$2:$B$4, $A626, Ledger!$C$2:$C$4, P$2)),"****")</f>
        <v/>
      </c>
      <c r="Q626" t="str">
        <f>IFERROR(IF($C626="","",SUMIFS(Ledger!$K$2:$K$4, Ledger!$B$2:$B$4, $A626, Ledger!$C$2:$C$4, Q$2)),"****")</f>
        <v/>
      </c>
      <c r="R626" t="str">
        <f>IFERROR(IF($C626="","",SUMIFS(Ledger!$K$2:$K$4, Ledger!$B$2:$B$4, $A626, Ledger!$C$2:$C$4, R$2)),"****")</f>
        <v/>
      </c>
      <c r="S626" t="str">
        <f>IFERROR(IF($C626="","",SUMIFS(Ledger!$K$2:$K$4, Ledger!$B$2:$B$4, $A626, Ledger!$C$2:$C$4, S$2)),"****")</f>
        <v/>
      </c>
      <c r="T626" t="str">
        <f>IFERROR(IF($C626="","",SUMIFS(Ledger!$K$2:$K$4, Ledger!$B$2:$B$4, $A626, Ledger!$C$2:$C$4, T$2)),"****")</f>
        <v/>
      </c>
      <c r="U626" t="str">
        <f>IFERROR(IF($C626="","",SUMIFS(Ledger!$K$2:$K$4, Ledger!$B$2:$B$4, $A626, Ledger!$C$2:$C$4, U$2)),"****")</f>
        <v/>
      </c>
      <c r="V626" t="str">
        <f>IFERROR(IF($C626="","",SUMIFS(Ledger!$K$2:$K$4, Ledger!$B$2:$B$4, $A626, Ledger!$C$2:$C$4, V$2)),"****")</f>
        <v/>
      </c>
      <c r="W626" t="str">
        <f>IFERROR(IF($C626="","",SUMIFS(Ledger!$K$2:$K$4, Ledger!$B$2:$B$4, $A626, Ledger!$C$2:$C$4, W$2)),"****")</f>
        <v/>
      </c>
      <c r="X626" t="str">
        <f>IFERROR(IF($C626="","",SUMIFS(Ledger!$K$2:$K$4, Ledger!$B$2:$B$4, $A626, Ledger!$C$2:$C$4, X$2)),"****")</f>
        <v/>
      </c>
    </row>
    <row r="627" spans="1:24" x14ac:dyDescent="0.3">
      <c r="A627" s="106">
        <v>625</v>
      </c>
      <c r="B627" t="str">
        <f>IFERROR(VLOOKUP($A627, Ledger!$B$2:$L$8, 3, 0),"")</f>
        <v/>
      </c>
      <c r="C627" t="str">
        <f>IFERROR(VLOOKUP($A627, Ledger!$B$2:$L$8, 4, 0),"")</f>
        <v/>
      </c>
      <c r="D627" t="str">
        <f>IFERROR(VLOOKUP($A627, Ledger!$B$2:$L$8, 5, 0),"")</f>
        <v/>
      </c>
      <c r="E627" t="str">
        <f>IFERROR(VLOOKUP($A627, Ledger!$B$2:$L$8, 6, 0),"")</f>
        <v/>
      </c>
      <c r="F627" t="str">
        <f>IFERROR(VLOOKUP($A627,'Student Data'!$A$2:$AR$6,32,0),"")</f>
        <v/>
      </c>
      <c r="G627" t="str">
        <f>IFERROR(VLOOKUP($A627,'Student Data'!$A$2:$AR$6,33,0),"")</f>
        <v/>
      </c>
      <c r="H627" t="str">
        <f>IFERROR(VLOOKUP($A627,'Student Data'!$A$2:$AR$6,34,0),"")</f>
        <v/>
      </c>
      <c r="I627" t="str">
        <f>IFERROR(VLOOKUP($A627,'Student Data'!$A$2:$AR$6,35,0),"")</f>
        <v/>
      </c>
      <c r="J627" t="str">
        <f>IFERROR(VLOOKUP($A627,'Student Data'!$A$2:$AR$6,36,0),"")</f>
        <v/>
      </c>
      <c r="K627" t="str">
        <f t="shared" si="18"/>
        <v/>
      </c>
      <c r="L627" t="str">
        <f t="shared" si="19"/>
        <v/>
      </c>
      <c r="M627" t="str">
        <f>IFERROR(IF($C627="","",SUMIFS(Ledger!$K$2:$K$4, Ledger!$B$2:$B$4, $A627, Ledger!$C$2:$C$4, M$2)),"****")</f>
        <v/>
      </c>
      <c r="N627" t="str">
        <f>IFERROR(IF($C627="","",SUMIFS(Ledger!$K$2:$K$4, Ledger!$B$2:$B$4, $A627, Ledger!$C$2:$C$4, N$2)),"****")</f>
        <v/>
      </c>
      <c r="O627" t="str">
        <f>IFERROR(IF($C627="","",SUMIFS(Ledger!$K$2:$K$4, Ledger!$B$2:$B$4, $A627, Ledger!$C$2:$C$4, O$2)),"****")</f>
        <v/>
      </c>
      <c r="P627" t="str">
        <f>IFERROR(IF($C627="","",SUMIFS(Ledger!$K$2:$K$4, Ledger!$B$2:$B$4, $A627, Ledger!$C$2:$C$4, P$2)),"****")</f>
        <v/>
      </c>
      <c r="Q627" t="str">
        <f>IFERROR(IF($C627="","",SUMIFS(Ledger!$K$2:$K$4, Ledger!$B$2:$B$4, $A627, Ledger!$C$2:$C$4, Q$2)),"****")</f>
        <v/>
      </c>
      <c r="R627" t="str">
        <f>IFERROR(IF($C627="","",SUMIFS(Ledger!$K$2:$K$4, Ledger!$B$2:$B$4, $A627, Ledger!$C$2:$C$4, R$2)),"****")</f>
        <v/>
      </c>
      <c r="S627" t="str">
        <f>IFERROR(IF($C627="","",SUMIFS(Ledger!$K$2:$K$4, Ledger!$B$2:$B$4, $A627, Ledger!$C$2:$C$4, S$2)),"****")</f>
        <v/>
      </c>
      <c r="T627" t="str">
        <f>IFERROR(IF($C627="","",SUMIFS(Ledger!$K$2:$K$4, Ledger!$B$2:$B$4, $A627, Ledger!$C$2:$C$4, T$2)),"****")</f>
        <v/>
      </c>
      <c r="U627" t="str">
        <f>IFERROR(IF($C627="","",SUMIFS(Ledger!$K$2:$K$4, Ledger!$B$2:$B$4, $A627, Ledger!$C$2:$C$4, U$2)),"****")</f>
        <v/>
      </c>
      <c r="V627" t="str">
        <f>IFERROR(IF($C627="","",SUMIFS(Ledger!$K$2:$K$4, Ledger!$B$2:$B$4, $A627, Ledger!$C$2:$C$4, V$2)),"****")</f>
        <v/>
      </c>
      <c r="W627" t="str">
        <f>IFERROR(IF($C627="","",SUMIFS(Ledger!$K$2:$K$4, Ledger!$B$2:$B$4, $A627, Ledger!$C$2:$C$4, W$2)),"****")</f>
        <v/>
      </c>
      <c r="X627" t="str">
        <f>IFERROR(IF($C627="","",SUMIFS(Ledger!$K$2:$K$4, Ledger!$B$2:$B$4, $A627, Ledger!$C$2:$C$4, X$2)),"****")</f>
        <v/>
      </c>
    </row>
    <row r="628" spans="1:24" x14ac:dyDescent="0.3">
      <c r="A628" s="106">
        <v>626</v>
      </c>
      <c r="B628" t="str">
        <f>IFERROR(VLOOKUP($A628, Ledger!$B$2:$L$8, 3, 0),"")</f>
        <v/>
      </c>
      <c r="C628" t="str">
        <f>IFERROR(VLOOKUP($A628, Ledger!$B$2:$L$8, 4, 0),"")</f>
        <v/>
      </c>
      <c r="D628" t="str">
        <f>IFERROR(VLOOKUP($A628, Ledger!$B$2:$L$8, 5, 0),"")</f>
        <v/>
      </c>
      <c r="E628" t="str">
        <f>IFERROR(VLOOKUP($A628, Ledger!$B$2:$L$8, 6, 0),"")</f>
        <v/>
      </c>
      <c r="F628" t="str">
        <f>IFERROR(VLOOKUP($A628,'Student Data'!$A$2:$AR$6,32,0),"")</f>
        <v/>
      </c>
      <c r="G628" t="str">
        <f>IFERROR(VLOOKUP($A628,'Student Data'!$A$2:$AR$6,33,0),"")</f>
        <v/>
      </c>
      <c r="H628" t="str">
        <f>IFERROR(VLOOKUP($A628,'Student Data'!$A$2:$AR$6,34,0),"")</f>
        <v/>
      </c>
      <c r="I628" t="str">
        <f>IFERROR(VLOOKUP($A628,'Student Data'!$A$2:$AR$6,35,0),"")</f>
        <v/>
      </c>
      <c r="J628" t="str">
        <f>IFERROR(VLOOKUP($A628,'Student Data'!$A$2:$AR$6,36,0),"")</f>
        <v/>
      </c>
      <c r="K628" t="str">
        <f t="shared" si="18"/>
        <v/>
      </c>
      <c r="L628" t="str">
        <f t="shared" si="19"/>
        <v/>
      </c>
      <c r="M628" t="str">
        <f>IFERROR(IF($C628="","",SUMIFS(Ledger!$K$2:$K$4, Ledger!$B$2:$B$4, $A628, Ledger!$C$2:$C$4, M$2)),"****")</f>
        <v/>
      </c>
      <c r="N628" t="str">
        <f>IFERROR(IF($C628="","",SUMIFS(Ledger!$K$2:$K$4, Ledger!$B$2:$B$4, $A628, Ledger!$C$2:$C$4, N$2)),"****")</f>
        <v/>
      </c>
      <c r="O628" t="str">
        <f>IFERROR(IF($C628="","",SUMIFS(Ledger!$K$2:$K$4, Ledger!$B$2:$B$4, $A628, Ledger!$C$2:$C$4, O$2)),"****")</f>
        <v/>
      </c>
      <c r="P628" t="str">
        <f>IFERROR(IF($C628="","",SUMIFS(Ledger!$K$2:$K$4, Ledger!$B$2:$B$4, $A628, Ledger!$C$2:$C$4, P$2)),"****")</f>
        <v/>
      </c>
      <c r="Q628" t="str">
        <f>IFERROR(IF($C628="","",SUMIFS(Ledger!$K$2:$K$4, Ledger!$B$2:$B$4, $A628, Ledger!$C$2:$C$4, Q$2)),"****")</f>
        <v/>
      </c>
      <c r="R628" t="str">
        <f>IFERROR(IF($C628="","",SUMIFS(Ledger!$K$2:$K$4, Ledger!$B$2:$B$4, $A628, Ledger!$C$2:$C$4, R$2)),"****")</f>
        <v/>
      </c>
      <c r="S628" t="str">
        <f>IFERROR(IF($C628="","",SUMIFS(Ledger!$K$2:$K$4, Ledger!$B$2:$B$4, $A628, Ledger!$C$2:$C$4, S$2)),"****")</f>
        <v/>
      </c>
      <c r="T628" t="str">
        <f>IFERROR(IF($C628="","",SUMIFS(Ledger!$K$2:$K$4, Ledger!$B$2:$B$4, $A628, Ledger!$C$2:$C$4, T$2)),"****")</f>
        <v/>
      </c>
      <c r="U628" t="str">
        <f>IFERROR(IF($C628="","",SUMIFS(Ledger!$K$2:$K$4, Ledger!$B$2:$B$4, $A628, Ledger!$C$2:$C$4, U$2)),"****")</f>
        <v/>
      </c>
      <c r="V628" t="str">
        <f>IFERROR(IF($C628="","",SUMIFS(Ledger!$K$2:$K$4, Ledger!$B$2:$B$4, $A628, Ledger!$C$2:$C$4, V$2)),"****")</f>
        <v/>
      </c>
      <c r="W628" t="str">
        <f>IFERROR(IF($C628="","",SUMIFS(Ledger!$K$2:$K$4, Ledger!$B$2:$B$4, $A628, Ledger!$C$2:$C$4, W$2)),"****")</f>
        <v/>
      </c>
      <c r="X628" t="str">
        <f>IFERROR(IF($C628="","",SUMIFS(Ledger!$K$2:$K$4, Ledger!$B$2:$B$4, $A628, Ledger!$C$2:$C$4, X$2)),"****")</f>
        <v/>
      </c>
    </row>
    <row r="629" spans="1:24" x14ac:dyDescent="0.3">
      <c r="A629" s="106">
        <v>627</v>
      </c>
      <c r="B629" t="str">
        <f>IFERROR(VLOOKUP($A629, Ledger!$B$2:$L$8, 3, 0),"")</f>
        <v/>
      </c>
      <c r="C629" t="str">
        <f>IFERROR(VLOOKUP($A629, Ledger!$B$2:$L$8, 4, 0),"")</f>
        <v/>
      </c>
      <c r="D629" t="str">
        <f>IFERROR(VLOOKUP($A629, Ledger!$B$2:$L$8, 5, 0),"")</f>
        <v/>
      </c>
      <c r="E629" t="str">
        <f>IFERROR(VLOOKUP($A629, Ledger!$B$2:$L$8, 6, 0),"")</f>
        <v/>
      </c>
      <c r="F629" t="str">
        <f>IFERROR(VLOOKUP($A629,'Student Data'!$A$2:$AR$6,32,0),"")</f>
        <v/>
      </c>
      <c r="G629" t="str">
        <f>IFERROR(VLOOKUP($A629,'Student Data'!$A$2:$AR$6,33,0),"")</f>
        <v/>
      </c>
      <c r="H629" t="str">
        <f>IFERROR(VLOOKUP($A629,'Student Data'!$A$2:$AR$6,34,0),"")</f>
        <v/>
      </c>
      <c r="I629" t="str">
        <f>IFERROR(VLOOKUP($A629,'Student Data'!$A$2:$AR$6,35,0),"")</f>
        <v/>
      </c>
      <c r="J629" t="str">
        <f>IFERROR(VLOOKUP($A629,'Student Data'!$A$2:$AR$6,36,0),"")</f>
        <v/>
      </c>
      <c r="K629" t="str">
        <f t="shared" si="18"/>
        <v/>
      </c>
      <c r="L629" t="str">
        <f t="shared" si="19"/>
        <v/>
      </c>
      <c r="M629" t="str">
        <f>IFERROR(IF($C629="","",SUMIFS(Ledger!$K$2:$K$4, Ledger!$B$2:$B$4, $A629, Ledger!$C$2:$C$4, M$2)),"****")</f>
        <v/>
      </c>
      <c r="N629" t="str">
        <f>IFERROR(IF($C629="","",SUMIFS(Ledger!$K$2:$K$4, Ledger!$B$2:$B$4, $A629, Ledger!$C$2:$C$4, N$2)),"****")</f>
        <v/>
      </c>
      <c r="O629" t="str">
        <f>IFERROR(IF($C629="","",SUMIFS(Ledger!$K$2:$K$4, Ledger!$B$2:$B$4, $A629, Ledger!$C$2:$C$4, O$2)),"****")</f>
        <v/>
      </c>
      <c r="P629" t="str">
        <f>IFERROR(IF($C629="","",SUMIFS(Ledger!$K$2:$K$4, Ledger!$B$2:$B$4, $A629, Ledger!$C$2:$C$4, P$2)),"****")</f>
        <v/>
      </c>
      <c r="Q629" t="str">
        <f>IFERROR(IF($C629="","",SUMIFS(Ledger!$K$2:$K$4, Ledger!$B$2:$B$4, $A629, Ledger!$C$2:$C$4, Q$2)),"****")</f>
        <v/>
      </c>
      <c r="R629" t="str">
        <f>IFERROR(IF($C629="","",SUMIFS(Ledger!$K$2:$K$4, Ledger!$B$2:$B$4, $A629, Ledger!$C$2:$C$4, R$2)),"****")</f>
        <v/>
      </c>
      <c r="S629" t="str">
        <f>IFERROR(IF($C629="","",SUMIFS(Ledger!$K$2:$K$4, Ledger!$B$2:$B$4, $A629, Ledger!$C$2:$C$4, S$2)),"****")</f>
        <v/>
      </c>
      <c r="T629" t="str">
        <f>IFERROR(IF($C629="","",SUMIFS(Ledger!$K$2:$K$4, Ledger!$B$2:$B$4, $A629, Ledger!$C$2:$C$4, T$2)),"****")</f>
        <v/>
      </c>
      <c r="U629" t="str">
        <f>IFERROR(IF($C629="","",SUMIFS(Ledger!$K$2:$K$4, Ledger!$B$2:$B$4, $A629, Ledger!$C$2:$C$4, U$2)),"****")</f>
        <v/>
      </c>
      <c r="V629" t="str">
        <f>IFERROR(IF($C629="","",SUMIFS(Ledger!$K$2:$K$4, Ledger!$B$2:$B$4, $A629, Ledger!$C$2:$C$4, V$2)),"****")</f>
        <v/>
      </c>
      <c r="W629" t="str">
        <f>IFERROR(IF($C629="","",SUMIFS(Ledger!$K$2:$K$4, Ledger!$B$2:$B$4, $A629, Ledger!$C$2:$C$4, W$2)),"****")</f>
        <v/>
      </c>
      <c r="X629" t="str">
        <f>IFERROR(IF($C629="","",SUMIFS(Ledger!$K$2:$K$4, Ledger!$B$2:$B$4, $A629, Ledger!$C$2:$C$4, X$2)),"****")</f>
        <v/>
      </c>
    </row>
    <row r="630" spans="1:24" x14ac:dyDescent="0.3">
      <c r="A630" s="106">
        <v>628</v>
      </c>
      <c r="B630" t="str">
        <f>IFERROR(VLOOKUP($A630, Ledger!$B$2:$L$8, 3, 0),"")</f>
        <v/>
      </c>
      <c r="C630" t="str">
        <f>IFERROR(VLOOKUP($A630, Ledger!$B$2:$L$8, 4, 0),"")</f>
        <v/>
      </c>
      <c r="D630" t="str">
        <f>IFERROR(VLOOKUP($A630, Ledger!$B$2:$L$8, 5, 0),"")</f>
        <v/>
      </c>
      <c r="E630" t="str">
        <f>IFERROR(VLOOKUP($A630, Ledger!$B$2:$L$8, 6, 0),"")</f>
        <v/>
      </c>
      <c r="F630" t="str">
        <f>IFERROR(VLOOKUP($A630,'Student Data'!$A$2:$AR$6,32,0),"")</f>
        <v/>
      </c>
      <c r="G630" t="str">
        <f>IFERROR(VLOOKUP($A630,'Student Data'!$A$2:$AR$6,33,0),"")</f>
        <v/>
      </c>
      <c r="H630" t="str">
        <f>IFERROR(VLOOKUP($A630,'Student Data'!$A$2:$AR$6,34,0),"")</f>
        <v/>
      </c>
      <c r="I630" t="str">
        <f>IFERROR(VLOOKUP($A630,'Student Data'!$A$2:$AR$6,35,0),"")</f>
        <v/>
      </c>
      <c r="J630" t="str">
        <f>IFERROR(VLOOKUP($A630,'Student Data'!$A$2:$AR$6,36,0),"")</f>
        <v/>
      </c>
      <c r="K630" t="str">
        <f t="shared" si="18"/>
        <v/>
      </c>
      <c r="L630" t="str">
        <f t="shared" si="19"/>
        <v/>
      </c>
      <c r="M630" t="str">
        <f>IFERROR(IF($C630="","",SUMIFS(Ledger!$K$2:$K$4, Ledger!$B$2:$B$4, $A630, Ledger!$C$2:$C$4, M$2)),"****")</f>
        <v/>
      </c>
      <c r="N630" t="str">
        <f>IFERROR(IF($C630="","",SUMIFS(Ledger!$K$2:$K$4, Ledger!$B$2:$B$4, $A630, Ledger!$C$2:$C$4, N$2)),"****")</f>
        <v/>
      </c>
      <c r="O630" t="str">
        <f>IFERROR(IF($C630="","",SUMIFS(Ledger!$K$2:$K$4, Ledger!$B$2:$B$4, $A630, Ledger!$C$2:$C$4, O$2)),"****")</f>
        <v/>
      </c>
      <c r="P630" t="str">
        <f>IFERROR(IF($C630="","",SUMIFS(Ledger!$K$2:$K$4, Ledger!$B$2:$B$4, $A630, Ledger!$C$2:$C$4, P$2)),"****")</f>
        <v/>
      </c>
      <c r="Q630" t="str">
        <f>IFERROR(IF($C630="","",SUMIFS(Ledger!$K$2:$K$4, Ledger!$B$2:$B$4, $A630, Ledger!$C$2:$C$4, Q$2)),"****")</f>
        <v/>
      </c>
      <c r="R630" t="str">
        <f>IFERROR(IF($C630="","",SUMIFS(Ledger!$K$2:$K$4, Ledger!$B$2:$B$4, $A630, Ledger!$C$2:$C$4, R$2)),"****")</f>
        <v/>
      </c>
      <c r="S630" t="str">
        <f>IFERROR(IF($C630="","",SUMIFS(Ledger!$K$2:$K$4, Ledger!$B$2:$B$4, $A630, Ledger!$C$2:$C$4, S$2)),"****")</f>
        <v/>
      </c>
      <c r="T630" t="str">
        <f>IFERROR(IF($C630="","",SUMIFS(Ledger!$K$2:$K$4, Ledger!$B$2:$B$4, $A630, Ledger!$C$2:$C$4, T$2)),"****")</f>
        <v/>
      </c>
      <c r="U630" t="str">
        <f>IFERROR(IF($C630="","",SUMIFS(Ledger!$K$2:$K$4, Ledger!$B$2:$B$4, $A630, Ledger!$C$2:$C$4, U$2)),"****")</f>
        <v/>
      </c>
      <c r="V630" t="str">
        <f>IFERROR(IF($C630="","",SUMIFS(Ledger!$K$2:$K$4, Ledger!$B$2:$B$4, $A630, Ledger!$C$2:$C$4, V$2)),"****")</f>
        <v/>
      </c>
      <c r="W630" t="str">
        <f>IFERROR(IF($C630="","",SUMIFS(Ledger!$K$2:$K$4, Ledger!$B$2:$B$4, $A630, Ledger!$C$2:$C$4, W$2)),"****")</f>
        <v/>
      </c>
      <c r="X630" t="str">
        <f>IFERROR(IF($C630="","",SUMIFS(Ledger!$K$2:$K$4, Ledger!$B$2:$B$4, $A630, Ledger!$C$2:$C$4, X$2)),"****")</f>
        <v/>
      </c>
    </row>
    <row r="631" spans="1:24" x14ac:dyDescent="0.3">
      <c r="A631" s="106">
        <v>629</v>
      </c>
      <c r="B631" t="str">
        <f>IFERROR(VLOOKUP($A631, Ledger!$B$2:$L$8, 3, 0),"")</f>
        <v/>
      </c>
      <c r="C631" t="str">
        <f>IFERROR(VLOOKUP($A631, Ledger!$B$2:$L$8, 4, 0),"")</f>
        <v/>
      </c>
      <c r="D631" t="str">
        <f>IFERROR(VLOOKUP($A631, Ledger!$B$2:$L$8, 5, 0),"")</f>
        <v/>
      </c>
      <c r="E631" t="str">
        <f>IFERROR(VLOOKUP($A631, Ledger!$B$2:$L$8, 6, 0),"")</f>
        <v/>
      </c>
      <c r="F631" t="str">
        <f>IFERROR(VLOOKUP($A631,'Student Data'!$A$2:$AR$6,32,0),"")</f>
        <v/>
      </c>
      <c r="G631" t="str">
        <f>IFERROR(VLOOKUP($A631,'Student Data'!$A$2:$AR$6,33,0),"")</f>
        <v/>
      </c>
      <c r="H631" t="str">
        <f>IFERROR(VLOOKUP($A631,'Student Data'!$A$2:$AR$6,34,0),"")</f>
        <v/>
      </c>
      <c r="I631" t="str">
        <f>IFERROR(VLOOKUP($A631,'Student Data'!$A$2:$AR$6,35,0),"")</f>
        <v/>
      </c>
      <c r="J631" t="str">
        <f>IFERROR(VLOOKUP($A631,'Student Data'!$A$2:$AR$6,36,0),"")</f>
        <v/>
      </c>
      <c r="K631" t="str">
        <f t="shared" si="18"/>
        <v/>
      </c>
      <c r="L631" t="str">
        <f t="shared" si="19"/>
        <v/>
      </c>
      <c r="M631" t="str">
        <f>IFERROR(IF($C631="","",SUMIFS(Ledger!$K$2:$K$4, Ledger!$B$2:$B$4, $A631, Ledger!$C$2:$C$4, M$2)),"****")</f>
        <v/>
      </c>
      <c r="N631" t="str">
        <f>IFERROR(IF($C631="","",SUMIFS(Ledger!$K$2:$K$4, Ledger!$B$2:$B$4, $A631, Ledger!$C$2:$C$4, N$2)),"****")</f>
        <v/>
      </c>
      <c r="O631" t="str">
        <f>IFERROR(IF($C631="","",SUMIFS(Ledger!$K$2:$K$4, Ledger!$B$2:$B$4, $A631, Ledger!$C$2:$C$4, O$2)),"****")</f>
        <v/>
      </c>
      <c r="P631" t="str">
        <f>IFERROR(IF($C631="","",SUMIFS(Ledger!$K$2:$K$4, Ledger!$B$2:$B$4, $A631, Ledger!$C$2:$C$4, P$2)),"****")</f>
        <v/>
      </c>
      <c r="Q631" t="str">
        <f>IFERROR(IF($C631="","",SUMIFS(Ledger!$K$2:$K$4, Ledger!$B$2:$B$4, $A631, Ledger!$C$2:$C$4, Q$2)),"****")</f>
        <v/>
      </c>
      <c r="R631" t="str">
        <f>IFERROR(IF($C631="","",SUMIFS(Ledger!$K$2:$K$4, Ledger!$B$2:$B$4, $A631, Ledger!$C$2:$C$4, R$2)),"****")</f>
        <v/>
      </c>
      <c r="S631" t="str">
        <f>IFERROR(IF($C631="","",SUMIFS(Ledger!$K$2:$K$4, Ledger!$B$2:$B$4, $A631, Ledger!$C$2:$C$4, S$2)),"****")</f>
        <v/>
      </c>
      <c r="T631" t="str">
        <f>IFERROR(IF($C631="","",SUMIFS(Ledger!$K$2:$K$4, Ledger!$B$2:$B$4, $A631, Ledger!$C$2:$C$4, T$2)),"****")</f>
        <v/>
      </c>
      <c r="U631" t="str">
        <f>IFERROR(IF($C631="","",SUMIFS(Ledger!$K$2:$K$4, Ledger!$B$2:$B$4, $A631, Ledger!$C$2:$C$4, U$2)),"****")</f>
        <v/>
      </c>
      <c r="V631" t="str">
        <f>IFERROR(IF($C631="","",SUMIFS(Ledger!$K$2:$K$4, Ledger!$B$2:$B$4, $A631, Ledger!$C$2:$C$4, V$2)),"****")</f>
        <v/>
      </c>
      <c r="W631" t="str">
        <f>IFERROR(IF($C631="","",SUMIFS(Ledger!$K$2:$K$4, Ledger!$B$2:$B$4, $A631, Ledger!$C$2:$C$4, W$2)),"****")</f>
        <v/>
      </c>
      <c r="X631" t="str">
        <f>IFERROR(IF($C631="","",SUMIFS(Ledger!$K$2:$K$4, Ledger!$B$2:$B$4, $A631, Ledger!$C$2:$C$4, X$2)),"****")</f>
        <v/>
      </c>
    </row>
    <row r="632" spans="1:24" x14ac:dyDescent="0.3">
      <c r="A632" s="106">
        <v>630</v>
      </c>
      <c r="B632" t="str">
        <f>IFERROR(VLOOKUP($A632, Ledger!$B$2:$L$8, 3, 0),"")</f>
        <v/>
      </c>
      <c r="C632" t="str">
        <f>IFERROR(VLOOKUP($A632, Ledger!$B$2:$L$8, 4, 0),"")</f>
        <v/>
      </c>
      <c r="D632" t="str">
        <f>IFERROR(VLOOKUP($A632, Ledger!$B$2:$L$8, 5, 0),"")</f>
        <v/>
      </c>
      <c r="E632" t="str">
        <f>IFERROR(VLOOKUP($A632, Ledger!$B$2:$L$8, 6, 0),"")</f>
        <v/>
      </c>
      <c r="F632" t="str">
        <f>IFERROR(VLOOKUP($A632,'Student Data'!$A$2:$AR$6,32,0),"")</f>
        <v/>
      </c>
      <c r="G632" t="str">
        <f>IFERROR(VLOOKUP($A632,'Student Data'!$A$2:$AR$6,33,0),"")</f>
        <v/>
      </c>
      <c r="H632" t="str">
        <f>IFERROR(VLOOKUP($A632,'Student Data'!$A$2:$AR$6,34,0),"")</f>
        <v/>
      </c>
      <c r="I632" t="str">
        <f>IFERROR(VLOOKUP($A632,'Student Data'!$A$2:$AR$6,35,0),"")</f>
        <v/>
      </c>
      <c r="J632" t="str">
        <f>IFERROR(VLOOKUP($A632,'Student Data'!$A$2:$AR$6,36,0),"")</f>
        <v/>
      </c>
      <c r="K632" t="str">
        <f t="shared" si="18"/>
        <v/>
      </c>
      <c r="L632" t="str">
        <f t="shared" si="19"/>
        <v/>
      </c>
      <c r="M632" t="str">
        <f>IFERROR(IF($C632="","",SUMIFS(Ledger!$K$2:$K$4, Ledger!$B$2:$B$4, $A632, Ledger!$C$2:$C$4, M$2)),"****")</f>
        <v/>
      </c>
      <c r="N632" t="str">
        <f>IFERROR(IF($C632="","",SUMIFS(Ledger!$K$2:$K$4, Ledger!$B$2:$B$4, $A632, Ledger!$C$2:$C$4, N$2)),"****")</f>
        <v/>
      </c>
      <c r="O632" t="str">
        <f>IFERROR(IF($C632="","",SUMIFS(Ledger!$K$2:$K$4, Ledger!$B$2:$B$4, $A632, Ledger!$C$2:$C$4, O$2)),"****")</f>
        <v/>
      </c>
      <c r="P632" t="str">
        <f>IFERROR(IF($C632="","",SUMIFS(Ledger!$K$2:$K$4, Ledger!$B$2:$B$4, $A632, Ledger!$C$2:$C$4, P$2)),"****")</f>
        <v/>
      </c>
      <c r="Q632" t="str">
        <f>IFERROR(IF($C632="","",SUMIFS(Ledger!$K$2:$K$4, Ledger!$B$2:$B$4, $A632, Ledger!$C$2:$C$4, Q$2)),"****")</f>
        <v/>
      </c>
      <c r="R632" t="str">
        <f>IFERROR(IF($C632="","",SUMIFS(Ledger!$K$2:$K$4, Ledger!$B$2:$B$4, $A632, Ledger!$C$2:$C$4, R$2)),"****")</f>
        <v/>
      </c>
      <c r="S632" t="str">
        <f>IFERROR(IF($C632="","",SUMIFS(Ledger!$K$2:$K$4, Ledger!$B$2:$B$4, $A632, Ledger!$C$2:$C$4, S$2)),"****")</f>
        <v/>
      </c>
      <c r="T632" t="str">
        <f>IFERROR(IF($C632="","",SUMIFS(Ledger!$K$2:$K$4, Ledger!$B$2:$B$4, $A632, Ledger!$C$2:$C$4, T$2)),"****")</f>
        <v/>
      </c>
      <c r="U632" t="str">
        <f>IFERROR(IF($C632="","",SUMIFS(Ledger!$K$2:$K$4, Ledger!$B$2:$B$4, $A632, Ledger!$C$2:$C$4, U$2)),"****")</f>
        <v/>
      </c>
      <c r="V632" t="str">
        <f>IFERROR(IF($C632="","",SUMIFS(Ledger!$K$2:$K$4, Ledger!$B$2:$B$4, $A632, Ledger!$C$2:$C$4, V$2)),"****")</f>
        <v/>
      </c>
      <c r="W632" t="str">
        <f>IFERROR(IF($C632="","",SUMIFS(Ledger!$K$2:$K$4, Ledger!$B$2:$B$4, $A632, Ledger!$C$2:$C$4, W$2)),"****")</f>
        <v/>
      </c>
      <c r="X632" t="str">
        <f>IFERROR(IF($C632="","",SUMIFS(Ledger!$K$2:$K$4, Ledger!$B$2:$B$4, $A632, Ledger!$C$2:$C$4, X$2)),"****")</f>
        <v/>
      </c>
    </row>
    <row r="633" spans="1:24" x14ac:dyDescent="0.3">
      <c r="A633" s="106">
        <v>631</v>
      </c>
      <c r="B633" t="str">
        <f>IFERROR(VLOOKUP($A633, Ledger!$B$2:$L$8, 3, 0),"")</f>
        <v/>
      </c>
      <c r="C633" t="str">
        <f>IFERROR(VLOOKUP($A633, Ledger!$B$2:$L$8, 4, 0),"")</f>
        <v/>
      </c>
      <c r="D633" t="str">
        <f>IFERROR(VLOOKUP($A633, Ledger!$B$2:$L$8, 5, 0),"")</f>
        <v/>
      </c>
      <c r="E633" t="str">
        <f>IFERROR(VLOOKUP($A633, Ledger!$B$2:$L$8, 6, 0),"")</f>
        <v/>
      </c>
      <c r="F633" t="str">
        <f>IFERROR(VLOOKUP($A633,'Student Data'!$A$2:$AR$6,32,0),"")</f>
        <v/>
      </c>
      <c r="G633" t="str">
        <f>IFERROR(VLOOKUP($A633,'Student Data'!$A$2:$AR$6,33,0),"")</f>
        <v/>
      </c>
      <c r="H633" t="str">
        <f>IFERROR(VLOOKUP($A633,'Student Data'!$A$2:$AR$6,34,0),"")</f>
        <v/>
      </c>
      <c r="I633" t="str">
        <f>IFERROR(VLOOKUP($A633,'Student Data'!$A$2:$AR$6,35,0),"")</f>
        <v/>
      </c>
      <c r="J633" t="str">
        <f>IFERROR(VLOOKUP($A633,'Student Data'!$A$2:$AR$6,36,0),"")</f>
        <v/>
      </c>
      <c r="K633" t="str">
        <f t="shared" si="18"/>
        <v/>
      </c>
      <c r="L633" t="str">
        <f t="shared" si="19"/>
        <v/>
      </c>
      <c r="M633" t="str">
        <f>IFERROR(IF($C633="","",SUMIFS(Ledger!$K$2:$K$4, Ledger!$B$2:$B$4, $A633, Ledger!$C$2:$C$4, M$2)),"****")</f>
        <v/>
      </c>
      <c r="N633" t="str">
        <f>IFERROR(IF($C633="","",SUMIFS(Ledger!$K$2:$K$4, Ledger!$B$2:$B$4, $A633, Ledger!$C$2:$C$4, N$2)),"****")</f>
        <v/>
      </c>
      <c r="O633" t="str">
        <f>IFERROR(IF($C633="","",SUMIFS(Ledger!$K$2:$K$4, Ledger!$B$2:$B$4, $A633, Ledger!$C$2:$C$4, O$2)),"****")</f>
        <v/>
      </c>
      <c r="P633" t="str">
        <f>IFERROR(IF($C633="","",SUMIFS(Ledger!$K$2:$K$4, Ledger!$B$2:$B$4, $A633, Ledger!$C$2:$C$4, P$2)),"****")</f>
        <v/>
      </c>
      <c r="Q633" t="str">
        <f>IFERROR(IF($C633="","",SUMIFS(Ledger!$K$2:$K$4, Ledger!$B$2:$B$4, $A633, Ledger!$C$2:$C$4, Q$2)),"****")</f>
        <v/>
      </c>
      <c r="R633" t="str">
        <f>IFERROR(IF($C633="","",SUMIFS(Ledger!$K$2:$K$4, Ledger!$B$2:$B$4, $A633, Ledger!$C$2:$C$4, R$2)),"****")</f>
        <v/>
      </c>
      <c r="S633" t="str">
        <f>IFERROR(IF($C633="","",SUMIFS(Ledger!$K$2:$K$4, Ledger!$B$2:$B$4, $A633, Ledger!$C$2:$C$4, S$2)),"****")</f>
        <v/>
      </c>
      <c r="T633" t="str">
        <f>IFERROR(IF($C633="","",SUMIFS(Ledger!$K$2:$K$4, Ledger!$B$2:$B$4, $A633, Ledger!$C$2:$C$4, T$2)),"****")</f>
        <v/>
      </c>
      <c r="U633" t="str">
        <f>IFERROR(IF($C633="","",SUMIFS(Ledger!$K$2:$K$4, Ledger!$B$2:$B$4, $A633, Ledger!$C$2:$C$4, U$2)),"****")</f>
        <v/>
      </c>
      <c r="V633" t="str">
        <f>IFERROR(IF($C633="","",SUMIFS(Ledger!$K$2:$K$4, Ledger!$B$2:$B$4, $A633, Ledger!$C$2:$C$4, V$2)),"****")</f>
        <v/>
      </c>
      <c r="W633" t="str">
        <f>IFERROR(IF($C633="","",SUMIFS(Ledger!$K$2:$K$4, Ledger!$B$2:$B$4, $A633, Ledger!$C$2:$C$4, W$2)),"****")</f>
        <v/>
      </c>
      <c r="X633" t="str">
        <f>IFERROR(IF($C633="","",SUMIFS(Ledger!$K$2:$K$4, Ledger!$B$2:$B$4, $A633, Ledger!$C$2:$C$4, X$2)),"****")</f>
        <v/>
      </c>
    </row>
    <row r="634" spans="1:24" x14ac:dyDescent="0.3">
      <c r="A634" s="106">
        <v>632</v>
      </c>
      <c r="B634" t="str">
        <f>IFERROR(VLOOKUP($A634, Ledger!$B$2:$L$8, 3, 0),"")</f>
        <v/>
      </c>
      <c r="C634" t="str">
        <f>IFERROR(VLOOKUP($A634, Ledger!$B$2:$L$8, 4, 0),"")</f>
        <v/>
      </c>
      <c r="D634" t="str">
        <f>IFERROR(VLOOKUP($A634, Ledger!$B$2:$L$8, 5, 0),"")</f>
        <v/>
      </c>
      <c r="E634" t="str">
        <f>IFERROR(VLOOKUP($A634, Ledger!$B$2:$L$8, 6, 0),"")</f>
        <v/>
      </c>
      <c r="F634" t="str">
        <f>IFERROR(VLOOKUP($A634,'Student Data'!$A$2:$AR$6,32,0),"")</f>
        <v/>
      </c>
      <c r="G634" t="str">
        <f>IFERROR(VLOOKUP($A634,'Student Data'!$A$2:$AR$6,33,0),"")</f>
        <v/>
      </c>
      <c r="H634" t="str">
        <f>IFERROR(VLOOKUP($A634,'Student Data'!$A$2:$AR$6,34,0),"")</f>
        <v/>
      </c>
      <c r="I634" t="str">
        <f>IFERROR(VLOOKUP($A634,'Student Data'!$A$2:$AR$6,35,0),"")</f>
        <v/>
      </c>
      <c r="J634" t="str">
        <f>IFERROR(VLOOKUP($A634,'Student Data'!$A$2:$AR$6,36,0),"")</f>
        <v/>
      </c>
      <c r="K634" t="str">
        <f t="shared" si="18"/>
        <v/>
      </c>
      <c r="L634" t="str">
        <f t="shared" si="19"/>
        <v/>
      </c>
      <c r="M634" t="str">
        <f>IFERROR(IF($C634="","",SUMIFS(Ledger!$K$2:$K$4, Ledger!$B$2:$B$4, $A634, Ledger!$C$2:$C$4, M$2)),"****")</f>
        <v/>
      </c>
      <c r="N634" t="str">
        <f>IFERROR(IF($C634="","",SUMIFS(Ledger!$K$2:$K$4, Ledger!$B$2:$B$4, $A634, Ledger!$C$2:$C$4, N$2)),"****")</f>
        <v/>
      </c>
      <c r="O634" t="str">
        <f>IFERROR(IF($C634="","",SUMIFS(Ledger!$K$2:$K$4, Ledger!$B$2:$B$4, $A634, Ledger!$C$2:$C$4, O$2)),"****")</f>
        <v/>
      </c>
      <c r="P634" t="str">
        <f>IFERROR(IF($C634="","",SUMIFS(Ledger!$K$2:$K$4, Ledger!$B$2:$B$4, $A634, Ledger!$C$2:$C$4, P$2)),"****")</f>
        <v/>
      </c>
      <c r="Q634" t="str">
        <f>IFERROR(IF($C634="","",SUMIFS(Ledger!$K$2:$K$4, Ledger!$B$2:$B$4, $A634, Ledger!$C$2:$C$4, Q$2)),"****")</f>
        <v/>
      </c>
      <c r="R634" t="str">
        <f>IFERROR(IF($C634="","",SUMIFS(Ledger!$K$2:$K$4, Ledger!$B$2:$B$4, $A634, Ledger!$C$2:$C$4, R$2)),"****")</f>
        <v/>
      </c>
      <c r="S634" t="str">
        <f>IFERROR(IF($C634="","",SUMIFS(Ledger!$K$2:$K$4, Ledger!$B$2:$B$4, $A634, Ledger!$C$2:$C$4, S$2)),"****")</f>
        <v/>
      </c>
      <c r="T634" t="str">
        <f>IFERROR(IF($C634="","",SUMIFS(Ledger!$K$2:$K$4, Ledger!$B$2:$B$4, $A634, Ledger!$C$2:$C$4, T$2)),"****")</f>
        <v/>
      </c>
      <c r="U634" t="str">
        <f>IFERROR(IF($C634="","",SUMIFS(Ledger!$K$2:$K$4, Ledger!$B$2:$B$4, $A634, Ledger!$C$2:$C$4, U$2)),"****")</f>
        <v/>
      </c>
      <c r="V634" t="str">
        <f>IFERROR(IF($C634="","",SUMIFS(Ledger!$K$2:$K$4, Ledger!$B$2:$B$4, $A634, Ledger!$C$2:$C$4, V$2)),"****")</f>
        <v/>
      </c>
      <c r="W634" t="str">
        <f>IFERROR(IF($C634="","",SUMIFS(Ledger!$K$2:$K$4, Ledger!$B$2:$B$4, $A634, Ledger!$C$2:$C$4, W$2)),"****")</f>
        <v/>
      </c>
      <c r="X634" t="str">
        <f>IFERROR(IF($C634="","",SUMIFS(Ledger!$K$2:$K$4, Ledger!$B$2:$B$4, $A634, Ledger!$C$2:$C$4, X$2)),"****")</f>
        <v/>
      </c>
    </row>
    <row r="635" spans="1:24" x14ac:dyDescent="0.3">
      <c r="A635" s="106">
        <v>633</v>
      </c>
      <c r="B635" t="str">
        <f>IFERROR(VLOOKUP($A635, Ledger!$B$2:$L$8, 3, 0),"")</f>
        <v/>
      </c>
      <c r="C635" t="str">
        <f>IFERROR(VLOOKUP($A635, Ledger!$B$2:$L$8, 4, 0),"")</f>
        <v/>
      </c>
      <c r="D635" t="str">
        <f>IFERROR(VLOOKUP($A635, Ledger!$B$2:$L$8, 5, 0),"")</f>
        <v/>
      </c>
      <c r="E635" t="str">
        <f>IFERROR(VLOOKUP($A635, Ledger!$B$2:$L$8, 6, 0),"")</f>
        <v/>
      </c>
      <c r="F635" t="str">
        <f>IFERROR(VLOOKUP($A635,'Student Data'!$A$2:$AR$6,32,0),"")</f>
        <v/>
      </c>
      <c r="G635" t="str">
        <f>IFERROR(VLOOKUP($A635,'Student Data'!$A$2:$AR$6,33,0),"")</f>
        <v/>
      </c>
      <c r="H635" t="str">
        <f>IFERROR(VLOOKUP($A635,'Student Data'!$A$2:$AR$6,34,0),"")</f>
        <v/>
      </c>
      <c r="I635" t="str">
        <f>IFERROR(VLOOKUP($A635,'Student Data'!$A$2:$AR$6,35,0),"")</f>
        <v/>
      </c>
      <c r="J635" t="str">
        <f>IFERROR(VLOOKUP($A635,'Student Data'!$A$2:$AR$6,36,0),"")</f>
        <v/>
      </c>
      <c r="K635" t="str">
        <f t="shared" si="18"/>
        <v/>
      </c>
      <c r="L635" t="str">
        <f t="shared" si="19"/>
        <v/>
      </c>
      <c r="M635" t="str">
        <f>IFERROR(IF($C635="","",SUMIFS(Ledger!$K$2:$K$4, Ledger!$B$2:$B$4, $A635, Ledger!$C$2:$C$4, M$2)),"****")</f>
        <v/>
      </c>
      <c r="N635" t="str">
        <f>IFERROR(IF($C635="","",SUMIFS(Ledger!$K$2:$K$4, Ledger!$B$2:$B$4, $A635, Ledger!$C$2:$C$4, N$2)),"****")</f>
        <v/>
      </c>
      <c r="O635" t="str">
        <f>IFERROR(IF($C635="","",SUMIFS(Ledger!$K$2:$K$4, Ledger!$B$2:$B$4, $A635, Ledger!$C$2:$C$4, O$2)),"****")</f>
        <v/>
      </c>
      <c r="P635" t="str">
        <f>IFERROR(IF($C635="","",SUMIFS(Ledger!$K$2:$K$4, Ledger!$B$2:$B$4, $A635, Ledger!$C$2:$C$4, P$2)),"****")</f>
        <v/>
      </c>
      <c r="Q635" t="str">
        <f>IFERROR(IF($C635="","",SUMIFS(Ledger!$K$2:$K$4, Ledger!$B$2:$B$4, $A635, Ledger!$C$2:$C$4, Q$2)),"****")</f>
        <v/>
      </c>
      <c r="R635" t="str">
        <f>IFERROR(IF($C635="","",SUMIFS(Ledger!$K$2:$K$4, Ledger!$B$2:$B$4, $A635, Ledger!$C$2:$C$4, R$2)),"****")</f>
        <v/>
      </c>
      <c r="S635" t="str">
        <f>IFERROR(IF($C635="","",SUMIFS(Ledger!$K$2:$K$4, Ledger!$B$2:$B$4, $A635, Ledger!$C$2:$C$4, S$2)),"****")</f>
        <v/>
      </c>
      <c r="T635" t="str">
        <f>IFERROR(IF($C635="","",SUMIFS(Ledger!$K$2:$K$4, Ledger!$B$2:$B$4, $A635, Ledger!$C$2:$C$4, T$2)),"****")</f>
        <v/>
      </c>
      <c r="U635" t="str">
        <f>IFERROR(IF($C635="","",SUMIFS(Ledger!$K$2:$K$4, Ledger!$B$2:$B$4, $A635, Ledger!$C$2:$C$4, U$2)),"****")</f>
        <v/>
      </c>
      <c r="V635" t="str">
        <f>IFERROR(IF($C635="","",SUMIFS(Ledger!$K$2:$K$4, Ledger!$B$2:$B$4, $A635, Ledger!$C$2:$C$4, V$2)),"****")</f>
        <v/>
      </c>
      <c r="W635" t="str">
        <f>IFERROR(IF($C635="","",SUMIFS(Ledger!$K$2:$K$4, Ledger!$B$2:$B$4, $A635, Ledger!$C$2:$C$4, W$2)),"****")</f>
        <v/>
      </c>
      <c r="X635" t="str">
        <f>IFERROR(IF($C635="","",SUMIFS(Ledger!$K$2:$K$4, Ledger!$B$2:$B$4, $A635, Ledger!$C$2:$C$4, X$2)),"****")</f>
        <v/>
      </c>
    </row>
    <row r="636" spans="1:24" x14ac:dyDescent="0.3">
      <c r="A636" s="106">
        <v>634</v>
      </c>
      <c r="B636" t="str">
        <f>IFERROR(VLOOKUP($A636, Ledger!$B$2:$L$8, 3, 0),"")</f>
        <v/>
      </c>
      <c r="C636" t="str">
        <f>IFERROR(VLOOKUP($A636, Ledger!$B$2:$L$8, 4, 0),"")</f>
        <v/>
      </c>
      <c r="D636" t="str">
        <f>IFERROR(VLOOKUP($A636, Ledger!$B$2:$L$8, 5, 0),"")</f>
        <v/>
      </c>
      <c r="E636" t="str">
        <f>IFERROR(VLOOKUP($A636, Ledger!$B$2:$L$8, 6, 0),"")</f>
        <v/>
      </c>
      <c r="F636" t="str">
        <f>IFERROR(VLOOKUP($A636,'Student Data'!$A$2:$AR$6,32,0),"")</f>
        <v/>
      </c>
      <c r="G636" t="str">
        <f>IFERROR(VLOOKUP($A636,'Student Data'!$A$2:$AR$6,33,0),"")</f>
        <v/>
      </c>
      <c r="H636" t="str">
        <f>IFERROR(VLOOKUP($A636,'Student Data'!$A$2:$AR$6,34,0),"")</f>
        <v/>
      </c>
      <c r="I636" t="str">
        <f>IFERROR(VLOOKUP($A636,'Student Data'!$A$2:$AR$6,35,0),"")</f>
        <v/>
      </c>
      <c r="J636" t="str">
        <f>IFERROR(VLOOKUP($A636,'Student Data'!$A$2:$AR$6,36,0),"")</f>
        <v/>
      </c>
      <c r="K636" t="str">
        <f t="shared" si="18"/>
        <v/>
      </c>
      <c r="L636" t="str">
        <f t="shared" si="19"/>
        <v/>
      </c>
      <c r="M636" t="str">
        <f>IFERROR(IF($C636="","",SUMIFS(Ledger!$K$2:$K$4, Ledger!$B$2:$B$4, $A636, Ledger!$C$2:$C$4, M$2)),"****")</f>
        <v/>
      </c>
      <c r="N636" t="str">
        <f>IFERROR(IF($C636="","",SUMIFS(Ledger!$K$2:$K$4, Ledger!$B$2:$B$4, $A636, Ledger!$C$2:$C$4, N$2)),"****")</f>
        <v/>
      </c>
      <c r="O636" t="str">
        <f>IFERROR(IF($C636="","",SUMIFS(Ledger!$K$2:$K$4, Ledger!$B$2:$B$4, $A636, Ledger!$C$2:$C$4, O$2)),"****")</f>
        <v/>
      </c>
      <c r="P636" t="str">
        <f>IFERROR(IF($C636="","",SUMIFS(Ledger!$K$2:$K$4, Ledger!$B$2:$B$4, $A636, Ledger!$C$2:$C$4, P$2)),"****")</f>
        <v/>
      </c>
      <c r="Q636" t="str">
        <f>IFERROR(IF($C636="","",SUMIFS(Ledger!$K$2:$K$4, Ledger!$B$2:$B$4, $A636, Ledger!$C$2:$C$4, Q$2)),"****")</f>
        <v/>
      </c>
      <c r="R636" t="str">
        <f>IFERROR(IF($C636="","",SUMIFS(Ledger!$K$2:$K$4, Ledger!$B$2:$B$4, $A636, Ledger!$C$2:$C$4, R$2)),"****")</f>
        <v/>
      </c>
      <c r="S636" t="str">
        <f>IFERROR(IF($C636="","",SUMIFS(Ledger!$K$2:$K$4, Ledger!$B$2:$B$4, $A636, Ledger!$C$2:$C$4, S$2)),"****")</f>
        <v/>
      </c>
      <c r="T636" t="str">
        <f>IFERROR(IF($C636="","",SUMIFS(Ledger!$K$2:$K$4, Ledger!$B$2:$B$4, $A636, Ledger!$C$2:$C$4, T$2)),"****")</f>
        <v/>
      </c>
      <c r="U636" t="str">
        <f>IFERROR(IF($C636="","",SUMIFS(Ledger!$K$2:$K$4, Ledger!$B$2:$B$4, $A636, Ledger!$C$2:$C$4, U$2)),"****")</f>
        <v/>
      </c>
      <c r="V636" t="str">
        <f>IFERROR(IF($C636="","",SUMIFS(Ledger!$K$2:$K$4, Ledger!$B$2:$B$4, $A636, Ledger!$C$2:$C$4, V$2)),"****")</f>
        <v/>
      </c>
      <c r="W636" t="str">
        <f>IFERROR(IF($C636="","",SUMIFS(Ledger!$K$2:$K$4, Ledger!$B$2:$B$4, $A636, Ledger!$C$2:$C$4, W$2)),"****")</f>
        <v/>
      </c>
      <c r="X636" t="str">
        <f>IFERROR(IF($C636="","",SUMIFS(Ledger!$K$2:$K$4, Ledger!$B$2:$B$4, $A636, Ledger!$C$2:$C$4, X$2)),"****")</f>
        <v/>
      </c>
    </row>
    <row r="637" spans="1:24" x14ac:dyDescent="0.3">
      <c r="A637" s="106">
        <v>635</v>
      </c>
      <c r="B637" t="str">
        <f>IFERROR(VLOOKUP($A637, Ledger!$B$2:$L$8, 3, 0),"")</f>
        <v/>
      </c>
      <c r="C637" t="str">
        <f>IFERROR(VLOOKUP($A637, Ledger!$B$2:$L$8, 4, 0),"")</f>
        <v/>
      </c>
      <c r="D637" t="str">
        <f>IFERROR(VLOOKUP($A637, Ledger!$B$2:$L$8, 5, 0),"")</f>
        <v/>
      </c>
      <c r="E637" t="str">
        <f>IFERROR(VLOOKUP($A637, Ledger!$B$2:$L$8, 6, 0),"")</f>
        <v/>
      </c>
      <c r="F637" t="str">
        <f>IFERROR(VLOOKUP($A637,'Student Data'!$A$2:$AR$6,32,0),"")</f>
        <v/>
      </c>
      <c r="G637" t="str">
        <f>IFERROR(VLOOKUP($A637,'Student Data'!$A$2:$AR$6,33,0),"")</f>
        <v/>
      </c>
      <c r="H637" t="str">
        <f>IFERROR(VLOOKUP($A637,'Student Data'!$A$2:$AR$6,34,0),"")</f>
        <v/>
      </c>
      <c r="I637" t="str">
        <f>IFERROR(VLOOKUP($A637,'Student Data'!$A$2:$AR$6,35,0),"")</f>
        <v/>
      </c>
      <c r="J637" t="str">
        <f>IFERROR(VLOOKUP($A637,'Student Data'!$A$2:$AR$6,36,0),"")</f>
        <v/>
      </c>
      <c r="K637" t="str">
        <f t="shared" si="18"/>
        <v/>
      </c>
      <c r="L637" t="str">
        <f t="shared" si="19"/>
        <v/>
      </c>
      <c r="M637" t="str">
        <f>IFERROR(IF($C637="","",SUMIFS(Ledger!$K$2:$K$4, Ledger!$B$2:$B$4, $A637, Ledger!$C$2:$C$4, M$2)),"****")</f>
        <v/>
      </c>
      <c r="N637" t="str">
        <f>IFERROR(IF($C637="","",SUMIFS(Ledger!$K$2:$K$4, Ledger!$B$2:$B$4, $A637, Ledger!$C$2:$C$4, N$2)),"****")</f>
        <v/>
      </c>
      <c r="O637" t="str">
        <f>IFERROR(IF($C637="","",SUMIFS(Ledger!$K$2:$K$4, Ledger!$B$2:$B$4, $A637, Ledger!$C$2:$C$4, O$2)),"****")</f>
        <v/>
      </c>
      <c r="P637" t="str">
        <f>IFERROR(IF($C637="","",SUMIFS(Ledger!$K$2:$K$4, Ledger!$B$2:$B$4, $A637, Ledger!$C$2:$C$4, P$2)),"****")</f>
        <v/>
      </c>
      <c r="Q637" t="str">
        <f>IFERROR(IF($C637="","",SUMIFS(Ledger!$K$2:$K$4, Ledger!$B$2:$B$4, $A637, Ledger!$C$2:$C$4, Q$2)),"****")</f>
        <v/>
      </c>
      <c r="R637" t="str">
        <f>IFERROR(IF($C637="","",SUMIFS(Ledger!$K$2:$K$4, Ledger!$B$2:$B$4, $A637, Ledger!$C$2:$C$4, R$2)),"****")</f>
        <v/>
      </c>
      <c r="S637" t="str">
        <f>IFERROR(IF($C637="","",SUMIFS(Ledger!$K$2:$K$4, Ledger!$B$2:$B$4, $A637, Ledger!$C$2:$C$4, S$2)),"****")</f>
        <v/>
      </c>
      <c r="T637" t="str">
        <f>IFERROR(IF($C637="","",SUMIFS(Ledger!$K$2:$K$4, Ledger!$B$2:$B$4, $A637, Ledger!$C$2:$C$4, T$2)),"****")</f>
        <v/>
      </c>
      <c r="U637" t="str">
        <f>IFERROR(IF($C637="","",SUMIFS(Ledger!$K$2:$K$4, Ledger!$B$2:$B$4, $A637, Ledger!$C$2:$C$4, U$2)),"****")</f>
        <v/>
      </c>
      <c r="V637" t="str">
        <f>IFERROR(IF($C637="","",SUMIFS(Ledger!$K$2:$K$4, Ledger!$B$2:$B$4, $A637, Ledger!$C$2:$C$4, V$2)),"****")</f>
        <v/>
      </c>
      <c r="W637" t="str">
        <f>IFERROR(IF($C637="","",SUMIFS(Ledger!$K$2:$K$4, Ledger!$B$2:$B$4, $A637, Ledger!$C$2:$C$4, W$2)),"****")</f>
        <v/>
      </c>
      <c r="X637" t="str">
        <f>IFERROR(IF($C637="","",SUMIFS(Ledger!$K$2:$K$4, Ledger!$B$2:$B$4, $A637, Ledger!$C$2:$C$4, X$2)),"****")</f>
        <v/>
      </c>
    </row>
    <row r="638" spans="1:24" x14ac:dyDescent="0.3">
      <c r="A638" s="106">
        <v>636</v>
      </c>
      <c r="B638" t="str">
        <f>IFERROR(VLOOKUP($A638, Ledger!$B$2:$L$8, 3, 0),"")</f>
        <v/>
      </c>
      <c r="C638" t="str">
        <f>IFERROR(VLOOKUP($A638, Ledger!$B$2:$L$8, 4, 0),"")</f>
        <v/>
      </c>
      <c r="D638" t="str">
        <f>IFERROR(VLOOKUP($A638, Ledger!$B$2:$L$8, 5, 0),"")</f>
        <v/>
      </c>
      <c r="E638" t="str">
        <f>IFERROR(VLOOKUP($A638, Ledger!$B$2:$L$8, 6, 0),"")</f>
        <v/>
      </c>
      <c r="F638" t="str">
        <f>IFERROR(VLOOKUP($A638,'Student Data'!$A$2:$AR$6,32,0),"")</f>
        <v/>
      </c>
      <c r="G638" t="str">
        <f>IFERROR(VLOOKUP($A638,'Student Data'!$A$2:$AR$6,33,0),"")</f>
        <v/>
      </c>
      <c r="H638" t="str">
        <f>IFERROR(VLOOKUP($A638,'Student Data'!$A$2:$AR$6,34,0),"")</f>
        <v/>
      </c>
      <c r="I638" t="str">
        <f>IFERROR(VLOOKUP($A638,'Student Data'!$A$2:$AR$6,35,0),"")</f>
        <v/>
      </c>
      <c r="J638" t="str">
        <f>IFERROR(VLOOKUP($A638,'Student Data'!$A$2:$AR$6,36,0),"")</f>
        <v/>
      </c>
      <c r="K638" t="str">
        <f t="shared" si="18"/>
        <v/>
      </c>
      <c r="L638" t="str">
        <f t="shared" si="19"/>
        <v/>
      </c>
      <c r="M638" t="str">
        <f>IFERROR(IF($C638="","",SUMIFS(Ledger!$K$2:$K$4, Ledger!$B$2:$B$4, $A638, Ledger!$C$2:$C$4, M$2)),"****")</f>
        <v/>
      </c>
      <c r="N638" t="str">
        <f>IFERROR(IF($C638="","",SUMIFS(Ledger!$K$2:$K$4, Ledger!$B$2:$B$4, $A638, Ledger!$C$2:$C$4, N$2)),"****")</f>
        <v/>
      </c>
      <c r="O638" t="str">
        <f>IFERROR(IF($C638="","",SUMIFS(Ledger!$K$2:$K$4, Ledger!$B$2:$B$4, $A638, Ledger!$C$2:$C$4, O$2)),"****")</f>
        <v/>
      </c>
      <c r="P638" t="str">
        <f>IFERROR(IF($C638="","",SUMIFS(Ledger!$K$2:$K$4, Ledger!$B$2:$B$4, $A638, Ledger!$C$2:$C$4, P$2)),"****")</f>
        <v/>
      </c>
      <c r="Q638" t="str">
        <f>IFERROR(IF($C638="","",SUMIFS(Ledger!$K$2:$K$4, Ledger!$B$2:$B$4, $A638, Ledger!$C$2:$C$4, Q$2)),"****")</f>
        <v/>
      </c>
      <c r="R638" t="str">
        <f>IFERROR(IF($C638="","",SUMIFS(Ledger!$K$2:$K$4, Ledger!$B$2:$B$4, $A638, Ledger!$C$2:$C$4, R$2)),"****")</f>
        <v/>
      </c>
      <c r="S638" t="str">
        <f>IFERROR(IF($C638="","",SUMIFS(Ledger!$K$2:$K$4, Ledger!$B$2:$B$4, $A638, Ledger!$C$2:$C$4, S$2)),"****")</f>
        <v/>
      </c>
      <c r="T638" t="str">
        <f>IFERROR(IF($C638="","",SUMIFS(Ledger!$K$2:$K$4, Ledger!$B$2:$B$4, $A638, Ledger!$C$2:$C$4, T$2)),"****")</f>
        <v/>
      </c>
      <c r="U638" t="str">
        <f>IFERROR(IF($C638="","",SUMIFS(Ledger!$K$2:$K$4, Ledger!$B$2:$B$4, $A638, Ledger!$C$2:$C$4, U$2)),"****")</f>
        <v/>
      </c>
      <c r="V638" t="str">
        <f>IFERROR(IF($C638="","",SUMIFS(Ledger!$K$2:$K$4, Ledger!$B$2:$B$4, $A638, Ledger!$C$2:$C$4, V$2)),"****")</f>
        <v/>
      </c>
      <c r="W638" t="str">
        <f>IFERROR(IF($C638="","",SUMIFS(Ledger!$K$2:$K$4, Ledger!$B$2:$B$4, $A638, Ledger!$C$2:$C$4, W$2)),"****")</f>
        <v/>
      </c>
      <c r="X638" t="str">
        <f>IFERROR(IF($C638="","",SUMIFS(Ledger!$K$2:$K$4, Ledger!$B$2:$B$4, $A638, Ledger!$C$2:$C$4, X$2)),"****")</f>
        <v/>
      </c>
    </row>
    <row r="639" spans="1:24" x14ac:dyDescent="0.3">
      <c r="A639" s="106">
        <v>637</v>
      </c>
      <c r="B639" t="str">
        <f>IFERROR(VLOOKUP($A639, Ledger!$B$2:$L$8, 3, 0),"")</f>
        <v/>
      </c>
      <c r="C639" t="str">
        <f>IFERROR(VLOOKUP($A639, Ledger!$B$2:$L$8, 4, 0),"")</f>
        <v/>
      </c>
      <c r="D639" t="str">
        <f>IFERROR(VLOOKUP($A639, Ledger!$B$2:$L$8, 5, 0),"")</f>
        <v/>
      </c>
      <c r="E639" t="str">
        <f>IFERROR(VLOOKUP($A639, Ledger!$B$2:$L$8, 6, 0),"")</f>
        <v/>
      </c>
      <c r="F639" t="str">
        <f>IFERROR(VLOOKUP($A639,'Student Data'!$A$2:$AR$6,32,0),"")</f>
        <v/>
      </c>
      <c r="G639" t="str">
        <f>IFERROR(VLOOKUP($A639,'Student Data'!$A$2:$AR$6,33,0),"")</f>
        <v/>
      </c>
      <c r="H639" t="str">
        <f>IFERROR(VLOOKUP($A639,'Student Data'!$A$2:$AR$6,34,0),"")</f>
        <v/>
      </c>
      <c r="I639" t="str">
        <f>IFERROR(VLOOKUP($A639,'Student Data'!$A$2:$AR$6,35,0),"")</f>
        <v/>
      </c>
      <c r="J639" t="str">
        <f>IFERROR(VLOOKUP($A639,'Student Data'!$A$2:$AR$6,36,0),"")</f>
        <v/>
      </c>
      <c r="K639" t="str">
        <f t="shared" si="18"/>
        <v/>
      </c>
      <c r="L639" t="str">
        <f t="shared" si="19"/>
        <v/>
      </c>
      <c r="M639" t="str">
        <f>IFERROR(IF($C639="","",SUMIFS(Ledger!$K$2:$K$4, Ledger!$B$2:$B$4, $A639, Ledger!$C$2:$C$4, M$2)),"****")</f>
        <v/>
      </c>
      <c r="N639" t="str">
        <f>IFERROR(IF($C639="","",SUMIFS(Ledger!$K$2:$K$4, Ledger!$B$2:$B$4, $A639, Ledger!$C$2:$C$4, N$2)),"****")</f>
        <v/>
      </c>
      <c r="O639" t="str">
        <f>IFERROR(IF($C639="","",SUMIFS(Ledger!$K$2:$K$4, Ledger!$B$2:$B$4, $A639, Ledger!$C$2:$C$4, O$2)),"****")</f>
        <v/>
      </c>
      <c r="P639" t="str">
        <f>IFERROR(IF($C639="","",SUMIFS(Ledger!$K$2:$K$4, Ledger!$B$2:$B$4, $A639, Ledger!$C$2:$C$4, P$2)),"****")</f>
        <v/>
      </c>
      <c r="Q639" t="str">
        <f>IFERROR(IF($C639="","",SUMIFS(Ledger!$K$2:$K$4, Ledger!$B$2:$B$4, $A639, Ledger!$C$2:$C$4, Q$2)),"****")</f>
        <v/>
      </c>
      <c r="R639" t="str">
        <f>IFERROR(IF($C639="","",SUMIFS(Ledger!$K$2:$K$4, Ledger!$B$2:$B$4, $A639, Ledger!$C$2:$C$4, R$2)),"****")</f>
        <v/>
      </c>
      <c r="S639" t="str">
        <f>IFERROR(IF($C639="","",SUMIFS(Ledger!$K$2:$K$4, Ledger!$B$2:$B$4, $A639, Ledger!$C$2:$C$4, S$2)),"****")</f>
        <v/>
      </c>
      <c r="T639" t="str">
        <f>IFERROR(IF($C639="","",SUMIFS(Ledger!$K$2:$K$4, Ledger!$B$2:$B$4, $A639, Ledger!$C$2:$C$4, T$2)),"****")</f>
        <v/>
      </c>
      <c r="U639" t="str">
        <f>IFERROR(IF($C639="","",SUMIFS(Ledger!$K$2:$K$4, Ledger!$B$2:$B$4, $A639, Ledger!$C$2:$C$4, U$2)),"****")</f>
        <v/>
      </c>
      <c r="V639" t="str">
        <f>IFERROR(IF($C639="","",SUMIFS(Ledger!$K$2:$K$4, Ledger!$B$2:$B$4, $A639, Ledger!$C$2:$C$4, V$2)),"****")</f>
        <v/>
      </c>
      <c r="W639" t="str">
        <f>IFERROR(IF($C639="","",SUMIFS(Ledger!$K$2:$K$4, Ledger!$B$2:$B$4, $A639, Ledger!$C$2:$C$4, W$2)),"****")</f>
        <v/>
      </c>
      <c r="X639" t="str">
        <f>IFERROR(IF($C639="","",SUMIFS(Ledger!$K$2:$K$4, Ledger!$B$2:$B$4, $A639, Ledger!$C$2:$C$4, X$2)),"****")</f>
        <v/>
      </c>
    </row>
    <row r="640" spans="1:24" x14ac:dyDescent="0.3">
      <c r="A640" s="106">
        <v>638</v>
      </c>
      <c r="B640" t="str">
        <f>IFERROR(VLOOKUP($A640, Ledger!$B$2:$L$8, 3, 0),"")</f>
        <v/>
      </c>
      <c r="C640" t="str">
        <f>IFERROR(VLOOKUP($A640, Ledger!$B$2:$L$8, 4, 0),"")</f>
        <v/>
      </c>
      <c r="D640" t="str">
        <f>IFERROR(VLOOKUP($A640, Ledger!$B$2:$L$8, 5, 0),"")</f>
        <v/>
      </c>
      <c r="E640" t="str">
        <f>IFERROR(VLOOKUP($A640, Ledger!$B$2:$L$8, 6, 0),"")</f>
        <v/>
      </c>
      <c r="F640" t="str">
        <f>IFERROR(VLOOKUP($A640,'Student Data'!$A$2:$AR$6,32,0),"")</f>
        <v/>
      </c>
      <c r="G640" t="str">
        <f>IFERROR(VLOOKUP($A640,'Student Data'!$A$2:$AR$6,33,0),"")</f>
        <v/>
      </c>
      <c r="H640" t="str">
        <f>IFERROR(VLOOKUP($A640,'Student Data'!$A$2:$AR$6,34,0),"")</f>
        <v/>
      </c>
      <c r="I640" t="str">
        <f>IFERROR(VLOOKUP($A640,'Student Data'!$A$2:$AR$6,35,0),"")</f>
        <v/>
      </c>
      <c r="J640" t="str">
        <f>IFERROR(VLOOKUP($A640,'Student Data'!$A$2:$AR$6,36,0),"")</f>
        <v/>
      </c>
      <c r="K640" t="str">
        <f t="shared" si="18"/>
        <v/>
      </c>
      <c r="L640" t="str">
        <f t="shared" si="19"/>
        <v/>
      </c>
      <c r="M640" t="str">
        <f>IFERROR(IF($C640="","",SUMIFS(Ledger!$K$2:$K$4, Ledger!$B$2:$B$4, $A640, Ledger!$C$2:$C$4, M$2)),"****")</f>
        <v/>
      </c>
      <c r="N640" t="str">
        <f>IFERROR(IF($C640="","",SUMIFS(Ledger!$K$2:$K$4, Ledger!$B$2:$B$4, $A640, Ledger!$C$2:$C$4, N$2)),"****")</f>
        <v/>
      </c>
      <c r="O640" t="str">
        <f>IFERROR(IF($C640="","",SUMIFS(Ledger!$K$2:$K$4, Ledger!$B$2:$B$4, $A640, Ledger!$C$2:$C$4, O$2)),"****")</f>
        <v/>
      </c>
      <c r="P640" t="str">
        <f>IFERROR(IF($C640="","",SUMIFS(Ledger!$K$2:$K$4, Ledger!$B$2:$B$4, $A640, Ledger!$C$2:$C$4, P$2)),"****")</f>
        <v/>
      </c>
      <c r="Q640" t="str">
        <f>IFERROR(IF($C640="","",SUMIFS(Ledger!$K$2:$K$4, Ledger!$B$2:$B$4, $A640, Ledger!$C$2:$C$4, Q$2)),"****")</f>
        <v/>
      </c>
      <c r="R640" t="str">
        <f>IFERROR(IF($C640="","",SUMIFS(Ledger!$K$2:$K$4, Ledger!$B$2:$B$4, $A640, Ledger!$C$2:$C$4, R$2)),"****")</f>
        <v/>
      </c>
      <c r="S640" t="str">
        <f>IFERROR(IF($C640="","",SUMIFS(Ledger!$K$2:$K$4, Ledger!$B$2:$B$4, $A640, Ledger!$C$2:$C$4, S$2)),"****")</f>
        <v/>
      </c>
      <c r="T640" t="str">
        <f>IFERROR(IF($C640="","",SUMIFS(Ledger!$K$2:$K$4, Ledger!$B$2:$B$4, $A640, Ledger!$C$2:$C$4, T$2)),"****")</f>
        <v/>
      </c>
      <c r="U640" t="str">
        <f>IFERROR(IF($C640="","",SUMIFS(Ledger!$K$2:$K$4, Ledger!$B$2:$B$4, $A640, Ledger!$C$2:$C$4, U$2)),"****")</f>
        <v/>
      </c>
      <c r="V640" t="str">
        <f>IFERROR(IF($C640="","",SUMIFS(Ledger!$K$2:$K$4, Ledger!$B$2:$B$4, $A640, Ledger!$C$2:$C$4, V$2)),"****")</f>
        <v/>
      </c>
      <c r="W640" t="str">
        <f>IFERROR(IF($C640="","",SUMIFS(Ledger!$K$2:$K$4, Ledger!$B$2:$B$4, $A640, Ledger!$C$2:$C$4, W$2)),"****")</f>
        <v/>
      </c>
      <c r="X640" t="str">
        <f>IFERROR(IF($C640="","",SUMIFS(Ledger!$K$2:$K$4, Ledger!$B$2:$B$4, $A640, Ledger!$C$2:$C$4, X$2)),"****")</f>
        <v/>
      </c>
    </row>
    <row r="641" spans="1:24" x14ac:dyDescent="0.3">
      <c r="A641" s="106">
        <v>639</v>
      </c>
      <c r="B641" t="str">
        <f>IFERROR(VLOOKUP($A641, Ledger!$B$2:$L$8, 3, 0),"")</f>
        <v/>
      </c>
      <c r="C641" t="str">
        <f>IFERROR(VLOOKUP($A641, Ledger!$B$2:$L$8, 4, 0),"")</f>
        <v/>
      </c>
      <c r="D641" t="str">
        <f>IFERROR(VLOOKUP($A641, Ledger!$B$2:$L$8, 5, 0),"")</f>
        <v/>
      </c>
      <c r="E641" t="str">
        <f>IFERROR(VLOOKUP($A641, Ledger!$B$2:$L$8, 6, 0),"")</f>
        <v/>
      </c>
      <c r="F641" t="str">
        <f>IFERROR(VLOOKUP($A641,'Student Data'!$A$2:$AR$6,32,0),"")</f>
        <v/>
      </c>
      <c r="G641" t="str">
        <f>IFERROR(VLOOKUP($A641,'Student Data'!$A$2:$AR$6,33,0),"")</f>
        <v/>
      </c>
      <c r="H641" t="str">
        <f>IFERROR(VLOOKUP($A641,'Student Data'!$A$2:$AR$6,34,0),"")</f>
        <v/>
      </c>
      <c r="I641" t="str">
        <f>IFERROR(VLOOKUP($A641,'Student Data'!$A$2:$AR$6,35,0),"")</f>
        <v/>
      </c>
      <c r="J641" t="str">
        <f>IFERROR(VLOOKUP($A641,'Student Data'!$A$2:$AR$6,36,0),"")</f>
        <v/>
      </c>
      <c r="K641" t="str">
        <f t="shared" si="18"/>
        <v/>
      </c>
      <c r="L641" t="str">
        <f t="shared" si="19"/>
        <v/>
      </c>
      <c r="M641" t="str">
        <f>IFERROR(IF($C641="","",SUMIFS(Ledger!$K$2:$K$4, Ledger!$B$2:$B$4, $A641, Ledger!$C$2:$C$4, M$2)),"****")</f>
        <v/>
      </c>
      <c r="N641" t="str">
        <f>IFERROR(IF($C641="","",SUMIFS(Ledger!$K$2:$K$4, Ledger!$B$2:$B$4, $A641, Ledger!$C$2:$C$4, N$2)),"****")</f>
        <v/>
      </c>
      <c r="O641" t="str">
        <f>IFERROR(IF($C641="","",SUMIFS(Ledger!$K$2:$K$4, Ledger!$B$2:$B$4, $A641, Ledger!$C$2:$C$4, O$2)),"****")</f>
        <v/>
      </c>
      <c r="P641" t="str">
        <f>IFERROR(IF($C641="","",SUMIFS(Ledger!$K$2:$K$4, Ledger!$B$2:$B$4, $A641, Ledger!$C$2:$C$4, P$2)),"****")</f>
        <v/>
      </c>
      <c r="Q641" t="str">
        <f>IFERROR(IF($C641="","",SUMIFS(Ledger!$K$2:$K$4, Ledger!$B$2:$B$4, $A641, Ledger!$C$2:$C$4, Q$2)),"****")</f>
        <v/>
      </c>
      <c r="R641" t="str">
        <f>IFERROR(IF($C641="","",SUMIFS(Ledger!$K$2:$K$4, Ledger!$B$2:$B$4, $A641, Ledger!$C$2:$C$4, R$2)),"****")</f>
        <v/>
      </c>
      <c r="S641" t="str">
        <f>IFERROR(IF($C641="","",SUMIFS(Ledger!$K$2:$K$4, Ledger!$B$2:$B$4, $A641, Ledger!$C$2:$C$4, S$2)),"****")</f>
        <v/>
      </c>
      <c r="T641" t="str">
        <f>IFERROR(IF($C641="","",SUMIFS(Ledger!$K$2:$K$4, Ledger!$B$2:$B$4, $A641, Ledger!$C$2:$C$4, T$2)),"****")</f>
        <v/>
      </c>
      <c r="U641" t="str">
        <f>IFERROR(IF($C641="","",SUMIFS(Ledger!$K$2:$K$4, Ledger!$B$2:$B$4, $A641, Ledger!$C$2:$C$4, U$2)),"****")</f>
        <v/>
      </c>
      <c r="V641" t="str">
        <f>IFERROR(IF($C641="","",SUMIFS(Ledger!$K$2:$K$4, Ledger!$B$2:$B$4, $A641, Ledger!$C$2:$C$4, V$2)),"****")</f>
        <v/>
      </c>
      <c r="W641" t="str">
        <f>IFERROR(IF($C641="","",SUMIFS(Ledger!$K$2:$K$4, Ledger!$B$2:$B$4, $A641, Ledger!$C$2:$C$4, W$2)),"****")</f>
        <v/>
      </c>
      <c r="X641" t="str">
        <f>IFERROR(IF($C641="","",SUMIFS(Ledger!$K$2:$K$4, Ledger!$B$2:$B$4, $A641, Ledger!$C$2:$C$4, X$2)),"****")</f>
        <v/>
      </c>
    </row>
    <row r="642" spans="1:24" x14ac:dyDescent="0.3">
      <c r="A642" s="106">
        <v>640</v>
      </c>
      <c r="B642" t="str">
        <f>IFERROR(VLOOKUP($A642, Ledger!$B$2:$L$8, 3, 0),"")</f>
        <v/>
      </c>
      <c r="C642" t="str">
        <f>IFERROR(VLOOKUP($A642, Ledger!$B$2:$L$8, 4, 0),"")</f>
        <v/>
      </c>
      <c r="D642" t="str">
        <f>IFERROR(VLOOKUP($A642, Ledger!$B$2:$L$8, 5, 0),"")</f>
        <v/>
      </c>
      <c r="E642" t="str">
        <f>IFERROR(VLOOKUP($A642, Ledger!$B$2:$L$8, 6, 0),"")</f>
        <v/>
      </c>
      <c r="F642" t="str">
        <f>IFERROR(VLOOKUP($A642,'Student Data'!$A$2:$AR$6,32,0),"")</f>
        <v/>
      </c>
      <c r="G642" t="str">
        <f>IFERROR(VLOOKUP($A642,'Student Data'!$A$2:$AR$6,33,0),"")</f>
        <v/>
      </c>
      <c r="H642" t="str">
        <f>IFERROR(VLOOKUP($A642,'Student Data'!$A$2:$AR$6,34,0),"")</f>
        <v/>
      </c>
      <c r="I642" t="str">
        <f>IFERROR(VLOOKUP($A642,'Student Data'!$A$2:$AR$6,35,0),"")</f>
        <v/>
      </c>
      <c r="J642" t="str">
        <f>IFERROR(VLOOKUP($A642,'Student Data'!$A$2:$AR$6,36,0),"")</f>
        <v/>
      </c>
      <c r="K642" t="str">
        <f t="shared" si="18"/>
        <v/>
      </c>
      <c r="L642" t="str">
        <f t="shared" si="19"/>
        <v/>
      </c>
      <c r="M642" t="str">
        <f>IFERROR(IF($C642="","",SUMIFS(Ledger!$K$2:$K$4, Ledger!$B$2:$B$4, $A642, Ledger!$C$2:$C$4, M$2)),"****")</f>
        <v/>
      </c>
      <c r="N642" t="str">
        <f>IFERROR(IF($C642="","",SUMIFS(Ledger!$K$2:$K$4, Ledger!$B$2:$B$4, $A642, Ledger!$C$2:$C$4, N$2)),"****")</f>
        <v/>
      </c>
      <c r="O642" t="str">
        <f>IFERROR(IF($C642="","",SUMIFS(Ledger!$K$2:$K$4, Ledger!$B$2:$B$4, $A642, Ledger!$C$2:$C$4, O$2)),"****")</f>
        <v/>
      </c>
      <c r="P642" t="str">
        <f>IFERROR(IF($C642="","",SUMIFS(Ledger!$K$2:$K$4, Ledger!$B$2:$B$4, $A642, Ledger!$C$2:$C$4, P$2)),"****")</f>
        <v/>
      </c>
      <c r="Q642" t="str">
        <f>IFERROR(IF($C642="","",SUMIFS(Ledger!$K$2:$K$4, Ledger!$B$2:$B$4, $A642, Ledger!$C$2:$C$4, Q$2)),"****")</f>
        <v/>
      </c>
      <c r="R642" t="str">
        <f>IFERROR(IF($C642="","",SUMIFS(Ledger!$K$2:$K$4, Ledger!$B$2:$B$4, $A642, Ledger!$C$2:$C$4, R$2)),"****")</f>
        <v/>
      </c>
      <c r="S642" t="str">
        <f>IFERROR(IF($C642="","",SUMIFS(Ledger!$K$2:$K$4, Ledger!$B$2:$B$4, $A642, Ledger!$C$2:$C$4, S$2)),"****")</f>
        <v/>
      </c>
      <c r="T642" t="str">
        <f>IFERROR(IF($C642="","",SUMIFS(Ledger!$K$2:$K$4, Ledger!$B$2:$B$4, $A642, Ledger!$C$2:$C$4, T$2)),"****")</f>
        <v/>
      </c>
      <c r="U642" t="str">
        <f>IFERROR(IF($C642="","",SUMIFS(Ledger!$K$2:$K$4, Ledger!$B$2:$B$4, $A642, Ledger!$C$2:$C$4, U$2)),"****")</f>
        <v/>
      </c>
      <c r="V642" t="str">
        <f>IFERROR(IF($C642="","",SUMIFS(Ledger!$K$2:$K$4, Ledger!$B$2:$B$4, $A642, Ledger!$C$2:$C$4, V$2)),"****")</f>
        <v/>
      </c>
      <c r="W642" t="str">
        <f>IFERROR(IF($C642="","",SUMIFS(Ledger!$K$2:$K$4, Ledger!$B$2:$B$4, $A642, Ledger!$C$2:$C$4, W$2)),"****")</f>
        <v/>
      </c>
      <c r="X642" t="str">
        <f>IFERROR(IF($C642="","",SUMIFS(Ledger!$K$2:$K$4, Ledger!$B$2:$B$4, $A642, Ledger!$C$2:$C$4, X$2)),"****")</f>
        <v/>
      </c>
    </row>
    <row r="643" spans="1:24" x14ac:dyDescent="0.3">
      <c r="A643" s="106">
        <v>641</v>
      </c>
      <c r="B643" t="str">
        <f>IFERROR(VLOOKUP($A643, Ledger!$B$2:$L$8, 3, 0),"")</f>
        <v/>
      </c>
      <c r="C643" t="str">
        <f>IFERROR(VLOOKUP($A643, Ledger!$B$2:$L$8, 4, 0),"")</f>
        <v/>
      </c>
      <c r="D643" t="str">
        <f>IFERROR(VLOOKUP($A643, Ledger!$B$2:$L$8, 5, 0),"")</f>
        <v/>
      </c>
      <c r="E643" t="str">
        <f>IFERROR(VLOOKUP($A643, Ledger!$B$2:$L$8, 6, 0),"")</f>
        <v/>
      </c>
      <c r="F643" t="str">
        <f>IFERROR(VLOOKUP($A643,'Student Data'!$A$2:$AR$6,32,0),"")</f>
        <v/>
      </c>
      <c r="G643" t="str">
        <f>IFERROR(VLOOKUP($A643,'Student Data'!$A$2:$AR$6,33,0),"")</f>
        <v/>
      </c>
      <c r="H643" t="str">
        <f>IFERROR(VLOOKUP($A643,'Student Data'!$A$2:$AR$6,34,0),"")</f>
        <v/>
      </c>
      <c r="I643" t="str">
        <f>IFERROR(VLOOKUP($A643,'Student Data'!$A$2:$AR$6,35,0),"")</f>
        <v/>
      </c>
      <c r="J643" t="str">
        <f>IFERROR(VLOOKUP($A643,'Student Data'!$A$2:$AR$6,36,0),"")</f>
        <v/>
      </c>
      <c r="K643" t="str">
        <f t="shared" si="18"/>
        <v/>
      </c>
      <c r="L643" t="str">
        <f t="shared" si="19"/>
        <v/>
      </c>
      <c r="M643" t="str">
        <f>IFERROR(IF($C643="","",SUMIFS(Ledger!$K$2:$K$4, Ledger!$B$2:$B$4, $A643, Ledger!$C$2:$C$4, M$2)),"****")</f>
        <v/>
      </c>
      <c r="N643" t="str">
        <f>IFERROR(IF($C643="","",SUMIFS(Ledger!$K$2:$K$4, Ledger!$B$2:$B$4, $A643, Ledger!$C$2:$C$4, N$2)),"****")</f>
        <v/>
      </c>
      <c r="O643" t="str">
        <f>IFERROR(IF($C643="","",SUMIFS(Ledger!$K$2:$K$4, Ledger!$B$2:$B$4, $A643, Ledger!$C$2:$C$4, O$2)),"****")</f>
        <v/>
      </c>
      <c r="P643" t="str">
        <f>IFERROR(IF($C643="","",SUMIFS(Ledger!$K$2:$K$4, Ledger!$B$2:$B$4, $A643, Ledger!$C$2:$C$4, P$2)),"****")</f>
        <v/>
      </c>
      <c r="Q643" t="str">
        <f>IFERROR(IF($C643="","",SUMIFS(Ledger!$K$2:$K$4, Ledger!$B$2:$B$4, $A643, Ledger!$C$2:$C$4, Q$2)),"****")</f>
        <v/>
      </c>
      <c r="R643" t="str">
        <f>IFERROR(IF($C643="","",SUMIFS(Ledger!$K$2:$K$4, Ledger!$B$2:$B$4, $A643, Ledger!$C$2:$C$4, R$2)),"****")</f>
        <v/>
      </c>
      <c r="S643" t="str">
        <f>IFERROR(IF($C643="","",SUMIFS(Ledger!$K$2:$K$4, Ledger!$B$2:$B$4, $A643, Ledger!$C$2:$C$4, S$2)),"****")</f>
        <v/>
      </c>
      <c r="T643" t="str">
        <f>IFERROR(IF($C643="","",SUMIFS(Ledger!$K$2:$K$4, Ledger!$B$2:$B$4, $A643, Ledger!$C$2:$C$4, T$2)),"****")</f>
        <v/>
      </c>
      <c r="U643" t="str">
        <f>IFERROR(IF($C643="","",SUMIFS(Ledger!$K$2:$K$4, Ledger!$B$2:$B$4, $A643, Ledger!$C$2:$C$4, U$2)),"****")</f>
        <v/>
      </c>
      <c r="V643" t="str">
        <f>IFERROR(IF($C643="","",SUMIFS(Ledger!$K$2:$K$4, Ledger!$B$2:$B$4, $A643, Ledger!$C$2:$C$4, V$2)),"****")</f>
        <v/>
      </c>
      <c r="W643" t="str">
        <f>IFERROR(IF($C643="","",SUMIFS(Ledger!$K$2:$K$4, Ledger!$B$2:$B$4, $A643, Ledger!$C$2:$C$4, W$2)),"****")</f>
        <v/>
      </c>
      <c r="X643" t="str">
        <f>IFERROR(IF($C643="","",SUMIFS(Ledger!$K$2:$K$4, Ledger!$B$2:$B$4, $A643, Ledger!$C$2:$C$4, X$2)),"****")</f>
        <v/>
      </c>
    </row>
    <row r="644" spans="1:24" x14ac:dyDescent="0.3">
      <c r="A644" s="106">
        <v>642</v>
      </c>
      <c r="B644" t="str">
        <f>IFERROR(VLOOKUP($A644, Ledger!$B$2:$L$8, 3, 0),"")</f>
        <v/>
      </c>
      <c r="C644" t="str">
        <f>IFERROR(VLOOKUP($A644, Ledger!$B$2:$L$8, 4, 0),"")</f>
        <v/>
      </c>
      <c r="D644" t="str">
        <f>IFERROR(VLOOKUP($A644, Ledger!$B$2:$L$8, 5, 0),"")</f>
        <v/>
      </c>
      <c r="E644" t="str">
        <f>IFERROR(VLOOKUP($A644, Ledger!$B$2:$L$8, 6, 0),"")</f>
        <v/>
      </c>
      <c r="F644" t="str">
        <f>IFERROR(VLOOKUP($A644,'Student Data'!$A$2:$AR$6,32,0),"")</f>
        <v/>
      </c>
      <c r="G644" t="str">
        <f>IFERROR(VLOOKUP($A644,'Student Data'!$A$2:$AR$6,33,0),"")</f>
        <v/>
      </c>
      <c r="H644" t="str">
        <f>IFERROR(VLOOKUP($A644,'Student Data'!$A$2:$AR$6,34,0),"")</f>
        <v/>
      </c>
      <c r="I644" t="str">
        <f>IFERROR(VLOOKUP($A644,'Student Data'!$A$2:$AR$6,35,0),"")</f>
        <v/>
      </c>
      <c r="J644" t="str">
        <f>IFERROR(VLOOKUP($A644,'Student Data'!$A$2:$AR$6,36,0),"")</f>
        <v/>
      </c>
      <c r="K644" t="str">
        <f t="shared" ref="K644:K707" si="20">IFERROR(IF(C644="","",SUM(M644:X644)),"0")</f>
        <v/>
      </c>
      <c r="L644" t="str">
        <f t="shared" ref="L644:L707" si="21">IFERROR(IF(C644="","",J644-K644),"0")</f>
        <v/>
      </c>
      <c r="M644" t="str">
        <f>IFERROR(IF($C644="","",SUMIFS(Ledger!$K$2:$K$4, Ledger!$B$2:$B$4, $A644, Ledger!$C$2:$C$4, M$2)),"****")</f>
        <v/>
      </c>
      <c r="N644" t="str">
        <f>IFERROR(IF($C644="","",SUMIFS(Ledger!$K$2:$K$4, Ledger!$B$2:$B$4, $A644, Ledger!$C$2:$C$4, N$2)),"****")</f>
        <v/>
      </c>
      <c r="O644" t="str">
        <f>IFERROR(IF($C644="","",SUMIFS(Ledger!$K$2:$K$4, Ledger!$B$2:$B$4, $A644, Ledger!$C$2:$C$4, O$2)),"****")</f>
        <v/>
      </c>
      <c r="P644" t="str">
        <f>IFERROR(IF($C644="","",SUMIFS(Ledger!$K$2:$K$4, Ledger!$B$2:$B$4, $A644, Ledger!$C$2:$C$4, P$2)),"****")</f>
        <v/>
      </c>
      <c r="Q644" t="str">
        <f>IFERROR(IF($C644="","",SUMIFS(Ledger!$K$2:$K$4, Ledger!$B$2:$B$4, $A644, Ledger!$C$2:$C$4, Q$2)),"****")</f>
        <v/>
      </c>
      <c r="R644" t="str">
        <f>IFERROR(IF($C644="","",SUMIFS(Ledger!$K$2:$K$4, Ledger!$B$2:$B$4, $A644, Ledger!$C$2:$C$4, R$2)),"****")</f>
        <v/>
      </c>
      <c r="S644" t="str">
        <f>IFERROR(IF($C644="","",SUMIFS(Ledger!$K$2:$K$4, Ledger!$B$2:$B$4, $A644, Ledger!$C$2:$C$4, S$2)),"****")</f>
        <v/>
      </c>
      <c r="T644" t="str">
        <f>IFERROR(IF($C644="","",SUMIFS(Ledger!$K$2:$K$4, Ledger!$B$2:$B$4, $A644, Ledger!$C$2:$C$4, T$2)),"****")</f>
        <v/>
      </c>
      <c r="U644" t="str">
        <f>IFERROR(IF($C644="","",SUMIFS(Ledger!$K$2:$K$4, Ledger!$B$2:$B$4, $A644, Ledger!$C$2:$C$4, U$2)),"****")</f>
        <v/>
      </c>
      <c r="V644" t="str">
        <f>IFERROR(IF($C644="","",SUMIFS(Ledger!$K$2:$K$4, Ledger!$B$2:$B$4, $A644, Ledger!$C$2:$C$4, V$2)),"****")</f>
        <v/>
      </c>
      <c r="W644" t="str">
        <f>IFERROR(IF($C644="","",SUMIFS(Ledger!$K$2:$K$4, Ledger!$B$2:$B$4, $A644, Ledger!$C$2:$C$4, W$2)),"****")</f>
        <v/>
      </c>
      <c r="X644" t="str">
        <f>IFERROR(IF($C644="","",SUMIFS(Ledger!$K$2:$K$4, Ledger!$B$2:$B$4, $A644, Ledger!$C$2:$C$4, X$2)),"****")</f>
        <v/>
      </c>
    </row>
    <row r="645" spans="1:24" x14ac:dyDescent="0.3">
      <c r="A645" s="106">
        <v>643</v>
      </c>
      <c r="B645" t="str">
        <f>IFERROR(VLOOKUP($A645, Ledger!$B$2:$L$8, 3, 0),"")</f>
        <v/>
      </c>
      <c r="C645" t="str">
        <f>IFERROR(VLOOKUP($A645, Ledger!$B$2:$L$8, 4, 0),"")</f>
        <v/>
      </c>
      <c r="D645" t="str">
        <f>IFERROR(VLOOKUP($A645, Ledger!$B$2:$L$8, 5, 0),"")</f>
        <v/>
      </c>
      <c r="E645" t="str">
        <f>IFERROR(VLOOKUP($A645, Ledger!$B$2:$L$8, 6, 0),"")</f>
        <v/>
      </c>
      <c r="F645" t="str">
        <f>IFERROR(VLOOKUP($A645,'Student Data'!$A$2:$AR$6,32,0),"")</f>
        <v/>
      </c>
      <c r="G645" t="str">
        <f>IFERROR(VLOOKUP($A645,'Student Data'!$A$2:$AR$6,33,0),"")</f>
        <v/>
      </c>
      <c r="H645" t="str">
        <f>IFERROR(VLOOKUP($A645,'Student Data'!$A$2:$AR$6,34,0),"")</f>
        <v/>
      </c>
      <c r="I645" t="str">
        <f>IFERROR(VLOOKUP($A645,'Student Data'!$A$2:$AR$6,35,0),"")</f>
        <v/>
      </c>
      <c r="J645" t="str">
        <f>IFERROR(VLOOKUP($A645,'Student Data'!$A$2:$AR$6,36,0),"")</f>
        <v/>
      </c>
      <c r="K645" t="str">
        <f t="shared" si="20"/>
        <v/>
      </c>
      <c r="L645" t="str">
        <f t="shared" si="21"/>
        <v/>
      </c>
      <c r="M645" t="str">
        <f>IFERROR(IF($C645="","",SUMIFS(Ledger!$K$2:$K$4, Ledger!$B$2:$B$4, $A645, Ledger!$C$2:$C$4, M$2)),"****")</f>
        <v/>
      </c>
      <c r="N645" t="str">
        <f>IFERROR(IF($C645="","",SUMIFS(Ledger!$K$2:$K$4, Ledger!$B$2:$B$4, $A645, Ledger!$C$2:$C$4, N$2)),"****")</f>
        <v/>
      </c>
      <c r="O645" t="str">
        <f>IFERROR(IF($C645="","",SUMIFS(Ledger!$K$2:$K$4, Ledger!$B$2:$B$4, $A645, Ledger!$C$2:$C$4, O$2)),"****")</f>
        <v/>
      </c>
      <c r="P645" t="str">
        <f>IFERROR(IF($C645="","",SUMIFS(Ledger!$K$2:$K$4, Ledger!$B$2:$B$4, $A645, Ledger!$C$2:$C$4, P$2)),"****")</f>
        <v/>
      </c>
      <c r="Q645" t="str">
        <f>IFERROR(IF($C645="","",SUMIFS(Ledger!$K$2:$K$4, Ledger!$B$2:$B$4, $A645, Ledger!$C$2:$C$4, Q$2)),"****")</f>
        <v/>
      </c>
      <c r="R645" t="str">
        <f>IFERROR(IF($C645="","",SUMIFS(Ledger!$K$2:$K$4, Ledger!$B$2:$B$4, $A645, Ledger!$C$2:$C$4, R$2)),"****")</f>
        <v/>
      </c>
      <c r="S645" t="str">
        <f>IFERROR(IF($C645="","",SUMIFS(Ledger!$K$2:$K$4, Ledger!$B$2:$B$4, $A645, Ledger!$C$2:$C$4, S$2)),"****")</f>
        <v/>
      </c>
      <c r="T645" t="str">
        <f>IFERROR(IF($C645="","",SUMIFS(Ledger!$K$2:$K$4, Ledger!$B$2:$B$4, $A645, Ledger!$C$2:$C$4, T$2)),"****")</f>
        <v/>
      </c>
      <c r="U645" t="str">
        <f>IFERROR(IF($C645="","",SUMIFS(Ledger!$K$2:$K$4, Ledger!$B$2:$B$4, $A645, Ledger!$C$2:$C$4, U$2)),"****")</f>
        <v/>
      </c>
      <c r="V645" t="str">
        <f>IFERROR(IF($C645="","",SUMIFS(Ledger!$K$2:$K$4, Ledger!$B$2:$B$4, $A645, Ledger!$C$2:$C$4, V$2)),"****")</f>
        <v/>
      </c>
      <c r="W645" t="str">
        <f>IFERROR(IF($C645="","",SUMIFS(Ledger!$K$2:$K$4, Ledger!$B$2:$B$4, $A645, Ledger!$C$2:$C$4, W$2)),"****")</f>
        <v/>
      </c>
      <c r="X645" t="str">
        <f>IFERROR(IF($C645="","",SUMIFS(Ledger!$K$2:$K$4, Ledger!$B$2:$B$4, $A645, Ledger!$C$2:$C$4, X$2)),"****")</f>
        <v/>
      </c>
    </row>
    <row r="646" spans="1:24" x14ac:dyDescent="0.3">
      <c r="A646" s="106">
        <v>644</v>
      </c>
      <c r="B646" t="str">
        <f>IFERROR(VLOOKUP($A646, Ledger!$B$2:$L$8, 3, 0),"")</f>
        <v/>
      </c>
      <c r="C646" t="str">
        <f>IFERROR(VLOOKUP($A646, Ledger!$B$2:$L$8, 4, 0),"")</f>
        <v/>
      </c>
      <c r="D646" t="str">
        <f>IFERROR(VLOOKUP($A646, Ledger!$B$2:$L$8, 5, 0),"")</f>
        <v/>
      </c>
      <c r="E646" t="str">
        <f>IFERROR(VLOOKUP($A646, Ledger!$B$2:$L$8, 6, 0),"")</f>
        <v/>
      </c>
      <c r="F646" t="str">
        <f>IFERROR(VLOOKUP($A646,'Student Data'!$A$2:$AR$6,32,0),"")</f>
        <v/>
      </c>
      <c r="G646" t="str">
        <f>IFERROR(VLOOKUP($A646,'Student Data'!$A$2:$AR$6,33,0),"")</f>
        <v/>
      </c>
      <c r="H646" t="str">
        <f>IFERROR(VLOOKUP($A646,'Student Data'!$A$2:$AR$6,34,0),"")</f>
        <v/>
      </c>
      <c r="I646" t="str">
        <f>IFERROR(VLOOKUP($A646,'Student Data'!$A$2:$AR$6,35,0),"")</f>
        <v/>
      </c>
      <c r="J646" t="str">
        <f>IFERROR(VLOOKUP($A646,'Student Data'!$A$2:$AR$6,36,0),"")</f>
        <v/>
      </c>
      <c r="K646" t="str">
        <f t="shared" si="20"/>
        <v/>
      </c>
      <c r="L646" t="str">
        <f t="shared" si="21"/>
        <v/>
      </c>
      <c r="M646" t="str">
        <f>IFERROR(IF($C646="","",SUMIFS(Ledger!$K$2:$K$4, Ledger!$B$2:$B$4, $A646, Ledger!$C$2:$C$4, M$2)),"****")</f>
        <v/>
      </c>
      <c r="N646" t="str">
        <f>IFERROR(IF($C646="","",SUMIFS(Ledger!$K$2:$K$4, Ledger!$B$2:$B$4, $A646, Ledger!$C$2:$C$4, N$2)),"****")</f>
        <v/>
      </c>
      <c r="O646" t="str">
        <f>IFERROR(IF($C646="","",SUMIFS(Ledger!$K$2:$K$4, Ledger!$B$2:$B$4, $A646, Ledger!$C$2:$C$4, O$2)),"****")</f>
        <v/>
      </c>
      <c r="P646" t="str">
        <f>IFERROR(IF($C646="","",SUMIFS(Ledger!$K$2:$K$4, Ledger!$B$2:$B$4, $A646, Ledger!$C$2:$C$4, P$2)),"****")</f>
        <v/>
      </c>
      <c r="Q646" t="str">
        <f>IFERROR(IF($C646="","",SUMIFS(Ledger!$K$2:$K$4, Ledger!$B$2:$B$4, $A646, Ledger!$C$2:$C$4, Q$2)),"****")</f>
        <v/>
      </c>
      <c r="R646" t="str">
        <f>IFERROR(IF($C646="","",SUMIFS(Ledger!$K$2:$K$4, Ledger!$B$2:$B$4, $A646, Ledger!$C$2:$C$4, R$2)),"****")</f>
        <v/>
      </c>
      <c r="S646" t="str">
        <f>IFERROR(IF($C646="","",SUMIFS(Ledger!$K$2:$K$4, Ledger!$B$2:$B$4, $A646, Ledger!$C$2:$C$4, S$2)),"****")</f>
        <v/>
      </c>
      <c r="T646" t="str">
        <f>IFERROR(IF($C646="","",SUMIFS(Ledger!$K$2:$K$4, Ledger!$B$2:$B$4, $A646, Ledger!$C$2:$C$4, T$2)),"****")</f>
        <v/>
      </c>
      <c r="U646" t="str">
        <f>IFERROR(IF($C646="","",SUMIFS(Ledger!$K$2:$K$4, Ledger!$B$2:$B$4, $A646, Ledger!$C$2:$C$4, U$2)),"****")</f>
        <v/>
      </c>
      <c r="V646" t="str">
        <f>IFERROR(IF($C646="","",SUMIFS(Ledger!$K$2:$K$4, Ledger!$B$2:$B$4, $A646, Ledger!$C$2:$C$4, V$2)),"****")</f>
        <v/>
      </c>
      <c r="W646" t="str">
        <f>IFERROR(IF($C646="","",SUMIFS(Ledger!$K$2:$K$4, Ledger!$B$2:$B$4, $A646, Ledger!$C$2:$C$4, W$2)),"****")</f>
        <v/>
      </c>
      <c r="X646" t="str">
        <f>IFERROR(IF($C646="","",SUMIFS(Ledger!$K$2:$K$4, Ledger!$B$2:$B$4, $A646, Ledger!$C$2:$C$4, X$2)),"****")</f>
        <v/>
      </c>
    </row>
    <row r="647" spans="1:24" x14ac:dyDescent="0.3">
      <c r="A647" s="106">
        <v>645</v>
      </c>
      <c r="B647" t="str">
        <f>IFERROR(VLOOKUP($A647, Ledger!$B$2:$L$8, 3, 0),"")</f>
        <v/>
      </c>
      <c r="C647" t="str">
        <f>IFERROR(VLOOKUP($A647, Ledger!$B$2:$L$8, 4, 0),"")</f>
        <v/>
      </c>
      <c r="D647" t="str">
        <f>IFERROR(VLOOKUP($A647, Ledger!$B$2:$L$8, 5, 0),"")</f>
        <v/>
      </c>
      <c r="E647" t="str">
        <f>IFERROR(VLOOKUP($A647, Ledger!$B$2:$L$8, 6, 0),"")</f>
        <v/>
      </c>
      <c r="F647" t="str">
        <f>IFERROR(VLOOKUP($A647,'Student Data'!$A$2:$AR$6,32,0),"")</f>
        <v/>
      </c>
      <c r="G647" t="str">
        <f>IFERROR(VLOOKUP($A647,'Student Data'!$A$2:$AR$6,33,0),"")</f>
        <v/>
      </c>
      <c r="H647" t="str">
        <f>IFERROR(VLOOKUP($A647,'Student Data'!$A$2:$AR$6,34,0),"")</f>
        <v/>
      </c>
      <c r="I647" t="str">
        <f>IFERROR(VLOOKUP($A647,'Student Data'!$A$2:$AR$6,35,0),"")</f>
        <v/>
      </c>
      <c r="J647" t="str">
        <f>IFERROR(VLOOKUP($A647,'Student Data'!$A$2:$AR$6,36,0),"")</f>
        <v/>
      </c>
      <c r="K647" t="str">
        <f t="shared" si="20"/>
        <v/>
      </c>
      <c r="L647" t="str">
        <f t="shared" si="21"/>
        <v/>
      </c>
      <c r="M647" t="str">
        <f>IFERROR(IF($C647="","",SUMIFS(Ledger!$K$2:$K$4, Ledger!$B$2:$B$4, $A647, Ledger!$C$2:$C$4, M$2)),"****")</f>
        <v/>
      </c>
      <c r="N647" t="str">
        <f>IFERROR(IF($C647="","",SUMIFS(Ledger!$K$2:$K$4, Ledger!$B$2:$B$4, $A647, Ledger!$C$2:$C$4, N$2)),"****")</f>
        <v/>
      </c>
      <c r="O647" t="str">
        <f>IFERROR(IF($C647="","",SUMIFS(Ledger!$K$2:$K$4, Ledger!$B$2:$B$4, $A647, Ledger!$C$2:$C$4, O$2)),"****")</f>
        <v/>
      </c>
      <c r="P647" t="str">
        <f>IFERROR(IF($C647="","",SUMIFS(Ledger!$K$2:$K$4, Ledger!$B$2:$B$4, $A647, Ledger!$C$2:$C$4, P$2)),"****")</f>
        <v/>
      </c>
      <c r="Q647" t="str">
        <f>IFERROR(IF($C647="","",SUMIFS(Ledger!$K$2:$K$4, Ledger!$B$2:$B$4, $A647, Ledger!$C$2:$C$4, Q$2)),"****")</f>
        <v/>
      </c>
      <c r="R647" t="str">
        <f>IFERROR(IF($C647="","",SUMIFS(Ledger!$K$2:$K$4, Ledger!$B$2:$B$4, $A647, Ledger!$C$2:$C$4, R$2)),"****")</f>
        <v/>
      </c>
      <c r="S647" t="str">
        <f>IFERROR(IF($C647="","",SUMIFS(Ledger!$K$2:$K$4, Ledger!$B$2:$B$4, $A647, Ledger!$C$2:$C$4, S$2)),"****")</f>
        <v/>
      </c>
      <c r="T647" t="str">
        <f>IFERROR(IF($C647="","",SUMIFS(Ledger!$K$2:$K$4, Ledger!$B$2:$B$4, $A647, Ledger!$C$2:$C$4, T$2)),"****")</f>
        <v/>
      </c>
      <c r="U647" t="str">
        <f>IFERROR(IF($C647="","",SUMIFS(Ledger!$K$2:$K$4, Ledger!$B$2:$B$4, $A647, Ledger!$C$2:$C$4, U$2)),"****")</f>
        <v/>
      </c>
      <c r="V647" t="str">
        <f>IFERROR(IF($C647="","",SUMIFS(Ledger!$K$2:$K$4, Ledger!$B$2:$B$4, $A647, Ledger!$C$2:$C$4, V$2)),"****")</f>
        <v/>
      </c>
      <c r="W647" t="str">
        <f>IFERROR(IF($C647="","",SUMIFS(Ledger!$K$2:$K$4, Ledger!$B$2:$B$4, $A647, Ledger!$C$2:$C$4, W$2)),"****")</f>
        <v/>
      </c>
      <c r="X647" t="str">
        <f>IFERROR(IF($C647="","",SUMIFS(Ledger!$K$2:$K$4, Ledger!$B$2:$B$4, $A647, Ledger!$C$2:$C$4, X$2)),"****")</f>
        <v/>
      </c>
    </row>
    <row r="648" spans="1:24" x14ac:dyDescent="0.3">
      <c r="A648" s="106">
        <v>646</v>
      </c>
      <c r="B648" t="str">
        <f>IFERROR(VLOOKUP($A648, Ledger!$B$2:$L$8, 3, 0),"")</f>
        <v/>
      </c>
      <c r="C648" t="str">
        <f>IFERROR(VLOOKUP($A648, Ledger!$B$2:$L$8, 4, 0),"")</f>
        <v/>
      </c>
      <c r="D648" t="str">
        <f>IFERROR(VLOOKUP($A648, Ledger!$B$2:$L$8, 5, 0),"")</f>
        <v/>
      </c>
      <c r="E648" t="str">
        <f>IFERROR(VLOOKUP($A648, Ledger!$B$2:$L$8, 6, 0),"")</f>
        <v/>
      </c>
      <c r="F648" t="str">
        <f>IFERROR(VLOOKUP($A648,'Student Data'!$A$2:$AR$6,32,0),"")</f>
        <v/>
      </c>
      <c r="G648" t="str">
        <f>IFERROR(VLOOKUP($A648,'Student Data'!$A$2:$AR$6,33,0),"")</f>
        <v/>
      </c>
      <c r="H648" t="str">
        <f>IFERROR(VLOOKUP($A648,'Student Data'!$A$2:$AR$6,34,0),"")</f>
        <v/>
      </c>
      <c r="I648" t="str">
        <f>IFERROR(VLOOKUP($A648,'Student Data'!$A$2:$AR$6,35,0),"")</f>
        <v/>
      </c>
      <c r="J648" t="str">
        <f>IFERROR(VLOOKUP($A648,'Student Data'!$A$2:$AR$6,36,0),"")</f>
        <v/>
      </c>
      <c r="K648" t="str">
        <f t="shared" si="20"/>
        <v/>
      </c>
      <c r="L648" t="str">
        <f t="shared" si="21"/>
        <v/>
      </c>
      <c r="M648" t="str">
        <f>IFERROR(IF($C648="","",SUMIFS(Ledger!$K$2:$K$4, Ledger!$B$2:$B$4, $A648, Ledger!$C$2:$C$4, M$2)),"****")</f>
        <v/>
      </c>
      <c r="N648" t="str">
        <f>IFERROR(IF($C648="","",SUMIFS(Ledger!$K$2:$K$4, Ledger!$B$2:$B$4, $A648, Ledger!$C$2:$C$4, N$2)),"****")</f>
        <v/>
      </c>
      <c r="O648" t="str">
        <f>IFERROR(IF($C648="","",SUMIFS(Ledger!$K$2:$K$4, Ledger!$B$2:$B$4, $A648, Ledger!$C$2:$C$4, O$2)),"****")</f>
        <v/>
      </c>
      <c r="P648" t="str">
        <f>IFERROR(IF($C648="","",SUMIFS(Ledger!$K$2:$K$4, Ledger!$B$2:$B$4, $A648, Ledger!$C$2:$C$4, P$2)),"****")</f>
        <v/>
      </c>
      <c r="Q648" t="str">
        <f>IFERROR(IF($C648="","",SUMIFS(Ledger!$K$2:$K$4, Ledger!$B$2:$B$4, $A648, Ledger!$C$2:$C$4, Q$2)),"****")</f>
        <v/>
      </c>
      <c r="R648" t="str">
        <f>IFERROR(IF($C648="","",SUMIFS(Ledger!$K$2:$K$4, Ledger!$B$2:$B$4, $A648, Ledger!$C$2:$C$4, R$2)),"****")</f>
        <v/>
      </c>
      <c r="S648" t="str">
        <f>IFERROR(IF($C648="","",SUMIFS(Ledger!$K$2:$K$4, Ledger!$B$2:$B$4, $A648, Ledger!$C$2:$C$4, S$2)),"****")</f>
        <v/>
      </c>
      <c r="T648" t="str">
        <f>IFERROR(IF($C648="","",SUMIFS(Ledger!$K$2:$K$4, Ledger!$B$2:$B$4, $A648, Ledger!$C$2:$C$4, T$2)),"****")</f>
        <v/>
      </c>
      <c r="U648" t="str">
        <f>IFERROR(IF($C648="","",SUMIFS(Ledger!$K$2:$K$4, Ledger!$B$2:$B$4, $A648, Ledger!$C$2:$C$4, U$2)),"****")</f>
        <v/>
      </c>
      <c r="V648" t="str">
        <f>IFERROR(IF($C648="","",SUMIFS(Ledger!$K$2:$K$4, Ledger!$B$2:$B$4, $A648, Ledger!$C$2:$C$4, V$2)),"****")</f>
        <v/>
      </c>
      <c r="W648" t="str">
        <f>IFERROR(IF($C648="","",SUMIFS(Ledger!$K$2:$K$4, Ledger!$B$2:$B$4, $A648, Ledger!$C$2:$C$4, W$2)),"****")</f>
        <v/>
      </c>
      <c r="X648" t="str">
        <f>IFERROR(IF($C648="","",SUMIFS(Ledger!$K$2:$K$4, Ledger!$B$2:$B$4, $A648, Ledger!$C$2:$C$4, X$2)),"****")</f>
        <v/>
      </c>
    </row>
    <row r="649" spans="1:24" x14ac:dyDescent="0.3">
      <c r="A649" s="106">
        <v>647</v>
      </c>
      <c r="B649" t="str">
        <f>IFERROR(VLOOKUP($A649, Ledger!$B$2:$L$8, 3, 0),"")</f>
        <v/>
      </c>
      <c r="C649" t="str">
        <f>IFERROR(VLOOKUP($A649, Ledger!$B$2:$L$8, 4, 0),"")</f>
        <v/>
      </c>
      <c r="D649" t="str">
        <f>IFERROR(VLOOKUP($A649, Ledger!$B$2:$L$8, 5, 0),"")</f>
        <v/>
      </c>
      <c r="E649" t="str">
        <f>IFERROR(VLOOKUP($A649, Ledger!$B$2:$L$8, 6, 0),"")</f>
        <v/>
      </c>
      <c r="F649" t="str">
        <f>IFERROR(VLOOKUP($A649,'Student Data'!$A$2:$AR$6,32,0),"")</f>
        <v/>
      </c>
      <c r="G649" t="str">
        <f>IFERROR(VLOOKUP($A649,'Student Data'!$A$2:$AR$6,33,0),"")</f>
        <v/>
      </c>
      <c r="H649" t="str">
        <f>IFERROR(VLOOKUP($A649,'Student Data'!$A$2:$AR$6,34,0),"")</f>
        <v/>
      </c>
      <c r="I649" t="str">
        <f>IFERROR(VLOOKUP($A649,'Student Data'!$A$2:$AR$6,35,0),"")</f>
        <v/>
      </c>
      <c r="J649" t="str">
        <f>IFERROR(VLOOKUP($A649,'Student Data'!$A$2:$AR$6,36,0),"")</f>
        <v/>
      </c>
      <c r="K649" t="str">
        <f t="shared" si="20"/>
        <v/>
      </c>
      <c r="L649" t="str">
        <f t="shared" si="21"/>
        <v/>
      </c>
      <c r="M649" t="str">
        <f>IFERROR(IF($C649="","",SUMIFS(Ledger!$K$2:$K$4, Ledger!$B$2:$B$4, $A649, Ledger!$C$2:$C$4, M$2)),"****")</f>
        <v/>
      </c>
      <c r="N649" t="str">
        <f>IFERROR(IF($C649="","",SUMIFS(Ledger!$K$2:$K$4, Ledger!$B$2:$B$4, $A649, Ledger!$C$2:$C$4, N$2)),"****")</f>
        <v/>
      </c>
      <c r="O649" t="str">
        <f>IFERROR(IF($C649="","",SUMIFS(Ledger!$K$2:$K$4, Ledger!$B$2:$B$4, $A649, Ledger!$C$2:$C$4, O$2)),"****")</f>
        <v/>
      </c>
      <c r="P649" t="str">
        <f>IFERROR(IF($C649="","",SUMIFS(Ledger!$K$2:$K$4, Ledger!$B$2:$B$4, $A649, Ledger!$C$2:$C$4, P$2)),"****")</f>
        <v/>
      </c>
      <c r="Q649" t="str">
        <f>IFERROR(IF($C649="","",SUMIFS(Ledger!$K$2:$K$4, Ledger!$B$2:$B$4, $A649, Ledger!$C$2:$C$4, Q$2)),"****")</f>
        <v/>
      </c>
      <c r="R649" t="str">
        <f>IFERROR(IF($C649="","",SUMIFS(Ledger!$K$2:$K$4, Ledger!$B$2:$B$4, $A649, Ledger!$C$2:$C$4, R$2)),"****")</f>
        <v/>
      </c>
      <c r="S649" t="str">
        <f>IFERROR(IF($C649="","",SUMIFS(Ledger!$K$2:$K$4, Ledger!$B$2:$B$4, $A649, Ledger!$C$2:$C$4, S$2)),"****")</f>
        <v/>
      </c>
      <c r="T649" t="str">
        <f>IFERROR(IF($C649="","",SUMIFS(Ledger!$K$2:$K$4, Ledger!$B$2:$B$4, $A649, Ledger!$C$2:$C$4, T$2)),"****")</f>
        <v/>
      </c>
      <c r="U649" t="str">
        <f>IFERROR(IF($C649="","",SUMIFS(Ledger!$K$2:$K$4, Ledger!$B$2:$B$4, $A649, Ledger!$C$2:$C$4, U$2)),"****")</f>
        <v/>
      </c>
      <c r="V649" t="str">
        <f>IFERROR(IF($C649="","",SUMIFS(Ledger!$K$2:$K$4, Ledger!$B$2:$B$4, $A649, Ledger!$C$2:$C$4, V$2)),"****")</f>
        <v/>
      </c>
      <c r="W649" t="str">
        <f>IFERROR(IF($C649="","",SUMIFS(Ledger!$K$2:$K$4, Ledger!$B$2:$B$4, $A649, Ledger!$C$2:$C$4, W$2)),"****")</f>
        <v/>
      </c>
      <c r="X649" t="str">
        <f>IFERROR(IF($C649="","",SUMIFS(Ledger!$K$2:$K$4, Ledger!$B$2:$B$4, $A649, Ledger!$C$2:$C$4, X$2)),"****")</f>
        <v/>
      </c>
    </row>
    <row r="650" spans="1:24" x14ac:dyDescent="0.3">
      <c r="A650" s="106">
        <v>648</v>
      </c>
      <c r="B650" t="str">
        <f>IFERROR(VLOOKUP($A650, Ledger!$B$2:$L$8, 3, 0),"")</f>
        <v/>
      </c>
      <c r="C650" t="str">
        <f>IFERROR(VLOOKUP($A650, Ledger!$B$2:$L$8, 4, 0),"")</f>
        <v/>
      </c>
      <c r="D650" t="str">
        <f>IFERROR(VLOOKUP($A650, Ledger!$B$2:$L$8, 5, 0),"")</f>
        <v/>
      </c>
      <c r="E650" t="str">
        <f>IFERROR(VLOOKUP($A650, Ledger!$B$2:$L$8, 6, 0),"")</f>
        <v/>
      </c>
      <c r="F650" t="str">
        <f>IFERROR(VLOOKUP($A650,'Student Data'!$A$2:$AR$6,32,0),"")</f>
        <v/>
      </c>
      <c r="G650" t="str">
        <f>IFERROR(VLOOKUP($A650,'Student Data'!$A$2:$AR$6,33,0),"")</f>
        <v/>
      </c>
      <c r="H650" t="str">
        <f>IFERROR(VLOOKUP($A650,'Student Data'!$A$2:$AR$6,34,0),"")</f>
        <v/>
      </c>
      <c r="I650" t="str">
        <f>IFERROR(VLOOKUP($A650,'Student Data'!$A$2:$AR$6,35,0),"")</f>
        <v/>
      </c>
      <c r="J650" t="str">
        <f>IFERROR(VLOOKUP($A650,'Student Data'!$A$2:$AR$6,36,0),"")</f>
        <v/>
      </c>
      <c r="K650" t="str">
        <f t="shared" si="20"/>
        <v/>
      </c>
      <c r="L650" t="str">
        <f t="shared" si="21"/>
        <v/>
      </c>
      <c r="M650" t="str">
        <f>IFERROR(IF($C650="","",SUMIFS(Ledger!$K$2:$K$4, Ledger!$B$2:$B$4, $A650, Ledger!$C$2:$C$4, M$2)),"****")</f>
        <v/>
      </c>
      <c r="N650" t="str">
        <f>IFERROR(IF($C650="","",SUMIFS(Ledger!$K$2:$K$4, Ledger!$B$2:$B$4, $A650, Ledger!$C$2:$C$4, N$2)),"****")</f>
        <v/>
      </c>
      <c r="O650" t="str">
        <f>IFERROR(IF($C650="","",SUMIFS(Ledger!$K$2:$K$4, Ledger!$B$2:$B$4, $A650, Ledger!$C$2:$C$4, O$2)),"****")</f>
        <v/>
      </c>
      <c r="P650" t="str">
        <f>IFERROR(IF($C650="","",SUMIFS(Ledger!$K$2:$K$4, Ledger!$B$2:$B$4, $A650, Ledger!$C$2:$C$4, P$2)),"****")</f>
        <v/>
      </c>
      <c r="Q650" t="str">
        <f>IFERROR(IF($C650="","",SUMIFS(Ledger!$K$2:$K$4, Ledger!$B$2:$B$4, $A650, Ledger!$C$2:$C$4, Q$2)),"****")</f>
        <v/>
      </c>
      <c r="R650" t="str">
        <f>IFERROR(IF($C650="","",SUMIFS(Ledger!$K$2:$K$4, Ledger!$B$2:$B$4, $A650, Ledger!$C$2:$C$4, R$2)),"****")</f>
        <v/>
      </c>
      <c r="S650" t="str">
        <f>IFERROR(IF($C650="","",SUMIFS(Ledger!$K$2:$K$4, Ledger!$B$2:$B$4, $A650, Ledger!$C$2:$C$4, S$2)),"****")</f>
        <v/>
      </c>
      <c r="T650" t="str">
        <f>IFERROR(IF($C650="","",SUMIFS(Ledger!$K$2:$K$4, Ledger!$B$2:$B$4, $A650, Ledger!$C$2:$C$4, T$2)),"****")</f>
        <v/>
      </c>
      <c r="U650" t="str">
        <f>IFERROR(IF($C650="","",SUMIFS(Ledger!$K$2:$K$4, Ledger!$B$2:$B$4, $A650, Ledger!$C$2:$C$4, U$2)),"****")</f>
        <v/>
      </c>
      <c r="V650" t="str">
        <f>IFERROR(IF($C650="","",SUMIFS(Ledger!$K$2:$K$4, Ledger!$B$2:$B$4, $A650, Ledger!$C$2:$C$4, V$2)),"****")</f>
        <v/>
      </c>
      <c r="W650" t="str">
        <f>IFERROR(IF($C650="","",SUMIFS(Ledger!$K$2:$K$4, Ledger!$B$2:$B$4, $A650, Ledger!$C$2:$C$4, W$2)),"****")</f>
        <v/>
      </c>
      <c r="X650" t="str">
        <f>IFERROR(IF($C650="","",SUMIFS(Ledger!$K$2:$K$4, Ledger!$B$2:$B$4, $A650, Ledger!$C$2:$C$4, X$2)),"****")</f>
        <v/>
      </c>
    </row>
    <row r="651" spans="1:24" x14ac:dyDescent="0.3">
      <c r="A651" s="106">
        <v>649</v>
      </c>
      <c r="B651" t="str">
        <f>IFERROR(VLOOKUP($A651, Ledger!$B$2:$L$8, 3, 0),"")</f>
        <v/>
      </c>
      <c r="C651" t="str">
        <f>IFERROR(VLOOKUP($A651, Ledger!$B$2:$L$8, 4, 0),"")</f>
        <v/>
      </c>
      <c r="D651" t="str">
        <f>IFERROR(VLOOKUP($A651, Ledger!$B$2:$L$8, 5, 0),"")</f>
        <v/>
      </c>
      <c r="E651" t="str">
        <f>IFERROR(VLOOKUP($A651, Ledger!$B$2:$L$8, 6, 0),"")</f>
        <v/>
      </c>
      <c r="F651" t="str">
        <f>IFERROR(VLOOKUP($A651,'Student Data'!$A$2:$AR$6,32,0),"")</f>
        <v/>
      </c>
      <c r="G651" t="str">
        <f>IFERROR(VLOOKUP($A651,'Student Data'!$A$2:$AR$6,33,0),"")</f>
        <v/>
      </c>
      <c r="H651" t="str">
        <f>IFERROR(VLOOKUP($A651,'Student Data'!$A$2:$AR$6,34,0),"")</f>
        <v/>
      </c>
      <c r="I651" t="str">
        <f>IFERROR(VLOOKUP($A651,'Student Data'!$A$2:$AR$6,35,0),"")</f>
        <v/>
      </c>
      <c r="J651" t="str">
        <f>IFERROR(VLOOKUP($A651,'Student Data'!$A$2:$AR$6,36,0),"")</f>
        <v/>
      </c>
      <c r="K651" t="str">
        <f t="shared" si="20"/>
        <v/>
      </c>
      <c r="L651" t="str">
        <f t="shared" si="21"/>
        <v/>
      </c>
      <c r="M651" t="str">
        <f>IFERROR(IF($C651="","",SUMIFS(Ledger!$K$2:$K$4, Ledger!$B$2:$B$4, $A651, Ledger!$C$2:$C$4, M$2)),"****")</f>
        <v/>
      </c>
      <c r="N651" t="str">
        <f>IFERROR(IF($C651="","",SUMIFS(Ledger!$K$2:$K$4, Ledger!$B$2:$B$4, $A651, Ledger!$C$2:$C$4, N$2)),"****")</f>
        <v/>
      </c>
      <c r="O651" t="str">
        <f>IFERROR(IF($C651="","",SUMIFS(Ledger!$K$2:$K$4, Ledger!$B$2:$B$4, $A651, Ledger!$C$2:$C$4, O$2)),"****")</f>
        <v/>
      </c>
      <c r="P651" t="str">
        <f>IFERROR(IF($C651="","",SUMIFS(Ledger!$K$2:$K$4, Ledger!$B$2:$B$4, $A651, Ledger!$C$2:$C$4, P$2)),"****")</f>
        <v/>
      </c>
      <c r="Q651" t="str">
        <f>IFERROR(IF($C651="","",SUMIFS(Ledger!$K$2:$K$4, Ledger!$B$2:$B$4, $A651, Ledger!$C$2:$C$4, Q$2)),"****")</f>
        <v/>
      </c>
      <c r="R651" t="str">
        <f>IFERROR(IF($C651="","",SUMIFS(Ledger!$K$2:$K$4, Ledger!$B$2:$B$4, $A651, Ledger!$C$2:$C$4, R$2)),"****")</f>
        <v/>
      </c>
      <c r="S651" t="str">
        <f>IFERROR(IF($C651="","",SUMIFS(Ledger!$K$2:$K$4, Ledger!$B$2:$B$4, $A651, Ledger!$C$2:$C$4, S$2)),"****")</f>
        <v/>
      </c>
      <c r="T651" t="str">
        <f>IFERROR(IF($C651="","",SUMIFS(Ledger!$K$2:$K$4, Ledger!$B$2:$B$4, $A651, Ledger!$C$2:$C$4, T$2)),"****")</f>
        <v/>
      </c>
      <c r="U651" t="str">
        <f>IFERROR(IF($C651="","",SUMIFS(Ledger!$K$2:$K$4, Ledger!$B$2:$B$4, $A651, Ledger!$C$2:$C$4, U$2)),"****")</f>
        <v/>
      </c>
      <c r="V651" t="str">
        <f>IFERROR(IF($C651="","",SUMIFS(Ledger!$K$2:$K$4, Ledger!$B$2:$B$4, $A651, Ledger!$C$2:$C$4, V$2)),"****")</f>
        <v/>
      </c>
      <c r="W651" t="str">
        <f>IFERROR(IF($C651="","",SUMIFS(Ledger!$K$2:$K$4, Ledger!$B$2:$B$4, $A651, Ledger!$C$2:$C$4, W$2)),"****")</f>
        <v/>
      </c>
      <c r="X651" t="str">
        <f>IFERROR(IF($C651="","",SUMIFS(Ledger!$K$2:$K$4, Ledger!$B$2:$B$4, $A651, Ledger!$C$2:$C$4, X$2)),"****")</f>
        <v/>
      </c>
    </row>
    <row r="652" spans="1:24" x14ac:dyDescent="0.3">
      <c r="A652" s="106">
        <v>650</v>
      </c>
      <c r="B652" t="str">
        <f>IFERROR(VLOOKUP($A652, Ledger!$B$2:$L$8, 3, 0),"")</f>
        <v/>
      </c>
      <c r="C652" t="str">
        <f>IFERROR(VLOOKUP($A652, Ledger!$B$2:$L$8, 4, 0),"")</f>
        <v/>
      </c>
      <c r="D652" t="str">
        <f>IFERROR(VLOOKUP($A652, Ledger!$B$2:$L$8, 5, 0),"")</f>
        <v/>
      </c>
      <c r="E652" t="str">
        <f>IFERROR(VLOOKUP($A652, Ledger!$B$2:$L$8, 6, 0),"")</f>
        <v/>
      </c>
      <c r="F652" t="str">
        <f>IFERROR(VLOOKUP($A652,'Student Data'!$A$2:$AR$6,32,0),"")</f>
        <v/>
      </c>
      <c r="G652" t="str">
        <f>IFERROR(VLOOKUP($A652,'Student Data'!$A$2:$AR$6,33,0),"")</f>
        <v/>
      </c>
      <c r="H652" t="str">
        <f>IFERROR(VLOOKUP($A652,'Student Data'!$A$2:$AR$6,34,0),"")</f>
        <v/>
      </c>
      <c r="I652" t="str">
        <f>IFERROR(VLOOKUP($A652,'Student Data'!$A$2:$AR$6,35,0),"")</f>
        <v/>
      </c>
      <c r="J652" t="str">
        <f>IFERROR(VLOOKUP($A652,'Student Data'!$A$2:$AR$6,36,0),"")</f>
        <v/>
      </c>
      <c r="K652" t="str">
        <f t="shared" si="20"/>
        <v/>
      </c>
      <c r="L652" t="str">
        <f t="shared" si="21"/>
        <v/>
      </c>
      <c r="M652" t="str">
        <f>IFERROR(IF($C652="","",SUMIFS(Ledger!$K$2:$K$4, Ledger!$B$2:$B$4, $A652, Ledger!$C$2:$C$4, M$2)),"****")</f>
        <v/>
      </c>
      <c r="N652" t="str">
        <f>IFERROR(IF($C652="","",SUMIFS(Ledger!$K$2:$K$4, Ledger!$B$2:$B$4, $A652, Ledger!$C$2:$C$4, N$2)),"****")</f>
        <v/>
      </c>
      <c r="O652" t="str">
        <f>IFERROR(IF($C652="","",SUMIFS(Ledger!$K$2:$K$4, Ledger!$B$2:$B$4, $A652, Ledger!$C$2:$C$4, O$2)),"****")</f>
        <v/>
      </c>
      <c r="P652" t="str">
        <f>IFERROR(IF($C652="","",SUMIFS(Ledger!$K$2:$K$4, Ledger!$B$2:$B$4, $A652, Ledger!$C$2:$C$4, P$2)),"****")</f>
        <v/>
      </c>
      <c r="Q652" t="str">
        <f>IFERROR(IF($C652="","",SUMIFS(Ledger!$K$2:$K$4, Ledger!$B$2:$B$4, $A652, Ledger!$C$2:$C$4, Q$2)),"****")</f>
        <v/>
      </c>
      <c r="R652" t="str">
        <f>IFERROR(IF($C652="","",SUMIFS(Ledger!$K$2:$K$4, Ledger!$B$2:$B$4, $A652, Ledger!$C$2:$C$4, R$2)),"****")</f>
        <v/>
      </c>
      <c r="S652" t="str">
        <f>IFERROR(IF($C652="","",SUMIFS(Ledger!$K$2:$K$4, Ledger!$B$2:$B$4, $A652, Ledger!$C$2:$C$4, S$2)),"****")</f>
        <v/>
      </c>
      <c r="T652" t="str">
        <f>IFERROR(IF($C652="","",SUMIFS(Ledger!$K$2:$K$4, Ledger!$B$2:$B$4, $A652, Ledger!$C$2:$C$4, T$2)),"****")</f>
        <v/>
      </c>
      <c r="U652" t="str">
        <f>IFERROR(IF($C652="","",SUMIFS(Ledger!$K$2:$K$4, Ledger!$B$2:$B$4, $A652, Ledger!$C$2:$C$4, U$2)),"****")</f>
        <v/>
      </c>
      <c r="V652" t="str">
        <f>IFERROR(IF($C652="","",SUMIFS(Ledger!$K$2:$K$4, Ledger!$B$2:$B$4, $A652, Ledger!$C$2:$C$4, V$2)),"****")</f>
        <v/>
      </c>
      <c r="W652" t="str">
        <f>IFERROR(IF($C652="","",SUMIFS(Ledger!$K$2:$K$4, Ledger!$B$2:$B$4, $A652, Ledger!$C$2:$C$4, W$2)),"****")</f>
        <v/>
      </c>
      <c r="X652" t="str">
        <f>IFERROR(IF($C652="","",SUMIFS(Ledger!$K$2:$K$4, Ledger!$B$2:$B$4, $A652, Ledger!$C$2:$C$4, X$2)),"****")</f>
        <v/>
      </c>
    </row>
    <row r="653" spans="1:24" x14ac:dyDescent="0.3">
      <c r="A653" s="106">
        <v>651</v>
      </c>
      <c r="B653" t="str">
        <f>IFERROR(VLOOKUP($A653, Ledger!$B$2:$L$8, 3, 0),"")</f>
        <v/>
      </c>
      <c r="C653" t="str">
        <f>IFERROR(VLOOKUP($A653, Ledger!$B$2:$L$8, 4, 0),"")</f>
        <v/>
      </c>
      <c r="D653" t="str">
        <f>IFERROR(VLOOKUP($A653, Ledger!$B$2:$L$8, 5, 0),"")</f>
        <v/>
      </c>
      <c r="E653" t="str">
        <f>IFERROR(VLOOKUP($A653, Ledger!$B$2:$L$8, 6, 0),"")</f>
        <v/>
      </c>
      <c r="F653" t="str">
        <f>IFERROR(VLOOKUP($A653,'Student Data'!$A$2:$AR$6,32,0),"")</f>
        <v/>
      </c>
      <c r="G653" t="str">
        <f>IFERROR(VLOOKUP($A653,'Student Data'!$A$2:$AR$6,33,0),"")</f>
        <v/>
      </c>
      <c r="H653" t="str">
        <f>IFERROR(VLOOKUP($A653,'Student Data'!$A$2:$AR$6,34,0),"")</f>
        <v/>
      </c>
      <c r="I653" t="str">
        <f>IFERROR(VLOOKUP($A653,'Student Data'!$A$2:$AR$6,35,0),"")</f>
        <v/>
      </c>
      <c r="J653" t="str">
        <f>IFERROR(VLOOKUP($A653,'Student Data'!$A$2:$AR$6,36,0),"")</f>
        <v/>
      </c>
      <c r="K653" t="str">
        <f t="shared" si="20"/>
        <v/>
      </c>
      <c r="L653" t="str">
        <f t="shared" si="21"/>
        <v/>
      </c>
      <c r="M653" t="str">
        <f>IFERROR(IF($C653="","",SUMIFS(Ledger!$K$2:$K$4, Ledger!$B$2:$B$4, $A653, Ledger!$C$2:$C$4, M$2)),"****")</f>
        <v/>
      </c>
      <c r="N653" t="str">
        <f>IFERROR(IF($C653="","",SUMIFS(Ledger!$K$2:$K$4, Ledger!$B$2:$B$4, $A653, Ledger!$C$2:$C$4, N$2)),"****")</f>
        <v/>
      </c>
      <c r="O653" t="str">
        <f>IFERROR(IF($C653="","",SUMIFS(Ledger!$K$2:$K$4, Ledger!$B$2:$B$4, $A653, Ledger!$C$2:$C$4, O$2)),"****")</f>
        <v/>
      </c>
      <c r="P653" t="str">
        <f>IFERROR(IF($C653="","",SUMIFS(Ledger!$K$2:$K$4, Ledger!$B$2:$B$4, $A653, Ledger!$C$2:$C$4, P$2)),"****")</f>
        <v/>
      </c>
      <c r="Q653" t="str">
        <f>IFERROR(IF($C653="","",SUMIFS(Ledger!$K$2:$K$4, Ledger!$B$2:$B$4, $A653, Ledger!$C$2:$C$4, Q$2)),"****")</f>
        <v/>
      </c>
      <c r="R653" t="str">
        <f>IFERROR(IF($C653="","",SUMIFS(Ledger!$K$2:$K$4, Ledger!$B$2:$B$4, $A653, Ledger!$C$2:$C$4, R$2)),"****")</f>
        <v/>
      </c>
      <c r="S653" t="str">
        <f>IFERROR(IF($C653="","",SUMIFS(Ledger!$K$2:$K$4, Ledger!$B$2:$B$4, $A653, Ledger!$C$2:$C$4, S$2)),"****")</f>
        <v/>
      </c>
      <c r="T653" t="str">
        <f>IFERROR(IF($C653="","",SUMIFS(Ledger!$K$2:$K$4, Ledger!$B$2:$B$4, $A653, Ledger!$C$2:$C$4, T$2)),"****")</f>
        <v/>
      </c>
      <c r="U653" t="str">
        <f>IFERROR(IF($C653="","",SUMIFS(Ledger!$K$2:$K$4, Ledger!$B$2:$B$4, $A653, Ledger!$C$2:$C$4, U$2)),"****")</f>
        <v/>
      </c>
      <c r="V653" t="str">
        <f>IFERROR(IF($C653="","",SUMIFS(Ledger!$K$2:$K$4, Ledger!$B$2:$B$4, $A653, Ledger!$C$2:$C$4, V$2)),"****")</f>
        <v/>
      </c>
      <c r="W653" t="str">
        <f>IFERROR(IF($C653="","",SUMIFS(Ledger!$K$2:$K$4, Ledger!$B$2:$B$4, $A653, Ledger!$C$2:$C$4, W$2)),"****")</f>
        <v/>
      </c>
      <c r="X653" t="str">
        <f>IFERROR(IF($C653="","",SUMIFS(Ledger!$K$2:$K$4, Ledger!$B$2:$B$4, $A653, Ledger!$C$2:$C$4, X$2)),"****")</f>
        <v/>
      </c>
    </row>
    <row r="654" spans="1:24" x14ac:dyDescent="0.3">
      <c r="A654" s="106">
        <v>652</v>
      </c>
      <c r="B654" t="str">
        <f>IFERROR(VLOOKUP($A654, Ledger!$B$2:$L$8, 3, 0),"")</f>
        <v/>
      </c>
      <c r="C654" t="str">
        <f>IFERROR(VLOOKUP($A654, Ledger!$B$2:$L$8, 4, 0),"")</f>
        <v/>
      </c>
      <c r="D654" t="str">
        <f>IFERROR(VLOOKUP($A654, Ledger!$B$2:$L$8, 5, 0),"")</f>
        <v/>
      </c>
      <c r="E654" t="str">
        <f>IFERROR(VLOOKUP($A654, Ledger!$B$2:$L$8, 6, 0),"")</f>
        <v/>
      </c>
      <c r="F654" t="str">
        <f>IFERROR(VLOOKUP($A654,'Student Data'!$A$2:$AR$6,32,0),"")</f>
        <v/>
      </c>
      <c r="G654" t="str">
        <f>IFERROR(VLOOKUP($A654,'Student Data'!$A$2:$AR$6,33,0),"")</f>
        <v/>
      </c>
      <c r="H654" t="str">
        <f>IFERROR(VLOOKUP($A654,'Student Data'!$A$2:$AR$6,34,0),"")</f>
        <v/>
      </c>
      <c r="I654" t="str">
        <f>IFERROR(VLOOKUP($A654,'Student Data'!$A$2:$AR$6,35,0),"")</f>
        <v/>
      </c>
      <c r="J654" t="str">
        <f>IFERROR(VLOOKUP($A654,'Student Data'!$A$2:$AR$6,36,0),"")</f>
        <v/>
      </c>
      <c r="K654" t="str">
        <f t="shared" si="20"/>
        <v/>
      </c>
      <c r="L654" t="str">
        <f t="shared" si="21"/>
        <v/>
      </c>
      <c r="M654" t="str">
        <f>IFERROR(IF($C654="","",SUMIFS(Ledger!$K$2:$K$4, Ledger!$B$2:$B$4, $A654, Ledger!$C$2:$C$4, M$2)),"****")</f>
        <v/>
      </c>
      <c r="N654" t="str">
        <f>IFERROR(IF($C654="","",SUMIFS(Ledger!$K$2:$K$4, Ledger!$B$2:$B$4, $A654, Ledger!$C$2:$C$4, N$2)),"****")</f>
        <v/>
      </c>
      <c r="O654" t="str">
        <f>IFERROR(IF($C654="","",SUMIFS(Ledger!$K$2:$K$4, Ledger!$B$2:$B$4, $A654, Ledger!$C$2:$C$4, O$2)),"****")</f>
        <v/>
      </c>
      <c r="P654" t="str">
        <f>IFERROR(IF($C654="","",SUMIFS(Ledger!$K$2:$K$4, Ledger!$B$2:$B$4, $A654, Ledger!$C$2:$C$4, P$2)),"****")</f>
        <v/>
      </c>
      <c r="Q654" t="str">
        <f>IFERROR(IF($C654="","",SUMIFS(Ledger!$K$2:$K$4, Ledger!$B$2:$B$4, $A654, Ledger!$C$2:$C$4, Q$2)),"****")</f>
        <v/>
      </c>
      <c r="R654" t="str">
        <f>IFERROR(IF($C654="","",SUMIFS(Ledger!$K$2:$K$4, Ledger!$B$2:$B$4, $A654, Ledger!$C$2:$C$4, R$2)),"****")</f>
        <v/>
      </c>
      <c r="S654" t="str">
        <f>IFERROR(IF($C654="","",SUMIFS(Ledger!$K$2:$K$4, Ledger!$B$2:$B$4, $A654, Ledger!$C$2:$C$4, S$2)),"****")</f>
        <v/>
      </c>
      <c r="T654" t="str">
        <f>IFERROR(IF($C654="","",SUMIFS(Ledger!$K$2:$K$4, Ledger!$B$2:$B$4, $A654, Ledger!$C$2:$C$4, T$2)),"****")</f>
        <v/>
      </c>
      <c r="U654" t="str">
        <f>IFERROR(IF($C654="","",SUMIFS(Ledger!$K$2:$K$4, Ledger!$B$2:$B$4, $A654, Ledger!$C$2:$C$4, U$2)),"****")</f>
        <v/>
      </c>
      <c r="V654" t="str">
        <f>IFERROR(IF($C654="","",SUMIFS(Ledger!$K$2:$K$4, Ledger!$B$2:$B$4, $A654, Ledger!$C$2:$C$4, V$2)),"****")</f>
        <v/>
      </c>
      <c r="W654" t="str">
        <f>IFERROR(IF($C654="","",SUMIFS(Ledger!$K$2:$K$4, Ledger!$B$2:$B$4, $A654, Ledger!$C$2:$C$4, W$2)),"****")</f>
        <v/>
      </c>
      <c r="X654" t="str">
        <f>IFERROR(IF($C654="","",SUMIFS(Ledger!$K$2:$K$4, Ledger!$B$2:$B$4, $A654, Ledger!$C$2:$C$4, X$2)),"****")</f>
        <v/>
      </c>
    </row>
    <row r="655" spans="1:24" x14ac:dyDescent="0.3">
      <c r="A655" s="106">
        <v>653</v>
      </c>
      <c r="B655" t="str">
        <f>IFERROR(VLOOKUP($A655, Ledger!$B$2:$L$8, 3, 0),"")</f>
        <v/>
      </c>
      <c r="C655" t="str">
        <f>IFERROR(VLOOKUP($A655, Ledger!$B$2:$L$8, 4, 0),"")</f>
        <v/>
      </c>
      <c r="D655" t="str">
        <f>IFERROR(VLOOKUP($A655, Ledger!$B$2:$L$8, 5, 0),"")</f>
        <v/>
      </c>
      <c r="E655" t="str">
        <f>IFERROR(VLOOKUP($A655, Ledger!$B$2:$L$8, 6, 0),"")</f>
        <v/>
      </c>
      <c r="F655" t="str">
        <f>IFERROR(VLOOKUP($A655,'Student Data'!$A$2:$AR$6,32,0),"")</f>
        <v/>
      </c>
      <c r="G655" t="str">
        <f>IFERROR(VLOOKUP($A655,'Student Data'!$A$2:$AR$6,33,0),"")</f>
        <v/>
      </c>
      <c r="H655" t="str">
        <f>IFERROR(VLOOKUP($A655,'Student Data'!$A$2:$AR$6,34,0),"")</f>
        <v/>
      </c>
      <c r="I655" t="str">
        <f>IFERROR(VLOOKUP($A655,'Student Data'!$A$2:$AR$6,35,0),"")</f>
        <v/>
      </c>
      <c r="J655" t="str">
        <f>IFERROR(VLOOKUP($A655,'Student Data'!$A$2:$AR$6,36,0),"")</f>
        <v/>
      </c>
      <c r="K655" t="str">
        <f t="shared" si="20"/>
        <v/>
      </c>
      <c r="L655" t="str">
        <f t="shared" si="21"/>
        <v/>
      </c>
      <c r="M655" t="str">
        <f>IFERROR(IF($C655="","",SUMIFS(Ledger!$K$2:$K$4, Ledger!$B$2:$B$4, $A655, Ledger!$C$2:$C$4, M$2)),"****")</f>
        <v/>
      </c>
      <c r="N655" t="str">
        <f>IFERROR(IF($C655="","",SUMIFS(Ledger!$K$2:$K$4, Ledger!$B$2:$B$4, $A655, Ledger!$C$2:$C$4, N$2)),"****")</f>
        <v/>
      </c>
      <c r="O655" t="str">
        <f>IFERROR(IF($C655="","",SUMIFS(Ledger!$K$2:$K$4, Ledger!$B$2:$B$4, $A655, Ledger!$C$2:$C$4, O$2)),"****")</f>
        <v/>
      </c>
      <c r="P655" t="str">
        <f>IFERROR(IF($C655="","",SUMIFS(Ledger!$K$2:$K$4, Ledger!$B$2:$B$4, $A655, Ledger!$C$2:$C$4, P$2)),"****")</f>
        <v/>
      </c>
      <c r="Q655" t="str">
        <f>IFERROR(IF($C655="","",SUMIFS(Ledger!$K$2:$K$4, Ledger!$B$2:$B$4, $A655, Ledger!$C$2:$C$4, Q$2)),"****")</f>
        <v/>
      </c>
      <c r="R655" t="str">
        <f>IFERROR(IF($C655="","",SUMIFS(Ledger!$K$2:$K$4, Ledger!$B$2:$B$4, $A655, Ledger!$C$2:$C$4, R$2)),"****")</f>
        <v/>
      </c>
      <c r="S655" t="str">
        <f>IFERROR(IF($C655="","",SUMIFS(Ledger!$K$2:$K$4, Ledger!$B$2:$B$4, $A655, Ledger!$C$2:$C$4, S$2)),"****")</f>
        <v/>
      </c>
      <c r="T655" t="str">
        <f>IFERROR(IF($C655="","",SUMIFS(Ledger!$K$2:$K$4, Ledger!$B$2:$B$4, $A655, Ledger!$C$2:$C$4, T$2)),"****")</f>
        <v/>
      </c>
      <c r="U655" t="str">
        <f>IFERROR(IF($C655="","",SUMIFS(Ledger!$K$2:$K$4, Ledger!$B$2:$B$4, $A655, Ledger!$C$2:$C$4, U$2)),"****")</f>
        <v/>
      </c>
      <c r="V655" t="str">
        <f>IFERROR(IF($C655="","",SUMIFS(Ledger!$K$2:$K$4, Ledger!$B$2:$B$4, $A655, Ledger!$C$2:$C$4, V$2)),"****")</f>
        <v/>
      </c>
      <c r="W655" t="str">
        <f>IFERROR(IF($C655="","",SUMIFS(Ledger!$K$2:$K$4, Ledger!$B$2:$B$4, $A655, Ledger!$C$2:$C$4, W$2)),"****")</f>
        <v/>
      </c>
      <c r="X655" t="str">
        <f>IFERROR(IF($C655="","",SUMIFS(Ledger!$K$2:$K$4, Ledger!$B$2:$B$4, $A655, Ledger!$C$2:$C$4, X$2)),"****")</f>
        <v/>
      </c>
    </row>
    <row r="656" spans="1:24" x14ac:dyDescent="0.3">
      <c r="A656" s="106">
        <v>654</v>
      </c>
      <c r="B656" t="str">
        <f>IFERROR(VLOOKUP($A656, Ledger!$B$2:$L$8, 3, 0),"")</f>
        <v/>
      </c>
      <c r="C656" t="str">
        <f>IFERROR(VLOOKUP($A656, Ledger!$B$2:$L$8, 4, 0),"")</f>
        <v/>
      </c>
      <c r="D656" t="str">
        <f>IFERROR(VLOOKUP($A656, Ledger!$B$2:$L$8, 5, 0),"")</f>
        <v/>
      </c>
      <c r="E656" t="str">
        <f>IFERROR(VLOOKUP($A656, Ledger!$B$2:$L$8, 6, 0),"")</f>
        <v/>
      </c>
      <c r="F656" t="str">
        <f>IFERROR(VLOOKUP($A656,'Student Data'!$A$2:$AR$6,32,0),"")</f>
        <v/>
      </c>
      <c r="G656" t="str">
        <f>IFERROR(VLOOKUP($A656,'Student Data'!$A$2:$AR$6,33,0),"")</f>
        <v/>
      </c>
      <c r="H656" t="str">
        <f>IFERROR(VLOOKUP($A656,'Student Data'!$A$2:$AR$6,34,0),"")</f>
        <v/>
      </c>
      <c r="I656" t="str">
        <f>IFERROR(VLOOKUP($A656,'Student Data'!$A$2:$AR$6,35,0),"")</f>
        <v/>
      </c>
      <c r="J656" t="str">
        <f>IFERROR(VLOOKUP($A656,'Student Data'!$A$2:$AR$6,36,0),"")</f>
        <v/>
      </c>
      <c r="K656" t="str">
        <f t="shared" si="20"/>
        <v/>
      </c>
      <c r="L656" t="str">
        <f t="shared" si="21"/>
        <v/>
      </c>
      <c r="M656" t="str">
        <f>IFERROR(IF($C656="","",SUMIFS(Ledger!$K$2:$K$4, Ledger!$B$2:$B$4, $A656, Ledger!$C$2:$C$4, M$2)),"****")</f>
        <v/>
      </c>
      <c r="N656" t="str">
        <f>IFERROR(IF($C656="","",SUMIFS(Ledger!$K$2:$K$4, Ledger!$B$2:$B$4, $A656, Ledger!$C$2:$C$4, N$2)),"****")</f>
        <v/>
      </c>
      <c r="O656" t="str">
        <f>IFERROR(IF($C656="","",SUMIFS(Ledger!$K$2:$K$4, Ledger!$B$2:$B$4, $A656, Ledger!$C$2:$C$4, O$2)),"****")</f>
        <v/>
      </c>
      <c r="P656" t="str">
        <f>IFERROR(IF($C656="","",SUMIFS(Ledger!$K$2:$K$4, Ledger!$B$2:$B$4, $A656, Ledger!$C$2:$C$4, P$2)),"****")</f>
        <v/>
      </c>
      <c r="Q656" t="str">
        <f>IFERROR(IF($C656="","",SUMIFS(Ledger!$K$2:$K$4, Ledger!$B$2:$B$4, $A656, Ledger!$C$2:$C$4, Q$2)),"****")</f>
        <v/>
      </c>
      <c r="R656" t="str">
        <f>IFERROR(IF($C656="","",SUMIFS(Ledger!$K$2:$K$4, Ledger!$B$2:$B$4, $A656, Ledger!$C$2:$C$4, R$2)),"****")</f>
        <v/>
      </c>
      <c r="S656" t="str">
        <f>IFERROR(IF($C656="","",SUMIFS(Ledger!$K$2:$K$4, Ledger!$B$2:$B$4, $A656, Ledger!$C$2:$C$4, S$2)),"****")</f>
        <v/>
      </c>
      <c r="T656" t="str">
        <f>IFERROR(IF($C656="","",SUMIFS(Ledger!$K$2:$K$4, Ledger!$B$2:$B$4, $A656, Ledger!$C$2:$C$4, T$2)),"****")</f>
        <v/>
      </c>
      <c r="U656" t="str">
        <f>IFERROR(IF($C656="","",SUMIFS(Ledger!$K$2:$K$4, Ledger!$B$2:$B$4, $A656, Ledger!$C$2:$C$4, U$2)),"****")</f>
        <v/>
      </c>
      <c r="V656" t="str">
        <f>IFERROR(IF($C656="","",SUMIFS(Ledger!$K$2:$K$4, Ledger!$B$2:$B$4, $A656, Ledger!$C$2:$C$4, V$2)),"****")</f>
        <v/>
      </c>
      <c r="W656" t="str">
        <f>IFERROR(IF($C656="","",SUMIFS(Ledger!$K$2:$K$4, Ledger!$B$2:$B$4, $A656, Ledger!$C$2:$C$4, W$2)),"****")</f>
        <v/>
      </c>
      <c r="X656" t="str">
        <f>IFERROR(IF($C656="","",SUMIFS(Ledger!$K$2:$K$4, Ledger!$B$2:$B$4, $A656, Ledger!$C$2:$C$4, X$2)),"****")</f>
        <v/>
      </c>
    </row>
    <row r="657" spans="1:24" x14ac:dyDescent="0.3">
      <c r="A657" s="106">
        <v>655</v>
      </c>
      <c r="B657" t="str">
        <f>IFERROR(VLOOKUP($A657, Ledger!$B$2:$L$8, 3, 0),"")</f>
        <v/>
      </c>
      <c r="C657" t="str">
        <f>IFERROR(VLOOKUP($A657, Ledger!$B$2:$L$8, 4, 0),"")</f>
        <v/>
      </c>
      <c r="D657" t="str">
        <f>IFERROR(VLOOKUP($A657, Ledger!$B$2:$L$8, 5, 0),"")</f>
        <v/>
      </c>
      <c r="E657" t="str">
        <f>IFERROR(VLOOKUP($A657, Ledger!$B$2:$L$8, 6, 0),"")</f>
        <v/>
      </c>
      <c r="F657" t="str">
        <f>IFERROR(VLOOKUP($A657,'Student Data'!$A$2:$AR$6,32,0),"")</f>
        <v/>
      </c>
      <c r="G657" t="str">
        <f>IFERROR(VLOOKUP($A657,'Student Data'!$A$2:$AR$6,33,0),"")</f>
        <v/>
      </c>
      <c r="H657" t="str">
        <f>IFERROR(VLOOKUP($A657,'Student Data'!$A$2:$AR$6,34,0),"")</f>
        <v/>
      </c>
      <c r="I657" t="str">
        <f>IFERROR(VLOOKUP($A657,'Student Data'!$A$2:$AR$6,35,0),"")</f>
        <v/>
      </c>
      <c r="J657" t="str">
        <f>IFERROR(VLOOKUP($A657,'Student Data'!$A$2:$AR$6,36,0),"")</f>
        <v/>
      </c>
      <c r="K657" t="str">
        <f t="shared" si="20"/>
        <v/>
      </c>
      <c r="L657" t="str">
        <f t="shared" si="21"/>
        <v/>
      </c>
      <c r="M657" t="str">
        <f>IFERROR(IF($C657="","",SUMIFS(Ledger!$K$2:$K$4, Ledger!$B$2:$B$4, $A657, Ledger!$C$2:$C$4, M$2)),"****")</f>
        <v/>
      </c>
      <c r="N657" t="str">
        <f>IFERROR(IF($C657="","",SUMIFS(Ledger!$K$2:$K$4, Ledger!$B$2:$B$4, $A657, Ledger!$C$2:$C$4, N$2)),"****")</f>
        <v/>
      </c>
      <c r="O657" t="str">
        <f>IFERROR(IF($C657="","",SUMIFS(Ledger!$K$2:$K$4, Ledger!$B$2:$B$4, $A657, Ledger!$C$2:$C$4, O$2)),"****")</f>
        <v/>
      </c>
      <c r="P657" t="str">
        <f>IFERROR(IF($C657="","",SUMIFS(Ledger!$K$2:$K$4, Ledger!$B$2:$B$4, $A657, Ledger!$C$2:$C$4, P$2)),"****")</f>
        <v/>
      </c>
      <c r="Q657" t="str">
        <f>IFERROR(IF($C657="","",SUMIFS(Ledger!$K$2:$K$4, Ledger!$B$2:$B$4, $A657, Ledger!$C$2:$C$4, Q$2)),"****")</f>
        <v/>
      </c>
      <c r="R657" t="str">
        <f>IFERROR(IF($C657="","",SUMIFS(Ledger!$K$2:$K$4, Ledger!$B$2:$B$4, $A657, Ledger!$C$2:$C$4, R$2)),"****")</f>
        <v/>
      </c>
      <c r="S657" t="str">
        <f>IFERROR(IF($C657="","",SUMIFS(Ledger!$K$2:$K$4, Ledger!$B$2:$B$4, $A657, Ledger!$C$2:$C$4, S$2)),"****")</f>
        <v/>
      </c>
      <c r="T657" t="str">
        <f>IFERROR(IF($C657="","",SUMIFS(Ledger!$K$2:$K$4, Ledger!$B$2:$B$4, $A657, Ledger!$C$2:$C$4, T$2)),"****")</f>
        <v/>
      </c>
      <c r="U657" t="str">
        <f>IFERROR(IF($C657="","",SUMIFS(Ledger!$K$2:$K$4, Ledger!$B$2:$B$4, $A657, Ledger!$C$2:$C$4, U$2)),"****")</f>
        <v/>
      </c>
      <c r="V657" t="str">
        <f>IFERROR(IF($C657="","",SUMIFS(Ledger!$K$2:$K$4, Ledger!$B$2:$B$4, $A657, Ledger!$C$2:$C$4, V$2)),"****")</f>
        <v/>
      </c>
      <c r="W657" t="str">
        <f>IFERROR(IF($C657="","",SUMIFS(Ledger!$K$2:$K$4, Ledger!$B$2:$B$4, $A657, Ledger!$C$2:$C$4, W$2)),"****")</f>
        <v/>
      </c>
      <c r="X657" t="str">
        <f>IFERROR(IF($C657="","",SUMIFS(Ledger!$K$2:$K$4, Ledger!$B$2:$B$4, $A657, Ledger!$C$2:$C$4, X$2)),"****")</f>
        <v/>
      </c>
    </row>
    <row r="658" spans="1:24" x14ac:dyDescent="0.3">
      <c r="A658" s="106">
        <v>656</v>
      </c>
      <c r="B658" t="str">
        <f>IFERROR(VLOOKUP($A658, Ledger!$B$2:$L$8, 3, 0),"")</f>
        <v/>
      </c>
      <c r="C658" t="str">
        <f>IFERROR(VLOOKUP($A658, Ledger!$B$2:$L$8, 4, 0),"")</f>
        <v/>
      </c>
      <c r="D658" t="str">
        <f>IFERROR(VLOOKUP($A658, Ledger!$B$2:$L$8, 5, 0),"")</f>
        <v/>
      </c>
      <c r="E658" t="str">
        <f>IFERROR(VLOOKUP($A658, Ledger!$B$2:$L$8, 6, 0),"")</f>
        <v/>
      </c>
      <c r="F658" t="str">
        <f>IFERROR(VLOOKUP($A658,'Student Data'!$A$2:$AR$6,32,0),"")</f>
        <v/>
      </c>
      <c r="G658" t="str">
        <f>IFERROR(VLOOKUP($A658,'Student Data'!$A$2:$AR$6,33,0),"")</f>
        <v/>
      </c>
      <c r="H658" t="str">
        <f>IFERROR(VLOOKUP($A658,'Student Data'!$A$2:$AR$6,34,0),"")</f>
        <v/>
      </c>
      <c r="I658" t="str">
        <f>IFERROR(VLOOKUP($A658,'Student Data'!$A$2:$AR$6,35,0),"")</f>
        <v/>
      </c>
      <c r="J658" t="str">
        <f>IFERROR(VLOOKUP($A658,'Student Data'!$A$2:$AR$6,36,0),"")</f>
        <v/>
      </c>
      <c r="K658" t="str">
        <f t="shared" si="20"/>
        <v/>
      </c>
      <c r="L658" t="str">
        <f t="shared" si="21"/>
        <v/>
      </c>
      <c r="M658" t="str">
        <f>IFERROR(IF($C658="","",SUMIFS(Ledger!$K$2:$K$4, Ledger!$B$2:$B$4, $A658, Ledger!$C$2:$C$4, M$2)),"****")</f>
        <v/>
      </c>
      <c r="N658" t="str">
        <f>IFERROR(IF($C658="","",SUMIFS(Ledger!$K$2:$K$4, Ledger!$B$2:$B$4, $A658, Ledger!$C$2:$C$4, N$2)),"****")</f>
        <v/>
      </c>
      <c r="O658" t="str">
        <f>IFERROR(IF($C658="","",SUMIFS(Ledger!$K$2:$K$4, Ledger!$B$2:$B$4, $A658, Ledger!$C$2:$C$4, O$2)),"****")</f>
        <v/>
      </c>
      <c r="P658" t="str">
        <f>IFERROR(IF($C658="","",SUMIFS(Ledger!$K$2:$K$4, Ledger!$B$2:$B$4, $A658, Ledger!$C$2:$C$4, P$2)),"****")</f>
        <v/>
      </c>
      <c r="Q658" t="str">
        <f>IFERROR(IF($C658="","",SUMIFS(Ledger!$K$2:$K$4, Ledger!$B$2:$B$4, $A658, Ledger!$C$2:$C$4, Q$2)),"****")</f>
        <v/>
      </c>
      <c r="R658" t="str">
        <f>IFERROR(IF($C658="","",SUMIFS(Ledger!$K$2:$K$4, Ledger!$B$2:$B$4, $A658, Ledger!$C$2:$C$4, R$2)),"****")</f>
        <v/>
      </c>
      <c r="S658" t="str">
        <f>IFERROR(IF($C658="","",SUMIFS(Ledger!$K$2:$K$4, Ledger!$B$2:$B$4, $A658, Ledger!$C$2:$C$4, S$2)),"****")</f>
        <v/>
      </c>
      <c r="T658" t="str">
        <f>IFERROR(IF($C658="","",SUMIFS(Ledger!$K$2:$K$4, Ledger!$B$2:$B$4, $A658, Ledger!$C$2:$C$4, T$2)),"****")</f>
        <v/>
      </c>
      <c r="U658" t="str">
        <f>IFERROR(IF($C658="","",SUMIFS(Ledger!$K$2:$K$4, Ledger!$B$2:$B$4, $A658, Ledger!$C$2:$C$4, U$2)),"****")</f>
        <v/>
      </c>
      <c r="V658" t="str">
        <f>IFERROR(IF($C658="","",SUMIFS(Ledger!$K$2:$K$4, Ledger!$B$2:$B$4, $A658, Ledger!$C$2:$C$4, V$2)),"****")</f>
        <v/>
      </c>
      <c r="W658" t="str">
        <f>IFERROR(IF($C658="","",SUMIFS(Ledger!$K$2:$K$4, Ledger!$B$2:$B$4, $A658, Ledger!$C$2:$C$4, W$2)),"****")</f>
        <v/>
      </c>
      <c r="X658" t="str">
        <f>IFERROR(IF($C658="","",SUMIFS(Ledger!$K$2:$K$4, Ledger!$B$2:$B$4, $A658, Ledger!$C$2:$C$4, X$2)),"****")</f>
        <v/>
      </c>
    </row>
    <row r="659" spans="1:24" x14ac:dyDescent="0.3">
      <c r="A659" s="106">
        <v>657</v>
      </c>
      <c r="B659" t="str">
        <f>IFERROR(VLOOKUP($A659, Ledger!$B$2:$L$8, 3, 0),"")</f>
        <v/>
      </c>
      <c r="C659" t="str">
        <f>IFERROR(VLOOKUP($A659, Ledger!$B$2:$L$8, 4, 0),"")</f>
        <v/>
      </c>
      <c r="D659" t="str">
        <f>IFERROR(VLOOKUP($A659, Ledger!$B$2:$L$8, 5, 0),"")</f>
        <v/>
      </c>
      <c r="E659" t="str">
        <f>IFERROR(VLOOKUP($A659, Ledger!$B$2:$L$8, 6, 0),"")</f>
        <v/>
      </c>
      <c r="F659" t="str">
        <f>IFERROR(VLOOKUP($A659,'Student Data'!$A$2:$AR$6,32,0),"")</f>
        <v/>
      </c>
      <c r="G659" t="str">
        <f>IFERROR(VLOOKUP($A659,'Student Data'!$A$2:$AR$6,33,0),"")</f>
        <v/>
      </c>
      <c r="H659" t="str">
        <f>IFERROR(VLOOKUP($A659,'Student Data'!$A$2:$AR$6,34,0),"")</f>
        <v/>
      </c>
      <c r="I659" t="str">
        <f>IFERROR(VLOOKUP($A659,'Student Data'!$A$2:$AR$6,35,0),"")</f>
        <v/>
      </c>
      <c r="J659" t="str">
        <f>IFERROR(VLOOKUP($A659,'Student Data'!$A$2:$AR$6,36,0),"")</f>
        <v/>
      </c>
      <c r="K659" t="str">
        <f t="shared" si="20"/>
        <v/>
      </c>
      <c r="L659" t="str">
        <f t="shared" si="21"/>
        <v/>
      </c>
      <c r="M659" t="str">
        <f>IFERROR(IF($C659="","",SUMIFS(Ledger!$K$2:$K$4, Ledger!$B$2:$B$4, $A659, Ledger!$C$2:$C$4, M$2)),"****")</f>
        <v/>
      </c>
      <c r="N659" t="str">
        <f>IFERROR(IF($C659="","",SUMIFS(Ledger!$K$2:$K$4, Ledger!$B$2:$B$4, $A659, Ledger!$C$2:$C$4, N$2)),"****")</f>
        <v/>
      </c>
      <c r="O659" t="str">
        <f>IFERROR(IF($C659="","",SUMIFS(Ledger!$K$2:$K$4, Ledger!$B$2:$B$4, $A659, Ledger!$C$2:$C$4, O$2)),"****")</f>
        <v/>
      </c>
      <c r="P659" t="str">
        <f>IFERROR(IF($C659="","",SUMIFS(Ledger!$K$2:$K$4, Ledger!$B$2:$B$4, $A659, Ledger!$C$2:$C$4, P$2)),"****")</f>
        <v/>
      </c>
      <c r="Q659" t="str">
        <f>IFERROR(IF($C659="","",SUMIFS(Ledger!$K$2:$K$4, Ledger!$B$2:$B$4, $A659, Ledger!$C$2:$C$4, Q$2)),"****")</f>
        <v/>
      </c>
      <c r="R659" t="str">
        <f>IFERROR(IF($C659="","",SUMIFS(Ledger!$K$2:$K$4, Ledger!$B$2:$B$4, $A659, Ledger!$C$2:$C$4, R$2)),"****")</f>
        <v/>
      </c>
      <c r="S659" t="str">
        <f>IFERROR(IF($C659="","",SUMIFS(Ledger!$K$2:$K$4, Ledger!$B$2:$B$4, $A659, Ledger!$C$2:$C$4, S$2)),"****")</f>
        <v/>
      </c>
      <c r="T659" t="str">
        <f>IFERROR(IF($C659="","",SUMIFS(Ledger!$K$2:$K$4, Ledger!$B$2:$B$4, $A659, Ledger!$C$2:$C$4, T$2)),"****")</f>
        <v/>
      </c>
      <c r="U659" t="str">
        <f>IFERROR(IF($C659="","",SUMIFS(Ledger!$K$2:$K$4, Ledger!$B$2:$B$4, $A659, Ledger!$C$2:$C$4, U$2)),"****")</f>
        <v/>
      </c>
      <c r="V659" t="str">
        <f>IFERROR(IF($C659="","",SUMIFS(Ledger!$K$2:$K$4, Ledger!$B$2:$B$4, $A659, Ledger!$C$2:$C$4, V$2)),"****")</f>
        <v/>
      </c>
      <c r="W659" t="str">
        <f>IFERROR(IF($C659="","",SUMIFS(Ledger!$K$2:$K$4, Ledger!$B$2:$B$4, $A659, Ledger!$C$2:$C$4, W$2)),"****")</f>
        <v/>
      </c>
      <c r="X659" t="str">
        <f>IFERROR(IF($C659="","",SUMIFS(Ledger!$K$2:$K$4, Ledger!$B$2:$B$4, $A659, Ledger!$C$2:$C$4, X$2)),"****")</f>
        <v/>
      </c>
    </row>
    <row r="660" spans="1:24" x14ac:dyDescent="0.3">
      <c r="A660" s="106">
        <v>658</v>
      </c>
      <c r="B660" t="str">
        <f>IFERROR(VLOOKUP($A660, Ledger!$B$2:$L$8, 3, 0),"")</f>
        <v/>
      </c>
      <c r="C660" t="str">
        <f>IFERROR(VLOOKUP($A660, Ledger!$B$2:$L$8, 4, 0),"")</f>
        <v/>
      </c>
      <c r="D660" t="str">
        <f>IFERROR(VLOOKUP($A660, Ledger!$B$2:$L$8, 5, 0),"")</f>
        <v/>
      </c>
      <c r="E660" t="str">
        <f>IFERROR(VLOOKUP($A660, Ledger!$B$2:$L$8, 6, 0),"")</f>
        <v/>
      </c>
      <c r="F660" t="str">
        <f>IFERROR(VLOOKUP($A660,'Student Data'!$A$2:$AR$6,32,0),"")</f>
        <v/>
      </c>
      <c r="G660" t="str">
        <f>IFERROR(VLOOKUP($A660,'Student Data'!$A$2:$AR$6,33,0),"")</f>
        <v/>
      </c>
      <c r="H660" t="str">
        <f>IFERROR(VLOOKUP($A660,'Student Data'!$A$2:$AR$6,34,0),"")</f>
        <v/>
      </c>
      <c r="I660" t="str">
        <f>IFERROR(VLOOKUP($A660,'Student Data'!$A$2:$AR$6,35,0),"")</f>
        <v/>
      </c>
      <c r="J660" t="str">
        <f>IFERROR(VLOOKUP($A660,'Student Data'!$A$2:$AR$6,36,0),"")</f>
        <v/>
      </c>
      <c r="K660" t="str">
        <f t="shared" si="20"/>
        <v/>
      </c>
      <c r="L660" t="str">
        <f t="shared" si="21"/>
        <v/>
      </c>
      <c r="M660" t="str">
        <f>IFERROR(IF($C660="","",SUMIFS(Ledger!$K$2:$K$4, Ledger!$B$2:$B$4, $A660, Ledger!$C$2:$C$4, M$2)),"****")</f>
        <v/>
      </c>
      <c r="N660" t="str">
        <f>IFERROR(IF($C660="","",SUMIFS(Ledger!$K$2:$K$4, Ledger!$B$2:$B$4, $A660, Ledger!$C$2:$C$4, N$2)),"****")</f>
        <v/>
      </c>
      <c r="O660" t="str">
        <f>IFERROR(IF($C660="","",SUMIFS(Ledger!$K$2:$K$4, Ledger!$B$2:$B$4, $A660, Ledger!$C$2:$C$4, O$2)),"****")</f>
        <v/>
      </c>
      <c r="P660" t="str">
        <f>IFERROR(IF($C660="","",SUMIFS(Ledger!$K$2:$K$4, Ledger!$B$2:$B$4, $A660, Ledger!$C$2:$C$4, P$2)),"****")</f>
        <v/>
      </c>
      <c r="Q660" t="str">
        <f>IFERROR(IF($C660="","",SUMIFS(Ledger!$K$2:$K$4, Ledger!$B$2:$B$4, $A660, Ledger!$C$2:$C$4, Q$2)),"****")</f>
        <v/>
      </c>
      <c r="R660" t="str">
        <f>IFERROR(IF($C660="","",SUMIFS(Ledger!$K$2:$K$4, Ledger!$B$2:$B$4, $A660, Ledger!$C$2:$C$4, R$2)),"****")</f>
        <v/>
      </c>
      <c r="S660" t="str">
        <f>IFERROR(IF($C660="","",SUMIFS(Ledger!$K$2:$K$4, Ledger!$B$2:$B$4, $A660, Ledger!$C$2:$C$4, S$2)),"****")</f>
        <v/>
      </c>
      <c r="T660" t="str">
        <f>IFERROR(IF($C660="","",SUMIFS(Ledger!$K$2:$K$4, Ledger!$B$2:$B$4, $A660, Ledger!$C$2:$C$4, T$2)),"****")</f>
        <v/>
      </c>
      <c r="U660" t="str">
        <f>IFERROR(IF($C660="","",SUMIFS(Ledger!$K$2:$K$4, Ledger!$B$2:$B$4, $A660, Ledger!$C$2:$C$4, U$2)),"****")</f>
        <v/>
      </c>
      <c r="V660" t="str">
        <f>IFERROR(IF($C660="","",SUMIFS(Ledger!$K$2:$K$4, Ledger!$B$2:$B$4, $A660, Ledger!$C$2:$C$4, V$2)),"****")</f>
        <v/>
      </c>
      <c r="W660" t="str">
        <f>IFERROR(IF($C660="","",SUMIFS(Ledger!$K$2:$K$4, Ledger!$B$2:$B$4, $A660, Ledger!$C$2:$C$4, W$2)),"****")</f>
        <v/>
      </c>
      <c r="X660" t="str">
        <f>IFERROR(IF($C660="","",SUMIFS(Ledger!$K$2:$K$4, Ledger!$B$2:$B$4, $A660, Ledger!$C$2:$C$4, X$2)),"****")</f>
        <v/>
      </c>
    </row>
    <row r="661" spans="1:24" x14ac:dyDescent="0.3">
      <c r="A661" s="106">
        <v>659</v>
      </c>
      <c r="B661" t="str">
        <f>IFERROR(VLOOKUP($A661, Ledger!$B$2:$L$8, 3, 0),"")</f>
        <v/>
      </c>
      <c r="C661" t="str">
        <f>IFERROR(VLOOKUP($A661, Ledger!$B$2:$L$8, 4, 0),"")</f>
        <v/>
      </c>
      <c r="D661" t="str">
        <f>IFERROR(VLOOKUP($A661, Ledger!$B$2:$L$8, 5, 0),"")</f>
        <v/>
      </c>
      <c r="E661" t="str">
        <f>IFERROR(VLOOKUP($A661, Ledger!$B$2:$L$8, 6, 0),"")</f>
        <v/>
      </c>
      <c r="F661" t="str">
        <f>IFERROR(VLOOKUP($A661,'Student Data'!$A$2:$AR$6,32,0),"")</f>
        <v/>
      </c>
      <c r="G661" t="str">
        <f>IFERROR(VLOOKUP($A661,'Student Data'!$A$2:$AR$6,33,0),"")</f>
        <v/>
      </c>
      <c r="H661" t="str">
        <f>IFERROR(VLOOKUP($A661,'Student Data'!$A$2:$AR$6,34,0),"")</f>
        <v/>
      </c>
      <c r="I661" t="str">
        <f>IFERROR(VLOOKUP($A661,'Student Data'!$A$2:$AR$6,35,0),"")</f>
        <v/>
      </c>
      <c r="J661" t="str">
        <f>IFERROR(VLOOKUP($A661,'Student Data'!$A$2:$AR$6,36,0),"")</f>
        <v/>
      </c>
      <c r="K661" t="str">
        <f t="shared" si="20"/>
        <v/>
      </c>
      <c r="L661" t="str">
        <f t="shared" si="21"/>
        <v/>
      </c>
      <c r="M661" t="str">
        <f>IFERROR(IF($C661="","",SUMIFS(Ledger!$K$2:$K$4, Ledger!$B$2:$B$4, $A661, Ledger!$C$2:$C$4, M$2)),"****")</f>
        <v/>
      </c>
      <c r="N661" t="str">
        <f>IFERROR(IF($C661="","",SUMIFS(Ledger!$K$2:$K$4, Ledger!$B$2:$B$4, $A661, Ledger!$C$2:$C$4, N$2)),"****")</f>
        <v/>
      </c>
      <c r="O661" t="str">
        <f>IFERROR(IF($C661="","",SUMIFS(Ledger!$K$2:$K$4, Ledger!$B$2:$B$4, $A661, Ledger!$C$2:$C$4, O$2)),"****")</f>
        <v/>
      </c>
      <c r="P661" t="str">
        <f>IFERROR(IF($C661="","",SUMIFS(Ledger!$K$2:$K$4, Ledger!$B$2:$B$4, $A661, Ledger!$C$2:$C$4, P$2)),"****")</f>
        <v/>
      </c>
      <c r="Q661" t="str">
        <f>IFERROR(IF($C661="","",SUMIFS(Ledger!$K$2:$K$4, Ledger!$B$2:$B$4, $A661, Ledger!$C$2:$C$4, Q$2)),"****")</f>
        <v/>
      </c>
      <c r="R661" t="str">
        <f>IFERROR(IF($C661="","",SUMIFS(Ledger!$K$2:$K$4, Ledger!$B$2:$B$4, $A661, Ledger!$C$2:$C$4, R$2)),"****")</f>
        <v/>
      </c>
      <c r="S661" t="str">
        <f>IFERROR(IF($C661="","",SUMIFS(Ledger!$K$2:$K$4, Ledger!$B$2:$B$4, $A661, Ledger!$C$2:$C$4, S$2)),"****")</f>
        <v/>
      </c>
      <c r="T661" t="str">
        <f>IFERROR(IF($C661="","",SUMIFS(Ledger!$K$2:$K$4, Ledger!$B$2:$B$4, $A661, Ledger!$C$2:$C$4, T$2)),"****")</f>
        <v/>
      </c>
      <c r="U661" t="str">
        <f>IFERROR(IF($C661="","",SUMIFS(Ledger!$K$2:$K$4, Ledger!$B$2:$B$4, $A661, Ledger!$C$2:$C$4, U$2)),"****")</f>
        <v/>
      </c>
      <c r="V661" t="str">
        <f>IFERROR(IF($C661="","",SUMIFS(Ledger!$K$2:$K$4, Ledger!$B$2:$B$4, $A661, Ledger!$C$2:$C$4, V$2)),"****")</f>
        <v/>
      </c>
      <c r="W661" t="str">
        <f>IFERROR(IF($C661="","",SUMIFS(Ledger!$K$2:$K$4, Ledger!$B$2:$B$4, $A661, Ledger!$C$2:$C$4, W$2)),"****")</f>
        <v/>
      </c>
      <c r="X661" t="str">
        <f>IFERROR(IF($C661="","",SUMIFS(Ledger!$K$2:$K$4, Ledger!$B$2:$B$4, $A661, Ledger!$C$2:$C$4, X$2)),"****")</f>
        <v/>
      </c>
    </row>
    <row r="662" spans="1:24" x14ac:dyDescent="0.3">
      <c r="A662" s="106">
        <v>660</v>
      </c>
      <c r="B662" t="str">
        <f>IFERROR(VLOOKUP($A662, Ledger!$B$2:$L$8, 3, 0),"")</f>
        <v/>
      </c>
      <c r="C662" t="str">
        <f>IFERROR(VLOOKUP($A662, Ledger!$B$2:$L$8, 4, 0),"")</f>
        <v/>
      </c>
      <c r="D662" t="str">
        <f>IFERROR(VLOOKUP($A662, Ledger!$B$2:$L$8, 5, 0),"")</f>
        <v/>
      </c>
      <c r="E662" t="str">
        <f>IFERROR(VLOOKUP($A662, Ledger!$B$2:$L$8, 6, 0),"")</f>
        <v/>
      </c>
      <c r="F662" t="str">
        <f>IFERROR(VLOOKUP($A662,'Student Data'!$A$2:$AR$6,32,0),"")</f>
        <v/>
      </c>
      <c r="G662" t="str">
        <f>IFERROR(VLOOKUP($A662,'Student Data'!$A$2:$AR$6,33,0),"")</f>
        <v/>
      </c>
      <c r="H662" t="str">
        <f>IFERROR(VLOOKUP($A662,'Student Data'!$A$2:$AR$6,34,0),"")</f>
        <v/>
      </c>
      <c r="I662" t="str">
        <f>IFERROR(VLOOKUP($A662,'Student Data'!$A$2:$AR$6,35,0),"")</f>
        <v/>
      </c>
      <c r="J662" t="str">
        <f>IFERROR(VLOOKUP($A662,'Student Data'!$A$2:$AR$6,36,0),"")</f>
        <v/>
      </c>
      <c r="K662" t="str">
        <f t="shared" si="20"/>
        <v/>
      </c>
      <c r="L662" t="str">
        <f t="shared" si="21"/>
        <v/>
      </c>
      <c r="M662" t="str">
        <f>IFERROR(IF($C662="","",SUMIFS(Ledger!$K$2:$K$4, Ledger!$B$2:$B$4, $A662, Ledger!$C$2:$C$4, M$2)),"****")</f>
        <v/>
      </c>
      <c r="N662" t="str">
        <f>IFERROR(IF($C662="","",SUMIFS(Ledger!$K$2:$K$4, Ledger!$B$2:$B$4, $A662, Ledger!$C$2:$C$4, N$2)),"****")</f>
        <v/>
      </c>
      <c r="O662" t="str">
        <f>IFERROR(IF($C662="","",SUMIFS(Ledger!$K$2:$K$4, Ledger!$B$2:$B$4, $A662, Ledger!$C$2:$C$4, O$2)),"****")</f>
        <v/>
      </c>
      <c r="P662" t="str">
        <f>IFERROR(IF($C662="","",SUMIFS(Ledger!$K$2:$K$4, Ledger!$B$2:$B$4, $A662, Ledger!$C$2:$C$4, P$2)),"****")</f>
        <v/>
      </c>
      <c r="Q662" t="str">
        <f>IFERROR(IF($C662="","",SUMIFS(Ledger!$K$2:$K$4, Ledger!$B$2:$B$4, $A662, Ledger!$C$2:$C$4, Q$2)),"****")</f>
        <v/>
      </c>
      <c r="R662" t="str">
        <f>IFERROR(IF($C662="","",SUMIFS(Ledger!$K$2:$K$4, Ledger!$B$2:$B$4, $A662, Ledger!$C$2:$C$4, R$2)),"****")</f>
        <v/>
      </c>
      <c r="S662" t="str">
        <f>IFERROR(IF($C662="","",SUMIFS(Ledger!$K$2:$K$4, Ledger!$B$2:$B$4, $A662, Ledger!$C$2:$C$4, S$2)),"****")</f>
        <v/>
      </c>
      <c r="T662" t="str">
        <f>IFERROR(IF($C662="","",SUMIFS(Ledger!$K$2:$K$4, Ledger!$B$2:$B$4, $A662, Ledger!$C$2:$C$4, T$2)),"****")</f>
        <v/>
      </c>
      <c r="U662" t="str">
        <f>IFERROR(IF($C662="","",SUMIFS(Ledger!$K$2:$K$4, Ledger!$B$2:$B$4, $A662, Ledger!$C$2:$C$4, U$2)),"****")</f>
        <v/>
      </c>
      <c r="V662" t="str">
        <f>IFERROR(IF($C662="","",SUMIFS(Ledger!$K$2:$K$4, Ledger!$B$2:$B$4, $A662, Ledger!$C$2:$C$4, V$2)),"****")</f>
        <v/>
      </c>
      <c r="W662" t="str">
        <f>IFERROR(IF($C662="","",SUMIFS(Ledger!$K$2:$K$4, Ledger!$B$2:$B$4, $A662, Ledger!$C$2:$C$4, W$2)),"****")</f>
        <v/>
      </c>
      <c r="X662" t="str">
        <f>IFERROR(IF($C662="","",SUMIFS(Ledger!$K$2:$K$4, Ledger!$B$2:$B$4, $A662, Ledger!$C$2:$C$4, X$2)),"****")</f>
        <v/>
      </c>
    </row>
    <row r="663" spans="1:24" x14ac:dyDescent="0.3">
      <c r="A663" s="106">
        <v>661</v>
      </c>
      <c r="B663" t="str">
        <f>IFERROR(VLOOKUP($A663, Ledger!$B$2:$L$8, 3, 0),"")</f>
        <v/>
      </c>
      <c r="C663" t="str">
        <f>IFERROR(VLOOKUP($A663, Ledger!$B$2:$L$8, 4, 0),"")</f>
        <v/>
      </c>
      <c r="D663" t="str">
        <f>IFERROR(VLOOKUP($A663, Ledger!$B$2:$L$8, 5, 0),"")</f>
        <v/>
      </c>
      <c r="E663" t="str">
        <f>IFERROR(VLOOKUP($A663, Ledger!$B$2:$L$8, 6, 0),"")</f>
        <v/>
      </c>
      <c r="F663" t="str">
        <f>IFERROR(VLOOKUP($A663,'Student Data'!$A$2:$AR$6,32,0),"")</f>
        <v/>
      </c>
      <c r="G663" t="str">
        <f>IFERROR(VLOOKUP($A663,'Student Data'!$A$2:$AR$6,33,0),"")</f>
        <v/>
      </c>
      <c r="H663" t="str">
        <f>IFERROR(VLOOKUP($A663,'Student Data'!$A$2:$AR$6,34,0),"")</f>
        <v/>
      </c>
      <c r="I663" t="str">
        <f>IFERROR(VLOOKUP($A663,'Student Data'!$A$2:$AR$6,35,0),"")</f>
        <v/>
      </c>
      <c r="J663" t="str">
        <f>IFERROR(VLOOKUP($A663,'Student Data'!$A$2:$AR$6,36,0),"")</f>
        <v/>
      </c>
      <c r="K663" t="str">
        <f t="shared" si="20"/>
        <v/>
      </c>
      <c r="L663" t="str">
        <f t="shared" si="21"/>
        <v/>
      </c>
      <c r="M663" t="str">
        <f>IFERROR(IF($C663="","",SUMIFS(Ledger!$K$2:$K$4, Ledger!$B$2:$B$4, $A663, Ledger!$C$2:$C$4, M$2)),"****")</f>
        <v/>
      </c>
      <c r="N663" t="str">
        <f>IFERROR(IF($C663="","",SUMIFS(Ledger!$K$2:$K$4, Ledger!$B$2:$B$4, $A663, Ledger!$C$2:$C$4, N$2)),"****")</f>
        <v/>
      </c>
      <c r="O663" t="str">
        <f>IFERROR(IF($C663="","",SUMIFS(Ledger!$K$2:$K$4, Ledger!$B$2:$B$4, $A663, Ledger!$C$2:$C$4, O$2)),"****")</f>
        <v/>
      </c>
      <c r="P663" t="str">
        <f>IFERROR(IF($C663="","",SUMIFS(Ledger!$K$2:$K$4, Ledger!$B$2:$B$4, $A663, Ledger!$C$2:$C$4, P$2)),"****")</f>
        <v/>
      </c>
      <c r="Q663" t="str">
        <f>IFERROR(IF($C663="","",SUMIFS(Ledger!$K$2:$K$4, Ledger!$B$2:$B$4, $A663, Ledger!$C$2:$C$4, Q$2)),"****")</f>
        <v/>
      </c>
      <c r="R663" t="str">
        <f>IFERROR(IF($C663="","",SUMIFS(Ledger!$K$2:$K$4, Ledger!$B$2:$B$4, $A663, Ledger!$C$2:$C$4, R$2)),"****")</f>
        <v/>
      </c>
      <c r="S663" t="str">
        <f>IFERROR(IF($C663="","",SUMIFS(Ledger!$K$2:$K$4, Ledger!$B$2:$B$4, $A663, Ledger!$C$2:$C$4, S$2)),"****")</f>
        <v/>
      </c>
      <c r="T663" t="str">
        <f>IFERROR(IF($C663="","",SUMIFS(Ledger!$K$2:$K$4, Ledger!$B$2:$B$4, $A663, Ledger!$C$2:$C$4, T$2)),"****")</f>
        <v/>
      </c>
      <c r="U663" t="str">
        <f>IFERROR(IF($C663="","",SUMIFS(Ledger!$K$2:$K$4, Ledger!$B$2:$B$4, $A663, Ledger!$C$2:$C$4, U$2)),"****")</f>
        <v/>
      </c>
      <c r="V663" t="str">
        <f>IFERROR(IF($C663="","",SUMIFS(Ledger!$K$2:$K$4, Ledger!$B$2:$B$4, $A663, Ledger!$C$2:$C$4, V$2)),"****")</f>
        <v/>
      </c>
      <c r="W663" t="str">
        <f>IFERROR(IF($C663="","",SUMIFS(Ledger!$K$2:$K$4, Ledger!$B$2:$B$4, $A663, Ledger!$C$2:$C$4, W$2)),"****")</f>
        <v/>
      </c>
      <c r="X663" t="str">
        <f>IFERROR(IF($C663="","",SUMIFS(Ledger!$K$2:$K$4, Ledger!$B$2:$B$4, $A663, Ledger!$C$2:$C$4, X$2)),"****")</f>
        <v/>
      </c>
    </row>
    <row r="664" spans="1:24" x14ac:dyDescent="0.3">
      <c r="A664" s="106">
        <v>662</v>
      </c>
      <c r="B664" t="str">
        <f>IFERROR(VLOOKUP($A664, Ledger!$B$2:$L$8, 3, 0),"")</f>
        <v/>
      </c>
      <c r="C664" t="str">
        <f>IFERROR(VLOOKUP($A664, Ledger!$B$2:$L$8, 4, 0),"")</f>
        <v/>
      </c>
      <c r="D664" t="str">
        <f>IFERROR(VLOOKUP($A664, Ledger!$B$2:$L$8, 5, 0),"")</f>
        <v/>
      </c>
      <c r="E664" t="str">
        <f>IFERROR(VLOOKUP($A664, Ledger!$B$2:$L$8, 6, 0),"")</f>
        <v/>
      </c>
      <c r="F664" t="str">
        <f>IFERROR(VLOOKUP($A664,'Student Data'!$A$2:$AR$6,32,0),"")</f>
        <v/>
      </c>
      <c r="G664" t="str">
        <f>IFERROR(VLOOKUP($A664,'Student Data'!$A$2:$AR$6,33,0),"")</f>
        <v/>
      </c>
      <c r="H664" t="str">
        <f>IFERROR(VLOOKUP($A664,'Student Data'!$A$2:$AR$6,34,0),"")</f>
        <v/>
      </c>
      <c r="I664" t="str">
        <f>IFERROR(VLOOKUP($A664,'Student Data'!$A$2:$AR$6,35,0),"")</f>
        <v/>
      </c>
      <c r="J664" t="str">
        <f>IFERROR(VLOOKUP($A664,'Student Data'!$A$2:$AR$6,36,0),"")</f>
        <v/>
      </c>
      <c r="K664" t="str">
        <f t="shared" si="20"/>
        <v/>
      </c>
      <c r="L664" t="str">
        <f t="shared" si="21"/>
        <v/>
      </c>
      <c r="M664" t="str">
        <f>IFERROR(IF($C664="","",SUMIFS(Ledger!$K$2:$K$4, Ledger!$B$2:$B$4, $A664, Ledger!$C$2:$C$4, M$2)),"****")</f>
        <v/>
      </c>
      <c r="N664" t="str">
        <f>IFERROR(IF($C664="","",SUMIFS(Ledger!$K$2:$K$4, Ledger!$B$2:$B$4, $A664, Ledger!$C$2:$C$4, N$2)),"****")</f>
        <v/>
      </c>
      <c r="O664" t="str">
        <f>IFERROR(IF($C664="","",SUMIFS(Ledger!$K$2:$K$4, Ledger!$B$2:$B$4, $A664, Ledger!$C$2:$C$4, O$2)),"****")</f>
        <v/>
      </c>
      <c r="P664" t="str">
        <f>IFERROR(IF($C664="","",SUMIFS(Ledger!$K$2:$K$4, Ledger!$B$2:$B$4, $A664, Ledger!$C$2:$C$4, P$2)),"****")</f>
        <v/>
      </c>
      <c r="Q664" t="str">
        <f>IFERROR(IF($C664="","",SUMIFS(Ledger!$K$2:$K$4, Ledger!$B$2:$B$4, $A664, Ledger!$C$2:$C$4, Q$2)),"****")</f>
        <v/>
      </c>
      <c r="R664" t="str">
        <f>IFERROR(IF($C664="","",SUMIFS(Ledger!$K$2:$K$4, Ledger!$B$2:$B$4, $A664, Ledger!$C$2:$C$4, R$2)),"****")</f>
        <v/>
      </c>
      <c r="S664" t="str">
        <f>IFERROR(IF($C664="","",SUMIFS(Ledger!$K$2:$K$4, Ledger!$B$2:$B$4, $A664, Ledger!$C$2:$C$4, S$2)),"****")</f>
        <v/>
      </c>
      <c r="T664" t="str">
        <f>IFERROR(IF($C664="","",SUMIFS(Ledger!$K$2:$K$4, Ledger!$B$2:$B$4, $A664, Ledger!$C$2:$C$4, T$2)),"****")</f>
        <v/>
      </c>
      <c r="U664" t="str">
        <f>IFERROR(IF($C664="","",SUMIFS(Ledger!$K$2:$K$4, Ledger!$B$2:$B$4, $A664, Ledger!$C$2:$C$4, U$2)),"****")</f>
        <v/>
      </c>
      <c r="V664" t="str">
        <f>IFERROR(IF($C664="","",SUMIFS(Ledger!$K$2:$K$4, Ledger!$B$2:$B$4, $A664, Ledger!$C$2:$C$4, V$2)),"****")</f>
        <v/>
      </c>
      <c r="W664" t="str">
        <f>IFERROR(IF($C664="","",SUMIFS(Ledger!$K$2:$K$4, Ledger!$B$2:$B$4, $A664, Ledger!$C$2:$C$4, W$2)),"****")</f>
        <v/>
      </c>
      <c r="X664" t="str">
        <f>IFERROR(IF($C664="","",SUMIFS(Ledger!$K$2:$K$4, Ledger!$B$2:$B$4, $A664, Ledger!$C$2:$C$4, X$2)),"****")</f>
        <v/>
      </c>
    </row>
    <row r="665" spans="1:24" x14ac:dyDescent="0.3">
      <c r="A665" s="106">
        <v>663</v>
      </c>
      <c r="B665" t="str">
        <f>IFERROR(VLOOKUP($A665, Ledger!$B$2:$L$8, 3, 0),"")</f>
        <v/>
      </c>
      <c r="C665" t="str">
        <f>IFERROR(VLOOKUP($A665, Ledger!$B$2:$L$8, 4, 0),"")</f>
        <v/>
      </c>
      <c r="D665" t="str">
        <f>IFERROR(VLOOKUP($A665, Ledger!$B$2:$L$8, 5, 0),"")</f>
        <v/>
      </c>
      <c r="E665" t="str">
        <f>IFERROR(VLOOKUP($A665, Ledger!$B$2:$L$8, 6, 0),"")</f>
        <v/>
      </c>
      <c r="F665" t="str">
        <f>IFERROR(VLOOKUP($A665,'Student Data'!$A$2:$AR$6,32,0),"")</f>
        <v/>
      </c>
      <c r="G665" t="str">
        <f>IFERROR(VLOOKUP($A665,'Student Data'!$A$2:$AR$6,33,0),"")</f>
        <v/>
      </c>
      <c r="H665" t="str">
        <f>IFERROR(VLOOKUP($A665,'Student Data'!$A$2:$AR$6,34,0),"")</f>
        <v/>
      </c>
      <c r="I665" t="str">
        <f>IFERROR(VLOOKUP($A665,'Student Data'!$A$2:$AR$6,35,0),"")</f>
        <v/>
      </c>
      <c r="J665" t="str">
        <f>IFERROR(VLOOKUP($A665,'Student Data'!$A$2:$AR$6,36,0),"")</f>
        <v/>
      </c>
      <c r="K665" t="str">
        <f t="shared" si="20"/>
        <v/>
      </c>
      <c r="L665" t="str">
        <f t="shared" si="21"/>
        <v/>
      </c>
      <c r="M665" t="str">
        <f>IFERROR(IF($C665="","",SUMIFS(Ledger!$K$2:$K$4, Ledger!$B$2:$B$4, $A665, Ledger!$C$2:$C$4, M$2)),"****")</f>
        <v/>
      </c>
      <c r="N665" t="str">
        <f>IFERROR(IF($C665="","",SUMIFS(Ledger!$K$2:$K$4, Ledger!$B$2:$B$4, $A665, Ledger!$C$2:$C$4, N$2)),"****")</f>
        <v/>
      </c>
      <c r="O665" t="str">
        <f>IFERROR(IF($C665="","",SUMIFS(Ledger!$K$2:$K$4, Ledger!$B$2:$B$4, $A665, Ledger!$C$2:$C$4, O$2)),"****")</f>
        <v/>
      </c>
      <c r="P665" t="str">
        <f>IFERROR(IF($C665="","",SUMIFS(Ledger!$K$2:$K$4, Ledger!$B$2:$B$4, $A665, Ledger!$C$2:$C$4, P$2)),"****")</f>
        <v/>
      </c>
      <c r="Q665" t="str">
        <f>IFERROR(IF($C665="","",SUMIFS(Ledger!$K$2:$K$4, Ledger!$B$2:$B$4, $A665, Ledger!$C$2:$C$4, Q$2)),"****")</f>
        <v/>
      </c>
      <c r="R665" t="str">
        <f>IFERROR(IF($C665="","",SUMIFS(Ledger!$K$2:$K$4, Ledger!$B$2:$B$4, $A665, Ledger!$C$2:$C$4, R$2)),"****")</f>
        <v/>
      </c>
      <c r="S665" t="str">
        <f>IFERROR(IF($C665="","",SUMIFS(Ledger!$K$2:$K$4, Ledger!$B$2:$B$4, $A665, Ledger!$C$2:$C$4, S$2)),"****")</f>
        <v/>
      </c>
      <c r="T665" t="str">
        <f>IFERROR(IF($C665="","",SUMIFS(Ledger!$K$2:$K$4, Ledger!$B$2:$B$4, $A665, Ledger!$C$2:$C$4, T$2)),"****")</f>
        <v/>
      </c>
      <c r="U665" t="str">
        <f>IFERROR(IF($C665="","",SUMIFS(Ledger!$K$2:$K$4, Ledger!$B$2:$B$4, $A665, Ledger!$C$2:$C$4, U$2)),"****")</f>
        <v/>
      </c>
      <c r="V665" t="str">
        <f>IFERROR(IF($C665="","",SUMIFS(Ledger!$K$2:$K$4, Ledger!$B$2:$B$4, $A665, Ledger!$C$2:$C$4, V$2)),"****")</f>
        <v/>
      </c>
      <c r="W665" t="str">
        <f>IFERROR(IF($C665="","",SUMIFS(Ledger!$K$2:$K$4, Ledger!$B$2:$B$4, $A665, Ledger!$C$2:$C$4, W$2)),"****")</f>
        <v/>
      </c>
      <c r="X665" t="str">
        <f>IFERROR(IF($C665="","",SUMIFS(Ledger!$K$2:$K$4, Ledger!$B$2:$B$4, $A665, Ledger!$C$2:$C$4, X$2)),"****")</f>
        <v/>
      </c>
    </row>
    <row r="666" spans="1:24" x14ac:dyDescent="0.3">
      <c r="A666" s="106">
        <v>664</v>
      </c>
      <c r="B666" t="str">
        <f>IFERROR(VLOOKUP($A666, Ledger!$B$2:$L$8, 3, 0),"")</f>
        <v/>
      </c>
      <c r="C666" t="str">
        <f>IFERROR(VLOOKUP($A666, Ledger!$B$2:$L$8, 4, 0),"")</f>
        <v/>
      </c>
      <c r="D666" t="str">
        <f>IFERROR(VLOOKUP($A666, Ledger!$B$2:$L$8, 5, 0),"")</f>
        <v/>
      </c>
      <c r="E666" t="str">
        <f>IFERROR(VLOOKUP($A666, Ledger!$B$2:$L$8, 6, 0),"")</f>
        <v/>
      </c>
      <c r="F666" t="str">
        <f>IFERROR(VLOOKUP($A666,'Student Data'!$A$2:$AR$6,32,0),"")</f>
        <v/>
      </c>
      <c r="G666" t="str">
        <f>IFERROR(VLOOKUP($A666,'Student Data'!$A$2:$AR$6,33,0),"")</f>
        <v/>
      </c>
      <c r="H666" t="str">
        <f>IFERROR(VLOOKUP($A666,'Student Data'!$A$2:$AR$6,34,0),"")</f>
        <v/>
      </c>
      <c r="I666" t="str">
        <f>IFERROR(VLOOKUP($A666,'Student Data'!$A$2:$AR$6,35,0),"")</f>
        <v/>
      </c>
      <c r="J666" t="str">
        <f>IFERROR(VLOOKUP($A666,'Student Data'!$A$2:$AR$6,36,0),"")</f>
        <v/>
      </c>
      <c r="K666" t="str">
        <f t="shared" si="20"/>
        <v/>
      </c>
      <c r="L666" t="str">
        <f t="shared" si="21"/>
        <v/>
      </c>
      <c r="M666" t="str">
        <f>IFERROR(IF($C666="","",SUMIFS(Ledger!$K$2:$K$4, Ledger!$B$2:$B$4, $A666, Ledger!$C$2:$C$4, M$2)),"****")</f>
        <v/>
      </c>
      <c r="N666" t="str">
        <f>IFERROR(IF($C666="","",SUMIFS(Ledger!$K$2:$K$4, Ledger!$B$2:$B$4, $A666, Ledger!$C$2:$C$4, N$2)),"****")</f>
        <v/>
      </c>
      <c r="O666" t="str">
        <f>IFERROR(IF($C666="","",SUMIFS(Ledger!$K$2:$K$4, Ledger!$B$2:$B$4, $A666, Ledger!$C$2:$C$4, O$2)),"****")</f>
        <v/>
      </c>
      <c r="P666" t="str">
        <f>IFERROR(IF($C666="","",SUMIFS(Ledger!$K$2:$K$4, Ledger!$B$2:$B$4, $A666, Ledger!$C$2:$C$4, P$2)),"****")</f>
        <v/>
      </c>
      <c r="Q666" t="str">
        <f>IFERROR(IF($C666="","",SUMIFS(Ledger!$K$2:$K$4, Ledger!$B$2:$B$4, $A666, Ledger!$C$2:$C$4, Q$2)),"****")</f>
        <v/>
      </c>
      <c r="R666" t="str">
        <f>IFERROR(IF($C666="","",SUMIFS(Ledger!$K$2:$K$4, Ledger!$B$2:$B$4, $A666, Ledger!$C$2:$C$4, R$2)),"****")</f>
        <v/>
      </c>
      <c r="S666" t="str">
        <f>IFERROR(IF($C666="","",SUMIFS(Ledger!$K$2:$K$4, Ledger!$B$2:$B$4, $A666, Ledger!$C$2:$C$4, S$2)),"****")</f>
        <v/>
      </c>
      <c r="T666" t="str">
        <f>IFERROR(IF($C666="","",SUMIFS(Ledger!$K$2:$K$4, Ledger!$B$2:$B$4, $A666, Ledger!$C$2:$C$4, T$2)),"****")</f>
        <v/>
      </c>
      <c r="U666" t="str">
        <f>IFERROR(IF($C666="","",SUMIFS(Ledger!$K$2:$K$4, Ledger!$B$2:$B$4, $A666, Ledger!$C$2:$C$4, U$2)),"****")</f>
        <v/>
      </c>
      <c r="V666" t="str">
        <f>IFERROR(IF($C666="","",SUMIFS(Ledger!$K$2:$K$4, Ledger!$B$2:$B$4, $A666, Ledger!$C$2:$C$4, V$2)),"****")</f>
        <v/>
      </c>
      <c r="W666" t="str">
        <f>IFERROR(IF($C666="","",SUMIFS(Ledger!$K$2:$K$4, Ledger!$B$2:$B$4, $A666, Ledger!$C$2:$C$4, W$2)),"****")</f>
        <v/>
      </c>
      <c r="X666" t="str">
        <f>IFERROR(IF($C666="","",SUMIFS(Ledger!$K$2:$K$4, Ledger!$B$2:$B$4, $A666, Ledger!$C$2:$C$4, X$2)),"****")</f>
        <v/>
      </c>
    </row>
    <row r="667" spans="1:24" x14ac:dyDescent="0.3">
      <c r="A667" s="106">
        <v>665</v>
      </c>
      <c r="B667" t="str">
        <f>IFERROR(VLOOKUP($A667, Ledger!$B$2:$L$8, 3, 0),"")</f>
        <v/>
      </c>
      <c r="C667" t="str">
        <f>IFERROR(VLOOKUP($A667, Ledger!$B$2:$L$8, 4, 0),"")</f>
        <v/>
      </c>
      <c r="D667" t="str">
        <f>IFERROR(VLOOKUP($A667, Ledger!$B$2:$L$8, 5, 0),"")</f>
        <v/>
      </c>
      <c r="E667" t="str">
        <f>IFERROR(VLOOKUP($A667, Ledger!$B$2:$L$8, 6, 0),"")</f>
        <v/>
      </c>
      <c r="F667" t="str">
        <f>IFERROR(VLOOKUP($A667,'Student Data'!$A$2:$AR$6,32,0),"")</f>
        <v/>
      </c>
      <c r="G667" t="str">
        <f>IFERROR(VLOOKUP($A667,'Student Data'!$A$2:$AR$6,33,0),"")</f>
        <v/>
      </c>
      <c r="H667" t="str">
        <f>IFERROR(VLOOKUP($A667,'Student Data'!$A$2:$AR$6,34,0),"")</f>
        <v/>
      </c>
      <c r="I667" t="str">
        <f>IFERROR(VLOOKUP($A667,'Student Data'!$A$2:$AR$6,35,0),"")</f>
        <v/>
      </c>
      <c r="J667" t="str">
        <f>IFERROR(VLOOKUP($A667,'Student Data'!$A$2:$AR$6,36,0),"")</f>
        <v/>
      </c>
      <c r="K667" t="str">
        <f t="shared" si="20"/>
        <v/>
      </c>
      <c r="L667" t="str">
        <f t="shared" si="21"/>
        <v/>
      </c>
      <c r="M667" t="str">
        <f>IFERROR(IF($C667="","",SUMIFS(Ledger!$K$2:$K$4, Ledger!$B$2:$B$4, $A667, Ledger!$C$2:$C$4, M$2)),"****")</f>
        <v/>
      </c>
      <c r="N667" t="str">
        <f>IFERROR(IF($C667="","",SUMIFS(Ledger!$K$2:$K$4, Ledger!$B$2:$B$4, $A667, Ledger!$C$2:$C$4, N$2)),"****")</f>
        <v/>
      </c>
      <c r="O667" t="str">
        <f>IFERROR(IF($C667="","",SUMIFS(Ledger!$K$2:$K$4, Ledger!$B$2:$B$4, $A667, Ledger!$C$2:$C$4, O$2)),"****")</f>
        <v/>
      </c>
      <c r="P667" t="str">
        <f>IFERROR(IF($C667="","",SUMIFS(Ledger!$K$2:$K$4, Ledger!$B$2:$B$4, $A667, Ledger!$C$2:$C$4, P$2)),"****")</f>
        <v/>
      </c>
      <c r="Q667" t="str">
        <f>IFERROR(IF($C667="","",SUMIFS(Ledger!$K$2:$K$4, Ledger!$B$2:$B$4, $A667, Ledger!$C$2:$C$4, Q$2)),"****")</f>
        <v/>
      </c>
      <c r="R667" t="str">
        <f>IFERROR(IF($C667="","",SUMIFS(Ledger!$K$2:$K$4, Ledger!$B$2:$B$4, $A667, Ledger!$C$2:$C$4, R$2)),"****")</f>
        <v/>
      </c>
      <c r="S667" t="str">
        <f>IFERROR(IF($C667="","",SUMIFS(Ledger!$K$2:$K$4, Ledger!$B$2:$B$4, $A667, Ledger!$C$2:$C$4, S$2)),"****")</f>
        <v/>
      </c>
      <c r="T667" t="str">
        <f>IFERROR(IF($C667="","",SUMIFS(Ledger!$K$2:$K$4, Ledger!$B$2:$B$4, $A667, Ledger!$C$2:$C$4, T$2)),"****")</f>
        <v/>
      </c>
      <c r="U667" t="str">
        <f>IFERROR(IF($C667="","",SUMIFS(Ledger!$K$2:$K$4, Ledger!$B$2:$B$4, $A667, Ledger!$C$2:$C$4, U$2)),"****")</f>
        <v/>
      </c>
      <c r="V667" t="str">
        <f>IFERROR(IF($C667="","",SUMIFS(Ledger!$K$2:$K$4, Ledger!$B$2:$B$4, $A667, Ledger!$C$2:$C$4, V$2)),"****")</f>
        <v/>
      </c>
      <c r="W667" t="str">
        <f>IFERROR(IF($C667="","",SUMIFS(Ledger!$K$2:$K$4, Ledger!$B$2:$B$4, $A667, Ledger!$C$2:$C$4, W$2)),"****")</f>
        <v/>
      </c>
      <c r="X667" t="str">
        <f>IFERROR(IF($C667="","",SUMIFS(Ledger!$K$2:$K$4, Ledger!$B$2:$B$4, $A667, Ledger!$C$2:$C$4, X$2)),"****")</f>
        <v/>
      </c>
    </row>
    <row r="668" spans="1:24" x14ac:dyDescent="0.3">
      <c r="A668" s="106">
        <v>666</v>
      </c>
      <c r="B668" t="str">
        <f>IFERROR(VLOOKUP($A668, Ledger!$B$2:$L$8, 3, 0),"")</f>
        <v/>
      </c>
      <c r="C668" t="str">
        <f>IFERROR(VLOOKUP($A668, Ledger!$B$2:$L$8, 4, 0),"")</f>
        <v/>
      </c>
      <c r="D668" t="str">
        <f>IFERROR(VLOOKUP($A668, Ledger!$B$2:$L$8, 5, 0),"")</f>
        <v/>
      </c>
      <c r="E668" t="str">
        <f>IFERROR(VLOOKUP($A668, Ledger!$B$2:$L$8, 6, 0),"")</f>
        <v/>
      </c>
      <c r="F668" t="str">
        <f>IFERROR(VLOOKUP($A668,'Student Data'!$A$2:$AR$6,32,0),"")</f>
        <v/>
      </c>
      <c r="G668" t="str">
        <f>IFERROR(VLOOKUP($A668,'Student Data'!$A$2:$AR$6,33,0),"")</f>
        <v/>
      </c>
      <c r="H668" t="str">
        <f>IFERROR(VLOOKUP($A668,'Student Data'!$A$2:$AR$6,34,0),"")</f>
        <v/>
      </c>
      <c r="I668" t="str">
        <f>IFERROR(VLOOKUP($A668,'Student Data'!$A$2:$AR$6,35,0),"")</f>
        <v/>
      </c>
      <c r="J668" t="str">
        <f>IFERROR(VLOOKUP($A668,'Student Data'!$A$2:$AR$6,36,0),"")</f>
        <v/>
      </c>
      <c r="K668" t="str">
        <f t="shared" si="20"/>
        <v/>
      </c>
      <c r="L668" t="str">
        <f t="shared" si="21"/>
        <v/>
      </c>
      <c r="M668" t="str">
        <f>IFERROR(IF($C668="","",SUMIFS(Ledger!$K$2:$K$4, Ledger!$B$2:$B$4, $A668, Ledger!$C$2:$C$4, M$2)),"****")</f>
        <v/>
      </c>
      <c r="N668" t="str">
        <f>IFERROR(IF($C668="","",SUMIFS(Ledger!$K$2:$K$4, Ledger!$B$2:$B$4, $A668, Ledger!$C$2:$C$4, N$2)),"****")</f>
        <v/>
      </c>
      <c r="O668" t="str">
        <f>IFERROR(IF($C668="","",SUMIFS(Ledger!$K$2:$K$4, Ledger!$B$2:$B$4, $A668, Ledger!$C$2:$C$4, O$2)),"****")</f>
        <v/>
      </c>
      <c r="P668" t="str">
        <f>IFERROR(IF($C668="","",SUMIFS(Ledger!$K$2:$K$4, Ledger!$B$2:$B$4, $A668, Ledger!$C$2:$C$4, P$2)),"****")</f>
        <v/>
      </c>
      <c r="Q668" t="str">
        <f>IFERROR(IF($C668="","",SUMIFS(Ledger!$K$2:$K$4, Ledger!$B$2:$B$4, $A668, Ledger!$C$2:$C$4, Q$2)),"****")</f>
        <v/>
      </c>
      <c r="R668" t="str">
        <f>IFERROR(IF($C668="","",SUMIFS(Ledger!$K$2:$K$4, Ledger!$B$2:$B$4, $A668, Ledger!$C$2:$C$4, R$2)),"****")</f>
        <v/>
      </c>
      <c r="S668" t="str">
        <f>IFERROR(IF($C668="","",SUMIFS(Ledger!$K$2:$K$4, Ledger!$B$2:$B$4, $A668, Ledger!$C$2:$C$4, S$2)),"****")</f>
        <v/>
      </c>
      <c r="T668" t="str">
        <f>IFERROR(IF($C668="","",SUMIFS(Ledger!$K$2:$K$4, Ledger!$B$2:$B$4, $A668, Ledger!$C$2:$C$4, T$2)),"****")</f>
        <v/>
      </c>
      <c r="U668" t="str">
        <f>IFERROR(IF($C668="","",SUMIFS(Ledger!$K$2:$K$4, Ledger!$B$2:$B$4, $A668, Ledger!$C$2:$C$4, U$2)),"****")</f>
        <v/>
      </c>
      <c r="V668" t="str">
        <f>IFERROR(IF($C668="","",SUMIFS(Ledger!$K$2:$K$4, Ledger!$B$2:$B$4, $A668, Ledger!$C$2:$C$4, V$2)),"****")</f>
        <v/>
      </c>
      <c r="W668" t="str">
        <f>IFERROR(IF($C668="","",SUMIFS(Ledger!$K$2:$K$4, Ledger!$B$2:$B$4, $A668, Ledger!$C$2:$C$4, W$2)),"****")</f>
        <v/>
      </c>
      <c r="X668" t="str">
        <f>IFERROR(IF($C668="","",SUMIFS(Ledger!$K$2:$K$4, Ledger!$B$2:$B$4, $A668, Ledger!$C$2:$C$4, X$2)),"****")</f>
        <v/>
      </c>
    </row>
    <row r="669" spans="1:24" x14ac:dyDescent="0.3">
      <c r="A669" s="106">
        <v>667</v>
      </c>
      <c r="B669" t="str">
        <f>IFERROR(VLOOKUP($A669, Ledger!$B$2:$L$8, 3, 0),"")</f>
        <v/>
      </c>
      <c r="C669" t="str">
        <f>IFERROR(VLOOKUP($A669, Ledger!$B$2:$L$8, 4, 0),"")</f>
        <v/>
      </c>
      <c r="D669" t="str">
        <f>IFERROR(VLOOKUP($A669, Ledger!$B$2:$L$8, 5, 0),"")</f>
        <v/>
      </c>
      <c r="E669" t="str">
        <f>IFERROR(VLOOKUP($A669, Ledger!$B$2:$L$8, 6, 0),"")</f>
        <v/>
      </c>
      <c r="F669" t="str">
        <f>IFERROR(VLOOKUP($A669,'Student Data'!$A$2:$AR$6,32,0),"")</f>
        <v/>
      </c>
      <c r="G669" t="str">
        <f>IFERROR(VLOOKUP($A669,'Student Data'!$A$2:$AR$6,33,0),"")</f>
        <v/>
      </c>
      <c r="H669" t="str">
        <f>IFERROR(VLOOKUP($A669,'Student Data'!$A$2:$AR$6,34,0),"")</f>
        <v/>
      </c>
      <c r="I669" t="str">
        <f>IFERROR(VLOOKUP($A669,'Student Data'!$A$2:$AR$6,35,0),"")</f>
        <v/>
      </c>
      <c r="J669" t="str">
        <f>IFERROR(VLOOKUP($A669,'Student Data'!$A$2:$AR$6,36,0),"")</f>
        <v/>
      </c>
      <c r="K669" t="str">
        <f t="shared" si="20"/>
        <v/>
      </c>
      <c r="L669" t="str">
        <f t="shared" si="21"/>
        <v/>
      </c>
      <c r="M669" t="str">
        <f>IFERROR(IF($C669="","",SUMIFS(Ledger!$K$2:$K$4, Ledger!$B$2:$B$4, $A669, Ledger!$C$2:$C$4, M$2)),"****")</f>
        <v/>
      </c>
      <c r="N669" t="str">
        <f>IFERROR(IF($C669="","",SUMIFS(Ledger!$K$2:$K$4, Ledger!$B$2:$B$4, $A669, Ledger!$C$2:$C$4, N$2)),"****")</f>
        <v/>
      </c>
      <c r="O669" t="str">
        <f>IFERROR(IF($C669="","",SUMIFS(Ledger!$K$2:$K$4, Ledger!$B$2:$B$4, $A669, Ledger!$C$2:$C$4, O$2)),"****")</f>
        <v/>
      </c>
      <c r="P669" t="str">
        <f>IFERROR(IF($C669="","",SUMIFS(Ledger!$K$2:$K$4, Ledger!$B$2:$B$4, $A669, Ledger!$C$2:$C$4, P$2)),"****")</f>
        <v/>
      </c>
      <c r="Q669" t="str">
        <f>IFERROR(IF($C669="","",SUMIFS(Ledger!$K$2:$K$4, Ledger!$B$2:$B$4, $A669, Ledger!$C$2:$C$4, Q$2)),"****")</f>
        <v/>
      </c>
      <c r="R669" t="str">
        <f>IFERROR(IF($C669="","",SUMIFS(Ledger!$K$2:$K$4, Ledger!$B$2:$B$4, $A669, Ledger!$C$2:$C$4, R$2)),"****")</f>
        <v/>
      </c>
      <c r="S669" t="str">
        <f>IFERROR(IF($C669="","",SUMIFS(Ledger!$K$2:$K$4, Ledger!$B$2:$B$4, $A669, Ledger!$C$2:$C$4, S$2)),"****")</f>
        <v/>
      </c>
      <c r="T669" t="str">
        <f>IFERROR(IF($C669="","",SUMIFS(Ledger!$K$2:$K$4, Ledger!$B$2:$B$4, $A669, Ledger!$C$2:$C$4, T$2)),"****")</f>
        <v/>
      </c>
      <c r="U669" t="str">
        <f>IFERROR(IF($C669="","",SUMIFS(Ledger!$K$2:$K$4, Ledger!$B$2:$B$4, $A669, Ledger!$C$2:$C$4, U$2)),"****")</f>
        <v/>
      </c>
      <c r="V669" t="str">
        <f>IFERROR(IF($C669="","",SUMIFS(Ledger!$K$2:$K$4, Ledger!$B$2:$B$4, $A669, Ledger!$C$2:$C$4, V$2)),"****")</f>
        <v/>
      </c>
      <c r="W669" t="str">
        <f>IFERROR(IF($C669="","",SUMIFS(Ledger!$K$2:$K$4, Ledger!$B$2:$B$4, $A669, Ledger!$C$2:$C$4, W$2)),"****")</f>
        <v/>
      </c>
      <c r="X669" t="str">
        <f>IFERROR(IF($C669="","",SUMIFS(Ledger!$K$2:$K$4, Ledger!$B$2:$B$4, $A669, Ledger!$C$2:$C$4, X$2)),"****")</f>
        <v/>
      </c>
    </row>
    <row r="670" spans="1:24" x14ac:dyDescent="0.3">
      <c r="A670" s="106">
        <v>668</v>
      </c>
      <c r="B670" t="str">
        <f>IFERROR(VLOOKUP($A670, Ledger!$B$2:$L$8, 3, 0),"")</f>
        <v/>
      </c>
      <c r="C670" t="str">
        <f>IFERROR(VLOOKUP($A670, Ledger!$B$2:$L$8, 4, 0),"")</f>
        <v/>
      </c>
      <c r="D670" t="str">
        <f>IFERROR(VLOOKUP($A670, Ledger!$B$2:$L$8, 5, 0),"")</f>
        <v/>
      </c>
      <c r="E670" t="str">
        <f>IFERROR(VLOOKUP($A670, Ledger!$B$2:$L$8, 6, 0),"")</f>
        <v/>
      </c>
      <c r="F670" t="str">
        <f>IFERROR(VLOOKUP($A670,'Student Data'!$A$2:$AR$6,32,0),"")</f>
        <v/>
      </c>
      <c r="G670" t="str">
        <f>IFERROR(VLOOKUP($A670,'Student Data'!$A$2:$AR$6,33,0),"")</f>
        <v/>
      </c>
      <c r="H670" t="str">
        <f>IFERROR(VLOOKUP($A670,'Student Data'!$A$2:$AR$6,34,0),"")</f>
        <v/>
      </c>
      <c r="I670" t="str">
        <f>IFERROR(VLOOKUP($A670,'Student Data'!$A$2:$AR$6,35,0),"")</f>
        <v/>
      </c>
      <c r="J670" t="str">
        <f>IFERROR(VLOOKUP($A670,'Student Data'!$A$2:$AR$6,36,0),"")</f>
        <v/>
      </c>
      <c r="K670" t="str">
        <f t="shared" si="20"/>
        <v/>
      </c>
      <c r="L670" t="str">
        <f t="shared" si="21"/>
        <v/>
      </c>
      <c r="M670" t="str">
        <f>IFERROR(IF($C670="","",SUMIFS(Ledger!$K$2:$K$4, Ledger!$B$2:$B$4, $A670, Ledger!$C$2:$C$4, M$2)),"****")</f>
        <v/>
      </c>
      <c r="N670" t="str">
        <f>IFERROR(IF($C670="","",SUMIFS(Ledger!$K$2:$K$4, Ledger!$B$2:$B$4, $A670, Ledger!$C$2:$C$4, N$2)),"****")</f>
        <v/>
      </c>
      <c r="O670" t="str">
        <f>IFERROR(IF($C670="","",SUMIFS(Ledger!$K$2:$K$4, Ledger!$B$2:$B$4, $A670, Ledger!$C$2:$C$4, O$2)),"****")</f>
        <v/>
      </c>
      <c r="P670" t="str">
        <f>IFERROR(IF($C670="","",SUMIFS(Ledger!$K$2:$K$4, Ledger!$B$2:$B$4, $A670, Ledger!$C$2:$C$4, P$2)),"****")</f>
        <v/>
      </c>
      <c r="Q670" t="str">
        <f>IFERROR(IF($C670="","",SUMIFS(Ledger!$K$2:$K$4, Ledger!$B$2:$B$4, $A670, Ledger!$C$2:$C$4, Q$2)),"****")</f>
        <v/>
      </c>
      <c r="R670" t="str">
        <f>IFERROR(IF($C670="","",SUMIFS(Ledger!$K$2:$K$4, Ledger!$B$2:$B$4, $A670, Ledger!$C$2:$C$4, R$2)),"****")</f>
        <v/>
      </c>
      <c r="S670" t="str">
        <f>IFERROR(IF($C670="","",SUMIFS(Ledger!$K$2:$K$4, Ledger!$B$2:$B$4, $A670, Ledger!$C$2:$C$4, S$2)),"****")</f>
        <v/>
      </c>
      <c r="T670" t="str">
        <f>IFERROR(IF($C670="","",SUMIFS(Ledger!$K$2:$K$4, Ledger!$B$2:$B$4, $A670, Ledger!$C$2:$C$4, T$2)),"****")</f>
        <v/>
      </c>
      <c r="U670" t="str">
        <f>IFERROR(IF($C670="","",SUMIFS(Ledger!$K$2:$K$4, Ledger!$B$2:$B$4, $A670, Ledger!$C$2:$C$4, U$2)),"****")</f>
        <v/>
      </c>
      <c r="V670" t="str">
        <f>IFERROR(IF($C670="","",SUMIFS(Ledger!$K$2:$K$4, Ledger!$B$2:$B$4, $A670, Ledger!$C$2:$C$4, V$2)),"****")</f>
        <v/>
      </c>
      <c r="W670" t="str">
        <f>IFERROR(IF($C670="","",SUMIFS(Ledger!$K$2:$K$4, Ledger!$B$2:$B$4, $A670, Ledger!$C$2:$C$4, W$2)),"****")</f>
        <v/>
      </c>
      <c r="X670" t="str">
        <f>IFERROR(IF($C670="","",SUMIFS(Ledger!$K$2:$K$4, Ledger!$B$2:$B$4, $A670, Ledger!$C$2:$C$4, X$2)),"****")</f>
        <v/>
      </c>
    </row>
    <row r="671" spans="1:24" x14ac:dyDescent="0.3">
      <c r="A671" s="106">
        <v>669</v>
      </c>
      <c r="B671" t="str">
        <f>IFERROR(VLOOKUP($A671, Ledger!$B$2:$L$8, 3, 0),"")</f>
        <v/>
      </c>
      <c r="C671" t="str">
        <f>IFERROR(VLOOKUP($A671, Ledger!$B$2:$L$8, 4, 0),"")</f>
        <v/>
      </c>
      <c r="D671" t="str">
        <f>IFERROR(VLOOKUP($A671, Ledger!$B$2:$L$8, 5, 0),"")</f>
        <v/>
      </c>
      <c r="E671" t="str">
        <f>IFERROR(VLOOKUP($A671, Ledger!$B$2:$L$8, 6, 0),"")</f>
        <v/>
      </c>
      <c r="F671" t="str">
        <f>IFERROR(VLOOKUP($A671,'Student Data'!$A$2:$AR$6,32,0),"")</f>
        <v/>
      </c>
      <c r="G671" t="str">
        <f>IFERROR(VLOOKUP($A671,'Student Data'!$A$2:$AR$6,33,0),"")</f>
        <v/>
      </c>
      <c r="H671" t="str">
        <f>IFERROR(VLOOKUP($A671,'Student Data'!$A$2:$AR$6,34,0),"")</f>
        <v/>
      </c>
      <c r="I671" t="str">
        <f>IFERROR(VLOOKUP($A671,'Student Data'!$A$2:$AR$6,35,0),"")</f>
        <v/>
      </c>
      <c r="J671" t="str">
        <f>IFERROR(VLOOKUP($A671,'Student Data'!$A$2:$AR$6,36,0),"")</f>
        <v/>
      </c>
      <c r="K671" t="str">
        <f t="shared" si="20"/>
        <v/>
      </c>
      <c r="L671" t="str">
        <f t="shared" si="21"/>
        <v/>
      </c>
      <c r="M671" t="str">
        <f>IFERROR(IF($C671="","",SUMIFS(Ledger!$K$2:$K$4, Ledger!$B$2:$B$4, $A671, Ledger!$C$2:$C$4, M$2)),"****")</f>
        <v/>
      </c>
      <c r="N671" t="str">
        <f>IFERROR(IF($C671="","",SUMIFS(Ledger!$K$2:$K$4, Ledger!$B$2:$B$4, $A671, Ledger!$C$2:$C$4, N$2)),"****")</f>
        <v/>
      </c>
      <c r="O671" t="str">
        <f>IFERROR(IF($C671="","",SUMIFS(Ledger!$K$2:$K$4, Ledger!$B$2:$B$4, $A671, Ledger!$C$2:$C$4, O$2)),"****")</f>
        <v/>
      </c>
      <c r="P671" t="str">
        <f>IFERROR(IF($C671="","",SUMIFS(Ledger!$K$2:$K$4, Ledger!$B$2:$B$4, $A671, Ledger!$C$2:$C$4, P$2)),"****")</f>
        <v/>
      </c>
      <c r="Q671" t="str">
        <f>IFERROR(IF($C671="","",SUMIFS(Ledger!$K$2:$K$4, Ledger!$B$2:$B$4, $A671, Ledger!$C$2:$C$4, Q$2)),"****")</f>
        <v/>
      </c>
      <c r="R671" t="str">
        <f>IFERROR(IF($C671="","",SUMIFS(Ledger!$K$2:$K$4, Ledger!$B$2:$B$4, $A671, Ledger!$C$2:$C$4, R$2)),"****")</f>
        <v/>
      </c>
      <c r="S671" t="str">
        <f>IFERROR(IF($C671="","",SUMIFS(Ledger!$K$2:$K$4, Ledger!$B$2:$B$4, $A671, Ledger!$C$2:$C$4, S$2)),"****")</f>
        <v/>
      </c>
      <c r="T671" t="str">
        <f>IFERROR(IF($C671="","",SUMIFS(Ledger!$K$2:$K$4, Ledger!$B$2:$B$4, $A671, Ledger!$C$2:$C$4, T$2)),"****")</f>
        <v/>
      </c>
      <c r="U671" t="str">
        <f>IFERROR(IF($C671="","",SUMIFS(Ledger!$K$2:$K$4, Ledger!$B$2:$B$4, $A671, Ledger!$C$2:$C$4, U$2)),"****")</f>
        <v/>
      </c>
      <c r="V671" t="str">
        <f>IFERROR(IF($C671="","",SUMIFS(Ledger!$K$2:$K$4, Ledger!$B$2:$B$4, $A671, Ledger!$C$2:$C$4, V$2)),"****")</f>
        <v/>
      </c>
      <c r="W671" t="str">
        <f>IFERROR(IF($C671="","",SUMIFS(Ledger!$K$2:$K$4, Ledger!$B$2:$B$4, $A671, Ledger!$C$2:$C$4, W$2)),"****")</f>
        <v/>
      </c>
      <c r="X671" t="str">
        <f>IFERROR(IF($C671="","",SUMIFS(Ledger!$K$2:$K$4, Ledger!$B$2:$B$4, $A671, Ledger!$C$2:$C$4, X$2)),"****")</f>
        <v/>
      </c>
    </row>
    <row r="672" spans="1:24" x14ac:dyDescent="0.3">
      <c r="A672" s="106">
        <v>670</v>
      </c>
      <c r="B672" t="str">
        <f>IFERROR(VLOOKUP($A672, Ledger!$B$2:$L$8, 3, 0),"")</f>
        <v/>
      </c>
      <c r="C672" t="str">
        <f>IFERROR(VLOOKUP($A672, Ledger!$B$2:$L$8, 4, 0),"")</f>
        <v/>
      </c>
      <c r="D672" t="str">
        <f>IFERROR(VLOOKUP($A672, Ledger!$B$2:$L$8, 5, 0),"")</f>
        <v/>
      </c>
      <c r="E672" t="str">
        <f>IFERROR(VLOOKUP($A672, Ledger!$B$2:$L$8, 6, 0),"")</f>
        <v/>
      </c>
      <c r="F672" t="str">
        <f>IFERROR(VLOOKUP($A672,'Student Data'!$A$2:$AR$6,32,0),"")</f>
        <v/>
      </c>
      <c r="G672" t="str">
        <f>IFERROR(VLOOKUP($A672,'Student Data'!$A$2:$AR$6,33,0),"")</f>
        <v/>
      </c>
      <c r="H672" t="str">
        <f>IFERROR(VLOOKUP($A672,'Student Data'!$A$2:$AR$6,34,0),"")</f>
        <v/>
      </c>
      <c r="I672" t="str">
        <f>IFERROR(VLOOKUP($A672,'Student Data'!$A$2:$AR$6,35,0),"")</f>
        <v/>
      </c>
      <c r="J672" t="str">
        <f>IFERROR(VLOOKUP($A672,'Student Data'!$A$2:$AR$6,36,0),"")</f>
        <v/>
      </c>
      <c r="K672" t="str">
        <f t="shared" si="20"/>
        <v/>
      </c>
      <c r="L672" t="str">
        <f t="shared" si="21"/>
        <v/>
      </c>
      <c r="M672" t="str">
        <f>IFERROR(IF($C672="","",SUMIFS(Ledger!$K$2:$K$4, Ledger!$B$2:$B$4, $A672, Ledger!$C$2:$C$4, M$2)),"****")</f>
        <v/>
      </c>
      <c r="N672" t="str">
        <f>IFERROR(IF($C672="","",SUMIFS(Ledger!$K$2:$K$4, Ledger!$B$2:$B$4, $A672, Ledger!$C$2:$C$4, N$2)),"****")</f>
        <v/>
      </c>
      <c r="O672" t="str">
        <f>IFERROR(IF($C672="","",SUMIFS(Ledger!$K$2:$K$4, Ledger!$B$2:$B$4, $A672, Ledger!$C$2:$C$4, O$2)),"****")</f>
        <v/>
      </c>
      <c r="P672" t="str">
        <f>IFERROR(IF($C672="","",SUMIFS(Ledger!$K$2:$K$4, Ledger!$B$2:$B$4, $A672, Ledger!$C$2:$C$4, P$2)),"****")</f>
        <v/>
      </c>
      <c r="Q672" t="str">
        <f>IFERROR(IF($C672="","",SUMIFS(Ledger!$K$2:$K$4, Ledger!$B$2:$B$4, $A672, Ledger!$C$2:$C$4, Q$2)),"****")</f>
        <v/>
      </c>
      <c r="R672" t="str">
        <f>IFERROR(IF($C672="","",SUMIFS(Ledger!$K$2:$K$4, Ledger!$B$2:$B$4, $A672, Ledger!$C$2:$C$4, R$2)),"****")</f>
        <v/>
      </c>
      <c r="S672" t="str">
        <f>IFERROR(IF($C672="","",SUMIFS(Ledger!$K$2:$K$4, Ledger!$B$2:$B$4, $A672, Ledger!$C$2:$C$4, S$2)),"****")</f>
        <v/>
      </c>
      <c r="T672" t="str">
        <f>IFERROR(IF($C672="","",SUMIFS(Ledger!$K$2:$K$4, Ledger!$B$2:$B$4, $A672, Ledger!$C$2:$C$4, T$2)),"****")</f>
        <v/>
      </c>
      <c r="U672" t="str">
        <f>IFERROR(IF($C672="","",SUMIFS(Ledger!$K$2:$K$4, Ledger!$B$2:$B$4, $A672, Ledger!$C$2:$C$4, U$2)),"****")</f>
        <v/>
      </c>
      <c r="V672" t="str">
        <f>IFERROR(IF($C672="","",SUMIFS(Ledger!$K$2:$K$4, Ledger!$B$2:$B$4, $A672, Ledger!$C$2:$C$4, V$2)),"****")</f>
        <v/>
      </c>
      <c r="W672" t="str">
        <f>IFERROR(IF($C672="","",SUMIFS(Ledger!$K$2:$K$4, Ledger!$B$2:$B$4, $A672, Ledger!$C$2:$C$4, W$2)),"****")</f>
        <v/>
      </c>
      <c r="X672" t="str">
        <f>IFERROR(IF($C672="","",SUMIFS(Ledger!$K$2:$K$4, Ledger!$B$2:$B$4, $A672, Ledger!$C$2:$C$4, X$2)),"****")</f>
        <v/>
      </c>
    </row>
    <row r="673" spans="1:24" x14ac:dyDescent="0.3">
      <c r="A673" s="106">
        <v>671</v>
      </c>
      <c r="B673" t="str">
        <f>IFERROR(VLOOKUP($A673, Ledger!$B$2:$L$8, 3, 0),"")</f>
        <v/>
      </c>
      <c r="C673" t="str">
        <f>IFERROR(VLOOKUP($A673, Ledger!$B$2:$L$8, 4, 0),"")</f>
        <v/>
      </c>
      <c r="D673" t="str">
        <f>IFERROR(VLOOKUP($A673, Ledger!$B$2:$L$8, 5, 0),"")</f>
        <v/>
      </c>
      <c r="E673" t="str">
        <f>IFERROR(VLOOKUP($A673, Ledger!$B$2:$L$8, 6, 0),"")</f>
        <v/>
      </c>
      <c r="F673" t="str">
        <f>IFERROR(VLOOKUP($A673,'Student Data'!$A$2:$AR$6,32,0),"")</f>
        <v/>
      </c>
      <c r="G673" t="str">
        <f>IFERROR(VLOOKUP($A673,'Student Data'!$A$2:$AR$6,33,0),"")</f>
        <v/>
      </c>
      <c r="H673" t="str">
        <f>IFERROR(VLOOKUP($A673,'Student Data'!$A$2:$AR$6,34,0),"")</f>
        <v/>
      </c>
      <c r="I673" t="str">
        <f>IFERROR(VLOOKUP($A673,'Student Data'!$A$2:$AR$6,35,0),"")</f>
        <v/>
      </c>
      <c r="J673" t="str">
        <f>IFERROR(VLOOKUP($A673,'Student Data'!$A$2:$AR$6,36,0),"")</f>
        <v/>
      </c>
      <c r="K673" t="str">
        <f t="shared" si="20"/>
        <v/>
      </c>
      <c r="L673" t="str">
        <f t="shared" si="21"/>
        <v/>
      </c>
      <c r="M673" t="str">
        <f>IFERROR(IF($C673="","",SUMIFS(Ledger!$K$2:$K$4, Ledger!$B$2:$B$4, $A673, Ledger!$C$2:$C$4, M$2)),"****")</f>
        <v/>
      </c>
      <c r="N673" t="str">
        <f>IFERROR(IF($C673="","",SUMIFS(Ledger!$K$2:$K$4, Ledger!$B$2:$B$4, $A673, Ledger!$C$2:$C$4, N$2)),"****")</f>
        <v/>
      </c>
      <c r="O673" t="str">
        <f>IFERROR(IF($C673="","",SUMIFS(Ledger!$K$2:$K$4, Ledger!$B$2:$B$4, $A673, Ledger!$C$2:$C$4, O$2)),"****")</f>
        <v/>
      </c>
      <c r="P673" t="str">
        <f>IFERROR(IF($C673="","",SUMIFS(Ledger!$K$2:$K$4, Ledger!$B$2:$B$4, $A673, Ledger!$C$2:$C$4, P$2)),"****")</f>
        <v/>
      </c>
      <c r="Q673" t="str">
        <f>IFERROR(IF($C673="","",SUMIFS(Ledger!$K$2:$K$4, Ledger!$B$2:$B$4, $A673, Ledger!$C$2:$C$4, Q$2)),"****")</f>
        <v/>
      </c>
      <c r="R673" t="str">
        <f>IFERROR(IF($C673="","",SUMIFS(Ledger!$K$2:$K$4, Ledger!$B$2:$B$4, $A673, Ledger!$C$2:$C$4, R$2)),"****")</f>
        <v/>
      </c>
      <c r="S673" t="str">
        <f>IFERROR(IF($C673="","",SUMIFS(Ledger!$K$2:$K$4, Ledger!$B$2:$B$4, $A673, Ledger!$C$2:$C$4, S$2)),"****")</f>
        <v/>
      </c>
      <c r="T673" t="str">
        <f>IFERROR(IF($C673="","",SUMIFS(Ledger!$K$2:$K$4, Ledger!$B$2:$B$4, $A673, Ledger!$C$2:$C$4, T$2)),"****")</f>
        <v/>
      </c>
      <c r="U673" t="str">
        <f>IFERROR(IF($C673="","",SUMIFS(Ledger!$K$2:$K$4, Ledger!$B$2:$B$4, $A673, Ledger!$C$2:$C$4, U$2)),"****")</f>
        <v/>
      </c>
      <c r="V673" t="str">
        <f>IFERROR(IF($C673="","",SUMIFS(Ledger!$K$2:$K$4, Ledger!$B$2:$B$4, $A673, Ledger!$C$2:$C$4, V$2)),"****")</f>
        <v/>
      </c>
      <c r="W673" t="str">
        <f>IFERROR(IF($C673="","",SUMIFS(Ledger!$K$2:$K$4, Ledger!$B$2:$B$4, $A673, Ledger!$C$2:$C$4, W$2)),"****")</f>
        <v/>
      </c>
      <c r="X673" t="str">
        <f>IFERROR(IF($C673="","",SUMIFS(Ledger!$K$2:$K$4, Ledger!$B$2:$B$4, $A673, Ledger!$C$2:$C$4, X$2)),"****")</f>
        <v/>
      </c>
    </row>
    <row r="674" spans="1:24" x14ac:dyDescent="0.3">
      <c r="A674" s="106">
        <v>672</v>
      </c>
      <c r="B674" t="str">
        <f>IFERROR(VLOOKUP($A674, Ledger!$B$2:$L$8, 3, 0),"")</f>
        <v/>
      </c>
      <c r="C674" t="str">
        <f>IFERROR(VLOOKUP($A674, Ledger!$B$2:$L$8, 4, 0),"")</f>
        <v/>
      </c>
      <c r="D674" t="str">
        <f>IFERROR(VLOOKUP($A674, Ledger!$B$2:$L$8, 5, 0),"")</f>
        <v/>
      </c>
      <c r="E674" t="str">
        <f>IFERROR(VLOOKUP($A674, Ledger!$B$2:$L$8, 6, 0),"")</f>
        <v/>
      </c>
      <c r="F674" t="str">
        <f>IFERROR(VLOOKUP($A674,'Student Data'!$A$2:$AR$6,32,0),"")</f>
        <v/>
      </c>
      <c r="G674" t="str">
        <f>IFERROR(VLOOKUP($A674,'Student Data'!$A$2:$AR$6,33,0),"")</f>
        <v/>
      </c>
      <c r="H674" t="str">
        <f>IFERROR(VLOOKUP($A674,'Student Data'!$A$2:$AR$6,34,0),"")</f>
        <v/>
      </c>
      <c r="I674" t="str">
        <f>IFERROR(VLOOKUP($A674,'Student Data'!$A$2:$AR$6,35,0),"")</f>
        <v/>
      </c>
      <c r="J674" t="str">
        <f>IFERROR(VLOOKUP($A674,'Student Data'!$A$2:$AR$6,36,0),"")</f>
        <v/>
      </c>
      <c r="K674" t="str">
        <f t="shared" si="20"/>
        <v/>
      </c>
      <c r="L674" t="str">
        <f t="shared" si="21"/>
        <v/>
      </c>
      <c r="M674" t="str">
        <f>IFERROR(IF($C674="","",SUMIFS(Ledger!$K$2:$K$4, Ledger!$B$2:$B$4, $A674, Ledger!$C$2:$C$4, M$2)),"****")</f>
        <v/>
      </c>
      <c r="N674" t="str">
        <f>IFERROR(IF($C674="","",SUMIFS(Ledger!$K$2:$K$4, Ledger!$B$2:$B$4, $A674, Ledger!$C$2:$C$4, N$2)),"****")</f>
        <v/>
      </c>
      <c r="O674" t="str">
        <f>IFERROR(IF($C674="","",SUMIFS(Ledger!$K$2:$K$4, Ledger!$B$2:$B$4, $A674, Ledger!$C$2:$C$4, O$2)),"****")</f>
        <v/>
      </c>
      <c r="P674" t="str">
        <f>IFERROR(IF($C674="","",SUMIFS(Ledger!$K$2:$K$4, Ledger!$B$2:$B$4, $A674, Ledger!$C$2:$C$4, P$2)),"****")</f>
        <v/>
      </c>
      <c r="Q674" t="str">
        <f>IFERROR(IF($C674="","",SUMIFS(Ledger!$K$2:$K$4, Ledger!$B$2:$B$4, $A674, Ledger!$C$2:$C$4, Q$2)),"****")</f>
        <v/>
      </c>
      <c r="R674" t="str">
        <f>IFERROR(IF($C674="","",SUMIFS(Ledger!$K$2:$K$4, Ledger!$B$2:$B$4, $A674, Ledger!$C$2:$C$4, R$2)),"****")</f>
        <v/>
      </c>
      <c r="S674" t="str">
        <f>IFERROR(IF($C674="","",SUMIFS(Ledger!$K$2:$K$4, Ledger!$B$2:$B$4, $A674, Ledger!$C$2:$C$4, S$2)),"****")</f>
        <v/>
      </c>
      <c r="T674" t="str">
        <f>IFERROR(IF($C674="","",SUMIFS(Ledger!$K$2:$K$4, Ledger!$B$2:$B$4, $A674, Ledger!$C$2:$C$4, T$2)),"****")</f>
        <v/>
      </c>
      <c r="U674" t="str">
        <f>IFERROR(IF($C674="","",SUMIFS(Ledger!$K$2:$K$4, Ledger!$B$2:$B$4, $A674, Ledger!$C$2:$C$4, U$2)),"****")</f>
        <v/>
      </c>
      <c r="V674" t="str">
        <f>IFERROR(IF($C674="","",SUMIFS(Ledger!$K$2:$K$4, Ledger!$B$2:$B$4, $A674, Ledger!$C$2:$C$4, V$2)),"****")</f>
        <v/>
      </c>
      <c r="W674" t="str">
        <f>IFERROR(IF($C674="","",SUMIFS(Ledger!$K$2:$K$4, Ledger!$B$2:$B$4, $A674, Ledger!$C$2:$C$4, W$2)),"****")</f>
        <v/>
      </c>
      <c r="X674" t="str">
        <f>IFERROR(IF($C674="","",SUMIFS(Ledger!$K$2:$K$4, Ledger!$B$2:$B$4, $A674, Ledger!$C$2:$C$4, X$2)),"****")</f>
        <v/>
      </c>
    </row>
    <row r="675" spans="1:24" x14ac:dyDescent="0.3">
      <c r="A675" s="106">
        <v>673</v>
      </c>
      <c r="B675" t="str">
        <f>IFERROR(VLOOKUP($A675, Ledger!$B$2:$L$8, 3, 0),"")</f>
        <v/>
      </c>
      <c r="C675" t="str">
        <f>IFERROR(VLOOKUP($A675, Ledger!$B$2:$L$8, 4, 0),"")</f>
        <v/>
      </c>
      <c r="D675" t="str">
        <f>IFERROR(VLOOKUP($A675, Ledger!$B$2:$L$8, 5, 0),"")</f>
        <v/>
      </c>
      <c r="E675" t="str">
        <f>IFERROR(VLOOKUP($A675, Ledger!$B$2:$L$8, 6, 0),"")</f>
        <v/>
      </c>
      <c r="F675" t="str">
        <f>IFERROR(VLOOKUP($A675,'Student Data'!$A$2:$AR$6,32,0),"")</f>
        <v/>
      </c>
      <c r="G675" t="str">
        <f>IFERROR(VLOOKUP($A675,'Student Data'!$A$2:$AR$6,33,0),"")</f>
        <v/>
      </c>
      <c r="H675" t="str">
        <f>IFERROR(VLOOKUP($A675,'Student Data'!$A$2:$AR$6,34,0),"")</f>
        <v/>
      </c>
      <c r="I675" t="str">
        <f>IFERROR(VLOOKUP($A675,'Student Data'!$A$2:$AR$6,35,0),"")</f>
        <v/>
      </c>
      <c r="J675" t="str">
        <f>IFERROR(VLOOKUP($A675,'Student Data'!$A$2:$AR$6,36,0),"")</f>
        <v/>
      </c>
      <c r="K675" t="str">
        <f t="shared" si="20"/>
        <v/>
      </c>
      <c r="L675" t="str">
        <f t="shared" si="21"/>
        <v/>
      </c>
      <c r="M675" t="str">
        <f>IFERROR(IF($C675="","",SUMIFS(Ledger!$K$2:$K$4, Ledger!$B$2:$B$4, $A675, Ledger!$C$2:$C$4, M$2)),"****")</f>
        <v/>
      </c>
      <c r="N675" t="str">
        <f>IFERROR(IF($C675="","",SUMIFS(Ledger!$K$2:$K$4, Ledger!$B$2:$B$4, $A675, Ledger!$C$2:$C$4, N$2)),"****")</f>
        <v/>
      </c>
      <c r="O675" t="str">
        <f>IFERROR(IF($C675="","",SUMIFS(Ledger!$K$2:$K$4, Ledger!$B$2:$B$4, $A675, Ledger!$C$2:$C$4, O$2)),"****")</f>
        <v/>
      </c>
      <c r="P675" t="str">
        <f>IFERROR(IF($C675="","",SUMIFS(Ledger!$K$2:$K$4, Ledger!$B$2:$B$4, $A675, Ledger!$C$2:$C$4, P$2)),"****")</f>
        <v/>
      </c>
      <c r="Q675" t="str">
        <f>IFERROR(IF($C675="","",SUMIFS(Ledger!$K$2:$K$4, Ledger!$B$2:$B$4, $A675, Ledger!$C$2:$C$4, Q$2)),"****")</f>
        <v/>
      </c>
      <c r="R675" t="str">
        <f>IFERROR(IF($C675="","",SUMIFS(Ledger!$K$2:$K$4, Ledger!$B$2:$B$4, $A675, Ledger!$C$2:$C$4, R$2)),"****")</f>
        <v/>
      </c>
      <c r="S675" t="str">
        <f>IFERROR(IF($C675="","",SUMIFS(Ledger!$K$2:$K$4, Ledger!$B$2:$B$4, $A675, Ledger!$C$2:$C$4, S$2)),"****")</f>
        <v/>
      </c>
      <c r="T675" t="str">
        <f>IFERROR(IF($C675="","",SUMIFS(Ledger!$K$2:$K$4, Ledger!$B$2:$B$4, $A675, Ledger!$C$2:$C$4, T$2)),"****")</f>
        <v/>
      </c>
      <c r="U675" t="str">
        <f>IFERROR(IF($C675="","",SUMIFS(Ledger!$K$2:$K$4, Ledger!$B$2:$B$4, $A675, Ledger!$C$2:$C$4, U$2)),"****")</f>
        <v/>
      </c>
      <c r="V675" t="str">
        <f>IFERROR(IF($C675="","",SUMIFS(Ledger!$K$2:$K$4, Ledger!$B$2:$B$4, $A675, Ledger!$C$2:$C$4, V$2)),"****")</f>
        <v/>
      </c>
      <c r="W675" t="str">
        <f>IFERROR(IF($C675="","",SUMIFS(Ledger!$K$2:$K$4, Ledger!$B$2:$B$4, $A675, Ledger!$C$2:$C$4, W$2)),"****")</f>
        <v/>
      </c>
      <c r="X675" t="str">
        <f>IFERROR(IF($C675="","",SUMIFS(Ledger!$K$2:$K$4, Ledger!$B$2:$B$4, $A675, Ledger!$C$2:$C$4, X$2)),"****")</f>
        <v/>
      </c>
    </row>
    <row r="676" spans="1:24" x14ac:dyDescent="0.3">
      <c r="A676" s="106">
        <v>674</v>
      </c>
      <c r="B676" t="str">
        <f>IFERROR(VLOOKUP($A676, Ledger!$B$2:$L$8, 3, 0),"")</f>
        <v/>
      </c>
      <c r="C676" t="str">
        <f>IFERROR(VLOOKUP($A676, Ledger!$B$2:$L$8, 4, 0),"")</f>
        <v/>
      </c>
      <c r="D676" t="str">
        <f>IFERROR(VLOOKUP($A676, Ledger!$B$2:$L$8, 5, 0),"")</f>
        <v/>
      </c>
      <c r="E676" t="str">
        <f>IFERROR(VLOOKUP($A676, Ledger!$B$2:$L$8, 6, 0),"")</f>
        <v/>
      </c>
      <c r="F676" t="str">
        <f>IFERROR(VLOOKUP($A676,'Student Data'!$A$2:$AR$6,32,0),"")</f>
        <v/>
      </c>
      <c r="G676" t="str">
        <f>IFERROR(VLOOKUP($A676,'Student Data'!$A$2:$AR$6,33,0),"")</f>
        <v/>
      </c>
      <c r="H676" t="str">
        <f>IFERROR(VLOOKUP($A676,'Student Data'!$A$2:$AR$6,34,0),"")</f>
        <v/>
      </c>
      <c r="I676" t="str">
        <f>IFERROR(VLOOKUP($A676,'Student Data'!$A$2:$AR$6,35,0),"")</f>
        <v/>
      </c>
      <c r="J676" t="str">
        <f>IFERROR(VLOOKUP($A676,'Student Data'!$A$2:$AR$6,36,0),"")</f>
        <v/>
      </c>
      <c r="K676" t="str">
        <f t="shared" si="20"/>
        <v/>
      </c>
      <c r="L676" t="str">
        <f t="shared" si="21"/>
        <v/>
      </c>
      <c r="M676" t="str">
        <f>IFERROR(IF($C676="","",SUMIFS(Ledger!$K$2:$K$4, Ledger!$B$2:$B$4, $A676, Ledger!$C$2:$C$4, M$2)),"****")</f>
        <v/>
      </c>
      <c r="N676" t="str">
        <f>IFERROR(IF($C676="","",SUMIFS(Ledger!$K$2:$K$4, Ledger!$B$2:$B$4, $A676, Ledger!$C$2:$C$4, N$2)),"****")</f>
        <v/>
      </c>
      <c r="O676" t="str">
        <f>IFERROR(IF($C676="","",SUMIFS(Ledger!$K$2:$K$4, Ledger!$B$2:$B$4, $A676, Ledger!$C$2:$C$4, O$2)),"****")</f>
        <v/>
      </c>
      <c r="P676" t="str">
        <f>IFERROR(IF($C676="","",SUMIFS(Ledger!$K$2:$K$4, Ledger!$B$2:$B$4, $A676, Ledger!$C$2:$C$4, P$2)),"****")</f>
        <v/>
      </c>
      <c r="Q676" t="str">
        <f>IFERROR(IF($C676="","",SUMIFS(Ledger!$K$2:$K$4, Ledger!$B$2:$B$4, $A676, Ledger!$C$2:$C$4, Q$2)),"****")</f>
        <v/>
      </c>
      <c r="R676" t="str">
        <f>IFERROR(IF($C676="","",SUMIFS(Ledger!$K$2:$K$4, Ledger!$B$2:$B$4, $A676, Ledger!$C$2:$C$4, R$2)),"****")</f>
        <v/>
      </c>
      <c r="S676" t="str">
        <f>IFERROR(IF($C676="","",SUMIFS(Ledger!$K$2:$K$4, Ledger!$B$2:$B$4, $A676, Ledger!$C$2:$C$4, S$2)),"****")</f>
        <v/>
      </c>
      <c r="T676" t="str">
        <f>IFERROR(IF($C676="","",SUMIFS(Ledger!$K$2:$K$4, Ledger!$B$2:$B$4, $A676, Ledger!$C$2:$C$4, T$2)),"****")</f>
        <v/>
      </c>
      <c r="U676" t="str">
        <f>IFERROR(IF($C676="","",SUMIFS(Ledger!$K$2:$K$4, Ledger!$B$2:$B$4, $A676, Ledger!$C$2:$C$4, U$2)),"****")</f>
        <v/>
      </c>
      <c r="V676" t="str">
        <f>IFERROR(IF($C676="","",SUMIFS(Ledger!$K$2:$K$4, Ledger!$B$2:$B$4, $A676, Ledger!$C$2:$C$4, V$2)),"****")</f>
        <v/>
      </c>
      <c r="W676" t="str">
        <f>IFERROR(IF($C676="","",SUMIFS(Ledger!$K$2:$K$4, Ledger!$B$2:$B$4, $A676, Ledger!$C$2:$C$4, W$2)),"****")</f>
        <v/>
      </c>
      <c r="X676" t="str">
        <f>IFERROR(IF($C676="","",SUMIFS(Ledger!$K$2:$K$4, Ledger!$B$2:$B$4, $A676, Ledger!$C$2:$C$4, X$2)),"****")</f>
        <v/>
      </c>
    </row>
    <row r="677" spans="1:24" x14ac:dyDescent="0.3">
      <c r="A677" s="106">
        <v>675</v>
      </c>
      <c r="B677" t="str">
        <f>IFERROR(VLOOKUP($A677, Ledger!$B$2:$L$8, 3, 0),"")</f>
        <v/>
      </c>
      <c r="C677" t="str">
        <f>IFERROR(VLOOKUP($A677, Ledger!$B$2:$L$8, 4, 0),"")</f>
        <v/>
      </c>
      <c r="D677" t="str">
        <f>IFERROR(VLOOKUP($A677, Ledger!$B$2:$L$8, 5, 0),"")</f>
        <v/>
      </c>
      <c r="E677" t="str">
        <f>IFERROR(VLOOKUP($A677, Ledger!$B$2:$L$8, 6, 0),"")</f>
        <v/>
      </c>
      <c r="F677" t="str">
        <f>IFERROR(VLOOKUP($A677,'Student Data'!$A$2:$AR$6,32,0),"")</f>
        <v/>
      </c>
      <c r="G677" t="str">
        <f>IFERROR(VLOOKUP($A677,'Student Data'!$A$2:$AR$6,33,0),"")</f>
        <v/>
      </c>
      <c r="H677" t="str">
        <f>IFERROR(VLOOKUP($A677,'Student Data'!$A$2:$AR$6,34,0),"")</f>
        <v/>
      </c>
      <c r="I677" t="str">
        <f>IFERROR(VLOOKUP($A677,'Student Data'!$A$2:$AR$6,35,0),"")</f>
        <v/>
      </c>
      <c r="J677" t="str">
        <f>IFERROR(VLOOKUP($A677,'Student Data'!$A$2:$AR$6,36,0),"")</f>
        <v/>
      </c>
      <c r="K677" t="str">
        <f t="shared" si="20"/>
        <v/>
      </c>
      <c r="L677" t="str">
        <f t="shared" si="21"/>
        <v/>
      </c>
      <c r="M677" t="str">
        <f>IFERROR(IF($C677="","",SUMIFS(Ledger!$K$2:$K$4, Ledger!$B$2:$B$4, $A677, Ledger!$C$2:$C$4, M$2)),"****")</f>
        <v/>
      </c>
      <c r="N677" t="str">
        <f>IFERROR(IF($C677="","",SUMIFS(Ledger!$K$2:$K$4, Ledger!$B$2:$B$4, $A677, Ledger!$C$2:$C$4, N$2)),"****")</f>
        <v/>
      </c>
      <c r="O677" t="str">
        <f>IFERROR(IF($C677="","",SUMIFS(Ledger!$K$2:$K$4, Ledger!$B$2:$B$4, $A677, Ledger!$C$2:$C$4, O$2)),"****")</f>
        <v/>
      </c>
      <c r="P677" t="str">
        <f>IFERROR(IF($C677="","",SUMIFS(Ledger!$K$2:$K$4, Ledger!$B$2:$B$4, $A677, Ledger!$C$2:$C$4, P$2)),"****")</f>
        <v/>
      </c>
      <c r="Q677" t="str">
        <f>IFERROR(IF($C677="","",SUMIFS(Ledger!$K$2:$K$4, Ledger!$B$2:$B$4, $A677, Ledger!$C$2:$C$4, Q$2)),"****")</f>
        <v/>
      </c>
      <c r="R677" t="str">
        <f>IFERROR(IF($C677="","",SUMIFS(Ledger!$K$2:$K$4, Ledger!$B$2:$B$4, $A677, Ledger!$C$2:$C$4, R$2)),"****")</f>
        <v/>
      </c>
      <c r="S677" t="str">
        <f>IFERROR(IF($C677="","",SUMIFS(Ledger!$K$2:$K$4, Ledger!$B$2:$B$4, $A677, Ledger!$C$2:$C$4, S$2)),"****")</f>
        <v/>
      </c>
      <c r="T677" t="str">
        <f>IFERROR(IF($C677="","",SUMIFS(Ledger!$K$2:$K$4, Ledger!$B$2:$B$4, $A677, Ledger!$C$2:$C$4, T$2)),"****")</f>
        <v/>
      </c>
      <c r="U677" t="str">
        <f>IFERROR(IF($C677="","",SUMIFS(Ledger!$K$2:$K$4, Ledger!$B$2:$B$4, $A677, Ledger!$C$2:$C$4, U$2)),"****")</f>
        <v/>
      </c>
      <c r="V677" t="str">
        <f>IFERROR(IF($C677="","",SUMIFS(Ledger!$K$2:$K$4, Ledger!$B$2:$B$4, $A677, Ledger!$C$2:$C$4, V$2)),"****")</f>
        <v/>
      </c>
      <c r="W677" t="str">
        <f>IFERROR(IF($C677="","",SUMIFS(Ledger!$K$2:$K$4, Ledger!$B$2:$B$4, $A677, Ledger!$C$2:$C$4, W$2)),"****")</f>
        <v/>
      </c>
      <c r="X677" t="str">
        <f>IFERROR(IF($C677="","",SUMIFS(Ledger!$K$2:$K$4, Ledger!$B$2:$B$4, $A677, Ledger!$C$2:$C$4, X$2)),"****")</f>
        <v/>
      </c>
    </row>
    <row r="678" spans="1:24" x14ac:dyDescent="0.3">
      <c r="A678" s="106">
        <v>676</v>
      </c>
      <c r="B678" t="str">
        <f>IFERROR(VLOOKUP($A678, Ledger!$B$2:$L$8, 3, 0),"")</f>
        <v/>
      </c>
      <c r="C678" t="str">
        <f>IFERROR(VLOOKUP($A678, Ledger!$B$2:$L$8, 4, 0),"")</f>
        <v/>
      </c>
      <c r="D678" t="str">
        <f>IFERROR(VLOOKUP($A678, Ledger!$B$2:$L$8, 5, 0),"")</f>
        <v/>
      </c>
      <c r="E678" t="str">
        <f>IFERROR(VLOOKUP($A678, Ledger!$B$2:$L$8, 6, 0),"")</f>
        <v/>
      </c>
      <c r="F678" t="str">
        <f>IFERROR(VLOOKUP($A678,'Student Data'!$A$2:$AR$6,32,0),"")</f>
        <v/>
      </c>
      <c r="G678" t="str">
        <f>IFERROR(VLOOKUP($A678,'Student Data'!$A$2:$AR$6,33,0),"")</f>
        <v/>
      </c>
      <c r="H678" t="str">
        <f>IFERROR(VLOOKUP($A678,'Student Data'!$A$2:$AR$6,34,0),"")</f>
        <v/>
      </c>
      <c r="I678" t="str">
        <f>IFERROR(VLOOKUP($A678,'Student Data'!$A$2:$AR$6,35,0),"")</f>
        <v/>
      </c>
      <c r="J678" t="str">
        <f>IFERROR(VLOOKUP($A678,'Student Data'!$A$2:$AR$6,36,0),"")</f>
        <v/>
      </c>
      <c r="K678" t="str">
        <f t="shared" si="20"/>
        <v/>
      </c>
      <c r="L678" t="str">
        <f t="shared" si="21"/>
        <v/>
      </c>
      <c r="M678" t="str">
        <f>IFERROR(IF($C678="","",SUMIFS(Ledger!$K$2:$K$4, Ledger!$B$2:$B$4, $A678, Ledger!$C$2:$C$4, M$2)),"****")</f>
        <v/>
      </c>
      <c r="N678" t="str">
        <f>IFERROR(IF($C678="","",SUMIFS(Ledger!$K$2:$K$4, Ledger!$B$2:$B$4, $A678, Ledger!$C$2:$C$4, N$2)),"****")</f>
        <v/>
      </c>
      <c r="O678" t="str">
        <f>IFERROR(IF($C678="","",SUMIFS(Ledger!$K$2:$K$4, Ledger!$B$2:$B$4, $A678, Ledger!$C$2:$C$4, O$2)),"****")</f>
        <v/>
      </c>
      <c r="P678" t="str">
        <f>IFERROR(IF($C678="","",SUMIFS(Ledger!$K$2:$K$4, Ledger!$B$2:$B$4, $A678, Ledger!$C$2:$C$4, P$2)),"****")</f>
        <v/>
      </c>
      <c r="Q678" t="str">
        <f>IFERROR(IF($C678="","",SUMIFS(Ledger!$K$2:$K$4, Ledger!$B$2:$B$4, $A678, Ledger!$C$2:$C$4, Q$2)),"****")</f>
        <v/>
      </c>
      <c r="R678" t="str">
        <f>IFERROR(IF($C678="","",SUMIFS(Ledger!$K$2:$K$4, Ledger!$B$2:$B$4, $A678, Ledger!$C$2:$C$4, R$2)),"****")</f>
        <v/>
      </c>
      <c r="S678" t="str">
        <f>IFERROR(IF($C678="","",SUMIFS(Ledger!$K$2:$K$4, Ledger!$B$2:$B$4, $A678, Ledger!$C$2:$C$4, S$2)),"****")</f>
        <v/>
      </c>
      <c r="T678" t="str">
        <f>IFERROR(IF($C678="","",SUMIFS(Ledger!$K$2:$K$4, Ledger!$B$2:$B$4, $A678, Ledger!$C$2:$C$4, T$2)),"****")</f>
        <v/>
      </c>
      <c r="U678" t="str">
        <f>IFERROR(IF($C678="","",SUMIFS(Ledger!$K$2:$K$4, Ledger!$B$2:$B$4, $A678, Ledger!$C$2:$C$4, U$2)),"****")</f>
        <v/>
      </c>
      <c r="V678" t="str">
        <f>IFERROR(IF($C678="","",SUMIFS(Ledger!$K$2:$K$4, Ledger!$B$2:$B$4, $A678, Ledger!$C$2:$C$4, V$2)),"****")</f>
        <v/>
      </c>
      <c r="W678" t="str">
        <f>IFERROR(IF($C678="","",SUMIFS(Ledger!$K$2:$K$4, Ledger!$B$2:$B$4, $A678, Ledger!$C$2:$C$4, W$2)),"****")</f>
        <v/>
      </c>
      <c r="X678" t="str">
        <f>IFERROR(IF($C678="","",SUMIFS(Ledger!$K$2:$K$4, Ledger!$B$2:$B$4, $A678, Ledger!$C$2:$C$4, X$2)),"****")</f>
        <v/>
      </c>
    </row>
    <row r="679" spans="1:24" x14ac:dyDescent="0.3">
      <c r="A679" s="106">
        <v>677</v>
      </c>
      <c r="B679" t="str">
        <f>IFERROR(VLOOKUP($A679, Ledger!$B$2:$L$8, 3, 0),"")</f>
        <v/>
      </c>
      <c r="C679" t="str">
        <f>IFERROR(VLOOKUP($A679, Ledger!$B$2:$L$8, 4, 0),"")</f>
        <v/>
      </c>
      <c r="D679" t="str">
        <f>IFERROR(VLOOKUP($A679, Ledger!$B$2:$L$8, 5, 0),"")</f>
        <v/>
      </c>
      <c r="E679" t="str">
        <f>IFERROR(VLOOKUP($A679, Ledger!$B$2:$L$8, 6, 0),"")</f>
        <v/>
      </c>
      <c r="F679" t="str">
        <f>IFERROR(VLOOKUP($A679,'Student Data'!$A$2:$AR$6,32,0),"")</f>
        <v/>
      </c>
      <c r="G679" t="str">
        <f>IFERROR(VLOOKUP($A679,'Student Data'!$A$2:$AR$6,33,0),"")</f>
        <v/>
      </c>
      <c r="H679" t="str">
        <f>IFERROR(VLOOKUP($A679,'Student Data'!$A$2:$AR$6,34,0),"")</f>
        <v/>
      </c>
      <c r="I679" t="str">
        <f>IFERROR(VLOOKUP($A679,'Student Data'!$A$2:$AR$6,35,0),"")</f>
        <v/>
      </c>
      <c r="J679" t="str">
        <f>IFERROR(VLOOKUP($A679,'Student Data'!$A$2:$AR$6,36,0),"")</f>
        <v/>
      </c>
      <c r="K679" t="str">
        <f t="shared" si="20"/>
        <v/>
      </c>
      <c r="L679" t="str">
        <f t="shared" si="21"/>
        <v/>
      </c>
      <c r="M679" t="str">
        <f>IFERROR(IF($C679="","",SUMIFS(Ledger!$K$2:$K$4, Ledger!$B$2:$B$4, $A679, Ledger!$C$2:$C$4, M$2)),"****")</f>
        <v/>
      </c>
      <c r="N679" t="str">
        <f>IFERROR(IF($C679="","",SUMIFS(Ledger!$K$2:$K$4, Ledger!$B$2:$B$4, $A679, Ledger!$C$2:$C$4, N$2)),"****")</f>
        <v/>
      </c>
      <c r="O679" t="str">
        <f>IFERROR(IF($C679="","",SUMIFS(Ledger!$K$2:$K$4, Ledger!$B$2:$B$4, $A679, Ledger!$C$2:$C$4, O$2)),"****")</f>
        <v/>
      </c>
      <c r="P679" t="str">
        <f>IFERROR(IF($C679="","",SUMIFS(Ledger!$K$2:$K$4, Ledger!$B$2:$B$4, $A679, Ledger!$C$2:$C$4, P$2)),"****")</f>
        <v/>
      </c>
      <c r="Q679" t="str">
        <f>IFERROR(IF($C679="","",SUMIFS(Ledger!$K$2:$K$4, Ledger!$B$2:$B$4, $A679, Ledger!$C$2:$C$4, Q$2)),"****")</f>
        <v/>
      </c>
      <c r="R679" t="str">
        <f>IFERROR(IF($C679="","",SUMIFS(Ledger!$K$2:$K$4, Ledger!$B$2:$B$4, $A679, Ledger!$C$2:$C$4, R$2)),"****")</f>
        <v/>
      </c>
      <c r="S679" t="str">
        <f>IFERROR(IF($C679="","",SUMIFS(Ledger!$K$2:$K$4, Ledger!$B$2:$B$4, $A679, Ledger!$C$2:$C$4, S$2)),"****")</f>
        <v/>
      </c>
      <c r="T679" t="str">
        <f>IFERROR(IF($C679="","",SUMIFS(Ledger!$K$2:$K$4, Ledger!$B$2:$B$4, $A679, Ledger!$C$2:$C$4, T$2)),"****")</f>
        <v/>
      </c>
      <c r="U679" t="str">
        <f>IFERROR(IF($C679="","",SUMIFS(Ledger!$K$2:$K$4, Ledger!$B$2:$B$4, $A679, Ledger!$C$2:$C$4, U$2)),"****")</f>
        <v/>
      </c>
      <c r="V679" t="str">
        <f>IFERROR(IF($C679="","",SUMIFS(Ledger!$K$2:$K$4, Ledger!$B$2:$B$4, $A679, Ledger!$C$2:$C$4, V$2)),"****")</f>
        <v/>
      </c>
      <c r="W679" t="str">
        <f>IFERROR(IF($C679="","",SUMIFS(Ledger!$K$2:$K$4, Ledger!$B$2:$B$4, $A679, Ledger!$C$2:$C$4, W$2)),"****")</f>
        <v/>
      </c>
      <c r="X679" t="str">
        <f>IFERROR(IF($C679="","",SUMIFS(Ledger!$K$2:$K$4, Ledger!$B$2:$B$4, $A679, Ledger!$C$2:$C$4, X$2)),"****")</f>
        <v/>
      </c>
    </row>
    <row r="680" spans="1:24" x14ac:dyDescent="0.3">
      <c r="A680" s="106">
        <v>678</v>
      </c>
      <c r="B680" t="str">
        <f>IFERROR(VLOOKUP($A680, Ledger!$B$2:$L$8, 3, 0),"")</f>
        <v/>
      </c>
      <c r="C680" t="str">
        <f>IFERROR(VLOOKUP($A680, Ledger!$B$2:$L$8, 4, 0),"")</f>
        <v/>
      </c>
      <c r="D680" t="str">
        <f>IFERROR(VLOOKUP($A680, Ledger!$B$2:$L$8, 5, 0),"")</f>
        <v/>
      </c>
      <c r="E680" t="str">
        <f>IFERROR(VLOOKUP($A680, Ledger!$B$2:$L$8, 6, 0),"")</f>
        <v/>
      </c>
      <c r="F680" t="str">
        <f>IFERROR(VLOOKUP($A680,'Student Data'!$A$2:$AR$6,32,0),"")</f>
        <v/>
      </c>
      <c r="G680" t="str">
        <f>IFERROR(VLOOKUP($A680,'Student Data'!$A$2:$AR$6,33,0),"")</f>
        <v/>
      </c>
      <c r="H680" t="str">
        <f>IFERROR(VLOOKUP($A680,'Student Data'!$A$2:$AR$6,34,0),"")</f>
        <v/>
      </c>
      <c r="I680" t="str">
        <f>IFERROR(VLOOKUP($A680,'Student Data'!$A$2:$AR$6,35,0),"")</f>
        <v/>
      </c>
      <c r="J680" t="str">
        <f>IFERROR(VLOOKUP($A680,'Student Data'!$A$2:$AR$6,36,0),"")</f>
        <v/>
      </c>
      <c r="K680" t="str">
        <f t="shared" si="20"/>
        <v/>
      </c>
      <c r="L680" t="str">
        <f t="shared" si="21"/>
        <v/>
      </c>
      <c r="M680" t="str">
        <f>IFERROR(IF($C680="","",SUMIFS(Ledger!$K$2:$K$4, Ledger!$B$2:$B$4, $A680, Ledger!$C$2:$C$4, M$2)),"****")</f>
        <v/>
      </c>
      <c r="N680" t="str">
        <f>IFERROR(IF($C680="","",SUMIFS(Ledger!$K$2:$K$4, Ledger!$B$2:$B$4, $A680, Ledger!$C$2:$C$4, N$2)),"****")</f>
        <v/>
      </c>
      <c r="O680" t="str">
        <f>IFERROR(IF($C680="","",SUMIFS(Ledger!$K$2:$K$4, Ledger!$B$2:$B$4, $A680, Ledger!$C$2:$C$4, O$2)),"****")</f>
        <v/>
      </c>
      <c r="P680" t="str">
        <f>IFERROR(IF($C680="","",SUMIFS(Ledger!$K$2:$K$4, Ledger!$B$2:$B$4, $A680, Ledger!$C$2:$C$4, P$2)),"****")</f>
        <v/>
      </c>
      <c r="Q680" t="str">
        <f>IFERROR(IF($C680="","",SUMIFS(Ledger!$K$2:$K$4, Ledger!$B$2:$B$4, $A680, Ledger!$C$2:$C$4, Q$2)),"****")</f>
        <v/>
      </c>
      <c r="R680" t="str">
        <f>IFERROR(IF($C680="","",SUMIFS(Ledger!$K$2:$K$4, Ledger!$B$2:$B$4, $A680, Ledger!$C$2:$C$4, R$2)),"****")</f>
        <v/>
      </c>
      <c r="S680" t="str">
        <f>IFERROR(IF($C680="","",SUMIFS(Ledger!$K$2:$K$4, Ledger!$B$2:$B$4, $A680, Ledger!$C$2:$C$4, S$2)),"****")</f>
        <v/>
      </c>
      <c r="T680" t="str">
        <f>IFERROR(IF($C680="","",SUMIFS(Ledger!$K$2:$K$4, Ledger!$B$2:$B$4, $A680, Ledger!$C$2:$C$4, T$2)),"****")</f>
        <v/>
      </c>
      <c r="U680" t="str">
        <f>IFERROR(IF($C680="","",SUMIFS(Ledger!$K$2:$K$4, Ledger!$B$2:$B$4, $A680, Ledger!$C$2:$C$4, U$2)),"****")</f>
        <v/>
      </c>
      <c r="V680" t="str">
        <f>IFERROR(IF($C680="","",SUMIFS(Ledger!$K$2:$K$4, Ledger!$B$2:$B$4, $A680, Ledger!$C$2:$C$4, V$2)),"****")</f>
        <v/>
      </c>
      <c r="W680" t="str">
        <f>IFERROR(IF($C680="","",SUMIFS(Ledger!$K$2:$K$4, Ledger!$B$2:$B$4, $A680, Ledger!$C$2:$C$4, W$2)),"****")</f>
        <v/>
      </c>
      <c r="X680" t="str">
        <f>IFERROR(IF($C680="","",SUMIFS(Ledger!$K$2:$K$4, Ledger!$B$2:$B$4, $A680, Ledger!$C$2:$C$4, X$2)),"****")</f>
        <v/>
      </c>
    </row>
    <row r="681" spans="1:24" x14ac:dyDescent="0.3">
      <c r="A681" s="106">
        <v>679</v>
      </c>
      <c r="B681" t="str">
        <f>IFERROR(VLOOKUP($A681, Ledger!$B$2:$L$8, 3, 0),"")</f>
        <v/>
      </c>
      <c r="C681" t="str">
        <f>IFERROR(VLOOKUP($A681, Ledger!$B$2:$L$8, 4, 0),"")</f>
        <v/>
      </c>
      <c r="D681" t="str">
        <f>IFERROR(VLOOKUP($A681, Ledger!$B$2:$L$8, 5, 0),"")</f>
        <v/>
      </c>
      <c r="E681" t="str">
        <f>IFERROR(VLOOKUP($A681, Ledger!$B$2:$L$8, 6, 0),"")</f>
        <v/>
      </c>
      <c r="F681" t="str">
        <f>IFERROR(VLOOKUP($A681,'Student Data'!$A$2:$AR$6,32,0),"")</f>
        <v/>
      </c>
      <c r="G681" t="str">
        <f>IFERROR(VLOOKUP($A681,'Student Data'!$A$2:$AR$6,33,0),"")</f>
        <v/>
      </c>
      <c r="H681" t="str">
        <f>IFERROR(VLOOKUP($A681,'Student Data'!$A$2:$AR$6,34,0),"")</f>
        <v/>
      </c>
      <c r="I681" t="str">
        <f>IFERROR(VLOOKUP($A681,'Student Data'!$A$2:$AR$6,35,0),"")</f>
        <v/>
      </c>
      <c r="J681" t="str">
        <f>IFERROR(VLOOKUP($A681,'Student Data'!$A$2:$AR$6,36,0),"")</f>
        <v/>
      </c>
      <c r="K681" t="str">
        <f t="shared" si="20"/>
        <v/>
      </c>
      <c r="L681" t="str">
        <f t="shared" si="21"/>
        <v/>
      </c>
      <c r="M681" t="str">
        <f>IFERROR(IF($C681="","",SUMIFS(Ledger!$K$2:$K$4, Ledger!$B$2:$B$4, $A681, Ledger!$C$2:$C$4, M$2)),"****")</f>
        <v/>
      </c>
      <c r="N681" t="str">
        <f>IFERROR(IF($C681="","",SUMIFS(Ledger!$K$2:$K$4, Ledger!$B$2:$B$4, $A681, Ledger!$C$2:$C$4, N$2)),"****")</f>
        <v/>
      </c>
      <c r="O681" t="str">
        <f>IFERROR(IF($C681="","",SUMIFS(Ledger!$K$2:$K$4, Ledger!$B$2:$B$4, $A681, Ledger!$C$2:$C$4, O$2)),"****")</f>
        <v/>
      </c>
      <c r="P681" t="str">
        <f>IFERROR(IF($C681="","",SUMIFS(Ledger!$K$2:$K$4, Ledger!$B$2:$B$4, $A681, Ledger!$C$2:$C$4, P$2)),"****")</f>
        <v/>
      </c>
      <c r="Q681" t="str">
        <f>IFERROR(IF($C681="","",SUMIFS(Ledger!$K$2:$K$4, Ledger!$B$2:$B$4, $A681, Ledger!$C$2:$C$4, Q$2)),"****")</f>
        <v/>
      </c>
      <c r="R681" t="str">
        <f>IFERROR(IF($C681="","",SUMIFS(Ledger!$K$2:$K$4, Ledger!$B$2:$B$4, $A681, Ledger!$C$2:$C$4, R$2)),"****")</f>
        <v/>
      </c>
      <c r="S681" t="str">
        <f>IFERROR(IF($C681="","",SUMIFS(Ledger!$K$2:$K$4, Ledger!$B$2:$B$4, $A681, Ledger!$C$2:$C$4, S$2)),"****")</f>
        <v/>
      </c>
      <c r="T681" t="str">
        <f>IFERROR(IF($C681="","",SUMIFS(Ledger!$K$2:$K$4, Ledger!$B$2:$B$4, $A681, Ledger!$C$2:$C$4, T$2)),"****")</f>
        <v/>
      </c>
      <c r="U681" t="str">
        <f>IFERROR(IF($C681="","",SUMIFS(Ledger!$K$2:$K$4, Ledger!$B$2:$B$4, $A681, Ledger!$C$2:$C$4, U$2)),"****")</f>
        <v/>
      </c>
      <c r="V681" t="str">
        <f>IFERROR(IF($C681="","",SUMIFS(Ledger!$K$2:$K$4, Ledger!$B$2:$B$4, $A681, Ledger!$C$2:$C$4, V$2)),"****")</f>
        <v/>
      </c>
      <c r="W681" t="str">
        <f>IFERROR(IF($C681="","",SUMIFS(Ledger!$K$2:$K$4, Ledger!$B$2:$B$4, $A681, Ledger!$C$2:$C$4, W$2)),"****")</f>
        <v/>
      </c>
      <c r="X681" t="str">
        <f>IFERROR(IF($C681="","",SUMIFS(Ledger!$K$2:$K$4, Ledger!$B$2:$B$4, $A681, Ledger!$C$2:$C$4, X$2)),"****")</f>
        <v/>
      </c>
    </row>
    <row r="682" spans="1:24" x14ac:dyDescent="0.3">
      <c r="A682" s="106">
        <v>680</v>
      </c>
      <c r="B682" t="str">
        <f>IFERROR(VLOOKUP($A682, Ledger!$B$2:$L$8, 3, 0),"")</f>
        <v/>
      </c>
      <c r="C682" t="str">
        <f>IFERROR(VLOOKUP($A682, Ledger!$B$2:$L$8, 4, 0),"")</f>
        <v/>
      </c>
      <c r="D682" t="str">
        <f>IFERROR(VLOOKUP($A682, Ledger!$B$2:$L$8, 5, 0),"")</f>
        <v/>
      </c>
      <c r="E682" t="str">
        <f>IFERROR(VLOOKUP($A682, Ledger!$B$2:$L$8, 6, 0),"")</f>
        <v/>
      </c>
      <c r="F682" t="str">
        <f>IFERROR(VLOOKUP($A682,'Student Data'!$A$2:$AR$6,32,0),"")</f>
        <v/>
      </c>
      <c r="G682" t="str">
        <f>IFERROR(VLOOKUP($A682,'Student Data'!$A$2:$AR$6,33,0),"")</f>
        <v/>
      </c>
      <c r="H682" t="str">
        <f>IFERROR(VLOOKUP($A682,'Student Data'!$A$2:$AR$6,34,0),"")</f>
        <v/>
      </c>
      <c r="I682" t="str">
        <f>IFERROR(VLOOKUP($A682,'Student Data'!$A$2:$AR$6,35,0),"")</f>
        <v/>
      </c>
      <c r="J682" t="str">
        <f>IFERROR(VLOOKUP($A682,'Student Data'!$A$2:$AR$6,36,0),"")</f>
        <v/>
      </c>
      <c r="K682" t="str">
        <f t="shared" si="20"/>
        <v/>
      </c>
      <c r="L682" t="str">
        <f t="shared" si="21"/>
        <v/>
      </c>
      <c r="M682" t="str">
        <f>IFERROR(IF($C682="","",SUMIFS(Ledger!$K$2:$K$4, Ledger!$B$2:$B$4, $A682, Ledger!$C$2:$C$4, M$2)),"****")</f>
        <v/>
      </c>
      <c r="N682" t="str">
        <f>IFERROR(IF($C682="","",SUMIFS(Ledger!$K$2:$K$4, Ledger!$B$2:$B$4, $A682, Ledger!$C$2:$C$4, N$2)),"****")</f>
        <v/>
      </c>
      <c r="O682" t="str">
        <f>IFERROR(IF($C682="","",SUMIFS(Ledger!$K$2:$K$4, Ledger!$B$2:$B$4, $A682, Ledger!$C$2:$C$4, O$2)),"****")</f>
        <v/>
      </c>
      <c r="P682" t="str">
        <f>IFERROR(IF($C682="","",SUMIFS(Ledger!$K$2:$K$4, Ledger!$B$2:$B$4, $A682, Ledger!$C$2:$C$4, P$2)),"****")</f>
        <v/>
      </c>
      <c r="Q682" t="str">
        <f>IFERROR(IF($C682="","",SUMIFS(Ledger!$K$2:$K$4, Ledger!$B$2:$B$4, $A682, Ledger!$C$2:$C$4, Q$2)),"****")</f>
        <v/>
      </c>
      <c r="R682" t="str">
        <f>IFERROR(IF($C682="","",SUMIFS(Ledger!$K$2:$K$4, Ledger!$B$2:$B$4, $A682, Ledger!$C$2:$C$4, R$2)),"****")</f>
        <v/>
      </c>
      <c r="S682" t="str">
        <f>IFERROR(IF($C682="","",SUMIFS(Ledger!$K$2:$K$4, Ledger!$B$2:$B$4, $A682, Ledger!$C$2:$C$4, S$2)),"****")</f>
        <v/>
      </c>
      <c r="T682" t="str">
        <f>IFERROR(IF($C682="","",SUMIFS(Ledger!$K$2:$K$4, Ledger!$B$2:$B$4, $A682, Ledger!$C$2:$C$4, T$2)),"****")</f>
        <v/>
      </c>
      <c r="U682" t="str">
        <f>IFERROR(IF($C682="","",SUMIFS(Ledger!$K$2:$K$4, Ledger!$B$2:$B$4, $A682, Ledger!$C$2:$C$4, U$2)),"****")</f>
        <v/>
      </c>
      <c r="V682" t="str">
        <f>IFERROR(IF($C682="","",SUMIFS(Ledger!$K$2:$K$4, Ledger!$B$2:$B$4, $A682, Ledger!$C$2:$C$4, V$2)),"****")</f>
        <v/>
      </c>
      <c r="W682" t="str">
        <f>IFERROR(IF($C682="","",SUMIFS(Ledger!$K$2:$K$4, Ledger!$B$2:$B$4, $A682, Ledger!$C$2:$C$4, W$2)),"****")</f>
        <v/>
      </c>
      <c r="X682" t="str">
        <f>IFERROR(IF($C682="","",SUMIFS(Ledger!$K$2:$K$4, Ledger!$B$2:$B$4, $A682, Ledger!$C$2:$C$4, X$2)),"****")</f>
        <v/>
      </c>
    </row>
    <row r="683" spans="1:24" x14ac:dyDescent="0.3">
      <c r="A683" s="106">
        <v>681</v>
      </c>
      <c r="B683" t="str">
        <f>IFERROR(VLOOKUP($A683, Ledger!$B$2:$L$8, 3, 0),"")</f>
        <v/>
      </c>
      <c r="C683" t="str">
        <f>IFERROR(VLOOKUP($A683, Ledger!$B$2:$L$8, 4, 0),"")</f>
        <v/>
      </c>
      <c r="D683" t="str">
        <f>IFERROR(VLOOKUP($A683, Ledger!$B$2:$L$8, 5, 0),"")</f>
        <v/>
      </c>
      <c r="E683" t="str">
        <f>IFERROR(VLOOKUP($A683, Ledger!$B$2:$L$8, 6, 0),"")</f>
        <v/>
      </c>
      <c r="F683" t="str">
        <f>IFERROR(VLOOKUP($A683,'Student Data'!$A$2:$AR$6,32,0),"")</f>
        <v/>
      </c>
      <c r="G683" t="str">
        <f>IFERROR(VLOOKUP($A683,'Student Data'!$A$2:$AR$6,33,0),"")</f>
        <v/>
      </c>
      <c r="H683" t="str">
        <f>IFERROR(VLOOKUP($A683,'Student Data'!$A$2:$AR$6,34,0),"")</f>
        <v/>
      </c>
      <c r="I683" t="str">
        <f>IFERROR(VLOOKUP($A683,'Student Data'!$A$2:$AR$6,35,0),"")</f>
        <v/>
      </c>
      <c r="J683" t="str">
        <f>IFERROR(VLOOKUP($A683,'Student Data'!$A$2:$AR$6,36,0),"")</f>
        <v/>
      </c>
      <c r="K683" t="str">
        <f t="shared" si="20"/>
        <v/>
      </c>
      <c r="L683" t="str">
        <f t="shared" si="21"/>
        <v/>
      </c>
      <c r="M683" t="str">
        <f>IFERROR(IF($C683="","",SUMIFS(Ledger!$K$2:$K$4, Ledger!$B$2:$B$4, $A683, Ledger!$C$2:$C$4, M$2)),"****")</f>
        <v/>
      </c>
      <c r="N683" t="str">
        <f>IFERROR(IF($C683="","",SUMIFS(Ledger!$K$2:$K$4, Ledger!$B$2:$B$4, $A683, Ledger!$C$2:$C$4, N$2)),"****")</f>
        <v/>
      </c>
      <c r="O683" t="str">
        <f>IFERROR(IF($C683="","",SUMIFS(Ledger!$K$2:$K$4, Ledger!$B$2:$B$4, $A683, Ledger!$C$2:$C$4, O$2)),"****")</f>
        <v/>
      </c>
      <c r="P683" t="str">
        <f>IFERROR(IF($C683="","",SUMIFS(Ledger!$K$2:$K$4, Ledger!$B$2:$B$4, $A683, Ledger!$C$2:$C$4, P$2)),"****")</f>
        <v/>
      </c>
      <c r="Q683" t="str">
        <f>IFERROR(IF($C683="","",SUMIFS(Ledger!$K$2:$K$4, Ledger!$B$2:$B$4, $A683, Ledger!$C$2:$C$4, Q$2)),"****")</f>
        <v/>
      </c>
      <c r="R683" t="str">
        <f>IFERROR(IF($C683="","",SUMIFS(Ledger!$K$2:$K$4, Ledger!$B$2:$B$4, $A683, Ledger!$C$2:$C$4, R$2)),"****")</f>
        <v/>
      </c>
      <c r="S683" t="str">
        <f>IFERROR(IF($C683="","",SUMIFS(Ledger!$K$2:$K$4, Ledger!$B$2:$B$4, $A683, Ledger!$C$2:$C$4, S$2)),"****")</f>
        <v/>
      </c>
      <c r="T683" t="str">
        <f>IFERROR(IF($C683="","",SUMIFS(Ledger!$K$2:$K$4, Ledger!$B$2:$B$4, $A683, Ledger!$C$2:$C$4, T$2)),"****")</f>
        <v/>
      </c>
      <c r="U683" t="str">
        <f>IFERROR(IF($C683="","",SUMIFS(Ledger!$K$2:$K$4, Ledger!$B$2:$B$4, $A683, Ledger!$C$2:$C$4, U$2)),"****")</f>
        <v/>
      </c>
      <c r="V683" t="str">
        <f>IFERROR(IF($C683="","",SUMIFS(Ledger!$K$2:$K$4, Ledger!$B$2:$B$4, $A683, Ledger!$C$2:$C$4, V$2)),"****")</f>
        <v/>
      </c>
      <c r="W683" t="str">
        <f>IFERROR(IF($C683="","",SUMIFS(Ledger!$K$2:$K$4, Ledger!$B$2:$B$4, $A683, Ledger!$C$2:$C$4, W$2)),"****")</f>
        <v/>
      </c>
      <c r="X683" t="str">
        <f>IFERROR(IF($C683="","",SUMIFS(Ledger!$K$2:$K$4, Ledger!$B$2:$B$4, $A683, Ledger!$C$2:$C$4, X$2)),"****")</f>
        <v/>
      </c>
    </row>
    <row r="684" spans="1:24" x14ac:dyDescent="0.3">
      <c r="A684" s="106">
        <v>682</v>
      </c>
      <c r="B684" t="str">
        <f>IFERROR(VLOOKUP($A684, Ledger!$B$2:$L$8, 3, 0),"")</f>
        <v/>
      </c>
      <c r="C684" t="str">
        <f>IFERROR(VLOOKUP($A684, Ledger!$B$2:$L$8, 4, 0),"")</f>
        <v/>
      </c>
      <c r="D684" t="str">
        <f>IFERROR(VLOOKUP($A684, Ledger!$B$2:$L$8, 5, 0),"")</f>
        <v/>
      </c>
      <c r="E684" t="str">
        <f>IFERROR(VLOOKUP($A684, Ledger!$B$2:$L$8, 6, 0),"")</f>
        <v/>
      </c>
      <c r="F684" t="str">
        <f>IFERROR(VLOOKUP($A684,'Student Data'!$A$2:$AR$6,32,0),"")</f>
        <v/>
      </c>
      <c r="G684" t="str">
        <f>IFERROR(VLOOKUP($A684,'Student Data'!$A$2:$AR$6,33,0),"")</f>
        <v/>
      </c>
      <c r="H684" t="str">
        <f>IFERROR(VLOOKUP($A684,'Student Data'!$A$2:$AR$6,34,0),"")</f>
        <v/>
      </c>
      <c r="I684" t="str">
        <f>IFERROR(VLOOKUP($A684,'Student Data'!$A$2:$AR$6,35,0),"")</f>
        <v/>
      </c>
      <c r="J684" t="str">
        <f>IFERROR(VLOOKUP($A684,'Student Data'!$A$2:$AR$6,36,0),"")</f>
        <v/>
      </c>
      <c r="K684" t="str">
        <f t="shared" si="20"/>
        <v/>
      </c>
      <c r="L684" t="str">
        <f t="shared" si="21"/>
        <v/>
      </c>
      <c r="M684" t="str">
        <f>IFERROR(IF($C684="","",SUMIFS(Ledger!$K$2:$K$4, Ledger!$B$2:$B$4, $A684, Ledger!$C$2:$C$4, M$2)),"****")</f>
        <v/>
      </c>
      <c r="N684" t="str">
        <f>IFERROR(IF($C684="","",SUMIFS(Ledger!$K$2:$K$4, Ledger!$B$2:$B$4, $A684, Ledger!$C$2:$C$4, N$2)),"****")</f>
        <v/>
      </c>
      <c r="O684" t="str">
        <f>IFERROR(IF($C684="","",SUMIFS(Ledger!$K$2:$K$4, Ledger!$B$2:$B$4, $A684, Ledger!$C$2:$C$4, O$2)),"****")</f>
        <v/>
      </c>
      <c r="P684" t="str">
        <f>IFERROR(IF($C684="","",SUMIFS(Ledger!$K$2:$K$4, Ledger!$B$2:$B$4, $A684, Ledger!$C$2:$C$4, P$2)),"****")</f>
        <v/>
      </c>
      <c r="Q684" t="str">
        <f>IFERROR(IF($C684="","",SUMIFS(Ledger!$K$2:$K$4, Ledger!$B$2:$B$4, $A684, Ledger!$C$2:$C$4, Q$2)),"****")</f>
        <v/>
      </c>
      <c r="R684" t="str">
        <f>IFERROR(IF($C684="","",SUMIFS(Ledger!$K$2:$K$4, Ledger!$B$2:$B$4, $A684, Ledger!$C$2:$C$4, R$2)),"****")</f>
        <v/>
      </c>
      <c r="S684" t="str">
        <f>IFERROR(IF($C684="","",SUMIFS(Ledger!$K$2:$K$4, Ledger!$B$2:$B$4, $A684, Ledger!$C$2:$C$4, S$2)),"****")</f>
        <v/>
      </c>
      <c r="T684" t="str">
        <f>IFERROR(IF($C684="","",SUMIFS(Ledger!$K$2:$K$4, Ledger!$B$2:$B$4, $A684, Ledger!$C$2:$C$4, T$2)),"****")</f>
        <v/>
      </c>
      <c r="U684" t="str">
        <f>IFERROR(IF($C684="","",SUMIFS(Ledger!$K$2:$K$4, Ledger!$B$2:$B$4, $A684, Ledger!$C$2:$C$4, U$2)),"****")</f>
        <v/>
      </c>
      <c r="V684" t="str">
        <f>IFERROR(IF($C684="","",SUMIFS(Ledger!$K$2:$K$4, Ledger!$B$2:$B$4, $A684, Ledger!$C$2:$C$4, V$2)),"****")</f>
        <v/>
      </c>
      <c r="W684" t="str">
        <f>IFERROR(IF($C684="","",SUMIFS(Ledger!$K$2:$K$4, Ledger!$B$2:$B$4, $A684, Ledger!$C$2:$C$4, W$2)),"****")</f>
        <v/>
      </c>
      <c r="X684" t="str">
        <f>IFERROR(IF($C684="","",SUMIFS(Ledger!$K$2:$K$4, Ledger!$B$2:$B$4, $A684, Ledger!$C$2:$C$4, X$2)),"****")</f>
        <v/>
      </c>
    </row>
    <row r="685" spans="1:24" x14ac:dyDescent="0.3">
      <c r="A685" s="106">
        <v>683</v>
      </c>
      <c r="B685" t="str">
        <f>IFERROR(VLOOKUP($A685, Ledger!$B$2:$L$8, 3, 0),"")</f>
        <v/>
      </c>
      <c r="C685" t="str">
        <f>IFERROR(VLOOKUP($A685, Ledger!$B$2:$L$8, 4, 0),"")</f>
        <v/>
      </c>
      <c r="D685" t="str">
        <f>IFERROR(VLOOKUP($A685, Ledger!$B$2:$L$8, 5, 0),"")</f>
        <v/>
      </c>
      <c r="E685" t="str">
        <f>IFERROR(VLOOKUP($A685, Ledger!$B$2:$L$8, 6, 0),"")</f>
        <v/>
      </c>
      <c r="F685" t="str">
        <f>IFERROR(VLOOKUP($A685,'Student Data'!$A$2:$AR$6,32,0),"")</f>
        <v/>
      </c>
      <c r="G685" t="str">
        <f>IFERROR(VLOOKUP($A685,'Student Data'!$A$2:$AR$6,33,0),"")</f>
        <v/>
      </c>
      <c r="H685" t="str">
        <f>IFERROR(VLOOKUP($A685,'Student Data'!$A$2:$AR$6,34,0),"")</f>
        <v/>
      </c>
      <c r="I685" t="str">
        <f>IFERROR(VLOOKUP($A685,'Student Data'!$A$2:$AR$6,35,0),"")</f>
        <v/>
      </c>
      <c r="J685" t="str">
        <f>IFERROR(VLOOKUP($A685,'Student Data'!$A$2:$AR$6,36,0),"")</f>
        <v/>
      </c>
      <c r="K685" t="str">
        <f t="shared" si="20"/>
        <v/>
      </c>
      <c r="L685" t="str">
        <f t="shared" si="21"/>
        <v/>
      </c>
      <c r="M685" t="str">
        <f>IFERROR(IF($C685="","",SUMIFS(Ledger!$K$2:$K$4, Ledger!$B$2:$B$4, $A685, Ledger!$C$2:$C$4, M$2)),"****")</f>
        <v/>
      </c>
      <c r="N685" t="str">
        <f>IFERROR(IF($C685="","",SUMIFS(Ledger!$K$2:$K$4, Ledger!$B$2:$B$4, $A685, Ledger!$C$2:$C$4, N$2)),"****")</f>
        <v/>
      </c>
      <c r="O685" t="str">
        <f>IFERROR(IF($C685="","",SUMIFS(Ledger!$K$2:$K$4, Ledger!$B$2:$B$4, $A685, Ledger!$C$2:$C$4, O$2)),"****")</f>
        <v/>
      </c>
      <c r="P685" t="str">
        <f>IFERROR(IF($C685="","",SUMIFS(Ledger!$K$2:$K$4, Ledger!$B$2:$B$4, $A685, Ledger!$C$2:$C$4, P$2)),"****")</f>
        <v/>
      </c>
      <c r="Q685" t="str">
        <f>IFERROR(IF($C685="","",SUMIFS(Ledger!$K$2:$K$4, Ledger!$B$2:$B$4, $A685, Ledger!$C$2:$C$4, Q$2)),"****")</f>
        <v/>
      </c>
      <c r="R685" t="str">
        <f>IFERROR(IF($C685="","",SUMIFS(Ledger!$K$2:$K$4, Ledger!$B$2:$B$4, $A685, Ledger!$C$2:$C$4, R$2)),"****")</f>
        <v/>
      </c>
      <c r="S685" t="str">
        <f>IFERROR(IF($C685="","",SUMIFS(Ledger!$K$2:$K$4, Ledger!$B$2:$B$4, $A685, Ledger!$C$2:$C$4, S$2)),"****")</f>
        <v/>
      </c>
      <c r="T685" t="str">
        <f>IFERROR(IF($C685="","",SUMIFS(Ledger!$K$2:$K$4, Ledger!$B$2:$B$4, $A685, Ledger!$C$2:$C$4, T$2)),"****")</f>
        <v/>
      </c>
      <c r="U685" t="str">
        <f>IFERROR(IF($C685="","",SUMIFS(Ledger!$K$2:$K$4, Ledger!$B$2:$B$4, $A685, Ledger!$C$2:$C$4, U$2)),"****")</f>
        <v/>
      </c>
      <c r="V685" t="str">
        <f>IFERROR(IF($C685="","",SUMIFS(Ledger!$K$2:$K$4, Ledger!$B$2:$B$4, $A685, Ledger!$C$2:$C$4, V$2)),"****")</f>
        <v/>
      </c>
      <c r="W685" t="str">
        <f>IFERROR(IF($C685="","",SUMIFS(Ledger!$K$2:$K$4, Ledger!$B$2:$B$4, $A685, Ledger!$C$2:$C$4, W$2)),"****")</f>
        <v/>
      </c>
      <c r="X685" t="str">
        <f>IFERROR(IF($C685="","",SUMIFS(Ledger!$K$2:$K$4, Ledger!$B$2:$B$4, $A685, Ledger!$C$2:$C$4, X$2)),"****")</f>
        <v/>
      </c>
    </row>
    <row r="686" spans="1:24" x14ac:dyDescent="0.3">
      <c r="A686" s="106">
        <v>684</v>
      </c>
      <c r="B686" t="str">
        <f>IFERROR(VLOOKUP($A686, Ledger!$B$2:$L$8, 3, 0),"")</f>
        <v/>
      </c>
      <c r="C686" t="str">
        <f>IFERROR(VLOOKUP($A686, Ledger!$B$2:$L$8, 4, 0),"")</f>
        <v/>
      </c>
      <c r="D686" t="str">
        <f>IFERROR(VLOOKUP($A686, Ledger!$B$2:$L$8, 5, 0),"")</f>
        <v/>
      </c>
      <c r="E686" t="str">
        <f>IFERROR(VLOOKUP($A686, Ledger!$B$2:$L$8, 6, 0),"")</f>
        <v/>
      </c>
      <c r="F686" t="str">
        <f>IFERROR(VLOOKUP($A686,'Student Data'!$A$2:$AR$6,32,0),"")</f>
        <v/>
      </c>
      <c r="G686" t="str">
        <f>IFERROR(VLOOKUP($A686,'Student Data'!$A$2:$AR$6,33,0),"")</f>
        <v/>
      </c>
      <c r="H686" t="str">
        <f>IFERROR(VLOOKUP($A686,'Student Data'!$A$2:$AR$6,34,0),"")</f>
        <v/>
      </c>
      <c r="I686" t="str">
        <f>IFERROR(VLOOKUP($A686,'Student Data'!$A$2:$AR$6,35,0),"")</f>
        <v/>
      </c>
      <c r="J686" t="str">
        <f>IFERROR(VLOOKUP($A686,'Student Data'!$A$2:$AR$6,36,0),"")</f>
        <v/>
      </c>
      <c r="K686" t="str">
        <f t="shared" si="20"/>
        <v/>
      </c>
      <c r="L686" t="str">
        <f t="shared" si="21"/>
        <v/>
      </c>
      <c r="M686" t="str">
        <f>IFERROR(IF($C686="","",SUMIFS(Ledger!$K$2:$K$4, Ledger!$B$2:$B$4, $A686, Ledger!$C$2:$C$4, M$2)),"****")</f>
        <v/>
      </c>
      <c r="N686" t="str">
        <f>IFERROR(IF($C686="","",SUMIFS(Ledger!$K$2:$K$4, Ledger!$B$2:$B$4, $A686, Ledger!$C$2:$C$4, N$2)),"****")</f>
        <v/>
      </c>
      <c r="O686" t="str">
        <f>IFERROR(IF($C686="","",SUMIFS(Ledger!$K$2:$K$4, Ledger!$B$2:$B$4, $A686, Ledger!$C$2:$C$4, O$2)),"****")</f>
        <v/>
      </c>
      <c r="P686" t="str">
        <f>IFERROR(IF($C686="","",SUMIFS(Ledger!$K$2:$K$4, Ledger!$B$2:$B$4, $A686, Ledger!$C$2:$C$4, P$2)),"****")</f>
        <v/>
      </c>
      <c r="Q686" t="str">
        <f>IFERROR(IF($C686="","",SUMIFS(Ledger!$K$2:$K$4, Ledger!$B$2:$B$4, $A686, Ledger!$C$2:$C$4, Q$2)),"****")</f>
        <v/>
      </c>
      <c r="R686" t="str">
        <f>IFERROR(IF($C686="","",SUMIFS(Ledger!$K$2:$K$4, Ledger!$B$2:$B$4, $A686, Ledger!$C$2:$C$4, R$2)),"****")</f>
        <v/>
      </c>
      <c r="S686" t="str">
        <f>IFERROR(IF($C686="","",SUMIFS(Ledger!$K$2:$K$4, Ledger!$B$2:$B$4, $A686, Ledger!$C$2:$C$4, S$2)),"****")</f>
        <v/>
      </c>
      <c r="T686" t="str">
        <f>IFERROR(IF($C686="","",SUMIFS(Ledger!$K$2:$K$4, Ledger!$B$2:$B$4, $A686, Ledger!$C$2:$C$4, T$2)),"****")</f>
        <v/>
      </c>
      <c r="U686" t="str">
        <f>IFERROR(IF($C686="","",SUMIFS(Ledger!$K$2:$K$4, Ledger!$B$2:$B$4, $A686, Ledger!$C$2:$C$4, U$2)),"****")</f>
        <v/>
      </c>
      <c r="V686" t="str">
        <f>IFERROR(IF($C686="","",SUMIFS(Ledger!$K$2:$K$4, Ledger!$B$2:$B$4, $A686, Ledger!$C$2:$C$4, V$2)),"****")</f>
        <v/>
      </c>
      <c r="W686" t="str">
        <f>IFERROR(IF($C686="","",SUMIFS(Ledger!$K$2:$K$4, Ledger!$B$2:$B$4, $A686, Ledger!$C$2:$C$4, W$2)),"****")</f>
        <v/>
      </c>
      <c r="X686" t="str">
        <f>IFERROR(IF($C686="","",SUMIFS(Ledger!$K$2:$K$4, Ledger!$B$2:$B$4, $A686, Ledger!$C$2:$C$4, X$2)),"****")</f>
        <v/>
      </c>
    </row>
    <row r="687" spans="1:24" x14ac:dyDescent="0.3">
      <c r="A687" s="106">
        <v>685</v>
      </c>
      <c r="B687" t="str">
        <f>IFERROR(VLOOKUP($A687, Ledger!$B$2:$L$8, 3, 0),"")</f>
        <v/>
      </c>
      <c r="C687" t="str">
        <f>IFERROR(VLOOKUP($A687, Ledger!$B$2:$L$8, 4, 0),"")</f>
        <v/>
      </c>
      <c r="D687" t="str">
        <f>IFERROR(VLOOKUP($A687, Ledger!$B$2:$L$8, 5, 0),"")</f>
        <v/>
      </c>
      <c r="E687" t="str">
        <f>IFERROR(VLOOKUP($A687, Ledger!$B$2:$L$8, 6, 0),"")</f>
        <v/>
      </c>
      <c r="F687" t="str">
        <f>IFERROR(VLOOKUP($A687,'Student Data'!$A$2:$AR$6,32,0),"")</f>
        <v/>
      </c>
      <c r="G687" t="str">
        <f>IFERROR(VLOOKUP($A687,'Student Data'!$A$2:$AR$6,33,0),"")</f>
        <v/>
      </c>
      <c r="H687" t="str">
        <f>IFERROR(VLOOKUP($A687,'Student Data'!$A$2:$AR$6,34,0),"")</f>
        <v/>
      </c>
      <c r="I687" t="str">
        <f>IFERROR(VLOOKUP($A687,'Student Data'!$A$2:$AR$6,35,0),"")</f>
        <v/>
      </c>
      <c r="J687" t="str">
        <f>IFERROR(VLOOKUP($A687,'Student Data'!$A$2:$AR$6,36,0),"")</f>
        <v/>
      </c>
      <c r="K687" t="str">
        <f t="shared" si="20"/>
        <v/>
      </c>
      <c r="L687" t="str">
        <f t="shared" si="21"/>
        <v/>
      </c>
      <c r="M687" t="str">
        <f>IFERROR(IF($C687="","",SUMIFS(Ledger!$K$2:$K$4, Ledger!$B$2:$B$4, $A687, Ledger!$C$2:$C$4, M$2)),"****")</f>
        <v/>
      </c>
      <c r="N687" t="str">
        <f>IFERROR(IF($C687="","",SUMIFS(Ledger!$K$2:$K$4, Ledger!$B$2:$B$4, $A687, Ledger!$C$2:$C$4, N$2)),"****")</f>
        <v/>
      </c>
      <c r="O687" t="str">
        <f>IFERROR(IF($C687="","",SUMIFS(Ledger!$K$2:$K$4, Ledger!$B$2:$B$4, $A687, Ledger!$C$2:$C$4, O$2)),"****")</f>
        <v/>
      </c>
      <c r="P687" t="str">
        <f>IFERROR(IF($C687="","",SUMIFS(Ledger!$K$2:$K$4, Ledger!$B$2:$B$4, $A687, Ledger!$C$2:$C$4, P$2)),"****")</f>
        <v/>
      </c>
      <c r="Q687" t="str">
        <f>IFERROR(IF($C687="","",SUMIFS(Ledger!$K$2:$K$4, Ledger!$B$2:$B$4, $A687, Ledger!$C$2:$C$4, Q$2)),"****")</f>
        <v/>
      </c>
      <c r="R687" t="str">
        <f>IFERROR(IF($C687="","",SUMIFS(Ledger!$K$2:$K$4, Ledger!$B$2:$B$4, $A687, Ledger!$C$2:$C$4, R$2)),"****")</f>
        <v/>
      </c>
      <c r="S687" t="str">
        <f>IFERROR(IF($C687="","",SUMIFS(Ledger!$K$2:$K$4, Ledger!$B$2:$B$4, $A687, Ledger!$C$2:$C$4, S$2)),"****")</f>
        <v/>
      </c>
      <c r="T687" t="str">
        <f>IFERROR(IF($C687="","",SUMIFS(Ledger!$K$2:$K$4, Ledger!$B$2:$B$4, $A687, Ledger!$C$2:$C$4, T$2)),"****")</f>
        <v/>
      </c>
      <c r="U687" t="str">
        <f>IFERROR(IF($C687="","",SUMIFS(Ledger!$K$2:$K$4, Ledger!$B$2:$B$4, $A687, Ledger!$C$2:$C$4, U$2)),"****")</f>
        <v/>
      </c>
      <c r="V687" t="str">
        <f>IFERROR(IF($C687="","",SUMIFS(Ledger!$K$2:$K$4, Ledger!$B$2:$B$4, $A687, Ledger!$C$2:$C$4, V$2)),"****")</f>
        <v/>
      </c>
      <c r="W687" t="str">
        <f>IFERROR(IF($C687="","",SUMIFS(Ledger!$K$2:$K$4, Ledger!$B$2:$B$4, $A687, Ledger!$C$2:$C$4, W$2)),"****")</f>
        <v/>
      </c>
      <c r="X687" t="str">
        <f>IFERROR(IF($C687="","",SUMIFS(Ledger!$K$2:$K$4, Ledger!$B$2:$B$4, $A687, Ledger!$C$2:$C$4, X$2)),"****")</f>
        <v/>
      </c>
    </row>
    <row r="688" spans="1:24" x14ac:dyDescent="0.3">
      <c r="A688" s="106">
        <v>686</v>
      </c>
      <c r="B688" t="str">
        <f>IFERROR(VLOOKUP($A688, Ledger!$B$2:$L$8, 3, 0),"")</f>
        <v/>
      </c>
      <c r="C688" t="str">
        <f>IFERROR(VLOOKUP($A688, Ledger!$B$2:$L$8, 4, 0),"")</f>
        <v/>
      </c>
      <c r="D688" t="str">
        <f>IFERROR(VLOOKUP($A688, Ledger!$B$2:$L$8, 5, 0),"")</f>
        <v/>
      </c>
      <c r="E688" t="str">
        <f>IFERROR(VLOOKUP($A688, Ledger!$B$2:$L$8, 6, 0),"")</f>
        <v/>
      </c>
      <c r="F688" t="str">
        <f>IFERROR(VLOOKUP($A688,'Student Data'!$A$2:$AR$6,32,0),"")</f>
        <v/>
      </c>
      <c r="G688" t="str">
        <f>IFERROR(VLOOKUP($A688,'Student Data'!$A$2:$AR$6,33,0),"")</f>
        <v/>
      </c>
      <c r="H688" t="str">
        <f>IFERROR(VLOOKUP($A688,'Student Data'!$A$2:$AR$6,34,0),"")</f>
        <v/>
      </c>
      <c r="I688" t="str">
        <f>IFERROR(VLOOKUP($A688,'Student Data'!$A$2:$AR$6,35,0),"")</f>
        <v/>
      </c>
      <c r="J688" t="str">
        <f>IFERROR(VLOOKUP($A688,'Student Data'!$A$2:$AR$6,36,0),"")</f>
        <v/>
      </c>
      <c r="K688" t="str">
        <f t="shared" si="20"/>
        <v/>
      </c>
      <c r="L688" t="str">
        <f t="shared" si="21"/>
        <v/>
      </c>
      <c r="M688" t="str">
        <f>IFERROR(IF($C688="","",SUMIFS(Ledger!$K$2:$K$4, Ledger!$B$2:$B$4, $A688, Ledger!$C$2:$C$4, M$2)),"****")</f>
        <v/>
      </c>
      <c r="N688" t="str">
        <f>IFERROR(IF($C688="","",SUMIFS(Ledger!$K$2:$K$4, Ledger!$B$2:$B$4, $A688, Ledger!$C$2:$C$4, N$2)),"****")</f>
        <v/>
      </c>
      <c r="O688" t="str">
        <f>IFERROR(IF($C688="","",SUMIFS(Ledger!$K$2:$K$4, Ledger!$B$2:$B$4, $A688, Ledger!$C$2:$C$4, O$2)),"****")</f>
        <v/>
      </c>
      <c r="P688" t="str">
        <f>IFERROR(IF($C688="","",SUMIFS(Ledger!$K$2:$K$4, Ledger!$B$2:$B$4, $A688, Ledger!$C$2:$C$4, P$2)),"****")</f>
        <v/>
      </c>
      <c r="Q688" t="str">
        <f>IFERROR(IF($C688="","",SUMIFS(Ledger!$K$2:$K$4, Ledger!$B$2:$B$4, $A688, Ledger!$C$2:$C$4, Q$2)),"****")</f>
        <v/>
      </c>
      <c r="R688" t="str">
        <f>IFERROR(IF($C688="","",SUMIFS(Ledger!$K$2:$K$4, Ledger!$B$2:$B$4, $A688, Ledger!$C$2:$C$4, R$2)),"****")</f>
        <v/>
      </c>
      <c r="S688" t="str">
        <f>IFERROR(IF($C688="","",SUMIFS(Ledger!$K$2:$K$4, Ledger!$B$2:$B$4, $A688, Ledger!$C$2:$C$4, S$2)),"****")</f>
        <v/>
      </c>
      <c r="T688" t="str">
        <f>IFERROR(IF($C688="","",SUMIFS(Ledger!$K$2:$K$4, Ledger!$B$2:$B$4, $A688, Ledger!$C$2:$C$4, T$2)),"****")</f>
        <v/>
      </c>
      <c r="U688" t="str">
        <f>IFERROR(IF($C688="","",SUMIFS(Ledger!$K$2:$K$4, Ledger!$B$2:$B$4, $A688, Ledger!$C$2:$C$4, U$2)),"****")</f>
        <v/>
      </c>
      <c r="V688" t="str">
        <f>IFERROR(IF($C688="","",SUMIFS(Ledger!$K$2:$K$4, Ledger!$B$2:$B$4, $A688, Ledger!$C$2:$C$4, V$2)),"****")</f>
        <v/>
      </c>
      <c r="W688" t="str">
        <f>IFERROR(IF($C688="","",SUMIFS(Ledger!$K$2:$K$4, Ledger!$B$2:$B$4, $A688, Ledger!$C$2:$C$4, W$2)),"****")</f>
        <v/>
      </c>
      <c r="X688" t="str">
        <f>IFERROR(IF($C688="","",SUMIFS(Ledger!$K$2:$K$4, Ledger!$B$2:$B$4, $A688, Ledger!$C$2:$C$4, X$2)),"****")</f>
        <v/>
      </c>
    </row>
    <row r="689" spans="1:24" x14ac:dyDescent="0.3">
      <c r="A689" s="106">
        <v>687</v>
      </c>
      <c r="B689" t="str">
        <f>IFERROR(VLOOKUP($A689, Ledger!$B$2:$L$8, 3, 0),"")</f>
        <v/>
      </c>
      <c r="C689" t="str">
        <f>IFERROR(VLOOKUP($A689, Ledger!$B$2:$L$8, 4, 0),"")</f>
        <v/>
      </c>
      <c r="D689" t="str">
        <f>IFERROR(VLOOKUP($A689, Ledger!$B$2:$L$8, 5, 0),"")</f>
        <v/>
      </c>
      <c r="E689" t="str">
        <f>IFERROR(VLOOKUP($A689, Ledger!$B$2:$L$8, 6, 0),"")</f>
        <v/>
      </c>
      <c r="F689" t="str">
        <f>IFERROR(VLOOKUP($A689,'Student Data'!$A$2:$AR$6,32,0),"")</f>
        <v/>
      </c>
      <c r="G689" t="str">
        <f>IFERROR(VLOOKUP($A689,'Student Data'!$A$2:$AR$6,33,0),"")</f>
        <v/>
      </c>
      <c r="H689" t="str">
        <f>IFERROR(VLOOKUP($A689,'Student Data'!$A$2:$AR$6,34,0),"")</f>
        <v/>
      </c>
      <c r="I689" t="str">
        <f>IFERROR(VLOOKUP($A689,'Student Data'!$A$2:$AR$6,35,0),"")</f>
        <v/>
      </c>
      <c r="J689" t="str">
        <f>IFERROR(VLOOKUP($A689,'Student Data'!$A$2:$AR$6,36,0),"")</f>
        <v/>
      </c>
      <c r="K689" t="str">
        <f t="shared" si="20"/>
        <v/>
      </c>
      <c r="L689" t="str">
        <f t="shared" si="21"/>
        <v/>
      </c>
      <c r="M689" t="str">
        <f>IFERROR(IF($C689="","",SUMIFS(Ledger!$K$2:$K$4, Ledger!$B$2:$B$4, $A689, Ledger!$C$2:$C$4, M$2)),"****")</f>
        <v/>
      </c>
      <c r="N689" t="str">
        <f>IFERROR(IF($C689="","",SUMIFS(Ledger!$K$2:$K$4, Ledger!$B$2:$B$4, $A689, Ledger!$C$2:$C$4, N$2)),"****")</f>
        <v/>
      </c>
      <c r="O689" t="str">
        <f>IFERROR(IF($C689="","",SUMIFS(Ledger!$K$2:$K$4, Ledger!$B$2:$B$4, $A689, Ledger!$C$2:$C$4, O$2)),"****")</f>
        <v/>
      </c>
      <c r="P689" t="str">
        <f>IFERROR(IF($C689="","",SUMIFS(Ledger!$K$2:$K$4, Ledger!$B$2:$B$4, $A689, Ledger!$C$2:$C$4, P$2)),"****")</f>
        <v/>
      </c>
      <c r="Q689" t="str">
        <f>IFERROR(IF($C689="","",SUMIFS(Ledger!$K$2:$K$4, Ledger!$B$2:$B$4, $A689, Ledger!$C$2:$C$4, Q$2)),"****")</f>
        <v/>
      </c>
      <c r="R689" t="str">
        <f>IFERROR(IF($C689="","",SUMIFS(Ledger!$K$2:$K$4, Ledger!$B$2:$B$4, $A689, Ledger!$C$2:$C$4, R$2)),"****")</f>
        <v/>
      </c>
      <c r="S689" t="str">
        <f>IFERROR(IF($C689="","",SUMIFS(Ledger!$K$2:$K$4, Ledger!$B$2:$B$4, $A689, Ledger!$C$2:$C$4, S$2)),"****")</f>
        <v/>
      </c>
      <c r="T689" t="str">
        <f>IFERROR(IF($C689="","",SUMIFS(Ledger!$K$2:$K$4, Ledger!$B$2:$B$4, $A689, Ledger!$C$2:$C$4, T$2)),"****")</f>
        <v/>
      </c>
      <c r="U689" t="str">
        <f>IFERROR(IF($C689="","",SUMIFS(Ledger!$K$2:$K$4, Ledger!$B$2:$B$4, $A689, Ledger!$C$2:$C$4, U$2)),"****")</f>
        <v/>
      </c>
      <c r="V689" t="str">
        <f>IFERROR(IF($C689="","",SUMIFS(Ledger!$K$2:$K$4, Ledger!$B$2:$B$4, $A689, Ledger!$C$2:$C$4, V$2)),"****")</f>
        <v/>
      </c>
      <c r="W689" t="str">
        <f>IFERROR(IF($C689="","",SUMIFS(Ledger!$K$2:$K$4, Ledger!$B$2:$B$4, $A689, Ledger!$C$2:$C$4, W$2)),"****")</f>
        <v/>
      </c>
      <c r="X689" t="str">
        <f>IFERROR(IF($C689="","",SUMIFS(Ledger!$K$2:$K$4, Ledger!$B$2:$B$4, $A689, Ledger!$C$2:$C$4, X$2)),"****")</f>
        <v/>
      </c>
    </row>
    <row r="690" spans="1:24" x14ac:dyDescent="0.3">
      <c r="A690" s="106">
        <v>688</v>
      </c>
      <c r="B690" t="str">
        <f>IFERROR(VLOOKUP($A690, Ledger!$B$2:$L$8, 3, 0),"")</f>
        <v/>
      </c>
      <c r="C690" t="str">
        <f>IFERROR(VLOOKUP($A690, Ledger!$B$2:$L$8, 4, 0),"")</f>
        <v/>
      </c>
      <c r="D690" t="str">
        <f>IFERROR(VLOOKUP($A690, Ledger!$B$2:$L$8, 5, 0),"")</f>
        <v/>
      </c>
      <c r="E690" t="str">
        <f>IFERROR(VLOOKUP($A690, Ledger!$B$2:$L$8, 6, 0),"")</f>
        <v/>
      </c>
      <c r="F690" t="str">
        <f>IFERROR(VLOOKUP($A690,'Student Data'!$A$2:$AR$6,32,0),"")</f>
        <v/>
      </c>
      <c r="G690" t="str">
        <f>IFERROR(VLOOKUP($A690,'Student Data'!$A$2:$AR$6,33,0),"")</f>
        <v/>
      </c>
      <c r="H690" t="str">
        <f>IFERROR(VLOOKUP($A690,'Student Data'!$A$2:$AR$6,34,0),"")</f>
        <v/>
      </c>
      <c r="I690" t="str">
        <f>IFERROR(VLOOKUP($A690,'Student Data'!$A$2:$AR$6,35,0),"")</f>
        <v/>
      </c>
      <c r="J690" t="str">
        <f>IFERROR(VLOOKUP($A690,'Student Data'!$A$2:$AR$6,36,0),"")</f>
        <v/>
      </c>
      <c r="K690" t="str">
        <f t="shared" si="20"/>
        <v/>
      </c>
      <c r="L690" t="str">
        <f t="shared" si="21"/>
        <v/>
      </c>
      <c r="M690" t="str">
        <f>IFERROR(IF($C690="","",SUMIFS(Ledger!$K$2:$K$4, Ledger!$B$2:$B$4, $A690, Ledger!$C$2:$C$4, M$2)),"****")</f>
        <v/>
      </c>
      <c r="N690" t="str">
        <f>IFERROR(IF($C690="","",SUMIFS(Ledger!$K$2:$K$4, Ledger!$B$2:$B$4, $A690, Ledger!$C$2:$C$4, N$2)),"****")</f>
        <v/>
      </c>
      <c r="O690" t="str">
        <f>IFERROR(IF($C690="","",SUMIFS(Ledger!$K$2:$K$4, Ledger!$B$2:$B$4, $A690, Ledger!$C$2:$C$4, O$2)),"****")</f>
        <v/>
      </c>
      <c r="P690" t="str">
        <f>IFERROR(IF($C690="","",SUMIFS(Ledger!$K$2:$K$4, Ledger!$B$2:$B$4, $A690, Ledger!$C$2:$C$4, P$2)),"****")</f>
        <v/>
      </c>
      <c r="Q690" t="str">
        <f>IFERROR(IF($C690="","",SUMIFS(Ledger!$K$2:$K$4, Ledger!$B$2:$B$4, $A690, Ledger!$C$2:$C$4, Q$2)),"****")</f>
        <v/>
      </c>
      <c r="R690" t="str">
        <f>IFERROR(IF($C690="","",SUMIFS(Ledger!$K$2:$K$4, Ledger!$B$2:$B$4, $A690, Ledger!$C$2:$C$4, R$2)),"****")</f>
        <v/>
      </c>
      <c r="S690" t="str">
        <f>IFERROR(IF($C690="","",SUMIFS(Ledger!$K$2:$K$4, Ledger!$B$2:$B$4, $A690, Ledger!$C$2:$C$4, S$2)),"****")</f>
        <v/>
      </c>
      <c r="T690" t="str">
        <f>IFERROR(IF($C690="","",SUMIFS(Ledger!$K$2:$K$4, Ledger!$B$2:$B$4, $A690, Ledger!$C$2:$C$4, T$2)),"****")</f>
        <v/>
      </c>
      <c r="U690" t="str">
        <f>IFERROR(IF($C690="","",SUMIFS(Ledger!$K$2:$K$4, Ledger!$B$2:$B$4, $A690, Ledger!$C$2:$C$4, U$2)),"****")</f>
        <v/>
      </c>
      <c r="V690" t="str">
        <f>IFERROR(IF($C690="","",SUMIFS(Ledger!$K$2:$K$4, Ledger!$B$2:$B$4, $A690, Ledger!$C$2:$C$4, V$2)),"****")</f>
        <v/>
      </c>
      <c r="W690" t="str">
        <f>IFERROR(IF($C690="","",SUMIFS(Ledger!$K$2:$K$4, Ledger!$B$2:$B$4, $A690, Ledger!$C$2:$C$4, W$2)),"****")</f>
        <v/>
      </c>
      <c r="X690" t="str">
        <f>IFERROR(IF($C690="","",SUMIFS(Ledger!$K$2:$K$4, Ledger!$B$2:$B$4, $A690, Ledger!$C$2:$C$4, X$2)),"****")</f>
        <v/>
      </c>
    </row>
    <row r="691" spans="1:24" x14ac:dyDescent="0.3">
      <c r="A691" s="106">
        <v>689</v>
      </c>
      <c r="B691" t="str">
        <f>IFERROR(VLOOKUP($A691, Ledger!$B$2:$L$8, 3, 0),"")</f>
        <v/>
      </c>
      <c r="C691" t="str">
        <f>IFERROR(VLOOKUP($A691, Ledger!$B$2:$L$8, 4, 0),"")</f>
        <v/>
      </c>
      <c r="D691" t="str">
        <f>IFERROR(VLOOKUP($A691, Ledger!$B$2:$L$8, 5, 0),"")</f>
        <v/>
      </c>
      <c r="E691" t="str">
        <f>IFERROR(VLOOKUP($A691, Ledger!$B$2:$L$8, 6, 0),"")</f>
        <v/>
      </c>
      <c r="F691" t="str">
        <f>IFERROR(VLOOKUP($A691,'Student Data'!$A$2:$AR$6,32,0),"")</f>
        <v/>
      </c>
      <c r="G691" t="str">
        <f>IFERROR(VLOOKUP($A691,'Student Data'!$A$2:$AR$6,33,0),"")</f>
        <v/>
      </c>
      <c r="H691" t="str">
        <f>IFERROR(VLOOKUP($A691,'Student Data'!$A$2:$AR$6,34,0),"")</f>
        <v/>
      </c>
      <c r="I691" t="str">
        <f>IFERROR(VLOOKUP($A691,'Student Data'!$A$2:$AR$6,35,0),"")</f>
        <v/>
      </c>
      <c r="J691" t="str">
        <f>IFERROR(VLOOKUP($A691,'Student Data'!$A$2:$AR$6,36,0),"")</f>
        <v/>
      </c>
      <c r="K691" t="str">
        <f t="shared" si="20"/>
        <v/>
      </c>
      <c r="L691" t="str">
        <f t="shared" si="21"/>
        <v/>
      </c>
      <c r="M691" t="str">
        <f>IFERROR(IF($C691="","",SUMIFS(Ledger!$K$2:$K$4, Ledger!$B$2:$B$4, $A691, Ledger!$C$2:$C$4, M$2)),"****")</f>
        <v/>
      </c>
      <c r="N691" t="str">
        <f>IFERROR(IF($C691="","",SUMIFS(Ledger!$K$2:$K$4, Ledger!$B$2:$B$4, $A691, Ledger!$C$2:$C$4, N$2)),"****")</f>
        <v/>
      </c>
      <c r="O691" t="str">
        <f>IFERROR(IF($C691="","",SUMIFS(Ledger!$K$2:$K$4, Ledger!$B$2:$B$4, $A691, Ledger!$C$2:$C$4, O$2)),"****")</f>
        <v/>
      </c>
      <c r="P691" t="str">
        <f>IFERROR(IF($C691="","",SUMIFS(Ledger!$K$2:$K$4, Ledger!$B$2:$B$4, $A691, Ledger!$C$2:$C$4, P$2)),"****")</f>
        <v/>
      </c>
      <c r="Q691" t="str">
        <f>IFERROR(IF($C691="","",SUMIFS(Ledger!$K$2:$K$4, Ledger!$B$2:$B$4, $A691, Ledger!$C$2:$C$4, Q$2)),"****")</f>
        <v/>
      </c>
      <c r="R691" t="str">
        <f>IFERROR(IF($C691="","",SUMIFS(Ledger!$K$2:$K$4, Ledger!$B$2:$B$4, $A691, Ledger!$C$2:$C$4, R$2)),"****")</f>
        <v/>
      </c>
      <c r="S691" t="str">
        <f>IFERROR(IF($C691="","",SUMIFS(Ledger!$K$2:$K$4, Ledger!$B$2:$B$4, $A691, Ledger!$C$2:$C$4, S$2)),"****")</f>
        <v/>
      </c>
      <c r="T691" t="str">
        <f>IFERROR(IF($C691="","",SUMIFS(Ledger!$K$2:$K$4, Ledger!$B$2:$B$4, $A691, Ledger!$C$2:$C$4, T$2)),"****")</f>
        <v/>
      </c>
      <c r="U691" t="str">
        <f>IFERROR(IF($C691="","",SUMIFS(Ledger!$K$2:$K$4, Ledger!$B$2:$B$4, $A691, Ledger!$C$2:$C$4, U$2)),"****")</f>
        <v/>
      </c>
      <c r="V691" t="str">
        <f>IFERROR(IF($C691="","",SUMIFS(Ledger!$K$2:$K$4, Ledger!$B$2:$B$4, $A691, Ledger!$C$2:$C$4, V$2)),"****")</f>
        <v/>
      </c>
      <c r="W691" t="str">
        <f>IFERROR(IF($C691="","",SUMIFS(Ledger!$K$2:$K$4, Ledger!$B$2:$B$4, $A691, Ledger!$C$2:$C$4, W$2)),"****")</f>
        <v/>
      </c>
      <c r="X691" t="str">
        <f>IFERROR(IF($C691="","",SUMIFS(Ledger!$K$2:$K$4, Ledger!$B$2:$B$4, $A691, Ledger!$C$2:$C$4, X$2)),"****")</f>
        <v/>
      </c>
    </row>
    <row r="692" spans="1:24" x14ac:dyDescent="0.3">
      <c r="A692" s="106">
        <v>690</v>
      </c>
      <c r="B692" t="str">
        <f>IFERROR(VLOOKUP($A692, Ledger!$B$2:$L$8, 3, 0),"")</f>
        <v/>
      </c>
      <c r="C692" t="str">
        <f>IFERROR(VLOOKUP($A692, Ledger!$B$2:$L$8, 4, 0),"")</f>
        <v/>
      </c>
      <c r="D692" t="str">
        <f>IFERROR(VLOOKUP($A692, Ledger!$B$2:$L$8, 5, 0),"")</f>
        <v/>
      </c>
      <c r="E692" t="str">
        <f>IFERROR(VLOOKUP($A692, Ledger!$B$2:$L$8, 6, 0),"")</f>
        <v/>
      </c>
      <c r="F692" t="str">
        <f>IFERROR(VLOOKUP($A692,'Student Data'!$A$2:$AR$6,32,0),"")</f>
        <v/>
      </c>
      <c r="G692" t="str">
        <f>IFERROR(VLOOKUP($A692,'Student Data'!$A$2:$AR$6,33,0),"")</f>
        <v/>
      </c>
      <c r="H692" t="str">
        <f>IFERROR(VLOOKUP($A692,'Student Data'!$A$2:$AR$6,34,0),"")</f>
        <v/>
      </c>
      <c r="I692" t="str">
        <f>IFERROR(VLOOKUP($A692,'Student Data'!$A$2:$AR$6,35,0),"")</f>
        <v/>
      </c>
      <c r="J692" t="str">
        <f>IFERROR(VLOOKUP($A692,'Student Data'!$A$2:$AR$6,36,0),"")</f>
        <v/>
      </c>
      <c r="K692" t="str">
        <f t="shared" si="20"/>
        <v/>
      </c>
      <c r="L692" t="str">
        <f t="shared" si="21"/>
        <v/>
      </c>
      <c r="M692" t="str">
        <f>IFERROR(IF($C692="","",SUMIFS(Ledger!$K$2:$K$4, Ledger!$B$2:$B$4, $A692, Ledger!$C$2:$C$4, M$2)),"****")</f>
        <v/>
      </c>
      <c r="N692" t="str">
        <f>IFERROR(IF($C692="","",SUMIFS(Ledger!$K$2:$K$4, Ledger!$B$2:$B$4, $A692, Ledger!$C$2:$C$4, N$2)),"****")</f>
        <v/>
      </c>
      <c r="O692" t="str">
        <f>IFERROR(IF($C692="","",SUMIFS(Ledger!$K$2:$K$4, Ledger!$B$2:$B$4, $A692, Ledger!$C$2:$C$4, O$2)),"****")</f>
        <v/>
      </c>
      <c r="P692" t="str">
        <f>IFERROR(IF($C692="","",SUMIFS(Ledger!$K$2:$K$4, Ledger!$B$2:$B$4, $A692, Ledger!$C$2:$C$4, P$2)),"****")</f>
        <v/>
      </c>
      <c r="Q692" t="str">
        <f>IFERROR(IF($C692="","",SUMIFS(Ledger!$K$2:$K$4, Ledger!$B$2:$B$4, $A692, Ledger!$C$2:$C$4, Q$2)),"****")</f>
        <v/>
      </c>
      <c r="R692" t="str">
        <f>IFERROR(IF($C692="","",SUMIFS(Ledger!$K$2:$K$4, Ledger!$B$2:$B$4, $A692, Ledger!$C$2:$C$4, R$2)),"****")</f>
        <v/>
      </c>
      <c r="S692" t="str">
        <f>IFERROR(IF($C692="","",SUMIFS(Ledger!$K$2:$K$4, Ledger!$B$2:$B$4, $A692, Ledger!$C$2:$C$4, S$2)),"****")</f>
        <v/>
      </c>
      <c r="T692" t="str">
        <f>IFERROR(IF($C692="","",SUMIFS(Ledger!$K$2:$K$4, Ledger!$B$2:$B$4, $A692, Ledger!$C$2:$C$4, T$2)),"****")</f>
        <v/>
      </c>
      <c r="U692" t="str">
        <f>IFERROR(IF($C692="","",SUMIFS(Ledger!$K$2:$K$4, Ledger!$B$2:$B$4, $A692, Ledger!$C$2:$C$4, U$2)),"****")</f>
        <v/>
      </c>
      <c r="V692" t="str">
        <f>IFERROR(IF($C692="","",SUMIFS(Ledger!$K$2:$K$4, Ledger!$B$2:$B$4, $A692, Ledger!$C$2:$C$4, V$2)),"****")</f>
        <v/>
      </c>
      <c r="W692" t="str">
        <f>IFERROR(IF($C692="","",SUMIFS(Ledger!$K$2:$K$4, Ledger!$B$2:$B$4, $A692, Ledger!$C$2:$C$4, W$2)),"****")</f>
        <v/>
      </c>
      <c r="X692" t="str">
        <f>IFERROR(IF($C692="","",SUMIFS(Ledger!$K$2:$K$4, Ledger!$B$2:$B$4, $A692, Ledger!$C$2:$C$4, X$2)),"****")</f>
        <v/>
      </c>
    </row>
    <row r="693" spans="1:24" x14ac:dyDescent="0.3">
      <c r="A693" s="106">
        <v>691</v>
      </c>
      <c r="B693" t="str">
        <f>IFERROR(VLOOKUP($A693, Ledger!$B$2:$L$8, 3, 0),"")</f>
        <v/>
      </c>
      <c r="C693" t="str">
        <f>IFERROR(VLOOKUP($A693, Ledger!$B$2:$L$8, 4, 0),"")</f>
        <v/>
      </c>
      <c r="D693" t="str">
        <f>IFERROR(VLOOKUP($A693, Ledger!$B$2:$L$8, 5, 0),"")</f>
        <v/>
      </c>
      <c r="E693" t="str">
        <f>IFERROR(VLOOKUP($A693, Ledger!$B$2:$L$8, 6, 0),"")</f>
        <v/>
      </c>
      <c r="F693" t="str">
        <f>IFERROR(VLOOKUP($A693,'Student Data'!$A$2:$AR$6,32,0),"")</f>
        <v/>
      </c>
      <c r="G693" t="str">
        <f>IFERROR(VLOOKUP($A693,'Student Data'!$A$2:$AR$6,33,0),"")</f>
        <v/>
      </c>
      <c r="H693" t="str">
        <f>IFERROR(VLOOKUP($A693,'Student Data'!$A$2:$AR$6,34,0),"")</f>
        <v/>
      </c>
      <c r="I693" t="str">
        <f>IFERROR(VLOOKUP($A693,'Student Data'!$A$2:$AR$6,35,0),"")</f>
        <v/>
      </c>
      <c r="J693" t="str">
        <f>IFERROR(VLOOKUP($A693,'Student Data'!$A$2:$AR$6,36,0),"")</f>
        <v/>
      </c>
      <c r="K693" t="str">
        <f t="shared" si="20"/>
        <v/>
      </c>
      <c r="L693" t="str">
        <f t="shared" si="21"/>
        <v/>
      </c>
      <c r="M693" t="str">
        <f>IFERROR(IF($C693="","",SUMIFS(Ledger!$K$2:$K$4, Ledger!$B$2:$B$4, $A693, Ledger!$C$2:$C$4, M$2)),"****")</f>
        <v/>
      </c>
      <c r="N693" t="str">
        <f>IFERROR(IF($C693="","",SUMIFS(Ledger!$K$2:$K$4, Ledger!$B$2:$B$4, $A693, Ledger!$C$2:$C$4, N$2)),"****")</f>
        <v/>
      </c>
      <c r="O693" t="str">
        <f>IFERROR(IF($C693="","",SUMIFS(Ledger!$K$2:$K$4, Ledger!$B$2:$B$4, $A693, Ledger!$C$2:$C$4, O$2)),"****")</f>
        <v/>
      </c>
      <c r="P693" t="str">
        <f>IFERROR(IF($C693="","",SUMIFS(Ledger!$K$2:$K$4, Ledger!$B$2:$B$4, $A693, Ledger!$C$2:$C$4, P$2)),"****")</f>
        <v/>
      </c>
      <c r="Q693" t="str">
        <f>IFERROR(IF($C693="","",SUMIFS(Ledger!$K$2:$K$4, Ledger!$B$2:$B$4, $A693, Ledger!$C$2:$C$4, Q$2)),"****")</f>
        <v/>
      </c>
      <c r="R693" t="str">
        <f>IFERROR(IF($C693="","",SUMIFS(Ledger!$K$2:$K$4, Ledger!$B$2:$B$4, $A693, Ledger!$C$2:$C$4, R$2)),"****")</f>
        <v/>
      </c>
      <c r="S693" t="str">
        <f>IFERROR(IF($C693="","",SUMIFS(Ledger!$K$2:$K$4, Ledger!$B$2:$B$4, $A693, Ledger!$C$2:$C$4, S$2)),"****")</f>
        <v/>
      </c>
      <c r="T693" t="str">
        <f>IFERROR(IF($C693="","",SUMIFS(Ledger!$K$2:$K$4, Ledger!$B$2:$B$4, $A693, Ledger!$C$2:$C$4, T$2)),"****")</f>
        <v/>
      </c>
      <c r="U693" t="str">
        <f>IFERROR(IF($C693="","",SUMIFS(Ledger!$K$2:$K$4, Ledger!$B$2:$B$4, $A693, Ledger!$C$2:$C$4, U$2)),"****")</f>
        <v/>
      </c>
      <c r="V693" t="str">
        <f>IFERROR(IF($C693="","",SUMIFS(Ledger!$K$2:$K$4, Ledger!$B$2:$B$4, $A693, Ledger!$C$2:$C$4, V$2)),"****")</f>
        <v/>
      </c>
      <c r="W693" t="str">
        <f>IFERROR(IF($C693="","",SUMIFS(Ledger!$K$2:$K$4, Ledger!$B$2:$B$4, $A693, Ledger!$C$2:$C$4, W$2)),"****")</f>
        <v/>
      </c>
      <c r="X693" t="str">
        <f>IFERROR(IF($C693="","",SUMIFS(Ledger!$K$2:$K$4, Ledger!$B$2:$B$4, $A693, Ledger!$C$2:$C$4, X$2)),"****")</f>
        <v/>
      </c>
    </row>
    <row r="694" spans="1:24" x14ac:dyDescent="0.3">
      <c r="A694" s="106">
        <v>692</v>
      </c>
      <c r="B694" t="str">
        <f>IFERROR(VLOOKUP($A694, Ledger!$B$2:$L$8, 3, 0),"")</f>
        <v/>
      </c>
      <c r="C694" t="str">
        <f>IFERROR(VLOOKUP($A694, Ledger!$B$2:$L$8, 4, 0),"")</f>
        <v/>
      </c>
      <c r="D694" t="str">
        <f>IFERROR(VLOOKUP($A694, Ledger!$B$2:$L$8, 5, 0),"")</f>
        <v/>
      </c>
      <c r="E694" t="str">
        <f>IFERROR(VLOOKUP($A694, Ledger!$B$2:$L$8, 6, 0),"")</f>
        <v/>
      </c>
      <c r="F694" t="str">
        <f>IFERROR(VLOOKUP($A694,'Student Data'!$A$2:$AR$6,32,0),"")</f>
        <v/>
      </c>
      <c r="G694" t="str">
        <f>IFERROR(VLOOKUP($A694,'Student Data'!$A$2:$AR$6,33,0),"")</f>
        <v/>
      </c>
      <c r="H694" t="str">
        <f>IFERROR(VLOOKUP($A694,'Student Data'!$A$2:$AR$6,34,0),"")</f>
        <v/>
      </c>
      <c r="I694" t="str">
        <f>IFERROR(VLOOKUP($A694,'Student Data'!$A$2:$AR$6,35,0),"")</f>
        <v/>
      </c>
      <c r="J694" t="str">
        <f>IFERROR(VLOOKUP($A694,'Student Data'!$A$2:$AR$6,36,0),"")</f>
        <v/>
      </c>
      <c r="K694" t="str">
        <f t="shared" si="20"/>
        <v/>
      </c>
      <c r="L694" t="str">
        <f t="shared" si="21"/>
        <v/>
      </c>
      <c r="M694" t="str">
        <f>IFERROR(IF($C694="","",SUMIFS(Ledger!$K$2:$K$4, Ledger!$B$2:$B$4, $A694, Ledger!$C$2:$C$4, M$2)),"****")</f>
        <v/>
      </c>
      <c r="N694" t="str">
        <f>IFERROR(IF($C694="","",SUMIFS(Ledger!$K$2:$K$4, Ledger!$B$2:$B$4, $A694, Ledger!$C$2:$C$4, N$2)),"****")</f>
        <v/>
      </c>
      <c r="O694" t="str">
        <f>IFERROR(IF($C694="","",SUMIFS(Ledger!$K$2:$K$4, Ledger!$B$2:$B$4, $A694, Ledger!$C$2:$C$4, O$2)),"****")</f>
        <v/>
      </c>
      <c r="P694" t="str">
        <f>IFERROR(IF($C694="","",SUMIFS(Ledger!$K$2:$K$4, Ledger!$B$2:$B$4, $A694, Ledger!$C$2:$C$4, P$2)),"****")</f>
        <v/>
      </c>
      <c r="Q694" t="str">
        <f>IFERROR(IF($C694="","",SUMIFS(Ledger!$K$2:$K$4, Ledger!$B$2:$B$4, $A694, Ledger!$C$2:$C$4, Q$2)),"****")</f>
        <v/>
      </c>
      <c r="R694" t="str">
        <f>IFERROR(IF($C694="","",SUMIFS(Ledger!$K$2:$K$4, Ledger!$B$2:$B$4, $A694, Ledger!$C$2:$C$4, R$2)),"****")</f>
        <v/>
      </c>
      <c r="S694" t="str">
        <f>IFERROR(IF($C694="","",SUMIFS(Ledger!$K$2:$K$4, Ledger!$B$2:$B$4, $A694, Ledger!$C$2:$C$4, S$2)),"****")</f>
        <v/>
      </c>
      <c r="T694" t="str">
        <f>IFERROR(IF($C694="","",SUMIFS(Ledger!$K$2:$K$4, Ledger!$B$2:$B$4, $A694, Ledger!$C$2:$C$4, T$2)),"****")</f>
        <v/>
      </c>
      <c r="U694" t="str">
        <f>IFERROR(IF($C694="","",SUMIFS(Ledger!$K$2:$K$4, Ledger!$B$2:$B$4, $A694, Ledger!$C$2:$C$4, U$2)),"****")</f>
        <v/>
      </c>
      <c r="V694" t="str">
        <f>IFERROR(IF($C694="","",SUMIFS(Ledger!$K$2:$K$4, Ledger!$B$2:$B$4, $A694, Ledger!$C$2:$C$4, V$2)),"****")</f>
        <v/>
      </c>
      <c r="W694" t="str">
        <f>IFERROR(IF($C694="","",SUMIFS(Ledger!$K$2:$K$4, Ledger!$B$2:$B$4, $A694, Ledger!$C$2:$C$4, W$2)),"****")</f>
        <v/>
      </c>
      <c r="X694" t="str">
        <f>IFERROR(IF($C694="","",SUMIFS(Ledger!$K$2:$K$4, Ledger!$B$2:$B$4, $A694, Ledger!$C$2:$C$4, X$2)),"****")</f>
        <v/>
      </c>
    </row>
    <row r="695" spans="1:24" x14ac:dyDescent="0.3">
      <c r="A695" s="106">
        <v>693</v>
      </c>
      <c r="B695" t="str">
        <f>IFERROR(VLOOKUP($A695, Ledger!$B$2:$L$8, 3, 0),"")</f>
        <v/>
      </c>
      <c r="C695" t="str">
        <f>IFERROR(VLOOKUP($A695, Ledger!$B$2:$L$8, 4, 0),"")</f>
        <v/>
      </c>
      <c r="D695" t="str">
        <f>IFERROR(VLOOKUP($A695, Ledger!$B$2:$L$8, 5, 0),"")</f>
        <v/>
      </c>
      <c r="E695" t="str">
        <f>IFERROR(VLOOKUP($A695, Ledger!$B$2:$L$8, 6, 0),"")</f>
        <v/>
      </c>
      <c r="F695" t="str">
        <f>IFERROR(VLOOKUP($A695,'Student Data'!$A$2:$AR$6,32,0),"")</f>
        <v/>
      </c>
      <c r="G695" t="str">
        <f>IFERROR(VLOOKUP($A695,'Student Data'!$A$2:$AR$6,33,0),"")</f>
        <v/>
      </c>
      <c r="H695" t="str">
        <f>IFERROR(VLOOKUP($A695,'Student Data'!$A$2:$AR$6,34,0),"")</f>
        <v/>
      </c>
      <c r="I695" t="str">
        <f>IFERROR(VLOOKUP($A695,'Student Data'!$A$2:$AR$6,35,0),"")</f>
        <v/>
      </c>
      <c r="J695" t="str">
        <f>IFERROR(VLOOKUP($A695,'Student Data'!$A$2:$AR$6,36,0),"")</f>
        <v/>
      </c>
      <c r="K695" t="str">
        <f t="shared" si="20"/>
        <v/>
      </c>
      <c r="L695" t="str">
        <f t="shared" si="21"/>
        <v/>
      </c>
      <c r="M695" t="str">
        <f>IFERROR(IF($C695="","",SUMIFS(Ledger!$K$2:$K$4, Ledger!$B$2:$B$4, $A695, Ledger!$C$2:$C$4, M$2)),"****")</f>
        <v/>
      </c>
      <c r="N695" t="str">
        <f>IFERROR(IF($C695="","",SUMIFS(Ledger!$K$2:$K$4, Ledger!$B$2:$B$4, $A695, Ledger!$C$2:$C$4, N$2)),"****")</f>
        <v/>
      </c>
      <c r="O695" t="str">
        <f>IFERROR(IF($C695="","",SUMIFS(Ledger!$K$2:$K$4, Ledger!$B$2:$B$4, $A695, Ledger!$C$2:$C$4, O$2)),"****")</f>
        <v/>
      </c>
      <c r="P695" t="str">
        <f>IFERROR(IF($C695="","",SUMIFS(Ledger!$K$2:$K$4, Ledger!$B$2:$B$4, $A695, Ledger!$C$2:$C$4, P$2)),"****")</f>
        <v/>
      </c>
      <c r="Q695" t="str">
        <f>IFERROR(IF($C695="","",SUMIFS(Ledger!$K$2:$K$4, Ledger!$B$2:$B$4, $A695, Ledger!$C$2:$C$4, Q$2)),"****")</f>
        <v/>
      </c>
      <c r="R695" t="str">
        <f>IFERROR(IF($C695="","",SUMIFS(Ledger!$K$2:$K$4, Ledger!$B$2:$B$4, $A695, Ledger!$C$2:$C$4, R$2)),"****")</f>
        <v/>
      </c>
      <c r="S695" t="str">
        <f>IFERROR(IF($C695="","",SUMIFS(Ledger!$K$2:$K$4, Ledger!$B$2:$B$4, $A695, Ledger!$C$2:$C$4, S$2)),"****")</f>
        <v/>
      </c>
      <c r="T695" t="str">
        <f>IFERROR(IF($C695="","",SUMIFS(Ledger!$K$2:$K$4, Ledger!$B$2:$B$4, $A695, Ledger!$C$2:$C$4, T$2)),"****")</f>
        <v/>
      </c>
      <c r="U695" t="str">
        <f>IFERROR(IF($C695="","",SUMIFS(Ledger!$K$2:$K$4, Ledger!$B$2:$B$4, $A695, Ledger!$C$2:$C$4, U$2)),"****")</f>
        <v/>
      </c>
      <c r="V695" t="str">
        <f>IFERROR(IF($C695="","",SUMIFS(Ledger!$K$2:$K$4, Ledger!$B$2:$B$4, $A695, Ledger!$C$2:$C$4, V$2)),"****")</f>
        <v/>
      </c>
      <c r="W695" t="str">
        <f>IFERROR(IF($C695="","",SUMIFS(Ledger!$K$2:$K$4, Ledger!$B$2:$B$4, $A695, Ledger!$C$2:$C$4, W$2)),"****")</f>
        <v/>
      </c>
      <c r="X695" t="str">
        <f>IFERROR(IF($C695="","",SUMIFS(Ledger!$K$2:$K$4, Ledger!$B$2:$B$4, $A695, Ledger!$C$2:$C$4, X$2)),"****")</f>
        <v/>
      </c>
    </row>
    <row r="696" spans="1:24" x14ac:dyDescent="0.3">
      <c r="A696" s="106">
        <v>694</v>
      </c>
      <c r="B696" t="str">
        <f>IFERROR(VLOOKUP($A696, Ledger!$B$2:$L$8, 3, 0),"")</f>
        <v/>
      </c>
      <c r="C696" t="str">
        <f>IFERROR(VLOOKUP($A696, Ledger!$B$2:$L$8, 4, 0),"")</f>
        <v/>
      </c>
      <c r="D696" t="str">
        <f>IFERROR(VLOOKUP($A696, Ledger!$B$2:$L$8, 5, 0),"")</f>
        <v/>
      </c>
      <c r="E696" t="str">
        <f>IFERROR(VLOOKUP($A696, Ledger!$B$2:$L$8, 6, 0),"")</f>
        <v/>
      </c>
      <c r="F696" t="str">
        <f>IFERROR(VLOOKUP($A696,'Student Data'!$A$2:$AR$6,32,0),"")</f>
        <v/>
      </c>
      <c r="G696" t="str">
        <f>IFERROR(VLOOKUP($A696,'Student Data'!$A$2:$AR$6,33,0),"")</f>
        <v/>
      </c>
      <c r="H696" t="str">
        <f>IFERROR(VLOOKUP($A696,'Student Data'!$A$2:$AR$6,34,0),"")</f>
        <v/>
      </c>
      <c r="I696" t="str">
        <f>IFERROR(VLOOKUP($A696,'Student Data'!$A$2:$AR$6,35,0),"")</f>
        <v/>
      </c>
      <c r="J696" t="str">
        <f>IFERROR(VLOOKUP($A696,'Student Data'!$A$2:$AR$6,36,0),"")</f>
        <v/>
      </c>
      <c r="K696" t="str">
        <f t="shared" si="20"/>
        <v/>
      </c>
      <c r="L696" t="str">
        <f t="shared" si="21"/>
        <v/>
      </c>
      <c r="M696" t="str">
        <f>IFERROR(IF($C696="","",SUMIFS(Ledger!$K$2:$K$4, Ledger!$B$2:$B$4, $A696, Ledger!$C$2:$C$4, M$2)),"****")</f>
        <v/>
      </c>
      <c r="N696" t="str">
        <f>IFERROR(IF($C696="","",SUMIFS(Ledger!$K$2:$K$4, Ledger!$B$2:$B$4, $A696, Ledger!$C$2:$C$4, N$2)),"****")</f>
        <v/>
      </c>
      <c r="O696" t="str">
        <f>IFERROR(IF($C696="","",SUMIFS(Ledger!$K$2:$K$4, Ledger!$B$2:$B$4, $A696, Ledger!$C$2:$C$4, O$2)),"****")</f>
        <v/>
      </c>
      <c r="P696" t="str">
        <f>IFERROR(IF($C696="","",SUMIFS(Ledger!$K$2:$K$4, Ledger!$B$2:$B$4, $A696, Ledger!$C$2:$C$4, P$2)),"****")</f>
        <v/>
      </c>
      <c r="Q696" t="str">
        <f>IFERROR(IF($C696="","",SUMIFS(Ledger!$K$2:$K$4, Ledger!$B$2:$B$4, $A696, Ledger!$C$2:$C$4, Q$2)),"****")</f>
        <v/>
      </c>
      <c r="R696" t="str">
        <f>IFERROR(IF($C696="","",SUMIFS(Ledger!$K$2:$K$4, Ledger!$B$2:$B$4, $A696, Ledger!$C$2:$C$4, R$2)),"****")</f>
        <v/>
      </c>
      <c r="S696" t="str">
        <f>IFERROR(IF($C696="","",SUMIFS(Ledger!$K$2:$K$4, Ledger!$B$2:$B$4, $A696, Ledger!$C$2:$C$4, S$2)),"****")</f>
        <v/>
      </c>
      <c r="T696" t="str">
        <f>IFERROR(IF($C696="","",SUMIFS(Ledger!$K$2:$K$4, Ledger!$B$2:$B$4, $A696, Ledger!$C$2:$C$4, T$2)),"****")</f>
        <v/>
      </c>
      <c r="U696" t="str">
        <f>IFERROR(IF($C696="","",SUMIFS(Ledger!$K$2:$K$4, Ledger!$B$2:$B$4, $A696, Ledger!$C$2:$C$4, U$2)),"****")</f>
        <v/>
      </c>
      <c r="V696" t="str">
        <f>IFERROR(IF($C696="","",SUMIFS(Ledger!$K$2:$K$4, Ledger!$B$2:$B$4, $A696, Ledger!$C$2:$C$4, V$2)),"****")</f>
        <v/>
      </c>
      <c r="W696" t="str">
        <f>IFERROR(IF($C696="","",SUMIFS(Ledger!$K$2:$K$4, Ledger!$B$2:$B$4, $A696, Ledger!$C$2:$C$4, W$2)),"****")</f>
        <v/>
      </c>
      <c r="X696" t="str">
        <f>IFERROR(IF($C696="","",SUMIFS(Ledger!$K$2:$K$4, Ledger!$B$2:$B$4, $A696, Ledger!$C$2:$C$4, X$2)),"****")</f>
        <v/>
      </c>
    </row>
    <row r="697" spans="1:24" x14ac:dyDescent="0.3">
      <c r="A697" s="106">
        <v>695</v>
      </c>
      <c r="B697" t="str">
        <f>IFERROR(VLOOKUP($A697, Ledger!$B$2:$L$8, 3, 0),"")</f>
        <v/>
      </c>
      <c r="C697" t="str">
        <f>IFERROR(VLOOKUP($A697, Ledger!$B$2:$L$8, 4, 0),"")</f>
        <v/>
      </c>
      <c r="D697" t="str">
        <f>IFERROR(VLOOKUP($A697, Ledger!$B$2:$L$8, 5, 0),"")</f>
        <v/>
      </c>
      <c r="E697" t="str">
        <f>IFERROR(VLOOKUP($A697, Ledger!$B$2:$L$8, 6, 0),"")</f>
        <v/>
      </c>
      <c r="F697" t="str">
        <f>IFERROR(VLOOKUP($A697,'Student Data'!$A$2:$AR$6,32,0),"")</f>
        <v/>
      </c>
      <c r="G697" t="str">
        <f>IFERROR(VLOOKUP($A697,'Student Data'!$A$2:$AR$6,33,0),"")</f>
        <v/>
      </c>
      <c r="H697" t="str">
        <f>IFERROR(VLOOKUP($A697,'Student Data'!$A$2:$AR$6,34,0),"")</f>
        <v/>
      </c>
      <c r="I697" t="str">
        <f>IFERROR(VLOOKUP($A697,'Student Data'!$A$2:$AR$6,35,0),"")</f>
        <v/>
      </c>
      <c r="J697" t="str">
        <f>IFERROR(VLOOKUP($A697,'Student Data'!$A$2:$AR$6,36,0),"")</f>
        <v/>
      </c>
      <c r="K697" t="str">
        <f t="shared" si="20"/>
        <v/>
      </c>
      <c r="L697" t="str">
        <f t="shared" si="21"/>
        <v/>
      </c>
      <c r="M697" t="str">
        <f>IFERROR(IF($C697="","",SUMIFS(Ledger!$K$2:$K$4, Ledger!$B$2:$B$4, $A697, Ledger!$C$2:$C$4, M$2)),"****")</f>
        <v/>
      </c>
      <c r="N697" t="str">
        <f>IFERROR(IF($C697="","",SUMIFS(Ledger!$K$2:$K$4, Ledger!$B$2:$B$4, $A697, Ledger!$C$2:$C$4, N$2)),"****")</f>
        <v/>
      </c>
      <c r="O697" t="str">
        <f>IFERROR(IF($C697="","",SUMIFS(Ledger!$K$2:$K$4, Ledger!$B$2:$B$4, $A697, Ledger!$C$2:$C$4, O$2)),"****")</f>
        <v/>
      </c>
      <c r="P697" t="str">
        <f>IFERROR(IF($C697="","",SUMIFS(Ledger!$K$2:$K$4, Ledger!$B$2:$B$4, $A697, Ledger!$C$2:$C$4, P$2)),"****")</f>
        <v/>
      </c>
      <c r="Q697" t="str">
        <f>IFERROR(IF($C697="","",SUMIFS(Ledger!$K$2:$K$4, Ledger!$B$2:$B$4, $A697, Ledger!$C$2:$C$4, Q$2)),"****")</f>
        <v/>
      </c>
      <c r="R697" t="str">
        <f>IFERROR(IF($C697="","",SUMIFS(Ledger!$K$2:$K$4, Ledger!$B$2:$B$4, $A697, Ledger!$C$2:$C$4, R$2)),"****")</f>
        <v/>
      </c>
      <c r="S697" t="str">
        <f>IFERROR(IF($C697="","",SUMIFS(Ledger!$K$2:$K$4, Ledger!$B$2:$B$4, $A697, Ledger!$C$2:$C$4, S$2)),"****")</f>
        <v/>
      </c>
      <c r="T697" t="str">
        <f>IFERROR(IF($C697="","",SUMIFS(Ledger!$K$2:$K$4, Ledger!$B$2:$B$4, $A697, Ledger!$C$2:$C$4, T$2)),"****")</f>
        <v/>
      </c>
      <c r="U697" t="str">
        <f>IFERROR(IF($C697="","",SUMIFS(Ledger!$K$2:$K$4, Ledger!$B$2:$B$4, $A697, Ledger!$C$2:$C$4, U$2)),"****")</f>
        <v/>
      </c>
      <c r="V697" t="str">
        <f>IFERROR(IF($C697="","",SUMIFS(Ledger!$K$2:$K$4, Ledger!$B$2:$B$4, $A697, Ledger!$C$2:$C$4, V$2)),"****")</f>
        <v/>
      </c>
      <c r="W697" t="str">
        <f>IFERROR(IF($C697="","",SUMIFS(Ledger!$K$2:$K$4, Ledger!$B$2:$B$4, $A697, Ledger!$C$2:$C$4, W$2)),"****")</f>
        <v/>
      </c>
      <c r="X697" t="str">
        <f>IFERROR(IF($C697="","",SUMIFS(Ledger!$K$2:$K$4, Ledger!$B$2:$B$4, $A697, Ledger!$C$2:$C$4, X$2)),"****")</f>
        <v/>
      </c>
    </row>
    <row r="698" spans="1:24" x14ac:dyDescent="0.3">
      <c r="A698" s="106">
        <v>696</v>
      </c>
      <c r="B698" t="str">
        <f>IFERROR(VLOOKUP($A698, Ledger!$B$2:$L$8, 3, 0),"")</f>
        <v/>
      </c>
      <c r="C698" t="str">
        <f>IFERROR(VLOOKUP($A698, Ledger!$B$2:$L$8, 4, 0),"")</f>
        <v/>
      </c>
      <c r="D698" t="str">
        <f>IFERROR(VLOOKUP($A698, Ledger!$B$2:$L$8, 5, 0),"")</f>
        <v/>
      </c>
      <c r="E698" t="str">
        <f>IFERROR(VLOOKUP($A698, Ledger!$B$2:$L$8, 6, 0),"")</f>
        <v/>
      </c>
      <c r="F698" t="str">
        <f>IFERROR(VLOOKUP($A698,'Student Data'!$A$2:$AR$6,32,0),"")</f>
        <v/>
      </c>
      <c r="G698" t="str">
        <f>IFERROR(VLOOKUP($A698,'Student Data'!$A$2:$AR$6,33,0),"")</f>
        <v/>
      </c>
      <c r="H698" t="str">
        <f>IFERROR(VLOOKUP($A698,'Student Data'!$A$2:$AR$6,34,0),"")</f>
        <v/>
      </c>
      <c r="I698" t="str">
        <f>IFERROR(VLOOKUP($A698,'Student Data'!$A$2:$AR$6,35,0),"")</f>
        <v/>
      </c>
      <c r="J698" t="str">
        <f>IFERROR(VLOOKUP($A698,'Student Data'!$A$2:$AR$6,36,0),"")</f>
        <v/>
      </c>
      <c r="K698" t="str">
        <f t="shared" si="20"/>
        <v/>
      </c>
      <c r="L698" t="str">
        <f t="shared" si="21"/>
        <v/>
      </c>
      <c r="M698" t="str">
        <f>IFERROR(IF($C698="","",SUMIFS(Ledger!$K$2:$K$4, Ledger!$B$2:$B$4, $A698, Ledger!$C$2:$C$4, M$2)),"****")</f>
        <v/>
      </c>
      <c r="N698" t="str">
        <f>IFERROR(IF($C698="","",SUMIFS(Ledger!$K$2:$K$4, Ledger!$B$2:$B$4, $A698, Ledger!$C$2:$C$4, N$2)),"****")</f>
        <v/>
      </c>
      <c r="O698" t="str">
        <f>IFERROR(IF($C698="","",SUMIFS(Ledger!$K$2:$K$4, Ledger!$B$2:$B$4, $A698, Ledger!$C$2:$C$4, O$2)),"****")</f>
        <v/>
      </c>
      <c r="P698" t="str">
        <f>IFERROR(IF($C698="","",SUMIFS(Ledger!$K$2:$K$4, Ledger!$B$2:$B$4, $A698, Ledger!$C$2:$C$4, P$2)),"****")</f>
        <v/>
      </c>
      <c r="Q698" t="str">
        <f>IFERROR(IF($C698="","",SUMIFS(Ledger!$K$2:$K$4, Ledger!$B$2:$B$4, $A698, Ledger!$C$2:$C$4, Q$2)),"****")</f>
        <v/>
      </c>
      <c r="R698" t="str">
        <f>IFERROR(IF($C698="","",SUMIFS(Ledger!$K$2:$K$4, Ledger!$B$2:$B$4, $A698, Ledger!$C$2:$C$4, R$2)),"****")</f>
        <v/>
      </c>
      <c r="S698" t="str">
        <f>IFERROR(IF($C698="","",SUMIFS(Ledger!$K$2:$K$4, Ledger!$B$2:$B$4, $A698, Ledger!$C$2:$C$4, S$2)),"****")</f>
        <v/>
      </c>
      <c r="T698" t="str">
        <f>IFERROR(IF($C698="","",SUMIFS(Ledger!$K$2:$K$4, Ledger!$B$2:$B$4, $A698, Ledger!$C$2:$C$4, T$2)),"****")</f>
        <v/>
      </c>
      <c r="U698" t="str">
        <f>IFERROR(IF($C698="","",SUMIFS(Ledger!$K$2:$K$4, Ledger!$B$2:$B$4, $A698, Ledger!$C$2:$C$4, U$2)),"****")</f>
        <v/>
      </c>
      <c r="V698" t="str">
        <f>IFERROR(IF($C698="","",SUMIFS(Ledger!$K$2:$K$4, Ledger!$B$2:$B$4, $A698, Ledger!$C$2:$C$4, V$2)),"****")</f>
        <v/>
      </c>
      <c r="W698" t="str">
        <f>IFERROR(IF($C698="","",SUMIFS(Ledger!$K$2:$K$4, Ledger!$B$2:$B$4, $A698, Ledger!$C$2:$C$4, W$2)),"****")</f>
        <v/>
      </c>
      <c r="X698" t="str">
        <f>IFERROR(IF($C698="","",SUMIFS(Ledger!$K$2:$K$4, Ledger!$B$2:$B$4, $A698, Ledger!$C$2:$C$4, X$2)),"****")</f>
        <v/>
      </c>
    </row>
    <row r="699" spans="1:24" x14ac:dyDescent="0.3">
      <c r="A699" s="106">
        <v>697</v>
      </c>
      <c r="B699" t="str">
        <f>IFERROR(VLOOKUP($A699, Ledger!$B$2:$L$8, 3, 0),"")</f>
        <v/>
      </c>
      <c r="C699" t="str">
        <f>IFERROR(VLOOKUP($A699, Ledger!$B$2:$L$8, 4, 0),"")</f>
        <v/>
      </c>
      <c r="D699" t="str">
        <f>IFERROR(VLOOKUP($A699, Ledger!$B$2:$L$8, 5, 0),"")</f>
        <v/>
      </c>
      <c r="E699" t="str">
        <f>IFERROR(VLOOKUP($A699, Ledger!$B$2:$L$8, 6, 0),"")</f>
        <v/>
      </c>
      <c r="F699" t="str">
        <f>IFERROR(VLOOKUP($A699,'Student Data'!$A$2:$AR$6,32,0),"")</f>
        <v/>
      </c>
      <c r="G699" t="str">
        <f>IFERROR(VLOOKUP($A699,'Student Data'!$A$2:$AR$6,33,0),"")</f>
        <v/>
      </c>
      <c r="H699" t="str">
        <f>IFERROR(VLOOKUP($A699,'Student Data'!$A$2:$AR$6,34,0),"")</f>
        <v/>
      </c>
      <c r="I699" t="str">
        <f>IFERROR(VLOOKUP($A699,'Student Data'!$A$2:$AR$6,35,0),"")</f>
        <v/>
      </c>
      <c r="J699" t="str">
        <f>IFERROR(VLOOKUP($A699,'Student Data'!$A$2:$AR$6,36,0),"")</f>
        <v/>
      </c>
      <c r="K699" t="str">
        <f t="shared" si="20"/>
        <v/>
      </c>
      <c r="L699" t="str">
        <f t="shared" si="21"/>
        <v/>
      </c>
      <c r="M699" t="str">
        <f>IFERROR(IF($C699="","",SUMIFS(Ledger!$K$2:$K$4, Ledger!$B$2:$B$4, $A699, Ledger!$C$2:$C$4, M$2)),"****")</f>
        <v/>
      </c>
      <c r="N699" t="str">
        <f>IFERROR(IF($C699="","",SUMIFS(Ledger!$K$2:$K$4, Ledger!$B$2:$B$4, $A699, Ledger!$C$2:$C$4, N$2)),"****")</f>
        <v/>
      </c>
      <c r="O699" t="str">
        <f>IFERROR(IF($C699="","",SUMIFS(Ledger!$K$2:$K$4, Ledger!$B$2:$B$4, $A699, Ledger!$C$2:$C$4, O$2)),"****")</f>
        <v/>
      </c>
      <c r="P699" t="str">
        <f>IFERROR(IF($C699="","",SUMIFS(Ledger!$K$2:$K$4, Ledger!$B$2:$B$4, $A699, Ledger!$C$2:$C$4, P$2)),"****")</f>
        <v/>
      </c>
      <c r="Q699" t="str">
        <f>IFERROR(IF($C699="","",SUMIFS(Ledger!$K$2:$K$4, Ledger!$B$2:$B$4, $A699, Ledger!$C$2:$C$4, Q$2)),"****")</f>
        <v/>
      </c>
      <c r="R699" t="str">
        <f>IFERROR(IF($C699="","",SUMIFS(Ledger!$K$2:$K$4, Ledger!$B$2:$B$4, $A699, Ledger!$C$2:$C$4, R$2)),"****")</f>
        <v/>
      </c>
      <c r="S699" t="str">
        <f>IFERROR(IF($C699="","",SUMIFS(Ledger!$K$2:$K$4, Ledger!$B$2:$B$4, $A699, Ledger!$C$2:$C$4, S$2)),"****")</f>
        <v/>
      </c>
      <c r="T699" t="str">
        <f>IFERROR(IF($C699="","",SUMIFS(Ledger!$K$2:$K$4, Ledger!$B$2:$B$4, $A699, Ledger!$C$2:$C$4, T$2)),"****")</f>
        <v/>
      </c>
      <c r="U699" t="str">
        <f>IFERROR(IF($C699="","",SUMIFS(Ledger!$K$2:$K$4, Ledger!$B$2:$B$4, $A699, Ledger!$C$2:$C$4, U$2)),"****")</f>
        <v/>
      </c>
      <c r="V699" t="str">
        <f>IFERROR(IF($C699="","",SUMIFS(Ledger!$K$2:$K$4, Ledger!$B$2:$B$4, $A699, Ledger!$C$2:$C$4, V$2)),"****")</f>
        <v/>
      </c>
      <c r="W699" t="str">
        <f>IFERROR(IF($C699="","",SUMIFS(Ledger!$K$2:$K$4, Ledger!$B$2:$B$4, $A699, Ledger!$C$2:$C$4, W$2)),"****")</f>
        <v/>
      </c>
      <c r="X699" t="str">
        <f>IFERROR(IF($C699="","",SUMIFS(Ledger!$K$2:$K$4, Ledger!$B$2:$B$4, $A699, Ledger!$C$2:$C$4, X$2)),"****")</f>
        <v/>
      </c>
    </row>
    <row r="700" spans="1:24" x14ac:dyDescent="0.3">
      <c r="A700" s="106">
        <v>698</v>
      </c>
      <c r="B700" t="str">
        <f>IFERROR(VLOOKUP($A700, Ledger!$B$2:$L$8, 3, 0),"")</f>
        <v/>
      </c>
      <c r="C700" t="str">
        <f>IFERROR(VLOOKUP($A700, Ledger!$B$2:$L$8, 4, 0),"")</f>
        <v/>
      </c>
      <c r="D700" t="str">
        <f>IFERROR(VLOOKUP($A700, Ledger!$B$2:$L$8, 5, 0),"")</f>
        <v/>
      </c>
      <c r="E700" t="str">
        <f>IFERROR(VLOOKUP($A700, Ledger!$B$2:$L$8, 6, 0),"")</f>
        <v/>
      </c>
      <c r="F700" t="str">
        <f>IFERROR(VLOOKUP($A700,'Student Data'!$A$2:$AR$6,32,0),"")</f>
        <v/>
      </c>
      <c r="G700" t="str">
        <f>IFERROR(VLOOKUP($A700,'Student Data'!$A$2:$AR$6,33,0),"")</f>
        <v/>
      </c>
      <c r="H700" t="str">
        <f>IFERROR(VLOOKUP($A700,'Student Data'!$A$2:$AR$6,34,0),"")</f>
        <v/>
      </c>
      <c r="I700" t="str">
        <f>IFERROR(VLOOKUP($A700,'Student Data'!$A$2:$AR$6,35,0),"")</f>
        <v/>
      </c>
      <c r="J700" t="str">
        <f>IFERROR(VLOOKUP($A700,'Student Data'!$A$2:$AR$6,36,0),"")</f>
        <v/>
      </c>
      <c r="K700" t="str">
        <f t="shared" si="20"/>
        <v/>
      </c>
      <c r="L700" t="str">
        <f t="shared" si="21"/>
        <v/>
      </c>
      <c r="M700" t="str">
        <f>IFERROR(IF($C700="","",SUMIFS(Ledger!$K$2:$K$4, Ledger!$B$2:$B$4, $A700, Ledger!$C$2:$C$4, M$2)),"****")</f>
        <v/>
      </c>
      <c r="N700" t="str">
        <f>IFERROR(IF($C700="","",SUMIFS(Ledger!$K$2:$K$4, Ledger!$B$2:$B$4, $A700, Ledger!$C$2:$C$4, N$2)),"****")</f>
        <v/>
      </c>
      <c r="O700" t="str">
        <f>IFERROR(IF($C700="","",SUMIFS(Ledger!$K$2:$K$4, Ledger!$B$2:$B$4, $A700, Ledger!$C$2:$C$4, O$2)),"****")</f>
        <v/>
      </c>
      <c r="P700" t="str">
        <f>IFERROR(IF($C700="","",SUMIFS(Ledger!$K$2:$K$4, Ledger!$B$2:$B$4, $A700, Ledger!$C$2:$C$4, P$2)),"****")</f>
        <v/>
      </c>
      <c r="Q700" t="str">
        <f>IFERROR(IF($C700="","",SUMIFS(Ledger!$K$2:$K$4, Ledger!$B$2:$B$4, $A700, Ledger!$C$2:$C$4, Q$2)),"****")</f>
        <v/>
      </c>
      <c r="R700" t="str">
        <f>IFERROR(IF($C700="","",SUMIFS(Ledger!$K$2:$K$4, Ledger!$B$2:$B$4, $A700, Ledger!$C$2:$C$4, R$2)),"****")</f>
        <v/>
      </c>
      <c r="S700" t="str">
        <f>IFERROR(IF($C700="","",SUMIFS(Ledger!$K$2:$K$4, Ledger!$B$2:$B$4, $A700, Ledger!$C$2:$C$4, S$2)),"****")</f>
        <v/>
      </c>
      <c r="T700" t="str">
        <f>IFERROR(IF($C700="","",SUMIFS(Ledger!$K$2:$K$4, Ledger!$B$2:$B$4, $A700, Ledger!$C$2:$C$4, T$2)),"****")</f>
        <v/>
      </c>
      <c r="U700" t="str">
        <f>IFERROR(IF($C700="","",SUMIFS(Ledger!$K$2:$K$4, Ledger!$B$2:$B$4, $A700, Ledger!$C$2:$C$4, U$2)),"****")</f>
        <v/>
      </c>
      <c r="V700" t="str">
        <f>IFERROR(IF($C700="","",SUMIFS(Ledger!$K$2:$K$4, Ledger!$B$2:$B$4, $A700, Ledger!$C$2:$C$4, V$2)),"****")</f>
        <v/>
      </c>
      <c r="W700" t="str">
        <f>IFERROR(IF($C700="","",SUMIFS(Ledger!$K$2:$K$4, Ledger!$B$2:$B$4, $A700, Ledger!$C$2:$C$4, W$2)),"****")</f>
        <v/>
      </c>
      <c r="X700" t="str">
        <f>IFERROR(IF($C700="","",SUMIFS(Ledger!$K$2:$K$4, Ledger!$B$2:$B$4, $A700, Ledger!$C$2:$C$4, X$2)),"****")</f>
        <v/>
      </c>
    </row>
    <row r="701" spans="1:24" x14ac:dyDescent="0.3">
      <c r="A701" s="106">
        <v>699</v>
      </c>
      <c r="B701" t="str">
        <f>IFERROR(VLOOKUP($A701, Ledger!$B$2:$L$8, 3, 0),"")</f>
        <v/>
      </c>
      <c r="C701" t="str">
        <f>IFERROR(VLOOKUP($A701, Ledger!$B$2:$L$8, 4, 0),"")</f>
        <v/>
      </c>
      <c r="D701" t="str">
        <f>IFERROR(VLOOKUP($A701, Ledger!$B$2:$L$8, 5, 0),"")</f>
        <v/>
      </c>
      <c r="E701" t="str">
        <f>IFERROR(VLOOKUP($A701, Ledger!$B$2:$L$8, 6, 0),"")</f>
        <v/>
      </c>
      <c r="F701" t="str">
        <f>IFERROR(VLOOKUP($A701,'Student Data'!$A$2:$AR$6,32,0),"")</f>
        <v/>
      </c>
      <c r="G701" t="str">
        <f>IFERROR(VLOOKUP($A701,'Student Data'!$A$2:$AR$6,33,0),"")</f>
        <v/>
      </c>
      <c r="H701" t="str">
        <f>IFERROR(VLOOKUP($A701,'Student Data'!$A$2:$AR$6,34,0),"")</f>
        <v/>
      </c>
      <c r="I701" t="str">
        <f>IFERROR(VLOOKUP($A701,'Student Data'!$A$2:$AR$6,35,0),"")</f>
        <v/>
      </c>
      <c r="J701" t="str">
        <f>IFERROR(VLOOKUP($A701,'Student Data'!$A$2:$AR$6,36,0),"")</f>
        <v/>
      </c>
      <c r="K701" t="str">
        <f t="shared" si="20"/>
        <v/>
      </c>
      <c r="L701" t="str">
        <f t="shared" si="21"/>
        <v/>
      </c>
      <c r="M701" t="str">
        <f>IFERROR(IF($C701="","",SUMIFS(Ledger!$K$2:$K$4, Ledger!$B$2:$B$4, $A701, Ledger!$C$2:$C$4, M$2)),"****")</f>
        <v/>
      </c>
      <c r="N701" t="str">
        <f>IFERROR(IF($C701="","",SUMIFS(Ledger!$K$2:$K$4, Ledger!$B$2:$B$4, $A701, Ledger!$C$2:$C$4, N$2)),"****")</f>
        <v/>
      </c>
      <c r="O701" t="str">
        <f>IFERROR(IF($C701="","",SUMIFS(Ledger!$K$2:$K$4, Ledger!$B$2:$B$4, $A701, Ledger!$C$2:$C$4, O$2)),"****")</f>
        <v/>
      </c>
      <c r="P701" t="str">
        <f>IFERROR(IF($C701="","",SUMIFS(Ledger!$K$2:$K$4, Ledger!$B$2:$B$4, $A701, Ledger!$C$2:$C$4, P$2)),"****")</f>
        <v/>
      </c>
      <c r="Q701" t="str">
        <f>IFERROR(IF($C701="","",SUMIFS(Ledger!$K$2:$K$4, Ledger!$B$2:$B$4, $A701, Ledger!$C$2:$C$4, Q$2)),"****")</f>
        <v/>
      </c>
      <c r="R701" t="str">
        <f>IFERROR(IF($C701="","",SUMIFS(Ledger!$K$2:$K$4, Ledger!$B$2:$B$4, $A701, Ledger!$C$2:$C$4, R$2)),"****")</f>
        <v/>
      </c>
      <c r="S701" t="str">
        <f>IFERROR(IF($C701="","",SUMIFS(Ledger!$K$2:$K$4, Ledger!$B$2:$B$4, $A701, Ledger!$C$2:$C$4, S$2)),"****")</f>
        <v/>
      </c>
      <c r="T701" t="str">
        <f>IFERROR(IF($C701="","",SUMIFS(Ledger!$K$2:$K$4, Ledger!$B$2:$B$4, $A701, Ledger!$C$2:$C$4, T$2)),"****")</f>
        <v/>
      </c>
      <c r="U701" t="str">
        <f>IFERROR(IF($C701="","",SUMIFS(Ledger!$K$2:$K$4, Ledger!$B$2:$B$4, $A701, Ledger!$C$2:$C$4, U$2)),"****")</f>
        <v/>
      </c>
      <c r="V701" t="str">
        <f>IFERROR(IF($C701="","",SUMIFS(Ledger!$K$2:$K$4, Ledger!$B$2:$B$4, $A701, Ledger!$C$2:$C$4, V$2)),"****")</f>
        <v/>
      </c>
      <c r="W701" t="str">
        <f>IFERROR(IF($C701="","",SUMIFS(Ledger!$K$2:$K$4, Ledger!$B$2:$B$4, $A701, Ledger!$C$2:$C$4, W$2)),"****")</f>
        <v/>
      </c>
      <c r="X701" t="str">
        <f>IFERROR(IF($C701="","",SUMIFS(Ledger!$K$2:$K$4, Ledger!$B$2:$B$4, $A701, Ledger!$C$2:$C$4, X$2)),"****")</f>
        <v/>
      </c>
    </row>
    <row r="702" spans="1:24" x14ac:dyDescent="0.3">
      <c r="A702" s="106">
        <v>700</v>
      </c>
      <c r="B702" t="str">
        <f>IFERROR(VLOOKUP($A702, Ledger!$B$2:$L$8, 3, 0),"")</f>
        <v/>
      </c>
      <c r="C702" t="str">
        <f>IFERROR(VLOOKUP($A702, Ledger!$B$2:$L$8, 4, 0),"")</f>
        <v/>
      </c>
      <c r="D702" t="str">
        <f>IFERROR(VLOOKUP($A702, Ledger!$B$2:$L$8, 5, 0),"")</f>
        <v/>
      </c>
      <c r="E702" t="str">
        <f>IFERROR(VLOOKUP($A702, Ledger!$B$2:$L$8, 6, 0),"")</f>
        <v/>
      </c>
      <c r="F702" t="str">
        <f>IFERROR(VLOOKUP($A702,'Student Data'!$A$2:$AR$6,32,0),"")</f>
        <v/>
      </c>
      <c r="G702" t="str">
        <f>IFERROR(VLOOKUP($A702,'Student Data'!$A$2:$AR$6,33,0),"")</f>
        <v/>
      </c>
      <c r="H702" t="str">
        <f>IFERROR(VLOOKUP($A702,'Student Data'!$A$2:$AR$6,34,0),"")</f>
        <v/>
      </c>
      <c r="I702" t="str">
        <f>IFERROR(VLOOKUP($A702,'Student Data'!$A$2:$AR$6,35,0),"")</f>
        <v/>
      </c>
      <c r="J702" t="str">
        <f>IFERROR(VLOOKUP($A702,'Student Data'!$A$2:$AR$6,36,0),"")</f>
        <v/>
      </c>
      <c r="K702" t="str">
        <f t="shared" si="20"/>
        <v/>
      </c>
      <c r="L702" t="str">
        <f t="shared" si="21"/>
        <v/>
      </c>
      <c r="M702" t="str">
        <f>IFERROR(IF($C702="","",SUMIFS(Ledger!$K$2:$K$4, Ledger!$B$2:$B$4, $A702, Ledger!$C$2:$C$4, M$2)),"****")</f>
        <v/>
      </c>
      <c r="N702" t="str">
        <f>IFERROR(IF($C702="","",SUMIFS(Ledger!$K$2:$K$4, Ledger!$B$2:$B$4, $A702, Ledger!$C$2:$C$4, N$2)),"****")</f>
        <v/>
      </c>
      <c r="O702" t="str">
        <f>IFERROR(IF($C702="","",SUMIFS(Ledger!$K$2:$K$4, Ledger!$B$2:$B$4, $A702, Ledger!$C$2:$C$4, O$2)),"****")</f>
        <v/>
      </c>
      <c r="P702" t="str">
        <f>IFERROR(IF($C702="","",SUMIFS(Ledger!$K$2:$K$4, Ledger!$B$2:$B$4, $A702, Ledger!$C$2:$C$4, P$2)),"****")</f>
        <v/>
      </c>
      <c r="Q702" t="str">
        <f>IFERROR(IF($C702="","",SUMIFS(Ledger!$K$2:$K$4, Ledger!$B$2:$B$4, $A702, Ledger!$C$2:$C$4, Q$2)),"****")</f>
        <v/>
      </c>
      <c r="R702" t="str">
        <f>IFERROR(IF($C702="","",SUMIFS(Ledger!$K$2:$K$4, Ledger!$B$2:$B$4, $A702, Ledger!$C$2:$C$4, R$2)),"****")</f>
        <v/>
      </c>
      <c r="S702" t="str">
        <f>IFERROR(IF($C702="","",SUMIFS(Ledger!$K$2:$K$4, Ledger!$B$2:$B$4, $A702, Ledger!$C$2:$C$4, S$2)),"****")</f>
        <v/>
      </c>
      <c r="T702" t="str">
        <f>IFERROR(IF($C702="","",SUMIFS(Ledger!$K$2:$K$4, Ledger!$B$2:$B$4, $A702, Ledger!$C$2:$C$4, T$2)),"****")</f>
        <v/>
      </c>
      <c r="U702" t="str">
        <f>IFERROR(IF($C702="","",SUMIFS(Ledger!$K$2:$K$4, Ledger!$B$2:$B$4, $A702, Ledger!$C$2:$C$4, U$2)),"****")</f>
        <v/>
      </c>
      <c r="V702" t="str">
        <f>IFERROR(IF($C702="","",SUMIFS(Ledger!$K$2:$K$4, Ledger!$B$2:$B$4, $A702, Ledger!$C$2:$C$4, V$2)),"****")</f>
        <v/>
      </c>
      <c r="W702" t="str">
        <f>IFERROR(IF($C702="","",SUMIFS(Ledger!$K$2:$K$4, Ledger!$B$2:$B$4, $A702, Ledger!$C$2:$C$4, W$2)),"****")</f>
        <v/>
      </c>
      <c r="X702" t="str">
        <f>IFERROR(IF($C702="","",SUMIFS(Ledger!$K$2:$K$4, Ledger!$B$2:$B$4, $A702, Ledger!$C$2:$C$4, X$2)),"****")</f>
        <v/>
      </c>
    </row>
    <row r="703" spans="1:24" x14ac:dyDescent="0.3">
      <c r="A703" s="106">
        <v>701</v>
      </c>
      <c r="B703" t="str">
        <f>IFERROR(VLOOKUP($A703, Ledger!$B$2:$L$8, 3, 0),"")</f>
        <v/>
      </c>
      <c r="C703" t="str">
        <f>IFERROR(VLOOKUP($A703, Ledger!$B$2:$L$8, 4, 0),"")</f>
        <v/>
      </c>
      <c r="D703" t="str">
        <f>IFERROR(VLOOKUP($A703, Ledger!$B$2:$L$8, 5, 0),"")</f>
        <v/>
      </c>
      <c r="E703" t="str">
        <f>IFERROR(VLOOKUP($A703, Ledger!$B$2:$L$8, 6, 0),"")</f>
        <v/>
      </c>
      <c r="F703" t="str">
        <f>IFERROR(VLOOKUP($A703,'Student Data'!$A$2:$AR$6,32,0),"")</f>
        <v/>
      </c>
      <c r="G703" t="str">
        <f>IFERROR(VLOOKUP($A703,'Student Data'!$A$2:$AR$6,33,0),"")</f>
        <v/>
      </c>
      <c r="H703" t="str">
        <f>IFERROR(VLOOKUP($A703,'Student Data'!$A$2:$AR$6,34,0),"")</f>
        <v/>
      </c>
      <c r="I703" t="str">
        <f>IFERROR(VLOOKUP($A703,'Student Data'!$A$2:$AR$6,35,0),"")</f>
        <v/>
      </c>
      <c r="J703" t="str">
        <f>IFERROR(VLOOKUP($A703,'Student Data'!$A$2:$AR$6,36,0),"")</f>
        <v/>
      </c>
      <c r="K703" t="str">
        <f t="shared" si="20"/>
        <v/>
      </c>
      <c r="L703" t="str">
        <f t="shared" si="21"/>
        <v/>
      </c>
      <c r="M703" t="str">
        <f>IFERROR(IF($C703="","",SUMIFS(Ledger!$K$2:$K$4, Ledger!$B$2:$B$4, $A703, Ledger!$C$2:$C$4, M$2)),"****")</f>
        <v/>
      </c>
      <c r="N703" t="str">
        <f>IFERROR(IF($C703="","",SUMIFS(Ledger!$K$2:$K$4, Ledger!$B$2:$B$4, $A703, Ledger!$C$2:$C$4, N$2)),"****")</f>
        <v/>
      </c>
      <c r="O703" t="str">
        <f>IFERROR(IF($C703="","",SUMIFS(Ledger!$K$2:$K$4, Ledger!$B$2:$B$4, $A703, Ledger!$C$2:$C$4, O$2)),"****")</f>
        <v/>
      </c>
      <c r="P703" t="str">
        <f>IFERROR(IF($C703="","",SUMIFS(Ledger!$K$2:$K$4, Ledger!$B$2:$B$4, $A703, Ledger!$C$2:$C$4, P$2)),"****")</f>
        <v/>
      </c>
      <c r="Q703" t="str">
        <f>IFERROR(IF($C703="","",SUMIFS(Ledger!$K$2:$K$4, Ledger!$B$2:$B$4, $A703, Ledger!$C$2:$C$4, Q$2)),"****")</f>
        <v/>
      </c>
      <c r="R703" t="str">
        <f>IFERROR(IF($C703="","",SUMIFS(Ledger!$K$2:$K$4, Ledger!$B$2:$B$4, $A703, Ledger!$C$2:$C$4, R$2)),"****")</f>
        <v/>
      </c>
      <c r="S703" t="str">
        <f>IFERROR(IF($C703="","",SUMIFS(Ledger!$K$2:$K$4, Ledger!$B$2:$B$4, $A703, Ledger!$C$2:$C$4, S$2)),"****")</f>
        <v/>
      </c>
      <c r="T703" t="str">
        <f>IFERROR(IF($C703="","",SUMIFS(Ledger!$K$2:$K$4, Ledger!$B$2:$B$4, $A703, Ledger!$C$2:$C$4, T$2)),"****")</f>
        <v/>
      </c>
      <c r="U703" t="str">
        <f>IFERROR(IF($C703="","",SUMIFS(Ledger!$K$2:$K$4, Ledger!$B$2:$B$4, $A703, Ledger!$C$2:$C$4, U$2)),"****")</f>
        <v/>
      </c>
      <c r="V703" t="str">
        <f>IFERROR(IF($C703="","",SUMIFS(Ledger!$K$2:$K$4, Ledger!$B$2:$B$4, $A703, Ledger!$C$2:$C$4, V$2)),"****")</f>
        <v/>
      </c>
      <c r="W703" t="str">
        <f>IFERROR(IF($C703="","",SUMIFS(Ledger!$K$2:$K$4, Ledger!$B$2:$B$4, $A703, Ledger!$C$2:$C$4, W$2)),"****")</f>
        <v/>
      </c>
      <c r="X703" t="str">
        <f>IFERROR(IF($C703="","",SUMIFS(Ledger!$K$2:$K$4, Ledger!$B$2:$B$4, $A703, Ledger!$C$2:$C$4, X$2)),"****")</f>
        <v/>
      </c>
    </row>
    <row r="704" spans="1:24" x14ac:dyDescent="0.3">
      <c r="A704" s="106">
        <v>702</v>
      </c>
      <c r="B704" t="str">
        <f>IFERROR(VLOOKUP($A704, Ledger!$B$2:$L$8, 3, 0),"")</f>
        <v/>
      </c>
      <c r="C704" t="str">
        <f>IFERROR(VLOOKUP($A704, Ledger!$B$2:$L$8, 4, 0),"")</f>
        <v/>
      </c>
      <c r="D704" t="str">
        <f>IFERROR(VLOOKUP($A704, Ledger!$B$2:$L$8, 5, 0),"")</f>
        <v/>
      </c>
      <c r="E704" t="str">
        <f>IFERROR(VLOOKUP($A704, Ledger!$B$2:$L$8, 6, 0),"")</f>
        <v/>
      </c>
      <c r="F704" t="str">
        <f>IFERROR(VLOOKUP($A704,'Student Data'!$A$2:$AR$6,32,0),"")</f>
        <v/>
      </c>
      <c r="G704" t="str">
        <f>IFERROR(VLOOKUP($A704,'Student Data'!$A$2:$AR$6,33,0),"")</f>
        <v/>
      </c>
      <c r="H704" t="str">
        <f>IFERROR(VLOOKUP($A704,'Student Data'!$A$2:$AR$6,34,0),"")</f>
        <v/>
      </c>
      <c r="I704" t="str">
        <f>IFERROR(VLOOKUP($A704,'Student Data'!$A$2:$AR$6,35,0),"")</f>
        <v/>
      </c>
      <c r="J704" t="str">
        <f>IFERROR(VLOOKUP($A704,'Student Data'!$A$2:$AR$6,36,0),"")</f>
        <v/>
      </c>
      <c r="K704" t="str">
        <f t="shared" si="20"/>
        <v/>
      </c>
      <c r="L704" t="str">
        <f t="shared" si="21"/>
        <v/>
      </c>
      <c r="M704" t="str">
        <f>IFERROR(IF($C704="","",SUMIFS(Ledger!$K$2:$K$4, Ledger!$B$2:$B$4, $A704, Ledger!$C$2:$C$4, M$2)),"****")</f>
        <v/>
      </c>
      <c r="N704" t="str">
        <f>IFERROR(IF($C704="","",SUMIFS(Ledger!$K$2:$K$4, Ledger!$B$2:$B$4, $A704, Ledger!$C$2:$C$4, N$2)),"****")</f>
        <v/>
      </c>
      <c r="O704" t="str">
        <f>IFERROR(IF($C704="","",SUMIFS(Ledger!$K$2:$K$4, Ledger!$B$2:$B$4, $A704, Ledger!$C$2:$C$4, O$2)),"****")</f>
        <v/>
      </c>
      <c r="P704" t="str">
        <f>IFERROR(IF($C704="","",SUMIFS(Ledger!$K$2:$K$4, Ledger!$B$2:$B$4, $A704, Ledger!$C$2:$C$4, P$2)),"****")</f>
        <v/>
      </c>
      <c r="Q704" t="str">
        <f>IFERROR(IF($C704="","",SUMIFS(Ledger!$K$2:$K$4, Ledger!$B$2:$B$4, $A704, Ledger!$C$2:$C$4, Q$2)),"****")</f>
        <v/>
      </c>
      <c r="R704" t="str">
        <f>IFERROR(IF($C704="","",SUMIFS(Ledger!$K$2:$K$4, Ledger!$B$2:$B$4, $A704, Ledger!$C$2:$C$4, R$2)),"****")</f>
        <v/>
      </c>
      <c r="S704" t="str">
        <f>IFERROR(IF($C704="","",SUMIFS(Ledger!$K$2:$K$4, Ledger!$B$2:$B$4, $A704, Ledger!$C$2:$C$4, S$2)),"****")</f>
        <v/>
      </c>
      <c r="T704" t="str">
        <f>IFERROR(IF($C704="","",SUMIFS(Ledger!$K$2:$K$4, Ledger!$B$2:$B$4, $A704, Ledger!$C$2:$C$4, T$2)),"****")</f>
        <v/>
      </c>
      <c r="U704" t="str">
        <f>IFERROR(IF($C704="","",SUMIFS(Ledger!$K$2:$K$4, Ledger!$B$2:$B$4, $A704, Ledger!$C$2:$C$4, U$2)),"****")</f>
        <v/>
      </c>
      <c r="V704" t="str">
        <f>IFERROR(IF($C704="","",SUMIFS(Ledger!$K$2:$K$4, Ledger!$B$2:$B$4, $A704, Ledger!$C$2:$C$4, V$2)),"****")</f>
        <v/>
      </c>
      <c r="W704" t="str">
        <f>IFERROR(IF($C704="","",SUMIFS(Ledger!$K$2:$K$4, Ledger!$B$2:$B$4, $A704, Ledger!$C$2:$C$4, W$2)),"****")</f>
        <v/>
      </c>
      <c r="X704" t="str">
        <f>IFERROR(IF($C704="","",SUMIFS(Ledger!$K$2:$K$4, Ledger!$B$2:$B$4, $A704, Ledger!$C$2:$C$4, X$2)),"****")</f>
        <v/>
      </c>
    </row>
    <row r="705" spans="1:24" x14ac:dyDescent="0.3">
      <c r="A705" s="106">
        <v>703</v>
      </c>
      <c r="B705" t="str">
        <f>IFERROR(VLOOKUP($A705, Ledger!$B$2:$L$8, 3, 0),"")</f>
        <v/>
      </c>
      <c r="C705" t="str">
        <f>IFERROR(VLOOKUP($A705, Ledger!$B$2:$L$8, 4, 0),"")</f>
        <v/>
      </c>
      <c r="D705" t="str">
        <f>IFERROR(VLOOKUP($A705, Ledger!$B$2:$L$8, 5, 0),"")</f>
        <v/>
      </c>
      <c r="E705" t="str">
        <f>IFERROR(VLOOKUP($A705, Ledger!$B$2:$L$8, 6, 0),"")</f>
        <v/>
      </c>
      <c r="F705" t="str">
        <f>IFERROR(VLOOKUP($A705,'Student Data'!$A$2:$AR$6,32,0),"")</f>
        <v/>
      </c>
      <c r="G705" t="str">
        <f>IFERROR(VLOOKUP($A705,'Student Data'!$A$2:$AR$6,33,0),"")</f>
        <v/>
      </c>
      <c r="H705" t="str">
        <f>IFERROR(VLOOKUP($A705,'Student Data'!$A$2:$AR$6,34,0),"")</f>
        <v/>
      </c>
      <c r="I705" t="str">
        <f>IFERROR(VLOOKUP($A705,'Student Data'!$A$2:$AR$6,35,0),"")</f>
        <v/>
      </c>
      <c r="J705" t="str">
        <f>IFERROR(VLOOKUP($A705,'Student Data'!$A$2:$AR$6,36,0),"")</f>
        <v/>
      </c>
      <c r="K705" t="str">
        <f t="shared" si="20"/>
        <v/>
      </c>
      <c r="L705" t="str">
        <f t="shared" si="21"/>
        <v/>
      </c>
      <c r="M705" t="str">
        <f>IFERROR(IF($C705="","",SUMIFS(Ledger!$K$2:$K$4, Ledger!$B$2:$B$4, $A705, Ledger!$C$2:$C$4, M$2)),"****")</f>
        <v/>
      </c>
      <c r="N705" t="str">
        <f>IFERROR(IF($C705="","",SUMIFS(Ledger!$K$2:$K$4, Ledger!$B$2:$B$4, $A705, Ledger!$C$2:$C$4, N$2)),"****")</f>
        <v/>
      </c>
      <c r="O705" t="str">
        <f>IFERROR(IF($C705="","",SUMIFS(Ledger!$K$2:$K$4, Ledger!$B$2:$B$4, $A705, Ledger!$C$2:$C$4, O$2)),"****")</f>
        <v/>
      </c>
      <c r="P705" t="str">
        <f>IFERROR(IF($C705="","",SUMIFS(Ledger!$K$2:$K$4, Ledger!$B$2:$B$4, $A705, Ledger!$C$2:$C$4, P$2)),"****")</f>
        <v/>
      </c>
      <c r="Q705" t="str">
        <f>IFERROR(IF($C705="","",SUMIFS(Ledger!$K$2:$K$4, Ledger!$B$2:$B$4, $A705, Ledger!$C$2:$C$4, Q$2)),"****")</f>
        <v/>
      </c>
      <c r="R705" t="str">
        <f>IFERROR(IF($C705="","",SUMIFS(Ledger!$K$2:$K$4, Ledger!$B$2:$B$4, $A705, Ledger!$C$2:$C$4, R$2)),"****")</f>
        <v/>
      </c>
      <c r="S705" t="str">
        <f>IFERROR(IF($C705="","",SUMIFS(Ledger!$K$2:$K$4, Ledger!$B$2:$B$4, $A705, Ledger!$C$2:$C$4, S$2)),"****")</f>
        <v/>
      </c>
      <c r="T705" t="str">
        <f>IFERROR(IF($C705="","",SUMIFS(Ledger!$K$2:$K$4, Ledger!$B$2:$B$4, $A705, Ledger!$C$2:$C$4, T$2)),"****")</f>
        <v/>
      </c>
      <c r="U705" t="str">
        <f>IFERROR(IF($C705="","",SUMIFS(Ledger!$K$2:$K$4, Ledger!$B$2:$B$4, $A705, Ledger!$C$2:$C$4, U$2)),"****")</f>
        <v/>
      </c>
      <c r="V705" t="str">
        <f>IFERROR(IF($C705="","",SUMIFS(Ledger!$K$2:$K$4, Ledger!$B$2:$B$4, $A705, Ledger!$C$2:$C$4, V$2)),"****")</f>
        <v/>
      </c>
      <c r="W705" t="str">
        <f>IFERROR(IF($C705="","",SUMIFS(Ledger!$K$2:$K$4, Ledger!$B$2:$B$4, $A705, Ledger!$C$2:$C$4, W$2)),"****")</f>
        <v/>
      </c>
      <c r="X705" t="str">
        <f>IFERROR(IF($C705="","",SUMIFS(Ledger!$K$2:$K$4, Ledger!$B$2:$B$4, $A705, Ledger!$C$2:$C$4, X$2)),"****")</f>
        <v/>
      </c>
    </row>
    <row r="706" spans="1:24" x14ac:dyDescent="0.3">
      <c r="A706" s="106">
        <v>704</v>
      </c>
      <c r="B706" t="str">
        <f>IFERROR(VLOOKUP($A706, Ledger!$B$2:$L$8, 3, 0),"")</f>
        <v/>
      </c>
      <c r="C706" t="str">
        <f>IFERROR(VLOOKUP($A706, Ledger!$B$2:$L$8, 4, 0),"")</f>
        <v/>
      </c>
      <c r="D706" t="str">
        <f>IFERROR(VLOOKUP($A706, Ledger!$B$2:$L$8, 5, 0),"")</f>
        <v/>
      </c>
      <c r="E706" t="str">
        <f>IFERROR(VLOOKUP($A706, Ledger!$B$2:$L$8, 6, 0),"")</f>
        <v/>
      </c>
      <c r="F706" t="str">
        <f>IFERROR(VLOOKUP($A706,'Student Data'!$A$2:$AR$6,32,0),"")</f>
        <v/>
      </c>
      <c r="G706" t="str">
        <f>IFERROR(VLOOKUP($A706,'Student Data'!$A$2:$AR$6,33,0),"")</f>
        <v/>
      </c>
      <c r="H706" t="str">
        <f>IFERROR(VLOOKUP($A706,'Student Data'!$A$2:$AR$6,34,0),"")</f>
        <v/>
      </c>
      <c r="I706" t="str">
        <f>IFERROR(VLOOKUP($A706,'Student Data'!$A$2:$AR$6,35,0),"")</f>
        <v/>
      </c>
      <c r="J706" t="str">
        <f>IFERROR(VLOOKUP($A706,'Student Data'!$A$2:$AR$6,36,0),"")</f>
        <v/>
      </c>
      <c r="K706" t="str">
        <f t="shared" si="20"/>
        <v/>
      </c>
      <c r="L706" t="str">
        <f t="shared" si="21"/>
        <v/>
      </c>
      <c r="M706" t="str">
        <f>IFERROR(IF($C706="","",SUMIFS(Ledger!$K$2:$K$4, Ledger!$B$2:$B$4, $A706, Ledger!$C$2:$C$4, M$2)),"****")</f>
        <v/>
      </c>
      <c r="N706" t="str">
        <f>IFERROR(IF($C706="","",SUMIFS(Ledger!$K$2:$K$4, Ledger!$B$2:$B$4, $A706, Ledger!$C$2:$C$4, N$2)),"****")</f>
        <v/>
      </c>
      <c r="O706" t="str">
        <f>IFERROR(IF($C706="","",SUMIFS(Ledger!$K$2:$K$4, Ledger!$B$2:$B$4, $A706, Ledger!$C$2:$C$4, O$2)),"****")</f>
        <v/>
      </c>
      <c r="P706" t="str">
        <f>IFERROR(IF($C706="","",SUMIFS(Ledger!$K$2:$K$4, Ledger!$B$2:$B$4, $A706, Ledger!$C$2:$C$4, P$2)),"****")</f>
        <v/>
      </c>
      <c r="Q706" t="str">
        <f>IFERROR(IF($C706="","",SUMIFS(Ledger!$K$2:$K$4, Ledger!$B$2:$B$4, $A706, Ledger!$C$2:$C$4, Q$2)),"****")</f>
        <v/>
      </c>
      <c r="R706" t="str">
        <f>IFERROR(IF($C706="","",SUMIFS(Ledger!$K$2:$K$4, Ledger!$B$2:$B$4, $A706, Ledger!$C$2:$C$4, R$2)),"****")</f>
        <v/>
      </c>
      <c r="S706" t="str">
        <f>IFERROR(IF($C706="","",SUMIFS(Ledger!$K$2:$K$4, Ledger!$B$2:$B$4, $A706, Ledger!$C$2:$C$4, S$2)),"****")</f>
        <v/>
      </c>
      <c r="T706" t="str">
        <f>IFERROR(IF($C706="","",SUMIFS(Ledger!$K$2:$K$4, Ledger!$B$2:$B$4, $A706, Ledger!$C$2:$C$4, T$2)),"****")</f>
        <v/>
      </c>
      <c r="U706" t="str">
        <f>IFERROR(IF($C706="","",SUMIFS(Ledger!$K$2:$K$4, Ledger!$B$2:$B$4, $A706, Ledger!$C$2:$C$4, U$2)),"****")</f>
        <v/>
      </c>
      <c r="V706" t="str">
        <f>IFERROR(IF($C706="","",SUMIFS(Ledger!$K$2:$K$4, Ledger!$B$2:$B$4, $A706, Ledger!$C$2:$C$4, V$2)),"****")</f>
        <v/>
      </c>
      <c r="W706" t="str">
        <f>IFERROR(IF($C706="","",SUMIFS(Ledger!$K$2:$K$4, Ledger!$B$2:$B$4, $A706, Ledger!$C$2:$C$4, W$2)),"****")</f>
        <v/>
      </c>
      <c r="X706" t="str">
        <f>IFERROR(IF($C706="","",SUMIFS(Ledger!$K$2:$K$4, Ledger!$B$2:$B$4, $A706, Ledger!$C$2:$C$4, X$2)),"****")</f>
        <v/>
      </c>
    </row>
    <row r="707" spans="1:24" x14ac:dyDescent="0.3">
      <c r="A707" s="106">
        <v>705</v>
      </c>
      <c r="B707" t="str">
        <f>IFERROR(VLOOKUP($A707, Ledger!$B$2:$L$8, 3, 0),"")</f>
        <v/>
      </c>
      <c r="C707" t="str">
        <f>IFERROR(VLOOKUP($A707, Ledger!$B$2:$L$8, 4, 0),"")</f>
        <v/>
      </c>
      <c r="D707" t="str">
        <f>IFERROR(VLOOKUP($A707, Ledger!$B$2:$L$8, 5, 0),"")</f>
        <v/>
      </c>
      <c r="E707" t="str">
        <f>IFERROR(VLOOKUP($A707, Ledger!$B$2:$L$8, 6, 0),"")</f>
        <v/>
      </c>
      <c r="F707" t="str">
        <f>IFERROR(VLOOKUP($A707,'Student Data'!$A$2:$AR$6,32,0),"")</f>
        <v/>
      </c>
      <c r="G707" t="str">
        <f>IFERROR(VLOOKUP($A707,'Student Data'!$A$2:$AR$6,33,0),"")</f>
        <v/>
      </c>
      <c r="H707" t="str">
        <f>IFERROR(VLOOKUP($A707,'Student Data'!$A$2:$AR$6,34,0),"")</f>
        <v/>
      </c>
      <c r="I707" t="str">
        <f>IFERROR(VLOOKUP($A707,'Student Data'!$A$2:$AR$6,35,0),"")</f>
        <v/>
      </c>
      <c r="J707" t="str">
        <f>IFERROR(VLOOKUP($A707,'Student Data'!$A$2:$AR$6,36,0),"")</f>
        <v/>
      </c>
      <c r="K707" t="str">
        <f t="shared" si="20"/>
        <v/>
      </c>
      <c r="L707" t="str">
        <f t="shared" si="21"/>
        <v/>
      </c>
      <c r="M707" t="str">
        <f>IFERROR(IF($C707="","",SUMIFS(Ledger!$K$2:$K$4, Ledger!$B$2:$B$4, $A707, Ledger!$C$2:$C$4, M$2)),"****")</f>
        <v/>
      </c>
      <c r="N707" t="str">
        <f>IFERROR(IF($C707="","",SUMIFS(Ledger!$K$2:$K$4, Ledger!$B$2:$B$4, $A707, Ledger!$C$2:$C$4, N$2)),"****")</f>
        <v/>
      </c>
      <c r="O707" t="str">
        <f>IFERROR(IF($C707="","",SUMIFS(Ledger!$K$2:$K$4, Ledger!$B$2:$B$4, $A707, Ledger!$C$2:$C$4, O$2)),"****")</f>
        <v/>
      </c>
      <c r="P707" t="str">
        <f>IFERROR(IF($C707="","",SUMIFS(Ledger!$K$2:$K$4, Ledger!$B$2:$B$4, $A707, Ledger!$C$2:$C$4, P$2)),"****")</f>
        <v/>
      </c>
      <c r="Q707" t="str">
        <f>IFERROR(IF($C707="","",SUMIFS(Ledger!$K$2:$K$4, Ledger!$B$2:$B$4, $A707, Ledger!$C$2:$C$4, Q$2)),"****")</f>
        <v/>
      </c>
      <c r="R707" t="str">
        <f>IFERROR(IF($C707="","",SUMIFS(Ledger!$K$2:$K$4, Ledger!$B$2:$B$4, $A707, Ledger!$C$2:$C$4, R$2)),"****")</f>
        <v/>
      </c>
      <c r="S707" t="str">
        <f>IFERROR(IF($C707="","",SUMIFS(Ledger!$K$2:$K$4, Ledger!$B$2:$B$4, $A707, Ledger!$C$2:$C$4, S$2)),"****")</f>
        <v/>
      </c>
      <c r="T707" t="str">
        <f>IFERROR(IF($C707="","",SUMIFS(Ledger!$K$2:$K$4, Ledger!$B$2:$B$4, $A707, Ledger!$C$2:$C$4, T$2)),"****")</f>
        <v/>
      </c>
      <c r="U707" t="str">
        <f>IFERROR(IF($C707="","",SUMIFS(Ledger!$K$2:$K$4, Ledger!$B$2:$B$4, $A707, Ledger!$C$2:$C$4, U$2)),"****")</f>
        <v/>
      </c>
      <c r="V707" t="str">
        <f>IFERROR(IF($C707="","",SUMIFS(Ledger!$K$2:$K$4, Ledger!$B$2:$B$4, $A707, Ledger!$C$2:$C$4, V$2)),"****")</f>
        <v/>
      </c>
      <c r="W707" t="str">
        <f>IFERROR(IF($C707="","",SUMIFS(Ledger!$K$2:$K$4, Ledger!$B$2:$B$4, $A707, Ledger!$C$2:$C$4, W$2)),"****")</f>
        <v/>
      </c>
      <c r="X707" t="str">
        <f>IFERROR(IF($C707="","",SUMIFS(Ledger!$K$2:$K$4, Ledger!$B$2:$B$4, $A707, Ledger!$C$2:$C$4, X$2)),"****")</f>
        <v/>
      </c>
    </row>
    <row r="708" spans="1:24" x14ac:dyDescent="0.3">
      <c r="A708" s="106">
        <v>706</v>
      </c>
      <c r="B708" t="str">
        <f>IFERROR(VLOOKUP($A708, Ledger!$B$2:$L$8, 3, 0),"")</f>
        <v/>
      </c>
      <c r="C708" t="str">
        <f>IFERROR(VLOOKUP($A708, Ledger!$B$2:$L$8, 4, 0),"")</f>
        <v/>
      </c>
      <c r="D708" t="str">
        <f>IFERROR(VLOOKUP($A708, Ledger!$B$2:$L$8, 5, 0),"")</f>
        <v/>
      </c>
      <c r="E708" t="str">
        <f>IFERROR(VLOOKUP($A708, Ledger!$B$2:$L$8, 6, 0),"")</f>
        <v/>
      </c>
      <c r="F708" t="str">
        <f>IFERROR(VLOOKUP($A708,'Student Data'!$A$2:$AR$6,32,0),"")</f>
        <v/>
      </c>
      <c r="G708" t="str">
        <f>IFERROR(VLOOKUP($A708,'Student Data'!$A$2:$AR$6,33,0),"")</f>
        <v/>
      </c>
      <c r="H708" t="str">
        <f>IFERROR(VLOOKUP($A708,'Student Data'!$A$2:$AR$6,34,0),"")</f>
        <v/>
      </c>
      <c r="I708" t="str">
        <f>IFERROR(VLOOKUP($A708,'Student Data'!$A$2:$AR$6,35,0),"")</f>
        <v/>
      </c>
      <c r="J708" t="str">
        <f>IFERROR(VLOOKUP($A708,'Student Data'!$A$2:$AR$6,36,0),"")</f>
        <v/>
      </c>
      <c r="K708" t="str">
        <f t="shared" ref="K708:K771" si="22">IFERROR(IF(C708="","",SUM(M708:X708)),"0")</f>
        <v/>
      </c>
      <c r="L708" t="str">
        <f t="shared" ref="L708:L771" si="23">IFERROR(IF(C708="","",J708-K708),"0")</f>
        <v/>
      </c>
      <c r="M708" t="str">
        <f>IFERROR(IF($C708="","",SUMIFS(Ledger!$K$2:$K$4, Ledger!$B$2:$B$4, $A708, Ledger!$C$2:$C$4, M$2)),"****")</f>
        <v/>
      </c>
      <c r="N708" t="str">
        <f>IFERROR(IF($C708="","",SUMIFS(Ledger!$K$2:$K$4, Ledger!$B$2:$B$4, $A708, Ledger!$C$2:$C$4, N$2)),"****")</f>
        <v/>
      </c>
      <c r="O708" t="str">
        <f>IFERROR(IF($C708="","",SUMIFS(Ledger!$K$2:$K$4, Ledger!$B$2:$B$4, $A708, Ledger!$C$2:$C$4, O$2)),"****")</f>
        <v/>
      </c>
      <c r="P708" t="str">
        <f>IFERROR(IF($C708="","",SUMIFS(Ledger!$K$2:$K$4, Ledger!$B$2:$B$4, $A708, Ledger!$C$2:$C$4, P$2)),"****")</f>
        <v/>
      </c>
      <c r="Q708" t="str">
        <f>IFERROR(IF($C708="","",SUMIFS(Ledger!$K$2:$K$4, Ledger!$B$2:$B$4, $A708, Ledger!$C$2:$C$4, Q$2)),"****")</f>
        <v/>
      </c>
      <c r="R708" t="str">
        <f>IFERROR(IF($C708="","",SUMIFS(Ledger!$K$2:$K$4, Ledger!$B$2:$B$4, $A708, Ledger!$C$2:$C$4, R$2)),"****")</f>
        <v/>
      </c>
      <c r="S708" t="str">
        <f>IFERROR(IF($C708="","",SUMIFS(Ledger!$K$2:$K$4, Ledger!$B$2:$B$4, $A708, Ledger!$C$2:$C$4, S$2)),"****")</f>
        <v/>
      </c>
      <c r="T708" t="str">
        <f>IFERROR(IF($C708="","",SUMIFS(Ledger!$K$2:$K$4, Ledger!$B$2:$B$4, $A708, Ledger!$C$2:$C$4, T$2)),"****")</f>
        <v/>
      </c>
      <c r="U708" t="str">
        <f>IFERROR(IF($C708="","",SUMIFS(Ledger!$K$2:$K$4, Ledger!$B$2:$B$4, $A708, Ledger!$C$2:$C$4, U$2)),"****")</f>
        <v/>
      </c>
      <c r="V708" t="str">
        <f>IFERROR(IF($C708="","",SUMIFS(Ledger!$K$2:$K$4, Ledger!$B$2:$B$4, $A708, Ledger!$C$2:$C$4, V$2)),"****")</f>
        <v/>
      </c>
      <c r="W708" t="str">
        <f>IFERROR(IF($C708="","",SUMIFS(Ledger!$K$2:$K$4, Ledger!$B$2:$B$4, $A708, Ledger!$C$2:$C$4, W$2)),"****")</f>
        <v/>
      </c>
      <c r="X708" t="str">
        <f>IFERROR(IF($C708="","",SUMIFS(Ledger!$K$2:$K$4, Ledger!$B$2:$B$4, $A708, Ledger!$C$2:$C$4, X$2)),"****")</f>
        <v/>
      </c>
    </row>
    <row r="709" spans="1:24" x14ac:dyDescent="0.3">
      <c r="A709" s="106">
        <v>707</v>
      </c>
      <c r="B709" t="str">
        <f>IFERROR(VLOOKUP($A709, Ledger!$B$2:$L$8, 3, 0),"")</f>
        <v/>
      </c>
      <c r="C709" t="str">
        <f>IFERROR(VLOOKUP($A709, Ledger!$B$2:$L$8, 4, 0),"")</f>
        <v/>
      </c>
      <c r="D709" t="str">
        <f>IFERROR(VLOOKUP($A709, Ledger!$B$2:$L$8, 5, 0),"")</f>
        <v/>
      </c>
      <c r="E709" t="str">
        <f>IFERROR(VLOOKUP($A709, Ledger!$B$2:$L$8, 6, 0),"")</f>
        <v/>
      </c>
      <c r="F709" t="str">
        <f>IFERROR(VLOOKUP($A709,'Student Data'!$A$2:$AR$6,32,0),"")</f>
        <v/>
      </c>
      <c r="G709" t="str">
        <f>IFERROR(VLOOKUP($A709,'Student Data'!$A$2:$AR$6,33,0),"")</f>
        <v/>
      </c>
      <c r="H709" t="str">
        <f>IFERROR(VLOOKUP($A709,'Student Data'!$A$2:$AR$6,34,0),"")</f>
        <v/>
      </c>
      <c r="I709" t="str">
        <f>IFERROR(VLOOKUP($A709,'Student Data'!$A$2:$AR$6,35,0),"")</f>
        <v/>
      </c>
      <c r="J709" t="str">
        <f>IFERROR(VLOOKUP($A709,'Student Data'!$A$2:$AR$6,36,0),"")</f>
        <v/>
      </c>
      <c r="K709" t="str">
        <f t="shared" si="22"/>
        <v/>
      </c>
      <c r="L709" t="str">
        <f t="shared" si="23"/>
        <v/>
      </c>
      <c r="M709" t="str">
        <f>IFERROR(IF($C709="","",SUMIFS(Ledger!$K$2:$K$4, Ledger!$B$2:$B$4, $A709, Ledger!$C$2:$C$4, M$2)),"****")</f>
        <v/>
      </c>
      <c r="N709" t="str">
        <f>IFERROR(IF($C709="","",SUMIFS(Ledger!$K$2:$K$4, Ledger!$B$2:$B$4, $A709, Ledger!$C$2:$C$4, N$2)),"****")</f>
        <v/>
      </c>
      <c r="O709" t="str">
        <f>IFERROR(IF($C709="","",SUMIFS(Ledger!$K$2:$K$4, Ledger!$B$2:$B$4, $A709, Ledger!$C$2:$C$4, O$2)),"****")</f>
        <v/>
      </c>
      <c r="P709" t="str">
        <f>IFERROR(IF($C709="","",SUMIFS(Ledger!$K$2:$K$4, Ledger!$B$2:$B$4, $A709, Ledger!$C$2:$C$4, P$2)),"****")</f>
        <v/>
      </c>
      <c r="Q709" t="str">
        <f>IFERROR(IF($C709="","",SUMIFS(Ledger!$K$2:$K$4, Ledger!$B$2:$B$4, $A709, Ledger!$C$2:$C$4, Q$2)),"****")</f>
        <v/>
      </c>
      <c r="R709" t="str">
        <f>IFERROR(IF($C709="","",SUMIFS(Ledger!$K$2:$K$4, Ledger!$B$2:$B$4, $A709, Ledger!$C$2:$C$4, R$2)),"****")</f>
        <v/>
      </c>
      <c r="S709" t="str">
        <f>IFERROR(IF($C709="","",SUMIFS(Ledger!$K$2:$K$4, Ledger!$B$2:$B$4, $A709, Ledger!$C$2:$C$4, S$2)),"****")</f>
        <v/>
      </c>
      <c r="T709" t="str">
        <f>IFERROR(IF($C709="","",SUMIFS(Ledger!$K$2:$K$4, Ledger!$B$2:$B$4, $A709, Ledger!$C$2:$C$4, T$2)),"****")</f>
        <v/>
      </c>
      <c r="U709" t="str">
        <f>IFERROR(IF($C709="","",SUMIFS(Ledger!$K$2:$K$4, Ledger!$B$2:$B$4, $A709, Ledger!$C$2:$C$4, U$2)),"****")</f>
        <v/>
      </c>
      <c r="V709" t="str">
        <f>IFERROR(IF($C709="","",SUMIFS(Ledger!$K$2:$K$4, Ledger!$B$2:$B$4, $A709, Ledger!$C$2:$C$4, V$2)),"****")</f>
        <v/>
      </c>
      <c r="W709" t="str">
        <f>IFERROR(IF($C709="","",SUMIFS(Ledger!$K$2:$K$4, Ledger!$B$2:$B$4, $A709, Ledger!$C$2:$C$4, W$2)),"****")</f>
        <v/>
      </c>
      <c r="X709" t="str">
        <f>IFERROR(IF($C709="","",SUMIFS(Ledger!$K$2:$K$4, Ledger!$B$2:$B$4, $A709, Ledger!$C$2:$C$4, X$2)),"****")</f>
        <v/>
      </c>
    </row>
    <row r="710" spans="1:24" x14ac:dyDescent="0.3">
      <c r="A710" s="106">
        <v>708</v>
      </c>
      <c r="B710" t="str">
        <f>IFERROR(VLOOKUP($A710, Ledger!$B$2:$L$8, 3, 0),"")</f>
        <v/>
      </c>
      <c r="C710" t="str">
        <f>IFERROR(VLOOKUP($A710, Ledger!$B$2:$L$8, 4, 0),"")</f>
        <v/>
      </c>
      <c r="D710" t="str">
        <f>IFERROR(VLOOKUP($A710, Ledger!$B$2:$L$8, 5, 0),"")</f>
        <v/>
      </c>
      <c r="E710" t="str">
        <f>IFERROR(VLOOKUP($A710, Ledger!$B$2:$L$8, 6, 0),"")</f>
        <v/>
      </c>
      <c r="F710" t="str">
        <f>IFERROR(VLOOKUP($A710,'Student Data'!$A$2:$AR$6,32,0),"")</f>
        <v/>
      </c>
      <c r="G710" t="str">
        <f>IFERROR(VLOOKUP($A710,'Student Data'!$A$2:$AR$6,33,0),"")</f>
        <v/>
      </c>
      <c r="H710" t="str">
        <f>IFERROR(VLOOKUP($A710,'Student Data'!$A$2:$AR$6,34,0),"")</f>
        <v/>
      </c>
      <c r="I710" t="str">
        <f>IFERROR(VLOOKUP($A710,'Student Data'!$A$2:$AR$6,35,0),"")</f>
        <v/>
      </c>
      <c r="J710" t="str">
        <f>IFERROR(VLOOKUP($A710,'Student Data'!$A$2:$AR$6,36,0),"")</f>
        <v/>
      </c>
      <c r="K710" t="str">
        <f t="shared" si="22"/>
        <v/>
      </c>
      <c r="L710" t="str">
        <f t="shared" si="23"/>
        <v/>
      </c>
      <c r="M710" t="str">
        <f>IFERROR(IF($C710="","",SUMIFS(Ledger!$K$2:$K$4, Ledger!$B$2:$B$4, $A710, Ledger!$C$2:$C$4, M$2)),"****")</f>
        <v/>
      </c>
      <c r="N710" t="str">
        <f>IFERROR(IF($C710="","",SUMIFS(Ledger!$K$2:$K$4, Ledger!$B$2:$B$4, $A710, Ledger!$C$2:$C$4, N$2)),"****")</f>
        <v/>
      </c>
      <c r="O710" t="str">
        <f>IFERROR(IF($C710="","",SUMIFS(Ledger!$K$2:$K$4, Ledger!$B$2:$B$4, $A710, Ledger!$C$2:$C$4, O$2)),"****")</f>
        <v/>
      </c>
      <c r="P710" t="str">
        <f>IFERROR(IF($C710="","",SUMIFS(Ledger!$K$2:$K$4, Ledger!$B$2:$B$4, $A710, Ledger!$C$2:$C$4, P$2)),"****")</f>
        <v/>
      </c>
      <c r="Q710" t="str">
        <f>IFERROR(IF($C710="","",SUMIFS(Ledger!$K$2:$K$4, Ledger!$B$2:$B$4, $A710, Ledger!$C$2:$C$4, Q$2)),"****")</f>
        <v/>
      </c>
      <c r="R710" t="str">
        <f>IFERROR(IF($C710="","",SUMIFS(Ledger!$K$2:$K$4, Ledger!$B$2:$B$4, $A710, Ledger!$C$2:$C$4, R$2)),"****")</f>
        <v/>
      </c>
      <c r="S710" t="str">
        <f>IFERROR(IF($C710="","",SUMIFS(Ledger!$K$2:$K$4, Ledger!$B$2:$B$4, $A710, Ledger!$C$2:$C$4, S$2)),"****")</f>
        <v/>
      </c>
      <c r="T710" t="str">
        <f>IFERROR(IF($C710="","",SUMIFS(Ledger!$K$2:$K$4, Ledger!$B$2:$B$4, $A710, Ledger!$C$2:$C$4, T$2)),"****")</f>
        <v/>
      </c>
      <c r="U710" t="str">
        <f>IFERROR(IF($C710="","",SUMIFS(Ledger!$K$2:$K$4, Ledger!$B$2:$B$4, $A710, Ledger!$C$2:$C$4, U$2)),"****")</f>
        <v/>
      </c>
      <c r="V710" t="str">
        <f>IFERROR(IF($C710="","",SUMIFS(Ledger!$K$2:$K$4, Ledger!$B$2:$B$4, $A710, Ledger!$C$2:$C$4, V$2)),"****")</f>
        <v/>
      </c>
      <c r="W710" t="str">
        <f>IFERROR(IF($C710="","",SUMIFS(Ledger!$K$2:$K$4, Ledger!$B$2:$B$4, $A710, Ledger!$C$2:$C$4, W$2)),"****")</f>
        <v/>
      </c>
      <c r="X710" t="str">
        <f>IFERROR(IF($C710="","",SUMIFS(Ledger!$K$2:$K$4, Ledger!$B$2:$B$4, $A710, Ledger!$C$2:$C$4, X$2)),"****")</f>
        <v/>
      </c>
    </row>
    <row r="711" spans="1:24" x14ac:dyDescent="0.3">
      <c r="A711" s="106">
        <v>709</v>
      </c>
      <c r="B711" t="str">
        <f>IFERROR(VLOOKUP($A711, Ledger!$B$2:$L$8, 3, 0),"")</f>
        <v/>
      </c>
      <c r="C711" t="str">
        <f>IFERROR(VLOOKUP($A711, Ledger!$B$2:$L$8, 4, 0),"")</f>
        <v/>
      </c>
      <c r="D711" t="str">
        <f>IFERROR(VLOOKUP($A711, Ledger!$B$2:$L$8, 5, 0),"")</f>
        <v/>
      </c>
      <c r="E711" t="str">
        <f>IFERROR(VLOOKUP($A711, Ledger!$B$2:$L$8, 6, 0),"")</f>
        <v/>
      </c>
      <c r="F711" t="str">
        <f>IFERROR(VLOOKUP($A711,'Student Data'!$A$2:$AR$6,32,0),"")</f>
        <v/>
      </c>
      <c r="G711" t="str">
        <f>IFERROR(VLOOKUP($A711,'Student Data'!$A$2:$AR$6,33,0),"")</f>
        <v/>
      </c>
      <c r="H711" t="str">
        <f>IFERROR(VLOOKUP($A711,'Student Data'!$A$2:$AR$6,34,0),"")</f>
        <v/>
      </c>
      <c r="I711" t="str">
        <f>IFERROR(VLOOKUP($A711,'Student Data'!$A$2:$AR$6,35,0),"")</f>
        <v/>
      </c>
      <c r="J711" t="str">
        <f>IFERROR(VLOOKUP($A711,'Student Data'!$A$2:$AR$6,36,0),"")</f>
        <v/>
      </c>
      <c r="K711" t="str">
        <f t="shared" si="22"/>
        <v/>
      </c>
      <c r="L711" t="str">
        <f t="shared" si="23"/>
        <v/>
      </c>
      <c r="M711" t="str">
        <f>IFERROR(IF($C711="","",SUMIFS(Ledger!$K$2:$K$4, Ledger!$B$2:$B$4, $A711, Ledger!$C$2:$C$4, M$2)),"****")</f>
        <v/>
      </c>
      <c r="N711" t="str">
        <f>IFERROR(IF($C711="","",SUMIFS(Ledger!$K$2:$K$4, Ledger!$B$2:$B$4, $A711, Ledger!$C$2:$C$4, N$2)),"****")</f>
        <v/>
      </c>
      <c r="O711" t="str">
        <f>IFERROR(IF($C711="","",SUMIFS(Ledger!$K$2:$K$4, Ledger!$B$2:$B$4, $A711, Ledger!$C$2:$C$4, O$2)),"****")</f>
        <v/>
      </c>
      <c r="P711" t="str">
        <f>IFERROR(IF($C711="","",SUMIFS(Ledger!$K$2:$K$4, Ledger!$B$2:$B$4, $A711, Ledger!$C$2:$C$4, P$2)),"****")</f>
        <v/>
      </c>
      <c r="Q711" t="str">
        <f>IFERROR(IF($C711="","",SUMIFS(Ledger!$K$2:$K$4, Ledger!$B$2:$B$4, $A711, Ledger!$C$2:$C$4, Q$2)),"****")</f>
        <v/>
      </c>
      <c r="R711" t="str">
        <f>IFERROR(IF($C711="","",SUMIFS(Ledger!$K$2:$K$4, Ledger!$B$2:$B$4, $A711, Ledger!$C$2:$C$4, R$2)),"****")</f>
        <v/>
      </c>
      <c r="S711" t="str">
        <f>IFERROR(IF($C711="","",SUMIFS(Ledger!$K$2:$K$4, Ledger!$B$2:$B$4, $A711, Ledger!$C$2:$C$4, S$2)),"****")</f>
        <v/>
      </c>
      <c r="T711" t="str">
        <f>IFERROR(IF($C711="","",SUMIFS(Ledger!$K$2:$K$4, Ledger!$B$2:$B$4, $A711, Ledger!$C$2:$C$4, T$2)),"****")</f>
        <v/>
      </c>
      <c r="U711" t="str">
        <f>IFERROR(IF($C711="","",SUMIFS(Ledger!$K$2:$K$4, Ledger!$B$2:$B$4, $A711, Ledger!$C$2:$C$4, U$2)),"****")</f>
        <v/>
      </c>
      <c r="V711" t="str">
        <f>IFERROR(IF($C711="","",SUMIFS(Ledger!$K$2:$K$4, Ledger!$B$2:$B$4, $A711, Ledger!$C$2:$C$4, V$2)),"****")</f>
        <v/>
      </c>
      <c r="W711" t="str">
        <f>IFERROR(IF($C711="","",SUMIFS(Ledger!$K$2:$K$4, Ledger!$B$2:$B$4, $A711, Ledger!$C$2:$C$4, W$2)),"****")</f>
        <v/>
      </c>
      <c r="X711" t="str">
        <f>IFERROR(IF($C711="","",SUMIFS(Ledger!$K$2:$K$4, Ledger!$B$2:$B$4, $A711, Ledger!$C$2:$C$4, X$2)),"****")</f>
        <v/>
      </c>
    </row>
    <row r="712" spans="1:24" x14ac:dyDescent="0.3">
      <c r="A712" s="106">
        <v>710</v>
      </c>
      <c r="B712" t="str">
        <f>IFERROR(VLOOKUP($A712, Ledger!$B$2:$L$8, 3, 0),"")</f>
        <v/>
      </c>
      <c r="C712" t="str">
        <f>IFERROR(VLOOKUP($A712, Ledger!$B$2:$L$8, 4, 0),"")</f>
        <v/>
      </c>
      <c r="D712" t="str">
        <f>IFERROR(VLOOKUP($A712, Ledger!$B$2:$L$8, 5, 0),"")</f>
        <v/>
      </c>
      <c r="E712" t="str">
        <f>IFERROR(VLOOKUP($A712, Ledger!$B$2:$L$8, 6, 0),"")</f>
        <v/>
      </c>
      <c r="F712" t="str">
        <f>IFERROR(VLOOKUP($A712,'Student Data'!$A$2:$AR$6,32,0),"")</f>
        <v/>
      </c>
      <c r="G712" t="str">
        <f>IFERROR(VLOOKUP($A712,'Student Data'!$A$2:$AR$6,33,0),"")</f>
        <v/>
      </c>
      <c r="H712" t="str">
        <f>IFERROR(VLOOKUP($A712,'Student Data'!$A$2:$AR$6,34,0),"")</f>
        <v/>
      </c>
      <c r="I712" t="str">
        <f>IFERROR(VLOOKUP($A712,'Student Data'!$A$2:$AR$6,35,0),"")</f>
        <v/>
      </c>
      <c r="J712" t="str">
        <f>IFERROR(VLOOKUP($A712,'Student Data'!$A$2:$AR$6,36,0),"")</f>
        <v/>
      </c>
      <c r="K712" t="str">
        <f t="shared" si="22"/>
        <v/>
      </c>
      <c r="L712" t="str">
        <f t="shared" si="23"/>
        <v/>
      </c>
      <c r="M712" t="str">
        <f>IFERROR(IF($C712="","",SUMIFS(Ledger!$K$2:$K$4, Ledger!$B$2:$B$4, $A712, Ledger!$C$2:$C$4, M$2)),"****")</f>
        <v/>
      </c>
      <c r="N712" t="str">
        <f>IFERROR(IF($C712="","",SUMIFS(Ledger!$K$2:$K$4, Ledger!$B$2:$B$4, $A712, Ledger!$C$2:$C$4, N$2)),"****")</f>
        <v/>
      </c>
      <c r="O712" t="str">
        <f>IFERROR(IF($C712="","",SUMIFS(Ledger!$K$2:$K$4, Ledger!$B$2:$B$4, $A712, Ledger!$C$2:$C$4, O$2)),"****")</f>
        <v/>
      </c>
      <c r="P712" t="str">
        <f>IFERROR(IF($C712="","",SUMIFS(Ledger!$K$2:$K$4, Ledger!$B$2:$B$4, $A712, Ledger!$C$2:$C$4, P$2)),"****")</f>
        <v/>
      </c>
      <c r="Q712" t="str">
        <f>IFERROR(IF($C712="","",SUMIFS(Ledger!$K$2:$K$4, Ledger!$B$2:$B$4, $A712, Ledger!$C$2:$C$4, Q$2)),"****")</f>
        <v/>
      </c>
      <c r="R712" t="str">
        <f>IFERROR(IF($C712="","",SUMIFS(Ledger!$K$2:$K$4, Ledger!$B$2:$B$4, $A712, Ledger!$C$2:$C$4, R$2)),"****")</f>
        <v/>
      </c>
      <c r="S712" t="str">
        <f>IFERROR(IF($C712="","",SUMIFS(Ledger!$K$2:$K$4, Ledger!$B$2:$B$4, $A712, Ledger!$C$2:$C$4, S$2)),"****")</f>
        <v/>
      </c>
      <c r="T712" t="str">
        <f>IFERROR(IF($C712="","",SUMIFS(Ledger!$K$2:$K$4, Ledger!$B$2:$B$4, $A712, Ledger!$C$2:$C$4, T$2)),"****")</f>
        <v/>
      </c>
      <c r="U712" t="str">
        <f>IFERROR(IF($C712="","",SUMIFS(Ledger!$K$2:$K$4, Ledger!$B$2:$B$4, $A712, Ledger!$C$2:$C$4, U$2)),"****")</f>
        <v/>
      </c>
      <c r="V712" t="str">
        <f>IFERROR(IF($C712="","",SUMIFS(Ledger!$K$2:$K$4, Ledger!$B$2:$B$4, $A712, Ledger!$C$2:$C$4, V$2)),"****")</f>
        <v/>
      </c>
      <c r="W712" t="str">
        <f>IFERROR(IF($C712="","",SUMIFS(Ledger!$K$2:$K$4, Ledger!$B$2:$B$4, $A712, Ledger!$C$2:$C$4, W$2)),"****")</f>
        <v/>
      </c>
      <c r="X712" t="str">
        <f>IFERROR(IF($C712="","",SUMIFS(Ledger!$K$2:$K$4, Ledger!$B$2:$B$4, $A712, Ledger!$C$2:$C$4, X$2)),"****")</f>
        <v/>
      </c>
    </row>
    <row r="713" spans="1:24" x14ac:dyDescent="0.3">
      <c r="A713" s="106">
        <v>711</v>
      </c>
      <c r="B713" t="str">
        <f>IFERROR(VLOOKUP($A713, Ledger!$B$2:$L$8, 3, 0),"")</f>
        <v/>
      </c>
      <c r="C713" t="str">
        <f>IFERROR(VLOOKUP($A713, Ledger!$B$2:$L$8, 4, 0),"")</f>
        <v/>
      </c>
      <c r="D713" t="str">
        <f>IFERROR(VLOOKUP($A713, Ledger!$B$2:$L$8, 5, 0),"")</f>
        <v/>
      </c>
      <c r="E713" t="str">
        <f>IFERROR(VLOOKUP($A713, Ledger!$B$2:$L$8, 6, 0),"")</f>
        <v/>
      </c>
      <c r="F713" t="str">
        <f>IFERROR(VLOOKUP($A713,'Student Data'!$A$2:$AR$6,32,0),"")</f>
        <v/>
      </c>
      <c r="G713" t="str">
        <f>IFERROR(VLOOKUP($A713,'Student Data'!$A$2:$AR$6,33,0),"")</f>
        <v/>
      </c>
      <c r="H713" t="str">
        <f>IFERROR(VLOOKUP($A713,'Student Data'!$A$2:$AR$6,34,0),"")</f>
        <v/>
      </c>
      <c r="I713" t="str">
        <f>IFERROR(VLOOKUP($A713,'Student Data'!$A$2:$AR$6,35,0),"")</f>
        <v/>
      </c>
      <c r="J713" t="str">
        <f>IFERROR(VLOOKUP($A713,'Student Data'!$A$2:$AR$6,36,0),"")</f>
        <v/>
      </c>
      <c r="K713" t="str">
        <f t="shared" si="22"/>
        <v/>
      </c>
      <c r="L713" t="str">
        <f t="shared" si="23"/>
        <v/>
      </c>
      <c r="M713" t="str">
        <f>IFERROR(IF($C713="","",SUMIFS(Ledger!$K$2:$K$4, Ledger!$B$2:$B$4, $A713, Ledger!$C$2:$C$4, M$2)),"****")</f>
        <v/>
      </c>
      <c r="N713" t="str">
        <f>IFERROR(IF($C713="","",SUMIFS(Ledger!$K$2:$K$4, Ledger!$B$2:$B$4, $A713, Ledger!$C$2:$C$4, N$2)),"****")</f>
        <v/>
      </c>
      <c r="O713" t="str">
        <f>IFERROR(IF($C713="","",SUMIFS(Ledger!$K$2:$K$4, Ledger!$B$2:$B$4, $A713, Ledger!$C$2:$C$4, O$2)),"****")</f>
        <v/>
      </c>
      <c r="P713" t="str">
        <f>IFERROR(IF($C713="","",SUMIFS(Ledger!$K$2:$K$4, Ledger!$B$2:$B$4, $A713, Ledger!$C$2:$C$4, P$2)),"****")</f>
        <v/>
      </c>
      <c r="Q713" t="str">
        <f>IFERROR(IF($C713="","",SUMIFS(Ledger!$K$2:$K$4, Ledger!$B$2:$B$4, $A713, Ledger!$C$2:$C$4, Q$2)),"****")</f>
        <v/>
      </c>
      <c r="R713" t="str">
        <f>IFERROR(IF($C713="","",SUMIFS(Ledger!$K$2:$K$4, Ledger!$B$2:$B$4, $A713, Ledger!$C$2:$C$4, R$2)),"****")</f>
        <v/>
      </c>
      <c r="S713" t="str">
        <f>IFERROR(IF($C713="","",SUMIFS(Ledger!$K$2:$K$4, Ledger!$B$2:$B$4, $A713, Ledger!$C$2:$C$4, S$2)),"****")</f>
        <v/>
      </c>
      <c r="T713" t="str">
        <f>IFERROR(IF($C713="","",SUMIFS(Ledger!$K$2:$K$4, Ledger!$B$2:$B$4, $A713, Ledger!$C$2:$C$4, T$2)),"****")</f>
        <v/>
      </c>
      <c r="U713" t="str">
        <f>IFERROR(IF($C713="","",SUMIFS(Ledger!$K$2:$K$4, Ledger!$B$2:$B$4, $A713, Ledger!$C$2:$C$4, U$2)),"****")</f>
        <v/>
      </c>
      <c r="V713" t="str">
        <f>IFERROR(IF($C713="","",SUMIFS(Ledger!$K$2:$K$4, Ledger!$B$2:$B$4, $A713, Ledger!$C$2:$C$4, V$2)),"****")</f>
        <v/>
      </c>
      <c r="W713" t="str">
        <f>IFERROR(IF($C713="","",SUMIFS(Ledger!$K$2:$K$4, Ledger!$B$2:$B$4, $A713, Ledger!$C$2:$C$4, W$2)),"****")</f>
        <v/>
      </c>
      <c r="X713" t="str">
        <f>IFERROR(IF($C713="","",SUMIFS(Ledger!$K$2:$K$4, Ledger!$B$2:$B$4, $A713, Ledger!$C$2:$C$4, X$2)),"****")</f>
        <v/>
      </c>
    </row>
    <row r="714" spans="1:24" x14ac:dyDescent="0.3">
      <c r="A714" s="106">
        <v>712</v>
      </c>
      <c r="B714" t="str">
        <f>IFERROR(VLOOKUP($A714, Ledger!$B$2:$L$8, 3, 0),"")</f>
        <v/>
      </c>
      <c r="C714" t="str">
        <f>IFERROR(VLOOKUP($A714, Ledger!$B$2:$L$8, 4, 0),"")</f>
        <v/>
      </c>
      <c r="D714" t="str">
        <f>IFERROR(VLOOKUP($A714, Ledger!$B$2:$L$8, 5, 0),"")</f>
        <v/>
      </c>
      <c r="E714" t="str">
        <f>IFERROR(VLOOKUP($A714, Ledger!$B$2:$L$8, 6, 0),"")</f>
        <v/>
      </c>
      <c r="F714" t="str">
        <f>IFERROR(VLOOKUP($A714,'Student Data'!$A$2:$AR$6,32,0),"")</f>
        <v/>
      </c>
      <c r="G714" t="str">
        <f>IFERROR(VLOOKUP($A714,'Student Data'!$A$2:$AR$6,33,0),"")</f>
        <v/>
      </c>
      <c r="H714" t="str">
        <f>IFERROR(VLOOKUP($A714,'Student Data'!$A$2:$AR$6,34,0),"")</f>
        <v/>
      </c>
      <c r="I714" t="str">
        <f>IFERROR(VLOOKUP($A714,'Student Data'!$A$2:$AR$6,35,0),"")</f>
        <v/>
      </c>
      <c r="J714" t="str">
        <f>IFERROR(VLOOKUP($A714,'Student Data'!$A$2:$AR$6,36,0),"")</f>
        <v/>
      </c>
      <c r="K714" t="str">
        <f t="shared" si="22"/>
        <v/>
      </c>
      <c r="L714" t="str">
        <f t="shared" si="23"/>
        <v/>
      </c>
      <c r="M714" t="str">
        <f>IFERROR(IF($C714="","",SUMIFS(Ledger!$K$2:$K$4, Ledger!$B$2:$B$4, $A714, Ledger!$C$2:$C$4, M$2)),"****")</f>
        <v/>
      </c>
      <c r="N714" t="str">
        <f>IFERROR(IF($C714="","",SUMIFS(Ledger!$K$2:$K$4, Ledger!$B$2:$B$4, $A714, Ledger!$C$2:$C$4, N$2)),"****")</f>
        <v/>
      </c>
      <c r="O714" t="str">
        <f>IFERROR(IF($C714="","",SUMIFS(Ledger!$K$2:$K$4, Ledger!$B$2:$B$4, $A714, Ledger!$C$2:$C$4, O$2)),"****")</f>
        <v/>
      </c>
      <c r="P714" t="str">
        <f>IFERROR(IF($C714="","",SUMIFS(Ledger!$K$2:$K$4, Ledger!$B$2:$B$4, $A714, Ledger!$C$2:$C$4, P$2)),"****")</f>
        <v/>
      </c>
      <c r="Q714" t="str">
        <f>IFERROR(IF($C714="","",SUMIFS(Ledger!$K$2:$K$4, Ledger!$B$2:$B$4, $A714, Ledger!$C$2:$C$4, Q$2)),"****")</f>
        <v/>
      </c>
      <c r="R714" t="str">
        <f>IFERROR(IF($C714="","",SUMIFS(Ledger!$K$2:$K$4, Ledger!$B$2:$B$4, $A714, Ledger!$C$2:$C$4, R$2)),"****")</f>
        <v/>
      </c>
      <c r="S714" t="str">
        <f>IFERROR(IF($C714="","",SUMIFS(Ledger!$K$2:$K$4, Ledger!$B$2:$B$4, $A714, Ledger!$C$2:$C$4, S$2)),"****")</f>
        <v/>
      </c>
      <c r="T714" t="str">
        <f>IFERROR(IF($C714="","",SUMIFS(Ledger!$K$2:$K$4, Ledger!$B$2:$B$4, $A714, Ledger!$C$2:$C$4, T$2)),"****")</f>
        <v/>
      </c>
      <c r="U714" t="str">
        <f>IFERROR(IF($C714="","",SUMIFS(Ledger!$K$2:$K$4, Ledger!$B$2:$B$4, $A714, Ledger!$C$2:$C$4, U$2)),"****")</f>
        <v/>
      </c>
      <c r="V714" t="str">
        <f>IFERROR(IF($C714="","",SUMIFS(Ledger!$K$2:$K$4, Ledger!$B$2:$B$4, $A714, Ledger!$C$2:$C$4, V$2)),"****")</f>
        <v/>
      </c>
      <c r="W714" t="str">
        <f>IFERROR(IF($C714="","",SUMIFS(Ledger!$K$2:$K$4, Ledger!$B$2:$B$4, $A714, Ledger!$C$2:$C$4, W$2)),"****")</f>
        <v/>
      </c>
      <c r="X714" t="str">
        <f>IFERROR(IF($C714="","",SUMIFS(Ledger!$K$2:$K$4, Ledger!$B$2:$B$4, $A714, Ledger!$C$2:$C$4, X$2)),"****")</f>
        <v/>
      </c>
    </row>
    <row r="715" spans="1:24" x14ac:dyDescent="0.3">
      <c r="A715" s="106">
        <v>713</v>
      </c>
      <c r="B715" t="str">
        <f>IFERROR(VLOOKUP($A715, Ledger!$B$2:$L$8, 3, 0),"")</f>
        <v/>
      </c>
      <c r="C715" t="str">
        <f>IFERROR(VLOOKUP($A715, Ledger!$B$2:$L$8, 4, 0),"")</f>
        <v/>
      </c>
      <c r="D715" t="str">
        <f>IFERROR(VLOOKUP($A715, Ledger!$B$2:$L$8, 5, 0),"")</f>
        <v/>
      </c>
      <c r="E715" t="str">
        <f>IFERROR(VLOOKUP($A715, Ledger!$B$2:$L$8, 6, 0),"")</f>
        <v/>
      </c>
      <c r="F715" t="str">
        <f>IFERROR(VLOOKUP($A715,'Student Data'!$A$2:$AR$6,32,0),"")</f>
        <v/>
      </c>
      <c r="G715" t="str">
        <f>IFERROR(VLOOKUP($A715,'Student Data'!$A$2:$AR$6,33,0),"")</f>
        <v/>
      </c>
      <c r="H715" t="str">
        <f>IFERROR(VLOOKUP($A715,'Student Data'!$A$2:$AR$6,34,0),"")</f>
        <v/>
      </c>
      <c r="I715" t="str">
        <f>IFERROR(VLOOKUP($A715,'Student Data'!$A$2:$AR$6,35,0),"")</f>
        <v/>
      </c>
      <c r="J715" t="str">
        <f>IFERROR(VLOOKUP($A715,'Student Data'!$A$2:$AR$6,36,0),"")</f>
        <v/>
      </c>
      <c r="K715" t="str">
        <f t="shared" si="22"/>
        <v/>
      </c>
      <c r="L715" t="str">
        <f t="shared" si="23"/>
        <v/>
      </c>
      <c r="M715" t="str">
        <f>IFERROR(IF($C715="","",SUMIFS(Ledger!$K$2:$K$4, Ledger!$B$2:$B$4, $A715, Ledger!$C$2:$C$4, M$2)),"****")</f>
        <v/>
      </c>
      <c r="N715" t="str">
        <f>IFERROR(IF($C715="","",SUMIFS(Ledger!$K$2:$K$4, Ledger!$B$2:$B$4, $A715, Ledger!$C$2:$C$4, N$2)),"****")</f>
        <v/>
      </c>
      <c r="O715" t="str">
        <f>IFERROR(IF($C715="","",SUMIFS(Ledger!$K$2:$K$4, Ledger!$B$2:$B$4, $A715, Ledger!$C$2:$C$4, O$2)),"****")</f>
        <v/>
      </c>
      <c r="P715" t="str">
        <f>IFERROR(IF($C715="","",SUMIFS(Ledger!$K$2:$K$4, Ledger!$B$2:$B$4, $A715, Ledger!$C$2:$C$4, P$2)),"****")</f>
        <v/>
      </c>
      <c r="Q715" t="str">
        <f>IFERROR(IF($C715="","",SUMIFS(Ledger!$K$2:$K$4, Ledger!$B$2:$B$4, $A715, Ledger!$C$2:$C$4, Q$2)),"****")</f>
        <v/>
      </c>
      <c r="R715" t="str">
        <f>IFERROR(IF($C715="","",SUMIFS(Ledger!$K$2:$K$4, Ledger!$B$2:$B$4, $A715, Ledger!$C$2:$C$4, R$2)),"****")</f>
        <v/>
      </c>
      <c r="S715" t="str">
        <f>IFERROR(IF($C715="","",SUMIFS(Ledger!$K$2:$K$4, Ledger!$B$2:$B$4, $A715, Ledger!$C$2:$C$4, S$2)),"****")</f>
        <v/>
      </c>
      <c r="T715" t="str">
        <f>IFERROR(IF($C715="","",SUMIFS(Ledger!$K$2:$K$4, Ledger!$B$2:$B$4, $A715, Ledger!$C$2:$C$4, T$2)),"****")</f>
        <v/>
      </c>
      <c r="U715" t="str">
        <f>IFERROR(IF($C715="","",SUMIFS(Ledger!$K$2:$K$4, Ledger!$B$2:$B$4, $A715, Ledger!$C$2:$C$4, U$2)),"****")</f>
        <v/>
      </c>
      <c r="V715" t="str">
        <f>IFERROR(IF($C715="","",SUMIFS(Ledger!$K$2:$K$4, Ledger!$B$2:$B$4, $A715, Ledger!$C$2:$C$4, V$2)),"****")</f>
        <v/>
      </c>
      <c r="W715" t="str">
        <f>IFERROR(IF($C715="","",SUMIFS(Ledger!$K$2:$K$4, Ledger!$B$2:$B$4, $A715, Ledger!$C$2:$C$4, W$2)),"****")</f>
        <v/>
      </c>
      <c r="X715" t="str">
        <f>IFERROR(IF($C715="","",SUMIFS(Ledger!$K$2:$K$4, Ledger!$B$2:$B$4, $A715, Ledger!$C$2:$C$4, X$2)),"****")</f>
        <v/>
      </c>
    </row>
    <row r="716" spans="1:24" x14ac:dyDescent="0.3">
      <c r="A716" s="106">
        <v>714</v>
      </c>
      <c r="B716" t="str">
        <f>IFERROR(VLOOKUP($A716, Ledger!$B$2:$L$8, 3, 0),"")</f>
        <v/>
      </c>
      <c r="C716" t="str">
        <f>IFERROR(VLOOKUP($A716, Ledger!$B$2:$L$8, 4, 0),"")</f>
        <v/>
      </c>
      <c r="D716" t="str">
        <f>IFERROR(VLOOKUP($A716, Ledger!$B$2:$L$8, 5, 0),"")</f>
        <v/>
      </c>
      <c r="E716" t="str">
        <f>IFERROR(VLOOKUP($A716, Ledger!$B$2:$L$8, 6, 0),"")</f>
        <v/>
      </c>
      <c r="F716" t="str">
        <f>IFERROR(VLOOKUP($A716,'Student Data'!$A$2:$AR$6,32,0),"")</f>
        <v/>
      </c>
      <c r="G716" t="str">
        <f>IFERROR(VLOOKUP($A716,'Student Data'!$A$2:$AR$6,33,0),"")</f>
        <v/>
      </c>
      <c r="H716" t="str">
        <f>IFERROR(VLOOKUP($A716,'Student Data'!$A$2:$AR$6,34,0),"")</f>
        <v/>
      </c>
      <c r="I716" t="str">
        <f>IFERROR(VLOOKUP($A716,'Student Data'!$A$2:$AR$6,35,0),"")</f>
        <v/>
      </c>
      <c r="J716" t="str">
        <f>IFERROR(VLOOKUP($A716,'Student Data'!$A$2:$AR$6,36,0),"")</f>
        <v/>
      </c>
      <c r="K716" t="str">
        <f t="shared" si="22"/>
        <v/>
      </c>
      <c r="L716" t="str">
        <f t="shared" si="23"/>
        <v/>
      </c>
      <c r="M716" t="str">
        <f>IFERROR(IF($C716="","",SUMIFS(Ledger!$K$2:$K$4, Ledger!$B$2:$B$4, $A716, Ledger!$C$2:$C$4, M$2)),"****")</f>
        <v/>
      </c>
      <c r="N716" t="str">
        <f>IFERROR(IF($C716="","",SUMIFS(Ledger!$K$2:$K$4, Ledger!$B$2:$B$4, $A716, Ledger!$C$2:$C$4, N$2)),"****")</f>
        <v/>
      </c>
      <c r="O716" t="str">
        <f>IFERROR(IF($C716="","",SUMIFS(Ledger!$K$2:$K$4, Ledger!$B$2:$B$4, $A716, Ledger!$C$2:$C$4, O$2)),"****")</f>
        <v/>
      </c>
      <c r="P716" t="str">
        <f>IFERROR(IF($C716="","",SUMIFS(Ledger!$K$2:$K$4, Ledger!$B$2:$B$4, $A716, Ledger!$C$2:$C$4, P$2)),"****")</f>
        <v/>
      </c>
      <c r="Q716" t="str">
        <f>IFERROR(IF($C716="","",SUMIFS(Ledger!$K$2:$K$4, Ledger!$B$2:$B$4, $A716, Ledger!$C$2:$C$4, Q$2)),"****")</f>
        <v/>
      </c>
      <c r="R716" t="str">
        <f>IFERROR(IF($C716="","",SUMIFS(Ledger!$K$2:$K$4, Ledger!$B$2:$B$4, $A716, Ledger!$C$2:$C$4, R$2)),"****")</f>
        <v/>
      </c>
      <c r="S716" t="str">
        <f>IFERROR(IF($C716="","",SUMIFS(Ledger!$K$2:$K$4, Ledger!$B$2:$B$4, $A716, Ledger!$C$2:$C$4, S$2)),"****")</f>
        <v/>
      </c>
      <c r="T716" t="str">
        <f>IFERROR(IF($C716="","",SUMIFS(Ledger!$K$2:$K$4, Ledger!$B$2:$B$4, $A716, Ledger!$C$2:$C$4, T$2)),"****")</f>
        <v/>
      </c>
      <c r="U716" t="str">
        <f>IFERROR(IF($C716="","",SUMIFS(Ledger!$K$2:$K$4, Ledger!$B$2:$B$4, $A716, Ledger!$C$2:$C$4, U$2)),"****")</f>
        <v/>
      </c>
      <c r="V716" t="str">
        <f>IFERROR(IF($C716="","",SUMIFS(Ledger!$K$2:$K$4, Ledger!$B$2:$B$4, $A716, Ledger!$C$2:$C$4, V$2)),"****")</f>
        <v/>
      </c>
      <c r="W716" t="str">
        <f>IFERROR(IF($C716="","",SUMIFS(Ledger!$K$2:$K$4, Ledger!$B$2:$B$4, $A716, Ledger!$C$2:$C$4, W$2)),"****")</f>
        <v/>
      </c>
      <c r="X716" t="str">
        <f>IFERROR(IF($C716="","",SUMIFS(Ledger!$K$2:$K$4, Ledger!$B$2:$B$4, $A716, Ledger!$C$2:$C$4, X$2)),"****")</f>
        <v/>
      </c>
    </row>
    <row r="717" spans="1:24" x14ac:dyDescent="0.3">
      <c r="A717" s="106">
        <v>715</v>
      </c>
      <c r="B717" t="str">
        <f>IFERROR(VLOOKUP($A717, Ledger!$B$2:$L$8, 3, 0),"")</f>
        <v/>
      </c>
      <c r="C717" t="str">
        <f>IFERROR(VLOOKUP($A717, Ledger!$B$2:$L$8, 4, 0),"")</f>
        <v/>
      </c>
      <c r="D717" t="str">
        <f>IFERROR(VLOOKUP($A717, Ledger!$B$2:$L$8, 5, 0),"")</f>
        <v/>
      </c>
      <c r="E717" t="str">
        <f>IFERROR(VLOOKUP($A717, Ledger!$B$2:$L$8, 6, 0),"")</f>
        <v/>
      </c>
      <c r="F717" t="str">
        <f>IFERROR(VLOOKUP($A717,'Student Data'!$A$2:$AR$6,32,0),"")</f>
        <v/>
      </c>
      <c r="G717" t="str">
        <f>IFERROR(VLOOKUP($A717,'Student Data'!$A$2:$AR$6,33,0),"")</f>
        <v/>
      </c>
      <c r="H717" t="str">
        <f>IFERROR(VLOOKUP($A717,'Student Data'!$A$2:$AR$6,34,0),"")</f>
        <v/>
      </c>
      <c r="I717" t="str">
        <f>IFERROR(VLOOKUP($A717,'Student Data'!$A$2:$AR$6,35,0),"")</f>
        <v/>
      </c>
      <c r="J717" t="str">
        <f>IFERROR(VLOOKUP($A717,'Student Data'!$A$2:$AR$6,36,0),"")</f>
        <v/>
      </c>
      <c r="K717" t="str">
        <f t="shared" si="22"/>
        <v/>
      </c>
      <c r="L717" t="str">
        <f t="shared" si="23"/>
        <v/>
      </c>
      <c r="M717" t="str">
        <f>IFERROR(IF($C717="","",SUMIFS(Ledger!$K$2:$K$4, Ledger!$B$2:$B$4, $A717, Ledger!$C$2:$C$4, M$2)),"****")</f>
        <v/>
      </c>
      <c r="N717" t="str">
        <f>IFERROR(IF($C717="","",SUMIFS(Ledger!$K$2:$K$4, Ledger!$B$2:$B$4, $A717, Ledger!$C$2:$C$4, N$2)),"****")</f>
        <v/>
      </c>
      <c r="O717" t="str">
        <f>IFERROR(IF($C717="","",SUMIFS(Ledger!$K$2:$K$4, Ledger!$B$2:$B$4, $A717, Ledger!$C$2:$C$4, O$2)),"****")</f>
        <v/>
      </c>
      <c r="P717" t="str">
        <f>IFERROR(IF($C717="","",SUMIFS(Ledger!$K$2:$K$4, Ledger!$B$2:$B$4, $A717, Ledger!$C$2:$C$4, P$2)),"****")</f>
        <v/>
      </c>
      <c r="Q717" t="str">
        <f>IFERROR(IF($C717="","",SUMIFS(Ledger!$K$2:$K$4, Ledger!$B$2:$B$4, $A717, Ledger!$C$2:$C$4, Q$2)),"****")</f>
        <v/>
      </c>
      <c r="R717" t="str">
        <f>IFERROR(IF($C717="","",SUMIFS(Ledger!$K$2:$K$4, Ledger!$B$2:$B$4, $A717, Ledger!$C$2:$C$4, R$2)),"****")</f>
        <v/>
      </c>
      <c r="S717" t="str">
        <f>IFERROR(IF($C717="","",SUMIFS(Ledger!$K$2:$K$4, Ledger!$B$2:$B$4, $A717, Ledger!$C$2:$C$4, S$2)),"****")</f>
        <v/>
      </c>
      <c r="T717" t="str">
        <f>IFERROR(IF($C717="","",SUMIFS(Ledger!$K$2:$K$4, Ledger!$B$2:$B$4, $A717, Ledger!$C$2:$C$4, T$2)),"****")</f>
        <v/>
      </c>
      <c r="U717" t="str">
        <f>IFERROR(IF($C717="","",SUMIFS(Ledger!$K$2:$K$4, Ledger!$B$2:$B$4, $A717, Ledger!$C$2:$C$4, U$2)),"****")</f>
        <v/>
      </c>
      <c r="V717" t="str">
        <f>IFERROR(IF($C717="","",SUMIFS(Ledger!$K$2:$K$4, Ledger!$B$2:$B$4, $A717, Ledger!$C$2:$C$4, V$2)),"****")</f>
        <v/>
      </c>
      <c r="W717" t="str">
        <f>IFERROR(IF($C717="","",SUMIFS(Ledger!$K$2:$K$4, Ledger!$B$2:$B$4, $A717, Ledger!$C$2:$C$4, W$2)),"****")</f>
        <v/>
      </c>
      <c r="X717" t="str">
        <f>IFERROR(IF($C717="","",SUMIFS(Ledger!$K$2:$K$4, Ledger!$B$2:$B$4, $A717, Ledger!$C$2:$C$4, X$2)),"****")</f>
        <v/>
      </c>
    </row>
    <row r="718" spans="1:24" x14ac:dyDescent="0.3">
      <c r="A718" s="106">
        <v>716</v>
      </c>
      <c r="B718" t="str">
        <f>IFERROR(VLOOKUP($A718, Ledger!$B$2:$L$8, 3, 0),"")</f>
        <v/>
      </c>
      <c r="C718" t="str">
        <f>IFERROR(VLOOKUP($A718, Ledger!$B$2:$L$8, 4, 0),"")</f>
        <v/>
      </c>
      <c r="D718" t="str">
        <f>IFERROR(VLOOKUP($A718, Ledger!$B$2:$L$8, 5, 0),"")</f>
        <v/>
      </c>
      <c r="E718" t="str">
        <f>IFERROR(VLOOKUP($A718, Ledger!$B$2:$L$8, 6, 0),"")</f>
        <v/>
      </c>
      <c r="F718" t="str">
        <f>IFERROR(VLOOKUP($A718,'Student Data'!$A$2:$AR$6,32,0),"")</f>
        <v/>
      </c>
      <c r="G718" t="str">
        <f>IFERROR(VLOOKUP($A718,'Student Data'!$A$2:$AR$6,33,0),"")</f>
        <v/>
      </c>
      <c r="H718" t="str">
        <f>IFERROR(VLOOKUP($A718,'Student Data'!$A$2:$AR$6,34,0),"")</f>
        <v/>
      </c>
      <c r="I718" t="str">
        <f>IFERROR(VLOOKUP($A718,'Student Data'!$A$2:$AR$6,35,0),"")</f>
        <v/>
      </c>
      <c r="J718" t="str">
        <f>IFERROR(VLOOKUP($A718,'Student Data'!$A$2:$AR$6,36,0),"")</f>
        <v/>
      </c>
      <c r="K718" t="str">
        <f t="shared" si="22"/>
        <v/>
      </c>
      <c r="L718" t="str">
        <f t="shared" si="23"/>
        <v/>
      </c>
      <c r="M718" t="str">
        <f>IFERROR(IF($C718="","",SUMIFS(Ledger!$K$2:$K$4, Ledger!$B$2:$B$4, $A718, Ledger!$C$2:$C$4, M$2)),"****")</f>
        <v/>
      </c>
      <c r="N718" t="str">
        <f>IFERROR(IF($C718="","",SUMIFS(Ledger!$K$2:$K$4, Ledger!$B$2:$B$4, $A718, Ledger!$C$2:$C$4, N$2)),"****")</f>
        <v/>
      </c>
      <c r="O718" t="str">
        <f>IFERROR(IF($C718="","",SUMIFS(Ledger!$K$2:$K$4, Ledger!$B$2:$B$4, $A718, Ledger!$C$2:$C$4, O$2)),"****")</f>
        <v/>
      </c>
      <c r="P718" t="str">
        <f>IFERROR(IF($C718="","",SUMIFS(Ledger!$K$2:$K$4, Ledger!$B$2:$B$4, $A718, Ledger!$C$2:$C$4, P$2)),"****")</f>
        <v/>
      </c>
      <c r="Q718" t="str">
        <f>IFERROR(IF($C718="","",SUMIFS(Ledger!$K$2:$K$4, Ledger!$B$2:$B$4, $A718, Ledger!$C$2:$C$4, Q$2)),"****")</f>
        <v/>
      </c>
      <c r="R718" t="str">
        <f>IFERROR(IF($C718="","",SUMIFS(Ledger!$K$2:$K$4, Ledger!$B$2:$B$4, $A718, Ledger!$C$2:$C$4, R$2)),"****")</f>
        <v/>
      </c>
      <c r="S718" t="str">
        <f>IFERROR(IF($C718="","",SUMIFS(Ledger!$K$2:$K$4, Ledger!$B$2:$B$4, $A718, Ledger!$C$2:$C$4, S$2)),"****")</f>
        <v/>
      </c>
      <c r="T718" t="str">
        <f>IFERROR(IF($C718="","",SUMIFS(Ledger!$K$2:$K$4, Ledger!$B$2:$B$4, $A718, Ledger!$C$2:$C$4, T$2)),"****")</f>
        <v/>
      </c>
      <c r="U718" t="str">
        <f>IFERROR(IF($C718="","",SUMIFS(Ledger!$K$2:$K$4, Ledger!$B$2:$B$4, $A718, Ledger!$C$2:$C$4, U$2)),"****")</f>
        <v/>
      </c>
      <c r="V718" t="str">
        <f>IFERROR(IF($C718="","",SUMIFS(Ledger!$K$2:$K$4, Ledger!$B$2:$B$4, $A718, Ledger!$C$2:$C$4, V$2)),"****")</f>
        <v/>
      </c>
      <c r="W718" t="str">
        <f>IFERROR(IF($C718="","",SUMIFS(Ledger!$K$2:$K$4, Ledger!$B$2:$B$4, $A718, Ledger!$C$2:$C$4, W$2)),"****")</f>
        <v/>
      </c>
      <c r="X718" t="str">
        <f>IFERROR(IF($C718="","",SUMIFS(Ledger!$K$2:$K$4, Ledger!$B$2:$B$4, $A718, Ledger!$C$2:$C$4, X$2)),"****")</f>
        <v/>
      </c>
    </row>
    <row r="719" spans="1:24" x14ac:dyDescent="0.3">
      <c r="A719" s="106">
        <v>717</v>
      </c>
      <c r="B719" t="str">
        <f>IFERROR(VLOOKUP($A719, Ledger!$B$2:$L$8, 3, 0),"")</f>
        <v/>
      </c>
      <c r="C719" t="str">
        <f>IFERROR(VLOOKUP($A719, Ledger!$B$2:$L$8, 4, 0),"")</f>
        <v/>
      </c>
      <c r="D719" t="str">
        <f>IFERROR(VLOOKUP($A719, Ledger!$B$2:$L$8, 5, 0),"")</f>
        <v/>
      </c>
      <c r="E719" t="str">
        <f>IFERROR(VLOOKUP($A719, Ledger!$B$2:$L$8, 6, 0),"")</f>
        <v/>
      </c>
      <c r="F719" t="str">
        <f>IFERROR(VLOOKUP($A719,'Student Data'!$A$2:$AR$6,32,0),"")</f>
        <v/>
      </c>
      <c r="G719" t="str">
        <f>IFERROR(VLOOKUP($A719,'Student Data'!$A$2:$AR$6,33,0),"")</f>
        <v/>
      </c>
      <c r="H719" t="str">
        <f>IFERROR(VLOOKUP($A719,'Student Data'!$A$2:$AR$6,34,0),"")</f>
        <v/>
      </c>
      <c r="I719" t="str">
        <f>IFERROR(VLOOKUP($A719,'Student Data'!$A$2:$AR$6,35,0),"")</f>
        <v/>
      </c>
      <c r="J719" t="str">
        <f>IFERROR(VLOOKUP($A719,'Student Data'!$A$2:$AR$6,36,0),"")</f>
        <v/>
      </c>
      <c r="K719" t="str">
        <f t="shared" si="22"/>
        <v/>
      </c>
      <c r="L719" t="str">
        <f t="shared" si="23"/>
        <v/>
      </c>
      <c r="M719" t="str">
        <f>IFERROR(IF($C719="","",SUMIFS(Ledger!$K$2:$K$4, Ledger!$B$2:$B$4, $A719, Ledger!$C$2:$C$4, M$2)),"****")</f>
        <v/>
      </c>
      <c r="N719" t="str">
        <f>IFERROR(IF($C719="","",SUMIFS(Ledger!$K$2:$K$4, Ledger!$B$2:$B$4, $A719, Ledger!$C$2:$C$4, N$2)),"****")</f>
        <v/>
      </c>
      <c r="O719" t="str">
        <f>IFERROR(IF($C719="","",SUMIFS(Ledger!$K$2:$K$4, Ledger!$B$2:$B$4, $A719, Ledger!$C$2:$C$4, O$2)),"****")</f>
        <v/>
      </c>
      <c r="P719" t="str">
        <f>IFERROR(IF($C719="","",SUMIFS(Ledger!$K$2:$K$4, Ledger!$B$2:$B$4, $A719, Ledger!$C$2:$C$4, P$2)),"****")</f>
        <v/>
      </c>
      <c r="Q719" t="str">
        <f>IFERROR(IF($C719="","",SUMIFS(Ledger!$K$2:$K$4, Ledger!$B$2:$B$4, $A719, Ledger!$C$2:$C$4, Q$2)),"****")</f>
        <v/>
      </c>
      <c r="R719" t="str">
        <f>IFERROR(IF($C719="","",SUMIFS(Ledger!$K$2:$K$4, Ledger!$B$2:$B$4, $A719, Ledger!$C$2:$C$4, R$2)),"****")</f>
        <v/>
      </c>
      <c r="S719" t="str">
        <f>IFERROR(IF($C719="","",SUMIFS(Ledger!$K$2:$K$4, Ledger!$B$2:$B$4, $A719, Ledger!$C$2:$C$4, S$2)),"****")</f>
        <v/>
      </c>
      <c r="T719" t="str">
        <f>IFERROR(IF($C719="","",SUMIFS(Ledger!$K$2:$K$4, Ledger!$B$2:$B$4, $A719, Ledger!$C$2:$C$4, T$2)),"****")</f>
        <v/>
      </c>
      <c r="U719" t="str">
        <f>IFERROR(IF($C719="","",SUMIFS(Ledger!$K$2:$K$4, Ledger!$B$2:$B$4, $A719, Ledger!$C$2:$C$4, U$2)),"****")</f>
        <v/>
      </c>
      <c r="V719" t="str">
        <f>IFERROR(IF($C719="","",SUMIFS(Ledger!$K$2:$K$4, Ledger!$B$2:$B$4, $A719, Ledger!$C$2:$C$4, V$2)),"****")</f>
        <v/>
      </c>
      <c r="W719" t="str">
        <f>IFERROR(IF($C719="","",SUMIFS(Ledger!$K$2:$K$4, Ledger!$B$2:$B$4, $A719, Ledger!$C$2:$C$4, W$2)),"****")</f>
        <v/>
      </c>
      <c r="X719" t="str">
        <f>IFERROR(IF($C719="","",SUMIFS(Ledger!$K$2:$K$4, Ledger!$B$2:$B$4, $A719, Ledger!$C$2:$C$4, X$2)),"****")</f>
        <v/>
      </c>
    </row>
    <row r="720" spans="1:24" x14ac:dyDescent="0.3">
      <c r="A720" s="106">
        <v>718</v>
      </c>
      <c r="B720" t="str">
        <f>IFERROR(VLOOKUP($A720, Ledger!$B$2:$L$8, 3, 0),"")</f>
        <v/>
      </c>
      <c r="C720" t="str">
        <f>IFERROR(VLOOKUP($A720, Ledger!$B$2:$L$8, 4, 0),"")</f>
        <v/>
      </c>
      <c r="D720" t="str">
        <f>IFERROR(VLOOKUP($A720, Ledger!$B$2:$L$8, 5, 0),"")</f>
        <v/>
      </c>
      <c r="E720" t="str">
        <f>IFERROR(VLOOKUP($A720, Ledger!$B$2:$L$8, 6, 0),"")</f>
        <v/>
      </c>
      <c r="F720" t="str">
        <f>IFERROR(VLOOKUP($A720,'Student Data'!$A$2:$AR$6,32,0),"")</f>
        <v/>
      </c>
      <c r="G720" t="str">
        <f>IFERROR(VLOOKUP($A720,'Student Data'!$A$2:$AR$6,33,0),"")</f>
        <v/>
      </c>
      <c r="H720" t="str">
        <f>IFERROR(VLOOKUP($A720,'Student Data'!$A$2:$AR$6,34,0),"")</f>
        <v/>
      </c>
      <c r="I720" t="str">
        <f>IFERROR(VLOOKUP($A720,'Student Data'!$A$2:$AR$6,35,0),"")</f>
        <v/>
      </c>
      <c r="J720" t="str">
        <f>IFERROR(VLOOKUP($A720,'Student Data'!$A$2:$AR$6,36,0),"")</f>
        <v/>
      </c>
      <c r="K720" t="str">
        <f t="shared" si="22"/>
        <v/>
      </c>
      <c r="L720" t="str">
        <f t="shared" si="23"/>
        <v/>
      </c>
      <c r="M720" t="str">
        <f>IFERROR(IF($C720="","",SUMIFS(Ledger!$K$2:$K$4, Ledger!$B$2:$B$4, $A720, Ledger!$C$2:$C$4, M$2)),"****")</f>
        <v/>
      </c>
      <c r="N720" t="str">
        <f>IFERROR(IF($C720="","",SUMIFS(Ledger!$K$2:$K$4, Ledger!$B$2:$B$4, $A720, Ledger!$C$2:$C$4, N$2)),"****")</f>
        <v/>
      </c>
      <c r="O720" t="str">
        <f>IFERROR(IF($C720="","",SUMIFS(Ledger!$K$2:$K$4, Ledger!$B$2:$B$4, $A720, Ledger!$C$2:$C$4, O$2)),"****")</f>
        <v/>
      </c>
      <c r="P720" t="str">
        <f>IFERROR(IF($C720="","",SUMIFS(Ledger!$K$2:$K$4, Ledger!$B$2:$B$4, $A720, Ledger!$C$2:$C$4, P$2)),"****")</f>
        <v/>
      </c>
      <c r="Q720" t="str">
        <f>IFERROR(IF($C720="","",SUMIFS(Ledger!$K$2:$K$4, Ledger!$B$2:$B$4, $A720, Ledger!$C$2:$C$4, Q$2)),"****")</f>
        <v/>
      </c>
      <c r="R720" t="str">
        <f>IFERROR(IF($C720="","",SUMIFS(Ledger!$K$2:$K$4, Ledger!$B$2:$B$4, $A720, Ledger!$C$2:$C$4, R$2)),"****")</f>
        <v/>
      </c>
      <c r="S720" t="str">
        <f>IFERROR(IF($C720="","",SUMIFS(Ledger!$K$2:$K$4, Ledger!$B$2:$B$4, $A720, Ledger!$C$2:$C$4, S$2)),"****")</f>
        <v/>
      </c>
      <c r="T720" t="str">
        <f>IFERROR(IF($C720="","",SUMIFS(Ledger!$K$2:$K$4, Ledger!$B$2:$B$4, $A720, Ledger!$C$2:$C$4, T$2)),"****")</f>
        <v/>
      </c>
      <c r="U720" t="str">
        <f>IFERROR(IF($C720="","",SUMIFS(Ledger!$K$2:$K$4, Ledger!$B$2:$B$4, $A720, Ledger!$C$2:$C$4, U$2)),"****")</f>
        <v/>
      </c>
      <c r="V720" t="str">
        <f>IFERROR(IF($C720="","",SUMIFS(Ledger!$K$2:$K$4, Ledger!$B$2:$B$4, $A720, Ledger!$C$2:$C$4, V$2)),"****")</f>
        <v/>
      </c>
      <c r="W720" t="str">
        <f>IFERROR(IF($C720="","",SUMIFS(Ledger!$K$2:$K$4, Ledger!$B$2:$B$4, $A720, Ledger!$C$2:$C$4, W$2)),"****")</f>
        <v/>
      </c>
      <c r="X720" t="str">
        <f>IFERROR(IF($C720="","",SUMIFS(Ledger!$K$2:$K$4, Ledger!$B$2:$B$4, $A720, Ledger!$C$2:$C$4, X$2)),"****")</f>
        <v/>
      </c>
    </row>
    <row r="721" spans="1:24" x14ac:dyDescent="0.3">
      <c r="A721" s="106">
        <v>719</v>
      </c>
      <c r="B721" t="str">
        <f>IFERROR(VLOOKUP($A721, Ledger!$B$2:$L$8, 3, 0),"")</f>
        <v/>
      </c>
      <c r="C721" t="str">
        <f>IFERROR(VLOOKUP($A721, Ledger!$B$2:$L$8, 4, 0),"")</f>
        <v/>
      </c>
      <c r="D721" t="str">
        <f>IFERROR(VLOOKUP($A721, Ledger!$B$2:$L$8, 5, 0),"")</f>
        <v/>
      </c>
      <c r="E721" t="str">
        <f>IFERROR(VLOOKUP($A721, Ledger!$B$2:$L$8, 6, 0),"")</f>
        <v/>
      </c>
      <c r="F721" t="str">
        <f>IFERROR(VLOOKUP($A721,'Student Data'!$A$2:$AR$6,32,0),"")</f>
        <v/>
      </c>
      <c r="G721" t="str">
        <f>IFERROR(VLOOKUP($A721,'Student Data'!$A$2:$AR$6,33,0),"")</f>
        <v/>
      </c>
      <c r="H721" t="str">
        <f>IFERROR(VLOOKUP($A721,'Student Data'!$A$2:$AR$6,34,0),"")</f>
        <v/>
      </c>
      <c r="I721" t="str">
        <f>IFERROR(VLOOKUP($A721,'Student Data'!$A$2:$AR$6,35,0),"")</f>
        <v/>
      </c>
      <c r="J721" t="str">
        <f>IFERROR(VLOOKUP($A721,'Student Data'!$A$2:$AR$6,36,0),"")</f>
        <v/>
      </c>
      <c r="K721" t="str">
        <f t="shared" si="22"/>
        <v/>
      </c>
      <c r="L721" t="str">
        <f t="shared" si="23"/>
        <v/>
      </c>
      <c r="M721" t="str">
        <f>IFERROR(IF($C721="","",SUMIFS(Ledger!$K$2:$K$4, Ledger!$B$2:$B$4, $A721, Ledger!$C$2:$C$4, M$2)),"****")</f>
        <v/>
      </c>
      <c r="N721" t="str">
        <f>IFERROR(IF($C721="","",SUMIFS(Ledger!$K$2:$K$4, Ledger!$B$2:$B$4, $A721, Ledger!$C$2:$C$4, N$2)),"****")</f>
        <v/>
      </c>
      <c r="O721" t="str">
        <f>IFERROR(IF($C721="","",SUMIFS(Ledger!$K$2:$K$4, Ledger!$B$2:$B$4, $A721, Ledger!$C$2:$C$4, O$2)),"****")</f>
        <v/>
      </c>
      <c r="P721" t="str">
        <f>IFERROR(IF($C721="","",SUMIFS(Ledger!$K$2:$K$4, Ledger!$B$2:$B$4, $A721, Ledger!$C$2:$C$4, P$2)),"****")</f>
        <v/>
      </c>
      <c r="Q721" t="str">
        <f>IFERROR(IF($C721="","",SUMIFS(Ledger!$K$2:$K$4, Ledger!$B$2:$B$4, $A721, Ledger!$C$2:$C$4, Q$2)),"****")</f>
        <v/>
      </c>
      <c r="R721" t="str">
        <f>IFERROR(IF($C721="","",SUMIFS(Ledger!$K$2:$K$4, Ledger!$B$2:$B$4, $A721, Ledger!$C$2:$C$4, R$2)),"****")</f>
        <v/>
      </c>
      <c r="S721" t="str">
        <f>IFERROR(IF($C721="","",SUMIFS(Ledger!$K$2:$K$4, Ledger!$B$2:$B$4, $A721, Ledger!$C$2:$C$4, S$2)),"****")</f>
        <v/>
      </c>
      <c r="T721" t="str">
        <f>IFERROR(IF($C721="","",SUMIFS(Ledger!$K$2:$K$4, Ledger!$B$2:$B$4, $A721, Ledger!$C$2:$C$4, T$2)),"****")</f>
        <v/>
      </c>
      <c r="U721" t="str">
        <f>IFERROR(IF($C721="","",SUMIFS(Ledger!$K$2:$K$4, Ledger!$B$2:$B$4, $A721, Ledger!$C$2:$C$4, U$2)),"****")</f>
        <v/>
      </c>
      <c r="V721" t="str">
        <f>IFERROR(IF($C721="","",SUMIFS(Ledger!$K$2:$K$4, Ledger!$B$2:$B$4, $A721, Ledger!$C$2:$C$4, V$2)),"****")</f>
        <v/>
      </c>
      <c r="W721" t="str">
        <f>IFERROR(IF($C721="","",SUMIFS(Ledger!$K$2:$K$4, Ledger!$B$2:$B$4, $A721, Ledger!$C$2:$C$4, W$2)),"****")</f>
        <v/>
      </c>
      <c r="X721" t="str">
        <f>IFERROR(IF($C721="","",SUMIFS(Ledger!$K$2:$K$4, Ledger!$B$2:$B$4, $A721, Ledger!$C$2:$C$4, X$2)),"****")</f>
        <v/>
      </c>
    </row>
    <row r="722" spans="1:24" x14ac:dyDescent="0.3">
      <c r="A722" s="106">
        <v>720</v>
      </c>
      <c r="B722" t="str">
        <f>IFERROR(VLOOKUP($A722, Ledger!$B$2:$L$8, 3, 0),"")</f>
        <v/>
      </c>
      <c r="C722" t="str">
        <f>IFERROR(VLOOKUP($A722, Ledger!$B$2:$L$8, 4, 0),"")</f>
        <v/>
      </c>
      <c r="D722" t="str">
        <f>IFERROR(VLOOKUP($A722, Ledger!$B$2:$L$8, 5, 0),"")</f>
        <v/>
      </c>
      <c r="E722" t="str">
        <f>IFERROR(VLOOKUP($A722, Ledger!$B$2:$L$8, 6, 0),"")</f>
        <v/>
      </c>
      <c r="F722" t="str">
        <f>IFERROR(VLOOKUP($A722,'Student Data'!$A$2:$AR$6,32,0),"")</f>
        <v/>
      </c>
      <c r="G722" t="str">
        <f>IFERROR(VLOOKUP($A722,'Student Data'!$A$2:$AR$6,33,0),"")</f>
        <v/>
      </c>
      <c r="H722" t="str">
        <f>IFERROR(VLOOKUP($A722,'Student Data'!$A$2:$AR$6,34,0),"")</f>
        <v/>
      </c>
      <c r="I722" t="str">
        <f>IFERROR(VLOOKUP($A722,'Student Data'!$A$2:$AR$6,35,0),"")</f>
        <v/>
      </c>
      <c r="J722" t="str">
        <f>IFERROR(VLOOKUP($A722,'Student Data'!$A$2:$AR$6,36,0),"")</f>
        <v/>
      </c>
      <c r="K722" t="str">
        <f t="shared" si="22"/>
        <v/>
      </c>
      <c r="L722" t="str">
        <f t="shared" si="23"/>
        <v/>
      </c>
      <c r="M722" t="str">
        <f>IFERROR(IF($C722="","",SUMIFS(Ledger!$K$2:$K$4, Ledger!$B$2:$B$4, $A722, Ledger!$C$2:$C$4, M$2)),"****")</f>
        <v/>
      </c>
      <c r="N722" t="str">
        <f>IFERROR(IF($C722="","",SUMIFS(Ledger!$K$2:$K$4, Ledger!$B$2:$B$4, $A722, Ledger!$C$2:$C$4, N$2)),"****")</f>
        <v/>
      </c>
      <c r="O722" t="str">
        <f>IFERROR(IF($C722="","",SUMIFS(Ledger!$K$2:$K$4, Ledger!$B$2:$B$4, $A722, Ledger!$C$2:$C$4, O$2)),"****")</f>
        <v/>
      </c>
      <c r="P722" t="str">
        <f>IFERROR(IF($C722="","",SUMIFS(Ledger!$K$2:$K$4, Ledger!$B$2:$B$4, $A722, Ledger!$C$2:$C$4, P$2)),"****")</f>
        <v/>
      </c>
      <c r="Q722" t="str">
        <f>IFERROR(IF($C722="","",SUMIFS(Ledger!$K$2:$K$4, Ledger!$B$2:$B$4, $A722, Ledger!$C$2:$C$4, Q$2)),"****")</f>
        <v/>
      </c>
      <c r="R722" t="str">
        <f>IFERROR(IF($C722="","",SUMIFS(Ledger!$K$2:$K$4, Ledger!$B$2:$B$4, $A722, Ledger!$C$2:$C$4, R$2)),"****")</f>
        <v/>
      </c>
      <c r="S722" t="str">
        <f>IFERROR(IF($C722="","",SUMIFS(Ledger!$K$2:$K$4, Ledger!$B$2:$B$4, $A722, Ledger!$C$2:$C$4, S$2)),"****")</f>
        <v/>
      </c>
      <c r="T722" t="str">
        <f>IFERROR(IF($C722="","",SUMIFS(Ledger!$K$2:$K$4, Ledger!$B$2:$B$4, $A722, Ledger!$C$2:$C$4, T$2)),"****")</f>
        <v/>
      </c>
      <c r="U722" t="str">
        <f>IFERROR(IF($C722="","",SUMIFS(Ledger!$K$2:$K$4, Ledger!$B$2:$B$4, $A722, Ledger!$C$2:$C$4, U$2)),"****")</f>
        <v/>
      </c>
      <c r="V722" t="str">
        <f>IFERROR(IF($C722="","",SUMIFS(Ledger!$K$2:$K$4, Ledger!$B$2:$B$4, $A722, Ledger!$C$2:$C$4, V$2)),"****")</f>
        <v/>
      </c>
      <c r="W722" t="str">
        <f>IFERROR(IF($C722="","",SUMIFS(Ledger!$K$2:$K$4, Ledger!$B$2:$B$4, $A722, Ledger!$C$2:$C$4, W$2)),"****")</f>
        <v/>
      </c>
      <c r="X722" t="str">
        <f>IFERROR(IF($C722="","",SUMIFS(Ledger!$K$2:$K$4, Ledger!$B$2:$B$4, $A722, Ledger!$C$2:$C$4, X$2)),"****")</f>
        <v/>
      </c>
    </row>
    <row r="723" spans="1:24" x14ac:dyDescent="0.3">
      <c r="A723" s="106">
        <v>721</v>
      </c>
      <c r="B723" t="str">
        <f>IFERROR(VLOOKUP($A723, Ledger!$B$2:$L$8, 3, 0),"")</f>
        <v/>
      </c>
      <c r="C723" t="str">
        <f>IFERROR(VLOOKUP($A723, Ledger!$B$2:$L$8, 4, 0),"")</f>
        <v/>
      </c>
      <c r="D723" t="str">
        <f>IFERROR(VLOOKUP($A723, Ledger!$B$2:$L$8, 5, 0),"")</f>
        <v/>
      </c>
      <c r="E723" t="str">
        <f>IFERROR(VLOOKUP($A723, Ledger!$B$2:$L$8, 6, 0),"")</f>
        <v/>
      </c>
      <c r="F723" t="str">
        <f>IFERROR(VLOOKUP($A723,'Student Data'!$A$2:$AR$6,32,0),"")</f>
        <v/>
      </c>
      <c r="G723" t="str">
        <f>IFERROR(VLOOKUP($A723,'Student Data'!$A$2:$AR$6,33,0),"")</f>
        <v/>
      </c>
      <c r="H723" t="str">
        <f>IFERROR(VLOOKUP($A723,'Student Data'!$A$2:$AR$6,34,0),"")</f>
        <v/>
      </c>
      <c r="I723" t="str">
        <f>IFERROR(VLOOKUP($A723,'Student Data'!$A$2:$AR$6,35,0),"")</f>
        <v/>
      </c>
      <c r="J723" t="str">
        <f>IFERROR(VLOOKUP($A723,'Student Data'!$A$2:$AR$6,36,0),"")</f>
        <v/>
      </c>
      <c r="K723" t="str">
        <f t="shared" si="22"/>
        <v/>
      </c>
      <c r="L723" t="str">
        <f t="shared" si="23"/>
        <v/>
      </c>
      <c r="M723" t="str">
        <f>IFERROR(IF($C723="","",SUMIFS(Ledger!$K$2:$K$4, Ledger!$B$2:$B$4, $A723, Ledger!$C$2:$C$4, M$2)),"****")</f>
        <v/>
      </c>
      <c r="N723" t="str">
        <f>IFERROR(IF($C723="","",SUMIFS(Ledger!$K$2:$K$4, Ledger!$B$2:$B$4, $A723, Ledger!$C$2:$C$4, N$2)),"****")</f>
        <v/>
      </c>
      <c r="O723" t="str">
        <f>IFERROR(IF($C723="","",SUMIFS(Ledger!$K$2:$K$4, Ledger!$B$2:$B$4, $A723, Ledger!$C$2:$C$4, O$2)),"****")</f>
        <v/>
      </c>
      <c r="P723" t="str">
        <f>IFERROR(IF($C723="","",SUMIFS(Ledger!$K$2:$K$4, Ledger!$B$2:$B$4, $A723, Ledger!$C$2:$C$4, P$2)),"****")</f>
        <v/>
      </c>
      <c r="Q723" t="str">
        <f>IFERROR(IF($C723="","",SUMIFS(Ledger!$K$2:$K$4, Ledger!$B$2:$B$4, $A723, Ledger!$C$2:$C$4, Q$2)),"****")</f>
        <v/>
      </c>
      <c r="R723" t="str">
        <f>IFERROR(IF($C723="","",SUMIFS(Ledger!$K$2:$K$4, Ledger!$B$2:$B$4, $A723, Ledger!$C$2:$C$4, R$2)),"****")</f>
        <v/>
      </c>
      <c r="S723" t="str">
        <f>IFERROR(IF($C723="","",SUMIFS(Ledger!$K$2:$K$4, Ledger!$B$2:$B$4, $A723, Ledger!$C$2:$C$4, S$2)),"****")</f>
        <v/>
      </c>
      <c r="T723" t="str">
        <f>IFERROR(IF($C723="","",SUMIFS(Ledger!$K$2:$K$4, Ledger!$B$2:$B$4, $A723, Ledger!$C$2:$C$4, T$2)),"****")</f>
        <v/>
      </c>
      <c r="U723" t="str">
        <f>IFERROR(IF($C723="","",SUMIFS(Ledger!$K$2:$K$4, Ledger!$B$2:$B$4, $A723, Ledger!$C$2:$C$4, U$2)),"****")</f>
        <v/>
      </c>
      <c r="V723" t="str">
        <f>IFERROR(IF($C723="","",SUMIFS(Ledger!$K$2:$K$4, Ledger!$B$2:$B$4, $A723, Ledger!$C$2:$C$4, V$2)),"****")</f>
        <v/>
      </c>
      <c r="W723" t="str">
        <f>IFERROR(IF($C723="","",SUMIFS(Ledger!$K$2:$K$4, Ledger!$B$2:$B$4, $A723, Ledger!$C$2:$C$4, W$2)),"****")</f>
        <v/>
      </c>
      <c r="X723" t="str">
        <f>IFERROR(IF($C723="","",SUMIFS(Ledger!$K$2:$K$4, Ledger!$B$2:$B$4, $A723, Ledger!$C$2:$C$4, X$2)),"****")</f>
        <v/>
      </c>
    </row>
    <row r="724" spans="1:24" x14ac:dyDescent="0.3">
      <c r="A724" s="106">
        <v>722</v>
      </c>
      <c r="B724" t="str">
        <f>IFERROR(VLOOKUP($A724, Ledger!$B$2:$L$8, 3, 0),"")</f>
        <v/>
      </c>
      <c r="C724" t="str">
        <f>IFERROR(VLOOKUP($A724, Ledger!$B$2:$L$8, 4, 0),"")</f>
        <v/>
      </c>
      <c r="D724" t="str">
        <f>IFERROR(VLOOKUP($A724, Ledger!$B$2:$L$8, 5, 0),"")</f>
        <v/>
      </c>
      <c r="E724" t="str">
        <f>IFERROR(VLOOKUP($A724, Ledger!$B$2:$L$8, 6, 0),"")</f>
        <v/>
      </c>
      <c r="F724" t="str">
        <f>IFERROR(VLOOKUP($A724,'Student Data'!$A$2:$AR$6,32,0),"")</f>
        <v/>
      </c>
      <c r="G724" t="str">
        <f>IFERROR(VLOOKUP($A724,'Student Data'!$A$2:$AR$6,33,0),"")</f>
        <v/>
      </c>
      <c r="H724" t="str">
        <f>IFERROR(VLOOKUP($A724,'Student Data'!$A$2:$AR$6,34,0),"")</f>
        <v/>
      </c>
      <c r="I724" t="str">
        <f>IFERROR(VLOOKUP($A724,'Student Data'!$A$2:$AR$6,35,0),"")</f>
        <v/>
      </c>
      <c r="J724" t="str">
        <f>IFERROR(VLOOKUP($A724,'Student Data'!$A$2:$AR$6,36,0),"")</f>
        <v/>
      </c>
      <c r="K724" t="str">
        <f t="shared" si="22"/>
        <v/>
      </c>
      <c r="L724" t="str">
        <f t="shared" si="23"/>
        <v/>
      </c>
      <c r="M724" t="str">
        <f>IFERROR(IF($C724="","",SUMIFS(Ledger!$K$2:$K$4, Ledger!$B$2:$B$4, $A724, Ledger!$C$2:$C$4, M$2)),"****")</f>
        <v/>
      </c>
      <c r="N724" t="str">
        <f>IFERROR(IF($C724="","",SUMIFS(Ledger!$K$2:$K$4, Ledger!$B$2:$B$4, $A724, Ledger!$C$2:$C$4, N$2)),"****")</f>
        <v/>
      </c>
      <c r="O724" t="str">
        <f>IFERROR(IF($C724="","",SUMIFS(Ledger!$K$2:$K$4, Ledger!$B$2:$B$4, $A724, Ledger!$C$2:$C$4, O$2)),"****")</f>
        <v/>
      </c>
      <c r="P724" t="str">
        <f>IFERROR(IF($C724="","",SUMIFS(Ledger!$K$2:$K$4, Ledger!$B$2:$B$4, $A724, Ledger!$C$2:$C$4, P$2)),"****")</f>
        <v/>
      </c>
      <c r="Q724" t="str">
        <f>IFERROR(IF($C724="","",SUMIFS(Ledger!$K$2:$K$4, Ledger!$B$2:$B$4, $A724, Ledger!$C$2:$C$4, Q$2)),"****")</f>
        <v/>
      </c>
      <c r="R724" t="str">
        <f>IFERROR(IF($C724="","",SUMIFS(Ledger!$K$2:$K$4, Ledger!$B$2:$B$4, $A724, Ledger!$C$2:$C$4, R$2)),"****")</f>
        <v/>
      </c>
      <c r="S724" t="str">
        <f>IFERROR(IF($C724="","",SUMIFS(Ledger!$K$2:$K$4, Ledger!$B$2:$B$4, $A724, Ledger!$C$2:$C$4, S$2)),"****")</f>
        <v/>
      </c>
      <c r="T724" t="str">
        <f>IFERROR(IF($C724="","",SUMIFS(Ledger!$K$2:$K$4, Ledger!$B$2:$B$4, $A724, Ledger!$C$2:$C$4, T$2)),"****")</f>
        <v/>
      </c>
      <c r="U724" t="str">
        <f>IFERROR(IF($C724="","",SUMIFS(Ledger!$K$2:$K$4, Ledger!$B$2:$B$4, $A724, Ledger!$C$2:$C$4, U$2)),"****")</f>
        <v/>
      </c>
      <c r="V724" t="str">
        <f>IFERROR(IF($C724="","",SUMIFS(Ledger!$K$2:$K$4, Ledger!$B$2:$B$4, $A724, Ledger!$C$2:$C$4, V$2)),"****")</f>
        <v/>
      </c>
      <c r="W724" t="str">
        <f>IFERROR(IF($C724="","",SUMIFS(Ledger!$K$2:$K$4, Ledger!$B$2:$B$4, $A724, Ledger!$C$2:$C$4, W$2)),"****")</f>
        <v/>
      </c>
      <c r="X724" t="str">
        <f>IFERROR(IF($C724="","",SUMIFS(Ledger!$K$2:$K$4, Ledger!$B$2:$B$4, $A724, Ledger!$C$2:$C$4, X$2)),"****")</f>
        <v/>
      </c>
    </row>
    <row r="725" spans="1:24" x14ac:dyDescent="0.3">
      <c r="A725" s="106">
        <v>723</v>
      </c>
      <c r="B725" t="str">
        <f>IFERROR(VLOOKUP($A725, Ledger!$B$2:$L$8, 3, 0),"")</f>
        <v/>
      </c>
      <c r="C725" t="str">
        <f>IFERROR(VLOOKUP($A725, Ledger!$B$2:$L$8, 4, 0),"")</f>
        <v/>
      </c>
      <c r="D725" t="str">
        <f>IFERROR(VLOOKUP($A725, Ledger!$B$2:$L$8, 5, 0),"")</f>
        <v/>
      </c>
      <c r="E725" t="str">
        <f>IFERROR(VLOOKUP($A725, Ledger!$B$2:$L$8, 6, 0),"")</f>
        <v/>
      </c>
      <c r="F725" t="str">
        <f>IFERROR(VLOOKUP($A725,'Student Data'!$A$2:$AR$6,32,0),"")</f>
        <v/>
      </c>
      <c r="G725" t="str">
        <f>IFERROR(VLOOKUP($A725,'Student Data'!$A$2:$AR$6,33,0),"")</f>
        <v/>
      </c>
      <c r="H725" t="str">
        <f>IFERROR(VLOOKUP($A725,'Student Data'!$A$2:$AR$6,34,0),"")</f>
        <v/>
      </c>
      <c r="I725" t="str">
        <f>IFERROR(VLOOKUP($A725,'Student Data'!$A$2:$AR$6,35,0),"")</f>
        <v/>
      </c>
      <c r="J725" t="str">
        <f>IFERROR(VLOOKUP($A725,'Student Data'!$A$2:$AR$6,36,0),"")</f>
        <v/>
      </c>
      <c r="K725" t="str">
        <f t="shared" si="22"/>
        <v/>
      </c>
      <c r="L725" t="str">
        <f t="shared" si="23"/>
        <v/>
      </c>
      <c r="M725" t="str">
        <f>IFERROR(IF($C725="","",SUMIFS(Ledger!$K$2:$K$4, Ledger!$B$2:$B$4, $A725, Ledger!$C$2:$C$4, M$2)),"****")</f>
        <v/>
      </c>
      <c r="N725" t="str">
        <f>IFERROR(IF($C725="","",SUMIFS(Ledger!$K$2:$K$4, Ledger!$B$2:$B$4, $A725, Ledger!$C$2:$C$4, N$2)),"****")</f>
        <v/>
      </c>
      <c r="O725" t="str">
        <f>IFERROR(IF($C725="","",SUMIFS(Ledger!$K$2:$K$4, Ledger!$B$2:$B$4, $A725, Ledger!$C$2:$C$4, O$2)),"****")</f>
        <v/>
      </c>
      <c r="P725" t="str">
        <f>IFERROR(IF($C725="","",SUMIFS(Ledger!$K$2:$K$4, Ledger!$B$2:$B$4, $A725, Ledger!$C$2:$C$4, P$2)),"****")</f>
        <v/>
      </c>
      <c r="Q725" t="str">
        <f>IFERROR(IF($C725="","",SUMIFS(Ledger!$K$2:$K$4, Ledger!$B$2:$B$4, $A725, Ledger!$C$2:$C$4, Q$2)),"****")</f>
        <v/>
      </c>
      <c r="R725" t="str">
        <f>IFERROR(IF($C725="","",SUMIFS(Ledger!$K$2:$K$4, Ledger!$B$2:$B$4, $A725, Ledger!$C$2:$C$4, R$2)),"****")</f>
        <v/>
      </c>
      <c r="S725" t="str">
        <f>IFERROR(IF($C725="","",SUMIFS(Ledger!$K$2:$K$4, Ledger!$B$2:$B$4, $A725, Ledger!$C$2:$C$4, S$2)),"****")</f>
        <v/>
      </c>
      <c r="T725" t="str">
        <f>IFERROR(IF($C725="","",SUMIFS(Ledger!$K$2:$K$4, Ledger!$B$2:$B$4, $A725, Ledger!$C$2:$C$4, T$2)),"****")</f>
        <v/>
      </c>
      <c r="U725" t="str">
        <f>IFERROR(IF($C725="","",SUMIFS(Ledger!$K$2:$K$4, Ledger!$B$2:$B$4, $A725, Ledger!$C$2:$C$4, U$2)),"****")</f>
        <v/>
      </c>
      <c r="V725" t="str">
        <f>IFERROR(IF($C725="","",SUMIFS(Ledger!$K$2:$K$4, Ledger!$B$2:$B$4, $A725, Ledger!$C$2:$C$4, V$2)),"****")</f>
        <v/>
      </c>
      <c r="W725" t="str">
        <f>IFERROR(IF($C725="","",SUMIFS(Ledger!$K$2:$K$4, Ledger!$B$2:$B$4, $A725, Ledger!$C$2:$C$4, W$2)),"****")</f>
        <v/>
      </c>
      <c r="X725" t="str">
        <f>IFERROR(IF($C725="","",SUMIFS(Ledger!$K$2:$K$4, Ledger!$B$2:$B$4, $A725, Ledger!$C$2:$C$4, X$2)),"****")</f>
        <v/>
      </c>
    </row>
    <row r="726" spans="1:24" x14ac:dyDescent="0.3">
      <c r="A726" s="106">
        <v>724</v>
      </c>
      <c r="B726" t="str">
        <f>IFERROR(VLOOKUP($A726, Ledger!$B$2:$L$8, 3, 0),"")</f>
        <v/>
      </c>
      <c r="C726" t="str">
        <f>IFERROR(VLOOKUP($A726, Ledger!$B$2:$L$8, 4, 0),"")</f>
        <v/>
      </c>
      <c r="D726" t="str">
        <f>IFERROR(VLOOKUP($A726, Ledger!$B$2:$L$8, 5, 0),"")</f>
        <v/>
      </c>
      <c r="E726" t="str">
        <f>IFERROR(VLOOKUP($A726, Ledger!$B$2:$L$8, 6, 0),"")</f>
        <v/>
      </c>
      <c r="F726" t="str">
        <f>IFERROR(VLOOKUP($A726,'Student Data'!$A$2:$AR$6,32,0),"")</f>
        <v/>
      </c>
      <c r="G726" t="str">
        <f>IFERROR(VLOOKUP($A726,'Student Data'!$A$2:$AR$6,33,0),"")</f>
        <v/>
      </c>
      <c r="H726" t="str">
        <f>IFERROR(VLOOKUP($A726,'Student Data'!$A$2:$AR$6,34,0),"")</f>
        <v/>
      </c>
      <c r="I726" t="str">
        <f>IFERROR(VLOOKUP($A726,'Student Data'!$A$2:$AR$6,35,0),"")</f>
        <v/>
      </c>
      <c r="J726" t="str">
        <f>IFERROR(VLOOKUP($A726,'Student Data'!$A$2:$AR$6,36,0),"")</f>
        <v/>
      </c>
      <c r="K726" t="str">
        <f t="shared" si="22"/>
        <v/>
      </c>
      <c r="L726" t="str">
        <f t="shared" si="23"/>
        <v/>
      </c>
      <c r="M726" t="str">
        <f>IFERROR(IF($C726="","",SUMIFS(Ledger!$K$2:$K$4, Ledger!$B$2:$B$4, $A726, Ledger!$C$2:$C$4, M$2)),"****")</f>
        <v/>
      </c>
      <c r="N726" t="str">
        <f>IFERROR(IF($C726="","",SUMIFS(Ledger!$K$2:$K$4, Ledger!$B$2:$B$4, $A726, Ledger!$C$2:$C$4, N$2)),"****")</f>
        <v/>
      </c>
      <c r="O726" t="str">
        <f>IFERROR(IF($C726="","",SUMIFS(Ledger!$K$2:$K$4, Ledger!$B$2:$B$4, $A726, Ledger!$C$2:$C$4, O$2)),"****")</f>
        <v/>
      </c>
      <c r="P726" t="str">
        <f>IFERROR(IF($C726="","",SUMIFS(Ledger!$K$2:$K$4, Ledger!$B$2:$B$4, $A726, Ledger!$C$2:$C$4, P$2)),"****")</f>
        <v/>
      </c>
      <c r="Q726" t="str">
        <f>IFERROR(IF($C726="","",SUMIFS(Ledger!$K$2:$K$4, Ledger!$B$2:$B$4, $A726, Ledger!$C$2:$C$4, Q$2)),"****")</f>
        <v/>
      </c>
      <c r="R726" t="str">
        <f>IFERROR(IF($C726="","",SUMIFS(Ledger!$K$2:$K$4, Ledger!$B$2:$B$4, $A726, Ledger!$C$2:$C$4, R$2)),"****")</f>
        <v/>
      </c>
      <c r="S726" t="str">
        <f>IFERROR(IF($C726="","",SUMIFS(Ledger!$K$2:$K$4, Ledger!$B$2:$B$4, $A726, Ledger!$C$2:$C$4, S$2)),"****")</f>
        <v/>
      </c>
      <c r="T726" t="str">
        <f>IFERROR(IF($C726="","",SUMIFS(Ledger!$K$2:$K$4, Ledger!$B$2:$B$4, $A726, Ledger!$C$2:$C$4, T$2)),"****")</f>
        <v/>
      </c>
      <c r="U726" t="str">
        <f>IFERROR(IF($C726="","",SUMIFS(Ledger!$K$2:$K$4, Ledger!$B$2:$B$4, $A726, Ledger!$C$2:$C$4, U$2)),"****")</f>
        <v/>
      </c>
      <c r="V726" t="str">
        <f>IFERROR(IF($C726="","",SUMIFS(Ledger!$K$2:$K$4, Ledger!$B$2:$B$4, $A726, Ledger!$C$2:$C$4, V$2)),"****")</f>
        <v/>
      </c>
      <c r="W726" t="str">
        <f>IFERROR(IF($C726="","",SUMIFS(Ledger!$K$2:$K$4, Ledger!$B$2:$B$4, $A726, Ledger!$C$2:$C$4, W$2)),"****")</f>
        <v/>
      </c>
      <c r="X726" t="str">
        <f>IFERROR(IF($C726="","",SUMIFS(Ledger!$K$2:$K$4, Ledger!$B$2:$B$4, $A726, Ledger!$C$2:$C$4, X$2)),"****")</f>
        <v/>
      </c>
    </row>
    <row r="727" spans="1:24" x14ac:dyDescent="0.3">
      <c r="A727" s="106">
        <v>725</v>
      </c>
      <c r="B727" t="str">
        <f>IFERROR(VLOOKUP($A727, Ledger!$B$2:$L$8, 3, 0),"")</f>
        <v/>
      </c>
      <c r="C727" t="str">
        <f>IFERROR(VLOOKUP($A727, Ledger!$B$2:$L$8, 4, 0),"")</f>
        <v/>
      </c>
      <c r="D727" t="str">
        <f>IFERROR(VLOOKUP($A727, Ledger!$B$2:$L$8, 5, 0),"")</f>
        <v/>
      </c>
      <c r="E727" t="str">
        <f>IFERROR(VLOOKUP($A727, Ledger!$B$2:$L$8, 6, 0),"")</f>
        <v/>
      </c>
      <c r="F727" t="str">
        <f>IFERROR(VLOOKUP($A727,'Student Data'!$A$2:$AR$6,32,0),"")</f>
        <v/>
      </c>
      <c r="G727" t="str">
        <f>IFERROR(VLOOKUP($A727,'Student Data'!$A$2:$AR$6,33,0),"")</f>
        <v/>
      </c>
      <c r="H727" t="str">
        <f>IFERROR(VLOOKUP($A727,'Student Data'!$A$2:$AR$6,34,0),"")</f>
        <v/>
      </c>
      <c r="I727" t="str">
        <f>IFERROR(VLOOKUP($A727,'Student Data'!$A$2:$AR$6,35,0),"")</f>
        <v/>
      </c>
      <c r="J727" t="str">
        <f>IFERROR(VLOOKUP($A727,'Student Data'!$A$2:$AR$6,36,0),"")</f>
        <v/>
      </c>
      <c r="K727" t="str">
        <f t="shared" si="22"/>
        <v/>
      </c>
      <c r="L727" t="str">
        <f t="shared" si="23"/>
        <v/>
      </c>
      <c r="M727" t="str">
        <f>IFERROR(IF($C727="","",SUMIFS(Ledger!$K$2:$K$4, Ledger!$B$2:$B$4, $A727, Ledger!$C$2:$C$4, M$2)),"****")</f>
        <v/>
      </c>
      <c r="N727" t="str">
        <f>IFERROR(IF($C727="","",SUMIFS(Ledger!$K$2:$K$4, Ledger!$B$2:$B$4, $A727, Ledger!$C$2:$C$4, N$2)),"****")</f>
        <v/>
      </c>
      <c r="O727" t="str">
        <f>IFERROR(IF($C727="","",SUMIFS(Ledger!$K$2:$K$4, Ledger!$B$2:$B$4, $A727, Ledger!$C$2:$C$4, O$2)),"****")</f>
        <v/>
      </c>
      <c r="P727" t="str">
        <f>IFERROR(IF($C727="","",SUMIFS(Ledger!$K$2:$K$4, Ledger!$B$2:$B$4, $A727, Ledger!$C$2:$C$4, P$2)),"****")</f>
        <v/>
      </c>
      <c r="Q727" t="str">
        <f>IFERROR(IF($C727="","",SUMIFS(Ledger!$K$2:$K$4, Ledger!$B$2:$B$4, $A727, Ledger!$C$2:$C$4, Q$2)),"****")</f>
        <v/>
      </c>
      <c r="R727" t="str">
        <f>IFERROR(IF($C727="","",SUMIFS(Ledger!$K$2:$K$4, Ledger!$B$2:$B$4, $A727, Ledger!$C$2:$C$4, R$2)),"****")</f>
        <v/>
      </c>
      <c r="S727" t="str">
        <f>IFERROR(IF($C727="","",SUMIFS(Ledger!$K$2:$K$4, Ledger!$B$2:$B$4, $A727, Ledger!$C$2:$C$4, S$2)),"****")</f>
        <v/>
      </c>
      <c r="T727" t="str">
        <f>IFERROR(IF($C727="","",SUMIFS(Ledger!$K$2:$K$4, Ledger!$B$2:$B$4, $A727, Ledger!$C$2:$C$4, T$2)),"****")</f>
        <v/>
      </c>
      <c r="U727" t="str">
        <f>IFERROR(IF($C727="","",SUMIFS(Ledger!$K$2:$K$4, Ledger!$B$2:$B$4, $A727, Ledger!$C$2:$C$4, U$2)),"****")</f>
        <v/>
      </c>
      <c r="V727" t="str">
        <f>IFERROR(IF($C727="","",SUMIFS(Ledger!$K$2:$K$4, Ledger!$B$2:$B$4, $A727, Ledger!$C$2:$C$4, V$2)),"****")</f>
        <v/>
      </c>
      <c r="W727" t="str">
        <f>IFERROR(IF($C727="","",SUMIFS(Ledger!$K$2:$K$4, Ledger!$B$2:$B$4, $A727, Ledger!$C$2:$C$4, W$2)),"****")</f>
        <v/>
      </c>
      <c r="X727" t="str">
        <f>IFERROR(IF($C727="","",SUMIFS(Ledger!$K$2:$K$4, Ledger!$B$2:$B$4, $A727, Ledger!$C$2:$C$4, X$2)),"****")</f>
        <v/>
      </c>
    </row>
    <row r="728" spans="1:24" x14ac:dyDescent="0.3">
      <c r="A728" s="106">
        <v>726</v>
      </c>
      <c r="B728" t="str">
        <f>IFERROR(VLOOKUP($A728, Ledger!$B$2:$L$8, 3, 0),"")</f>
        <v/>
      </c>
      <c r="C728" t="str">
        <f>IFERROR(VLOOKUP($A728, Ledger!$B$2:$L$8, 4, 0),"")</f>
        <v/>
      </c>
      <c r="D728" t="str">
        <f>IFERROR(VLOOKUP($A728, Ledger!$B$2:$L$8, 5, 0),"")</f>
        <v/>
      </c>
      <c r="E728" t="str">
        <f>IFERROR(VLOOKUP($A728, Ledger!$B$2:$L$8, 6, 0),"")</f>
        <v/>
      </c>
      <c r="F728" t="str">
        <f>IFERROR(VLOOKUP($A728,'Student Data'!$A$2:$AR$6,32,0),"")</f>
        <v/>
      </c>
      <c r="G728" t="str">
        <f>IFERROR(VLOOKUP($A728,'Student Data'!$A$2:$AR$6,33,0),"")</f>
        <v/>
      </c>
      <c r="H728" t="str">
        <f>IFERROR(VLOOKUP($A728,'Student Data'!$A$2:$AR$6,34,0),"")</f>
        <v/>
      </c>
      <c r="I728" t="str">
        <f>IFERROR(VLOOKUP($A728,'Student Data'!$A$2:$AR$6,35,0),"")</f>
        <v/>
      </c>
      <c r="J728" t="str">
        <f>IFERROR(VLOOKUP($A728,'Student Data'!$A$2:$AR$6,36,0),"")</f>
        <v/>
      </c>
      <c r="K728" t="str">
        <f t="shared" si="22"/>
        <v/>
      </c>
      <c r="L728" t="str">
        <f t="shared" si="23"/>
        <v/>
      </c>
      <c r="M728" t="str">
        <f>IFERROR(IF($C728="","",SUMIFS(Ledger!$K$2:$K$4, Ledger!$B$2:$B$4, $A728, Ledger!$C$2:$C$4, M$2)),"****")</f>
        <v/>
      </c>
      <c r="N728" t="str">
        <f>IFERROR(IF($C728="","",SUMIFS(Ledger!$K$2:$K$4, Ledger!$B$2:$B$4, $A728, Ledger!$C$2:$C$4, N$2)),"****")</f>
        <v/>
      </c>
      <c r="O728" t="str">
        <f>IFERROR(IF($C728="","",SUMIFS(Ledger!$K$2:$K$4, Ledger!$B$2:$B$4, $A728, Ledger!$C$2:$C$4, O$2)),"****")</f>
        <v/>
      </c>
      <c r="P728" t="str">
        <f>IFERROR(IF($C728="","",SUMIFS(Ledger!$K$2:$K$4, Ledger!$B$2:$B$4, $A728, Ledger!$C$2:$C$4, P$2)),"****")</f>
        <v/>
      </c>
      <c r="Q728" t="str">
        <f>IFERROR(IF($C728="","",SUMIFS(Ledger!$K$2:$K$4, Ledger!$B$2:$B$4, $A728, Ledger!$C$2:$C$4, Q$2)),"****")</f>
        <v/>
      </c>
      <c r="R728" t="str">
        <f>IFERROR(IF($C728="","",SUMIFS(Ledger!$K$2:$K$4, Ledger!$B$2:$B$4, $A728, Ledger!$C$2:$C$4, R$2)),"****")</f>
        <v/>
      </c>
      <c r="S728" t="str">
        <f>IFERROR(IF($C728="","",SUMIFS(Ledger!$K$2:$K$4, Ledger!$B$2:$B$4, $A728, Ledger!$C$2:$C$4, S$2)),"****")</f>
        <v/>
      </c>
      <c r="T728" t="str">
        <f>IFERROR(IF($C728="","",SUMIFS(Ledger!$K$2:$K$4, Ledger!$B$2:$B$4, $A728, Ledger!$C$2:$C$4, T$2)),"****")</f>
        <v/>
      </c>
      <c r="U728" t="str">
        <f>IFERROR(IF($C728="","",SUMIFS(Ledger!$K$2:$K$4, Ledger!$B$2:$B$4, $A728, Ledger!$C$2:$C$4, U$2)),"****")</f>
        <v/>
      </c>
      <c r="V728" t="str">
        <f>IFERROR(IF($C728="","",SUMIFS(Ledger!$K$2:$K$4, Ledger!$B$2:$B$4, $A728, Ledger!$C$2:$C$4, V$2)),"****")</f>
        <v/>
      </c>
      <c r="W728" t="str">
        <f>IFERROR(IF($C728="","",SUMIFS(Ledger!$K$2:$K$4, Ledger!$B$2:$B$4, $A728, Ledger!$C$2:$C$4, W$2)),"****")</f>
        <v/>
      </c>
      <c r="X728" t="str">
        <f>IFERROR(IF($C728="","",SUMIFS(Ledger!$K$2:$K$4, Ledger!$B$2:$B$4, $A728, Ledger!$C$2:$C$4, X$2)),"****")</f>
        <v/>
      </c>
    </row>
    <row r="729" spans="1:24" x14ac:dyDescent="0.3">
      <c r="A729" s="106">
        <v>727</v>
      </c>
      <c r="B729" t="str">
        <f>IFERROR(VLOOKUP($A729, Ledger!$B$2:$L$8, 3, 0),"")</f>
        <v/>
      </c>
      <c r="C729" t="str">
        <f>IFERROR(VLOOKUP($A729, Ledger!$B$2:$L$8, 4, 0),"")</f>
        <v/>
      </c>
      <c r="D729" t="str">
        <f>IFERROR(VLOOKUP($A729, Ledger!$B$2:$L$8, 5, 0),"")</f>
        <v/>
      </c>
      <c r="E729" t="str">
        <f>IFERROR(VLOOKUP($A729, Ledger!$B$2:$L$8, 6, 0),"")</f>
        <v/>
      </c>
      <c r="F729" t="str">
        <f>IFERROR(VLOOKUP($A729,'Student Data'!$A$2:$AR$6,32,0),"")</f>
        <v/>
      </c>
      <c r="G729" t="str">
        <f>IFERROR(VLOOKUP($A729,'Student Data'!$A$2:$AR$6,33,0),"")</f>
        <v/>
      </c>
      <c r="H729" t="str">
        <f>IFERROR(VLOOKUP($A729,'Student Data'!$A$2:$AR$6,34,0),"")</f>
        <v/>
      </c>
      <c r="I729" t="str">
        <f>IFERROR(VLOOKUP($A729,'Student Data'!$A$2:$AR$6,35,0),"")</f>
        <v/>
      </c>
      <c r="J729" t="str">
        <f>IFERROR(VLOOKUP($A729,'Student Data'!$A$2:$AR$6,36,0),"")</f>
        <v/>
      </c>
      <c r="K729" t="str">
        <f t="shared" si="22"/>
        <v/>
      </c>
      <c r="L729" t="str">
        <f t="shared" si="23"/>
        <v/>
      </c>
      <c r="M729" t="str">
        <f>IFERROR(IF($C729="","",SUMIFS(Ledger!$K$2:$K$4, Ledger!$B$2:$B$4, $A729, Ledger!$C$2:$C$4, M$2)),"****")</f>
        <v/>
      </c>
      <c r="N729" t="str">
        <f>IFERROR(IF($C729="","",SUMIFS(Ledger!$K$2:$K$4, Ledger!$B$2:$B$4, $A729, Ledger!$C$2:$C$4, N$2)),"****")</f>
        <v/>
      </c>
      <c r="O729" t="str">
        <f>IFERROR(IF($C729="","",SUMIFS(Ledger!$K$2:$K$4, Ledger!$B$2:$B$4, $A729, Ledger!$C$2:$C$4, O$2)),"****")</f>
        <v/>
      </c>
      <c r="P729" t="str">
        <f>IFERROR(IF($C729="","",SUMIFS(Ledger!$K$2:$K$4, Ledger!$B$2:$B$4, $A729, Ledger!$C$2:$C$4, P$2)),"****")</f>
        <v/>
      </c>
      <c r="Q729" t="str">
        <f>IFERROR(IF($C729="","",SUMIFS(Ledger!$K$2:$K$4, Ledger!$B$2:$B$4, $A729, Ledger!$C$2:$C$4, Q$2)),"****")</f>
        <v/>
      </c>
      <c r="R729" t="str">
        <f>IFERROR(IF($C729="","",SUMIFS(Ledger!$K$2:$K$4, Ledger!$B$2:$B$4, $A729, Ledger!$C$2:$C$4, R$2)),"****")</f>
        <v/>
      </c>
      <c r="S729" t="str">
        <f>IFERROR(IF($C729="","",SUMIFS(Ledger!$K$2:$K$4, Ledger!$B$2:$B$4, $A729, Ledger!$C$2:$C$4, S$2)),"****")</f>
        <v/>
      </c>
      <c r="T729" t="str">
        <f>IFERROR(IF($C729="","",SUMIFS(Ledger!$K$2:$K$4, Ledger!$B$2:$B$4, $A729, Ledger!$C$2:$C$4, T$2)),"****")</f>
        <v/>
      </c>
      <c r="U729" t="str">
        <f>IFERROR(IF($C729="","",SUMIFS(Ledger!$K$2:$K$4, Ledger!$B$2:$B$4, $A729, Ledger!$C$2:$C$4, U$2)),"****")</f>
        <v/>
      </c>
      <c r="V729" t="str">
        <f>IFERROR(IF($C729="","",SUMIFS(Ledger!$K$2:$K$4, Ledger!$B$2:$B$4, $A729, Ledger!$C$2:$C$4, V$2)),"****")</f>
        <v/>
      </c>
      <c r="W729" t="str">
        <f>IFERROR(IF($C729="","",SUMIFS(Ledger!$K$2:$K$4, Ledger!$B$2:$B$4, $A729, Ledger!$C$2:$C$4, W$2)),"****")</f>
        <v/>
      </c>
      <c r="X729" t="str">
        <f>IFERROR(IF($C729="","",SUMIFS(Ledger!$K$2:$K$4, Ledger!$B$2:$B$4, $A729, Ledger!$C$2:$C$4, X$2)),"****")</f>
        <v/>
      </c>
    </row>
    <row r="730" spans="1:24" x14ac:dyDescent="0.3">
      <c r="A730" s="106">
        <v>728</v>
      </c>
      <c r="B730" t="str">
        <f>IFERROR(VLOOKUP($A730, Ledger!$B$2:$L$8, 3, 0),"")</f>
        <v/>
      </c>
      <c r="C730" t="str">
        <f>IFERROR(VLOOKUP($A730, Ledger!$B$2:$L$8, 4, 0),"")</f>
        <v/>
      </c>
      <c r="D730" t="str">
        <f>IFERROR(VLOOKUP($A730, Ledger!$B$2:$L$8, 5, 0),"")</f>
        <v/>
      </c>
      <c r="E730" t="str">
        <f>IFERROR(VLOOKUP($A730, Ledger!$B$2:$L$8, 6, 0),"")</f>
        <v/>
      </c>
      <c r="F730" t="str">
        <f>IFERROR(VLOOKUP($A730,'Student Data'!$A$2:$AR$6,32,0),"")</f>
        <v/>
      </c>
      <c r="G730" t="str">
        <f>IFERROR(VLOOKUP($A730,'Student Data'!$A$2:$AR$6,33,0),"")</f>
        <v/>
      </c>
      <c r="H730" t="str">
        <f>IFERROR(VLOOKUP($A730,'Student Data'!$A$2:$AR$6,34,0),"")</f>
        <v/>
      </c>
      <c r="I730" t="str">
        <f>IFERROR(VLOOKUP($A730,'Student Data'!$A$2:$AR$6,35,0),"")</f>
        <v/>
      </c>
      <c r="J730" t="str">
        <f>IFERROR(VLOOKUP($A730,'Student Data'!$A$2:$AR$6,36,0),"")</f>
        <v/>
      </c>
      <c r="K730" t="str">
        <f t="shared" si="22"/>
        <v/>
      </c>
      <c r="L730" t="str">
        <f t="shared" si="23"/>
        <v/>
      </c>
      <c r="M730" t="str">
        <f>IFERROR(IF($C730="","",SUMIFS(Ledger!$K$2:$K$4, Ledger!$B$2:$B$4, $A730, Ledger!$C$2:$C$4, M$2)),"****")</f>
        <v/>
      </c>
      <c r="N730" t="str">
        <f>IFERROR(IF($C730="","",SUMIFS(Ledger!$K$2:$K$4, Ledger!$B$2:$B$4, $A730, Ledger!$C$2:$C$4, N$2)),"****")</f>
        <v/>
      </c>
      <c r="O730" t="str">
        <f>IFERROR(IF($C730="","",SUMIFS(Ledger!$K$2:$K$4, Ledger!$B$2:$B$4, $A730, Ledger!$C$2:$C$4, O$2)),"****")</f>
        <v/>
      </c>
      <c r="P730" t="str">
        <f>IFERROR(IF($C730="","",SUMIFS(Ledger!$K$2:$K$4, Ledger!$B$2:$B$4, $A730, Ledger!$C$2:$C$4, P$2)),"****")</f>
        <v/>
      </c>
      <c r="Q730" t="str">
        <f>IFERROR(IF($C730="","",SUMIFS(Ledger!$K$2:$K$4, Ledger!$B$2:$B$4, $A730, Ledger!$C$2:$C$4, Q$2)),"****")</f>
        <v/>
      </c>
      <c r="R730" t="str">
        <f>IFERROR(IF($C730="","",SUMIFS(Ledger!$K$2:$K$4, Ledger!$B$2:$B$4, $A730, Ledger!$C$2:$C$4, R$2)),"****")</f>
        <v/>
      </c>
      <c r="S730" t="str">
        <f>IFERROR(IF($C730="","",SUMIFS(Ledger!$K$2:$K$4, Ledger!$B$2:$B$4, $A730, Ledger!$C$2:$C$4, S$2)),"****")</f>
        <v/>
      </c>
      <c r="T730" t="str">
        <f>IFERROR(IF($C730="","",SUMIFS(Ledger!$K$2:$K$4, Ledger!$B$2:$B$4, $A730, Ledger!$C$2:$C$4, T$2)),"****")</f>
        <v/>
      </c>
      <c r="U730" t="str">
        <f>IFERROR(IF($C730="","",SUMIFS(Ledger!$K$2:$K$4, Ledger!$B$2:$B$4, $A730, Ledger!$C$2:$C$4, U$2)),"****")</f>
        <v/>
      </c>
      <c r="V730" t="str">
        <f>IFERROR(IF($C730="","",SUMIFS(Ledger!$K$2:$K$4, Ledger!$B$2:$B$4, $A730, Ledger!$C$2:$C$4, V$2)),"****")</f>
        <v/>
      </c>
      <c r="W730" t="str">
        <f>IFERROR(IF($C730="","",SUMIFS(Ledger!$K$2:$K$4, Ledger!$B$2:$B$4, $A730, Ledger!$C$2:$C$4, W$2)),"****")</f>
        <v/>
      </c>
      <c r="X730" t="str">
        <f>IFERROR(IF($C730="","",SUMIFS(Ledger!$K$2:$K$4, Ledger!$B$2:$B$4, $A730, Ledger!$C$2:$C$4, X$2)),"****")</f>
        <v/>
      </c>
    </row>
    <row r="731" spans="1:24" x14ac:dyDescent="0.3">
      <c r="A731" s="106">
        <v>729</v>
      </c>
      <c r="B731" t="str">
        <f>IFERROR(VLOOKUP($A731, Ledger!$B$2:$L$8, 3, 0),"")</f>
        <v/>
      </c>
      <c r="C731" t="str">
        <f>IFERROR(VLOOKUP($A731, Ledger!$B$2:$L$8, 4, 0),"")</f>
        <v/>
      </c>
      <c r="D731" t="str">
        <f>IFERROR(VLOOKUP($A731, Ledger!$B$2:$L$8, 5, 0),"")</f>
        <v/>
      </c>
      <c r="E731" t="str">
        <f>IFERROR(VLOOKUP($A731, Ledger!$B$2:$L$8, 6, 0),"")</f>
        <v/>
      </c>
      <c r="F731" t="str">
        <f>IFERROR(VLOOKUP($A731,'Student Data'!$A$2:$AR$6,32,0),"")</f>
        <v/>
      </c>
      <c r="G731" t="str">
        <f>IFERROR(VLOOKUP($A731,'Student Data'!$A$2:$AR$6,33,0),"")</f>
        <v/>
      </c>
      <c r="H731" t="str">
        <f>IFERROR(VLOOKUP($A731,'Student Data'!$A$2:$AR$6,34,0),"")</f>
        <v/>
      </c>
      <c r="I731" t="str">
        <f>IFERROR(VLOOKUP($A731,'Student Data'!$A$2:$AR$6,35,0),"")</f>
        <v/>
      </c>
      <c r="J731" t="str">
        <f>IFERROR(VLOOKUP($A731,'Student Data'!$A$2:$AR$6,36,0),"")</f>
        <v/>
      </c>
      <c r="K731" t="str">
        <f t="shared" si="22"/>
        <v/>
      </c>
      <c r="L731" t="str">
        <f t="shared" si="23"/>
        <v/>
      </c>
      <c r="M731" t="str">
        <f>IFERROR(IF($C731="","",SUMIFS(Ledger!$K$2:$K$4, Ledger!$B$2:$B$4, $A731, Ledger!$C$2:$C$4, M$2)),"****")</f>
        <v/>
      </c>
      <c r="N731" t="str">
        <f>IFERROR(IF($C731="","",SUMIFS(Ledger!$K$2:$K$4, Ledger!$B$2:$B$4, $A731, Ledger!$C$2:$C$4, N$2)),"****")</f>
        <v/>
      </c>
      <c r="O731" t="str">
        <f>IFERROR(IF($C731="","",SUMIFS(Ledger!$K$2:$K$4, Ledger!$B$2:$B$4, $A731, Ledger!$C$2:$C$4, O$2)),"****")</f>
        <v/>
      </c>
      <c r="P731" t="str">
        <f>IFERROR(IF($C731="","",SUMIFS(Ledger!$K$2:$K$4, Ledger!$B$2:$B$4, $A731, Ledger!$C$2:$C$4, P$2)),"****")</f>
        <v/>
      </c>
      <c r="Q731" t="str">
        <f>IFERROR(IF($C731="","",SUMIFS(Ledger!$K$2:$K$4, Ledger!$B$2:$B$4, $A731, Ledger!$C$2:$C$4, Q$2)),"****")</f>
        <v/>
      </c>
      <c r="R731" t="str">
        <f>IFERROR(IF($C731="","",SUMIFS(Ledger!$K$2:$K$4, Ledger!$B$2:$B$4, $A731, Ledger!$C$2:$C$4, R$2)),"****")</f>
        <v/>
      </c>
      <c r="S731" t="str">
        <f>IFERROR(IF($C731="","",SUMIFS(Ledger!$K$2:$K$4, Ledger!$B$2:$B$4, $A731, Ledger!$C$2:$C$4, S$2)),"****")</f>
        <v/>
      </c>
      <c r="T731" t="str">
        <f>IFERROR(IF($C731="","",SUMIFS(Ledger!$K$2:$K$4, Ledger!$B$2:$B$4, $A731, Ledger!$C$2:$C$4, T$2)),"****")</f>
        <v/>
      </c>
      <c r="U731" t="str">
        <f>IFERROR(IF($C731="","",SUMIFS(Ledger!$K$2:$K$4, Ledger!$B$2:$B$4, $A731, Ledger!$C$2:$C$4, U$2)),"****")</f>
        <v/>
      </c>
      <c r="V731" t="str">
        <f>IFERROR(IF($C731="","",SUMIFS(Ledger!$K$2:$K$4, Ledger!$B$2:$B$4, $A731, Ledger!$C$2:$C$4, V$2)),"****")</f>
        <v/>
      </c>
      <c r="W731" t="str">
        <f>IFERROR(IF($C731="","",SUMIFS(Ledger!$K$2:$K$4, Ledger!$B$2:$B$4, $A731, Ledger!$C$2:$C$4, W$2)),"****")</f>
        <v/>
      </c>
      <c r="X731" t="str">
        <f>IFERROR(IF($C731="","",SUMIFS(Ledger!$K$2:$K$4, Ledger!$B$2:$B$4, $A731, Ledger!$C$2:$C$4, X$2)),"****")</f>
        <v/>
      </c>
    </row>
    <row r="732" spans="1:24" x14ac:dyDescent="0.3">
      <c r="A732" s="106">
        <v>730</v>
      </c>
      <c r="B732" t="str">
        <f>IFERROR(VLOOKUP($A732, Ledger!$B$2:$L$8, 3, 0),"")</f>
        <v/>
      </c>
      <c r="C732" t="str">
        <f>IFERROR(VLOOKUP($A732, Ledger!$B$2:$L$8, 4, 0),"")</f>
        <v/>
      </c>
      <c r="D732" t="str">
        <f>IFERROR(VLOOKUP($A732, Ledger!$B$2:$L$8, 5, 0),"")</f>
        <v/>
      </c>
      <c r="E732" t="str">
        <f>IFERROR(VLOOKUP($A732, Ledger!$B$2:$L$8, 6, 0),"")</f>
        <v/>
      </c>
      <c r="F732" t="str">
        <f>IFERROR(VLOOKUP($A732,'Student Data'!$A$2:$AR$6,32,0),"")</f>
        <v/>
      </c>
      <c r="G732" t="str">
        <f>IFERROR(VLOOKUP($A732,'Student Data'!$A$2:$AR$6,33,0),"")</f>
        <v/>
      </c>
      <c r="H732" t="str">
        <f>IFERROR(VLOOKUP($A732,'Student Data'!$A$2:$AR$6,34,0),"")</f>
        <v/>
      </c>
      <c r="I732" t="str">
        <f>IFERROR(VLOOKUP($A732,'Student Data'!$A$2:$AR$6,35,0),"")</f>
        <v/>
      </c>
      <c r="J732" t="str">
        <f>IFERROR(VLOOKUP($A732,'Student Data'!$A$2:$AR$6,36,0),"")</f>
        <v/>
      </c>
      <c r="K732" t="str">
        <f t="shared" si="22"/>
        <v/>
      </c>
      <c r="L732" t="str">
        <f t="shared" si="23"/>
        <v/>
      </c>
      <c r="M732" t="str">
        <f>IFERROR(IF($C732="","",SUMIFS(Ledger!$K$2:$K$4, Ledger!$B$2:$B$4, $A732, Ledger!$C$2:$C$4, M$2)),"****")</f>
        <v/>
      </c>
      <c r="N732" t="str">
        <f>IFERROR(IF($C732="","",SUMIFS(Ledger!$K$2:$K$4, Ledger!$B$2:$B$4, $A732, Ledger!$C$2:$C$4, N$2)),"****")</f>
        <v/>
      </c>
      <c r="O732" t="str">
        <f>IFERROR(IF($C732="","",SUMIFS(Ledger!$K$2:$K$4, Ledger!$B$2:$B$4, $A732, Ledger!$C$2:$C$4, O$2)),"****")</f>
        <v/>
      </c>
      <c r="P732" t="str">
        <f>IFERROR(IF($C732="","",SUMIFS(Ledger!$K$2:$K$4, Ledger!$B$2:$B$4, $A732, Ledger!$C$2:$C$4, P$2)),"****")</f>
        <v/>
      </c>
      <c r="Q732" t="str">
        <f>IFERROR(IF($C732="","",SUMIFS(Ledger!$K$2:$K$4, Ledger!$B$2:$B$4, $A732, Ledger!$C$2:$C$4, Q$2)),"****")</f>
        <v/>
      </c>
      <c r="R732" t="str">
        <f>IFERROR(IF($C732="","",SUMIFS(Ledger!$K$2:$K$4, Ledger!$B$2:$B$4, $A732, Ledger!$C$2:$C$4, R$2)),"****")</f>
        <v/>
      </c>
      <c r="S732" t="str">
        <f>IFERROR(IF($C732="","",SUMIFS(Ledger!$K$2:$K$4, Ledger!$B$2:$B$4, $A732, Ledger!$C$2:$C$4, S$2)),"****")</f>
        <v/>
      </c>
      <c r="T732" t="str">
        <f>IFERROR(IF($C732="","",SUMIFS(Ledger!$K$2:$K$4, Ledger!$B$2:$B$4, $A732, Ledger!$C$2:$C$4, T$2)),"****")</f>
        <v/>
      </c>
      <c r="U732" t="str">
        <f>IFERROR(IF($C732="","",SUMIFS(Ledger!$K$2:$K$4, Ledger!$B$2:$B$4, $A732, Ledger!$C$2:$C$4, U$2)),"****")</f>
        <v/>
      </c>
      <c r="V732" t="str">
        <f>IFERROR(IF($C732="","",SUMIFS(Ledger!$K$2:$K$4, Ledger!$B$2:$B$4, $A732, Ledger!$C$2:$C$4, V$2)),"****")</f>
        <v/>
      </c>
      <c r="W732" t="str">
        <f>IFERROR(IF($C732="","",SUMIFS(Ledger!$K$2:$K$4, Ledger!$B$2:$B$4, $A732, Ledger!$C$2:$C$4, W$2)),"****")</f>
        <v/>
      </c>
      <c r="X732" t="str">
        <f>IFERROR(IF($C732="","",SUMIFS(Ledger!$K$2:$K$4, Ledger!$B$2:$B$4, $A732, Ledger!$C$2:$C$4, X$2)),"****")</f>
        <v/>
      </c>
    </row>
    <row r="733" spans="1:24" x14ac:dyDescent="0.3">
      <c r="A733" s="106">
        <v>731</v>
      </c>
      <c r="B733" t="str">
        <f>IFERROR(VLOOKUP($A733, Ledger!$B$2:$L$8, 3, 0),"")</f>
        <v/>
      </c>
      <c r="C733" t="str">
        <f>IFERROR(VLOOKUP($A733, Ledger!$B$2:$L$8, 4, 0),"")</f>
        <v/>
      </c>
      <c r="D733" t="str">
        <f>IFERROR(VLOOKUP($A733, Ledger!$B$2:$L$8, 5, 0),"")</f>
        <v/>
      </c>
      <c r="E733" t="str">
        <f>IFERROR(VLOOKUP($A733, Ledger!$B$2:$L$8, 6, 0),"")</f>
        <v/>
      </c>
      <c r="F733" t="str">
        <f>IFERROR(VLOOKUP($A733,'Student Data'!$A$2:$AR$6,32,0),"")</f>
        <v/>
      </c>
      <c r="G733" t="str">
        <f>IFERROR(VLOOKUP($A733,'Student Data'!$A$2:$AR$6,33,0),"")</f>
        <v/>
      </c>
      <c r="H733" t="str">
        <f>IFERROR(VLOOKUP($A733,'Student Data'!$A$2:$AR$6,34,0),"")</f>
        <v/>
      </c>
      <c r="I733" t="str">
        <f>IFERROR(VLOOKUP($A733,'Student Data'!$A$2:$AR$6,35,0),"")</f>
        <v/>
      </c>
      <c r="J733" t="str">
        <f>IFERROR(VLOOKUP($A733,'Student Data'!$A$2:$AR$6,36,0),"")</f>
        <v/>
      </c>
      <c r="K733" t="str">
        <f t="shared" si="22"/>
        <v/>
      </c>
      <c r="L733" t="str">
        <f t="shared" si="23"/>
        <v/>
      </c>
      <c r="M733" t="str">
        <f>IFERROR(IF($C733="","",SUMIFS(Ledger!$K$2:$K$4, Ledger!$B$2:$B$4, $A733, Ledger!$C$2:$C$4, M$2)),"****")</f>
        <v/>
      </c>
      <c r="N733" t="str">
        <f>IFERROR(IF($C733="","",SUMIFS(Ledger!$K$2:$K$4, Ledger!$B$2:$B$4, $A733, Ledger!$C$2:$C$4, N$2)),"****")</f>
        <v/>
      </c>
      <c r="O733" t="str">
        <f>IFERROR(IF($C733="","",SUMIFS(Ledger!$K$2:$K$4, Ledger!$B$2:$B$4, $A733, Ledger!$C$2:$C$4, O$2)),"****")</f>
        <v/>
      </c>
      <c r="P733" t="str">
        <f>IFERROR(IF($C733="","",SUMIFS(Ledger!$K$2:$K$4, Ledger!$B$2:$B$4, $A733, Ledger!$C$2:$C$4, P$2)),"****")</f>
        <v/>
      </c>
      <c r="Q733" t="str">
        <f>IFERROR(IF($C733="","",SUMIFS(Ledger!$K$2:$K$4, Ledger!$B$2:$B$4, $A733, Ledger!$C$2:$C$4, Q$2)),"****")</f>
        <v/>
      </c>
      <c r="R733" t="str">
        <f>IFERROR(IF($C733="","",SUMIFS(Ledger!$K$2:$K$4, Ledger!$B$2:$B$4, $A733, Ledger!$C$2:$C$4, R$2)),"****")</f>
        <v/>
      </c>
      <c r="S733" t="str">
        <f>IFERROR(IF($C733="","",SUMIFS(Ledger!$K$2:$K$4, Ledger!$B$2:$B$4, $A733, Ledger!$C$2:$C$4, S$2)),"****")</f>
        <v/>
      </c>
      <c r="T733" t="str">
        <f>IFERROR(IF($C733="","",SUMIFS(Ledger!$K$2:$K$4, Ledger!$B$2:$B$4, $A733, Ledger!$C$2:$C$4, T$2)),"****")</f>
        <v/>
      </c>
      <c r="U733" t="str">
        <f>IFERROR(IF($C733="","",SUMIFS(Ledger!$K$2:$K$4, Ledger!$B$2:$B$4, $A733, Ledger!$C$2:$C$4, U$2)),"****")</f>
        <v/>
      </c>
      <c r="V733" t="str">
        <f>IFERROR(IF($C733="","",SUMIFS(Ledger!$K$2:$K$4, Ledger!$B$2:$B$4, $A733, Ledger!$C$2:$C$4, V$2)),"****")</f>
        <v/>
      </c>
      <c r="W733" t="str">
        <f>IFERROR(IF($C733="","",SUMIFS(Ledger!$K$2:$K$4, Ledger!$B$2:$B$4, $A733, Ledger!$C$2:$C$4, W$2)),"****")</f>
        <v/>
      </c>
      <c r="X733" t="str">
        <f>IFERROR(IF($C733="","",SUMIFS(Ledger!$K$2:$K$4, Ledger!$B$2:$B$4, $A733, Ledger!$C$2:$C$4, X$2)),"****")</f>
        <v/>
      </c>
    </row>
    <row r="734" spans="1:24" x14ac:dyDescent="0.3">
      <c r="A734" s="106">
        <v>732</v>
      </c>
      <c r="B734" t="str">
        <f>IFERROR(VLOOKUP($A734, Ledger!$B$2:$L$8, 3, 0),"")</f>
        <v/>
      </c>
      <c r="C734" t="str">
        <f>IFERROR(VLOOKUP($A734, Ledger!$B$2:$L$8, 4, 0),"")</f>
        <v/>
      </c>
      <c r="D734" t="str">
        <f>IFERROR(VLOOKUP($A734, Ledger!$B$2:$L$8, 5, 0),"")</f>
        <v/>
      </c>
      <c r="E734" t="str">
        <f>IFERROR(VLOOKUP($A734, Ledger!$B$2:$L$8, 6, 0),"")</f>
        <v/>
      </c>
      <c r="F734" t="str">
        <f>IFERROR(VLOOKUP($A734,'Student Data'!$A$2:$AR$6,32,0),"")</f>
        <v/>
      </c>
      <c r="G734" t="str">
        <f>IFERROR(VLOOKUP($A734,'Student Data'!$A$2:$AR$6,33,0),"")</f>
        <v/>
      </c>
      <c r="H734" t="str">
        <f>IFERROR(VLOOKUP($A734,'Student Data'!$A$2:$AR$6,34,0),"")</f>
        <v/>
      </c>
      <c r="I734" t="str">
        <f>IFERROR(VLOOKUP($A734,'Student Data'!$A$2:$AR$6,35,0),"")</f>
        <v/>
      </c>
      <c r="J734" t="str">
        <f>IFERROR(VLOOKUP($A734,'Student Data'!$A$2:$AR$6,36,0),"")</f>
        <v/>
      </c>
      <c r="K734" t="str">
        <f t="shared" si="22"/>
        <v/>
      </c>
      <c r="L734" t="str">
        <f t="shared" si="23"/>
        <v/>
      </c>
      <c r="M734" t="str">
        <f>IFERROR(IF($C734="","",SUMIFS(Ledger!$K$2:$K$4, Ledger!$B$2:$B$4, $A734, Ledger!$C$2:$C$4, M$2)),"****")</f>
        <v/>
      </c>
      <c r="N734" t="str">
        <f>IFERROR(IF($C734="","",SUMIFS(Ledger!$K$2:$K$4, Ledger!$B$2:$B$4, $A734, Ledger!$C$2:$C$4, N$2)),"****")</f>
        <v/>
      </c>
      <c r="O734" t="str">
        <f>IFERROR(IF($C734="","",SUMIFS(Ledger!$K$2:$K$4, Ledger!$B$2:$B$4, $A734, Ledger!$C$2:$C$4, O$2)),"****")</f>
        <v/>
      </c>
      <c r="P734" t="str">
        <f>IFERROR(IF($C734="","",SUMIFS(Ledger!$K$2:$K$4, Ledger!$B$2:$B$4, $A734, Ledger!$C$2:$C$4, P$2)),"****")</f>
        <v/>
      </c>
      <c r="Q734" t="str">
        <f>IFERROR(IF($C734="","",SUMIFS(Ledger!$K$2:$K$4, Ledger!$B$2:$B$4, $A734, Ledger!$C$2:$C$4, Q$2)),"****")</f>
        <v/>
      </c>
      <c r="R734" t="str">
        <f>IFERROR(IF($C734="","",SUMIFS(Ledger!$K$2:$K$4, Ledger!$B$2:$B$4, $A734, Ledger!$C$2:$C$4, R$2)),"****")</f>
        <v/>
      </c>
      <c r="S734" t="str">
        <f>IFERROR(IF($C734="","",SUMIFS(Ledger!$K$2:$K$4, Ledger!$B$2:$B$4, $A734, Ledger!$C$2:$C$4, S$2)),"****")</f>
        <v/>
      </c>
      <c r="T734" t="str">
        <f>IFERROR(IF($C734="","",SUMIFS(Ledger!$K$2:$K$4, Ledger!$B$2:$B$4, $A734, Ledger!$C$2:$C$4, T$2)),"****")</f>
        <v/>
      </c>
      <c r="U734" t="str">
        <f>IFERROR(IF($C734="","",SUMIFS(Ledger!$K$2:$K$4, Ledger!$B$2:$B$4, $A734, Ledger!$C$2:$C$4, U$2)),"****")</f>
        <v/>
      </c>
      <c r="V734" t="str">
        <f>IFERROR(IF($C734="","",SUMIFS(Ledger!$K$2:$K$4, Ledger!$B$2:$B$4, $A734, Ledger!$C$2:$C$4, V$2)),"****")</f>
        <v/>
      </c>
      <c r="W734" t="str">
        <f>IFERROR(IF($C734="","",SUMIFS(Ledger!$K$2:$K$4, Ledger!$B$2:$B$4, $A734, Ledger!$C$2:$C$4, W$2)),"****")</f>
        <v/>
      </c>
      <c r="X734" t="str">
        <f>IFERROR(IF($C734="","",SUMIFS(Ledger!$K$2:$K$4, Ledger!$B$2:$B$4, $A734, Ledger!$C$2:$C$4, X$2)),"****")</f>
        <v/>
      </c>
    </row>
    <row r="735" spans="1:24" x14ac:dyDescent="0.3">
      <c r="A735" s="106">
        <v>733</v>
      </c>
      <c r="B735" t="str">
        <f>IFERROR(VLOOKUP($A735, Ledger!$B$2:$L$8, 3, 0),"")</f>
        <v/>
      </c>
      <c r="C735" t="str">
        <f>IFERROR(VLOOKUP($A735, Ledger!$B$2:$L$8, 4, 0),"")</f>
        <v/>
      </c>
      <c r="D735" t="str">
        <f>IFERROR(VLOOKUP($A735, Ledger!$B$2:$L$8, 5, 0),"")</f>
        <v/>
      </c>
      <c r="E735" t="str">
        <f>IFERROR(VLOOKUP($A735, Ledger!$B$2:$L$8, 6, 0),"")</f>
        <v/>
      </c>
      <c r="F735" t="str">
        <f>IFERROR(VLOOKUP($A735,'Student Data'!$A$2:$AR$6,32,0),"")</f>
        <v/>
      </c>
      <c r="G735" t="str">
        <f>IFERROR(VLOOKUP($A735,'Student Data'!$A$2:$AR$6,33,0),"")</f>
        <v/>
      </c>
      <c r="H735" t="str">
        <f>IFERROR(VLOOKUP($A735,'Student Data'!$A$2:$AR$6,34,0),"")</f>
        <v/>
      </c>
      <c r="I735" t="str">
        <f>IFERROR(VLOOKUP($A735,'Student Data'!$A$2:$AR$6,35,0),"")</f>
        <v/>
      </c>
      <c r="J735" t="str">
        <f>IFERROR(VLOOKUP($A735,'Student Data'!$A$2:$AR$6,36,0),"")</f>
        <v/>
      </c>
      <c r="K735" t="str">
        <f t="shared" si="22"/>
        <v/>
      </c>
      <c r="L735" t="str">
        <f t="shared" si="23"/>
        <v/>
      </c>
      <c r="M735" t="str">
        <f>IFERROR(IF($C735="","",SUMIFS(Ledger!$K$2:$K$4, Ledger!$B$2:$B$4, $A735, Ledger!$C$2:$C$4, M$2)),"****")</f>
        <v/>
      </c>
      <c r="N735" t="str">
        <f>IFERROR(IF($C735="","",SUMIFS(Ledger!$K$2:$K$4, Ledger!$B$2:$B$4, $A735, Ledger!$C$2:$C$4, N$2)),"****")</f>
        <v/>
      </c>
      <c r="O735" t="str">
        <f>IFERROR(IF($C735="","",SUMIFS(Ledger!$K$2:$K$4, Ledger!$B$2:$B$4, $A735, Ledger!$C$2:$C$4, O$2)),"****")</f>
        <v/>
      </c>
      <c r="P735" t="str">
        <f>IFERROR(IF($C735="","",SUMIFS(Ledger!$K$2:$K$4, Ledger!$B$2:$B$4, $A735, Ledger!$C$2:$C$4, P$2)),"****")</f>
        <v/>
      </c>
      <c r="Q735" t="str">
        <f>IFERROR(IF($C735="","",SUMIFS(Ledger!$K$2:$K$4, Ledger!$B$2:$B$4, $A735, Ledger!$C$2:$C$4, Q$2)),"****")</f>
        <v/>
      </c>
      <c r="R735" t="str">
        <f>IFERROR(IF($C735="","",SUMIFS(Ledger!$K$2:$K$4, Ledger!$B$2:$B$4, $A735, Ledger!$C$2:$C$4, R$2)),"****")</f>
        <v/>
      </c>
      <c r="S735" t="str">
        <f>IFERROR(IF($C735="","",SUMIFS(Ledger!$K$2:$K$4, Ledger!$B$2:$B$4, $A735, Ledger!$C$2:$C$4, S$2)),"****")</f>
        <v/>
      </c>
      <c r="T735" t="str">
        <f>IFERROR(IF($C735="","",SUMIFS(Ledger!$K$2:$K$4, Ledger!$B$2:$B$4, $A735, Ledger!$C$2:$C$4, T$2)),"****")</f>
        <v/>
      </c>
      <c r="U735" t="str">
        <f>IFERROR(IF($C735="","",SUMIFS(Ledger!$K$2:$K$4, Ledger!$B$2:$B$4, $A735, Ledger!$C$2:$C$4, U$2)),"****")</f>
        <v/>
      </c>
      <c r="V735" t="str">
        <f>IFERROR(IF($C735="","",SUMIFS(Ledger!$K$2:$K$4, Ledger!$B$2:$B$4, $A735, Ledger!$C$2:$C$4, V$2)),"****")</f>
        <v/>
      </c>
      <c r="W735" t="str">
        <f>IFERROR(IF($C735="","",SUMIFS(Ledger!$K$2:$K$4, Ledger!$B$2:$B$4, $A735, Ledger!$C$2:$C$4, W$2)),"****")</f>
        <v/>
      </c>
      <c r="X735" t="str">
        <f>IFERROR(IF($C735="","",SUMIFS(Ledger!$K$2:$K$4, Ledger!$B$2:$B$4, $A735, Ledger!$C$2:$C$4, X$2)),"****")</f>
        <v/>
      </c>
    </row>
    <row r="736" spans="1:24" x14ac:dyDescent="0.3">
      <c r="A736" s="106">
        <v>734</v>
      </c>
      <c r="B736" t="str">
        <f>IFERROR(VLOOKUP($A736, Ledger!$B$2:$L$8, 3, 0),"")</f>
        <v/>
      </c>
      <c r="C736" t="str">
        <f>IFERROR(VLOOKUP($A736, Ledger!$B$2:$L$8, 4, 0),"")</f>
        <v/>
      </c>
      <c r="D736" t="str">
        <f>IFERROR(VLOOKUP($A736, Ledger!$B$2:$L$8, 5, 0),"")</f>
        <v/>
      </c>
      <c r="E736" t="str">
        <f>IFERROR(VLOOKUP($A736, Ledger!$B$2:$L$8, 6, 0),"")</f>
        <v/>
      </c>
      <c r="F736" t="str">
        <f>IFERROR(VLOOKUP($A736,'Student Data'!$A$2:$AR$6,32,0),"")</f>
        <v/>
      </c>
      <c r="G736" t="str">
        <f>IFERROR(VLOOKUP($A736,'Student Data'!$A$2:$AR$6,33,0),"")</f>
        <v/>
      </c>
      <c r="H736" t="str">
        <f>IFERROR(VLOOKUP($A736,'Student Data'!$A$2:$AR$6,34,0),"")</f>
        <v/>
      </c>
      <c r="I736" t="str">
        <f>IFERROR(VLOOKUP($A736,'Student Data'!$A$2:$AR$6,35,0),"")</f>
        <v/>
      </c>
      <c r="J736" t="str">
        <f>IFERROR(VLOOKUP($A736,'Student Data'!$A$2:$AR$6,36,0),"")</f>
        <v/>
      </c>
      <c r="K736" t="str">
        <f t="shared" si="22"/>
        <v/>
      </c>
      <c r="L736" t="str">
        <f t="shared" si="23"/>
        <v/>
      </c>
      <c r="M736" t="str">
        <f>IFERROR(IF($C736="","",SUMIFS(Ledger!$K$2:$K$4, Ledger!$B$2:$B$4, $A736, Ledger!$C$2:$C$4, M$2)),"****")</f>
        <v/>
      </c>
      <c r="N736" t="str">
        <f>IFERROR(IF($C736="","",SUMIFS(Ledger!$K$2:$K$4, Ledger!$B$2:$B$4, $A736, Ledger!$C$2:$C$4, N$2)),"****")</f>
        <v/>
      </c>
      <c r="O736" t="str">
        <f>IFERROR(IF($C736="","",SUMIFS(Ledger!$K$2:$K$4, Ledger!$B$2:$B$4, $A736, Ledger!$C$2:$C$4, O$2)),"****")</f>
        <v/>
      </c>
      <c r="P736" t="str">
        <f>IFERROR(IF($C736="","",SUMIFS(Ledger!$K$2:$K$4, Ledger!$B$2:$B$4, $A736, Ledger!$C$2:$C$4, P$2)),"****")</f>
        <v/>
      </c>
      <c r="Q736" t="str">
        <f>IFERROR(IF($C736="","",SUMIFS(Ledger!$K$2:$K$4, Ledger!$B$2:$B$4, $A736, Ledger!$C$2:$C$4, Q$2)),"****")</f>
        <v/>
      </c>
      <c r="R736" t="str">
        <f>IFERROR(IF($C736="","",SUMIFS(Ledger!$K$2:$K$4, Ledger!$B$2:$B$4, $A736, Ledger!$C$2:$C$4, R$2)),"****")</f>
        <v/>
      </c>
      <c r="S736" t="str">
        <f>IFERROR(IF($C736="","",SUMIFS(Ledger!$K$2:$K$4, Ledger!$B$2:$B$4, $A736, Ledger!$C$2:$C$4, S$2)),"****")</f>
        <v/>
      </c>
      <c r="T736" t="str">
        <f>IFERROR(IF($C736="","",SUMIFS(Ledger!$K$2:$K$4, Ledger!$B$2:$B$4, $A736, Ledger!$C$2:$C$4, T$2)),"****")</f>
        <v/>
      </c>
      <c r="U736" t="str">
        <f>IFERROR(IF($C736="","",SUMIFS(Ledger!$K$2:$K$4, Ledger!$B$2:$B$4, $A736, Ledger!$C$2:$C$4, U$2)),"****")</f>
        <v/>
      </c>
      <c r="V736" t="str">
        <f>IFERROR(IF($C736="","",SUMIFS(Ledger!$K$2:$K$4, Ledger!$B$2:$B$4, $A736, Ledger!$C$2:$C$4, V$2)),"****")</f>
        <v/>
      </c>
      <c r="W736" t="str">
        <f>IFERROR(IF($C736="","",SUMIFS(Ledger!$K$2:$K$4, Ledger!$B$2:$B$4, $A736, Ledger!$C$2:$C$4, W$2)),"****")</f>
        <v/>
      </c>
      <c r="X736" t="str">
        <f>IFERROR(IF($C736="","",SUMIFS(Ledger!$K$2:$K$4, Ledger!$B$2:$B$4, $A736, Ledger!$C$2:$C$4, X$2)),"****")</f>
        <v/>
      </c>
    </row>
    <row r="737" spans="1:24" x14ac:dyDescent="0.3">
      <c r="A737" s="106">
        <v>735</v>
      </c>
      <c r="B737" t="str">
        <f>IFERROR(VLOOKUP($A737, Ledger!$B$2:$L$8, 3, 0),"")</f>
        <v/>
      </c>
      <c r="C737" t="str">
        <f>IFERROR(VLOOKUP($A737, Ledger!$B$2:$L$8, 4, 0),"")</f>
        <v/>
      </c>
      <c r="D737" t="str">
        <f>IFERROR(VLOOKUP($A737, Ledger!$B$2:$L$8, 5, 0),"")</f>
        <v/>
      </c>
      <c r="E737" t="str">
        <f>IFERROR(VLOOKUP($A737, Ledger!$B$2:$L$8, 6, 0),"")</f>
        <v/>
      </c>
      <c r="F737" t="str">
        <f>IFERROR(VLOOKUP($A737,'Student Data'!$A$2:$AR$6,32,0),"")</f>
        <v/>
      </c>
      <c r="G737" t="str">
        <f>IFERROR(VLOOKUP($A737,'Student Data'!$A$2:$AR$6,33,0),"")</f>
        <v/>
      </c>
      <c r="H737" t="str">
        <f>IFERROR(VLOOKUP($A737,'Student Data'!$A$2:$AR$6,34,0),"")</f>
        <v/>
      </c>
      <c r="I737" t="str">
        <f>IFERROR(VLOOKUP($A737,'Student Data'!$A$2:$AR$6,35,0),"")</f>
        <v/>
      </c>
      <c r="J737" t="str">
        <f>IFERROR(VLOOKUP($A737,'Student Data'!$A$2:$AR$6,36,0),"")</f>
        <v/>
      </c>
      <c r="K737" t="str">
        <f t="shared" si="22"/>
        <v/>
      </c>
      <c r="L737" t="str">
        <f t="shared" si="23"/>
        <v/>
      </c>
      <c r="M737" t="str">
        <f>IFERROR(IF($C737="","",SUMIFS(Ledger!$K$2:$K$4, Ledger!$B$2:$B$4, $A737, Ledger!$C$2:$C$4, M$2)),"****")</f>
        <v/>
      </c>
      <c r="N737" t="str">
        <f>IFERROR(IF($C737="","",SUMIFS(Ledger!$K$2:$K$4, Ledger!$B$2:$B$4, $A737, Ledger!$C$2:$C$4, N$2)),"****")</f>
        <v/>
      </c>
      <c r="O737" t="str">
        <f>IFERROR(IF($C737="","",SUMIFS(Ledger!$K$2:$K$4, Ledger!$B$2:$B$4, $A737, Ledger!$C$2:$C$4, O$2)),"****")</f>
        <v/>
      </c>
      <c r="P737" t="str">
        <f>IFERROR(IF($C737="","",SUMIFS(Ledger!$K$2:$K$4, Ledger!$B$2:$B$4, $A737, Ledger!$C$2:$C$4, P$2)),"****")</f>
        <v/>
      </c>
      <c r="Q737" t="str">
        <f>IFERROR(IF($C737="","",SUMIFS(Ledger!$K$2:$K$4, Ledger!$B$2:$B$4, $A737, Ledger!$C$2:$C$4, Q$2)),"****")</f>
        <v/>
      </c>
      <c r="R737" t="str">
        <f>IFERROR(IF($C737="","",SUMIFS(Ledger!$K$2:$K$4, Ledger!$B$2:$B$4, $A737, Ledger!$C$2:$C$4, R$2)),"****")</f>
        <v/>
      </c>
      <c r="S737" t="str">
        <f>IFERROR(IF($C737="","",SUMIFS(Ledger!$K$2:$K$4, Ledger!$B$2:$B$4, $A737, Ledger!$C$2:$C$4, S$2)),"****")</f>
        <v/>
      </c>
      <c r="T737" t="str">
        <f>IFERROR(IF($C737="","",SUMIFS(Ledger!$K$2:$K$4, Ledger!$B$2:$B$4, $A737, Ledger!$C$2:$C$4, T$2)),"****")</f>
        <v/>
      </c>
      <c r="U737" t="str">
        <f>IFERROR(IF($C737="","",SUMIFS(Ledger!$K$2:$K$4, Ledger!$B$2:$B$4, $A737, Ledger!$C$2:$C$4, U$2)),"****")</f>
        <v/>
      </c>
      <c r="V737" t="str">
        <f>IFERROR(IF($C737="","",SUMIFS(Ledger!$K$2:$K$4, Ledger!$B$2:$B$4, $A737, Ledger!$C$2:$C$4, V$2)),"****")</f>
        <v/>
      </c>
      <c r="W737" t="str">
        <f>IFERROR(IF($C737="","",SUMIFS(Ledger!$K$2:$K$4, Ledger!$B$2:$B$4, $A737, Ledger!$C$2:$C$4, W$2)),"****")</f>
        <v/>
      </c>
      <c r="X737" t="str">
        <f>IFERROR(IF($C737="","",SUMIFS(Ledger!$K$2:$K$4, Ledger!$B$2:$B$4, $A737, Ledger!$C$2:$C$4, X$2)),"****")</f>
        <v/>
      </c>
    </row>
    <row r="738" spans="1:24" x14ac:dyDescent="0.3">
      <c r="A738" s="106">
        <v>736</v>
      </c>
      <c r="B738" t="str">
        <f>IFERROR(VLOOKUP($A738, Ledger!$B$2:$L$8, 3, 0),"")</f>
        <v/>
      </c>
      <c r="C738" t="str">
        <f>IFERROR(VLOOKUP($A738, Ledger!$B$2:$L$8, 4, 0),"")</f>
        <v/>
      </c>
      <c r="D738" t="str">
        <f>IFERROR(VLOOKUP($A738, Ledger!$B$2:$L$8, 5, 0),"")</f>
        <v/>
      </c>
      <c r="E738" t="str">
        <f>IFERROR(VLOOKUP($A738, Ledger!$B$2:$L$8, 6, 0),"")</f>
        <v/>
      </c>
      <c r="F738" t="str">
        <f>IFERROR(VLOOKUP($A738,'Student Data'!$A$2:$AR$6,32,0),"")</f>
        <v/>
      </c>
      <c r="G738" t="str">
        <f>IFERROR(VLOOKUP($A738,'Student Data'!$A$2:$AR$6,33,0),"")</f>
        <v/>
      </c>
      <c r="H738" t="str">
        <f>IFERROR(VLOOKUP($A738,'Student Data'!$A$2:$AR$6,34,0),"")</f>
        <v/>
      </c>
      <c r="I738" t="str">
        <f>IFERROR(VLOOKUP($A738,'Student Data'!$A$2:$AR$6,35,0),"")</f>
        <v/>
      </c>
      <c r="J738" t="str">
        <f>IFERROR(VLOOKUP($A738,'Student Data'!$A$2:$AR$6,36,0),"")</f>
        <v/>
      </c>
      <c r="K738" t="str">
        <f t="shared" si="22"/>
        <v/>
      </c>
      <c r="L738" t="str">
        <f t="shared" si="23"/>
        <v/>
      </c>
      <c r="M738" t="str">
        <f>IFERROR(IF($C738="","",SUMIFS(Ledger!$K$2:$K$4, Ledger!$B$2:$B$4, $A738, Ledger!$C$2:$C$4, M$2)),"****")</f>
        <v/>
      </c>
      <c r="N738" t="str">
        <f>IFERROR(IF($C738="","",SUMIFS(Ledger!$K$2:$K$4, Ledger!$B$2:$B$4, $A738, Ledger!$C$2:$C$4, N$2)),"****")</f>
        <v/>
      </c>
      <c r="O738" t="str">
        <f>IFERROR(IF($C738="","",SUMIFS(Ledger!$K$2:$K$4, Ledger!$B$2:$B$4, $A738, Ledger!$C$2:$C$4, O$2)),"****")</f>
        <v/>
      </c>
      <c r="P738" t="str">
        <f>IFERROR(IF($C738="","",SUMIFS(Ledger!$K$2:$K$4, Ledger!$B$2:$B$4, $A738, Ledger!$C$2:$C$4, P$2)),"****")</f>
        <v/>
      </c>
      <c r="Q738" t="str">
        <f>IFERROR(IF($C738="","",SUMIFS(Ledger!$K$2:$K$4, Ledger!$B$2:$B$4, $A738, Ledger!$C$2:$C$4, Q$2)),"****")</f>
        <v/>
      </c>
      <c r="R738" t="str">
        <f>IFERROR(IF($C738="","",SUMIFS(Ledger!$K$2:$K$4, Ledger!$B$2:$B$4, $A738, Ledger!$C$2:$C$4, R$2)),"****")</f>
        <v/>
      </c>
      <c r="S738" t="str">
        <f>IFERROR(IF($C738="","",SUMIFS(Ledger!$K$2:$K$4, Ledger!$B$2:$B$4, $A738, Ledger!$C$2:$C$4, S$2)),"****")</f>
        <v/>
      </c>
      <c r="T738" t="str">
        <f>IFERROR(IF($C738="","",SUMIFS(Ledger!$K$2:$K$4, Ledger!$B$2:$B$4, $A738, Ledger!$C$2:$C$4, T$2)),"****")</f>
        <v/>
      </c>
      <c r="U738" t="str">
        <f>IFERROR(IF($C738="","",SUMIFS(Ledger!$K$2:$K$4, Ledger!$B$2:$B$4, $A738, Ledger!$C$2:$C$4, U$2)),"****")</f>
        <v/>
      </c>
      <c r="V738" t="str">
        <f>IFERROR(IF($C738="","",SUMIFS(Ledger!$K$2:$K$4, Ledger!$B$2:$B$4, $A738, Ledger!$C$2:$C$4, V$2)),"****")</f>
        <v/>
      </c>
      <c r="W738" t="str">
        <f>IFERROR(IF($C738="","",SUMIFS(Ledger!$K$2:$K$4, Ledger!$B$2:$B$4, $A738, Ledger!$C$2:$C$4, W$2)),"****")</f>
        <v/>
      </c>
      <c r="X738" t="str">
        <f>IFERROR(IF($C738="","",SUMIFS(Ledger!$K$2:$K$4, Ledger!$B$2:$B$4, $A738, Ledger!$C$2:$C$4, X$2)),"****")</f>
        <v/>
      </c>
    </row>
    <row r="739" spans="1:24" x14ac:dyDescent="0.3">
      <c r="A739" s="106">
        <v>737</v>
      </c>
      <c r="B739" t="str">
        <f>IFERROR(VLOOKUP($A739, Ledger!$B$2:$L$8, 3, 0),"")</f>
        <v/>
      </c>
      <c r="C739" t="str">
        <f>IFERROR(VLOOKUP($A739, Ledger!$B$2:$L$8, 4, 0),"")</f>
        <v/>
      </c>
      <c r="D739" t="str">
        <f>IFERROR(VLOOKUP($A739, Ledger!$B$2:$L$8, 5, 0),"")</f>
        <v/>
      </c>
      <c r="E739" t="str">
        <f>IFERROR(VLOOKUP($A739, Ledger!$B$2:$L$8, 6, 0),"")</f>
        <v/>
      </c>
      <c r="F739" t="str">
        <f>IFERROR(VLOOKUP($A739,'Student Data'!$A$2:$AR$6,32,0),"")</f>
        <v/>
      </c>
      <c r="G739" t="str">
        <f>IFERROR(VLOOKUP($A739,'Student Data'!$A$2:$AR$6,33,0),"")</f>
        <v/>
      </c>
      <c r="H739" t="str">
        <f>IFERROR(VLOOKUP($A739,'Student Data'!$A$2:$AR$6,34,0),"")</f>
        <v/>
      </c>
      <c r="I739" t="str">
        <f>IFERROR(VLOOKUP($A739,'Student Data'!$A$2:$AR$6,35,0),"")</f>
        <v/>
      </c>
      <c r="J739" t="str">
        <f>IFERROR(VLOOKUP($A739,'Student Data'!$A$2:$AR$6,36,0),"")</f>
        <v/>
      </c>
      <c r="K739" t="str">
        <f t="shared" si="22"/>
        <v/>
      </c>
      <c r="L739" t="str">
        <f t="shared" si="23"/>
        <v/>
      </c>
      <c r="M739" t="str">
        <f>IFERROR(IF($C739="","",SUMIFS(Ledger!$K$2:$K$4, Ledger!$B$2:$B$4, $A739, Ledger!$C$2:$C$4, M$2)),"****")</f>
        <v/>
      </c>
      <c r="N739" t="str">
        <f>IFERROR(IF($C739="","",SUMIFS(Ledger!$K$2:$K$4, Ledger!$B$2:$B$4, $A739, Ledger!$C$2:$C$4, N$2)),"****")</f>
        <v/>
      </c>
      <c r="O739" t="str">
        <f>IFERROR(IF($C739="","",SUMIFS(Ledger!$K$2:$K$4, Ledger!$B$2:$B$4, $A739, Ledger!$C$2:$C$4, O$2)),"****")</f>
        <v/>
      </c>
      <c r="P739" t="str">
        <f>IFERROR(IF($C739="","",SUMIFS(Ledger!$K$2:$K$4, Ledger!$B$2:$B$4, $A739, Ledger!$C$2:$C$4, P$2)),"****")</f>
        <v/>
      </c>
      <c r="Q739" t="str">
        <f>IFERROR(IF($C739="","",SUMIFS(Ledger!$K$2:$K$4, Ledger!$B$2:$B$4, $A739, Ledger!$C$2:$C$4, Q$2)),"****")</f>
        <v/>
      </c>
      <c r="R739" t="str">
        <f>IFERROR(IF($C739="","",SUMIFS(Ledger!$K$2:$K$4, Ledger!$B$2:$B$4, $A739, Ledger!$C$2:$C$4, R$2)),"****")</f>
        <v/>
      </c>
      <c r="S739" t="str">
        <f>IFERROR(IF($C739="","",SUMIFS(Ledger!$K$2:$K$4, Ledger!$B$2:$B$4, $A739, Ledger!$C$2:$C$4, S$2)),"****")</f>
        <v/>
      </c>
      <c r="T739" t="str">
        <f>IFERROR(IF($C739="","",SUMIFS(Ledger!$K$2:$K$4, Ledger!$B$2:$B$4, $A739, Ledger!$C$2:$C$4, T$2)),"****")</f>
        <v/>
      </c>
      <c r="U739" t="str">
        <f>IFERROR(IF($C739="","",SUMIFS(Ledger!$K$2:$K$4, Ledger!$B$2:$B$4, $A739, Ledger!$C$2:$C$4, U$2)),"****")</f>
        <v/>
      </c>
      <c r="V739" t="str">
        <f>IFERROR(IF($C739="","",SUMIFS(Ledger!$K$2:$K$4, Ledger!$B$2:$B$4, $A739, Ledger!$C$2:$C$4, V$2)),"****")</f>
        <v/>
      </c>
      <c r="W739" t="str">
        <f>IFERROR(IF($C739="","",SUMIFS(Ledger!$K$2:$K$4, Ledger!$B$2:$B$4, $A739, Ledger!$C$2:$C$4, W$2)),"****")</f>
        <v/>
      </c>
      <c r="X739" t="str">
        <f>IFERROR(IF($C739="","",SUMIFS(Ledger!$K$2:$K$4, Ledger!$B$2:$B$4, $A739, Ledger!$C$2:$C$4, X$2)),"****")</f>
        <v/>
      </c>
    </row>
    <row r="740" spans="1:24" x14ac:dyDescent="0.3">
      <c r="A740" s="106">
        <v>738</v>
      </c>
      <c r="B740" t="str">
        <f>IFERROR(VLOOKUP($A740, Ledger!$B$2:$L$8, 3, 0),"")</f>
        <v/>
      </c>
      <c r="C740" t="str">
        <f>IFERROR(VLOOKUP($A740, Ledger!$B$2:$L$8, 4, 0),"")</f>
        <v/>
      </c>
      <c r="D740" t="str">
        <f>IFERROR(VLOOKUP($A740, Ledger!$B$2:$L$8, 5, 0),"")</f>
        <v/>
      </c>
      <c r="E740" t="str">
        <f>IFERROR(VLOOKUP($A740, Ledger!$B$2:$L$8, 6, 0),"")</f>
        <v/>
      </c>
      <c r="F740" t="str">
        <f>IFERROR(VLOOKUP($A740,'Student Data'!$A$2:$AR$6,32,0),"")</f>
        <v/>
      </c>
      <c r="G740" t="str">
        <f>IFERROR(VLOOKUP($A740,'Student Data'!$A$2:$AR$6,33,0),"")</f>
        <v/>
      </c>
      <c r="H740" t="str">
        <f>IFERROR(VLOOKUP($A740,'Student Data'!$A$2:$AR$6,34,0),"")</f>
        <v/>
      </c>
      <c r="I740" t="str">
        <f>IFERROR(VLOOKUP($A740,'Student Data'!$A$2:$AR$6,35,0),"")</f>
        <v/>
      </c>
      <c r="J740" t="str">
        <f>IFERROR(VLOOKUP($A740,'Student Data'!$A$2:$AR$6,36,0),"")</f>
        <v/>
      </c>
      <c r="K740" t="str">
        <f t="shared" si="22"/>
        <v/>
      </c>
      <c r="L740" t="str">
        <f t="shared" si="23"/>
        <v/>
      </c>
      <c r="M740" t="str">
        <f>IFERROR(IF($C740="","",SUMIFS(Ledger!$K$2:$K$4, Ledger!$B$2:$B$4, $A740, Ledger!$C$2:$C$4, M$2)),"****")</f>
        <v/>
      </c>
      <c r="N740" t="str">
        <f>IFERROR(IF($C740="","",SUMIFS(Ledger!$K$2:$K$4, Ledger!$B$2:$B$4, $A740, Ledger!$C$2:$C$4, N$2)),"****")</f>
        <v/>
      </c>
      <c r="O740" t="str">
        <f>IFERROR(IF($C740="","",SUMIFS(Ledger!$K$2:$K$4, Ledger!$B$2:$B$4, $A740, Ledger!$C$2:$C$4, O$2)),"****")</f>
        <v/>
      </c>
      <c r="P740" t="str">
        <f>IFERROR(IF($C740="","",SUMIFS(Ledger!$K$2:$K$4, Ledger!$B$2:$B$4, $A740, Ledger!$C$2:$C$4, P$2)),"****")</f>
        <v/>
      </c>
      <c r="Q740" t="str">
        <f>IFERROR(IF($C740="","",SUMIFS(Ledger!$K$2:$K$4, Ledger!$B$2:$B$4, $A740, Ledger!$C$2:$C$4, Q$2)),"****")</f>
        <v/>
      </c>
      <c r="R740" t="str">
        <f>IFERROR(IF($C740="","",SUMIFS(Ledger!$K$2:$K$4, Ledger!$B$2:$B$4, $A740, Ledger!$C$2:$C$4, R$2)),"****")</f>
        <v/>
      </c>
      <c r="S740" t="str">
        <f>IFERROR(IF($C740="","",SUMIFS(Ledger!$K$2:$K$4, Ledger!$B$2:$B$4, $A740, Ledger!$C$2:$C$4, S$2)),"****")</f>
        <v/>
      </c>
      <c r="T740" t="str">
        <f>IFERROR(IF($C740="","",SUMIFS(Ledger!$K$2:$K$4, Ledger!$B$2:$B$4, $A740, Ledger!$C$2:$C$4, T$2)),"****")</f>
        <v/>
      </c>
      <c r="U740" t="str">
        <f>IFERROR(IF($C740="","",SUMIFS(Ledger!$K$2:$K$4, Ledger!$B$2:$B$4, $A740, Ledger!$C$2:$C$4, U$2)),"****")</f>
        <v/>
      </c>
      <c r="V740" t="str">
        <f>IFERROR(IF($C740="","",SUMIFS(Ledger!$K$2:$K$4, Ledger!$B$2:$B$4, $A740, Ledger!$C$2:$C$4, V$2)),"****")</f>
        <v/>
      </c>
      <c r="W740" t="str">
        <f>IFERROR(IF($C740="","",SUMIFS(Ledger!$K$2:$K$4, Ledger!$B$2:$B$4, $A740, Ledger!$C$2:$C$4, W$2)),"****")</f>
        <v/>
      </c>
      <c r="X740" t="str">
        <f>IFERROR(IF($C740="","",SUMIFS(Ledger!$K$2:$K$4, Ledger!$B$2:$B$4, $A740, Ledger!$C$2:$C$4, X$2)),"****")</f>
        <v/>
      </c>
    </row>
    <row r="741" spans="1:24" x14ac:dyDescent="0.3">
      <c r="A741" s="106">
        <v>739</v>
      </c>
      <c r="B741" t="str">
        <f>IFERROR(VLOOKUP($A741, Ledger!$B$2:$L$8, 3, 0),"")</f>
        <v/>
      </c>
      <c r="C741" t="str">
        <f>IFERROR(VLOOKUP($A741, Ledger!$B$2:$L$8, 4, 0),"")</f>
        <v/>
      </c>
      <c r="D741" t="str">
        <f>IFERROR(VLOOKUP($A741, Ledger!$B$2:$L$8, 5, 0),"")</f>
        <v/>
      </c>
      <c r="E741" t="str">
        <f>IFERROR(VLOOKUP($A741, Ledger!$B$2:$L$8, 6, 0),"")</f>
        <v/>
      </c>
      <c r="F741" t="str">
        <f>IFERROR(VLOOKUP($A741,'Student Data'!$A$2:$AR$6,32,0),"")</f>
        <v/>
      </c>
      <c r="G741" t="str">
        <f>IFERROR(VLOOKUP($A741,'Student Data'!$A$2:$AR$6,33,0),"")</f>
        <v/>
      </c>
      <c r="H741" t="str">
        <f>IFERROR(VLOOKUP($A741,'Student Data'!$A$2:$AR$6,34,0),"")</f>
        <v/>
      </c>
      <c r="I741" t="str">
        <f>IFERROR(VLOOKUP($A741,'Student Data'!$A$2:$AR$6,35,0),"")</f>
        <v/>
      </c>
      <c r="J741" t="str">
        <f>IFERROR(VLOOKUP($A741,'Student Data'!$A$2:$AR$6,36,0),"")</f>
        <v/>
      </c>
      <c r="K741" t="str">
        <f t="shared" si="22"/>
        <v/>
      </c>
      <c r="L741" t="str">
        <f t="shared" si="23"/>
        <v/>
      </c>
      <c r="M741" t="str">
        <f>IFERROR(IF($C741="","",SUMIFS(Ledger!$K$2:$K$4, Ledger!$B$2:$B$4, $A741, Ledger!$C$2:$C$4, M$2)),"****")</f>
        <v/>
      </c>
      <c r="N741" t="str">
        <f>IFERROR(IF($C741="","",SUMIFS(Ledger!$K$2:$K$4, Ledger!$B$2:$B$4, $A741, Ledger!$C$2:$C$4, N$2)),"****")</f>
        <v/>
      </c>
      <c r="O741" t="str">
        <f>IFERROR(IF($C741="","",SUMIFS(Ledger!$K$2:$K$4, Ledger!$B$2:$B$4, $A741, Ledger!$C$2:$C$4, O$2)),"****")</f>
        <v/>
      </c>
      <c r="P741" t="str">
        <f>IFERROR(IF($C741="","",SUMIFS(Ledger!$K$2:$K$4, Ledger!$B$2:$B$4, $A741, Ledger!$C$2:$C$4, P$2)),"****")</f>
        <v/>
      </c>
      <c r="Q741" t="str">
        <f>IFERROR(IF($C741="","",SUMIFS(Ledger!$K$2:$K$4, Ledger!$B$2:$B$4, $A741, Ledger!$C$2:$C$4, Q$2)),"****")</f>
        <v/>
      </c>
      <c r="R741" t="str">
        <f>IFERROR(IF($C741="","",SUMIFS(Ledger!$K$2:$K$4, Ledger!$B$2:$B$4, $A741, Ledger!$C$2:$C$4, R$2)),"****")</f>
        <v/>
      </c>
      <c r="S741" t="str">
        <f>IFERROR(IF($C741="","",SUMIFS(Ledger!$K$2:$K$4, Ledger!$B$2:$B$4, $A741, Ledger!$C$2:$C$4, S$2)),"****")</f>
        <v/>
      </c>
      <c r="T741" t="str">
        <f>IFERROR(IF($C741="","",SUMIFS(Ledger!$K$2:$K$4, Ledger!$B$2:$B$4, $A741, Ledger!$C$2:$C$4, T$2)),"****")</f>
        <v/>
      </c>
      <c r="U741" t="str">
        <f>IFERROR(IF($C741="","",SUMIFS(Ledger!$K$2:$K$4, Ledger!$B$2:$B$4, $A741, Ledger!$C$2:$C$4, U$2)),"****")</f>
        <v/>
      </c>
      <c r="V741" t="str">
        <f>IFERROR(IF($C741="","",SUMIFS(Ledger!$K$2:$K$4, Ledger!$B$2:$B$4, $A741, Ledger!$C$2:$C$4, V$2)),"****")</f>
        <v/>
      </c>
      <c r="W741" t="str">
        <f>IFERROR(IF($C741="","",SUMIFS(Ledger!$K$2:$K$4, Ledger!$B$2:$B$4, $A741, Ledger!$C$2:$C$4, W$2)),"****")</f>
        <v/>
      </c>
      <c r="X741" t="str">
        <f>IFERROR(IF($C741="","",SUMIFS(Ledger!$K$2:$K$4, Ledger!$B$2:$B$4, $A741, Ledger!$C$2:$C$4, X$2)),"****")</f>
        <v/>
      </c>
    </row>
    <row r="742" spans="1:24" x14ac:dyDescent="0.3">
      <c r="A742" s="106">
        <v>740</v>
      </c>
      <c r="B742" t="str">
        <f>IFERROR(VLOOKUP($A742, Ledger!$B$2:$L$8, 3, 0),"")</f>
        <v/>
      </c>
      <c r="C742" t="str">
        <f>IFERROR(VLOOKUP($A742, Ledger!$B$2:$L$8, 4, 0),"")</f>
        <v/>
      </c>
      <c r="D742" t="str">
        <f>IFERROR(VLOOKUP($A742, Ledger!$B$2:$L$8, 5, 0),"")</f>
        <v/>
      </c>
      <c r="E742" t="str">
        <f>IFERROR(VLOOKUP($A742, Ledger!$B$2:$L$8, 6, 0),"")</f>
        <v/>
      </c>
      <c r="F742" t="str">
        <f>IFERROR(VLOOKUP($A742,'Student Data'!$A$2:$AR$6,32,0),"")</f>
        <v/>
      </c>
      <c r="G742" t="str">
        <f>IFERROR(VLOOKUP($A742,'Student Data'!$A$2:$AR$6,33,0),"")</f>
        <v/>
      </c>
      <c r="H742" t="str">
        <f>IFERROR(VLOOKUP($A742,'Student Data'!$A$2:$AR$6,34,0),"")</f>
        <v/>
      </c>
      <c r="I742" t="str">
        <f>IFERROR(VLOOKUP($A742,'Student Data'!$A$2:$AR$6,35,0),"")</f>
        <v/>
      </c>
      <c r="J742" t="str">
        <f>IFERROR(VLOOKUP($A742,'Student Data'!$A$2:$AR$6,36,0),"")</f>
        <v/>
      </c>
      <c r="K742" t="str">
        <f t="shared" si="22"/>
        <v/>
      </c>
      <c r="L742" t="str">
        <f t="shared" si="23"/>
        <v/>
      </c>
      <c r="M742" t="str">
        <f>IFERROR(IF($C742="","",SUMIFS(Ledger!$K$2:$K$4, Ledger!$B$2:$B$4, $A742, Ledger!$C$2:$C$4, M$2)),"****")</f>
        <v/>
      </c>
      <c r="N742" t="str">
        <f>IFERROR(IF($C742="","",SUMIFS(Ledger!$K$2:$K$4, Ledger!$B$2:$B$4, $A742, Ledger!$C$2:$C$4, N$2)),"****")</f>
        <v/>
      </c>
      <c r="O742" t="str">
        <f>IFERROR(IF($C742="","",SUMIFS(Ledger!$K$2:$K$4, Ledger!$B$2:$B$4, $A742, Ledger!$C$2:$C$4, O$2)),"****")</f>
        <v/>
      </c>
      <c r="P742" t="str">
        <f>IFERROR(IF($C742="","",SUMIFS(Ledger!$K$2:$K$4, Ledger!$B$2:$B$4, $A742, Ledger!$C$2:$C$4, P$2)),"****")</f>
        <v/>
      </c>
      <c r="Q742" t="str">
        <f>IFERROR(IF($C742="","",SUMIFS(Ledger!$K$2:$K$4, Ledger!$B$2:$B$4, $A742, Ledger!$C$2:$C$4, Q$2)),"****")</f>
        <v/>
      </c>
      <c r="R742" t="str">
        <f>IFERROR(IF($C742="","",SUMIFS(Ledger!$K$2:$K$4, Ledger!$B$2:$B$4, $A742, Ledger!$C$2:$C$4, R$2)),"****")</f>
        <v/>
      </c>
      <c r="S742" t="str">
        <f>IFERROR(IF($C742="","",SUMIFS(Ledger!$K$2:$K$4, Ledger!$B$2:$B$4, $A742, Ledger!$C$2:$C$4, S$2)),"****")</f>
        <v/>
      </c>
      <c r="T742" t="str">
        <f>IFERROR(IF($C742="","",SUMIFS(Ledger!$K$2:$K$4, Ledger!$B$2:$B$4, $A742, Ledger!$C$2:$C$4, T$2)),"****")</f>
        <v/>
      </c>
      <c r="U742" t="str">
        <f>IFERROR(IF($C742="","",SUMIFS(Ledger!$K$2:$K$4, Ledger!$B$2:$B$4, $A742, Ledger!$C$2:$C$4, U$2)),"****")</f>
        <v/>
      </c>
      <c r="V742" t="str">
        <f>IFERROR(IF($C742="","",SUMIFS(Ledger!$K$2:$K$4, Ledger!$B$2:$B$4, $A742, Ledger!$C$2:$C$4, V$2)),"****")</f>
        <v/>
      </c>
      <c r="W742" t="str">
        <f>IFERROR(IF($C742="","",SUMIFS(Ledger!$K$2:$K$4, Ledger!$B$2:$B$4, $A742, Ledger!$C$2:$C$4, W$2)),"****")</f>
        <v/>
      </c>
      <c r="X742" t="str">
        <f>IFERROR(IF($C742="","",SUMIFS(Ledger!$K$2:$K$4, Ledger!$B$2:$B$4, $A742, Ledger!$C$2:$C$4, X$2)),"****")</f>
        <v/>
      </c>
    </row>
    <row r="743" spans="1:24" x14ac:dyDescent="0.3">
      <c r="A743" s="106">
        <v>741</v>
      </c>
      <c r="B743" t="str">
        <f>IFERROR(VLOOKUP($A743, Ledger!$B$2:$L$8, 3, 0),"")</f>
        <v/>
      </c>
      <c r="C743" t="str">
        <f>IFERROR(VLOOKUP($A743, Ledger!$B$2:$L$8, 4, 0),"")</f>
        <v/>
      </c>
      <c r="D743" t="str">
        <f>IFERROR(VLOOKUP($A743, Ledger!$B$2:$L$8, 5, 0),"")</f>
        <v/>
      </c>
      <c r="E743" t="str">
        <f>IFERROR(VLOOKUP($A743, Ledger!$B$2:$L$8, 6, 0),"")</f>
        <v/>
      </c>
      <c r="F743" t="str">
        <f>IFERROR(VLOOKUP($A743,'Student Data'!$A$2:$AR$6,32,0),"")</f>
        <v/>
      </c>
      <c r="G743" t="str">
        <f>IFERROR(VLOOKUP($A743,'Student Data'!$A$2:$AR$6,33,0),"")</f>
        <v/>
      </c>
      <c r="H743" t="str">
        <f>IFERROR(VLOOKUP($A743,'Student Data'!$A$2:$AR$6,34,0),"")</f>
        <v/>
      </c>
      <c r="I743" t="str">
        <f>IFERROR(VLOOKUP($A743,'Student Data'!$A$2:$AR$6,35,0),"")</f>
        <v/>
      </c>
      <c r="J743" t="str">
        <f>IFERROR(VLOOKUP($A743,'Student Data'!$A$2:$AR$6,36,0),"")</f>
        <v/>
      </c>
      <c r="K743" t="str">
        <f t="shared" si="22"/>
        <v/>
      </c>
      <c r="L743" t="str">
        <f t="shared" si="23"/>
        <v/>
      </c>
      <c r="M743" t="str">
        <f>IFERROR(IF($C743="","",SUMIFS(Ledger!$K$2:$K$4, Ledger!$B$2:$B$4, $A743, Ledger!$C$2:$C$4, M$2)),"****")</f>
        <v/>
      </c>
      <c r="N743" t="str">
        <f>IFERROR(IF($C743="","",SUMIFS(Ledger!$K$2:$K$4, Ledger!$B$2:$B$4, $A743, Ledger!$C$2:$C$4, N$2)),"****")</f>
        <v/>
      </c>
      <c r="O743" t="str">
        <f>IFERROR(IF($C743="","",SUMIFS(Ledger!$K$2:$K$4, Ledger!$B$2:$B$4, $A743, Ledger!$C$2:$C$4, O$2)),"****")</f>
        <v/>
      </c>
      <c r="P743" t="str">
        <f>IFERROR(IF($C743="","",SUMIFS(Ledger!$K$2:$K$4, Ledger!$B$2:$B$4, $A743, Ledger!$C$2:$C$4, P$2)),"****")</f>
        <v/>
      </c>
      <c r="Q743" t="str">
        <f>IFERROR(IF($C743="","",SUMIFS(Ledger!$K$2:$K$4, Ledger!$B$2:$B$4, $A743, Ledger!$C$2:$C$4, Q$2)),"****")</f>
        <v/>
      </c>
      <c r="R743" t="str">
        <f>IFERROR(IF($C743="","",SUMIFS(Ledger!$K$2:$K$4, Ledger!$B$2:$B$4, $A743, Ledger!$C$2:$C$4, R$2)),"****")</f>
        <v/>
      </c>
      <c r="S743" t="str">
        <f>IFERROR(IF($C743="","",SUMIFS(Ledger!$K$2:$K$4, Ledger!$B$2:$B$4, $A743, Ledger!$C$2:$C$4, S$2)),"****")</f>
        <v/>
      </c>
      <c r="T743" t="str">
        <f>IFERROR(IF($C743="","",SUMIFS(Ledger!$K$2:$K$4, Ledger!$B$2:$B$4, $A743, Ledger!$C$2:$C$4, T$2)),"****")</f>
        <v/>
      </c>
      <c r="U743" t="str">
        <f>IFERROR(IF($C743="","",SUMIFS(Ledger!$K$2:$K$4, Ledger!$B$2:$B$4, $A743, Ledger!$C$2:$C$4, U$2)),"****")</f>
        <v/>
      </c>
      <c r="V743" t="str">
        <f>IFERROR(IF($C743="","",SUMIFS(Ledger!$K$2:$K$4, Ledger!$B$2:$B$4, $A743, Ledger!$C$2:$C$4, V$2)),"****")</f>
        <v/>
      </c>
      <c r="W743" t="str">
        <f>IFERROR(IF($C743="","",SUMIFS(Ledger!$K$2:$K$4, Ledger!$B$2:$B$4, $A743, Ledger!$C$2:$C$4, W$2)),"****")</f>
        <v/>
      </c>
      <c r="X743" t="str">
        <f>IFERROR(IF($C743="","",SUMIFS(Ledger!$K$2:$K$4, Ledger!$B$2:$B$4, $A743, Ledger!$C$2:$C$4, X$2)),"****")</f>
        <v/>
      </c>
    </row>
    <row r="744" spans="1:24" x14ac:dyDescent="0.3">
      <c r="A744" s="106">
        <v>742</v>
      </c>
      <c r="B744" t="str">
        <f>IFERROR(VLOOKUP($A744, Ledger!$B$2:$L$8, 3, 0),"")</f>
        <v/>
      </c>
      <c r="C744" t="str">
        <f>IFERROR(VLOOKUP($A744, Ledger!$B$2:$L$8, 4, 0),"")</f>
        <v/>
      </c>
      <c r="D744" t="str">
        <f>IFERROR(VLOOKUP($A744, Ledger!$B$2:$L$8, 5, 0),"")</f>
        <v/>
      </c>
      <c r="E744" t="str">
        <f>IFERROR(VLOOKUP($A744, Ledger!$B$2:$L$8, 6, 0),"")</f>
        <v/>
      </c>
      <c r="F744" t="str">
        <f>IFERROR(VLOOKUP($A744,'Student Data'!$A$2:$AR$6,32,0),"")</f>
        <v/>
      </c>
      <c r="G744" t="str">
        <f>IFERROR(VLOOKUP($A744,'Student Data'!$A$2:$AR$6,33,0),"")</f>
        <v/>
      </c>
      <c r="H744" t="str">
        <f>IFERROR(VLOOKUP($A744,'Student Data'!$A$2:$AR$6,34,0),"")</f>
        <v/>
      </c>
      <c r="I744" t="str">
        <f>IFERROR(VLOOKUP($A744,'Student Data'!$A$2:$AR$6,35,0),"")</f>
        <v/>
      </c>
      <c r="J744" t="str">
        <f>IFERROR(VLOOKUP($A744,'Student Data'!$A$2:$AR$6,36,0),"")</f>
        <v/>
      </c>
      <c r="K744" t="str">
        <f t="shared" si="22"/>
        <v/>
      </c>
      <c r="L744" t="str">
        <f t="shared" si="23"/>
        <v/>
      </c>
      <c r="M744" t="str">
        <f>IFERROR(IF($C744="","",SUMIFS(Ledger!$K$2:$K$4, Ledger!$B$2:$B$4, $A744, Ledger!$C$2:$C$4, M$2)),"****")</f>
        <v/>
      </c>
      <c r="N744" t="str">
        <f>IFERROR(IF($C744="","",SUMIFS(Ledger!$K$2:$K$4, Ledger!$B$2:$B$4, $A744, Ledger!$C$2:$C$4, N$2)),"****")</f>
        <v/>
      </c>
      <c r="O744" t="str">
        <f>IFERROR(IF($C744="","",SUMIFS(Ledger!$K$2:$K$4, Ledger!$B$2:$B$4, $A744, Ledger!$C$2:$C$4, O$2)),"****")</f>
        <v/>
      </c>
      <c r="P744" t="str">
        <f>IFERROR(IF($C744="","",SUMIFS(Ledger!$K$2:$K$4, Ledger!$B$2:$B$4, $A744, Ledger!$C$2:$C$4, P$2)),"****")</f>
        <v/>
      </c>
      <c r="Q744" t="str">
        <f>IFERROR(IF($C744="","",SUMIFS(Ledger!$K$2:$K$4, Ledger!$B$2:$B$4, $A744, Ledger!$C$2:$C$4, Q$2)),"****")</f>
        <v/>
      </c>
      <c r="R744" t="str">
        <f>IFERROR(IF($C744="","",SUMIFS(Ledger!$K$2:$K$4, Ledger!$B$2:$B$4, $A744, Ledger!$C$2:$C$4, R$2)),"****")</f>
        <v/>
      </c>
      <c r="S744" t="str">
        <f>IFERROR(IF($C744="","",SUMIFS(Ledger!$K$2:$K$4, Ledger!$B$2:$B$4, $A744, Ledger!$C$2:$C$4, S$2)),"****")</f>
        <v/>
      </c>
      <c r="T744" t="str">
        <f>IFERROR(IF($C744="","",SUMIFS(Ledger!$K$2:$K$4, Ledger!$B$2:$B$4, $A744, Ledger!$C$2:$C$4, T$2)),"****")</f>
        <v/>
      </c>
      <c r="U744" t="str">
        <f>IFERROR(IF($C744="","",SUMIFS(Ledger!$K$2:$K$4, Ledger!$B$2:$B$4, $A744, Ledger!$C$2:$C$4, U$2)),"****")</f>
        <v/>
      </c>
      <c r="V744" t="str">
        <f>IFERROR(IF($C744="","",SUMIFS(Ledger!$K$2:$K$4, Ledger!$B$2:$B$4, $A744, Ledger!$C$2:$C$4, V$2)),"****")</f>
        <v/>
      </c>
      <c r="W744" t="str">
        <f>IFERROR(IF($C744="","",SUMIFS(Ledger!$K$2:$K$4, Ledger!$B$2:$B$4, $A744, Ledger!$C$2:$C$4, W$2)),"****")</f>
        <v/>
      </c>
      <c r="X744" t="str">
        <f>IFERROR(IF($C744="","",SUMIFS(Ledger!$K$2:$K$4, Ledger!$B$2:$B$4, $A744, Ledger!$C$2:$C$4, X$2)),"****")</f>
        <v/>
      </c>
    </row>
    <row r="745" spans="1:24" x14ac:dyDescent="0.3">
      <c r="A745" s="106">
        <v>743</v>
      </c>
      <c r="B745" t="str">
        <f>IFERROR(VLOOKUP($A745, Ledger!$B$2:$L$8, 3, 0),"")</f>
        <v/>
      </c>
      <c r="C745" t="str">
        <f>IFERROR(VLOOKUP($A745, Ledger!$B$2:$L$8, 4, 0),"")</f>
        <v/>
      </c>
      <c r="D745" t="str">
        <f>IFERROR(VLOOKUP($A745, Ledger!$B$2:$L$8, 5, 0),"")</f>
        <v/>
      </c>
      <c r="E745" t="str">
        <f>IFERROR(VLOOKUP($A745, Ledger!$B$2:$L$8, 6, 0),"")</f>
        <v/>
      </c>
      <c r="F745" t="str">
        <f>IFERROR(VLOOKUP($A745,'Student Data'!$A$2:$AR$6,32,0),"")</f>
        <v/>
      </c>
      <c r="G745" t="str">
        <f>IFERROR(VLOOKUP($A745,'Student Data'!$A$2:$AR$6,33,0),"")</f>
        <v/>
      </c>
      <c r="H745" t="str">
        <f>IFERROR(VLOOKUP($A745,'Student Data'!$A$2:$AR$6,34,0),"")</f>
        <v/>
      </c>
      <c r="I745" t="str">
        <f>IFERROR(VLOOKUP($A745,'Student Data'!$A$2:$AR$6,35,0),"")</f>
        <v/>
      </c>
      <c r="J745" t="str">
        <f>IFERROR(VLOOKUP($A745,'Student Data'!$A$2:$AR$6,36,0),"")</f>
        <v/>
      </c>
      <c r="K745" t="str">
        <f t="shared" si="22"/>
        <v/>
      </c>
      <c r="L745" t="str">
        <f t="shared" si="23"/>
        <v/>
      </c>
      <c r="M745" t="str">
        <f>IFERROR(IF($C745="","",SUMIFS(Ledger!$K$2:$K$4, Ledger!$B$2:$B$4, $A745, Ledger!$C$2:$C$4, M$2)),"****")</f>
        <v/>
      </c>
      <c r="N745" t="str">
        <f>IFERROR(IF($C745="","",SUMIFS(Ledger!$K$2:$K$4, Ledger!$B$2:$B$4, $A745, Ledger!$C$2:$C$4, N$2)),"****")</f>
        <v/>
      </c>
      <c r="O745" t="str">
        <f>IFERROR(IF($C745="","",SUMIFS(Ledger!$K$2:$K$4, Ledger!$B$2:$B$4, $A745, Ledger!$C$2:$C$4, O$2)),"****")</f>
        <v/>
      </c>
      <c r="P745" t="str">
        <f>IFERROR(IF($C745="","",SUMIFS(Ledger!$K$2:$K$4, Ledger!$B$2:$B$4, $A745, Ledger!$C$2:$C$4, P$2)),"****")</f>
        <v/>
      </c>
      <c r="Q745" t="str">
        <f>IFERROR(IF($C745="","",SUMIFS(Ledger!$K$2:$K$4, Ledger!$B$2:$B$4, $A745, Ledger!$C$2:$C$4, Q$2)),"****")</f>
        <v/>
      </c>
      <c r="R745" t="str">
        <f>IFERROR(IF($C745="","",SUMIFS(Ledger!$K$2:$K$4, Ledger!$B$2:$B$4, $A745, Ledger!$C$2:$C$4, R$2)),"****")</f>
        <v/>
      </c>
      <c r="S745" t="str">
        <f>IFERROR(IF($C745="","",SUMIFS(Ledger!$K$2:$K$4, Ledger!$B$2:$B$4, $A745, Ledger!$C$2:$C$4, S$2)),"****")</f>
        <v/>
      </c>
      <c r="T745" t="str">
        <f>IFERROR(IF($C745="","",SUMIFS(Ledger!$K$2:$K$4, Ledger!$B$2:$B$4, $A745, Ledger!$C$2:$C$4, T$2)),"****")</f>
        <v/>
      </c>
      <c r="U745" t="str">
        <f>IFERROR(IF($C745="","",SUMIFS(Ledger!$K$2:$K$4, Ledger!$B$2:$B$4, $A745, Ledger!$C$2:$C$4, U$2)),"****")</f>
        <v/>
      </c>
      <c r="V745" t="str">
        <f>IFERROR(IF($C745="","",SUMIFS(Ledger!$K$2:$K$4, Ledger!$B$2:$B$4, $A745, Ledger!$C$2:$C$4, V$2)),"****")</f>
        <v/>
      </c>
      <c r="W745" t="str">
        <f>IFERROR(IF($C745="","",SUMIFS(Ledger!$K$2:$K$4, Ledger!$B$2:$B$4, $A745, Ledger!$C$2:$C$4, W$2)),"****")</f>
        <v/>
      </c>
      <c r="X745" t="str">
        <f>IFERROR(IF($C745="","",SUMIFS(Ledger!$K$2:$K$4, Ledger!$B$2:$B$4, $A745, Ledger!$C$2:$C$4, X$2)),"****")</f>
        <v/>
      </c>
    </row>
    <row r="746" spans="1:24" x14ac:dyDescent="0.3">
      <c r="A746" s="106">
        <v>744</v>
      </c>
      <c r="B746" t="str">
        <f>IFERROR(VLOOKUP($A746, Ledger!$B$2:$L$8, 3, 0),"")</f>
        <v/>
      </c>
      <c r="C746" t="str">
        <f>IFERROR(VLOOKUP($A746, Ledger!$B$2:$L$8, 4, 0),"")</f>
        <v/>
      </c>
      <c r="D746" t="str">
        <f>IFERROR(VLOOKUP($A746, Ledger!$B$2:$L$8, 5, 0),"")</f>
        <v/>
      </c>
      <c r="E746" t="str">
        <f>IFERROR(VLOOKUP($A746, Ledger!$B$2:$L$8, 6, 0),"")</f>
        <v/>
      </c>
      <c r="F746" t="str">
        <f>IFERROR(VLOOKUP($A746,'Student Data'!$A$2:$AR$6,32,0),"")</f>
        <v/>
      </c>
      <c r="G746" t="str">
        <f>IFERROR(VLOOKUP($A746,'Student Data'!$A$2:$AR$6,33,0),"")</f>
        <v/>
      </c>
      <c r="H746" t="str">
        <f>IFERROR(VLOOKUP($A746,'Student Data'!$A$2:$AR$6,34,0),"")</f>
        <v/>
      </c>
      <c r="I746" t="str">
        <f>IFERROR(VLOOKUP($A746,'Student Data'!$A$2:$AR$6,35,0),"")</f>
        <v/>
      </c>
      <c r="J746" t="str">
        <f>IFERROR(VLOOKUP($A746,'Student Data'!$A$2:$AR$6,36,0),"")</f>
        <v/>
      </c>
      <c r="K746" t="str">
        <f t="shared" si="22"/>
        <v/>
      </c>
      <c r="L746" t="str">
        <f t="shared" si="23"/>
        <v/>
      </c>
      <c r="M746" t="str">
        <f>IFERROR(IF($C746="","",SUMIFS(Ledger!$K$2:$K$4, Ledger!$B$2:$B$4, $A746, Ledger!$C$2:$C$4, M$2)),"****")</f>
        <v/>
      </c>
      <c r="N746" t="str">
        <f>IFERROR(IF($C746="","",SUMIFS(Ledger!$K$2:$K$4, Ledger!$B$2:$B$4, $A746, Ledger!$C$2:$C$4, N$2)),"****")</f>
        <v/>
      </c>
      <c r="O746" t="str">
        <f>IFERROR(IF($C746="","",SUMIFS(Ledger!$K$2:$K$4, Ledger!$B$2:$B$4, $A746, Ledger!$C$2:$C$4, O$2)),"****")</f>
        <v/>
      </c>
      <c r="P746" t="str">
        <f>IFERROR(IF($C746="","",SUMIFS(Ledger!$K$2:$K$4, Ledger!$B$2:$B$4, $A746, Ledger!$C$2:$C$4, P$2)),"****")</f>
        <v/>
      </c>
      <c r="Q746" t="str">
        <f>IFERROR(IF($C746="","",SUMIFS(Ledger!$K$2:$K$4, Ledger!$B$2:$B$4, $A746, Ledger!$C$2:$C$4, Q$2)),"****")</f>
        <v/>
      </c>
      <c r="R746" t="str">
        <f>IFERROR(IF($C746="","",SUMIFS(Ledger!$K$2:$K$4, Ledger!$B$2:$B$4, $A746, Ledger!$C$2:$C$4, R$2)),"****")</f>
        <v/>
      </c>
      <c r="S746" t="str">
        <f>IFERROR(IF($C746="","",SUMIFS(Ledger!$K$2:$K$4, Ledger!$B$2:$B$4, $A746, Ledger!$C$2:$C$4, S$2)),"****")</f>
        <v/>
      </c>
      <c r="T746" t="str">
        <f>IFERROR(IF($C746="","",SUMIFS(Ledger!$K$2:$K$4, Ledger!$B$2:$B$4, $A746, Ledger!$C$2:$C$4, T$2)),"****")</f>
        <v/>
      </c>
      <c r="U746" t="str">
        <f>IFERROR(IF($C746="","",SUMIFS(Ledger!$K$2:$K$4, Ledger!$B$2:$B$4, $A746, Ledger!$C$2:$C$4, U$2)),"****")</f>
        <v/>
      </c>
      <c r="V746" t="str">
        <f>IFERROR(IF($C746="","",SUMIFS(Ledger!$K$2:$K$4, Ledger!$B$2:$B$4, $A746, Ledger!$C$2:$C$4, V$2)),"****")</f>
        <v/>
      </c>
      <c r="W746" t="str">
        <f>IFERROR(IF($C746="","",SUMIFS(Ledger!$K$2:$K$4, Ledger!$B$2:$B$4, $A746, Ledger!$C$2:$C$4, W$2)),"****")</f>
        <v/>
      </c>
      <c r="X746" t="str">
        <f>IFERROR(IF($C746="","",SUMIFS(Ledger!$K$2:$K$4, Ledger!$B$2:$B$4, $A746, Ledger!$C$2:$C$4, X$2)),"****")</f>
        <v/>
      </c>
    </row>
    <row r="747" spans="1:24" x14ac:dyDescent="0.3">
      <c r="A747" s="106">
        <v>745</v>
      </c>
      <c r="B747" t="str">
        <f>IFERROR(VLOOKUP($A747, Ledger!$B$2:$L$8, 3, 0),"")</f>
        <v/>
      </c>
      <c r="C747" t="str">
        <f>IFERROR(VLOOKUP($A747, Ledger!$B$2:$L$8, 4, 0),"")</f>
        <v/>
      </c>
      <c r="D747" t="str">
        <f>IFERROR(VLOOKUP($A747, Ledger!$B$2:$L$8, 5, 0),"")</f>
        <v/>
      </c>
      <c r="E747" t="str">
        <f>IFERROR(VLOOKUP($A747, Ledger!$B$2:$L$8, 6, 0),"")</f>
        <v/>
      </c>
      <c r="F747" t="str">
        <f>IFERROR(VLOOKUP($A747,'Student Data'!$A$2:$AR$6,32,0),"")</f>
        <v/>
      </c>
      <c r="G747" t="str">
        <f>IFERROR(VLOOKUP($A747,'Student Data'!$A$2:$AR$6,33,0),"")</f>
        <v/>
      </c>
      <c r="H747" t="str">
        <f>IFERROR(VLOOKUP($A747,'Student Data'!$A$2:$AR$6,34,0),"")</f>
        <v/>
      </c>
      <c r="I747" t="str">
        <f>IFERROR(VLOOKUP($A747,'Student Data'!$A$2:$AR$6,35,0),"")</f>
        <v/>
      </c>
      <c r="J747" t="str">
        <f>IFERROR(VLOOKUP($A747,'Student Data'!$A$2:$AR$6,36,0),"")</f>
        <v/>
      </c>
      <c r="K747" t="str">
        <f t="shared" si="22"/>
        <v/>
      </c>
      <c r="L747" t="str">
        <f t="shared" si="23"/>
        <v/>
      </c>
      <c r="M747" t="str">
        <f>IFERROR(IF($C747="","",SUMIFS(Ledger!$K$2:$K$4, Ledger!$B$2:$B$4, $A747, Ledger!$C$2:$C$4, M$2)),"****")</f>
        <v/>
      </c>
      <c r="N747" t="str">
        <f>IFERROR(IF($C747="","",SUMIFS(Ledger!$K$2:$K$4, Ledger!$B$2:$B$4, $A747, Ledger!$C$2:$C$4, N$2)),"****")</f>
        <v/>
      </c>
      <c r="O747" t="str">
        <f>IFERROR(IF($C747="","",SUMIFS(Ledger!$K$2:$K$4, Ledger!$B$2:$B$4, $A747, Ledger!$C$2:$C$4, O$2)),"****")</f>
        <v/>
      </c>
      <c r="P747" t="str">
        <f>IFERROR(IF($C747="","",SUMIFS(Ledger!$K$2:$K$4, Ledger!$B$2:$B$4, $A747, Ledger!$C$2:$C$4, P$2)),"****")</f>
        <v/>
      </c>
      <c r="Q747" t="str">
        <f>IFERROR(IF($C747="","",SUMIFS(Ledger!$K$2:$K$4, Ledger!$B$2:$B$4, $A747, Ledger!$C$2:$C$4, Q$2)),"****")</f>
        <v/>
      </c>
      <c r="R747" t="str">
        <f>IFERROR(IF($C747="","",SUMIFS(Ledger!$K$2:$K$4, Ledger!$B$2:$B$4, $A747, Ledger!$C$2:$C$4, R$2)),"****")</f>
        <v/>
      </c>
      <c r="S747" t="str">
        <f>IFERROR(IF($C747="","",SUMIFS(Ledger!$K$2:$K$4, Ledger!$B$2:$B$4, $A747, Ledger!$C$2:$C$4, S$2)),"****")</f>
        <v/>
      </c>
      <c r="T747" t="str">
        <f>IFERROR(IF($C747="","",SUMIFS(Ledger!$K$2:$K$4, Ledger!$B$2:$B$4, $A747, Ledger!$C$2:$C$4, T$2)),"****")</f>
        <v/>
      </c>
      <c r="U747" t="str">
        <f>IFERROR(IF($C747="","",SUMIFS(Ledger!$K$2:$K$4, Ledger!$B$2:$B$4, $A747, Ledger!$C$2:$C$4, U$2)),"****")</f>
        <v/>
      </c>
      <c r="V747" t="str">
        <f>IFERROR(IF($C747="","",SUMIFS(Ledger!$K$2:$K$4, Ledger!$B$2:$B$4, $A747, Ledger!$C$2:$C$4, V$2)),"****")</f>
        <v/>
      </c>
      <c r="W747" t="str">
        <f>IFERROR(IF($C747="","",SUMIFS(Ledger!$K$2:$K$4, Ledger!$B$2:$B$4, $A747, Ledger!$C$2:$C$4, W$2)),"****")</f>
        <v/>
      </c>
      <c r="X747" t="str">
        <f>IFERROR(IF($C747="","",SUMIFS(Ledger!$K$2:$K$4, Ledger!$B$2:$B$4, $A747, Ledger!$C$2:$C$4, X$2)),"****")</f>
        <v/>
      </c>
    </row>
    <row r="748" spans="1:24" x14ac:dyDescent="0.3">
      <c r="A748" s="106">
        <v>746</v>
      </c>
      <c r="B748" t="str">
        <f>IFERROR(VLOOKUP($A748, Ledger!$B$2:$L$8, 3, 0),"")</f>
        <v/>
      </c>
      <c r="C748" t="str">
        <f>IFERROR(VLOOKUP($A748, Ledger!$B$2:$L$8, 4, 0),"")</f>
        <v/>
      </c>
      <c r="D748" t="str">
        <f>IFERROR(VLOOKUP($A748, Ledger!$B$2:$L$8, 5, 0),"")</f>
        <v/>
      </c>
      <c r="E748" t="str">
        <f>IFERROR(VLOOKUP($A748, Ledger!$B$2:$L$8, 6, 0),"")</f>
        <v/>
      </c>
      <c r="F748" t="str">
        <f>IFERROR(VLOOKUP($A748,'Student Data'!$A$2:$AR$6,32,0),"")</f>
        <v/>
      </c>
      <c r="G748" t="str">
        <f>IFERROR(VLOOKUP($A748,'Student Data'!$A$2:$AR$6,33,0),"")</f>
        <v/>
      </c>
      <c r="H748" t="str">
        <f>IFERROR(VLOOKUP($A748,'Student Data'!$A$2:$AR$6,34,0),"")</f>
        <v/>
      </c>
      <c r="I748" t="str">
        <f>IFERROR(VLOOKUP($A748,'Student Data'!$A$2:$AR$6,35,0),"")</f>
        <v/>
      </c>
      <c r="J748" t="str">
        <f>IFERROR(VLOOKUP($A748,'Student Data'!$A$2:$AR$6,36,0),"")</f>
        <v/>
      </c>
      <c r="K748" t="str">
        <f t="shared" si="22"/>
        <v/>
      </c>
      <c r="L748" t="str">
        <f t="shared" si="23"/>
        <v/>
      </c>
      <c r="M748" t="str">
        <f>IFERROR(IF($C748="","",SUMIFS(Ledger!$K$2:$K$4, Ledger!$B$2:$B$4, $A748, Ledger!$C$2:$C$4, M$2)),"****")</f>
        <v/>
      </c>
      <c r="N748" t="str">
        <f>IFERROR(IF($C748="","",SUMIFS(Ledger!$K$2:$K$4, Ledger!$B$2:$B$4, $A748, Ledger!$C$2:$C$4, N$2)),"****")</f>
        <v/>
      </c>
      <c r="O748" t="str">
        <f>IFERROR(IF($C748="","",SUMIFS(Ledger!$K$2:$K$4, Ledger!$B$2:$B$4, $A748, Ledger!$C$2:$C$4, O$2)),"****")</f>
        <v/>
      </c>
      <c r="P748" t="str">
        <f>IFERROR(IF($C748="","",SUMIFS(Ledger!$K$2:$K$4, Ledger!$B$2:$B$4, $A748, Ledger!$C$2:$C$4, P$2)),"****")</f>
        <v/>
      </c>
      <c r="Q748" t="str">
        <f>IFERROR(IF($C748="","",SUMIFS(Ledger!$K$2:$K$4, Ledger!$B$2:$B$4, $A748, Ledger!$C$2:$C$4, Q$2)),"****")</f>
        <v/>
      </c>
      <c r="R748" t="str">
        <f>IFERROR(IF($C748="","",SUMIFS(Ledger!$K$2:$K$4, Ledger!$B$2:$B$4, $A748, Ledger!$C$2:$C$4, R$2)),"****")</f>
        <v/>
      </c>
      <c r="S748" t="str">
        <f>IFERROR(IF($C748="","",SUMIFS(Ledger!$K$2:$K$4, Ledger!$B$2:$B$4, $A748, Ledger!$C$2:$C$4, S$2)),"****")</f>
        <v/>
      </c>
      <c r="T748" t="str">
        <f>IFERROR(IF($C748="","",SUMIFS(Ledger!$K$2:$K$4, Ledger!$B$2:$B$4, $A748, Ledger!$C$2:$C$4, T$2)),"****")</f>
        <v/>
      </c>
      <c r="U748" t="str">
        <f>IFERROR(IF($C748="","",SUMIFS(Ledger!$K$2:$K$4, Ledger!$B$2:$B$4, $A748, Ledger!$C$2:$C$4, U$2)),"****")</f>
        <v/>
      </c>
      <c r="V748" t="str">
        <f>IFERROR(IF($C748="","",SUMIFS(Ledger!$K$2:$K$4, Ledger!$B$2:$B$4, $A748, Ledger!$C$2:$C$4, V$2)),"****")</f>
        <v/>
      </c>
      <c r="W748" t="str">
        <f>IFERROR(IF($C748="","",SUMIFS(Ledger!$K$2:$K$4, Ledger!$B$2:$B$4, $A748, Ledger!$C$2:$C$4, W$2)),"****")</f>
        <v/>
      </c>
      <c r="X748" t="str">
        <f>IFERROR(IF($C748="","",SUMIFS(Ledger!$K$2:$K$4, Ledger!$B$2:$B$4, $A748, Ledger!$C$2:$C$4, X$2)),"****")</f>
        <v/>
      </c>
    </row>
    <row r="749" spans="1:24" x14ac:dyDescent="0.3">
      <c r="A749" s="106">
        <v>747</v>
      </c>
      <c r="B749" t="str">
        <f>IFERROR(VLOOKUP($A749, Ledger!$B$2:$L$8, 3, 0),"")</f>
        <v/>
      </c>
      <c r="C749" t="str">
        <f>IFERROR(VLOOKUP($A749, Ledger!$B$2:$L$8, 4, 0),"")</f>
        <v/>
      </c>
      <c r="D749" t="str">
        <f>IFERROR(VLOOKUP($A749, Ledger!$B$2:$L$8, 5, 0),"")</f>
        <v/>
      </c>
      <c r="E749" t="str">
        <f>IFERROR(VLOOKUP($A749, Ledger!$B$2:$L$8, 6, 0),"")</f>
        <v/>
      </c>
      <c r="F749" t="str">
        <f>IFERROR(VLOOKUP($A749,'Student Data'!$A$2:$AR$6,32,0),"")</f>
        <v/>
      </c>
      <c r="G749" t="str">
        <f>IFERROR(VLOOKUP($A749,'Student Data'!$A$2:$AR$6,33,0),"")</f>
        <v/>
      </c>
      <c r="H749" t="str">
        <f>IFERROR(VLOOKUP($A749,'Student Data'!$A$2:$AR$6,34,0),"")</f>
        <v/>
      </c>
      <c r="I749" t="str">
        <f>IFERROR(VLOOKUP($A749,'Student Data'!$A$2:$AR$6,35,0),"")</f>
        <v/>
      </c>
      <c r="J749" t="str">
        <f>IFERROR(VLOOKUP($A749,'Student Data'!$A$2:$AR$6,36,0),"")</f>
        <v/>
      </c>
      <c r="K749" t="str">
        <f t="shared" si="22"/>
        <v/>
      </c>
      <c r="L749" t="str">
        <f t="shared" si="23"/>
        <v/>
      </c>
      <c r="M749" t="str">
        <f>IFERROR(IF($C749="","",SUMIFS(Ledger!$K$2:$K$4, Ledger!$B$2:$B$4, $A749, Ledger!$C$2:$C$4, M$2)),"****")</f>
        <v/>
      </c>
      <c r="N749" t="str">
        <f>IFERROR(IF($C749="","",SUMIFS(Ledger!$K$2:$K$4, Ledger!$B$2:$B$4, $A749, Ledger!$C$2:$C$4, N$2)),"****")</f>
        <v/>
      </c>
      <c r="O749" t="str">
        <f>IFERROR(IF($C749="","",SUMIFS(Ledger!$K$2:$K$4, Ledger!$B$2:$B$4, $A749, Ledger!$C$2:$C$4, O$2)),"****")</f>
        <v/>
      </c>
      <c r="P749" t="str">
        <f>IFERROR(IF($C749="","",SUMIFS(Ledger!$K$2:$K$4, Ledger!$B$2:$B$4, $A749, Ledger!$C$2:$C$4, P$2)),"****")</f>
        <v/>
      </c>
      <c r="Q749" t="str">
        <f>IFERROR(IF($C749="","",SUMIFS(Ledger!$K$2:$K$4, Ledger!$B$2:$B$4, $A749, Ledger!$C$2:$C$4, Q$2)),"****")</f>
        <v/>
      </c>
      <c r="R749" t="str">
        <f>IFERROR(IF($C749="","",SUMIFS(Ledger!$K$2:$K$4, Ledger!$B$2:$B$4, $A749, Ledger!$C$2:$C$4, R$2)),"****")</f>
        <v/>
      </c>
      <c r="S749" t="str">
        <f>IFERROR(IF($C749="","",SUMIFS(Ledger!$K$2:$K$4, Ledger!$B$2:$B$4, $A749, Ledger!$C$2:$C$4, S$2)),"****")</f>
        <v/>
      </c>
      <c r="T749" t="str">
        <f>IFERROR(IF($C749="","",SUMIFS(Ledger!$K$2:$K$4, Ledger!$B$2:$B$4, $A749, Ledger!$C$2:$C$4, T$2)),"****")</f>
        <v/>
      </c>
      <c r="U749" t="str">
        <f>IFERROR(IF($C749="","",SUMIFS(Ledger!$K$2:$K$4, Ledger!$B$2:$B$4, $A749, Ledger!$C$2:$C$4, U$2)),"****")</f>
        <v/>
      </c>
      <c r="V749" t="str">
        <f>IFERROR(IF($C749="","",SUMIFS(Ledger!$K$2:$K$4, Ledger!$B$2:$B$4, $A749, Ledger!$C$2:$C$4, V$2)),"****")</f>
        <v/>
      </c>
      <c r="W749" t="str">
        <f>IFERROR(IF($C749="","",SUMIFS(Ledger!$K$2:$K$4, Ledger!$B$2:$B$4, $A749, Ledger!$C$2:$C$4, W$2)),"****")</f>
        <v/>
      </c>
      <c r="X749" t="str">
        <f>IFERROR(IF($C749="","",SUMIFS(Ledger!$K$2:$K$4, Ledger!$B$2:$B$4, $A749, Ledger!$C$2:$C$4, X$2)),"****")</f>
        <v/>
      </c>
    </row>
    <row r="750" spans="1:24" x14ac:dyDescent="0.3">
      <c r="A750" s="106">
        <v>748</v>
      </c>
      <c r="B750" t="str">
        <f>IFERROR(VLOOKUP($A750, Ledger!$B$2:$L$8, 3, 0),"")</f>
        <v/>
      </c>
      <c r="C750" t="str">
        <f>IFERROR(VLOOKUP($A750, Ledger!$B$2:$L$8, 4, 0),"")</f>
        <v/>
      </c>
      <c r="D750" t="str">
        <f>IFERROR(VLOOKUP($A750, Ledger!$B$2:$L$8, 5, 0),"")</f>
        <v/>
      </c>
      <c r="E750" t="str">
        <f>IFERROR(VLOOKUP($A750, Ledger!$B$2:$L$8, 6, 0),"")</f>
        <v/>
      </c>
      <c r="F750" t="str">
        <f>IFERROR(VLOOKUP($A750,'Student Data'!$A$2:$AR$6,32,0),"")</f>
        <v/>
      </c>
      <c r="G750" t="str">
        <f>IFERROR(VLOOKUP($A750,'Student Data'!$A$2:$AR$6,33,0),"")</f>
        <v/>
      </c>
      <c r="H750" t="str">
        <f>IFERROR(VLOOKUP($A750,'Student Data'!$A$2:$AR$6,34,0),"")</f>
        <v/>
      </c>
      <c r="I750" t="str">
        <f>IFERROR(VLOOKUP($A750,'Student Data'!$A$2:$AR$6,35,0),"")</f>
        <v/>
      </c>
      <c r="J750" t="str">
        <f>IFERROR(VLOOKUP($A750,'Student Data'!$A$2:$AR$6,36,0),"")</f>
        <v/>
      </c>
      <c r="K750" t="str">
        <f t="shared" si="22"/>
        <v/>
      </c>
      <c r="L750" t="str">
        <f t="shared" si="23"/>
        <v/>
      </c>
      <c r="M750" t="str">
        <f>IFERROR(IF($C750="","",SUMIFS(Ledger!$K$2:$K$4, Ledger!$B$2:$B$4, $A750, Ledger!$C$2:$C$4, M$2)),"****")</f>
        <v/>
      </c>
      <c r="N750" t="str">
        <f>IFERROR(IF($C750="","",SUMIFS(Ledger!$K$2:$K$4, Ledger!$B$2:$B$4, $A750, Ledger!$C$2:$C$4, N$2)),"****")</f>
        <v/>
      </c>
      <c r="O750" t="str">
        <f>IFERROR(IF($C750="","",SUMIFS(Ledger!$K$2:$K$4, Ledger!$B$2:$B$4, $A750, Ledger!$C$2:$C$4, O$2)),"****")</f>
        <v/>
      </c>
      <c r="P750" t="str">
        <f>IFERROR(IF($C750="","",SUMIFS(Ledger!$K$2:$K$4, Ledger!$B$2:$B$4, $A750, Ledger!$C$2:$C$4, P$2)),"****")</f>
        <v/>
      </c>
      <c r="Q750" t="str">
        <f>IFERROR(IF($C750="","",SUMIFS(Ledger!$K$2:$K$4, Ledger!$B$2:$B$4, $A750, Ledger!$C$2:$C$4, Q$2)),"****")</f>
        <v/>
      </c>
      <c r="R750" t="str">
        <f>IFERROR(IF($C750="","",SUMIFS(Ledger!$K$2:$K$4, Ledger!$B$2:$B$4, $A750, Ledger!$C$2:$C$4, R$2)),"****")</f>
        <v/>
      </c>
      <c r="S750" t="str">
        <f>IFERROR(IF($C750="","",SUMIFS(Ledger!$K$2:$K$4, Ledger!$B$2:$B$4, $A750, Ledger!$C$2:$C$4, S$2)),"****")</f>
        <v/>
      </c>
      <c r="T750" t="str">
        <f>IFERROR(IF($C750="","",SUMIFS(Ledger!$K$2:$K$4, Ledger!$B$2:$B$4, $A750, Ledger!$C$2:$C$4, T$2)),"****")</f>
        <v/>
      </c>
      <c r="U750" t="str">
        <f>IFERROR(IF($C750="","",SUMIFS(Ledger!$K$2:$K$4, Ledger!$B$2:$B$4, $A750, Ledger!$C$2:$C$4, U$2)),"****")</f>
        <v/>
      </c>
      <c r="V750" t="str">
        <f>IFERROR(IF($C750="","",SUMIFS(Ledger!$K$2:$K$4, Ledger!$B$2:$B$4, $A750, Ledger!$C$2:$C$4, V$2)),"****")</f>
        <v/>
      </c>
      <c r="W750" t="str">
        <f>IFERROR(IF($C750="","",SUMIFS(Ledger!$K$2:$K$4, Ledger!$B$2:$B$4, $A750, Ledger!$C$2:$C$4, W$2)),"****")</f>
        <v/>
      </c>
      <c r="X750" t="str">
        <f>IFERROR(IF($C750="","",SUMIFS(Ledger!$K$2:$K$4, Ledger!$B$2:$B$4, $A750, Ledger!$C$2:$C$4, X$2)),"****")</f>
        <v/>
      </c>
    </row>
    <row r="751" spans="1:24" x14ac:dyDescent="0.3">
      <c r="A751" s="106">
        <v>749</v>
      </c>
      <c r="B751" t="str">
        <f>IFERROR(VLOOKUP($A751, Ledger!$B$2:$L$8, 3, 0),"")</f>
        <v/>
      </c>
      <c r="C751" t="str">
        <f>IFERROR(VLOOKUP($A751, Ledger!$B$2:$L$8, 4, 0),"")</f>
        <v/>
      </c>
      <c r="D751" t="str">
        <f>IFERROR(VLOOKUP($A751, Ledger!$B$2:$L$8, 5, 0),"")</f>
        <v/>
      </c>
      <c r="E751" t="str">
        <f>IFERROR(VLOOKUP($A751, Ledger!$B$2:$L$8, 6, 0),"")</f>
        <v/>
      </c>
      <c r="F751" t="str">
        <f>IFERROR(VLOOKUP($A751,'Student Data'!$A$2:$AR$6,32,0),"")</f>
        <v/>
      </c>
      <c r="G751" t="str">
        <f>IFERROR(VLOOKUP($A751,'Student Data'!$A$2:$AR$6,33,0),"")</f>
        <v/>
      </c>
      <c r="H751" t="str">
        <f>IFERROR(VLOOKUP($A751,'Student Data'!$A$2:$AR$6,34,0),"")</f>
        <v/>
      </c>
      <c r="I751" t="str">
        <f>IFERROR(VLOOKUP($A751,'Student Data'!$A$2:$AR$6,35,0),"")</f>
        <v/>
      </c>
      <c r="J751" t="str">
        <f>IFERROR(VLOOKUP($A751,'Student Data'!$A$2:$AR$6,36,0),"")</f>
        <v/>
      </c>
      <c r="K751" t="str">
        <f t="shared" si="22"/>
        <v/>
      </c>
      <c r="L751" t="str">
        <f t="shared" si="23"/>
        <v/>
      </c>
      <c r="M751" t="str">
        <f>IFERROR(IF($C751="","",SUMIFS(Ledger!$K$2:$K$4, Ledger!$B$2:$B$4, $A751, Ledger!$C$2:$C$4, M$2)),"****")</f>
        <v/>
      </c>
      <c r="N751" t="str">
        <f>IFERROR(IF($C751="","",SUMIFS(Ledger!$K$2:$K$4, Ledger!$B$2:$B$4, $A751, Ledger!$C$2:$C$4, N$2)),"****")</f>
        <v/>
      </c>
      <c r="O751" t="str">
        <f>IFERROR(IF($C751="","",SUMIFS(Ledger!$K$2:$K$4, Ledger!$B$2:$B$4, $A751, Ledger!$C$2:$C$4, O$2)),"****")</f>
        <v/>
      </c>
      <c r="P751" t="str">
        <f>IFERROR(IF($C751="","",SUMIFS(Ledger!$K$2:$K$4, Ledger!$B$2:$B$4, $A751, Ledger!$C$2:$C$4, P$2)),"****")</f>
        <v/>
      </c>
      <c r="Q751" t="str">
        <f>IFERROR(IF($C751="","",SUMIFS(Ledger!$K$2:$K$4, Ledger!$B$2:$B$4, $A751, Ledger!$C$2:$C$4, Q$2)),"****")</f>
        <v/>
      </c>
      <c r="R751" t="str">
        <f>IFERROR(IF($C751="","",SUMIFS(Ledger!$K$2:$K$4, Ledger!$B$2:$B$4, $A751, Ledger!$C$2:$C$4, R$2)),"****")</f>
        <v/>
      </c>
      <c r="S751" t="str">
        <f>IFERROR(IF($C751="","",SUMIFS(Ledger!$K$2:$K$4, Ledger!$B$2:$B$4, $A751, Ledger!$C$2:$C$4, S$2)),"****")</f>
        <v/>
      </c>
      <c r="T751" t="str">
        <f>IFERROR(IF($C751="","",SUMIFS(Ledger!$K$2:$K$4, Ledger!$B$2:$B$4, $A751, Ledger!$C$2:$C$4, T$2)),"****")</f>
        <v/>
      </c>
      <c r="U751" t="str">
        <f>IFERROR(IF($C751="","",SUMIFS(Ledger!$K$2:$K$4, Ledger!$B$2:$B$4, $A751, Ledger!$C$2:$C$4, U$2)),"****")</f>
        <v/>
      </c>
      <c r="V751" t="str">
        <f>IFERROR(IF($C751="","",SUMIFS(Ledger!$K$2:$K$4, Ledger!$B$2:$B$4, $A751, Ledger!$C$2:$C$4, V$2)),"****")</f>
        <v/>
      </c>
      <c r="W751" t="str">
        <f>IFERROR(IF($C751="","",SUMIFS(Ledger!$K$2:$K$4, Ledger!$B$2:$B$4, $A751, Ledger!$C$2:$C$4, W$2)),"****")</f>
        <v/>
      </c>
      <c r="X751" t="str">
        <f>IFERROR(IF($C751="","",SUMIFS(Ledger!$K$2:$K$4, Ledger!$B$2:$B$4, $A751, Ledger!$C$2:$C$4, X$2)),"****")</f>
        <v/>
      </c>
    </row>
    <row r="752" spans="1:24" x14ac:dyDescent="0.3">
      <c r="A752" s="106">
        <v>750</v>
      </c>
      <c r="B752" t="str">
        <f>IFERROR(VLOOKUP($A752, Ledger!$B$2:$L$8, 3, 0),"")</f>
        <v/>
      </c>
      <c r="C752" t="str">
        <f>IFERROR(VLOOKUP($A752, Ledger!$B$2:$L$8, 4, 0),"")</f>
        <v/>
      </c>
      <c r="D752" t="str">
        <f>IFERROR(VLOOKUP($A752, Ledger!$B$2:$L$8, 5, 0),"")</f>
        <v/>
      </c>
      <c r="E752" t="str">
        <f>IFERROR(VLOOKUP($A752, Ledger!$B$2:$L$8, 6, 0),"")</f>
        <v/>
      </c>
      <c r="F752" t="str">
        <f>IFERROR(VLOOKUP($A752,'Student Data'!$A$2:$AR$6,32,0),"")</f>
        <v/>
      </c>
      <c r="G752" t="str">
        <f>IFERROR(VLOOKUP($A752,'Student Data'!$A$2:$AR$6,33,0),"")</f>
        <v/>
      </c>
      <c r="H752" t="str">
        <f>IFERROR(VLOOKUP($A752,'Student Data'!$A$2:$AR$6,34,0),"")</f>
        <v/>
      </c>
      <c r="I752" t="str">
        <f>IFERROR(VLOOKUP($A752,'Student Data'!$A$2:$AR$6,35,0),"")</f>
        <v/>
      </c>
      <c r="J752" t="str">
        <f>IFERROR(VLOOKUP($A752,'Student Data'!$A$2:$AR$6,36,0),"")</f>
        <v/>
      </c>
      <c r="K752" t="str">
        <f t="shared" si="22"/>
        <v/>
      </c>
      <c r="L752" t="str">
        <f t="shared" si="23"/>
        <v/>
      </c>
      <c r="M752" t="str">
        <f>IFERROR(IF($C752="","",SUMIFS(Ledger!$K$2:$K$4, Ledger!$B$2:$B$4, $A752, Ledger!$C$2:$C$4, M$2)),"****")</f>
        <v/>
      </c>
      <c r="N752" t="str">
        <f>IFERROR(IF($C752="","",SUMIFS(Ledger!$K$2:$K$4, Ledger!$B$2:$B$4, $A752, Ledger!$C$2:$C$4, N$2)),"****")</f>
        <v/>
      </c>
      <c r="O752" t="str">
        <f>IFERROR(IF($C752="","",SUMIFS(Ledger!$K$2:$K$4, Ledger!$B$2:$B$4, $A752, Ledger!$C$2:$C$4, O$2)),"****")</f>
        <v/>
      </c>
      <c r="P752" t="str">
        <f>IFERROR(IF($C752="","",SUMIFS(Ledger!$K$2:$K$4, Ledger!$B$2:$B$4, $A752, Ledger!$C$2:$C$4, P$2)),"****")</f>
        <v/>
      </c>
      <c r="Q752" t="str">
        <f>IFERROR(IF($C752="","",SUMIFS(Ledger!$K$2:$K$4, Ledger!$B$2:$B$4, $A752, Ledger!$C$2:$C$4, Q$2)),"****")</f>
        <v/>
      </c>
      <c r="R752" t="str">
        <f>IFERROR(IF($C752="","",SUMIFS(Ledger!$K$2:$K$4, Ledger!$B$2:$B$4, $A752, Ledger!$C$2:$C$4, R$2)),"****")</f>
        <v/>
      </c>
      <c r="S752" t="str">
        <f>IFERROR(IF($C752="","",SUMIFS(Ledger!$K$2:$K$4, Ledger!$B$2:$B$4, $A752, Ledger!$C$2:$C$4, S$2)),"****")</f>
        <v/>
      </c>
      <c r="T752" t="str">
        <f>IFERROR(IF($C752="","",SUMIFS(Ledger!$K$2:$K$4, Ledger!$B$2:$B$4, $A752, Ledger!$C$2:$C$4, T$2)),"****")</f>
        <v/>
      </c>
      <c r="U752" t="str">
        <f>IFERROR(IF($C752="","",SUMIFS(Ledger!$K$2:$K$4, Ledger!$B$2:$B$4, $A752, Ledger!$C$2:$C$4, U$2)),"****")</f>
        <v/>
      </c>
      <c r="V752" t="str">
        <f>IFERROR(IF($C752="","",SUMIFS(Ledger!$K$2:$K$4, Ledger!$B$2:$B$4, $A752, Ledger!$C$2:$C$4, V$2)),"****")</f>
        <v/>
      </c>
      <c r="W752" t="str">
        <f>IFERROR(IF($C752="","",SUMIFS(Ledger!$K$2:$K$4, Ledger!$B$2:$B$4, $A752, Ledger!$C$2:$C$4, W$2)),"****")</f>
        <v/>
      </c>
      <c r="X752" t="str">
        <f>IFERROR(IF($C752="","",SUMIFS(Ledger!$K$2:$K$4, Ledger!$B$2:$B$4, $A752, Ledger!$C$2:$C$4, X$2)),"****")</f>
        <v/>
      </c>
    </row>
    <row r="753" spans="1:24" x14ac:dyDescent="0.3">
      <c r="A753" s="106">
        <v>751</v>
      </c>
      <c r="B753" t="str">
        <f>IFERROR(VLOOKUP($A753, Ledger!$B$2:$L$8, 3, 0),"")</f>
        <v/>
      </c>
      <c r="C753" t="str">
        <f>IFERROR(VLOOKUP($A753, Ledger!$B$2:$L$8, 4, 0),"")</f>
        <v/>
      </c>
      <c r="D753" t="str">
        <f>IFERROR(VLOOKUP($A753, Ledger!$B$2:$L$8, 5, 0),"")</f>
        <v/>
      </c>
      <c r="E753" t="str">
        <f>IFERROR(VLOOKUP($A753, Ledger!$B$2:$L$8, 6, 0),"")</f>
        <v/>
      </c>
      <c r="F753" t="str">
        <f>IFERROR(VLOOKUP($A753,'Student Data'!$A$2:$AR$6,32,0),"")</f>
        <v/>
      </c>
      <c r="G753" t="str">
        <f>IFERROR(VLOOKUP($A753,'Student Data'!$A$2:$AR$6,33,0),"")</f>
        <v/>
      </c>
      <c r="H753" t="str">
        <f>IFERROR(VLOOKUP($A753,'Student Data'!$A$2:$AR$6,34,0),"")</f>
        <v/>
      </c>
      <c r="I753" t="str">
        <f>IFERROR(VLOOKUP($A753,'Student Data'!$A$2:$AR$6,35,0),"")</f>
        <v/>
      </c>
      <c r="J753" t="str">
        <f>IFERROR(VLOOKUP($A753,'Student Data'!$A$2:$AR$6,36,0),"")</f>
        <v/>
      </c>
      <c r="K753" t="str">
        <f t="shared" si="22"/>
        <v/>
      </c>
      <c r="L753" t="str">
        <f t="shared" si="23"/>
        <v/>
      </c>
      <c r="M753" t="str">
        <f>IFERROR(IF($C753="","",SUMIFS(Ledger!$K$2:$K$4, Ledger!$B$2:$B$4, $A753, Ledger!$C$2:$C$4, M$2)),"****")</f>
        <v/>
      </c>
      <c r="N753" t="str">
        <f>IFERROR(IF($C753="","",SUMIFS(Ledger!$K$2:$K$4, Ledger!$B$2:$B$4, $A753, Ledger!$C$2:$C$4, N$2)),"****")</f>
        <v/>
      </c>
      <c r="O753" t="str">
        <f>IFERROR(IF($C753="","",SUMIFS(Ledger!$K$2:$K$4, Ledger!$B$2:$B$4, $A753, Ledger!$C$2:$C$4, O$2)),"****")</f>
        <v/>
      </c>
      <c r="P753" t="str">
        <f>IFERROR(IF($C753="","",SUMIFS(Ledger!$K$2:$K$4, Ledger!$B$2:$B$4, $A753, Ledger!$C$2:$C$4, P$2)),"****")</f>
        <v/>
      </c>
      <c r="Q753" t="str">
        <f>IFERROR(IF($C753="","",SUMIFS(Ledger!$K$2:$K$4, Ledger!$B$2:$B$4, $A753, Ledger!$C$2:$C$4, Q$2)),"****")</f>
        <v/>
      </c>
      <c r="R753" t="str">
        <f>IFERROR(IF($C753="","",SUMIFS(Ledger!$K$2:$K$4, Ledger!$B$2:$B$4, $A753, Ledger!$C$2:$C$4, R$2)),"****")</f>
        <v/>
      </c>
      <c r="S753" t="str">
        <f>IFERROR(IF($C753="","",SUMIFS(Ledger!$K$2:$K$4, Ledger!$B$2:$B$4, $A753, Ledger!$C$2:$C$4, S$2)),"****")</f>
        <v/>
      </c>
      <c r="T753" t="str">
        <f>IFERROR(IF($C753="","",SUMIFS(Ledger!$K$2:$K$4, Ledger!$B$2:$B$4, $A753, Ledger!$C$2:$C$4, T$2)),"****")</f>
        <v/>
      </c>
      <c r="U753" t="str">
        <f>IFERROR(IF($C753="","",SUMIFS(Ledger!$K$2:$K$4, Ledger!$B$2:$B$4, $A753, Ledger!$C$2:$C$4, U$2)),"****")</f>
        <v/>
      </c>
      <c r="V753" t="str">
        <f>IFERROR(IF($C753="","",SUMIFS(Ledger!$K$2:$K$4, Ledger!$B$2:$B$4, $A753, Ledger!$C$2:$C$4, V$2)),"****")</f>
        <v/>
      </c>
      <c r="W753" t="str">
        <f>IFERROR(IF($C753="","",SUMIFS(Ledger!$K$2:$K$4, Ledger!$B$2:$B$4, $A753, Ledger!$C$2:$C$4, W$2)),"****")</f>
        <v/>
      </c>
      <c r="X753" t="str">
        <f>IFERROR(IF($C753="","",SUMIFS(Ledger!$K$2:$K$4, Ledger!$B$2:$B$4, $A753, Ledger!$C$2:$C$4, X$2)),"****")</f>
        <v/>
      </c>
    </row>
    <row r="754" spans="1:24" x14ac:dyDescent="0.3">
      <c r="A754" s="106">
        <v>752</v>
      </c>
      <c r="B754" t="str">
        <f>IFERROR(VLOOKUP($A754, Ledger!$B$2:$L$8, 3, 0),"")</f>
        <v/>
      </c>
      <c r="C754" t="str">
        <f>IFERROR(VLOOKUP($A754, Ledger!$B$2:$L$8, 4, 0),"")</f>
        <v/>
      </c>
      <c r="D754" t="str">
        <f>IFERROR(VLOOKUP($A754, Ledger!$B$2:$L$8, 5, 0),"")</f>
        <v/>
      </c>
      <c r="E754" t="str">
        <f>IFERROR(VLOOKUP($A754, Ledger!$B$2:$L$8, 6, 0),"")</f>
        <v/>
      </c>
      <c r="F754" t="str">
        <f>IFERROR(VLOOKUP($A754,'Student Data'!$A$2:$AR$6,32,0),"")</f>
        <v/>
      </c>
      <c r="G754" t="str">
        <f>IFERROR(VLOOKUP($A754,'Student Data'!$A$2:$AR$6,33,0),"")</f>
        <v/>
      </c>
      <c r="H754" t="str">
        <f>IFERROR(VLOOKUP($A754,'Student Data'!$A$2:$AR$6,34,0),"")</f>
        <v/>
      </c>
      <c r="I754" t="str">
        <f>IFERROR(VLOOKUP($A754,'Student Data'!$A$2:$AR$6,35,0),"")</f>
        <v/>
      </c>
      <c r="J754" t="str">
        <f>IFERROR(VLOOKUP($A754,'Student Data'!$A$2:$AR$6,36,0),"")</f>
        <v/>
      </c>
      <c r="K754" t="str">
        <f t="shared" si="22"/>
        <v/>
      </c>
      <c r="L754" t="str">
        <f t="shared" si="23"/>
        <v/>
      </c>
      <c r="M754" t="str">
        <f>IFERROR(IF($C754="","",SUMIFS(Ledger!$K$2:$K$4, Ledger!$B$2:$B$4, $A754, Ledger!$C$2:$C$4, M$2)),"****")</f>
        <v/>
      </c>
      <c r="N754" t="str">
        <f>IFERROR(IF($C754="","",SUMIFS(Ledger!$K$2:$K$4, Ledger!$B$2:$B$4, $A754, Ledger!$C$2:$C$4, N$2)),"****")</f>
        <v/>
      </c>
      <c r="O754" t="str">
        <f>IFERROR(IF($C754="","",SUMIFS(Ledger!$K$2:$K$4, Ledger!$B$2:$B$4, $A754, Ledger!$C$2:$C$4, O$2)),"****")</f>
        <v/>
      </c>
      <c r="P754" t="str">
        <f>IFERROR(IF($C754="","",SUMIFS(Ledger!$K$2:$K$4, Ledger!$B$2:$B$4, $A754, Ledger!$C$2:$C$4, P$2)),"****")</f>
        <v/>
      </c>
      <c r="Q754" t="str">
        <f>IFERROR(IF($C754="","",SUMIFS(Ledger!$K$2:$K$4, Ledger!$B$2:$B$4, $A754, Ledger!$C$2:$C$4, Q$2)),"****")</f>
        <v/>
      </c>
      <c r="R754" t="str">
        <f>IFERROR(IF($C754="","",SUMIFS(Ledger!$K$2:$K$4, Ledger!$B$2:$B$4, $A754, Ledger!$C$2:$C$4, R$2)),"****")</f>
        <v/>
      </c>
      <c r="S754" t="str">
        <f>IFERROR(IF($C754="","",SUMIFS(Ledger!$K$2:$K$4, Ledger!$B$2:$B$4, $A754, Ledger!$C$2:$C$4, S$2)),"****")</f>
        <v/>
      </c>
      <c r="T754" t="str">
        <f>IFERROR(IF($C754="","",SUMIFS(Ledger!$K$2:$K$4, Ledger!$B$2:$B$4, $A754, Ledger!$C$2:$C$4, T$2)),"****")</f>
        <v/>
      </c>
      <c r="U754" t="str">
        <f>IFERROR(IF($C754="","",SUMIFS(Ledger!$K$2:$K$4, Ledger!$B$2:$B$4, $A754, Ledger!$C$2:$C$4, U$2)),"****")</f>
        <v/>
      </c>
      <c r="V754" t="str">
        <f>IFERROR(IF($C754="","",SUMIFS(Ledger!$K$2:$K$4, Ledger!$B$2:$B$4, $A754, Ledger!$C$2:$C$4, V$2)),"****")</f>
        <v/>
      </c>
      <c r="W754" t="str">
        <f>IFERROR(IF($C754="","",SUMIFS(Ledger!$K$2:$K$4, Ledger!$B$2:$B$4, $A754, Ledger!$C$2:$C$4, W$2)),"****")</f>
        <v/>
      </c>
      <c r="X754" t="str">
        <f>IFERROR(IF($C754="","",SUMIFS(Ledger!$K$2:$K$4, Ledger!$B$2:$B$4, $A754, Ledger!$C$2:$C$4, X$2)),"****")</f>
        <v/>
      </c>
    </row>
    <row r="755" spans="1:24" x14ac:dyDescent="0.3">
      <c r="A755" s="106">
        <v>753</v>
      </c>
      <c r="B755" t="str">
        <f>IFERROR(VLOOKUP($A755, Ledger!$B$2:$L$8, 3, 0),"")</f>
        <v/>
      </c>
      <c r="C755" t="str">
        <f>IFERROR(VLOOKUP($A755, Ledger!$B$2:$L$8, 4, 0),"")</f>
        <v/>
      </c>
      <c r="D755" t="str">
        <f>IFERROR(VLOOKUP($A755, Ledger!$B$2:$L$8, 5, 0),"")</f>
        <v/>
      </c>
      <c r="E755" t="str">
        <f>IFERROR(VLOOKUP($A755, Ledger!$B$2:$L$8, 6, 0),"")</f>
        <v/>
      </c>
      <c r="F755" t="str">
        <f>IFERROR(VLOOKUP($A755,'Student Data'!$A$2:$AR$6,32,0),"")</f>
        <v/>
      </c>
      <c r="G755" t="str">
        <f>IFERROR(VLOOKUP($A755,'Student Data'!$A$2:$AR$6,33,0),"")</f>
        <v/>
      </c>
      <c r="H755" t="str">
        <f>IFERROR(VLOOKUP($A755,'Student Data'!$A$2:$AR$6,34,0),"")</f>
        <v/>
      </c>
      <c r="I755" t="str">
        <f>IFERROR(VLOOKUP($A755,'Student Data'!$A$2:$AR$6,35,0),"")</f>
        <v/>
      </c>
      <c r="J755" t="str">
        <f>IFERROR(VLOOKUP($A755,'Student Data'!$A$2:$AR$6,36,0),"")</f>
        <v/>
      </c>
      <c r="K755" t="str">
        <f t="shared" si="22"/>
        <v/>
      </c>
      <c r="L755" t="str">
        <f t="shared" si="23"/>
        <v/>
      </c>
      <c r="M755" t="str">
        <f>IFERROR(IF($C755="","",SUMIFS(Ledger!$K$2:$K$4, Ledger!$B$2:$B$4, $A755, Ledger!$C$2:$C$4, M$2)),"****")</f>
        <v/>
      </c>
      <c r="N755" t="str">
        <f>IFERROR(IF($C755="","",SUMIFS(Ledger!$K$2:$K$4, Ledger!$B$2:$B$4, $A755, Ledger!$C$2:$C$4, N$2)),"****")</f>
        <v/>
      </c>
      <c r="O755" t="str">
        <f>IFERROR(IF($C755="","",SUMIFS(Ledger!$K$2:$K$4, Ledger!$B$2:$B$4, $A755, Ledger!$C$2:$C$4, O$2)),"****")</f>
        <v/>
      </c>
      <c r="P755" t="str">
        <f>IFERROR(IF($C755="","",SUMIFS(Ledger!$K$2:$K$4, Ledger!$B$2:$B$4, $A755, Ledger!$C$2:$C$4, P$2)),"****")</f>
        <v/>
      </c>
      <c r="Q755" t="str">
        <f>IFERROR(IF($C755="","",SUMIFS(Ledger!$K$2:$K$4, Ledger!$B$2:$B$4, $A755, Ledger!$C$2:$C$4, Q$2)),"****")</f>
        <v/>
      </c>
      <c r="R755" t="str">
        <f>IFERROR(IF($C755="","",SUMIFS(Ledger!$K$2:$K$4, Ledger!$B$2:$B$4, $A755, Ledger!$C$2:$C$4, R$2)),"****")</f>
        <v/>
      </c>
      <c r="S755" t="str">
        <f>IFERROR(IF($C755="","",SUMIFS(Ledger!$K$2:$K$4, Ledger!$B$2:$B$4, $A755, Ledger!$C$2:$C$4, S$2)),"****")</f>
        <v/>
      </c>
      <c r="T755" t="str">
        <f>IFERROR(IF($C755="","",SUMIFS(Ledger!$K$2:$K$4, Ledger!$B$2:$B$4, $A755, Ledger!$C$2:$C$4, T$2)),"****")</f>
        <v/>
      </c>
      <c r="U755" t="str">
        <f>IFERROR(IF($C755="","",SUMIFS(Ledger!$K$2:$K$4, Ledger!$B$2:$B$4, $A755, Ledger!$C$2:$C$4, U$2)),"****")</f>
        <v/>
      </c>
      <c r="V755" t="str">
        <f>IFERROR(IF($C755="","",SUMIFS(Ledger!$K$2:$K$4, Ledger!$B$2:$B$4, $A755, Ledger!$C$2:$C$4, V$2)),"****")</f>
        <v/>
      </c>
      <c r="W755" t="str">
        <f>IFERROR(IF($C755="","",SUMIFS(Ledger!$K$2:$K$4, Ledger!$B$2:$B$4, $A755, Ledger!$C$2:$C$4, W$2)),"****")</f>
        <v/>
      </c>
      <c r="X755" t="str">
        <f>IFERROR(IF($C755="","",SUMIFS(Ledger!$K$2:$K$4, Ledger!$B$2:$B$4, $A755, Ledger!$C$2:$C$4, X$2)),"****")</f>
        <v/>
      </c>
    </row>
    <row r="756" spans="1:24" x14ac:dyDescent="0.3">
      <c r="A756" s="106">
        <v>754</v>
      </c>
      <c r="B756" t="str">
        <f>IFERROR(VLOOKUP($A756, Ledger!$B$2:$L$8, 3, 0),"")</f>
        <v/>
      </c>
      <c r="C756" t="str">
        <f>IFERROR(VLOOKUP($A756, Ledger!$B$2:$L$8, 4, 0),"")</f>
        <v/>
      </c>
      <c r="D756" t="str">
        <f>IFERROR(VLOOKUP($A756, Ledger!$B$2:$L$8, 5, 0),"")</f>
        <v/>
      </c>
      <c r="E756" t="str">
        <f>IFERROR(VLOOKUP($A756, Ledger!$B$2:$L$8, 6, 0),"")</f>
        <v/>
      </c>
      <c r="F756" t="str">
        <f>IFERROR(VLOOKUP($A756,'Student Data'!$A$2:$AR$6,32,0),"")</f>
        <v/>
      </c>
      <c r="G756" t="str">
        <f>IFERROR(VLOOKUP($A756,'Student Data'!$A$2:$AR$6,33,0),"")</f>
        <v/>
      </c>
      <c r="H756" t="str">
        <f>IFERROR(VLOOKUP($A756,'Student Data'!$A$2:$AR$6,34,0),"")</f>
        <v/>
      </c>
      <c r="I756" t="str">
        <f>IFERROR(VLOOKUP($A756,'Student Data'!$A$2:$AR$6,35,0),"")</f>
        <v/>
      </c>
      <c r="J756" t="str">
        <f>IFERROR(VLOOKUP($A756,'Student Data'!$A$2:$AR$6,36,0),"")</f>
        <v/>
      </c>
      <c r="K756" t="str">
        <f t="shared" si="22"/>
        <v/>
      </c>
      <c r="L756" t="str">
        <f t="shared" si="23"/>
        <v/>
      </c>
      <c r="M756" t="str">
        <f>IFERROR(IF($C756="","",SUMIFS(Ledger!$K$2:$K$4, Ledger!$B$2:$B$4, $A756, Ledger!$C$2:$C$4, M$2)),"****")</f>
        <v/>
      </c>
      <c r="N756" t="str">
        <f>IFERROR(IF($C756="","",SUMIFS(Ledger!$K$2:$K$4, Ledger!$B$2:$B$4, $A756, Ledger!$C$2:$C$4, N$2)),"****")</f>
        <v/>
      </c>
      <c r="O756" t="str">
        <f>IFERROR(IF($C756="","",SUMIFS(Ledger!$K$2:$K$4, Ledger!$B$2:$B$4, $A756, Ledger!$C$2:$C$4, O$2)),"****")</f>
        <v/>
      </c>
      <c r="P756" t="str">
        <f>IFERROR(IF($C756="","",SUMIFS(Ledger!$K$2:$K$4, Ledger!$B$2:$B$4, $A756, Ledger!$C$2:$C$4, P$2)),"****")</f>
        <v/>
      </c>
      <c r="Q756" t="str">
        <f>IFERROR(IF($C756="","",SUMIFS(Ledger!$K$2:$K$4, Ledger!$B$2:$B$4, $A756, Ledger!$C$2:$C$4, Q$2)),"****")</f>
        <v/>
      </c>
      <c r="R756" t="str">
        <f>IFERROR(IF($C756="","",SUMIFS(Ledger!$K$2:$K$4, Ledger!$B$2:$B$4, $A756, Ledger!$C$2:$C$4, R$2)),"****")</f>
        <v/>
      </c>
      <c r="S756" t="str">
        <f>IFERROR(IF($C756="","",SUMIFS(Ledger!$K$2:$K$4, Ledger!$B$2:$B$4, $A756, Ledger!$C$2:$C$4, S$2)),"****")</f>
        <v/>
      </c>
      <c r="T756" t="str">
        <f>IFERROR(IF($C756="","",SUMIFS(Ledger!$K$2:$K$4, Ledger!$B$2:$B$4, $A756, Ledger!$C$2:$C$4, T$2)),"****")</f>
        <v/>
      </c>
      <c r="U756" t="str">
        <f>IFERROR(IF($C756="","",SUMIFS(Ledger!$K$2:$K$4, Ledger!$B$2:$B$4, $A756, Ledger!$C$2:$C$4, U$2)),"****")</f>
        <v/>
      </c>
      <c r="V756" t="str">
        <f>IFERROR(IF($C756="","",SUMIFS(Ledger!$K$2:$K$4, Ledger!$B$2:$B$4, $A756, Ledger!$C$2:$C$4, V$2)),"****")</f>
        <v/>
      </c>
      <c r="W756" t="str">
        <f>IFERROR(IF($C756="","",SUMIFS(Ledger!$K$2:$K$4, Ledger!$B$2:$B$4, $A756, Ledger!$C$2:$C$4, W$2)),"****")</f>
        <v/>
      </c>
      <c r="X756" t="str">
        <f>IFERROR(IF($C756="","",SUMIFS(Ledger!$K$2:$K$4, Ledger!$B$2:$B$4, $A756, Ledger!$C$2:$C$4, X$2)),"****")</f>
        <v/>
      </c>
    </row>
    <row r="757" spans="1:24" x14ac:dyDescent="0.3">
      <c r="A757" s="106">
        <v>755</v>
      </c>
      <c r="B757" t="str">
        <f>IFERROR(VLOOKUP($A757, Ledger!$B$2:$L$8, 3, 0),"")</f>
        <v/>
      </c>
      <c r="C757" t="str">
        <f>IFERROR(VLOOKUP($A757, Ledger!$B$2:$L$8, 4, 0),"")</f>
        <v/>
      </c>
      <c r="D757" t="str">
        <f>IFERROR(VLOOKUP($A757, Ledger!$B$2:$L$8, 5, 0),"")</f>
        <v/>
      </c>
      <c r="E757" t="str">
        <f>IFERROR(VLOOKUP($A757, Ledger!$B$2:$L$8, 6, 0),"")</f>
        <v/>
      </c>
      <c r="F757" t="str">
        <f>IFERROR(VLOOKUP($A757,'Student Data'!$A$2:$AR$6,32,0),"")</f>
        <v/>
      </c>
      <c r="G757" t="str">
        <f>IFERROR(VLOOKUP($A757,'Student Data'!$A$2:$AR$6,33,0),"")</f>
        <v/>
      </c>
      <c r="H757" t="str">
        <f>IFERROR(VLOOKUP($A757,'Student Data'!$A$2:$AR$6,34,0),"")</f>
        <v/>
      </c>
      <c r="I757" t="str">
        <f>IFERROR(VLOOKUP($A757,'Student Data'!$A$2:$AR$6,35,0),"")</f>
        <v/>
      </c>
      <c r="J757" t="str">
        <f>IFERROR(VLOOKUP($A757,'Student Data'!$A$2:$AR$6,36,0),"")</f>
        <v/>
      </c>
      <c r="K757" t="str">
        <f t="shared" si="22"/>
        <v/>
      </c>
      <c r="L757" t="str">
        <f t="shared" si="23"/>
        <v/>
      </c>
      <c r="M757" t="str">
        <f>IFERROR(IF($C757="","",SUMIFS(Ledger!$K$2:$K$4, Ledger!$B$2:$B$4, $A757, Ledger!$C$2:$C$4, M$2)),"****")</f>
        <v/>
      </c>
      <c r="N757" t="str">
        <f>IFERROR(IF($C757="","",SUMIFS(Ledger!$K$2:$K$4, Ledger!$B$2:$B$4, $A757, Ledger!$C$2:$C$4, N$2)),"****")</f>
        <v/>
      </c>
      <c r="O757" t="str">
        <f>IFERROR(IF($C757="","",SUMIFS(Ledger!$K$2:$K$4, Ledger!$B$2:$B$4, $A757, Ledger!$C$2:$C$4, O$2)),"****")</f>
        <v/>
      </c>
      <c r="P757" t="str">
        <f>IFERROR(IF($C757="","",SUMIFS(Ledger!$K$2:$K$4, Ledger!$B$2:$B$4, $A757, Ledger!$C$2:$C$4, P$2)),"****")</f>
        <v/>
      </c>
      <c r="Q757" t="str">
        <f>IFERROR(IF($C757="","",SUMIFS(Ledger!$K$2:$K$4, Ledger!$B$2:$B$4, $A757, Ledger!$C$2:$C$4, Q$2)),"****")</f>
        <v/>
      </c>
      <c r="R757" t="str">
        <f>IFERROR(IF($C757="","",SUMIFS(Ledger!$K$2:$K$4, Ledger!$B$2:$B$4, $A757, Ledger!$C$2:$C$4, R$2)),"****")</f>
        <v/>
      </c>
      <c r="S757" t="str">
        <f>IFERROR(IF($C757="","",SUMIFS(Ledger!$K$2:$K$4, Ledger!$B$2:$B$4, $A757, Ledger!$C$2:$C$4, S$2)),"****")</f>
        <v/>
      </c>
      <c r="T757" t="str">
        <f>IFERROR(IF($C757="","",SUMIFS(Ledger!$K$2:$K$4, Ledger!$B$2:$B$4, $A757, Ledger!$C$2:$C$4, T$2)),"****")</f>
        <v/>
      </c>
      <c r="U757" t="str">
        <f>IFERROR(IF($C757="","",SUMIFS(Ledger!$K$2:$K$4, Ledger!$B$2:$B$4, $A757, Ledger!$C$2:$C$4, U$2)),"****")</f>
        <v/>
      </c>
      <c r="V757" t="str">
        <f>IFERROR(IF($C757="","",SUMIFS(Ledger!$K$2:$K$4, Ledger!$B$2:$B$4, $A757, Ledger!$C$2:$C$4, V$2)),"****")</f>
        <v/>
      </c>
      <c r="W757" t="str">
        <f>IFERROR(IF($C757="","",SUMIFS(Ledger!$K$2:$K$4, Ledger!$B$2:$B$4, $A757, Ledger!$C$2:$C$4, W$2)),"****")</f>
        <v/>
      </c>
      <c r="X757" t="str">
        <f>IFERROR(IF($C757="","",SUMIFS(Ledger!$K$2:$K$4, Ledger!$B$2:$B$4, $A757, Ledger!$C$2:$C$4, X$2)),"****")</f>
        <v/>
      </c>
    </row>
    <row r="758" spans="1:24" x14ac:dyDescent="0.3">
      <c r="A758" s="106">
        <v>756</v>
      </c>
      <c r="B758" t="str">
        <f>IFERROR(VLOOKUP($A758, Ledger!$B$2:$L$8, 3, 0),"")</f>
        <v/>
      </c>
      <c r="C758" t="str">
        <f>IFERROR(VLOOKUP($A758, Ledger!$B$2:$L$8, 4, 0),"")</f>
        <v/>
      </c>
      <c r="D758" t="str">
        <f>IFERROR(VLOOKUP($A758, Ledger!$B$2:$L$8, 5, 0),"")</f>
        <v/>
      </c>
      <c r="E758" t="str">
        <f>IFERROR(VLOOKUP($A758, Ledger!$B$2:$L$8, 6, 0),"")</f>
        <v/>
      </c>
      <c r="F758" t="str">
        <f>IFERROR(VLOOKUP($A758,'Student Data'!$A$2:$AR$6,32,0),"")</f>
        <v/>
      </c>
      <c r="G758" t="str">
        <f>IFERROR(VLOOKUP($A758,'Student Data'!$A$2:$AR$6,33,0),"")</f>
        <v/>
      </c>
      <c r="H758" t="str">
        <f>IFERROR(VLOOKUP($A758,'Student Data'!$A$2:$AR$6,34,0),"")</f>
        <v/>
      </c>
      <c r="I758" t="str">
        <f>IFERROR(VLOOKUP($A758,'Student Data'!$A$2:$AR$6,35,0),"")</f>
        <v/>
      </c>
      <c r="J758" t="str">
        <f>IFERROR(VLOOKUP($A758,'Student Data'!$A$2:$AR$6,36,0),"")</f>
        <v/>
      </c>
      <c r="K758" t="str">
        <f t="shared" si="22"/>
        <v/>
      </c>
      <c r="L758" t="str">
        <f t="shared" si="23"/>
        <v/>
      </c>
      <c r="M758" t="str">
        <f>IFERROR(IF($C758="","",SUMIFS(Ledger!$K$2:$K$4, Ledger!$B$2:$B$4, $A758, Ledger!$C$2:$C$4, M$2)),"****")</f>
        <v/>
      </c>
      <c r="N758" t="str">
        <f>IFERROR(IF($C758="","",SUMIFS(Ledger!$K$2:$K$4, Ledger!$B$2:$B$4, $A758, Ledger!$C$2:$C$4, N$2)),"****")</f>
        <v/>
      </c>
      <c r="O758" t="str">
        <f>IFERROR(IF($C758="","",SUMIFS(Ledger!$K$2:$K$4, Ledger!$B$2:$B$4, $A758, Ledger!$C$2:$C$4, O$2)),"****")</f>
        <v/>
      </c>
      <c r="P758" t="str">
        <f>IFERROR(IF($C758="","",SUMIFS(Ledger!$K$2:$K$4, Ledger!$B$2:$B$4, $A758, Ledger!$C$2:$C$4, P$2)),"****")</f>
        <v/>
      </c>
      <c r="Q758" t="str">
        <f>IFERROR(IF($C758="","",SUMIFS(Ledger!$K$2:$K$4, Ledger!$B$2:$B$4, $A758, Ledger!$C$2:$C$4, Q$2)),"****")</f>
        <v/>
      </c>
      <c r="R758" t="str">
        <f>IFERROR(IF($C758="","",SUMIFS(Ledger!$K$2:$K$4, Ledger!$B$2:$B$4, $A758, Ledger!$C$2:$C$4, R$2)),"****")</f>
        <v/>
      </c>
      <c r="S758" t="str">
        <f>IFERROR(IF($C758="","",SUMIFS(Ledger!$K$2:$K$4, Ledger!$B$2:$B$4, $A758, Ledger!$C$2:$C$4, S$2)),"****")</f>
        <v/>
      </c>
      <c r="T758" t="str">
        <f>IFERROR(IF($C758="","",SUMIFS(Ledger!$K$2:$K$4, Ledger!$B$2:$B$4, $A758, Ledger!$C$2:$C$4, T$2)),"****")</f>
        <v/>
      </c>
      <c r="U758" t="str">
        <f>IFERROR(IF($C758="","",SUMIFS(Ledger!$K$2:$K$4, Ledger!$B$2:$B$4, $A758, Ledger!$C$2:$C$4, U$2)),"****")</f>
        <v/>
      </c>
      <c r="V758" t="str">
        <f>IFERROR(IF($C758="","",SUMIFS(Ledger!$K$2:$K$4, Ledger!$B$2:$B$4, $A758, Ledger!$C$2:$C$4, V$2)),"****")</f>
        <v/>
      </c>
      <c r="W758" t="str">
        <f>IFERROR(IF($C758="","",SUMIFS(Ledger!$K$2:$K$4, Ledger!$B$2:$B$4, $A758, Ledger!$C$2:$C$4, W$2)),"****")</f>
        <v/>
      </c>
      <c r="X758" t="str">
        <f>IFERROR(IF($C758="","",SUMIFS(Ledger!$K$2:$K$4, Ledger!$B$2:$B$4, $A758, Ledger!$C$2:$C$4, X$2)),"****")</f>
        <v/>
      </c>
    </row>
    <row r="759" spans="1:24" x14ac:dyDescent="0.3">
      <c r="A759" s="106">
        <v>757</v>
      </c>
      <c r="B759" t="str">
        <f>IFERROR(VLOOKUP($A759, Ledger!$B$2:$L$8, 3, 0),"")</f>
        <v/>
      </c>
      <c r="C759" t="str">
        <f>IFERROR(VLOOKUP($A759, Ledger!$B$2:$L$8, 4, 0),"")</f>
        <v/>
      </c>
      <c r="D759" t="str">
        <f>IFERROR(VLOOKUP($A759, Ledger!$B$2:$L$8, 5, 0),"")</f>
        <v/>
      </c>
      <c r="E759" t="str">
        <f>IFERROR(VLOOKUP($A759, Ledger!$B$2:$L$8, 6, 0),"")</f>
        <v/>
      </c>
      <c r="F759" t="str">
        <f>IFERROR(VLOOKUP($A759,'Student Data'!$A$2:$AR$6,32,0),"")</f>
        <v/>
      </c>
      <c r="G759" t="str">
        <f>IFERROR(VLOOKUP($A759,'Student Data'!$A$2:$AR$6,33,0),"")</f>
        <v/>
      </c>
      <c r="H759" t="str">
        <f>IFERROR(VLOOKUP($A759,'Student Data'!$A$2:$AR$6,34,0),"")</f>
        <v/>
      </c>
      <c r="I759" t="str">
        <f>IFERROR(VLOOKUP($A759,'Student Data'!$A$2:$AR$6,35,0),"")</f>
        <v/>
      </c>
      <c r="J759" t="str">
        <f>IFERROR(VLOOKUP($A759,'Student Data'!$A$2:$AR$6,36,0),"")</f>
        <v/>
      </c>
      <c r="K759" t="str">
        <f t="shared" si="22"/>
        <v/>
      </c>
      <c r="L759" t="str">
        <f t="shared" si="23"/>
        <v/>
      </c>
      <c r="M759" t="str">
        <f>IFERROR(IF($C759="","",SUMIFS(Ledger!$K$2:$K$4, Ledger!$B$2:$B$4, $A759, Ledger!$C$2:$C$4, M$2)),"****")</f>
        <v/>
      </c>
      <c r="N759" t="str">
        <f>IFERROR(IF($C759="","",SUMIFS(Ledger!$K$2:$K$4, Ledger!$B$2:$B$4, $A759, Ledger!$C$2:$C$4, N$2)),"****")</f>
        <v/>
      </c>
      <c r="O759" t="str">
        <f>IFERROR(IF($C759="","",SUMIFS(Ledger!$K$2:$K$4, Ledger!$B$2:$B$4, $A759, Ledger!$C$2:$C$4, O$2)),"****")</f>
        <v/>
      </c>
      <c r="P759" t="str">
        <f>IFERROR(IF($C759="","",SUMIFS(Ledger!$K$2:$K$4, Ledger!$B$2:$B$4, $A759, Ledger!$C$2:$C$4, P$2)),"****")</f>
        <v/>
      </c>
      <c r="Q759" t="str">
        <f>IFERROR(IF($C759="","",SUMIFS(Ledger!$K$2:$K$4, Ledger!$B$2:$B$4, $A759, Ledger!$C$2:$C$4, Q$2)),"****")</f>
        <v/>
      </c>
      <c r="R759" t="str">
        <f>IFERROR(IF($C759="","",SUMIFS(Ledger!$K$2:$K$4, Ledger!$B$2:$B$4, $A759, Ledger!$C$2:$C$4, R$2)),"****")</f>
        <v/>
      </c>
      <c r="S759" t="str">
        <f>IFERROR(IF($C759="","",SUMIFS(Ledger!$K$2:$K$4, Ledger!$B$2:$B$4, $A759, Ledger!$C$2:$C$4, S$2)),"****")</f>
        <v/>
      </c>
      <c r="T759" t="str">
        <f>IFERROR(IF($C759="","",SUMIFS(Ledger!$K$2:$K$4, Ledger!$B$2:$B$4, $A759, Ledger!$C$2:$C$4, T$2)),"****")</f>
        <v/>
      </c>
      <c r="U759" t="str">
        <f>IFERROR(IF($C759="","",SUMIFS(Ledger!$K$2:$K$4, Ledger!$B$2:$B$4, $A759, Ledger!$C$2:$C$4, U$2)),"****")</f>
        <v/>
      </c>
      <c r="V759" t="str">
        <f>IFERROR(IF($C759="","",SUMIFS(Ledger!$K$2:$K$4, Ledger!$B$2:$B$4, $A759, Ledger!$C$2:$C$4, V$2)),"****")</f>
        <v/>
      </c>
      <c r="W759" t="str">
        <f>IFERROR(IF($C759="","",SUMIFS(Ledger!$K$2:$K$4, Ledger!$B$2:$B$4, $A759, Ledger!$C$2:$C$4, W$2)),"****")</f>
        <v/>
      </c>
      <c r="X759" t="str">
        <f>IFERROR(IF($C759="","",SUMIFS(Ledger!$K$2:$K$4, Ledger!$B$2:$B$4, $A759, Ledger!$C$2:$C$4, X$2)),"****")</f>
        <v/>
      </c>
    </row>
    <row r="760" spans="1:24" x14ac:dyDescent="0.3">
      <c r="A760" s="106">
        <v>758</v>
      </c>
      <c r="B760" t="str">
        <f>IFERROR(VLOOKUP($A760, Ledger!$B$2:$L$8, 3, 0),"")</f>
        <v/>
      </c>
      <c r="C760" t="str">
        <f>IFERROR(VLOOKUP($A760, Ledger!$B$2:$L$8, 4, 0),"")</f>
        <v/>
      </c>
      <c r="D760" t="str">
        <f>IFERROR(VLOOKUP($A760, Ledger!$B$2:$L$8, 5, 0),"")</f>
        <v/>
      </c>
      <c r="E760" t="str">
        <f>IFERROR(VLOOKUP($A760, Ledger!$B$2:$L$8, 6, 0),"")</f>
        <v/>
      </c>
      <c r="F760" t="str">
        <f>IFERROR(VLOOKUP($A760,'Student Data'!$A$2:$AR$6,32,0),"")</f>
        <v/>
      </c>
      <c r="G760" t="str">
        <f>IFERROR(VLOOKUP($A760,'Student Data'!$A$2:$AR$6,33,0),"")</f>
        <v/>
      </c>
      <c r="H760" t="str">
        <f>IFERROR(VLOOKUP($A760,'Student Data'!$A$2:$AR$6,34,0),"")</f>
        <v/>
      </c>
      <c r="I760" t="str">
        <f>IFERROR(VLOOKUP($A760,'Student Data'!$A$2:$AR$6,35,0),"")</f>
        <v/>
      </c>
      <c r="J760" t="str">
        <f>IFERROR(VLOOKUP($A760,'Student Data'!$A$2:$AR$6,36,0),"")</f>
        <v/>
      </c>
      <c r="K760" t="str">
        <f t="shared" si="22"/>
        <v/>
      </c>
      <c r="L760" t="str">
        <f t="shared" si="23"/>
        <v/>
      </c>
      <c r="M760" t="str">
        <f>IFERROR(IF($C760="","",SUMIFS(Ledger!$K$2:$K$4, Ledger!$B$2:$B$4, $A760, Ledger!$C$2:$C$4, M$2)),"****")</f>
        <v/>
      </c>
      <c r="N760" t="str">
        <f>IFERROR(IF($C760="","",SUMIFS(Ledger!$K$2:$K$4, Ledger!$B$2:$B$4, $A760, Ledger!$C$2:$C$4, N$2)),"****")</f>
        <v/>
      </c>
      <c r="O760" t="str">
        <f>IFERROR(IF($C760="","",SUMIFS(Ledger!$K$2:$K$4, Ledger!$B$2:$B$4, $A760, Ledger!$C$2:$C$4, O$2)),"****")</f>
        <v/>
      </c>
      <c r="P760" t="str">
        <f>IFERROR(IF($C760="","",SUMIFS(Ledger!$K$2:$K$4, Ledger!$B$2:$B$4, $A760, Ledger!$C$2:$C$4, P$2)),"****")</f>
        <v/>
      </c>
      <c r="Q760" t="str">
        <f>IFERROR(IF($C760="","",SUMIFS(Ledger!$K$2:$K$4, Ledger!$B$2:$B$4, $A760, Ledger!$C$2:$C$4, Q$2)),"****")</f>
        <v/>
      </c>
      <c r="R760" t="str">
        <f>IFERROR(IF($C760="","",SUMIFS(Ledger!$K$2:$K$4, Ledger!$B$2:$B$4, $A760, Ledger!$C$2:$C$4, R$2)),"****")</f>
        <v/>
      </c>
      <c r="S760" t="str">
        <f>IFERROR(IF($C760="","",SUMIFS(Ledger!$K$2:$K$4, Ledger!$B$2:$B$4, $A760, Ledger!$C$2:$C$4, S$2)),"****")</f>
        <v/>
      </c>
      <c r="T760" t="str">
        <f>IFERROR(IF($C760="","",SUMIFS(Ledger!$K$2:$K$4, Ledger!$B$2:$B$4, $A760, Ledger!$C$2:$C$4, T$2)),"****")</f>
        <v/>
      </c>
      <c r="U760" t="str">
        <f>IFERROR(IF($C760="","",SUMIFS(Ledger!$K$2:$K$4, Ledger!$B$2:$B$4, $A760, Ledger!$C$2:$C$4, U$2)),"****")</f>
        <v/>
      </c>
      <c r="V760" t="str">
        <f>IFERROR(IF($C760="","",SUMIFS(Ledger!$K$2:$K$4, Ledger!$B$2:$B$4, $A760, Ledger!$C$2:$C$4, V$2)),"****")</f>
        <v/>
      </c>
      <c r="W760" t="str">
        <f>IFERROR(IF($C760="","",SUMIFS(Ledger!$K$2:$K$4, Ledger!$B$2:$B$4, $A760, Ledger!$C$2:$C$4, W$2)),"****")</f>
        <v/>
      </c>
      <c r="X760" t="str">
        <f>IFERROR(IF($C760="","",SUMIFS(Ledger!$K$2:$K$4, Ledger!$B$2:$B$4, $A760, Ledger!$C$2:$C$4, X$2)),"****")</f>
        <v/>
      </c>
    </row>
    <row r="761" spans="1:24" x14ac:dyDescent="0.3">
      <c r="A761" s="106">
        <v>759</v>
      </c>
      <c r="B761" t="str">
        <f>IFERROR(VLOOKUP($A761, Ledger!$B$2:$L$8, 3, 0),"")</f>
        <v/>
      </c>
      <c r="C761" t="str">
        <f>IFERROR(VLOOKUP($A761, Ledger!$B$2:$L$8, 4, 0),"")</f>
        <v/>
      </c>
      <c r="D761" t="str">
        <f>IFERROR(VLOOKUP($A761, Ledger!$B$2:$L$8, 5, 0),"")</f>
        <v/>
      </c>
      <c r="E761" t="str">
        <f>IFERROR(VLOOKUP($A761, Ledger!$B$2:$L$8, 6, 0),"")</f>
        <v/>
      </c>
      <c r="F761" t="str">
        <f>IFERROR(VLOOKUP($A761,'Student Data'!$A$2:$AR$6,32,0),"")</f>
        <v/>
      </c>
      <c r="G761" t="str">
        <f>IFERROR(VLOOKUP($A761,'Student Data'!$A$2:$AR$6,33,0),"")</f>
        <v/>
      </c>
      <c r="H761" t="str">
        <f>IFERROR(VLOOKUP($A761,'Student Data'!$A$2:$AR$6,34,0),"")</f>
        <v/>
      </c>
      <c r="I761" t="str">
        <f>IFERROR(VLOOKUP($A761,'Student Data'!$A$2:$AR$6,35,0),"")</f>
        <v/>
      </c>
      <c r="J761" t="str">
        <f>IFERROR(VLOOKUP($A761,'Student Data'!$A$2:$AR$6,36,0),"")</f>
        <v/>
      </c>
      <c r="K761" t="str">
        <f t="shared" si="22"/>
        <v/>
      </c>
      <c r="L761" t="str">
        <f t="shared" si="23"/>
        <v/>
      </c>
      <c r="M761" t="str">
        <f>IFERROR(IF($C761="","",SUMIFS(Ledger!$K$2:$K$4, Ledger!$B$2:$B$4, $A761, Ledger!$C$2:$C$4, M$2)),"****")</f>
        <v/>
      </c>
      <c r="N761" t="str">
        <f>IFERROR(IF($C761="","",SUMIFS(Ledger!$K$2:$K$4, Ledger!$B$2:$B$4, $A761, Ledger!$C$2:$C$4, N$2)),"****")</f>
        <v/>
      </c>
      <c r="O761" t="str">
        <f>IFERROR(IF($C761="","",SUMIFS(Ledger!$K$2:$K$4, Ledger!$B$2:$B$4, $A761, Ledger!$C$2:$C$4, O$2)),"****")</f>
        <v/>
      </c>
      <c r="P761" t="str">
        <f>IFERROR(IF($C761="","",SUMIFS(Ledger!$K$2:$K$4, Ledger!$B$2:$B$4, $A761, Ledger!$C$2:$C$4, P$2)),"****")</f>
        <v/>
      </c>
      <c r="Q761" t="str">
        <f>IFERROR(IF($C761="","",SUMIFS(Ledger!$K$2:$K$4, Ledger!$B$2:$B$4, $A761, Ledger!$C$2:$C$4, Q$2)),"****")</f>
        <v/>
      </c>
      <c r="R761" t="str">
        <f>IFERROR(IF($C761="","",SUMIFS(Ledger!$K$2:$K$4, Ledger!$B$2:$B$4, $A761, Ledger!$C$2:$C$4, R$2)),"****")</f>
        <v/>
      </c>
      <c r="S761" t="str">
        <f>IFERROR(IF($C761="","",SUMIFS(Ledger!$K$2:$K$4, Ledger!$B$2:$B$4, $A761, Ledger!$C$2:$C$4, S$2)),"****")</f>
        <v/>
      </c>
      <c r="T761" t="str">
        <f>IFERROR(IF($C761="","",SUMIFS(Ledger!$K$2:$K$4, Ledger!$B$2:$B$4, $A761, Ledger!$C$2:$C$4, T$2)),"****")</f>
        <v/>
      </c>
      <c r="U761" t="str">
        <f>IFERROR(IF($C761="","",SUMIFS(Ledger!$K$2:$K$4, Ledger!$B$2:$B$4, $A761, Ledger!$C$2:$C$4, U$2)),"****")</f>
        <v/>
      </c>
      <c r="V761" t="str">
        <f>IFERROR(IF($C761="","",SUMIFS(Ledger!$K$2:$K$4, Ledger!$B$2:$B$4, $A761, Ledger!$C$2:$C$4, V$2)),"****")</f>
        <v/>
      </c>
      <c r="W761" t="str">
        <f>IFERROR(IF($C761="","",SUMIFS(Ledger!$K$2:$K$4, Ledger!$B$2:$B$4, $A761, Ledger!$C$2:$C$4, W$2)),"****")</f>
        <v/>
      </c>
      <c r="X761" t="str">
        <f>IFERROR(IF($C761="","",SUMIFS(Ledger!$K$2:$K$4, Ledger!$B$2:$B$4, $A761, Ledger!$C$2:$C$4, X$2)),"****")</f>
        <v/>
      </c>
    </row>
    <row r="762" spans="1:24" x14ac:dyDescent="0.3">
      <c r="A762" s="106">
        <v>760</v>
      </c>
      <c r="B762" t="str">
        <f>IFERROR(VLOOKUP($A762, Ledger!$B$2:$L$8, 3, 0),"")</f>
        <v/>
      </c>
      <c r="C762" t="str">
        <f>IFERROR(VLOOKUP($A762, Ledger!$B$2:$L$8, 4, 0),"")</f>
        <v/>
      </c>
      <c r="D762" t="str">
        <f>IFERROR(VLOOKUP($A762, Ledger!$B$2:$L$8, 5, 0),"")</f>
        <v/>
      </c>
      <c r="E762" t="str">
        <f>IFERROR(VLOOKUP($A762, Ledger!$B$2:$L$8, 6, 0),"")</f>
        <v/>
      </c>
      <c r="F762" t="str">
        <f>IFERROR(VLOOKUP($A762,'Student Data'!$A$2:$AR$6,32,0),"")</f>
        <v/>
      </c>
      <c r="G762" t="str">
        <f>IFERROR(VLOOKUP($A762,'Student Data'!$A$2:$AR$6,33,0),"")</f>
        <v/>
      </c>
      <c r="H762" t="str">
        <f>IFERROR(VLOOKUP($A762,'Student Data'!$A$2:$AR$6,34,0),"")</f>
        <v/>
      </c>
      <c r="I762" t="str">
        <f>IFERROR(VLOOKUP($A762,'Student Data'!$A$2:$AR$6,35,0),"")</f>
        <v/>
      </c>
      <c r="J762" t="str">
        <f>IFERROR(VLOOKUP($A762,'Student Data'!$A$2:$AR$6,36,0),"")</f>
        <v/>
      </c>
      <c r="K762" t="str">
        <f t="shared" si="22"/>
        <v/>
      </c>
      <c r="L762" t="str">
        <f t="shared" si="23"/>
        <v/>
      </c>
      <c r="M762" t="str">
        <f>IFERROR(IF($C762="","",SUMIFS(Ledger!$K$2:$K$4, Ledger!$B$2:$B$4, $A762, Ledger!$C$2:$C$4, M$2)),"****")</f>
        <v/>
      </c>
      <c r="N762" t="str">
        <f>IFERROR(IF($C762="","",SUMIFS(Ledger!$K$2:$K$4, Ledger!$B$2:$B$4, $A762, Ledger!$C$2:$C$4, N$2)),"****")</f>
        <v/>
      </c>
      <c r="O762" t="str">
        <f>IFERROR(IF($C762="","",SUMIFS(Ledger!$K$2:$K$4, Ledger!$B$2:$B$4, $A762, Ledger!$C$2:$C$4, O$2)),"****")</f>
        <v/>
      </c>
      <c r="P762" t="str">
        <f>IFERROR(IF($C762="","",SUMIFS(Ledger!$K$2:$K$4, Ledger!$B$2:$B$4, $A762, Ledger!$C$2:$C$4, P$2)),"****")</f>
        <v/>
      </c>
      <c r="Q762" t="str">
        <f>IFERROR(IF($C762="","",SUMIFS(Ledger!$K$2:$K$4, Ledger!$B$2:$B$4, $A762, Ledger!$C$2:$C$4, Q$2)),"****")</f>
        <v/>
      </c>
      <c r="R762" t="str">
        <f>IFERROR(IF($C762="","",SUMIFS(Ledger!$K$2:$K$4, Ledger!$B$2:$B$4, $A762, Ledger!$C$2:$C$4, R$2)),"****")</f>
        <v/>
      </c>
      <c r="S762" t="str">
        <f>IFERROR(IF($C762="","",SUMIFS(Ledger!$K$2:$K$4, Ledger!$B$2:$B$4, $A762, Ledger!$C$2:$C$4, S$2)),"****")</f>
        <v/>
      </c>
      <c r="T762" t="str">
        <f>IFERROR(IF($C762="","",SUMIFS(Ledger!$K$2:$K$4, Ledger!$B$2:$B$4, $A762, Ledger!$C$2:$C$4, T$2)),"****")</f>
        <v/>
      </c>
      <c r="U762" t="str">
        <f>IFERROR(IF($C762="","",SUMIFS(Ledger!$K$2:$K$4, Ledger!$B$2:$B$4, $A762, Ledger!$C$2:$C$4, U$2)),"****")</f>
        <v/>
      </c>
      <c r="V762" t="str">
        <f>IFERROR(IF($C762="","",SUMIFS(Ledger!$K$2:$K$4, Ledger!$B$2:$B$4, $A762, Ledger!$C$2:$C$4, V$2)),"****")</f>
        <v/>
      </c>
      <c r="W762" t="str">
        <f>IFERROR(IF($C762="","",SUMIFS(Ledger!$K$2:$K$4, Ledger!$B$2:$B$4, $A762, Ledger!$C$2:$C$4, W$2)),"****")</f>
        <v/>
      </c>
      <c r="X762" t="str">
        <f>IFERROR(IF($C762="","",SUMIFS(Ledger!$K$2:$K$4, Ledger!$B$2:$B$4, $A762, Ledger!$C$2:$C$4, X$2)),"****")</f>
        <v/>
      </c>
    </row>
    <row r="763" spans="1:24" x14ac:dyDescent="0.3">
      <c r="A763" s="106">
        <v>761</v>
      </c>
      <c r="B763" t="str">
        <f>IFERROR(VLOOKUP($A763, Ledger!$B$2:$L$8, 3, 0),"")</f>
        <v/>
      </c>
      <c r="C763" t="str">
        <f>IFERROR(VLOOKUP($A763, Ledger!$B$2:$L$8, 4, 0),"")</f>
        <v/>
      </c>
      <c r="D763" t="str">
        <f>IFERROR(VLOOKUP($A763, Ledger!$B$2:$L$8, 5, 0),"")</f>
        <v/>
      </c>
      <c r="E763" t="str">
        <f>IFERROR(VLOOKUP($A763, Ledger!$B$2:$L$8, 6, 0),"")</f>
        <v/>
      </c>
      <c r="F763" t="str">
        <f>IFERROR(VLOOKUP($A763,'Student Data'!$A$2:$AR$6,32,0),"")</f>
        <v/>
      </c>
      <c r="G763" t="str">
        <f>IFERROR(VLOOKUP($A763,'Student Data'!$A$2:$AR$6,33,0),"")</f>
        <v/>
      </c>
      <c r="H763" t="str">
        <f>IFERROR(VLOOKUP($A763,'Student Data'!$A$2:$AR$6,34,0),"")</f>
        <v/>
      </c>
      <c r="I763" t="str">
        <f>IFERROR(VLOOKUP($A763,'Student Data'!$A$2:$AR$6,35,0),"")</f>
        <v/>
      </c>
      <c r="J763" t="str">
        <f>IFERROR(VLOOKUP($A763,'Student Data'!$A$2:$AR$6,36,0),"")</f>
        <v/>
      </c>
      <c r="K763" t="str">
        <f t="shared" si="22"/>
        <v/>
      </c>
      <c r="L763" t="str">
        <f t="shared" si="23"/>
        <v/>
      </c>
      <c r="M763" t="str">
        <f>IFERROR(IF($C763="","",SUMIFS(Ledger!$K$2:$K$4, Ledger!$B$2:$B$4, $A763, Ledger!$C$2:$C$4, M$2)),"****")</f>
        <v/>
      </c>
      <c r="N763" t="str">
        <f>IFERROR(IF($C763="","",SUMIFS(Ledger!$K$2:$K$4, Ledger!$B$2:$B$4, $A763, Ledger!$C$2:$C$4, N$2)),"****")</f>
        <v/>
      </c>
      <c r="O763" t="str">
        <f>IFERROR(IF($C763="","",SUMIFS(Ledger!$K$2:$K$4, Ledger!$B$2:$B$4, $A763, Ledger!$C$2:$C$4, O$2)),"****")</f>
        <v/>
      </c>
      <c r="P763" t="str">
        <f>IFERROR(IF($C763="","",SUMIFS(Ledger!$K$2:$K$4, Ledger!$B$2:$B$4, $A763, Ledger!$C$2:$C$4, P$2)),"****")</f>
        <v/>
      </c>
      <c r="Q763" t="str">
        <f>IFERROR(IF($C763="","",SUMIFS(Ledger!$K$2:$K$4, Ledger!$B$2:$B$4, $A763, Ledger!$C$2:$C$4, Q$2)),"****")</f>
        <v/>
      </c>
      <c r="R763" t="str">
        <f>IFERROR(IF($C763="","",SUMIFS(Ledger!$K$2:$K$4, Ledger!$B$2:$B$4, $A763, Ledger!$C$2:$C$4, R$2)),"****")</f>
        <v/>
      </c>
      <c r="S763" t="str">
        <f>IFERROR(IF($C763="","",SUMIFS(Ledger!$K$2:$K$4, Ledger!$B$2:$B$4, $A763, Ledger!$C$2:$C$4, S$2)),"****")</f>
        <v/>
      </c>
      <c r="T763" t="str">
        <f>IFERROR(IF($C763="","",SUMIFS(Ledger!$K$2:$K$4, Ledger!$B$2:$B$4, $A763, Ledger!$C$2:$C$4, T$2)),"****")</f>
        <v/>
      </c>
      <c r="U763" t="str">
        <f>IFERROR(IF($C763="","",SUMIFS(Ledger!$K$2:$K$4, Ledger!$B$2:$B$4, $A763, Ledger!$C$2:$C$4, U$2)),"****")</f>
        <v/>
      </c>
      <c r="V763" t="str">
        <f>IFERROR(IF($C763="","",SUMIFS(Ledger!$K$2:$K$4, Ledger!$B$2:$B$4, $A763, Ledger!$C$2:$C$4, V$2)),"****")</f>
        <v/>
      </c>
      <c r="W763" t="str">
        <f>IFERROR(IF($C763="","",SUMIFS(Ledger!$K$2:$K$4, Ledger!$B$2:$B$4, $A763, Ledger!$C$2:$C$4, W$2)),"****")</f>
        <v/>
      </c>
      <c r="X763" t="str">
        <f>IFERROR(IF($C763="","",SUMIFS(Ledger!$K$2:$K$4, Ledger!$B$2:$B$4, $A763, Ledger!$C$2:$C$4, X$2)),"****")</f>
        <v/>
      </c>
    </row>
    <row r="764" spans="1:24" x14ac:dyDescent="0.3">
      <c r="A764" s="106">
        <v>762</v>
      </c>
      <c r="B764" t="str">
        <f>IFERROR(VLOOKUP($A764, Ledger!$B$2:$L$8, 3, 0),"")</f>
        <v/>
      </c>
      <c r="C764" t="str">
        <f>IFERROR(VLOOKUP($A764, Ledger!$B$2:$L$8, 4, 0),"")</f>
        <v/>
      </c>
      <c r="D764" t="str">
        <f>IFERROR(VLOOKUP($A764, Ledger!$B$2:$L$8, 5, 0),"")</f>
        <v/>
      </c>
      <c r="E764" t="str">
        <f>IFERROR(VLOOKUP($A764, Ledger!$B$2:$L$8, 6, 0),"")</f>
        <v/>
      </c>
      <c r="F764" t="str">
        <f>IFERROR(VLOOKUP($A764,'Student Data'!$A$2:$AR$6,32,0),"")</f>
        <v/>
      </c>
      <c r="G764" t="str">
        <f>IFERROR(VLOOKUP($A764,'Student Data'!$A$2:$AR$6,33,0),"")</f>
        <v/>
      </c>
      <c r="H764" t="str">
        <f>IFERROR(VLOOKUP($A764,'Student Data'!$A$2:$AR$6,34,0),"")</f>
        <v/>
      </c>
      <c r="I764" t="str">
        <f>IFERROR(VLOOKUP($A764,'Student Data'!$A$2:$AR$6,35,0),"")</f>
        <v/>
      </c>
      <c r="J764" t="str">
        <f>IFERROR(VLOOKUP($A764,'Student Data'!$A$2:$AR$6,36,0),"")</f>
        <v/>
      </c>
      <c r="K764" t="str">
        <f t="shared" si="22"/>
        <v/>
      </c>
      <c r="L764" t="str">
        <f t="shared" si="23"/>
        <v/>
      </c>
      <c r="M764" t="str">
        <f>IFERROR(IF($C764="","",SUMIFS(Ledger!$K$2:$K$4, Ledger!$B$2:$B$4, $A764, Ledger!$C$2:$C$4, M$2)),"****")</f>
        <v/>
      </c>
      <c r="N764" t="str">
        <f>IFERROR(IF($C764="","",SUMIFS(Ledger!$K$2:$K$4, Ledger!$B$2:$B$4, $A764, Ledger!$C$2:$C$4, N$2)),"****")</f>
        <v/>
      </c>
      <c r="O764" t="str">
        <f>IFERROR(IF($C764="","",SUMIFS(Ledger!$K$2:$K$4, Ledger!$B$2:$B$4, $A764, Ledger!$C$2:$C$4, O$2)),"****")</f>
        <v/>
      </c>
      <c r="P764" t="str">
        <f>IFERROR(IF($C764="","",SUMIFS(Ledger!$K$2:$K$4, Ledger!$B$2:$B$4, $A764, Ledger!$C$2:$C$4, P$2)),"****")</f>
        <v/>
      </c>
      <c r="Q764" t="str">
        <f>IFERROR(IF($C764="","",SUMIFS(Ledger!$K$2:$K$4, Ledger!$B$2:$B$4, $A764, Ledger!$C$2:$C$4, Q$2)),"****")</f>
        <v/>
      </c>
      <c r="R764" t="str">
        <f>IFERROR(IF($C764="","",SUMIFS(Ledger!$K$2:$K$4, Ledger!$B$2:$B$4, $A764, Ledger!$C$2:$C$4, R$2)),"****")</f>
        <v/>
      </c>
      <c r="S764" t="str">
        <f>IFERROR(IF($C764="","",SUMIFS(Ledger!$K$2:$K$4, Ledger!$B$2:$B$4, $A764, Ledger!$C$2:$C$4, S$2)),"****")</f>
        <v/>
      </c>
      <c r="T764" t="str">
        <f>IFERROR(IF($C764="","",SUMIFS(Ledger!$K$2:$K$4, Ledger!$B$2:$B$4, $A764, Ledger!$C$2:$C$4, T$2)),"****")</f>
        <v/>
      </c>
      <c r="U764" t="str">
        <f>IFERROR(IF($C764="","",SUMIFS(Ledger!$K$2:$K$4, Ledger!$B$2:$B$4, $A764, Ledger!$C$2:$C$4, U$2)),"****")</f>
        <v/>
      </c>
      <c r="V764" t="str">
        <f>IFERROR(IF($C764="","",SUMIFS(Ledger!$K$2:$K$4, Ledger!$B$2:$B$4, $A764, Ledger!$C$2:$C$4, V$2)),"****")</f>
        <v/>
      </c>
      <c r="W764" t="str">
        <f>IFERROR(IF($C764="","",SUMIFS(Ledger!$K$2:$K$4, Ledger!$B$2:$B$4, $A764, Ledger!$C$2:$C$4, W$2)),"****")</f>
        <v/>
      </c>
      <c r="X764" t="str">
        <f>IFERROR(IF($C764="","",SUMIFS(Ledger!$K$2:$K$4, Ledger!$B$2:$B$4, $A764, Ledger!$C$2:$C$4, X$2)),"****")</f>
        <v/>
      </c>
    </row>
    <row r="765" spans="1:24" x14ac:dyDescent="0.3">
      <c r="A765" s="106">
        <v>763</v>
      </c>
      <c r="B765" t="str">
        <f>IFERROR(VLOOKUP($A765, Ledger!$B$2:$L$8, 3, 0),"")</f>
        <v/>
      </c>
      <c r="C765" t="str">
        <f>IFERROR(VLOOKUP($A765, Ledger!$B$2:$L$8, 4, 0),"")</f>
        <v/>
      </c>
      <c r="D765" t="str">
        <f>IFERROR(VLOOKUP($A765, Ledger!$B$2:$L$8, 5, 0),"")</f>
        <v/>
      </c>
      <c r="E765" t="str">
        <f>IFERROR(VLOOKUP($A765, Ledger!$B$2:$L$8, 6, 0),"")</f>
        <v/>
      </c>
      <c r="F765" t="str">
        <f>IFERROR(VLOOKUP($A765,'Student Data'!$A$2:$AR$6,32,0),"")</f>
        <v/>
      </c>
      <c r="G765" t="str">
        <f>IFERROR(VLOOKUP($A765,'Student Data'!$A$2:$AR$6,33,0),"")</f>
        <v/>
      </c>
      <c r="H765" t="str">
        <f>IFERROR(VLOOKUP($A765,'Student Data'!$A$2:$AR$6,34,0),"")</f>
        <v/>
      </c>
      <c r="I765" t="str">
        <f>IFERROR(VLOOKUP($A765,'Student Data'!$A$2:$AR$6,35,0),"")</f>
        <v/>
      </c>
      <c r="J765" t="str">
        <f>IFERROR(VLOOKUP($A765,'Student Data'!$A$2:$AR$6,36,0),"")</f>
        <v/>
      </c>
      <c r="K765" t="str">
        <f t="shared" si="22"/>
        <v/>
      </c>
      <c r="L765" t="str">
        <f t="shared" si="23"/>
        <v/>
      </c>
      <c r="M765" t="str">
        <f>IFERROR(IF($C765="","",SUMIFS(Ledger!$K$2:$K$4, Ledger!$B$2:$B$4, $A765, Ledger!$C$2:$C$4, M$2)),"****")</f>
        <v/>
      </c>
      <c r="N765" t="str">
        <f>IFERROR(IF($C765="","",SUMIFS(Ledger!$K$2:$K$4, Ledger!$B$2:$B$4, $A765, Ledger!$C$2:$C$4, N$2)),"****")</f>
        <v/>
      </c>
      <c r="O765" t="str">
        <f>IFERROR(IF($C765="","",SUMIFS(Ledger!$K$2:$K$4, Ledger!$B$2:$B$4, $A765, Ledger!$C$2:$C$4, O$2)),"****")</f>
        <v/>
      </c>
      <c r="P765" t="str">
        <f>IFERROR(IF($C765="","",SUMIFS(Ledger!$K$2:$K$4, Ledger!$B$2:$B$4, $A765, Ledger!$C$2:$C$4, P$2)),"****")</f>
        <v/>
      </c>
      <c r="Q765" t="str">
        <f>IFERROR(IF($C765="","",SUMIFS(Ledger!$K$2:$K$4, Ledger!$B$2:$B$4, $A765, Ledger!$C$2:$C$4, Q$2)),"****")</f>
        <v/>
      </c>
      <c r="R765" t="str">
        <f>IFERROR(IF($C765="","",SUMIFS(Ledger!$K$2:$K$4, Ledger!$B$2:$B$4, $A765, Ledger!$C$2:$C$4, R$2)),"****")</f>
        <v/>
      </c>
      <c r="S765" t="str">
        <f>IFERROR(IF($C765="","",SUMIFS(Ledger!$K$2:$K$4, Ledger!$B$2:$B$4, $A765, Ledger!$C$2:$C$4, S$2)),"****")</f>
        <v/>
      </c>
      <c r="T765" t="str">
        <f>IFERROR(IF($C765="","",SUMIFS(Ledger!$K$2:$K$4, Ledger!$B$2:$B$4, $A765, Ledger!$C$2:$C$4, T$2)),"****")</f>
        <v/>
      </c>
      <c r="U765" t="str">
        <f>IFERROR(IF($C765="","",SUMIFS(Ledger!$K$2:$K$4, Ledger!$B$2:$B$4, $A765, Ledger!$C$2:$C$4, U$2)),"****")</f>
        <v/>
      </c>
      <c r="V765" t="str">
        <f>IFERROR(IF($C765="","",SUMIFS(Ledger!$K$2:$K$4, Ledger!$B$2:$B$4, $A765, Ledger!$C$2:$C$4, V$2)),"****")</f>
        <v/>
      </c>
      <c r="W765" t="str">
        <f>IFERROR(IF($C765="","",SUMIFS(Ledger!$K$2:$K$4, Ledger!$B$2:$B$4, $A765, Ledger!$C$2:$C$4, W$2)),"****")</f>
        <v/>
      </c>
      <c r="X765" t="str">
        <f>IFERROR(IF($C765="","",SUMIFS(Ledger!$K$2:$K$4, Ledger!$B$2:$B$4, $A765, Ledger!$C$2:$C$4, X$2)),"****")</f>
        <v/>
      </c>
    </row>
    <row r="766" spans="1:24" x14ac:dyDescent="0.3">
      <c r="A766" s="106">
        <v>764</v>
      </c>
      <c r="B766" t="str">
        <f>IFERROR(VLOOKUP($A766, Ledger!$B$2:$L$8, 3, 0),"")</f>
        <v/>
      </c>
      <c r="C766" t="str">
        <f>IFERROR(VLOOKUP($A766, Ledger!$B$2:$L$8, 4, 0),"")</f>
        <v/>
      </c>
      <c r="D766" t="str">
        <f>IFERROR(VLOOKUP($A766, Ledger!$B$2:$L$8, 5, 0),"")</f>
        <v/>
      </c>
      <c r="E766" t="str">
        <f>IFERROR(VLOOKUP($A766, Ledger!$B$2:$L$8, 6, 0),"")</f>
        <v/>
      </c>
      <c r="F766" t="str">
        <f>IFERROR(VLOOKUP($A766,'Student Data'!$A$2:$AR$6,32,0),"")</f>
        <v/>
      </c>
      <c r="G766" t="str">
        <f>IFERROR(VLOOKUP($A766,'Student Data'!$A$2:$AR$6,33,0),"")</f>
        <v/>
      </c>
      <c r="H766" t="str">
        <f>IFERROR(VLOOKUP($A766,'Student Data'!$A$2:$AR$6,34,0),"")</f>
        <v/>
      </c>
      <c r="I766" t="str">
        <f>IFERROR(VLOOKUP($A766,'Student Data'!$A$2:$AR$6,35,0),"")</f>
        <v/>
      </c>
      <c r="J766" t="str">
        <f>IFERROR(VLOOKUP($A766,'Student Data'!$A$2:$AR$6,36,0),"")</f>
        <v/>
      </c>
      <c r="K766" t="str">
        <f t="shared" si="22"/>
        <v/>
      </c>
      <c r="L766" t="str">
        <f t="shared" si="23"/>
        <v/>
      </c>
      <c r="M766" t="str">
        <f>IFERROR(IF($C766="","",SUMIFS(Ledger!$K$2:$K$4, Ledger!$B$2:$B$4, $A766, Ledger!$C$2:$C$4, M$2)),"****")</f>
        <v/>
      </c>
      <c r="N766" t="str">
        <f>IFERROR(IF($C766="","",SUMIFS(Ledger!$K$2:$K$4, Ledger!$B$2:$B$4, $A766, Ledger!$C$2:$C$4, N$2)),"****")</f>
        <v/>
      </c>
      <c r="O766" t="str">
        <f>IFERROR(IF($C766="","",SUMIFS(Ledger!$K$2:$K$4, Ledger!$B$2:$B$4, $A766, Ledger!$C$2:$C$4, O$2)),"****")</f>
        <v/>
      </c>
      <c r="P766" t="str">
        <f>IFERROR(IF($C766="","",SUMIFS(Ledger!$K$2:$K$4, Ledger!$B$2:$B$4, $A766, Ledger!$C$2:$C$4, P$2)),"****")</f>
        <v/>
      </c>
      <c r="Q766" t="str">
        <f>IFERROR(IF($C766="","",SUMIFS(Ledger!$K$2:$K$4, Ledger!$B$2:$B$4, $A766, Ledger!$C$2:$C$4, Q$2)),"****")</f>
        <v/>
      </c>
      <c r="R766" t="str">
        <f>IFERROR(IF($C766="","",SUMIFS(Ledger!$K$2:$K$4, Ledger!$B$2:$B$4, $A766, Ledger!$C$2:$C$4, R$2)),"****")</f>
        <v/>
      </c>
      <c r="S766" t="str">
        <f>IFERROR(IF($C766="","",SUMIFS(Ledger!$K$2:$K$4, Ledger!$B$2:$B$4, $A766, Ledger!$C$2:$C$4, S$2)),"****")</f>
        <v/>
      </c>
      <c r="T766" t="str">
        <f>IFERROR(IF($C766="","",SUMIFS(Ledger!$K$2:$K$4, Ledger!$B$2:$B$4, $A766, Ledger!$C$2:$C$4, T$2)),"****")</f>
        <v/>
      </c>
      <c r="U766" t="str">
        <f>IFERROR(IF($C766="","",SUMIFS(Ledger!$K$2:$K$4, Ledger!$B$2:$B$4, $A766, Ledger!$C$2:$C$4, U$2)),"****")</f>
        <v/>
      </c>
      <c r="V766" t="str">
        <f>IFERROR(IF($C766="","",SUMIFS(Ledger!$K$2:$K$4, Ledger!$B$2:$B$4, $A766, Ledger!$C$2:$C$4, V$2)),"****")</f>
        <v/>
      </c>
      <c r="W766" t="str">
        <f>IFERROR(IF($C766="","",SUMIFS(Ledger!$K$2:$K$4, Ledger!$B$2:$B$4, $A766, Ledger!$C$2:$C$4, W$2)),"****")</f>
        <v/>
      </c>
      <c r="X766" t="str">
        <f>IFERROR(IF($C766="","",SUMIFS(Ledger!$K$2:$K$4, Ledger!$B$2:$B$4, $A766, Ledger!$C$2:$C$4, X$2)),"****")</f>
        <v/>
      </c>
    </row>
    <row r="767" spans="1:24" x14ac:dyDescent="0.3">
      <c r="A767" s="106">
        <v>765</v>
      </c>
      <c r="B767" t="str">
        <f>IFERROR(VLOOKUP($A767, Ledger!$B$2:$L$8, 3, 0),"")</f>
        <v/>
      </c>
      <c r="C767" t="str">
        <f>IFERROR(VLOOKUP($A767, Ledger!$B$2:$L$8, 4, 0),"")</f>
        <v/>
      </c>
      <c r="D767" t="str">
        <f>IFERROR(VLOOKUP($A767, Ledger!$B$2:$L$8, 5, 0),"")</f>
        <v/>
      </c>
      <c r="E767" t="str">
        <f>IFERROR(VLOOKUP($A767, Ledger!$B$2:$L$8, 6, 0),"")</f>
        <v/>
      </c>
      <c r="F767" t="str">
        <f>IFERROR(VLOOKUP($A767,'Student Data'!$A$2:$AR$6,32,0),"")</f>
        <v/>
      </c>
      <c r="G767" t="str">
        <f>IFERROR(VLOOKUP($A767,'Student Data'!$A$2:$AR$6,33,0),"")</f>
        <v/>
      </c>
      <c r="H767" t="str">
        <f>IFERROR(VLOOKUP($A767,'Student Data'!$A$2:$AR$6,34,0),"")</f>
        <v/>
      </c>
      <c r="I767" t="str">
        <f>IFERROR(VLOOKUP($A767,'Student Data'!$A$2:$AR$6,35,0),"")</f>
        <v/>
      </c>
      <c r="J767" t="str">
        <f>IFERROR(VLOOKUP($A767,'Student Data'!$A$2:$AR$6,36,0),"")</f>
        <v/>
      </c>
      <c r="K767" t="str">
        <f t="shared" si="22"/>
        <v/>
      </c>
      <c r="L767" t="str">
        <f t="shared" si="23"/>
        <v/>
      </c>
      <c r="M767" t="str">
        <f>IFERROR(IF($C767="","",SUMIFS(Ledger!$K$2:$K$4, Ledger!$B$2:$B$4, $A767, Ledger!$C$2:$C$4, M$2)),"****")</f>
        <v/>
      </c>
      <c r="N767" t="str">
        <f>IFERROR(IF($C767="","",SUMIFS(Ledger!$K$2:$K$4, Ledger!$B$2:$B$4, $A767, Ledger!$C$2:$C$4, N$2)),"****")</f>
        <v/>
      </c>
      <c r="O767" t="str">
        <f>IFERROR(IF($C767="","",SUMIFS(Ledger!$K$2:$K$4, Ledger!$B$2:$B$4, $A767, Ledger!$C$2:$C$4, O$2)),"****")</f>
        <v/>
      </c>
      <c r="P767" t="str">
        <f>IFERROR(IF($C767="","",SUMIFS(Ledger!$K$2:$K$4, Ledger!$B$2:$B$4, $A767, Ledger!$C$2:$C$4, P$2)),"****")</f>
        <v/>
      </c>
      <c r="Q767" t="str">
        <f>IFERROR(IF($C767="","",SUMIFS(Ledger!$K$2:$K$4, Ledger!$B$2:$B$4, $A767, Ledger!$C$2:$C$4, Q$2)),"****")</f>
        <v/>
      </c>
      <c r="R767" t="str">
        <f>IFERROR(IF($C767="","",SUMIFS(Ledger!$K$2:$K$4, Ledger!$B$2:$B$4, $A767, Ledger!$C$2:$C$4, R$2)),"****")</f>
        <v/>
      </c>
      <c r="S767" t="str">
        <f>IFERROR(IF($C767="","",SUMIFS(Ledger!$K$2:$K$4, Ledger!$B$2:$B$4, $A767, Ledger!$C$2:$C$4, S$2)),"****")</f>
        <v/>
      </c>
      <c r="T767" t="str">
        <f>IFERROR(IF($C767="","",SUMIFS(Ledger!$K$2:$K$4, Ledger!$B$2:$B$4, $A767, Ledger!$C$2:$C$4, T$2)),"****")</f>
        <v/>
      </c>
      <c r="U767" t="str">
        <f>IFERROR(IF($C767="","",SUMIFS(Ledger!$K$2:$K$4, Ledger!$B$2:$B$4, $A767, Ledger!$C$2:$C$4, U$2)),"****")</f>
        <v/>
      </c>
      <c r="V767" t="str">
        <f>IFERROR(IF($C767="","",SUMIFS(Ledger!$K$2:$K$4, Ledger!$B$2:$B$4, $A767, Ledger!$C$2:$C$4, V$2)),"****")</f>
        <v/>
      </c>
      <c r="W767" t="str">
        <f>IFERROR(IF($C767="","",SUMIFS(Ledger!$K$2:$K$4, Ledger!$B$2:$B$4, $A767, Ledger!$C$2:$C$4, W$2)),"****")</f>
        <v/>
      </c>
      <c r="X767" t="str">
        <f>IFERROR(IF($C767="","",SUMIFS(Ledger!$K$2:$K$4, Ledger!$B$2:$B$4, $A767, Ledger!$C$2:$C$4, X$2)),"****")</f>
        <v/>
      </c>
    </row>
    <row r="768" spans="1:24" x14ac:dyDescent="0.3">
      <c r="A768" s="106">
        <v>766</v>
      </c>
      <c r="B768" t="str">
        <f>IFERROR(VLOOKUP($A768, Ledger!$B$2:$L$8, 3, 0),"")</f>
        <v/>
      </c>
      <c r="C768" t="str">
        <f>IFERROR(VLOOKUP($A768, Ledger!$B$2:$L$8, 4, 0),"")</f>
        <v/>
      </c>
      <c r="D768" t="str">
        <f>IFERROR(VLOOKUP($A768, Ledger!$B$2:$L$8, 5, 0),"")</f>
        <v/>
      </c>
      <c r="E768" t="str">
        <f>IFERROR(VLOOKUP($A768, Ledger!$B$2:$L$8, 6, 0),"")</f>
        <v/>
      </c>
      <c r="F768" t="str">
        <f>IFERROR(VLOOKUP($A768,'Student Data'!$A$2:$AR$6,32,0),"")</f>
        <v/>
      </c>
      <c r="G768" t="str">
        <f>IFERROR(VLOOKUP($A768,'Student Data'!$A$2:$AR$6,33,0),"")</f>
        <v/>
      </c>
      <c r="H768" t="str">
        <f>IFERROR(VLOOKUP($A768,'Student Data'!$A$2:$AR$6,34,0),"")</f>
        <v/>
      </c>
      <c r="I768" t="str">
        <f>IFERROR(VLOOKUP($A768,'Student Data'!$A$2:$AR$6,35,0),"")</f>
        <v/>
      </c>
      <c r="J768" t="str">
        <f>IFERROR(VLOOKUP($A768,'Student Data'!$A$2:$AR$6,36,0),"")</f>
        <v/>
      </c>
      <c r="K768" t="str">
        <f t="shared" si="22"/>
        <v/>
      </c>
      <c r="L768" t="str">
        <f t="shared" si="23"/>
        <v/>
      </c>
      <c r="M768" t="str">
        <f>IFERROR(IF($C768="","",SUMIFS(Ledger!$K$2:$K$4, Ledger!$B$2:$B$4, $A768, Ledger!$C$2:$C$4, M$2)),"****")</f>
        <v/>
      </c>
      <c r="N768" t="str">
        <f>IFERROR(IF($C768="","",SUMIFS(Ledger!$K$2:$K$4, Ledger!$B$2:$B$4, $A768, Ledger!$C$2:$C$4, N$2)),"****")</f>
        <v/>
      </c>
      <c r="O768" t="str">
        <f>IFERROR(IF($C768="","",SUMIFS(Ledger!$K$2:$K$4, Ledger!$B$2:$B$4, $A768, Ledger!$C$2:$C$4, O$2)),"****")</f>
        <v/>
      </c>
      <c r="P768" t="str">
        <f>IFERROR(IF($C768="","",SUMIFS(Ledger!$K$2:$K$4, Ledger!$B$2:$B$4, $A768, Ledger!$C$2:$C$4, P$2)),"****")</f>
        <v/>
      </c>
      <c r="Q768" t="str">
        <f>IFERROR(IF($C768="","",SUMIFS(Ledger!$K$2:$K$4, Ledger!$B$2:$B$4, $A768, Ledger!$C$2:$C$4, Q$2)),"****")</f>
        <v/>
      </c>
      <c r="R768" t="str">
        <f>IFERROR(IF($C768="","",SUMIFS(Ledger!$K$2:$K$4, Ledger!$B$2:$B$4, $A768, Ledger!$C$2:$C$4, R$2)),"****")</f>
        <v/>
      </c>
      <c r="S768" t="str">
        <f>IFERROR(IF($C768="","",SUMIFS(Ledger!$K$2:$K$4, Ledger!$B$2:$B$4, $A768, Ledger!$C$2:$C$4, S$2)),"****")</f>
        <v/>
      </c>
      <c r="T768" t="str">
        <f>IFERROR(IF($C768="","",SUMIFS(Ledger!$K$2:$K$4, Ledger!$B$2:$B$4, $A768, Ledger!$C$2:$C$4, T$2)),"****")</f>
        <v/>
      </c>
      <c r="U768" t="str">
        <f>IFERROR(IF($C768="","",SUMIFS(Ledger!$K$2:$K$4, Ledger!$B$2:$B$4, $A768, Ledger!$C$2:$C$4, U$2)),"****")</f>
        <v/>
      </c>
      <c r="V768" t="str">
        <f>IFERROR(IF($C768="","",SUMIFS(Ledger!$K$2:$K$4, Ledger!$B$2:$B$4, $A768, Ledger!$C$2:$C$4, V$2)),"****")</f>
        <v/>
      </c>
      <c r="W768" t="str">
        <f>IFERROR(IF($C768="","",SUMIFS(Ledger!$K$2:$K$4, Ledger!$B$2:$B$4, $A768, Ledger!$C$2:$C$4, W$2)),"****")</f>
        <v/>
      </c>
      <c r="X768" t="str">
        <f>IFERROR(IF($C768="","",SUMIFS(Ledger!$K$2:$K$4, Ledger!$B$2:$B$4, $A768, Ledger!$C$2:$C$4, X$2)),"****")</f>
        <v/>
      </c>
    </row>
    <row r="769" spans="1:24" x14ac:dyDescent="0.3">
      <c r="A769" s="106">
        <v>767</v>
      </c>
      <c r="B769" t="str">
        <f>IFERROR(VLOOKUP($A769, Ledger!$B$2:$L$8, 3, 0),"")</f>
        <v/>
      </c>
      <c r="C769" t="str">
        <f>IFERROR(VLOOKUP($A769, Ledger!$B$2:$L$8, 4, 0),"")</f>
        <v/>
      </c>
      <c r="D769" t="str">
        <f>IFERROR(VLOOKUP($A769, Ledger!$B$2:$L$8, 5, 0),"")</f>
        <v/>
      </c>
      <c r="E769" t="str">
        <f>IFERROR(VLOOKUP($A769, Ledger!$B$2:$L$8, 6, 0),"")</f>
        <v/>
      </c>
      <c r="F769" t="str">
        <f>IFERROR(VLOOKUP($A769,'Student Data'!$A$2:$AR$6,32,0),"")</f>
        <v/>
      </c>
      <c r="G769" t="str">
        <f>IFERROR(VLOOKUP($A769,'Student Data'!$A$2:$AR$6,33,0),"")</f>
        <v/>
      </c>
      <c r="H769" t="str">
        <f>IFERROR(VLOOKUP($A769,'Student Data'!$A$2:$AR$6,34,0),"")</f>
        <v/>
      </c>
      <c r="I769" t="str">
        <f>IFERROR(VLOOKUP($A769,'Student Data'!$A$2:$AR$6,35,0),"")</f>
        <v/>
      </c>
      <c r="J769" t="str">
        <f>IFERROR(VLOOKUP($A769,'Student Data'!$A$2:$AR$6,36,0),"")</f>
        <v/>
      </c>
      <c r="K769" t="str">
        <f t="shared" si="22"/>
        <v/>
      </c>
      <c r="L769" t="str">
        <f t="shared" si="23"/>
        <v/>
      </c>
      <c r="M769" t="str">
        <f>IFERROR(IF($C769="","",SUMIFS(Ledger!$K$2:$K$4, Ledger!$B$2:$B$4, $A769, Ledger!$C$2:$C$4, M$2)),"****")</f>
        <v/>
      </c>
      <c r="N769" t="str">
        <f>IFERROR(IF($C769="","",SUMIFS(Ledger!$K$2:$K$4, Ledger!$B$2:$B$4, $A769, Ledger!$C$2:$C$4, N$2)),"****")</f>
        <v/>
      </c>
      <c r="O769" t="str">
        <f>IFERROR(IF($C769="","",SUMIFS(Ledger!$K$2:$K$4, Ledger!$B$2:$B$4, $A769, Ledger!$C$2:$C$4, O$2)),"****")</f>
        <v/>
      </c>
      <c r="P769" t="str">
        <f>IFERROR(IF($C769="","",SUMIFS(Ledger!$K$2:$K$4, Ledger!$B$2:$B$4, $A769, Ledger!$C$2:$C$4, P$2)),"****")</f>
        <v/>
      </c>
      <c r="Q769" t="str">
        <f>IFERROR(IF($C769="","",SUMIFS(Ledger!$K$2:$K$4, Ledger!$B$2:$B$4, $A769, Ledger!$C$2:$C$4, Q$2)),"****")</f>
        <v/>
      </c>
      <c r="R769" t="str">
        <f>IFERROR(IF($C769="","",SUMIFS(Ledger!$K$2:$K$4, Ledger!$B$2:$B$4, $A769, Ledger!$C$2:$C$4, R$2)),"****")</f>
        <v/>
      </c>
      <c r="S769" t="str">
        <f>IFERROR(IF($C769="","",SUMIFS(Ledger!$K$2:$K$4, Ledger!$B$2:$B$4, $A769, Ledger!$C$2:$C$4, S$2)),"****")</f>
        <v/>
      </c>
      <c r="T769" t="str">
        <f>IFERROR(IF($C769="","",SUMIFS(Ledger!$K$2:$K$4, Ledger!$B$2:$B$4, $A769, Ledger!$C$2:$C$4, T$2)),"****")</f>
        <v/>
      </c>
      <c r="U769" t="str">
        <f>IFERROR(IF($C769="","",SUMIFS(Ledger!$K$2:$K$4, Ledger!$B$2:$B$4, $A769, Ledger!$C$2:$C$4, U$2)),"****")</f>
        <v/>
      </c>
      <c r="V769" t="str">
        <f>IFERROR(IF($C769="","",SUMIFS(Ledger!$K$2:$K$4, Ledger!$B$2:$B$4, $A769, Ledger!$C$2:$C$4, V$2)),"****")</f>
        <v/>
      </c>
      <c r="W769" t="str">
        <f>IFERROR(IF($C769="","",SUMIFS(Ledger!$K$2:$K$4, Ledger!$B$2:$B$4, $A769, Ledger!$C$2:$C$4, W$2)),"****")</f>
        <v/>
      </c>
      <c r="X769" t="str">
        <f>IFERROR(IF($C769="","",SUMIFS(Ledger!$K$2:$K$4, Ledger!$B$2:$B$4, $A769, Ledger!$C$2:$C$4, X$2)),"****")</f>
        <v/>
      </c>
    </row>
    <row r="770" spans="1:24" x14ac:dyDescent="0.3">
      <c r="A770" s="106">
        <v>768</v>
      </c>
      <c r="B770" t="str">
        <f>IFERROR(VLOOKUP($A770, Ledger!$B$2:$L$8, 3, 0),"")</f>
        <v/>
      </c>
      <c r="C770" t="str">
        <f>IFERROR(VLOOKUP($A770, Ledger!$B$2:$L$8, 4, 0),"")</f>
        <v/>
      </c>
      <c r="D770" t="str">
        <f>IFERROR(VLOOKUP($A770, Ledger!$B$2:$L$8, 5, 0),"")</f>
        <v/>
      </c>
      <c r="E770" t="str">
        <f>IFERROR(VLOOKUP($A770, Ledger!$B$2:$L$8, 6, 0),"")</f>
        <v/>
      </c>
      <c r="F770" t="str">
        <f>IFERROR(VLOOKUP($A770,'Student Data'!$A$2:$AR$6,32,0),"")</f>
        <v/>
      </c>
      <c r="G770" t="str">
        <f>IFERROR(VLOOKUP($A770,'Student Data'!$A$2:$AR$6,33,0),"")</f>
        <v/>
      </c>
      <c r="H770" t="str">
        <f>IFERROR(VLOOKUP($A770,'Student Data'!$A$2:$AR$6,34,0),"")</f>
        <v/>
      </c>
      <c r="I770" t="str">
        <f>IFERROR(VLOOKUP($A770,'Student Data'!$A$2:$AR$6,35,0),"")</f>
        <v/>
      </c>
      <c r="J770" t="str">
        <f>IFERROR(VLOOKUP($A770,'Student Data'!$A$2:$AR$6,36,0),"")</f>
        <v/>
      </c>
      <c r="K770" t="str">
        <f t="shared" si="22"/>
        <v/>
      </c>
      <c r="L770" t="str">
        <f t="shared" si="23"/>
        <v/>
      </c>
      <c r="M770" t="str">
        <f>IFERROR(IF($C770="","",SUMIFS(Ledger!$K$2:$K$4, Ledger!$B$2:$B$4, $A770, Ledger!$C$2:$C$4, M$2)),"****")</f>
        <v/>
      </c>
      <c r="N770" t="str">
        <f>IFERROR(IF($C770="","",SUMIFS(Ledger!$K$2:$K$4, Ledger!$B$2:$B$4, $A770, Ledger!$C$2:$C$4, N$2)),"****")</f>
        <v/>
      </c>
      <c r="O770" t="str">
        <f>IFERROR(IF($C770="","",SUMIFS(Ledger!$K$2:$K$4, Ledger!$B$2:$B$4, $A770, Ledger!$C$2:$C$4, O$2)),"****")</f>
        <v/>
      </c>
      <c r="P770" t="str">
        <f>IFERROR(IF($C770="","",SUMIFS(Ledger!$K$2:$K$4, Ledger!$B$2:$B$4, $A770, Ledger!$C$2:$C$4, P$2)),"****")</f>
        <v/>
      </c>
      <c r="Q770" t="str">
        <f>IFERROR(IF($C770="","",SUMIFS(Ledger!$K$2:$K$4, Ledger!$B$2:$B$4, $A770, Ledger!$C$2:$C$4, Q$2)),"****")</f>
        <v/>
      </c>
      <c r="R770" t="str">
        <f>IFERROR(IF($C770="","",SUMIFS(Ledger!$K$2:$K$4, Ledger!$B$2:$B$4, $A770, Ledger!$C$2:$C$4, R$2)),"****")</f>
        <v/>
      </c>
      <c r="S770" t="str">
        <f>IFERROR(IF($C770="","",SUMIFS(Ledger!$K$2:$K$4, Ledger!$B$2:$B$4, $A770, Ledger!$C$2:$C$4, S$2)),"****")</f>
        <v/>
      </c>
      <c r="T770" t="str">
        <f>IFERROR(IF($C770="","",SUMIFS(Ledger!$K$2:$K$4, Ledger!$B$2:$B$4, $A770, Ledger!$C$2:$C$4, T$2)),"****")</f>
        <v/>
      </c>
      <c r="U770" t="str">
        <f>IFERROR(IF($C770="","",SUMIFS(Ledger!$K$2:$K$4, Ledger!$B$2:$B$4, $A770, Ledger!$C$2:$C$4, U$2)),"****")</f>
        <v/>
      </c>
      <c r="V770" t="str">
        <f>IFERROR(IF($C770="","",SUMIFS(Ledger!$K$2:$K$4, Ledger!$B$2:$B$4, $A770, Ledger!$C$2:$C$4, V$2)),"****")</f>
        <v/>
      </c>
      <c r="W770" t="str">
        <f>IFERROR(IF($C770="","",SUMIFS(Ledger!$K$2:$K$4, Ledger!$B$2:$B$4, $A770, Ledger!$C$2:$C$4, W$2)),"****")</f>
        <v/>
      </c>
      <c r="X770" t="str">
        <f>IFERROR(IF($C770="","",SUMIFS(Ledger!$K$2:$K$4, Ledger!$B$2:$B$4, $A770, Ledger!$C$2:$C$4, X$2)),"****")</f>
        <v/>
      </c>
    </row>
    <row r="771" spans="1:24" x14ac:dyDescent="0.3">
      <c r="A771" s="106">
        <v>769</v>
      </c>
      <c r="B771" t="str">
        <f>IFERROR(VLOOKUP($A771, Ledger!$B$2:$L$8, 3, 0),"")</f>
        <v/>
      </c>
      <c r="C771" t="str">
        <f>IFERROR(VLOOKUP($A771, Ledger!$B$2:$L$8, 4, 0),"")</f>
        <v/>
      </c>
      <c r="D771" t="str">
        <f>IFERROR(VLOOKUP($A771, Ledger!$B$2:$L$8, 5, 0),"")</f>
        <v/>
      </c>
      <c r="E771" t="str">
        <f>IFERROR(VLOOKUP($A771, Ledger!$B$2:$L$8, 6, 0),"")</f>
        <v/>
      </c>
      <c r="F771" t="str">
        <f>IFERROR(VLOOKUP($A771,'Student Data'!$A$2:$AR$6,32,0),"")</f>
        <v/>
      </c>
      <c r="G771" t="str">
        <f>IFERROR(VLOOKUP($A771,'Student Data'!$A$2:$AR$6,33,0),"")</f>
        <v/>
      </c>
      <c r="H771" t="str">
        <f>IFERROR(VLOOKUP($A771,'Student Data'!$A$2:$AR$6,34,0),"")</f>
        <v/>
      </c>
      <c r="I771" t="str">
        <f>IFERROR(VLOOKUP($A771,'Student Data'!$A$2:$AR$6,35,0),"")</f>
        <v/>
      </c>
      <c r="J771" t="str">
        <f>IFERROR(VLOOKUP($A771,'Student Data'!$A$2:$AR$6,36,0),"")</f>
        <v/>
      </c>
      <c r="K771" t="str">
        <f t="shared" si="22"/>
        <v/>
      </c>
      <c r="L771" t="str">
        <f t="shared" si="23"/>
        <v/>
      </c>
      <c r="M771" t="str">
        <f>IFERROR(IF($C771="","",SUMIFS(Ledger!$K$2:$K$4, Ledger!$B$2:$B$4, $A771, Ledger!$C$2:$C$4, M$2)),"****")</f>
        <v/>
      </c>
      <c r="N771" t="str">
        <f>IFERROR(IF($C771="","",SUMIFS(Ledger!$K$2:$K$4, Ledger!$B$2:$B$4, $A771, Ledger!$C$2:$C$4, N$2)),"****")</f>
        <v/>
      </c>
      <c r="O771" t="str">
        <f>IFERROR(IF($C771="","",SUMIFS(Ledger!$K$2:$K$4, Ledger!$B$2:$B$4, $A771, Ledger!$C$2:$C$4, O$2)),"****")</f>
        <v/>
      </c>
      <c r="P771" t="str">
        <f>IFERROR(IF($C771="","",SUMIFS(Ledger!$K$2:$K$4, Ledger!$B$2:$B$4, $A771, Ledger!$C$2:$C$4, P$2)),"****")</f>
        <v/>
      </c>
      <c r="Q771" t="str">
        <f>IFERROR(IF($C771="","",SUMIFS(Ledger!$K$2:$K$4, Ledger!$B$2:$B$4, $A771, Ledger!$C$2:$C$4, Q$2)),"****")</f>
        <v/>
      </c>
      <c r="R771" t="str">
        <f>IFERROR(IF($C771="","",SUMIFS(Ledger!$K$2:$K$4, Ledger!$B$2:$B$4, $A771, Ledger!$C$2:$C$4, R$2)),"****")</f>
        <v/>
      </c>
      <c r="S771" t="str">
        <f>IFERROR(IF($C771="","",SUMIFS(Ledger!$K$2:$K$4, Ledger!$B$2:$B$4, $A771, Ledger!$C$2:$C$4, S$2)),"****")</f>
        <v/>
      </c>
      <c r="T771" t="str">
        <f>IFERROR(IF($C771="","",SUMIFS(Ledger!$K$2:$K$4, Ledger!$B$2:$B$4, $A771, Ledger!$C$2:$C$4, T$2)),"****")</f>
        <v/>
      </c>
      <c r="U771" t="str">
        <f>IFERROR(IF($C771="","",SUMIFS(Ledger!$K$2:$K$4, Ledger!$B$2:$B$4, $A771, Ledger!$C$2:$C$4, U$2)),"****")</f>
        <v/>
      </c>
      <c r="V771" t="str">
        <f>IFERROR(IF($C771="","",SUMIFS(Ledger!$K$2:$K$4, Ledger!$B$2:$B$4, $A771, Ledger!$C$2:$C$4, V$2)),"****")</f>
        <v/>
      </c>
      <c r="W771" t="str">
        <f>IFERROR(IF($C771="","",SUMIFS(Ledger!$K$2:$K$4, Ledger!$B$2:$B$4, $A771, Ledger!$C$2:$C$4, W$2)),"****")</f>
        <v/>
      </c>
      <c r="X771" t="str">
        <f>IFERROR(IF($C771="","",SUMIFS(Ledger!$K$2:$K$4, Ledger!$B$2:$B$4, $A771, Ledger!$C$2:$C$4, X$2)),"****")</f>
        <v/>
      </c>
    </row>
    <row r="772" spans="1:24" x14ac:dyDescent="0.3">
      <c r="A772" s="106">
        <v>770</v>
      </c>
      <c r="B772" t="str">
        <f>IFERROR(VLOOKUP($A772, Ledger!$B$2:$L$8, 3, 0),"")</f>
        <v/>
      </c>
      <c r="C772" t="str">
        <f>IFERROR(VLOOKUP($A772, Ledger!$B$2:$L$8, 4, 0),"")</f>
        <v/>
      </c>
      <c r="D772" t="str">
        <f>IFERROR(VLOOKUP($A772, Ledger!$B$2:$L$8, 5, 0),"")</f>
        <v/>
      </c>
      <c r="E772" t="str">
        <f>IFERROR(VLOOKUP($A772, Ledger!$B$2:$L$8, 6, 0),"")</f>
        <v/>
      </c>
      <c r="F772" t="str">
        <f>IFERROR(VLOOKUP($A772,'Student Data'!$A$2:$AR$6,32,0),"")</f>
        <v/>
      </c>
      <c r="G772" t="str">
        <f>IFERROR(VLOOKUP($A772,'Student Data'!$A$2:$AR$6,33,0),"")</f>
        <v/>
      </c>
      <c r="H772" t="str">
        <f>IFERROR(VLOOKUP($A772,'Student Data'!$A$2:$AR$6,34,0),"")</f>
        <v/>
      </c>
      <c r="I772" t="str">
        <f>IFERROR(VLOOKUP($A772,'Student Data'!$A$2:$AR$6,35,0),"")</f>
        <v/>
      </c>
      <c r="J772" t="str">
        <f>IFERROR(VLOOKUP($A772,'Student Data'!$A$2:$AR$6,36,0),"")</f>
        <v/>
      </c>
      <c r="K772" t="str">
        <f t="shared" ref="K772:K835" si="24">IFERROR(IF(C772="","",SUM(M772:X772)),"0")</f>
        <v/>
      </c>
      <c r="L772" t="str">
        <f t="shared" ref="L772:L835" si="25">IFERROR(IF(C772="","",J772-K772),"0")</f>
        <v/>
      </c>
      <c r="M772" t="str">
        <f>IFERROR(IF($C772="","",SUMIFS(Ledger!$K$2:$K$4, Ledger!$B$2:$B$4, $A772, Ledger!$C$2:$C$4, M$2)),"****")</f>
        <v/>
      </c>
      <c r="N772" t="str">
        <f>IFERROR(IF($C772="","",SUMIFS(Ledger!$K$2:$K$4, Ledger!$B$2:$B$4, $A772, Ledger!$C$2:$C$4, N$2)),"****")</f>
        <v/>
      </c>
      <c r="O772" t="str">
        <f>IFERROR(IF($C772="","",SUMIFS(Ledger!$K$2:$K$4, Ledger!$B$2:$B$4, $A772, Ledger!$C$2:$C$4, O$2)),"****")</f>
        <v/>
      </c>
      <c r="P772" t="str">
        <f>IFERROR(IF($C772="","",SUMIFS(Ledger!$K$2:$K$4, Ledger!$B$2:$B$4, $A772, Ledger!$C$2:$C$4, P$2)),"****")</f>
        <v/>
      </c>
      <c r="Q772" t="str">
        <f>IFERROR(IF($C772="","",SUMIFS(Ledger!$K$2:$K$4, Ledger!$B$2:$B$4, $A772, Ledger!$C$2:$C$4, Q$2)),"****")</f>
        <v/>
      </c>
      <c r="R772" t="str">
        <f>IFERROR(IF($C772="","",SUMIFS(Ledger!$K$2:$K$4, Ledger!$B$2:$B$4, $A772, Ledger!$C$2:$C$4, R$2)),"****")</f>
        <v/>
      </c>
      <c r="S772" t="str">
        <f>IFERROR(IF($C772="","",SUMIFS(Ledger!$K$2:$K$4, Ledger!$B$2:$B$4, $A772, Ledger!$C$2:$C$4, S$2)),"****")</f>
        <v/>
      </c>
      <c r="T772" t="str">
        <f>IFERROR(IF($C772="","",SUMIFS(Ledger!$K$2:$K$4, Ledger!$B$2:$B$4, $A772, Ledger!$C$2:$C$4, T$2)),"****")</f>
        <v/>
      </c>
      <c r="U772" t="str">
        <f>IFERROR(IF($C772="","",SUMIFS(Ledger!$K$2:$K$4, Ledger!$B$2:$B$4, $A772, Ledger!$C$2:$C$4, U$2)),"****")</f>
        <v/>
      </c>
      <c r="V772" t="str">
        <f>IFERROR(IF($C772="","",SUMIFS(Ledger!$K$2:$K$4, Ledger!$B$2:$B$4, $A772, Ledger!$C$2:$C$4, V$2)),"****")</f>
        <v/>
      </c>
      <c r="W772" t="str">
        <f>IFERROR(IF($C772="","",SUMIFS(Ledger!$K$2:$K$4, Ledger!$B$2:$B$4, $A772, Ledger!$C$2:$C$4, W$2)),"****")</f>
        <v/>
      </c>
      <c r="X772" t="str">
        <f>IFERROR(IF($C772="","",SUMIFS(Ledger!$K$2:$K$4, Ledger!$B$2:$B$4, $A772, Ledger!$C$2:$C$4, X$2)),"****")</f>
        <v/>
      </c>
    </row>
    <row r="773" spans="1:24" x14ac:dyDescent="0.3">
      <c r="A773" s="106">
        <v>771</v>
      </c>
      <c r="B773" t="str">
        <f>IFERROR(VLOOKUP($A773, Ledger!$B$2:$L$8, 3, 0),"")</f>
        <v/>
      </c>
      <c r="C773" t="str">
        <f>IFERROR(VLOOKUP($A773, Ledger!$B$2:$L$8, 4, 0),"")</f>
        <v/>
      </c>
      <c r="D773" t="str">
        <f>IFERROR(VLOOKUP($A773, Ledger!$B$2:$L$8, 5, 0),"")</f>
        <v/>
      </c>
      <c r="E773" t="str">
        <f>IFERROR(VLOOKUP($A773, Ledger!$B$2:$L$8, 6, 0),"")</f>
        <v/>
      </c>
      <c r="F773" t="str">
        <f>IFERROR(VLOOKUP($A773,'Student Data'!$A$2:$AR$6,32,0),"")</f>
        <v/>
      </c>
      <c r="G773" t="str">
        <f>IFERROR(VLOOKUP($A773,'Student Data'!$A$2:$AR$6,33,0),"")</f>
        <v/>
      </c>
      <c r="H773" t="str">
        <f>IFERROR(VLOOKUP($A773,'Student Data'!$A$2:$AR$6,34,0),"")</f>
        <v/>
      </c>
      <c r="I773" t="str">
        <f>IFERROR(VLOOKUP($A773,'Student Data'!$A$2:$AR$6,35,0),"")</f>
        <v/>
      </c>
      <c r="J773" t="str">
        <f>IFERROR(VLOOKUP($A773,'Student Data'!$A$2:$AR$6,36,0),"")</f>
        <v/>
      </c>
      <c r="K773" t="str">
        <f t="shared" si="24"/>
        <v/>
      </c>
      <c r="L773" t="str">
        <f t="shared" si="25"/>
        <v/>
      </c>
      <c r="M773" t="str">
        <f>IFERROR(IF($C773="","",SUMIFS(Ledger!$K$2:$K$4, Ledger!$B$2:$B$4, $A773, Ledger!$C$2:$C$4, M$2)),"****")</f>
        <v/>
      </c>
      <c r="N773" t="str">
        <f>IFERROR(IF($C773="","",SUMIFS(Ledger!$K$2:$K$4, Ledger!$B$2:$B$4, $A773, Ledger!$C$2:$C$4, N$2)),"****")</f>
        <v/>
      </c>
      <c r="O773" t="str">
        <f>IFERROR(IF($C773="","",SUMIFS(Ledger!$K$2:$K$4, Ledger!$B$2:$B$4, $A773, Ledger!$C$2:$C$4, O$2)),"****")</f>
        <v/>
      </c>
      <c r="P773" t="str">
        <f>IFERROR(IF($C773="","",SUMIFS(Ledger!$K$2:$K$4, Ledger!$B$2:$B$4, $A773, Ledger!$C$2:$C$4, P$2)),"****")</f>
        <v/>
      </c>
      <c r="Q773" t="str">
        <f>IFERROR(IF($C773="","",SUMIFS(Ledger!$K$2:$K$4, Ledger!$B$2:$B$4, $A773, Ledger!$C$2:$C$4, Q$2)),"****")</f>
        <v/>
      </c>
      <c r="R773" t="str">
        <f>IFERROR(IF($C773="","",SUMIFS(Ledger!$K$2:$K$4, Ledger!$B$2:$B$4, $A773, Ledger!$C$2:$C$4, R$2)),"****")</f>
        <v/>
      </c>
      <c r="S773" t="str">
        <f>IFERROR(IF($C773="","",SUMIFS(Ledger!$K$2:$K$4, Ledger!$B$2:$B$4, $A773, Ledger!$C$2:$C$4, S$2)),"****")</f>
        <v/>
      </c>
      <c r="T773" t="str">
        <f>IFERROR(IF($C773="","",SUMIFS(Ledger!$K$2:$K$4, Ledger!$B$2:$B$4, $A773, Ledger!$C$2:$C$4, T$2)),"****")</f>
        <v/>
      </c>
      <c r="U773" t="str">
        <f>IFERROR(IF($C773="","",SUMIFS(Ledger!$K$2:$K$4, Ledger!$B$2:$B$4, $A773, Ledger!$C$2:$C$4, U$2)),"****")</f>
        <v/>
      </c>
      <c r="V773" t="str">
        <f>IFERROR(IF($C773="","",SUMIFS(Ledger!$K$2:$K$4, Ledger!$B$2:$B$4, $A773, Ledger!$C$2:$C$4, V$2)),"****")</f>
        <v/>
      </c>
      <c r="W773" t="str">
        <f>IFERROR(IF($C773="","",SUMIFS(Ledger!$K$2:$K$4, Ledger!$B$2:$B$4, $A773, Ledger!$C$2:$C$4, W$2)),"****")</f>
        <v/>
      </c>
      <c r="X773" t="str">
        <f>IFERROR(IF($C773="","",SUMIFS(Ledger!$K$2:$K$4, Ledger!$B$2:$B$4, $A773, Ledger!$C$2:$C$4, X$2)),"****")</f>
        <v/>
      </c>
    </row>
    <row r="774" spans="1:24" x14ac:dyDescent="0.3">
      <c r="A774" s="106">
        <v>772</v>
      </c>
      <c r="B774" t="str">
        <f>IFERROR(VLOOKUP($A774, Ledger!$B$2:$L$8, 3, 0),"")</f>
        <v/>
      </c>
      <c r="C774" t="str">
        <f>IFERROR(VLOOKUP($A774, Ledger!$B$2:$L$8, 4, 0),"")</f>
        <v/>
      </c>
      <c r="D774" t="str">
        <f>IFERROR(VLOOKUP($A774, Ledger!$B$2:$L$8, 5, 0),"")</f>
        <v/>
      </c>
      <c r="E774" t="str">
        <f>IFERROR(VLOOKUP($A774, Ledger!$B$2:$L$8, 6, 0),"")</f>
        <v/>
      </c>
      <c r="F774" t="str">
        <f>IFERROR(VLOOKUP($A774,'Student Data'!$A$2:$AR$6,32,0),"")</f>
        <v/>
      </c>
      <c r="G774" t="str">
        <f>IFERROR(VLOOKUP($A774,'Student Data'!$A$2:$AR$6,33,0),"")</f>
        <v/>
      </c>
      <c r="H774" t="str">
        <f>IFERROR(VLOOKUP($A774,'Student Data'!$A$2:$AR$6,34,0),"")</f>
        <v/>
      </c>
      <c r="I774" t="str">
        <f>IFERROR(VLOOKUP($A774,'Student Data'!$A$2:$AR$6,35,0),"")</f>
        <v/>
      </c>
      <c r="J774" t="str">
        <f>IFERROR(VLOOKUP($A774,'Student Data'!$A$2:$AR$6,36,0),"")</f>
        <v/>
      </c>
      <c r="K774" t="str">
        <f t="shared" si="24"/>
        <v/>
      </c>
      <c r="L774" t="str">
        <f t="shared" si="25"/>
        <v/>
      </c>
      <c r="M774" t="str">
        <f>IFERROR(IF($C774="","",SUMIFS(Ledger!$K$2:$K$4, Ledger!$B$2:$B$4, $A774, Ledger!$C$2:$C$4, M$2)),"****")</f>
        <v/>
      </c>
      <c r="N774" t="str">
        <f>IFERROR(IF($C774="","",SUMIFS(Ledger!$K$2:$K$4, Ledger!$B$2:$B$4, $A774, Ledger!$C$2:$C$4, N$2)),"****")</f>
        <v/>
      </c>
      <c r="O774" t="str">
        <f>IFERROR(IF($C774="","",SUMIFS(Ledger!$K$2:$K$4, Ledger!$B$2:$B$4, $A774, Ledger!$C$2:$C$4, O$2)),"****")</f>
        <v/>
      </c>
      <c r="P774" t="str">
        <f>IFERROR(IF($C774="","",SUMIFS(Ledger!$K$2:$K$4, Ledger!$B$2:$B$4, $A774, Ledger!$C$2:$C$4, P$2)),"****")</f>
        <v/>
      </c>
      <c r="Q774" t="str">
        <f>IFERROR(IF($C774="","",SUMIFS(Ledger!$K$2:$K$4, Ledger!$B$2:$B$4, $A774, Ledger!$C$2:$C$4, Q$2)),"****")</f>
        <v/>
      </c>
      <c r="R774" t="str">
        <f>IFERROR(IF($C774="","",SUMIFS(Ledger!$K$2:$K$4, Ledger!$B$2:$B$4, $A774, Ledger!$C$2:$C$4, R$2)),"****")</f>
        <v/>
      </c>
      <c r="S774" t="str">
        <f>IFERROR(IF($C774="","",SUMIFS(Ledger!$K$2:$K$4, Ledger!$B$2:$B$4, $A774, Ledger!$C$2:$C$4, S$2)),"****")</f>
        <v/>
      </c>
      <c r="T774" t="str">
        <f>IFERROR(IF($C774="","",SUMIFS(Ledger!$K$2:$K$4, Ledger!$B$2:$B$4, $A774, Ledger!$C$2:$C$4, T$2)),"****")</f>
        <v/>
      </c>
      <c r="U774" t="str">
        <f>IFERROR(IF($C774="","",SUMIFS(Ledger!$K$2:$K$4, Ledger!$B$2:$B$4, $A774, Ledger!$C$2:$C$4, U$2)),"****")</f>
        <v/>
      </c>
      <c r="V774" t="str">
        <f>IFERROR(IF($C774="","",SUMIFS(Ledger!$K$2:$K$4, Ledger!$B$2:$B$4, $A774, Ledger!$C$2:$C$4, V$2)),"****")</f>
        <v/>
      </c>
      <c r="W774" t="str">
        <f>IFERROR(IF($C774="","",SUMIFS(Ledger!$K$2:$K$4, Ledger!$B$2:$B$4, $A774, Ledger!$C$2:$C$4, W$2)),"****")</f>
        <v/>
      </c>
      <c r="X774" t="str">
        <f>IFERROR(IF($C774="","",SUMIFS(Ledger!$K$2:$K$4, Ledger!$B$2:$B$4, $A774, Ledger!$C$2:$C$4, X$2)),"****")</f>
        <v/>
      </c>
    </row>
    <row r="775" spans="1:24" x14ac:dyDescent="0.3">
      <c r="A775" s="106">
        <v>773</v>
      </c>
      <c r="B775" t="str">
        <f>IFERROR(VLOOKUP($A775, Ledger!$B$2:$L$8, 3, 0),"")</f>
        <v/>
      </c>
      <c r="C775" t="str">
        <f>IFERROR(VLOOKUP($A775, Ledger!$B$2:$L$8, 4, 0),"")</f>
        <v/>
      </c>
      <c r="D775" t="str">
        <f>IFERROR(VLOOKUP($A775, Ledger!$B$2:$L$8, 5, 0),"")</f>
        <v/>
      </c>
      <c r="E775" t="str">
        <f>IFERROR(VLOOKUP($A775, Ledger!$B$2:$L$8, 6, 0),"")</f>
        <v/>
      </c>
      <c r="F775" t="str">
        <f>IFERROR(VLOOKUP($A775,'Student Data'!$A$2:$AR$6,32,0),"")</f>
        <v/>
      </c>
      <c r="G775" t="str">
        <f>IFERROR(VLOOKUP($A775,'Student Data'!$A$2:$AR$6,33,0),"")</f>
        <v/>
      </c>
      <c r="H775" t="str">
        <f>IFERROR(VLOOKUP($A775,'Student Data'!$A$2:$AR$6,34,0),"")</f>
        <v/>
      </c>
      <c r="I775" t="str">
        <f>IFERROR(VLOOKUP($A775,'Student Data'!$A$2:$AR$6,35,0),"")</f>
        <v/>
      </c>
      <c r="J775" t="str">
        <f>IFERROR(VLOOKUP($A775,'Student Data'!$A$2:$AR$6,36,0),"")</f>
        <v/>
      </c>
      <c r="K775" t="str">
        <f t="shared" si="24"/>
        <v/>
      </c>
      <c r="L775" t="str">
        <f t="shared" si="25"/>
        <v/>
      </c>
      <c r="M775" t="str">
        <f>IFERROR(IF($C775="","",SUMIFS(Ledger!$K$2:$K$4, Ledger!$B$2:$B$4, $A775, Ledger!$C$2:$C$4, M$2)),"****")</f>
        <v/>
      </c>
      <c r="N775" t="str">
        <f>IFERROR(IF($C775="","",SUMIFS(Ledger!$K$2:$K$4, Ledger!$B$2:$B$4, $A775, Ledger!$C$2:$C$4, N$2)),"****")</f>
        <v/>
      </c>
      <c r="O775" t="str">
        <f>IFERROR(IF($C775="","",SUMIFS(Ledger!$K$2:$K$4, Ledger!$B$2:$B$4, $A775, Ledger!$C$2:$C$4, O$2)),"****")</f>
        <v/>
      </c>
      <c r="P775" t="str">
        <f>IFERROR(IF($C775="","",SUMIFS(Ledger!$K$2:$K$4, Ledger!$B$2:$B$4, $A775, Ledger!$C$2:$C$4, P$2)),"****")</f>
        <v/>
      </c>
      <c r="Q775" t="str">
        <f>IFERROR(IF($C775="","",SUMIFS(Ledger!$K$2:$K$4, Ledger!$B$2:$B$4, $A775, Ledger!$C$2:$C$4, Q$2)),"****")</f>
        <v/>
      </c>
      <c r="R775" t="str">
        <f>IFERROR(IF($C775="","",SUMIFS(Ledger!$K$2:$K$4, Ledger!$B$2:$B$4, $A775, Ledger!$C$2:$C$4, R$2)),"****")</f>
        <v/>
      </c>
      <c r="S775" t="str">
        <f>IFERROR(IF($C775="","",SUMIFS(Ledger!$K$2:$K$4, Ledger!$B$2:$B$4, $A775, Ledger!$C$2:$C$4, S$2)),"****")</f>
        <v/>
      </c>
      <c r="T775" t="str">
        <f>IFERROR(IF($C775="","",SUMIFS(Ledger!$K$2:$K$4, Ledger!$B$2:$B$4, $A775, Ledger!$C$2:$C$4, T$2)),"****")</f>
        <v/>
      </c>
      <c r="U775" t="str">
        <f>IFERROR(IF($C775="","",SUMIFS(Ledger!$K$2:$K$4, Ledger!$B$2:$B$4, $A775, Ledger!$C$2:$C$4, U$2)),"****")</f>
        <v/>
      </c>
      <c r="V775" t="str">
        <f>IFERROR(IF($C775="","",SUMIFS(Ledger!$K$2:$K$4, Ledger!$B$2:$B$4, $A775, Ledger!$C$2:$C$4, V$2)),"****")</f>
        <v/>
      </c>
      <c r="W775" t="str">
        <f>IFERROR(IF($C775="","",SUMIFS(Ledger!$K$2:$K$4, Ledger!$B$2:$B$4, $A775, Ledger!$C$2:$C$4, W$2)),"****")</f>
        <v/>
      </c>
      <c r="X775" t="str">
        <f>IFERROR(IF($C775="","",SUMIFS(Ledger!$K$2:$K$4, Ledger!$B$2:$B$4, $A775, Ledger!$C$2:$C$4, X$2)),"****")</f>
        <v/>
      </c>
    </row>
    <row r="776" spans="1:24" x14ac:dyDescent="0.3">
      <c r="A776" s="106">
        <v>774</v>
      </c>
      <c r="B776" t="str">
        <f>IFERROR(VLOOKUP($A776, Ledger!$B$2:$L$8, 3, 0),"")</f>
        <v/>
      </c>
      <c r="C776" t="str">
        <f>IFERROR(VLOOKUP($A776, Ledger!$B$2:$L$8, 4, 0),"")</f>
        <v/>
      </c>
      <c r="D776" t="str">
        <f>IFERROR(VLOOKUP($A776, Ledger!$B$2:$L$8, 5, 0),"")</f>
        <v/>
      </c>
      <c r="E776" t="str">
        <f>IFERROR(VLOOKUP($A776, Ledger!$B$2:$L$8, 6, 0),"")</f>
        <v/>
      </c>
      <c r="F776" t="str">
        <f>IFERROR(VLOOKUP($A776,'Student Data'!$A$2:$AR$6,32,0),"")</f>
        <v/>
      </c>
      <c r="G776" t="str">
        <f>IFERROR(VLOOKUP($A776,'Student Data'!$A$2:$AR$6,33,0),"")</f>
        <v/>
      </c>
      <c r="H776" t="str">
        <f>IFERROR(VLOOKUP($A776,'Student Data'!$A$2:$AR$6,34,0),"")</f>
        <v/>
      </c>
      <c r="I776" t="str">
        <f>IFERROR(VLOOKUP($A776,'Student Data'!$A$2:$AR$6,35,0),"")</f>
        <v/>
      </c>
      <c r="J776" t="str">
        <f>IFERROR(VLOOKUP($A776,'Student Data'!$A$2:$AR$6,36,0),"")</f>
        <v/>
      </c>
      <c r="K776" t="str">
        <f t="shared" si="24"/>
        <v/>
      </c>
      <c r="L776" t="str">
        <f t="shared" si="25"/>
        <v/>
      </c>
      <c r="M776" t="str">
        <f>IFERROR(IF($C776="","",SUMIFS(Ledger!$K$2:$K$4, Ledger!$B$2:$B$4, $A776, Ledger!$C$2:$C$4, M$2)),"****")</f>
        <v/>
      </c>
      <c r="N776" t="str">
        <f>IFERROR(IF($C776="","",SUMIFS(Ledger!$K$2:$K$4, Ledger!$B$2:$B$4, $A776, Ledger!$C$2:$C$4, N$2)),"****")</f>
        <v/>
      </c>
      <c r="O776" t="str">
        <f>IFERROR(IF($C776="","",SUMIFS(Ledger!$K$2:$K$4, Ledger!$B$2:$B$4, $A776, Ledger!$C$2:$C$4, O$2)),"****")</f>
        <v/>
      </c>
      <c r="P776" t="str">
        <f>IFERROR(IF($C776="","",SUMIFS(Ledger!$K$2:$K$4, Ledger!$B$2:$B$4, $A776, Ledger!$C$2:$C$4, P$2)),"****")</f>
        <v/>
      </c>
      <c r="Q776" t="str">
        <f>IFERROR(IF($C776="","",SUMIFS(Ledger!$K$2:$K$4, Ledger!$B$2:$B$4, $A776, Ledger!$C$2:$C$4, Q$2)),"****")</f>
        <v/>
      </c>
      <c r="R776" t="str">
        <f>IFERROR(IF($C776="","",SUMIFS(Ledger!$K$2:$K$4, Ledger!$B$2:$B$4, $A776, Ledger!$C$2:$C$4, R$2)),"****")</f>
        <v/>
      </c>
      <c r="S776" t="str">
        <f>IFERROR(IF($C776="","",SUMIFS(Ledger!$K$2:$K$4, Ledger!$B$2:$B$4, $A776, Ledger!$C$2:$C$4, S$2)),"****")</f>
        <v/>
      </c>
      <c r="T776" t="str">
        <f>IFERROR(IF($C776="","",SUMIFS(Ledger!$K$2:$K$4, Ledger!$B$2:$B$4, $A776, Ledger!$C$2:$C$4, T$2)),"****")</f>
        <v/>
      </c>
      <c r="U776" t="str">
        <f>IFERROR(IF($C776="","",SUMIFS(Ledger!$K$2:$K$4, Ledger!$B$2:$B$4, $A776, Ledger!$C$2:$C$4, U$2)),"****")</f>
        <v/>
      </c>
      <c r="V776" t="str">
        <f>IFERROR(IF($C776="","",SUMIFS(Ledger!$K$2:$K$4, Ledger!$B$2:$B$4, $A776, Ledger!$C$2:$C$4, V$2)),"****")</f>
        <v/>
      </c>
      <c r="W776" t="str">
        <f>IFERROR(IF($C776="","",SUMIFS(Ledger!$K$2:$K$4, Ledger!$B$2:$B$4, $A776, Ledger!$C$2:$C$4, W$2)),"****")</f>
        <v/>
      </c>
      <c r="X776" t="str">
        <f>IFERROR(IF($C776="","",SUMIFS(Ledger!$K$2:$K$4, Ledger!$B$2:$B$4, $A776, Ledger!$C$2:$C$4, X$2)),"****")</f>
        <v/>
      </c>
    </row>
    <row r="777" spans="1:24" x14ac:dyDescent="0.3">
      <c r="A777" s="106">
        <v>775</v>
      </c>
      <c r="B777" t="str">
        <f>IFERROR(VLOOKUP($A777, Ledger!$B$2:$L$8, 3, 0),"")</f>
        <v/>
      </c>
      <c r="C777" t="str">
        <f>IFERROR(VLOOKUP($A777, Ledger!$B$2:$L$8, 4, 0),"")</f>
        <v/>
      </c>
      <c r="D777" t="str">
        <f>IFERROR(VLOOKUP($A777, Ledger!$B$2:$L$8, 5, 0),"")</f>
        <v/>
      </c>
      <c r="E777" t="str">
        <f>IFERROR(VLOOKUP($A777, Ledger!$B$2:$L$8, 6, 0),"")</f>
        <v/>
      </c>
      <c r="F777" t="str">
        <f>IFERROR(VLOOKUP($A777,'Student Data'!$A$2:$AR$6,32,0),"")</f>
        <v/>
      </c>
      <c r="G777" t="str">
        <f>IFERROR(VLOOKUP($A777,'Student Data'!$A$2:$AR$6,33,0),"")</f>
        <v/>
      </c>
      <c r="H777" t="str">
        <f>IFERROR(VLOOKUP($A777,'Student Data'!$A$2:$AR$6,34,0),"")</f>
        <v/>
      </c>
      <c r="I777" t="str">
        <f>IFERROR(VLOOKUP($A777,'Student Data'!$A$2:$AR$6,35,0),"")</f>
        <v/>
      </c>
      <c r="J777" t="str">
        <f>IFERROR(VLOOKUP($A777,'Student Data'!$A$2:$AR$6,36,0),"")</f>
        <v/>
      </c>
      <c r="K777" t="str">
        <f t="shared" si="24"/>
        <v/>
      </c>
      <c r="L777" t="str">
        <f t="shared" si="25"/>
        <v/>
      </c>
      <c r="M777" t="str">
        <f>IFERROR(IF($C777="","",SUMIFS(Ledger!$K$2:$K$4, Ledger!$B$2:$B$4, $A777, Ledger!$C$2:$C$4, M$2)),"****")</f>
        <v/>
      </c>
      <c r="N777" t="str">
        <f>IFERROR(IF($C777="","",SUMIFS(Ledger!$K$2:$K$4, Ledger!$B$2:$B$4, $A777, Ledger!$C$2:$C$4, N$2)),"****")</f>
        <v/>
      </c>
      <c r="O777" t="str">
        <f>IFERROR(IF($C777="","",SUMIFS(Ledger!$K$2:$K$4, Ledger!$B$2:$B$4, $A777, Ledger!$C$2:$C$4, O$2)),"****")</f>
        <v/>
      </c>
      <c r="P777" t="str">
        <f>IFERROR(IF($C777="","",SUMIFS(Ledger!$K$2:$K$4, Ledger!$B$2:$B$4, $A777, Ledger!$C$2:$C$4, P$2)),"****")</f>
        <v/>
      </c>
      <c r="Q777" t="str">
        <f>IFERROR(IF($C777="","",SUMIFS(Ledger!$K$2:$K$4, Ledger!$B$2:$B$4, $A777, Ledger!$C$2:$C$4, Q$2)),"****")</f>
        <v/>
      </c>
      <c r="R777" t="str">
        <f>IFERROR(IF($C777="","",SUMIFS(Ledger!$K$2:$K$4, Ledger!$B$2:$B$4, $A777, Ledger!$C$2:$C$4, R$2)),"****")</f>
        <v/>
      </c>
      <c r="S777" t="str">
        <f>IFERROR(IF($C777="","",SUMIFS(Ledger!$K$2:$K$4, Ledger!$B$2:$B$4, $A777, Ledger!$C$2:$C$4, S$2)),"****")</f>
        <v/>
      </c>
      <c r="T777" t="str">
        <f>IFERROR(IF($C777="","",SUMIFS(Ledger!$K$2:$K$4, Ledger!$B$2:$B$4, $A777, Ledger!$C$2:$C$4, T$2)),"****")</f>
        <v/>
      </c>
      <c r="U777" t="str">
        <f>IFERROR(IF($C777="","",SUMIFS(Ledger!$K$2:$K$4, Ledger!$B$2:$B$4, $A777, Ledger!$C$2:$C$4, U$2)),"****")</f>
        <v/>
      </c>
      <c r="V777" t="str">
        <f>IFERROR(IF($C777="","",SUMIFS(Ledger!$K$2:$K$4, Ledger!$B$2:$B$4, $A777, Ledger!$C$2:$C$4, V$2)),"****")</f>
        <v/>
      </c>
      <c r="W777" t="str">
        <f>IFERROR(IF($C777="","",SUMIFS(Ledger!$K$2:$K$4, Ledger!$B$2:$B$4, $A777, Ledger!$C$2:$C$4, W$2)),"****")</f>
        <v/>
      </c>
      <c r="X777" t="str">
        <f>IFERROR(IF($C777="","",SUMIFS(Ledger!$K$2:$K$4, Ledger!$B$2:$B$4, $A777, Ledger!$C$2:$C$4, X$2)),"****")</f>
        <v/>
      </c>
    </row>
    <row r="778" spans="1:24" x14ac:dyDescent="0.3">
      <c r="A778" s="106">
        <v>776</v>
      </c>
      <c r="B778" t="str">
        <f>IFERROR(VLOOKUP($A778, Ledger!$B$2:$L$8, 3, 0),"")</f>
        <v/>
      </c>
      <c r="C778" t="str">
        <f>IFERROR(VLOOKUP($A778, Ledger!$B$2:$L$8, 4, 0),"")</f>
        <v/>
      </c>
      <c r="D778" t="str">
        <f>IFERROR(VLOOKUP($A778, Ledger!$B$2:$L$8, 5, 0),"")</f>
        <v/>
      </c>
      <c r="E778" t="str">
        <f>IFERROR(VLOOKUP($A778, Ledger!$B$2:$L$8, 6, 0),"")</f>
        <v/>
      </c>
      <c r="F778" t="str">
        <f>IFERROR(VLOOKUP($A778,'Student Data'!$A$2:$AR$6,32,0),"")</f>
        <v/>
      </c>
      <c r="G778" t="str">
        <f>IFERROR(VLOOKUP($A778,'Student Data'!$A$2:$AR$6,33,0),"")</f>
        <v/>
      </c>
      <c r="H778" t="str">
        <f>IFERROR(VLOOKUP($A778,'Student Data'!$A$2:$AR$6,34,0),"")</f>
        <v/>
      </c>
      <c r="I778" t="str">
        <f>IFERROR(VLOOKUP($A778,'Student Data'!$A$2:$AR$6,35,0),"")</f>
        <v/>
      </c>
      <c r="J778" t="str">
        <f>IFERROR(VLOOKUP($A778,'Student Data'!$A$2:$AR$6,36,0),"")</f>
        <v/>
      </c>
      <c r="K778" t="str">
        <f t="shared" si="24"/>
        <v/>
      </c>
      <c r="L778" t="str">
        <f t="shared" si="25"/>
        <v/>
      </c>
      <c r="M778" t="str">
        <f>IFERROR(IF($C778="","",SUMIFS(Ledger!$K$2:$K$4, Ledger!$B$2:$B$4, $A778, Ledger!$C$2:$C$4, M$2)),"****")</f>
        <v/>
      </c>
      <c r="N778" t="str">
        <f>IFERROR(IF($C778="","",SUMIFS(Ledger!$K$2:$K$4, Ledger!$B$2:$B$4, $A778, Ledger!$C$2:$C$4, N$2)),"****")</f>
        <v/>
      </c>
      <c r="O778" t="str">
        <f>IFERROR(IF($C778="","",SUMIFS(Ledger!$K$2:$K$4, Ledger!$B$2:$B$4, $A778, Ledger!$C$2:$C$4, O$2)),"****")</f>
        <v/>
      </c>
      <c r="P778" t="str">
        <f>IFERROR(IF($C778="","",SUMIFS(Ledger!$K$2:$K$4, Ledger!$B$2:$B$4, $A778, Ledger!$C$2:$C$4, P$2)),"****")</f>
        <v/>
      </c>
      <c r="Q778" t="str">
        <f>IFERROR(IF($C778="","",SUMIFS(Ledger!$K$2:$K$4, Ledger!$B$2:$B$4, $A778, Ledger!$C$2:$C$4, Q$2)),"****")</f>
        <v/>
      </c>
      <c r="R778" t="str">
        <f>IFERROR(IF($C778="","",SUMIFS(Ledger!$K$2:$K$4, Ledger!$B$2:$B$4, $A778, Ledger!$C$2:$C$4, R$2)),"****")</f>
        <v/>
      </c>
      <c r="S778" t="str">
        <f>IFERROR(IF($C778="","",SUMIFS(Ledger!$K$2:$K$4, Ledger!$B$2:$B$4, $A778, Ledger!$C$2:$C$4, S$2)),"****")</f>
        <v/>
      </c>
      <c r="T778" t="str">
        <f>IFERROR(IF($C778="","",SUMIFS(Ledger!$K$2:$K$4, Ledger!$B$2:$B$4, $A778, Ledger!$C$2:$C$4, T$2)),"****")</f>
        <v/>
      </c>
      <c r="U778" t="str">
        <f>IFERROR(IF($C778="","",SUMIFS(Ledger!$K$2:$K$4, Ledger!$B$2:$B$4, $A778, Ledger!$C$2:$C$4, U$2)),"****")</f>
        <v/>
      </c>
      <c r="V778" t="str">
        <f>IFERROR(IF($C778="","",SUMIFS(Ledger!$K$2:$K$4, Ledger!$B$2:$B$4, $A778, Ledger!$C$2:$C$4, V$2)),"****")</f>
        <v/>
      </c>
      <c r="W778" t="str">
        <f>IFERROR(IF($C778="","",SUMIFS(Ledger!$K$2:$K$4, Ledger!$B$2:$B$4, $A778, Ledger!$C$2:$C$4, W$2)),"****")</f>
        <v/>
      </c>
      <c r="X778" t="str">
        <f>IFERROR(IF($C778="","",SUMIFS(Ledger!$K$2:$K$4, Ledger!$B$2:$B$4, $A778, Ledger!$C$2:$C$4, X$2)),"****")</f>
        <v/>
      </c>
    </row>
    <row r="779" spans="1:24" x14ac:dyDescent="0.3">
      <c r="A779" s="106">
        <v>777</v>
      </c>
      <c r="B779" t="str">
        <f>IFERROR(VLOOKUP($A779, Ledger!$B$2:$L$8, 3, 0),"")</f>
        <v/>
      </c>
      <c r="C779" t="str">
        <f>IFERROR(VLOOKUP($A779, Ledger!$B$2:$L$8, 4, 0),"")</f>
        <v/>
      </c>
      <c r="D779" t="str">
        <f>IFERROR(VLOOKUP($A779, Ledger!$B$2:$L$8, 5, 0),"")</f>
        <v/>
      </c>
      <c r="E779" t="str">
        <f>IFERROR(VLOOKUP($A779, Ledger!$B$2:$L$8, 6, 0),"")</f>
        <v/>
      </c>
      <c r="F779" t="str">
        <f>IFERROR(VLOOKUP($A779,'Student Data'!$A$2:$AR$6,32,0),"")</f>
        <v/>
      </c>
      <c r="G779" t="str">
        <f>IFERROR(VLOOKUP($A779,'Student Data'!$A$2:$AR$6,33,0),"")</f>
        <v/>
      </c>
      <c r="H779" t="str">
        <f>IFERROR(VLOOKUP($A779,'Student Data'!$A$2:$AR$6,34,0),"")</f>
        <v/>
      </c>
      <c r="I779" t="str">
        <f>IFERROR(VLOOKUP($A779,'Student Data'!$A$2:$AR$6,35,0),"")</f>
        <v/>
      </c>
      <c r="J779" t="str">
        <f>IFERROR(VLOOKUP($A779,'Student Data'!$A$2:$AR$6,36,0),"")</f>
        <v/>
      </c>
      <c r="K779" t="str">
        <f t="shared" si="24"/>
        <v/>
      </c>
      <c r="L779" t="str">
        <f t="shared" si="25"/>
        <v/>
      </c>
      <c r="M779" t="str">
        <f>IFERROR(IF($C779="","",SUMIFS(Ledger!$K$2:$K$4, Ledger!$B$2:$B$4, $A779, Ledger!$C$2:$C$4, M$2)),"****")</f>
        <v/>
      </c>
      <c r="N779" t="str">
        <f>IFERROR(IF($C779="","",SUMIFS(Ledger!$K$2:$K$4, Ledger!$B$2:$B$4, $A779, Ledger!$C$2:$C$4, N$2)),"****")</f>
        <v/>
      </c>
      <c r="O779" t="str">
        <f>IFERROR(IF($C779="","",SUMIFS(Ledger!$K$2:$K$4, Ledger!$B$2:$B$4, $A779, Ledger!$C$2:$C$4, O$2)),"****")</f>
        <v/>
      </c>
      <c r="P779" t="str">
        <f>IFERROR(IF($C779="","",SUMIFS(Ledger!$K$2:$K$4, Ledger!$B$2:$B$4, $A779, Ledger!$C$2:$C$4, P$2)),"****")</f>
        <v/>
      </c>
      <c r="Q779" t="str">
        <f>IFERROR(IF($C779="","",SUMIFS(Ledger!$K$2:$K$4, Ledger!$B$2:$B$4, $A779, Ledger!$C$2:$C$4, Q$2)),"****")</f>
        <v/>
      </c>
      <c r="R779" t="str">
        <f>IFERROR(IF($C779="","",SUMIFS(Ledger!$K$2:$K$4, Ledger!$B$2:$B$4, $A779, Ledger!$C$2:$C$4, R$2)),"****")</f>
        <v/>
      </c>
      <c r="S779" t="str">
        <f>IFERROR(IF($C779="","",SUMIFS(Ledger!$K$2:$K$4, Ledger!$B$2:$B$4, $A779, Ledger!$C$2:$C$4, S$2)),"****")</f>
        <v/>
      </c>
      <c r="T779" t="str">
        <f>IFERROR(IF($C779="","",SUMIFS(Ledger!$K$2:$K$4, Ledger!$B$2:$B$4, $A779, Ledger!$C$2:$C$4, T$2)),"****")</f>
        <v/>
      </c>
      <c r="U779" t="str">
        <f>IFERROR(IF($C779="","",SUMIFS(Ledger!$K$2:$K$4, Ledger!$B$2:$B$4, $A779, Ledger!$C$2:$C$4, U$2)),"****")</f>
        <v/>
      </c>
      <c r="V779" t="str">
        <f>IFERROR(IF($C779="","",SUMIFS(Ledger!$K$2:$K$4, Ledger!$B$2:$B$4, $A779, Ledger!$C$2:$C$4, V$2)),"****")</f>
        <v/>
      </c>
      <c r="W779" t="str">
        <f>IFERROR(IF($C779="","",SUMIFS(Ledger!$K$2:$K$4, Ledger!$B$2:$B$4, $A779, Ledger!$C$2:$C$4, W$2)),"****")</f>
        <v/>
      </c>
      <c r="X779" t="str">
        <f>IFERROR(IF($C779="","",SUMIFS(Ledger!$K$2:$K$4, Ledger!$B$2:$B$4, $A779, Ledger!$C$2:$C$4, X$2)),"****")</f>
        <v/>
      </c>
    </row>
    <row r="780" spans="1:24" x14ac:dyDescent="0.3">
      <c r="A780" s="106">
        <v>778</v>
      </c>
      <c r="B780" t="str">
        <f>IFERROR(VLOOKUP($A780, Ledger!$B$2:$L$8, 3, 0),"")</f>
        <v/>
      </c>
      <c r="C780" t="str">
        <f>IFERROR(VLOOKUP($A780, Ledger!$B$2:$L$8, 4, 0),"")</f>
        <v/>
      </c>
      <c r="D780" t="str">
        <f>IFERROR(VLOOKUP($A780, Ledger!$B$2:$L$8, 5, 0),"")</f>
        <v/>
      </c>
      <c r="E780" t="str">
        <f>IFERROR(VLOOKUP($A780, Ledger!$B$2:$L$8, 6, 0),"")</f>
        <v/>
      </c>
      <c r="F780" t="str">
        <f>IFERROR(VLOOKUP($A780,'Student Data'!$A$2:$AR$6,32,0),"")</f>
        <v/>
      </c>
      <c r="G780" t="str">
        <f>IFERROR(VLOOKUP($A780,'Student Data'!$A$2:$AR$6,33,0),"")</f>
        <v/>
      </c>
      <c r="H780" t="str">
        <f>IFERROR(VLOOKUP($A780,'Student Data'!$A$2:$AR$6,34,0),"")</f>
        <v/>
      </c>
      <c r="I780" t="str">
        <f>IFERROR(VLOOKUP($A780,'Student Data'!$A$2:$AR$6,35,0),"")</f>
        <v/>
      </c>
      <c r="J780" t="str">
        <f>IFERROR(VLOOKUP($A780,'Student Data'!$A$2:$AR$6,36,0),"")</f>
        <v/>
      </c>
      <c r="K780" t="str">
        <f t="shared" si="24"/>
        <v/>
      </c>
      <c r="L780" t="str">
        <f t="shared" si="25"/>
        <v/>
      </c>
      <c r="M780" t="str">
        <f>IFERROR(IF($C780="","",SUMIFS(Ledger!$K$2:$K$4, Ledger!$B$2:$B$4, $A780, Ledger!$C$2:$C$4, M$2)),"****")</f>
        <v/>
      </c>
      <c r="N780" t="str">
        <f>IFERROR(IF($C780="","",SUMIFS(Ledger!$K$2:$K$4, Ledger!$B$2:$B$4, $A780, Ledger!$C$2:$C$4, N$2)),"****")</f>
        <v/>
      </c>
      <c r="O780" t="str">
        <f>IFERROR(IF($C780="","",SUMIFS(Ledger!$K$2:$K$4, Ledger!$B$2:$B$4, $A780, Ledger!$C$2:$C$4, O$2)),"****")</f>
        <v/>
      </c>
      <c r="P780" t="str">
        <f>IFERROR(IF($C780="","",SUMIFS(Ledger!$K$2:$K$4, Ledger!$B$2:$B$4, $A780, Ledger!$C$2:$C$4, P$2)),"****")</f>
        <v/>
      </c>
      <c r="Q780" t="str">
        <f>IFERROR(IF($C780="","",SUMIFS(Ledger!$K$2:$K$4, Ledger!$B$2:$B$4, $A780, Ledger!$C$2:$C$4, Q$2)),"****")</f>
        <v/>
      </c>
      <c r="R780" t="str">
        <f>IFERROR(IF($C780="","",SUMIFS(Ledger!$K$2:$K$4, Ledger!$B$2:$B$4, $A780, Ledger!$C$2:$C$4, R$2)),"****")</f>
        <v/>
      </c>
      <c r="S780" t="str">
        <f>IFERROR(IF($C780="","",SUMIFS(Ledger!$K$2:$K$4, Ledger!$B$2:$B$4, $A780, Ledger!$C$2:$C$4, S$2)),"****")</f>
        <v/>
      </c>
      <c r="T780" t="str">
        <f>IFERROR(IF($C780="","",SUMIFS(Ledger!$K$2:$K$4, Ledger!$B$2:$B$4, $A780, Ledger!$C$2:$C$4, T$2)),"****")</f>
        <v/>
      </c>
      <c r="U780" t="str">
        <f>IFERROR(IF($C780="","",SUMIFS(Ledger!$K$2:$K$4, Ledger!$B$2:$B$4, $A780, Ledger!$C$2:$C$4, U$2)),"****")</f>
        <v/>
      </c>
      <c r="V780" t="str">
        <f>IFERROR(IF($C780="","",SUMIFS(Ledger!$K$2:$K$4, Ledger!$B$2:$B$4, $A780, Ledger!$C$2:$C$4, V$2)),"****")</f>
        <v/>
      </c>
      <c r="W780" t="str">
        <f>IFERROR(IF($C780="","",SUMIFS(Ledger!$K$2:$K$4, Ledger!$B$2:$B$4, $A780, Ledger!$C$2:$C$4, W$2)),"****")</f>
        <v/>
      </c>
      <c r="X780" t="str">
        <f>IFERROR(IF($C780="","",SUMIFS(Ledger!$K$2:$K$4, Ledger!$B$2:$B$4, $A780, Ledger!$C$2:$C$4, X$2)),"****")</f>
        <v/>
      </c>
    </row>
    <row r="781" spans="1:24" x14ac:dyDescent="0.3">
      <c r="A781" s="106">
        <v>779</v>
      </c>
      <c r="B781" t="str">
        <f>IFERROR(VLOOKUP($A781, Ledger!$B$2:$L$8, 3, 0),"")</f>
        <v/>
      </c>
      <c r="C781" t="str">
        <f>IFERROR(VLOOKUP($A781, Ledger!$B$2:$L$8, 4, 0),"")</f>
        <v/>
      </c>
      <c r="D781" t="str">
        <f>IFERROR(VLOOKUP($A781, Ledger!$B$2:$L$8, 5, 0),"")</f>
        <v/>
      </c>
      <c r="E781" t="str">
        <f>IFERROR(VLOOKUP($A781, Ledger!$B$2:$L$8, 6, 0),"")</f>
        <v/>
      </c>
      <c r="F781" t="str">
        <f>IFERROR(VLOOKUP($A781,'Student Data'!$A$2:$AR$6,32,0),"")</f>
        <v/>
      </c>
      <c r="G781" t="str">
        <f>IFERROR(VLOOKUP($A781,'Student Data'!$A$2:$AR$6,33,0),"")</f>
        <v/>
      </c>
      <c r="H781" t="str">
        <f>IFERROR(VLOOKUP($A781,'Student Data'!$A$2:$AR$6,34,0),"")</f>
        <v/>
      </c>
      <c r="I781" t="str">
        <f>IFERROR(VLOOKUP($A781,'Student Data'!$A$2:$AR$6,35,0),"")</f>
        <v/>
      </c>
      <c r="J781" t="str">
        <f>IFERROR(VLOOKUP($A781,'Student Data'!$A$2:$AR$6,36,0),"")</f>
        <v/>
      </c>
      <c r="K781" t="str">
        <f t="shared" si="24"/>
        <v/>
      </c>
      <c r="L781" t="str">
        <f t="shared" si="25"/>
        <v/>
      </c>
      <c r="M781" t="str">
        <f>IFERROR(IF($C781="","",SUMIFS(Ledger!$K$2:$K$4, Ledger!$B$2:$B$4, $A781, Ledger!$C$2:$C$4, M$2)),"****")</f>
        <v/>
      </c>
      <c r="N781" t="str">
        <f>IFERROR(IF($C781="","",SUMIFS(Ledger!$K$2:$K$4, Ledger!$B$2:$B$4, $A781, Ledger!$C$2:$C$4, N$2)),"****")</f>
        <v/>
      </c>
      <c r="O781" t="str">
        <f>IFERROR(IF($C781="","",SUMIFS(Ledger!$K$2:$K$4, Ledger!$B$2:$B$4, $A781, Ledger!$C$2:$C$4, O$2)),"****")</f>
        <v/>
      </c>
      <c r="P781" t="str">
        <f>IFERROR(IF($C781="","",SUMIFS(Ledger!$K$2:$K$4, Ledger!$B$2:$B$4, $A781, Ledger!$C$2:$C$4, P$2)),"****")</f>
        <v/>
      </c>
      <c r="Q781" t="str">
        <f>IFERROR(IF($C781="","",SUMIFS(Ledger!$K$2:$K$4, Ledger!$B$2:$B$4, $A781, Ledger!$C$2:$C$4, Q$2)),"****")</f>
        <v/>
      </c>
      <c r="R781" t="str">
        <f>IFERROR(IF($C781="","",SUMIFS(Ledger!$K$2:$K$4, Ledger!$B$2:$B$4, $A781, Ledger!$C$2:$C$4, R$2)),"****")</f>
        <v/>
      </c>
      <c r="S781" t="str">
        <f>IFERROR(IF($C781="","",SUMIFS(Ledger!$K$2:$K$4, Ledger!$B$2:$B$4, $A781, Ledger!$C$2:$C$4, S$2)),"****")</f>
        <v/>
      </c>
      <c r="T781" t="str">
        <f>IFERROR(IF($C781="","",SUMIFS(Ledger!$K$2:$K$4, Ledger!$B$2:$B$4, $A781, Ledger!$C$2:$C$4, T$2)),"****")</f>
        <v/>
      </c>
      <c r="U781" t="str">
        <f>IFERROR(IF($C781="","",SUMIFS(Ledger!$K$2:$K$4, Ledger!$B$2:$B$4, $A781, Ledger!$C$2:$C$4, U$2)),"****")</f>
        <v/>
      </c>
      <c r="V781" t="str">
        <f>IFERROR(IF($C781="","",SUMIFS(Ledger!$K$2:$K$4, Ledger!$B$2:$B$4, $A781, Ledger!$C$2:$C$4, V$2)),"****")</f>
        <v/>
      </c>
      <c r="W781" t="str">
        <f>IFERROR(IF($C781="","",SUMIFS(Ledger!$K$2:$K$4, Ledger!$B$2:$B$4, $A781, Ledger!$C$2:$C$4, W$2)),"****")</f>
        <v/>
      </c>
      <c r="X781" t="str">
        <f>IFERROR(IF($C781="","",SUMIFS(Ledger!$K$2:$K$4, Ledger!$B$2:$B$4, $A781, Ledger!$C$2:$C$4, X$2)),"****")</f>
        <v/>
      </c>
    </row>
    <row r="782" spans="1:24" x14ac:dyDescent="0.3">
      <c r="A782" s="106">
        <v>780</v>
      </c>
      <c r="B782" t="str">
        <f>IFERROR(VLOOKUP($A782, Ledger!$B$2:$L$8, 3, 0),"")</f>
        <v/>
      </c>
      <c r="C782" t="str">
        <f>IFERROR(VLOOKUP($A782, Ledger!$B$2:$L$8, 4, 0),"")</f>
        <v/>
      </c>
      <c r="D782" t="str">
        <f>IFERROR(VLOOKUP($A782, Ledger!$B$2:$L$8, 5, 0),"")</f>
        <v/>
      </c>
      <c r="E782" t="str">
        <f>IFERROR(VLOOKUP($A782, Ledger!$B$2:$L$8, 6, 0),"")</f>
        <v/>
      </c>
      <c r="F782" t="str">
        <f>IFERROR(VLOOKUP($A782,'Student Data'!$A$2:$AR$6,32,0),"")</f>
        <v/>
      </c>
      <c r="G782" t="str">
        <f>IFERROR(VLOOKUP($A782,'Student Data'!$A$2:$AR$6,33,0),"")</f>
        <v/>
      </c>
      <c r="H782" t="str">
        <f>IFERROR(VLOOKUP($A782,'Student Data'!$A$2:$AR$6,34,0),"")</f>
        <v/>
      </c>
      <c r="I782" t="str">
        <f>IFERROR(VLOOKUP($A782,'Student Data'!$A$2:$AR$6,35,0),"")</f>
        <v/>
      </c>
      <c r="J782" t="str">
        <f>IFERROR(VLOOKUP($A782,'Student Data'!$A$2:$AR$6,36,0),"")</f>
        <v/>
      </c>
      <c r="K782" t="str">
        <f t="shared" si="24"/>
        <v/>
      </c>
      <c r="L782" t="str">
        <f t="shared" si="25"/>
        <v/>
      </c>
      <c r="M782" t="str">
        <f>IFERROR(IF($C782="","",SUMIFS(Ledger!$K$2:$K$4, Ledger!$B$2:$B$4, $A782, Ledger!$C$2:$C$4, M$2)),"****")</f>
        <v/>
      </c>
      <c r="N782" t="str">
        <f>IFERROR(IF($C782="","",SUMIFS(Ledger!$K$2:$K$4, Ledger!$B$2:$B$4, $A782, Ledger!$C$2:$C$4, N$2)),"****")</f>
        <v/>
      </c>
      <c r="O782" t="str">
        <f>IFERROR(IF($C782="","",SUMIFS(Ledger!$K$2:$K$4, Ledger!$B$2:$B$4, $A782, Ledger!$C$2:$C$4, O$2)),"****")</f>
        <v/>
      </c>
      <c r="P782" t="str">
        <f>IFERROR(IF($C782="","",SUMIFS(Ledger!$K$2:$K$4, Ledger!$B$2:$B$4, $A782, Ledger!$C$2:$C$4, P$2)),"****")</f>
        <v/>
      </c>
      <c r="Q782" t="str">
        <f>IFERROR(IF($C782="","",SUMIFS(Ledger!$K$2:$K$4, Ledger!$B$2:$B$4, $A782, Ledger!$C$2:$C$4, Q$2)),"****")</f>
        <v/>
      </c>
      <c r="R782" t="str">
        <f>IFERROR(IF($C782="","",SUMIFS(Ledger!$K$2:$K$4, Ledger!$B$2:$B$4, $A782, Ledger!$C$2:$C$4, R$2)),"****")</f>
        <v/>
      </c>
      <c r="S782" t="str">
        <f>IFERROR(IF($C782="","",SUMIFS(Ledger!$K$2:$K$4, Ledger!$B$2:$B$4, $A782, Ledger!$C$2:$C$4, S$2)),"****")</f>
        <v/>
      </c>
      <c r="T782" t="str">
        <f>IFERROR(IF($C782="","",SUMIFS(Ledger!$K$2:$K$4, Ledger!$B$2:$B$4, $A782, Ledger!$C$2:$C$4, T$2)),"****")</f>
        <v/>
      </c>
      <c r="U782" t="str">
        <f>IFERROR(IF($C782="","",SUMIFS(Ledger!$K$2:$K$4, Ledger!$B$2:$B$4, $A782, Ledger!$C$2:$C$4, U$2)),"****")</f>
        <v/>
      </c>
      <c r="V782" t="str">
        <f>IFERROR(IF($C782="","",SUMIFS(Ledger!$K$2:$K$4, Ledger!$B$2:$B$4, $A782, Ledger!$C$2:$C$4, V$2)),"****")</f>
        <v/>
      </c>
      <c r="W782" t="str">
        <f>IFERROR(IF($C782="","",SUMIFS(Ledger!$K$2:$K$4, Ledger!$B$2:$B$4, $A782, Ledger!$C$2:$C$4, W$2)),"****")</f>
        <v/>
      </c>
      <c r="X782" t="str">
        <f>IFERROR(IF($C782="","",SUMIFS(Ledger!$K$2:$K$4, Ledger!$B$2:$B$4, $A782, Ledger!$C$2:$C$4, X$2)),"****")</f>
        <v/>
      </c>
    </row>
    <row r="783" spans="1:24" x14ac:dyDescent="0.3">
      <c r="A783" s="106">
        <v>781</v>
      </c>
      <c r="B783" t="str">
        <f>IFERROR(VLOOKUP($A783, Ledger!$B$2:$L$8, 3, 0),"")</f>
        <v/>
      </c>
      <c r="C783" t="str">
        <f>IFERROR(VLOOKUP($A783, Ledger!$B$2:$L$8, 4, 0),"")</f>
        <v/>
      </c>
      <c r="D783" t="str">
        <f>IFERROR(VLOOKUP($A783, Ledger!$B$2:$L$8, 5, 0),"")</f>
        <v/>
      </c>
      <c r="E783" t="str">
        <f>IFERROR(VLOOKUP($A783, Ledger!$B$2:$L$8, 6, 0),"")</f>
        <v/>
      </c>
      <c r="F783" t="str">
        <f>IFERROR(VLOOKUP($A783,'Student Data'!$A$2:$AR$6,32,0),"")</f>
        <v/>
      </c>
      <c r="G783" t="str">
        <f>IFERROR(VLOOKUP($A783,'Student Data'!$A$2:$AR$6,33,0),"")</f>
        <v/>
      </c>
      <c r="H783" t="str">
        <f>IFERROR(VLOOKUP($A783,'Student Data'!$A$2:$AR$6,34,0),"")</f>
        <v/>
      </c>
      <c r="I783" t="str">
        <f>IFERROR(VLOOKUP($A783,'Student Data'!$A$2:$AR$6,35,0),"")</f>
        <v/>
      </c>
      <c r="J783" t="str">
        <f>IFERROR(VLOOKUP($A783,'Student Data'!$A$2:$AR$6,36,0),"")</f>
        <v/>
      </c>
      <c r="K783" t="str">
        <f t="shared" si="24"/>
        <v/>
      </c>
      <c r="L783" t="str">
        <f t="shared" si="25"/>
        <v/>
      </c>
      <c r="M783" t="str">
        <f>IFERROR(IF($C783="","",SUMIFS(Ledger!$K$2:$K$4, Ledger!$B$2:$B$4, $A783, Ledger!$C$2:$C$4, M$2)),"****")</f>
        <v/>
      </c>
      <c r="N783" t="str">
        <f>IFERROR(IF($C783="","",SUMIFS(Ledger!$K$2:$K$4, Ledger!$B$2:$B$4, $A783, Ledger!$C$2:$C$4, N$2)),"****")</f>
        <v/>
      </c>
      <c r="O783" t="str">
        <f>IFERROR(IF($C783="","",SUMIFS(Ledger!$K$2:$K$4, Ledger!$B$2:$B$4, $A783, Ledger!$C$2:$C$4, O$2)),"****")</f>
        <v/>
      </c>
      <c r="P783" t="str">
        <f>IFERROR(IF($C783="","",SUMIFS(Ledger!$K$2:$K$4, Ledger!$B$2:$B$4, $A783, Ledger!$C$2:$C$4, P$2)),"****")</f>
        <v/>
      </c>
      <c r="Q783" t="str">
        <f>IFERROR(IF($C783="","",SUMIFS(Ledger!$K$2:$K$4, Ledger!$B$2:$B$4, $A783, Ledger!$C$2:$C$4, Q$2)),"****")</f>
        <v/>
      </c>
      <c r="R783" t="str">
        <f>IFERROR(IF($C783="","",SUMIFS(Ledger!$K$2:$K$4, Ledger!$B$2:$B$4, $A783, Ledger!$C$2:$C$4, R$2)),"****")</f>
        <v/>
      </c>
      <c r="S783" t="str">
        <f>IFERROR(IF($C783="","",SUMIFS(Ledger!$K$2:$K$4, Ledger!$B$2:$B$4, $A783, Ledger!$C$2:$C$4, S$2)),"****")</f>
        <v/>
      </c>
      <c r="T783" t="str">
        <f>IFERROR(IF($C783="","",SUMIFS(Ledger!$K$2:$K$4, Ledger!$B$2:$B$4, $A783, Ledger!$C$2:$C$4, T$2)),"****")</f>
        <v/>
      </c>
      <c r="U783" t="str">
        <f>IFERROR(IF($C783="","",SUMIFS(Ledger!$K$2:$K$4, Ledger!$B$2:$B$4, $A783, Ledger!$C$2:$C$4, U$2)),"****")</f>
        <v/>
      </c>
      <c r="V783" t="str">
        <f>IFERROR(IF($C783="","",SUMIFS(Ledger!$K$2:$K$4, Ledger!$B$2:$B$4, $A783, Ledger!$C$2:$C$4, V$2)),"****")</f>
        <v/>
      </c>
      <c r="W783" t="str">
        <f>IFERROR(IF($C783="","",SUMIFS(Ledger!$K$2:$K$4, Ledger!$B$2:$B$4, $A783, Ledger!$C$2:$C$4, W$2)),"****")</f>
        <v/>
      </c>
      <c r="X783" t="str">
        <f>IFERROR(IF($C783="","",SUMIFS(Ledger!$K$2:$K$4, Ledger!$B$2:$B$4, $A783, Ledger!$C$2:$C$4, X$2)),"****")</f>
        <v/>
      </c>
    </row>
    <row r="784" spans="1:24" x14ac:dyDescent="0.3">
      <c r="A784" s="106">
        <v>782</v>
      </c>
      <c r="B784" t="str">
        <f>IFERROR(VLOOKUP($A784, Ledger!$B$2:$L$8, 3, 0),"")</f>
        <v/>
      </c>
      <c r="C784" t="str">
        <f>IFERROR(VLOOKUP($A784, Ledger!$B$2:$L$8, 4, 0),"")</f>
        <v/>
      </c>
      <c r="D784" t="str">
        <f>IFERROR(VLOOKUP($A784, Ledger!$B$2:$L$8, 5, 0),"")</f>
        <v/>
      </c>
      <c r="E784" t="str">
        <f>IFERROR(VLOOKUP($A784, Ledger!$B$2:$L$8, 6, 0),"")</f>
        <v/>
      </c>
      <c r="F784" t="str">
        <f>IFERROR(VLOOKUP($A784,'Student Data'!$A$2:$AR$6,32,0),"")</f>
        <v/>
      </c>
      <c r="G784" t="str">
        <f>IFERROR(VLOOKUP($A784,'Student Data'!$A$2:$AR$6,33,0),"")</f>
        <v/>
      </c>
      <c r="H784" t="str">
        <f>IFERROR(VLOOKUP($A784,'Student Data'!$A$2:$AR$6,34,0),"")</f>
        <v/>
      </c>
      <c r="I784" t="str">
        <f>IFERROR(VLOOKUP($A784,'Student Data'!$A$2:$AR$6,35,0),"")</f>
        <v/>
      </c>
      <c r="J784" t="str">
        <f>IFERROR(VLOOKUP($A784,'Student Data'!$A$2:$AR$6,36,0),"")</f>
        <v/>
      </c>
      <c r="K784" t="str">
        <f t="shared" si="24"/>
        <v/>
      </c>
      <c r="L784" t="str">
        <f t="shared" si="25"/>
        <v/>
      </c>
      <c r="M784" t="str">
        <f>IFERROR(IF($C784="","",SUMIFS(Ledger!$K$2:$K$4, Ledger!$B$2:$B$4, $A784, Ledger!$C$2:$C$4, M$2)),"****")</f>
        <v/>
      </c>
      <c r="N784" t="str">
        <f>IFERROR(IF($C784="","",SUMIFS(Ledger!$K$2:$K$4, Ledger!$B$2:$B$4, $A784, Ledger!$C$2:$C$4, N$2)),"****")</f>
        <v/>
      </c>
      <c r="O784" t="str">
        <f>IFERROR(IF($C784="","",SUMIFS(Ledger!$K$2:$K$4, Ledger!$B$2:$B$4, $A784, Ledger!$C$2:$C$4, O$2)),"****")</f>
        <v/>
      </c>
      <c r="P784" t="str">
        <f>IFERROR(IF($C784="","",SUMIFS(Ledger!$K$2:$K$4, Ledger!$B$2:$B$4, $A784, Ledger!$C$2:$C$4, P$2)),"****")</f>
        <v/>
      </c>
      <c r="Q784" t="str">
        <f>IFERROR(IF($C784="","",SUMIFS(Ledger!$K$2:$K$4, Ledger!$B$2:$B$4, $A784, Ledger!$C$2:$C$4, Q$2)),"****")</f>
        <v/>
      </c>
      <c r="R784" t="str">
        <f>IFERROR(IF($C784="","",SUMIFS(Ledger!$K$2:$K$4, Ledger!$B$2:$B$4, $A784, Ledger!$C$2:$C$4, R$2)),"****")</f>
        <v/>
      </c>
      <c r="S784" t="str">
        <f>IFERROR(IF($C784="","",SUMIFS(Ledger!$K$2:$K$4, Ledger!$B$2:$B$4, $A784, Ledger!$C$2:$C$4, S$2)),"****")</f>
        <v/>
      </c>
      <c r="T784" t="str">
        <f>IFERROR(IF($C784="","",SUMIFS(Ledger!$K$2:$K$4, Ledger!$B$2:$B$4, $A784, Ledger!$C$2:$C$4, T$2)),"****")</f>
        <v/>
      </c>
      <c r="U784" t="str">
        <f>IFERROR(IF($C784="","",SUMIFS(Ledger!$K$2:$K$4, Ledger!$B$2:$B$4, $A784, Ledger!$C$2:$C$4, U$2)),"****")</f>
        <v/>
      </c>
      <c r="V784" t="str">
        <f>IFERROR(IF($C784="","",SUMIFS(Ledger!$K$2:$K$4, Ledger!$B$2:$B$4, $A784, Ledger!$C$2:$C$4, V$2)),"****")</f>
        <v/>
      </c>
      <c r="W784" t="str">
        <f>IFERROR(IF($C784="","",SUMIFS(Ledger!$K$2:$K$4, Ledger!$B$2:$B$4, $A784, Ledger!$C$2:$C$4, W$2)),"****")</f>
        <v/>
      </c>
      <c r="X784" t="str">
        <f>IFERROR(IF($C784="","",SUMIFS(Ledger!$K$2:$K$4, Ledger!$B$2:$B$4, $A784, Ledger!$C$2:$C$4, X$2)),"****")</f>
        <v/>
      </c>
    </row>
    <row r="785" spans="1:24" x14ac:dyDescent="0.3">
      <c r="A785" s="106">
        <v>783</v>
      </c>
      <c r="B785" t="str">
        <f>IFERROR(VLOOKUP($A785, Ledger!$B$2:$L$8, 3, 0),"")</f>
        <v/>
      </c>
      <c r="C785" t="str">
        <f>IFERROR(VLOOKUP($A785, Ledger!$B$2:$L$8, 4, 0),"")</f>
        <v/>
      </c>
      <c r="D785" t="str">
        <f>IFERROR(VLOOKUP($A785, Ledger!$B$2:$L$8, 5, 0),"")</f>
        <v/>
      </c>
      <c r="E785" t="str">
        <f>IFERROR(VLOOKUP($A785, Ledger!$B$2:$L$8, 6, 0),"")</f>
        <v/>
      </c>
      <c r="F785" t="str">
        <f>IFERROR(VLOOKUP($A785,'Student Data'!$A$2:$AR$6,32,0),"")</f>
        <v/>
      </c>
      <c r="G785" t="str">
        <f>IFERROR(VLOOKUP($A785,'Student Data'!$A$2:$AR$6,33,0),"")</f>
        <v/>
      </c>
      <c r="H785" t="str">
        <f>IFERROR(VLOOKUP($A785,'Student Data'!$A$2:$AR$6,34,0),"")</f>
        <v/>
      </c>
      <c r="I785" t="str">
        <f>IFERROR(VLOOKUP($A785,'Student Data'!$A$2:$AR$6,35,0),"")</f>
        <v/>
      </c>
      <c r="J785" t="str">
        <f>IFERROR(VLOOKUP($A785,'Student Data'!$A$2:$AR$6,36,0),"")</f>
        <v/>
      </c>
      <c r="K785" t="str">
        <f t="shared" si="24"/>
        <v/>
      </c>
      <c r="L785" t="str">
        <f t="shared" si="25"/>
        <v/>
      </c>
      <c r="M785" t="str">
        <f>IFERROR(IF($C785="","",SUMIFS(Ledger!$K$2:$K$4, Ledger!$B$2:$B$4, $A785, Ledger!$C$2:$C$4, M$2)),"****")</f>
        <v/>
      </c>
      <c r="N785" t="str">
        <f>IFERROR(IF($C785="","",SUMIFS(Ledger!$K$2:$K$4, Ledger!$B$2:$B$4, $A785, Ledger!$C$2:$C$4, N$2)),"****")</f>
        <v/>
      </c>
      <c r="O785" t="str">
        <f>IFERROR(IF($C785="","",SUMIFS(Ledger!$K$2:$K$4, Ledger!$B$2:$B$4, $A785, Ledger!$C$2:$C$4, O$2)),"****")</f>
        <v/>
      </c>
      <c r="P785" t="str">
        <f>IFERROR(IF($C785="","",SUMIFS(Ledger!$K$2:$K$4, Ledger!$B$2:$B$4, $A785, Ledger!$C$2:$C$4, P$2)),"****")</f>
        <v/>
      </c>
      <c r="Q785" t="str">
        <f>IFERROR(IF($C785="","",SUMIFS(Ledger!$K$2:$K$4, Ledger!$B$2:$B$4, $A785, Ledger!$C$2:$C$4, Q$2)),"****")</f>
        <v/>
      </c>
      <c r="R785" t="str">
        <f>IFERROR(IF($C785="","",SUMIFS(Ledger!$K$2:$K$4, Ledger!$B$2:$B$4, $A785, Ledger!$C$2:$C$4, R$2)),"****")</f>
        <v/>
      </c>
      <c r="S785" t="str">
        <f>IFERROR(IF($C785="","",SUMIFS(Ledger!$K$2:$K$4, Ledger!$B$2:$B$4, $A785, Ledger!$C$2:$C$4, S$2)),"****")</f>
        <v/>
      </c>
      <c r="T785" t="str">
        <f>IFERROR(IF($C785="","",SUMIFS(Ledger!$K$2:$K$4, Ledger!$B$2:$B$4, $A785, Ledger!$C$2:$C$4, T$2)),"****")</f>
        <v/>
      </c>
      <c r="U785" t="str">
        <f>IFERROR(IF($C785="","",SUMIFS(Ledger!$K$2:$K$4, Ledger!$B$2:$B$4, $A785, Ledger!$C$2:$C$4, U$2)),"****")</f>
        <v/>
      </c>
      <c r="V785" t="str">
        <f>IFERROR(IF($C785="","",SUMIFS(Ledger!$K$2:$K$4, Ledger!$B$2:$B$4, $A785, Ledger!$C$2:$C$4, V$2)),"****")</f>
        <v/>
      </c>
      <c r="W785" t="str">
        <f>IFERROR(IF($C785="","",SUMIFS(Ledger!$K$2:$K$4, Ledger!$B$2:$B$4, $A785, Ledger!$C$2:$C$4, W$2)),"****")</f>
        <v/>
      </c>
      <c r="X785" t="str">
        <f>IFERROR(IF($C785="","",SUMIFS(Ledger!$K$2:$K$4, Ledger!$B$2:$B$4, $A785, Ledger!$C$2:$C$4, X$2)),"****")</f>
        <v/>
      </c>
    </row>
    <row r="786" spans="1:24" x14ac:dyDescent="0.3">
      <c r="A786" s="106">
        <v>784</v>
      </c>
      <c r="B786" t="str">
        <f>IFERROR(VLOOKUP($A786, Ledger!$B$2:$L$8, 3, 0),"")</f>
        <v/>
      </c>
      <c r="C786" t="str">
        <f>IFERROR(VLOOKUP($A786, Ledger!$B$2:$L$8, 4, 0),"")</f>
        <v/>
      </c>
      <c r="D786" t="str">
        <f>IFERROR(VLOOKUP($A786, Ledger!$B$2:$L$8, 5, 0),"")</f>
        <v/>
      </c>
      <c r="E786" t="str">
        <f>IFERROR(VLOOKUP($A786, Ledger!$B$2:$L$8, 6, 0),"")</f>
        <v/>
      </c>
      <c r="F786" t="str">
        <f>IFERROR(VLOOKUP($A786,'Student Data'!$A$2:$AR$6,32,0),"")</f>
        <v/>
      </c>
      <c r="G786" t="str">
        <f>IFERROR(VLOOKUP($A786,'Student Data'!$A$2:$AR$6,33,0),"")</f>
        <v/>
      </c>
      <c r="H786" t="str">
        <f>IFERROR(VLOOKUP($A786,'Student Data'!$A$2:$AR$6,34,0),"")</f>
        <v/>
      </c>
      <c r="I786" t="str">
        <f>IFERROR(VLOOKUP($A786,'Student Data'!$A$2:$AR$6,35,0),"")</f>
        <v/>
      </c>
      <c r="J786" t="str">
        <f>IFERROR(VLOOKUP($A786,'Student Data'!$A$2:$AR$6,36,0),"")</f>
        <v/>
      </c>
      <c r="K786" t="str">
        <f t="shared" si="24"/>
        <v/>
      </c>
      <c r="L786" t="str">
        <f t="shared" si="25"/>
        <v/>
      </c>
      <c r="M786" t="str">
        <f>IFERROR(IF($C786="","",SUMIFS(Ledger!$K$2:$K$4, Ledger!$B$2:$B$4, $A786, Ledger!$C$2:$C$4, M$2)),"****")</f>
        <v/>
      </c>
      <c r="N786" t="str">
        <f>IFERROR(IF($C786="","",SUMIFS(Ledger!$K$2:$K$4, Ledger!$B$2:$B$4, $A786, Ledger!$C$2:$C$4, N$2)),"****")</f>
        <v/>
      </c>
      <c r="O786" t="str">
        <f>IFERROR(IF($C786="","",SUMIFS(Ledger!$K$2:$K$4, Ledger!$B$2:$B$4, $A786, Ledger!$C$2:$C$4, O$2)),"****")</f>
        <v/>
      </c>
      <c r="P786" t="str">
        <f>IFERROR(IF($C786="","",SUMIFS(Ledger!$K$2:$K$4, Ledger!$B$2:$B$4, $A786, Ledger!$C$2:$C$4, P$2)),"****")</f>
        <v/>
      </c>
      <c r="Q786" t="str">
        <f>IFERROR(IF($C786="","",SUMIFS(Ledger!$K$2:$K$4, Ledger!$B$2:$B$4, $A786, Ledger!$C$2:$C$4, Q$2)),"****")</f>
        <v/>
      </c>
      <c r="R786" t="str">
        <f>IFERROR(IF($C786="","",SUMIFS(Ledger!$K$2:$K$4, Ledger!$B$2:$B$4, $A786, Ledger!$C$2:$C$4, R$2)),"****")</f>
        <v/>
      </c>
      <c r="S786" t="str">
        <f>IFERROR(IF($C786="","",SUMIFS(Ledger!$K$2:$K$4, Ledger!$B$2:$B$4, $A786, Ledger!$C$2:$C$4, S$2)),"****")</f>
        <v/>
      </c>
      <c r="T786" t="str">
        <f>IFERROR(IF($C786="","",SUMIFS(Ledger!$K$2:$K$4, Ledger!$B$2:$B$4, $A786, Ledger!$C$2:$C$4, T$2)),"****")</f>
        <v/>
      </c>
      <c r="U786" t="str">
        <f>IFERROR(IF($C786="","",SUMIFS(Ledger!$K$2:$K$4, Ledger!$B$2:$B$4, $A786, Ledger!$C$2:$C$4, U$2)),"****")</f>
        <v/>
      </c>
      <c r="V786" t="str">
        <f>IFERROR(IF($C786="","",SUMIFS(Ledger!$K$2:$K$4, Ledger!$B$2:$B$4, $A786, Ledger!$C$2:$C$4, V$2)),"****")</f>
        <v/>
      </c>
      <c r="W786" t="str">
        <f>IFERROR(IF($C786="","",SUMIFS(Ledger!$K$2:$K$4, Ledger!$B$2:$B$4, $A786, Ledger!$C$2:$C$4, W$2)),"****")</f>
        <v/>
      </c>
      <c r="X786" t="str">
        <f>IFERROR(IF($C786="","",SUMIFS(Ledger!$K$2:$K$4, Ledger!$B$2:$B$4, $A786, Ledger!$C$2:$C$4, X$2)),"****")</f>
        <v/>
      </c>
    </row>
    <row r="787" spans="1:24" x14ac:dyDescent="0.3">
      <c r="A787" s="106">
        <v>785</v>
      </c>
      <c r="B787" t="str">
        <f>IFERROR(VLOOKUP($A787, Ledger!$B$2:$L$8, 3, 0),"")</f>
        <v/>
      </c>
      <c r="C787" t="str">
        <f>IFERROR(VLOOKUP($A787, Ledger!$B$2:$L$8, 4, 0),"")</f>
        <v/>
      </c>
      <c r="D787" t="str">
        <f>IFERROR(VLOOKUP($A787, Ledger!$B$2:$L$8, 5, 0),"")</f>
        <v/>
      </c>
      <c r="E787" t="str">
        <f>IFERROR(VLOOKUP($A787, Ledger!$B$2:$L$8, 6, 0),"")</f>
        <v/>
      </c>
      <c r="F787" t="str">
        <f>IFERROR(VLOOKUP($A787,'Student Data'!$A$2:$AR$6,32,0),"")</f>
        <v/>
      </c>
      <c r="G787" t="str">
        <f>IFERROR(VLOOKUP($A787,'Student Data'!$A$2:$AR$6,33,0),"")</f>
        <v/>
      </c>
      <c r="H787" t="str">
        <f>IFERROR(VLOOKUP($A787,'Student Data'!$A$2:$AR$6,34,0),"")</f>
        <v/>
      </c>
      <c r="I787" t="str">
        <f>IFERROR(VLOOKUP($A787,'Student Data'!$A$2:$AR$6,35,0),"")</f>
        <v/>
      </c>
      <c r="J787" t="str">
        <f>IFERROR(VLOOKUP($A787,'Student Data'!$A$2:$AR$6,36,0),"")</f>
        <v/>
      </c>
      <c r="K787" t="str">
        <f t="shared" si="24"/>
        <v/>
      </c>
      <c r="L787" t="str">
        <f t="shared" si="25"/>
        <v/>
      </c>
      <c r="M787" t="str">
        <f>IFERROR(IF($C787="","",SUMIFS(Ledger!$K$2:$K$4, Ledger!$B$2:$B$4, $A787, Ledger!$C$2:$C$4, M$2)),"****")</f>
        <v/>
      </c>
      <c r="N787" t="str">
        <f>IFERROR(IF($C787="","",SUMIFS(Ledger!$K$2:$K$4, Ledger!$B$2:$B$4, $A787, Ledger!$C$2:$C$4, N$2)),"****")</f>
        <v/>
      </c>
      <c r="O787" t="str">
        <f>IFERROR(IF($C787="","",SUMIFS(Ledger!$K$2:$K$4, Ledger!$B$2:$B$4, $A787, Ledger!$C$2:$C$4, O$2)),"****")</f>
        <v/>
      </c>
      <c r="P787" t="str">
        <f>IFERROR(IF($C787="","",SUMIFS(Ledger!$K$2:$K$4, Ledger!$B$2:$B$4, $A787, Ledger!$C$2:$C$4, P$2)),"****")</f>
        <v/>
      </c>
      <c r="Q787" t="str">
        <f>IFERROR(IF($C787="","",SUMIFS(Ledger!$K$2:$K$4, Ledger!$B$2:$B$4, $A787, Ledger!$C$2:$C$4, Q$2)),"****")</f>
        <v/>
      </c>
      <c r="R787" t="str">
        <f>IFERROR(IF($C787="","",SUMIFS(Ledger!$K$2:$K$4, Ledger!$B$2:$B$4, $A787, Ledger!$C$2:$C$4, R$2)),"****")</f>
        <v/>
      </c>
      <c r="S787" t="str">
        <f>IFERROR(IF($C787="","",SUMIFS(Ledger!$K$2:$K$4, Ledger!$B$2:$B$4, $A787, Ledger!$C$2:$C$4, S$2)),"****")</f>
        <v/>
      </c>
      <c r="T787" t="str">
        <f>IFERROR(IF($C787="","",SUMIFS(Ledger!$K$2:$K$4, Ledger!$B$2:$B$4, $A787, Ledger!$C$2:$C$4, T$2)),"****")</f>
        <v/>
      </c>
      <c r="U787" t="str">
        <f>IFERROR(IF($C787="","",SUMIFS(Ledger!$K$2:$K$4, Ledger!$B$2:$B$4, $A787, Ledger!$C$2:$C$4, U$2)),"****")</f>
        <v/>
      </c>
      <c r="V787" t="str">
        <f>IFERROR(IF($C787="","",SUMIFS(Ledger!$K$2:$K$4, Ledger!$B$2:$B$4, $A787, Ledger!$C$2:$C$4, V$2)),"****")</f>
        <v/>
      </c>
      <c r="W787" t="str">
        <f>IFERROR(IF($C787="","",SUMIFS(Ledger!$K$2:$K$4, Ledger!$B$2:$B$4, $A787, Ledger!$C$2:$C$4, W$2)),"****")</f>
        <v/>
      </c>
      <c r="X787" t="str">
        <f>IFERROR(IF($C787="","",SUMIFS(Ledger!$K$2:$K$4, Ledger!$B$2:$B$4, $A787, Ledger!$C$2:$C$4, X$2)),"****")</f>
        <v/>
      </c>
    </row>
    <row r="788" spans="1:24" x14ac:dyDescent="0.3">
      <c r="A788" s="106">
        <v>786</v>
      </c>
      <c r="B788" t="str">
        <f>IFERROR(VLOOKUP($A788, Ledger!$B$2:$L$8, 3, 0),"")</f>
        <v/>
      </c>
      <c r="C788" t="str">
        <f>IFERROR(VLOOKUP($A788, Ledger!$B$2:$L$8, 4, 0),"")</f>
        <v/>
      </c>
      <c r="D788" t="str">
        <f>IFERROR(VLOOKUP($A788, Ledger!$B$2:$L$8, 5, 0),"")</f>
        <v/>
      </c>
      <c r="E788" t="str">
        <f>IFERROR(VLOOKUP($A788, Ledger!$B$2:$L$8, 6, 0),"")</f>
        <v/>
      </c>
      <c r="F788" t="str">
        <f>IFERROR(VLOOKUP($A788,'Student Data'!$A$2:$AR$6,32,0),"")</f>
        <v/>
      </c>
      <c r="G788" t="str">
        <f>IFERROR(VLOOKUP($A788,'Student Data'!$A$2:$AR$6,33,0),"")</f>
        <v/>
      </c>
      <c r="H788" t="str">
        <f>IFERROR(VLOOKUP($A788,'Student Data'!$A$2:$AR$6,34,0),"")</f>
        <v/>
      </c>
      <c r="I788" t="str">
        <f>IFERROR(VLOOKUP($A788,'Student Data'!$A$2:$AR$6,35,0),"")</f>
        <v/>
      </c>
      <c r="J788" t="str">
        <f>IFERROR(VLOOKUP($A788,'Student Data'!$A$2:$AR$6,36,0),"")</f>
        <v/>
      </c>
      <c r="K788" t="str">
        <f t="shared" si="24"/>
        <v/>
      </c>
      <c r="L788" t="str">
        <f t="shared" si="25"/>
        <v/>
      </c>
      <c r="M788" t="str">
        <f>IFERROR(IF($C788="","",SUMIFS(Ledger!$K$2:$K$4, Ledger!$B$2:$B$4, $A788, Ledger!$C$2:$C$4, M$2)),"****")</f>
        <v/>
      </c>
      <c r="N788" t="str">
        <f>IFERROR(IF($C788="","",SUMIFS(Ledger!$K$2:$K$4, Ledger!$B$2:$B$4, $A788, Ledger!$C$2:$C$4, N$2)),"****")</f>
        <v/>
      </c>
      <c r="O788" t="str">
        <f>IFERROR(IF($C788="","",SUMIFS(Ledger!$K$2:$K$4, Ledger!$B$2:$B$4, $A788, Ledger!$C$2:$C$4, O$2)),"****")</f>
        <v/>
      </c>
      <c r="P788" t="str">
        <f>IFERROR(IF($C788="","",SUMIFS(Ledger!$K$2:$K$4, Ledger!$B$2:$B$4, $A788, Ledger!$C$2:$C$4, P$2)),"****")</f>
        <v/>
      </c>
      <c r="Q788" t="str">
        <f>IFERROR(IF($C788="","",SUMIFS(Ledger!$K$2:$K$4, Ledger!$B$2:$B$4, $A788, Ledger!$C$2:$C$4, Q$2)),"****")</f>
        <v/>
      </c>
      <c r="R788" t="str">
        <f>IFERROR(IF($C788="","",SUMIFS(Ledger!$K$2:$K$4, Ledger!$B$2:$B$4, $A788, Ledger!$C$2:$C$4, R$2)),"****")</f>
        <v/>
      </c>
      <c r="S788" t="str">
        <f>IFERROR(IF($C788="","",SUMIFS(Ledger!$K$2:$K$4, Ledger!$B$2:$B$4, $A788, Ledger!$C$2:$C$4, S$2)),"****")</f>
        <v/>
      </c>
      <c r="T788" t="str">
        <f>IFERROR(IF($C788="","",SUMIFS(Ledger!$K$2:$K$4, Ledger!$B$2:$B$4, $A788, Ledger!$C$2:$C$4, T$2)),"****")</f>
        <v/>
      </c>
      <c r="U788" t="str">
        <f>IFERROR(IF($C788="","",SUMIFS(Ledger!$K$2:$K$4, Ledger!$B$2:$B$4, $A788, Ledger!$C$2:$C$4, U$2)),"****")</f>
        <v/>
      </c>
      <c r="V788" t="str">
        <f>IFERROR(IF($C788="","",SUMIFS(Ledger!$K$2:$K$4, Ledger!$B$2:$B$4, $A788, Ledger!$C$2:$C$4, V$2)),"****")</f>
        <v/>
      </c>
      <c r="W788" t="str">
        <f>IFERROR(IF($C788="","",SUMIFS(Ledger!$K$2:$K$4, Ledger!$B$2:$B$4, $A788, Ledger!$C$2:$C$4, W$2)),"****")</f>
        <v/>
      </c>
      <c r="X788" t="str">
        <f>IFERROR(IF($C788="","",SUMIFS(Ledger!$K$2:$K$4, Ledger!$B$2:$B$4, $A788, Ledger!$C$2:$C$4, X$2)),"****")</f>
        <v/>
      </c>
    </row>
    <row r="789" spans="1:24" x14ac:dyDescent="0.3">
      <c r="A789" s="106">
        <v>787</v>
      </c>
      <c r="B789" t="str">
        <f>IFERROR(VLOOKUP($A789, Ledger!$B$2:$L$8, 3, 0),"")</f>
        <v/>
      </c>
      <c r="C789" t="str">
        <f>IFERROR(VLOOKUP($A789, Ledger!$B$2:$L$8, 4, 0),"")</f>
        <v/>
      </c>
      <c r="D789" t="str">
        <f>IFERROR(VLOOKUP($A789, Ledger!$B$2:$L$8, 5, 0),"")</f>
        <v/>
      </c>
      <c r="E789" t="str">
        <f>IFERROR(VLOOKUP($A789, Ledger!$B$2:$L$8, 6, 0),"")</f>
        <v/>
      </c>
      <c r="F789" t="str">
        <f>IFERROR(VLOOKUP($A789,'Student Data'!$A$2:$AR$6,32,0),"")</f>
        <v/>
      </c>
      <c r="G789" t="str">
        <f>IFERROR(VLOOKUP($A789,'Student Data'!$A$2:$AR$6,33,0),"")</f>
        <v/>
      </c>
      <c r="H789" t="str">
        <f>IFERROR(VLOOKUP($A789,'Student Data'!$A$2:$AR$6,34,0),"")</f>
        <v/>
      </c>
      <c r="I789" t="str">
        <f>IFERROR(VLOOKUP($A789,'Student Data'!$A$2:$AR$6,35,0),"")</f>
        <v/>
      </c>
      <c r="J789" t="str">
        <f>IFERROR(VLOOKUP($A789,'Student Data'!$A$2:$AR$6,36,0),"")</f>
        <v/>
      </c>
      <c r="K789" t="str">
        <f t="shared" si="24"/>
        <v/>
      </c>
      <c r="L789" t="str">
        <f t="shared" si="25"/>
        <v/>
      </c>
      <c r="M789" t="str">
        <f>IFERROR(IF($C789="","",SUMIFS(Ledger!$K$2:$K$4, Ledger!$B$2:$B$4, $A789, Ledger!$C$2:$C$4, M$2)),"****")</f>
        <v/>
      </c>
      <c r="N789" t="str">
        <f>IFERROR(IF($C789="","",SUMIFS(Ledger!$K$2:$K$4, Ledger!$B$2:$B$4, $A789, Ledger!$C$2:$C$4, N$2)),"****")</f>
        <v/>
      </c>
      <c r="O789" t="str">
        <f>IFERROR(IF($C789="","",SUMIFS(Ledger!$K$2:$K$4, Ledger!$B$2:$B$4, $A789, Ledger!$C$2:$C$4, O$2)),"****")</f>
        <v/>
      </c>
      <c r="P789" t="str">
        <f>IFERROR(IF($C789="","",SUMIFS(Ledger!$K$2:$K$4, Ledger!$B$2:$B$4, $A789, Ledger!$C$2:$C$4, P$2)),"****")</f>
        <v/>
      </c>
      <c r="Q789" t="str">
        <f>IFERROR(IF($C789="","",SUMIFS(Ledger!$K$2:$K$4, Ledger!$B$2:$B$4, $A789, Ledger!$C$2:$C$4, Q$2)),"****")</f>
        <v/>
      </c>
      <c r="R789" t="str">
        <f>IFERROR(IF($C789="","",SUMIFS(Ledger!$K$2:$K$4, Ledger!$B$2:$B$4, $A789, Ledger!$C$2:$C$4, R$2)),"****")</f>
        <v/>
      </c>
      <c r="S789" t="str">
        <f>IFERROR(IF($C789="","",SUMIFS(Ledger!$K$2:$K$4, Ledger!$B$2:$B$4, $A789, Ledger!$C$2:$C$4, S$2)),"****")</f>
        <v/>
      </c>
      <c r="T789" t="str">
        <f>IFERROR(IF($C789="","",SUMIFS(Ledger!$K$2:$K$4, Ledger!$B$2:$B$4, $A789, Ledger!$C$2:$C$4, T$2)),"****")</f>
        <v/>
      </c>
      <c r="U789" t="str">
        <f>IFERROR(IF($C789="","",SUMIFS(Ledger!$K$2:$K$4, Ledger!$B$2:$B$4, $A789, Ledger!$C$2:$C$4, U$2)),"****")</f>
        <v/>
      </c>
      <c r="V789" t="str">
        <f>IFERROR(IF($C789="","",SUMIFS(Ledger!$K$2:$K$4, Ledger!$B$2:$B$4, $A789, Ledger!$C$2:$C$4, V$2)),"****")</f>
        <v/>
      </c>
      <c r="W789" t="str">
        <f>IFERROR(IF($C789="","",SUMIFS(Ledger!$K$2:$K$4, Ledger!$B$2:$B$4, $A789, Ledger!$C$2:$C$4, W$2)),"****")</f>
        <v/>
      </c>
      <c r="X789" t="str">
        <f>IFERROR(IF($C789="","",SUMIFS(Ledger!$K$2:$K$4, Ledger!$B$2:$B$4, $A789, Ledger!$C$2:$C$4, X$2)),"****")</f>
        <v/>
      </c>
    </row>
    <row r="790" spans="1:24" x14ac:dyDescent="0.3">
      <c r="A790" s="106">
        <v>788</v>
      </c>
      <c r="B790" t="str">
        <f>IFERROR(VLOOKUP($A790, Ledger!$B$2:$L$8, 3, 0),"")</f>
        <v/>
      </c>
      <c r="C790" t="str">
        <f>IFERROR(VLOOKUP($A790, Ledger!$B$2:$L$8, 4, 0),"")</f>
        <v/>
      </c>
      <c r="D790" t="str">
        <f>IFERROR(VLOOKUP($A790, Ledger!$B$2:$L$8, 5, 0),"")</f>
        <v/>
      </c>
      <c r="E790" t="str">
        <f>IFERROR(VLOOKUP($A790, Ledger!$B$2:$L$8, 6, 0),"")</f>
        <v/>
      </c>
      <c r="F790" t="str">
        <f>IFERROR(VLOOKUP($A790,'Student Data'!$A$2:$AR$6,32,0),"")</f>
        <v/>
      </c>
      <c r="G790" t="str">
        <f>IFERROR(VLOOKUP($A790,'Student Data'!$A$2:$AR$6,33,0),"")</f>
        <v/>
      </c>
      <c r="H790" t="str">
        <f>IFERROR(VLOOKUP($A790,'Student Data'!$A$2:$AR$6,34,0),"")</f>
        <v/>
      </c>
      <c r="I790" t="str">
        <f>IFERROR(VLOOKUP($A790,'Student Data'!$A$2:$AR$6,35,0),"")</f>
        <v/>
      </c>
      <c r="J790" t="str">
        <f>IFERROR(VLOOKUP($A790,'Student Data'!$A$2:$AR$6,36,0),"")</f>
        <v/>
      </c>
      <c r="K790" t="str">
        <f t="shared" si="24"/>
        <v/>
      </c>
      <c r="L790" t="str">
        <f t="shared" si="25"/>
        <v/>
      </c>
      <c r="M790" t="str">
        <f>IFERROR(IF($C790="","",SUMIFS(Ledger!$K$2:$K$4, Ledger!$B$2:$B$4, $A790, Ledger!$C$2:$C$4, M$2)),"****")</f>
        <v/>
      </c>
      <c r="N790" t="str">
        <f>IFERROR(IF($C790="","",SUMIFS(Ledger!$K$2:$K$4, Ledger!$B$2:$B$4, $A790, Ledger!$C$2:$C$4, N$2)),"****")</f>
        <v/>
      </c>
      <c r="O790" t="str">
        <f>IFERROR(IF($C790="","",SUMIFS(Ledger!$K$2:$K$4, Ledger!$B$2:$B$4, $A790, Ledger!$C$2:$C$4, O$2)),"****")</f>
        <v/>
      </c>
      <c r="P790" t="str">
        <f>IFERROR(IF($C790="","",SUMIFS(Ledger!$K$2:$K$4, Ledger!$B$2:$B$4, $A790, Ledger!$C$2:$C$4, P$2)),"****")</f>
        <v/>
      </c>
      <c r="Q790" t="str">
        <f>IFERROR(IF($C790="","",SUMIFS(Ledger!$K$2:$K$4, Ledger!$B$2:$B$4, $A790, Ledger!$C$2:$C$4, Q$2)),"****")</f>
        <v/>
      </c>
      <c r="R790" t="str">
        <f>IFERROR(IF($C790="","",SUMIFS(Ledger!$K$2:$K$4, Ledger!$B$2:$B$4, $A790, Ledger!$C$2:$C$4, R$2)),"****")</f>
        <v/>
      </c>
      <c r="S790" t="str">
        <f>IFERROR(IF($C790="","",SUMIFS(Ledger!$K$2:$K$4, Ledger!$B$2:$B$4, $A790, Ledger!$C$2:$C$4, S$2)),"****")</f>
        <v/>
      </c>
      <c r="T790" t="str">
        <f>IFERROR(IF($C790="","",SUMIFS(Ledger!$K$2:$K$4, Ledger!$B$2:$B$4, $A790, Ledger!$C$2:$C$4, T$2)),"****")</f>
        <v/>
      </c>
      <c r="U790" t="str">
        <f>IFERROR(IF($C790="","",SUMIFS(Ledger!$K$2:$K$4, Ledger!$B$2:$B$4, $A790, Ledger!$C$2:$C$4, U$2)),"****")</f>
        <v/>
      </c>
      <c r="V790" t="str">
        <f>IFERROR(IF($C790="","",SUMIFS(Ledger!$K$2:$K$4, Ledger!$B$2:$B$4, $A790, Ledger!$C$2:$C$4, V$2)),"****")</f>
        <v/>
      </c>
      <c r="W790" t="str">
        <f>IFERROR(IF($C790="","",SUMIFS(Ledger!$K$2:$K$4, Ledger!$B$2:$B$4, $A790, Ledger!$C$2:$C$4, W$2)),"****")</f>
        <v/>
      </c>
      <c r="X790" t="str">
        <f>IFERROR(IF($C790="","",SUMIFS(Ledger!$K$2:$K$4, Ledger!$B$2:$B$4, $A790, Ledger!$C$2:$C$4, X$2)),"****")</f>
        <v/>
      </c>
    </row>
    <row r="791" spans="1:24" x14ac:dyDescent="0.3">
      <c r="A791" s="106">
        <v>789</v>
      </c>
      <c r="B791" t="str">
        <f>IFERROR(VLOOKUP($A791, Ledger!$B$2:$L$8, 3, 0),"")</f>
        <v/>
      </c>
      <c r="C791" t="str">
        <f>IFERROR(VLOOKUP($A791, Ledger!$B$2:$L$8, 4, 0),"")</f>
        <v/>
      </c>
      <c r="D791" t="str">
        <f>IFERROR(VLOOKUP($A791, Ledger!$B$2:$L$8, 5, 0),"")</f>
        <v/>
      </c>
      <c r="E791" t="str">
        <f>IFERROR(VLOOKUP($A791, Ledger!$B$2:$L$8, 6, 0),"")</f>
        <v/>
      </c>
      <c r="F791" t="str">
        <f>IFERROR(VLOOKUP($A791,'Student Data'!$A$2:$AR$6,32,0),"")</f>
        <v/>
      </c>
      <c r="G791" t="str">
        <f>IFERROR(VLOOKUP($A791,'Student Data'!$A$2:$AR$6,33,0),"")</f>
        <v/>
      </c>
      <c r="H791" t="str">
        <f>IFERROR(VLOOKUP($A791,'Student Data'!$A$2:$AR$6,34,0),"")</f>
        <v/>
      </c>
      <c r="I791" t="str">
        <f>IFERROR(VLOOKUP($A791,'Student Data'!$A$2:$AR$6,35,0),"")</f>
        <v/>
      </c>
      <c r="J791" t="str">
        <f>IFERROR(VLOOKUP($A791,'Student Data'!$A$2:$AR$6,36,0),"")</f>
        <v/>
      </c>
      <c r="K791" t="str">
        <f t="shared" si="24"/>
        <v/>
      </c>
      <c r="L791" t="str">
        <f t="shared" si="25"/>
        <v/>
      </c>
      <c r="M791" t="str">
        <f>IFERROR(IF($C791="","",SUMIFS(Ledger!$K$2:$K$4, Ledger!$B$2:$B$4, $A791, Ledger!$C$2:$C$4, M$2)),"****")</f>
        <v/>
      </c>
      <c r="N791" t="str">
        <f>IFERROR(IF($C791="","",SUMIFS(Ledger!$K$2:$K$4, Ledger!$B$2:$B$4, $A791, Ledger!$C$2:$C$4, N$2)),"****")</f>
        <v/>
      </c>
      <c r="O791" t="str">
        <f>IFERROR(IF($C791="","",SUMIFS(Ledger!$K$2:$K$4, Ledger!$B$2:$B$4, $A791, Ledger!$C$2:$C$4, O$2)),"****")</f>
        <v/>
      </c>
      <c r="P791" t="str">
        <f>IFERROR(IF($C791="","",SUMIFS(Ledger!$K$2:$K$4, Ledger!$B$2:$B$4, $A791, Ledger!$C$2:$C$4, P$2)),"****")</f>
        <v/>
      </c>
      <c r="Q791" t="str">
        <f>IFERROR(IF($C791="","",SUMIFS(Ledger!$K$2:$K$4, Ledger!$B$2:$B$4, $A791, Ledger!$C$2:$C$4, Q$2)),"****")</f>
        <v/>
      </c>
      <c r="R791" t="str">
        <f>IFERROR(IF($C791="","",SUMIFS(Ledger!$K$2:$K$4, Ledger!$B$2:$B$4, $A791, Ledger!$C$2:$C$4, R$2)),"****")</f>
        <v/>
      </c>
      <c r="S791" t="str">
        <f>IFERROR(IF($C791="","",SUMIFS(Ledger!$K$2:$K$4, Ledger!$B$2:$B$4, $A791, Ledger!$C$2:$C$4, S$2)),"****")</f>
        <v/>
      </c>
      <c r="T791" t="str">
        <f>IFERROR(IF($C791="","",SUMIFS(Ledger!$K$2:$K$4, Ledger!$B$2:$B$4, $A791, Ledger!$C$2:$C$4, T$2)),"****")</f>
        <v/>
      </c>
      <c r="U791" t="str">
        <f>IFERROR(IF($C791="","",SUMIFS(Ledger!$K$2:$K$4, Ledger!$B$2:$B$4, $A791, Ledger!$C$2:$C$4, U$2)),"****")</f>
        <v/>
      </c>
      <c r="V791" t="str">
        <f>IFERROR(IF($C791="","",SUMIFS(Ledger!$K$2:$K$4, Ledger!$B$2:$B$4, $A791, Ledger!$C$2:$C$4, V$2)),"****")</f>
        <v/>
      </c>
      <c r="W791" t="str">
        <f>IFERROR(IF($C791="","",SUMIFS(Ledger!$K$2:$K$4, Ledger!$B$2:$B$4, $A791, Ledger!$C$2:$C$4, W$2)),"****")</f>
        <v/>
      </c>
      <c r="X791" t="str">
        <f>IFERROR(IF($C791="","",SUMIFS(Ledger!$K$2:$K$4, Ledger!$B$2:$B$4, $A791, Ledger!$C$2:$C$4, X$2)),"****")</f>
        <v/>
      </c>
    </row>
    <row r="792" spans="1:24" x14ac:dyDescent="0.3">
      <c r="A792" s="106">
        <v>790</v>
      </c>
      <c r="B792" t="str">
        <f>IFERROR(VLOOKUP($A792, Ledger!$B$2:$L$8, 3, 0),"")</f>
        <v/>
      </c>
      <c r="C792" t="str">
        <f>IFERROR(VLOOKUP($A792, Ledger!$B$2:$L$8, 4, 0),"")</f>
        <v/>
      </c>
      <c r="D792" t="str">
        <f>IFERROR(VLOOKUP($A792, Ledger!$B$2:$L$8, 5, 0),"")</f>
        <v/>
      </c>
      <c r="E792" t="str">
        <f>IFERROR(VLOOKUP($A792, Ledger!$B$2:$L$8, 6, 0),"")</f>
        <v/>
      </c>
      <c r="F792" t="str">
        <f>IFERROR(VLOOKUP($A792,'Student Data'!$A$2:$AR$6,32,0),"")</f>
        <v/>
      </c>
      <c r="G792" t="str">
        <f>IFERROR(VLOOKUP($A792,'Student Data'!$A$2:$AR$6,33,0),"")</f>
        <v/>
      </c>
      <c r="H792" t="str">
        <f>IFERROR(VLOOKUP($A792,'Student Data'!$A$2:$AR$6,34,0),"")</f>
        <v/>
      </c>
      <c r="I792" t="str">
        <f>IFERROR(VLOOKUP($A792,'Student Data'!$A$2:$AR$6,35,0),"")</f>
        <v/>
      </c>
      <c r="J792" t="str">
        <f>IFERROR(VLOOKUP($A792,'Student Data'!$A$2:$AR$6,36,0),"")</f>
        <v/>
      </c>
      <c r="K792" t="str">
        <f t="shared" si="24"/>
        <v/>
      </c>
      <c r="L792" t="str">
        <f t="shared" si="25"/>
        <v/>
      </c>
      <c r="M792" t="str">
        <f>IFERROR(IF($C792="","",SUMIFS(Ledger!$K$2:$K$4, Ledger!$B$2:$B$4, $A792, Ledger!$C$2:$C$4, M$2)),"****")</f>
        <v/>
      </c>
      <c r="N792" t="str">
        <f>IFERROR(IF($C792="","",SUMIFS(Ledger!$K$2:$K$4, Ledger!$B$2:$B$4, $A792, Ledger!$C$2:$C$4, N$2)),"****")</f>
        <v/>
      </c>
      <c r="O792" t="str">
        <f>IFERROR(IF($C792="","",SUMIFS(Ledger!$K$2:$K$4, Ledger!$B$2:$B$4, $A792, Ledger!$C$2:$C$4, O$2)),"****")</f>
        <v/>
      </c>
      <c r="P792" t="str">
        <f>IFERROR(IF($C792="","",SUMIFS(Ledger!$K$2:$K$4, Ledger!$B$2:$B$4, $A792, Ledger!$C$2:$C$4, P$2)),"****")</f>
        <v/>
      </c>
      <c r="Q792" t="str">
        <f>IFERROR(IF($C792="","",SUMIFS(Ledger!$K$2:$K$4, Ledger!$B$2:$B$4, $A792, Ledger!$C$2:$C$4, Q$2)),"****")</f>
        <v/>
      </c>
      <c r="R792" t="str">
        <f>IFERROR(IF($C792="","",SUMIFS(Ledger!$K$2:$K$4, Ledger!$B$2:$B$4, $A792, Ledger!$C$2:$C$4, R$2)),"****")</f>
        <v/>
      </c>
      <c r="S792" t="str">
        <f>IFERROR(IF($C792="","",SUMIFS(Ledger!$K$2:$K$4, Ledger!$B$2:$B$4, $A792, Ledger!$C$2:$C$4, S$2)),"****")</f>
        <v/>
      </c>
      <c r="T792" t="str">
        <f>IFERROR(IF($C792="","",SUMIFS(Ledger!$K$2:$K$4, Ledger!$B$2:$B$4, $A792, Ledger!$C$2:$C$4, T$2)),"****")</f>
        <v/>
      </c>
      <c r="U792" t="str">
        <f>IFERROR(IF($C792="","",SUMIFS(Ledger!$K$2:$K$4, Ledger!$B$2:$B$4, $A792, Ledger!$C$2:$C$4, U$2)),"****")</f>
        <v/>
      </c>
      <c r="V792" t="str">
        <f>IFERROR(IF($C792="","",SUMIFS(Ledger!$K$2:$K$4, Ledger!$B$2:$B$4, $A792, Ledger!$C$2:$C$4, V$2)),"****")</f>
        <v/>
      </c>
      <c r="W792" t="str">
        <f>IFERROR(IF($C792="","",SUMIFS(Ledger!$K$2:$K$4, Ledger!$B$2:$B$4, $A792, Ledger!$C$2:$C$4, W$2)),"****")</f>
        <v/>
      </c>
      <c r="X792" t="str">
        <f>IFERROR(IF($C792="","",SUMIFS(Ledger!$K$2:$K$4, Ledger!$B$2:$B$4, $A792, Ledger!$C$2:$C$4, X$2)),"****")</f>
        <v/>
      </c>
    </row>
    <row r="793" spans="1:24" x14ac:dyDescent="0.3">
      <c r="A793" s="106">
        <v>791</v>
      </c>
      <c r="B793" t="str">
        <f>IFERROR(VLOOKUP($A793, Ledger!$B$2:$L$8, 3, 0),"")</f>
        <v/>
      </c>
      <c r="C793" t="str">
        <f>IFERROR(VLOOKUP($A793, Ledger!$B$2:$L$8, 4, 0),"")</f>
        <v/>
      </c>
      <c r="D793" t="str">
        <f>IFERROR(VLOOKUP($A793, Ledger!$B$2:$L$8, 5, 0),"")</f>
        <v/>
      </c>
      <c r="E793" t="str">
        <f>IFERROR(VLOOKUP($A793, Ledger!$B$2:$L$8, 6, 0),"")</f>
        <v/>
      </c>
      <c r="F793" t="str">
        <f>IFERROR(VLOOKUP($A793,'Student Data'!$A$2:$AR$6,32,0),"")</f>
        <v/>
      </c>
      <c r="G793" t="str">
        <f>IFERROR(VLOOKUP($A793,'Student Data'!$A$2:$AR$6,33,0),"")</f>
        <v/>
      </c>
      <c r="H793" t="str">
        <f>IFERROR(VLOOKUP($A793,'Student Data'!$A$2:$AR$6,34,0),"")</f>
        <v/>
      </c>
      <c r="I793" t="str">
        <f>IFERROR(VLOOKUP($A793,'Student Data'!$A$2:$AR$6,35,0),"")</f>
        <v/>
      </c>
      <c r="J793" t="str">
        <f>IFERROR(VLOOKUP($A793,'Student Data'!$A$2:$AR$6,36,0),"")</f>
        <v/>
      </c>
      <c r="K793" t="str">
        <f t="shared" si="24"/>
        <v/>
      </c>
      <c r="L793" t="str">
        <f t="shared" si="25"/>
        <v/>
      </c>
      <c r="M793" t="str">
        <f>IFERROR(IF($C793="","",SUMIFS(Ledger!$K$2:$K$4, Ledger!$B$2:$B$4, $A793, Ledger!$C$2:$C$4, M$2)),"****")</f>
        <v/>
      </c>
      <c r="N793" t="str">
        <f>IFERROR(IF($C793="","",SUMIFS(Ledger!$K$2:$K$4, Ledger!$B$2:$B$4, $A793, Ledger!$C$2:$C$4, N$2)),"****")</f>
        <v/>
      </c>
      <c r="O793" t="str">
        <f>IFERROR(IF($C793="","",SUMIFS(Ledger!$K$2:$K$4, Ledger!$B$2:$B$4, $A793, Ledger!$C$2:$C$4, O$2)),"****")</f>
        <v/>
      </c>
      <c r="P793" t="str">
        <f>IFERROR(IF($C793="","",SUMIFS(Ledger!$K$2:$K$4, Ledger!$B$2:$B$4, $A793, Ledger!$C$2:$C$4, P$2)),"****")</f>
        <v/>
      </c>
      <c r="Q793" t="str">
        <f>IFERROR(IF($C793="","",SUMIFS(Ledger!$K$2:$K$4, Ledger!$B$2:$B$4, $A793, Ledger!$C$2:$C$4, Q$2)),"****")</f>
        <v/>
      </c>
      <c r="R793" t="str">
        <f>IFERROR(IF($C793="","",SUMIFS(Ledger!$K$2:$K$4, Ledger!$B$2:$B$4, $A793, Ledger!$C$2:$C$4, R$2)),"****")</f>
        <v/>
      </c>
      <c r="S793" t="str">
        <f>IFERROR(IF($C793="","",SUMIFS(Ledger!$K$2:$K$4, Ledger!$B$2:$B$4, $A793, Ledger!$C$2:$C$4, S$2)),"****")</f>
        <v/>
      </c>
      <c r="T793" t="str">
        <f>IFERROR(IF($C793="","",SUMIFS(Ledger!$K$2:$K$4, Ledger!$B$2:$B$4, $A793, Ledger!$C$2:$C$4, T$2)),"****")</f>
        <v/>
      </c>
      <c r="U793" t="str">
        <f>IFERROR(IF($C793="","",SUMIFS(Ledger!$K$2:$K$4, Ledger!$B$2:$B$4, $A793, Ledger!$C$2:$C$4, U$2)),"****")</f>
        <v/>
      </c>
      <c r="V793" t="str">
        <f>IFERROR(IF($C793="","",SUMIFS(Ledger!$K$2:$K$4, Ledger!$B$2:$B$4, $A793, Ledger!$C$2:$C$4, V$2)),"****")</f>
        <v/>
      </c>
      <c r="W793" t="str">
        <f>IFERROR(IF($C793="","",SUMIFS(Ledger!$K$2:$K$4, Ledger!$B$2:$B$4, $A793, Ledger!$C$2:$C$4, W$2)),"****")</f>
        <v/>
      </c>
      <c r="X793" t="str">
        <f>IFERROR(IF($C793="","",SUMIFS(Ledger!$K$2:$K$4, Ledger!$B$2:$B$4, $A793, Ledger!$C$2:$C$4, X$2)),"****")</f>
        <v/>
      </c>
    </row>
    <row r="794" spans="1:24" x14ac:dyDescent="0.3">
      <c r="A794" s="106">
        <v>792</v>
      </c>
      <c r="B794" t="str">
        <f>IFERROR(VLOOKUP($A794, Ledger!$B$2:$L$8, 3, 0),"")</f>
        <v/>
      </c>
      <c r="C794" t="str">
        <f>IFERROR(VLOOKUP($A794, Ledger!$B$2:$L$8, 4, 0),"")</f>
        <v/>
      </c>
      <c r="D794" t="str">
        <f>IFERROR(VLOOKUP($A794, Ledger!$B$2:$L$8, 5, 0),"")</f>
        <v/>
      </c>
      <c r="E794" t="str">
        <f>IFERROR(VLOOKUP($A794, Ledger!$B$2:$L$8, 6, 0),"")</f>
        <v/>
      </c>
      <c r="F794" t="str">
        <f>IFERROR(VLOOKUP($A794,'Student Data'!$A$2:$AR$6,32,0),"")</f>
        <v/>
      </c>
      <c r="G794" t="str">
        <f>IFERROR(VLOOKUP($A794,'Student Data'!$A$2:$AR$6,33,0),"")</f>
        <v/>
      </c>
      <c r="H794" t="str">
        <f>IFERROR(VLOOKUP($A794,'Student Data'!$A$2:$AR$6,34,0),"")</f>
        <v/>
      </c>
      <c r="I794" t="str">
        <f>IFERROR(VLOOKUP($A794,'Student Data'!$A$2:$AR$6,35,0),"")</f>
        <v/>
      </c>
      <c r="J794" t="str">
        <f>IFERROR(VLOOKUP($A794,'Student Data'!$A$2:$AR$6,36,0),"")</f>
        <v/>
      </c>
      <c r="K794" t="str">
        <f t="shared" si="24"/>
        <v/>
      </c>
      <c r="L794" t="str">
        <f t="shared" si="25"/>
        <v/>
      </c>
      <c r="M794" t="str">
        <f>IFERROR(IF($C794="","",SUMIFS(Ledger!$K$2:$K$4, Ledger!$B$2:$B$4, $A794, Ledger!$C$2:$C$4, M$2)),"****")</f>
        <v/>
      </c>
      <c r="N794" t="str">
        <f>IFERROR(IF($C794="","",SUMIFS(Ledger!$K$2:$K$4, Ledger!$B$2:$B$4, $A794, Ledger!$C$2:$C$4, N$2)),"****")</f>
        <v/>
      </c>
      <c r="O794" t="str">
        <f>IFERROR(IF($C794="","",SUMIFS(Ledger!$K$2:$K$4, Ledger!$B$2:$B$4, $A794, Ledger!$C$2:$C$4, O$2)),"****")</f>
        <v/>
      </c>
      <c r="P794" t="str">
        <f>IFERROR(IF($C794="","",SUMIFS(Ledger!$K$2:$K$4, Ledger!$B$2:$B$4, $A794, Ledger!$C$2:$C$4, P$2)),"****")</f>
        <v/>
      </c>
      <c r="Q794" t="str">
        <f>IFERROR(IF($C794="","",SUMIFS(Ledger!$K$2:$K$4, Ledger!$B$2:$B$4, $A794, Ledger!$C$2:$C$4, Q$2)),"****")</f>
        <v/>
      </c>
      <c r="R794" t="str">
        <f>IFERROR(IF($C794="","",SUMIFS(Ledger!$K$2:$K$4, Ledger!$B$2:$B$4, $A794, Ledger!$C$2:$C$4, R$2)),"****")</f>
        <v/>
      </c>
      <c r="S794" t="str">
        <f>IFERROR(IF($C794="","",SUMIFS(Ledger!$K$2:$K$4, Ledger!$B$2:$B$4, $A794, Ledger!$C$2:$C$4, S$2)),"****")</f>
        <v/>
      </c>
      <c r="T794" t="str">
        <f>IFERROR(IF($C794="","",SUMIFS(Ledger!$K$2:$K$4, Ledger!$B$2:$B$4, $A794, Ledger!$C$2:$C$4, T$2)),"****")</f>
        <v/>
      </c>
      <c r="U794" t="str">
        <f>IFERROR(IF($C794="","",SUMIFS(Ledger!$K$2:$K$4, Ledger!$B$2:$B$4, $A794, Ledger!$C$2:$C$4, U$2)),"****")</f>
        <v/>
      </c>
      <c r="V794" t="str">
        <f>IFERROR(IF($C794="","",SUMIFS(Ledger!$K$2:$K$4, Ledger!$B$2:$B$4, $A794, Ledger!$C$2:$C$4, V$2)),"****")</f>
        <v/>
      </c>
      <c r="W794" t="str">
        <f>IFERROR(IF($C794="","",SUMIFS(Ledger!$K$2:$K$4, Ledger!$B$2:$B$4, $A794, Ledger!$C$2:$C$4, W$2)),"****")</f>
        <v/>
      </c>
      <c r="X794" t="str">
        <f>IFERROR(IF($C794="","",SUMIFS(Ledger!$K$2:$K$4, Ledger!$B$2:$B$4, $A794, Ledger!$C$2:$C$4, X$2)),"****")</f>
        <v/>
      </c>
    </row>
    <row r="795" spans="1:24" x14ac:dyDescent="0.3">
      <c r="A795" s="106">
        <v>793</v>
      </c>
      <c r="B795" t="str">
        <f>IFERROR(VLOOKUP($A795, Ledger!$B$2:$L$8, 3, 0),"")</f>
        <v/>
      </c>
      <c r="C795" t="str">
        <f>IFERROR(VLOOKUP($A795, Ledger!$B$2:$L$8, 4, 0),"")</f>
        <v/>
      </c>
      <c r="D795" t="str">
        <f>IFERROR(VLOOKUP($A795, Ledger!$B$2:$L$8, 5, 0),"")</f>
        <v/>
      </c>
      <c r="E795" t="str">
        <f>IFERROR(VLOOKUP($A795, Ledger!$B$2:$L$8, 6, 0),"")</f>
        <v/>
      </c>
      <c r="F795" t="str">
        <f>IFERROR(VLOOKUP($A795,'Student Data'!$A$2:$AR$6,32,0),"")</f>
        <v/>
      </c>
      <c r="G795" t="str">
        <f>IFERROR(VLOOKUP($A795,'Student Data'!$A$2:$AR$6,33,0),"")</f>
        <v/>
      </c>
      <c r="H795" t="str">
        <f>IFERROR(VLOOKUP($A795,'Student Data'!$A$2:$AR$6,34,0),"")</f>
        <v/>
      </c>
      <c r="I795" t="str">
        <f>IFERROR(VLOOKUP($A795,'Student Data'!$A$2:$AR$6,35,0),"")</f>
        <v/>
      </c>
      <c r="J795" t="str">
        <f>IFERROR(VLOOKUP($A795,'Student Data'!$A$2:$AR$6,36,0),"")</f>
        <v/>
      </c>
      <c r="K795" t="str">
        <f t="shared" si="24"/>
        <v/>
      </c>
      <c r="L795" t="str">
        <f t="shared" si="25"/>
        <v/>
      </c>
      <c r="M795" t="str">
        <f>IFERROR(IF($C795="","",SUMIFS(Ledger!$K$2:$K$4, Ledger!$B$2:$B$4, $A795, Ledger!$C$2:$C$4, M$2)),"****")</f>
        <v/>
      </c>
      <c r="N795" t="str">
        <f>IFERROR(IF($C795="","",SUMIFS(Ledger!$K$2:$K$4, Ledger!$B$2:$B$4, $A795, Ledger!$C$2:$C$4, N$2)),"****")</f>
        <v/>
      </c>
      <c r="O795" t="str">
        <f>IFERROR(IF($C795="","",SUMIFS(Ledger!$K$2:$K$4, Ledger!$B$2:$B$4, $A795, Ledger!$C$2:$C$4, O$2)),"****")</f>
        <v/>
      </c>
      <c r="P795" t="str">
        <f>IFERROR(IF($C795="","",SUMIFS(Ledger!$K$2:$K$4, Ledger!$B$2:$B$4, $A795, Ledger!$C$2:$C$4, P$2)),"****")</f>
        <v/>
      </c>
      <c r="Q795" t="str">
        <f>IFERROR(IF($C795="","",SUMIFS(Ledger!$K$2:$K$4, Ledger!$B$2:$B$4, $A795, Ledger!$C$2:$C$4, Q$2)),"****")</f>
        <v/>
      </c>
      <c r="R795" t="str">
        <f>IFERROR(IF($C795="","",SUMIFS(Ledger!$K$2:$K$4, Ledger!$B$2:$B$4, $A795, Ledger!$C$2:$C$4, R$2)),"****")</f>
        <v/>
      </c>
      <c r="S795" t="str">
        <f>IFERROR(IF($C795="","",SUMIFS(Ledger!$K$2:$K$4, Ledger!$B$2:$B$4, $A795, Ledger!$C$2:$C$4, S$2)),"****")</f>
        <v/>
      </c>
      <c r="T795" t="str">
        <f>IFERROR(IF($C795="","",SUMIFS(Ledger!$K$2:$K$4, Ledger!$B$2:$B$4, $A795, Ledger!$C$2:$C$4, T$2)),"****")</f>
        <v/>
      </c>
      <c r="U795" t="str">
        <f>IFERROR(IF($C795="","",SUMIFS(Ledger!$K$2:$K$4, Ledger!$B$2:$B$4, $A795, Ledger!$C$2:$C$4, U$2)),"****")</f>
        <v/>
      </c>
      <c r="V795" t="str">
        <f>IFERROR(IF($C795="","",SUMIFS(Ledger!$K$2:$K$4, Ledger!$B$2:$B$4, $A795, Ledger!$C$2:$C$4, V$2)),"****")</f>
        <v/>
      </c>
      <c r="W795" t="str">
        <f>IFERROR(IF($C795="","",SUMIFS(Ledger!$K$2:$K$4, Ledger!$B$2:$B$4, $A795, Ledger!$C$2:$C$4, W$2)),"****")</f>
        <v/>
      </c>
      <c r="X795" t="str">
        <f>IFERROR(IF($C795="","",SUMIFS(Ledger!$K$2:$K$4, Ledger!$B$2:$B$4, $A795, Ledger!$C$2:$C$4, X$2)),"****")</f>
        <v/>
      </c>
    </row>
    <row r="796" spans="1:24" x14ac:dyDescent="0.3">
      <c r="A796" s="106">
        <v>794</v>
      </c>
      <c r="B796" t="str">
        <f>IFERROR(VLOOKUP($A796, Ledger!$B$2:$L$8, 3, 0),"")</f>
        <v/>
      </c>
      <c r="C796" t="str">
        <f>IFERROR(VLOOKUP($A796, Ledger!$B$2:$L$8, 4, 0),"")</f>
        <v/>
      </c>
      <c r="D796" t="str">
        <f>IFERROR(VLOOKUP($A796, Ledger!$B$2:$L$8, 5, 0),"")</f>
        <v/>
      </c>
      <c r="E796" t="str">
        <f>IFERROR(VLOOKUP($A796, Ledger!$B$2:$L$8, 6, 0),"")</f>
        <v/>
      </c>
      <c r="F796" t="str">
        <f>IFERROR(VLOOKUP($A796,'Student Data'!$A$2:$AR$6,32,0),"")</f>
        <v/>
      </c>
      <c r="G796" t="str">
        <f>IFERROR(VLOOKUP($A796,'Student Data'!$A$2:$AR$6,33,0),"")</f>
        <v/>
      </c>
      <c r="H796" t="str">
        <f>IFERROR(VLOOKUP($A796,'Student Data'!$A$2:$AR$6,34,0),"")</f>
        <v/>
      </c>
      <c r="I796" t="str">
        <f>IFERROR(VLOOKUP($A796,'Student Data'!$A$2:$AR$6,35,0),"")</f>
        <v/>
      </c>
      <c r="J796" t="str">
        <f>IFERROR(VLOOKUP($A796,'Student Data'!$A$2:$AR$6,36,0),"")</f>
        <v/>
      </c>
      <c r="K796" t="str">
        <f t="shared" si="24"/>
        <v/>
      </c>
      <c r="L796" t="str">
        <f t="shared" si="25"/>
        <v/>
      </c>
      <c r="M796" t="str">
        <f>IFERROR(IF($C796="","",SUMIFS(Ledger!$K$2:$K$4, Ledger!$B$2:$B$4, $A796, Ledger!$C$2:$C$4, M$2)),"****")</f>
        <v/>
      </c>
      <c r="N796" t="str">
        <f>IFERROR(IF($C796="","",SUMIFS(Ledger!$K$2:$K$4, Ledger!$B$2:$B$4, $A796, Ledger!$C$2:$C$4, N$2)),"****")</f>
        <v/>
      </c>
      <c r="O796" t="str">
        <f>IFERROR(IF($C796="","",SUMIFS(Ledger!$K$2:$K$4, Ledger!$B$2:$B$4, $A796, Ledger!$C$2:$C$4, O$2)),"****")</f>
        <v/>
      </c>
      <c r="P796" t="str">
        <f>IFERROR(IF($C796="","",SUMIFS(Ledger!$K$2:$K$4, Ledger!$B$2:$B$4, $A796, Ledger!$C$2:$C$4, P$2)),"****")</f>
        <v/>
      </c>
      <c r="Q796" t="str">
        <f>IFERROR(IF($C796="","",SUMIFS(Ledger!$K$2:$K$4, Ledger!$B$2:$B$4, $A796, Ledger!$C$2:$C$4, Q$2)),"****")</f>
        <v/>
      </c>
      <c r="R796" t="str">
        <f>IFERROR(IF($C796="","",SUMIFS(Ledger!$K$2:$K$4, Ledger!$B$2:$B$4, $A796, Ledger!$C$2:$C$4, R$2)),"****")</f>
        <v/>
      </c>
      <c r="S796" t="str">
        <f>IFERROR(IF($C796="","",SUMIFS(Ledger!$K$2:$K$4, Ledger!$B$2:$B$4, $A796, Ledger!$C$2:$C$4, S$2)),"****")</f>
        <v/>
      </c>
      <c r="T796" t="str">
        <f>IFERROR(IF($C796="","",SUMIFS(Ledger!$K$2:$K$4, Ledger!$B$2:$B$4, $A796, Ledger!$C$2:$C$4, T$2)),"****")</f>
        <v/>
      </c>
      <c r="U796" t="str">
        <f>IFERROR(IF($C796="","",SUMIFS(Ledger!$K$2:$K$4, Ledger!$B$2:$B$4, $A796, Ledger!$C$2:$C$4, U$2)),"****")</f>
        <v/>
      </c>
      <c r="V796" t="str">
        <f>IFERROR(IF($C796="","",SUMIFS(Ledger!$K$2:$K$4, Ledger!$B$2:$B$4, $A796, Ledger!$C$2:$C$4, V$2)),"****")</f>
        <v/>
      </c>
      <c r="W796" t="str">
        <f>IFERROR(IF($C796="","",SUMIFS(Ledger!$K$2:$K$4, Ledger!$B$2:$B$4, $A796, Ledger!$C$2:$C$4, W$2)),"****")</f>
        <v/>
      </c>
      <c r="X796" t="str">
        <f>IFERROR(IF($C796="","",SUMIFS(Ledger!$K$2:$K$4, Ledger!$B$2:$B$4, $A796, Ledger!$C$2:$C$4, X$2)),"****")</f>
        <v/>
      </c>
    </row>
    <row r="797" spans="1:24" x14ac:dyDescent="0.3">
      <c r="A797" s="106">
        <v>795</v>
      </c>
      <c r="B797" t="str">
        <f>IFERROR(VLOOKUP($A797, Ledger!$B$2:$L$8, 3, 0),"")</f>
        <v/>
      </c>
      <c r="C797" t="str">
        <f>IFERROR(VLOOKUP($A797, Ledger!$B$2:$L$8, 4, 0),"")</f>
        <v/>
      </c>
      <c r="D797" t="str">
        <f>IFERROR(VLOOKUP($A797, Ledger!$B$2:$L$8, 5, 0),"")</f>
        <v/>
      </c>
      <c r="E797" t="str">
        <f>IFERROR(VLOOKUP($A797, Ledger!$B$2:$L$8, 6, 0),"")</f>
        <v/>
      </c>
      <c r="F797" t="str">
        <f>IFERROR(VLOOKUP($A797,'Student Data'!$A$2:$AR$6,32,0),"")</f>
        <v/>
      </c>
      <c r="G797" t="str">
        <f>IFERROR(VLOOKUP($A797,'Student Data'!$A$2:$AR$6,33,0),"")</f>
        <v/>
      </c>
      <c r="H797" t="str">
        <f>IFERROR(VLOOKUP($A797,'Student Data'!$A$2:$AR$6,34,0),"")</f>
        <v/>
      </c>
      <c r="I797" t="str">
        <f>IFERROR(VLOOKUP($A797,'Student Data'!$A$2:$AR$6,35,0),"")</f>
        <v/>
      </c>
      <c r="J797" t="str">
        <f>IFERROR(VLOOKUP($A797,'Student Data'!$A$2:$AR$6,36,0),"")</f>
        <v/>
      </c>
      <c r="K797" t="str">
        <f t="shared" si="24"/>
        <v/>
      </c>
      <c r="L797" t="str">
        <f t="shared" si="25"/>
        <v/>
      </c>
      <c r="M797" t="str">
        <f>IFERROR(IF($C797="","",SUMIFS(Ledger!$K$2:$K$4, Ledger!$B$2:$B$4, $A797, Ledger!$C$2:$C$4, M$2)),"****")</f>
        <v/>
      </c>
      <c r="N797" t="str">
        <f>IFERROR(IF($C797="","",SUMIFS(Ledger!$K$2:$K$4, Ledger!$B$2:$B$4, $A797, Ledger!$C$2:$C$4, N$2)),"****")</f>
        <v/>
      </c>
      <c r="O797" t="str">
        <f>IFERROR(IF($C797="","",SUMIFS(Ledger!$K$2:$K$4, Ledger!$B$2:$B$4, $A797, Ledger!$C$2:$C$4, O$2)),"****")</f>
        <v/>
      </c>
      <c r="P797" t="str">
        <f>IFERROR(IF($C797="","",SUMIFS(Ledger!$K$2:$K$4, Ledger!$B$2:$B$4, $A797, Ledger!$C$2:$C$4, P$2)),"****")</f>
        <v/>
      </c>
      <c r="Q797" t="str">
        <f>IFERROR(IF($C797="","",SUMIFS(Ledger!$K$2:$K$4, Ledger!$B$2:$B$4, $A797, Ledger!$C$2:$C$4, Q$2)),"****")</f>
        <v/>
      </c>
      <c r="R797" t="str">
        <f>IFERROR(IF($C797="","",SUMIFS(Ledger!$K$2:$K$4, Ledger!$B$2:$B$4, $A797, Ledger!$C$2:$C$4, R$2)),"****")</f>
        <v/>
      </c>
      <c r="S797" t="str">
        <f>IFERROR(IF($C797="","",SUMIFS(Ledger!$K$2:$K$4, Ledger!$B$2:$B$4, $A797, Ledger!$C$2:$C$4, S$2)),"****")</f>
        <v/>
      </c>
      <c r="T797" t="str">
        <f>IFERROR(IF($C797="","",SUMIFS(Ledger!$K$2:$K$4, Ledger!$B$2:$B$4, $A797, Ledger!$C$2:$C$4, T$2)),"****")</f>
        <v/>
      </c>
      <c r="U797" t="str">
        <f>IFERROR(IF($C797="","",SUMIFS(Ledger!$K$2:$K$4, Ledger!$B$2:$B$4, $A797, Ledger!$C$2:$C$4, U$2)),"****")</f>
        <v/>
      </c>
      <c r="V797" t="str">
        <f>IFERROR(IF($C797="","",SUMIFS(Ledger!$K$2:$K$4, Ledger!$B$2:$B$4, $A797, Ledger!$C$2:$C$4, V$2)),"****")</f>
        <v/>
      </c>
      <c r="W797" t="str">
        <f>IFERROR(IF($C797="","",SUMIFS(Ledger!$K$2:$K$4, Ledger!$B$2:$B$4, $A797, Ledger!$C$2:$C$4, W$2)),"****")</f>
        <v/>
      </c>
      <c r="X797" t="str">
        <f>IFERROR(IF($C797="","",SUMIFS(Ledger!$K$2:$K$4, Ledger!$B$2:$B$4, $A797, Ledger!$C$2:$C$4, X$2)),"****")</f>
        <v/>
      </c>
    </row>
    <row r="798" spans="1:24" x14ac:dyDescent="0.3">
      <c r="A798" s="106">
        <v>796</v>
      </c>
      <c r="B798" t="str">
        <f>IFERROR(VLOOKUP($A798, Ledger!$B$2:$L$8, 3, 0),"")</f>
        <v/>
      </c>
      <c r="C798" t="str">
        <f>IFERROR(VLOOKUP($A798, Ledger!$B$2:$L$8, 4, 0),"")</f>
        <v/>
      </c>
      <c r="D798" t="str">
        <f>IFERROR(VLOOKUP($A798, Ledger!$B$2:$L$8, 5, 0),"")</f>
        <v/>
      </c>
      <c r="E798" t="str">
        <f>IFERROR(VLOOKUP($A798, Ledger!$B$2:$L$8, 6, 0),"")</f>
        <v/>
      </c>
      <c r="F798" t="str">
        <f>IFERROR(VLOOKUP($A798,'Student Data'!$A$2:$AR$6,32,0),"")</f>
        <v/>
      </c>
      <c r="G798" t="str">
        <f>IFERROR(VLOOKUP($A798,'Student Data'!$A$2:$AR$6,33,0),"")</f>
        <v/>
      </c>
      <c r="H798" t="str">
        <f>IFERROR(VLOOKUP($A798,'Student Data'!$A$2:$AR$6,34,0),"")</f>
        <v/>
      </c>
      <c r="I798" t="str">
        <f>IFERROR(VLOOKUP($A798,'Student Data'!$A$2:$AR$6,35,0),"")</f>
        <v/>
      </c>
      <c r="J798" t="str">
        <f>IFERROR(VLOOKUP($A798,'Student Data'!$A$2:$AR$6,36,0),"")</f>
        <v/>
      </c>
      <c r="K798" t="str">
        <f t="shared" si="24"/>
        <v/>
      </c>
      <c r="L798" t="str">
        <f t="shared" si="25"/>
        <v/>
      </c>
      <c r="M798" t="str">
        <f>IFERROR(IF($C798="","",SUMIFS(Ledger!$K$2:$K$4, Ledger!$B$2:$B$4, $A798, Ledger!$C$2:$C$4, M$2)),"****")</f>
        <v/>
      </c>
      <c r="N798" t="str">
        <f>IFERROR(IF($C798="","",SUMIFS(Ledger!$K$2:$K$4, Ledger!$B$2:$B$4, $A798, Ledger!$C$2:$C$4, N$2)),"****")</f>
        <v/>
      </c>
      <c r="O798" t="str">
        <f>IFERROR(IF($C798="","",SUMIFS(Ledger!$K$2:$K$4, Ledger!$B$2:$B$4, $A798, Ledger!$C$2:$C$4, O$2)),"****")</f>
        <v/>
      </c>
      <c r="P798" t="str">
        <f>IFERROR(IF($C798="","",SUMIFS(Ledger!$K$2:$K$4, Ledger!$B$2:$B$4, $A798, Ledger!$C$2:$C$4, P$2)),"****")</f>
        <v/>
      </c>
      <c r="Q798" t="str">
        <f>IFERROR(IF($C798="","",SUMIFS(Ledger!$K$2:$K$4, Ledger!$B$2:$B$4, $A798, Ledger!$C$2:$C$4, Q$2)),"****")</f>
        <v/>
      </c>
      <c r="R798" t="str">
        <f>IFERROR(IF($C798="","",SUMIFS(Ledger!$K$2:$K$4, Ledger!$B$2:$B$4, $A798, Ledger!$C$2:$C$4, R$2)),"****")</f>
        <v/>
      </c>
      <c r="S798" t="str">
        <f>IFERROR(IF($C798="","",SUMIFS(Ledger!$K$2:$K$4, Ledger!$B$2:$B$4, $A798, Ledger!$C$2:$C$4, S$2)),"****")</f>
        <v/>
      </c>
      <c r="T798" t="str">
        <f>IFERROR(IF($C798="","",SUMIFS(Ledger!$K$2:$K$4, Ledger!$B$2:$B$4, $A798, Ledger!$C$2:$C$4, T$2)),"****")</f>
        <v/>
      </c>
      <c r="U798" t="str">
        <f>IFERROR(IF($C798="","",SUMIFS(Ledger!$K$2:$K$4, Ledger!$B$2:$B$4, $A798, Ledger!$C$2:$C$4, U$2)),"****")</f>
        <v/>
      </c>
      <c r="V798" t="str">
        <f>IFERROR(IF($C798="","",SUMIFS(Ledger!$K$2:$K$4, Ledger!$B$2:$B$4, $A798, Ledger!$C$2:$C$4, V$2)),"****")</f>
        <v/>
      </c>
      <c r="W798" t="str">
        <f>IFERROR(IF($C798="","",SUMIFS(Ledger!$K$2:$K$4, Ledger!$B$2:$B$4, $A798, Ledger!$C$2:$C$4, W$2)),"****")</f>
        <v/>
      </c>
      <c r="X798" t="str">
        <f>IFERROR(IF($C798="","",SUMIFS(Ledger!$K$2:$K$4, Ledger!$B$2:$B$4, $A798, Ledger!$C$2:$C$4, X$2)),"****")</f>
        <v/>
      </c>
    </row>
    <row r="799" spans="1:24" x14ac:dyDescent="0.3">
      <c r="A799" s="106">
        <v>797</v>
      </c>
      <c r="B799" t="str">
        <f>IFERROR(VLOOKUP($A799, Ledger!$B$2:$L$8, 3, 0),"")</f>
        <v/>
      </c>
      <c r="C799" t="str">
        <f>IFERROR(VLOOKUP($A799, Ledger!$B$2:$L$8, 4, 0),"")</f>
        <v/>
      </c>
      <c r="D799" t="str">
        <f>IFERROR(VLOOKUP($A799, Ledger!$B$2:$L$8, 5, 0),"")</f>
        <v/>
      </c>
      <c r="E799" t="str">
        <f>IFERROR(VLOOKUP($A799, Ledger!$B$2:$L$8, 6, 0),"")</f>
        <v/>
      </c>
      <c r="F799" t="str">
        <f>IFERROR(VLOOKUP($A799,'Student Data'!$A$2:$AR$6,32,0),"")</f>
        <v/>
      </c>
      <c r="G799" t="str">
        <f>IFERROR(VLOOKUP($A799,'Student Data'!$A$2:$AR$6,33,0),"")</f>
        <v/>
      </c>
      <c r="H799" t="str">
        <f>IFERROR(VLOOKUP($A799,'Student Data'!$A$2:$AR$6,34,0),"")</f>
        <v/>
      </c>
      <c r="I799" t="str">
        <f>IFERROR(VLOOKUP($A799,'Student Data'!$A$2:$AR$6,35,0),"")</f>
        <v/>
      </c>
      <c r="J799" t="str">
        <f>IFERROR(VLOOKUP($A799,'Student Data'!$A$2:$AR$6,36,0),"")</f>
        <v/>
      </c>
      <c r="K799" t="str">
        <f t="shared" si="24"/>
        <v/>
      </c>
      <c r="L799" t="str">
        <f t="shared" si="25"/>
        <v/>
      </c>
      <c r="M799" t="str">
        <f>IFERROR(IF($C799="","",SUMIFS(Ledger!$K$2:$K$4, Ledger!$B$2:$B$4, $A799, Ledger!$C$2:$C$4, M$2)),"****")</f>
        <v/>
      </c>
      <c r="N799" t="str">
        <f>IFERROR(IF($C799="","",SUMIFS(Ledger!$K$2:$K$4, Ledger!$B$2:$B$4, $A799, Ledger!$C$2:$C$4, N$2)),"****")</f>
        <v/>
      </c>
      <c r="O799" t="str">
        <f>IFERROR(IF($C799="","",SUMIFS(Ledger!$K$2:$K$4, Ledger!$B$2:$B$4, $A799, Ledger!$C$2:$C$4, O$2)),"****")</f>
        <v/>
      </c>
      <c r="P799" t="str">
        <f>IFERROR(IF($C799="","",SUMIFS(Ledger!$K$2:$K$4, Ledger!$B$2:$B$4, $A799, Ledger!$C$2:$C$4, P$2)),"****")</f>
        <v/>
      </c>
      <c r="Q799" t="str">
        <f>IFERROR(IF($C799="","",SUMIFS(Ledger!$K$2:$K$4, Ledger!$B$2:$B$4, $A799, Ledger!$C$2:$C$4, Q$2)),"****")</f>
        <v/>
      </c>
      <c r="R799" t="str">
        <f>IFERROR(IF($C799="","",SUMIFS(Ledger!$K$2:$K$4, Ledger!$B$2:$B$4, $A799, Ledger!$C$2:$C$4, R$2)),"****")</f>
        <v/>
      </c>
      <c r="S799" t="str">
        <f>IFERROR(IF($C799="","",SUMIFS(Ledger!$K$2:$K$4, Ledger!$B$2:$B$4, $A799, Ledger!$C$2:$C$4, S$2)),"****")</f>
        <v/>
      </c>
      <c r="T799" t="str">
        <f>IFERROR(IF($C799="","",SUMIFS(Ledger!$K$2:$K$4, Ledger!$B$2:$B$4, $A799, Ledger!$C$2:$C$4, T$2)),"****")</f>
        <v/>
      </c>
      <c r="U799" t="str">
        <f>IFERROR(IF($C799="","",SUMIFS(Ledger!$K$2:$K$4, Ledger!$B$2:$B$4, $A799, Ledger!$C$2:$C$4, U$2)),"****")</f>
        <v/>
      </c>
      <c r="V799" t="str">
        <f>IFERROR(IF($C799="","",SUMIFS(Ledger!$K$2:$K$4, Ledger!$B$2:$B$4, $A799, Ledger!$C$2:$C$4, V$2)),"****")</f>
        <v/>
      </c>
      <c r="W799" t="str">
        <f>IFERROR(IF($C799="","",SUMIFS(Ledger!$K$2:$K$4, Ledger!$B$2:$B$4, $A799, Ledger!$C$2:$C$4, W$2)),"****")</f>
        <v/>
      </c>
      <c r="X799" t="str">
        <f>IFERROR(IF($C799="","",SUMIFS(Ledger!$K$2:$K$4, Ledger!$B$2:$B$4, $A799, Ledger!$C$2:$C$4, X$2)),"****")</f>
        <v/>
      </c>
    </row>
    <row r="800" spans="1:24" x14ac:dyDescent="0.3">
      <c r="A800" s="106">
        <v>798</v>
      </c>
      <c r="B800" t="str">
        <f>IFERROR(VLOOKUP($A800, Ledger!$B$2:$L$8, 3, 0),"")</f>
        <v/>
      </c>
      <c r="C800" t="str">
        <f>IFERROR(VLOOKUP($A800, Ledger!$B$2:$L$8, 4, 0),"")</f>
        <v/>
      </c>
      <c r="D800" t="str">
        <f>IFERROR(VLOOKUP($A800, Ledger!$B$2:$L$8, 5, 0),"")</f>
        <v/>
      </c>
      <c r="E800" t="str">
        <f>IFERROR(VLOOKUP($A800, Ledger!$B$2:$L$8, 6, 0),"")</f>
        <v/>
      </c>
      <c r="F800" t="str">
        <f>IFERROR(VLOOKUP($A800,'Student Data'!$A$2:$AR$6,32,0),"")</f>
        <v/>
      </c>
      <c r="G800" t="str">
        <f>IFERROR(VLOOKUP($A800,'Student Data'!$A$2:$AR$6,33,0),"")</f>
        <v/>
      </c>
      <c r="H800" t="str">
        <f>IFERROR(VLOOKUP($A800,'Student Data'!$A$2:$AR$6,34,0),"")</f>
        <v/>
      </c>
      <c r="I800" t="str">
        <f>IFERROR(VLOOKUP($A800,'Student Data'!$A$2:$AR$6,35,0),"")</f>
        <v/>
      </c>
      <c r="J800" t="str">
        <f>IFERROR(VLOOKUP($A800,'Student Data'!$A$2:$AR$6,36,0),"")</f>
        <v/>
      </c>
      <c r="K800" t="str">
        <f t="shared" si="24"/>
        <v/>
      </c>
      <c r="L800" t="str">
        <f t="shared" si="25"/>
        <v/>
      </c>
      <c r="M800" t="str">
        <f>IFERROR(IF($C800="","",SUMIFS(Ledger!$K$2:$K$4, Ledger!$B$2:$B$4, $A800, Ledger!$C$2:$C$4, M$2)),"****")</f>
        <v/>
      </c>
      <c r="N800" t="str">
        <f>IFERROR(IF($C800="","",SUMIFS(Ledger!$K$2:$K$4, Ledger!$B$2:$B$4, $A800, Ledger!$C$2:$C$4, N$2)),"****")</f>
        <v/>
      </c>
      <c r="O800" t="str">
        <f>IFERROR(IF($C800="","",SUMIFS(Ledger!$K$2:$K$4, Ledger!$B$2:$B$4, $A800, Ledger!$C$2:$C$4, O$2)),"****")</f>
        <v/>
      </c>
      <c r="P800" t="str">
        <f>IFERROR(IF($C800="","",SUMIFS(Ledger!$K$2:$K$4, Ledger!$B$2:$B$4, $A800, Ledger!$C$2:$C$4, P$2)),"****")</f>
        <v/>
      </c>
      <c r="Q800" t="str">
        <f>IFERROR(IF($C800="","",SUMIFS(Ledger!$K$2:$K$4, Ledger!$B$2:$B$4, $A800, Ledger!$C$2:$C$4, Q$2)),"****")</f>
        <v/>
      </c>
      <c r="R800" t="str">
        <f>IFERROR(IF($C800="","",SUMIFS(Ledger!$K$2:$K$4, Ledger!$B$2:$B$4, $A800, Ledger!$C$2:$C$4, R$2)),"****")</f>
        <v/>
      </c>
      <c r="S800" t="str">
        <f>IFERROR(IF($C800="","",SUMIFS(Ledger!$K$2:$K$4, Ledger!$B$2:$B$4, $A800, Ledger!$C$2:$C$4, S$2)),"****")</f>
        <v/>
      </c>
      <c r="T800" t="str">
        <f>IFERROR(IF($C800="","",SUMIFS(Ledger!$K$2:$K$4, Ledger!$B$2:$B$4, $A800, Ledger!$C$2:$C$4, T$2)),"****")</f>
        <v/>
      </c>
      <c r="U800" t="str">
        <f>IFERROR(IF($C800="","",SUMIFS(Ledger!$K$2:$K$4, Ledger!$B$2:$B$4, $A800, Ledger!$C$2:$C$4, U$2)),"****")</f>
        <v/>
      </c>
      <c r="V800" t="str">
        <f>IFERROR(IF($C800="","",SUMIFS(Ledger!$K$2:$K$4, Ledger!$B$2:$B$4, $A800, Ledger!$C$2:$C$4, V$2)),"****")</f>
        <v/>
      </c>
      <c r="W800" t="str">
        <f>IFERROR(IF($C800="","",SUMIFS(Ledger!$K$2:$K$4, Ledger!$B$2:$B$4, $A800, Ledger!$C$2:$C$4, W$2)),"****")</f>
        <v/>
      </c>
      <c r="X800" t="str">
        <f>IFERROR(IF($C800="","",SUMIFS(Ledger!$K$2:$K$4, Ledger!$B$2:$B$4, $A800, Ledger!$C$2:$C$4, X$2)),"****")</f>
        <v/>
      </c>
    </row>
    <row r="801" spans="1:24" x14ac:dyDescent="0.3">
      <c r="A801" s="106">
        <v>799</v>
      </c>
      <c r="B801" t="str">
        <f>IFERROR(VLOOKUP($A801, Ledger!$B$2:$L$8, 3, 0),"")</f>
        <v/>
      </c>
      <c r="C801" t="str">
        <f>IFERROR(VLOOKUP($A801, Ledger!$B$2:$L$8, 4, 0),"")</f>
        <v/>
      </c>
      <c r="D801" t="str">
        <f>IFERROR(VLOOKUP($A801, Ledger!$B$2:$L$8, 5, 0),"")</f>
        <v/>
      </c>
      <c r="E801" t="str">
        <f>IFERROR(VLOOKUP($A801, Ledger!$B$2:$L$8, 6, 0),"")</f>
        <v/>
      </c>
      <c r="F801" t="str">
        <f>IFERROR(VLOOKUP($A801,'Student Data'!$A$2:$AR$6,32,0),"")</f>
        <v/>
      </c>
      <c r="G801" t="str">
        <f>IFERROR(VLOOKUP($A801,'Student Data'!$A$2:$AR$6,33,0),"")</f>
        <v/>
      </c>
      <c r="H801" t="str">
        <f>IFERROR(VLOOKUP($A801,'Student Data'!$A$2:$AR$6,34,0),"")</f>
        <v/>
      </c>
      <c r="I801" t="str">
        <f>IFERROR(VLOOKUP($A801,'Student Data'!$A$2:$AR$6,35,0),"")</f>
        <v/>
      </c>
      <c r="J801" t="str">
        <f>IFERROR(VLOOKUP($A801,'Student Data'!$A$2:$AR$6,36,0),"")</f>
        <v/>
      </c>
      <c r="K801" t="str">
        <f t="shared" si="24"/>
        <v/>
      </c>
      <c r="L801" t="str">
        <f t="shared" si="25"/>
        <v/>
      </c>
      <c r="M801" t="str">
        <f>IFERROR(IF($C801="","",SUMIFS(Ledger!$K$2:$K$4, Ledger!$B$2:$B$4, $A801, Ledger!$C$2:$C$4, M$2)),"****")</f>
        <v/>
      </c>
      <c r="N801" t="str">
        <f>IFERROR(IF($C801="","",SUMIFS(Ledger!$K$2:$K$4, Ledger!$B$2:$B$4, $A801, Ledger!$C$2:$C$4, N$2)),"****")</f>
        <v/>
      </c>
      <c r="O801" t="str">
        <f>IFERROR(IF($C801="","",SUMIFS(Ledger!$K$2:$K$4, Ledger!$B$2:$B$4, $A801, Ledger!$C$2:$C$4, O$2)),"****")</f>
        <v/>
      </c>
      <c r="P801" t="str">
        <f>IFERROR(IF($C801="","",SUMIFS(Ledger!$K$2:$K$4, Ledger!$B$2:$B$4, $A801, Ledger!$C$2:$C$4, P$2)),"****")</f>
        <v/>
      </c>
      <c r="Q801" t="str">
        <f>IFERROR(IF($C801="","",SUMIFS(Ledger!$K$2:$K$4, Ledger!$B$2:$B$4, $A801, Ledger!$C$2:$C$4, Q$2)),"****")</f>
        <v/>
      </c>
      <c r="R801" t="str">
        <f>IFERROR(IF($C801="","",SUMIFS(Ledger!$K$2:$K$4, Ledger!$B$2:$B$4, $A801, Ledger!$C$2:$C$4, R$2)),"****")</f>
        <v/>
      </c>
      <c r="S801" t="str">
        <f>IFERROR(IF($C801="","",SUMIFS(Ledger!$K$2:$K$4, Ledger!$B$2:$B$4, $A801, Ledger!$C$2:$C$4, S$2)),"****")</f>
        <v/>
      </c>
      <c r="T801" t="str">
        <f>IFERROR(IF($C801="","",SUMIFS(Ledger!$K$2:$K$4, Ledger!$B$2:$B$4, $A801, Ledger!$C$2:$C$4, T$2)),"****")</f>
        <v/>
      </c>
      <c r="U801" t="str">
        <f>IFERROR(IF($C801="","",SUMIFS(Ledger!$K$2:$K$4, Ledger!$B$2:$B$4, $A801, Ledger!$C$2:$C$4, U$2)),"****")</f>
        <v/>
      </c>
      <c r="V801" t="str">
        <f>IFERROR(IF($C801="","",SUMIFS(Ledger!$K$2:$K$4, Ledger!$B$2:$B$4, $A801, Ledger!$C$2:$C$4, V$2)),"****")</f>
        <v/>
      </c>
      <c r="W801" t="str">
        <f>IFERROR(IF($C801="","",SUMIFS(Ledger!$K$2:$K$4, Ledger!$B$2:$B$4, $A801, Ledger!$C$2:$C$4, W$2)),"****")</f>
        <v/>
      </c>
      <c r="X801" t="str">
        <f>IFERROR(IF($C801="","",SUMIFS(Ledger!$K$2:$K$4, Ledger!$B$2:$B$4, $A801, Ledger!$C$2:$C$4, X$2)),"****")</f>
        <v/>
      </c>
    </row>
    <row r="802" spans="1:24" x14ac:dyDescent="0.3">
      <c r="A802" s="106">
        <v>800</v>
      </c>
      <c r="B802" t="str">
        <f>IFERROR(VLOOKUP($A802, Ledger!$B$2:$L$8, 3, 0),"")</f>
        <v/>
      </c>
      <c r="C802" t="str">
        <f>IFERROR(VLOOKUP($A802, Ledger!$B$2:$L$8, 4, 0),"")</f>
        <v/>
      </c>
      <c r="D802" t="str">
        <f>IFERROR(VLOOKUP($A802, Ledger!$B$2:$L$8, 5, 0),"")</f>
        <v/>
      </c>
      <c r="E802" t="str">
        <f>IFERROR(VLOOKUP($A802, Ledger!$B$2:$L$8, 6, 0),"")</f>
        <v/>
      </c>
      <c r="F802" t="str">
        <f>IFERROR(VLOOKUP($A802,'Student Data'!$A$2:$AR$6,32,0),"")</f>
        <v/>
      </c>
      <c r="G802" t="str">
        <f>IFERROR(VLOOKUP($A802,'Student Data'!$A$2:$AR$6,33,0),"")</f>
        <v/>
      </c>
      <c r="H802" t="str">
        <f>IFERROR(VLOOKUP($A802,'Student Data'!$A$2:$AR$6,34,0),"")</f>
        <v/>
      </c>
      <c r="I802" t="str">
        <f>IFERROR(VLOOKUP($A802,'Student Data'!$A$2:$AR$6,35,0),"")</f>
        <v/>
      </c>
      <c r="J802" t="str">
        <f>IFERROR(VLOOKUP($A802,'Student Data'!$A$2:$AR$6,36,0),"")</f>
        <v/>
      </c>
      <c r="K802" t="str">
        <f t="shared" si="24"/>
        <v/>
      </c>
      <c r="L802" t="str">
        <f t="shared" si="25"/>
        <v/>
      </c>
      <c r="M802" t="str">
        <f>IFERROR(IF($C802="","",SUMIFS(Ledger!$K$2:$K$4, Ledger!$B$2:$B$4, $A802, Ledger!$C$2:$C$4, M$2)),"****")</f>
        <v/>
      </c>
      <c r="N802" t="str">
        <f>IFERROR(IF($C802="","",SUMIFS(Ledger!$K$2:$K$4, Ledger!$B$2:$B$4, $A802, Ledger!$C$2:$C$4, N$2)),"****")</f>
        <v/>
      </c>
      <c r="O802" t="str">
        <f>IFERROR(IF($C802="","",SUMIFS(Ledger!$K$2:$K$4, Ledger!$B$2:$B$4, $A802, Ledger!$C$2:$C$4, O$2)),"****")</f>
        <v/>
      </c>
      <c r="P802" t="str">
        <f>IFERROR(IF($C802="","",SUMIFS(Ledger!$K$2:$K$4, Ledger!$B$2:$B$4, $A802, Ledger!$C$2:$C$4, P$2)),"****")</f>
        <v/>
      </c>
      <c r="Q802" t="str">
        <f>IFERROR(IF($C802="","",SUMIFS(Ledger!$K$2:$K$4, Ledger!$B$2:$B$4, $A802, Ledger!$C$2:$C$4, Q$2)),"****")</f>
        <v/>
      </c>
      <c r="R802" t="str">
        <f>IFERROR(IF($C802="","",SUMIFS(Ledger!$K$2:$K$4, Ledger!$B$2:$B$4, $A802, Ledger!$C$2:$C$4, R$2)),"****")</f>
        <v/>
      </c>
      <c r="S802" t="str">
        <f>IFERROR(IF($C802="","",SUMIFS(Ledger!$K$2:$K$4, Ledger!$B$2:$B$4, $A802, Ledger!$C$2:$C$4, S$2)),"****")</f>
        <v/>
      </c>
      <c r="T802" t="str">
        <f>IFERROR(IF($C802="","",SUMIFS(Ledger!$K$2:$K$4, Ledger!$B$2:$B$4, $A802, Ledger!$C$2:$C$4, T$2)),"****")</f>
        <v/>
      </c>
      <c r="U802" t="str">
        <f>IFERROR(IF($C802="","",SUMIFS(Ledger!$K$2:$K$4, Ledger!$B$2:$B$4, $A802, Ledger!$C$2:$C$4, U$2)),"****")</f>
        <v/>
      </c>
      <c r="V802" t="str">
        <f>IFERROR(IF($C802="","",SUMIFS(Ledger!$K$2:$K$4, Ledger!$B$2:$B$4, $A802, Ledger!$C$2:$C$4, V$2)),"****")</f>
        <v/>
      </c>
      <c r="W802" t="str">
        <f>IFERROR(IF($C802="","",SUMIFS(Ledger!$K$2:$K$4, Ledger!$B$2:$B$4, $A802, Ledger!$C$2:$C$4, W$2)),"****")</f>
        <v/>
      </c>
      <c r="X802" t="str">
        <f>IFERROR(IF($C802="","",SUMIFS(Ledger!$K$2:$K$4, Ledger!$B$2:$B$4, $A802, Ledger!$C$2:$C$4, X$2)),"****")</f>
        <v/>
      </c>
    </row>
    <row r="803" spans="1:24" x14ac:dyDescent="0.3">
      <c r="A803" s="106">
        <v>801</v>
      </c>
      <c r="B803" t="str">
        <f>IFERROR(VLOOKUP($A803, Ledger!$B$2:$L$8, 3, 0),"")</f>
        <v/>
      </c>
      <c r="C803" t="str">
        <f>IFERROR(VLOOKUP($A803, Ledger!$B$2:$L$8, 4, 0),"")</f>
        <v/>
      </c>
      <c r="D803" t="str">
        <f>IFERROR(VLOOKUP($A803, Ledger!$B$2:$L$8, 5, 0),"")</f>
        <v/>
      </c>
      <c r="E803" t="str">
        <f>IFERROR(VLOOKUP($A803, Ledger!$B$2:$L$8, 6, 0),"")</f>
        <v/>
      </c>
      <c r="F803" t="str">
        <f>IFERROR(VLOOKUP($A803,'Student Data'!$A$2:$AR$6,32,0),"")</f>
        <v/>
      </c>
      <c r="G803" t="str">
        <f>IFERROR(VLOOKUP($A803,'Student Data'!$A$2:$AR$6,33,0),"")</f>
        <v/>
      </c>
      <c r="H803" t="str">
        <f>IFERROR(VLOOKUP($A803,'Student Data'!$A$2:$AR$6,34,0),"")</f>
        <v/>
      </c>
      <c r="I803" t="str">
        <f>IFERROR(VLOOKUP($A803,'Student Data'!$A$2:$AR$6,35,0),"")</f>
        <v/>
      </c>
      <c r="J803" t="str">
        <f>IFERROR(VLOOKUP($A803,'Student Data'!$A$2:$AR$6,36,0),"")</f>
        <v/>
      </c>
      <c r="K803" t="str">
        <f t="shared" si="24"/>
        <v/>
      </c>
      <c r="L803" t="str">
        <f t="shared" si="25"/>
        <v/>
      </c>
      <c r="M803" t="str">
        <f>IFERROR(IF($C803="","",SUMIFS(Ledger!$K$2:$K$4, Ledger!$B$2:$B$4, $A803, Ledger!$C$2:$C$4, M$2)),"****")</f>
        <v/>
      </c>
      <c r="N803" t="str">
        <f>IFERROR(IF($C803="","",SUMIFS(Ledger!$K$2:$K$4, Ledger!$B$2:$B$4, $A803, Ledger!$C$2:$C$4, N$2)),"****")</f>
        <v/>
      </c>
      <c r="O803" t="str">
        <f>IFERROR(IF($C803="","",SUMIFS(Ledger!$K$2:$K$4, Ledger!$B$2:$B$4, $A803, Ledger!$C$2:$C$4, O$2)),"****")</f>
        <v/>
      </c>
      <c r="P803" t="str">
        <f>IFERROR(IF($C803="","",SUMIFS(Ledger!$K$2:$K$4, Ledger!$B$2:$B$4, $A803, Ledger!$C$2:$C$4, P$2)),"****")</f>
        <v/>
      </c>
      <c r="Q803" t="str">
        <f>IFERROR(IF($C803="","",SUMIFS(Ledger!$K$2:$K$4, Ledger!$B$2:$B$4, $A803, Ledger!$C$2:$C$4, Q$2)),"****")</f>
        <v/>
      </c>
      <c r="R803" t="str">
        <f>IFERROR(IF($C803="","",SUMIFS(Ledger!$K$2:$K$4, Ledger!$B$2:$B$4, $A803, Ledger!$C$2:$C$4, R$2)),"****")</f>
        <v/>
      </c>
      <c r="S803" t="str">
        <f>IFERROR(IF($C803="","",SUMIFS(Ledger!$K$2:$K$4, Ledger!$B$2:$B$4, $A803, Ledger!$C$2:$C$4, S$2)),"****")</f>
        <v/>
      </c>
      <c r="T803" t="str">
        <f>IFERROR(IF($C803="","",SUMIFS(Ledger!$K$2:$K$4, Ledger!$B$2:$B$4, $A803, Ledger!$C$2:$C$4, T$2)),"****")</f>
        <v/>
      </c>
      <c r="U803" t="str">
        <f>IFERROR(IF($C803="","",SUMIFS(Ledger!$K$2:$K$4, Ledger!$B$2:$B$4, $A803, Ledger!$C$2:$C$4, U$2)),"****")</f>
        <v/>
      </c>
      <c r="V803" t="str">
        <f>IFERROR(IF($C803="","",SUMIFS(Ledger!$K$2:$K$4, Ledger!$B$2:$B$4, $A803, Ledger!$C$2:$C$4, V$2)),"****")</f>
        <v/>
      </c>
      <c r="W803" t="str">
        <f>IFERROR(IF($C803="","",SUMIFS(Ledger!$K$2:$K$4, Ledger!$B$2:$B$4, $A803, Ledger!$C$2:$C$4, W$2)),"****")</f>
        <v/>
      </c>
      <c r="X803" t="str">
        <f>IFERROR(IF($C803="","",SUMIFS(Ledger!$K$2:$K$4, Ledger!$B$2:$B$4, $A803, Ledger!$C$2:$C$4, X$2)),"****")</f>
        <v/>
      </c>
    </row>
    <row r="804" spans="1:24" x14ac:dyDescent="0.3">
      <c r="A804" s="106">
        <v>802</v>
      </c>
      <c r="B804" t="str">
        <f>IFERROR(VLOOKUP($A804, Ledger!$B$2:$L$8, 3, 0),"")</f>
        <v/>
      </c>
      <c r="C804" t="str">
        <f>IFERROR(VLOOKUP($A804, Ledger!$B$2:$L$8, 4, 0),"")</f>
        <v/>
      </c>
      <c r="D804" t="str">
        <f>IFERROR(VLOOKUP($A804, Ledger!$B$2:$L$8, 5, 0),"")</f>
        <v/>
      </c>
      <c r="E804" t="str">
        <f>IFERROR(VLOOKUP($A804, Ledger!$B$2:$L$8, 6, 0),"")</f>
        <v/>
      </c>
      <c r="F804" t="str">
        <f>IFERROR(VLOOKUP($A804,'Student Data'!$A$2:$AR$6,32,0),"")</f>
        <v/>
      </c>
      <c r="G804" t="str">
        <f>IFERROR(VLOOKUP($A804,'Student Data'!$A$2:$AR$6,33,0),"")</f>
        <v/>
      </c>
      <c r="H804" t="str">
        <f>IFERROR(VLOOKUP($A804,'Student Data'!$A$2:$AR$6,34,0),"")</f>
        <v/>
      </c>
      <c r="I804" t="str">
        <f>IFERROR(VLOOKUP($A804,'Student Data'!$A$2:$AR$6,35,0),"")</f>
        <v/>
      </c>
      <c r="J804" t="str">
        <f>IFERROR(VLOOKUP($A804,'Student Data'!$A$2:$AR$6,36,0),"")</f>
        <v/>
      </c>
      <c r="K804" t="str">
        <f t="shared" si="24"/>
        <v/>
      </c>
      <c r="L804" t="str">
        <f t="shared" si="25"/>
        <v/>
      </c>
      <c r="M804" t="str">
        <f>IFERROR(IF($C804="","",SUMIFS(Ledger!$K$2:$K$4, Ledger!$B$2:$B$4, $A804, Ledger!$C$2:$C$4, M$2)),"****")</f>
        <v/>
      </c>
      <c r="N804" t="str">
        <f>IFERROR(IF($C804="","",SUMIFS(Ledger!$K$2:$K$4, Ledger!$B$2:$B$4, $A804, Ledger!$C$2:$C$4, N$2)),"****")</f>
        <v/>
      </c>
      <c r="O804" t="str">
        <f>IFERROR(IF($C804="","",SUMIFS(Ledger!$K$2:$K$4, Ledger!$B$2:$B$4, $A804, Ledger!$C$2:$C$4, O$2)),"****")</f>
        <v/>
      </c>
      <c r="P804" t="str">
        <f>IFERROR(IF($C804="","",SUMIFS(Ledger!$K$2:$K$4, Ledger!$B$2:$B$4, $A804, Ledger!$C$2:$C$4, P$2)),"****")</f>
        <v/>
      </c>
      <c r="Q804" t="str">
        <f>IFERROR(IF($C804="","",SUMIFS(Ledger!$K$2:$K$4, Ledger!$B$2:$B$4, $A804, Ledger!$C$2:$C$4, Q$2)),"****")</f>
        <v/>
      </c>
      <c r="R804" t="str">
        <f>IFERROR(IF($C804="","",SUMIFS(Ledger!$K$2:$K$4, Ledger!$B$2:$B$4, $A804, Ledger!$C$2:$C$4, R$2)),"****")</f>
        <v/>
      </c>
      <c r="S804" t="str">
        <f>IFERROR(IF($C804="","",SUMIFS(Ledger!$K$2:$K$4, Ledger!$B$2:$B$4, $A804, Ledger!$C$2:$C$4, S$2)),"****")</f>
        <v/>
      </c>
      <c r="T804" t="str">
        <f>IFERROR(IF($C804="","",SUMIFS(Ledger!$K$2:$K$4, Ledger!$B$2:$B$4, $A804, Ledger!$C$2:$C$4, T$2)),"****")</f>
        <v/>
      </c>
      <c r="U804" t="str">
        <f>IFERROR(IF($C804="","",SUMIFS(Ledger!$K$2:$K$4, Ledger!$B$2:$B$4, $A804, Ledger!$C$2:$C$4, U$2)),"****")</f>
        <v/>
      </c>
      <c r="V804" t="str">
        <f>IFERROR(IF($C804="","",SUMIFS(Ledger!$K$2:$K$4, Ledger!$B$2:$B$4, $A804, Ledger!$C$2:$C$4, V$2)),"****")</f>
        <v/>
      </c>
      <c r="W804" t="str">
        <f>IFERROR(IF($C804="","",SUMIFS(Ledger!$K$2:$K$4, Ledger!$B$2:$B$4, $A804, Ledger!$C$2:$C$4, W$2)),"****")</f>
        <v/>
      </c>
      <c r="X804" t="str">
        <f>IFERROR(IF($C804="","",SUMIFS(Ledger!$K$2:$K$4, Ledger!$B$2:$B$4, $A804, Ledger!$C$2:$C$4, X$2)),"****")</f>
        <v/>
      </c>
    </row>
    <row r="805" spans="1:24" x14ac:dyDescent="0.3">
      <c r="A805" s="106">
        <v>803</v>
      </c>
      <c r="B805" t="str">
        <f>IFERROR(VLOOKUP($A805, Ledger!$B$2:$L$8, 3, 0),"")</f>
        <v/>
      </c>
      <c r="C805" t="str">
        <f>IFERROR(VLOOKUP($A805, Ledger!$B$2:$L$8, 4, 0),"")</f>
        <v/>
      </c>
      <c r="D805" t="str">
        <f>IFERROR(VLOOKUP($A805, Ledger!$B$2:$L$8, 5, 0),"")</f>
        <v/>
      </c>
      <c r="E805" t="str">
        <f>IFERROR(VLOOKUP($A805, Ledger!$B$2:$L$8, 6, 0),"")</f>
        <v/>
      </c>
      <c r="F805" t="str">
        <f>IFERROR(VLOOKUP($A805,'Student Data'!$A$2:$AR$6,32,0),"")</f>
        <v/>
      </c>
      <c r="G805" t="str">
        <f>IFERROR(VLOOKUP($A805,'Student Data'!$A$2:$AR$6,33,0),"")</f>
        <v/>
      </c>
      <c r="H805" t="str">
        <f>IFERROR(VLOOKUP($A805,'Student Data'!$A$2:$AR$6,34,0),"")</f>
        <v/>
      </c>
      <c r="I805" t="str">
        <f>IFERROR(VLOOKUP($A805,'Student Data'!$A$2:$AR$6,35,0),"")</f>
        <v/>
      </c>
      <c r="J805" t="str">
        <f>IFERROR(VLOOKUP($A805,'Student Data'!$A$2:$AR$6,36,0),"")</f>
        <v/>
      </c>
      <c r="K805" t="str">
        <f t="shared" si="24"/>
        <v/>
      </c>
      <c r="L805" t="str">
        <f t="shared" si="25"/>
        <v/>
      </c>
      <c r="M805" t="str">
        <f>IFERROR(IF($C805="","",SUMIFS(Ledger!$K$2:$K$4, Ledger!$B$2:$B$4, $A805, Ledger!$C$2:$C$4, M$2)),"****")</f>
        <v/>
      </c>
      <c r="N805" t="str">
        <f>IFERROR(IF($C805="","",SUMIFS(Ledger!$K$2:$K$4, Ledger!$B$2:$B$4, $A805, Ledger!$C$2:$C$4, N$2)),"****")</f>
        <v/>
      </c>
      <c r="O805" t="str">
        <f>IFERROR(IF($C805="","",SUMIFS(Ledger!$K$2:$K$4, Ledger!$B$2:$B$4, $A805, Ledger!$C$2:$C$4, O$2)),"****")</f>
        <v/>
      </c>
      <c r="P805" t="str">
        <f>IFERROR(IF($C805="","",SUMIFS(Ledger!$K$2:$K$4, Ledger!$B$2:$B$4, $A805, Ledger!$C$2:$C$4, P$2)),"****")</f>
        <v/>
      </c>
      <c r="Q805" t="str">
        <f>IFERROR(IF($C805="","",SUMIFS(Ledger!$K$2:$K$4, Ledger!$B$2:$B$4, $A805, Ledger!$C$2:$C$4, Q$2)),"****")</f>
        <v/>
      </c>
      <c r="R805" t="str">
        <f>IFERROR(IF($C805="","",SUMIFS(Ledger!$K$2:$K$4, Ledger!$B$2:$B$4, $A805, Ledger!$C$2:$C$4, R$2)),"****")</f>
        <v/>
      </c>
      <c r="S805" t="str">
        <f>IFERROR(IF($C805="","",SUMIFS(Ledger!$K$2:$K$4, Ledger!$B$2:$B$4, $A805, Ledger!$C$2:$C$4, S$2)),"****")</f>
        <v/>
      </c>
      <c r="T805" t="str">
        <f>IFERROR(IF($C805="","",SUMIFS(Ledger!$K$2:$K$4, Ledger!$B$2:$B$4, $A805, Ledger!$C$2:$C$4, T$2)),"****")</f>
        <v/>
      </c>
      <c r="U805" t="str">
        <f>IFERROR(IF($C805="","",SUMIFS(Ledger!$K$2:$K$4, Ledger!$B$2:$B$4, $A805, Ledger!$C$2:$C$4, U$2)),"****")</f>
        <v/>
      </c>
      <c r="V805" t="str">
        <f>IFERROR(IF($C805="","",SUMIFS(Ledger!$K$2:$K$4, Ledger!$B$2:$B$4, $A805, Ledger!$C$2:$C$4, V$2)),"****")</f>
        <v/>
      </c>
      <c r="W805" t="str">
        <f>IFERROR(IF($C805="","",SUMIFS(Ledger!$K$2:$K$4, Ledger!$B$2:$B$4, $A805, Ledger!$C$2:$C$4, W$2)),"****")</f>
        <v/>
      </c>
      <c r="X805" t="str">
        <f>IFERROR(IF($C805="","",SUMIFS(Ledger!$K$2:$K$4, Ledger!$B$2:$B$4, $A805, Ledger!$C$2:$C$4, X$2)),"****")</f>
        <v/>
      </c>
    </row>
    <row r="806" spans="1:24" x14ac:dyDescent="0.3">
      <c r="A806" s="106">
        <v>804</v>
      </c>
      <c r="B806" t="str">
        <f>IFERROR(VLOOKUP($A806, Ledger!$B$2:$L$8, 3, 0),"")</f>
        <v/>
      </c>
      <c r="C806" t="str">
        <f>IFERROR(VLOOKUP($A806, Ledger!$B$2:$L$8, 4, 0),"")</f>
        <v/>
      </c>
      <c r="D806" t="str">
        <f>IFERROR(VLOOKUP($A806, Ledger!$B$2:$L$8, 5, 0),"")</f>
        <v/>
      </c>
      <c r="E806" t="str">
        <f>IFERROR(VLOOKUP($A806, Ledger!$B$2:$L$8, 6, 0),"")</f>
        <v/>
      </c>
      <c r="F806" t="str">
        <f>IFERROR(VLOOKUP($A806,'Student Data'!$A$2:$AR$6,32,0),"")</f>
        <v/>
      </c>
      <c r="G806" t="str">
        <f>IFERROR(VLOOKUP($A806,'Student Data'!$A$2:$AR$6,33,0),"")</f>
        <v/>
      </c>
      <c r="H806" t="str">
        <f>IFERROR(VLOOKUP($A806,'Student Data'!$A$2:$AR$6,34,0),"")</f>
        <v/>
      </c>
      <c r="I806" t="str">
        <f>IFERROR(VLOOKUP($A806,'Student Data'!$A$2:$AR$6,35,0),"")</f>
        <v/>
      </c>
      <c r="J806" t="str">
        <f>IFERROR(VLOOKUP($A806,'Student Data'!$A$2:$AR$6,36,0),"")</f>
        <v/>
      </c>
      <c r="K806" t="str">
        <f t="shared" si="24"/>
        <v/>
      </c>
      <c r="L806" t="str">
        <f t="shared" si="25"/>
        <v/>
      </c>
      <c r="M806" t="str">
        <f>IFERROR(IF($C806="","",SUMIFS(Ledger!$K$2:$K$4, Ledger!$B$2:$B$4, $A806, Ledger!$C$2:$C$4, M$2)),"****")</f>
        <v/>
      </c>
      <c r="N806" t="str">
        <f>IFERROR(IF($C806="","",SUMIFS(Ledger!$K$2:$K$4, Ledger!$B$2:$B$4, $A806, Ledger!$C$2:$C$4, N$2)),"****")</f>
        <v/>
      </c>
      <c r="O806" t="str">
        <f>IFERROR(IF($C806="","",SUMIFS(Ledger!$K$2:$K$4, Ledger!$B$2:$B$4, $A806, Ledger!$C$2:$C$4, O$2)),"****")</f>
        <v/>
      </c>
      <c r="P806" t="str">
        <f>IFERROR(IF($C806="","",SUMIFS(Ledger!$K$2:$K$4, Ledger!$B$2:$B$4, $A806, Ledger!$C$2:$C$4, P$2)),"****")</f>
        <v/>
      </c>
      <c r="Q806" t="str">
        <f>IFERROR(IF($C806="","",SUMIFS(Ledger!$K$2:$K$4, Ledger!$B$2:$B$4, $A806, Ledger!$C$2:$C$4, Q$2)),"****")</f>
        <v/>
      </c>
      <c r="R806" t="str">
        <f>IFERROR(IF($C806="","",SUMIFS(Ledger!$K$2:$K$4, Ledger!$B$2:$B$4, $A806, Ledger!$C$2:$C$4, R$2)),"****")</f>
        <v/>
      </c>
      <c r="S806" t="str">
        <f>IFERROR(IF($C806="","",SUMIFS(Ledger!$K$2:$K$4, Ledger!$B$2:$B$4, $A806, Ledger!$C$2:$C$4, S$2)),"****")</f>
        <v/>
      </c>
      <c r="T806" t="str">
        <f>IFERROR(IF($C806="","",SUMIFS(Ledger!$K$2:$K$4, Ledger!$B$2:$B$4, $A806, Ledger!$C$2:$C$4, T$2)),"****")</f>
        <v/>
      </c>
      <c r="U806" t="str">
        <f>IFERROR(IF($C806="","",SUMIFS(Ledger!$K$2:$K$4, Ledger!$B$2:$B$4, $A806, Ledger!$C$2:$C$4, U$2)),"****")</f>
        <v/>
      </c>
      <c r="V806" t="str">
        <f>IFERROR(IF($C806="","",SUMIFS(Ledger!$K$2:$K$4, Ledger!$B$2:$B$4, $A806, Ledger!$C$2:$C$4, V$2)),"****")</f>
        <v/>
      </c>
      <c r="W806" t="str">
        <f>IFERROR(IF($C806="","",SUMIFS(Ledger!$K$2:$K$4, Ledger!$B$2:$B$4, $A806, Ledger!$C$2:$C$4, W$2)),"****")</f>
        <v/>
      </c>
      <c r="X806" t="str">
        <f>IFERROR(IF($C806="","",SUMIFS(Ledger!$K$2:$K$4, Ledger!$B$2:$B$4, $A806, Ledger!$C$2:$C$4, X$2)),"****")</f>
        <v/>
      </c>
    </row>
    <row r="807" spans="1:24" x14ac:dyDescent="0.3">
      <c r="A807" s="106">
        <v>805</v>
      </c>
      <c r="B807" t="str">
        <f>IFERROR(VLOOKUP($A807, Ledger!$B$2:$L$8, 3, 0),"")</f>
        <v/>
      </c>
      <c r="C807" t="str">
        <f>IFERROR(VLOOKUP($A807, Ledger!$B$2:$L$8, 4, 0),"")</f>
        <v/>
      </c>
      <c r="D807" t="str">
        <f>IFERROR(VLOOKUP($A807, Ledger!$B$2:$L$8, 5, 0),"")</f>
        <v/>
      </c>
      <c r="E807" t="str">
        <f>IFERROR(VLOOKUP($A807, Ledger!$B$2:$L$8, 6, 0),"")</f>
        <v/>
      </c>
      <c r="F807" t="str">
        <f>IFERROR(VLOOKUP($A807,'Student Data'!$A$2:$AR$6,32,0),"")</f>
        <v/>
      </c>
      <c r="G807" t="str">
        <f>IFERROR(VLOOKUP($A807,'Student Data'!$A$2:$AR$6,33,0),"")</f>
        <v/>
      </c>
      <c r="H807" t="str">
        <f>IFERROR(VLOOKUP($A807,'Student Data'!$A$2:$AR$6,34,0),"")</f>
        <v/>
      </c>
      <c r="I807" t="str">
        <f>IFERROR(VLOOKUP($A807,'Student Data'!$A$2:$AR$6,35,0),"")</f>
        <v/>
      </c>
      <c r="J807" t="str">
        <f>IFERROR(VLOOKUP($A807,'Student Data'!$A$2:$AR$6,36,0),"")</f>
        <v/>
      </c>
      <c r="K807" t="str">
        <f t="shared" si="24"/>
        <v/>
      </c>
      <c r="L807" t="str">
        <f t="shared" si="25"/>
        <v/>
      </c>
      <c r="M807" t="str">
        <f>IFERROR(IF($C807="","",SUMIFS(Ledger!$K$2:$K$4, Ledger!$B$2:$B$4, $A807, Ledger!$C$2:$C$4, M$2)),"****")</f>
        <v/>
      </c>
      <c r="N807" t="str">
        <f>IFERROR(IF($C807="","",SUMIFS(Ledger!$K$2:$K$4, Ledger!$B$2:$B$4, $A807, Ledger!$C$2:$C$4, N$2)),"****")</f>
        <v/>
      </c>
      <c r="O807" t="str">
        <f>IFERROR(IF($C807="","",SUMIFS(Ledger!$K$2:$K$4, Ledger!$B$2:$B$4, $A807, Ledger!$C$2:$C$4, O$2)),"****")</f>
        <v/>
      </c>
      <c r="P807" t="str">
        <f>IFERROR(IF($C807="","",SUMIFS(Ledger!$K$2:$K$4, Ledger!$B$2:$B$4, $A807, Ledger!$C$2:$C$4, P$2)),"****")</f>
        <v/>
      </c>
      <c r="Q807" t="str">
        <f>IFERROR(IF($C807="","",SUMIFS(Ledger!$K$2:$K$4, Ledger!$B$2:$B$4, $A807, Ledger!$C$2:$C$4, Q$2)),"****")</f>
        <v/>
      </c>
      <c r="R807" t="str">
        <f>IFERROR(IF($C807="","",SUMIFS(Ledger!$K$2:$K$4, Ledger!$B$2:$B$4, $A807, Ledger!$C$2:$C$4, R$2)),"****")</f>
        <v/>
      </c>
      <c r="S807" t="str">
        <f>IFERROR(IF($C807="","",SUMIFS(Ledger!$K$2:$K$4, Ledger!$B$2:$B$4, $A807, Ledger!$C$2:$C$4, S$2)),"****")</f>
        <v/>
      </c>
      <c r="T807" t="str">
        <f>IFERROR(IF($C807="","",SUMIFS(Ledger!$K$2:$K$4, Ledger!$B$2:$B$4, $A807, Ledger!$C$2:$C$4, T$2)),"****")</f>
        <v/>
      </c>
      <c r="U807" t="str">
        <f>IFERROR(IF($C807="","",SUMIFS(Ledger!$K$2:$K$4, Ledger!$B$2:$B$4, $A807, Ledger!$C$2:$C$4, U$2)),"****")</f>
        <v/>
      </c>
      <c r="V807" t="str">
        <f>IFERROR(IF($C807="","",SUMIFS(Ledger!$K$2:$K$4, Ledger!$B$2:$B$4, $A807, Ledger!$C$2:$C$4, V$2)),"****")</f>
        <v/>
      </c>
      <c r="W807" t="str">
        <f>IFERROR(IF($C807="","",SUMIFS(Ledger!$K$2:$K$4, Ledger!$B$2:$B$4, $A807, Ledger!$C$2:$C$4, W$2)),"****")</f>
        <v/>
      </c>
      <c r="X807" t="str">
        <f>IFERROR(IF($C807="","",SUMIFS(Ledger!$K$2:$K$4, Ledger!$B$2:$B$4, $A807, Ledger!$C$2:$C$4, X$2)),"****")</f>
        <v/>
      </c>
    </row>
    <row r="808" spans="1:24" x14ac:dyDescent="0.3">
      <c r="A808" s="106">
        <v>806</v>
      </c>
      <c r="B808" t="str">
        <f>IFERROR(VLOOKUP($A808, Ledger!$B$2:$L$8, 3, 0),"")</f>
        <v/>
      </c>
      <c r="C808" t="str">
        <f>IFERROR(VLOOKUP($A808, Ledger!$B$2:$L$8, 4, 0),"")</f>
        <v/>
      </c>
      <c r="D808" t="str">
        <f>IFERROR(VLOOKUP($A808, Ledger!$B$2:$L$8, 5, 0),"")</f>
        <v/>
      </c>
      <c r="E808" t="str">
        <f>IFERROR(VLOOKUP($A808, Ledger!$B$2:$L$8, 6, 0),"")</f>
        <v/>
      </c>
      <c r="F808" t="str">
        <f>IFERROR(VLOOKUP($A808,'Student Data'!$A$2:$AR$6,32,0),"")</f>
        <v/>
      </c>
      <c r="G808" t="str">
        <f>IFERROR(VLOOKUP($A808,'Student Data'!$A$2:$AR$6,33,0),"")</f>
        <v/>
      </c>
      <c r="H808" t="str">
        <f>IFERROR(VLOOKUP($A808,'Student Data'!$A$2:$AR$6,34,0),"")</f>
        <v/>
      </c>
      <c r="I808" t="str">
        <f>IFERROR(VLOOKUP($A808,'Student Data'!$A$2:$AR$6,35,0),"")</f>
        <v/>
      </c>
      <c r="J808" t="str">
        <f>IFERROR(VLOOKUP($A808,'Student Data'!$A$2:$AR$6,36,0),"")</f>
        <v/>
      </c>
      <c r="K808" t="str">
        <f t="shared" si="24"/>
        <v/>
      </c>
      <c r="L808" t="str">
        <f t="shared" si="25"/>
        <v/>
      </c>
      <c r="M808" t="str">
        <f>IFERROR(IF($C808="","",SUMIFS(Ledger!$K$2:$K$4, Ledger!$B$2:$B$4, $A808, Ledger!$C$2:$C$4, M$2)),"****")</f>
        <v/>
      </c>
      <c r="N808" t="str">
        <f>IFERROR(IF($C808="","",SUMIFS(Ledger!$K$2:$K$4, Ledger!$B$2:$B$4, $A808, Ledger!$C$2:$C$4, N$2)),"****")</f>
        <v/>
      </c>
      <c r="O808" t="str">
        <f>IFERROR(IF($C808="","",SUMIFS(Ledger!$K$2:$K$4, Ledger!$B$2:$B$4, $A808, Ledger!$C$2:$C$4, O$2)),"****")</f>
        <v/>
      </c>
      <c r="P808" t="str">
        <f>IFERROR(IF($C808="","",SUMIFS(Ledger!$K$2:$K$4, Ledger!$B$2:$B$4, $A808, Ledger!$C$2:$C$4, P$2)),"****")</f>
        <v/>
      </c>
      <c r="Q808" t="str">
        <f>IFERROR(IF($C808="","",SUMIFS(Ledger!$K$2:$K$4, Ledger!$B$2:$B$4, $A808, Ledger!$C$2:$C$4, Q$2)),"****")</f>
        <v/>
      </c>
      <c r="R808" t="str">
        <f>IFERROR(IF($C808="","",SUMIFS(Ledger!$K$2:$K$4, Ledger!$B$2:$B$4, $A808, Ledger!$C$2:$C$4, R$2)),"****")</f>
        <v/>
      </c>
      <c r="S808" t="str">
        <f>IFERROR(IF($C808="","",SUMIFS(Ledger!$K$2:$K$4, Ledger!$B$2:$B$4, $A808, Ledger!$C$2:$C$4, S$2)),"****")</f>
        <v/>
      </c>
      <c r="T808" t="str">
        <f>IFERROR(IF($C808="","",SUMIFS(Ledger!$K$2:$K$4, Ledger!$B$2:$B$4, $A808, Ledger!$C$2:$C$4, T$2)),"****")</f>
        <v/>
      </c>
      <c r="U808" t="str">
        <f>IFERROR(IF($C808="","",SUMIFS(Ledger!$K$2:$K$4, Ledger!$B$2:$B$4, $A808, Ledger!$C$2:$C$4, U$2)),"****")</f>
        <v/>
      </c>
      <c r="V808" t="str">
        <f>IFERROR(IF($C808="","",SUMIFS(Ledger!$K$2:$K$4, Ledger!$B$2:$B$4, $A808, Ledger!$C$2:$C$4, V$2)),"****")</f>
        <v/>
      </c>
      <c r="W808" t="str">
        <f>IFERROR(IF($C808="","",SUMIFS(Ledger!$K$2:$K$4, Ledger!$B$2:$B$4, $A808, Ledger!$C$2:$C$4, W$2)),"****")</f>
        <v/>
      </c>
      <c r="X808" t="str">
        <f>IFERROR(IF($C808="","",SUMIFS(Ledger!$K$2:$K$4, Ledger!$B$2:$B$4, $A808, Ledger!$C$2:$C$4, X$2)),"****")</f>
        <v/>
      </c>
    </row>
    <row r="809" spans="1:24" x14ac:dyDescent="0.3">
      <c r="A809" s="106">
        <v>807</v>
      </c>
      <c r="B809" t="str">
        <f>IFERROR(VLOOKUP($A809, Ledger!$B$2:$L$8, 3, 0),"")</f>
        <v/>
      </c>
      <c r="C809" t="str">
        <f>IFERROR(VLOOKUP($A809, Ledger!$B$2:$L$8, 4, 0),"")</f>
        <v/>
      </c>
      <c r="D809" t="str">
        <f>IFERROR(VLOOKUP($A809, Ledger!$B$2:$L$8, 5, 0),"")</f>
        <v/>
      </c>
      <c r="E809" t="str">
        <f>IFERROR(VLOOKUP($A809, Ledger!$B$2:$L$8, 6, 0),"")</f>
        <v/>
      </c>
      <c r="F809" t="str">
        <f>IFERROR(VLOOKUP($A809,'Student Data'!$A$2:$AR$6,32,0),"")</f>
        <v/>
      </c>
      <c r="G809" t="str">
        <f>IFERROR(VLOOKUP($A809,'Student Data'!$A$2:$AR$6,33,0),"")</f>
        <v/>
      </c>
      <c r="H809" t="str">
        <f>IFERROR(VLOOKUP($A809,'Student Data'!$A$2:$AR$6,34,0),"")</f>
        <v/>
      </c>
      <c r="I809" t="str">
        <f>IFERROR(VLOOKUP($A809,'Student Data'!$A$2:$AR$6,35,0),"")</f>
        <v/>
      </c>
      <c r="J809" t="str">
        <f>IFERROR(VLOOKUP($A809,'Student Data'!$A$2:$AR$6,36,0),"")</f>
        <v/>
      </c>
      <c r="K809" t="str">
        <f t="shared" si="24"/>
        <v/>
      </c>
      <c r="L809" t="str">
        <f t="shared" si="25"/>
        <v/>
      </c>
      <c r="M809" t="str">
        <f>IFERROR(IF($C809="","",SUMIFS(Ledger!$K$2:$K$4, Ledger!$B$2:$B$4, $A809, Ledger!$C$2:$C$4, M$2)),"****")</f>
        <v/>
      </c>
      <c r="N809" t="str">
        <f>IFERROR(IF($C809="","",SUMIFS(Ledger!$K$2:$K$4, Ledger!$B$2:$B$4, $A809, Ledger!$C$2:$C$4, N$2)),"****")</f>
        <v/>
      </c>
      <c r="O809" t="str">
        <f>IFERROR(IF($C809="","",SUMIFS(Ledger!$K$2:$K$4, Ledger!$B$2:$B$4, $A809, Ledger!$C$2:$C$4, O$2)),"****")</f>
        <v/>
      </c>
      <c r="P809" t="str">
        <f>IFERROR(IF($C809="","",SUMIFS(Ledger!$K$2:$K$4, Ledger!$B$2:$B$4, $A809, Ledger!$C$2:$C$4, P$2)),"****")</f>
        <v/>
      </c>
      <c r="Q809" t="str">
        <f>IFERROR(IF($C809="","",SUMIFS(Ledger!$K$2:$K$4, Ledger!$B$2:$B$4, $A809, Ledger!$C$2:$C$4, Q$2)),"****")</f>
        <v/>
      </c>
      <c r="R809" t="str">
        <f>IFERROR(IF($C809="","",SUMIFS(Ledger!$K$2:$K$4, Ledger!$B$2:$B$4, $A809, Ledger!$C$2:$C$4, R$2)),"****")</f>
        <v/>
      </c>
      <c r="S809" t="str">
        <f>IFERROR(IF($C809="","",SUMIFS(Ledger!$K$2:$K$4, Ledger!$B$2:$B$4, $A809, Ledger!$C$2:$C$4, S$2)),"****")</f>
        <v/>
      </c>
      <c r="T809" t="str">
        <f>IFERROR(IF($C809="","",SUMIFS(Ledger!$K$2:$K$4, Ledger!$B$2:$B$4, $A809, Ledger!$C$2:$C$4, T$2)),"****")</f>
        <v/>
      </c>
      <c r="U809" t="str">
        <f>IFERROR(IF($C809="","",SUMIFS(Ledger!$K$2:$K$4, Ledger!$B$2:$B$4, $A809, Ledger!$C$2:$C$4, U$2)),"****")</f>
        <v/>
      </c>
      <c r="V809" t="str">
        <f>IFERROR(IF($C809="","",SUMIFS(Ledger!$K$2:$K$4, Ledger!$B$2:$B$4, $A809, Ledger!$C$2:$C$4, V$2)),"****")</f>
        <v/>
      </c>
      <c r="W809" t="str">
        <f>IFERROR(IF($C809="","",SUMIFS(Ledger!$K$2:$K$4, Ledger!$B$2:$B$4, $A809, Ledger!$C$2:$C$4, W$2)),"****")</f>
        <v/>
      </c>
      <c r="X809" t="str">
        <f>IFERROR(IF($C809="","",SUMIFS(Ledger!$K$2:$K$4, Ledger!$B$2:$B$4, $A809, Ledger!$C$2:$C$4, X$2)),"****")</f>
        <v/>
      </c>
    </row>
    <row r="810" spans="1:24" x14ac:dyDescent="0.3">
      <c r="A810" s="106">
        <v>808</v>
      </c>
      <c r="B810" t="str">
        <f>IFERROR(VLOOKUP($A810, Ledger!$B$2:$L$8, 3, 0),"")</f>
        <v/>
      </c>
      <c r="C810" t="str">
        <f>IFERROR(VLOOKUP($A810, Ledger!$B$2:$L$8, 4, 0),"")</f>
        <v/>
      </c>
      <c r="D810" t="str">
        <f>IFERROR(VLOOKUP($A810, Ledger!$B$2:$L$8, 5, 0),"")</f>
        <v/>
      </c>
      <c r="E810" t="str">
        <f>IFERROR(VLOOKUP($A810, Ledger!$B$2:$L$8, 6, 0),"")</f>
        <v/>
      </c>
      <c r="F810" t="str">
        <f>IFERROR(VLOOKUP($A810,'Student Data'!$A$2:$AR$6,32,0),"")</f>
        <v/>
      </c>
      <c r="G810" t="str">
        <f>IFERROR(VLOOKUP($A810,'Student Data'!$A$2:$AR$6,33,0),"")</f>
        <v/>
      </c>
      <c r="H810" t="str">
        <f>IFERROR(VLOOKUP($A810,'Student Data'!$A$2:$AR$6,34,0),"")</f>
        <v/>
      </c>
      <c r="I810" t="str">
        <f>IFERROR(VLOOKUP($A810,'Student Data'!$A$2:$AR$6,35,0),"")</f>
        <v/>
      </c>
      <c r="J810" t="str">
        <f>IFERROR(VLOOKUP($A810,'Student Data'!$A$2:$AR$6,36,0),"")</f>
        <v/>
      </c>
      <c r="K810" t="str">
        <f t="shared" si="24"/>
        <v/>
      </c>
      <c r="L810" t="str">
        <f t="shared" si="25"/>
        <v/>
      </c>
      <c r="M810" t="str">
        <f>IFERROR(IF($C810="","",SUMIFS(Ledger!$K$2:$K$4, Ledger!$B$2:$B$4, $A810, Ledger!$C$2:$C$4, M$2)),"****")</f>
        <v/>
      </c>
      <c r="N810" t="str">
        <f>IFERROR(IF($C810="","",SUMIFS(Ledger!$K$2:$K$4, Ledger!$B$2:$B$4, $A810, Ledger!$C$2:$C$4, N$2)),"****")</f>
        <v/>
      </c>
      <c r="O810" t="str">
        <f>IFERROR(IF($C810="","",SUMIFS(Ledger!$K$2:$K$4, Ledger!$B$2:$B$4, $A810, Ledger!$C$2:$C$4, O$2)),"****")</f>
        <v/>
      </c>
      <c r="P810" t="str">
        <f>IFERROR(IF($C810="","",SUMIFS(Ledger!$K$2:$K$4, Ledger!$B$2:$B$4, $A810, Ledger!$C$2:$C$4, P$2)),"****")</f>
        <v/>
      </c>
      <c r="Q810" t="str">
        <f>IFERROR(IF($C810="","",SUMIFS(Ledger!$K$2:$K$4, Ledger!$B$2:$B$4, $A810, Ledger!$C$2:$C$4, Q$2)),"****")</f>
        <v/>
      </c>
      <c r="R810" t="str">
        <f>IFERROR(IF($C810="","",SUMIFS(Ledger!$K$2:$K$4, Ledger!$B$2:$B$4, $A810, Ledger!$C$2:$C$4, R$2)),"****")</f>
        <v/>
      </c>
      <c r="S810" t="str">
        <f>IFERROR(IF($C810="","",SUMIFS(Ledger!$K$2:$K$4, Ledger!$B$2:$B$4, $A810, Ledger!$C$2:$C$4, S$2)),"****")</f>
        <v/>
      </c>
      <c r="T810" t="str">
        <f>IFERROR(IF($C810="","",SUMIFS(Ledger!$K$2:$K$4, Ledger!$B$2:$B$4, $A810, Ledger!$C$2:$C$4, T$2)),"****")</f>
        <v/>
      </c>
      <c r="U810" t="str">
        <f>IFERROR(IF($C810="","",SUMIFS(Ledger!$K$2:$K$4, Ledger!$B$2:$B$4, $A810, Ledger!$C$2:$C$4, U$2)),"****")</f>
        <v/>
      </c>
      <c r="V810" t="str">
        <f>IFERROR(IF($C810="","",SUMIFS(Ledger!$K$2:$K$4, Ledger!$B$2:$B$4, $A810, Ledger!$C$2:$C$4, V$2)),"****")</f>
        <v/>
      </c>
      <c r="W810" t="str">
        <f>IFERROR(IF($C810="","",SUMIFS(Ledger!$K$2:$K$4, Ledger!$B$2:$B$4, $A810, Ledger!$C$2:$C$4, W$2)),"****")</f>
        <v/>
      </c>
      <c r="X810" t="str">
        <f>IFERROR(IF($C810="","",SUMIFS(Ledger!$K$2:$K$4, Ledger!$B$2:$B$4, $A810, Ledger!$C$2:$C$4, X$2)),"****")</f>
        <v/>
      </c>
    </row>
    <row r="811" spans="1:24" x14ac:dyDescent="0.3">
      <c r="A811" s="106">
        <v>809</v>
      </c>
      <c r="B811" t="str">
        <f>IFERROR(VLOOKUP($A811, Ledger!$B$2:$L$8, 3, 0),"")</f>
        <v/>
      </c>
      <c r="C811" t="str">
        <f>IFERROR(VLOOKUP($A811, Ledger!$B$2:$L$8, 4, 0),"")</f>
        <v/>
      </c>
      <c r="D811" t="str">
        <f>IFERROR(VLOOKUP($A811, Ledger!$B$2:$L$8, 5, 0),"")</f>
        <v/>
      </c>
      <c r="E811" t="str">
        <f>IFERROR(VLOOKUP($A811, Ledger!$B$2:$L$8, 6, 0),"")</f>
        <v/>
      </c>
      <c r="F811" t="str">
        <f>IFERROR(VLOOKUP($A811,'Student Data'!$A$2:$AR$6,32,0),"")</f>
        <v/>
      </c>
      <c r="G811" t="str">
        <f>IFERROR(VLOOKUP($A811,'Student Data'!$A$2:$AR$6,33,0),"")</f>
        <v/>
      </c>
      <c r="H811" t="str">
        <f>IFERROR(VLOOKUP($A811,'Student Data'!$A$2:$AR$6,34,0),"")</f>
        <v/>
      </c>
      <c r="I811" t="str">
        <f>IFERROR(VLOOKUP($A811,'Student Data'!$A$2:$AR$6,35,0),"")</f>
        <v/>
      </c>
      <c r="J811" t="str">
        <f>IFERROR(VLOOKUP($A811,'Student Data'!$A$2:$AR$6,36,0),"")</f>
        <v/>
      </c>
      <c r="K811" t="str">
        <f t="shared" si="24"/>
        <v/>
      </c>
      <c r="L811" t="str">
        <f t="shared" si="25"/>
        <v/>
      </c>
      <c r="M811" t="str">
        <f>IFERROR(IF($C811="","",SUMIFS(Ledger!$K$2:$K$4, Ledger!$B$2:$B$4, $A811, Ledger!$C$2:$C$4, M$2)),"****")</f>
        <v/>
      </c>
      <c r="N811" t="str">
        <f>IFERROR(IF($C811="","",SUMIFS(Ledger!$K$2:$K$4, Ledger!$B$2:$B$4, $A811, Ledger!$C$2:$C$4, N$2)),"****")</f>
        <v/>
      </c>
      <c r="O811" t="str">
        <f>IFERROR(IF($C811="","",SUMIFS(Ledger!$K$2:$K$4, Ledger!$B$2:$B$4, $A811, Ledger!$C$2:$C$4, O$2)),"****")</f>
        <v/>
      </c>
      <c r="P811" t="str">
        <f>IFERROR(IF($C811="","",SUMIFS(Ledger!$K$2:$K$4, Ledger!$B$2:$B$4, $A811, Ledger!$C$2:$C$4, P$2)),"****")</f>
        <v/>
      </c>
      <c r="Q811" t="str">
        <f>IFERROR(IF($C811="","",SUMIFS(Ledger!$K$2:$K$4, Ledger!$B$2:$B$4, $A811, Ledger!$C$2:$C$4, Q$2)),"****")</f>
        <v/>
      </c>
      <c r="R811" t="str">
        <f>IFERROR(IF($C811="","",SUMIFS(Ledger!$K$2:$K$4, Ledger!$B$2:$B$4, $A811, Ledger!$C$2:$C$4, R$2)),"****")</f>
        <v/>
      </c>
      <c r="S811" t="str">
        <f>IFERROR(IF($C811="","",SUMIFS(Ledger!$K$2:$K$4, Ledger!$B$2:$B$4, $A811, Ledger!$C$2:$C$4, S$2)),"****")</f>
        <v/>
      </c>
      <c r="T811" t="str">
        <f>IFERROR(IF($C811="","",SUMIFS(Ledger!$K$2:$K$4, Ledger!$B$2:$B$4, $A811, Ledger!$C$2:$C$4, T$2)),"****")</f>
        <v/>
      </c>
      <c r="U811" t="str">
        <f>IFERROR(IF($C811="","",SUMIFS(Ledger!$K$2:$K$4, Ledger!$B$2:$B$4, $A811, Ledger!$C$2:$C$4, U$2)),"****")</f>
        <v/>
      </c>
      <c r="V811" t="str">
        <f>IFERROR(IF($C811="","",SUMIFS(Ledger!$K$2:$K$4, Ledger!$B$2:$B$4, $A811, Ledger!$C$2:$C$4, V$2)),"****")</f>
        <v/>
      </c>
      <c r="W811" t="str">
        <f>IFERROR(IF($C811="","",SUMIFS(Ledger!$K$2:$K$4, Ledger!$B$2:$B$4, $A811, Ledger!$C$2:$C$4, W$2)),"****")</f>
        <v/>
      </c>
      <c r="X811" t="str">
        <f>IFERROR(IF($C811="","",SUMIFS(Ledger!$K$2:$K$4, Ledger!$B$2:$B$4, $A811, Ledger!$C$2:$C$4, X$2)),"****")</f>
        <v/>
      </c>
    </row>
    <row r="812" spans="1:24" x14ac:dyDescent="0.3">
      <c r="A812" s="106">
        <v>810</v>
      </c>
      <c r="B812" t="str">
        <f>IFERROR(VLOOKUP($A812, Ledger!$B$2:$L$8, 3, 0),"")</f>
        <v/>
      </c>
      <c r="C812" t="str">
        <f>IFERROR(VLOOKUP($A812, Ledger!$B$2:$L$8, 4, 0),"")</f>
        <v/>
      </c>
      <c r="D812" t="str">
        <f>IFERROR(VLOOKUP($A812, Ledger!$B$2:$L$8, 5, 0),"")</f>
        <v/>
      </c>
      <c r="E812" t="str">
        <f>IFERROR(VLOOKUP($A812, Ledger!$B$2:$L$8, 6, 0),"")</f>
        <v/>
      </c>
      <c r="F812" t="str">
        <f>IFERROR(VLOOKUP($A812,'Student Data'!$A$2:$AR$6,32,0),"")</f>
        <v/>
      </c>
      <c r="G812" t="str">
        <f>IFERROR(VLOOKUP($A812,'Student Data'!$A$2:$AR$6,33,0),"")</f>
        <v/>
      </c>
      <c r="H812" t="str">
        <f>IFERROR(VLOOKUP($A812,'Student Data'!$A$2:$AR$6,34,0),"")</f>
        <v/>
      </c>
      <c r="I812" t="str">
        <f>IFERROR(VLOOKUP($A812,'Student Data'!$A$2:$AR$6,35,0),"")</f>
        <v/>
      </c>
      <c r="J812" t="str">
        <f>IFERROR(VLOOKUP($A812,'Student Data'!$A$2:$AR$6,36,0),"")</f>
        <v/>
      </c>
      <c r="K812" t="str">
        <f t="shared" si="24"/>
        <v/>
      </c>
      <c r="L812" t="str">
        <f t="shared" si="25"/>
        <v/>
      </c>
      <c r="M812" t="str">
        <f>IFERROR(IF($C812="","",SUMIFS(Ledger!$K$2:$K$4, Ledger!$B$2:$B$4, $A812, Ledger!$C$2:$C$4, M$2)),"****")</f>
        <v/>
      </c>
      <c r="N812" t="str">
        <f>IFERROR(IF($C812="","",SUMIFS(Ledger!$K$2:$K$4, Ledger!$B$2:$B$4, $A812, Ledger!$C$2:$C$4, N$2)),"****")</f>
        <v/>
      </c>
      <c r="O812" t="str">
        <f>IFERROR(IF($C812="","",SUMIFS(Ledger!$K$2:$K$4, Ledger!$B$2:$B$4, $A812, Ledger!$C$2:$C$4, O$2)),"****")</f>
        <v/>
      </c>
      <c r="P812" t="str">
        <f>IFERROR(IF($C812="","",SUMIFS(Ledger!$K$2:$K$4, Ledger!$B$2:$B$4, $A812, Ledger!$C$2:$C$4, P$2)),"****")</f>
        <v/>
      </c>
      <c r="Q812" t="str">
        <f>IFERROR(IF($C812="","",SUMIFS(Ledger!$K$2:$K$4, Ledger!$B$2:$B$4, $A812, Ledger!$C$2:$C$4, Q$2)),"****")</f>
        <v/>
      </c>
      <c r="R812" t="str">
        <f>IFERROR(IF($C812="","",SUMIFS(Ledger!$K$2:$K$4, Ledger!$B$2:$B$4, $A812, Ledger!$C$2:$C$4, R$2)),"****")</f>
        <v/>
      </c>
      <c r="S812" t="str">
        <f>IFERROR(IF($C812="","",SUMIFS(Ledger!$K$2:$K$4, Ledger!$B$2:$B$4, $A812, Ledger!$C$2:$C$4, S$2)),"****")</f>
        <v/>
      </c>
      <c r="T812" t="str">
        <f>IFERROR(IF($C812="","",SUMIFS(Ledger!$K$2:$K$4, Ledger!$B$2:$B$4, $A812, Ledger!$C$2:$C$4, T$2)),"****")</f>
        <v/>
      </c>
      <c r="U812" t="str">
        <f>IFERROR(IF($C812="","",SUMIFS(Ledger!$K$2:$K$4, Ledger!$B$2:$B$4, $A812, Ledger!$C$2:$C$4, U$2)),"****")</f>
        <v/>
      </c>
      <c r="V812" t="str">
        <f>IFERROR(IF($C812="","",SUMIFS(Ledger!$K$2:$K$4, Ledger!$B$2:$B$4, $A812, Ledger!$C$2:$C$4, V$2)),"****")</f>
        <v/>
      </c>
      <c r="W812" t="str">
        <f>IFERROR(IF($C812="","",SUMIFS(Ledger!$K$2:$K$4, Ledger!$B$2:$B$4, $A812, Ledger!$C$2:$C$4, W$2)),"****")</f>
        <v/>
      </c>
      <c r="X812" t="str">
        <f>IFERROR(IF($C812="","",SUMIFS(Ledger!$K$2:$K$4, Ledger!$B$2:$B$4, $A812, Ledger!$C$2:$C$4, X$2)),"****")</f>
        <v/>
      </c>
    </row>
    <row r="813" spans="1:24" x14ac:dyDescent="0.3">
      <c r="A813" s="106">
        <v>811</v>
      </c>
      <c r="B813" t="str">
        <f>IFERROR(VLOOKUP($A813, Ledger!$B$2:$L$8, 3, 0),"")</f>
        <v/>
      </c>
      <c r="C813" t="str">
        <f>IFERROR(VLOOKUP($A813, Ledger!$B$2:$L$8, 4, 0),"")</f>
        <v/>
      </c>
      <c r="D813" t="str">
        <f>IFERROR(VLOOKUP($A813, Ledger!$B$2:$L$8, 5, 0),"")</f>
        <v/>
      </c>
      <c r="E813" t="str">
        <f>IFERROR(VLOOKUP($A813, Ledger!$B$2:$L$8, 6, 0),"")</f>
        <v/>
      </c>
      <c r="F813" t="str">
        <f>IFERROR(VLOOKUP($A813,'Student Data'!$A$2:$AR$6,32,0),"")</f>
        <v/>
      </c>
      <c r="G813" t="str">
        <f>IFERROR(VLOOKUP($A813,'Student Data'!$A$2:$AR$6,33,0),"")</f>
        <v/>
      </c>
      <c r="H813" t="str">
        <f>IFERROR(VLOOKUP($A813,'Student Data'!$A$2:$AR$6,34,0),"")</f>
        <v/>
      </c>
      <c r="I813" t="str">
        <f>IFERROR(VLOOKUP($A813,'Student Data'!$A$2:$AR$6,35,0),"")</f>
        <v/>
      </c>
      <c r="J813" t="str">
        <f>IFERROR(VLOOKUP($A813,'Student Data'!$A$2:$AR$6,36,0),"")</f>
        <v/>
      </c>
      <c r="K813" t="str">
        <f t="shared" si="24"/>
        <v/>
      </c>
      <c r="L813" t="str">
        <f t="shared" si="25"/>
        <v/>
      </c>
      <c r="M813" t="str">
        <f>IFERROR(IF($C813="","",SUMIFS(Ledger!$K$2:$K$4, Ledger!$B$2:$B$4, $A813, Ledger!$C$2:$C$4, M$2)),"****")</f>
        <v/>
      </c>
      <c r="N813" t="str">
        <f>IFERROR(IF($C813="","",SUMIFS(Ledger!$K$2:$K$4, Ledger!$B$2:$B$4, $A813, Ledger!$C$2:$C$4, N$2)),"****")</f>
        <v/>
      </c>
      <c r="O813" t="str">
        <f>IFERROR(IF($C813="","",SUMIFS(Ledger!$K$2:$K$4, Ledger!$B$2:$B$4, $A813, Ledger!$C$2:$C$4, O$2)),"****")</f>
        <v/>
      </c>
      <c r="P813" t="str">
        <f>IFERROR(IF($C813="","",SUMIFS(Ledger!$K$2:$K$4, Ledger!$B$2:$B$4, $A813, Ledger!$C$2:$C$4, P$2)),"****")</f>
        <v/>
      </c>
      <c r="Q813" t="str">
        <f>IFERROR(IF($C813="","",SUMIFS(Ledger!$K$2:$K$4, Ledger!$B$2:$B$4, $A813, Ledger!$C$2:$C$4, Q$2)),"****")</f>
        <v/>
      </c>
      <c r="R813" t="str">
        <f>IFERROR(IF($C813="","",SUMIFS(Ledger!$K$2:$K$4, Ledger!$B$2:$B$4, $A813, Ledger!$C$2:$C$4, R$2)),"****")</f>
        <v/>
      </c>
      <c r="S813" t="str">
        <f>IFERROR(IF($C813="","",SUMIFS(Ledger!$K$2:$K$4, Ledger!$B$2:$B$4, $A813, Ledger!$C$2:$C$4, S$2)),"****")</f>
        <v/>
      </c>
      <c r="T813" t="str">
        <f>IFERROR(IF($C813="","",SUMIFS(Ledger!$K$2:$K$4, Ledger!$B$2:$B$4, $A813, Ledger!$C$2:$C$4, T$2)),"****")</f>
        <v/>
      </c>
      <c r="U813" t="str">
        <f>IFERROR(IF($C813="","",SUMIFS(Ledger!$K$2:$K$4, Ledger!$B$2:$B$4, $A813, Ledger!$C$2:$C$4, U$2)),"****")</f>
        <v/>
      </c>
      <c r="V813" t="str">
        <f>IFERROR(IF($C813="","",SUMIFS(Ledger!$K$2:$K$4, Ledger!$B$2:$B$4, $A813, Ledger!$C$2:$C$4, V$2)),"****")</f>
        <v/>
      </c>
      <c r="W813" t="str">
        <f>IFERROR(IF($C813="","",SUMIFS(Ledger!$K$2:$K$4, Ledger!$B$2:$B$4, $A813, Ledger!$C$2:$C$4, W$2)),"****")</f>
        <v/>
      </c>
      <c r="X813" t="str">
        <f>IFERROR(IF($C813="","",SUMIFS(Ledger!$K$2:$K$4, Ledger!$B$2:$B$4, $A813, Ledger!$C$2:$C$4, X$2)),"****")</f>
        <v/>
      </c>
    </row>
    <row r="814" spans="1:24" x14ac:dyDescent="0.3">
      <c r="A814" s="106">
        <v>812</v>
      </c>
      <c r="B814" t="str">
        <f>IFERROR(VLOOKUP($A814, Ledger!$B$2:$L$8, 3, 0),"")</f>
        <v/>
      </c>
      <c r="C814" t="str">
        <f>IFERROR(VLOOKUP($A814, Ledger!$B$2:$L$8, 4, 0),"")</f>
        <v/>
      </c>
      <c r="D814" t="str">
        <f>IFERROR(VLOOKUP($A814, Ledger!$B$2:$L$8, 5, 0),"")</f>
        <v/>
      </c>
      <c r="E814" t="str">
        <f>IFERROR(VLOOKUP($A814, Ledger!$B$2:$L$8, 6, 0),"")</f>
        <v/>
      </c>
      <c r="F814" t="str">
        <f>IFERROR(VLOOKUP($A814,'Student Data'!$A$2:$AR$6,32,0),"")</f>
        <v/>
      </c>
      <c r="G814" t="str">
        <f>IFERROR(VLOOKUP($A814,'Student Data'!$A$2:$AR$6,33,0),"")</f>
        <v/>
      </c>
      <c r="H814" t="str">
        <f>IFERROR(VLOOKUP($A814,'Student Data'!$A$2:$AR$6,34,0),"")</f>
        <v/>
      </c>
      <c r="I814" t="str">
        <f>IFERROR(VLOOKUP($A814,'Student Data'!$A$2:$AR$6,35,0),"")</f>
        <v/>
      </c>
      <c r="J814" t="str">
        <f>IFERROR(VLOOKUP($A814,'Student Data'!$A$2:$AR$6,36,0),"")</f>
        <v/>
      </c>
      <c r="K814" t="str">
        <f t="shared" si="24"/>
        <v/>
      </c>
      <c r="L814" t="str">
        <f t="shared" si="25"/>
        <v/>
      </c>
      <c r="M814" t="str">
        <f>IFERROR(IF($C814="","",SUMIFS(Ledger!$K$2:$K$4, Ledger!$B$2:$B$4, $A814, Ledger!$C$2:$C$4, M$2)),"****")</f>
        <v/>
      </c>
      <c r="N814" t="str">
        <f>IFERROR(IF($C814="","",SUMIFS(Ledger!$K$2:$K$4, Ledger!$B$2:$B$4, $A814, Ledger!$C$2:$C$4, N$2)),"****")</f>
        <v/>
      </c>
      <c r="O814" t="str">
        <f>IFERROR(IF($C814="","",SUMIFS(Ledger!$K$2:$K$4, Ledger!$B$2:$B$4, $A814, Ledger!$C$2:$C$4, O$2)),"****")</f>
        <v/>
      </c>
      <c r="P814" t="str">
        <f>IFERROR(IF($C814="","",SUMIFS(Ledger!$K$2:$K$4, Ledger!$B$2:$B$4, $A814, Ledger!$C$2:$C$4, P$2)),"****")</f>
        <v/>
      </c>
      <c r="Q814" t="str">
        <f>IFERROR(IF($C814="","",SUMIFS(Ledger!$K$2:$K$4, Ledger!$B$2:$B$4, $A814, Ledger!$C$2:$C$4, Q$2)),"****")</f>
        <v/>
      </c>
      <c r="R814" t="str">
        <f>IFERROR(IF($C814="","",SUMIFS(Ledger!$K$2:$K$4, Ledger!$B$2:$B$4, $A814, Ledger!$C$2:$C$4, R$2)),"****")</f>
        <v/>
      </c>
      <c r="S814" t="str">
        <f>IFERROR(IF($C814="","",SUMIFS(Ledger!$K$2:$K$4, Ledger!$B$2:$B$4, $A814, Ledger!$C$2:$C$4, S$2)),"****")</f>
        <v/>
      </c>
      <c r="T814" t="str">
        <f>IFERROR(IF($C814="","",SUMIFS(Ledger!$K$2:$K$4, Ledger!$B$2:$B$4, $A814, Ledger!$C$2:$C$4, T$2)),"****")</f>
        <v/>
      </c>
      <c r="U814" t="str">
        <f>IFERROR(IF($C814="","",SUMIFS(Ledger!$K$2:$K$4, Ledger!$B$2:$B$4, $A814, Ledger!$C$2:$C$4, U$2)),"****")</f>
        <v/>
      </c>
      <c r="V814" t="str">
        <f>IFERROR(IF($C814="","",SUMIFS(Ledger!$K$2:$K$4, Ledger!$B$2:$B$4, $A814, Ledger!$C$2:$C$4, V$2)),"****")</f>
        <v/>
      </c>
      <c r="W814" t="str">
        <f>IFERROR(IF($C814="","",SUMIFS(Ledger!$K$2:$K$4, Ledger!$B$2:$B$4, $A814, Ledger!$C$2:$C$4, W$2)),"****")</f>
        <v/>
      </c>
      <c r="X814" t="str">
        <f>IFERROR(IF($C814="","",SUMIFS(Ledger!$K$2:$K$4, Ledger!$B$2:$B$4, $A814, Ledger!$C$2:$C$4, X$2)),"****")</f>
        <v/>
      </c>
    </row>
    <row r="815" spans="1:24" x14ac:dyDescent="0.3">
      <c r="A815" s="106">
        <v>813</v>
      </c>
      <c r="B815" t="str">
        <f>IFERROR(VLOOKUP($A815, Ledger!$B$2:$L$8, 3, 0),"")</f>
        <v/>
      </c>
      <c r="C815" t="str">
        <f>IFERROR(VLOOKUP($A815, Ledger!$B$2:$L$8, 4, 0),"")</f>
        <v/>
      </c>
      <c r="D815" t="str">
        <f>IFERROR(VLOOKUP($A815, Ledger!$B$2:$L$8, 5, 0),"")</f>
        <v/>
      </c>
      <c r="E815" t="str">
        <f>IFERROR(VLOOKUP($A815, Ledger!$B$2:$L$8, 6, 0),"")</f>
        <v/>
      </c>
      <c r="F815" t="str">
        <f>IFERROR(VLOOKUP($A815,'Student Data'!$A$2:$AR$6,32,0),"")</f>
        <v/>
      </c>
      <c r="G815" t="str">
        <f>IFERROR(VLOOKUP($A815,'Student Data'!$A$2:$AR$6,33,0),"")</f>
        <v/>
      </c>
      <c r="H815" t="str">
        <f>IFERROR(VLOOKUP($A815,'Student Data'!$A$2:$AR$6,34,0),"")</f>
        <v/>
      </c>
      <c r="I815" t="str">
        <f>IFERROR(VLOOKUP($A815,'Student Data'!$A$2:$AR$6,35,0),"")</f>
        <v/>
      </c>
      <c r="J815" t="str">
        <f>IFERROR(VLOOKUP($A815,'Student Data'!$A$2:$AR$6,36,0),"")</f>
        <v/>
      </c>
      <c r="K815" t="str">
        <f t="shared" si="24"/>
        <v/>
      </c>
      <c r="L815" t="str">
        <f t="shared" si="25"/>
        <v/>
      </c>
      <c r="M815" t="str">
        <f>IFERROR(IF($C815="","",SUMIFS(Ledger!$K$2:$K$4, Ledger!$B$2:$B$4, $A815, Ledger!$C$2:$C$4, M$2)),"****")</f>
        <v/>
      </c>
      <c r="N815" t="str">
        <f>IFERROR(IF($C815="","",SUMIFS(Ledger!$K$2:$K$4, Ledger!$B$2:$B$4, $A815, Ledger!$C$2:$C$4, N$2)),"****")</f>
        <v/>
      </c>
      <c r="O815" t="str">
        <f>IFERROR(IF($C815="","",SUMIFS(Ledger!$K$2:$K$4, Ledger!$B$2:$B$4, $A815, Ledger!$C$2:$C$4, O$2)),"****")</f>
        <v/>
      </c>
      <c r="P815" t="str">
        <f>IFERROR(IF($C815="","",SUMIFS(Ledger!$K$2:$K$4, Ledger!$B$2:$B$4, $A815, Ledger!$C$2:$C$4, P$2)),"****")</f>
        <v/>
      </c>
      <c r="Q815" t="str">
        <f>IFERROR(IF($C815="","",SUMIFS(Ledger!$K$2:$K$4, Ledger!$B$2:$B$4, $A815, Ledger!$C$2:$C$4, Q$2)),"****")</f>
        <v/>
      </c>
      <c r="R815" t="str">
        <f>IFERROR(IF($C815="","",SUMIFS(Ledger!$K$2:$K$4, Ledger!$B$2:$B$4, $A815, Ledger!$C$2:$C$4, R$2)),"****")</f>
        <v/>
      </c>
      <c r="S815" t="str">
        <f>IFERROR(IF($C815="","",SUMIFS(Ledger!$K$2:$K$4, Ledger!$B$2:$B$4, $A815, Ledger!$C$2:$C$4, S$2)),"****")</f>
        <v/>
      </c>
      <c r="T815" t="str">
        <f>IFERROR(IF($C815="","",SUMIFS(Ledger!$K$2:$K$4, Ledger!$B$2:$B$4, $A815, Ledger!$C$2:$C$4, T$2)),"****")</f>
        <v/>
      </c>
      <c r="U815" t="str">
        <f>IFERROR(IF($C815="","",SUMIFS(Ledger!$K$2:$K$4, Ledger!$B$2:$B$4, $A815, Ledger!$C$2:$C$4, U$2)),"****")</f>
        <v/>
      </c>
      <c r="V815" t="str">
        <f>IFERROR(IF($C815="","",SUMIFS(Ledger!$K$2:$K$4, Ledger!$B$2:$B$4, $A815, Ledger!$C$2:$C$4, V$2)),"****")</f>
        <v/>
      </c>
      <c r="W815" t="str">
        <f>IFERROR(IF($C815="","",SUMIFS(Ledger!$K$2:$K$4, Ledger!$B$2:$B$4, $A815, Ledger!$C$2:$C$4, W$2)),"****")</f>
        <v/>
      </c>
      <c r="X815" t="str">
        <f>IFERROR(IF($C815="","",SUMIFS(Ledger!$K$2:$K$4, Ledger!$B$2:$B$4, $A815, Ledger!$C$2:$C$4, X$2)),"****")</f>
        <v/>
      </c>
    </row>
    <row r="816" spans="1:24" x14ac:dyDescent="0.3">
      <c r="A816" s="106">
        <v>814</v>
      </c>
      <c r="B816" t="str">
        <f>IFERROR(VLOOKUP($A816, Ledger!$B$2:$L$8, 3, 0),"")</f>
        <v/>
      </c>
      <c r="C816" t="str">
        <f>IFERROR(VLOOKUP($A816, Ledger!$B$2:$L$8, 4, 0),"")</f>
        <v/>
      </c>
      <c r="D816" t="str">
        <f>IFERROR(VLOOKUP($A816, Ledger!$B$2:$L$8, 5, 0),"")</f>
        <v/>
      </c>
      <c r="E816" t="str">
        <f>IFERROR(VLOOKUP($A816, Ledger!$B$2:$L$8, 6, 0),"")</f>
        <v/>
      </c>
      <c r="F816" t="str">
        <f>IFERROR(VLOOKUP($A816,'Student Data'!$A$2:$AR$6,32,0),"")</f>
        <v/>
      </c>
      <c r="G816" t="str">
        <f>IFERROR(VLOOKUP($A816,'Student Data'!$A$2:$AR$6,33,0),"")</f>
        <v/>
      </c>
      <c r="H816" t="str">
        <f>IFERROR(VLOOKUP($A816,'Student Data'!$A$2:$AR$6,34,0),"")</f>
        <v/>
      </c>
      <c r="I816" t="str">
        <f>IFERROR(VLOOKUP($A816,'Student Data'!$A$2:$AR$6,35,0),"")</f>
        <v/>
      </c>
      <c r="J816" t="str">
        <f>IFERROR(VLOOKUP($A816,'Student Data'!$A$2:$AR$6,36,0),"")</f>
        <v/>
      </c>
      <c r="K816" t="str">
        <f t="shared" si="24"/>
        <v/>
      </c>
      <c r="L816" t="str">
        <f t="shared" si="25"/>
        <v/>
      </c>
      <c r="M816" t="str">
        <f>IFERROR(IF($C816="","",SUMIFS(Ledger!$K$2:$K$4, Ledger!$B$2:$B$4, $A816, Ledger!$C$2:$C$4, M$2)),"****")</f>
        <v/>
      </c>
      <c r="N816" t="str">
        <f>IFERROR(IF($C816="","",SUMIFS(Ledger!$K$2:$K$4, Ledger!$B$2:$B$4, $A816, Ledger!$C$2:$C$4, N$2)),"****")</f>
        <v/>
      </c>
      <c r="O816" t="str">
        <f>IFERROR(IF($C816="","",SUMIFS(Ledger!$K$2:$K$4, Ledger!$B$2:$B$4, $A816, Ledger!$C$2:$C$4, O$2)),"****")</f>
        <v/>
      </c>
      <c r="P816" t="str">
        <f>IFERROR(IF($C816="","",SUMIFS(Ledger!$K$2:$K$4, Ledger!$B$2:$B$4, $A816, Ledger!$C$2:$C$4, P$2)),"****")</f>
        <v/>
      </c>
      <c r="Q816" t="str">
        <f>IFERROR(IF($C816="","",SUMIFS(Ledger!$K$2:$K$4, Ledger!$B$2:$B$4, $A816, Ledger!$C$2:$C$4, Q$2)),"****")</f>
        <v/>
      </c>
      <c r="R816" t="str">
        <f>IFERROR(IF($C816="","",SUMIFS(Ledger!$K$2:$K$4, Ledger!$B$2:$B$4, $A816, Ledger!$C$2:$C$4, R$2)),"****")</f>
        <v/>
      </c>
      <c r="S816" t="str">
        <f>IFERROR(IF($C816="","",SUMIFS(Ledger!$K$2:$K$4, Ledger!$B$2:$B$4, $A816, Ledger!$C$2:$C$4, S$2)),"****")</f>
        <v/>
      </c>
      <c r="T816" t="str">
        <f>IFERROR(IF($C816="","",SUMIFS(Ledger!$K$2:$K$4, Ledger!$B$2:$B$4, $A816, Ledger!$C$2:$C$4, T$2)),"****")</f>
        <v/>
      </c>
      <c r="U816" t="str">
        <f>IFERROR(IF($C816="","",SUMIFS(Ledger!$K$2:$K$4, Ledger!$B$2:$B$4, $A816, Ledger!$C$2:$C$4, U$2)),"****")</f>
        <v/>
      </c>
      <c r="V816" t="str">
        <f>IFERROR(IF($C816="","",SUMIFS(Ledger!$K$2:$K$4, Ledger!$B$2:$B$4, $A816, Ledger!$C$2:$C$4, V$2)),"****")</f>
        <v/>
      </c>
      <c r="W816" t="str">
        <f>IFERROR(IF($C816="","",SUMIFS(Ledger!$K$2:$K$4, Ledger!$B$2:$B$4, $A816, Ledger!$C$2:$C$4, W$2)),"****")</f>
        <v/>
      </c>
      <c r="X816" t="str">
        <f>IFERROR(IF($C816="","",SUMIFS(Ledger!$K$2:$K$4, Ledger!$B$2:$B$4, $A816, Ledger!$C$2:$C$4, X$2)),"****")</f>
        <v/>
      </c>
    </row>
    <row r="817" spans="1:24" x14ac:dyDescent="0.3">
      <c r="A817" s="106">
        <v>815</v>
      </c>
      <c r="B817" t="str">
        <f>IFERROR(VLOOKUP($A817, Ledger!$B$2:$L$8, 3, 0),"")</f>
        <v/>
      </c>
      <c r="C817" t="str">
        <f>IFERROR(VLOOKUP($A817, Ledger!$B$2:$L$8, 4, 0),"")</f>
        <v/>
      </c>
      <c r="D817" t="str">
        <f>IFERROR(VLOOKUP($A817, Ledger!$B$2:$L$8, 5, 0),"")</f>
        <v/>
      </c>
      <c r="E817" t="str">
        <f>IFERROR(VLOOKUP($A817, Ledger!$B$2:$L$8, 6, 0),"")</f>
        <v/>
      </c>
      <c r="F817" t="str">
        <f>IFERROR(VLOOKUP($A817,'Student Data'!$A$2:$AR$6,32,0),"")</f>
        <v/>
      </c>
      <c r="G817" t="str">
        <f>IFERROR(VLOOKUP($A817,'Student Data'!$A$2:$AR$6,33,0),"")</f>
        <v/>
      </c>
      <c r="H817" t="str">
        <f>IFERROR(VLOOKUP($A817,'Student Data'!$A$2:$AR$6,34,0),"")</f>
        <v/>
      </c>
      <c r="I817" t="str">
        <f>IFERROR(VLOOKUP($A817,'Student Data'!$A$2:$AR$6,35,0),"")</f>
        <v/>
      </c>
      <c r="J817" t="str">
        <f>IFERROR(VLOOKUP($A817,'Student Data'!$A$2:$AR$6,36,0),"")</f>
        <v/>
      </c>
      <c r="K817" t="str">
        <f t="shared" si="24"/>
        <v/>
      </c>
      <c r="L817" t="str">
        <f t="shared" si="25"/>
        <v/>
      </c>
      <c r="M817" t="str">
        <f>IFERROR(IF($C817="","",SUMIFS(Ledger!$K$2:$K$4, Ledger!$B$2:$B$4, $A817, Ledger!$C$2:$C$4, M$2)),"****")</f>
        <v/>
      </c>
      <c r="N817" t="str">
        <f>IFERROR(IF($C817="","",SUMIFS(Ledger!$K$2:$K$4, Ledger!$B$2:$B$4, $A817, Ledger!$C$2:$C$4, N$2)),"****")</f>
        <v/>
      </c>
      <c r="O817" t="str">
        <f>IFERROR(IF($C817="","",SUMIFS(Ledger!$K$2:$K$4, Ledger!$B$2:$B$4, $A817, Ledger!$C$2:$C$4, O$2)),"****")</f>
        <v/>
      </c>
      <c r="P817" t="str">
        <f>IFERROR(IF($C817="","",SUMIFS(Ledger!$K$2:$K$4, Ledger!$B$2:$B$4, $A817, Ledger!$C$2:$C$4, P$2)),"****")</f>
        <v/>
      </c>
      <c r="Q817" t="str">
        <f>IFERROR(IF($C817="","",SUMIFS(Ledger!$K$2:$K$4, Ledger!$B$2:$B$4, $A817, Ledger!$C$2:$C$4, Q$2)),"****")</f>
        <v/>
      </c>
      <c r="R817" t="str">
        <f>IFERROR(IF($C817="","",SUMIFS(Ledger!$K$2:$K$4, Ledger!$B$2:$B$4, $A817, Ledger!$C$2:$C$4, R$2)),"****")</f>
        <v/>
      </c>
      <c r="S817" t="str">
        <f>IFERROR(IF($C817="","",SUMIFS(Ledger!$K$2:$K$4, Ledger!$B$2:$B$4, $A817, Ledger!$C$2:$C$4, S$2)),"****")</f>
        <v/>
      </c>
      <c r="T817" t="str">
        <f>IFERROR(IF($C817="","",SUMIFS(Ledger!$K$2:$K$4, Ledger!$B$2:$B$4, $A817, Ledger!$C$2:$C$4, T$2)),"****")</f>
        <v/>
      </c>
      <c r="U817" t="str">
        <f>IFERROR(IF($C817="","",SUMIFS(Ledger!$K$2:$K$4, Ledger!$B$2:$B$4, $A817, Ledger!$C$2:$C$4, U$2)),"****")</f>
        <v/>
      </c>
      <c r="V817" t="str">
        <f>IFERROR(IF($C817="","",SUMIFS(Ledger!$K$2:$K$4, Ledger!$B$2:$B$4, $A817, Ledger!$C$2:$C$4, V$2)),"****")</f>
        <v/>
      </c>
      <c r="W817" t="str">
        <f>IFERROR(IF($C817="","",SUMIFS(Ledger!$K$2:$K$4, Ledger!$B$2:$B$4, $A817, Ledger!$C$2:$C$4, W$2)),"****")</f>
        <v/>
      </c>
      <c r="X817" t="str">
        <f>IFERROR(IF($C817="","",SUMIFS(Ledger!$K$2:$K$4, Ledger!$B$2:$B$4, $A817, Ledger!$C$2:$C$4, X$2)),"****")</f>
        <v/>
      </c>
    </row>
    <row r="818" spans="1:24" x14ac:dyDescent="0.3">
      <c r="A818" s="106">
        <v>816</v>
      </c>
      <c r="B818" t="str">
        <f>IFERROR(VLOOKUP($A818, Ledger!$B$2:$L$8, 3, 0),"")</f>
        <v/>
      </c>
      <c r="C818" t="str">
        <f>IFERROR(VLOOKUP($A818, Ledger!$B$2:$L$8, 4, 0),"")</f>
        <v/>
      </c>
      <c r="D818" t="str">
        <f>IFERROR(VLOOKUP($A818, Ledger!$B$2:$L$8, 5, 0),"")</f>
        <v/>
      </c>
      <c r="E818" t="str">
        <f>IFERROR(VLOOKUP($A818, Ledger!$B$2:$L$8, 6, 0),"")</f>
        <v/>
      </c>
      <c r="F818" t="str">
        <f>IFERROR(VLOOKUP($A818,'Student Data'!$A$2:$AR$6,32,0),"")</f>
        <v/>
      </c>
      <c r="G818" t="str">
        <f>IFERROR(VLOOKUP($A818,'Student Data'!$A$2:$AR$6,33,0),"")</f>
        <v/>
      </c>
      <c r="H818" t="str">
        <f>IFERROR(VLOOKUP($A818,'Student Data'!$A$2:$AR$6,34,0),"")</f>
        <v/>
      </c>
      <c r="I818" t="str">
        <f>IFERROR(VLOOKUP($A818,'Student Data'!$A$2:$AR$6,35,0),"")</f>
        <v/>
      </c>
      <c r="J818" t="str">
        <f>IFERROR(VLOOKUP($A818,'Student Data'!$A$2:$AR$6,36,0),"")</f>
        <v/>
      </c>
      <c r="K818" t="str">
        <f t="shared" si="24"/>
        <v/>
      </c>
      <c r="L818" t="str">
        <f t="shared" si="25"/>
        <v/>
      </c>
      <c r="M818" t="str">
        <f>IFERROR(IF($C818="","",SUMIFS(Ledger!$K$2:$K$4, Ledger!$B$2:$B$4, $A818, Ledger!$C$2:$C$4, M$2)),"****")</f>
        <v/>
      </c>
      <c r="N818" t="str">
        <f>IFERROR(IF($C818="","",SUMIFS(Ledger!$K$2:$K$4, Ledger!$B$2:$B$4, $A818, Ledger!$C$2:$C$4, N$2)),"****")</f>
        <v/>
      </c>
      <c r="O818" t="str">
        <f>IFERROR(IF($C818="","",SUMIFS(Ledger!$K$2:$K$4, Ledger!$B$2:$B$4, $A818, Ledger!$C$2:$C$4, O$2)),"****")</f>
        <v/>
      </c>
      <c r="P818" t="str">
        <f>IFERROR(IF($C818="","",SUMIFS(Ledger!$K$2:$K$4, Ledger!$B$2:$B$4, $A818, Ledger!$C$2:$C$4, P$2)),"****")</f>
        <v/>
      </c>
      <c r="Q818" t="str">
        <f>IFERROR(IF($C818="","",SUMIFS(Ledger!$K$2:$K$4, Ledger!$B$2:$B$4, $A818, Ledger!$C$2:$C$4, Q$2)),"****")</f>
        <v/>
      </c>
      <c r="R818" t="str">
        <f>IFERROR(IF($C818="","",SUMIFS(Ledger!$K$2:$K$4, Ledger!$B$2:$B$4, $A818, Ledger!$C$2:$C$4, R$2)),"****")</f>
        <v/>
      </c>
      <c r="S818" t="str">
        <f>IFERROR(IF($C818="","",SUMIFS(Ledger!$K$2:$K$4, Ledger!$B$2:$B$4, $A818, Ledger!$C$2:$C$4, S$2)),"****")</f>
        <v/>
      </c>
      <c r="T818" t="str">
        <f>IFERROR(IF($C818="","",SUMIFS(Ledger!$K$2:$K$4, Ledger!$B$2:$B$4, $A818, Ledger!$C$2:$C$4, T$2)),"****")</f>
        <v/>
      </c>
      <c r="U818" t="str">
        <f>IFERROR(IF($C818="","",SUMIFS(Ledger!$K$2:$K$4, Ledger!$B$2:$B$4, $A818, Ledger!$C$2:$C$4, U$2)),"****")</f>
        <v/>
      </c>
      <c r="V818" t="str">
        <f>IFERROR(IF($C818="","",SUMIFS(Ledger!$K$2:$K$4, Ledger!$B$2:$B$4, $A818, Ledger!$C$2:$C$4, V$2)),"****")</f>
        <v/>
      </c>
      <c r="W818" t="str">
        <f>IFERROR(IF($C818="","",SUMIFS(Ledger!$K$2:$K$4, Ledger!$B$2:$B$4, $A818, Ledger!$C$2:$C$4, W$2)),"****")</f>
        <v/>
      </c>
      <c r="X818" t="str">
        <f>IFERROR(IF($C818="","",SUMIFS(Ledger!$K$2:$K$4, Ledger!$B$2:$B$4, $A818, Ledger!$C$2:$C$4, X$2)),"****")</f>
        <v/>
      </c>
    </row>
    <row r="819" spans="1:24" x14ac:dyDescent="0.3">
      <c r="A819" s="106">
        <v>817</v>
      </c>
      <c r="B819" t="str">
        <f>IFERROR(VLOOKUP($A819, Ledger!$B$2:$L$8, 3, 0),"")</f>
        <v/>
      </c>
      <c r="C819" t="str">
        <f>IFERROR(VLOOKUP($A819, Ledger!$B$2:$L$8, 4, 0),"")</f>
        <v/>
      </c>
      <c r="D819" t="str">
        <f>IFERROR(VLOOKUP($A819, Ledger!$B$2:$L$8, 5, 0),"")</f>
        <v/>
      </c>
      <c r="E819" t="str">
        <f>IFERROR(VLOOKUP($A819, Ledger!$B$2:$L$8, 6, 0),"")</f>
        <v/>
      </c>
      <c r="F819" t="str">
        <f>IFERROR(VLOOKUP($A819,'Student Data'!$A$2:$AR$6,32,0),"")</f>
        <v/>
      </c>
      <c r="G819" t="str">
        <f>IFERROR(VLOOKUP($A819,'Student Data'!$A$2:$AR$6,33,0),"")</f>
        <v/>
      </c>
      <c r="H819" t="str">
        <f>IFERROR(VLOOKUP($A819,'Student Data'!$A$2:$AR$6,34,0),"")</f>
        <v/>
      </c>
      <c r="I819" t="str">
        <f>IFERROR(VLOOKUP($A819,'Student Data'!$A$2:$AR$6,35,0),"")</f>
        <v/>
      </c>
      <c r="J819" t="str">
        <f>IFERROR(VLOOKUP($A819,'Student Data'!$A$2:$AR$6,36,0),"")</f>
        <v/>
      </c>
      <c r="K819" t="str">
        <f t="shared" si="24"/>
        <v/>
      </c>
      <c r="L819" t="str">
        <f t="shared" si="25"/>
        <v/>
      </c>
      <c r="M819" t="str">
        <f>IFERROR(IF($C819="","",SUMIFS(Ledger!$K$2:$K$4, Ledger!$B$2:$B$4, $A819, Ledger!$C$2:$C$4, M$2)),"****")</f>
        <v/>
      </c>
      <c r="N819" t="str">
        <f>IFERROR(IF($C819="","",SUMIFS(Ledger!$K$2:$K$4, Ledger!$B$2:$B$4, $A819, Ledger!$C$2:$C$4, N$2)),"****")</f>
        <v/>
      </c>
      <c r="O819" t="str">
        <f>IFERROR(IF($C819="","",SUMIFS(Ledger!$K$2:$K$4, Ledger!$B$2:$B$4, $A819, Ledger!$C$2:$C$4, O$2)),"****")</f>
        <v/>
      </c>
      <c r="P819" t="str">
        <f>IFERROR(IF($C819="","",SUMIFS(Ledger!$K$2:$K$4, Ledger!$B$2:$B$4, $A819, Ledger!$C$2:$C$4, P$2)),"****")</f>
        <v/>
      </c>
      <c r="Q819" t="str">
        <f>IFERROR(IF($C819="","",SUMIFS(Ledger!$K$2:$K$4, Ledger!$B$2:$B$4, $A819, Ledger!$C$2:$C$4, Q$2)),"****")</f>
        <v/>
      </c>
      <c r="R819" t="str">
        <f>IFERROR(IF($C819="","",SUMIFS(Ledger!$K$2:$K$4, Ledger!$B$2:$B$4, $A819, Ledger!$C$2:$C$4, R$2)),"****")</f>
        <v/>
      </c>
      <c r="S819" t="str">
        <f>IFERROR(IF($C819="","",SUMIFS(Ledger!$K$2:$K$4, Ledger!$B$2:$B$4, $A819, Ledger!$C$2:$C$4, S$2)),"****")</f>
        <v/>
      </c>
      <c r="T819" t="str">
        <f>IFERROR(IF($C819="","",SUMIFS(Ledger!$K$2:$K$4, Ledger!$B$2:$B$4, $A819, Ledger!$C$2:$C$4, T$2)),"****")</f>
        <v/>
      </c>
      <c r="U819" t="str">
        <f>IFERROR(IF($C819="","",SUMIFS(Ledger!$K$2:$K$4, Ledger!$B$2:$B$4, $A819, Ledger!$C$2:$C$4, U$2)),"****")</f>
        <v/>
      </c>
      <c r="V819" t="str">
        <f>IFERROR(IF($C819="","",SUMIFS(Ledger!$K$2:$K$4, Ledger!$B$2:$B$4, $A819, Ledger!$C$2:$C$4, V$2)),"****")</f>
        <v/>
      </c>
      <c r="W819" t="str">
        <f>IFERROR(IF($C819="","",SUMIFS(Ledger!$K$2:$K$4, Ledger!$B$2:$B$4, $A819, Ledger!$C$2:$C$4, W$2)),"****")</f>
        <v/>
      </c>
      <c r="X819" t="str">
        <f>IFERROR(IF($C819="","",SUMIFS(Ledger!$K$2:$K$4, Ledger!$B$2:$B$4, $A819, Ledger!$C$2:$C$4, X$2)),"****")</f>
        <v/>
      </c>
    </row>
    <row r="820" spans="1:24" x14ac:dyDescent="0.3">
      <c r="A820" s="106">
        <v>818</v>
      </c>
      <c r="B820" t="str">
        <f>IFERROR(VLOOKUP($A820, Ledger!$B$2:$L$8, 3, 0),"")</f>
        <v/>
      </c>
      <c r="C820" t="str">
        <f>IFERROR(VLOOKUP($A820, Ledger!$B$2:$L$8, 4, 0),"")</f>
        <v/>
      </c>
      <c r="D820" t="str">
        <f>IFERROR(VLOOKUP($A820, Ledger!$B$2:$L$8, 5, 0),"")</f>
        <v/>
      </c>
      <c r="E820" t="str">
        <f>IFERROR(VLOOKUP($A820, Ledger!$B$2:$L$8, 6, 0),"")</f>
        <v/>
      </c>
      <c r="F820" t="str">
        <f>IFERROR(VLOOKUP($A820,'Student Data'!$A$2:$AR$6,32,0),"")</f>
        <v/>
      </c>
      <c r="G820" t="str">
        <f>IFERROR(VLOOKUP($A820,'Student Data'!$A$2:$AR$6,33,0),"")</f>
        <v/>
      </c>
      <c r="H820" t="str">
        <f>IFERROR(VLOOKUP($A820,'Student Data'!$A$2:$AR$6,34,0),"")</f>
        <v/>
      </c>
      <c r="I820" t="str">
        <f>IFERROR(VLOOKUP($A820,'Student Data'!$A$2:$AR$6,35,0),"")</f>
        <v/>
      </c>
      <c r="J820" t="str">
        <f>IFERROR(VLOOKUP($A820,'Student Data'!$A$2:$AR$6,36,0),"")</f>
        <v/>
      </c>
      <c r="K820" t="str">
        <f t="shared" si="24"/>
        <v/>
      </c>
      <c r="L820" t="str">
        <f t="shared" si="25"/>
        <v/>
      </c>
      <c r="M820" t="str">
        <f>IFERROR(IF($C820="","",SUMIFS(Ledger!$K$2:$K$4, Ledger!$B$2:$B$4, $A820, Ledger!$C$2:$C$4, M$2)),"****")</f>
        <v/>
      </c>
      <c r="N820" t="str">
        <f>IFERROR(IF($C820="","",SUMIFS(Ledger!$K$2:$K$4, Ledger!$B$2:$B$4, $A820, Ledger!$C$2:$C$4, N$2)),"****")</f>
        <v/>
      </c>
      <c r="O820" t="str">
        <f>IFERROR(IF($C820="","",SUMIFS(Ledger!$K$2:$K$4, Ledger!$B$2:$B$4, $A820, Ledger!$C$2:$C$4, O$2)),"****")</f>
        <v/>
      </c>
      <c r="P820" t="str">
        <f>IFERROR(IF($C820="","",SUMIFS(Ledger!$K$2:$K$4, Ledger!$B$2:$B$4, $A820, Ledger!$C$2:$C$4, P$2)),"****")</f>
        <v/>
      </c>
      <c r="Q820" t="str">
        <f>IFERROR(IF($C820="","",SUMIFS(Ledger!$K$2:$K$4, Ledger!$B$2:$B$4, $A820, Ledger!$C$2:$C$4, Q$2)),"****")</f>
        <v/>
      </c>
      <c r="R820" t="str">
        <f>IFERROR(IF($C820="","",SUMIFS(Ledger!$K$2:$K$4, Ledger!$B$2:$B$4, $A820, Ledger!$C$2:$C$4, R$2)),"****")</f>
        <v/>
      </c>
      <c r="S820" t="str">
        <f>IFERROR(IF($C820="","",SUMIFS(Ledger!$K$2:$K$4, Ledger!$B$2:$B$4, $A820, Ledger!$C$2:$C$4, S$2)),"****")</f>
        <v/>
      </c>
      <c r="T820" t="str">
        <f>IFERROR(IF($C820="","",SUMIFS(Ledger!$K$2:$K$4, Ledger!$B$2:$B$4, $A820, Ledger!$C$2:$C$4, T$2)),"****")</f>
        <v/>
      </c>
      <c r="U820" t="str">
        <f>IFERROR(IF($C820="","",SUMIFS(Ledger!$K$2:$K$4, Ledger!$B$2:$B$4, $A820, Ledger!$C$2:$C$4, U$2)),"****")</f>
        <v/>
      </c>
      <c r="V820" t="str">
        <f>IFERROR(IF($C820="","",SUMIFS(Ledger!$K$2:$K$4, Ledger!$B$2:$B$4, $A820, Ledger!$C$2:$C$4, V$2)),"****")</f>
        <v/>
      </c>
      <c r="W820" t="str">
        <f>IFERROR(IF($C820="","",SUMIFS(Ledger!$K$2:$K$4, Ledger!$B$2:$B$4, $A820, Ledger!$C$2:$C$4, W$2)),"****")</f>
        <v/>
      </c>
      <c r="X820" t="str">
        <f>IFERROR(IF($C820="","",SUMIFS(Ledger!$K$2:$K$4, Ledger!$B$2:$B$4, $A820, Ledger!$C$2:$C$4, X$2)),"****")</f>
        <v/>
      </c>
    </row>
    <row r="821" spans="1:24" x14ac:dyDescent="0.3">
      <c r="A821" s="106">
        <v>819</v>
      </c>
      <c r="B821" t="str">
        <f>IFERROR(VLOOKUP($A821, Ledger!$B$2:$L$8, 3, 0),"")</f>
        <v/>
      </c>
      <c r="C821" t="str">
        <f>IFERROR(VLOOKUP($A821, Ledger!$B$2:$L$8, 4, 0),"")</f>
        <v/>
      </c>
      <c r="D821" t="str">
        <f>IFERROR(VLOOKUP($A821, Ledger!$B$2:$L$8, 5, 0),"")</f>
        <v/>
      </c>
      <c r="E821" t="str">
        <f>IFERROR(VLOOKUP($A821, Ledger!$B$2:$L$8, 6, 0),"")</f>
        <v/>
      </c>
      <c r="F821" t="str">
        <f>IFERROR(VLOOKUP($A821,'Student Data'!$A$2:$AR$6,32,0),"")</f>
        <v/>
      </c>
      <c r="G821" t="str">
        <f>IFERROR(VLOOKUP($A821,'Student Data'!$A$2:$AR$6,33,0),"")</f>
        <v/>
      </c>
      <c r="H821" t="str">
        <f>IFERROR(VLOOKUP($A821,'Student Data'!$A$2:$AR$6,34,0),"")</f>
        <v/>
      </c>
      <c r="I821" t="str">
        <f>IFERROR(VLOOKUP($A821,'Student Data'!$A$2:$AR$6,35,0),"")</f>
        <v/>
      </c>
      <c r="J821" t="str">
        <f>IFERROR(VLOOKUP($A821,'Student Data'!$A$2:$AR$6,36,0),"")</f>
        <v/>
      </c>
      <c r="K821" t="str">
        <f t="shared" si="24"/>
        <v/>
      </c>
      <c r="L821" t="str">
        <f t="shared" si="25"/>
        <v/>
      </c>
      <c r="M821" t="str">
        <f>IFERROR(IF($C821="","",SUMIFS(Ledger!$K$2:$K$4, Ledger!$B$2:$B$4, $A821, Ledger!$C$2:$C$4, M$2)),"****")</f>
        <v/>
      </c>
      <c r="N821" t="str">
        <f>IFERROR(IF($C821="","",SUMIFS(Ledger!$K$2:$K$4, Ledger!$B$2:$B$4, $A821, Ledger!$C$2:$C$4, N$2)),"****")</f>
        <v/>
      </c>
      <c r="O821" t="str">
        <f>IFERROR(IF($C821="","",SUMIFS(Ledger!$K$2:$K$4, Ledger!$B$2:$B$4, $A821, Ledger!$C$2:$C$4, O$2)),"****")</f>
        <v/>
      </c>
      <c r="P821" t="str">
        <f>IFERROR(IF($C821="","",SUMIFS(Ledger!$K$2:$K$4, Ledger!$B$2:$B$4, $A821, Ledger!$C$2:$C$4, P$2)),"****")</f>
        <v/>
      </c>
      <c r="Q821" t="str">
        <f>IFERROR(IF($C821="","",SUMIFS(Ledger!$K$2:$K$4, Ledger!$B$2:$B$4, $A821, Ledger!$C$2:$C$4, Q$2)),"****")</f>
        <v/>
      </c>
      <c r="R821" t="str">
        <f>IFERROR(IF($C821="","",SUMIFS(Ledger!$K$2:$K$4, Ledger!$B$2:$B$4, $A821, Ledger!$C$2:$C$4, R$2)),"****")</f>
        <v/>
      </c>
      <c r="S821" t="str">
        <f>IFERROR(IF($C821="","",SUMIFS(Ledger!$K$2:$K$4, Ledger!$B$2:$B$4, $A821, Ledger!$C$2:$C$4, S$2)),"****")</f>
        <v/>
      </c>
      <c r="T821" t="str">
        <f>IFERROR(IF($C821="","",SUMIFS(Ledger!$K$2:$K$4, Ledger!$B$2:$B$4, $A821, Ledger!$C$2:$C$4, T$2)),"****")</f>
        <v/>
      </c>
      <c r="U821" t="str">
        <f>IFERROR(IF($C821="","",SUMIFS(Ledger!$K$2:$K$4, Ledger!$B$2:$B$4, $A821, Ledger!$C$2:$C$4, U$2)),"****")</f>
        <v/>
      </c>
      <c r="V821" t="str">
        <f>IFERROR(IF($C821="","",SUMIFS(Ledger!$K$2:$K$4, Ledger!$B$2:$B$4, $A821, Ledger!$C$2:$C$4, V$2)),"****")</f>
        <v/>
      </c>
      <c r="W821" t="str">
        <f>IFERROR(IF($C821="","",SUMIFS(Ledger!$K$2:$K$4, Ledger!$B$2:$B$4, $A821, Ledger!$C$2:$C$4, W$2)),"****")</f>
        <v/>
      </c>
      <c r="X821" t="str">
        <f>IFERROR(IF($C821="","",SUMIFS(Ledger!$K$2:$K$4, Ledger!$B$2:$B$4, $A821, Ledger!$C$2:$C$4, X$2)),"****")</f>
        <v/>
      </c>
    </row>
    <row r="822" spans="1:24" x14ac:dyDescent="0.3">
      <c r="A822" s="106">
        <v>820</v>
      </c>
      <c r="B822" t="str">
        <f>IFERROR(VLOOKUP($A822, Ledger!$B$2:$L$8, 3, 0),"")</f>
        <v/>
      </c>
      <c r="C822" t="str">
        <f>IFERROR(VLOOKUP($A822, Ledger!$B$2:$L$8, 4, 0),"")</f>
        <v/>
      </c>
      <c r="D822" t="str">
        <f>IFERROR(VLOOKUP($A822, Ledger!$B$2:$L$8, 5, 0),"")</f>
        <v/>
      </c>
      <c r="E822" t="str">
        <f>IFERROR(VLOOKUP($A822, Ledger!$B$2:$L$8, 6, 0),"")</f>
        <v/>
      </c>
      <c r="F822" t="str">
        <f>IFERROR(VLOOKUP($A822,'Student Data'!$A$2:$AR$6,32,0),"")</f>
        <v/>
      </c>
      <c r="G822" t="str">
        <f>IFERROR(VLOOKUP($A822,'Student Data'!$A$2:$AR$6,33,0),"")</f>
        <v/>
      </c>
      <c r="H822" t="str">
        <f>IFERROR(VLOOKUP($A822,'Student Data'!$A$2:$AR$6,34,0),"")</f>
        <v/>
      </c>
      <c r="I822" t="str">
        <f>IFERROR(VLOOKUP($A822,'Student Data'!$A$2:$AR$6,35,0),"")</f>
        <v/>
      </c>
      <c r="J822" t="str">
        <f>IFERROR(VLOOKUP($A822,'Student Data'!$A$2:$AR$6,36,0),"")</f>
        <v/>
      </c>
      <c r="K822" t="str">
        <f t="shared" si="24"/>
        <v/>
      </c>
      <c r="L822" t="str">
        <f t="shared" si="25"/>
        <v/>
      </c>
      <c r="M822" t="str">
        <f>IFERROR(IF($C822="","",SUMIFS(Ledger!$K$2:$K$4, Ledger!$B$2:$B$4, $A822, Ledger!$C$2:$C$4, M$2)),"****")</f>
        <v/>
      </c>
      <c r="N822" t="str">
        <f>IFERROR(IF($C822="","",SUMIFS(Ledger!$K$2:$K$4, Ledger!$B$2:$B$4, $A822, Ledger!$C$2:$C$4, N$2)),"****")</f>
        <v/>
      </c>
      <c r="O822" t="str">
        <f>IFERROR(IF($C822="","",SUMIFS(Ledger!$K$2:$K$4, Ledger!$B$2:$B$4, $A822, Ledger!$C$2:$C$4, O$2)),"****")</f>
        <v/>
      </c>
      <c r="P822" t="str">
        <f>IFERROR(IF($C822="","",SUMIFS(Ledger!$K$2:$K$4, Ledger!$B$2:$B$4, $A822, Ledger!$C$2:$C$4, P$2)),"****")</f>
        <v/>
      </c>
      <c r="Q822" t="str">
        <f>IFERROR(IF($C822="","",SUMIFS(Ledger!$K$2:$K$4, Ledger!$B$2:$B$4, $A822, Ledger!$C$2:$C$4, Q$2)),"****")</f>
        <v/>
      </c>
      <c r="R822" t="str">
        <f>IFERROR(IF($C822="","",SUMIFS(Ledger!$K$2:$K$4, Ledger!$B$2:$B$4, $A822, Ledger!$C$2:$C$4, R$2)),"****")</f>
        <v/>
      </c>
      <c r="S822" t="str">
        <f>IFERROR(IF($C822="","",SUMIFS(Ledger!$K$2:$K$4, Ledger!$B$2:$B$4, $A822, Ledger!$C$2:$C$4, S$2)),"****")</f>
        <v/>
      </c>
      <c r="T822" t="str">
        <f>IFERROR(IF($C822="","",SUMIFS(Ledger!$K$2:$K$4, Ledger!$B$2:$B$4, $A822, Ledger!$C$2:$C$4, T$2)),"****")</f>
        <v/>
      </c>
      <c r="U822" t="str">
        <f>IFERROR(IF($C822="","",SUMIFS(Ledger!$K$2:$K$4, Ledger!$B$2:$B$4, $A822, Ledger!$C$2:$C$4, U$2)),"****")</f>
        <v/>
      </c>
      <c r="V822" t="str">
        <f>IFERROR(IF($C822="","",SUMIFS(Ledger!$K$2:$K$4, Ledger!$B$2:$B$4, $A822, Ledger!$C$2:$C$4, V$2)),"****")</f>
        <v/>
      </c>
      <c r="W822" t="str">
        <f>IFERROR(IF($C822="","",SUMIFS(Ledger!$K$2:$K$4, Ledger!$B$2:$B$4, $A822, Ledger!$C$2:$C$4, W$2)),"****")</f>
        <v/>
      </c>
      <c r="X822" t="str">
        <f>IFERROR(IF($C822="","",SUMIFS(Ledger!$K$2:$K$4, Ledger!$B$2:$B$4, $A822, Ledger!$C$2:$C$4, X$2)),"****")</f>
        <v/>
      </c>
    </row>
    <row r="823" spans="1:24" x14ac:dyDescent="0.3">
      <c r="A823" s="106">
        <v>821</v>
      </c>
      <c r="B823" t="str">
        <f>IFERROR(VLOOKUP($A823, Ledger!$B$2:$L$8, 3, 0),"")</f>
        <v/>
      </c>
      <c r="C823" t="str">
        <f>IFERROR(VLOOKUP($A823, Ledger!$B$2:$L$8, 4, 0),"")</f>
        <v/>
      </c>
      <c r="D823" t="str">
        <f>IFERROR(VLOOKUP($A823, Ledger!$B$2:$L$8, 5, 0),"")</f>
        <v/>
      </c>
      <c r="E823" t="str">
        <f>IFERROR(VLOOKUP($A823, Ledger!$B$2:$L$8, 6, 0),"")</f>
        <v/>
      </c>
      <c r="F823" t="str">
        <f>IFERROR(VLOOKUP($A823,'Student Data'!$A$2:$AR$6,32,0),"")</f>
        <v/>
      </c>
      <c r="G823" t="str">
        <f>IFERROR(VLOOKUP($A823,'Student Data'!$A$2:$AR$6,33,0),"")</f>
        <v/>
      </c>
      <c r="H823" t="str">
        <f>IFERROR(VLOOKUP($A823,'Student Data'!$A$2:$AR$6,34,0),"")</f>
        <v/>
      </c>
      <c r="I823" t="str">
        <f>IFERROR(VLOOKUP($A823,'Student Data'!$A$2:$AR$6,35,0),"")</f>
        <v/>
      </c>
      <c r="J823" t="str">
        <f>IFERROR(VLOOKUP($A823,'Student Data'!$A$2:$AR$6,36,0),"")</f>
        <v/>
      </c>
      <c r="K823" t="str">
        <f t="shared" si="24"/>
        <v/>
      </c>
      <c r="L823" t="str">
        <f t="shared" si="25"/>
        <v/>
      </c>
      <c r="M823" t="str">
        <f>IFERROR(IF($C823="","",SUMIFS(Ledger!$K$2:$K$4, Ledger!$B$2:$B$4, $A823, Ledger!$C$2:$C$4, M$2)),"****")</f>
        <v/>
      </c>
      <c r="N823" t="str">
        <f>IFERROR(IF($C823="","",SUMIFS(Ledger!$K$2:$K$4, Ledger!$B$2:$B$4, $A823, Ledger!$C$2:$C$4, N$2)),"****")</f>
        <v/>
      </c>
      <c r="O823" t="str">
        <f>IFERROR(IF($C823="","",SUMIFS(Ledger!$K$2:$K$4, Ledger!$B$2:$B$4, $A823, Ledger!$C$2:$C$4, O$2)),"****")</f>
        <v/>
      </c>
      <c r="P823" t="str">
        <f>IFERROR(IF($C823="","",SUMIFS(Ledger!$K$2:$K$4, Ledger!$B$2:$B$4, $A823, Ledger!$C$2:$C$4, P$2)),"****")</f>
        <v/>
      </c>
      <c r="Q823" t="str">
        <f>IFERROR(IF($C823="","",SUMIFS(Ledger!$K$2:$K$4, Ledger!$B$2:$B$4, $A823, Ledger!$C$2:$C$4, Q$2)),"****")</f>
        <v/>
      </c>
      <c r="R823" t="str">
        <f>IFERROR(IF($C823="","",SUMIFS(Ledger!$K$2:$K$4, Ledger!$B$2:$B$4, $A823, Ledger!$C$2:$C$4, R$2)),"****")</f>
        <v/>
      </c>
      <c r="S823" t="str">
        <f>IFERROR(IF($C823="","",SUMIFS(Ledger!$K$2:$K$4, Ledger!$B$2:$B$4, $A823, Ledger!$C$2:$C$4, S$2)),"****")</f>
        <v/>
      </c>
      <c r="T823" t="str">
        <f>IFERROR(IF($C823="","",SUMIFS(Ledger!$K$2:$K$4, Ledger!$B$2:$B$4, $A823, Ledger!$C$2:$C$4, T$2)),"****")</f>
        <v/>
      </c>
      <c r="U823" t="str">
        <f>IFERROR(IF($C823="","",SUMIFS(Ledger!$K$2:$K$4, Ledger!$B$2:$B$4, $A823, Ledger!$C$2:$C$4, U$2)),"****")</f>
        <v/>
      </c>
      <c r="V823" t="str">
        <f>IFERROR(IF($C823="","",SUMIFS(Ledger!$K$2:$K$4, Ledger!$B$2:$B$4, $A823, Ledger!$C$2:$C$4, V$2)),"****")</f>
        <v/>
      </c>
      <c r="W823" t="str">
        <f>IFERROR(IF($C823="","",SUMIFS(Ledger!$K$2:$K$4, Ledger!$B$2:$B$4, $A823, Ledger!$C$2:$C$4, W$2)),"****")</f>
        <v/>
      </c>
      <c r="X823" t="str">
        <f>IFERROR(IF($C823="","",SUMIFS(Ledger!$K$2:$K$4, Ledger!$B$2:$B$4, $A823, Ledger!$C$2:$C$4, X$2)),"****")</f>
        <v/>
      </c>
    </row>
    <row r="824" spans="1:24" x14ac:dyDescent="0.3">
      <c r="A824" s="106">
        <v>822</v>
      </c>
      <c r="B824" t="str">
        <f>IFERROR(VLOOKUP($A824, Ledger!$B$2:$L$8, 3, 0),"")</f>
        <v/>
      </c>
      <c r="C824" t="str">
        <f>IFERROR(VLOOKUP($A824, Ledger!$B$2:$L$8, 4, 0),"")</f>
        <v/>
      </c>
      <c r="D824" t="str">
        <f>IFERROR(VLOOKUP($A824, Ledger!$B$2:$L$8, 5, 0),"")</f>
        <v/>
      </c>
      <c r="E824" t="str">
        <f>IFERROR(VLOOKUP($A824, Ledger!$B$2:$L$8, 6, 0),"")</f>
        <v/>
      </c>
      <c r="F824" t="str">
        <f>IFERROR(VLOOKUP($A824,'Student Data'!$A$2:$AR$6,32,0),"")</f>
        <v/>
      </c>
      <c r="G824" t="str">
        <f>IFERROR(VLOOKUP($A824,'Student Data'!$A$2:$AR$6,33,0),"")</f>
        <v/>
      </c>
      <c r="H824" t="str">
        <f>IFERROR(VLOOKUP($A824,'Student Data'!$A$2:$AR$6,34,0),"")</f>
        <v/>
      </c>
      <c r="I824" t="str">
        <f>IFERROR(VLOOKUP($A824,'Student Data'!$A$2:$AR$6,35,0),"")</f>
        <v/>
      </c>
      <c r="J824" t="str">
        <f>IFERROR(VLOOKUP($A824,'Student Data'!$A$2:$AR$6,36,0),"")</f>
        <v/>
      </c>
      <c r="K824" t="str">
        <f t="shared" si="24"/>
        <v/>
      </c>
      <c r="L824" t="str">
        <f t="shared" si="25"/>
        <v/>
      </c>
      <c r="M824" t="str">
        <f>IFERROR(IF($C824="","",SUMIFS(Ledger!$K$2:$K$4, Ledger!$B$2:$B$4, $A824, Ledger!$C$2:$C$4, M$2)),"****")</f>
        <v/>
      </c>
      <c r="N824" t="str">
        <f>IFERROR(IF($C824="","",SUMIFS(Ledger!$K$2:$K$4, Ledger!$B$2:$B$4, $A824, Ledger!$C$2:$C$4, N$2)),"****")</f>
        <v/>
      </c>
      <c r="O824" t="str">
        <f>IFERROR(IF($C824="","",SUMIFS(Ledger!$K$2:$K$4, Ledger!$B$2:$B$4, $A824, Ledger!$C$2:$C$4, O$2)),"****")</f>
        <v/>
      </c>
      <c r="P824" t="str">
        <f>IFERROR(IF($C824="","",SUMIFS(Ledger!$K$2:$K$4, Ledger!$B$2:$B$4, $A824, Ledger!$C$2:$C$4, P$2)),"****")</f>
        <v/>
      </c>
      <c r="Q824" t="str">
        <f>IFERROR(IF($C824="","",SUMIFS(Ledger!$K$2:$K$4, Ledger!$B$2:$B$4, $A824, Ledger!$C$2:$C$4, Q$2)),"****")</f>
        <v/>
      </c>
      <c r="R824" t="str">
        <f>IFERROR(IF($C824="","",SUMIFS(Ledger!$K$2:$K$4, Ledger!$B$2:$B$4, $A824, Ledger!$C$2:$C$4, R$2)),"****")</f>
        <v/>
      </c>
      <c r="S824" t="str">
        <f>IFERROR(IF($C824="","",SUMIFS(Ledger!$K$2:$K$4, Ledger!$B$2:$B$4, $A824, Ledger!$C$2:$C$4, S$2)),"****")</f>
        <v/>
      </c>
      <c r="T824" t="str">
        <f>IFERROR(IF($C824="","",SUMIFS(Ledger!$K$2:$K$4, Ledger!$B$2:$B$4, $A824, Ledger!$C$2:$C$4, T$2)),"****")</f>
        <v/>
      </c>
      <c r="U824" t="str">
        <f>IFERROR(IF($C824="","",SUMIFS(Ledger!$K$2:$K$4, Ledger!$B$2:$B$4, $A824, Ledger!$C$2:$C$4, U$2)),"****")</f>
        <v/>
      </c>
      <c r="V824" t="str">
        <f>IFERROR(IF($C824="","",SUMIFS(Ledger!$K$2:$K$4, Ledger!$B$2:$B$4, $A824, Ledger!$C$2:$C$4, V$2)),"****")</f>
        <v/>
      </c>
      <c r="W824" t="str">
        <f>IFERROR(IF($C824="","",SUMIFS(Ledger!$K$2:$K$4, Ledger!$B$2:$B$4, $A824, Ledger!$C$2:$C$4, W$2)),"****")</f>
        <v/>
      </c>
      <c r="X824" t="str">
        <f>IFERROR(IF($C824="","",SUMIFS(Ledger!$K$2:$K$4, Ledger!$B$2:$B$4, $A824, Ledger!$C$2:$C$4, X$2)),"****")</f>
        <v/>
      </c>
    </row>
    <row r="825" spans="1:24" x14ac:dyDescent="0.3">
      <c r="A825" s="106">
        <v>823</v>
      </c>
      <c r="B825" t="str">
        <f>IFERROR(VLOOKUP($A825, Ledger!$B$2:$L$8, 3, 0),"")</f>
        <v/>
      </c>
      <c r="C825" t="str">
        <f>IFERROR(VLOOKUP($A825, Ledger!$B$2:$L$8, 4, 0),"")</f>
        <v/>
      </c>
      <c r="D825" t="str">
        <f>IFERROR(VLOOKUP($A825, Ledger!$B$2:$L$8, 5, 0),"")</f>
        <v/>
      </c>
      <c r="E825" t="str">
        <f>IFERROR(VLOOKUP($A825, Ledger!$B$2:$L$8, 6, 0),"")</f>
        <v/>
      </c>
      <c r="F825" t="str">
        <f>IFERROR(VLOOKUP($A825,'Student Data'!$A$2:$AR$6,32,0),"")</f>
        <v/>
      </c>
      <c r="G825" t="str">
        <f>IFERROR(VLOOKUP($A825,'Student Data'!$A$2:$AR$6,33,0),"")</f>
        <v/>
      </c>
      <c r="H825" t="str">
        <f>IFERROR(VLOOKUP($A825,'Student Data'!$A$2:$AR$6,34,0),"")</f>
        <v/>
      </c>
      <c r="I825" t="str">
        <f>IFERROR(VLOOKUP($A825,'Student Data'!$A$2:$AR$6,35,0),"")</f>
        <v/>
      </c>
      <c r="J825" t="str">
        <f>IFERROR(VLOOKUP($A825,'Student Data'!$A$2:$AR$6,36,0),"")</f>
        <v/>
      </c>
      <c r="K825" t="str">
        <f t="shared" si="24"/>
        <v/>
      </c>
      <c r="L825" t="str">
        <f t="shared" si="25"/>
        <v/>
      </c>
      <c r="M825" t="str">
        <f>IFERROR(IF($C825="","",SUMIFS(Ledger!$K$2:$K$4, Ledger!$B$2:$B$4, $A825, Ledger!$C$2:$C$4, M$2)),"****")</f>
        <v/>
      </c>
      <c r="N825" t="str">
        <f>IFERROR(IF($C825="","",SUMIFS(Ledger!$K$2:$K$4, Ledger!$B$2:$B$4, $A825, Ledger!$C$2:$C$4, N$2)),"****")</f>
        <v/>
      </c>
      <c r="O825" t="str">
        <f>IFERROR(IF($C825="","",SUMIFS(Ledger!$K$2:$K$4, Ledger!$B$2:$B$4, $A825, Ledger!$C$2:$C$4, O$2)),"****")</f>
        <v/>
      </c>
      <c r="P825" t="str">
        <f>IFERROR(IF($C825="","",SUMIFS(Ledger!$K$2:$K$4, Ledger!$B$2:$B$4, $A825, Ledger!$C$2:$C$4, P$2)),"****")</f>
        <v/>
      </c>
      <c r="Q825" t="str">
        <f>IFERROR(IF($C825="","",SUMIFS(Ledger!$K$2:$K$4, Ledger!$B$2:$B$4, $A825, Ledger!$C$2:$C$4, Q$2)),"****")</f>
        <v/>
      </c>
      <c r="R825" t="str">
        <f>IFERROR(IF($C825="","",SUMIFS(Ledger!$K$2:$K$4, Ledger!$B$2:$B$4, $A825, Ledger!$C$2:$C$4, R$2)),"****")</f>
        <v/>
      </c>
      <c r="S825" t="str">
        <f>IFERROR(IF($C825="","",SUMIFS(Ledger!$K$2:$K$4, Ledger!$B$2:$B$4, $A825, Ledger!$C$2:$C$4, S$2)),"****")</f>
        <v/>
      </c>
      <c r="T825" t="str">
        <f>IFERROR(IF($C825="","",SUMIFS(Ledger!$K$2:$K$4, Ledger!$B$2:$B$4, $A825, Ledger!$C$2:$C$4, T$2)),"****")</f>
        <v/>
      </c>
      <c r="U825" t="str">
        <f>IFERROR(IF($C825="","",SUMIFS(Ledger!$K$2:$K$4, Ledger!$B$2:$B$4, $A825, Ledger!$C$2:$C$4, U$2)),"****")</f>
        <v/>
      </c>
      <c r="V825" t="str">
        <f>IFERROR(IF($C825="","",SUMIFS(Ledger!$K$2:$K$4, Ledger!$B$2:$B$4, $A825, Ledger!$C$2:$C$4, V$2)),"****")</f>
        <v/>
      </c>
      <c r="W825" t="str">
        <f>IFERROR(IF($C825="","",SUMIFS(Ledger!$K$2:$K$4, Ledger!$B$2:$B$4, $A825, Ledger!$C$2:$C$4, W$2)),"****")</f>
        <v/>
      </c>
      <c r="X825" t="str">
        <f>IFERROR(IF($C825="","",SUMIFS(Ledger!$K$2:$K$4, Ledger!$B$2:$B$4, $A825, Ledger!$C$2:$C$4, X$2)),"****")</f>
        <v/>
      </c>
    </row>
    <row r="826" spans="1:24" x14ac:dyDescent="0.3">
      <c r="A826" s="106">
        <v>824</v>
      </c>
      <c r="B826" t="str">
        <f>IFERROR(VLOOKUP($A826, Ledger!$B$2:$L$8, 3, 0),"")</f>
        <v/>
      </c>
      <c r="C826" t="str">
        <f>IFERROR(VLOOKUP($A826, Ledger!$B$2:$L$8, 4, 0),"")</f>
        <v/>
      </c>
      <c r="D826" t="str">
        <f>IFERROR(VLOOKUP($A826, Ledger!$B$2:$L$8, 5, 0),"")</f>
        <v/>
      </c>
      <c r="E826" t="str">
        <f>IFERROR(VLOOKUP($A826, Ledger!$B$2:$L$8, 6, 0),"")</f>
        <v/>
      </c>
      <c r="F826" t="str">
        <f>IFERROR(VLOOKUP($A826,'Student Data'!$A$2:$AR$6,32,0),"")</f>
        <v/>
      </c>
      <c r="G826" t="str">
        <f>IFERROR(VLOOKUP($A826,'Student Data'!$A$2:$AR$6,33,0),"")</f>
        <v/>
      </c>
      <c r="H826" t="str">
        <f>IFERROR(VLOOKUP($A826,'Student Data'!$A$2:$AR$6,34,0),"")</f>
        <v/>
      </c>
      <c r="I826" t="str">
        <f>IFERROR(VLOOKUP($A826,'Student Data'!$A$2:$AR$6,35,0),"")</f>
        <v/>
      </c>
      <c r="J826" t="str">
        <f>IFERROR(VLOOKUP($A826,'Student Data'!$A$2:$AR$6,36,0),"")</f>
        <v/>
      </c>
      <c r="K826" t="str">
        <f t="shared" si="24"/>
        <v/>
      </c>
      <c r="L826" t="str">
        <f t="shared" si="25"/>
        <v/>
      </c>
      <c r="M826" t="str">
        <f>IFERROR(IF($C826="","",SUMIFS(Ledger!$K$2:$K$4, Ledger!$B$2:$B$4, $A826, Ledger!$C$2:$C$4, M$2)),"****")</f>
        <v/>
      </c>
      <c r="N826" t="str">
        <f>IFERROR(IF($C826="","",SUMIFS(Ledger!$K$2:$K$4, Ledger!$B$2:$B$4, $A826, Ledger!$C$2:$C$4, N$2)),"****")</f>
        <v/>
      </c>
      <c r="O826" t="str">
        <f>IFERROR(IF($C826="","",SUMIFS(Ledger!$K$2:$K$4, Ledger!$B$2:$B$4, $A826, Ledger!$C$2:$C$4, O$2)),"****")</f>
        <v/>
      </c>
      <c r="P826" t="str">
        <f>IFERROR(IF($C826="","",SUMIFS(Ledger!$K$2:$K$4, Ledger!$B$2:$B$4, $A826, Ledger!$C$2:$C$4, P$2)),"****")</f>
        <v/>
      </c>
      <c r="Q826" t="str">
        <f>IFERROR(IF($C826="","",SUMIFS(Ledger!$K$2:$K$4, Ledger!$B$2:$B$4, $A826, Ledger!$C$2:$C$4, Q$2)),"****")</f>
        <v/>
      </c>
      <c r="R826" t="str">
        <f>IFERROR(IF($C826="","",SUMIFS(Ledger!$K$2:$K$4, Ledger!$B$2:$B$4, $A826, Ledger!$C$2:$C$4, R$2)),"****")</f>
        <v/>
      </c>
      <c r="S826" t="str">
        <f>IFERROR(IF($C826="","",SUMIFS(Ledger!$K$2:$K$4, Ledger!$B$2:$B$4, $A826, Ledger!$C$2:$C$4, S$2)),"****")</f>
        <v/>
      </c>
      <c r="T826" t="str">
        <f>IFERROR(IF($C826="","",SUMIFS(Ledger!$K$2:$K$4, Ledger!$B$2:$B$4, $A826, Ledger!$C$2:$C$4, T$2)),"****")</f>
        <v/>
      </c>
      <c r="U826" t="str">
        <f>IFERROR(IF($C826="","",SUMIFS(Ledger!$K$2:$K$4, Ledger!$B$2:$B$4, $A826, Ledger!$C$2:$C$4, U$2)),"****")</f>
        <v/>
      </c>
      <c r="V826" t="str">
        <f>IFERROR(IF($C826="","",SUMIFS(Ledger!$K$2:$K$4, Ledger!$B$2:$B$4, $A826, Ledger!$C$2:$C$4, V$2)),"****")</f>
        <v/>
      </c>
      <c r="W826" t="str">
        <f>IFERROR(IF($C826="","",SUMIFS(Ledger!$K$2:$K$4, Ledger!$B$2:$B$4, $A826, Ledger!$C$2:$C$4, W$2)),"****")</f>
        <v/>
      </c>
      <c r="X826" t="str">
        <f>IFERROR(IF($C826="","",SUMIFS(Ledger!$K$2:$K$4, Ledger!$B$2:$B$4, $A826, Ledger!$C$2:$C$4, X$2)),"****")</f>
        <v/>
      </c>
    </row>
    <row r="827" spans="1:24" x14ac:dyDescent="0.3">
      <c r="A827" s="106">
        <v>825</v>
      </c>
      <c r="B827" t="str">
        <f>IFERROR(VLOOKUP($A827, Ledger!$B$2:$L$8, 3, 0),"")</f>
        <v/>
      </c>
      <c r="C827" t="str">
        <f>IFERROR(VLOOKUP($A827, Ledger!$B$2:$L$8, 4, 0),"")</f>
        <v/>
      </c>
      <c r="D827" t="str">
        <f>IFERROR(VLOOKUP($A827, Ledger!$B$2:$L$8, 5, 0),"")</f>
        <v/>
      </c>
      <c r="E827" t="str">
        <f>IFERROR(VLOOKUP($A827, Ledger!$B$2:$L$8, 6, 0),"")</f>
        <v/>
      </c>
      <c r="F827" t="str">
        <f>IFERROR(VLOOKUP($A827,'Student Data'!$A$2:$AR$6,32,0),"")</f>
        <v/>
      </c>
      <c r="G827" t="str">
        <f>IFERROR(VLOOKUP($A827,'Student Data'!$A$2:$AR$6,33,0),"")</f>
        <v/>
      </c>
      <c r="H827" t="str">
        <f>IFERROR(VLOOKUP($A827,'Student Data'!$A$2:$AR$6,34,0),"")</f>
        <v/>
      </c>
      <c r="I827" t="str">
        <f>IFERROR(VLOOKUP($A827,'Student Data'!$A$2:$AR$6,35,0),"")</f>
        <v/>
      </c>
      <c r="J827" t="str">
        <f>IFERROR(VLOOKUP($A827,'Student Data'!$A$2:$AR$6,36,0),"")</f>
        <v/>
      </c>
      <c r="K827" t="str">
        <f t="shared" si="24"/>
        <v/>
      </c>
      <c r="L827" t="str">
        <f t="shared" si="25"/>
        <v/>
      </c>
      <c r="M827" t="str">
        <f>IFERROR(IF($C827="","",SUMIFS(Ledger!$K$2:$K$4, Ledger!$B$2:$B$4, $A827, Ledger!$C$2:$C$4, M$2)),"****")</f>
        <v/>
      </c>
      <c r="N827" t="str">
        <f>IFERROR(IF($C827="","",SUMIFS(Ledger!$K$2:$K$4, Ledger!$B$2:$B$4, $A827, Ledger!$C$2:$C$4, N$2)),"****")</f>
        <v/>
      </c>
      <c r="O827" t="str">
        <f>IFERROR(IF($C827="","",SUMIFS(Ledger!$K$2:$K$4, Ledger!$B$2:$B$4, $A827, Ledger!$C$2:$C$4, O$2)),"****")</f>
        <v/>
      </c>
      <c r="P827" t="str">
        <f>IFERROR(IF($C827="","",SUMIFS(Ledger!$K$2:$K$4, Ledger!$B$2:$B$4, $A827, Ledger!$C$2:$C$4, P$2)),"****")</f>
        <v/>
      </c>
      <c r="Q827" t="str">
        <f>IFERROR(IF($C827="","",SUMIFS(Ledger!$K$2:$K$4, Ledger!$B$2:$B$4, $A827, Ledger!$C$2:$C$4, Q$2)),"****")</f>
        <v/>
      </c>
      <c r="R827" t="str">
        <f>IFERROR(IF($C827="","",SUMIFS(Ledger!$K$2:$K$4, Ledger!$B$2:$B$4, $A827, Ledger!$C$2:$C$4, R$2)),"****")</f>
        <v/>
      </c>
      <c r="S827" t="str">
        <f>IFERROR(IF($C827="","",SUMIFS(Ledger!$K$2:$K$4, Ledger!$B$2:$B$4, $A827, Ledger!$C$2:$C$4, S$2)),"****")</f>
        <v/>
      </c>
      <c r="T827" t="str">
        <f>IFERROR(IF($C827="","",SUMIFS(Ledger!$K$2:$K$4, Ledger!$B$2:$B$4, $A827, Ledger!$C$2:$C$4, T$2)),"****")</f>
        <v/>
      </c>
      <c r="U827" t="str">
        <f>IFERROR(IF($C827="","",SUMIFS(Ledger!$K$2:$K$4, Ledger!$B$2:$B$4, $A827, Ledger!$C$2:$C$4, U$2)),"****")</f>
        <v/>
      </c>
      <c r="V827" t="str">
        <f>IFERROR(IF($C827="","",SUMIFS(Ledger!$K$2:$K$4, Ledger!$B$2:$B$4, $A827, Ledger!$C$2:$C$4, V$2)),"****")</f>
        <v/>
      </c>
      <c r="W827" t="str">
        <f>IFERROR(IF($C827="","",SUMIFS(Ledger!$K$2:$K$4, Ledger!$B$2:$B$4, $A827, Ledger!$C$2:$C$4, W$2)),"****")</f>
        <v/>
      </c>
      <c r="X827" t="str">
        <f>IFERROR(IF($C827="","",SUMIFS(Ledger!$K$2:$K$4, Ledger!$B$2:$B$4, $A827, Ledger!$C$2:$C$4, X$2)),"****")</f>
        <v/>
      </c>
    </row>
    <row r="828" spans="1:24" x14ac:dyDescent="0.3">
      <c r="A828" s="106">
        <v>826</v>
      </c>
      <c r="B828" t="str">
        <f>IFERROR(VLOOKUP($A828, Ledger!$B$2:$L$8, 3, 0),"")</f>
        <v/>
      </c>
      <c r="C828" t="str">
        <f>IFERROR(VLOOKUP($A828, Ledger!$B$2:$L$8, 4, 0),"")</f>
        <v/>
      </c>
      <c r="D828" t="str">
        <f>IFERROR(VLOOKUP($A828, Ledger!$B$2:$L$8, 5, 0),"")</f>
        <v/>
      </c>
      <c r="E828" t="str">
        <f>IFERROR(VLOOKUP($A828, Ledger!$B$2:$L$8, 6, 0),"")</f>
        <v/>
      </c>
      <c r="F828" t="str">
        <f>IFERROR(VLOOKUP($A828,'Student Data'!$A$2:$AR$6,32,0),"")</f>
        <v/>
      </c>
      <c r="G828" t="str">
        <f>IFERROR(VLOOKUP($A828,'Student Data'!$A$2:$AR$6,33,0),"")</f>
        <v/>
      </c>
      <c r="H828" t="str">
        <f>IFERROR(VLOOKUP($A828,'Student Data'!$A$2:$AR$6,34,0),"")</f>
        <v/>
      </c>
      <c r="I828" t="str">
        <f>IFERROR(VLOOKUP($A828,'Student Data'!$A$2:$AR$6,35,0),"")</f>
        <v/>
      </c>
      <c r="J828" t="str">
        <f>IFERROR(VLOOKUP($A828,'Student Data'!$A$2:$AR$6,36,0),"")</f>
        <v/>
      </c>
      <c r="K828" t="str">
        <f t="shared" si="24"/>
        <v/>
      </c>
      <c r="L828" t="str">
        <f t="shared" si="25"/>
        <v/>
      </c>
      <c r="M828" t="str">
        <f>IFERROR(IF($C828="","",SUMIFS(Ledger!$K$2:$K$4, Ledger!$B$2:$B$4, $A828, Ledger!$C$2:$C$4, M$2)),"****")</f>
        <v/>
      </c>
      <c r="N828" t="str">
        <f>IFERROR(IF($C828="","",SUMIFS(Ledger!$K$2:$K$4, Ledger!$B$2:$B$4, $A828, Ledger!$C$2:$C$4, N$2)),"****")</f>
        <v/>
      </c>
      <c r="O828" t="str">
        <f>IFERROR(IF($C828="","",SUMIFS(Ledger!$K$2:$K$4, Ledger!$B$2:$B$4, $A828, Ledger!$C$2:$C$4, O$2)),"****")</f>
        <v/>
      </c>
      <c r="P828" t="str">
        <f>IFERROR(IF($C828="","",SUMIFS(Ledger!$K$2:$K$4, Ledger!$B$2:$B$4, $A828, Ledger!$C$2:$C$4, P$2)),"****")</f>
        <v/>
      </c>
      <c r="Q828" t="str">
        <f>IFERROR(IF($C828="","",SUMIFS(Ledger!$K$2:$K$4, Ledger!$B$2:$B$4, $A828, Ledger!$C$2:$C$4, Q$2)),"****")</f>
        <v/>
      </c>
      <c r="R828" t="str">
        <f>IFERROR(IF($C828="","",SUMIFS(Ledger!$K$2:$K$4, Ledger!$B$2:$B$4, $A828, Ledger!$C$2:$C$4, R$2)),"****")</f>
        <v/>
      </c>
      <c r="S828" t="str">
        <f>IFERROR(IF($C828="","",SUMIFS(Ledger!$K$2:$K$4, Ledger!$B$2:$B$4, $A828, Ledger!$C$2:$C$4, S$2)),"****")</f>
        <v/>
      </c>
      <c r="T828" t="str">
        <f>IFERROR(IF($C828="","",SUMIFS(Ledger!$K$2:$K$4, Ledger!$B$2:$B$4, $A828, Ledger!$C$2:$C$4, T$2)),"****")</f>
        <v/>
      </c>
      <c r="U828" t="str">
        <f>IFERROR(IF($C828="","",SUMIFS(Ledger!$K$2:$K$4, Ledger!$B$2:$B$4, $A828, Ledger!$C$2:$C$4, U$2)),"****")</f>
        <v/>
      </c>
      <c r="V828" t="str">
        <f>IFERROR(IF($C828="","",SUMIFS(Ledger!$K$2:$K$4, Ledger!$B$2:$B$4, $A828, Ledger!$C$2:$C$4, V$2)),"****")</f>
        <v/>
      </c>
      <c r="W828" t="str">
        <f>IFERROR(IF($C828="","",SUMIFS(Ledger!$K$2:$K$4, Ledger!$B$2:$B$4, $A828, Ledger!$C$2:$C$4, W$2)),"****")</f>
        <v/>
      </c>
      <c r="X828" t="str">
        <f>IFERROR(IF($C828="","",SUMIFS(Ledger!$K$2:$K$4, Ledger!$B$2:$B$4, $A828, Ledger!$C$2:$C$4, X$2)),"****")</f>
        <v/>
      </c>
    </row>
    <row r="829" spans="1:24" x14ac:dyDescent="0.3">
      <c r="A829" s="106">
        <v>827</v>
      </c>
      <c r="B829" t="str">
        <f>IFERROR(VLOOKUP($A829, Ledger!$B$2:$L$8, 3, 0),"")</f>
        <v/>
      </c>
      <c r="C829" t="str">
        <f>IFERROR(VLOOKUP($A829, Ledger!$B$2:$L$8, 4, 0),"")</f>
        <v/>
      </c>
      <c r="D829" t="str">
        <f>IFERROR(VLOOKUP($A829, Ledger!$B$2:$L$8, 5, 0),"")</f>
        <v/>
      </c>
      <c r="E829" t="str">
        <f>IFERROR(VLOOKUP($A829, Ledger!$B$2:$L$8, 6, 0),"")</f>
        <v/>
      </c>
      <c r="F829" t="str">
        <f>IFERROR(VLOOKUP($A829,'Student Data'!$A$2:$AR$6,32,0),"")</f>
        <v/>
      </c>
      <c r="G829" t="str">
        <f>IFERROR(VLOOKUP($A829,'Student Data'!$A$2:$AR$6,33,0),"")</f>
        <v/>
      </c>
      <c r="H829" t="str">
        <f>IFERROR(VLOOKUP($A829,'Student Data'!$A$2:$AR$6,34,0),"")</f>
        <v/>
      </c>
      <c r="I829" t="str">
        <f>IFERROR(VLOOKUP($A829,'Student Data'!$A$2:$AR$6,35,0),"")</f>
        <v/>
      </c>
      <c r="J829" t="str">
        <f>IFERROR(VLOOKUP($A829,'Student Data'!$A$2:$AR$6,36,0),"")</f>
        <v/>
      </c>
      <c r="K829" t="str">
        <f t="shared" si="24"/>
        <v/>
      </c>
      <c r="L829" t="str">
        <f t="shared" si="25"/>
        <v/>
      </c>
      <c r="M829" t="str">
        <f>IFERROR(IF($C829="","",SUMIFS(Ledger!$K$2:$K$4, Ledger!$B$2:$B$4, $A829, Ledger!$C$2:$C$4, M$2)),"****")</f>
        <v/>
      </c>
      <c r="N829" t="str">
        <f>IFERROR(IF($C829="","",SUMIFS(Ledger!$K$2:$K$4, Ledger!$B$2:$B$4, $A829, Ledger!$C$2:$C$4, N$2)),"****")</f>
        <v/>
      </c>
      <c r="O829" t="str">
        <f>IFERROR(IF($C829="","",SUMIFS(Ledger!$K$2:$K$4, Ledger!$B$2:$B$4, $A829, Ledger!$C$2:$C$4, O$2)),"****")</f>
        <v/>
      </c>
      <c r="P829" t="str">
        <f>IFERROR(IF($C829="","",SUMIFS(Ledger!$K$2:$K$4, Ledger!$B$2:$B$4, $A829, Ledger!$C$2:$C$4, P$2)),"****")</f>
        <v/>
      </c>
      <c r="Q829" t="str">
        <f>IFERROR(IF($C829="","",SUMIFS(Ledger!$K$2:$K$4, Ledger!$B$2:$B$4, $A829, Ledger!$C$2:$C$4, Q$2)),"****")</f>
        <v/>
      </c>
      <c r="R829" t="str">
        <f>IFERROR(IF($C829="","",SUMIFS(Ledger!$K$2:$K$4, Ledger!$B$2:$B$4, $A829, Ledger!$C$2:$C$4, R$2)),"****")</f>
        <v/>
      </c>
      <c r="S829" t="str">
        <f>IFERROR(IF($C829="","",SUMIFS(Ledger!$K$2:$K$4, Ledger!$B$2:$B$4, $A829, Ledger!$C$2:$C$4, S$2)),"****")</f>
        <v/>
      </c>
      <c r="T829" t="str">
        <f>IFERROR(IF($C829="","",SUMIFS(Ledger!$K$2:$K$4, Ledger!$B$2:$B$4, $A829, Ledger!$C$2:$C$4, T$2)),"****")</f>
        <v/>
      </c>
      <c r="U829" t="str">
        <f>IFERROR(IF($C829="","",SUMIFS(Ledger!$K$2:$K$4, Ledger!$B$2:$B$4, $A829, Ledger!$C$2:$C$4, U$2)),"****")</f>
        <v/>
      </c>
      <c r="V829" t="str">
        <f>IFERROR(IF($C829="","",SUMIFS(Ledger!$K$2:$K$4, Ledger!$B$2:$B$4, $A829, Ledger!$C$2:$C$4, V$2)),"****")</f>
        <v/>
      </c>
      <c r="W829" t="str">
        <f>IFERROR(IF($C829="","",SUMIFS(Ledger!$K$2:$K$4, Ledger!$B$2:$B$4, $A829, Ledger!$C$2:$C$4, W$2)),"****")</f>
        <v/>
      </c>
      <c r="X829" t="str">
        <f>IFERROR(IF($C829="","",SUMIFS(Ledger!$K$2:$K$4, Ledger!$B$2:$B$4, $A829, Ledger!$C$2:$C$4, X$2)),"****")</f>
        <v/>
      </c>
    </row>
    <row r="830" spans="1:24" x14ac:dyDescent="0.3">
      <c r="A830" s="106">
        <v>828</v>
      </c>
      <c r="B830" t="str">
        <f>IFERROR(VLOOKUP($A830, Ledger!$B$2:$L$8, 3, 0),"")</f>
        <v/>
      </c>
      <c r="C830" t="str">
        <f>IFERROR(VLOOKUP($A830, Ledger!$B$2:$L$8, 4, 0),"")</f>
        <v/>
      </c>
      <c r="D830" t="str">
        <f>IFERROR(VLOOKUP($A830, Ledger!$B$2:$L$8, 5, 0),"")</f>
        <v/>
      </c>
      <c r="E830" t="str">
        <f>IFERROR(VLOOKUP($A830, Ledger!$B$2:$L$8, 6, 0),"")</f>
        <v/>
      </c>
      <c r="F830" t="str">
        <f>IFERROR(VLOOKUP($A830,'Student Data'!$A$2:$AR$6,32,0),"")</f>
        <v/>
      </c>
      <c r="G830" t="str">
        <f>IFERROR(VLOOKUP($A830,'Student Data'!$A$2:$AR$6,33,0),"")</f>
        <v/>
      </c>
      <c r="H830" t="str">
        <f>IFERROR(VLOOKUP($A830,'Student Data'!$A$2:$AR$6,34,0),"")</f>
        <v/>
      </c>
      <c r="I830" t="str">
        <f>IFERROR(VLOOKUP($A830,'Student Data'!$A$2:$AR$6,35,0),"")</f>
        <v/>
      </c>
      <c r="J830" t="str">
        <f>IFERROR(VLOOKUP($A830,'Student Data'!$A$2:$AR$6,36,0),"")</f>
        <v/>
      </c>
      <c r="K830" t="str">
        <f t="shared" si="24"/>
        <v/>
      </c>
      <c r="L830" t="str">
        <f t="shared" si="25"/>
        <v/>
      </c>
      <c r="M830" t="str">
        <f>IFERROR(IF($C830="","",SUMIFS(Ledger!$K$2:$K$4, Ledger!$B$2:$B$4, $A830, Ledger!$C$2:$C$4, M$2)),"****")</f>
        <v/>
      </c>
      <c r="N830" t="str">
        <f>IFERROR(IF($C830="","",SUMIFS(Ledger!$K$2:$K$4, Ledger!$B$2:$B$4, $A830, Ledger!$C$2:$C$4, N$2)),"****")</f>
        <v/>
      </c>
      <c r="O830" t="str">
        <f>IFERROR(IF($C830="","",SUMIFS(Ledger!$K$2:$K$4, Ledger!$B$2:$B$4, $A830, Ledger!$C$2:$C$4, O$2)),"****")</f>
        <v/>
      </c>
      <c r="P830" t="str">
        <f>IFERROR(IF($C830="","",SUMIFS(Ledger!$K$2:$K$4, Ledger!$B$2:$B$4, $A830, Ledger!$C$2:$C$4, P$2)),"****")</f>
        <v/>
      </c>
      <c r="Q830" t="str">
        <f>IFERROR(IF($C830="","",SUMIFS(Ledger!$K$2:$K$4, Ledger!$B$2:$B$4, $A830, Ledger!$C$2:$C$4, Q$2)),"****")</f>
        <v/>
      </c>
      <c r="R830" t="str">
        <f>IFERROR(IF($C830="","",SUMIFS(Ledger!$K$2:$K$4, Ledger!$B$2:$B$4, $A830, Ledger!$C$2:$C$4, R$2)),"****")</f>
        <v/>
      </c>
      <c r="S830" t="str">
        <f>IFERROR(IF($C830="","",SUMIFS(Ledger!$K$2:$K$4, Ledger!$B$2:$B$4, $A830, Ledger!$C$2:$C$4, S$2)),"****")</f>
        <v/>
      </c>
      <c r="T830" t="str">
        <f>IFERROR(IF($C830="","",SUMIFS(Ledger!$K$2:$K$4, Ledger!$B$2:$B$4, $A830, Ledger!$C$2:$C$4, T$2)),"****")</f>
        <v/>
      </c>
      <c r="U830" t="str">
        <f>IFERROR(IF($C830="","",SUMIFS(Ledger!$K$2:$K$4, Ledger!$B$2:$B$4, $A830, Ledger!$C$2:$C$4, U$2)),"****")</f>
        <v/>
      </c>
      <c r="V830" t="str">
        <f>IFERROR(IF($C830="","",SUMIFS(Ledger!$K$2:$K$4, Ledger!$B$2:$B$4, $A830, Ledger!$C$2:$C$4, V$2)),"****")</f>
        <v/>
      </c>
      <c r="W830" t="str">
        <f>IFERROR(IF($C830="","",SUMIFS(Ledger!$K$2:$K$4, Ledger!$B$2:$B$4, $A830, Ledger!$C$2:$C$4, W$2)),"****")</f>
        <v/>
      </c>
      <c r="X830" t="str">
        <f>IFERROR(IF($C830="","",SUMIFS(Ledger!$K$2:$K$4, Ledger!$B$2:$B$4, $A830, Ledger!$C$2:$C$4, X$2)),"****")</f>
        <v/>
      </c>
    </row>
    <row r="831" spans="1:24" x14ac:dyDescent="0.3">
      <c r="A831" s="106">
        <v>829</v>
      </c>
      <c r="B831" t="str">
        <f>IFERROR(VLOOKUP($A831, Ledger!$B$2:$L$8, 3, 0),"")</f>
        <v/>
      </c>
      <c r="C831" t="str">
        <f>IFERROR(VLOOKUP($A831, Ledger!$B$2:$L$8, 4, 0),"")</f>
        <v/>
      </c>
      <c r="D831" t="str">
        <f>IFERROR(VLOOKUP($A831, Ledger!$B$2:$L$8, 5, 0),"")</f>
        <v/>
      </c>
      <c r="E831" t="str">
        <f>IFERROR(VLOOKUP($A831, Ledger!$B$2:$L$8, 6, 0),"")</f>
        <v/>
      </c>
      <c r="F831" t="str">
        <f>IFERROR(VLOOKUP($A831,'Student Data'!$A$2:$AR$6,32,0),"")</f>
        <v/>
      </c>
      <c r="G831" t="str">
        <f>IFERROR(VLOOKUP($A831,'Student Data'!$A$2:$AR$6,33,0),"")</f>
        <v/>
      </c>
      <c r="H831" t="str">
        <f>IFERROR(VLOOKUP($A831,'Student Data'!$A$2:$AR$6,34,0),"")</f>
        <v/>
      </c>
      <c r="I831" t="str">
        <f>IFERROR(VLOOKUP($A831,'Student Data'!$A$2:$AR$6,35,0),"")</f>
        <v/>
      </c>
      <c r="J831" t="str">
        <f>IFERROR(VLOOKUP($A831,'Student Data'!$A$2:$AR$6,36,0),"")</f>
        <v/>
      </c>
      <c r="K831" t="str">
        <f t="shared" si="24"/>
        <v/>
      </c>
      <c r="L831" t="str">
        <f t="shared" si="25"/>
        <v/>
      </c>
      <c r="M831" t="str">
        <f>IFERROR(IF($C831="","",SUMIFS(Ledger!$K$2:$K$4, Ledger!$B$2:$B$4, $A831, Ledger!$C$2:$C$4, M$2)),"****")</f>
        <v/>
      </c>
      <c r="N831" t="str">
        <f>IFERROR(IF($C831="","",SUMIFS(Ledger!$K$2:$K$4, Ledger!$B$2:$B$4, $A831, Ledger!$C$2:$C$4, N$2)),"****")</f>
        <v/>
      </c>
      <c r="O831" t="str">
        <f>IFERROR(IF($C831="","",SUMIFS(Ledger!$K$2:$K$4, Ledger!$B$2:$B$4, $A831, Ledger!$C$2:$C$4, O$2)),"****")</f>
        <v/>
      </c>
      <c r="P831" t="str">
        <f>IFERROR(IF($C831="","",SUMIFS(Ledger!$K$2:$K$4, Ledger!$B$2:$B$4, $A831, Ledger!$C$2:$C$4, P$2)),"****")</f>
        <v/>
      </c>
      <c r="Q831" t="str">
        <f>IFERROR(IF($C831="","",SUMIFS(Ledger!$K$2:$K$4, Ledger!$B$2:$B$4, $A831, Ledger!$C$2:$C$4, Q$2)),"****")</f>
        <v/>
      </c>
      <c r="R831" t="str">
        <f>IFERROR(IF($C831="","",SUMIFS(Ledger!$K$2:$K$4, Ledger!$B$2:$B$4, $A831, Ledger!$C$2:$C$4, R$2)),"****")</f>
        <v/>
      </c>
      <c r="S831" t="str">
        <f>IFERROR(IF($C831="","",SUMIFS(Ledger!$K$2:$K$4, Ledger!$B$2:$B$4, $A831, Ledger!$C$2:$C$4, S$2)),"****")</f>
        <v/>
      </c>
      <c r="T831" t="str">
        <f>IFERROR(IF($C831="","",SUMIFS(Ledger!$K$2:$K$4, Ledger!$B$2:$B$4, $A831, Ledger!$C$2:$C$4, T$2)),"****")</f>
        <v/>
      </c>
      <c r="U831" t="str">
        <f>IFERROR(IF($C831="","",SUMIFS(Ledger!$K$2:$K$4, Ledger!$B$2:$B$4, $A831, Ledger!$C$2:$C$4, U$2)),"****")</f>
        <v/>
      </c>
      <c r="V831" t="str">
        <f>IFERROR(IF($C831="","",SUMIFS(Ledger!$K$2:$K$4, Ledger!$B$2:$B$4, $A831, Ledger!$C$2:$C$4, V$2)),"****")</f>
        <v/>
      </c>
      <c r="W831" t="str">
        <f>IFERROR(IF($C831="","",SUMIFS(Ledger!$K$2:$K$4, Ledger!$B$2:$B$4, $A831, Ledger!$C$2:$C$4, W$2)),"****")</f>
        <v/>
      </c>
      <c r="X831" t="str">
        <f>IFERROR(IF($C831="","",SUMIFS(Ledger!$K$2:$K$4, Ledger!$B$2:$B$4, $A831, Ledger!$C$2:$C$4, X$2)),"****")</f>
        <v/>
      </c>
    </row>
    <row r="832" spans="1:24" x14ac:dyDescent="0.3">
      <c r="A832" s="106">
        <v>830</v>
      </c>
      <c r="B832" t="str">
        <f>IFERROR(VLOOKUP($A832, Ledger!$B$2:$L$8, 3, 0),"")</f>
        <v/>
      </c>
      <c r="C832" t="str">
        <f>IFERROR(VLOOKUP($A832, Ledger!$B$2:$L$8, 4, 0),"")</f>
        <v/>
      </c>
      <c r="D832" t="str">
        <f>IFERROR(VLOOKUP($A832, Ledger!$B$2:$L$8, 5, 0),"")</f>
        <v/>
      </c>
      <c r="E832" t="str">
        <f>IFERROR(VLOOKUP($A832, Ledger!$B$2:$L$8, 6, 0),"")</f>
        <v/>
      </c>
      <c r="F832" t="str">
        <f>IFERROR(VLOOKUP($A832,'Student Data'!$A$2:$AR$6,32,0),"")</f>
        <v/>
      </c>
      <c r="G832" t="str">
        <f>IFERROR(VLOOKUP($A832,'Student Data'!$A$2:$AR$6,33,0),"")</f>
        <v/>
      </c>
      <c r="H832" t="str">
        <f>IFERROR(VLOOKUP($A832,'Student Data'!$A$2:$AR$6,34,0),"")</f>
        <v/>
      </c>
      <c r="I832" t="str">
        <f>IFERROR(VLOOKUP($A832,'Student Data'!$A$2:$AR$6,35,0),"")</f>
        <v/>
      </c>
      <c r="J832" t="str">
        <f>IFERROR(VLOOKUP($A832,'Student Data'!$A$2:$AR$6,36,0),"")</f>
        <v/>
      </c>
      <c r="K832" t="str">
        <f t="shared" si="24"/>
        <v/>
      </c>
      <c r="L832" t="str">
        <f t="shared" si="25"/>
        <v/>
      </c>
      <c r="M832" t="str">
        <f>IFERROR(IF($C832="","",SUMIFS(Ledger!$K$2:$K$4, Ledger!$B$2:$B$4, $A832, Ledger!$C$2:$C$4, M$2)),"****")</f>
        <v/>
      </c>
      <c r="N832" t="str">
        <f>IFERROR(IF($C832="","",SUMIFS(Ledger!$K$2:$K$4, Ledger!$B$2:$B$4, $A832, Ledger!$C$2:$C$4, N$2)),"****")</f>
        <v/>
      </c>
      <c r="O832" t="str">
        <f>IFERROR(IF($C832="","",SUMIFS(Ledger!$K$2:$K$4, Ledger!$B$2:$B$4, $A832, Ledger!$C$2:$C$4, O$2)),"****")</f>
        <v/>
      </c>
      <c r="P832" t="str">
        <f>IFERROR(IF($C832="","",SUMIFS(Ledger!$K$2:$K$4, Ledger!$B$2:$B$4, $A832, Ledger!$C$2:$C$4, P$2)),"****")</f>
        <v/>
      </c>
      <c r="Q832" t="str">
        <f>IFERROR(IF($C832="","",SUMIFS(Ledger!$K$2:$K$4, Ledger!$B$2:$B$4, $A832, Ledger!$C$2:$C$4, Q$2)),"****")</f>
        <v/>
      </c>
      <c r="R832" t="str">
        <f>IFERROR(IF($C832="","",SUMIFS(Ledger!$K$2:$K$4, Ledger!$B$2:$B$4, $A832, Ledger!$C$2:$C$4, R$2)),"****")</f>
        <v/>
      </c>
      <c r="S832" t="str">
        <f>IFERROR(IF($C832="","",SUMIFS(Ledger!$K$2:$K$4, Ledger!$B$2:$B$4, $A832, Ledger!$C$2:$C$4, S$2)),"****")</f>
        <v/>
      </c>
      <c r="T832" t="str">
        <f>IFERROR(IF($C832="","",SUMIFS(Ledger!$K$2:$K$4, Ledger!$B$2:$B$4, $A832, Ledger!$C$2:$C$4, T$2)),"****")</f>
        <v/>
      </c>
      <c r="U832" t="str">
        <f>IFERROR(IF($C832="","",SUMIFS(Ledger!$K$2:$K$4, Ledger!$B$2:$B$4, $A832, Ledger!$C$2:$C$4, U$2)),"****")</f>
        <v/>
      </c>
      <c r="V832" t="str">
        <f>IFERROR(IF($C832="","",SUMIFS(Ledger!$K$2:$K$4, Ledger!$B$2:$B$4, $A832, Ledger!$C$2:$C$4, V$2)),"****")</f>
        <v/>
      </c>
      <c r="W832" t="str">
        <f>IFERROR(IF($C832="","",SUMIFS(Ledger!$K$2:$K$4, Ledger!$B$2:$B$4, $A832, Ledger!$C$2:$C$4, W$2)),"****")</f>
        <v/>
      </c>
      <c r="X832" t="str">
        <f>IFERROR(IF($C832="","",SUMIFS(Ledger!$K$2:$K$4, Ledger!$B$2:$B$4, $A832, Ledger!$C$2:$C$4, X$2)),"****")</f>
        <v/>
      </c>
    </row>
    <row r="833" spans="1:24" x14ac:dyDescent="0.3">
      <c r="A833" s="106">
        <v>831</v>
      </c>
      <c r="B833" t="str">
        <f>IFERROR(VLOOKUP($A833, Ledger!$B$2:$L$8, 3, 0),"")</f>
        <v/>
      </c>
      <c r="C833" t="str">
        <f>IFERROR(VLOOKUP($A833, Ledger!$B$2:$L$8, 4, 0),"")</f>
        <v/>
      </c>
      <c r="D833" t="str">
        <f>IFERROR(VLOOKUP($A833, Ledger!$B$2:$L$8, 5, 0),"")</f>
        <v/>
      </c>
      <c r="E833" t="str">
        <f>IFERROR(VLOOKUP($A833, Ledger!$B$2:$L$8, 6, 0),"")</f>
        <v/>
      </c>
      <c r="F833" t="str">
        <f>IFERROR(VLOOKUP($A833,'Student Data'!$A$2:$AR$6,32,0),"")</f>
        <v/>
      </c>
      <c r="G833" t="str">
        <f>IFERROR(VLOOKUP($A833,'Student Data'!$A$2:$AR$6,33,0),"")</f>
        <v/>
      </c>
      <c r="H833" t="str">
        <f>IFERROR(VLOOKUP($A833,'Student Data'!$A$2:$AR$6,34,0),"")</f>
        <v/>
      </c>
      <c r="I833" t="str">
        <f>IFERROR(VLOOKUP($A833,'Student Data'!$A$2:$AR$6,35,0),"")</f>
        <v/>
      </c>
      <c r="J833" t="str">
        <f>IFERROR(VLOOKUP($A833,'Student Data'!$A$2:$AR$6,36,0),"")</f>
        <v/>
      </c>
      <c r="K833" t="str">
        <f t="shared" si="24"/>
        <v/>
      </c>
      <c r="L833" t="str">
        <f t="shared" si="25"/>
        <v/>
      </c>
      <c r="M833" t="str">
        <f>IFERROR(IF($C833="","",SUMIFS(Ledger!$K$2:$K$4, Ledger!$B$2:$B$4, $A833, Ledger!$C$2:$C$4, M$2)),"****")</f>
        <v/>
      </c>
      <c r="N833" t="str">
        <f>IFERROR(IF($C833="","",SUMIFS(Ledger!$K$2:$K$4, Ledger!$B$2:$B$4, $A833, Ledger!$C$2:$C$4, N$2)),"****")</f>
        <v/>
      </c>
      <c r="O833" t="str">
        <f>IFERROR(IF($C833="","",SUMIFS(Ledger!$K$2:$K$4, Ledger!$B$2:$B$4, $A833, Ledger!$C$2:$C$4, O$2)),"****")</f>
        <v/>
      </c>
      <c r="P833" t="str">
        <f>IFERROR(IF($C833="","",SUMIFS(Ledger!$K$2:$K$4, Ledger!$B$2:$B$4, $A833, Ledger!$C$2:$C$4, P$2)),"****")</f>
        <v/>
      </c>
      <c r="Q833" t="str">
        <f>IFERROR(IF($C833="","",SUMIFS(Ledger!$K$2:$K$4, Ledger!$B$2:$B$4, $A833, Ledger!$C$2:$C$4, Q$2)),"****")</f>
        <v/>
      </c>
      <c r="R833" t="str">
        <f>IFERROR(IF($C833="","",SUMIFS(Ledger!$K$2:$K$4, Ledger!$B$2:$B$4, $A833, Ledger!$C$2:$C$4, R$2)),"****")</f>
        <v/>
      </c>
      <c r="S833" t="str">
        <f>IFERROR(IF($C833="","",SUMIFS(Ledger!$K$2:$K$4, Ledger!$B$2:$B$4, $A833, Ledger!$C$2:$C$4, S$2)),"****")</f>
        <v/>
      </c>
      <c r="T833" t="str">
        <f>IFERROR(IF($C833="","",SUMIFS(Ledger!$K$2:$K$4, Ledger!$B$2:$B$4, $A833, Ledger!$C$2:$C$4, T$2)),"****")</f>
        <v/>
      </c>
      <c r="U833" t="str">
        <f>IFERROR(IF($C833="","",SUMIFS(Ledger!$K$2:$K$4, Ledger!$B$2:$B$4, $A833, Ledger!$C$2:$C$4, U$2)),"****")</f>
        <v/>
      </c>
      <c r="V833" t="str">
        <f>IFERROR(IF($C833="","",SUMIFS(Ledger!$K$2:$K$4, Ledger!$B$2:$B$4, $A833, Ledger!$C$2:$C$4, V$2)),"****")</f>
        <v/>
      </c>
      <c r="W833" t="str">
        <f>IFERROR(IF($C833="","",SUMIFS(Ledger!$K$2:$K$4, Ledger!$B$2:$B$4, $A833, Ledger!$C$2:$C$4, W$2)),"****")</f>
        <v/>
      </c>
      <c r="X833" t="str">
        <f>IFERROR(IF($C833="","",SUMIFS(Ledger!$K$2:$K$4, Ledger!$B$2:$B$4, $A833, Ledger!$C$2:$C$4, X$2)),"****")</f>
        <v/>
      </c>
    </row>
    <row r="834" spans="1:24" x14ac:dyDescent="0.3">
      <c r="A834" s="106">
        <v>832</v>
      </c>
      <c r="B834" t="str">
        <f>IFERROR(VLOOKUP($A834, Ledger!$B$2:$L$8, 3, 0),"")</f>
        <v/>
      </c>
      <c r="C834" t="str">
        <f>IFERROR(VLOOKUP($A834, Ledger!$B$2:$L$8, 4, 0),"")</f>
        <v/>
      </c>
      <c r="D834" t="str">
        <f>IFERROR(VLOOKUP($A834, Ledger!$B$2:$L$8, 5, 0),"")</f>
        <v/>
      </c>
      <c r="E834" t="str">
        <f>IFERROR(VLOOKUP($A834, Ledger!$B$2:$L$8, 6, 0),"")</f>
        <v/>
      </c>
      <c r="F834" t="str">
        <f>IFERROR(VLOOKUP($A834,'Student Data'!$A$2:$AR$6,32,0),"")</f>
        <v/>
      </c>
      <c r="G834" t="str">
        <f>IFERROR(VLOOKUP($A834,'Student Data'!$A$2:$AR$6,33,0),"")</f>
        <v/>
      </c>
      <c r="H834" t="str">
        <f>IFERROR(VLOOKUP($A834,'Student Data'!$A$2:$AR$6,34,0),"")</f>
        <v/>
      </c>
      <c r="I834" t="str">
        <f>IFERROR(VLOOKUP($A834,'Student Data'!$A$2:$AR$6,35,0),"")</f>
        <v/>
      </c>
      <c r="J834" t="str">
        <f>IFERROR(VLOOKUP($A834,'Student Data'!$A$2:$AR$6,36,0),"")</f>
        <v/>
      </c>
      <c r="K834" t="str">
        <f t="shared" si="24"/>
        <v/>
      </c>
      <c r="L834" t="str">
        <f t="shared" si="25"/>
        <v/>
      </c>
      <c r="M834" t="str">
        <f>IFERROR(IF($C834="","",SUMIFS(Ledger!$K$2:$K$4, Ledger!$B$2:$B$4, $A834, Ledger!$C$2:$C$4, M$2)),"****")</f>
        <v/>
      </c>
      <c r="N834" t="str">
        <f>IFERROR(IF($C834="","",SUMIFS(Ledger!$K$2:$K$4, Ledger!$B$2:$B$4, $A834, Ledger!$C$2:$C$4, N$2)),"****")</f>
        <v/>
      </c>
      <c r="O834" t="str">
        <f>IFERROR(IF($C834="","",SUMIFS(Ledger!$K$2:$K$4, Ledger!$B$2:$B$4, $A834, Ledger!$C$2:$C$4, O$2)),"****")</f>
        <v/>
      </c>
      <c r="P834" t="str">
        <f>IFERROR(IF($C834="","",SUMIFS(Ledger!$K$2:$K$4, Ledger!$B$2:$B$4, $A834, Ledger!$C$2:$C$4, P$2)),"****")</f>
        <v/>
      </c>
      <c r="Q834" t="str">
        <f>IFERROR(IF($C834="","",SUMIFS(Ledger!$K$2:$K$4, Ledger!$B$2:$B$4, $A834, Ledger!$C$2:$C$4, Q$2)),"****")</f>
        <v/>
      </c>
      <c r="R834" t="str">
        <f>IFERROR(IF($C834="","",SUMIFS(Ledger!$K$2:$K$4, Ledger!$B$2:$B$4, $A834, Ledger!$C$2:$C$4, R$2)),"****")</f>
        <v/>
      </c>
      <c r="S834" t="str">
        <f>IFERROR(IF($C834="","",SUMIFS(Ledger!$K$2:$K$4, Ledger!$B$2:$B$4, $A834, Ledger!$C$2:$C$4, S$2)),"****")</f>
        <v/>
      </c>
      <c r="T834" t="str">
        <f>IFERROR(IF($C834="","",SUMIFS(Ledger!$K$2:$K$4, Ledger!$B$2:$B$4, $A834, Ledger!$C$2:$C$4, T$2)),"****")</f>
        <v/>
      </c>
      <c r="U834" t="str">
        <f>IFERROR(IF($C834="","",SUMIFS(Ledger!$K$2:$K$4, Ledger!$B$2:$B$4, $A834, Ledger!$C$2:$C$4, U$2)),"****")</f>
        <v/>
      </c>
      <c r="V834" t="str">
        <f>IFERROR(IF($C834="","",SUMIFS(Ledger!$K$2:$K$4, Ledger!$B$2:$B$4, $A834, Ledger!$C$2:$C$4, V$2)),"****")</f>
        <v/>
      </c>
      <c r="W834" t="str">
        <f>IFERROR(IF($C834="","",SUMIFS(Ledger!$K$2:$K$4, Ledger!$B$2:$B$4, $A834, Ledger!$C$2:$C$4, W$2)),"****")</f>
        <v/>
      </c>
      <c r="X834" t="str">
        <f>IFERROR(IF($C834="","",SUMIFS(Ledger!$K$2:$K$4, Ledger!$B$2:$B$4, $A834, Ledger!$C$2:$C$4, X$2)),"****")</f>
        <v/>
      </c>
    </row>
    <row r="835" spans="1:24" x14ac:dyDescent="0.3">
      <c r="A835" s="106">
        <v>833</v>
      </c>
      <c r="B835" t="str">
        <f>IFERROR(VLOOKUP($A835, Ledger!$B$2:$L$8, 3, 0),"")</f>
        <v/>
      </c>
      <c r="C835" t="str">
        <f>IFERROR(VLOOKUP($A835, Ledger!$B$2:$L$8, 4, 0),"")</f>
        <v/>
      </c>
      <c r="D835" t="str">
        <f>IFERROR(VLOOKUP($A835, Ledger!$B$2:$L$8, 5, 0),"")</f>
        <v/>
      </c>
      <c r="E835" t="str">
        <f>IFERROR(VLOOKUP($A835, Ledger!$B$2:$L$8, 6, 0),"")</f>
        <v/>
      </c>
      <c r="F835" t="str">
        <f>IFERROR(VLOOKUP($A835,'Student Data'!$A$2:$AR$6,32,0),"")</f>
        <v/>
      </c>
      <c r="G835" t="str">
        <f>IFERROR(VLOOKUP($A835,'Student Data'!$A$2:$AR$6,33,0),"")</f>
        <v/>
      </c>
      <c r="H835" t="str">
        <f>IFERROR(VLOOKUP($A835,'Student Data'!$A$2:$AR$6,34,0),"")</f>
        <v/>
      </c>
      <c r="I835" t="str">
        <f>IFERROR(VLOOKUP($A835,'Student Data'!$A$2:$AR$6,35,0),"")</f>
        <v/>
      </c>
      <c r="J835" t="str">
        <f>IFERROR(VLOOKUP($A835,'Student Data'!$A$2:$AR$6,36,0),"")</f>
        <v/>
      </c>
      <c r="K835" t="str">
        <f t="shared" si="24"/>
        <v/>
      </c>
      <c r="L835" t="str">
        <f t="shared" si="25"/>
        <v/>
      </c>
      <c r="M835" t="str">
        <f>IFERROR(IF($C835="","",SUMIFS(Ledger!$K$2:$K$4, Ledger!$B$2:$B$4, $A835, Ledger!$C$2:$C$4, M$2)),"****")</f>
        <v/>
      </c>
      <c r="N835" t="str">
        <f>IFERROR(IF($C835="","",SUMIFS(Ledger!$K$2:$K$4, Ledger!$B$2:$B$4, $A835, Ledger!$C$2:$C$4, N$2)),"****")</f>
        <v/>
      </c>
      <c r="O835" t="str">
        <f>IFERROR(IF($C835="","",SUMIFS(Ledger!$K$2:$K$4, Ledger!$B$2:$B$4, $A835, Ledger!$C$2:$C$4, O$2)),"****")</f>
        <v/>
      </c>
      <c r="P835" t="str">
        <f>IFERROR(IF($C835="","",SUMIFS(Ledger!$K$2:$K$4, Ledger!$B$2:$B$4, $A835, Ledger!$C$2:$C$4, P$2)),"****")</f>
        <v/>
      </c>
      <c r="Q835" t="str">
        <f>IFERROR(IF($C835="","",SUMIFS(Ledger!$K$2:$K$4, Ledger!$B$2:$B$4, $A835, Ledger!$C$2:$C$4, Q$2)),"****")</f>
        <v/>
      </c>
      <c r="R835" t="str">
        <f>IFERROR(IF($C835="","",SUMIFS(Ledger!$K$2:$K$4, Ledger!$B$2:$B$4, $A835, Ledger!$C$2:$C$4, R$2)),"****")</f>
        <v/>
      </c>
      <c r="S835" t="str">
        <f>IFERROR(IF($C835="","",SUMIFS(Ledger!$K$2:$K$4, Ledger!$B$2:$B$4, $A835, Ledger!$C$2:$C$4, S$2)),"****")</f>
        <v/>
      </c>
      <c r="T835" t="str">
        <f>IFERROR(IF($C835="","",SUMIFS(Ledger!$K$2:$K$4, Ledger!$B$2:$B$4, $A835, Ledger!$C$2:$C$4, T$2)),"****")</f>
        <v/>
      </c>
      <c r="U835" t="str">
        <f>IFERROR(IF($C835="","",SUMIFS(Ledger!$K$2:$K$4, Ledger!$B$2:$B$4, $A835, Ledger!$C$2:$C$4, U$2)),"****")</f>
        <v/>
      </c>
      <c r="V835" t="str">
        <f>IFERROR(IF($C835="","",SUMIFS(Ledger!$K$2:$K$4, Ledger!$B$2:$B$4, $A835, Ledger!$C$2:$C$4, V$2)),"****")</f>
        <v/>
      </c>
      <c r="W835" t="str">
        <f>IFERROR(IF($C835="","",SUMIFS(Ledger!$K$2:$K$4, Ledger!$B$2:$B$4, $A835, Ledger!$C$2:$C$4, W$2)),"****")</f>
        <v/>
      </c>
      <c r="X835" t="str">
        <f>IFERROR(IF($C835="","",SUMIFS(Ledger!$K$2:$K$4, Ledger!$B$2:$B$4, $A835, Ledger!$C$2:$C$4, X$2)),"****")</f>
        <v/>
      </c>
    </row>
    <row r="836" spans="1:24" x14ac:dyDescent="0.3">
      <c r="A836" s="106">
        <v>834</v>
      </c>
      <c r="B836" t="str">
        <f>IFERROR(VLOOKUP($A836, Ledger!$B$2:$L$8, 3, 0),"")</f>
        <v/>
      </c>
      <c r="C836" t="str">
        <f>IFERROR(VLOOKUP($A836, Ledger!$B$2:$L$8, 4, 0),"")</f>
        <v/>
      </c>
      <c r="D836" t="str">
        <f>IFERROR(VLOOKUP($A836, Ledger!$B$2:$L$8, 5, 0),"")</f>
        <v/>
      </c>
      <c r="E836" t="str">
        <f>IFERROR(VLOOKUP($A836, Ledger!$B$2:$L$8, 6, 0),"")</f>
        <v/>
      </c>
      <c r="F836" t="str">
        <f>IFERROR(VLOOKUP($A836,'Student Data'!$A$2:$AR$6,32,0),"")</f>
        <v/>
      </c>
      <c r="G836" t="str">
        <f>IFERROR(VLOOKUP($A836,'Student Data'!$A$2:$AR$6,33,0),"")</f>
        <v/>
      </c>
      <c r="H836" t="str">
        <f>IFERROR(VLOOKUP($A836,'Student Data'!$A$2:$AR$6,34,0),"")</f>
        <v/>
      </c>
      <c r="I836" t="str">
        <f>IFERROR(VLOOKUP($A836,'Student Data'!$A$2:$AR$6,35,0),"")</f>
        <v/>
      </c>
      <c r="J836" t="str">
        <f>IFERROR(VLOOKUP($A836,'Student Data'!$A$2:$AR$6,36,0),"")</f>
        <v/>
      </c>
      <c r="K836" t="str">
        <f t="shared" ref="K836:K899" si="26">IFERROR(IF(C836="","",SUM(M836:X836)),"0")</f>
        <v/>
      </c>
      <c r="L836" t="str">
        <f t="shared" ref="L836:L899" si="27">IFERROR(IF(C836="","",J836-K836),"0")</f>
        <v/>
      </c>
      <c r="M836" t="str">
        <f>IFERROR(IF($C836="","",SUMIFS(Ledger!$K$2:$K$4, Ledger!$B$2:$B$4, $A836, Ledger!$C$2:$C$4, M$2)),"****")</f>
        <v/>
      </c>
      <c r="N836" t="str">
        <f>IFERROR(IF($C836="","",SUMIFS(Ledger!$K$2:$K$4, Ledger!$B$2:$B$4, $A836, Ledger!$C$2:$C$4, N$2)),"****")</f>
        <v/>
      </c>
      <c r="O836" t="str">
        <f>IFERROR(IF($C836="","",SUMIFS(Ledger!$K$2:$K$4, Ledger!$B$2:$B$4, $A836, Ledger!$C$2:$C$4, O$2)),"****")</f>
        <v/>
      </c>
      <c r="P836" t="str">
        <f>IFERROR(IF($C836="","",SUMIFS(Ledger!$K$2:$K$4, Ledger!$B$2:$B$4, $A836, Ledger!$C$2:$C$4, P$2)),"****")</f>
        <v/>
      </c>
      <c r="Q836" t="str">
        <f>IFERROR(IF($C836="","",SUMIFS(Ledger!$K$2:$K$4, Ledger!$B$2:$B$4, $A836, Ledger!$C$2:$C$4, Q$2)),"****")</f>
        <v/>
      </c>
      <c r="R836" t="str">
        <f>IFERROR(IF($C836="","",SUMIFS(Ledger!$K$2:$K$4, Ledger!$B$2:$B$4, $A836, Ledger!$C$2:$C$4, R$2)),"****")</f>
        <v/>
      </c>
      <c r="S836" t="str">
        <f>IFERROR(IF($C836="","",SUMIFS(Ledger!$K$2:$K$4, Ledger!$B$2:$B$4, $A836, Ledger!$C$2:$C$4, S$2)),"****")</f>
        <v/>
      </c>
      <c r="T836" t="str">
        <f>IFERROR(IF($C836="","",SUMIFS(Ledger!$K$2:$K$4, Ledger!$B$2:$B$4, $A836, Ledger!$C$2:$C$4, T$2)),"****")</f>
        <v/>
      </c>
      <c r="U836" t="str">
        <f>IFERROR(IF($C836="","",SUMIFS(Ledger!$K$2:$K$4, Ledger!$B$2:$B$4, $A836, Ledger!$C$2:$C$4, U$2)),"****")</f>
        <v/>
      </c>
      <c r="V836" t="str">
        <f>IFERROR(IF($C836="","",SUMIFS(Ledger!$K$2:$K$4, Ledger!$B$2:$B$4, $A836, Ledger!$C$2:$C$4, V$2)),"****")</f>
        <v/>
      </c>
      <c r="W836" t="str">
        <f>IFERROR(IF($C836="","",SUMIFS(Ledger!$K$2:$K$4, Ledger!$B$2:$B$4, $A836, Ledger!$C$2:$C$4, W$2)),"****")</f>
        <v/>
      </c>
      <c r="X836" t="str">
        <f>IFERROR(IF($C836="","",SUMIFS(Ledger!$K$2:$K$4, Ledger!$B$2:$B$4, $A836, Ledger!$C$2:$C$4, X$2)),"****")</f>
        <v/>
      </c>
    </row>
    <row r="837" spans="1:24" x14ac:dyDescent="0.3">
      <c r="A837" s="106">
        <v>835</v>
      </c>
      <c r="B837" t="str">
        <f>IFERROR(VLOOKUP($A837, Ledger!$B$2:$L$8, 3, 0),"")</f>
        <v/>
      </c>
      <c r="C837" t="str">
        <f>IFERROR(VLOOKUP($A837, Ledger!$B$2:$L$8, 4, 0),"")</f>
        <v/>
      </c>
      <c r="D837" t="str">
        <f>IFERROR(VLOOKUP($A837, Ledger!$B$2:$L$8, 5, 0),"")</f>
        <v/>
      </c>
      <c r="E837" t="str">
        <f>IFERROR(VLOOKUP($A837, Ledger!$B$2:$L$8, 6, 0),"")</f>
        <v/>
      </c>
      <c r="F837" t="str">
        <f>IFERROR(VLOOKUP($A837,'Student Data'!$A$2:$AR$6,32,0),"")</f>
        <v/>
      </c>
      <c r="G837" t="str">
        <f>IFERROR(VLOOKUP($A837,'Student Data'!$A$2:$AR$6,33,0),"")</f>
        <v/>
      </c>
      <c r="H837" t="str">
        <f>IFERROR(VLOOKUP($A837,'Student Data'!$A$2:$AR$6,34,0),"")</f>
        <v/>
      </c>
      <c r="I837" t="str">
        <f>IFERROR(VLOOKUP($A837,'Student Data'!$A$2:$AR$6,35,0),"")</f>
        <v/>
      </c>
      <c r="J837" t="str">
        <f>IFERROR(VLOOKUP($A837,'Student Data'!$A$2:$AR$6,36,0),"")</f>
        <v/>
      </c>
      <c r="K837" t="str">
        <f t="shared" si="26"/>
        <v/>
      </c>
      <c r="L837" t="str">
        <f t="shared" si="27"/>
        <v/>
      </c>
      <c r="M837" t="str">
        <f>IFERROR(IF($C837="","",SUMIFS(Ledger!$K$2:$K$4, Ledger!$B$2:$B$4, $A837, Ledger!$C$2:$C$4, M$2)),"****")</f>
        <v/>
      </c>
      <c r="N837" t="str">
        <f>IFERROR(IF($C837="","",SUMIFS(Ledger!$K$2:$K$4, Ledger!$B$2:$B$4, $A837, Ledger!$C$2:$C$4, N$2)),"****")</f>
        <v/>
      </c>
      <c r="O837" t="str">
        <f>IFERROR(IF($C837="","",SUMIFS(Ledger!$K$2:$K$4, Ledger!$B$2:$B$4, $A837, Ledger!$C$2:$C$4, O$2)),"****")</f>
        <v/>
      </c>
      <c r="P837" t="str">
        <f>IFERROR(IF($C837="","",SUMIFS(Ledger!$K$2:$K$4, Ledger!$B$2:$B$4, $A837, Ledger!$C$2:$C$4, P$2)),"****")</f>
        <v/>
      </c>
      <c r="Q837" t="str">
        <f>IFERROR(IF($C837="","",SUMIFS(Ledger!$K$2:$K$4, Ledger!$B$2:$B$4, $A837, Ledger!$C$2:$C$4, Q$2)),"****")</f>
        <v/>
      </c>
      <c r="R837" t="str">
        <f>IFERROR(IF($C837="","",SUMIFS(Ledger!$K$2:$K$4, Ledger!$B$2:$B$4, $A837, Ledger!$C$2:$C$4, R$2)),"****")</f>
        <v/>
      </c>
      <c r="S837" t="str">
        <f>IFERROR(IF($C837="","",SUMIFS(Ledger!$K$2:$K$4, Ledger!$B$2:$B$4, $A837, Ledger!$C$2:$C$4, S$2)),"****")</f>
        <v/>
      </c>
      <c r="T837" t="str">
        <f>IFERROR(IF($C837="","",SUMIFS(Ledger!$K$2:$K$4, Ledger!$B$2:$B$4, $A837, Ledger!$C$2:$C$4, T$2)),"****")</f>
        <v/>
      </c>
      <c r="U837" t="str">
        <f>IFERROR(IF($C837="","",SUMIFS(Ledger!$K$2:$K$4, Ledger!$B$2:$B$4, $A837, Ledger!$C$2:$C$4, U$2)),"****")</f>
        <v/>
      </c>
      <c r="V837" t="str">
        <f>IFERROR(IF($C837="","",SUMIFS(Ledger!$K$2:$K$4, Ledger!$B$2:$B$4, $A837, Ledger!$C$2:$C$4, V$2)),"****")</f>
        <v/>
      </c>
      <c r="W837" t="str">
        <f>IFERROR(IF($C837="","",SUMIFS(Ledger!$K$2:$K$4, Ledger!$B$2:$B$4, $A837, Ledger!$C$2:$C$4, W$2)),"****")</f>
        <v/>
      </c>
      <c r="X837" t="str">
        <f>IFERROR(IF($C837="","",SUMIFS(Ledger!$K$2:$K$4, Ledger!$B$2:$B$4, $A837, Ledger!$C$2:$C$4, X$2)),"****")</f>
        <v/>
      </c>
    </row>
    <row r="838" spans="1:24" x14ac:dyDescent="0.3">
      <c r="A838" s="106">
        <v>836</v>
      </c>
      <c r="B838" t="str">
        <f>IFERROR(VLOOKUP($A838, Ledger!$B$2:$L$8, 3, 0),"")</f>
        <v/>
      </c>
      <c r="C838" t="str">
        <f>IFERROR(VLOOKUP($A838, Ledger!$B$2:$L$8, 4, 0),"")</f>
        <v/>
      </c>
      <c r="D838" t="str">
        <f>IFERROR(VLOOKUP($A838, Ledger!$B$2:$L$8, 5, 0),"")</f>
        <v/>
      </c>
      <c r="E838" t="str">
        <f>IFERROR(VLOOKUP($A838, Ledger!$B$2:$L$8, 6, 0),"")</f>
        <v/>
      </c>
      <c r="F838" t="str">
        <f>IFERROR(VLOOKUP($A838,'Student Data'!$A$2:$AR$6,32,0),"")</f>
        <v/>
      </c>
      <c r="G838" t="str">
        <f>IFERROR(VLOOKUP($A838,'Student Data'!$A$2:$AR$6,33,0),"")</f>
        <v/>
      </c>
      <c r="H838" t="str">
        <f>IFERROR(VLOOKUP($A838,'Student Data'!$A$2:$AR$6,34,0),"")</f>
        <v/>
      </c>
      <c r="I838" t="str">
        <f>IFERROR(VLOOKUP($A838,'Student Data'!$A$2:$AR$6,35,0),"")</f>
        <v/>
      </c>
      <c r="J838" t="str">
        <f>IFERROR(VLOOKUP($A838,'Student Data'!$A$2:$AR$6,36,0),"")</f>
        <v/>
      </c>
      <c r="K838" t="str">
        <f t="shared" si="26"/>
        <v/>
      </c>
      <c r="L838" t="str">
        <f t="shared" si="27"/>
        <v/>
      </c>
      <c r="M838" t="str">
        <f>IFERROR(IF($C838="","",SUMIFS(Ledger!$K$2:$K$4, Ledger!$B$2:$B$4, $A838, Ledger!$C$2:$C$4, M$2)),"****")</f>
        <v/>
      </c>
      <c r="N838" t="str">
        <f>IFERROR(IF($C838="","",SUMIFS(Ledger!$K$2:$K$4, Ledger!$B$2:$B$4, $A838, Ledger!$C$2:$C$4, N$2)),"****")</f>
        <v/>
      </c>
      <c r="O838" t="str">
        <f>IFERROR(IF($C838="","",SUMIFS(Ledger!$K$2:$K$4, Ledger!$B$2:$B$4, $A838, Ledger!$C$2:$C$4, O$2)),"****")</f>
        <v/>
      </c>
      <c r="P838" t="str">
        <f>IFERROR(IF($C838="","",SUMIFS(Ledger!$K$2:$K$4, Ledger!$B$2:$B$4, $A838, Ledger!$C$2:$C$4, P$2)),"****")</f>
        <v/>
      </c>
      <c r="Q838" t="str">
        <f>IFERROR(IF($C838="","",SUMIFS(Ledger!$K$2:$K$4, Ledger!$B$2:$B$4, $A838, Ledger!$C$2:$C$4, Q$2)),"****")</f>
        <v/>
      </c>
      <c r="R838" t="str">
        <f>IFERROR(IF($C838="","",SUMIFS(Ledger!$K$2:$K$4, Ledger!$B$2:$B$4, $A838, Ledger!$C$2:$C$4, R$2)),"****")</f>
        <v/>
      </c>
      <c r="S838" t="str">
        <f>IFERROR(IF($C838="","",SUMIFS(Ledger!$K$2:$K$4, Ledger!$B$2:$B$4, $A838, Ledger!$C$2:$C$4, S$2)),"****")</f>
        <v/>
      </c>
      <c r="T838" t="str">
        <f>IFERROR(IF($C838="","",SUMIFS(Ledger!$K$2:$K$4, Ledger!$B$2:$B$4, $A838, Ledger!$C$2:$C$4, T$2)),"****")</f>
        <v/>
      </c>
      <c r="U838" t="str">
        <f>IFERROR(IF($C838="","",SUMIFS(Ledger!$K$2:$K$4, Ledger!$B$2:$B$4, $A838, Ledger!$C$2:$C$4, U$2)),"****")</f>
        <v/>
      </c>
      <c r="V838" t="str">
        <f>IFERROR(IF($C838="","",SUMIFS(Ledger!$K$2:$K$4, Ledger!$B$2:$B$4, $A838, Ledger!$C$2:$C$4, V$2)),"****")</f>
        <v/>
      </c>
      <c r="W838" t="str">
        <f>IFERROR(IF($C838="","",SUMIFS(Ledger!$K$2:$K$4, Ledger!$B$2:$B$4, $A838, Ledger!$C$2:$C$4, W$2)),"****")</f>
        <v/>
      </c>
      <c r="X838" t="str">
        <f>IFERROR(IF($C838="","",SUMIFS(Ledger!$K$2:$K$4, Ledger!$B$2:$B$4, $A838, Ledger!$C$2:$C$4, X$2)),"****")</f>
        <v/>
      </c>
    </row>
    <row r="839" spans="1:24" x14ac:dyDescent="0.3">
      <c r="A839" s="106">
        <v>837</v>
      </c>
      <c r="B839" t="str">
        <f>IFERROR(VLOOKUP($A839, Ledger!$B$2:$L$8, 3, 0),"")</f>
        <v/>
      </c>
      <c r="C839" t="str">
        <f>IFERROR(VLOOKUP($A839, Ledger!$B$2:$L$8, 4, 0),"")</f>
        <v/>
      </c>
      <c r="D839" t="str">
        <f>IFERROR(VLOOKUP($A839, Ledger!$B$2:$L$8, 5, 0),"")</f>
        <v/>
      </c>
      <c r="E839" t="str">
        <f>IFERROR(VLOOKUP($A839, Ledger!$B$2:$L$8, 6, 0),"")</f>
        <v/>
      </c>
      <c r="F839" t="str">
        <f>IFERROR(VLOOKUP($A839,'Student Data'!$A$2:$AR$6,32,0),"")</f>
        <v/>
      </c>
      <c r="G839" t="str">
        <f>IFERROR(VLOOKUP($A839,'Student Data'!$A$2:$AR$6,33,0),"")</f>
        <v/>
      </c>
      <c r="H839" t="str">
        <f>IFERROR(VLOOKUP($A839,'Student Data'!$A$2:$AR$6,34,0),"")</f>
        <v/>
      </c>
      <c r="I839" t="str">
        <f>IFERROR(VLOOKUP($A839,'Student Data'!$A$2:$AR$6,35,0),"")</f>
        <v/>
      </c>
      <c r="J839" t="str">
        <f>IFERROR(VLOOKUP($A839,'Student Data'!$A$2:$AR$6,36,0),"")</f>
        <v/>
      </c>
      <c r="K839" t="str">
        <f t="shared" si="26"/>
        <v/>
      </c>
      <c r="L839" t="str">
        <f t="shared" si="27"/>
        <v/>
      </c>
      <c r="M839" t="str">
        <f>IFERROR(IF($C839="","",SUMIFS(Ledger!$K$2:$K$4, Ledger!$B$2:$B$4, $A839, Ledger!$C$2:$C$4, M$2)),"****")</f>
        <v/>
      </c>
      <c r="N839" t="str">
        <f>IFERROR(IF($C839="","",SUMIFS(Ledger!$K$2:$K$4, Ledger!$B$2:$B$4, $A839, Ledger!$C$2:$C$4, N$2)),"****")</f>
        <v/>
      </c>
      <c r="O839" t="str">
        <f>IFERROR(IF($C839="","",SUMIFS(Ledger!$K$2:$K$4, Ledger!$B$2:$B$4, $A839, Ledger!$C$2:$C$4, O$2)),"****")</f>
        <v/>
      </c>
      <c r="P839" t="str">
        <f>IFERROR(IF($C839="","",SUMIFS(Ledger!$K$2:$K$4, Ledger!$B$2:$B$4, $A839, Ledger!$C$2:$C$4, P$2)),"****")</f>
        <v/>
      </c>
      <c r="Q839" t="str">
        <f>IFERROR(IF($C839="","",SUMIFS(Ledger!$K$2:$K$4, Ledger!$B$2:$B$4, $A839, Ledger!$C$2:$C$4, Q$2)),"****")</f>
        <v/>
      </c>
      <c r="R839" t="str">
        <f>IFERROR(IF($C839="","",SUMIFS(Ledger!$K$2:$K$4, Ledger!$B$2:$B$4, $A839, Ledger!$C$2:$C$4, R$2)),"****")</f>
        <v/>
      </c>
      <c r="S839" t="str">
        <f>IFERROR(IF($C839="","",SUMIFS(Ledger!$K$2:$K$4, Ledger!$B$2:$B$4, $A839, Ledger!$C$2:$C$4, S$2)),"****")</f>
        <v/>
      </c>
      <c r="T839" t="str">
        <f>IFERROR(IF($C839="","",SUMIFS(Ledger!$K$2:$K$4, Ledger!$B$2:$B$4, $A839, Ledger!$C$2:$C$4, T$2)),"****")</f>
        <v/>
      </c>
      <c r="U839" t="str">
        <f>IFERROR(IF($C839="","",SUMIFS(Ledger!$K$2:$K$4, Ledger!$B$2:$B$4, $A839, Ledger!$C$2:$C$4, U$2)),"****")</f>
        <v/>
      </c>
      <c r="V839" t="str">
        <f>IFERROR(IF($C839="","",SUMIFS(Ledger!$K$2:$K$4, Ledger!$B$2:$B$4, $A839, Ledger!$C$2:$C$4, V$2)),"****")</f>
        <v/>
      </c>
      <c r="W839" t="str">
        <f>IFERROR(IF($C839="","",SUMIFS(Ledger!$K$2:$K$4, Ledger!$B$2:$B$4, $A839, Ledger!$C$2:$C$4, W$2)),"****")</f>
        <v/>
      </c>
      <c r="X839" t="str">
        <f>IFERROR(IF($C839="","",SUMIFS(Ledger!$K$2:$K$4, Ledger!$B$2:$B$4, $A839, Ledger!$C$2:$C$4, X$2)),"****")</f>
        <v/>
      </c>
    </row>
    <row r="840" spans="1:24" x14ac:dyDescent="0.3">
      <c r="A840" s="106">
        <v>838</v>
      </c>
      <c r="B840" t="str">
        <f>IFERROR(VLOOKUP($A840, Ledger!$B$2:$L$8, 3, 0),"")</f>
        <v/>
      </c>
      <c r="C840" t="str">
        <f>IFERROR(VLOOKUP($A840, Ledger!$B$2:$L$8, 4, 0),"")</f>
        <v/>
      </c>
      <c r="D840" t="str">
        <f>IFERROR(VLOOKUP($A840, Ledger!$B$2:$L$8, 5, 0),"")</f>
        <v/>
      </c>
      <c r="E840" t="str">
        <f>IFERROR(VLOOKUP($A840, Ledger!$B$2:$L$8, 6, 0),"")</f>
        <v/>
      </c>
      <c r="F840" t="str">
        <f>IFERROR(VLOOKUP($A840,'Student Data'!$A$2:$AR$6,32,0),"")</f>
        <v/>
      </c>
      <c r="G840" t="str">
        <f>IFERROR(VLOOKUP($A840,'Student Data'!$A$2:$AR$6,33,0),"")</f>
        <v/>
      </c>
      <c r="H840" t="str">
        <f>IFERROR(VLOOKUP($A840,'Student Data'!$A$2:$AR$6,34,0),"")</f>
        <v/>
      </c>
      <c r="I840" t="str">
        <f>IFERROR(VLOOKUP($A840,'Student Data'!$A$2:$AR$6,35,0),"")</f>
        <v/>
      </c>
      <c r="J840" t="str">
        <f>IFERROR(VLOOKUP($A840,'Student Data'!$A$2:$AR$6,36,0),"")</f>
        <v/>
      </c>
      <c r="K840" t="str">
        <f t="shared" si="26"/>
        <v/>
      </c>
      <c r="L840" t="str">
        <f t="shared" si="27"/>
        <v/>
      </c>
      <c r="M840" t="str">
        <f>IFERROR(IF($C840="","",SUMIFS(Ledger!$K$2:$K$4, Ledger!$B$2:$B$4, $A840, Ledger!$C$2:$C$4, M$2)),"****")</f>
        <v/>
      </c>
      <c r="N840" t="str">
        <f>IFERROR(IF($C840="","",SUMIFS(Ledger!$K$2:$K$4, Ledger!$B$2:$B$4, $A840, Ledger!$C$2:$C$4, N$2)),"****")</f>
        <v/>
      </c>
      <c r="O840" t="str">
        <f>IFERROR(IF($C840="","",SUMIFS(Ledger!$K$2:$K$4, Ledger!$B$2:$B$4, $A840, Ledger!$C$2:$C$4, O$2)),"****")</f>
        <v/>
      </c>
      <c r="P840" t="str">
        <f>IFERROR(IF($C840="","",SUMIFS(Ledger!$K$2:$K$4, Ledger!$B$2:$B$4, $A840, Ledger!$C$2:$C$4, P$2)),"****")</f>
        <v/>
      </c>
      <c r="Q840" t="str">
        <f>IFERROR(IF($C840="","",SUMIFS(Ledger!$K$2:$K$4, Ledger!$B$2:$B$4, $A840, Ledger!$C$2:$C$4, Q$2)),"****")</f>
        <v/>
      </c>
      <c r="R840" t="str">
        <f>IFERROR(IF($C840="","",SUMIFS(Ledger!$K$2:$K$4, Ledger!$B$2:$B$4, $A840, Ledger!$C$2:$C$4, R$2)),"****")</f>
        <v/>
      </c>
      <c r="S840" t="str">
        <f>IFERROR(IF($C840="","",SUMIFS(Ledger!$K$2:$K$4, Ledger!$B$2:$B$4, $A840, Ledger!$C$2:$C$4, S$2)),"****")</f>
        <v/>
      </c>
      <c r="T840" t="str">
        <f>IFERROR(IF($C840="","",SUMIFS(Ledger!$K$2:$K$4, Ledger!$B$2:$B$4, $A840, Ledger!$C$2:$C$4, T$2)),"****")</f>
        <v/>
      </c>
      <c r="U840" t="str">
        <f>IFERROR(IF($C840="","",SUMIFS(Ledger!$K$2:$K$4, Ledger!$B$2:$B$4, $A840, Ledger!$C$2:$C$4, U$2)),"****")</f>
        <v/>
      </c>
      <c r="V840" t="str">
        <f>IFERROR(IF($C840="","",SUMIFS(Ledger!$K$2:$K$4, Ledger!$B$2:$B$4, $A840, Ledger!$C$2:$C$4, V$2)),"****")</f>
        <v/>
      </c>
      <c r="W840" t="str">
        <f>IFERROR(IF($C840="","",SUMIFS(Ledger!$K$2:$K$4, Ledger!$B$2:$B$4, $A840, Ledger!$C$2:$C$4, W$2)),"****")</f>
        <v/>
      </c>
      <c r="X840" t="str">
        <f>IFERROR(IF($C840="","",SUMIFS(Ledger!$K$2:$K$4, Ledger!$B$2:$B$4, $A840, Ledger!$C$2:$C$4, X$2)),"****")</f>
        <v/>
      </c>
    </row>
    <row r="841" spans="1:24" x14ac:dyDescent="0.3">
      <c r="A841" s="106">
        <v>839</v>
      </c>
      <c r="B841" t="str">
        <f>IFERROR(VLOOKUP($A841, Ledger!$B$2:$L$8, 3, 0),"")</f>
        <v/>
      </c>
      <c r="C841" t="str">
        <f>IFERROR(VLOOKUP($A841, Ledger!$B$2:$L$8, 4, 0),"")</f>
        <v/>
      </c>
      <c r="D841" t="str">
        <f>IFERROR(VLOOKUP($A841, Ledger!$B$2:$L$8, 5, 0),"")</f>
        <v/>
      </c>
      <c r="E841" t="str">
        <f>IFERROR(VLOOKUP($A841, Ledger!$B$2:$L$8, 6, 0),"")</f>
        <v/>
      </c>
      <c r="F841" t="str">
        <f>IFERROR(VLOOKUP($A841,'Student Data'!$A$2:$AR$6,32,0),"")</f>
        <v/>
      </c>
      <c r="G841" t="str">
        <f>IFERROR(VLOOKUP($A841,'Student Data'!$A$2:$AR$6,33,0),"")</f>
        <v/>
      </c>
      <c r="H841" t="str">
        <f>IFERROR(VLOOKUP($A841,'Student Data'!$A$2:$AR$6,34,0),"")</f>
        <v/>
      </c>
      <c r="I841" t="str">
        <f>IFERROR(VLOOKUP($A841,'Student Data'!$A$2:$AR$6,35,0),"")</f>
        <v/>
      </c>
      <c r="J841" t="str">
        <f>IFERROR(VLOOKUP($A841,'Student Data'!$A$2:$AR$6,36,0),"")</f>
        <v/>
      </c>
      <c r="K841" t="str">
        <f t="shared" si="26"/>
        <v/>
      </c>
      <c r="L841" t="str">
        <f t="shared" si="27"/>
        <v/>
      </c>
      <c r="M841" t="str">
        <f>IFERROR(IF($C841="","",SUMIFS(Ledger!$K$2:$K$4, Ledger!$B$2:$B$4, $A841, Ledger!$C$2:$C$4, M$2)),"****")</f>
        <v/>
      </c>
      <c r="N841" t="str">
        <f>IFERROR(IF($C841="","",SUMIFS(Ledger!$K$2:$K$4, Ledger!$B$2:$B$4, $A841, Ledger!$C$2:$C$4, N$2)),"****")</f>
        <v/>
      </c>
      <c r="O841" t="str">
        <f>IFERROR(IF($C841="","",SUMIFS(Ledger!$K$2:$K$4, Ledger!$B$2:$B$4, $A841, Ledger!$C$2:$C$4, O$2)),"****")</f>
        <v/>
      </c>
      <c r="P841" t="str">
        <f>IFERROR(IF($C841="","",SUMIFS(Ledger!$K$2:$K$4, Ledger!$B$2:$B$4, $A841, Ledger!$C$2:$C$4, P$2)),"****")</f>
        <v/>
      </c>
      <c r="Q841" t="str">
        <f>IFERROR(IF($C841="","",SUMIFS(Ledger!$K$2:$K$4, Ledger!$B$2:$B$4, $A841, Ledger!$C$2:$C$4, Q$2)),"****")</f>
        <v/>
      </c>
      <c r="R841" t="str">
        <f>IFERROR(IF($C841="","",SUMIFS(Ledger!$K$2:$K$4, Ledger!$B$2:$B$4, $A841, Ledger!$C$2:$C$4, R$2)),"****")</f>
        <v/>
      </c>
      <c r="S841" t="str">
        <f>IFERROR(IF($C841="","",SUMIFS(Ledger!$K$2:$K$4, Ledger!$B$2:$B$4, $A841, Ledger!$C$2:$C$4, S$2)),"****")</f>
        <v/>
      </c>
      <c r="T841" t="str">
        <f>IFERROR(IF($C841="","",SUMIFS(Ledger!$K$2:$K$4, Ledger!$B$2:$B$4, $A841, Ledger!$C$2:$C$4, T$2)),"****")</f>
        <v/>
      </c>
      <c r="U841" t="str">
        <f>IFERROR(IF($C841="","",SUMIFS(Ledger!$K$2:$K$4, Ledger!$B$2:$B$4, $A841, Ledger!$C$2:$C$4, U$2)),"****")</f>
        <v/>
      </c>
      <c r="V841" t="str">
        <f>IFERROR(IF($C841="","",SUMIFS(Ledger!$K$2:$K$4, Ledger!$B$2:$B$4, $A841, Ledger!$C$2:$C$4, V$2)),"****")</f>
        <v/>
      </c>
      <c r="W841" t="str">
        <f>IFERROR(IF($C841="","",SUMIFS(Ledger!$K$2:$K$4, Ledger!$B$2:$B$4, $A841, Ledger!$C$2:$C$4, W$2)),"****")</f>
        <v/>
      </c>
      <c r="X841" t="str">
        <f>IFERROR(IF($C841="","",SUMIFS(Ledger!$K$2:$K$4, Ledger!$B$2:$B$4, $A841, Ledger!$C$2:$C$4, X$2)),"****")</f>
        <v/>
      </c>
    </row>
    <row r="842" spans="1:24" x14ac:dyDescent="0.3">
      <c r="A842" s="106">
        <v>840</v>
      </c>
      <c r="B842" t="str">
        <f>IFERROR(VLOOKUP($A842, Ledger!$B$2:$L$8, 3, 0),"")</f>
        <v/>
      </c>
      <c r="C842" t="str">
        <f>IFERROR(VLOOKUP($A842, Ledger!$B$2:$L$8, 4, 0),"")</f>
        <v/>
      </c>
      <c r="D842" t="str">
        <f>IFERROR(VLOOKUP($A842, Ledger!$B$2:$L$8, 5, 0),"")</f>
        <v/>
      </c>
      <c r="E842" t="str">
        <f>IFERROR(VLOOKUP($A842, Ledger!$B$2:$L$8, 6, 0),"")</f>
        <v/>
      </c>
      <c r="F842" t="str">
        <f>IFERROR(VLOOKUP($A842,'Student Data'!$A$2:$AR$6,32,0),"")</f>
        <v/>
      </c>
      <c r="G842" t="str">
        <f>IFERROR(VLOOKUP($A842,'Student Data'!$A$2:$AR$6,33,0),"")</f>
        <v/>
      </c>
      <c r="H842" t="str">
        <f>IFERROR(VLOOKUP($A842,'Student Data'!$A$2:$AR$6,34,0),"")</f>
        <v/>
      </c>
      <c r="I842" t="str">
        <f>IFERROR(VLOOKUP($A842,'Student Data'!$A$2:$AR$6,35,0),"")</f>
        <v/>
      </c>
      <c r="J842" t="str">
        <f>IFERROR(VLOOKUP($A842,'Student Data'!$A$2:$AR$6,36,0),"")</f>
        <v/>
      </c>
      <c r="K842" t="str">
        <f t="shared" si="26"/>
        <v/>
      </c>
      <c r="L842" t="str">
        <f t="shared" si="27"/>
        <v/>
      </c>
      <c r="M842" t="str">
        <f>IFERROR(IF($C842="","",SUMIFS(Ledger!$K$2:$K$4, Ledger!$B$2:$B$4, $A842, Ledger!$C$2:$C$4, M$2)),"****")</f>
        <v/>
      </c>
      <c r="N842" t="str">
        <f>IFERROR(IF($C842="","",SUMIFS(Ledger!$K$2:$K$4, Ledger!$B$2:$B$4, $A842, Ledger!$C$2:$C$4, N$2)),"****")</f>
        <v/>
      </c>
      <c r="O842" t="str">
        <f>IFERROR(IF($C842="","",SUMIFS(Ledger!$K$2:$K$4, Ledger!$B$2:$B$4, $A842, Ledger!$C$2:$C$4, O$2)),"****")</f>
        <v/>
      </c>
      <c r="P842" t="str">
        <f>IFERROR(IF($C842="","",SUMIFS(Ledger!$K$2:$K$4, Ledger!$B$2:$B$4, $A842, Ledger!$C$2:$C$4, P$2)),"****")</f>
        <v/>
      </c>
      <c r="Q842" t="str">
        <f>IFERROR(IF($C842="","",SUMIFS(Ledger!$K$2:$K$4, Ledger!$B$2:$B$4, $A842, Ledger!$C$2:$C$4, Q$2)),"****")</f>
        <v/>
      </c>
      <c r="R842" t="str">
        <f>IFERROR(IF($C842="","",SUMIFS(Ledger!$K$2:$K$4, Ledger!$B$2:$B$4, $A842, Ledger!$C$2:$C$4, R$2)),"****")</f>
        <v/>
      </c>
      <c r="S842" t="str">
        <f>IFERROR(IF($C842="","",SUMIFS(Ledger!$K$2:$K$4, Ledger!$B$2:$B$4, $A842, Ledger!$C$2:$C$4, S$2)),"****")</f>
        <v/>
      </c>
      <c r="T842" t="str">
        <f>IFERROR(IF($C842="","",SUMIFS(Ledger!$K$2:$K$4, Ledger!$B$2:$B$4, $A842, Ledger!$C$2:$C$4, T$2)),"****")</f>
        <v/>
      </c>
      <c r="U842" t="str">
        <f>IFERROR(IF($C842="","",SUMIFS(Ledger!$K$2:$K$4, Ledger!$B$2:$B$4, $A842, Ledger!$C$2:$C$4, U$2)),"****")</f>
        <v/>
      </c>
      <c r="V842" t="str">
        <f>IFERROR(IF($C842="","",SUMIFS(Ledger!$K$2:$K$4, Ledger!$B$2:$B$4, $A842, Ledger!$C$2:$C$4, V$2)),"****")</f>
        <v/>
      </c>
      <c r="W842" t="str">
        <f>IFERROR(IF($C842="","",SUMIFS(Ledger!$K$2:$K$4, Ledger!$B$2:$B$4, $A842, Ledger!$C$2:$C$4, W$2)),"****")</f>
        <v/>
      </c>
      <c r="X842" t="str">
        <f>IFERROR(IF($C842="","",SUMIFS(Ledger!$K$2:$K$4, Ledger!$B$2:$B$4, $A842, Ledger!$C$2:$C$4, X$2)),"****")</f>
        <v/>
      </c>
    </row>
    <row r="843" spans="1:24" x14ac:dyDescent="0.3">
      <c r="A843" s="106">
        <v>841</v>
      </c>
      <c r="B843" t="str">
        <f>IFERROR(VLOOKUP($A843, Ledger!$B$2:$L$8, 3, 0),"")</f>
        <v/>
      </c>
      <c r="C843" t="str">
        <f>IFERROR(VLOOKUP($A843, Ledger!$B$2:$L$8, 4, 0),"")</f>
        <v/>
      </c>
      <c r="D843" t="str">
        <f>IFERROR(VLOOKUP($A843, Ledger!$B$2:$L$8, 5, 0),"")</f>
        <v/>
      </c>
      <c r="E843" t="str">
        <f>IFERROR(VLOOKUP($A843, Ledger!$B$2:$L$8, 6, 0),"")</f>
        <v/>
      </c>
      <c r="F843" t="str">
        <f>IFERROR(VLOOKUP($A843,'Student Data'!$A$2:$AR$6,32,0),"")</f>
        <v/>
      </c>
      <c r="G843" t="str">
        <f>IFERROR(VLOOKUP($A843,'Student Data'!$A$2:$AR$6,33,0),"")</f>
        <v/>
      </c>
      <c r="H843" t="str">
        <f>IFERROR(VLOOKUP($A843,'Student Data'!$A$2:$AR$6,34,0),"")</f>
        <v/>
      </c>
      <c r="I843" t="str">
        <f>IFERROR(VLOOKUP($A843,'Student Data'!$A$2:$AR$6,35,0),"")</f>
        <v/>
      </c>
      <c r="J843" t="str">
        <f>IFERROR(VLOOKUP($A843,'Student Data'!$A$2:$AR$6,36,0),"")</f>
        <v/>
      </c>
      <c r="K843" t="str">
        <f t="shared" si="26"/>
        <v/>
      </c>
      <c r="L843" t="str">
        <f t="shared" si="27"/>
        <v/>
      </c>
      <c r="M843" t="str">
        <f>IFERROR(IF($C843="","",SUMIFS(Ledger!$K$2:$K$4, Ledger!$B$2:$B$4, $A843, Ledger!$C$2:$C$4, M$2)),"****")</f>
        <v/>
      </c>
      <c r="N843" t="str">
        <f>IFERROR(IF($C843="","",SUMIFS(Ledger!$K$2:$K$4, Ledger!$B$2:$B$4, $A843, Ledger!$C$2:$C$4, N$2)),"****")</f>
        <v/>
      </c>
      <c r="O843" t="str">
        <f>IFERROR(IF($C843="","",SUMIFS(Ledger!$K$2:$K$4, Ledger!$B$2:$B$4, $A843, Ledger!$C$2:$C$4, O$2)),"****")</f>
        <v/>
      </c>
      <c r="P843" t="str">
        <f>IFERROR(IF($C843="","",SUMIFS(Ledger!$K$2:$K$4, Ledger!$B$2:$B$4, $A843, Ledger!$C$2:$C$4, P$2)),"****")</f>
        <v/>
      </c>
      <c r="Q843" t="str">
        <f>IFERROR(IF($C843="","",SUMIFS(Ledger!$K$2:$K$4, Ledger!$B$2:$B$4, $A843, Ledger!$C$2:$C$4, Q$2)),"****")</f>
        <v/>
      </c>
      <c r="R843" t="str">
        <f>IFERROR(IF($C843="","",SUMIFS(Ledger!$K$2:$K$4, Ledger!$B$2:$B$4, $A843, Ledger!$C$2:$C$4, R$2)),"****")</f>
        <v/>
      </c>
      <c r="S843" t="str">
        <f>IFERROR(IF($C843="","",SUMIFS(Ledger!$K$2:$K$4, Ledger!$B$2:$B$4, $A843, Ledger!$C$2:$C$4, S$2)),"****")</f>
        <v/>
      </c>
      <c r="T843" t="str">
        <f>IFERROR(IF($C843="","",SUMIFS(Ledger!$K$2:$K$4, Ledger!$B$2:$B$4, $A843, Ledger!$C$2:$C$4, T$2)),"****")</f>
        <v/>
      </c>
      <c r="U843" t="str">
        <f>IFERROR(IF($C843="","",SUMIFS(Ledger!$K$2:$K$4, Ledger!$B$2:$B$4, $A843, Ledger!$C$2:$C$4, U$2)),"****")</f>
        <v/>
      </c>
      <c r="V843" t="str">
        <f>IFERROR(IF($C843="","",SUMIFS(Ledger!$K$2:$K$4, Ledger!$B$2:$B$4, $A843, Ledger!$C$2:$C$4, V$2)),"****")</f>
        <v/>
      </c>
      <c r="W843" t="str">
        <f>IFERROR(IF($C843="","",SUMIFS(Ledger!$K$2:$K$4, Ledger!$B$2:$B$4, $A843, Ledger!$C$2:$C$4, W$2)),"****")</f>
        <v/>
      </c>
      <c r="X843" t="str">
        <f>IFERROR(IF($C843="","",SUMIFS(Ledger!$K$2:$K$4, Ledger!$B$2:$B$4, $A843, Ledger!$C$2:$C$4, X$2)),"****")</f>
        <v/>
      </c>
    </row>
    <row r="844" spans="1:24" x14ac:dyDescent="0.3">
      <c r="A844" s="106">
        <v>842</v>
      </c>
      <c r="B844" t="str">
        <f>IFERROR(VLOOKUP($A844, Ledger!$B$2:$L$8, 3, 0),"")</f>
        <v/>
      </c>
      <c r="C844" t="str">
        <f>IFERROR(VLOOKUP($A844, Ledger!$B$2:$L$8, 4, 0),"")</f>
        <v/>
      </c>
      <c r="D844" t="str">
        <f>IFERROR(VLOOKUP($A844, Ledger!$B$2:$L$8, 5, 0),"")</f>
        <v/>
      </c>
      <c r="E844" t="str">
        <f>IFERROR(VLOOKUP($A844, Ledger!$B$2:$L$8, 6, 0),"")</f>
        <v/>
      </c>
      <c r="F844" t="str">
        <f>IFERROR(VLOOKUP($A844,'Student Data'!$A$2:$AR$6,32,0),"")</f>
        <v/>
      </c>
      <c r="G844" t="str">
        <f>IFERROR(VLOOKUP($A844,'Student Data'!$A$2:$AR$6,33,0),"")</f>
        <v/>
      </c>
      <c r="H844" t="str">
        <f>IFERROR(VLOOKUP($A844,'Student Data'!$A$2:$AR$6,34,0),"")</f>
        <v/>
      </c>
      <c r="I844" t="str">
        <f>IFERROR(VLOOKUP($A844,'Student Data'!$A$2:$AR$6,35,0),"")</f>
        <v/>
      </c>
      <c r="J844" t="str">
        <f>IFERROR(VLOOKUP($A844,'Student Data'!$A$2:$AR$6,36,0),"")</f>
        <v/>
      </c>
      <c r="K844" t="str">
        <f t="shared" si="26"/>
        <v/>
      </c>
      <c r="L844" t="str">
        <f t="shared" si="27"/>
        <v/>
      </c>
      <c r="M844" t="str">
        <f>IFERROR(IF($C844="","",SUMIFS(Ledger!$K$2:$K$4, Ledger!$B$2:$B$4, $A844, Ledger!$C$2:$C$4, M$2)),"****")</f>
        <v/>
      </c>
      <c r="N844" t="str">
        <f>IFERROR(IF($C844="","",SUMIFS(Ledger!$K$2:$K$4, Ledger!$B$2:$B$4, $A844, Ledger!$C$2:$C$4, N$2)),"****")</f>
        <v/>
      </c>
      <c r="O844" t="str">
        <f>IFERROR(IF($C844="","",SUMIFS(Ledger!$K$2:$K$4, Ledger!$B$2:$B$4, $A844, Ledger!$C$2:$C$4, O$2)),"****")</f>
        <v/>
      </c>
      <c r="P844" t="str">
        <f>IFERROR(IF($C844="","",SUMIFS(Ledger!$K$2:$K$4, Ledger!$B$2:$B$4, $A844, Ledger!$C$2:$C$4, P$2)),"****")</f>
        <v/>
      </c>
      <c r="Q844" t="str">
        <f>IFERROR(IF($C844="","",SUMIFS(Ledger!$K$2:$K$4, Ledger!$B$2:$B$4, $A844, Ledger!$C$2:$C$4, Q$2)),"****")</f>
        <v/>
      </c>
      <c r="R844" t="str">
        <f>IFERROR(IF($C844="","",SUMIFS(Ledger!$K$2:$K$4, Ledger!$B$2:$B$4, $A844, Ledger!$C$2:$C$4, R$2)),"****")</f>
        <v/>
      </c>
      <c r="S844" t="str">
        <f>IFERROR(IF($C844="","",SUMIFS(Ledger!$K$2:$K$4, Ledger!$B$2:$B$4, $A844, Ledger!$C$2:$C$4, S$2)),"****")</f>
        <v/>
      </c>
      <c r="T844" t="str">
        <f>IFERROR(IF($C844="","",SUMIFS(Ledger!$K$2:$K$4, Ledger!$B$2:$B$4, $A844, Ledger!$C$2:$C$4, T$2)),"****")</f>
        <v/>
      </c>
      <c r="U844" t="str">
        <f>IFERROR(IF($C844="","",SUMIFS(Ledger!$K$2:$K$4, Ledger!$B$2:$B$4, $A844, Ledger!$C$2:$C$4, U$2)),"****")</f>
        <v/>
      </c>
      <c r="V844" t="str">
        <f>IFERROR(IF($C844="","",SUMIFS(Ledger!$K$2:$K$4, Ledger!$B$2:$B$4, $A844, Ledger!$C$2:$C$4, V$2)),"****")</f>
        <v/>
      </c>
      <c r="W844" t="str">
        <f>IFERROR(IF($C844="","",SUMIFS(Ledger!$K$2:$K$4, Ledger!$B$2:$B$4, $A844, Ledger!$C$2:$C$4, W$2)),"****")</f>
        <v/>
      </c>
      <c r="X844" t="str">
        <f>IFERROR(IF($C844="","",SUMIFS(Ledger!$K$2:$K$4, Ledger!$B$2:$B$4, $A844, Ledger!$C$2:$C$4, X$2)),"****")</f>
        <v/>
      </c>
    </row>
    <row r="845" spans="1:24" x14ac:dyDescent="0.3">
      <c r="A845" s="106">
        <v>843</v>
      </c>
      <c r="B845" t="str">
        <f>IFERROR(VLOOKUP($A845, Ledger!$B$2:$L$8, 3, 0),"")</f>
        <v/>
      </c>
      <c r="C845" t="str">
        <f>IFERROR(VLOOKUP($A845, Ledger!$B$2:$L$8, 4, 0),"")</f>
        <v/>
      </c>
      <c r="D845" t="str">
        <f>IFERROR(VLOOKUP($A845, Ledger!$B$2:$L$8, 5, 0),"")</f>
        <v/>
      </c>
      <c r="E845" t="str">
        <f>IFERROR(VLOOKUP($A845, Ledger!$B$2:$L$8, 6, 0),"")</f>
        <v/>
      </c>
      <c r="F845" t="str">
        <f>IFERROR(VLOOKUP($A845,'Student Data'!$A$2:$AR$6,32,0),"")</f>
        <v/>
      </c>
      <c r="G845" t="str">
        <f>IFERROR(VLOOKUP($A845,'Student Data'!$A$2:$AR$6,33,0),"")</f>
        <v/>
      </c>
      <c r="H845" t="str">
        <f>IFERROR(VLOOKUP($A845,'Student Data'!$A$2:$AR$6,34,0),"")</f>
        <v/>
      </c>
      <c r="I845" t="str">
        <f>IFERROR(VLOOKUP($A845,'Student Data'!$A$2:$AR$6,35,0),"")</f>
        <v/>
      </c>
      <c r="J845" t="str">
        <f>IFERROR(VLOOKUP($A845,'Student Data'!$A$2:$AR$6,36,0),"")</f>
        <v/>
      </c>
      <c r="K845" t="str">
        <f t="shared" si="26"/>
        <v/>
      </c>
      <c r="L845" t="str">
        <f t="shared" si="27"/>
        <v/>
      </c>
      <c r="M845" t="str">
        <f>IFERROR(IF($C845="","",SUMIFS(Ledger!$K$2:$K$4, Ledger!$B$2:$B$4, $A845, Ledger!$C$2:$C$4, M$2)),"****")</f>
        <v/>
      </c>
      <c r="N845" t="str">
        <f>IFERROR(IF($C845="","",SUMIFS(Ledger!$K$2:$K$4, Ledger!$B$2:$B$4, $A845, Ledger!$C$2:$C$4, N$2)),"****")</f>
        <v/>
      </c>
      <c r="O845" t="str">
        <f>IFERROR(IF($C845="","",SUMIFS(Ledger!$K$2:$K$4, Ledger!$B$2:$B$4, $A845, Ledger!$C$2:$C$4, O$2)),"****")</f>
        <v/>
      </c>
      <c r="P845" t="str">
        <f>IFERROR(IF($C845="","",SUMIFS(Ledger!$K$2:$K$4, Ledger!$B$2:$B$4, $A845, Ledger!$C$2:$C$4, P$2)),"****")</f>
        <v/>
      </c>
      <c r="Q845" t="str">
        <f>IFERROR(IF($C845="","",SUMIFS(Ledger!$K$2:$K$4, Ledger!$B$2:$B$4, $A845, Ledger!$C$2:$C$4, Q$2)),"****")</f>
        <v/>
      </c>
      <c r="R845" t="str">
        <f>IFERROR(IF($C845="","",SUMIFS(Ledger!$K$2:$K$4, Ledger!$B$2:$B$4, $A845, Ledger!$C$2:$C$4, R$2)),"****")</f>
        <v/>
      </c>
      <c r="S845" t="str">
        <f>IFERROR(IF($C845="","",SUMIFS(Ledger!$K$2:$K$4, Ledger!$B$2:$B$4, $A845, Ledger!$C$2:$C$4, S$2)),"****")</f>
        <v/>
      </c>
      <c r="T845" t="str">
        <f>IFERROR(IF($C845="","",SUMIFS(Ledger!$K$2:$K$4, Ledger!$B$2:$B$4, $A845, Ledger!$C$2:$C$4, T$2)),"****")</f>
        <v/>
      </c>
      <c r="U845" t="str">
        <f>IFERROR(IF($C845="","",SUMIFS(Ledger!$K$2:$K$4, Ledger!$B$2:$B$4, $A845, Ledger!$C$2:$C$4, U$2)),"****")</f>
        <v/>
      </c>
      <c r="V845" t="str">
        <f>IFERROR(IF($C845="","",SUMIFS(Ledger!$K$2:$K$4, Ledger!$B$2:$B$4, $A845, Ledger!$C$2:$C$4, V$2)),"****")</f>
        <v/>
      </c>
      <c r="W845" t="str">
        <f>IFERROR(IF($C845="","",SUMIFS(Ledger!$K$2:$K$4, Ledger!$B$2:$B$4, $A845, Ledger!$C$2:$C$4, W$2)),"****")</f>
        <v/>
      </c>
      <c r="X845" t="str">
        <f>IFERROR(IF($C845="","",SUMIFS(Ledger!$K$2:$K$4, Ledger!$B$2:$B$4, $A845, Ledger!$C$2:$C$4, X$2)),"****")</f>
        <v/>
      </c>
    </row>
    <row r="846" spans="1:24" x14ac:dyDescent="0.3">
      <c r="A846" s="106">
        <v>844</v>
      </c>
      <c r="B846" t="str">
        <f>IFERROR(VLOOKUP($A846, Ledger!$B$2:$L$8, 3, 0),"")</f>
        <v/>
      </c>
      <c r="C846" t="str">
        <f>IFERROR(VLOOKUP($A846, Ledger!$B$2:$L$8, 4, 0),"")</f>
        <v/>
      </c>
      <c r="D846" t="str">
        <f>IFERROR(VLOOKUP($A846, Ledger!$B$2:$L$8, 5, 0),"")</f>
        <v/>
      </c>
      <c r="E846" t="str">
        <f>IFERROR(VLOOKUP($A846, Ledger!$B$2:$L$8, 6, 0),"")</f>
        <v/>
      </c>
      <c r="F846" t="str">
        <f>IFERROR(VLOOKUP($A846,'Student Data'!$A$2:$AR$6,32,0),"")</f>
        <v/>
      </c>
      <c r="G846" t="str">
        <f>IFERROR(VLOOKUP($A846,'Student Data'!$A$2:$AR$6,33,0),"")</f>
        <v/>
      </c>
      <c r="H846" t="str">
        <f>IFERROR(VLOOKUP($A846,'Student Data'!$A$2:$AR$6,34,0),"")</f>
        <v/>
      </c>
      <c r="I846" t="str">
        <f>IFERROR(VLOOKUP($A846,'Student Data'!$A$2:$AR$6,35,0),"")</f>
        <v/>
      </c>
      <c r="J846" t="str">
        <f>IFERROR(VLOOKUP($A846,'Student Data'!$A$2:$AR$6,36,0),"")</f>
        <v/>
      </c>
      <c r="K846" t="str">
        <f t="shared" si="26"/>
        <v/>
      </c>
      <c r="L846" t="str">
        <f t="shared" si="27"/>
        <v/>
      </c>
      <c r="M846" t="str">
        <f>IFERROR(IF($C846="","",SUMIFS(Ledger!$K$2:$K$4, Ledger!$B$2:$B$4, $A846, Ledger!$C$2:$C$4, M$2)),"****")</f>
        <v/>
      </c>
      <c r="N846" t="str">
        <f>IFERROR(IF($C846="","",SUMIFS(Ledger!$K$2:$K$4, Ledger!$B$2:$B$4, $A846, Ledger!$C$2:$C$4, N$2)),"****")</f>
        <v/>
      </c>
      <c r="O846" t="str">
        <f>IFERROR(IF($C846="","",SUMIFS(Ledger!$K$2:$K$4, Ledger!$B$2:$B$4, $A846, Ledger!$C$2:$C$4, O$2)),"****")</f>
        <v/>
      </c>
      <c r="P846" t="str">
        <f>IFERROR(IF($C846="","",SUMIFS(Ledger!$K$2:$K$4, Ledger!$B$2:$B$4, $A846, Ledger!$C$2:$C$4, P$2)),"****")</f>
        <v/>
      </c>
      <c r="Q846" t="str">
        <f>IFERROR(IF($C846="","",SUMIFS(Ledger!$K$2:$K$4, Ledger!$B$2:$B$4, $A846, Ledger!$C$2:$C$4, Q$2)),"****")</f>
        <v/>
      </c>
      <c r="R846" t="str">
        <f>IFERROR(IF($C846="","",SUMIFS(Ledger!$K$2:$K$4, Ledger!$B$2:$B$4, $A846, Ledger!$C$2:$C$4, R$2)),"****")</f>
        <v/>
      </c>
      <c r="S846" t="str">
        <f>IFERROR(IF($C846="","",SUMIFS(Ledger!$K$2:$K$4, Ledger!$B$2:$B$4, $A846, Ledger!$C$2:$C$4, S$2)),"****")</f>
        <v/>
      </c>
      <c r="T846" t="str">
        <f>IFERROR(IF($C846="","",SUMIFS(Ledger!$K$2:$K$4, Ledger!$B$2:$B$4, $A846, Ledger!$C$2:$C$4, T$2)),"****")</f>
        <v/>
      </c>
      <c r="U846" t="str">
        <f>IFERROR(IF($C846="","",SUMIFS(Ledger!$K$2:$K$4, Ledger!$B$2:$B$4, $A846, Ledger!$C$2:$C$4, U$2)),"****")</f>
        <v/>
      </c>
      <c r="V846" t="str">
        <f>IFERROR(IF($C846="","",SUMIFS(Ledger!$K$2:$K$4, Ledger!$B$2:$B$4, $A846, Ledger!$C$2:$C$4, V$2)),"****")</f>
        <v/>
      </c>
      <c r="W846" t="str">
        <f>IFERROR(IF($C846="","",SUMIFS(Ledger!$K$2:$K$4, Ledger!$B$2:$B$4, $A846, Ledger!$C$2:$C$4, W$2)),"****")</f>
        <v/>
      </c>
      <c r="X846" t="str">
        <f>IFERROR(IF($C846="","",SUMIFS(Ledger!$K$2:$K$4, Ledger!$B$2:$B$4, $A846, Ledger!$C$2:$C$4, X$2)),"****")</f>
        <v/>
      </c>
    </row>
    <row r="847" spans="1:24" x14ac:dyDescent="0.3">
      <c r="A847" s="106">
        <v>845</v>
      </c>
      <c r="B847" t="str">
        <f>IFERROR(VLOOKUP($A847, Ledger!$B$2:$L$8, 3, 0),"")</f>
        <v/>
      </c>
      <c r="C847" t="str">
        <f>IFERROR(VLOOKUP($A847, Ledger!$B$2:$L$8, 4, 0),"")</f>
        <v/>
      </c>
      <c r="D847" t="str">
        <f>IFERROR(VLOOKUP($A847, Ledger!$B$2:$L$8, 5, 0),"")</f>
        <v/>
      </c>
      <c r="E847" t="str">
        <f>IFERROR(VLOOKUP($A847, Ledger!$B$2:$L$8, 6, 0),"")</f>
        <v/>
      </c>
      <c r="F847" t="str">
        <f>IFERROR(VLOOKUP($A847,'Student Data'!$A$2:$AR$6,32,0),"")</f>
        <v/>
      </c>
      <c r="G847" t="str">
        <f>IFERROR(VLOOKUP($A847,'Student Data'!$A$2:$AR$6,33,0),"")</f>
        <v/>
      </c>
      <c r="H847" t="str">
        <f>IFERROR(VLOOKUP($A847,'Student Data'!$A$2:$AR$6,34,0),"")</f>
        <v/>
      </c>
      <c r="I847" t="str">
        <f>IFERROR(VLOOKUP($A847,'Student Data'!$A$2:$AR$6,35,0),"")</f>
        <v/>
      </c>
      <c r="J847" t="str">
        <f>IFERROR(VLOOKUP($A847,'Student Data'!$A$2:$AR$6,36,0),"")</f>
        <v/>
      </c>
      <c r="K847" t="str">
        <f t="shared" si="26"/>
        <v/>
      </c>
      <c r="L847" t="str">
        <f t="shared" si="27"/>
        <v/>
      </c>
      <c r="M847" t="str">
        <f>IFERROR(IF($C847="","",SUMIFS(Ledger!$K$2:$K$4, Ledger!$B$2:$B$4, $A847, Ledger!$C$2:$C$4, M$2)),"****")</f>
        <v/>
      </c>
      <c r="N847" t="str">
        <f>IFERROR(IF($C847="","",SUMIFS(Ledger!$K$2:$K$4, Ledger!$B$2:$B$4, $A847, Ledger!$C$2:$C$4, N$2)),"****")</f>
        <v/>
      </c>
      <c r="O847" t="str">
        <f>IFERROR(IF($C847="","",SUMIFS(Ledger!$K$2:$K$4, Ledger!$B$2:$B$4, $A847, Ledger!$C$2:$C$4, O$2)),"****")</f>
        <v/>
      </c>
      <c r="P847" t="str">
        <f>IFERROR(IF($C847="","",SUMIFS(Ledger!$K$2:$K$4, Ledger!$B$2:$B$4, $A847, Ledger!$C$2:$C$4, P$2)),"****")</f>
        <v/>
      </c>
      <c r="Q847" t="str">
        <f>IFERROR(IF($C847="","",SUMIFS(Ledger!$K$2:$K$4, Ledger!$B$2:$B$4, $A847, Ledger!$C$2:$C$4, Q$2)),"****")</f>
        <v/>
      </c>
      <c r="R847" t="str">
        <f>IFERROR(IF($C847="","",SUMIFS(Ledger!$K$2:$K$4, Ledger!$B$2:$B$4, $A847, Ledger!$C$2:$C$4, R$2)),"****")</f>
        <v/>
      </c>
      <c r="S847" t="str">
        <f>IFERROR(IF($C847="","",SUMIFS(Ledger!$K$2:$K$4, Ledger!$B$2:$B$4, $A847, Ledger!$C$2:$C$4, S$2)),"****")</f>
        <v/>
      </c>
      <c r="T847" t="str">
        <f>IFERROR(IF($C847="","",SUMIFS(Ledger!$K$2:$K$4, Ledger!$B$2:$B$4, $A847, Ledger!$C$2:$C$4, T$2)),"****")</f>
        <v/>
      </c>
      <c r="U847" t="str">
        <f>IFERROR(IF($C847="","",SUMIFS(Ledger!$K$2:$K$4, Ledger!$B$2:$B$4, $A847, Ledger!$C$2:$C$4, U$2)),"****")</f>
        <v/>
      </c>
      <c r="V847" t="str">
        <f>IFERROR(IF($C847="","",SUMIFS(Ledger!$K$2:$K$4, Ledger!$B$2:$B$4, $A847, Ledger!$C$2:$C$4, V$2)),"****")</f>
        <v/>
      </c>
      <c r="W847" t="str">
        <f>IFERROR(IF($C847="","",SUMIFS(Ledger!$K$2:$K$4, Ledger!$B$2:$B$4, $A847, Ledger!$C$2:$C$4, W$2)),"****")</f>
        <v/>
      </c>
      <c r="X847" t="str">
        <f>IFERROR(IF($C847="","",SUMIFS(Ledger!$K$2:$K$4, Ledger!$B$2:$B$4, $A847, Ledger!$C$2:$C$4, X$2)),"****")</f>
        <v/>
      </c>
    </row>
    <row r="848" spans="1:24" x14ac:dyDescent="0.3">
      <c r="A848" s="106">
        <v>846</v>
      </c>
      <c r="B848" t="str">
        <f>IFERROR(VLOOKUP($A848, Ledger!$B$2:$L$8, 3, 0),"")</f>
        <v/>
      </c>
      <c r="C848" t="str">
        <f>IFERROR(VLOOKUP($A848, Ledger!$B$2:$L$8, 4, 0),"")</f>
        <v/>
      </c>
      <c r="D848" t="str">
        <f>IFERROR(VLOOKUP($A848, Ledger!$B$2:$L$8, 5, 0),"")</f>
        <v/>
      </c>
      <c r="E848" t="str">
        <f>IFERROR(VLOOKUP($A848, Ledger!$B$2:$L$8, 6, 0),"")</f>
        <v/>
      </c>
      <c r="F848" t="str">
        <f>IFERROR(VLOOKUP($A848,'Student Data'!$A$2:$AR$6,32,0),"")</f>
        <v/>
      </c>
      <c r="G848" t="str">
        <f>IFERROR(VLOOKUP($A848,'Student Data'!$A$2:$AR$6,33,0),"")</f>
        <v/>
      </c>
      <c r="H848" t="str">
        <f>IFERROR(VLOOKUP($A848,'Student Data'!$A$2:$AR$6,34,0),"")</f>
        <v/>
      </c>
      <c r="I848" t="str">
        <f>IFERROR(VLOOKUP($A848,'Student Data'!$A$2:$AR$6,35,0),"")</f>
        <v/>
      </c>
      <c r="J848" t="str">
        <f>IFERROR(VLOOKUP($A848,'Student Data'!$A$2:$AR$6,36,0),"")</f>
        <v/>
      </c>
      <c r="K848" t="str">
        <f t="shared" si="26"/>
        <v/>
      </c>
      <c r="L848" t="str">
        <f t="shared" si="27"/>
        <v/>
      </c>
      <c r="M848" t="str">
        <f>IFERROR(IF($C848="","",SUMIFS(Ledger!$K$2:$K$4, Ledger!$B$2:$B$4, $A848, Ledger!$C$2:$C$4, M$2)),"****")</f>
        <v/>
      </c>
      <c r="N848" t="str">
        <f>IFERROR(IF($C848="","",SUMIFS(Ledger!$K$2:$K$4, Ledger!$B$2:$B$4, $A848, Ledger!$C$2:$C$4, N$2)),"****")</f>
        <v/>
      </c>
      <c r="O848" t="str">
        <f>IFERROR(IF($C848="","",SUMIFS(Ledger!$K$2:$K$4, Ledger!$B$2:$B$4, $A848, Ledger!$C$2:$C$4, O$2)),"****")</f>
        <v/>
      </c>
      <c r="P848" t="str">
        <f>IFERROR(IF($C848="","",SUMIFS(Ledger!$K$2:$K$4, Ledger!$B$2:$B$4, $A848, Ledger!$C$2:$C$4, P$2)),"****")</f>
        <v/>
      </c>
      <c r="Q848" t="str">
        <f>IFERROR(IF($C848="","",SUMIFS(Ledger!$K$2:$K$4, Ledger!$B$2:$B$4, $A848, Ledger!$C$2:$C$4, Q$2)),"****")</f>
        <v/>
      </c>
      <c r="R848" t="str">
        <f>IFERROR(IF($C848="","",SUMIFS(Ledger!$K$2:$K$4, Ledger!$B$2:$B$4, $A848, Ledger!$C$2:$C$4, R$2)),"****")</f>
        <v/>
      </c>
      <c r="S848" t="str">
        <f>IFERROR(IF($C848="","",SUMIFS(Ledger!$K$2:$K$4, Ledger!$B$2:$B$4, $A848, Ledger!$C$2:$C$4, S$2)),"****")</f>
        <v/>
      </c>
      <c r="T848" t="str">
        <f>IFERROR(IF($C848="","",SUMIFS(Ledger!$K$2:$K$4, Ledger!$B$2:$B$4, $A848, Ledger!$C$2:$C$4, T$2)),"****")</f>
        <v/>
      </c>
      <c r="U848" t="str">
        <f>IFERROR(IF($C848="","",SUMIFS(Ledger!$K$2:$K$4, Ledger!$B$2:$B$4, $A848, Ledger!$C$2:$C$4, U$2)),"****")</f>
        <v/>
      </c>
      <c r="V848" t="str">
        <f>IFERROR(IF($C848="","",SUMIFS(Ledger!$K$2:$K$4, Ledger!$B$2:$B$4, $A848, Ledger!$C$2:$C$4, V$2)),"****")</f>
        <v/>
      </c>
      <c r="W848" t="str">
        <f>IFERROR(IF($C848="","",SUMIFS(Ledger!$K$2:$K$4, Ledger!$B$2:$B$4, $A848, Ledger!$C$2:$C$4, W$2)),"****")</f>
        <v/>
      </c>
      <c r="X848" t="str">
        <f>IFERROR(IF($C848="","",SUMIFS(Ledger!$K$2:$K$4, Ledger!$B$2:$B$4, $A848, Ledger!$C$2:$C$4, X$2)),"****")</f>
        <v/>
      </c>
    </row>
    <row r="849" spans="1:24" x14ac:dyDescent="0.3">
      <c r="A849" s="106">
        <v>847</v>
      </c>
      <c r="B849" t="str">
        <f>IFERROR(VLOOKUP($A849, Ledger!$B$2:$L$8, 3, 0),"")</f>
        <v/>
      </c>
      <c r="C849" t="str">
        <f>IFERROR(VLOOKUP($A849, Ledger!$B$2:$L$8, 4, 0),"")</f>
        <v/>
      </c>
      <c r="D849" t="str">
        <f>IFERROR(VLOOKUP($A849, Ledger!$B$2:$L$8, 5, 0),"")</f>
        <v/>
      </c>
      <c r="E849" t="str">
        <f>IFERROR(VLOOKUP($A849, Ledger!$B$2:$L$8, 6, 0),"")</f>
        <v/>
      </c>
      <c r="F849" t="str">
        <f>IFERROR(VLOOKUP($A849,'Student Data'!$A$2:$AR$6,32,0),"")</f>
        <v/>
      </c>
      <c r="G849" t="str">
        <f>IFERROR(VLOOKUP($A849,'Student Data'!$A$2:$AR$6,33,0),"")</f>
        <v/>
      </c>
      <c r="H849" t="str">
        <f>IFERROR(VLOOKUP($A849,'Student Data'!$A$2:$AR$6,34,0),"")</f>
        <v/>
      </c>
      <c r="I849" t="str">
        <f>IFERROR(VLOOKUP($A849,'Student Data'!$A$2:$AR$6,35,0),"")</f>
        <v/>
      </c>
      <c r="J849" t="str">
        <f>IFERROR(VLOOKUP($A849,'Student Data'!$A$2:$AR$6,36,0),"")</f>
        <v/>
      </c>
      <c r="K849" t="str">
        <f t="shared" si="26"/>
        <v/>
      </c>
      <c r="L849" t="str">
        <f t="shared" si="27"/>
        <v/>
      </c>
      <c r="M849" t="str">
        <f>IFERROR(IF($C849="","",SUMIFS(Ledger!$K$2:$K$4, Ledger!$B$2:$B$4, $A849, Ledger!$C$2:$C$4, M$2)),"****")</f>
        <v/>
      </c>
      <c r="N849" t="str">
        <f>IFERROR(IF($C849="","",SUMIFS(Ledger!$K$2:$K$4, Ledger!$B$2:$B$4, $A849, Ledger!$C$2:$C$4, N$2)),"****")</f>
        <v/>
      </c>
      <c r="O849" t="str">
        <f>IFERROR(IF($C849="","",SUMIFS(Ledger!$K$2:$K$4, Ledger!$B$2:$B$4, $A849, Ledger!$C$2:$C$4, O$2)),"****")</f>
        <v/>
      </c>
      <c r="P849" t="str">
        <f>IFERROR(IF($C849="","",SUMIFS(Ledger!$K$2:$K$4, Ledger!$B$2:$B$4, $A849, Ledger!$C$2:$C$4, P$2)),"****")</f>
        <v/>
      </c>
      <c r="Q849" t="str">
        <f>IFERROR(IF($C849="","",SUMIFS(Ledger!$K$2:$K$4, Ledger!$B$2:$B$4, $A849, Ledger!$C$2:$C$4, Q$2)),"****")</f>
        <v/>
      </c>
      <c r="R849" t="str">
        <f>IFERROR(IF($C849="","",SUMIFS(Ledger!$K$2:$K$4, Ledger!$B$2:$B$4, $A849, Ledger!$C$2:$C$4, R$2)),"****")</f>
        <v/>
      </c>
      <c r="S849" t="str">
        <f>IFERROR(IF($C849="","",SUMIFS(Ledger!$K$2:$K$4, Ledger!$B$2:$B$4, $A849, Ledger!$C$2:$C$4, S$2)),"****")</f>
        <v/>
      </c>
      <c r="T849" t="str">
        <f>IFERROR(IF($C849="","",SUMIFS(Ledger!$K$2:$K$4, Ledger!$B$2:$B$4, $A849, Ledger!$C$2:$C$4, T$2)),"****")</f>
        <v/>
      </c>
      <c r="U849" t="str">
        <f>IFERROR(IF($C849="","",SUMIFS(Ledger!$K$2:$K$4, Ledger!$B$2:$B$4, $A849, Ledger!$C$2:$C$4, U$2)),"****")</f>
        <v/>
      </c>
      <c r="V849" t="str">
        <f>IFERROR(IF($C849="","",SUMIFS(Ledger!$K$2:$K$4, Ledger!$B$2:$B$4, $A849, Ledger!$C$2:$C$4, V$2)),"****")</f>
        <v/>
      </c>
      <c r="W849" t="str">
        <f>IFERROR(IF($C849="","",SUMIFS(Ledger!$K$2:$K$4, Ledger!$B$2:$B$4, $A849, Ledger!$C$2:$C$4, W$2)),"****")</f>
        <v/>
      </c>
      <c r="X849" t="str">
        <f>IFERROR(IF($C849="","",SUMIFS(Ledger!$K$2:$K$4, Ledger!$B$2:$B$4, $A849, Ledger!$C$2:$C$4, X$2)),"****")</f>
        <v/>
      </c>
    </row>
    <row r="850" spans="1:24" x14ac:dyDescent="0.3">
      <c r="A850" s="106">
        <v>848</v>
      </c>
      <c r="B850" t="str">
        <f>IFERROR(VLOOKUP($A850, Ledger!$B$2:$L$8, 3, 0),"")</f>
        <v/>
      </c>
      <c r="C850" t="str">
        <f>IFERROR(VLOOKUP($A850, Ledger!$B$2:$L$8, 4, 0),"")</f>
        <v/>
      </c>
      <c r="D850" t="str">
        <f>IFERROR(VLOOKUP($A850, Ledger!$B$2:$L$8, 5, 0),"")</f>
        <v/>
      </c>
      <c r="E850" t="str">
        <f>IFERROR(VLOOKUP($A850, Ledger!$B$2:$L$8, 6, 0),"")</f>
        <v/>
      </c>
      <c r="F850" t="str">
        <f>IFERROR(VLOOKUP($A850,'Student Data'!$A$2:$AR$6,32,0),"")</f>
        <v/>
      </c>
      <c r="G850" t="str">
        <f>IFERROR(VLOOKUP($A850,'Student Data'!$A$2:$AR$6,33,0),"")</f>
        <v/>
      </c>
      <c r="H850" t="str">
        <f>IFERROR(VLOOKUP($A850,'Student Data'!$A$2:$AR$6,34,0),"")</f>
        <v/>
      </c>
      <c r="I850" t="str">
        <f>IFERROR(VLOOKUP($A850,'Student Data'!$A$2:$AR$6,35,0),"")</f>
        <v/>
      </c>
      <c r="J850" t="str">
        <f>IFERROR(VLOOKUP($A850,'Student Data'!$A$2:$AR$6,36,0),"")</f>
        <v/>
      </c>
      <c r="K850" t="str">
        <f t="shared" si="26"/>
        <v/>
      </c>
      <c r="L850" t="str">
        <f t="shared" si="27"/>
        <v/>
      </c>
      <c r="M850" t="str">
        <f>IFERROR(IF($C850="","",SUMIFS(Ledger!$K$2:$K$4, Ledger!$B$2:$B$4, $A850, Ledger!$C$2:$C$4, M$2)),"****")</f>
        <v/>
      </c>
      <c r="N850" t="str">
        <f>IFERROR(IF($C850="","",SUMIFS(Ledger!$K$2:$K$4, Ledger!$B$2:$B$4, $A850, Ledger!$C$2:$C$4, N$2)),"****")</f>
        <v/>
      </c>
      <c r="O850" t="str">
        <f>IFERROR(IF($C850="","",SUMIFS(Ledger!$K$2:$K$4, Ledger!$B$2:$B$4, $A850, Ledger!$C$2:$C$4, O$2)),"****")</f>
        <v/>
      </c>
      <c r="P850" t="str">
        <f>IFERROR(IF($C850="","",SUMIFS(Ledger!$K$2:$K$4, Ledger!$B$2:$B$4, $A850, Ledger!$C$2:$C$4, P$2)),"****")</f>
        <v/>
      </c>
      <c r="Q850" t="str">
        <f>IFERROR(IF($C850="","",SUMIFS(Ledger!$K$2:$K$4, Ledger!$B$2:$B$4, $A850, Ledger!$C$2:$C$4, Q$2)),"****")</f>
        <v/>
      </c>
      <c r="R850" t="str">
        <f>IFERROR(IF($C850="","",SUMIFS(Ledger!$K$2:$K$4, Ledger!$B$2:$B$4, $A850, Ledger!$C$2:$C$4, R$2)),"****")</f>
        <v/>
      </c>
      <c r="S850" t="str">
        <f>IFERROR(IF($C850="","",SUMIFS(Ledger!$K$2:$K$4, Ledger!$B$2:$B$4, $A850, Ledger!$C$2:$C$4, S$2)),"****")</f>
        <v/>
      </c>
      <c r="T850" t="str">
        <f>IFERROR(IF($C850="","",SUMIFS(Ledger!$K$2:$K$4, Ledger!$B$2:$B$4, $A850, Ledger!$C$2:$C$4, T$2)),"****")</f>
        <v/>
      </c>
      <c r="U850" t="str">
        <f>IFERROR(IF($C850="","",SUMIFS(Ledger!$K$2:$K$4, Ledger!$B$2:$B$4, $A850, Ledger!$C$2:$C$4, U$2)),"****")</f>
        <v/>
      </c>
      <c r="V850" t="str">
        <f>IFERROR(IF($C850="","",SUMIFS(Ledger!$K$2:$K$4, Ledger!$B$2:$B$4, $A850, Ledger!$C$2:$C$4, V$2)),"****")</f>
        <v/>
      </c>
      <c r="W850" t="str">
        <f>IFERROR(IF($C850="","",SUMIFS(Ledger!$K$2:$K$4, Ledger!$B$2:$B$4, $A850, Ledger!$C$2:$C$4, W$2)),"****")</f>
        <v/>
      </c>
      <c r="X850" t="str">
        <f>IFERROR(IF($C850="","",SUMIFS(Ledger!$K$2:$K$4, Ledger!$B$2:$B$4, $A850, Ledger!$C$2:$C$4, X$2)),"****")</f>
        <v/>
      </c>
    </row>
    <row r="851" spans="1:24" x14ac:dyDescent="0.3">
      <c r="A851" s="106">
        <v>849</v>
      </c>
      <c r="B851" t="str">
        <f>IFERROR(VLOOKUP($A851, Ledger!$B$2:$L$8, 3, 0),"")</f>
        <v/>
      </c>
      <c r="C851" t="str">
        <f>IFERROR(VLOOKUP($A851, Ledger!$B$2:$L$8, 4, 0),"")</f>
        <v/>
      </c>
      <c r="D851" t="str">
        <f>IFERROR(VLOOKUP($A851, Ledger!$B$2:$L$8, 5, 0),"")</f>
        <v/>
      </c>
      <c r="E851" t="str">
        <f>IFERROR(VLOOKUP($A851, Ledger!$B$2:$L$8, 6, 0),"")</f>
        <v/>
      </c>
      <c r="F851" t="str">
        <f>IFERROR(VLOOKUP($A851,'Student Data'!$A$2:$AR$6,32,0),"")</f>
        <v/>
      </c>
      <c r="G851" t="str">
        <f>IFERROR(VLOOKUP($A851,'Student Data'!$A$2:$AR$6,33,0),"")</f>
        <v/>
      </c>
      <c r="H851" t="str">
        <f>IFERROR(VLOOKUP($A851,'Student Data'!$A$2:$AR$6,34,0),"")</f>
        <v/>
      </c>
      <c r="I851" t="str">
        <f>IFERROR(VLOOKUP($A851,'Student Data'!$A$2:$AR$6,35,0),"")</f>
        <v/>
      </c>
      <c r="J851" t="str">
        <f>IFERROR(VLOOKUP($A851,'Student Data'!$A$2:$AR$6,36,0),"")</f>
        <v/>
      </c>
      <c r="K851" t="str">
        <f t="shared" si="26"/>
        <v/>
      </c>
      <c r="L851" t="str">
        <f t="shared" si="27"/>
        <v/>
      </c>
      <c r="M851" t="str">
        <f>IFERROR(IF($C851="","",SUMIFS(Ledger!$K$2:$K$4, Ledger!$B$2:$B$4, $A851, Ledger!$C$2:$C$4, M$2)),"****")</f>
        <v/>
      </c>
      <c r="N851" t="str">
        <f>IFERROR(IF($C851="","",SUMIFS(Ledger!$K$2:$K$4, Ledger!$B$2:$B$4, $A851, Ledger!$C$2:$C$4, N$2)),"****")</f>
        <v/>
      </c>
      <c r="O851" t="str">
        <f>IFERROR(IF($C851="","",SUMIFS(Ledger!$K$2:$K$4, Ledger!$B$2:$B$4, $A851, Ledger!$C$2:$C$4, O$2)),"****")</f>
        <v/>
      </c>
      <c r="P851" t="str">
        <f>IFERROR(IF($C851="","",SUMIFS(Ledger!$K$2:$K$4, Ledger!$B$2:$B$4, $A851, Ledger!$C$2:$C$4, P$2)),"****")</f>
        <v/>
      </c>
      <c r="Q851" t="str">
        <f>IFERROR(IF($C851="","",SUMIFS(Ledger!$K$2:$K$4, Ledger!$B$2:$B$4, $A851, Ledger!$C$2:$C$4, Q$2)),"****")</f>
        <v/>
      </c>
      <c r="R851" t="str">
        <f>IFERROR(IF($C851="","",SUMIFS(Ledger!$K$2:$K$4, Ledger!$B$2:$B$4, $A851, Ledger!$C$2:$C$4, R$2)),"****")</f>
        <v/>
      </c>
      <c r="S851" t="str">
        <f>IFERROR(IF($C851="","",SUMIFS(Ledger!$K$2:$K$4, Ledger!$B$2:$B$4, $A851, Ledger!$C$2:$C$4, S$2)),"****")</f>
        <v/>
      </c>
      <c r="T851" t="str">
        <f>IFERROR(IF($C851="","",SUMIFS(Ledger!$K$2:$K$4, Ledger!$B$2:$B$4, $A851, Ledger!$C$2:$C$4, T$2)),"****")</f>
        <v/>
      </c>
      <c r="U851" t="str">
        <f>IFERROR(IF($C851="","",SUMIFS(Ledger!$K$2:$K$4, Ledger!$B$2:$B$4, $A851, Ledger!$C$2:$C$4, U$2)),"****")</f>
        <v/>
      </c>
      <c r="V851" t="str">
        <f>IFERROR(IF($C851="","",SUMIFS(Ledger!$K$2:$K$4, Ledger!$B$2:$B$4, $A851, Ledger!$C$2:$C$4, V$2)),"****")</f>
        <v/>
      </c>
      <c r="W851" t="str">
        <f>IFERROR(IF($C851="","",SUMIFS(Ledger!$K$2:$K$4, Ledger!$B$2:$B$4, $A851, Ledger!$C$2:$C$4, W$2)),"****")</f>
        <v/>
      </c>
      <c r="X851" t="str">
        <f>IFERROR(IF($C851="","",SUMIFS(Ledger!$K$2:$K$4, Ledger!$B$2:$B$4, $A851, Ledger!$C$2:$C$4, X$2)),"****")</f>
        <v/>
      </c>
    </row>
    <row r="852" spans="1:24" x14ac:dyDescent="0.3">
      <c r="A852" s="106">
        <v>850</v>
      </c>
      <c r="B852" t="str">
        <f>IFERROR(VLOOKUP($A852, Ledger!$B$2:$L$8, 3, 0),"")</f>
        <v/>
      </c>
      <c r="C852" t="str">
        <f>IFERROR(VLOOKUP($A852, Ledger!$B$2:$L$8, 4, 0),"")</f>
        <v/>
      </c>
      <c r="D852" t="str">
        <f>IFERROR(VLOOKUP($A852, Ledger!$B$2:$L$8, 5, 0),"")</f>
        <v/>
      </c>
      <c r="E852" t="str">
        <f>IFERROR(VLOOKUP($A852, Ledger!$B$2:$L$8, 6, 0),"")</f>
        <v/>
      </c>
      <c r="F852" t="str">
        <f>IFERROR(VLOOKUP($A852,'Student Data'!$A$2:$AR$6,32,0),"")</f>
        <v/>
      </c>
      <c r="G852" t="str">
        <f>IFERROR(VLOOKUP($A852,'Student Data'!$A$2:$AR$6,33,0),"")</f>
        <v/>
      </c>
      <c r="H852" t="str">
        <f>IFERROR(VLOOKUP($A852,'Student Data'!$A$2:$AR$6,34,0),"")</f>
        <v/>
      </c>
      <c r="I852" t="str">
        <f>IFERROR(VLOOKUP($A852,'Student Data'!$A$2:$AR$6,35,0),"")</f>
        <v/>
      </c>
      <c r="J852" t="str">
        <f>IFERROR(VLOOKUP($A852,'Student Data'!$A$2:$AR$6,36,0),"")</f>
        <v/>
      </c>
      <c r="K852" t="str">
        <f t="shared" si="26"/>
        <v/>
      </c>
      <c r="L852" t="str">
        <f t="shared" si="27"/>
        <v/>
      </c>
      <c r="M852" t="str">
        <f>IFERROR(IF($C852="","",SUMIFS(Ledger!$K$2:$K$4, Ledger!$B$2:$B$4, $A852, Ledger!$C$2:$C$4, M$2)),"****")</f>
        <v/>
      </c>
      <c r="N852" t="str">
        <f>IFERROR(IF($C852="","",SUMIFS(Ledger!$K$2:$K$4, Ledger!$B$2:$B$4, $A852, Ledger!$C$2:$C$4, N$2)),"****")</f>
        <v/>
      </c>
      <c r="O852" t="str">
        <f>IFERROR(IF($C852="","",SUMIFS(Ledger!$K$2:$K$4, Ledger!$B$2:$B$4, $A852, Ledger!$C$2:$C$4, O$2)),"****")</f>
        <v/>
      </c>
      <c r="P852" t="str">
        <f>IFERROR(IF($C852="","",SUMIFS(Ledger!$K$2:$K$4, Ledger!$B$2:$B$4, $A852, Ledger!$C$2:$C$4, P$2)),"****")</f>
        <v/>
      </c>
      <c r="Q852" t="str">
        <f>IFERROR(IF($C852="","",SUMIFS(Ledger!$K$2:$K$4, Ledger!$B$2:$B$4, $A852, Ledger!$C$2:$C$4, Q$2)),"****")</f>
        <v/>
      </c>
      <c r="R852" t="str">
        <f>IFERROR(IF($C852="","",SUMIFS(Ledger!$K$2:$K$4, Ledger!$B$2:$B$4, $A852, Ledger!$C$2:$C$4, R$2)),"****")</f>
        <v/>
      </c>
      <c r="S852" t="str">
        <f>IFERROR(IF($C852="","",SUMIFS(Ledger!$K$2:$K$4, Ledger!$B$2:$B$4, $A852, Ledger!$C$2:$C$4, S$2)),"****")</f>
        <v/>
      </c>
      <c r="T852" t="str">
        <f>IFERROR(IF($C852="","",SUMIFS(Ledger!$K$2:$K$4, Ledger!$B$2:$B$4, $A852, Ledger!$C$2:$C$4, T$2)),"****")</f>
        <v/>
      </c>
      <c r="U852" t="str">
        <f>IFERROR(IF($C852="","",SUMIFS(Ledger!$K$2:$K$4, Ledger!$B$2:$B$4, $A852, Ledger!$C$2:$C$4, U$2)),"****")</f>
        <v/>
      </c>
      <c r="V852" t="str">
        <f>IFERROR(IF($C852="","",SUMIFS(Ledger!$K$2:$K$4, Ledger!$B$2:$B$4, $A852, Ledger!$C$2:$C$4, V$2)),"****")</f>
        <v/>
      </c>
      <c r="W852" t="str">
        <f>IFERROR(IF($C852="","",SUMIFS(Ledger!$K$2:$K$4, Ledger!$B$2:$B$4, $A852, Ledger!$C$2:$C$4, W$2)),"****")</f>
        <v/>
      </c>
      <c r="X852" t="str">
        <f>IFERROR(IF($C852="","",SUMIFS(Ledger!$K$2:$K$4, Ledger!$B$2:$B$4, $A852, Ledger!$C$2:$C$4, X$2)),"****")</f>
        <v/>
      </c>
    </row>
    <row r="853" spans="1:24" x14ac:dyDescent="0.3">
      <c r="A853" s="106">
        <v>851</v>
      </c>
      <c r="B853" t="str">
        <f>IFERROR(VLOOKUP($A853, Ledger!$B$2:$L$8, 3, 0),"")</f>
        <v/>
      </c>
      <c r="C853" t="str">
        <f>IFERROR(VLOOKUP($A853, Ledger!$B$2:$L$8, 4, 0),"")</f>
        <v/>
      </c>
      <c r="D853" t="str">
        <f>IFERROR(VLOOKUP($A853, Ledger!$B$2:$L$8, 5, 0),"")</f>
        <v/>
      </c>
      <c r="E853" t="str">
        <f>IFERROR(VLOOKUP($A853, Ledger!$B$2:$L$8, 6, 0),"")</f>
        <v/>
      </c>
      <c r="F853" t="str">
        <f>IFERROR(VLOOKUP($A853,'Student Data'!$A$2:$AR$6,32,0),"")</f>
        <v/>
      </c>
      <c r="G853" t="str">
        <f>IFERROR(VLOOKUP($A853,'Student Data'!$A$2:$AR$6,33,0),"")</f>
        <v/>
      </c>
      <c r="H853" t="str">
        <f>IFERROR(VLOOKUP($A853,'Student Data'!$A$2:$AR$6,34,0),"")</f>
        <v/>
      </c>
      <c r="I853" t="str">
        <f>IFERROR(VLOOKUP($A853,'Student Data'!$A$2:$AR$6,35,0),"")</f>
        <v/>
      </c>
      <c r="J853" t="str">
        <f>IFERROR(VLOOKUP($A853,'Student Data'!$A$2:$AR$6,36,0),"")</f>
        <v/>
      </c>
      <c r="K853" t="str">
        <f t="shared" si="26"/>
        <v/>
      </c>
      <c r="L853" t="str">
        <f t="shared" si="27"/>
        <v/>
      </c>
      <c r="M853" t="str">
        <f>IFERROR(IF($C853="","",SUMIFS(Ledger!$K$2:$K$4, Ledger!$B$2:$B$4, $A853, Ledger!$C$2:$C$4, M$2)),"****")</f>
        <v/>
      </c>
      <c r="N853" t="str">
        <f>IFERROR(IF($C853="","",SUMIFS(Ledger!$K$2:$K$4, Ledger!$B$2:$B$4, $A853, Ledger!$C$2:$C$4, N$2)),"****")</f>
        <v/>
      </c>
      <c r="O853" t="str">
        <f>IFERROR(IF($C853="","",SUMIFS(Ledger!$K$2:$K$4, Ledger!$B$2:$B$4, $A853, Ledger!$C$2:$C$4, O$2)),"****")</f>
        <v/>
      </c>
      <c r="P853" t="str">
        <f>IFERROR(IF($C853="","",SUMIFS(Ledger!$K$2:$K$4, Ledger!$B$2:$B$4, $A853, Ledger!$C$2:$C$4, P$2)),"****")</f>
        <v/>
      </c>
      <c r="Q853" t="str">
        <f>IFERROR(IF($C853="","",SUMIFS(Ledger!$K$2:$K$4, Ledger!$B$2:$B$4, $A853, Ledger!$C$2:$C$4, Q$2)),"****")</f>
        <v/>
      </c>
      <c r="R853" t="str">
        <f>IFERROR(IF($C853="","",SUMIFS(Ledger!$K$2:$K$4, Ledger!$B$2:$B$4, $A853, Ledger!$C$2:$C$4, R$2)),"****")</f>
        <v/>
      </c>
      <c r="S853" t="str">
        <f>IFERROR(IF($C853="","",SUMIFS(Ledger!$K$2:$K$4, Ledger!$B$2:$B$4, $A853, Ledger!$C$2:$C$4, S$2)),"****")</f>
        <v/>
      </c>
      <c r="T853" t="str">
        <f>IFERROR(IF($C853="","",SUMIFS(Ledger!$K$2:$K$4, Ledger!$B$2:$B$4, $A853, Ledger!$C$2:$C$4, T$2)),"****")</f>
        <v/>
      </c>
      <c r="U853" t="str">
        <f>IFERROR(IF($C853="","",SUMIFS(Ledger!$K$2:$K$4, Ledger!$B$2:$B$4, $A853, Ledger!$C$2:$C$4, U$2)),"****")</f>
        <v/>
      </c>
      <c r="V853" t="str">
        <f>IFERROR(IF($C853="","",SUMIFS(Ledger!$K$2:$K$4, Ledger!$B$2:$B$4, $A853, Ledger!$C$2:$C$4, V$2)),"****")</f>
        <v/>
      </c>
      <c r="W853" t="str">
        <f>IFERROR(IF($C853="","",SUMIFS(Ledger!$K$2:$K$4, Ledger!$B$2:$B$4, $A853, Ledger!$C$2:$C$4, W$2)),"****")</f>
        <v/>
      </c>
      <c r="X853" t="str">
        <f>IFERROR(IF($C853="","",SUMIFS(Ledger!$K$2:$K$4, Ledger!$B$2:$B$4, $A853, Ledger!$C$2:$C$4, X$2)),"****")</f>
        <v/>
      </c>
    </row>
    <row r="854" spans="1:24" x14ac:dyDescent="0.3">
      <c r="A854" s="106">
        <v>852</v>
      </c>
      <c r="B854" t="str">
        <f>IFERROR(VLOOKUP($A854, Ledger!$B$2:$L$8, 3, 0),"")</f>
        <v/>
      </c>
      <c r="C854" t="str">
        <f>IFERROR(VLOOKUP($A854, Ledger!$B$2:$L$8, 4, 0),"")</f>
        <v/>
      </c>
      <c r="D854" t="str">
        <f>IFERROR(VLOOKUP($A854, Ledger!$B$2:$L$8, 5, 0),"")</f>
        <v/>
      </c>
      <c r="E854" t="str">
        <f>IFERROR(VLOOKUP($A854, Ledger!$B$2:$L$8, 6, 0),"")</f>
        <v/>
      </c>
      <c r="F854" t="str">
        <f>IFERROR(VLOOKUP($A854,'Student Data'!$A$2:$AR$6,32,0),"")</f>
        <v/>
      </c>
      <c r="G854" t="str">
        <f>IFERROR(VLOOKUP($A854,'Student Data'!$A$2:$AR$6,33,0),"")</f>
        <v/>
      </c>
      <c r="H854" t="str">
        <f>IFERROR(VLOOKUP($A854,'Student Data'!$A$2:$AR$6,34,0),"")</f>
        <v/>
      </c>
      <c r="I854" t="str">
        <f>IFERROR(VLOOKUP($A854,'Student Data'!$A$2:$AR$6,35,0),"")</f>
        <v/>
      </c>
      <c r="J854" t="str">
        <f>IFERROR(VLOOKUP($A854,'Student Data'!$A$2:$AR$6,36,0),"")</f>
        <v/>
      </c>
      <c r="K854" t="str">
        <f t="shared" si="26"/>
        <v/>
      </c>
      <c r="L854" t="str">
        <f t="shared" si="27"/>
        <v/>
      </c>
      <c r="M854" t="str">
        <f>IFERROR(IF($C854="","",SUMIFS(Ledger!$K$2:$K$4, Ledger!$B$2:$B$4, $A854, Ledger!$C$2:$C$4, M$2)),"****")</f>
        <v/>
      </c>
      <c r="N854" t="str">
        <f>IFERROR(IF($C854="","",SUMIFS(Ledger!$K$2:$K$4, Ledger!$B$2:$B$4, $A854, Ledger!$C$2:$C$4, N$2)),"****")</f>
        <v/>
      </c>
      <c r="O854" t="str">
        <f>IFERROR(IF($C854="","",SUMIFS(Ledger!$K$2:$K$4, Ledger!$B$2:$B$4, $A854, Ledger!$C$2:$C$4, O$2)),"****")</f>
        <v/>
      </c>
      <c r="P854" t="str">
        <f>IFERROR(IF($C854="","",SUMIFS(Ledger!$K$2:$K$4, Ledger!$B$2:$B$4, $A854, Ledger!$C$2:$C$4, P$2)),"****")</f>
        <v/>
      </c>
      <c r="Q854" t="str">
        <f>IFERROR(IF($C854="","",SUMIFS(Ledger!$K$2:$K$4, Ledger!$B$2:$B$4, $A854, Ledger!$C$2:$C$4, Q$2)),"****")</f>
        <v/>
      </c>
      <c r="R854" t="str">
        <f>IFERROR(IF($C854="","",SUMIFS(Ledger!$K$2:$K$4, Ledger!$B$2:$B$4, $A854, Ledger!$C$2:$C$4, R$2)),"****")</f>
        <v/>
      </c>
      <c r="S854" t="str">
        <f>IFERROR(IF($C854="","",SUMIFS(Ledger!$K$2:$K$4, Ledger!$B$2:$B$4, $A854, Ledger!$C$2:$C$4, S$2)),"****")</f>
        <v/>
      </c>
      <c r="T854" t="str">
        <f>IFERROR(IF($C854="","",SUMIFS(Ledger!$K$2:$K$4, Ledger!$B$2:$B$4, $A854, Ledger!$C$2:$C$4, T$2)),"****")</f>
        <v/>
      </c>
      <c r="U854" t="str">
        <f>IFERROR(IF($C854="","",SUMIFS(Ledger!$K$2:$K$4, Ledger!$B$2:$B$4, $A854, Ledger!$C$2:$C$4, U$2)),"****")</f>
        <v/>
      </c>
      <c r="V854" t="str">
        <f>IFERROR(IF($C854="","",SUMIFS(Ledger!$K$2:$K$4, Ledger!$B$2:$B$4, $A854, Ledger!$C$2:$C$4, V$2)),"****")</f>
        <v/>
      </c>
      <c r="W854" t="str">
        <f>IFERROR(IF($C854="","",SUMIFS(Ledger!$K$2:$K$4, Ledger!$B$2:$B$4, $A854, Ledger!$C$2:$C$4, W$2)),"****")</f>
        <v/>
      </c>
      <c r="X854" t="str">
        <f>IFERROR(IF($C854="","",SUMIFS(Ledger!$K$2:$K$4, Ledger!$B$2:$B$4, $A854, Ledger!$C$2:$C$4, X$2)),"****")</f>
        <v/>
      </c>
    </row>
    <row r="855" spans="1:24" x14ac:dyDescent="0.3">
      <c r="A855" s="106">
        <v>853</v>
      </c>
      <c r="B855" t="str">
        <f>IFERROR(VLOOKUP($A855, Ledger!$B$2:$L$8, 3, 0),"")</f>
        <v/>
      </c>
      <c r="C855" t="str">
        <f>IFERROR(VLOOKUP($A855, Ledger!$B$2:$L$8, 4, 0),"")</f>
        <v/>
      </c>
      <c r="D855" t="str">
        <f>IFERROR(VLOOKUP($A855, Ledger!$B$2:$L$8, 5, 0),"")</f>
        <v/>
      </c>
      <c r="E855" t="str">
        <f>IFERROR(VLOOKUP($A855, Ledger!$B$2:$L$8, 6, 0),"")</f>
        <v/>
      </c>
      <c r="F855" t="str">
        <f>IFERROR(VLOOKUP($A855,'Student Data'!$A$2:$AR$6,32,0),"")</f>
        <v/>
      </c>
      <c r="G855" t="str">
        <f>IFERROR(VLOOKUP($A855,'Student Data'!$A$2:$AR$6,33,0),"")</f>
        <v/>
      </c>
      <c r="H855" t="str">
        <f>IFERROR(VLOOKUP($A855,'Student Data'!$A$2:$AR$6,34,0),"")</f>
        <v/>
      </c>
      <c r="I855" t="str">
        <f>IFERROR(VLOOKUP($A855,'Student Data'!$A$2:$AR$6,35,0),"")</f>
        <v/>
      </c>
      <c r="J855" t="str">
        <f>IFERROR(VLOOKUP($A855,'Student Data'!$A$2:$AR$6,36,0),"")</f>
        <v/>
      </c>
      <c r="K855" t="str">
        <f t="shared" si="26"/>
        <v/>
      </c>
      <c r="L855" t="str">
        <f t="shared" si="27"/>
        <v/>
      </c>
      <c r="M855" t="str">
        <f>IFERROR(IF($C855="","",SUMIFS(Ledger!$K$2:$K$4, Ledger!$B$2:$B$4, $A855, Ledger!$C$2:$C$4, M$2)),"****")</f>
        <v/>
      </c>
      <c r="N855" t="str">
        <f>IFERROR(IF($C855="","",SUMIFS(Ledger!$K$2:$K$4, Ledger!$B$2:$B$4, $A855, Ledger!$C$2:$C$4, N$2)),"****")</f>
        <v/>
      </c>
      <c r="O855" t="str">
        <f>IFERROR(IF($C855="","",SUMIFS(Ledger!$K$2:$K$4, Ledger!$B$2:$B$4, $A855, Ledger!$C$2:$C$4, O$2)),"****")</f>
        <v/>
      </c>
      <c r="P855" t="str">
        <f>IFERROR(IF($C855="","",SUMIFS(Ledger!$K$2:$K$4, Ledger!$B$2:$B$4, $A855, Ledger!$C$2:$C$4, P$2)),"****")</f>
        <v/>
      </c>
      <c r="Q855" t="str">
        <f>IFERROR(IF($C855="","",SUMIFS(Ledger!$K$2:$K$4, Ledger!$B$2:$B$4, $A855, Ledger!$C$2:$C$4, Q$2)),"****")</f>
        <v/>
      </c>
      <c r="R855" t="str">
        <f>IFERROR(IF($C855="","",SUMIFS(Ledger!$K$2:$K$4, Ledger!$B$2:$B$4, $A855, Ledger!$C$2:$C$4, R$2)),"****")</f>
        <v/>
      </c>
      <c r="S855" t="str">
        <f>IFERROR(IF($C855="","",SUMIFS(Ledger!$K$2:$K$4, Ledger!$B$2:$B$4, $A855, Ledger!$C$2:$C$4, S$2)),"****")</f>
        <v/>
      </c>
      <c r="T855" t="str">
        <f>IFERROR(IF($C855="","",SUMIFS(Ledger!$K$2:$K$4, Ledger!$B$2:$B$4, $A855, Ledger!$C$2:$C$4, T$2)),"****")</f>
        <v/>
      </c>
      <c r="U855" t="str">
        <f>IFERROR(IF($C855="","",SUMIFS(Ledger!$K$2:$K$4, Ledger!$B$2:$B$4, $A855, Ledger!$C$2:$C$4, U$2)),"****")</f>
        <v/>
      </c>
      <c r="V855" t="str">
        <f>IFERROR(IF($C855="","",SUMIFS(Ledger!$K$2:$K$4, Ledger!$B$2:$B$4, $A855, Ledger!$C$2:$C$4, V$2)),"****")</f>
        <v/>
      </c>
      <c r="W855" t="str">
        <f>IFERROR(IF($C855="","",SUMIFS(Ledger!$K$2:$K$4, Ledger!$B$2:$B$4, $A855, Ledger!$C$2:$C$4, W$2)),"****")</f>
        <v/>
      </c>
      <c r="X855" t="str">
        <f>IFERROR(IF($C855="","",SUMIFS(Ledger!$K$2:$K$4, Ledger!$B$2:$B$4, $A855, Ledger!$C$2:$C$4, X$2)),"****")</f>
        <v/>
      </c>
    </row>
    <row r="856" spans="1:24" x14ac:dyDescent="0.3">
      <c r="A856" s="106">
        <v>854</v>
      </c>
      <c r="B856" t="str">
        <f>IFERROR(VLOOKUP($A856, Ledger!$B$2:$L$8, 3, 0),"")</f>
        <v/>
      </c>
      <c r="C856" t="str">
        <f>IFERROR(VLOOKUP($A856, Ledger!$B$2:$L$8, 4, 0),"")</f>
        <v/>
      </c>
      <c r="D856" t="str">
        <f>IFERROR(VLOOKUP($A856, Ledger!$B$2:$L$8, 5, 0),"")</f>
        <v/>
      </c>
      <c r="E856" t="str">
        <f>IFERROR(VLOOKUP($A856, Ledger!$B$2:$L$8, 6, 0),"")</f>
        <v/>
      </c>
      <c r="F856" t="str">
        <f>IFERROR(VLOOKUP($A856,'Student Data'!$A$2:$AR$6,32,0),"")</f>
        <v/>
      </c>
      <c r="G856" t="str">
        <f>IFERROR(VLOOKUP($A856,'Student Data'!$A$2:$AR$6,33,0),"")</f>
        <v/>
      </c>
      <c r="H856" t="str">
        <f>IFERROR(VLOOKUP($A856,'Student Data'!$A$2:$AR$6,34,0),"")</f>
        <v/>
      </c>
      <c r="I856" t="str">
        <f>IFERROR(VLOOKUP($A856,'Student Data'!$A$2:$AR$6,35,0),"")</f>
        <v/>
      </c>
      <c r="J856" t="str">
        <f>IFERROR(VLOOKUP($A856,'Student Data'!$A$2:$AR$6,36,0),"")</f>
        <v/>
      </c>
      <c r="K856" t="str">
        <f t="shared" si="26"/>
        <v/>
      </c>
      <c r="L856" t="str">
        <f t="shared" si="27"/>
        <v/>
      </c>
      <c r="M856" t="str">
        <f>IFERROR(IF($C856="","",SUMIFS(Ledger!$K$2:$K$4, Ledger!$B$2:$B$4, $A856, Ledger!$C$2:$C$4, M$2)),"****")</f>
        <v/>
      </c>
      <c r="N856" t="str">
        <f>IFERROR(IF($C856="","",SUMIFS(Ledger!$K$2:$K$4, Ledger!$B$2:$B$4, $A856, Ledger!$C$2:$C$4, N$2)),"****")</f>
        <v/>
      </c>
      <c r="O856" t="str">
        <f>IFERROR(IF($C856="","",SUMIFS(Ledger!$K$2:$K$4, Ledger!$B$2:$B$4, $A856, Ledger!$C$2:$C$4, O$2)),"****")</f>
        <v/>
      </c>
      <c r="P856" t="str">
        <f>IFERROR(IF($C856="","",SUMIFS(Ledger!$K$2:$K$4, Ledger!$B$2:$B$4, $A856, Ledger!$C$2:$C$4, P$2)),"****")</f>
        <v/>
      </c>
      <c r="Q856" t="str">
        <f>IFERROR(IF($C856="","",SUMIFS(Ledger!$K$2:$K$4, Ledger!$B$2:$B$4, $A856, Ledger!$C$2:$C$4, Q$2)),"****")</f>
        <v/>
      </c>
      <c r="R856" t="str">
        <f>IFERROR(IF($C856="","",SUMIFS(Ledger!$K$2:$K$4, Ledger!$B$2:$B$4, $A856, Ledger!$C$2:$C$4, R$2)),"****")</f>
        <v/>
      </c>
      <c r="S856" t="str">
        <f>IFERROR(IF($C856="","",SUMIFS(Ledger!$K$2:$K$4, Ledger!$B$2:$B$4, $A856, Ledger!$C$2:$C$4, S$2)),"****")</f>
        <v/>
      </c>
      <c r="T856" t="str">
        <f>IFERROR(IF($C856="","",SUMIFS(Ledger!$K$2:$K$4, Ledger!$B$2:$B$4, $A856, Ledger!$C$2:$C$4, T$2)),"****")</f>
        <v/>
      </c>
      <c r="U856" t="str">
        <f>IFERROR(IF($C856="","",SUMIFS(Ledger!$K$2:$K$4, Ledger!$B$2:$B$4, $A856, Ledger!$C$2:$C$4, U$2)),"****")</f>
        <v/>
      </c>
      <c r="V856" t="str">
        <f>IFERROR(IF($C856="","",SUMIFS(Ledger!$K$2:$K$4, Ledger!$B$2:$B$4, $A856, Ledger!$C$2:$C$4, V$2)),"****")</f>
        <v/>
      </c>
      <c r="W856" t="str">
        <f>IFERROR(IF($C856="","",SUMIFS(Ledger!$K$2:$K$4, Ledger!$B$2:$B$4, $A856, Ledger!$C$2:$C$4, W$2)),"****")</f>
        <v/>
      </c>
      <c r="X856" t="str">
        <f>IFERROR(IF($C856="","",SUMIFS(Ledger!$K$2:$K$4, Ledger!$B$2:$B$4, $A856, Ledger!$C$2:$C$4, X$2)),"****")</f>
        <v/>
      </c>
    </row>
    <row r="857" spans="1:24" x14ac:dyDescent="0.3">
      <c r="A857" s="106">
        <v>855</v>
      </c>
      <c r="B857" t="str">
        <f>IFERROR(VLOOKUP($A857, Ledger!$B$2:$L$8, 3, 0),"")</f>
        <v/>
      </c>
      <c r="C857" t="str">
        <f>IFERROR(VLOOKUP($A857, Ledger!$B$2:$L$8, 4, 0),"")</f>
        <v/>
      </c>
      <c r="D857" t="str">
        <f>IFERROR(VLOOKUP($A857, Ledger!$B$2:$L$8, 5, 0),"")</f>
        <v/>
      </c>
      <c r="E857" t="str">
        <f>IFERROR(VLOOKUP($A857, Ledger!$B$2:$L$8, 6, 0),"")</f>
        <v/>
      </c>
      <c r="F857" t="str">
        <f>IFERROR(VLOOKUP($A857,'Student Data'!$A$2:$AR$6,32,0),"")</f>
        <v/>
      </c>
      <c r="G857" t="str">
        <f>IFERROR(VLOOKUP($A857,'Student Data'!$A$2:$AR$6,33,0),"")</f>
        <v/>
      </c>
      <c r="H857" t="str">
        <f>IFERROR(VLOOKUP($A857,'Student Data'!$A$2:$AR$6,34,0),"")</f>
        <v/>
      </c>
      <c r="I857" t="str">
        <f>IFERROR(VLOOKUP($A857,'Student Data'!$A$2:$AR$6,35,0),"")</f>
        <v/>
      </c>
      <c r="J857" t="str">
        <f>IFERROR(VLOOKUP($A857,'Student Data'!$A$2:$AR$6,36,0),"")</f>
        <v/>
      </c>
      <c r="K857" t="str">
        <f t="shared" si="26"/>
        <v/>
      </c>
      <c r="L857" t="str">
        <f t="shared" si="27"/>
        <v/>
      </c>
      <c r="M857" t="str">
        <f>IFERROR(IF($C857="","",SUMIFS(Ledger!$K$2:$K$4, Ledger!$B$2:$B$4, $A857, Ledger!$C$2:$C$4, M$2)),"****")</f>
        <v/>
      </c>
      <c r="N857" t="str">
        <f>IFERROR(IF($C857="","",SUMIFS(Ledger!$K$2:$K$4, Ledger!$B$2:$B$4, $A857, Ledger!$C$2:$C$4, N$2)),"****")</f>
        <v/>
      </c>
      <c r="O857" t="str">
        <f>IFERROR(IF($C857="","",SUMIFS(Ledger!$K$2:$K$4, Ledger!$B$2:$B$4, $A857, Ledger!$C$2:$C$4, O$2)),"****")</f>
        <v/>
      </c>
      <c r="P857" t="str">
        <f>IFERROR(IF($C857="","",SUMIFS(Ledger!$K$2:$K$4, Ledger!$B$2:$B$4, $A857, Ledger!$C$2:$C$4, P$2)),"****")</f>
        <v/>
      </c>
      <c r="Q857" t="str">
        <f>IFERROR(IF($C857="","",SUMIFS(Ledger!$K$2:$K$4, Ledger!$B$2:$B$4, $A857, Ledger!$C$2:$C$4, Q$2)),"****")</f>
        <v/>
      </c>
      <c r="R857" t="str">
        <f>IFERROR(IF($C857="","",SUMIFS(Ledger!$K$2:$K$4, Ledger!$B$2:$B$4, $A857, Ledger!$C$2:$C$4, R$2)),"****")</f>
        <v/>
      </c>
      <c r="S857" t="str">
        <f>IFERROR(IF($C857="","",SUMIFS(Ledger!$K$2:$K$4, Ledger!$B$2:$B$4, $A857, Ledger!$C$2:$C$4, S$2)),"****")</f>
        <v/>
      </c>
      <c r="T857" t="str">
        <f>IFERROR(IF($C857="","",SUMIFS(Ledger!$K$2:$K$4, Ledger!$B$2:$B$4, $A857, Ledger!$C$2:$C$4, T$2)),"****")</f>
        <v/>
      </c>
      <c r="U857" t="str">
        <f>IFERROR(IF($C857="","",SUMIFS(Ledger!$K$2:$K$4, Ledger!$B$2:$B$4, $A857, Ledger!$C$2:$C$4, U$2)),"****")</f>
        <v/>
      </c>
      <c r="V857" t="str">
        <f>IFERROR(IF($C857="","",SUMIFS(Ledger!$K$2:$K$4, Ledger!$B$2:$B$4, $A857, Ledger!$C$2:$C$4, V$2)),"****")</f>
        <v/>
      </c>
      <c r="W857" t="str">
        <f>IFERROR(IF($C857="","",SUMIFS(Ledger!$K$2:$K$4, Ledger!$B$2:$B$4, $A857, Ledger!$C$2:$C$4, W$2)),"****")</f>
        <v/>
      </c>
      <c r="X857" t="str">
        <f>IFERROR(IF($C857="","",SUMIFS(Ledger!$K$2:$K$4, Ledger!$B$2:$B$4, $A857, Ledger!$C$2:$C$4, X$2)),"****")</f>
        <v/>
      </c>
    </row>
    <row r="858" spans="1:24" x14ac:dyDescent="0.3">
      <c r="A858" s="106">
        <v>856</v>
      </c>
      <c r="B858" t="str">
        <f>IFERROR(VLOOKUP($A858, Ledger!$B$2:$L$8, 3, 0),"")</f>
        <v/>
      </c>
      <c r="C858" t="str">
        <f>IFERROR(VLOOKUP($A858, Ledger!$B$2:$L$8, 4, 0),"")</f>
        <v/>
      </c>
      <c r="D858" t="str">
        <f>IFERROR(VLOOKUP($A858, Ledger!$B$2:$L$8, 5, 0),"")</f>
        <v/>
      </c>
      <c r="E858" t="str">
        <f>IFERROR(VLOOKUP($A858, Ledger!$B$2:$L$8, 6, 0),"")</f>
        <v/>
      </c>
      <c r="F858" t="str">
        <f>IFERROR(VLOOKUP($A858,'Student Data'!$A$2:$AR$6,32,0),"")</f>
        <v/>
      </c>
      <c r="G858" t="str">
        <f>IFERROR(VLOOKUP($A858,'Student Data'!$A$2:$AR$6,33,0),"")</f>
        <v/>
      </c>
      <c r="H858" t="str">
        <f>IFERROR(VLOOKUP($A858,'Student Data'!$A$2:$AR$6,34,0),"")</f>
        <v/>
      </c>
      <c r="I858" t="str">
        <f>IFERROR(VLOOKUP($A858,'Student Data'!$A$2:$AR$6,35,0),"")</f>
        <v/>
      </c>
      <c r="J858" t="str">
        <f>IFERROR(VLOOKUP($A858,'Student Data'!$A$2:$AR$6,36,0),"")</f>
        <v/>
      </c>
      <c r="K858" t="str">
        <f t="shared" si="26"/>
        <v/>
      </c>
      <c r="L858" t="str">
        <f t="shared" si="27"/>
        <v/>
      </c>
      <c r="M858" t="str">
        <f>IFERROR(IF($C858="","",SUMIFS(Ledger!$K$2:$K$4, Ledger!$B$2:$B$4, $A858, Ledger!$C$2:$C$4, M$2)),"****")</f>
        <v/>
      </c>
      <c r="N858" t="str">
        <f>IFERROR(IF($C858="","",SUMIFS(Ledger!$K$2:$K$4, Ledger!$B$2:$B$4, $A858, Ledger!$C$2:$C$4, N$2)),"****")</f>
        <v/>
      </c>
      <c r="O858" t="str">
        <f>IFERROR(IF($C858="","",SUMIFS(Ledger!$K$2:$K$4, Ledger!$B$2:$B$4, $A858, Ledger!$C$2:$C$4, O$2)),"****")</f>
        <v/>
      </c>
      <c r="P858" t="str">
        <f>IFERROR(IF($C858="","",SUMIFS(Ledger!$K$2:$K$4, Ledger!$B$2:$B$4, $A858, Ledger!$C$2:$C$4, P$2)),"****")</f>
        <v/>
      </c>
      <c r="Q858" t="str">
        <f>IFERROR(IF($C858="","",SUMIFS(Ledger!$K$2:$K$4, Ledger!$B$2:$B$4, $A858, Ledger!$C$2:$C$4, Q$2)),"****")</f>
        <v/>
      </c>
      <c r="R858" t="str">
        <f>IFERROR(IF($C858="","",SUMIFS(Ledger!$K$2:$K$4, Ledger!$B$2:$B$4, $A858, Ledger!$C$2:$C$4, R$2)),"****")</f>
        <v/>
      </c>
      <c r="S858" t="str">
        <f>IFERROR(IF($C858="","",SUMIFS(Ledger!$K$2:$K$4, Ledger!$B$2:$B$4, $A858, Ledger!$C$2:$C$4, S$2)),"****")</f>
        <v/>
      </c>
      <c r="T858" t="str">
        <f>IFERROR(IF($C858="","",SUMIFS(Ledger!$K$2:$K$4, Ledger!$B$2:$B$4, $A858, Ledger!$C$2:$C$4, T$2)),"****")</f>
        <v/>
      </c>
      <c r="U858" t="str">
        <f>IFERROR(IF($C858="","",SUMIFS(Ledger!$K$2:$K$4, Ledger!$B$2:$B$4, $A858, Ledger!$C$2:$C$4, U$2)),"****")</f>
        <v/>
      </c>
      <c r="V858" t="str">
        <f>IFERROR(IF($C858="","",SUMIFS(Ledger!$K$2:$K$4, Ledger!$B$2:$B$4, $A858, Ledger!$C$2:$C$4, V$2)),"****")</f>
        <v/>
      </c>
      <c r="W858" t="str">
        <f>IFERROR(IF($C858="","",SUMIFS(Ledger!$K$2:$K$4, Ledger!$B$2:$B$4, $A858, Ledger!$C$2:$C$4, W$2)),"****")</f>
        <v/>
      </c>
      <c r="X858" t="str">
        <f>IFERROR(IF($C858="","",SUMIFS(Ledger!$K$2:$K$4, Ledger!$B$2:$B$4, $A858, Ledger!$C$2:$C$4, X$2)),"****")</f>
        <v/>
      </c>
    </row>
    <row r="859" spans="1:24" x14ac:dyDescent="0.3">
      <c r="A859" s="106">
        <v>857</v>
      </c>
      <c r="B859" t="str">
        <f>IFERROR(VLOOKUP($A859, Ledger!$B$2:$L$8, 3, 0),"")</f>
        <v/>
      </c>
      <c r="C859" t="str">
        <f>IFERROR(VLOOKUP($A859, Ledger!$B$2:$L$8, 4, 0),"")</f>
        <v/>
      </c>
      <c r="D859" t="str">
        <f>IFERROR(VLOOKUP($A859, Ledger!$B$2:$L$8, 5, 0),"")</f>
        <v/>
      </c>
      <c r="E859" t="str">
        <f>IFERROR(VLOOKUP($A859, Ledger!$B$2:$L$8, 6, 0),"")</f>
        <v/>
      </c>
      <c r="F859" t="str">
        <f>IFERROR(VLOOKUP($A859,'Student Data'!$A$2:$AR$6,32,0),"")</f>
        <v/>
      </c>
      <c r="G859" t="str">
        <f>IFERROR(VLOOKUP($A859,'Student Data'!$A$2:$AR$6,33,0),"")</f>
        <v/>
      </c>
      <c r="H859" t="str">
        <f>IFERROR(VLOOKUP($A859,'Student Data'!$A$2:$AR$6,34,0),"")</f>
        <v/>
      </c>
      <c r="I859" t="str">
        <f>IFERROR(VLOOKUP($A859,'Student Data'!$A$2:$AR$6,35,0),"")</f>
        <v/>
      </c>
      <c r="J859" t="str">
        <f>IFERROR(VLOOKUP($A859,'Student Data'!$A$2:$AR$6,36,0),"")</f>
        <v/>
      </c>
      <c r="K859" t="str">
        <f t="shared" si="26"/>
        <v/>
      </c>
      <c r="L859" t="str">
        <f t="shared" si="27"/>
        <v/>
      </c>
      <c r="M859" t="str">
        <f>IFERROR(IF($C859="","",SUMIFS(Ledger!$K$2:$K$4, Ledger!$B$2:$B$4, $A859, Ledger!$C$2:$C$4, M$2)),"****")</f>
        <v/>
      </c>
      <c r="N859" t="str">
        <f>IFERROR(IF($C859="","",SUMIFS(Ledger!$K$2:$K$4, Ledger!$B$2:$B$4, $A859, Ledger!$C$2:$C$4, N$2)),"****")</f>
        <v/>
      </c>
      <c r="O859" t="str">
        <f>IFERROR(IF($C859="","",SUMIFS(Ledger!$K$2:$K$4, Ledger!$B$2:$B$4, $A859, Ledger!$C$2:$C$4, O$2)),"****")</f>
        <v/>
      </c>
      <c r="P859" t="str">
        <f>IFERROR(IF($C859="","",SUMIFS(Ledger!$K$2:$K$4, Ledger!$B$2:$B$4, $A859, Ledger!$C$2:$C$4, P$2)),"****")</f>
        <v/>
      </c>
      <c r="Q859" t="str">
        <f>IFERROR(IF($C859="","",SUMIFS(Ledger!$K$2:$K$4, Ledger!$B$2:$B$4, $A859, Ledger!$C$2:$C$4, Q$2)),"****")</f>
        <v/>
      </c>
      <c r="R859" t="str">
        <f>IFERROR(IF($C859="","",SUMIFS(Ledger!$K$2:$K$4, Ledger!$B$2:$B$4, $A859, Ledger!$C$2:$C$4, R$2)),"****")</f>
        <v/>
      </c>
      <c r="S859" t="str">
        <f>IFERROR(IF($C859="","",SUMIFS(Ledger!$K$2:$K$4, Ledger!$B$2:$B$4, $A859, Ledger!$C$2:$C$4, S$2)),"****")</f>
        <v/>
      </c>
      <c r="T859" t="str">
        <f>IFERROR(IF($C859="","",SUMIFS(Ledger!$K$2:$K$4, Ledger!$B$2:$B$4, $A859, Ledger!$C$2:$C$4, T$2)),"****")</f>
        <v/>
      </c>
      <c r="U859" t="str">
        <f>IFERROR(IF($C859="","",SUMIFS(Ledger!$K$2:$K$4, Ledger!$B$2:$B$4, $A859, Ledger!$C$2:$C$4, U$2)),"****")</f>
        <v/>
      </c>
      <c r="V859" t="str">
        <f>IFERROR(IF($C859="","",SUMIFS(Ledger!$K$2:$K$4, Ledger!$B$2:$B$4, $A859, Ledger!$C$2:$C$4, V$2)),"****")</f>
        <v/>
      </c>
      <c r="W859" t="str">
        <f>IFERROR(IF($C859="","",SUMIFS(Ledger!$K$2:$K$4, Ledger!$B$2:$B$4, $A859, Ledger!$C$2:$C$4, W$2)),"****")</f>
        <v/>
      </c>
      <c r="X859" t="str">
        <f>IFERROR(IF($C859="","",SUMIFS(Ledger!$K$2:$K$4, Ledger!$B$2:$B$4, $A859, Ledger!$C$2:$C$4, X$2)),"****")</f>
        <v/>
      </c>
    </row>
    <row r="860" spans="1:24" x14ac:dyDescent="0.3">
      <c r="A860" s="106">
        <v>858</v>
      </c>
      <c r="B860" t="str">
        <f>IFERROR(VLOOKUP($A860, Ledger!$B$2:$L$8, 3, 0),"")</f>
        <v/>
      </c>
      <c r="C860" t="str">
        <f>IFERROR(VLOOKUP($A860, Ledger!$B$2:$L$8, 4, 0),"")</f>
        <v/>
      </c>
      <c r="D860" t="str">
        <f>IFERROR(VLOOKUP($A860, Ledger!$B$2:$L$8, 5, 0),"")</f>
        <v/>
      </c>
      <c r="E860" t="str">
        <f>IFERROR(VLOOKUP($A860, Ledger!$B$2:$L$8, 6, 0),"")</f>
        <v/>
      </c>
      <c r="F860" t="str">
        <f>IFERROR(VLOOKUP($A860,'Student Data'!$A$2:$AR$6,32,0),"")</f>
        <v/>
      </c>
      <c r="G860" t="str">
        <f>IFERROR(VLOOKUP($A860,'Student Data'!$A$2:$AR$6,33,0),"")</f>
        <v/>
      </c>
      <c r="H860" t="str">
        <f>IFERROR(VLOOKUP($A860,'Student Data'!$A$2:$AR$6,34,0),"")</f>
        <v/>
      </c>
      <c r="I860" t="str">
        <f>IFERROR(VLOOKUP($A860,'Student Data'!$A$2:$AR$6,35,0),"")</f>
        <v/>
      </c>
      <c r="J860" t="str">
        <f>IFERROR(VLOOKUP($A860,'Student Data'!$A$2:$AR$6,36,0),"")</f>
        <v/>
      </c>
      <c r="K860" t="str">
        <f t="shared" si="26"/>
        <v/>
      </c>
      <c r="L860" t="str">
        <f t="shared" si="27"/>
        <v/>
      </c>
      <c r="M860" t="str">
        <f>IFERROR(IF($C860="","",SUMIFS(Ledger!$K$2:$K$4, Ledger!$B$2:$B$4, $A860, Ledger!$C$2:$C$4, M$2)),"****")</f>
        <v/>
      </c>
      <c r="N860" t="str">
        <f>IFERROR(IF($C860="","",SUMIFS(Ledger!$K$2:$K$4, Ledger!$B$2:$B$4, $A860, Ledger!$C$2:$C$4, N$2)),"****")</f>
        <v/>
      </c>
      <c r="O860" t="str">
        <f>IFERROR(IF($C860="","",SUMIFS(Ledger!$K$2:$K$4, Ledger!$B$2:$B$4, $A860, Ledger!$C$2:$C$4, O$2)),"****")</f>
        <v/>
      </c>
      <c r="P860" t="str">
        <f>IFERROR(IF($C860="","",SUMIFS(Ledger!$K$2:$K$4, Ledger!$B$2:$B$4, $A860, Ledger!$C$2:$C$4, P$2)),"****")</f>
        <v/>
      </c>
      <c r="Q860" t="str">
        <f>IFERROR(IF($C860="","",SUMIFS(Ledger!$K$2:$K$4, Ledger!$B$2:$B$4, $A860, Ledger!$C$2:$C$4, Q$2)),"****")</f>
        <v/>
      </c>
      <c r="R860" t="str">
        <f>IFERROR(IF($C860="","",SUMIFS(Ledger!$K$2:$K$4, Ledger!$B$2:$B$4, $A860, Ledger!$C$2:$C$4, R$2)),"****")</f>
        <v/>
      </c>
      <c r="S860" t="str">
        <f>IFERROR(IF($C860="","",SUMIFS(Ledger!$K$2:$K$4, Ledger!$B$2:$B$4, $A860, Ledger!$C$2:$C$4, S$2)),"****")</f>
        <v/>
      </c>
      <c r="T860" t="str">
        <f>IFERROR(IF($C860="","",SUMIFS(Ledger!$K$2:$K$4, Ledger!$B$2:$B$4, $A860, Ledger!$C$2:$C$4, T$2)),"****")</f>
        <v/>
      </c>
      <c r="U860" t="str">
        <f>IFERROR(IF($C860="","",SUMIFS(Ledger!$K$2:$K$4, Ledger!$B$2:$B$4, $A860, Ledger!$C$2:$C$4, U$2)),"****")</f>
        <v/>
      </c>
      <c r="V860" t="str">
        <f>IFERROR(IF($C860="","",SUMIFS(Ledger!$K$2:$K$4, Ledger!$B$2:$B$4, $A860, Ledger!$C$2:$C$4, V$2)),"****")</f>
        <v/>
      </c>
      <c r="W860" t="str">
        <f>IFERROR(IF($C860="","",SUMIFS(Ledger!$K$2:$K$4, Ledger!$B$2:$B$4, $A860, Ledger!$C$2:$C$4, W$2)),"****")</f>
        <v/>
      </c>
      <c r="X860" t="str">
        <f>IFERROR(IF($C860="","",SUMIFS(Ledger!$K$2:$K$4, Ledger!$B$2:$B$4, $A860, Ledger!$C$2:$C$4, X$2)),"****")</f>
        <v/>
      </c>
    </row>
    <row r="861" spans="1:24" x14ac:dyDescent="0.3">
      <c r="A861" s="106">
        <v>859</v>
      </c>
      <c r="B861" t="str">
        <f>IFERROR(VLOOKUP($A861, Ledger!$B$2:$L$8, 3, 0),"")</f>
        <v/>
      </c>
      <c r="C861" t="str">
        <f>IFERROR(VLOOKUP($A861, Ledger!$B$2:$L$8, 4, 0),"")</f>
        <v/>
      </c>
      <c r="D861" t="str">
        <f>IFERROR(VLOOKUP($A861, Ledger!$B$2:$L$8, 5, 0),"")</f>
        <v/>
      </c>
      <c r="E861" t="str">
        <f>IFERROR(VLOOKUP($A861, Ledger!$B$2:$L$8, 6, 0),"")</f>
        <v/>
      </c>
      <c r="F861" t="str">
        <f>IFERROR(VLOOKUP($A861,'Student Data'!$A$2:$AR$6,32,0),"")</f>
        <v/>
      </c>
      <c r="G861" t="str">
        <f>IFERROR(VLOOKUP($A861,'Student Data'!$A$2:$AR$6,33,0),"")</f>
        <v/>
      </c>
      <c r="H861" t="str">
        <f>IFERROR(VLOOKUP($A861,'Student Data'!$A$2:$AR$6,34,0),"")</f>
        <v/>
      </c>
      <c r="I861" t="str">
        <f>IFERROR(VLOOKUP($A861,'Student Data'!$A$2:$AR$6,35,0),"")</f>
        <v/>
      </c>
      <c r="J861" t="str">
        <f>IFERROR(VLOOKUP($A861,'Student Data'!$A$2:$AR$6,36,0),"")</f>
        <v/>
      </c>
      <c r="K861" t="str">
        <f t="shared" si="26"/>
        <v/>
      </c>
      <c r="L861" t="str">
        <f t="shared" si="27"/>
        <v/>
      </c>
      <c r="M861" t="str">
        <f>IFERROR(IF($C861="","",SUMIFS(Ledger!$K$2:$K$4, Ledger!$B$2:$B$4, $A861, Ledger!$C$2:$C$4, M$2)),"****")</f>
        <v/>
      </c>
      <c r="N861" t="str">
        <f>IFERROR(IF($C861="","",SUMIFS(Ledger!$K$2:$K$4, Ledger!$B$2:$B$4, $A861, Ledger!$C$2:$C$4, N$2)),"****")</f>
        <v/>
      </c>
      <c r="O861" t="str">
        <f>IFERROR(IF($C861="","",SUMIFS(Ledger!$K$2:$K$4, Ledger!$B$2:$B$4, $A861, Ledger!$C$2:$C$4, O$2)),"****")</f>
        <v/>
      </c>
      <c r="P861" t="str">
        <f>IFERROR(IF($C861="","",SUMIFS(Ledger!$K$2:$K$4, Ledger!$B$2:$B$4, $A861, Ledger!$C$2:$C$4, P$2)),"****")</f>
        <v/>
      </c>
      <c r="Q861" t="str">
        <f>IFERROR(IF($C861="","",SUMIFS(Ledger!$K$2:$K$4, Ledger!$B$2:$B$4, $A861, Ledger!$C$2:$C$4, Q$2)),"****")</f>
        <v/>
      </c>
      <c r="R861" t="str">
        <f>IFERROR(IF($C861="","",SUMIFS(Ledger!$K$2:$K$4, Ledger!$B$2:$B$4, $A861, Ledger!$C$2:$C$4, R$2)),"****")</f>
        <v/>
      </c>
      <c r="S861" t="str">
        <f>IFERROR(IF($C861="","",SUMIFS(Ledger!$K$2:$K$4, Ledger!$B$2:$B$4, $A861, Ledger!$C$2:$C$4, S$2)),"****")</f>
        <v/>
      </c>
      <c r="T861" t="str">
        <f>IFERROR(IF($C861="","",SUMIFS(Ledger!$K$2:$K$4, Ledger!$B$2:$B$4, $A861, Ledger!$C$2:$C$4, T$2)),"****")</f>
        <v/>
      </c>
      <c r="U861" t="str">
        <f>IFERROR(IF($C861="","",SUMIFS(Ledger!$K$2:$K$4, Ledger!$B$2:$B$4, $A861, Ledger!$C$2:$C$4, U$2)),"****")</f>
        <v/>
      </c>
      <c r="V861" t="str">
        <f>IFERROR(IF($C861="","",SUMIFS(Ledger!$K$2:$K$4, Ledger!$B$2:$B$4, $A861, Ledger!$C$2:$C$4, V$2)),"****")</f>
        <v/>
      </c>
      <c r="W861" t="str">
        <f>IFERROR(IF($C861="","",SUMIFS(Ledger!$K$2:$K$4, Ledger!$B$2:$B$4, $A861, Ledger!$C$2:$C$4, W$2)),"****")</f>
        <v/>
      </c>
      <c r="X861" t="str">
        <f>IFERROR(IF($C861="","",SUMIFS(Ledger!$K$2:$K$4, Ledger!$B$2:$B$4, $A861, Ledger!$C$2:$C$4, X$2)),"****")</f>
        <v/>
      </c>
    </row>
    <row r="862" spans="1:24" x14ac:dyDescent="0.3">
      <c r="A862" s="106">
        <v>860</v>
      </c>
      <c r="B862" t="str">
        <f>IFERROR(VLOOKUP($A862, Ledger!$B$2:$L$8, 3, 0),"")</f>
        <v/>
      </c>
      <c r="C862" t="str">
        <f>IFERROR(VLOOKUP($A862, Ledger!$B$2:$L$8, 4, 0),"")</f>
        <v/>
      </c>
      <c r="D862" t="str">
        <f>IFERROR(VLOOKUP($A862, Ledger!$B$2:$L$8, 5, 0),"")</f>
        <v/>
      </c>
      <c r="E862" t="str">
        <f>IFERROR(VLOOKUP($A862, Ledger!$B$2:$L$8, 6, 0),"")</f>
        <v/>
      </c>
      <c r="F862" t="str">
        <f>IFERROR(VLOOKUP($A862,'Student Data'!$A$2:$AR$6,32,0),"")</f>
        <v/>
      </c>
      <c r="G862" t="str">
        <f>IFERROR(VLOOKUP($A862,'Student Data'!$A$2:$AR$6,33,0),"")</f>
        <v/>
      </c>
      <c r="H862" t="str">
        <f>IFERROR(VLOOKUP($A862,'Student Data'!$A$2:$AR$6,34,0),"")</f>
        <v/>
      </c>
      <c r="I862" t="str">
        <f>IFERROR(VLOOKUP($A862,'Student Data'!$A$2:$AR$6,35,0),"")</f>
        <v/>
      </c>
      <c r="J862" t="str">
        <f>IFERROR(VLOOKUP($A862,'Student Data'!$A$2:$AR$6,36,0),"")</f>
        <v/>
      </c>
      <c r="K862" t="str">
        <f t="shared" si="26"/>
        <v/>
      </c>
      <c r="L862" t="str">
        <f t="shared" si="27"/>
        <v/>
      </c>
      <c r="M862" t="str">
        <f>IFERROR(IF($C862="","",SUMIFS(Ledger!$K$2:$K$4, Ledger!$B$2:$B$4, $A862, Ledger!$C$2:$C$4, M$2)),"****")</f>
        <v/>
      </c>
      <c r="N862" t="str">
        <f>IFERROR(IF($C862="","",SUMIFS(Ledger!$K$2:$K$4, Ledger!$B$2:$B$4, $A862, Ledger!$C$2:$C$4, N$2)),"****")</f>
        <v/>
      </c>
      <c r="O862" t="str">
        <f>IFERROR(IF($C862="","",SUMIFS(Ledger!$K$2:$K$4, Ledger!$B$2:$B$4, $A862, Ledger!$C$2:$C$4, O$2)),"****")</f>
        <v/>
      </c>
      <c r="P862" t="str">
        <f>IFERROR(IF($C862="","",SUMIFS(Ledger!$K$2:$K$4, Ledger!$B$2:$B$4, $A862, Ledger!$C$2:$C$4, P$2)),"****")</f>
        <v/>
      </c>
      <c r="Q862" t="str">
        <f>IFERROR(IF($C862="","",SUMIFS(Ledger!$K$2:$K$4, Ledger!$B$2:$B$4, $A862, Ledger!$C$2:$C$4, Q$2)),"****")</f>
        <v/>
      </c>
      <c r="R862" t="str">
        <f>IFERROR(IF($C862="","",SUMIFS(Ledger!$K$2:$K$4, Ledger!$B$2:$B$4, $A862, Ledger!$C$2:$C$4, R$2)),"****")</f>
        <v/>
      </c>
      <c r="S862" t="str">
        <f>IFERROR(IF($C862="","",SUMIFS(Ledger!$K$2:$K$4, Ledger!$B$2:$B$4, $A862, Ledger!$C$2:$C$4, S$2)),"****")</f>
        <v/>
      </c>
      <c r="T862" t="str">
        <f>IFERROR(IF($C862="","",SUMIFS(Ledger!$K$2:$K$4, Ledger!$B$2:$B$4, $A862, Ledger!$C$2:$C$4, T$2)),"****")</f>
        <v/>
      </c>
      <c r="U862" t="str">
        <f>IFERROR(IF($C862="","",SUMIFS(Ledger!$K$2:$K$4, Ledger!$B$2:$B$4, $A862, Ledger!$C$2:$C$4, U$2)),"****")</f>
        <v/>
      </c>
      <c r="V862" t="str">
        <f>IFERROR(IF($C862="","",SUMIFS(Ledger!$K$2:$K$4, Ledger!$B$2:$B$4, $A862, Ledger!$C$2:$C$4, V$2)),"****")</f>
        <v/>
      </c>
      <c r="W862" t="str">
        <f>IFERROR(IF($C862="","",SUMIFS(Ledger!$K$2:$K$4, Ledger!$B$2:$B$4, $A862, Ledger!$C$2:$C$4, W$2)),"****")</f>
        <v/>
      </c>
      <c r="X862" t="str">
        <f>IFERROR(IF($C862="","",SUMIFS(Ledger!$K$2:$K$4, Ledger!$B$2:$B$4, $A862, Ledger!$C$2:$C$4, X$2)),"****")</f>
        <v/>
      </c>
    </row>
    <row r="863" spans="1:24" x14ac:dyDescent="0.3">
      <c r="A863" s="106">
        <v>861</v>
      </c>
      <c r="B863" t="str">
        <f>IFERROR(VLOOKUP($A863, Ledger!$B$2:$L$8, 3, 0),"")</f>
        <v/>
      </c>
      <c r="C863" t="str">
        <f>IFERROR(VLOOKUP($A863, Ledger!$B$2:$L$8, 4, 0),"")</f>
        <v/>
      </c>
      <c r="D863" t="str">
        <f>IFERROR(VLOOKUP($A863, Ledger!$B$2:$L$8, 5, 0),"")</f>
        <v/>
      </c>
      <c r="E863" t="str">
        <f>IFERROR(VLOOKUP($A863, Ledger!$B$2:$L$8, 6, 0),"")</f>
        <v/>
      </c>
      <c r="F863" t="str">
        <f>IFERROR(VLOOKUP($A863,'Student Data'!$A$2:$AR$6,32,0),"")</f>
        <v/>
      </c>
      <c r="G863" t="str">
        <f>IFERROR(VLOOKUP($A863,'Student Data'!$A$2:$AR$6,33,0),"")</f>
        <v/>
      </c>
      <c r="H863" t="str">
        <f>IFERROR(VLOOKUP($A863,'Student Data'!$A$2:$AR$6,34,0),"")</f>
        <v/>
      </c>
      <c r="I863" t="str">
        <f>IFERROR(VLOOKUP($A863,'Student Data'!$A$2:$AR$6,35,0),"")</f>
        <v/>
      </c>
      <c r="J863" t="str">
        <f>IFERROR(VLOOKUP($A863,'Student Data'!$A$2:$AR$6,36,0),"")</f>
        <v/>
      </c>
      <c r="K863" t="str">
        <f t="shared" si="26"/>
        <v/>
      </c>
      <c r="L863" t="str">
        <f t="shared" si="27"/>
        <v/>
      </c>
      <c r="M863" t="str">
        <f>IFERROR(IF($C863="","",SUMIFS(Ledger!$K$2:$K$4, Ledger!$B$2:$B$4, $A863, Ledger!$C$2:$C$4, M$2)),"****")</f>
        <v/>
      </c>
      <c r="N863" t="str">
        <f>IFERROR(IF($C863="","",SUMIFS(Ledger!$K$2:$K$4, Ledger!$B$2:$B$4, $A863, Ledger!$C$2:$C$4, N$2)),"****")</f>
        <v/>
      </c>
      <c r="O863" t="str">
        <f>IFERROR(IF($C863="","",SUMIFS(Ledger!$K$2:$K$4, Ledger!$B$2:$B$4, $A863, Ledger!$C$2:$C$4, O$2)),"****")</f>
        <v/>
      </c>
      <c r="P863" t="str">
        <f>IFERROR(IF($C863="","",SUMIFS(Ledger!$K$2:$K$4, Ledger!$B$2:$B$4, $A863, Ledger!$C$2:$C$4, P$2)),"****")</f>
        <v/>
      </c>
      <c r="Q863" t="str">
        <f>IFERROR(IF($C863="","",SUMIFS(Ledger!$K$2:$K$4, Ledger!$B$2:$B$4, $A863, Ledger!$C$2:$C$4, Q$2)),"****")</f>
        <v/>
      </c>
      <c r="R863" t="str">
        <f>IFERROR(IF($C863="","",SUMIFS(Ledger!$K$2:$K$4, Ledger!$B$2:$B$4, $A863, Ledger!$C$2:$C$4, R$2)),"****")</f>
        <v/>
      </c>
      <c r="S863" t="str">
        <f>IFERROR(IF($C863="","",SUMIFS(Ledger!$K$2:$K$4, Ledger!$B$2:$B$4, $A863, Ledger!$C$2:$C$4, S$2)),"****")</f>
        <v/>
      </c>
      <c r="T863" t="str">
        <f>IFERROR(IF($C863="","",SUMIFS(Ledger!$K$2:$K$4, Ledger!$B$2:$B$4, $A863, Ledger!$C$2:$C$4, T$2)),"****")</f>
        <v/>
      </c>
      <c r="U863" t="str">
        <f>IFERROR(IF($C863="","",SUMIFS(Ledger!$K$2:$K$4, Ledger!$B$2:$B$4, $A863, Ledger!$C$2:$C$4, U$2)),"****")</f>
        <v/>
      </c>
      <c r="V863" t="str">
        <f>IFERROR(IF($C863="","",SUMIFS(Ledger!$K$2:$K$4, Ledger!$B$2:$B$4, $A863, Ledger!$C$2:$C$4, V$2)),"****")</f>
        <v/>
      </c>
      <c r="W863" t="str">
        <f>IFERROR(IF($C863="","",SUMIFS(Ledger!$K$2:$K$4, Ledger!$B$2:$B$4, $A863, Ledger!$C$2:$C$4, W$2)),"****")</f>
        <v/>
      </c>
      <c r="X863" t="str">
        <f>IFERROR(IF($C863="","",SUMIFS(Ledger!$K$2:$K$4, Ledger!$B$2:$B$4, $A863, Ledger!$C$2:$C$4, X$2)),"****")</f>
        <v/>
      </c>
    </row>
    <row r="864" spans="1:24" x14ac:dyDescent="0.3">
      <c r="A864" s="106">
        <v>862</v>
      </c>
      <c r="B864" t="str">
        <f>IFERROR(VLOOKUP($A864, Ledger!$B$2:$L$8, 3, 0),"")</f>
        <v/>
      </c>
      <c r="C864" t="str">
        <f>IFERROR(VLOOKUP($A864, Ledger!$B$2:$L$8, 4, 0),"")</f>
        <v/>
      </c>
      <c r="D864" t="str">
        <f>IFERROR(VLOOKUP($A864, Ledger!$B$2:$L$8, 5, 0),"")</f>
        <v/>
      </c>
      <c r="E864" t="str">
        <f>IFERROR(VLOOKUP($A864, Ledger!$B$2:$L$8, 6, 0),"")</f>
        <v/>
      </c>
      <c r="F864" t="str">
        <f>IFERROR(VLOOKUP($A864,'Student Data'!$A$2:$AR$6,32,0),"")</f>
        <v/>
      </c>
      <c r="G864" t="str">
        <f>IFERROR(VLOOKUP($A864,'Student Data'!$A$2:$AR$6,33,0),"")</f>
        <v/>
      </c>
      <c r="H864" t="str">
        <f>IFERROR(VLOOKUP($A864,'Student Data'!$A$2:$AR$6,34,0),"")</f>
        <v/>
      </c>
      <c r="I864" t="str">
        <f>IFERROR(VLOOKUP($A864,'Student Data'!$A$2:$AR$6,35,0),"")</f>
        <v/>
      </c>
      <c r="J864" t="str">
        <f>IFERROR(VLOOKUP($A864,'Student Data'!$A$2:$AR$6,36,0),"")</f>
        <v/>
      </c>
      <c r="K864" t="str">
        <f t="shared" si="26"/>
        <v/>
      </c>
      <c r="L864" t="str">
        <f t="shared" si="27"/>
        <v/>
      </c>
      <c r="M864" t="str">
        <f>IFERROR(IF($C864="","",SUMIFS(Ledger!$K$2:$K$4, Ledger!$B$2:$B$4, $A864, Ledger!$C$2:$C$4, M$2)),"****")</f>
        <v/>
      </c>
      <c r="N864" t="str">
        <f>IFERROR(IF($C864="","",SUMIFS(Ledger!$K$2:$K$4, Ledger!$B$2:$B$4, $A864, Ledger!$C$2:$C$4, N$2)),"****")</f>
        <v/>
      </c>
      <c r="O864" t="str">
        <f>IFERROR(IF($C864="","",SUMIFS(Ledger!$K$2:$K$4, Ledger!$B$2:$B$4, $A864, Ledger!$C$2:$C$4, O$2)),"****")</f>
        <v/>
      </c>
      <c r="P864" t="str">
        <f>IFERROR(IF($C864="","",SUMIFS(Ledger!$K$2:$K$4, Ledger!$B$2:$B$4, $A864, Ledger!$C$2:$C$4, P$2)),"****")</f>
        <v/>
      </c>
      <c r="Q864" t="str">
        <f>IFERROR(IF($C864="","",SUMIFS(Ledger!$K$2:$K$4, Ledger!$B$2:$B$4, $A864, Ledger!$C$2:$C$4, Q$2)),"****")</f>
        <v/>
      </c>
      <c r="R864" t="str">
        <f>IFERROR(IF($C864="","",SUMIFS(Ledger!$K$2:$K$4, Ledger!$B$2:$B$4, $A864, Ledger!$C$2:$C$4, R$2)),"****")</f>
        <v/>
      </c>
      <c r="S864" t="str">
        <f>IFERROR(IF($C864="","",SUMIFS(Ledger!$K$2:$K$4, Ledger!$B$2:$B$4, $A864, Ledger!$C$2:$C$4, S$2)),"****")</f>
        <v/>
      </c>
      <c r="T864" t="str">
        <f>IFERROR(IF($C864="","",SUMIFS(Ledger!$K$2:$K$4, Ledger!$B$2:$B$4, $A864, Ledger!$C$2:$C$4, T$2)),"****")</f>
        <v/>
      </c>
      <c r="U864" t="str">
        <f>IFERROR(IF($C864="","",SUMIFS(Ledger!$K$2:$K$4, Ledger!$B$2:$B$4, $A864, Ledger!$C$2:$C$4, U$2)),"****")</f>
        <v/>
      </c>
      <c r="V864" t="str">
        <f>IFERROR(IF($C864="","",SUMIFS(Ledger!$K$2:$K$4, Ledger!$B$2:$B$4, $A864, Ledger!$C$2:$C$4, V$2)),"****")</f>
        <v/>
      </c>
      <c r="W864" t="str">
        <f>IFERROR(IF($C864="","",SUMIFS(Ledger!$K$2:$K$4, Ledger!$B$2:$B$4, $A864, Ledger!$C$2:$C$4, W$2)),"****")</f>
        <v/>
      </c>
      <c r="X864" t="str">
        <f>IFERROR(IF($C864="","",SUMIFS(Ledger!$K$2:$K$4, Ledger!$B$2:$B$4, $A864, Ledger!$C$2:$C$4, X$2)),"****")</f>
        <v/>
      </c>
    </row>
    <row r="865" spans="1:24" x14ac:dyDescent="0.3">
      <c r="A865" s="106">
        <v>863</v>
      </c>
      <c r="B865" t="str">
        <f>IFERROR(VLOOKUP($A865, Ledger!$B$2:$L$8, 3, 0),"")</f>
        <v/>
      </c>
      <c r="C865" t="str">
        <f>IFERROR(VLOOKUP($A865, Ledger!$B$2:$L$8, 4, 0),"")</f>
        <v/>
      </c>
      <c r="D865" t="str">
        <f>IFERROR(VLOOKUP($A865, Ledger!$B$2:$L$8, 5, 0),"")</f>
        <v/>
      </c>
      <c r="E865" t="str">
        <f>IFERROR(VLOOKUP($A865, Ledger!$B$2:$L$8, 6, 0),"")</f>
        <v/>
      </c>
      <c r="F865" t="str">
        <f>IFERROR(VLOOKUP($A865,'Student Data'!$A$2:$AR$6,32,0),"")</f>
        <v/>
      </c>
      <c r="G865" t="str">
        <f>IFERROR(VLOOKUP($A865,'Student Data'!$A$2:$AR$6,33,0),"")</f>
        <v/>
      </c>
      <c r="H865" t="str">
        <f>IFERROR(VLOOKUP($A865,'Student Data'!$A$2:$AR$6,34,0),"")</f>
        <v/>
      </c>
      <c r="I865" t="str">
        <f>IFERROR(VLOOKUP($A865,'Student Data'!$A$2:$AR$6,35,0),"")</f>
        <v/>
      </c>
      <c r="J865" t="str">
        <f>IFERROR(VLOOKUP($A865,'Student Data'!$A$2:$AR$6,36,0),"")</f>
        <v/>
      </c>
      <c r="K865" t="str">
        <f t="shared" si="26"/>
        <v/>
      </c>
      <c r="L865" t="str">
        <f t="shared" si="27"/>
        <v/>
      </c>
      <c r="M865" t="str">
        <f>IFERROR(IF($C865="","",SUMIFS(Ledger!$K$2:$K$4, Ledger!$B$2:$B$4, $A865, Ledger!$C$2:$C$4, M$2)),"****")</f>
        <v/>
      </c>
      <c r="N865" t="str">
        <f>IFERROR(IF($C865="","",SUMIFS(Ledger!$K$2:$K$4, Ledger!$B$2:$B$4, $A865, Ledger!$C$2:$C$4, N$2)),"****")</f>
        <v/>
      </c>
      <c r="O865" t="str">
        <f>IFERROR(IF($C865="","",SUMIFS(Ledger!$K$2:$K$4, Ledger!$B$2:$B$4, $A865, Ledger!$C$2:$C$4, O$2)),"****")</f>
        <v/>
      </c>
      <c r="P865" t="str">
        <f>IFERROR(IF($C865="","",SUMIFS(Ledger!$K$2:$K$4, Ledger!$B$2:$B$4, $A865, Ledger!$C$2:$C$4, P$2)),"****")</f>
        <v/>
      </c>
      <c r="Q865" t="str">
        <f>IFERROR(IF($C865="","",SUMIFS(Ledger!$K$2:$K$4, Ledger!$B$2:$B$4, $A865, Ledger!$C$2:$C$4, Q$2)),"****")</f>
        <v/>
      </c>
      <c r="R865" t="str">
        <f>IFERROR(IF($C865="","",SUMIFS(Ledger!$K$2:$K$4, Ledger!$B$2:$B$4, $A865, Ledger!$C$2:$C$4, R$2)),"****")</f>
        <v/>
      </c>
      <c r="S865" t="str">
        <f>IFERROR(IF($C865="","",SUMIFS(Ledger!$K$2:$K$4, Ledger!$B$2:$B$4, $A865, Ledger!$C$2:$C$4, S$2)),"****")</f>
        <v/>
      </c>
      <c r="T865" t="str">
        <f>IFERROR(IF($C865="","",SUMIFS(Ledger!$K$2:$K$4, Ledger!$B$2:$B$4, $A865, Ledger!$C$2:$C$4, T$2)),"****")</f>
        <v/>
      </c>
      <c r="U865" t="str">
        <f>IFERROR(IF($C865="","",SUMIFS(Ledger!$K$2:$K$4, Ledger!$B$2:$B$4, $A865, Ledger!$C$2:$C$4, U$2)),"****")</f>
        <v/>
      </c>
      <c r="V865" t="str">
        <f>IFERROR(IF($C865="","",SUMIFS(Ledger!$K$2:$K$4, Ledger!$B$2:$B$4, $A865, Ledger!$C$2:$C$4, V$2)),"****")</f>
        <v/>
      </c>
      <c r="W865" t="str">
        <f>IFERROR(IF($C865="","",SUMIFS(Ledger!$K$2:$K$4, Ledger!$B$2:$B$4, $A865, Ledger!$C$2:$C$4, W$2)),"****")</f>
        <v/>
      </c>
      <c r="X865" t="str">
        <f>IFERROR(IF($C865="","",SUMIFS(Ledger!$K$2:$K$4, Ledger!$B$2:$B$4, $A865, Ledger!$C$2:$C$4, X$2)),"****")</f>
        <v/>
      </c>
    </row>
    <row r="866" spans="1:24" x14ac:dyDescent="0.3">
      <c r="A866" s="106">
        <v>864</v>
      </c>
      <c r="B866" t="str">
        <f>IFERROR(VLOOKUP($A866, Ledger!$B$2:$L$8, 3, 0),"")</f>
        <v/>
      </c>
      <c r="C866" t="str">
        <f>IFERROR(VLOOKUP($A866, Ledger!$B$2:$L$8, 4, 0),"")</f>
        <v/>
      </c>
      <c r="D866" t="str">
        <f>IFERROR(VLOOKUP($A866, Ledger!$B$2:$L$8, 5, 0),"")</f>
        <v/>
      </c>
      <c r="E866" t="str">
        <f>IFERROR(VLOOKUP($A866, Ledger!$B$2:$L$8, 6, 0),"")</f>
        <v/>
      </c>
      <c r="F866" t="str">
        <f>IFERROR(VLOOKUP($A866,'Student Data'!$A$2:$AR$6,32,0),"")</f>
        <v/>
      </c>
      <c r="G866" t="str">
        <f>IFERROR(VLOOKUP($A866,'Student Data'!$A$2:$AR$6,33,0),"")</f>
        <v/>
      </c>
      <c r="H866" t="str">
        <f>IFERROR(VLOOKUP($A866,'Student Data'!$A$2:$AR$6,34,0),"")</f>
        <v/>
      </c>
      <c r="I866" t="str">
        <f>IFERROR(VLOOKUP($A866,'Student Data'!$A$2:$AR$6,35,0),"")</f>
        <v/>
      </c>
      <c r="J866" t="str">
        <f>IFERROR(VLOOKUP($A866,'Student Data'!$A$2:$AR$6,36,0),"")</f>
        <v/>
      </c>
      <c r="K866" t="str">
        <f t="shared" si="26"/>
        <v/>
      </c>
      <c r="L866" t="str">
        <f t="shared" si="27"/>
        <v/>
      </c>
      <c r="M866" t="str">
        <f>IFERROR(IF($C866="","",SUMIFS(Ledger!$K$2:$K$4, Ledger!$B$2:$B$4, $A866, Ledger!$C$2:$C$4, M$2)),"****")</f>
        <v/>
      </c>
      <c r="N866" t="str">
        <f>IFERROR(IF($C866="","",SUMIFS(Ledger!$K$2:$K$4, Ledger!$B$2:$B$4, $A866, Ledger!$C$2:$C$4, N$2)),"****")</f>
        <v/>
      </c>
      <c r="O866" t="str">
        <f>IFERROR(IF($C866="","",SUMIFS(Ledger!$K$2:$K$4, Ledger!$B$2:$B$4, $A866, Ledger!$C$2:$C$4, O$2)),"****")</f>
        <v/>
      </c>
      <c r="P866" t="str">
        <f>IFERROR(IF($C866="","",SUMIFS(Ledger!$K$2:$K$4, Ledger!$B$2:$B$4, $A866, Ledger!$C$2:$C$4, P$2)),"****")</f>
        <v/>
      </c>
      <c r="Q866" t="str">
        <f>IFERROR(IF($C866="","",SUMIFS(Ledger!$K$2:$K$4, Ledger!$B$2:$B$4, $A866, Ledger!$C$2:$C$4, Q$2)),"****")</f>
        <v/>
      </c>
      <c r="R866" t="str">
        <f>IFERROR(IF($C866="","",SUMIFS(Ledger!$K$2:$K$4, Ledger!$B$2:$B$4, $A866, Ledger!$C$2:$C$4, R$2)),"****")</f>
        <v/>
      </c>
      <c r="S866" t="str">
        <f>IFERROR(IF($C866="","",SUMIFS(Ledger!$K$2:$K$4, Ledger!$B$2:$B$4, $A866, Ledger!$C$2:$C$4, S$2)),"****")</f>
        <v/>
      </c>
      <c r="T866" t="str">
        <f>IFERROR(IF($C866="","",SUMIFS(Ledger!$K$2:$K$4, Ledger!$B$2:$B$4, $A866, Ledger!$C$2:$C$4, T$2)),"****")</f>
        <v/>
      </c>
      <c r="U866" t="str">
        <f>IFERROR(IF($C866="","",SUMIFS(Ledger!$K$2:$K$4, Ledger!$B$2:$B$4, $A866, Ledger!$C$2:$C$4, U$2)),"****")</f>
        <v/>
      </c>
      <c r="V866" t="str">
        <f>IFERROR(IF($C866="","",SUMIFS(Ledger!$K$2:$K$4, Ledger!$B$2:$B$4, $A866, Ledger!$C$2:$C$4, V$2)),"****")</f>
        <v/>
      </c>
      <c r="W866" t="str">
        <f>IFERROR(IF($C866="","",SUMIFS(Ledger!$K$2:$K$4, Ledger!$B$2:$B$4, $A866, Ledger!$C$2:$C$4, W$2)),"****")</f>
        <v/>
      </c>
      <c r="X866" t="str">
        <f>IFERROR(IF($C866="","",SUMIFS(Ledger!$K$2:$K$4, Ledger!$B$2:$B$4, $A866, Ledger!$C$2:$C$4, X$2)),"****")</f>
        <v/>
      </c>
    </row>
    <row r="867" spans="1:24" x14ac:dyDescent="0.3">
      <c r="A867" s="106">
        <v>865</v>
      </c>
      <c r="B867" t="str">
        <f>IFERROR(VLOOKUP($A867, Ledger!$B$2:$L$8, 3, 0),"")</f>
        <v/>
      </c>
      <c r="C867" t="str">
        <f>IFERROR(VLOOKUP($A867, Ledger!$B$2:$L$8, 4, 0),"")</f>
        <v/>
      </c>
      <c r="D867" t="str">
        <f>IFERROR(VLOOKUP($A867, Ledger!$B$2:$L$8, 5, 0),"")</f>
        <v/>
      </c>
      <c r="E867" t="str">
        <f>IFERROR(VLOOKUP($A867, Ledger!$B$2:$L$8, 6, 0),"")</f>
        <v/>
      </c>
      <c r="F867" t="str">
        <f>IFERROR(VLOOKUP($A867,'Student Data'!$A$2:$AR$6,32,0),"")</f>
        <v/>
      </c>
      <c r="G867" t="str">
        <f>IFERROR(VLOOKUP($A867,'Student Data'!$A$2:$AR$6,33,0),"")</f>
        <v/>
      </c>
      <c r="H867" t="str">
        <f>IFERROR(VLOOKUP($A867,'Student Data'!$A$2:$AR$6,34,0),"")</f>
        <v/>
      </c>
      <c r="I867" t="str">
        <f>IFERROR(VLOOKUP($A867,'Student Data'!$A$2:$AR$6,35,0),"")</f>
        <v/>
      </c>
      <c r="J867" t="str">
        <f>IFERROR(VLOOKUP($A867,'Student Data'!$A$2:$AR$6,36,0),"")</f>
        <v/>
      </c>
      <c r="K867" t="str">
        <f t="shared" si="26"/>
        <v/>
      </c>
      <c r="L867" t="str">
        <f t="shared" si="27"/>
        <v/>
      </c>
      <c r="M867" t="str">
        <f>IFERROR(IF($C867="","",SUMIFS(Ledger!$K$2:$K$4, Ledger!$B$2:$B$4, $A867, Ledger!$C$2:$C$4, M$2)),"****")</f>
        <v/>
      </c>
      <c r="N867" t="str">
        <f>IFERROR(IF($C867="","",SUMIFS(Ledger!$K$2:$K$4, Ledger!$B$2:$B$4, $A867, Ledger!$C$2:$C$4, N$2)),"****")</f>
        <v/>
      </c>
      <c r="O867" t="str">
        <f>IFERROR(IF($C867="","",SUMIFS(Ledger!$K$2:$K$4, Ledger!$B$2:$B$4, $A867, Ledger!$C$2:$C$4, O$2)),"****")</f>
        <v/>
      </c>
      <c r="P867" t="str">
        <f>IFERROR(IF($C867="","",SUMIFS(Ledger!$K$2:$K$4, Ledger!$B$2:$B$4, $A867, Ledger!$C$2:$C$4, P$2)),"****")</f>
        <v/>
      </c>
      <c r="Q867" t="str">
        <f>IFERROR(IF($C867="","",SUMIFS(Ledger!$K$2:$K$4, Ledger!$B$2:$B$4, $A867, Ledger!$C$2:$C$4, Q$2)),"****")</f>
        <v/>
      </c>
      <c r="R867" t="str">
        <f>IFERROR(IF($C867="","",SUMIFS(Ledger!$K$2:$K$4, Ledger!$B$2:$B$4, $A867, Ledger!$C$2:$C$4, R$2)),"****")</f>
        <v/>
      </c>
      <c r="S867" t="str">
        <f>IFERROR(IF($C867="","",SUMIFS(Ledger!$K$2:$K$4, Ledger!$B$2:$B$4, $A867, Ledger!$C$2:$C$4, S$2)),"****")</f>
        <v/>
      </c>
      <c r="T867" t="str">
        <f>IFERROR(IF($C867="","",SUMIFS(Ledger!$K$2:$K$4, Ledger!$B$2:$B$4, $A867, Ledger!$C$2:$C$4, T$2)),"****")</f>
        <v/>
      </c>
      <c r="U867" t="str">
        <f>IFERROR(IF($C867="","",SUMIFS(Ledger!$K$2:$K$4, Ledger!$B$2:$B$4, $A867, Ledger!$C$2:$C$4, U$2)),"****")</f>
        <v/>
      </c>
      <c r="V867" t="str">
        <f>IFERROR(IF($C867="","",SUMIFS(Ledger!$K$2:$K$4, Ledger!$B$2:$B$4, $A867, Ledger!$C$2:$C$4, V$2)),"****")</f>
        <v/>
      </c>
      <c r="W867" t="str">
        <f>IFERROR(IF($C867="","",SUMIFS(Ledger!$K$2:$K$4, Ledger!$B$2:$B$4, $A867, Ledger!$C$2:$C$4, W$2)),"****")</f>
        <v/>
      </c>
      <c r="X867" t="str">
        <f>IFERROR(IF($C867="","",SUMIFS(Ledger!$K$2:$K$4, Ledger!$B$2:$B$4, $A867, Ledger!$C$2:$C$4, X$2)),"****")</f>
        <v/>
      </c>
    </row>
    <row r="868" spans="1:24" x14ac:dyDescent="0.3">
      <c r="A868" s="106">
        <v>866</v>
      </c>
      <c r="B868" t="str">
        <f>IFERROR(VLOOKUP($A868, Ledger!$B$2:$L$8, 3, 0),"")</f>
        <v/>
      </c>
      <c r="C868" t="str">
        <f>IFERROR(VLOOKUP($A868, Ledger!$B$2:$L$8, 4, 0),"")</f>
        <v/>
      </c>
      <c r="D868" t="str">
        <f>IFERROR(VLOOKUP($A868, Ledger!$B$2:$L$8, 5, 0),"")</f>
        <v/>
      </c>
      <c r="E868" t="str">
        <f>IFERROR(VLOOKUP($A868, Ledger!$B$2:$L$8, 6, 0),"")</f>
        <v/>
      </c>
      <c r="F868" t="str">
        <f>IFERROR(VLOOKUP($A868,'Student Data'!$A$2:$AR$6,32,0),"")</f>
        <v/>
      </c>
      <c r="G868" t="str">
        <f>IFERROR(VLOOKUP($A868,'Student Data'!$A$2:$AR$6,33,0),"")</f>
        <v/>
      </c>
      <c r="H868" t="str">
        <f>IFERROR(VLOOKUP($A868,'Student Data'!$A$2:$AR$6,34,0),"")</f>
        <v/>
      </c>
      <c r="I868" t="str">
        <f>IFERROR(VLOOKUP($A868,'Student Data'!$A$2:$AR$6,35,0),"")</f>
        <v/>
      </c>
      <c r="J868" t="str">
        <f>IFERROR(VLOOKUP($A868,'Student Data'!$A$2:$AR$6,36,0),"")</f>
        <v/>
      </c>
      <c r="K868" t="str">
        <f t="shared" si="26"/>
        <v/>
      </c>
      <c r="L868" t="str">
        <f t="shared" si="27"/>
        <v/>
      </c>
      <c r="M868" t="str">
        <f>IFERROR(IF($C868="","",SUMIFS(Ledger!$K$2:$K$4, Ledger!$B$2:$B$4, $A868, Ledger!$C$2:$C$4, M$2)),"****")</f>
        <v/>
      </c>
      <c r="N868" t="str">
        <f>IFERROR(IF($C868="","",SUMIFS(Ledger!$K$2:$K$4, Ledger!$B$2:$B$4, $A868, Ledger!$C$2:$C$4, N$2)),"****")</f>
        <v/>
      </c>
      <c r="O868" t="str">
        <f>IFERROR(IF($C868="","",SUMIFS(Ledger!$K$2:$K$4, Ledger!$B$2:$B$4, $A868, Ledger!$C$2:$C$4, O$2)),"****")</f>
        <v/>
      </c>
      <c r="P868" t="str">
        <f>IFERROR(IF($C868="","",SUMIFS(Ledger!$K$2:$K$4, Ledger!$B$2:$B$4, $A868, Ledger!$C$2:$C$4, P$2)),"****")</f>
        <v/>
      </c>
      <c r="Q868" t="str">
        <f>IFERROR(IF($C868="","",SUMIFS(Ledger!$K$2:$K$4, Ledger!$B$2:$B$4, $A868, Ledger!$C$2:$C$4, Q$2)),"****")</f>
        <v/>
      </c>
      <c r="R868" t="str">
        <f>IFERROR(IF($C868="","",SUMIFS(Ledger!$K$2:$K$4, Ledger!$B$2:$B$4, $A868, Ledger!$C$2:$C$4, R$2)),"****")</f>
        <v/>
      </c>
      <c r="S868" t="str">
        <f>IFERROR(IF($C868="","",SUMIFS(Ledger!$K$2:$K$4, Ledger!$B$2:$B$4, $A868, Ledger!$C$2:$C$4, S$2)),"****")</f>
        <v/>
      </c>
      <c r="T868" t="str">
        <f>IFERROR(IF($C868="","",SUMIFS(Ledger!$K$2:$K$4, Ledger!$B$2:$B$4, $A868, Ledger!$C$2:$C$4, T$2)),"****")</f>
        <v/>
      </c>
      <c r="U868" t="str">
        <f>IFERROR(IF($C868="","",SUMIFS(Ledger!$K$2:$K$4, Ledger!$B$2:$B$4, $A868, Ledger!$C$2:$C$4, U$2)),"****")</f>
        <v/>
      </c>
      <c r="V868" t="str">
        <f>IFERROR(IF($C868="","",SUMIFS(Ledger!$K$2:$K$4, Ledger!$B$2:$B$4, $A868, Ledger!$C$2:$C$4, V$2)),"****")</f>
        <v/>
      </c>
      <c r="W868" t="str">
        <f>IFERROR(IF($C868="","",SUMIFS(Ledger!$K$2:$K$4, Ledger!$B$2:$B$4, $A868, Ledger!$C$2:$C$4, W$2)),"****")</f>
        <v/>
      </c>
      <c r="X868" t="str">
        <f>IFERROR(IF($C868="","",SUMIFS(Ledger!$K$2:$K$4, Ledger!$B$2:$B$4, $A868, Ledger!$C$2:$C$4, X$2)),"****")</f>
        <v/>
      </c>
    </row>
    <row r="869" spans="1:24" x14ac:dyDescent="0.3">
      <c r="A869" s="106">
        <v>867</v>
      </c>
      <c r="B869" t="str">
        <f>IFERROR(VLOOKUP($A869, Ledger!$B$2:$L$8, 3, 0),"")</f>
        <v/>
      </c>
      <c r="C869" t="str">
        <f>IFERROR(VLOOKUP($A869, Ledger!$B$2:$L$8, 4, 0),"")</f>
        <v/>
      </c>
      <c r="D869" t="str">
        <f>IFERROR(VLOOKUP($A869, Ledger!$B$2:$L$8, 5, 0),"")</f>
        <v/>
      </c>
      <c r="E869" t="str">
        <f>IFERROR(VLOOKUP($A869, Ledger!$B$2:$L$8, 6, 0),"")</f>
        <v/>
      </c>
      <c r="F869" t="str">
        <f>IFERROR(VLOOKUP($A869,'Student Data'!$A$2:$AR$6,32,0),"")</f>
        <v/>
      </c>
      <c r="G869" t="str">
        <f>IFERROR(VLOOKUP($A869,'Student Data'!$A$2:$AR$6,33,0),"")</f>
        <v/>
      </c>
      <c r="H869" t="str">
        <f>IFERROR(VLOOKUP($A869,'Student Data'!$A$2:$AR$6,34,0),"")</f>
        <v/>
      </c>
      <c r="I869" t="str">
        <f>IFERROR(VLOOKUP($A869,'Student Data'!$A$2:$AR$6,35,0),"")</f>
        <v/>
      </c>
      <c r="J869" t="str">
        <f>IFERROR(VLOOKUP($A869,'Student Data'!$A$2:$AR$6,36,0),"")</f>
        <v/>
      </c>
      <c r="K869" t="str">
        <f t="shared" si="26"/>
        <v/>
      </c>
      <c r="L869" t="str">
        <f t="shared" si="27"/>
        <v/>
      </c>
      <c r="M869" t="str">
        <f>IFERROR(IF($C869="","",SUMIFS(Ledger!$K$2:$K$4, Ledger!$B$2:$B$4, $A869, Ledger!$C$2:$C$4, M$2)),"****")</f>
        <v/>
      </c>
      <c r="N869" t="str">
        <f>IFERROR(IF($C869="","",SUMIFS(Ledger!$K$2:$K$4, Ledger!$B$2:$B$4, $A869, Ledger!$C$2:$C$4, N$2)),"****")</f>
        <v/>
      </c>
      <c r="O869" t="str">
        <f>IFERROR(IF($C869="","",SUMIFS(Ledger!$K$2:$K$4, Ledger!$B$2:$B$4, $A869, Ledger!$C$2:$C$4, O$2)),"****")</f>
        <v/>
      </c>
      <c r="P869" t="str">
        <f>IFERROR(IF($C869="","",SUMIFS(Ledger!$K$2:$K$4, Ledger!$B$2:$B$4, $A869, Ledger!$C$2:$C$4, P$2)),"****")</f>
        <v/>
      </c>
      <c r="Q869" t="str">
        <f>IFERROR(IF($C869="","",SUMIFS(Ledger!$K$2:$K$4, Ledger!$B$2:$B$4, $A869, Ledger!$C$2:$C$4, Q$2)),"****")</f>
        <v/>
      </c>
      <c r="R869" t="str">
        <f>IFERROR(IF($C869="","",SUMIFS(Ledger!$K$2:$K$4, Ledger!$B$2:$B$4, $A869, Ledger!$C$2:$C$4, R$2)),"****")</f>
        <v/>
      </c>
      <c r="S869" t="str">
        <f>IFERROR(IF($C869="","",SUMIFS(Ledger!$K$2:$K$4, Ledger!$B$2:$B$4, $A869, Ledger!$C$2:$C$4, S$2)),"****")</f>
        <v/>
      </c>
      <c r="T869" t="str">
        <f>IFERROR(IF($C869="","",SUMIFS(Ledger!$K$2:$K$4, Ledger!$B$2:$B$4, $A869, Ledger!$C$2:$C$4, T$2)),"****")</f>
        <v/>
      </c>
      <c r="U869" t="str">
        <f>IFERROR(IF($C869="","",SUMIFS(Ledger!$K$2:$K$4, Ledger!$B$2:$B$4, $A869, Ledger!$C$2:$C$4, U$2)),"****")</f>
        <v/>
      </c>
      <c r="V869" t="str">
        <f>IFERROR(IF($C869="","",SUMIFS(Ledger!$K$2:$K$4, Ledger!$B$2:$B$4, $A869, Ledger!$C$2:$C$4, V$2)),"****")</f>
        <v/>
      </c>
      <c r="W869" t="str">
        <f>IFERROR(IF($C869="","",SUMIFS(Ledger!$K$2:$K$4, Ledger!$B$2:$B$4, $A869, Ledger!$C$2:$C$4, W$2)),"****")</f>
        <v/>
      </c>
      <c r="X869" t="str">
        <f>IFERROR(IF($C869="","",SUMIFS(Ledger!$K$2:$K$4, Ledger!$B$2:$B$4, $A869, Ledger!$C$2:$C$4, X$2)),"****")</f>
        <v/>
      </c>
    </row>
    <row r="870" spans="1:24" x14ac:dyDescent="0.3">
      <c r="A870" s="106">
        <v>868</v>
      </c>
      <c r="B870" t="str">
        <f>IFERROR(VLOOKUP($A870, Ledger!$B$2:$L$8, 3, 0),"")</f>
        <v/>
      </c>
      <c r="C870" t="str">
        <f>IFERROR(VLOOKUP($A870, Ledger!$B$2:$L$8, 4, 0),"")</f>
        <v/>
      </c>
      <c r="D870" t="str">
        <f>IFERROR(VLOOKUP($A870, Ledger!$B$2:$L$8, 5, 0),"")</f>
        <v/>
      </c>
      <c r="E870" t="str">
        <f>IFERROR(VLOOKUP($A870, Ledger!$B$2:$L$8, 6, 0),"")</f>
        <v/>
      </c>
      <c r="F870" t="str">
        <f>IFERROR(VLOOKUP($A870,'Student Data'!$A$2:$AR$6,32,0),"")</f>
        <v/>
      </c>
      <c r="G870" t="str">
        <f>IFERROR(VLOOKUP($A870,'Student Data'!$A$2:$AR$6,33,0),"")</f>
        <v/>
      </c>
      <c r="H870" t="str">
        <f>IFERROR(VLOOKUP($A870,'Student Data'!$A$2:$AR$6,34,0),"")</f>
        <v/>
      </c>
      <c r="I870" t="str">
        <f>IFERROR(VLOOKUP($A870,'Student Data'!$A$2:$AR$6,35,0),"")</f>
        <v/>
      </c>
      <c r="J870" t="str">
        <f>IFERROR(VLOOKUP($A870,'Student Data'!$A$2:$AR$6,36,0),"")</f>
        <v/>
      </c>
      <c r="K870" t="str">
        <f t="shared" si="26"/>
        <v/>
      </c>
      <c r="L870" t="str">
        <f t="shared" si="27"/>
        <v/>
      </c>
      <c r="M870" t="str">
        <f>IFERROR(IF($C870="","",SUMIFS(Ledger!$K$2:$K$4, Ledger!$B$2:$B$4, $A870, Ledger!$C$2:$C$4, M$2)),"****")</f>
        <v/>
      </c>
      <c r="N870" t="str">
        <f>IFERROR(IF($C870="","",SUMIFS(Ledger!$K$2:$K$4, Ledger!$B$2:$B$4, $A870, Ledger!$C$2:$C$4, N$2)),"****")</f>
        <v/>
      </c>
      <c r="O870" t="str">
        <f>IFERROR(IF($C870="","",SUMIFS(Ledger!$K$2:$K$4, Ledger!$B$2:$B$4, $A870, Ledger!$C$2:$C$4, O$2)),"****")</f>
        <v/>
      </c>
      <c r="P870" t="str">
        <f>IFERROR(IF($C870="","",SUMIFS(Ledger!$K$2:$K$4, Ledger!$B$2:$B$4, $A870, Ledger!$C$2:$C$4, P$2)),"****")</f>
        <v/>
      </c>
      <c r="Q870" t="str">
        <f>IFERROR(IF($C870="","",SUMIFS(Ledger!$K$2:$K$4, Ledger!$B$2:$B$4, $A870, Ledger!$C$2:$C$4, Q$2)),"****")</f>
        <v/>
      </c>
      <c r="R870" t="str">
        <f>IFERROR(IF($C870="","",SUMIFS(Ledger!$K$2:$K$4, Ledger!$B$2:$B$4, $A870, Ledger!$C$2:$C$4, R$2)),"****")</f>
        <v/>
      </c>
      <c r="S870" t="str">
        <f>IFERROR(IF($C870="","",SUMIFS(Ledger!$K$2:$K$4, Ledger!$B$2:$B$4, $A870, Ledger!$C$2:$C$4, S$2)),"****")</f>
        <v/>
      </c>
      <c r="T870" t="str">
        <f>IFERROR(IF($C870="","",SUMIFS(Ledger!$K$2:$K$4, Ledger!$B$2:$B$4, $A870, Ledger!$C$2:$C$4, T$2)),"****")</f>
        <v/>
      </c>
      <c r="U870" t="str">
        <f>IFERROR(IF($C870="","",SUMIFS(Ledger!$K$2:$K$4, Ledger!$B$2:$B$4, $A870, Ledger!$C$2:$C$4, U$2)),"****")</f>
        <v/>
      </c>
      <c r="V870" t="str">
        <f>IFERROR(IF($C870="","",SUMIFS(Ledger!$K$2:$K$4, Ledger!$B$2:$B$4, $A870, Ledger!$C$2:$C$4, V$2)),"****")</f>
        <v/>
      </c>
      <c r="W870" t="str">
        <f>IFERROR(IF($C870="","",SUMIFS(Ledger!$K$2:$K$4, Ledger!$B$2:$B$4, $A870, Ledger!$C$2:$C$4, W$2)),"****")</f>
        <v/>
      </c>
      <c r="X870" t="str">
        <f>IFERROR(IF($C870="","",SUMIFS(Ledger!$K$2:$K$4, Ledger!$B$2:$B$4, $A870, Ledger!$C$2:$C$4, X$2)),"****")</f>
        <v/>
      </c>
    </row>
    <row r="871" spans="1:24" x14ac:dyDescent="0.3">
      <c r="A871" s="106">
        <v>869</v>
      </c>
      <c r="B871" t="str">
        <f>IFERROR(VLOOKUP($A871, Ledger!$B$2:$L$8, 3, 0),"")</f>
        <v/>
      </c>
      <c r="C871" t="str">
        <f>IFERROR(VLOOKUP($A871, Ledger!$B$2:$L$8, 4, 0),"")</f>
        <v/>
      </c>
      <c r="D871" t="str">
        <f>IFERROR(VLOOKUP($A871, Ledger!$B$2:$L$8, 5, 0),"")</f>
        <v/>
      </c>
      <c r="E871" t="str">
        <f>IFERROR(VLOOKUP($A871, Ledger!$B$2:$L$8, 6, 0),"")</f>
        <v/>
      </c>
      <c r="F871" t="str">
        <f>IFERROR(VLOOKUP($A871,'Student Data'!$A$2:$AR$6,32,0),"")</f>
        <v/>
      </c>
      <c r="G871" t="str">
        <f>IFERROR(VLOOKUP($A871,'Student Data'!$A$2:$AR$6,33,0),"")</f>
        <v/>
      </c>
      <c r="H871" t="str">
        <f>IFERROR(VLOOKUP($A871,'Student Data'!$A$2:$AR$6,34,0),"")</f>
        <v/>
      </c>
      <c r="I871" t="str">
        <f>IFERROR(VLOOKUP($A871,'Student Data'!$A$2:$AR$6,35,0),"")</f>
        <v/>
      </c>
      <c r="J871" t="str">
        <f>IFERROR(VLOOKUP($A871,'Student Data'!$A$2:$AR$6,36,0),"")</f>
        <v/>
      </c>
      <c r="K871" t="str">
        <f t="shared" si="26"/>
        <v/>
      </c>
      <c r="L871" t="str">
        <f t="shared" si="27"/>
        <v/>
      </c>
      <c r="M871" t="str">
        <f>IFERROR(IF($C871="","",SUMIFS(Ledger!$K$2:$K$4, Ledger!$B$2:$B$4, $A871, Ledger!$C$2:$C$4, M$2)),"****")</f>
        <v/>
      </c>
      <c r="N871" t="str">
        <f>IFERROR(IF($C871="","",SUMIFS(Ledger!$K$2:$K$4, Ledger!$B$2:$B$4, $A871, Ledger!$C$2:$C$4, N$2)),"****")</f>
        <v/>
      </c>
      <c r="O871" t="str">
        <f>IFERROR(IF($C871="","",SUMIFS(Ledger!$K$2:$K$4, Ledger!$B$2:$B$4, $A871, Ledger!$C$2:$C$4, O$2)),"****")</f>
        <v/>
      </c>
      <c r="P871" t="str">
        <f>IFERROR(IF($C871="","",SUMIFS(Ledger!$K$2:$K$4, Ledger!$B$2:$B$4, $A871, Ledger!$C$2:$C$4, P$2)),"****")</f>
        <v/>
      </c>
      <c r="Q871" t="str">
        <f>IFERROR(IF($C871="","",SUMIFS(Ledger!$K$2:$K$4, Ledger!$B$2:$B$4, $A871, Ledger!$C$2:$C$4, Q$2)),"****")</f>
        <v/>
      </c>
      <c r="R871" t="str">
        <f>IFERROR(IF($C871="","",SUMIFS(Ledger!$K$2:$K$4, Ledger!$B$2:$B$4, $A871, Ledger!$C$2:$C$4, R$2)),"****")</f>
        <v/>
      </c>
      <c r="S871" t="str">
        <f>IFERROR(IF($C871="","",SUMIFS(Ledger!$K$2:$K$4, Ledger!$B$2:$B$4, $A871, Ledger!$C$2:$C$4, S$2)),"****")</f>
        <v/>
      </c>
      <c r="T871" t="str">
        <f>IFERROR(IF($C871="","",SUMIFS(Ledger!$K$2:$K$4, Ledger!$B$2:$B$4, $A871, Ledger!$C$2:$C$4, T$2)),"****")</f>
        <v/>
      </c>
      <c r="U871" t="str">
        <f>IFERROR(IF($C871="","",SUMIFS(Ledger!$K$2:$K$4, Ledger!$B$2:$B$4, $A871, Ledger!$C$2:$C$4, U$2)),"****")</f>
        <v/>
      </c>
      <c r="V871" t="str">
        <f>IFERROR(IF($C871="","",SUMIFS(Ledger!$K$2:$K$4, Ledger!$B$2:$B$4, $A871, Ledger!$C$2:$C$4, V$2)),"****")</f>
        <v/>
      </c>
      <c r="W871" t="str">
        <f>IFERROR(IF($C871="","",SUMIFS(Ledger!$K$2:$K$4, Ledger!$B$2:$B$4, $A871, Ledger!$C$2:$C$4, W$2)),"****")</f>
        <v/>
      </c>
      <c r="X871" t="str">
        <f>IFERROR(IF($C871="","",SUMIFS(Ledger!$K$2:$K$4, Ledger!$B$2:$B$4, $A871, Ledger!$C$2:$C$4, X$2)),"****")</f>
        <v/>
      </c>
    </row>
    <row r="872" spans="1:24" x14ac:dyDescent="0.3">
      <c r="A872" s="106">
        <v>870</v>
      </c>
      <c r="B872" t="str">
        <f>IFERROR(VLOOKUP($A872, Ledger!$B$2:$L$8, 3, 0),"")</f>
        <v/>
      </c>
      <c r="C872" t="str">
        <f>IFERROR(VLOOKUP($A872, Ledger!$B$2:$L$8, 4, 0),"")</f>
        <v/>
      </c>
      <c r="D872" t="str">
        <f>IFERROR(VLOOKUP($A872, Ledger!$B$2:$L$8, 5, 0),"")</f>
        <v/>
      </c>
      <c r="E872" t="str">
        <f>IFERROR(VLOOKUP($A872, Ledger!$B$2:$L$8, 6, 0),"")</f>
        <v/>
      </c>
      <c r="F872" t="str">
        <f>IFERROR(VLOOKUP($A872,'Student Data'!$A$2:$AR$6,32,0),"")</f>
        <v/>
      </c>
      <c r="G872" t="str">
        <f>IFERROR(VLOOKUP($A872,'Student Data'!$A$2:$AR$6,33,0),"")</f>
        <v/>
      </c>
      <c r="H872" t="str">
        <f>IFERROR(VLOOKUP($A872,'Student Data'!$A$2:$AR$6,34,0),"")</f>
        <v/>
      </c>
      <c r="I872" t="str">
        <f>IFERROR(VLOOKUP($A872,'Student Data'!$A$2:$AR$6,35,0),"")</f>
        <v/>
      </c>
      <c r="J872" t="str">
        <f>IFERROR(VLOOKUP($A872,'Student Data'!$A$2:$AR$6,36,0),"")</f>
        <v/>
      </c>
      <c r="K872" t="str">
        <f t="shared" si="26"/>
        <v/>
      </c>
      <c r="L872" t="str">
        <f t="shared" si="27"/>
        <v/>
      </c>
      <c r="M872" t="str">
        <f>IFERROR(IF($C872="","",SUMIFS(Ledger!$K$2:$K$4, Ledger!$B$2:$B$4, $A872, Ledger!$C$2:$C$4, M$2)),"****")</f>
        <v/>
      </c>
      <c r="N872" t="str">
        <f>IFERROR(IF($C872="","",SUMIFS(Ledger!$K$2:$K$4, Ledger!$B$2:$B$4, $A872, Ledger!$C$2:$C$4, N$2)),"****")</f>
        <v/>
      </c>
      <c r="O872" t="str">
        <f>IFERROR(IF($C872="","",SUMIFS(Ledger!$K$2:$K$4, Ledger!$B$2:$B$4, $A872, Ledger!$C$2:$C$4, O$2)),"****")</f>
        <v/>
      </c>
      <c r="P872" t="str">
        <f>IFERROR(IF($C872="","",SUMIFS(Ledger!$K$2:$K$4, Ledger!$B$2:$B$4, $A872, Ledger!$C$2:$C$4, P$2)),"****")</f>
        <v/>
      </c>
      <c r="Q872" t="str">
        <f>IFERROR(IF($C872="","",SUMIFS(Ledger!$K$2:$K$4, Ledger!$B$2:$B$4, $A872, Ledger!$C$2:$C$4, Q$2)),"****")</f>
        <v/>
      </c>
      <c r="R872" t="str">
        <f>IFERROR(IF($C872="","",SUMIFS(Ledger!$K$2:$K$4, Ledger!$B$2:$B$4, $A872, Ledger!$C$2:$C$4, R$2)),"****")</f>
        <v/>
      </c>
      <c r="S872" t="str">
        <f>IFERROR(IF($C872="","",SUMIFS(Ledger!$K$2:$K$4, Ledger!$B$2:$B$4, $A872, Ledger!$C$2:$C$4, S$2)),"****")</f>
        <v/>
      </c>
      <c r="T872" t="str">
        <f>IFERROR(IF($C872="","",SUMIFS(Ledger!$K$2:$K$4, Ledger!$B$2:$B$4, $A872, Ledger!$C$2:$C$4, T$2)),"****")</f>
        <v/>
      </c>
      <c r="U872" t="str">
        <f>IFERROR(IF($C872="","",SUMIFS(Ledger!$K$2:$K$4, Ledger!$B$2:$B$4, $A872, Ledger!$C$2:$C$4, U$2)),"****")</f>
        <v/>
      </c>
      <c r="V872" t="str">
        <f>IFERROR(IF($C872="","",SUMIFS(Ledger!$K$2:$K$4, Ledger!$B$2:$B$4, $A872, Ledger!$C$2:$C$4, V$2)),"****")</f>
        <v/>
      </c>
      <c r="W872" t="str">
        <f>IFERROR(IF($C872="","",SUMIFS(Ledger!$K$2:$K$4, Ledger!$B$2:$B$4, $A872, Ledger!$C$2:$C$4, W$2)),"****")</f>
        <v/>
      </c>
      <c r="X872" t="str">
        <f>IFERROR(IF($C872="","",SUMIFS(Ledger!$K$2:$K$4, Ledger!$B$2:$B$4, $A872, Ledger!$C$2:$C$4, X$2)),"****")</f>
        <v/>
      </c>
    </row>
    <row r="873" spans="1:24" x14ac:dyDescent="0.3">
      <c r="A873" s="106">
        <v>871</v>
      </c>
      <c r="B873" t="str">
        <f>IFERROR(VLOOKUP($A873, Ledger!$B$2:$L$8, 3, 0),"")</f>
        <v/>
      </c>
      <c r="C873" t="str">
        <f>IFERROR(VLOOKUP($A873, Ledger!$B$2:$L$8, 4, 0),"")</f>
        <v/>
      </c>
      <c r="D873" t="str">
        <f>IFERROR(VLOOKUP($A873, Ledger!$B$2:$L$8, 5, 0),"")</f>
        <v/>
      </c>
      <c r="E873" t="str">
        <f>IFERROR(VLOOKUP($A873, Ledger!$B$2:$L$8, 6, 0),"")</f>
        <v/>
      </c>
      <c r="F873" t="str">
        <f>IFERROR(VLOOKUP($A873,'Student Data'!$A$2:$AR$6,32,0),"")</f>
        <v/>
      </c>
      <c r="G873" t="str">
        <f>IFERROR(VLOOKUP($A873,'Student Data'!$A$2:$AR$6,33,0),"")</f>
        <v/>
      </c>
      <c r="H873" t="str">
        <f>IFERROR(VLOOKUP($A873,'Student Data'!$A$2:$AR$6,34,0),"")</f>
        <v/>
      </c>
      <c r="I873" t="str">
        <f>IFERROR(VLOOKUP($A873,'Student Data'!$A$2:$AR$6,35,0),"")</f>
        <v/>
      </c>
      <c r="J873" t="str">
        <f>IFERROR(VLOOKUP($A873,'Student Data'!$A$2:$AR$6,36,0),"")</f>
        <v/>
      </c>
      <c r="K873" t="str">
        <f t="shared" si="26"/>
        <v/>
      </c>
      <c r="L873" t="str">
        <f t="shared" si="27"/>
        <v/>
      </c>
      <c r="M873" t="str">
        <f>IFERROR(IF($C873="","",SUMIFS(Ledger!$K$2:$K$4, Ledger!$B$2:$B$4, $A873, Ledger!$C$2:$C$4, M$2)),"****")</f>
        <v/>
      </c>
      <c r="N873" t="str">
        <f>IFERROR(IF($C873="","",SUMIFS(Ledger!$K$2:$K$4, Ledger!$B$2:$B$4, $A873, Ledger!$C$2:$C$4, N$2)),"****")</f>
        <v/>
      </c>
      <c r="O873" t="str">
        <f>IFERROR(IF($C873="","",SUMIFS(Ledger!$K$2:$K$4, Ledger!$B$2:$B$4, $A873, Ledger!$C$2:$C$4, O$2)),"****")</f>
        <v/>
      </c>
      <c r="P873" t="str">
        <f>IFERROR(IF($C873="","",SUMIFS(Ledger!$K$2:$K$4, Ledger!$B$2:$B$4, $A873, Ledger!$C$2:$C$4, P$2)),"****")</f>
        <v/>
      </c>
      <c r="Q873" t="str">
        <f>IFERROR(IF($C873="","",SUMIFS(Ledger!$K$2:$K$4, Ledger!$B$2:$B$4, $A873, Ledger!$C$2:$C$4, Q$2)),"****")</f>
        <v/>
      </c>
      <c r="R873" t="str">
        <f>IFERROR(IF($C873="","",SUMIFS(Ledger!$K$2:$K$4, Ledger!$B$2:$B$4, $A873, Ledger!$C$2:$C$4, R$2)),"****")</f>
        <v/>
      </c>
      <c r="S873" t="str">
        <f>IFERROR(IF($C873="","",SUMIFS(Ledger!$K$2:$K$4, Ledger!$B$2:$B$4, $A873, Ledger!$C$2:$C$4, S$2)),"****")</f>
        <v/>
      </c>
      <c r="T873" t="str">
        <f>IFERROR(IF($C873="","",SUMIFS(Ledger!$K$2:$K$4, Ledger!$B$2:$B$4, $A873, Ledger!$C$2:$C$4, T$2)),"****")</f>
        <v/>
      </c>
      <c r="U873" t="str">
        <f>IFERROR(IF($C873="","",SUMIFS(Ledger!$K$2:$K$4, Ledger!$B$2:$B$4, $A873, Ledger!$C$2:$C$4, U$2)),"****")</f>
        <v/>
      </c>
      <c r="V873" t="str">
        <f>IFERROR(IF($C873="","",SUMIFS(Ledger!$K$2:$K$4, Ledger!$B$2:$B$4, $A873, Ledger!$C$2:$C$4, V$2)),"****")</f>
        <v/>
      </c>
      <c r="W873" t="str">
        <f>IFERROR(IF($C873="","",SUMIFS(Ledger!$K$2:$K$4, Ledger!$B$2:$B$4, $A873, Ledger!$C$2:$C$4, W$2)),"****")</f>
        <v/>
      </c>
      <c r="X873" t="str">
        <f>IFERROR(IF($C873="","",SUMIFS(Ledger!$K$2:$K$4, Ledger!$B$2:$B$4, $A873, Ledger!$C$2:$C$4, X$2)),"****")</f>
        <v/>
      </c>
    </row>
    <row r="874" spans="1:24" x14ac:dyDescent="0.3">
      <c r="A874" s="106">
        <v>872</v>
      </c>
      <c r="B874" t="str">
        <f>IFERROR(VLOOKUP($A874, Ledger!$B$2:$L$8, 3, 0),"")</f>
        <v/>
      </c>
      <c r="C874" t="str">
        <f>IFERROR(VLOOKUP($A874, Ledger!$B$2:$L$8, 4, 0),"")</f>
        <v/>
      </c>
      <c r="D874" t="str">
        <f>IFERROR(VLOOKUP($A874, Ledger!$B$2:$L$8, 5, 0),"")</f>
        <v/>
      </c>
      <c r="E874" t="str">
        <f>IFERROR(VLOOKUP($A874, Ledger!$B$2:$L$8, 6, 0),"")</f>
        <v/>
      </c>
      <c r="F874" t="str">
        <f>IFERROR(VLOOKUP($A874,'Student Data'!$A$2:$AR$6,32,0),"")</f>
        <v/>
      </c>
      <c r="G874" t="str">
        <f>IFERROR(VLOOKUP($A874,'Student Data'!$A$2:$AR$6,33,0),"")</f>
        <v/>
      </c>
      <c r="H874" t="str">
        <f>IFERROR(VLOOKUP($A874,'Student Data'!$A$2:$AR$6,34,0),"")</f>
        <v/>
      </c>
      <c r="I874" t="str">
        <f>IFERROR(VLOOKUP($A874,'Student Data'!$A$2:$AR$6,35,0),"")</f>
        <v/>
      </c>
      <c r="J874" t="str">
        <f>IFERROR(VLOOKUP($A874,'Student Data'!$A$2:$AR$6,36,0),"")</f>
        <v/>
      </c>
      <c r="K874" t="str">
        <f t="shared" si="26"/>
        <v/>
      </c>
      <c r="L874" t="str">
        <f t="shared" si="27"/>
        <v/>
      </c>
      <c r="M874" t="str">
        <f>IFERROR(IF($C874="","",SUMIFS(Ledger!$K$2:$K$4, Ledger!$B$2:$B$4, $A874, Ledger!$C$2:$C$4, M$2)),"****")</f>
        <v/>
      </c>
      <c r="N874" t="str">
        <f>IFERROR(IF($C874="","",SUMIFS(Ledger!$K$2:$K$4, Ledger!$B$2:$B$4, $A874, Ledger!$C$2:$C$4, N$2)),"****")</f>
        <v/>
      </c>
      <c r="O874" t="str">
        <f>IFERROR(IF($C874="","",SUMIFS(Ledger!$K$2:$K$4, Ledger!$B$2:$B$4, $A874, Ledger!$C$2:$C$4, O$2)),"****")</f>
        <v/>
      </c>
      <c r="P874" t="str">
        <f>IFERROR(IF($C874="","",SUMIFS(Ledger!$K$2:$K$4, Ledger!$B$2:$B$4, $A874, Ledger!$C$2:$C$4, P$2)),"****")</f>
        <v/>
      </c>
      <c r="Q874" t="str">
        <f>IFERROR(IF($C874="","",SUMIFS(Ledger!$K$2:$K$4, Ledger!$B$2:$B$4, $A874, Ledger!$C$2:$C$4, Q$2)),"****")</f>
        <v/>
      </c>
      <c r="R874" t="str">
        <f>IFERROR(IF($C874="","",SUMIFS(Ledger!$K$2:$K$4, Ledger!$B$2:$B$4, $A874, Ledger!$C$2:$C$4, R$2)),"****")</f>
        <v/>
      </c>
      <c r="S874" t="str">
        <f>IFERROR(IF($C874="","",SUMIFS(Ledger!$K$2:$K$4, Ledger!$B$2:$B$4, $A874, Ledger!$C$2:$C$4, S$2)),"****")</f>
        <v/>
      </c>
      <c r="T874" t="str">
        <f>IFERROR(IF($C874="","",SUMIFS(Ledger!$K$2:$K$4, Ledger!$B$2:$B$4, $A874, Ledger!$C$2:$C$4, T$2)),"****")</f>
        <v/>
      </c>
      <c r="U874" t="str">
        <f>IFERROR(IF($C874="","",SUMIFS(Ledger!$K$2:$K$4, Ledger!$B$2:$B$4, $A874, Ledger!$C$2:$C$4, U$2)),"****")</f>
        <v/>
      </c>
      <c r="V874" t="str">
        <f>IFERROR(IF($C874="","",SUMIFS(Ledger!$K$2:$K$4, Ledger!$B$2:$B$4, $A874, Ledger!$C$2:$C$4, V$2)),"****")</f>
        <v/>
      </c>
      <c r="W874" t="str">
        <f>IFERROR(IF($C874="","",SUMIFS(Ledger!$K$2:$K$4, Ledger!$B$2:$B$4, $A874, Ledger!$C$2:$C$4, W$2)),"****")</f>
        <v/>
      </c>
      <c r="X874" t="str">
        <f>IFERROR(IF($C874="","",SUMIFS(Ledger!$K$2:$K$4, Ledger!$B$2:$B$4, $A874, Ledger!$C$2:$C$4, X$2)),"****")</f>
        <v/>
      </c>
    </row>
    <row r="875" spans="1:24" x14ac:dyDescent="0.3">
      <c r="A875" s="106">
        <v>873</v>
      </c>
      <c r="B875" t="str">
        <f>IFERROR(VLOOKUP($A875, Ledger!$B$2:$L$8, 3, 0),"")</f>
        <v/>
      </c>
      <c r="C875" t="str">
        <f>IFERROR(VLOOKUP($A875, Ledger!$B$2:$L$8, 4, 0),"")</f>
        <v/>
      </c>
      <c r="D875" t="str">
        <f>IFERROR(VLOOKUP($A875, Ledger!$B$2:$L$8, 5, 0),"")</f>
        <v/>
      </c>
      <c r="E875" t="str">
        <f>IFERROR(VLOOKUP($A875, Ledger!$B$2:$L$8, 6, 0),"")</f>
        <v/>
      </c>
      <c r="F875" t="str">
        <f>IFERROR(VLOOKUP($A875,'Student Data'!$A$2:$AR$6,32,0),"")</f>
        <v/>
      </c>
      <c r="G875" t="str">
        <f>IFERROR(VLOOKUP($A875,'Student Data'!$A$2:$AR$6,33,0),"")</f>
        <v/>
      </c>
      <c r="H875" t="str">
        <f>IFERROR(VLOOKUP($A875,'Student Data'!$A$2:$AR$6,34,0),"")</f>
        <v/>
      </c>
      <c r="I875" t="str">
        <f>IFERROR(VLOOKUP($A875,'Student Data'!$A$2:$AR$6,35,0),"")</f>
        <v/>
      </c>
      <c r="J875" t="str">
        <f>IFERROR(VLOOKUP($A875,'Student Data'!$A$2:$AR$6,36,0),"")</f>
        <v/>
      </c>
      <c r="K875" t="str">
        <f t="shared" si="26"/>
        <v/>
      </c>
      <c r="L875" t="str">
        <f t="shared" si="27"/>
        <v/>
      </c>
      <c r="M875" t="str">
        <f>IFERROR(IF($C875="","",SUMIFS(Ledger!$K$2:$K$4, Ledger!$B$2:$B$4, $A875, Ledger!$C$2:$C$4, M$2)),"****")</f>
        <v/>
      </c>
      <c r="N875" t="str">
        <f>IFERROR(IF($C875="","",SUMIFS(Ledger!$K$2:$K$4, Ledger!$B$2:$B$4, $A875, Ledger!$C$2:$C$4, N$2)),"****")</f>
        <v/>
      </c>
      <c r="O875" t="str">
        <f>IFERROR(IF($C875="","",SUMIFS(Ledger!$K$2:$K$4, Ledger!$B$2:$B$4, $A875, Ledger!$C$2:$C$4, O$2)),"****")</f>
        <v/>
      </c>
      <c r="P875" t="str">
        <f>IFERROR(IF($C875="","",SUMIFS(Ledger!$K$2:$K$4, Ledger!$B$2:$B$4, $A875, Ledger!$C$2:$C$4, P$2)),"****")</f>
        <v/>
      </c>
      <c r="Q875" t="str">
        <f>IFERROR(IF($C875="","",SUMIFS(Ledger!$K$2:$K$4, Ledger!$B$2:$B$4, $A875, Ledger!$C$2:$C$4, Q$2)),"****")</f>
        <v/>
      </c>
      <c r="R875" t="str">
        <f>IFERROR(IF($C875="","",SUMIFS(Ledger!$K$2:$K$4, Ledger!$B$2:$B$4, $A875, Ledger!$C$2:$C$4, R$2)),"****")</f>
        <v/>
      </c>
      <c r="S875" t="str">
        <f>IFERROR(IF($C875="","",SUMIFS(Ledger!$K$2:$K$4, Ledger!$B$2:$B$4, $A875, Ledger!$C$2:$C$4, S$2)),"****")</f>
        <v/>
      </c>
      <c r="T875" t="str">
        <f>IFERROR(IF($C875="","",SUMIFS(Ledger!$K$2:$K$4, Ledger!$B$2:$B$4, $A875, Ledger!$C$2:$C$4, T$2)),"****")</f>
        <v/>
      </c>
      <c r="U875" t="str">
        <f>IFERROR(IF($C875="","",SUMIFS(Ledger!$K$2:$K$4, Ledger!$B$2:$B$4, $A875, Ledger!$C$2:$C$4, U$2)),"****")</f>
        <v/>
      </c>
      <c r="V875" t="str">
        <f>IFERROR(IF($C875="","",SUMIFS(Ledger!$K$2:$K$4, Ledger!$B$2:$B$4, $A875, Ledger!$C$2:$C$4, V$2)),"****")</f>
        <v/>
      </c>
      <c r="W875" t="str">
        <f>IFERROR(IF($C875="","",SUMIFS(Ledger!$K$2:$K$4, Ledger!$B$2:$B$4, $A875, Ledger!$C$2:$C$4, W$2)),"****")</f>
        <v/>
      </c>
      <c r="X875" t="str">
        <f>IFERROR(IF($C875="","",SUMIFS(Ledger!$K$2:$K$4, Ledger!$B$2:$B$4, $A875, Ledger!$C$2:$C$4, X$2)),"****")</f>
        <v/>
      </c>
    </row>
    <row r="876" spans="1:24" x14ac:dyDescent="0.3">
      <c r="A876" s="106">
        <v>874</v>
      </c>
      <c r="B876" t="str">
        <f>IFERROR(VLOOKUP($A876, Ledger!$B$2:$L$8, 3, 0),"")</f>
        <v/>
      </c>
      <c r="C876" t="str">
        <f>IFERROR(VLOOKUP($A876, Ledger!$B$2:$L$8, 4, 0),"")</f>
        <v/>
      </c>
      <c r="D876" t="str">
        <f>IFERROR(VLOOKUP($A876, Ledger!$B$2:$L$8, 5, 0),"")</f>
        <v/>
      </c>
      <c r="E876" t="str">
        <f>IFERROR(VLOOKUP($A876, Ledger!$B$2:$L$8, 6, 0),"")</f>
        <v/>
      </c>
      <c r="F876" t="str">
        <f>IFERROR(VLOOKUP($A876,'Student Data'!$A$2:$AR$6,32,0),"")</f>
        <v/>
      </c>
      <c r="G876" t="str">
        <f>IFERROR(VLOOKUP($A876,'Student Data'!$A$2:$AR$6,33,0),"")</f>
        <v/>
      </c>
      <c r="H876" t="str">
        <f>IFERROR(VLOOKUP($A876,'Student Data'!$A$2:$AR$6,34,0),"")</f>
        <v/>
      </c>
      <c r="I876" t="str">
        <f>IFERROR(VLOOKUP($A876,'Student Data'!$A$2:$AR$6,35,0),"")</f>
        <v/>
      </c>
      <c r="J876" t="str">
        <f>IFERROR(VLOOKUP($A876,'Student Data'!$A$2:$AR$6,36,0),"")</f>
        <v/>
      </c>
      <c r="K876" t="str">
        <f t="shared" si="26"/>
        <v/>
      </c>
      <c r="L876" t="str">
        <f t="shared" si="27"/>
        <v/>
      </c>
      <c r="M876" t="str">
        <f>IFERROR(IF($C876="","",SUMIFS(Ledger!$K$2:$K$4, Ledger!$B$2:$B$4, $A876, Ledger!$C$2:$C$4, M$2)),"****")</f>
        <v/>
      </c>
      <c r="N876" t="str">
        <f>IFERROR(IF($C876="","",SUMIFS(Ledger!$K$2:$K$4, Ledger!$B$2:$B$4, $A876, Ledger!$C$2:$C$4, N$2)),"****")</f>
        <v/>
      </c>
      <c r="O876" t="str">
        <f>IFERROR(IF($C876="","",SUMIFS(Ledger!$K$2:$K$4, Ledger!$B$2:$B$4, $A876, Ledger!$C$2:$C$4, O$2)),"****")</f>
        <v/>
      </c>
      <c r="P876" t="str">
        <f>IFERROR(IF($C876="","",SUMIFS(Ledger!$K$2:$K$4, Ledger!$B$2:$B$4, $A876, Ledger!$C$2:$C$4, P$2)),"****")</f>
        <v/>
      </c>
      <c r="Q876" t="str">
        <f>IFERROR(IF($C876="","",SUMIFS(Ledger!$K$2:$K$4, Ledger!$B$2:$B$4, $A876, Ledger!$C$2:$C$4, Q$2)),"****")</f>
        <v/>
      </c>
      <c r="R876" t="str">
        <f>IFERROR(IF($C876="","",SUMIFS(Ledger!$K$2:$K$4, Ledger!$B$2:$B$4, $A876, Ledger!$C$2:$C$4, R$2)),"****")</f>
        <v/>
      </c>
      <c r="S876" t="str">
        <f>IFERROR(IF($C876="","",SUMIFS(Ledger!$K$2:$K$4, Ledger!$B$2:$B$4, $A876, Ledger!$C$2:$C$4, S$2)),"****")</f>
        <v/>
      </c>
      <c r="T876" t="str">
        <f>IFERROR(IF($C876="","",SUMIFS(Ledger!$K$2:$K$4, Ledger!$B$2:$B$4, $A876, Ledger!$C$2:$C$4, T$2)),"****")</f>
        <v/>
      </c>
      <c r="U876" t="str">
        <f>IFERROR(IF($C876="","",SUMIFS(Ledger!$K$2:$K$4, Ledger!$B$2:$B$4, $A876, Ledger!$C$2:$C$4, U$2)),"****")</f>
        <v/>
      </c>
      <c r="V876" t="str">
        <f>IFERROR(IF($C876="","",SUMIFS(Ledger!$K$2:$K$4, Ledger!$B$2:$B$4, $A876, Ledger!$C$2:$C$4, V$2)),"****")</f>
        <v/>
      </c>
      <c r="W876" t="str">
        <f>IFERROR(IF($C876="","",SUMIFS(Ledger!$K$2:$K$4, Ledger!$B$2:$B$4, $A876, Ledger!$C$2:$C$4, W$2)),"****")</f>
        <v/>
      </c>
      <c r="X876" t="str">
        <f>IFERROR(IF($C876="","",SUMIFS(Ledger!$K$2:$K$4, Ledger!$B$2:$B$4, $A876, Ledger!$C$2:$C$4, X$2)),"****")</f>
        <v/>
      </c>
    </row>
    <row r="877" spans="1:24" x14ac:dyDescent="0.3">
      <c r="A877" s="106">
        <v>875</v>
      </c>
      <c r="B877" t="str">
        <f>IFERROR(VLOOKUP($A877, Ledger!$B$2:$L$8, 3, 0),"")</f>
        <v/>
      </c>
      <c r="C877" t="str">
        <f>IFERROR(VLOOKUP($A877, Ledger!$B$2:$L$8, 4, 0),"")</f>
        <v/>
      </c>
      <c r="D877" t="str">
        <f>IFERROR(VLOOKUP($A877, Ledger!$B$2:$L$8, 5, 0),"")</f>
        <v/>
      </c>
      <c r="E877" t="str">
        <f>IFERROR(VLOOKUP($A877, Ledger!$B$2:$L$8, 6, 0),"")</f>
        <v/>
      </c>
      <c r="F877" t="str">
        <f>IFERROR(VLOOKUP($A877,'Student Data'!$A$2:$AR$6,32,0),"")</f>
        <v/>
      </c>
      <c r="G877" t="str">
        <f>IFERROR(VLOOKUP($A877,'Student Data'!$A$2:$AR$6,33,0),"")</f>
        <v/>
      </c>
      <c r="H877" t="str">
        <f>IFERROR(VLOOKUP($A877,'Student Data'!$A$2:$AR$6,34,0),"")</f>
        <v/>
      </c>
      <c r="I877" t="str">
        <f>IFERROR(VLOOKUP($A877,'Student Data'!$A$2:$AR$6,35,0),"")</f>
        <v/>
      </c>
      <c r="J877" t="str">
        <f>IFERROR(VLOOKUP($A877,'Student Data'!$A$2:$AR$6,36,0),"")</f>
        <v/>
      </c>
      <c r="K877" t="str">
        <f t="shared" si="26"/>
        <v/>
      </c>
      <c r="L877" t="str">
        <f t="shared" si="27"/>
        <v/>
      </c>
      <c r="M877" t="str">
        <f>IFERROR(IF($C877="","",SUMIFS(Ledger!$K$2:$K$4, Ledger!$B$2:$B$4, $A877, Ledger!$C$2:$C$4, M$2)),"****")</f>
        <v/>
      </c>
      <c r="N877" t="str">
        <f>IFERROR(IF($C877="","",SUMIFS(Ledger!$K$2:$K$4, Ledger!$B$2:$B$4, $A877, Ledger!$C$2:$C$4, N$2)),"****")</f>
        <v/>
      </c>
      <c r="O877" t="str">
        <f>IFERROR(IF($C877="","",SUMIFS(Ledger!$K$2:$K$4, Ledger!$B$2:$B$4, $A877, Ledger!$C$2:$C$4, O$2)),"****")</f>
        <v/>
      </c>
      <c r="P877" t="str">
        <f>IFERROR(IF($C877="","",SUMIFS(Ledger!$K$2:$K$4, Ledger!$B$2:$B$4, $A877, Ledger!$C$2:$C$4, P$2)),"****")</f>
        <v/>
      </c>
      <c r="Q877" t="str">
        <f>IFERROR(IF($C877="","",SUMIFS(Ledger!$K$2:$K$4, Ledger!$B$2:$B$4, $A877, Ledger!$C$2:$C$4, Q$2)),"****")</f>
        <v/>
      </c>
      <c r="R877" t="str">
        <f>IFERROR(IF($C877="","",SUMIFS(Ledger!$K$2:$K$4, Ledger!$B$2:$B$4, $A877, Ledger!$C$2:$C$4, R$2)),"****")</f>
        <v/>
      </c>
      <c r="S877" t="str">
        <f>IFERROR(IF($C877="","",SUMIFS(Ledger!$K$2:$K$4, Ledger!$B$2:$B$4, $A877, Ledger!$C$2:$C$4, S$2)),"****")</f>
        <v/>
      </c>
      <c r="T877" t="str">
        <f>IFERROR(IF($C877="","",SUMIFS(Ledger!$K$2:$K$4, Ledger!$B$2:$B$4, $A877, Ledger!$C$2:$C$4, T$2)),"****")</f>
        <v/>
      </c>
      <c r="U877" t="str">
        <f>IFERROR(IF($C877="","",SUMIFS(Ledger!$K$2:$K$4, Ledger!$B$2:$B$4, $A877, Ledger!$C$2:$C$4, U$2)),"****")</f>
        <v/>
      </c>
      <c r="V877" t="str">
        <f>IFERROR(IF($C877="","",SUMIFS(Ledger!$K$2:$K$4, Ledger!$B$2:$B$4, $A877, Ledger!$C$2:$C$4, V$2)),"****")</f>
        <v/>
      </c>
      <c r="W877" t="str">
        <f>IFERROR(IF($C877="","",SUMIFS(Ledger!$K$2:$K$4, Ledger!$B$2:$B$4, $A877, Ledger!$C$2:$C$4, W$2)),"****")</f>
        <v/>
      </c>
      <c r="X877" t="str">
        <f>IFERROR(IF($C877="","",SUMIFS(Ledger!$K$2:$K$4, Ledger!$B$2:$B$4, $A877, Ledger!$C$2:$C$4, X$2)),"****")</f>
        <v/>
      </c>
    </row>
    <row r="878" spans="1:24" x14ac:dyDescent="0.3">
      <c r="A878" s="106">
        <v>876</v>
      </c>
      <c r="B878" t="str">
        <f>IFERROR(VLOOKUP($A878, Ledger!$B$2:$L$8, 3, 0),"")</f>
        <v/>
      </c>
      <c r="C878" t="str">
        <f>IFERROR(VLOOKUP($A878, Ledger!$B$2:$L$8, 4, 0),"")</f>
        <v/>
      </c>
      <c r="D878" t="str">
        <f>IFERROR(VLOOKUP($A878, Ledger!$B$2:$L$8, 5, 0),"")</f>
        <v/>
      </c>
      <c r="E878" t="str">
        <f>IFERROR(VLOOKUP($A878, Ledger!$B$2:$L$8, 6, 0),"")</f>
        <v/>
      </c>
      <c r="F878" t="str">
        <f>IFERROR(VLOOKUP($A878,'Student Data'!$A$2:$AR$6,32,0),"")</f>
        <v/>
      </c>
      <c r="G878" t="str">
        <f>IFERROR(VLOOKUP($A878,'Student Data'!$A$2:$AR$6,33,0),"")</f>
        <v/>
      </c>
      <c r="H878" t="str">
        <f>IFERROR(VLOOKUP($A878,'Student Data'!$A$2:$AR$6,34,0),"")</f>
        <v/>
      </c>
      <c r="I878" t="str">
        <f>IFERROR(VLOOKUP($A878,'Student Data'!$A$2:$AR$6,35,0),"")</f>
        <v/>
      </c>
      <c r="J878" t="str">
        <f>IFERROR(VLOOKUP($A878,'Student Data'!$A$2:$AR$6,36,0),"")</f>
        <v/>
      </c>
      <c r="K878" t="str">
        <f t="shared" si="26"/>
        <v/>
      </c>
      <c r="L878" t="str">
        <f t="shared" si="27"/>
        <v/>
      </c>
      <c r="M878" t="str">
        <f>IFERROR(IF($C878="","",SUMIFS(Ledger!$K$2:$K$4, Ledger!$B$2:$B$4, $A878, Ledger!$C$2:$C$4, M$2)),"****")</f>
        <v/>
      </c>
      <c r="N878" t="str">
        <f>IFERROR(IF($C878="","",SUMIFS(Ledger!$K$2:$K$4, Ledger!$B$2:$B$4, $A878, Ledger!$C$2:$C$4, N$2)),"****")</f>
        <v/>
      </c>
      <c r="O878" t="str">
        <f>IFERROR(IF($C878="","",SUMIFS(Ledger!$K$2:$K$4, Ledger!$B$2:$B$4, $A878, Ledger!$C$2:$C$4, O$2)),"****")</f>
        <v/>
      </c>
      <c r="P878" t="str">
        <f>IFERROR(IF($C878="","",SUMIFS(Ledger!$K$2:$K$4, Ledger!$B$2:$B$4, $A878, Ledger!$C$2:$C$4, P$2)),"****")</f>
        <v/>
      </c>
      <c r="Q878" t="str">
        <f>IFERROR(IF($C878="","",SUMIFS(Ledger!$K$2:$K$4, Ledger!$B$2:$B$4, $A878, Ledger!$C$2:$C$4, Q$2)),"****")</f>
        <v/>
      </c>
      <c r="R878" t="str">
        <f>IFERROR(IF($C878="","",SUMIFS(Ledger!$K$2:$K$4, Ledger!$B$2:$B$4, $A878, Ledger!$C$2:$C$4, R$2)),"****")</f>
        <v/>
      </c>
      <c r="S878" t="str">
        <f>IFERROR(IF($C878="","",SUMIFS(Ledger!$K$2:$K$4, Ledger!$B$2:$B$4, $A878, Ledger!$C$2:$C$4, S$2)),"****")</f>
        <v/>
      </c>
      <c r="T878" t="str">
        <f>IFERROR(IF($C878="","",SUMIFS(Ledger!$K$2:$K$4, Ledger!$B$2:$B$4, $A878, Ledger!$C$2:$C$4, T$2)),"****")</f>
        <v/>
      </c>
      <c r="U878" t="str">
        <f>IFERROR(IF($C878="","",SUMIFS(Ledger!$K$2:$K$4, Ledger!$B$2:$B$4, $A878, Ledger!$C$2:$C$4, U$2)),"****")</f>
        <v/>
      </c>
      <c r="V878" t="str">
        <f>IFERROR(IF($C878="","",SUMIFS(Ledger!$K$2:$K$4, Ledger!$B$2:$B$4, $A878, Ledger!$C$2:$C$4, V$2)),"****")</f>
        <v/>
      </c>
      <c r="W878" t="str">
        <f>IFERROR(IF($C878="","",SUMIFS(Ledger!$K$2:$K$4, Ledger!$B$2:$B$4, $A878, Ledger!$C$2:$C$4, W$2)),"****")</f>
        <v/>
      </c>
      <c r="X878" t="str">
        <f>IFERROR(IF($C878="","",SUMIFS(Ledger!$K$2:$K$4, Ledger!$B$2:$B$4, $A878, Ledger!$C$2:$C$4, X$2)),"****")</f>
        <v/>
      </c>
    </row>
    <row r="879" spans="1:24" x14ac:dyDescent="0.3">
      <c r="A879" s="106">
        <v>877</v>
      </c>
      <c r="B879" t="str">
        <f>IFERROR(VLOOKUP($A879, Ledger!$B$2:$L$8, 3, 0),"")</f>
        <v/>
      </c>
      <c r="C879" t="str">
        <f>IFERROR(VLOOKUP($A879, Ledger!$B$2:$L$8, 4, 0),"")</f>
        <v/>
      </c>
      <c r="D879" t="str">
        <f>IFERROR(VLOOKUP($A879, Ledger!$B$2:$L$8, 5, 0),"")</f>
        <v/>
      </c>
      <c r="E879" t="str">
        <f>IFERROR(VLOOKUP($A879, Ledger!$B$2:$L$8, 6, 0),"")</f>
        <v/>
      </c>
      <c r="F879" t="str">
        <f>IFERROR(VLOOKUP($A879,'Student Data'!$A$2:$AR$6,32,0),"")</f>
        <v/>
      </c>
      <c r="G879" t="str">
        <f>IFERROR(VLOOKUP($A879,'Student Data'!$A$2:$AR$6,33,0),"")</f>
        <v/>
      </c>
      <c r="H879" t="str">
        <f>IFERROR(VLOOKUP($A879,'Student Data'!$A$2:$AR$6,34,0),"")</f>
        <v/>
      </c>
      <c r="I879" t="str">
        <f>IFERROR(VLOOKUP($A879,'Student Data'!$A$2:$AR$6,35,0),"")</f>
        <v/>
      </c>
      <c r="J879" t="str">
        <f>IFERROR(VLOOKUP($A879,'Student Data'!$A$2:$AR$6,36,0),"")</f>
        <v/>
      </c>
      <c r="K879" t="str">
        <f t="shared" si="26"/>
        <v/>
      </c>
      <c r="L879" t="str">
        <f t="shared" si="27"/>
        <v/>
      </c>
      <c r="M879" t="str">
        <f>IFERROR(IF($C879="","",SUMIFS(Ledger!$K$2:$K$4, Ledger!$B$2:$B$4, $A879, Ledger!$C$2:$C$4, M$2)),"****")</f>
        <v/>
      </c>
      <c r="N879" t="str">
        <f>IFERROR(IF($C879="","",SUMIFS(Ledger!$K$2:$K$4, Ledger!$B$2:$B$4, $A879, Ledger!$C$2:$C$4, N$2)),"****")</f>
        <v/>
      </c>
      <c r="O879" t="str">
        <f>IFERROR(IF($C879="","",SUMIFS(Ledger!$K$2:$K$4, Ledger!$B$2:$B$4, $A879, Ledger!$C$2:$C$4, O$2)),"****")</f>
        <v/>
      </c>
      <c r="P879" t="str">
        <f>IFERROR(IF($C879="","",SUMIFS(Ledger!$K$2:$K$4, Ledger!$B$2:$B$4, $A879, Ledger!$C$2:$C$4, P$2)),"****")</f>
        <v/>
      </c>
      <c r="Q879" t="str">
        <f>IFERROR(IF($C879="","",SUMIFS(Ledger!$K$2:$K$4, Ledger!$B$2:$B$4, $A879, Ledger!$C$2:$C$4, Q$2)),"****")</f>
        <v/>
      </c>
      <c r="R879" t="str">
        <f>IFERROR(IF($C879="","",SUMIFS(Ledger!$K$2:$K$4, Ledger!$B$2:$B$4, $A879, Ledger!$C$2:$C$4, R$2)),"****")</f>
        <v/>
      </c>
      <c r="S879" t="str">
        <f>IFERROR(IF($C879="","",SUMIFS(Ledger!$K$2:$K$4, Ledger!$B$2:$B$4, $A879, Ledger!$C$2:$C$4, S$2)),"****")</f>
        <v/>
      </c>
      <c r="T879" t="str">
        <f>IFERROR(IF($C879="","",SUMIFS(Ledger!$K$2:$K$4, Ledger!$B$2:$B$4, $A879, Ledger!$C$2:$C$4, T$2)),"****")</f>
        <v/>
      </c>
      <c r="U879" t="str">
        <f>IFERROR(IF($C879="","",SUMIFS(Ledger!$K$2:$K$4, Ledger!$B$2:$B$4, $A879, Ledger!$C$2:$C$4, U$2)),"****")</f>
        <v/>
      </c>
      <c r="V879" t="str">
        <f>IFERROR(IF($C879="","",SUMIFS(Ledger!$K$2:$K$4, Ledger!$B$2:$B$4, $A879, Ledger!$C$2:$C$4, V$2)),"****")</f>
        <v/>
      </c>
      <c r="W879" t="str">
        <f>IFERROR(IF($C879="","",SUMIFS(Ledger!$K$2:$K$4, Ledger!$B$2:$B$4, $A879, Ledger!$C$2:$C$4, W$2)),"****")</f>
        <v/>
      </c>
      <c r="X879" t="str">
        <f>IFERROR(IF($C879="","",SUMIFS(Ledger!$K$2:$K$4, Ledger!$B$2:$B$4, $A879, Ledger!$C$2:$C$4, X$2)),"****")</f>
        <v/>
      </c>
    </row>
    <row r="880" spans="1:24" x14ac:dyDescent="0.3">
      <c r="A880" s="106">
        <v>878</v>
      </c>
      <c r="B880" t="str">
        <f>IFERROR(VLOOKUP($A880, Ledger!$B$2:$L$8, 3, 0),"")</f>
        <v/>
      </c>
      <c r="C880" t="str">
        <f>IFERROR(VLOOKUP($A880, Ledger!$B$2:$L$8, 4, 0),"")</f>
        <v/>
      </c>
      <c r="D880" t="str">
        <f>IFERROR(VLOOKUP($A880, Ledger!$B$2:$L$8, 5, 0),"")</f>
        <v/>
      </c>
      <c r="E880" t="str">
        <f>IFERROR(VLOOKUP($A880, Ledger!$B$2:$L$8, 6, 0),"")</f>
        <v/>
      </c>
      <c r="F880" t="str">
        <f>IFERROR(VLOOKUP($A880,'Student Data'!$A$2:$AR$6,32,0),"")</f>
        <v/>
      </c>
      <c r="G880" t="str">
        <f>IFERROR(VLOOKUP($A880,'Student Data'!$A$2:$AR$6,33,0),"")</f>
        <v/>
      </c>
      <c r="H880" t="str">
        <f>IFERROR(VLOOKUP($A880,'Student Data'!$A$2:$AR$6,34,0),"")</f>
        <v/>
      </c>
      <c r="I880" t="str">
        <f>IFERROR(VLOOKUP($A880,'Student Data'!$A$2:$AR$6,35,0),"")</f>
        <v/>
      </c>
      <c r="J880" t="str">
        <f>IFERROR(VLOOKUP($A880,'Student Data'!$A$2:$AR$6,36,0),"")</f>
        <v/>
      </c>
      <c r="K880" t="str">
        <f t="shared" si="26"/>
        <v/>
      </c>
      <c r="L880" t="str">
        <f t="shared" si="27"/>
        <v/>
      </c>
      <c r="M880" t="str">
        <f>IFERROR(IF($C880="","",SUMIFS(Ledger!$K$2:$K$4, Ledger!$B$2:$B$4, $A880, Ledger!$C$2:$C$4, M$2)),"****")</f>
        <v/>
      </c>
      <c r="N880" t="str">
        <f>IFERROR(IF($C880="","",SUMIFS(Ledger!$K$2:$K$4, Ledger!$B$2:$B$4, $A880, Ledger!$C$2:$C$4, N$2)),"****")</f>
        <v/>
      </c>
      <c r="O880" t="str">
        <f>IFERROR(IF($C880="","",SUMIFS(Ledger!$K$2:$K$4, Ledger!$B$2:$B$4, $A880, Ledger!$C$2:$C$4, O$2)),"****")</f>
        <v/>
      </c>
      <c r="P880" t="str">
        <f>IFERROR(IF($C880="","",SUMIFS(Ledger!$K$2:$K$4, Ledger!$B$2:$B$4, $A880, Ledger!$C$2:$C$4, P$2)),"****")</f>
        <v/>
      </c>
      <c r="Q880" t="str">
        <f>IFERROR(IF($C880="","",SUMIFS(Ledger!$K$2:$K$4, Ledger!$B$2:$B$4, $A880, Ledger!$C$2:$C$4, Q$2)),"****")</f>
        <v/>
      </c>
      <c r="R880" t="str">
        <f>IFERROR(IF($C880="","",SUMIFS(Ledger!$K$2:$K$4, Ledger!$B$2:$B$4, $A880, Ledger!$C$2:$C$4, R$2)),"****")</f>
        <v/>
      </c>
      <c r="S880" t="str">
        <f>IFERROR(IF($C880="","",SUMIFS(Ledger!$K$2:$K$4, Ledger!$B$2:$B$4, $A880, Ledger!$C$2:$C$4, S$2)),"****")</f>
        <v/>
      </c>
      <c r="T880" t="str">
        <f>IFERROR(IF($C880="","",SUMIFS(Ledger!$K$2:$K$4, Ledger!$B$2:$B$4, $A880, Ledger!$C$2:$C$4, T$2)),"****")</f>
        <v/>
      </c>
      <c r="U880" t="str">
        <f>IFERROR(IF($C880="","",SUMIFS(Ledger!$K$2:$K$4, Ledger!$B$2:$B$4, $A880, Ledger!$C$2:$C$4, U$2)),"****")</f>
        <v/>
      </c>
      <c r="V880" t="str">
        <f>IFERROR(IF($C880="","",SUMIFS(Ledger!$K$2:$K$4, Ledger!$B$2:$B$4, $A880, Ledger!$C$2:$C$4, V$2)),"****")</f>
        <v/>
      </c>
      <c r="W880" t="str">
        <f>IFERROR(IF($C880="","",SUMIFS(Ledger!$K$2:$K$4, Ledger!$B$2:$B$4, $A880, Ledger!$C$2:$C$4, W$2)),"****")</f>
        <v/>
      </c>
      <c r="X880" t="str">
        <f>IFERROR(IF($C880="","",SUMIFS(Ledger!$K$2:$K$4, Ledger!$B$2:$B$4, $A880, Ledger!$C$2:$C$4, X$2)),"****")</f>
        <v/>
      </c>
    </row>
    <row r="881" spans="1:24" x14ac:dyDescent="0.3">
      <c r="A881" s="106">
        <v>879</v>
      </c>
      <c r="B881" t="str">
        <f>IFERROR(VLOOKUP($A881, Ledger!$B$2:$L$8, 3, 0),"")</f>
        <v/>
      </c>
      <c r="C881" t="str">
        <f>IFERROR(VLOOKUP($A881, Ledger!$B$2:$L$8, 4, 0),"")</f>
        <v/>
      </c>
      <c r="D881" t="str">
        <f>IFERROR(VLOOKUP($A881, Ledger!$B$2:$L$8, 5, 0),"")</f>
        <v/>
      </c>
      <c r="E881" t="str">
        <f>IFERROR(VLOOKUP($A881, Ledger!$B$2:$L$8, 6, 0),"")</f>
        <v/>
      </c>
      <c r="F881" t="str">
        <f>IFERROR(VLOOKUP($A881,'Student Data'!$A$2:$AR$6,32,0),"")</f>
        <v/>
      </c>
      <c r="G881" t="str">
        <f>IFERROR(VLOOKUP($A881,'Student Data'!$A$2:$AR$6,33,0),"")</f>
        <v/>
      </c>
      <c r="H881" t="str">
        <f>IFERROR(VLOOKUP($A881,'Student Data'!$A$2:$AR$6,34,0),"")</f>
        <v/>
      </c>
      <c r="I881" t="str">
        <f>IFERROR(VLOOKUP($A881,'Student Data'!$A$2:$AR$6,35,0),"")</f>
        <v/>
      </c>
      <c r="J881" t="str">
        <f>IFERROR(VLOOKUP($A881,'Student Data'!$A$2:$AR$6,36,0),"")</f>
        <v/>
      </c>
      <c r="K881" t="str">
        <f t="shared" si="26"/>
        <v/>
      </c>
      <c r="L881" t="str">
        <f t="shared" si="27"/>
        <v/>
      </c>
      <c r="M881" t="str">
        <f>IFERROR(IF($C881="","",SUMIFS(Ledger!$K$2:$K$4, Ledger!$B$2:$B$4, $A881, Ledger!$C$2:$C$4, M$2)),"****")</f>
        <v/>
      </c>
      <c r="N881" t="str">
        <f>IFERROR(IF($C881="","",SUMIFS(Ledger!$K$2:$K$4, Ledger!$B$2:$B$4, $A881, Ledger!$C$2:$C$4, N$2)),"****")</f>
        <v/>
      </c>
      <c r="O881" t="str">
        <f>IFERROR(IF($C881="","",SUMIFS(Ledger!$K$2:$K$4, Ledger!$B$2:$B$4, $A881, Ledger!$C$2:$C$4, O$2)),"****")</f>
        <v/>
      </c>
      <c r="P881" t="str">
        <f>IFERROR(IF($C881="","",SUMIFS(Ledger!$K$2:$K$4, Ledger!$B$2:$B$4, $A881, Ledger!$C$2:$C$4, P$2)),"****")</f>
        <v/>
      </c>
      <c r="Q881" t="str">
        <f>IFERROR(IF($C881="","",SUMIFS(Ledger!$K$2:$K$4, Ledger!$B$2:$B$4, $A881, Ledger!$C$2:$C$4, Q$2)),"****")</f>
        <v/>
      </c>
      <c r="R881" t="str">
        <f>IFERROR(IF($C881="","",SUMIFS(Ledger!$K$2:$K$4, Ledger!$B$2:$B$4, $A881, Ledger!$C$2:$C$4, R$2)),"****")</f>
        <v/>
      </c>
      <c r="S881" t="str">
        <f>IFERROR(IF($C881="","",SUMIFS(Ledger!$K$2:$K$4, Ledger!$B$2:$B$4, $A881, Ledger!$C$2:$C$4, S$2)),"****")</f>
        <v/>
      </c>
      <c r="T881" t="str">
        <f>IFERROR(IF($C881="","",SUMIFS(Ledger!$K$2:$K$4, Ledger!$B$2:$B$4, $A881, Ledger!$C$2:$C$4, T$2)),"****")</f>
        <v/>
      </c>
      <c r="U881" t="str">
        <f>IFERROR(IF($C881="","",SUMIFS(Ledger!$K$2:$K$4, Ledger!$B$2:$B$4, $A881, Ledger!$C$2:$C$4, U$2)),"****")</f>
        <v/>
      </c>
      <c r="V881" t="str">
        <f>IFERROR(IF($C881="","",SUMIFS(Ledger!$K$2:$K$4, Ledger!$B$2:$B$4, $A881, Ledger!$C$2:$C$4, V$2)),"****")</f>
        <v/>
      </c>
      <c r="W881" t="str">
        <f>IFERROR(IF($C881="","",SUMIFS(Ledger!$K$2:$K$4, Ledger!$B$2:$B$4, $A881, Ledger!$C$2:$C$4, W$2)),"****")</f>
        <v/>
      </c>
      <c r="X881" t="str">
        <f>IFERROR(IF($C881="","",SUMIFS(Ledger!$K$2:$K$4, Ledger!$B$2:$B$4, $A881, Ledger!$C$2:$C$4, X$2)),"****")</f>
        <v/>
      </c>
    </row>
    <row r="882" spans="1:24" x14ac:dyDescent="0.3">
      <c r="A882" s="106">
        <v>880</v>
      </c>
      <c r="B882" t="str">
        <f>IFERROR(VLOOKUP($A882, Ledger!$B$2:$L$8, 3, 0),"")</f>
        <v/>
      </c>
      <c r="C882" t="str">
        <f>IFERROR(VLOOKUP($A882, Ledger!$B$2:$L$8, 4, 0),"")</f>
        <v/>
      </c>
      <c r="D882" t="str">
        <f>IFERROR(VLOOKUP($A882, Ledger!$B$2:$L$8, 5, 0),"")</f>
        <v/>
      </c>
      <c r="E882" t="str">
        <f>IFERROR(VLOOKUP($A882, Ledger!$B$2:$L$8, 6, 0),"")</f>
        <v/>
      </c>
      <c r="F882" t="str">
        <f>IFERROR(VLOOKUP($A882,'Student Data'!$A$2:$AR$6,32,0),"")</f>
        <v/>
      </c>
      <c r="G882" t="str">
        <f>IFERROR(VLOOKUP($A882,'Student Data'!$A$2:$AR$6,33,0),"")</f>
        <v/>
      </c>
      <c r="H882" t="str">
        <f>IFERROR(VLOOKUP($A882,'Student Data'!$A$2:$AR$6,34,0),"")</f>
        <v/>
      </c>
      <c r="I882" t="str">
        <f>IFERROR(VLOOKUP($A882,'Student Data'!$A$2:$AR$6,35,0),"")</f>
        <v/>
      </c>
      <c r="J882" t="str">
        <f>IFERROR(VLOOKUP($A882,'Student Data'!$A$2:$AR$6,36,0),"")</f>
        <v/>
      </c>
      <c r="K882" t="str">
        <f t="shared" si="26"/>
        <v/>
      </c>
      <c r="L882" t="str">
        <f t="shared" si="27"/>
        <v/>
      </c>
      <c r="M882" t="str">
        <f>IFERROR(IF($C882="","",SUMIFS(Ledger!$K$2:$K$4, Ledger!$B$2:$B$4, $A882, Ledger!$C$2:$C$4, M$2)),"****")</f>
        <v/>
      </c>
      <c r="N882" t="str">
        <f>IFERROR(IF($C882="","",SUMIFS(Ledger!$K$2:$K$4, Ledger!$B$2:$B$4, $A882, Ledger!$C$2:$C$4, N$2)),"****")</f>
        <v/>
      </c>
      <c r="O882" t="str">
        <f>IFERROR(IF($C882="","",SUMIFS(Ledger!$K$2:$K$4, Ledger!$B$2:$B$4, $A882, Ledger!$C$2:$C$4, O$2)),"****")</f>
        <v/>
      </c>
      <c r="P882" t="str">
        <f>IFERROR(IF($C882="","",SUMIFS(Ledger!$K$2:$K$4, Ledger!$B$2:$B$4, $A882, Ledger!$C$2:$C$4, P$2)),"****")</f>
        <v/>
      </c>
      <c r="Q882" t="str">
        <f>IFERROR(IF($C882="","",SUMIFS(Ledger!$K$2:$K$4, Ledger!$B$2:$B$4, $A882, Ledger!$C$2:$C$4, Q$2)),"****")</f>
        <v/>
      </c>
      <c r="R882" t="str">
        <f>IFERROR(IF($C882="","",SUMIFS(Ledger!$K$2:$K$4, Ledger!$B$2:$B$4, $A882, Ledger!$C$2:$C$4, R$2)),"****")</f>
        <v/>
      </c>
      <c r="S882" t="str">
        <f>IFERROR(IF($C882="","",SUMIFS(Ledger!$K$2:$K$4, Ledger!$B$2:$B$4, $A882, Ledger!$C$2:$C$4, S$2)),"****")</f>
        <v/>
      </c>
      <c r="T882" t="str">
        <f>IFERROR(IF($C882="","",SUMIFS(Ledger!$K$2:$K$4, Ledger!$B$2:$B$4, $A882, Ledger!$C$2:$C$4, T$2)),"****")</f>
        <v/>
      </c>
      <c r="U882" t="str">
        <f>IFERROR(IF($C882="","",SUMIFS(Ledger!$K$2:$K$4, Ledger!$B$2:$B$4, $A882, Ledger!$C$2:$C$4, U$2)),"****")</f>
        <v/>
      </c>
      <c r="V882" t="str">
        <f>IFERROR(IF($C882="","",SUMIFS(Ledger!$K$2:$K$4, Ledger!$B$2:$B$4, $A882, Ledger!$C$2:$C$4, V$2)),"****")</f>
        <v/>
      </c>
      <c r="W882" t="str">
        <f>IFERROR(IF($C882="","",SUMIFS(Ledger!$K$2:$K$4, Ledger!$B$2:$B$4, $A882, Ledger!$C$2:$C$4, W$2)),"****")</f>
        <v/>
      </c>
      <c r="X882" t="str">
        <f>IFERROR(IF($C882="","",SUMIFS(Ledger!$K$2:$K$4, Ledger!$B$2:$B$4, $A882, Ledger!$C$2:$C$4, X$2)),"****")</f>
        <v/>
      </c>
    </row>
    <row r="883" spans="1:24" x14ac:dyDescent="0.3">
      <c r="A883" s="106">
        <v>881</v>
      </c>
      <c r="B883" t="str">
        <f>IFERROR(VLOOKUP($A883, Ledger!$B$2:$L$8, 3, 0),"")</f>
        <v/>
      </c>
      <c r="C883" t="str">
        <f>IFERROR(VLOOKUP($A883, Ledger!$B$2:$L$8, 4, 0),"")</f>
        <v/>
      </c>
      <c r="D883" t="str">
        <f>IFERROR(VLOOKUP($A883, Ledger!$B$2:$L$8, 5, 0),"")</f>
        <v/>
      </c>
      <c r="E883" t="str">
        <f>IFERROR(VLOOKUP($A883, Ledger!$B$2:$L$8, 6, 0),"")</f>
        <v/>
      </c>
      <c r="F883" t="str">
        <f>IFERROR(VLOOKUP($A883,'Student Data'!$A$2:$AR$6,32,0),"")</f>
        <v/>
      </c>
      <c r="G883" t="str">
        <f>IFERROR(VLOOKUP($A883,'Student Data'!$A$2:$AR$6,33,0),"")</f>
        <v/>
      </c>
      <c r="H883" t="str">
        <f>IFERROR(VLOOKUP($A883,'Student Data'!$A$2:$AR$6,34,0),"")</f>
        <v/>
      </c>
      <c r="I883" t="str">
        <f>IFERROR(VLOOKUP($A883,'Student Data'!$A$2:$AR$6,35,0),"")</f>
        <v/>
      </c>
      <c r="J883" t="str">
        <f>IFERROR(VLOOKUP($A883,'Student Data'!$A$2:$AR$6,36,0),"")</f>
        <v/>
      </c>
      <c r="K883" t="str">
        <f t="shared" si="26"/>
        <v/>
      </c>
      <c r="L883" t="str">
        <f t="shared" si="27"/>
        <v/>
      </c>
      <c r="M883" t="str">
        <f>IFERROR(IF($C883="","",SUMIFS(Ledger!$K$2:$K$4, Ledger!$B$2:$B$4, $A883, Ledger!$C$2:$C$4, M$2)),"****")</f>
        <v/>
      </c>
      <c r="N883" t="str">
        <f>IFERROR(IF($C883="","",SUMIFS(Ledger!$K$2:$K$4, Ledger!$B$2:$B$4, $A883, Ledger!$C$2:$C$4, N$2)),"****")</f>
        <v/>
      </c>
      <c r="O883" t="str">
        <f>IFERROR(IF($C883="","",SUMIFS(Ledger!$K$2:$K$4, Ledger!$B$2:$B$4, $A883, Ledger!$C$2:$C$4, O$2)),"****")</f>
        <v/>
      </c>
      <c r="P883" t="str">
        <f>IFERROR(IF($C883="","",SUMIFS(Ledger!$K$2:$K$4, Ledger!$B$2:$B$4, $A883, Ledger!$C$2:$C$4, P$2)),"****")</f>
        <v/>
      </c>
      <c r="Q883" t="str">
        <f>IFERROR(IF($C883="","",SUMIFS(Ledger!$K$2:$K$4, Ledger!$B$2:$B$4, $A883, Ledger!$C$2:$C$4, Q$2)),"****")</f>
        <v/>
      </c>
      <c r="R883" t="str">
        <f>IFERROR(IF($C883="","",SUMIFS(Ledger!$K$2:$K$4, Ledger!$B$2:$B$4, $A883, Ledger!$C$2:$C$4, R$2)),"****")</f>
        <v/>
      </c>
      <c r="S883" t="str">
        <f>IFERROR(IF($C883="","",SUMIFS(Ledger!$K$2:$K$4, Ledger!$B$2:$B$4, $A883, Ledger!$C$2:$C$4, S$2)),"****")</f>
        <v/>
      </c>
      <c r="T883" t="str">
        <f>IFERROR(IF($C883="","",SUMIFS(Ledger!$K$2:$K$4, Ledger!$B$2:$B$4, $A883, Ledger!$C$2:$C$4, T$2)),"****")</f>
        <v/>
      </c>
      <c r="U883" t="str">
        <f>IFERROR(IF($C883="","",SUMIFS(Ledger!$K$2:$K$4, Ledger!$B$2:$B$4, $A883, Ledger!$C$2:$C$4, U$2)),"****")</f>
        <v/>
      </c>
      <c r="V883" t="str">
        <f>IFERROR(IF($C883="","",SUMIFS(Ledger!$K$2:$K$4, Ledger!$B$2:$B$4, $A883, Ledger!$C$2:$C$4, V$2)),"****")</f>
        <v/>
      </c>
      <c r="W883" t="str">
        <f>IFERROR(IF($C883="","",SUMIFS(Ledger!$K$2:$K$4, Ledger!$B$2:$B$4, $A883, Ledger!$C$2:$C$4, W$2)),"****")</f>
        <v/>
      </c>
      <c r="X883" t="str">
        <f>IFERROR(IF($C883="","",SUMIFS(Ledger!$K$2:$K$4, Ledger!$B$2:$B$4, $A883, Ledger!$C$2:$C$4, X$2)),"****")</f>
        <v/>
      </c>
    </row>
    <row r="884" spans="1:24" x14ac:dyDescent="0.3">
      <c r="A884" s="106">
        <v>882</v>
      </c>
      <c r="B884" t="str">
        <f>IFERROR(VLOOKUP($A884, Ledger!$B$2:$L$8, 3, 0),"")</f>
        <v/>
      </c>
      <c r="C884" t="str">
        <f>IFERROR(VLOOKUP($A884, Ledger!$B$2:$L$8, 4, 0),"")</f>
        <v/>
      </c>
      <c r="D884" t="str">
        <f>IFERROR(VLOOKUP($A884, Ledger!$B$2:$L$8, 5, 0),"")</f>
        <v/>
      </c>
      <c r="E884" t="str">
        <f>IFERROR(VLOOKUP($A884, Ledger!$B$2:$L$8, 6, 0),"")</f>
        <v/>
      </c>
      <c r="F884" t="str">
        <f>IFERROR(VLOOKUP($A884,'Student Data'!$A$2:$AR$6,32,0),"")</f>
        <v/>
      </c>
      <c r="G884" t="str">
        <f>IFERROR(VLOOKUP($A884,'Student Data'!$A$2:$AR$6,33,0),"")</f>
        <v/>
      </c>
      <c r="H884" t="str">
        <f>IFERROR(VLOOKUP($A884,'Student Data'!$A$2:$AR$6,34,0),"")</f>
        <v/>
      </c>
      <c r="I884" t="str">
        <f>IFERROR(VLOOKUP($A884,'Student Data'!$A$2:$AR$6,35,0),"")</f>
        <v/>
      </c>
      <c r="J884" t="str">
        <f>IFERROR(VLOOKUP($A884,'Student Data'!$A$2:$AR$6,36,0),"")</f>
        <v/>
      </c>
      <c r="K884" t="str">
        <f t="shared" si="26"/>
        <v/>
      </c>
      <c r="L884" t="str">
        <f t="shared" si="27"/>
        <v/>
      </c>
      <c r="M884" t="str">
        <f>IFERROR(IF($C884="","",SUMIFS(Ledger!$K$2:$K$4, Ledger!$B$2:$B$4, $A884, Ledger!$C$2:$C$4, M$2)),"****")</f>
        <v/>
      </c>
      <c r="N884" t="str">
        <f>IFERROR(IF($C884="","",SUMIFS(Ledger!$K$2:$K$4, Ledger!$B$2:$B$4, $A884, Ledger!$C$2:$C$4, N$2)),"****")</f>
        <v/>
      </c>
      <c r="O884" t="str">
        <f>IFERROR(IF($C884="","",SUMIFS(Ledger!$K$2:$K$4, Ledger!$B$2:$B$4, $A884, Ledger!$C$2:$C$4, O$2)),"****")</f>
        <v/>
      </c>
      <c r="P884" t="str">
        <f>IFERROR(IF($C884="","",SUMIFS(Ledger!$K$2:$K$4, Ledger!$B$2:$B$4, $A884, Ledger!$C$2:$C$4, P$2)),"****")</f>
        <v/>
      </c>
      <c r="Q884" t="str">
        <f>IFERROR(IF($C884="","",SUMIFS(Ledger!$K$2:$K$4, Ledger!$B$2:$B$4, $A884, Ledger!$C$2:$C$4, Q$2)),"****")</f>
        <v/>
      </c>
      <c r="R884" t="str">
        <f>IFERROR(IF($C884="","",SUMIFS(Ledger!$K$2:$K$4, Ledger!$B$2:$B$4, $A884, Ledger!$C$2:$C$4, R$2)),"****")</f>
        <v/>
      </c>
      <c r="S884" t="str">
        <f>IFERROR(IF($C884="","",SUMIFS(Ledger!$K$2:$K$4, Ledger!$B$2:$B$4, $A884, Ledger!$C$2:$C$4, S$2)),"****")</f>
        <v/>
      </c>
      <c r="T884" t="str">
        <f>IFERROR(IF($C884="","",SUMIFS(Ledger!$K$2:$K$4, Ledger!$B$2:$B$4, $A884, Ledger!$C$2:$C$4, T$2)),"****")</f>
        <v/>
      </c>
      <c r="U884" t="str">
        <f>IFERROR(IF($C884="","",SUMIFS(Ledger!$K$2:$K$4, Ledger!$B$2:$B$4, $A884, Ledger!$C$2:$C$4, U$2)),"****")</f>
        <v/>
      </c>
      <c r="V884" t="str">
        <f>IFERROR(IF($C884="","",SUMIFS(Ledger!$K$2:$K$4, Ledger!$B$2:$B$4, $A884, Ledger!$C$2:$C$4, V$2)),"****")</f>
        <v/>
      </c>
      <c r="W884" t="str">
        <f>IFERROR(IF($C884="","",SUMIFS(Ledger!$K$2:$K$4, Ledger!$B$2:$B$4, $A884, Ledger!$C$2:$C$4, W$2)),"****")</f>
        <v/>
      </c>
      <c r="X884" t="str">
        <f>IFERROR(IF($C884="","",SUMIFS(Ledger!$K$2:$K$4, Ledger!$B$2:$B$4, $A884, Ledger!$C$2:$C$4, X$2)),"****")</f>
        <v/>
      </c>
    </row>
    <row r="885" spans="1:24" x14ac:dyDescent="0.3">
      <c r="A885" s="106">
        <v>883</v>
      </c>
      <c r="B885" t="str">
        <f>IFERROR(VLOOKUP($A885, Ledger!$B$2:$L$8, 3, 0),"")</f>
        <v/>
      </c>
      <c r="C885" t="str">
        <f>IFERROR(VLOOKUP($A885, Ledger!$B$2:$L$8, 4, 0),"")</f>
        <v/>
      </c>
      <c r="D885" t="str">
        <f>IFERROR(VLOOKUP($A885, Ledger!$B$2:$L$8, 5, 0),"")</f>
        <v/>
      </c>
      <c r="E885" t="str">
        <f>IFERROR(VLOOKUP($A885, Ledger!$B$2:$L$8, 6, 0),"")</f>
        <v/>
      </c>
      <c r="F885" t="str">
        <f>IFERROR(VLOOKUP($A885,'Student Data'!$A$2:$AR$6,32,0),"")</f>
        <v/>
      </c>
      <c r="G885" t="str">
        <f>IFERROR(VLOOKUP($A885,'Student Data'!$A$2:$AR$6,33,0),"")</f>
        <v/>
      </c>
      <c r="H885" t="str">
        <f>IFERROR(VLOOKUP($A885,'Student Data'!$A$2:$AR$6,34,0),"")</f>
        <v/>
      </c>
      <c r="I885" t="str">
        <f>IFERROR(VLOOKUP($A885,'Student Data'!$A$2:$AR$6,35,0),"")</f>
        <v/>
      </c>
      <c r="J885" t="str">
        <f>IFERROR(VLOOKUP($A885,'Student Data'!$A$2:$AR$6,36,0),"")</f>
        <v/>
      </c>
      <c r="K885" t="str">
        <f t="shared" si="26"/>
        <v/>
      </c>
      <c r="L885" t="str">
        <f t="shared" si="27"/>
        <v/>
      </c>
      <c r="M885" t="str">
        <f>IFERROR(IF($C885="","",SUMIFS(Ledger!$K$2:$K$4, Ledger!$B$2:$B$4, $A885, Ledger!$C$2:$C$4, M$2)),"****")</f>
        <v/>
      </c>
      <c r="N885" t="str">
        <f>IFERROR(IF($C885="","",SUMIFS(Ledger!$K$2:$K$4, Ledger!$B$2:$B$4, $A885, Ledger!$C$2:$C$4, N$2)),"****")</f>
        <v/>
      </c>
      <c r="O885" t="str">
        <f>IFERROR(IF($C885="","",SUMIFS(Ledger!$K$2:$K$4, Ledger!$B$2:$B$4, $A885, Ledger!$C$2:$C$4, O$2)),"****")</f>
        <v/>
      </c>
      <c r="P885" t="str">
        <f>IFERROR(IF($C885="","",SUMIFS(Ledger!$K$2:$K$4, Ledger!$B$2:$B$4, $A885, Ledger!$C$2:$C$4, P$2)),"****")</f>
        <v/>
      </c>
      <c r="Q885" t="str">
        <f>IFERROR(IF($C885="","",SUMIFS(Ledger!$K$2:$K$4, Ledger!$B$2:$B$4, $A885, Ledger!$C$2:$C$4, Q$2)),"****")</f>
        <v/>
      </c>
      <c r="R885" t="str">
        <f>IFERROR(IF($C885="","",SUMIFS(Ledger!$K$2:$K$4, Ledger!$B$2:$B$4, $A885, Ledger!$C$2:$C$4, R$2)),"****")</f>
        <v/>
      </c>
      <c r="S885" t="str">
        <f>IFERROR(IF($C885="","",SUMIFS(Ledger!$K$2:$K$4, Ledger!$B$2:$B$4, $A885, Ledger!$C$2:$C$4, S$2)),"****")</f>
        <v/>
      </c>
      <c r="T885" t="str">
        <f>IFERROR(IF($C885="","",SUMIFS(Ledger!$K$2:$K$4, Ledger!$B$2:$B$4, $A885, Ledger!$C$2:$C$4, T$2)),"****")</f>
        <v/>
      </c>
      <c r="U885" t="str">
        <f>IFERROR(IF($C885="","",SUMIFS(Ledger!$K$2:$K$4, Ledger!$B$2:$B$4, $A885, Ledger!$C$2:$C$4, U$2)),"****")</f>
        <v/>
      </c>
      <c r="V885" t="str">
        <f>IFERROR(IF($C885="","",SUMIFS(Ledger!$K$2:$K$4, Ledger!$B$2:$B$4, $A885, Ledger!$C$2:$C$4, V$2)),"****")</f>
        <v/>
      </c>
      <c r="W885" t="str">
        <f>IFERROR(IF($C885="","",SUMIFS(Ledger!$K$2:$K$4, Ledger!$B$2:$B$4, $A885, Ledger!$C$2:$C$4, W$2)),"****")</f>
        <v/>
      </c>
      <c r="X885" t="str">
        <f>IFERROR(IF($C885="","",SUMIFS(Ledger!$K$2:$K$4, Ledger!$B$2:$B$4, $A885, Ledger!$C$2:$C$4, X$2)),"****")</f>
        <v/>
      </c>
    </row>
    <row r="886" spans="1:24" x14ac:dyDescent="0.3">
      <c r="A886" s="106">
        <v>884</v>
      </c>
      <c r="B886" t="str">
        <f>IFERROR(VLOOKUP($A886, Ledger!$B$2:$L$8, 3, 0),"")</f>
        <v/>
      </c>
      <c r="C886" t="str">
        <f>IFERROR(VLOOKUP($A886, Ledger!$B$2:$L$8, 4, 0),"")</f>
        <v/>
      </c>
      <c r="D886" t="str">
        <f>IFERROR(VLOOKUP($A886, Ledger!$B$2:$L$8, 5, 0),"")</f>
        <v/>
      </c>
      <c r="E886" t="str">
        <f>IFERROR(VLOOKUP($A886, Ledger!$B$2:$L$8, 6, 0),"")</f>
        <v/>
      </c>
      <c r="F886" t="str">
        <f>IFERROR(VLOOKUP($A886,'Student Data'!$A$2:$AR$6,32,0),"")</f>
        <v/>
      </c>
      <c r="G886" t="str">
        <f>IFERROR(VLOOKUP($A886,'Student Data'!$A$2:$AR$6,33,0),"")</f>
        <v/>
      </c>
      <c r="H886" t="str">
        <f>IFERROR(VLOOKUP($A886,'Student Data'!$A$2:$AR$6,34,0),"")</f>
        <v/>
      </c>
      <c r="I886" t="str">
        <f>IFERROR(VLOOKUP($A886,'Student Data'!$A$2:$AR$6,35,0),"")</f>
        <v/>
      </c>
      <c r="J886" t="str">
        <f>IFERROR(VLOOKUP($A886,'Student Data'!$A$2:$AR$6,36,0),"")</f>
        <v/>
      </c>
      <c r="K886" t="str">
        <f t="shared" si="26"/>
        <v/>
      </c>
      <c r="L886" t="str">
        <f t="shared" si="27"/>
        <v/>
      </c>
      <c r="M886" t="str">
        <f>IFERROR(IF($C886="","",SUMIFS(Ledger!$K$2:$K$4, Ledger!$B$2:$B$4, $A886, Ledger!$C$2:$C$4, M$2)),"****")</f>
        <v/>
      </c>
      <c r="N886" t="str">
        <f>IFERROR(IF($C886="","",SUMIFS(Ledger!$K$2:$K$4, Ledger!$B$2:$B$4, $A886, Ledger!$C$2:$C$4, N$2)),"****")</f>
        <v/>
      </c>
      <c r="O886" t="str">
        <f>IFERROR(IF($C886="","",SUMIFS(Ledger!$K$2:$K$4, Ledger!$B$2:$B$4, $A886, Ledger!$C$2:$C$4, O$2)),"****")</f>
        <v/>
      </c>
      <c r="P886" t="str">
        <f>IFERROR(IF($C886="","",SUMIFS(Ledger!$K$2:$K$4, Ledger!$B$2:$B$4, $A886, Ledger!$C$2:$C$4, P$2)),"****")</f>
        <v/>
      </c>
      <c r="Q886" t="str">
        <f>IFERROR(IF($C886="","",SUMIFS(Ledger!$K$2:$K$4, Ledger!$B$2:$B$4, $A886, Ledger!$C$2:$C$4, Q$2)),"****")</f>
        <v/>
      </c>
      <c r="R886" t="str">
        <f>IFERROR(IF($C886="","",SUMIFS(Ledger!$K$2:$K$4, Ledger!$B$2:$B$4, $A886, Ledger!$C$2:$C$4, R$2)),"****")</f>
        <v/>
      </c>
      <c r="S886" t="str">
        <f>IFERROR(IF($C886="","",SUMIFS(Ledger!$K$2:$K$4, Ledger!$B$2:$B$4, $A886, Ledger!$C$2:$C$4, S$2)),"****")</f>
        <v/>
      </c>
      <c r="T886" t="str">
        <f>IFERROR(IF($C886="","",SUMIFS(Ledger!$K$2:$K$4, Ledger!$B$2:$B$4, $A886, Ledger!$C$2:$C$4, T$2)),"****")</f>
        <v/>
      </c>
      <c r="U886" t="str">
        <f>IFERROR(IF($C886="","",SUMIFS(Ledger!$K$2:$K$4, Ledger!$B$2:$B$4, $A886, Ledger!$C$2:$C$4, U$2)),"****")</f>
        <v/>
      </c>
      <c r="V886" t="str">
        <f>IFERROR(IF($C886="","",SUMIFS(Ledger!$K$2:$K$4, Ledger!$B$2:$B$4, $A886, Ledger!$C$2:$C$4, V$2)),"****")</f>
        <v/>
      </c>
      <c r="W886" t="str">
        <f>IFERROR(IF($C886="","",SUMIFS(Ledger!$K$2:$K$4, Ledger!$B$2:$B$4, $A886, Ledger!$C$2:$C$4, W$2)),"****")</f>
        <v/>
      </c>
      <c r="X886" t="str">
        <f>IFERROR(IF($C886="","",SUMIFS(Ledger!$K$2:$K$4, Ledger!$B$2:$B$4, $A886, Ledger!$C$2:$C$4, X$2)),"****")</f>
        <v/>
      </c>
    </row>
    <row r="887" spans="1:24" x14ac:dyDescent="0.3">
      <c r="A887" s="106">
        <v>885</v>
      </c>
      <c r="B887" t="str">
        <f>IFERROR(VLOOKUP($A887, Ledger!$B$2:$L$8, 3, 0),"")</f>
        <v/>
      </c>
      <c r="C887" t="str">
        <f>IFERROR(VLOOKUP($A887, Ledger!$B$2:$L$8, 4, 0),"")</f>
        <v/>
      </c>
      <c r="D887" t="str">
        <f>IFERROR(VLOOKUP($A887, Ledger!$B$2:$L$8, 5, 0),"")</f>
        <v/>
      </c>
      <c r="E887" t="str">
        <f>IFERROR(VLOOKUP($A887, Ledger!$B$2:$L$8, 6, 0),"")</f>
        <v/>
      </c>
      <c r="F887" t="str">
        <f>IFERROR(VLOOKUP($A887,'Student Data'!$A$2:$AR$6,32,0),"")</f>
        <v/>
      </c>
      <c r="G887" t="str">
        <f>IFERROR(VLOOKUP($A887,'Student Data'!$A$2:$AR$6,33,0),"")</f>
        <v/>
      </c>
      <c r="H887" t="str">
        <f>IFERROR(VLOOKUP($A887,'Student Data'!$A$2:$AR$6,34,0),"")</f>
        <v/>
      </c>
      <c r="I887" t="str">
        <f>IFERROR(VLOOKUP($A887,'Student Data'!$A$2:$AR$6,35,0),"")</f>
        <v/>
      </c>
      <c r="J887" t="str">
        <f>IFERROR(VLOOKUP($A887,'Student Data'!$A$2:$AR$6,36,0),"")</f>
        <v/>
      </c>
      <c r="K887" t="str">
        <f t="shared" si="26"/>
        <v/>
      </c>
      <c r="L887" t="str">
        <f t="shared" si="27"/>
        <v/>
      </c>
      <c r="M887" t="str">
        <f>IFERROR(IF($C887="","",SUMIFS(Ledger!$K$2:$K$4, Ledger!$B$2:$B$4, $A887, Ledger!$C$2:$C$4, M$2)),"****")</f>
        <v/>
      </c>
      <c r="N887" t="str">
        <f>IFERROR(IF($C887="","",SUMIFS(Ledger!$K$2:$K$4, Ledger!$B$2:$B$4, $A887, Ledger!$C$2:$C$4, N$2)),"****")</f>
        <v/>
      </c>
      <c r="O887" t="str">
        <f>IFERROR(IF($C887="","",SUMIFS(Ledger!$K$2:$K$4, Ledger!$B$2:$B$4, $A887, Ledger!$C$2:$C$4, O$2)),"****")</f>
        <v/>
      </c>
      <c r="P887" t="str">
        <f>IFERROR(IF($C887="","",SUMIFS(Ledger!$K$2:$K$4, Ledger!$B$2:$B$4, $A887, Ledger!$C$2:$C$4, P$2)),"****")</f>
        <v/>
      </c>
      <c r="Q887" t="str">
        <f>IFERROR(IF($C887="","",SUMIFS(Ledger!$K$2:$K$4, Ledger!$B$2:$B$4, $A887, Ledger!$C$2:$C$4, Q$2)),"****")</f>
        <v/>
      </c>
      <c r="R887" t="str">
        <f>IFERROR(IF($C887="","",SUMIFS(Ledger!$K$2:$K$4, Ledger!$B$2:$B$4, $A887, Ledger!$C$2:$C$4, R$2)),"****")</f>
        <v/>
      </c>
      <c r="S887" t="str">
        <f>IFERROR(IF($C887="","",SUMIFS(Ledger!$K$2:$K$4, Ledger!$B$2:$B$4, $A887, Ledger!$C$2:$C$4, S$2)),"****")</f>
        <v/>
      </c>
      <c r="T887" t="str">
        <f>IFERROR(IF($C887="","",SUMIFS(Ledger!$K$2:$K$4, Ledger!$B$2:$B$4, $A887, Ledger!$C$2:$C$4, T$2)),"****")</f>
        <v/>
      </c>
      <c r="U887" t="str">
        <f>IFERROR(IF($C887="","",SUMIFS(Ledger!$K$2:$K$4, Ledger!$B$2:$B$4, $A887, Ledger!$C$2:$C$4, U$2)),"****")</f>
        <v/>
      </c>
      <c r="V887" t="str">
        <f>IFERROR(IF($C887="","",SUMIFS(Ledger!$K$2:$K$4, Ledger!$B$2:$B$4, $A887, Ledger!$C$2:$C$4, V$2)),"****")</f>
        <v/>
      </c>
      <c r="W887" t="str">
        <f>IFERROR(IF($C887="","",SUMIFS(Ledger!$K$2:$K$4, Ledger!$B$2:$B$4, $A887, Ledger!$C$2:$C$4, W$2)),"****")</f>
        <v/>
      </c>
      <c r="X887" t="str">
        <f>IFERROR(IF($C887="","",SUMIFS(Ledger!$K$2:$K$4, Ledger!$B$2:$B$4, $A887, Ledger!$C$2:$C$4, X$2)),"****")</f>
        <v/>
      </c>
    </row>
    <row r="888" spans="1:24" x14ac:dyDescent="0.3">
      <c r="A888" s="106">
        <v>886</v>
      </c>
      <c r="B888" t="str">
        <f>IFERROR(VLOOKUP($A888, Ledger!$B$2:$L$8, 3, 0),"")</f>
        <v/>
      </c>
      <c r="C888" t="str">
        <f>IFERROR(VLOOKUP($A888, Ledger!$B$2:$L$8, 4, 0),"")</f>
        <v/>
      </c>
      <c r="D888" t="str">
        <f>IFERROR(VLOOKUP($A888, Ledger!$B$2:$L$8, 5, 0),"")</f>
        <v/>
      </c>
      <c r="E888" t="str">
        <f>IFERROR(VLOOKUP($A888, Ledger!$B$2:$L$8, 6, 0),"")</f>
        <v/>
      </c>
      <c r="F888" t="str">
        <f>IFERROR(VLOOKUP($A888,'Student Data'!$A$2:$AR$6,32,0),"")</f>
        <v/>
      </c>
      <c r="G888" t="str">
        <f>IFERROR(VLOOKUP($A888,'Student Data'!$A$2:$AR$6,33,0),"")</f>
        <v/>
      </c>
      <c r="H888" t="str">
        <f>IFERROR(VLOOKUP($A888,'Student Data'!$A$2:$AR$6,34,0),"")</f>
        <v/>
      </c>
      <c r="I888" t="str">
        <f>IFERROR(VLOOKUP($A888,'Student Data'!$A$2:$AR$6,35,0),"")</f>
        <v/>
      </c>
      <c r="J888" t="str">
        <f>IFERROR(VLOOKUP($A888,'Student Data'!$A$2:$AR$6,36,0),"")</f>
        <v/>
      </c>
      <c r="K888" t="str">
        <f t="shared" si="26"/>
        <v/>
      </c>
      <c r="L888" t="str">
        <f t="shared" si="27"/>
        <v/>
      </c>
      <c r="M888" t="str">
        <f>IFERROR(IF($C888="","",SUMIFS(Ledger!$K$2:$K$4, Ledger!$B$2:$B$4, $A888, Ledger!$C$2:$C$4, M$2)),"****")</f>
        <v/>
      </c>
      <c r="N888" t="str">
        <f>IFERROR(IF($C888="","",SUMIFS(Ledger!$K$2:$K$4, Ledger!$B$2:$B$4, $A888, Ledger!$C$2:$C$4, N$2)),"****")</f>
        <v/>
      </c>
      <c r="O888" t="str">
        <f>IFERROR(IF($C888="","",SUMIFS(Ledger!$K$2:$K$4, Ledger!$B$2:$B$4, $A888, Ledger!$C$2:$C$4, O$2)),"****")</f>
        <v/>
      </c>
      <c r="P888" t="str">
        <f>IFERROR(IF($C888="","",SUMIFS(Ledger!$K$2:$K$4, Ledger!$B$2:$B$4, $A888, Ledger!$C$2:$C$4, P$2)),"****")</f>
        <v/>
      </c>
      <c r="Q888" t="str">
        <f>IFERROR(IF($C888="","",SUMIFS(Ledger!$K$2:$K$4, Ledger!$B$2:$B$4, $A888, Ledger!$C$2:$C$4, Q$2)),"****")</f>
        <v/>
      </c>
      <c r="R888" t="str">
        <f>IFERROR(IF($C888="","",SUMIFS(Ledger!$K$2:$K$4, Ledger!$B$2:$B$4, $A888, Ledger!$C$2:$C$4, R$2)),"****")</f>
        <v/>
      </c>
      <c r="S888" t="str">
        <f>IFERROR(IF($C888="","",SUMIFS(Ledger!$K$2:$K$4, Ledger!$B$2:$B$4, $A888, Ledger!$C$2:$C$4, S$2)),"****")</f>
        <v/>
      </c>
      <c r="T888" t="str">
        <f>IFERROR(IF($C888="","",SUMIFS(Ledger!$K$2:$K$4, Ledger!$B$2:$B$4, $A888, Ledger!$C$2:$C$4, T$2)),"****")</f>
        <v/>
      </c>
      <c r="U888" t="str">
        <f>IFERROR(IF($C888="","",SUMIFS(Ledger!$K$2:$K$4, Ledger!$B$2:$B$4, $A888, Ledger!$C$2:$C$4, U$2)),"****")</f>
        <v/>
      </c>
      <c r="V888" t="str">
        <f>IFERROR(IF($C888="","",SUMIFS(Ledger!$K$2:$K$4, Ledger!$B$2:$B$4, $A888, Ledger!$C$2:$C$4, V$2)),"****")</f>
        <v/>
      </c>
      <c r="W888" t="str">
        <f>IFERROR(IF($C888="","",SUMIFS(Ledger!$K$2:$K$4, Ledger!$B$2:$B$4, $A888, Ledger!$C$2:$C$4, W$2)),"****")</f>
        <v/>
      </c>
      <c r="X888" t="str">
        <f>IFERROR(IF($C888="","",SUMIFS(Ledger!$K$2:$K$4, Ledger!$B$2:$B$4, $A888, Ledger!$C$2:$C$4, X$2)),"****")</f>
        <v/>
      </c>
    </row>
    <row r="889" spans="1:24" x14ac:dyDescent="0.3">
      <c r="A889" s="106">
        <v>887</v>
      </c>
      <c r="B889" t="str">
        <f>IFERROR(VLOOKUP($A889, Ledger!$B$2:$L$8, 3, 0),"")</f>
        <v/>
      </c>
      <c r="C889" t="str">
        <f>IFERROR(VLOOKUP($A889, Ledger!$B$2:$L$8, 4, 0),"")</f>
        <v/>
      </c>
      <c r="D889" t="str">
        <f>IFERROR(VLOOKUP($A889, Ledger!$B$2:$L$8, 5, 0),"")</f>
        <v/>
      </c>
      <c r="E889" t="str">
        <f>IFERROR(VLOOKUP($A889, Ledger!$B$2:$L$8, 6, 0),"")</f>
        <v/>
      </c>
      <c r="F889" t="str">
        <f>IFERROR(VLOOKUP($A889,'Student Data'!$A$2:$AR$6,32,0),"")</f>
        <v/>
      </c>
      <c r="G889" t="str">
        <f>IFERROR(VLOOKUP($A889,'Student Data'!$A$2:$AR$6,33,0),"")</f>
        <v/>
      </c>
      <c r="H889" t="str">
        <f>IFERROR(VLOOKUP($A889,'Student Data'!$A$2:$AR$6,34,0),"")</f>
        <v/>
      </c>
      <c r="I889" t="str">
        <f>IFERROR(VLOOKUP($A889,'Student Data'!$A$2:$AR$6,35,0),"")</f>
        <v/>
      </c>
      <c r="J889" t="str">
        <f>IFERROR(VLOOKUP($A889,'Student Data'!$A$2:$AR$6,36,0),"")</f>
        <v/>
      </c>
      <c r="K889" t="str">
        <f t="shared" si="26"/>
        <v/>
      </c>
      <c r="L889" t="str">
        <f t="shared" si="27"/>
        <v/>
      </c>
      <c r="M889" t="str">
        <f>IFERROR(IF($C889="","",SUMIFS(Ledger!$K$2:$K$4, Ledger!$B$2:$B$4, $A889, Ledger!$C$2:$C$4, M$2)),"****")</f>
        <v/>
      </c>
      <c r="N889" t="str">
        <f>IFERROR(IF($C889="","",SUMIFS(Ledger!$K$2:$K$4, Ledger!$B$2:$B$4, $A889, Ledger!$C$2:$C$4, N$2)),"****")</f>
        <v/>
      </c>
      <c r="O889" t="str">
        <f>IFERROR(IF($C889="","",SUMIFS(Ledger!$K$2:$K$4, Ledger!$B$2:$B$4, $A889, Ledger!$C$2:$C$4, O$2)),"****")</f>
        <v/>
      </c>
      <c r="P889" t="str">
        <f>IFERROR(IF($C889="","",SUMIFS(Ledger!$K$2:$K$4, Ledger!$B$2:$B$4, $A889, Ledger!$C$2:$C$4, P$2)),"****")</f>
        <v/>
      </c>
      <c r="Q889" t="str">
        <f>IFERROR(IF($C889="","",SUMIFS(Ledger!$K$2:$K$4, Ledger!$B$2:$B$4, $A889, Ledger!$C$2:$C$4, Q$2)),"****")</f>
        <v/>
      </c>
      <c r="R889" t="str">
        <f>IFERROR(IF($C889="","",SUMIFS(Ledger!$K$2:$K$4, Ledger!$B$2:$B$4, $A889, Ledger!$C$2:$C$4, R$2)),"****")</f>
        <v/>
      </c>
      <c r="S889" t="str">
        <f>IFERROR(IF($C889="","",SUMIFS(Ledger!$K$2:$K$4, Ledger!$B$2:$B$4, $A889, Ledger!$C$2:$C$4, S$2)),"****")</f>
        <v/>
      </c>
      <c r="T889" t="str">
        <f>IFERROR(IF($C889="","",SUMIFS(Ledger!$K$2:$K$4, Ledger!$B$2:$B$4, $A889, Ledger!$C$2:$C$4, T$2)),"****")</f>
        <v/>
      </c>
      <c r="U889" t="str">
        <f>IFERROR(IF($C889="","",SUMIFS(Ledger!$K$2:$K$4, Ledger!$B$2:$B$4, $A889, Ledger!$C$2:$C$4, U$2)),"****")</f>
        <v/>
      </c>
      <c r="V889" t="str">
        <f>IFERROR(IF($C889="","",SUMIFS(Ledger!$K$2:$K$4, Ledger!$B$2:$B$4, $A889, Ledger!$C$2:$C$4, V$2)),"****")</f>
        <v/>
      </c>
      <c r="W889" t="str">
        <f>IFERROR(IF($C889="","",SUMIFS(Ledger!$K$2:$K$4, Ledger!$B$2:$B$4, $A889, Ledger!$C$2:$C$4, W$2)),"****")</f>
        <v/>
      </c>
      <c r="X889" t="str">
        <f>IFERROR(IF($C889="","",SUMIFS(Ledger!$K$2:$K$4, Ledger!$B$2:$B$4, $A889, Ledger!$C$2:$C$4, X$2)),"****")</f>
        <v/>
      </c>
    </row>
    <row r="890" spans="1:24" x14ac:dyDescent="0.3">
      <c r="A890" s="106">
        <v>888</v>
      </c>
      <c r="B890" t="str">
        <f>IFERROR(VLOOKUP($A890, Ledger!$B$2:$L$8, 3, 0),"")</f>
        <v/>
      </c>
      <c r="C890" t="str">
        <f>IFERROR(VLOOKUP($A890, Ledger!$B$2:$L$8, 4, 0),"")</f>
        <v/>
      </c>
      <c r="D890" t="str">
        <f>IFERROR(VLOOKUP($A890, Ledger!$B$2:$L$8, 5, 0),"")</f>
        <v/>
      </c>
      <c r="E890" t="str">
        <f>IFERROR(VLOOKUP($A890, Ledger!$B$2:$L$8, 6, 0),"")</f>
        <v/>
      </c>
      <c r="F890" t="str">
        <f>IFERROR(VLOOKUP($A890,'Student Data'!$A$2:$AR$6,32,0),"")</f>
        <v/>
      </c>
      <c r="G890" t="str">
        <f>IFERROR(VLOOKUP($A890,'Student Data'!$A$2:$AR$6,33,0),"")</f>
        <v/>
      </c>
      <c r="H890" t="str">
        <f>IFERROR(VLOOKUP($A890,'Student Data'!$A$2:$AR$6,34,0),"")</f>
        <v/>
      </c>
      <c r="I890" t="str">
        <f>IFERROR(VLOOKUP($A890,'Student Data'!$A$2:$AR$6,35,0),"")</f>
        <v/>
      </c>
      <c r="J890" t="str">
        <f>IFERROR(VLOOKUP($A890,'Student Data'!$A$2:$AR$6,36,0),"")</f>
        <v/>
      </c>
      <c r="K890" t="str">
        <f t="shared" si="26"/>
        <v/>
      </c>
      <c r="L890" t="str">
        <f t="shared" si="27"/>
        <v/>
      </c>
      <c r="M890" t="str">
        <f>IFERROR(IF($C890="","",SUMIFS(Ledger!$K$2:$K$4, Ledger!$B$2:$B$4, $A890, Ledger!$C$2:$C$4, M$2)),"****")</f>
        <v/>
      </c>
      <c r="N890" t="str">
        <f>IFERROR(IF($C890="","",SUMIFS(Ledger!$K$2:$K$4, Ledger!$B$2:$B$4, $A890, Ledger!$C$2:$C$4, N$2)),"****")</f>
        <v/>
      </c>
      <c r="O890" t="str">
        <f>IFERROR(IF($C890="","",SUMIFS(Ledger!$K$2:$K$4, Ledger!$B$2:$B$4, $A890, Ledger!$C$2:$C$4, O$2)),"****")</f>
        <v/>
      </c>
      <c r="P890" t="str">
        <f>IFERROR(IF($C890="","",SUMIFS(Ledger!$K$2:$K$4, Ledger!$B$2:$B$4, $A890, Ledger!$C$2:$C$4, P$2)),"****")</f>
        <v/>
      </c>
      <c r="Q890" t="str">
        <f>IFERROR(IF($C890="","",SUMIFS(Ledger!$K$2:$K$4, Ledger!$B$2:$B$4, $A890, Ledger!$C$2:$C$4, Q$2)),"****")</f>
        <v/>
      </c>
      <c r="R890" t="str">
        <f>IFERROR(IF($C890="","",SUMIFS(Ledger!$K$2:$K$4, Ledger!$B$2:$B$4, $A890, Ledger!$C$2:$C$4, R$2)),"****")</f>
        <v/>
      </c>
      <c r="S890" t="str">
        <f>IFERROR(IF($C890="","",SUMIFS(Ledger!$K$2:$K$4, Ledger!$B$2:$B$4, $A890, Ledger!$C$2:$C$4, S$2)),"****")</f>
        <v/>
      </c>
      <c r="T890" t="str">
        <f>IFERROR(IF($C890="","",SUMIFS(Ledger!$K$2:$K$4, Ledger!$B$2:$B$4, $A890, Ledger!$C$2:$C$4, T$2)),"****")</f>
        <v/>
      </c>
      <c r="U890" t="str">
        <f>IFERROR(IF($C890="","",SUMIFS(Ledger!$K$2:$K$4, Ledger!$B$2:$B$4, $A890, Ledger!$C$2:$C$4, U$2)),"****")</f>
        <v/>
      </c>
      <c r="V890" t="str">
        <f>IFERROR(IF($C890="","",SUMIFS(Ledger!$K$2:$K$4, Ledger!$B$2:$B$4, $A890, Ledger!$C$2:$C$4, V$2)),"****")</f>
        <v/>
      </c>
      <c r="W890" t="str">
        <f>IFERROR(IF($C890="","",SUMIFS(Ledger!$K$2:$K$4, Ledger!$B$2:$B$4, $A890, Ledger!$C$2:$C$4, W$2)),"****")</f>
        <v/>
      </c>
      <c r="X890" t="str">
        <f>IFERROR(IF($C890="","",SUMIFS(Ledger!$K$2:$K$4, Ledger!$B$2:$B$4, $A890, Ledger!$C$2:$C$4, X$2)),"****")</f>
        <v/>
      </c>
    </row>
    <row r="891" spans="1:24" x14ac:dyDescent="0.3">
      <c r="A891" s="106">
        <v>889</v>
      </c>
      <c r="B891" t="str">
        <f>IFERROR(VLOOKUP($A891, Ledger!$B$2:$L$8, 3, 0),"")</f>
        <v/>
      </c>
      <c r="C891" t="str">
        <f>IFERROR(VLOOKUP($A891, Ledger!$B$2:$L$8, 4, 0),"")</f>
        <v/>
      </c>
      <c r="D891" t="str">
        <f>IFERROR(VLOOKUP($A891, Ledger!$B$2:$L$8, 5, 0),"")</f>
        <v/>
      </c>
      <c r="E891" t="str">
        <f>IFERROR(VLOOKUP($A891, Ledger!$B$2:$L$8, 6, 0),"")</f>
        <v/>
      </c>
      <c r="F891" t="str">
        <f>IFERROR(VLOOKUP($A891,'Student Data'!$A$2:$AR$6,32,0),"")</f>
        <v/>
      </c>
      <c r="G891" t="str">
        <f>IFERROR(VLOOKUP($A891,'Student Data'!$A$2:$AR$6,33,0),"")</f>
        <v/>
      </c>
      <c r="H891" t="str">
        <f>IFERROR(VLOOKUP($A891,'Student Data'!$A$2:$AR$6,34,0),"")</f>
        <v/>
      </c>
      <c r="I891" t="str">
        <f>IFERROR(VLOOKUP($A891,'Student Data'!$A$2:$AR$6,35,0),"")</f>
        <v/>
      </c>
      <c r="J891" t="str">
        <f>IFERROR(VLOOKUP($A891,'Student Data'!$A$2:$AR$6,36,0),"")</f>
        <v/>
      </c>
      <c r="K891" t="str">
        <f t="shared" si="26"/>
        <v/>
      </c>
      <c r="L891" t="str">
        <f t="shared" si="27"/>
        <v/>
      </c>
      <c r="M891" t="str">
        <f>IFERROR(IF($C891="","",SUMIFS(Ledger!$K$2:$K$4, Ledger!$B$2:$B$4, $A891, Ledger!$C$2:$C$4, M$2)),"****")</f>
        <v/>
      </c>
      <c r="N891" t="str">
        <f>IFERROR(IF($C891="","",SUMIFS(Ledger!$K$2:$K$4, Ledger!$B$2:$B$4, $A891, Ledger!$C$2:$C$4, N$2)),"****")</f>
        <v/>
      </c>
      <c r="O891" t="str">
        <f>IFERROR(IF($C891="","",SUMIFS(Ledger!$K$2:$K$4, Ledger!$B$2:$B$4, $A891, Ledger!$C$2:$C$4, O$2)),"****")</f>
        <v/>
      </c>
      <c r="P891" t="str">
        <f>IFERROR(IF($C891="","",SUMIFS(Ledger!$K$2:$K$4, Ledger!$B$2:$B$4, $A891, Ledger!$C$2:$C$4, P$2)),"****")</f>
        <v/>
      </c>
      <c r="Q891" t="str">
        <f>IFERROR(IF($C891="","",SUMIFS(Ledger!$K$2:$K$4, Ledger!$B$2:$B$4, $A891, Ledger!$C$2:$C$4, Q$2)),"****")</f>
        <v/>
      </c>
      <c r="R891" t="str">
        <f>IFERROR(IF($C891="","",SUMIFS(Ledger!$K$2:$K$4, Ledger!$B$2:$B$4, $A891, Ledger!$C$2:$C$4, R$2)),"****")</f>
        <v/>
      </c>
      <c r="S891" t="str">
        <f>IFERROR(IF($C891="","",SUMIFS(Ledger!$K$2:$K$4, Ledger!$B$2:$B$4, $A891, Ledger!$C$2:$C$4, S$2)),"****")</f>
        <v/>
      </c>
      <c r="T891" t="str">
        <f>IFERROR(IF($C891="","",SUMIFS(Ledger!$K$2:$K$4, Ledger!$B$2:$B$4, $A891, Ledger!$C$2:$C$4, T$2)),"****")</f>
        <v/>
      </c>
      <c r="U891" t="str">
        <f>IFERROR(IF($C891="","",SUMIFS(Ledger!$K$2:$K$4, Ledger!$B$2:$B$4, $A891, Ledger!$C$2:$C$4, U$2)),"****")</f>
        <v/>
      </c>
      <c r="V891" t="str">
        <f>IFERROR(IF($C891="","",SUMIFS(Ledger!$K$2:$K$4, Ledger!$B$2:$B$4, $A891, Ledger!$C$2:$C$4, V$2)),"****")</f>
        <v/>
      </c>
      <c r="W891" t="str">
        <f>IFERROR(IF($C891="","",SUMIFS(Ledger!$K$2:$K$4, Ledger!$B$2:$B$4, $A891, Ledger!$C$2:$C$4, W$2)),"****")</f>
        <v/>
      </c>
      <c r="X891" t="str">
        <f>IFERROR(IF($C891="","",SUMIFS(Ledger!$K$2:$K$4, Ledger!$B$2:$B$4, $A891, Ledger!$C$2:$C$4, X$2)),"****")</f>
        <v/>
      </c>
    </row>
    <row r="892" spans="1:24" x14ac:dyDescent="0.3">
      <c r="A892" s="106">
        <v>890</v>
      </c>
      <c r="B892" t="str">
        <f>IFERROR(VLOOKUP($A892, Ledger!$B$2:$L$8, 3, 0),"")</f>
        <v/>
      </c>
      <c r="C892" t="str">
        <f>IFERROR(VLOOKUP($A892, Ledger!$B$2:$L$8, 4, 0),"")</f>
        <v/>
      </c>
      <c r="D892" t="str">
        <f>IFERROR(VLOOKUP($A892, Ledger!$B$2:$L$8, 5, 0),"")</f>
        <v/>
      </c>
      <c r="E892" t="str">
        <f>IFERROR(VLOOKUP($A892, Ledger!$B$2:$L$8, 6, 0),"")</f>
        <v/>
      </c>
      <c r="F892" t="str">
        <f>IFERROR(VLOOKUP($A892,'Student Data'!$A$2:$AR$6,32,0),"")</f>
        <v/>
      </c>
      <c r="G892" t="str">
        <f>IFERROR(VLOOKUP($A892,'Student Data'!$A$2:$AR$6,33,0),"")</f>
        <v/>
      </c>
      <c r="H892" t="str">
        <f>IFERROR(VLOOKUP($A892,'Student Data'!$A$2:$AR$6,34,0),"")</f>
        <v/>
      </c>
      <c r="I892" t="str">
        <f>IFERROR(VLOOKUP($A892,'Student Data'!$A$2:$AR$6,35,0),"")</f>
        <v/>
      </c>
      <c r="J892" t="str">
        <f>IFERROR(VLOOKUP($A892,'Student Data'!$A$2:$AR$6,36,0),"")</f>
        <v/>
      </c>
      <c r="K892" t="str">
        <f t="shared" si="26"/>
        <v/>
      </c>
      <c r="L892" t="str">
        <f t="shared" si="27"/>
        <v/>
      </c>
      <c r="M892" t="str">
        <f>IFERROR(IF($C892="","",SUMIFS(Ledger!$K$2:$K$4, Ledger!$B$2:$B$4, $A892, Ledger!$C$2:$C$4, M$2)),"****")</f>
        <v/>
      </c>
      <c r="N892" t="str">
        <f>IFERROR(IF($C892="","",SUMIFS(Ledger!$K$2:$K$4, Ledger!$B$2:$B$4, $A892, Ledger!$C$2:$C$4, N$2)),"****")</f>
        <v/>
      </c>
      <c r="O892" t="str">
        <f>IFERROR(IF($C892="","",SUMIFS(Ledger!$K$2:$K$4, Ledger!$B$2:$B$4, $A892, Ledger!$C$2:$C$4, O$2)),"****")</f>
        <v/>
      </c>
      <c r="P892" t="str">
        <f>IFERROR(IF($C892="","",SUMIFS(Ledger!$K$2:$K$4, Ledger!$B$2:$B$4, $A892, Ledger!$C$2:$C$4, P$2)),"****")</f>
        <v/>
      </c>
      <c r="Q892" t="str">
        <f>IFERROR(IF($C892="","",SUMIFS(Ledger!$K$2:$K$4, Ledger!$B$2:$B$4, $A892, Ledger!$C$2:$C$4, Q$2)),"****")</f>
        <v/>
      </c>
      <c r="R892" t="str">
        <f>IFERROR(IF($C892="","",SUMIFS(Ledger!$K$2:$K$4, Ledger!$B$2:$B$4, $A892, Ledger!$C$2:$C$4, R$2)),"****")</f>
        <v/>
      </c>
      <c r="S892" t="str">
        <f>IFERROR(IF($C892="","",SUMIFS(Ledger!$K$2:$K$4, Ledger!$B$2:$B$4, $A892, Ledger!$C$2:$C$4, S$2)),"****")</f>
        <v/>
      </c>
      <c r="T892" t="str">
        <f>IFERROR(IF($C892="","",SUMIFS(Ledger!$K$2:$K$4, Ledger!$B$2:$B$4, $A892, Ledger!$C$2:$C$4, T$2)),"****")</f>
        <v/>
      </c>
      <c r="U892" t="str">
        <f>IFERROR(IF($C892="","",SUMIFS(Ledger!$K$2:$K$4, Ledger!$B$2:$B$4, $A892, Ledger!$C$2:$C$4, U$2)),"****")</f>
        <v/>
      </c>
      <c r="V892" t="str">
        <f>IFERROR(IF($C892="","",SUMIFS(Ledger!$K$2:$K$4, Ledger!$B$2:$B$4, $A892, Ledger!$C$2:$C$4, V$2)),"****")</f>
        <v/>
      </c>
      <c r="W892" t="str">
        <f>IFERROR(IF($C892="","",SUMIFS(Ledger!$K$2:$K$4, Ledger!$B$2:$B$4, $A892, Ledger!$C$2:$C$4, W$2)),"****")</f>
        <v/>
      </c>
      <c r="X892" t="str">
        <f>IFERROR(IF($C892="","",SUMIFS(Ledger!$K$2:$K$4, Ledger!$B$2:$B$4, $A892, Ledger!$C$2:$C$4, X$2)),"****")</f>
        <v/>
      </c>
    </row>
    <row r="893" spans="1:24" x14ac:dyDescent="0.3">
      <c r="A893" s="106">
        <v>891</v>
      </c>
      <c r="B893" t="str">
        <f>IFERROR(VLOOKUP($A893, Ledger!$B$2:$L$8, 3, 0),"")</f>
        <v/>
      </c>
      <c r="C893" t="str">
        <f>IFERROR(VLOOKUP($A893, Ledger!$B$2:$L$8, 4, 0),"")</f>
        <v/>
      </c>
      <c r="D893" t="str">
        <f>IFERROR(VLOOKUP($A893, Ledger!$B$2:$L$8, 5, 0),"")</f>
        <v/>
      </c>
      <c r="E893" t="str">
        <f>IFERROR(VLOOKUP($A893, Ledger!$B$2:$L$8, 6, 0),"")</f>
        <v/>
      </c>
      <c r="F893" t="str">
        <f>IFERROR(VLOOKUP($A893,'Student Data'!$A$2:$AR$6,32,0),"")</f>
        <v/>
      </c>
      <c r="G893" t="str">
        <f>IFERROR(VLOOKUP($A893,'Student Data'!$A$2:$AR$6,33,0),"")</f>
        <v/>
      </c>
      <c r="H893" t="str">
        <f>IFERROR(VLOOKUP($A893,'Student Data'!$A$2:$AR$6,34,0),"")</f>
        <v/>
      </c>
      <c r="I893" t="str">
        <f>IFERROR(VLOOKUP($A893,'Student Data'!$A$2:$AR$6,35,0),"")</f>
        <v/>
      </c>
      <c r="J893" t="str">
        <f>IFERROR(VLOOKUP($A893,'Student Data'!$A$2:$AR$6,36,0),"")</f>
        <v/>
      </c>
      <c r="K893" t="str">
        <f t="shared" si="26"/>
        <v/>
      </c>
      <c r="L893" t="str">
        <f t="shared" si="27"/>
        <v/>
      </c>
      <c r="M893" t="str">
        <f>IFERROR(IF($C893="","",SUMIFS(Ledger!$K$2:$K$4, Ledger!$B$2:$B$4, $A893, Ledger!$C$2:$C$4, M$2)),"****")</f>
        <v/>
      </c>
      <c r="N893" t="str">
        <f>IFERROR(IF($C893="","",SUMIFS(Ledger!$K$2:$K$4, Ledger!$B$2:$B$4, $A893, Ledger!$C$2:$C$4, N$2)),"****")</f>
        <v/>
      </c>
      <c r="O893" t="str">
        <f>IFERROR(IF($C893="","",SUMIFS(Ledger!$K$2:$K$4, Ledger!$B$2:$B$4, $A893, Ledger!$C$2:$C$4, O$2)),"****")</f>
        <v/>
      </c>
      <c r="P893" t="str">
        <f>IFERROR(IF($C893="","",SUMIFS(Ledger!$K$2:$K$4, Ledger!$B$2:$B$4, $A893, Ledger!$C$2:$C$4, P$2)),"****")</f>
        <v/>
      </c>
      <c r="Q893" t="str">
        <f>IFERROR(IF($C893="","",SUMIFS(Ledger!$K$2:$K$4, Ledger!$B$2:$B$4, $A893, Ledger!$C$2:$C$4, Q$2)),"****")</f>
        <v/>
      </c>
      <c r="R893" t="str">
        <f>IFERROR(IF($C893="","",SUMIFS(Ledger!$K$2:$K$4, Ledger!$B$2:$B$4, $A893, Ledger!$C$2:$C$4, R$2)),"****")</f>
        <v/>
      </c>
      <c r="S893" t="str">
        <f>IFERROR(IF($C893="","",SUMIFS(Ledger!$K$2:$K$4, Ledger!$B$2:$B$4, $A893, Ledger!$C$2:$C$4, S$2)),"****")</f>
        <v/>
      </c>
      <c r="T893" t="str">
        <f>IFERROR(IF($C893="","",SUMIFS(Ledger!$K$2:$K$4, Ledger!$B$2:$B$4, $A893, Ledger!$C$2:$C$4, T$2)),"****")</f>
        <v/>
      </c>
      <c r="U893" t="str">
        <f>IFERROR(IF($C893="","",SUMIFS(Ledger!$K$2:$K$4, Ledger!$B$2:$B$4, $A893, Ledger!$C$2:$C$4, U$2)),"****")</f>
        <v/>
      </c>
      <c r="V893" t="str">
        <f>IFERROR(IF($C893="","",SUMIFS(Ledger!$K$2:$K$4, Ledger!$B$2:$B$4, $A893, Ledger!$C$2:$C$4, V$2)),"****")</f>
        <v/>
      </c>
      <c r="W893" t="str">
        <f>IFERROR(IF($C893="","",SUMIFS(Ledger!$K$2:$K$4, Ledger!$B$2:$B$4, $A893, Ledger!$C$2:$C$4, W$2)),"****")</f>
        <v/>
      </c>
      <c r="X893" t="str">
        <f>IFERROR(IF($C893="","",SUMIFS(Ledger!$K$2:$K$4, Ledger!$B$2:$B$4, $A893, Ledger!$C$2:$C$4, X$2)),"****")</f>
        <v/>
      </c>
    </row>
    <row r="894" spans="1:24" x14ac:dyDescent="0.3">
      <c r="A894" s="106">
        <v>892</v>
      </c>
      <c r="B894" t="str">
        <f>IFERROR(VLOOKUP($A894, Ledger!$B$2:$L$8, 3, 0),"")</f>
        <v/>
      </c>
      <c r="C894" t="str">
        <f>IFERROR(VLOOKUP($A894, Ledger!$B$2:$L$8, 4, 0),"")</f>
        <v/>
      </c>
      <c r="D894" t="str">
        <f>IFERROR(VLOOKUP($A894, Ledger!$B$2:$L$8, 5, 0),"")</f>
        <v/>
      </c>
      <c r="E894" t="str">
        <f>IFERROR(VLOOKUP($A894, Ledger!$B$2:$L$8, 6, 0),"")</f>
        <v/>
      </c>
      <c r="F894" t="str">
        <f>IFERROR(VLOOKUP($A894,'Student Data'!$A$2:$AR$6,32,0),"")</f>
        <v/>
      </c>
      <c r="G894" t="str">
        <f>IFERROR(VLOOKUP($A894,'Student Data'!$A$2:$AR$6,33,0),"")</f>
        <v/>
      </c>
      <c r="H894" t="str">
        <f>IFERROR(VLOOKUP($A894,'Student Data'!$A$2:$AR$6,34,0),"")</f>
        <v/>
      </c>
      <c r="I894" t="str">
        <f>IFERROR(VLOOKUP($A894,'Student Data'!$A$2:$AR$6,35,0),"")</f>
        <v/>
      </c>
      <c r="J894" t="str">
        <f>IFERROR(VLOOKUP($A894,'Student Data'!$A$2:$AR$6,36,0),"")</f>
        <v/>
      </c>
      <c r="K894" t="str">
        <f t="shared" si="26"/>
        <v/>
      </c>
      <c r="L894" t="str">
        <f t="shared" si="27"/>
        <v/>
      </c>
      <c r="M894" t="str">
        <f>IFERROR(IF($C894="","",SUMIFS(Ledger!$K$2:$K$4, Ledger!$B$2:$B$4, $A894, Ledger!$C$2:$C$4, M$2)),"****")</f>
        <v/>
      </c>
      <c r="N894" t="str">
        <f>IFERROR(IF($C894="","",SUMIFS(Ledger!$K$2:$K$4, Ledger!$B$2:$B$4, $A894, Ledger!$C$2:$C$4, N$2)),"****")</f>
        <v/>
      </c>
      <c r="O894" t="str">
        <f>IFERROR(IF($C894="","",SUMIFS(Ledger!$K$2:$K$4, Ledger!$B$2:$B$4, $A894, Ledger!$C$2:$C$4, O$2)),"****")</f>
        <v/>
      </c>
      <c r="P894" t="str">
        <f>IFERROR(IF($C894="","",SUMIFS(Ledger!$K$2:$K$4, Ledger!$B$2:$B$4, $A894, Ledger!$C$2:$C$4, P$2)),"****")</f>
        <v/>
      </c>
      <c r="Q894" t="str">
        <f>IFERROR(IF($C894="","",SUMIFS(Ledger!$K$2:$K$4, Ledger!$B$2:$B$4, $A894, Ledger!$C$2:$C$4, Q$2)),"****")</f>
        <v/>
      </c>
      <c r="R894" t="str">
        <f>IFERROR(IF($C894="","",SUMIFS(Ledger!$K$2:$K$4, Ledger!$B$2:$B$4, $A894, Ledger!$C$2:$C$4, R$2)),"****")</f>
        <v/>
      </c>
      <c r="S894" t="str">
        <f>IFERROR(IF($C894="","",SUMIFS(Ledger!$K$2:$K$4, Ledger!$B$2:$B$4, $A894, Ledger!$C$2:$C$4, S$2)),"****")</f>
        <v/>
      </c>
      <c r="T894" t="str">
        <f>IFERROR(IF($C894="","",SUMIFS(Ledger!$K$2:$K$4, Ledger!$B$2:$B$4, $A894, Ledger!$C$2:$C$4, T$2)),"****")</f>
        <v/>
      </c>
      <c r="U894" t="str">
        <f>IFERROR(IF($C894="","",SUMIFS(Ledger!$K$2:$K$4, Ledger!$B$2:$B$4, $A894, Ledger!$C$2:$C$4, U$2)),"****")</f>
        <v/>
      </c>
      <c r="V894" t="str">
        <f>IFERROR(IF($C894="","",SUMIFS(Ledger!$K$2:$K$4, Ledger!$B$2:$B$4, $A894, Ledger!$C$2:$C$4, V$2)),"****")</f>
        <v/>
      </c>
      <c r="W894" t="str">
        <f>IFERROR(IF($C894="","",SUMIFS(Ledger!$K$2:$K$4, Ledger!$B$2:$B$4, $A894, Ledger!$C$2:$C$4, W$2)),"****")</f>
        <v/>
      </c>
      <c r="X894" t="str">
        <f>IFERROR(IF($C894="","",SUMIFS(Ledger!$K$2:$K$4, Ledger!$B$2:$B$4, $A894, Ledger!$C$2:$C$4, X$2)),"****")</f>
        <v/>
      </c>
    </row>
    <row r="895" spans="1:24" x14ac:dyDescent="0.3">
      <c r="A895" s="106">
        <v>893</v>
      </c>
      <c r="B895" t="str">
        <f>IFERROR(VLOOKUP($A895, Ledger!$B$2:$L$8, 3, 0),"")</f>
        <v/>
      </c>
      <c r="C895" t="str">
        <f>IFERROR(VLOOKUP($A895, Ledger!$B$2:$L$8, 4, 0),"")</f>
        <v/>
      </c>
      <c r="D895" t="str">
        <f>IFERROR(VLOOKUP($A895, Ledger!$B$2:$L$8, 5, 0),"")</f>
        <v/>
      </c>
      <c r="E895" t="str">
        <f>IFERROR(VLOOKUP($A895, Ledger!$B$2:$L$8, 6, 0),"")</f>
        <v/>
      </c>
      <c r="F895" t="str">
        <f>IFERROR(VLOOKUP($A895,'Student Data'!$A$2:$AR$6,32,0),"")</f>
        <v/>
      </c>
      <c r="G895" t="str">
        <f>IFERROR(VLOOKUP($A895,'Student Data'!$A$2:$AR$6,33,0),"")</f>
        <v/>
      </c>
      <c r="H895" t="str">
        <f>IFERROR(VLOOKUP($A895,'Student Data'!$A$2:$AR$6,34,0),"")</f>
        <v/>
      </c>
      <c r="I895" t="str">
        <f>IFERROR(VLOOKUP($A895,'Student Data'!$A$2:$AR$6,35,0),"")</f>
        <v/>
      </c>
      <c r="J895" t="str">
        <f>IFERROR(VLOOKUP($A895,'Student Data'!$A$2:$AR$6,36,0),"")</f>
        <v/>
      </c>
      <c r="K895" t="str">
        <f t="shared" si="26"/>
        <v/>
      </c>
      <c r="L895" t="str">
        <f t="shared" si="27"/>
        <v/>
      </c>
      <c r="M895" t="str">
        <f>IFERROR(IF($C895="","",SUMIFS(Ledger!$K$2:$K$4, Ledger!$B$2:$B$4, $A895, Ledger!$C$2:$C$4, M$2)),"****")</f>
        <v/>
      </c>
      <c r="N895" t="str">
        <f>IFERROR(IF($C895="","",SUMIFS(Ledger!$K$2:$K$4, Ledger!$B$2:$B$4, $A895, Ledger!$C$2:$C$4, N$2)),"****")</f>
        <v/>
      </c>
      <c r="O895" t="str">
        <f>IFERROR(IF($C895="","",SUMIFS(Ledger!$K$2:$K$4, Ledger!$B$2:$B$4, $A895, Ledger!$C$2:$C$4, O$2)),"****")</f>
        <v/>
      </c>
      <c r="P895" t="str">
        <f>IFERROR(IF($C895="","",SUMIFS(Ledger!$K$2:$K$4, Ledger!$B$2:$B$4, $A895, Ledger!$C$2:$C$4, P$2)),"****")</f>
        <v/>
      </c>
      <c r="Q895" t="str">
        <f>IFERROR(IF($C895="","",SUMIFS(Ledger!$K$2:$K$4, Ledger!$B$2:$B$4, $A895, Ledger!$C$2:$C$4, Q$2)),"****")</f>
        <v/>
      </c>
      <c r="R895" t="str">
        <f>IFERROR(IF($C895="","",SUMIFS(Ledger!$K$2:$K$4, Ledger!$B$2:$B$4, $A895, Ledger!$C$2:$C$4, R$2)),"****")</f>
        <v/>
      </c>
      <c r="S895" t="str">
        <f>IFERROR(IF($C895="","",SUMIFS(Ledger!$K$2:$K$4, Ledger!$B$2:$B$4, $A895, Ledger!$C$2:$C$4, S$2)),"****")</f>
        <v/>
      </c>
      <c r="T895" t="str">
        <f>IFERROR(IF($C895="","",SUMIFS(Ledger!$K$2:$K$4, Ledger!$B$2:$B$4, $A895, Ledger!$C$2:$C$4, T$2)),"****")</f>
        <v/>
      </c>
      <c r="U895" t="str">
        <f>IFERROR(IF($C895="","",SUMIFS(Ledger!$K$2:$K$4, Ledger!$B$2:$B$4, $A895, Ledger!$C$2:$C$4, U$2)),"****")</f>
        <v/>
      </c>
      <c r="V895" t="str">
        <f>IFERROR(IF($C895="","",SUMIFS(Ledger!$K$2:$K$4, Ledger!$B$2:$B$4, $A895, Ledger!$C$2:$C$4, V$2)),"****")</f>
        <v/>
      </c>
      <c r="W895" t="str">
        <f>IFERROR(IF($C895="","",SUMIFS(Ledger!$K$2:$K$4, Ledger!$B$2:$B$4, $A895, Ledger!$C$2:$C$4, W$2)),"****")</f>
        <v/>
      </c>
      <c r="X895" t="str">
        <f>IFERROR(IF($C895="","",SUMIFS(Ledger!$K$2:$K$4, Ledger!$B$2:$B$4, $A895, Ledger!$C$2:$C$4, X$2)),"****")</f>
        <v/>
      </c>
    </row>
    <row r="896" spans="1:24" x14ac:dyDescent="0.3">
      <c r="A896" s="106">
        <v>894</v>
      </c>
      <c r="B896" t="str">
        <f>IFERROR(VLOOKUP($A896, Ledger!$B$2:$L$8, 3, 0),"")</f>
        <v/>
      </c>
      <c r="C896" t="str">
        <f>IFERROR(VLOOKUP($A896, Ledger!$B$2:$L$8, 4, 0),"")</f>
        <v/>
      </c>
      <c r="D896" t="str">
        <f>IFERROR(VLOOKUP($A896, Ledger!$B$2:$L$8, 5, 0),"")</f>
        <v/>
      </c>
      <c r="E896" t="str">
        <f>IFERROR(VLOOKUP($A896, Ledger!$B$2:$L$8, 6, 0),"")</f>
        <v/>
      </c>
      <c r="F896" t="str">
        <f>IFERROR(VLOOKUP($A896,'Student Data'!$A$2:$AR$6,32,0),"")</f>
        <v/>
      </c>
      <c r="G896" t="str">
        <f>IFERROR(VLOOKUP($A896,'Student Data'!$A$2:$AR$6,33,0),"")</f>
        <v/>
      </c>
      <c r="H896" t="str">
        <f>IFERROR(VLOOKUP($A896,'Student Data'!$A$2:$AR$6,34,0),"")</f>
        <v/>
      </c>
      <c r="I896" t="str">
        <f>IFERROR(VLOOKUP($A896,'Student Data'!$A$2:$AR$6,35,0),"")</f>
        <v/>
      </c>
      <c r="J896" t="str">
        <f>IFERROR(VLOOKUP($A896,'Student Data'!$A$2:$AR$6,36,0),"")</f>
        <v/>
      </c>
      <c r="K896" t="str">
        <f t="shared" si="26"/>
        <v/>
      </c>
      <c r="L896" t="str">
        <f t="shared" si="27"/>
        <v/>
      </c>
      <c r="M896" t="str">
        <f>IFERROR(IF($C896="","",SUMIFS(Ledger!$K$2:$K$4, Ledger!$B$2:$B$4, $A896, Ledger!$C$2:$C$4, M$2)),"****")</f>
        <v/>
      </c>
      <c r="N896" t="str">
        <f>IFERROR(IF($C896="","",SUMIFS(Ledger!$K$2:$K$4, Ledger!$B$2:$B$4, $A896, Ledger!$C$2:$C$4, N$2)),"****")</f>
        <v/>
      </c>
      <c r="O896" t="str">
        <f>IFERROR(IF($C896="","",SUMIFS(Ledger!$K$2:$K$4, Ledger!$B$2:$B$4, $A896, Ledger!$C$2:$C$4, O$2)),"****")</f>
        <v/>
      </c>
      <c r="P896" t="str">
        <f>IFERROR(IF($C896="","",SUMIFS(Ledger!$K$2:$K$4, Ledger!$B$2:$B$4, $A896, Ledger!$C$2:$C$4, P$2)),"****")</f>
        <v/>
      </c>
      <c r="Q896" t="str">
        <f>IFERROR(IF($C896="","",SUMIFS(Ledger!$K$2:$K$4, Ledger!$B$2:$B$4, $A896, Ledger!$C$2:$C$4, Q$2)),"****")</f>
        <v/>
      </c>
      <c r="R896" t="str">
        <f>IFERROR(IF($C896="","",SUMIFS(Ledger!$K$2:$K$4, Ledger!$B$2:$B$4, $A896, Ledger!$C$2:$C$4, R$2)),"****")</f>
        <v/>
      </c>
      <c r="S896" t="str">
        <f>IFERROR(IF($C896="","",SUMIFS(Ledger!$K$2:$K$4, Ledger!$B$2:$B$4, $A896, Ledger!$C$2:$C$4, S$2)),"****")</f>
        <v/>
      </c>
      <c r="T896" t="str">
        <f>IFERROR(IF($C896="","",SUMIFS(Ledger!$K$2:$K$4, Ledger!$B$2:$B$4, $A896, Ledger!$C$2:$C$4, T$2)),"****")</f>
        <v/>
      </c>
      <c r="U896" t="str">
        <f>IFERROR(IF($C896="","",SUMIFS(Ledger!$K$2:$K$4, Ledger!$B$2:$B$4, $A896, Ledger!$C$2:$C$4, U$2)),"****")</f>
        <v/>
      </c>
      <c r="V896" t="str">
        <f>IFERROR(IF($C896="","",SUMIFS(Ledger!$K$2:$K$4, Ledger!$B$2:$B$4, $A896, Ledger!$C$2:$C$4, V$2)),"****")</f>
        <v/>
      </c>
      <c r="W896" t="str">
        <f>IFERROR(IF($C896="","",SUMIFS(Ledger!$K$2:$K$4, Ledger!$B$2:$B$4, $A896, Ledger!$C$2:$C$4, W$2)),"****")</f>
        <v/>
      </c>
      <c r="X896" t="str">
        <f>IFERROR(IF($C896="","",SUMIFS(Ledger!$K$2:$K$4, Ledger!$B$2:$B$4, $A896, Ledger!$C$2:$C$4, X$2)),"****")</f>
        <v/>
      </c>
    </row>
    <row r="897" spans="1:24" x14ac:dyDescent="0.3">
      <c r="A897" s="106">
        <v>895</v>
      </c>
      <c r="B897" t="str">
        <f>IFERROR(VLOOKUP($A897, Ledger!$B$2:$L$8, 3, 0),"")</f>
        <v/>
      </c>
      <c r="C897" t="str">
        <f>IFERROR(VLOOKUP($A897, Ledger!$B$2:$L$8, 4, 0),"")</f>
        <v/>
      </c>
      <c r="D897" t="str">
        <f>IFERROR(VLOOKUP($A897, Ledger!$B$2:$L$8, 5, 0),"")</f>
        <v/>
      </c>
      <c r="E897" t="str">
        <f>IFERROR(VLOOKUP($A897, Ledger!$B$2:$L$8, 6, 0),"")</f>
        <v/>
      </c>
      <c r="F897" t="str">
        <f>IFERROR(VLOOKUP($A897,'Student Data'!$A$2:$AR$6,32,0),"")</f>
        <v/>
      </c>
      <c r="G897" t="str">
        <f>IFERROR(VLOOKUP($A897,'Student Data'!$A$2:$AR$6,33,0),"")</f>
        <v/>
      </c>
      <c r="H897" t="str">
        <f>IFERROR(VLOOKUP($A897,'Student Data'!$A$2:$AR$6,34,0),"")</f>
        <v/>
      </c>
      <c r="I897" t="str">
        <f>IFERROR(VLOOKUP($A897,'Student Data'!$A$2:$AR$6,35,0),"")</f>
        <v/>
      </c>
      <c r="J897" t="str">
        <f>IFERROR(VLOOKUP($A897,'Student Data'!$A$2:$AR$6,36,0),"")</f>
        <v/>
      </c>
      <c r="K897" t="str">
        <f t="shared" si="26"/>
        <v/>
      </c>
      <c r="L897" t="str">
        <f t="shared" si="27"/>
        <v/>
      </c>
      <c r="M897" t="str">
        <f>IFERROR(IF($C897="","",SUMIFS(Ledger!$K$2:$K$4, Ledger!$B$2:$B$4, $A897, Ledger!$C$2:$C$4, M$2)),"****")</f>
        <v/>
      </c>
      <c r="N897" t="str">
        <f>IFERROR(IF($C897="","",SUMIFS(Ledger!$K$2:$K$4, Ledger!$B$2:$B$4, $A897, Ledger!$C$2:$C$4, N$2)),"****")</f>
        <v/>
      </c>
      <c r="O897" t="str">
        <f>IFERROR(IF($C897="","",SUMIFS(Ledger!$K$2:$K$4, Ledger!$B$2:$B$4, $A897, Ledger!$C$2:$C$4, O$2)),"****")</f>
        <v/>
      </c>
      <c r="P897" t="str">
        <f>IFERROR(IF($C897="","",SUMIFS(Ledger!$K$2:$K$4, Ledger!$B$2:$B$4, $A897, Ledger!$C$2:$C$4, P$2)),"****")</f>
        <v/>
      </c>
      <c r="Q897" t="str">
        <f>IFERROR(IF($C897="","",SUMIFS(Ledger!$K$2:$K$4, Ledger!$B$2:$B$4, $A897, Ledger!$C$2:$C$4, Q$2)),"****")</f>
        <v/>
      </c>
      <c r="R897" t="str">
        <f>IFERROR(IF($C897="","",SUMIFS(Ledger!$K$2:$K$4, Ledger!$B$2:$B$4, $A897, Ledger!$C$2:$C$4, R$2)),"****")</f>
        <v/>
      </c>
      <c r="S897" t="str">
        <f>IFERROR(IF($C897="","",SUMIFS(Ledger!$K$2:$K$4, Ledger!$B$2:$B$4, $A897, Ledger!$C$2:$C$4, S$2)),"****")</f>
        <v/>
      </c>
      <c r="T897" t="str">
        <f>IFERROR(IF($C897="","",SUMIFS(Ledger!$K$2:$K$4, Ledger!$B$2:$B$4, $A897, Ledger!$C$2:$C$4, T$2)),"****")</f>
        <v/>
      </c>
      <c r="U897" t="str">
        <f>IFERROR(IF($C897="","",SUMIFS(Ledger!$K$2:$K$4, Ledger!$B$2:$B$4, $A897, Ledger!$C$2:$C$4, U$2)),"****")</f>
        <v/>
      </c>
      <c r="V897" t="str">
        <f>IFERROR(IF($C897="","",SUMIFS(Ledger!$K$2:$K$4, Ledger!$B$2:$B$4, $A897, Ledger!$C$2:$C$4, V$2)),"****")</f>
        <v/>
      </c>
      <c r="W897" t="str">
        <f>IFERROR(IF($C897="","",SUMIFS(Ledger!$K$2:$K$4, Ledger!$B$2:$B$4, $A897, Ledger!$C$2:$C$4, W$2)),"****")</f>
        <v/>
      </c>
      <c r="X897" t="str">
        <f>IFERROR(IF($C897="","",SUMIFS(Ledger!$K$2:$K$4, Ledger!$B$2:$B$4, $A897, Ledger!$C$2:$C$4, X$2)),"****")</f>
        <v/>
      </c>
    </row>
    <row r="898" spans="1:24" x14ac:dyDescent="0.3">
      <c r="A898" s="106">
        <v>896</v>
      </c>
      <c r="B898" t="str">
        <f>IFERROR(VLOOKUP($A898, Ledger!$B$2:$L$8, 3, 0),"")</f>
        <v/>
      </c>
      <c r="C898" t="str">
        <f>IFERROR(VLOOKUP($A898, Ledger!$B$2:$L$8, 4, 0),"")</f>
        <v/>
      </c>
      <c r="D898" t="str">
        <f>IFERROR(VLOOKUP($A898, Ledger!$B$2:$L$8, 5, 0),"")</f>
        <v/>
      </c>
      <c r="E898" t="str">
        <f>IFERROR(VLOOKUP($A898, Ledger!$B$2:$L$8, 6, 0),"")</f>
        <v/>
      </c>
      <c r="F898" t="str">
        <f>IFERROR(VLOOKUP($A898,'Student Data'!$A$2:$AR$6,32,0),"")</f>
        <v/>
      </c>
      <c r="G898" t="str">
        <f>IFERROR(VLOOKUP($A898,'Student Data'!$A$2:$AR$6,33,0),"")</f>
        <v/>
      </c>
      <c r="H898" t="str">
        <f>IFERROR(VLOOKUP($A898,'Student Data'!$A$2:$AR$6,34,0),"")</f>
        <v/>
      </c>
      <c r="I898" t="str">
        <f>IFERROR(VLOOKUP($A898,'Student Data'!$A$2:$AR$6,35,0),"")</f>
        <v/>
      </c>
      <c r="J898" t="str">
        <f>IFERROR(VLOOKUP($A898,'Student Data'!$A$2:$AR$6,36,0),"")</f>
        <v/>
      </c>
      <c r="K898" t="str">
        <f t="shared" si="26"/>
        <v/>
      </c>
      <c r="L898" t="str">
        <f t="shared" si="27"/>
        <v/>
      </c>
      <c r="M898" t="str">
        <f>IFERROR(IF($C898="","",SUMIFS(Ledger!$K$2:$K$4, Ledger!$B$2:$B$4, $A898, Ledger!$C$2:$C$4, M$2)),"****")</f>
        <v/>
      </c>
      <c r="N898" t="str">
        <f>IFERROR(IF($C898="","",SUMIFS(Ledger!$K$2:$K$4, Ledger!$B$2:$B$4, $A898, Ledger!$C$2:$C$4, N$2)),"****")</f>
        <v/>
      </c>
      <c r="O898" t="str">
        <f>IFERROR(IF($C898="","",SUMIFS(Ledger!$K$2:$K$4, Ledger!$B$2:$B$4, $A898, Ledger!$C$2:$C$4, O$2)),"****")</f>
        <v/>
      </c>
      <c r="P898" t="str">
        <f>IFERROR(IF($C898="","",SUMIFS(Ledger!$K$2:$K$4, Ledger!$B$2:$B$4, $A898, Ledger!$C$2:$C$4, P$2)),"****")</f>
        <v/>
      </c>
      <c r="Q898" t="str">
        <f>IFERROR(IF($C898="","",SUMIFS(Ledger!$K$2:$K$4, Ledger!$B$2:$B$4, $A898, Ledger!$C$2:$C$4, Q$2)),"****")</f>
        <v/>
      </c>
      <c r="R898" t="str">
        <f>IFERROR(IF($C898="","",SUMIFS(Ledger!$K$2:$K$4, Ledger!$B$2:$B$4, $A898, Ledger!$C$2:$C$4, R$2)),"****")</f>
        <v/>
      </c>
      <c r="S898" t="str">
        <f>IFERROR(IF($C898="","",SUMIFS(Ledger!$K$2:$K$4, Ledger!$B$2:$B$4, $A898, Ledger!$C$2:$C$4, S$2)),"****")</f>
        <v/>
      </c>
      <c r="T898" t="str">
        <f>IFERROR(IF($C898="","",SUMIFS(Ledger!$K$2:$K$4, Ledger!$B$2:$B$4, $A898, Ledger!$C$2:$C$4, T$2)),"****")</f>
        <v/>
      </c>
      <c r="U898" t="str">
        <f>IFERROR(IF($C898="","",SUMIFS(Ledger!$K$2:$K$4, Ledger!$B$2:$B$4, $A898, Ledger!$C$2:$C$4, U$2)),"****")</f>
        <v/>
      </c>
      <c r="V898" t="str">
        <f>IFERROR(IF($C898="","",SUMIFS(Ledger!$K$2:$K$4, Ledger!$B$2:$B$4, $A898, Ledger!$C$2:$C$4, V$2)),"****")</f>
        <v/>
      </c>
      <c r="W898" t="str">
        <f>IFERROR(IF($C898="","",SUMIFS(Ledger!$K$2:$K$4, Ledger!$B$2:$B$4, $A898, Ledger!$C$2:$C$4, W$2)),"****")</f>
        <v/>
      </c>
      <c r="X898" t="str">
        <f>IFERROR(IF($C898="","",SUMIFS(Ledger!$K$2:$K$4, Ledger!$B$2:$B$4, $A898, Ledger!$C$2:$C$4, X$2)),"****")</f>
        <v/>
      </c>
    </row>
    <row r="899" spans="1:24" x14ac:dyDescent="0.3">
      <c r="A899" s="106">
        <v>897</v>
      </c>
      <c r="B899" t="str">
        <f>IFERROR(VLOOKUP($A899, Ledger!$B$2:$L$8, 3, 0),"")</f>
        <v/>
      </c>
      <c r="C899" t="str">
        <f>IFERROR(VLOOKUP($A899, Ledger!$B$2:$L$8, 4, 0),"")</f>
        <v/>
      </c>
      <c r="D899" t="str">
        <f>IFERROR(VLOOKUP($A899, Ledger!$B$2:$L$8, 5, 0),"")</f>
        <v/>
      </c>
      <c r="E899" t="str">
        <f>IFERROR(VLOOKUP($A899, Ledger!$B$2:$L$8, 6, 0),"")</f>
        <v/>
      </c>
      <c r="F899" t="str">
        <f>IFERROR(VLOOKUP($A899,'Student Data'!$A$2:$AR$6,32,0),"")</f>
        <v/>
      </c>
      <c r="G899" t="str">
        <f>IFERROR(VLOOKUP($A899,'Student Data'!$A$2:$AR$6,33,0),"")</f>
        <v/>
      </c>
      <c r="H899" t="str">
        <f>IFERROR(VLOOKUP($A899,'Student Data'!$A$2:$AR$6,34,0),"")</f>
        <v/>
      </c>
      <c r="I899" t="str">
        <f>IFERROR(VLOOKUP($A899,'Student Data'!$A$2:$AR$6,35,0),"")</f>
        <v/>
      </c>
      <c r="J899" t="str">
        <f>IFERROR(VLOOKUP($A899,'Student Data'!$A$2:$AR$6,36,0),"")</f>
        <v/>
      </c>
      <c r="K899" t="str">
        <f t="shared" si="26"/>
        <v/>
      </c>
      <c r="L899" t="str">
        <f t="shared" si="27"/>
        <v/>
      </c>
      <c r="M899" t="str">
        <f>IFERROR(IF($C899="","",SUMIFS(Ledger!$K$2:$K$4, Ledger!$B$2:$B$4, $A899, Ledger!$C$2:$C$4, M$2)),"****")</f>
        <v/>
      </c>
      <c r="N899" t="str">
        <f>IFERROR(IF($C899="","",SUMIFS(Ledger!$K$2:$K$4, Ledger!$B$2:$B$4, $A899, Ledger!$C$2:$C$4, N$2)),"****")</f>
        <v/>
      </c>
      <c r="O899" t="str">
        <f>IFERROR(IF($C899="","",SUMIFS(Ledger!$K$2:$K$4, Ledger!$B$2:$B$4, $A899, Ledger!$C$2:$C$4, O$2)),"****")</f>
        <v/>
      </c>
      <c r="P899" t="str">
        <f>IFERROR(IF($C899="","",SUMIFS(Ledger!$K$2:$K$4, Ledger!$B$2:$B$4, $A899, Ledger!$C$2:$C$4, P$2)),"****")</f>
        <v/>
      </c>
      <c r="Q899" t="str">
        <f>IFERROR(IF($C899="","",SUMIFS(Ledger!$K$2:$K$4, Ledger!$B$2:$B$4, $A899, Ledger!$C$2:$C$4, Q$2)),"****")</f>
        <v/>
      </c>
      <c r="R899" t="str">
        <f>IFERROR(IF($C899="","",SUMIFS(Ledger!$K$2:$K$4, Ledger!$B$2:$B$4, $A899, Ledger!$C$2:$C$4, R$2)),"****")</f>
        <v/>
      </c>
      <c r="S899" t="str">
        <f>IFERROR(IF($C899="","",SUMIFS(Ledger!$K$2:$K$4, Ledger!$B$2:$B$4, $A899, Ledger!$C$2:$C$4, S$2)),"****")</f>
        <v/>
      </c>
      <c r="T899" t="str">
        <f>IFERROR(IF($C899="","",SUMIFS(Ledger!$K$2:$K$4, Ledger!$B$2:$B$4, $A899, Ledger!$C$2:$C$4, T$2)),"****")</f>
        <v/>
      </c>
      <c r="U899" t="str">
        <f>IFERROR(IF($C899="","",SUMIFS(Ledger!$K$2:$K$4, Ledger!$B$2:$B$4, $A899, Ledger!$C$2:$C$4, U$2)),"****")</f>
        <v/>
      </c>
      <c r="V899" t="str">
        <f>IFERROR(IF($C899="","",SUMIFS(Ledger!$K$2:$K$4, Ledger!$B$2:$B$4, $A899, Ledger!$C$2:$C$4, V$2)),"****")</f>
        <v/>
      </c>
      <c r="W899" t="str">
        <f>IFERROR(IF($C899="","",SUMIFS(Ledger!$K$2:$K$4, Ledger!$B$2:$B$4, $A899, Ledger!$C$2:$C$4, W$2)),"****")</f>
        <v/>
      </c>
      <c r="X899" t="str">
        <f>IFERROR(IF($C899="","",SUMIFS(Ledger!$K$2:$K$4, Ledger!$B$2:$B$4, $A899, Ledger!$C$2:$C$4, X$2)),"****")</f>
        <v/>
      </c>
    </row>
    <row r="900" spans="1:24" x14ac:dyDescent="0.3">
      <c r="A900" s="106">
        <v>898</v>
      </c>
      <c r="B900" t="str">
        <f>IFERROR(VLOOKUP($A900, Ledger!$B$2:$L$8, 3, 0),"")</f>
        <v/>
      </c>
      <c r="C900" t="str">
        <f>IFERROR(VLOOKUP($A900, Ledger!$B$2:$L$8, 4, 0),"")</f>
        <v/>
      </c>
      <c r="D900" t="str">
        <f>IFERROR(VLOOKUP($A900, Ledger!$B$2:$L$8, 5, 0),"")</f>
        <v/>
      </c>
      <c r="E900" t="str">
        <f>IFERROR(VLOOKUP($A900, Ledger!$B$2:$L$8, 6, 0),"")</f>
        <v/>
      </c>
      <c r="F900" t="str">
        <f>IFERROR(VLOOKUP($A900,'Student Data'!$A$2:$AR$6,32,0),"")</f>
        <v/>
      </c>
      <c r="G900" t="str">
        <f>IFERROR(VLOOKUP($A900,'Student Data'!$A$2:$AR$6,33,0),"")</f>
        <v/>
      </c>
      <c r="H900" t="str">
        <f>IFERROR(VLOOKUP($A900,'Student Data'!$A$2:$AR$6,34,0),"")</f>
        <v/>
      </c>
      <c r="I900" t="str">
        <f>IFERROR(VLOOKUP($A900,'Student Data'!$A$2:$AR$6,35,0),"")</f>
        <v/>
      </c>
      <c r="J900" t="str">
        <f>IFERROR(VLOOKUP($A900,'Student Data'!$A$2:$AR$6,36,0),"")</f>
        <v/>
      </c>
      <c r="K900" t="str">
        <f t="shared" ref="K900:K963" si="28">IFERROR(IF(C900="","",SUM(M900:X900)),"0")</f>
        <v/>
      </c>
      <c r="L900" t="str">
        <f t="shared" ref="L900:L963" si="29">IFERROR(IF(C900="","",J900-K900),"0")</f>
        <v/>
      </c>
      <c r="M900" t="str">
        <f>IFERROR(IF($C900="","",SUMIFS(Ledger!$K$2:$K$4, Ledger!$B$2:$B$4, $A900, Ledger!$C$2:$C$4, M$2)),"****")</f>
        <v/>
      </c>
      <c r="N900" t="str">
        <f>IFERROR(IF($C900="","",SUMIFS(Ledger!$K$2:$K$4, Ledger!$B$2:$B$4, $A900, Ledger!$C$2:$C$4, N$2)),"****")</f>
        <v/>
      </c>
      <c r="O900" t="str">
        <f>IFERROR(IF($C900="","",SUMIFS(Ledger!$K$2:$K$4, Ledger!$B$2:$B$4, $A900, Ledger!$C$2:$C$4, O$2)),"****")</f>
        <v/>
      </c>
      <c r="P900" t="str">
        <f>IFERROR(IF($C900="","",SUMIFS(Ledger!$K$2:$K$4, Ledger!$B$2:$B$4, $A900, Ledger!$C$2:$C$4, P$2)),"****")</f>
        <v/>
      </c>
      <c r="Q900" t="str">
        <f>IFERROR(IF($C900="","",SUMIFS(Ledger!$K$2:$K$4, Ledger!$B$2:$B$4, $A900, Ledger!$C$2:$C$4, Q$2)),"****")</f>
        <v/>
      </c>
      <c r="R900" t="str">
        <f>IFERROR(IF($C900="","",SUMIFS(Ledger!$K$2:$K$4, Ledger!$B$2:$B$4, $A900, Ledger!$C$2:$C$4, R$2)),"****")</f>
        <v/>
      </c>
      <c r="S900" t="str">
        <f>IFERROR(IF($C900="","",SUMIFS(Ledger!$K$2:$K$4, Ledger!$B$2:$B$4, $A900, Ledger!$C$2:$C$4, S$2)),"****")</f>
        <v/>
      </c>
      <c r="T900" t="str">
        <f>IFERROR(IF($C900="","",SUMIFS(Ledger!$K$2:$K$4, Ledger!$B$2:$B$4, $A900, Ledger!$C$2:$C$4, T$2)),"****")</f>
        <v/>
      </c>
      <c r="U900" t="str">
        <f>IFERROR(IF($C900="","",SUMIFS(Ledger!$K$2:$K$4, Ledger!$B$2:$B$4, $A900, Ledger!$C$2:$C$4, U$2)),"****")</f>
        <v/>
      </c>
      <c r="V900" t="str">
        <f>IFERROR(IF($C900="","",SUMIFS(Ledger!$K$2:$K$4, Ledger!$B$2:$B$4, $A900, Ledger!$C$2:$C$4, V$2)),"****")</f>
        <v/>
      </c>
      <c r="W900" t="str">
        <f>IFERROR(IF($C900="","",SUMIFS(Ledger!$K$2:$K$4, Ledger!$B$2:$B$4, $A900, Ledger!$C$2:$C$4, W$2)),"****")</f>
        <v/>
      </c>
      <c r="X900" t="str">
        <f>IFERROR(IF($C900="","",SUMIFS(Ledger!$K$2:$K$4, Ledger!$B$2:$B$4, $A900, Ledger!$C$2:$C$4, X$2)),"****")</f>
        <v/>
      </c>
    </row>
    <row r="901" spans="1:24" x14ac:dyDescent="0.3">
      <c r="A901" s="106">
        <v>899</v>
      </c>
      <c r="B901" t="str">
        <f>IFERROR(VLOOKUP($A901, Ledger!$B$2:$L$8, 3, 0),"")</f>
        <v/>
      </c>
      <c r="C901" t="str">
        <f>IFERROR(VLOOKUP($A901, Ledger!$B$2:$L$8, 4, 0),"")</f>
        <v/>
      </c>
      <c r="D901" t="str">
        <f>IFERROR(VLOOKUP($A901, Ledger!$B$2:$L$8, 5, 0),"")</f>
        <v/>
      </c>
      <c r="E901" t="str">
        <f>IFERROR(VLOOKUP($A901, Ledger!$B$2:$L$8, 6, 0),"")</f>
        <v/>
      </c>
      <c r="F901" t="str">
        <f>IFERROR(VLOOKUP($A901,'Student Data'!$A$2:$AR$6,32,0),"")</f>
        <v/>
      </c>
      <c r="G901" t="str">
        <f>IFERROR(VLOOKUP($A901,'Student Data'!$A$2:$AR$6,33,0),"")</f>
        <v/>
      </c>
      <c r="H901" t="str">
        <f>IFERROR(VLOOKUP($A901,'Student Data'!$A$2:$AR$6,34,0),"")</f>
        <v/>
      </c>
      <c r="I901" t="str">
        <f>IFERROR(VLOOKUP($A901,'Student Data'!$A$2:$AR$6,35,0),"")</f>
        <v/>
      </c>
      <c r="J901" t="str">
        <f>IFERROR(VLOOKUP($A901,'Student Data'!$A$2:$AR$6,36,0),"")</f>
        <v/>
      </c>
      <c r="K901" t="str">
        <f t="shared" si="28"/>
        <v/>
      </c>
      <c r="L901" t="str">
        <f t="shared" si="29"/>
        <v/>
      </c>
      <c r="M901" t="str">
        <f>IFERROR(IF($C901="","",SUMIFS(Ledger!$K$2:$K$4, Ledger!$B$2:$B$4, $A901, Ledger!$C$2:$C$4, M$2)),"****")</f>
        <v/>
      </c>
      <c r="N901" t="str">
        <f>IFERROR(IF($C901="","",SUMIFS(Ledger!$K$2:$K$4, Ledger!$B$2:$B$4, $A901, Ledger!$C$2:$C$4, N$2)),"****")</f>
        <v/>
      </c>
      <c r="O901" t="str">
        <f>IFERROR(IF($C901="","",SUMIFS(Ledger!$K$2:$K$4, Ledger!$B$2:$B$4, $A901, Ledger!$C$2:$C$4, O$2)),"****")</f>
        <v/>
      </c>
      <c r="P901" t="str">
        <f>IFERROR(IF($C901="","",SUMIFS(Ledger!$K$2:$K$4, Ledger!$B$2:$B$4, $A901, Ledger!$C$2:$C$4, P$2)),"****")</f>
        <v/>
      </c>
      <c r="Q901" t="str">
        <f>IFERROR(IF($C901="","",SUMIFS(Ledger!$K$2:$K$4, Ledger!$B$2:$B$4, $A901, Ledger!$C$2:$C$4, Q$2)),"****")</f>
        <v/>
      </c>
      <c r="R901" t="str">
        <f>IFERROR(IF($C901="","",SUMIFS(Ledger!$K$2:$K$4, Ledger!$B$2:$B$4, $A901, Ledger!$C$2:$C$4, R$2)),"****")</f>
        <v/>
      </c>
      <c r="S901" t="str">
        <f>IFERROR(IF($C901="","",SUMIFS(Ledger!$K$2:$K$4, Ledger!$B$2:$B$4, $A901, Ledger!$C$2:$C$4, S$2)),"****")</f>
        <v/>
      </c>
      <c r="T901" t="str">
        <f>IFERROR(IF($C901="","",SUMIFS(Ledger!$K$2:$K$4, Ledger!$B$2:$B$4, $A901, Ledger!$C$2:$C$4, T$2)),"****")</f>
        <v/>
      </c>
      <c r="U901" t="str">
        <f>IFERROR(IF($C901="","",SUMIFS(Ledger!$K$2:$K$4, Ledger!$B$2:$B$4, $A901, Ledger!$C$2:$C$4, U$2)),"****")</f>
        <v/>
      </c>
      <c r="V901" t="str">
        <f>IFERROR(IF($C901="","",SUMIFS(Ledger!$K$2:$K$4, Ledger!$B$2:$B$4, $A901, Ledger!$C$2:$C$4, V$2)),"****")</f>
        <v/>
      </c>
      <c r="W901" t="str">
        <f>IFERROR(IF($C901="","",SUMIFS(Ledger!$K$2:$K$4, Ledger!$B$2:$B$4, $A901, Ledger!$C$2:$C$4, W$2)),"****")</f>
        <v/>
      </c>
      <c r="X901" t="str">
        <f>IFERROR(IF($C901="","",SUMIFS(Ledger!$K$2:$K$4, Ledger!$B$2:$B$4, $A901, Ledger!$C$2:$C$4, X$2)),"****")</f>
        <v/>
      </c>
    </row>
    <row r="902" spans="1:24" x14ac:dyDescent="0.3">
      <c r="A902" s="106">
        <v>900</v>
      </c>
      <c r="B902" t="str">
        <f>IFERROR(VLOOKUP($A902, Ledger!$B$2:$L$8, 3, 0),"")</f>
        <v/>
      </c>
      <c r="C902" t="str">
        <f>IFERROR(VLOOKUP($A902, Ledger!$B$2:$L$8, 4, 0),"")</f>
        <v/>
      </c>
      <c r="D902" t="str">
        <f>IFERROR(VLOOKUP($A902, Ledger!$B$2:$L$8, 5, 0),"")</f>
        <v/>
      </c>
      <c r="E902" t="str">
        <f>IFERROR(VLOOKUP($A902, Ledger!$B$2:$L$8, 6, 0),"")</f>
        <v/>
      </c>
      <c r="F902" t="str">
        <f>IFERROR(VLOOKUP($A902,'Student Data'!$A$2:$AR$6,32,0),"")</f>
        <v/>
      </c>
      <c r="G902" t="str">
        <f>IFERROR(VLOOKUP($A902,'Student Data'!$A$2:$AR$6,33,0),"")</f>
        <v/>
      </c>
      <c r="H902" t="str">
        <f>IFERROR(VLOOKUP($A902,'Student Data'!$A$2:$AR$6,34,0),"")</f>
        <v/>
      </c>
      <c r="I902" t="str">
        <f>IFERROR(VLOOKUP($A902,'Student Data'!$A$2:$AR$6,35,0),"")</f>
        <v/>
      </c>
      <c r="J902" t="str">
        <f>IFERROR(VLOOKUP($A902,'Student Data'!$A$2:$AR$6,36,0),"")</f>
        <v/>
      </c>
      <c r="K902" t="str">
        <f t="shared" si="28"/>
        <v/>
      </c>
      <c r="L902" t="str">
        <f t="shared" si="29"/>
        <v/>
      </c>
      <c r="M902" t="str">
        <f>IFERROR(IF($C902="","",SUMIFS(Ledger!$K$2:$K$4, Ledger!$B$2:$B$4, $A902, Ledger!$C$2:$C$4, M$2)),"****")</f>
        <v/>
      </c>
      <c r="N902" t="str">
        <f>IFERROR(IF($C902="","",SUMIFS(Ledger!$K$2:$K$4, Ledger!$B$2:$B$4, $A902, Ledger!$C$2:$C$4, N$2)),"****")</f>
        <v/>
      </c>
      <c r="O902" t="str">
        <f>IFERROR(IF($C902="","",SUMIFS(Ledger!$K$2:$K$4, Ledger!$B$2:$B$4, $A902, Ledger!$C$2:$C$4, O$2)),"****")</f>
        <v/>
      </c>
      <c r="P902" t="str">
        <f>IFERROR(IF($C902="","",SUMIFS(Ledger!$K$2:$K$4, Ledger!$B$2:$B$4, $A902, Ledger!$C$2:$C$4, P$2)),"****")</f>
        <v/>
      </c>
      <c r="Q902" t="str">
        <f>IFERROR(IF($C902="","",SUMIFS(Ledger!$K$2:$K$4, Ledger!$B$2:$B$4, $A902, Ledger!$C$2:$C$4, Q$2)),"****")</f>
        <v/>
      </c>
      <c r="R902" t="str">
        <f>IFERROR(IF($C902="","",SUMIFS(Ledger!$K$2:$K$4, Ledger!$B$2:$B$4, $A902, Ledger!$C$2:$C$4, R$2)),"****")</f>
        <v/>
      </c>
      <c r="S902" t="str">
        <f>IFERROR(IF($C902="","",SUMIFS(Ledger!$K$2:$K$4, Ledger!$B$2:$B$4, $A902, Ledger!$C$2:$C$4, S$2)),"****")</f>
        <v/>
      </c>
      <c r="T902" t="str">
        <f>IFERROR(IF($C902="","",SUMIFS(Ledger!$K$2:$K$4, Ledger!$B$2:$B$4, $A902, Ledger!$C$2:$C$4, T$2)),"****")</f>
        <v/>
      </c>
      <c r="U902" t="str">
        <f>IFERROR(IF($C902="","",SUMIFS(Ledger!$K$2:$K$4, Ledger!$B$2:$B$4, $A902, Ledger!$C$2:$C$4, U$2)),"****")</f>
        <v/>
      </c>
      <c r="V902" t="str">
        <f>IFERROR(IF($C902="","",SUMIFS(Ledger!$K$2:$K$4, Ledger!$B$2:$B$4, $A902, Ledger!$C$2:$C$4, V$2)),"****")</f>
        <v/>
      </c>
      <c r="W902" t="str">
        <f>IFERROR(IF($C902="","",SUMIFS(Ledger!$K$2:$K$4, Ledger!$B$2:$B$4, $A902, Ledger!$C$2:$C$4, W$2)),"****")</f>
        <v/>
      </c>
      <c r="X902" t="str">
        <f>IFERROR(IF($C902="","",SUMIFS(Ledger!$K$2:$K$4, Ledger!$B$2:$B$4, $A902, Ledger!$C$2:$C$4, X$2)),"****")</f>
        <v/>
      </c>
    </row>
    <row r="903" spans="1:24" x14ac:dyDescent="0.3">
      <c r="A903" s="106">
        <v>901</v>
      </c>
      <c r="B903" t="str">
        <f>IFERROR(VLOOKUP($A903, Ledger!$B$2:$L$8, 3, 0),"")</f>
        <v/>
      </c>
      <c r="C903" t="str">
        <f>IFERROR(VLOOKUP($A903, Ledger!$B$2:$L$8, 4, 0),"")</f>
        <v/>
      </c>
      <c r="D903" t="str">
        <f>IFERROR(VLOOKUP($A903, Ledger!$B$2:$L$8, 5, 0),"")</f>
        <v/>
      </c>
      <c r="E903" t="str">
        <f>IFERROR(VLOOKUP($A903, Ledger!$B$2:$L$8, 6, 0),"")</f>
        <v/>
      </c>
      <c r="F903" t="str">
        <f>IFERROR(VLOOKUP($A903,'Student Data'!$A$2:$AR$6,32,0),"")</f>
        <v/>
      </c>
      <c r="G903" t="str">
        <f>IFERROR(VLOOKUP($A903,'Student Data'!$A$2:$AR$6,33,0),"")</f>
        <v/>
      </c>
      <c r="H903" t="str">
        <f>IFERROR(VLOOKUP($A903,'Student Data'!$A$2:$AR$6,34,0),"")</f>
        <v/>
      </c>
      <c r="I903" t="str">
        <f>IFERROR(VLOOKUP($A903,'Student Data'!$A$2:$AR$6,35,0),"")</f>
        <v/>
      </c>
      <c r="J903" t="str">
        <f>IFERROR(VLOOKUP($A903,'Student Data'!$A$2:$AR$6,36,0),"")</f>
        <v/>
      </c>
      <c r="K903" t="str">
        <f t="shared" si="28"/>
        <v/>
      </c>
      <c r="L903" t="str">
        <f t="shared" si="29"/>
        <v/>
      </c>
      <c r="M903" t="str">
        <f>IFERROR(IF($C903="","",SUMIFS(Ledger!$K$2:$K$4, Ledger!$B$2:$B$4, $A903, Ledger!$C$2:$C$4, M$2)),"****")</f>
        <v/>
      </c>
      <c r="N903" t="str">
        <f>IFERROR(IF($C903="","",SUMIFS(Ledger!$K$2:$K$4, Ledger!$B$2:$B$4, $A903, Ledger!$C$2:$C$4, N$2)),"****")</f>
        <v/>
      </c>
      <c r="O903" t="str">
        <f>IFERROR(IF($C903="","",SUMIFS(Ledger!$K$2:$K$4, Ledger!$B$2:$B$4, $A903, Ledger!$C$2:$C$4, O$2)),"****")</f>
        <v/>
      </c>
      <c r="P903" t="str">
        <f>IFERROR(IF($C903="","",SUMIFS(Ledger!$K$2:$K$4, Ledger!$B$2:$B$4, $A903, Ledger!$C$2:$C$4, P$2)),"****")</f>
        <v/>
      </c>
      <c r="Q903" t="str">
        <f>IFERROR(IF($C903="","",SUMIFS(Ledger!$K$2:$K$4, Ledger!$B$2:$B$4, $A903, Ledger!$C$2:$C$4, Q$2)),"****")</f>
        <v/>
      </c>
      <c r="R903" t="str">
        <f>IFERROR(IF($C903="","",SUMIFS(Ledger!$K$2:$K$4, Ledger!$B$2:$B$4, $A903, Ledger!$C$2:$C$4, R$2)),"****")</f>
        <v/>
      </c>
      <c r="S903" t="str">
        <f>IFERROR(IF($C903="","",SUMIFS(Ledger!$K$2:$K$4, Ledger!$B$2:$B$4, $A903, Ledger!$C$2:$C$4, S$2)),"****")</f>
        <v/>
      </c>
      <c r="T903" t="str">
        <f>IFERROR(IF($C903="","",SUMIFS(Ledger!$K$2:$K$4, Ledger!$B$2:$B$4, $A903, Ledger!$C$2:$C$4, T$2)),"****")</f>
        <v/>
      </c>
      <c r="U903" t="str">
        <f>IFERROR(IF($C903="","",SUMIFS(Ledger!$K$2:$K$4, Ledger!$B$2:$B$4, $A903, Ledger!$C$2:$C$4, U$2)),"****")</f>
        <v/>
      </c>
      <c r="V903" t="str">
        <f>IFERROR(IF($C903="","",SUMIFS(Ledger!$K$2:$K$4, Ledger!$B$2:$B$4, $A903, Ledger!$C$2:$C$4, V$2)),"****")</f>
        <v/>
      </c>
      <c r="W903" t="str">
        <f>IFERROR(IF($C903="","",SUMIFS(Ledger!$K$2:$K$4, Ledger!$B$2:$B$4, $A903, Ledger!$C$2:$C$4, W$2)),"****")</f>
        <v/>
      </c>
      <c r="X903" t="str">
        <f>IFERROR(IF($C903="","",SUMIFS(Ledger!$K$2:$K$4, Ledger!$B$2:$B$4, $A903, Ledger!$C$2:$C$4, X$2)),"****")</f>
        <v/>
      </c>
    </row>
    <row r="904" spans="1:24" x14ac:dyDescent="0.3">
      <c r="A904" s="106">
        <v>902</v>
      </c>
      <c r="B904" t="str">
        <f>IFERROR(VLOOKUP($A904, Ledger!$B$2:$L$8, 3, 0),"")</f>
        <v/>
      </c>
      <c r="C904" t="str">
        <f>IFERROR(VLOOKUP($A904, Ledger!$B$2:$L$8, 4, 0),"")</f>
        <v/>
      </c>
      <c r="D904" t="str">
        <f>IFERROR(VLOOKUP($A904, Ledger!$B$2:$L$8, 5, 0),"")</f>
        <v/>
      </c>
      <c r="E904" t="str">
        <f>IFERROR(VLOOKUP($A904, Ledger!$B$2:$L$8, 6, 0),"")</f>
        <v/>
      </c>
      <c r="F904" t="str">
        <f>IFERROR(VLOOKUP($A904,'Student Data'!$A$2:$AR$6,32,0),"")</f>
        <v/>
      </c>
      <c r="G904" t="str">
        <f>IFERROR(VLOOKUP($A904,'Student Data'!$A$2:$AR$6,33,0),"")</f>
        <v/>
      </c>
      <c r="H904" t="str">
        <f>IFERROR(VLOOKUP($A904,'Student Data'!$A$2:$AR$6,34,0),"")</f>
        <v/>
      </c>
      <c r="I904" t="str">
        <f>IFERROR(VLOOKUP($A904,'Student Data'!$A$2:$AR$6,35,0),"")</f>
        <v/>
      </c>
      <c r="J904" t="str">
        <f>IFERROR(VLOOKUP($A904,'Student Data'!$A$2:$AR$6,36,0),"")</f>
        <v/>
      </c>
      <c r="K904" t="str">
        <f t="shared" si="28"/>
        <v/>
      </c>
      <c r="L904" t="str">
        <f t="shared" si="29"/>
        <v/>
      </c>
      <c r="M904" t="str">
        <f>IFERROR(IF($C904="","",SUMIFS(Ledger!$K$2:$K$4, Ledger!$B$2:$B$4, $A904, Ledger!$C$2:$C$4, M$2)),"****")</f>
        <v/>
      </c>
      <c r="N904" t="str">
        <f>IFERROR(IF($C904="","",SUMIFS(Ledger!$K$2:$K$4, Ledger!$B$2:$B$4, $A904, Ledger!$C$2:$C$4, N$2)),"****")</f>
        <v/>
      </c>
      <c r="O904" t="str">
        <f>IFERROR(IF($C904="","",SUMIFS(Ledger!$K$2:$K$4, Ledger!$B$2:$B$4, $A904, Ledger!$C$2:$C$4, O$2)),"****")</f>
        <v/>
      </c>
      <c r="P904" t="str">
        <f>IFERROR(IF($C904="","",SUMIFS(Ledger!$K$2:$K$4, Ledger!$B$2:$B$4, $A904, Ledger!$C$2:$C$4, P$2)),"****")</f>
        <v/>
      </c>
      <c r="Q904" t="str">
        <f>IFERROR(IF($C904="","",SUMIFS(Ledger!$K$2:$K$4, Ledger!$B$2:$B$4, $A904, Ledger!$C$2:$C$4, Q$2)),"****")</f>
        <v/>
      </c>
      <c r="R904" t="str">
        <f>IFERROR(IF($C904="","",SUMIFS(Ledger!$K$2:$K$4, Ledger!$B$2:$B$4, $A904, Ledger!$C$2:$C$4, R$2)),"****")</f>
        <v/>
      </c>
      <c r="S904" t="str">
        <f>IFERROR(IF($C904="","",SUMIFS(Ledger!$K$2:$K$4, Ledger!$B$2:$B$4, $A904, Ledger!$C$2:$C$4, S$2)),"****")</f>
        <v/>
      </c>
      <c r="T904" t="str">
        <f>IFERROR(IF($C904="","",SUMIFS(Ledger!$K$2:$K$4, Ledger!$B$2:$B$4, $A904, Ledger!$C$2:$C$4, T$2)),"****")</f>
        <v/>
      </c>
      <c r="U904" t="str">
        <f>IFERROR(IF($C904="","",SUMIFS(Ledger!$K$2:$K$4, Ledger!$B$2:$B$4, $A904, Ledger!$C$2:$C$4, U$2)),"****")</f>
        <v/>
      </c>
      <c r="V904" t="str">
        <f>IFERROR(IF($C904="","",SUMIFS(Ledger!$K$2:$K$4, Ledger!$B$2:$B$4, $A904, Ledger!$C$2:$C$4, V$2)),"****")</f>
        <v/>
      </c>
      <c r="W904" t="str">
        <f>IFERROR(IF($C904="","",SUMIFS(Ledger!$K$2:$K$4, Ledger!$B$2:$B$4, $A904, Ledger!$C$2:$C$4, W$2)),"****")</f>
        <v/>
      </c>
      <c r="X904" t="str">
        <f>IFERROR(IF($C904="","",SUMIFS(Ledger!$K$2:$K$4, Ledger!$B$2:$B$4, $A904, Ledger!$C$2:$C$4, X$2)),"****")</f>
        <v/>
      </c>
    </row>
    <row r="905" spans="1:24" x14ac:dyDescent="0.3">
      <c r="A905" s="106">
        <v>903</v>
      </c>
      <c r="B905" t="str">
        <f>IFERROR(VLOOKUP($A905, Ledger!$B$2:$L$8, 3, 0),"")</f>
        <v/>
      </c>
      <c r="C905" t="str">
        <f>IFERROR(VLOOKUP($A905, Ledger!$B$2:$L$8, 4, 0),"")</f>
        <v/>
      </c>
      <c r="D905" t="str">
        <f>IFERROR(VLOOKUP($A905, Ledger!$B$2:$L$8, 5, 0),"")</f>
        <v/>
      </c>
      <c r="E905" t="str">
        <f>IFERROR(VLOOKUP($A905, Ledger!$B$2:$L$8, 6, 0),"")</f>
        <v/>
      </c>
      <c r="F905" t="str">
        <f>IFERROR(VLOOKUP($A905,'Student Data'!$A$2:$AR$6,32,0),"")</f>
        <v/>
      </c>
      <c r="G905" t="str">
        <f>IFERROR(VLOOKUP($A905,'Student Data'!$A$2:$AR$6,33,0),"")</f>
        <v/>
      </c>
      <c r="H905" t="str">
        <f>IFERROR(VLOOKUP($A905,'Student Data'!$A$2:$AR$6,34,0),"")</f>
        <v/>
      </c>
      <c r="I905" t="str">
        <f>IFERROR(VLOOKUP($A905,'Student Data'!$A$2:$AR$6,35,0),"")</f>
        <v/>
      </c>
      <c r="J905" t="str">
        <f>IFERROR(VLOOKUP($A905,'Student Data'!$A$2:$AR$6,36,0),"")</f>
        <v/>
      </c>
      <c r="K905" t="str">
        <f t="shared" si="28"/>
        <v/>
      </c>
      <c r="L905" t="str">
        <f t="shared" si="29"/>
        <v/>
      </c>
      <c r="M905" t="str">
        <f>IFERROR(IF($C905="","",SUMIFS(Ledger!$K$2:$K$4, Ledger!$B$2:$B$4, $A905, Ledger!$C$2:$C$4, M$2)),"****")</f>
        <v/>
      </c>
      <c r="N905" t="str">
        <f>IFERROR(IF($C905="","",SUMIFS(Ledger!$K$2:$K$4, Ledger!$B$2:$B$4, $A905, Ledger!$C$2:$C$4, N$2)),"****")</f>
        <v/>
      </c>
      <c r="O905" t="str">
        <f>IFERROR(IF($C905="","",SUMIFS(Ledger!$K$2:$K$4, Ledger!$B$2:$B$4, $A905, Ledger!$C$2:$C$4, O$2)),"****")</f>
        <v/>
      </c>
      <c r="P905" t="str">
        <f>IFERROR(IF($C905="","",SUMIFS(Ledger!$K$2:$K$4, Ledger!$B$2:$B$4, $A905, Ledger!$C$2:$C$4, P$2)),"****")</f>
        <v/>
      </c>
      <c r="Q905" t="str">
        <f>IFERROR(IF($C905="","",SUMIFS(Ledger!$K$2:$K$4, Ledger!$B$2:$B$4, $A905, Ledger!$C$2:$C$4, Q$2)),"****")</f>
        <v/>
      </c>
      <c r="R905" t="str">
        <f>IFERROR(IF($C905="","",SUMIFS(Ledger!$K$2:$K$4, Ledger!$B$2:$B$4, $A905, Ledger!$C$2:$C$4, R$2)),"****")</f>
        <v/>
      </c>
      <c r="S905" t="str">
        <f>IFERROR(IF($C905="","",SUMIFS(Ledger!$K$2:$K$4, Ledger!$B$2:$B$4, $A905, Ledger!$C$2:$C$4, S$2)),"****")</f>
        <v/>
      </c>
      <c r="T905" t="str">
        <f>IFERROR(IF($C905="","",SUMIFS(Ledger!$K$2:$K$4, Ledger!$B$2:$B$4, $A905, Ledger!$C$2:$C$4, T$2)),"****")</f>
        <v/>
      </c>
      <c r="U905" t="str">
        <f>IFERROR(IF($C905="","",SUMIFS(Ledger!$K$2:$K$4, Ledger!$B$2:$B$4, $A905, Ledger!$C$2:$C$4, U$2)),"****")</f>
        <v/>
      </c>
      <c r="V905" t="str">
        <f>IFERROR(IF($C905="","",SUMIFS(Ledger!$K$2:$K$4, Ledger!$B$2:$B$4, $A905, Ledger!$C$2:$C$4, V$2)),"****")</f>
        <v/>
      </c>
      <c r="W905" t="str">
        <f>IFERROR(IF($C905="","",SUMIFS(Ledger!$K$2:$K$4, Ledger!$B$2:$B$4, $A905, Ledger!$C$2:$C$4, W$2)),"****")</f>
        <v/>
      </c>
      <c r="X905" t="str">
        <f>IFERROR(IF($C905="","",SUMIFS(Ledger!$K$2:$K$4, Ledger!$B$2:$B$4, $A905, Ledger!$C$2:$C$4, X$2)),"****")</f>
        <v/>
      </c>
    </row>
    <row r="906" spans="1:24" x14ac:dyDescent="0.3">
      <c r="A906" s="106">
        <v>904</v>
      </c>
      <c r="B906" t="str">
        <f>IFERROR(VLOOKUP($A906, Ledger!$B$2:$L$8, 3, 0),"")</f>
        <v/>
      </c>
      <c r="C906" t="str">
        <f>IFERROR(VLOOKUP($A906, Ledger!$B$2:$L$8, 4, 0),"")</f>
        <v/>
      </c>
      <c r="D906" t="str">
        <f>IFERROR(VLOOKUP($A906, Ledger!$B$2:$L$8, 5, 0),"")</f>
        <v/>
      </c>
      <c r="E906" t="str">
        <f>IFERROR(VLOOKUP($A906, Ledger!$B$2:$L$8, 6, 0),"")</f>
        <v/>
      </c>
      <c r="F906" t="str">
        <f>IFERROR(VLOOKUP($A906,'Student Data'!$A$2:$AR$6,32,0),"")</f>
        <v/>
      </c>
      <c r="G906" t="str">
        <f>IFERROR(VLOOKUP($A906,'Student Data'!$A$2:$AR$6,33,0),"")</f>
        <v/>
      </c>
      <c r="H906" t="str">
        <f>IFERROR(VLOOKUP($A906,'Student Data'!$A$2:$AR$6,34,0),"")</f>
        <v/>
      </c>
      <c r="I906" t="str">
        <f>IFERROR(VLOOKUP($A906,'Student Data'!$A$2:$AR$6,35,0),"")</f>
        <v/>
      </c>
      <c r="J906" t="str">
        <f>IFERROR(VLOOKUP($A906,'Student Data'!$A$2:$AR$6,36,0),"")</f>
        <v/>
      </c>
      <c r="K906" t="str">
        <f t="shared" si="28"/>
        <v/>
      </c>
      <c r="L906" t="str">
        <f t="shared" si="29"/>
        <v/>
      </c>
      <c r="M906" t="str">
        <f>IFERROR(IF($C906="","",SUMIFS(Ledger!$K$2:$K$4, Ledger!$B$2:$B$4, $A906, Ledger!$C$2:$C$4, M$2)),"****")</f>
        <v/>
      </c>
      <c r="N906" t="str">
        <f>IFERROR(IF($C906="","",SUMIFS(Ledger!$K$2:$K$4, Ledger!$B$2:$B$4, $A906, Ledger!$C$2:$C$4, N$2)),"****")</f>
        <v/>
      </c>
      <c r="O906" t="str">
        <f>IFERROR(IF($C906="","",SUMIFS(Ledger!$K$2:$K$4, Ledger!$B$2:$B$4, $A906, Ledger!$C$2:$C$4, O$2)),"****")</f>
        <v/>
      </c>
      <c r="P906" t="str">
        <f>IFERROR(IF($C906="","",SUMIFS(Ledger!$K$2:$K$4, Ledger!$B$2:$B$4, $A906, Ledger!$C$2:$C$4, P$2)),"****")</f>
        <v/>
      </c>
      <c r="Q906" t="str">
        <f>IFERROR(IF($C906="","",SUMIFS(Ledger!$K$2:$K$4, Ledger!$B$2:$B$4, $A906, Ledger!$C$2:$C$4, Q$2)),"****")</f>
        <v/>
      </c>
      <c r="R906" t="str">
        <f>IFERROR(IF($C906="","",SUMIFS(Ledger!$K$2:$K$4, Ledger!$B$2:$B$4, $A906, Ledger!$C$2:$C$4, R$2)),"****")</f>
        <v/>
      </c>
      <c r="S906" t="str">
        <f>IFERROR(IF($C906="","",SUMIFS(Ledger!$K$2:$K$4, Ledger!$B$2:$B$4, $A906, Ledger!$C$2:$C$4, S$2)),"****")</f>
        <v/>
      </c>
      <c r="T906" t="str">
        <f>IFERROR(IF($C906="","",SUMIFS(Ledger!$K$2:$K$4, Ledger!$B$2:$B$4, $A906, Ledger!$C$2:$C$4, T$2)),"****")</f>
        <v/>
      </c>
      <c r="U906" t="str">
        <f>IFERROR(IF($C906="","",SUMIFS(Ledger!$K$2:$K$4, Ledger!$B$2:$B$4, $A906, Ledger!$C$2:$C$4, U$2)),"****")</f>
        <v/>
      </c>
      <c r="V906" t="str">
        <f>IFERROR(IF($C906="","",SUMIFS(Ledger!$K$2:$K$4, Ledger!$B$2:$B$4, $A906, Ledger!$C$2:$C$4, V$2)),"****")</f>
        <v/>
      </c>
      <c r="W906" t="str">
        <f>IFERROR(IF($C906="","",SUMIFS(Ledger!$K$2:$K$4, Ledger!$B$2:$B$4, $A906, Ledger!$C$2:$C$4, W$2)),"****")</f>
        <v/>
      </c>
      <c r="X906" t="str">
        <f>IFERROR(IF($C906="","",SUMIFS(Ledger!$K$2:$K$4, Ledger!$B$2:$B$4, $A906, Ledger!$C$2:$C$4, X$2)),"****")</f>
        <v/>
      </c>
    </row>
    <row r="907" spans="1:24" x14ac:dyDescent="0.3">
      <c r="A907" s="106">
        <v>905</v>
      </c>
      <c r="B907" t="str">
        <f>IFERROR(VLOOKUP($A907, Ledger!$B$2:$L$8, 3, 0),"")</f>
        <v/>
      </c>
      <c r="C907" t="str">
        <f>IFERROR(VLOOKUP($A907, Ledger!$B$2:$L$8, 4, 0),"")</f>
        <v/>
      </c>
      <c r="D907" t="str">
        <f>IFERROR(VLOOKUP($A907, Ledger!$B$2:$L$8, 5, 0),"")</f>
        <v/>
      </c>
      <c r="E907" t="str">
        <f>IFERROR(VLOOKUP($A907, Ledger!$B$2:$L$8, 6, 0),"")</f>
        <v/>
      </c>
      <c r="F907" t="str">
        <f>IFERROR(VLOOKUP($A907,'Student Data'!$A$2:$AR$6,32,0),"")</f>
        <v/>
      </c>
      <c r="G907" t="str">
        <f>IFERROR(VLOOKUP($A907,'Student Data'!$A$2:$AR$6,33,0),"")</f>
        <v/>
      </c>
      <c r="H907" t="str">
        <f>IFERROR(VLOOKUP($A907,'Student Data'!$A$2:$AR$6,34,0),"")</f>
        <v/>
      </c>
      <c r="I907" t="str">
        <f>IFERROR(VLOOKUP($A907,'Student Data'!$A$2:$AR$6,35,0),"")</f>
        <v/>
      </c>
      <c r="J907" t="str">
        <f>IFERROR(VLOOKUP($A907,'Student Data'!$A$2:$AR$6,36,0),"")</f>
        <v/>
      </c>
      <c r="K907" t="str">
        <f t="shared" si="28"/>
        <v/>
      </c>
      <c r="L907" t="str">
        <f t="shared" si="29"/>
        <v/>
      </c>
      <c r="M907" t="str">
        <f>IFERROR(IF($C907="","",SUMIFS(Ledger!$K$2:$K$4, Ledger!$B$2:$B$4, $A907, Ledger!$C$2:$C$4, M$2)),"****")</f>
        <v/>
      </c>
      <c r="N907" t="str">
        <f>IFERROR(IF($C907="","",SUMIFS(Ledger!$K$2:$K$4, Ledger!$B$2:$B$4, $A907, Ledger!$C$2:$C$4, N$2)),"****")</f>
        <v/>
      </c>
      <c r="O907" t="str">
        <f>IFERROR(IF($C907="","",SUMIFS(Ledger!$K$2:$K$4, Ledger!$B$2:$B$4, $A907, Ledger!$C$2:$C$4, O$2)),"****")</f>
        <v/>
      </c>
      <c r="P907" t="str">
        <f>IFERROR(IF($C907="","",SUMIFS(Ledger!$K$2:$K$4, Ledger!$B$2:$B$4, $A907, Ledger!$C$2:$C$4, P$2)),"****")</f>
        <v/>
      </c>
      <c r="Q907" t="str">
        <f>IFERROR(IF($C907="","",SUMIFS(Ledger!$K$2:$K$4, Ledger!$B$2:$B$4, $A907, Ledger!$C$2:$C$4, Q$2)),"****")</f>
        <v/>
      </c>
      <c r="R907" t="str">
        <f>IFERROR(IF($C907="","",SUMIFS(Ledger!$K$2:$K$4, Ledger!$B$2:$B$4, $A907, Ledger!$C$2:$C$4, R$2)),"****")</f>
        <v/>
      </c>
      <c r="S907" t="str">
        <f>IFERROR(IF($C907="","",SUMIFS(Ledger!$K$2:$K$4, Ledger!$B$2:$B$4, $A907, Ledger!$C$2:$C$4, S$2)),"****")</f>
        <v/>
      </c>
      <c r="T907" t="str">
        <f>IFERROR(IF($C907="","",SUMIFS(Ledger!$K$2:$K$4, Ledger!$B$2:$B$4, $A907, Ledger!$C$2:$C$4, T$2)),"****")</f>
        <v/>
      </c>
      <c r="U907" t="str">
        <f>IFERROR(IF($C907="","",SUMIFS(Ledger!$K$2:$K$4, Ledger!$B$2:$B$4, $A907, Ledger!$C$2:$C$4, U$2)),"****")</f>
        <v/>
      </c>
      <c r="V907" t="str">
        <f>IFERROR(IF($C907="","",SUMIFS(Ledger!$K$2:$K$4, Ledger!$B$2:$B$4, $A907, Ledger!$C$2:$C$4, V$2)),"****")</f>
        <v/>
      </c>
      <c r="W907" t="str">
        <f>IFERROR(IF($C907="","",SUMIFS(Ledger!$K$2:$K$4, Ledger!$B$2:$B$4, $A907, Ledger!$C$2:$C$4, W$2)),"****")</f>
        <v/>
      </c>
      <c r="X907" t="str">
        <f>IFERROR(IF($C907="","",SUMIFS(Ledger!$K$2:$K$4, Ledger!$B$2:$B$4, $A907, Ledger!$C$2:$C$4, X$2)),"****")</f>
        <v/>
      </c>
    </row>
    <row r="908" spans="1:24" x14ac:dyDescent="0.3">
      <c r="A908" s="106">
        <v>906</v>
      </c>
      <c r="B908" t="str">
        <f>IFERROR(VLOOKUP($A908, Ledger!$B$2:$L$8, 3, 0),"")</f>
        <v/>
      </c>
      <c r="C908" t="str">
        <f>IFERROR(VLOOKUP($A908, Ledger!$B$2:$L$8, 4, 0),"")</f>
        <v/>
      </c>
      <c r="D908" t="str">
        <f>IFERROR(VLOOKUP($A908, Ledger!$B$2:$L$8, 5, 0),"")</f>
        <v/>
      </c>
      <c r="E908" t="str">
        <f>IFERROR(VLOOKUP($A908, Ledger!$B$2:$L$8, 6, 0),"")</f>
        <v/>
      </c>
      <c r="F908" t="str">
        <f>IFERROR(VLOOKUP($A908,'Student Data'!$A$2:$AR$6,32,0),"")</f>
        <v/>
      </c>
      <c r="G908" t="str">
        <f>IFERROR(VLOOKUP($A908,'Student Data'!$A$2:$AR$6,33,0),"")</f>
        <v/>
      </c>
      <c r="H908" t="str">
        <f>IFERROR(VLOOKUP($A908,'Student Data'!$A$2:$AR$6,34,0),"")</f>
        <v/>
      </c>
      <c r="I908" t="str">
        <f>IFERROR(VLOOKUP($A908,'Student Data'!$A$2:$AR$6,35,0),"")</f>
        <v/>
      </c>
      <c r="J908" t="str">
        <f>IFERROR(VLOOKUP($A908,'Student Data'!$A$2:$AR$6,36,0),"")</f>
        <v/>
      </c>
      <c r="K908" t="str">
        <f t="shared" si="28"/>
        <v/>
      </c>
      <c r="L908" t="str">
        <f t="shared" si="29"/>
        <v/>
      </c>
      <c r="M908" t="str">
        <f>IFERROR(IF($C908="","",SUMIFS(Ledger!$K$2:$K$4, Ledger!$B$2:$B$4, $A908, Ledger!$C$2:$C$4, M$2)),"****")</f>
        <v/>
      </c>
      <c r="N908" t="str">
        <f>IFERROR(IF($C908="","",SUMIFS(Ledger!$K$2:$K$4, Ledger!$B$2:$B$4, $A908, Ledger!$C$2:$C$4, N$2)),"****")</f>
        <v/>
      </c>
      <c r="O908" t="str">
        <f>IFERROR(IF($C908="","",SUMIFS(Ledger!$K$2:$K$4, Ledger!$B$2:$B$4, $A908, Ledger!$C$2:$C$4, O$2)),"****")</f>
        <v/>
      </c>
      <c r="P908" t="str">
        <f>IFERROR(IF($C908="","",SUMIFS(Ledger!$K$2:$K$4, Ledger!$B$2:$B$4, $A908, Ledger!$C$2:$C$4, P$2)),"****")</f>
        <v/>
      </c>
      <c r="Q908" t="str">
        <f>IFERROR(IF($C908="","",SUMIFS(Ledger!$K$2:$K$4, Ledger!$B$2:$B$4, $A908, Ledger!$C$2:$C$4, Q$2)),"****")</f>
        <v/>
      </c>
      <c r="R908" t="str">
        <f>IFERROR(IF($C908="","",SUMIFS(Ledger!$K$2:$K$4, Ledger!$B$2:$B$4, $A908, Ledger!$C$2:$C$4, R$2)),"****")</f>
        <v/>
      </c>
      <c r="S908" t="str">
        <f>IFERROR(IF($C908="","",SUMIFS(Ledger!$K$2:$K$4, Ledger!$B$2:$B$4, $A908, Ledger!$C$2:$C$4, S$2)),"****")</f>
        <v/>
      </c>
      <c r="T908" t="str">
        <f>IFERROR(IF($C908="","",SUMIFS(Ledger!$K$2:$K$4, Ledger!$B$2:$B$4, $A908, Ledger!$C$2:$C$4, T$2)),"****")</f>
        <v/>
      </c>
      <c r="U908" t="str">
        <f>IFERROR(IF($C908="","",SUMIFS(Ledger!$K$2:$K$4, Ledger!$B$2:$B$4, $A908, Ledger!$C$2:$C$4, U$2)),"****")</f>
        <v/>
      </c>
      <c r="V908" t="str">
        <f>IFERROR(IF($C908="","",SUMIFS(Ledger!$K$2:$K$4, Ledger!$B$2:$B$4, $A908, Ledger!$C$2:$C$4, V$2)),"****")</f>
        <v/>
      </c>
      <c r="W908" t="str">
        <f>IFERROR(IF($C908="","",SUMIFS(Ledger!$K$2:$K$4, Ledger!$B$2:$B$4, $A908, Ledger!$C$2:$C$4, W$2)),"****")</f>
        <v/>
      </c>
      <c r="X908" t="str">
        <f>IFERROR(IF($C908="","",SUMIFS(Ledger!$K$2:$K$4, Ledger!$B$2:$B$4, $A908, Ledger!$C$2:$C$4, X$2)),"****")</f>
        <v/>
      </c>
    </row>
    <row r="909" spans="1:24" x14ac:dyDescent="0.3">
      <c r="A909" s="106">
        <v>907</v>
      </c>
      <c r="B909" t="str">
        <f>IFERROR(VLOOKUP($A909, Ledger!$B$2:$L$8, 3, 0),"")</f>
        <v/>
      </c>
      <c r="C909" t="str">
        <f>IFERROR(VLOOKUP($A909, Ledger!$B$2:$L$8, 4, 0),"")</f>
        <v/>
      </c>
      <c r="D909" t="str">
        <f>IFERROR(VLOOKUP($A909, Ledger!$B$2:$L$8, 5, 0),"")</f>
        <v/>
      </c>
      <c r="E909" t="str">
        <f>IFERROR(VLOOKUP($A909, Ledger!$B$2:$L$8, 6, 0),"")</f>
        <v/>
      </c>
      <c r="F909" t="str">
        <f>IFERROR(VLOOKUP($A909,'Student Data'!$A$2:$AR$6,32,0),"")</f>
        <v/>
      </c>
      <c r="G909" t="str">
        <f>IFERROR(VLOOKUP($A909,'Student Data'!$A$2:$AR$6,33,0),"")</f>
        <v/>
      </c>
      <c r="H909" t="str">
        <f>IFERROR(VLOOKUP($A909,'Student Data'!$A$2:$AR$6,34,0),"")</f>
        <v/>
      </c>
      <c r="I909" t="str">
        <f>IFERROR(VLOOKUP($A909,'Student Data'!$A$2:$AR$6,35,0),"")</f>
        <v/>
      </c>
      <c r="J909" t="str">
        <f>IFERROR(VLOOKUP($A909,'Student Data'!$A$2:$AR$6,36,0),"")</f>
        <v/>
      </c>
      <c r="K909" t="str">
        <f t="shared" si="28"/>
        <v/>
      </c>
      <c r="L909" t="str">
        <f t="shared" si="29"/>
        <v/>
      </c>
      <c r="M909" t="str">
        <f>IFERROR(IF($C909="","",SUMIFS(Ledger!$K$2:$K$4, Ledger!$B$2:$B$4, $A909, Ledger!$C$2:$C$4, M$2)),"****")</f>
        <v/>
      </c>
      <c r="N909" t="str">
        <f>IFERROR(IF($C909="","",SUMIFS(Ledger!$K$2:$K$4, Ledger!$B$2:$B$4, $A909, Ledger!$C$2:$C$4, N$2)),"****")</f>
        <v/>
      </c>
      <c r="O909" t="str">
        <f>IFERROR(IF($C909="","",SUMIFS(Ledger!$K$2:$K$4, Ledger!$B$2:$B$4, $A909, Ledger!$C$2:$C$4, O$2)),"****")</f>
        <v/>
      </c>
      <c r="P909" t="str">
        <f>IFERROR(IF($C909="","",SUMIFS(Ledger!$K$2:$K$4, Ledger!$B$2:$B$4, $A909, Ledger!$C$2:$C$4, P$2)),"****")</f>
        <v/>
      </c>
      <c r="Q909" t="str">
        <f>IFERROR(IF($C909="","",SUMIFS(Ledger!$K$2:$K$4, Ledger!$B$2:$B$4, $A909, Ledger!$C$2:$C$4, Q$2)),"****")</f>
        <v/>
      </c>
      <c r="R909" t="str">
        <f>IFERROR(IF($C909="","",SUMIFS(Ledger!$K$2:$K$4, Ledger!$B$2:$B$4, $A909, Ledger!$C$2:$C$4, R$2)),"****")</f>
        <v/>
      </c>
      <c r="S909" t="str">
        <f>IFERROR(IF($C909="","",SUMIFS(Ledger!$K$2:$K$4, Ledger!$B$2:$B$4, $A909, Ledger!$C$2:$C$4, S$2)),"****")</f>
        <v/>
      </c>
      <c r="T909" t="str">
        <f>IFERROR(IF($C909="","",SUMIFS(Ledger!$K$2:$K$4, Ledger!$B$2:$B$4, $A909, Ledger!$C$2:$C$4, T$2)),"****")</f>
        <v/>
      </c>
      <c r="U909" t="str">
        <f>IFERROR(IF($C909="","",SUMIFS(Ledger!$K$2:$K$4, Ledger!$B$2:$B$4, $A909, Ledger!$C$2:$C$4, U$2)),"****")</f>
        <v/>
      </c>
      <c r="V909" t="str">
        <f>IFERROR(IF($C909="","",SUMIFS(Ledger!$K$2:$K$4, Ledger!$B$2:$B$4, $A909, Ledger!$C$2:$C$4, V$2)),"****")</f>
        <v/>
      </c>
      <c r="W909" t="str">
        <f>IFERROR(IF($C909="","",SUMIFS(Ledger!$K$2:$K$4, Ledger!$B$2:$B$4, $A909, Ledger!$C$2:$C$4, W$2)),"****")</f>
        <v/>
      </c>
      <c r="X909" t="str">
        <f>IFERROR(IF($C909="","",SUMIFS(Ledger!$K$2:$K$4, Ledger!$B$2:$B$4, $A909, Ledger!$C$2:$C$4, X$2)),"****")</f>
        <v/>
      </c>
    </row>
    <row r="910" spans="1:24" x14ac:dyDescent="0.3">
      <c r="A910" s="106">
        <v>908</v>
      </c>
      <c r="B910" t="str">
        <f>IFERROR(VLOOKUP($A910, Ledger!$B$2:$L$8, 3, 0),"")</f>
        <v/>
      </c>
      <c r="C910" t="str">
        <f>IFERROR(VLOOKUP($A910, Ledger!$B$2:$L$8, 4, 0),"")</f>
        <v/>
      </c>
      <c r="D910" t="str">
        <f>IFERROR(VLOOKUP($A910, Ledger!$B$2:$L$8, 5, 0),"")</f>
        <v/>
      </c>
      <c r="E910" t="str">
        <f>IFERROR(VLOOKUP($A910, Ledger!$B$2:$L$8, 6, 0),"")</f>
        <v/>
      </c>
      <c r="F910" t="str">
        <f>IFERROR(VLOOKUP($A910,'Student Data'!$A$2:$AR$6,32,0),"")</f>
        <v/>
      </c>
      <c r="G910" t="str">
        <f>IFERROR(VLOOKUP($A910,'Student Data'!$A$2:$AR$6,33,0),"")</f>
        <v/>
      </c>
      <c r="H910" t="str">
        <f>IFERROR(VLOOKUP($A910,'Student Data'!$A$2:$AR$6,34,0),"")</f>
        <v/>
      </c>
      <c r="I910" t="str">
        <f>IFERROR(VLOOKUP($A910,'Student Data'!$A$2:$AR$6,35,0),"")</f>
        <v/>
      </c>
      <c r="J910" t="str">
        <f>IFERROR(VLOOKUP($A910,'Student Data'!$A$2:$AR$6,36,0),"")</f>
        <v/>
      </c>
      <c r="K910" t="str">
        <f t="shared" si="28"/>
        <v/>
      </c>
      <c r="L910" t="str">
        <f t="shared" si="29"/>
        <v/>
      </c>
      <c r="M910" t="str">
        <f>IFERROR(IF($C910="","",SUMIFS(Ledger!$K$2:$K$4, Ledger!$B$2:$B$4, $A910, Ledger!$C$2:$C$4, M$2)),"****")</f>
        <v/>
      </c>
      <c r="N910" t="str">
        <f>IFERROR(IF($C910="","",SUMIFS(Ledger!$K$2:$K$4, Ledger!$B$2:$B$4, $A910, Ledger!$C$2:$C$4, N$2)),"****")</f>
        <v/>
      </c>
      <c r="O910" t="str">
        <f>IFERROR(IF($C910="","",SUMIFS(Ledger!$K$2:$K$4, Ledger!$B$2:$B$4, $A910, Ledger!$C$2:$C$4, O$2)),"****")</f>
        <v/>
      </c>
      <c r="P910" t="str">
        <f>IFERROR(IF($C910="","",SUMIFS(Ledger!$K$2:$K$4, Ledger!$B$2:$B$4, $A910, Ledger!$C$2:$C$4, P$2)),"****")</f>
        <v/>
      </c>
      <c r="Q910" t="str">
        <f>IFERROR(IF($C910="","",SUMIFS(Ledger!$K$2:$K$4, Ledger!$B$2:$B$4, $A910, Ledger!$C$2:$C$4, Q$2)),"****")</f>
        <v/>
      </c>
      <c r="R910" t="str">
        <f>IFERROR(IF($C910="","",SUMIFS(Ledger!$K$2:$K$4, Ledger!$B$2:$B$4, $A910, Ledger!$C$2:$C$4, R$2)),"****")</f>
        <v/>
      </c>
      <c r="S910" t="str">
        <f>IFERROR(IF($C910="","",SUMIFS(Ledger!$K$2:$K$4, Ledger!$B$2:$B$4, $A910, Ledger!$C$2:$C$4, S$2)),"****")</f>
        <v/>
      </c>
      <c r="T910" t="str">
        <f>IFERROR(IF($C910="","",SUMIFS(Ledger!$K$2:$K$4, Ledger!$B$2:$B$4, $A910, Ledger!$C$2:$C$4, T$2)),"****")</f>
        <v/>
      </c>
      <c r="U910" t="str">
        <f>IFERROR(IF($C910="","",SUMIFS(Ledger!$K$2:$K$4, Ledger!$B$2:$B$4, $A910, Ledger!$C$2:$C$4, U$2)),"****")</f>
        <v/>
      </c>
      <c r="V910" t="str">
        <f>IFERROR(IF($C910="","",SUMIFS(Ledger!$K$2:$K$4, Ledger!$B$2:$B$4, $A910, Ledger!$C$2:$C$4, V$2)),"****")</f>
        <v/>
      </c>
      <c r="W910" t="str">
        <f>IFERROR(IF($C910="","",SUMIFS(Ledger!$K$2:$K$4, Ledger!$B$2:$B$4, $A910, Ledger!$C$2:$C$4, W$2)),"****")</f>
        <v/>
      </c>
      <c r="X910" t="str">
        <f>IFERROR(IF($C910="","",SUMIFS(Ledger!$K$2:$K$4, Ledger!$B$2:$B$4, $A910, Ledger!$C$2:$C$4, X$2)),"****")</f>
        <v/>
      </c>
    </row>
    <row r="911" spans="1:24" x14ac:dyDescent="0.3">
      <c r="A911" s="106">
        <v>909</v>
      </c>
      <c r="B911" t="str">
        <f>IFERROR(VLOOKUP($A911, Ledger!$B$2:$L$8, 3, 0),"")</f>
        <v/>
      </c>
      <c r="C911" t="str">
        <f>IFERROR(VLOOKUP($A911, Ledger!$B$2:$L$8, 4, 0),"")</f>
        <v/>
      </c>
      <c r="D911" t="str">
        <f>IFERROR(VLOOKUP($A911, Ledger!$B$2:$L$8, 5, 0),"")</f>
        <v/>
      </c>
      <c r="E911" t="str">
        <f>IFERROR(VLOOKUP($A911, Ledger!$B$2:$L$8, 6, 0),"")</f>
        <v/>
      </c>
      <c r="F911" t="str">
        <f>IFERROR(VLOOKUP($A911,'Student Data'!$A$2:$AR$6,32,0),"")</f>
        <v/>
      </c>
      <c r="G911" t="str">
        <f>IFERROR(VLOOKUP($A911,'Student Data'!$A$2:$AR$6,33,0),"")</f>
        <v/>
      </c>
      <c r="H911" t="str">
        <f>IFERROR(VLOOKUP($A911,'Student Data'!$A$2:$AR$6,34,0),"")</f>
        <v/>
      </c>
      <c r="I911" t="str">
        <f>IFERROR(VLOOKUP($A911,'Student Data'!$A$2:$AR$6,35,0),"")</f>
        <v/>
      </c>
      <c r="J911" t="str">
        <f>IFERROR(VLOOKUP($A911,'Student Data'!$A$2:$AR$6,36,0),"")</f>
        <v/>
      </c>
      <c r="K911" t="str">
        <f t="shared" si="28"/>
        <v/>
      </c>
      <c r="L911" t="str">
        <f t="shared" si="29"/>
        <v/>
      </c>
      <c r="M911" t="str">
        <f>IFERROR(IF($C911="","",SUMIFS(Ledger!$K$2:$K$4, Ledger!$B$2:$B$4, $A911, Ledger!$C$2:$C$4, M$2)),"****")</f>
        <v/>
      </c>
      <c r="N911" t="str">
        <f>IFERROR(IF($C911="","",SUMIFS(Ledger!$K$2:$K$4, Ledger!$B$2:$B$4, $A911, Ledger!$C$2:$C$4, N$2)),"****")</f>
        <v/>
      </c>
      <c r="O911" t="str">
        <f>IFERROR(IF($C911="","",SUMIFS(Ledger!$K$2:$K$4, Ledger!$B$2:$B$4, $A911, Ledger!$C$2:$C$4, O$2)),"****")</f>
        <v/>
      </c>
      <c r="P911" t="str">
        <f>IFERROR(IF($C911="","",SUMIFS(Ledger!$K$2:$K$4, Ledger!$B$2:$B$4, $A911, Ledger!$C$2:$C$4, P$2)),"****")</f>
        <v/>
      </c>
      <c r="Q911" t="str">
        <f>IFERROR(IF($C911="","",SUMIFS(Ledger!$K$2:$K$4, Ledger!$B$2:$B$4, $A911, Ledger!$C$2:$C$4, Q$2)),"****")</f>
        <v/>
      </c>
      <c r="R911" t="str">
        <f>IFERROR(IF($C911="","",SUMIFS(Ledger!$K$2:$K$4, Ledger!$B$2:$B$4, $A911, Ledger!$C$2:$C$4, R$2)),"****")</f>
        <v/>
      </c>
      <c r="S911" t="str">
        <f>IFERROR(IF($C911="","",SUMIFS(Ledger!$K$2:$K$4, Ledger!$B$2:$B$4, $A911, Ledger!$C$2:$C$4, S$2)),"****")</f>
        <v/>
      </c>
      <c r="T911" t="str">
        <f>IFERROR(IF($C911="","",SUMIFS(Ledger!$K$2:$K$4, Ledger!$B$2:$B$4, $A911, Ledger!$C$2:$C$4, T$2)),"****")</f>
        <v/>
      </c>
      <c r="U911" t="str">
        <f>IFERROR(IF($C911="","",SUMIFS(Ledger!$K$2:$K$4, Ledger!$B$2:$B$4, $A911, Ledger!$C$2:$C$4, U$2)),"****")</f>
        <v/>
      </c>
      <c r="V911" t="str">
        <f>IFERROR(IF($C911="","",SUMIFS(Ledger!$K$2:$K$4, Ledger!$B$2:$B$4, $A911, Ledger!$C$2:$C$4, V$2)),"****")</f>
        <v/>
      </c>
      <c r="W911" t="str">
        <f>IFERROR(IF($C911="","",SUMIFS(Ledger!$K$2:$K$4, Ledger!$B$2:$B$4, $A911, Ledger!$C$2:$C$4, W$2)),"****")</f>
        <v/>
      </c>
      <c r="X911" t="str">
        <f>IFERROR(IF($C911="","",SUMIFS(Ledger!$K$2:$K$4, Ledger!$B$2:$B$4, $A911, Ledger!$C$2:$C$4, X$2)),"****")</f>
        <v/>
      </c>
    </row>
    <row r="912" spans="1:24" x14ac:dyDescent="0.3">
      <c r="A912" s="106">
        <v>910</v>
      </c>
      <c r="B912" t="str">
        <f>IFERROR(VLOOKUP($A912, Ledger!$B$2:$L$8, 3, 0),"")</f>
        <v/>
      </c>
      <c r="C912" t="str">
        <f>IFERROR(VLOOKUP($A912, Ledger!$B$2:$L$8, 4, 0),"")</f>
        <v/>
      </c>
      <c r="D912" t="str">
        <f>IFERROR(VLOOKUP($A912, Ledger!$B$2:$L$8, 5, 0),"")</f>
        <v/>
      </c>
      <c r="E912" t="str">
        <f>IFERROR(VLOOKUP($A912, Ledger!$B$2:$L$8, 6, 0),"")</f>
        <v/>
      </c>
      <c r="F912" t="str">
        <f>IFERROR(VLOOKUP($A912,'Student Data'!$A$2:$AR$6,32,0),"")</f>
        <v/>
      </c>
      <c r="G912" t="str">
        <f>IFERROR(VLOOKUP($A912,'Student Data'!$A$2:$AR$6,33,0),"")</f>
        <v/>
      </c>
      <c r="H912" t="str">
        <f>IFERROR(VLOOKUP($A912,'Student Data'!$A$2:$AR$6,34,0),"")</f>
        <v/>
      </c>
      <c r="I912" t="str">
        <f>IFERROR(VLOOKUP($A912,'Student Data'!$A$2:$AR$6,35,0),"")</f>
        <v/>
      </c>
      <c r="J912" t="str">
        <f>IFERROR(VLOOKUP($A912,'Student Data'!$A$2:$AR$6,36,0),"")</f>
        <v/>
      </c>
      <c r="K912" t="str">
        <f t="shared" si="28"/>
        <v/>
      </c>
      <c r="L912" t="str">
        <f t="shared" si="29"/>
        <v/>
      </c>
      <c r="M912" t="str">
        <f>IFERROR(IF($C912="","",SUMIFS(Ledger!$K$2:$K$4, Ledger!$B$2:$B$4, $A912, Ledger!$C$2:$C$4, M$2)),"****")</f>
        <v/>
      </c>
      <c r="N912" t="str">
        <f>IFERROR(IF($C912="","",SUMIFS(Ledger!$K$2:$K$4, Ledger!$B$2:$B$4, $A912, Ledger!$C$2:$C$4, N$2)),"****")</f>
        <v/>
      </c>
      <c r="O912" t="str">
        <f>IFERROR(IF($C912="","",SUMIFS(Ledger!$K$2:$K$4, Ledger!$B$2:$B$4, $A912, Ledger!$C$2:$C$4, O$2)),"****")</f>
        <v/>
      </c>
      <c r="P912" t="str">
        <f>IFERROR(IF($C912="","",SUMIFS(Ledger!$K$2:$K$4, Ledger!$B$2:$B$4, $A912, Ledger!$C$2:$C$4, P$2)),"****")</f>
        <v/>
      </c>
      <c r="Q912" t="str">
        <f>IFERROR(IF($C912="","",SUMIFS(Ledger!$K$2:$K$4, Ledger!$B$2:$B$4, $A912, Ledger!$C$2:$C$4, Q$2)),"****")</f>
        <v/>
      </c>
      <c r="R912" t="str">
        <f>IFERROR(IF($C912="","",SUMIFS(Ledger!$K$2:$K$4, Ledger!$B$2:$B$4, $A912, Ledger!$C$2:$C$4, R$2)),"****")</f>
        <v/>
      </c>
      <c r="S912" t="str">
        <f>IFERROR(IF($C912="","",SUMIFS(Ledger!$K$2:$K$4, Ledger!$B$2:$B$4, $A912, Ledger!$C$2:$C$4, S$2)),"****")</f>
        <v/>
      </c>
      <c r="T912" t="str">
        <f>IFERROR(IF($C912="","",SUMIFS(Ledger!$K$2:$K$4, Ledger!$B$2:$B$4, $A912, Ledger!$C$2:$C$4, T$2)),"****")</f>
        <v/>
      </c>
      <c r="U912" t="str">
        <f>IFERROR(IF($C912="","",SUMIFS(Ledger!$K$2:$K$4, Ledger!$B$2:$B$4, $A912, Ledger!$C$2:$C$4, U$2)),"****")</f>
        <v/>
      </c>
      <c r="V912" t="str">
        <f>IFERROR(IF($C912="","",SUMIFS(Ledger!$K$2:$K$4, Ledger!$B$2:$B$4, $A912, Ledger!$C$2:$C$4, V$2)),"****")</f>
        <v/>
      </c>
      <c r="W912" t="str">
        <f>IFERROR(IF($C912="","",SUMIFS(Ledger!$K$2:$K$4, Ledger!$B$2:$B$4, $A912, Ledger!$C$2:$C$4, W$2)),"****")</f>
        <v/>
      </c>
      <c r="X912" t="str">
        <f>IFERROR(IF($C912="","",SUMIFS(Ledger!$K$2:$K$4, Ledger!$B$2:$B$4, $A912, Ledger!$C$2:$C$4, X$2)),"****")</f>
        <v/>
      </c>
    </row>
    <row r="913" spans="1:24" x14ac:dyDescent="0.3">
      <c r="A913" s="106">
        <v>911</v>
      </c>
      <c r="B913" t="str">
        <f>IFERROR(VLOOKUP($A913, Ledger!$B$2:$L$8, 3, 0),"")</f>
        <v/>
      </c>
      <c r="C913" t="str">
        <f>IFERROR(VLOOKUP($A913, Ledger!$B$2:$L$8, 4, 0),"")</f>
        <v/>
      </c>
      <c r="D913" t="str">
        <f>IFERROR(VLOOKUP($A913, Ledger!$B$2:$L$8, 5, 0),"")</f>
        <v/>
      </c>
      <c r="E913" t="str">
        <f>IFERROR(VLOOKUP($A913, Ledger!$B$2:$L$8, 6, 0),"")</f>
        <v/>
      </c>
      <c r="F913" t="str">
        <f>IFERROR(VLOOKUP($A913,'Student Data'!$A$2:$AR$6,32,0),"")</f>
        <v/>
      </c>
      <c r="G913" t="str">
        <f>IFERROR(VLOOKUP($A913,'Student Data'!$A$2:$AR$6,33,0),"")</f>
        <v/>
      </c>
      <c r="H913" t="str">
        <f>IFERROR(VLOOKUP($A913,'Student Data'!$A$2:$AR$6,34,0),"")</f>
        <v/>
      </c>
      <c r="I913" t="str">
        <f>IFERROR(VLOOKUP($A913,'Student Data'!$A$2:$AR$6,35,0),"")</f>
        <v/>
      </c>
      <c r="J913" t="str">
        <f>IFERROR(VLOOKUP($A913,'Student Data'!$A$2:$AR$6,36,0),"")</f>
        <v/>
      </c>
      <c r="K913" t="str">
        <f t="shared" si="28"/>
        <v/>
      </c>
      <c r="L913" t="str">
        <f t="shared" si="29"/>
        <v/>
      </c>
      <c r="M913" t="str">
        <f>IFERROR(IF($C913="","",SUMIFS(Ledger!$K$2:$K$4, Ledger!$B$2:$B$4, $A913, Ledger!$C$2:$C$4, M$2)),"****")</f>
        <v/>
      </c>
      <c r="N913" t="str">
        <f>IFERROR(IF($C913="","",SUMIFS(Ledger!$K$2:$K$4, Ledger!$B$2:$B$4, $A913, Ledger!$C$2:$C$4, N$2)),"****")</f>
        <v/>
      </c>
      <c r="O913" t="str">
        <f>IFERROR(IF($C913="","",SUMIFS(Ledger!$K$2:$K$4, Ledger!$B$2:$B$4, $A913, Ledger!$C$2:$C$4, O$2)),"****")</f>
        <v/>
      </c>
      <c r="P913" t="str">
        <f>IFERROR(IF($C913="","",SUMIFS(Ledger!$K$2:$K$4, Ledger!$B$2:$B$4, $A913, Ledger!$C$2:$C$4, P$2)),"****")</f>
        <v/>
      </c>
      <c r="Q913" t="str">
        <f>IFERROR(IF($C913="","",SUMIFS(Ledger!$K$2:$K$4, Ledger!$B$2:$B$4, $A913, Ledger!$C$2:$C$4, Q$2)),"****")</f>
        <v/>
      </c>
      <c r="R913" t="str">
        <f>IFERROR(IF($C913="","",SUMIFS(Ledger!$K$2:$K$4, Ledger!$B$2:$B$4, $A913, Ledger!$C$2:$C$4, R$2)),"****")</f>
        <v/>
      </c>
      <c r="S913" t="str">
        <f>IFERROR(IF($C913="","",SUMIFS(Ledger!$K$2:$K$4, Ledger!$B$2:$B$4, $A913, Ledger!$C$2:$C$4, S$2)),"****")</f>
        <v/>
      </c>
      <c r="T913" t="str">
        <f>IFERROR(IF($C913="","",SUMIFS(Ledger!$K$2:$K$4, Ledger!$B$2:$B$4, $A913, Ledger!$C$2:$C$4, T$2)),"****")</f>
        <v/>
      </c>
      <c r="U913" t="str">
        <f>IFERROR(IF($C913="","",SUMIFS(Ledger!$K$2:$K$4, Ledger!$B$2:$B$4, $A913, Ledger!$C$2:$C$4, U$2)),"****")</f>
        <v/>
      </c>
      <c r="V913" t="str">
        <f>IFERROR(IF($C913="","",SUMIFS(Ledger!$K$2:$K$4, Ledger!$B$2:$B$4, $A913, Ledger!$C$2:$C$4, V$2)),"****")</f>
        <v/>
      </c>
      <c r="W913" t="str">
        <f>IFERROR(IF($C913="","",SUMIFS(Ledger!$K$2:$K$4, Ledger!$B$2:$B$4, $A913, Ledger!$C$2:$C$4, W$2)),"****")</f>
        <v/>
      </c>
      <c r="X913" t="str">
        <f>IFERROR(IF($C913="","",SUMIFS(Ledger!$K$2:$K$4, Ledger!$B$2:$B$4, $A913, Ledger!$C$2:$C$4, X$2)),"****")</f>
        <v/>
      </c>
    </row>
    <row r="914" spans="1:24" x14ac:dyDescent="0.3">
      <c r="A914" s="106">
        <v>912</v>
      </c>
      <c r="B914" t="str">
        <f>IFERROR(VLOOKUP($A914, Ledger!$B$2:$L$8, 3, 0),"")</f>
        <v/>
      </c>
      <c r="C914" t="str">
        <f>IFERROR(VLOOKUP($A914, Ledger!$B$2:$L$8, 4, 0),"")</f>
        <v/>
      </c>
      <c r="D914" t="str">
        <f>IFERROR(VLOOKUP($A914, Ledger!$B$2:$L$8, 5, 0),"")</f>
        <v/>
      </c>
      <c r="E914" t="str">
        <f>IFERROR(VLOOKUP($A914, Ledger!$B$2:$L$8, 6, 0),"")</f>
        <v/>
      </c>
      <c r="F914" t="str">
        <f>IFERROR(VLOOKUP($A914,'Student Data'!$A$2:$AR$6,32,0),"")</f>
        <v/>
      </c>
      <c r="G914" t="str">
        <f>IFERROR(VLOOKUP($A914,'Student Data'!$A$2:$AR$6,33,0),"")</f>
        <v/>
      </c>
      <c r="H914" t="str">
        <f>IFERROR(VLOOKUP($A914,'Student Data'!$A$2:$AR$6,34,0),"")</f>
        <v/>
      </c>
      <c r="I914" t="str">
        <f>IFERROR(VLOOKUP($A914,'Student Data'!$A$2:$AR$6,35,0),"")</f>
        <v/>
      </c>
      <c r="J914" t="str">
        <f>IFERROR(VLOOKUP($A914,'Student Data'!$A$2:$AR$6,36,0),"")</f>
        <v/>
      </c>
      <c r="K914" t="str">
        <f t="shared" si="28"/>
        <v/>
      </c>
      <c r="L914" t="str">
        <f t="shared" si="29"/>
        <v/>
      </c>
      <c r="M914" t="str">
        <f>IFERROR(IF($C914="","",SUMIFS(Ledger!$K$2:$K$4, Ledger!$B$2:$B$4, $A914, Ledger!$C$2:$C$4, M$2)),"****")</f>
        <v/>
      </c>
      <c r="N914" t="str">
        <f>IFERROR(IF($C914="","",SUMIFS(Ledger!$K$2:$K$4, Ledger!$B$2:$B$4, $A914, Ledger!$C$2:$C$4, N$2)),"****")</f>
        <v/>
      </c>
      <c r="O914" t="str">
        <f>IFERROR(IF($C914="","",SUMIFS(Ledger!$K$2:$K$4, Ledger!$B$2:$B$4, $A914, Ledger!$C$2:$C$4, O$2)),"****")</f>
        <v/>
      </c>
      <c r="P914" t="str">
        <f>IFERROR(IF($C914="","",SUMIFS(Ledger!$K$2:$K$4, Ledger!$B$2:$B$4, $A914, Ledger!$C$2:$C$4, P$2)),"****")</f>
        <v/>
      </c>
      <c r="Q914" t="str">
        <f>IFERROR(IF($C914="","",SUMIFS(Ledger!$K$2:$K$4, Ledger!$B$2:$B$4, $A914, Ledger!$C$2:$C$4, Q$2)),"****")</f>
        <v/>
      </c>
      <c r="R914" t="str">
        <f>IFERROR(IF($C914="","",SUMIFS(Ledger!$K$2:$K$4, Ledger!$B$2:$B$4, $A914, Ledger!$C$2:$C$4, R$2)),"****")</f>
        <v/>
      </c>
      <c r="S914" t="str">
        <f>IFERROR(IF($C914="","",SUMIFS(Ledger!$K$2:$K$4, Ledger!$B$2:$B$4, $A914, Ledger!$C$2:$C$4, S$2)),"****")</f>
        <v/>
      </c>
      <c r="T914" t="str">
        <f>IFERROR(IF($C914="","",SUMIFS(Ledger!$K$2:$K$4, Ledger!$B$2:$B$4, $A914, Ledger!$C$2:$C$4, T$2)),"****")</f>
        <v/>
      </c>
      <c r="U914" t="str">
        <f>IFERROR(IF($C914="","",SUMIFS(Ledger!$K$2:$K$4, Ledger!$B$2:$B$4, $A914, Ledger!$C$2:$C$4, U$2)),"****")</f>
        <v/>
      </c>
      <c r="V914" t="str">
        <f>IFERROR(IF($C914="","",SUMIFS(Ledger!$K$2:$K$4, Ledger!$B$2:$B$4, $A914, Ledger!$C$2:$C$4, V$2)),"****")</f>
        <v/>
      </c>
      <c r="W914" t="str">
        <f>IFERROR(IF($C914="","",SUMIFS(Ledger!$K$2:$K$4, Ledger!$B$2:$B$4, $A914, Ledger!$C$2:$C$4, W$2)),"****")</f>
        <v/>
      </c>
      <c r="X914" t="str">
        <f>IFERROR(IF($C914="","",SUMIFS(Ledger!$K$2:$K$4, Ledger!$B$2:$B$4, $A914, Ledger!$C$2:$C$4, X$2)),"****")</f>
        <v/>
      </c>
    </row>
    <row r="915" spans="1:24" x14ac:dyDescent="0.3">
      <c r="A915" s="106">
        <v>913</v>
      </c>
      <c r="B915" t="str">
        <f>IFERROR(VLOOKUP($A915, Ledger!$B$2:$L$8, 3, 0),"")</f>
        <v/>
      </c>
      <c r="C915" t="str">
        <f>IFERROR(VLOOKUP($A915, Ledger!$B$2:$L$8, 4, 0),"")</f>
        <v/>
      </c>
      <c r="D915" t="str">
        <f>IFERROR(VLOOKUP($A915, Ledger!$B$2:$L$8, 5, 0),"")</f>
        <v/>
      </c>
      <c r="E915" t="str">
        <f>IFERROR(VLOOKUP($A915, Ledger!$B$2:$L$8, 6, 0),"")</f>
        <v/>
      </c>
      <c r="F915" t="str">
        <f>IFERROR(VLOOKUP($A915,'Student Data'!$A$2:$AR$6,32,0),"")</f>
        <v/>
      </c>
      <c r="G915" t="str">
        <f>IFERROR(VLOOKUP($A915,'Student Data'!$A$2:$AR$6,33,0),"")</f>
        <v/>
      </c>
      <c r="H915" t="str">
        <f>IFERROR(VLOOKUP($A915,'Student Data'!$A$2:$AR$6,34,0),"")</f>
        <v/>
      </c>
      <c r="I915" t="str">
        <f>IFERROR(VLOOKUP($A915,'Student Data'!$A$2:$AR$6,35,0),"")</f>
        <v/>
      </c>
      <c r="J915" t="str">
        <f>IFERROR(VLOOKUP($A915,'Student Data'!$A$2:$AR$6,36,0),"")</f>
        <v/>
      </c>
      <c r="K915" t="str">
        <f t="shared" si="28"/>
        <v/>
      </c>
      <c r="L915" t="str">
        <f t="shared" si="29"/>
        <v/>
      </c>
      <c r="M915" t="str">
        <f>IFERROR(IF($C915="","",SUMIFS(Ledger!$K$2:$K$4, Ledger!$B$2:$B$4, $A915, Ledger!$C$2:$C$4, M$2)),"****")</f>
        <v/>
      </c>
      <c r="N915" t="str">
        <f>IFERROR(IF($C915="","",SUMIFS(Ledger!$K$2:$K$4, Ledger!$B$2:$B$4, $A915, Ledger!$C$2:$C$4, N$2)),"****")</f>
        <v/>
      </c>
      <c r="O915" t="str">
        <f>IFERROR(IF($C915="","",SUMIFS(Ledger!$K$2:$K$4, Ledger!$B$2:$B$4, $A915, Ledger!$C$2:$C$4, O$2)),"****")</f>
        <v/>
      </c>
      <c r="P915" t="str">
        <f>IFERROR(IF($C915="","",SUMIFS(Ledger!$K$2:$K$4, Ledger!$B$2:$B$4, $A915, Ledger!$C$2:$C$4, P$2)),"****")</f>
        <v/>
      </c>
      <c r="Q915" t="str">
        <f>IFERROR(IF($C915="","",SUMIFS(Ledger!$K$2:$K$4, Ledger!$B$2:$B$4, $A915, Ledger!$C$2:$C$4, Q$2)),"****")</f>
        <v/>
      </c>
      <c r="R915" t="str">
        <f>IFERROR(IF($C915="","",SUMIFS(Ledger!$K$2:$K$4, Ledger!$B$2:$B$4, $A915, Ledger!$C$2:$C$4, R$2)),"****")</f>
        <v/>
      </c>
      <c r="S915" t="str">
        <f>IFERROR(IF($C915="","",SUMIFS(Ledger!$K$2:$K$4, Ledger!$B$2:$B$4, $A915, Ledger!$C$2:$C$4, S$2)),"****")</f>
        <v/>
      </c>
      <c r="T915" t="str">
        <f>IFERROR(IF($C915="","",SUMIFS(Ledger!$K$2:$K$4, Ledger!$B$2:$B$4, $A915, Ledger!$C$2:$C$4, T$2)),"****")</f>
        <v/>
      </c>
      <c r="U915" t="str">
        <f>IFERROR(IF($C915="","",SUMIFS(Ledger!$K$2:$K$4, Ledger!$B$2:$B$4, $A915, Ledger!$C$2:$C$4, U$2)),"****")</f>
        <v/>
      </c>
      <c r="V915" t="str">
        <f>IFERROR(IF($C915="","",SUMIFS(Ledger!$K$2:$K$4, Ledger!$B$2:$B$4, $A915, Ledger!$C$2:$C$4, V$2)),"****")</f>
        <v/>
      </c>
      <c r="W915" t="str">
        <f>IFERROR(IF($C915="","",SUMIFS(Ledger!$K$2:$K$4, Ledger!$B$2:$B$4, $A915, Ledger!$C$2:$C$4, W$2)),"****")</f>
        <v/>
      </c>
      <c r="X915" t="str">
        <f>IFERROR(IF($C915="","",SUMIFS(Ledger!$K$2:$K$4, Ledger!$B$2:$B$4, $A915, Ledger!$C$2:$C$4, X$2)),"****")</f>
        <v/>
      </c>
    </row>
    <row r="916" spans="1:24" x14ac:dyDescent="0.3">
      <c r="A916" s="106">
        <v>914</v>
      </c>
      <c r="B916" t="str">
        <f>IFERROR(VLOOKUP($A916, Ledger!$B$2:$L$8, 3, 0),"")</f>
        <v/>
      </c>
      <c r="C916" t="str">
        <f>IFERROR(VLOOKUP($A916, Ledger!$B$2:$L$8, 4, 0),"")</f>
        <v/>
      </c>
      <c r="D916" t="str">
        <f>IFERROR(VLOOKUP($A916, Ledger!$B$2:$L$8, 5, 0),"")</f>
        <v/>
      </c>
      <c r="E916" t="str">
        <f>IFERROR(VLOOKUP($A916, Ledger!$B$2:$L$8, 6, 0),"")</f>
        <v/>
      </c>
      <c r="F916" t="str">
        <f>IFERROR(VLOOKUP($A916,'Student Data'!$A$2:$AR$6,32,0),"")</f>
        <v/>
      </c>
      <c r="G916" t="str">
        <f>IFERROR(VLOOKUP($A916,'Student Data'!$A$2:$AR$6,33,0),"")</f>
        <v/>
      </c>
      <c r="H916" t="str">
        <f>IFERROR(VLOOKUP($A916,'Student Data'!$A$2:$AR$6,34,0),"")</f>
        <v/>
      </c>
      <c r="I916" t="str">
        <f>IFERROR(VLOOKUP($A916,'Student Data'!$A$2:$AR$6,35,0),"")</f>
        <v/>
      </c>
      <c r="J916" t="str">
        <f>IFERROR(VLOOKUP($A916,'Student Data'!$A$2:$AR$6,36,0),"")</f>
        <v/>
      </c>
      <c r="K916" t="str">
        <f t="shared" si="28"/>
        <v/>
      </c>
      <c r="L916" t="str">
        <f t="shared" si="29"/>
        <v/>
      </c>
      <c r="M916" t="str">
        <f>IFERROR(IF($C916="","",SUMIFS(Ledger!$K$2:$K$4, Ledger!$B$2:$B$4, $A916, Ledger!$C$2:$C$4, M$2)),"****")</f>
        <v/>
      </c>
      <c r="N916" t="str">
        <f>IFERROR(IF($C916="","",SUMIFS(Ledger!$K$2:$K$4, Ledger!$B$2:$B$4, $A916, Ledger!$C$2:$C$4, N$2)),"****")</f>
        <v/>
      </c>
      <c r="O916" t="str">
        <f>IFERROR(IF($C916="","",SUMIFS(Ledger!$K$2:$K$4, Ledger!$B$2:$B$4, $A916, Ledger!$C$2:$C$4, O$2)),"****")</f>
        <v/>
      </c>
      <c r="P916" t="str">
        <f>IFERROR(IF($C916="","",SUMIFS(Ledger!$K$2:$K$4, Ledger!$B$2:$B$4, $A916, Ledger!$C$2:$C$4, P$2)),"****")</f>
        <v/>
      </c>
      <c r="Q916" t="str">
        <f>IFERROR(IF($C916="","",SUMIFS(Ledger!$K$2:$K$4, Ledger!$B$2:$B$4, $A916, Ledger!$C$2:$C$4, Q$2)),"****")</f>
        <v/>
      </c>
      <c r="R916" t="str">
        <f>IFERROR(IF($C916="","",SUMIFS(Ledger!$K$2:$K$4, Ledger!$B$2:$B$4, $A916, Ledger!$C$2:$C$4, R$2)),"****")</f>
        <v/>
      </c>
      <c r="S916" t="str">
        <f>IFERROR(IF($C916="","",SUMIFS(Ledger!$K$2:$K$4, Ledger!$B$2:$B$4, $A916, Ledger!$C$2:$C$4, S$2)),"****")</f>
        <v/>
      </c>
      <c r="T916" t="str">
        <f>IFERROR(IF($C916="","",SUMIFS(Ledger!$K$2:$K$4, Ledger!$B$2:$B$4, $A916, Ledger!$C$2:$C$4, T$2)),"****")</f>
        <v/>
      </c>
      <c r="U916" t="str">
        <f>IFERROR(IF($C916="","",SUMIFS(Ledger!$K$2:$K$4, Ledger!$B$2:$B$4, $A916, Ledger!$C$2:$C$4, U$2)),"****")</f>
        <v/>
      </c>
      <c r="V916" t="str">
        <f>IFERROR(IF($C916="","",SUMIFS(Ledger!$K$2:$K$4, Ledger!$B$2:$B$4, $A916, Ledger!$C$2:$C$4, V$2)),"****")</f>
        <v/>
      </c>
      <c r="W916" t="str">
        <f>IFERROR(IF($C916="","",SUMIFS(Ledger!$K$2:$K$4, Ledger!$B$2:$B$4, $A916, Ledger!$C$2:$C$4, W$2)),"****")</f>
        <v/>
      </c>
      <c r="X916" t="str">
        <f>IFERROR(IF($C916="","",SUMIFS(Ledger!$K$2:$K$4, Ledger!$B$2:$B$4, $A916, Ledger!$C$2:$C$4, X$2)),"****")</f>
        <v/>
      </c>
    </row>
    <row r="917" spans="1:24" x14ac:dyDescent="0.3">
      <c r="A917" s="106">
        <v>915</v>
      </c>
      <c r="B917" t="str">
        <f>IFERROR(VLOOKUP($A917, Ledger!$B$2:$L$8, 3, 0),"")</f>
        <v/>
      </c>
      <c r="C917" t="str">
        <f>IFERROR(VLOOKUP($A917, Ledger!$B$2:$L$8, 4, 0),"")</f>
        <v/>
      </c>
      <c r="D917" t="str">
        <f>IFERROR(VLOOKUP($A917, Ledger!$B$2:$L$8, 5, 0),"")</f>
        <v/>
      </c>
      <c r="E917" t="str">
        <f>IFERROR(VLOOKUP($A917, Ledger!$B$2:$L$8, 6, 0),"")</f>
        <v/>
      </c>
      <c r="F917" t="str">
        <f>IFERROR(VLOOKUP($A917,'Student Data'!$A$2:$AR$6,32,0),"")</f>
        <v/>
      </c>
      <c r="G917" t="str">
        <f>IFERROR(VLOOKUP($A917,'Student Data'!$A$2:$AR$6,33,0),"")</f>
        <v/>
      </c>
      <c r="H917" t="str">
        <f>IFERROR(VLOOKUP($A917,'Student Data'!$A$2:$AR$6,34,0),"")</f>
        <v/>
      </c>
      <c r="I917" t="str">
        <f>IFERROR(VLOOKUP($A917,'Student Data'!$A$2:$AR$6,35,0),"")</f>
        <v/>
      </c>
      <c r="J917" t="str">
        <f>IFERROR(VLOOKUP($A917,'Student Data'!$A$2:$AR$6,36,0),"")</f>
        <v/>
      </c>
      <c r="K917" t="str">
        <f t="shared" si="28"/>
        <v/>
      </c>
      <c r="L917" t="str">
        <f t="shared" si="29"/>
        <v/>
      </c>
      <c r="M917" t="str">
        <f>IFERROR(IF($C917="","",SUMIFS(Ledger!$K$2:$K$4, Ledger!$B$2:$B$4, $A917, Ledger!$C$2:$C$4, M$2)),"****")</f>
        <v/>
      </c>
      <c r="N917" t="str">
        <f>IFERROR(IF($C917="","",SUMIFS(Ledger!$K$2:$K$4, Ledger!$B$2:$B$4, $A917, Ledger!$C$2:$C$4, N$2)),"****")</f>
        <v/>
      </c>
      <c r="O917" t="str">
        <f>IFERROR(IF($C917="","",SUMIFS(Ledger!$K$2:$K$4, Ledger!$B$2:$B$4, $A917, Ledger!$C$2:$C$4, O$2)),"****")</f>
        <v/>
      </c>
      <c r="P917" t="str">
        <f>IFERROR(IF($C917="","",SUMIFS(Ledger!$K$2:$K$4, Ledger!$B$2:$B$4, $A917, Ledger!$C$2:$C$4, P$2)),"****")</f>
        <v/>
      </c>
      <c r="Q917" t="str">
        <f>IFERROR(IF($C917="","",SUMIFS(Ledger!$K$2:$K$4, Ledger!$B$2:$B$4, $A917, Ledger!$C$2:$C$4, Q$2)),"****")</f>
        <v/>
      </c>
      <c r="R917" t="str">
        <f>IFERROR(IF($C917="","",SUMIFS(Ledger!$K$2:$K$4, Ledger!$B$2:$B$4, $A917, Ledger!$C$2:$C$4, R$2)),"****")</f>
        <v/>
      </c>
      <c r="S917" t="str">
        <f>IFERROR(IF($C917="","",SUMIFS(Ledger!$K$2:$K$4, Ledger!$B$2:$B$4, $A917, Ledger!$C$2:$C$4, S$2)),"****")</f>
        <v/>
      </c>
      <c r="T917" t="str">
        <f>IFERROR(IF($C917="","",SUMIFS(Ledger!$K$2:$K$4, Ledger!$B$2:$B$4, $A917, Ledger!$C$2:$C$4, T$2)),"****")</f>
        <v/>
      </c>
      <c r="U917" t="str">
        <f>IFERROR(IF($C917="","",SUMIFS(Ledger!$K$2:$K$4, Ledger!$B$2:$B$4, $A917, Ledger!$C$2:$C$4, U$2)),"****")</f>
        <v/>
      </c>
      <c r="V917" t="str">
        <f>IFERROR(IF($C917="","",SUMIFS(Ledger!$K$2:$K$4, Ledger!$B$2:$B$4, $A917, Ledger!$C$2:$C$4, V$2)),"****")</f>
        <v/>
      </c>
      <c r="W917" t="str">
        <f>IFERROR(IF($C917="","",SUMIFS(Ledger!$K$2:$K$4, Ledger!$B$2:$B$4, $A917, Ledger!$C$2:$C$4, W$2)),"****")</f>
        <v/>
      </c>
      <c r="X917" t="str">
        <f>IFERROR(IF($C917="","",SUMIFS(Ledger!$K$2:$K$4, Ledger!$B$2:$B$4, $A917, Ledger!$C$2:$C$4, X$2)),"****")</f>
        <v/>
      </c>
    </row>
    <row r="918" spans="1:24" x14ac:dyDescent="0.3">
      <c r="A918" s="106">
        <v>916</v>
      </c>
      <c r="B918" t="str">
        <f>IFERROR(VLOOKUP($A918, Ledger!$B$2:$L$8, 3, 0),"")</f>
        <v/>
      </c>
      <c r="C918" t="str">
        <f>IFERROR(VLOOKUP($A918, Ledger!$B$2:$L$8, 4, 0),"")</f>
        <v/>
      </c>
      <c r="D918" t="str">
        <f>IFERROR(VLOOKUP($A918, Ledger!$B$2:$L$8, 5, 0),"")</f>
        <v/>
      </c>
      <c r="E918" t="str">
        <f>IFERROR(VLOOKUP($A918, Ledger!$B$2:$L$8, 6, 0),"")</f>
        <v/>
      </c>
      <c r="F918" t="str">
        <f>IFERROR(VLOOKUP($A918,'Student Data'!$A$2:$AR$6,32,0),"")</f>
        <v/>
      </c>
      <c r="G918" t="str">
        <f>IFERROR(VLOOKUP($A918,'Student Data'!$A$2:$AR$6,33,0),"")</f>
        <v/>
      </c>
      <c r="H918" t="str">
        <f>IFERROR(VLOOKUP($A918,'Student Data'!$A$2:$AR$6,34,0),"")</f>
        <v/>
      </c>
      <c r="I918" t="str">
        <f>IFERROR(VLOOKUP($A918,'Student Data'!$A$2:$AR$6,35,0),"")</f>
        <v/>
      </c>
      <c r="J918" t="str">
        <f>IFERROR(VLOOKUP($A918,'Student Data'!$A$2:$AR$6,36,0),"")</f>
        <v/>
      </c>
      <c r="K918" t="str">
        <f t="shared" si="28"/>
        <v/>
      </c>
      <c r="L918" t="str">
        <f t="shared" si="29"/>
        <v/>
      </c>
      <c r="M918" t="str">
        <f>IFERROR(IF($C918="","",SUMIFS(Ledger!$K$2:$K$4, Ledger!$B$2:$B$4, $A918, Ledger!$C$2:$C$4, M$2)),"****")</f>
        <v/>
      </c>
      <c r="N918" t="str">
        <f>IFERROR(IF($C918="","",SUMIFS(Ledger!$K$2:$K$4, Ledger!$B$2:$B$4, $A918, Ledger!$C$2:$C$4, N$2)),"****")</f>
        <v/>
      </c>
      <c r="O918" t="str">
        <f>IFERROR(IF($C918="","",SUMIFS(Ledger!$K$2:$K$4, Ledger!$B$2:$B$4, $A918, Ledger!$C$2:$C$4, O$2)),"****")</f>
        <v/>
      </c>
      <c r="P918" t="str">
        <f>IFERROR(IF($C918="","",SUMIFS(Ledger!$K$2:$K$4, Ledger!$B$2:$B$4, $A918, Ledger!$C$2:$C$4, P$2)),"****")</f>
        <v/>
      </c>
      <c r="Q918" t="str">
        <f>IFERROR(IF($C918="","",SUMIFS(Ledger!$K$2:$K$4, Ledger!$B$2:$B$4, $A918, Ledger!$C$2:$C$4, Q$2)),"****")</f>
        <v/>
      </c>
      <c r="R918" t="str">
        <f>IFERROR(IF($C918="","",SUMIFS(Ledger!$K$2:$K$4, Ledger!$B$2:$B$4, $A918, Ledger!$C$2:$C$4, R$2)),"****")</f>
        <v/>
      </c>
      <c r="S918" t="str">
        <f>IFERROR(IF($C918="","",SUMIFS(Ledger!$K$2:$K$4, Ledger!$B$2:$B$4, $A918, Ledger!$C$2:$C$4, S$2)),"****")</f>
        <v/>
      </c>
      <c r="T918" t="str">
        <f>IFERROR(IF($C918="","",SUMIFS(Ledger!$K$2:$K$4, Ledger!$B$2:$B$4, $A918, Ledger!$C$2:$C$4, T$2)),"****")</f>
        <v/>
      </c>
      <c r="U918" t="str">
        <f>IFERROR(IF($C918="","",SUMIFS(Ledger!$K$2:$K$4, Ledger!$B$2:$B$4, $A918, Ledger!$C$2:$C$4, U$2)),"****")</f>
        <v/>
      </c>
      <c r="V918" t="str">
        <f>IFERROR(IF($C918="","",SUMIFS(Ledger!$K$2:$K$4, Ledger!$B$2:$B$4, $A918, Ledger!$C$2:$C$4, V$2)),"****")</f>
        <v/>
      </c>
      <c r="W918" t="str">
        <f>IFERROR(IF($C918="","",SUMIFS(Ledger!$K$2:$K$4, Ledger!$B$2:$B$4, $A918, Ledger!$C$2:$C$4, W$2)),"****")</f>
        <v/>
      </c>
      <c r="X918" t="str">
        <f>IFERROR(IF($C918="","",SUMIFS(Ledger!$K$2:$K$4, Ledger!$B$2:$B$4, $A918, Ledger!$C$2:$C$4, X$2)),"****")</f>
        <v/>
      </c>
    </row>
    <row r="919" spans="1:24" x14ac:dyDescent="0.3">
      <c r="A919" s="106">
        <v>917</v>
      </c>
      <c r="B919" t="str">
        <f>IFERROR(VLOOKUP($A919, Ledger!$B$2:$L$8, 3, 0),"")</f>
        <v/>
      </c>
      <c r="C919" t="str">
        <f>IFERROR(VLOOKUP($A919, Ledger!$B$2:$L$8, 4, 0),"")</f>
        <v/>
      </c>
      <c r="D919" t="str">
        <f>IFERROR(VLOOKUP($A919, Ledger!$B$2:$L$8, 5, 0),"")</f>
        <v/>
      </c>
      <c r="E919" t="str">
        <f>IFERROR(VLOOKUP($A919, Ledger!$B$2:$L$8, 6, 0),"")</f>
        <v/>
      </c>
      <c r="F919" t="str">
        <f>IFERROR(VLOOKUP($A919,'Student Data'!$A$2:$AR$6,32,0),"")</f>
        <v/>
      </c>
      <c r="G919" t="str">
        <f>IFERROR(VLOOKUP($A919,'Student Data'!$A$2:$AR$6,33,0),"")</f>
        <v/>
      </c>
      <c r="H919" t="str">
        <f>IFERROR(VLOOKUP($A919,'Student Data'!$A$2:$AR$6,34,0),"")</f>
        <v/>
      </c>
      <c r="I919" t="str">
        <f>IFERROR(VLOOKUP($A919,'Student Data'!$A$2:$AR$6,35,0),"")</f>
        <v/>
      </c>
      <c r="J919" t="str">
        <f>IFERROR(VLOOKUP($A919,'Student Data'!$A$2:$AR$6,36,0),"")</f>
        <v/>
      </c>
      <c r="K919" t="str">
        <f t="shared" si="28"/>
        <v/>
      </c>
      <c r="L919" t="str">
        <f t="shared" si="29"/>
        <v/>
      </c>
      <c r="M919" t="str">
        <f>IFERROR(IF($C919="","",SUMIFS(Ledger!$K$2:$K$4, Ledger!$B$2:$B$4, $A919, Ledger!$C$2:$C$4, M$2)),"****")</f>
        <v/>
      </c>
      <c r="N919" t="str">
        <f>IFERROR(IF($C919="","",SUMIFS(Ledger!$K$2:$K$4, Ledger!$B$2:$B$4, $A919, Ledger!$C$2:$C$4, N$2)),"****")</f>
        <v/>
      </c>
      <c r="O919" t="str">
        <f>IFERROR(IF($C919="","",SUMIFS(Ledger!$K$2:$K$4, Ledger!$B$2:$B$4, $A919, Ledger!$C$2:$C$4, O$2)),"****")</f>
        <v/>
      </c>
      <c r="P919" t="str">
        <f>IFERROR(IF($C919="","",SUMIFS(Ledger!$K$2:$K$4, Ledger!$B$2:$B$4, $A919, Ledger!$C$2:$C$4, P$2)),"****")</f>
        <v/>
      </c>
      <c r="Q919" t="str">
        <f>IFERROR(IF($C919="","",SUMIFS(Ledger!$K$2:$K$4, Ledger!$B$2:$B$4, $A919, Ledger!$C$2:$C$4, Q$2)),"****")</f>
        <v/>
      </c>
      <c r="R919" t="str">
        <f>IFERROR(IF($C919="","",SUMIFS(Ledger!$K$2:$K$4, Ledger!$B$2:$B$4, $A919, Ledger!$C$2:$C$4, R$2)),"****")</f>
        <v/>
      </c>
      <c r="S919" t="str">
        <f>IFERROR(IF($C919="","",SUMIFS(Ledger!$K$2:$K$4, Ledger!$B$2:$B$4, $A919, Ledger!$C$2:$C$4, S$2)),"****")</f>
        <v/>
      </c>
      <c r="T919" t="str">
        <f>IFERROR(IF($C919="","",SUMIFS(Ledger!$K$2:$K$4, Ledger!$B$2:$B$4, $A919, Ledger!$C$2:$C$4, T$2)),"****")</f>
        <v/>
      </c>
      <c r="U919" t="str">
        <f>IFERROR(IF($C919="","",SUMIFS(Ledger!$K$2:$K$4, Ledger!$B$2:$B$4, $A919, Ledger!$C$2:$C$4, U$2)),"****")</f>
        <v/>
      </c>
      <c r="V919" t="str">
        <f>IFERROR(IF($C919="","",SUMIFS(Ledger!$K$2:$K$4, Ledger!$B$2:$B$4, $A919, Ledger!$C$2:$C$4, V$2)),"****")</f>
        <v/>
      </c>
      <c r="W919" t="str">
        <f>IFERROR(IF($C919="","",SUMIFS(Ledger!$K$2:$K$4, Ledger!$B$2:$B$4, $A919, Ledger!$C$2:$C$4, W$2)),"****")</f>
        <v/>
      </c>
      <c r="X919" t="str">
        <f>IFERROR(IF($C919="","",SUMIFS(Ledger!$K$2:$K$4, Ledger!$B$2:$B$4, $A919, Ledger!$C$2:$C$4, X$2)),"****")</f>
        <v/>
      </c>
    </row>
    <row r="920" spans="1:24" x14ac:dyDescent="0.3">
      <c r="A920" s="106">
        <v>918</v>
      </c>
      <c r="B920" t="str">
        <f>IFERROR(VLOOKUP($A920, Ledger!$B$2:$L$8, 3, 0),"")</f>
        <v/>
      </c>
      <c r="C920" t="str">
        <f>IFERROR(VLOOKUP($A920, Ledger!$B$2:$L$8, 4, 0),"")</f>
        <v/>
      </c>
      <c r="D920" t="str">
        <f>IFERROR(VLOOKUP($A920, Ledger!$B$2:$L$8, 5, 0),"")</f>
        <v/>
      </c>
      <c r="E920" t="str">
        <f>IFERROR(VLOOKUP($A920, Ledger!$B$2:$L$8, 6, 0),"")</f>
        <v/>
      </c>
      <c r="F920" t="str">
        <f>IFERROR(VLOOKUP($A920,'Student Data'!$A$2:$AR$6,32,0),"")</f>
        <v/>
      </c>
      <c r="G920" t="str">
        <f>IFERROR(VLOOKUP($A920,'Student Data'!$A$2:$AR$6,33,0),"")</f>
        <v/>
      </c>
      <c r="H920" t="str">
        <f>IFERROR(VLOOKUP($A920,'Student Data'!$A$2:$AR$6,34,0),"")</f>
        <v/>
      </c>
      <c r="I920" t="str">
        <f>IFERROR(VLOOKUP($A920,'Student Data'!$A$2:$AR$6,35,0),"")</f>
        <v/>
      </c>
      <c r="J920" t="str">
        <f>IFERROR(VLOOKUP($A920,'Student Data'!$A$2:$AR$6,36,0),"")</f>
        <v/>
      </c>
      <c r="K920" t="str">
        <f t="shared" si="28"/>
        <v/>
      </c>
      <c r="L920" t="str">
        <f t="shared" si="29"/>
        <v/>
      </c>
      <c r="M920" t="str">
        <f>IFERROR(IF($C920="","",SUMIFS(Ledger!$K$2:$K$4, Ledger!$B$2:$B$4, $A920, Ledger!$C$2:$C$4, M$2)),"****")</f>
        <v/>
      </c>
      <c r="N920" t="str">
        <f>IFERROR(IF($C920="","",SUMIFS(Ledger!$K$2:$K$4, Ledger!$B$2:$B$4, $A920, Ledger!$C$2:$C$4, N$2)),"****")</f>
        <v/>
      </c>
      <c r="O920" t="str">
        <f>IFERROR(IF($C920="","",SUMIFS(Ledger!$K$2:$K$4, Ledger!$B$2:$B$4, $A920, Ledger!$C$2:$C$4, O$2)),"****")</f>
        <v/>
      </c>
      <c r="P920" t="str">
        <f>IFERROR(IF($C920="","",SUMIFS(Ledger!$K$2:$K$4, Ledger!$B$2:$B$4, $A920, Ledger!$C$2:$C$4, P$2)),"****")</f>
        <v/>
      </c>
      <c r="Q920" t="str">
        <f>IFERROR(IF($C920="","",SUMIFS(Ledger!$K$2:$K$4, Ledger!$B$2:$B$4, $A920, Ledger!$C$2:$C$4, Q$2)),"****")</f>
        <v/>
      </c>
      <c r="R920" t="str">
        <f>IFERROR(IF($C920="","",SUMIFS(Ledger!$K$2:$K$4, Ledger!$B$2:$B$4, $A920, Ledger!$C$2:$C$4, R$2)),"****")</f>
        <v/>
      </c>
      <c r="S920" t="str">
        <f>IFERROR(IF($C920="","",SUMIFS(Ledger!$K$2:$K$4, Ledger!$B$2:$B$4, $A920, Ledger!$C$2:$C$4, S$2)),"****")</f>
        <v/>
      </c>
      <c r="T920" t="str">
        <f>IFERROR(IF($C920="","",SUMIFS(Ledger!$K$2:$K$4, Ledger!$B$2:$B$4, $A920, Ledger!$C$2:$C$4, T$2)),"****")</f>
        <v/>
      </c>
      <c r="U920" t="str">
        <f>IFERROR(IF($C920="","",SUMIFS(Ledger!$K$2:$K$4, Ledger!$B$2:$B$4, $A920, Ledger!$C$2:$C$4, U$2)),"****")</f>
        <v/>
      </c>
      <c r="V920" t="str">
        <f>IFERROR(IF($C920="","",SUMIFS(Ledger!$K$2:$K$4, Ledger!$B$2:$B$4, $A920, Ledger!$C$2:$C$4, V$2)),"****")</f>
        <v/>
      </c>
      <c r="W920" t="str">
        <f>IFERROR(IF($C920="","",SUMIFS(Ledger!$K$2:$K$4, Ledger!$B$2:$B$4, $A920, Ledger!$C$2:$C$4, W$2)),"****")</f>
        <v/>
      </c>
      <c r="X920" t="str">
        <f>IFERROR(IF($C920="","",SUMIFS(Ledger!$K$2:$K$4, Ledger!$B$2:$B$4, $A920, Ledger!$C$2:$C$4, X$2)),"****")</f>
        <v/>
      </c>
    </row>
    <row r="921" spans="1:24" x14ac:dyDescent="0.3">
      <c r="A921" s="106">
        <v>919</v>
      </c>
      <c r="B921" t="str">
        <f>IFERROR(VLOOKUP($A921, Ledger!$B$2:$L$8, 3, 0),"")</f>
        <v/>
      </c>
      <c r="C921" t="str">
        <f>IFERROR(VLOOKUP($A921, Ledger!$B$2:$L$8, 4, 0),"")</f>
        <v/>
      </c>
      <c r="D921" t="str">
        <f>IFERROR(VLOOKUP($A921, Ledger!$B$2:$L$8, 5, 0),"")</f>
        <v/>
      </c>
      <c r="E921" t="str">
        <f>IFERROR(VLOOKUP($A921, Ledger!$B$2:$L$8, 6, 0),"")</f>
        <v/>
      </c>
      <c r="F921" t="str">
        <f>IFERROR(VLOOKUP($A921,'Student Data'!$A$2:$AR$6,32,0),"")</f>
        <v/>
      </c>
      <c r="G921" t="str">
        <f>IFERROR(VLOOKUP($A921,'Student Data'!$A$2:$AR$6,33,0),"")</f>
        <v/>
      </c>
      <c r="H921" t="str">
        <f>IFERROR(VLOOKUP($A921,'Student Data'!$A$2:$AR$6,34,0),"")</f>
        <v/>
      </c>
      <c r="I921" t="str">
        <f>IFERROR(VLOOKUP($A921,'Student Data'!$A$2:$AR$6,35,0),"")</f>
        <v/>
      </c>
      <c r="J921" t="str">
        <f>IFERROR(VLOOKUP($A921,'Student Data'!$A$2:$AR$6,36,0),"")</f>
        <v/>
      </c>
      <c r="K921" t="str">
        <f t="shared" si="28"/>
        <v/>
      </c>
      <c r="L921" t="str">
        <f t="shared" si="29"/>
        <v/>
      </c>
      <c r="M921" t="str">
        <f>IFERROR(IF($C921="","",SUMIFS(Ledger!$K$2:$K$4, Ledger!$B$2:$B$4, $A921, Ledger!$C$2:$C$4, M$2)),"****")</f>
        <v/>
      </c>
      <c r="N921" t="str">
        <f>IFERROR(IF($C921="","",SUMIFS(Ledger!$K$2:$K$4, Ledger!$B$2:$B$4, $A921, Ledger!$C$2:$C$4, N$2)),"****")</f>
        <v/>
      </c>
      <c r="O921" t="str">
        <f>IFERROR(IF($C921="","",SUMIFS(Ledger!$K$2:$K$4, Ledger!$B$2:$B$4, $A921, Ledger!$C$2:$C$4, O$2)),"****")</f>
        <v/>
      </c>
      <c r="P921" t="str">
        <f>IFERROR(IF($C921="","",SUMIFS(Ledger!$K$2:$K$4, Ledger!$B$2:$B$4, $A921, Ledger!$C$2:$C$4, P$2)),"****")</f>
        <v/>
      </c>
      <c r="Q921" t="str">
        <f>IFERROR(IF($C921="","",SUMIFS(Ledger!$K$2:$K$4, Ledger!$B$2:$B$4, $A921, Ledger!$C$2:$C$4, Q$2)),"****")</f>
        <v/>
      </c>
      <c r="R921" t="str">
        <f>IFERROR(IF($C921="","",SUMIFS(Ledger!$K$2:$K$4, Ledger!$B$2:$B$4, $A921, Ledger!$C$2:$C$4, R$2)),"****")</f>
        <v/>
      </c>
      <c r="S921" t="str">
        <f>IFERROR(IF($C921="","",SUMIFS(Ledger!$K$2:$K$4, Ledger!$B$2:$B$4, $A921, Ledger!$C$2:$C$4, S$2)),"****")</f>
        <v/>
      </c>
      <c r="T921" t="str">
        <f>IFERROR(IF($C921="","",SUMIFS(Ledger!$K$2:$K$4, Ledger!$B$2:$B$4, $A921, Ledger!$C$2:$C$4, T$2)),"****")</f>
        <v/>
      </c>
      <c r="U921" t="str">
        <f>IFERROR(IF($C921="","",SUMIFS(Ledger!$K$2:$K$4, Ledger!$B$2:$B$4, $A921, Ledger!$C$2:$C$4, U$2)),"****")</f>
        <v/>
      </c>
      <c r="V921" t="str">
        <f>IFERROR(IF($C921="","",SUMIFS(Ledger!$K$2:$K$4, Ledger!$B$2:$B$4, $A921, Ledger!$C$2:$C$4, V$2)),"****")</f>
        <v/>
      </c>
      <c r="W921" t="str">
        <f>IFERROR(IF($C921="","",SUMIFS(Ledger!$K$2:$K$4, Ledger!$B$2:$B$4, $A921, Ledger!$C$2:$C$4, W$2)),"****")</f>
        <v/>
      </c>
      <c r="X921" t="str">
        <f>IFERROR(IF($C921="","",SUMIFS(Ledger!$K$2:$K$4, Ledger!$B$2:$B$4, $A921, Ledger!$C$2:$C$4, X$2)),"****")</f>
        <v/>
      </c>
    </row>
    <row r="922" spans="1:24" x14ac:dyDescent="0.3">
      <c r="A922" s="106">
        <v>920</v>
      </c>
      <c r="B922" t="str">
        <f>IFERROR(VLOOKUP($A922, Ledger!$B$2:$L$8, 3, 0),"")</f>
        <v/>
      </c>
      <c r="C922" t="str">
        <f>IFERROR(VLOOKUP($A922, Ledger!$B$2:$L$8, 4, 0),"")</f>
        <v/>
      </c>
      <c r="D922" t="str">
        <f>IFERROR(VLOOKUP($A922, Ledger!$B$2:$L$8, 5, 0),"")</f>
        <v/>
      </c>
      <c r="E922" t="str">
        <f>IFERROR(VLOOKUP($A922, Ledger!$B$2:$L$8, 6, 0),"")</f>
        <v/>
      </c>
      <c r="F922" t="str">
        <f>IFERROR(VLOOKUP($A922,'Student Data'!$A$2:$AR$6,32,0),"")</f>
        <v/>
      </c>
      <c r="G922" t="str">
        <f>IFERROR(VLOOKUP($A922,'Student Data'!$A$2:$AR$6,33,0),"")</f>
        <v/>
      </c>
      <c r="H922" t="str">
        <f>IFERROR(VLOOKUP($A922,'Student Data'!$A$2:$AR$6,34,0),"")</f>
        <v/>
      </c>
      <c r="I922" t="str">
        <f>IFERROR(VLOOKUP($A922,'Student Data'!$A$2:$AR$6,35,0),"")</f>
        <v/>
      </c>
      <c r="J922" t="str">
        <f>IFERROR(VLOOKUP($A922,'Student Data'!$A$2:$AR$6,36,0),"")</f>
        <v/>
      </c>
      <c r="K922" t="str">
        <f t="shared" si="28"/>
        <v/>
      </c>
      <c r="L922" t="str">
        <f t="shared" si="29"/>
        <v/>
      </c>
      <c r="M922" t="str">
        <f>IFERROR(IF($C922="","",SUMIFS(Ledger!$K$2:$K$4, Ledger!$B$2:$B$4, $A922, Ledger!$C$2:$C$4, M$2)),"****")</f>
        <v/>
      </c>
      <c r="N922" t="str">
        <f>IFERROR(IF($C922="","",SUMIFS(Ledger!$K$2:$K$4, Ledger!$B$2:$B$4, $A922, Ledger!$C$2:$C$4, N$2)),"****")</f>
        <v/>
      </c>
      <c r="O922" t="str">
        <f>IFERROR(IF($C922="","",SUMIFS(Ledger!$K$2:$K$4, Ledger!$B$2:$B$4, $A922, Ledger!$C$2:$C$4, O$2)),"****")</f>
        <v/>
      </c>
      <c r="P922" t="str">
        <f>IFERROR(IF($C922="","",SUMIFS(Ledger!$K$2:$K$4, Ledger!$B$2:$B$4, $A922, Ledger!$C$2:$C$4, P$2)),"****")</f>
        <v/>
      </c>
      <c r="Q922" t="str">
        <f>IFERROR(IF($C922="","",SUMIFS(Ledger!$K$2:$K$4, Ledger!$B$2:$B$4, $A922, Ledger!$C$2:$C$4, Q$2)),"****")</f>
        <v/>
      </c>
      <c r="R922" t="str">
        <f>IFERROR(IF($C922="","",SUMIFS(Ledger!$K$2:$K$4, Ledger!$B$2:$B$4, $A922, Ledger!$C$2:$C$4, R$2)),"****")</f>
        <v/>
      </c>
      <c r="S922" t="str">
        <f>IFERROR(IF($C922="","",SUMIFS(Ledger!$K$2:$K$4, Ledger!$B$2:$B$4, $A922, Ledger!$C$2:$C$4, S$2)),"****")</f>
        <v/>
      </c>
      <c r="T922" t="str">
        <f>IFERROR(IF($C922="","",SUMIFS(Ledger!$K$2:$K$4, Ledger!$B$2:$B$4, $A922, Ledger!$C$2:$C$4, T$2)),"****")</f>
        <v/>
      </c>
      <c r="U922" t="str">
        <f>IFERROR(IF($C922="","",SUMIFS(Ledger!$K$2:$K$4, Ledger!$B$2:$B$4, $A922, Ledger!$C$2:$C$4, U$2)),"****")</f>
        <v/>
      </c>
      <c r="V922" t="str">
        <f>IFERROR(IF($C922="","",SUMIFS(Ledger!$K$2:$K$4, Ledger!$B$2:$B$4, $A922, Ledger!$C$2:$C$4, V$2)),"****")</f>
        <v/>
      </c>
      <c r="W922" t="str">
        <f>IFERROR(IF($C922="","",SUMIFS(Ledger!$K$2:$K$4, Ledger!$B$2:$B$4, $A922, Ledger!$C$2:$C$4, W$2)),"****")</f>
        <v/>
      </c>
      <c r="X922" t="str">
        <f>IFERROR(IF($C922="","",SUMIFS(Ledger!$K$2:$K$4, Ledger!$B$2:$B$4, $A922, Ledger!$C$2:$C$4, X$2)),"****")</f>
        <v/>
      </c>
    </row>
    <row r="923" spans="1:24" x14ac:dyDescent="0.3">
      <c r="A923" s="106">
        <v>921</v>
      </c>
      <c r="B923" t="str">
        <f>IFERROR(VLOOKUP($A923, Ledger!$B$2:$L$8, 3, 0),"")</f>
        <v/>
      </c>
      <c r="C923" t="str">
        <f>IFERROR(VLOOKUP($A923, Ledger!$B$2:$L$8, 4, 0),"")</f>
        <v/>
      </c>
      <c r="D923" t="str">
        <f>IFERROR(VLOOKUP($A923, Ledger!$B$2:$L$8, 5, 0),"")</f>
        <v/>
      </c>
      <c r="E923" t="str">
        <f>IFERROR(VLOOKUP($A923, Ledger!$B$2:$L$8, 6, 0),"")</f>
        <v/>
      </c>
      <c r="F923" t="str">
        <f>IFERROR(VLOOKUP($A923,'Student Data'!$A$2:$AR$6,32,0),"")</f>
        <v/>
      </c>
      <c r="G923" t="str">
        <f>IFERROR(VLOOKUP($A923,'Student Data'!$A$2:$AR$6,33,0),"")</f>
        <v/>
      </c>
      <c r="H923" t="str">
        <f>IFERROR(VLOOKUP($A923,'Student Data'!$A$2:$AR$6,34,0),"")</f>
        <v/>
      </c>
      <c r="I923" t="str">
        <f>IFERROR(VLOOKUP($A923,'Student Data'!$A$2:$AR$6,35,0),"")</f>
        <v/>
      </c>
      <c r="J923" t="str">
        <f>IFERROR(VLOOKUP($A923,'Student Data'!$A$2:$AR$6,36,0),"")</f>
        <v/>
      </c>
      <c r="K923" t="str">
        <f t="shared" si="28"/>
        <v/>
      </c>
      <c r="L923" t="str">
        <f t="shared" si="29"/>
        <v/>
      </c>
      <c r="M923" t="str">
        <f>IFERROR(IF($C923="","",SUMIFS(Ledger!$K$2:$K$4, Ledger!$B$2:$B$4, $A923, Ledger!$C$2:$C$4, M$2)),"****")</f>
        <v/>
      </c>
      <c r="N923" t="str">
        <f>IFERROR(IF($C923="","",SUMIFS(Ledger!$K$2:$K$4, Ledger!$B$2:$B$4, $A923, Ledger!$C$2:$C$4, N$2)),"****")</f>
        <v/>
      </c>
      <c r="O923" t="str">
        <f>IFERROR(IF($C923="","",SUMIFS(Ledger!$K$2:$K$4, Ledger!$B$2:$B$4, $A923, Ledger!$C$2:$C$4, O$2)),"****")</f>
        <v/>
      </c>
      <c r="P923" t="str">
        <f>IFERROR(IF($C923="","",SUMIFS(Ledger!$K$2:$K$4, Ledger!$B$2:$B$4, $A923, Ledger!$C$2:$C$4, P$2)),"****")</f>
        <v/>
      </c>
      <c r="Q923" t="str">
        <f>IFERROR(IF($C923="","",SUMIFS(Ledger!$K$2:$K$4, Ledger!$B$2:$B$4, $A923, Ledger!$C$2:$C$4, Q$2)),"****")</f>
        <v/>
      </c>
      <c r="R923" t="str">
        <f>IFERROR(IF($C923="","",SUMIFS(Ledger!$K$2:$K$4, Ledger!$B$2:$B$4, $A923, Ledger!$C$2:$C$4, R$2)),"****")</f>
        <v/>
      </c>
      <c r="S923" t="str">
        <f>IFERROR(IF($C923="","",SUMIFS(Ledger!$K$2:$K$4, Ledger!$B$2:$B$4, $A923, Ledger!$C$2:$C$4, S$2)),"****")</f>
        <v/>
      </c>
      <c r="T923" t="str">
        <f>IFERROR(IF($C923="","",SUMIFS(Ledger!$K$2:$K$4, Ledger!$B$2:$B$4, $A923, Ledger!$C$2:$C$4, T$2)),"****")</f>
        <v/>
      </c>
      <c r="U923" t="str">
        <f>IFERROR(IF($C923="","",SUMIFS(Ledger!$K$2:$K$4, Ledger!$B$2:$B$4, $A923, Ledger!$C$2:$C$4, U$2)),"****")</f>
        <v/>
      </c>
      <c r="V923" t="str">
        <f>IFERROR(IF($C923="","",SUMIFS(Ledger!$K$2:$K$4, Ledger!$B$2:$B$4, $A923, Ledger!$C$2:$C$4, V$2)),"****")</f>
        <v/>
      </c>
      <c r="W923" t="str">
        <f>IFERROR(IF($C923="","",SUMIFS(Ledger!$K$2:$K$4, Ledger!$B$2:$B$4, $A923, Ledger!$C$2:$C$4, W$2)),"****")</f>
        <v/>
      </c>
      <c r="X923" t="str">
        <f>IFERROR(IF($C923="","",SUMIFS(Ledger!$K$2:$K$4, Ledger!$B$2:$B$4, $A923, Ledger!$C$2:$C$4, X$2)),"****")</f>
        <v/>
      </c>
    </row>
    <row r="924" spans="1:24" x14ac:dyDescent="0.3">
      <c r="A924" s="106">
        <v>922</v>
      </c>
      <c r="B924" t="str">
        <f>IFERROR(VLOOKUP($A924, Ledger!$B$2:$L$8, 3, 0),"")</f>
        <v/>
      </c>
      <c r="C924" t="str">
        <f>IFERROR(VLOOKUP($A924, Ledger!$B$2:$L$8, 4, 0),"")</f>
        <v/>
      </c>
      <c r="D924" t="str">
        <f>IFERROR(VLOOKUP($A924, Ledger!$B$2:$L$8, 5, 0),"")</f>
        <v/>
      </c>
      <c r="E924" t="str">
        <f>IFERROR(VLOOKUP($A924, Ledger!$B$2:$L$8, 6, 0),"")</f>
        <v/>
      </c>
      <c r="F924" t="str">
        <f>IFERROR(VLOOKUP($A924,'Student Data'!$A$2:$AR$6,32,0),"")</f>
        <v/>
      </c>
      <c r="G924" t="str">
        <f>IFERROR(VLOOKUP($A924,'Student Data'!$A$2:$AR$6,33,0),"")</f>
        <v/>
      </c>
      <c r="H924" t="str">
        <f>IFERROR(VLOOKUP($A924,'Student Data'!$A$2:$AR$6,34,0),"")</f>
        <v/>
      </c>
      <c r="I924" t="str">
        <f>IFERROR(VLOOKUP($A924,'Student Data'!$A$2:$AR$6,35,0),"")</f>
        <v/>
      </c>
      <c r="J924" t="str">
        <f>IFERROR(VLOOKUP($A924,'Student Data'!$A$2:$AR$6,36,0),"")</f>
        <v/>
      </c>
      <c r="K924" t="str">
        <f t="shared" si="28"/>
        <v/>
      </c>
      <c r="L924" t="str">
        <f t="shared" si="29"/>
        <v/>
      </c>
      <c r="M924" t="str">
        <f>IFERROR(IF($C924="","",SUMIFS(Ledger!$K$2:$K$4, Ledger!$B$2:$B$4, $A924, Ledger!$C$2:$C$4, M$2)),"****")</f>
        <v/>
      </c>
      <c r="N924" t="str">
        <f>IFERROR(IF($C924="","",SUMIFS(Ledger!$K$2:$K$4, Ledger!$B$2:$B$4, $A924, Ledger!$C$2:$C$4, N$2)),"****")</f>
        <v/>
      </c>
      <c r="O924" t="str">
        <f>IFERROR(IF($C924="","",SUMIFS(Ledger!$K$2:$K$4, Ledger!$B$2:$B$4, $A924, Ledger!$C$2:$C$4, O$2)),"****")</f>
        <v/>
      </c>
      <c r="P924" t="str">
        <f>IFERROR(IF($C924="","",SUMIFS(Ledger!$K$2:$K$4, Ledger!$B$2:$B$4, $A924, Ledger!$C$2:$C$4, P$2)),"****")</f>
        <v/>
      </c>
      <c r="Q924" t="str">
        <f>IFERROR(IF($C924="","",SUMIFS(Ledger!$K$2:$K$4, Ledger!$B$2:$B$4, $A924, Ledger!$C$2:$C$4, Q$2)),"****")</f>
        <v/>
      </c>
      <c r="R924" t="str">
        <f>IFERROR(IF($C924="","",SUMIFS(Ledger!$K$2:$K$4, Ledger!$B$2:$B$4, $A924, Ledger!$C$2:$C$4, R$2)),"****")</f>
        <v/>
      </c>
      <c r="S924" t="str">
        <f>IFERROR(IF($C924="","",SUMIFS(Ledger!$K$2:$K$4, Ledger!$B$2:$B$4, $A924, Ledger!$C$2:$C$4, S$2)),"****")</f>
        <v/>
      </c>
      <c r="T924" t="str">
        <f>IFERROR(IF($C924="","",SUMIFS(Ledger!$K$2:$K$4, Ledger!$B$2:$B$4, $A924, Ledger!$C$2:$C$4, T$2)),"****")</f>
        <v/>
      </c>
      <c r="U924" t="str">
        <f>IFERROR(IF($C924="","",SUMIFS(Ledger!$K$2:$K$4, Ledger!$B$2:$B$4, $A924, Ledger!$C$2:$C$4, U$2)),"****")</f>
        <v/>
      </c>
      <c r="V924" t="str">
        <f>IFERROR(IF($C924="","",SUMIFS(Ledger!$K$2:$K$4, Ledger!$B$2:$B$4, $A924, Ledger!$C$2:$C$4, V$2)),"****")</f>
        <v/>
      </c>
      <c r="W924" t="str">
        <f>IFERROR(IF($C924="","",SUMIFS(Ledger!$K$2:$K$4, Ledger!$B$2:$B$4, $A924, Ledger!$C$2:$C$4, W$2)),"****")</f>
        <v/>
      </c>
      <c r="X924" t="str">
        <f>IFERROR(IF($C924="","",SUMIFS(Ledger!$K$2:$K$4, Ledger!$B$2:$B$4, $A924, Ledger!$C$2:$C$4, X$2)),"****")</f>
        <v/>
      </c>
    </row>
    <row r="925" spans="1:24" x14ac:dyDescent="0.3">
      <c r="A925" s="106">
        <v>923</v>
      </c>
      <c r="B925" t="str">
        <f>IFERROR(VLOOKUP($A925, Ledger!$B$2:$L$8, 3, 0),"")</f>
        <v/>
      </c>
      <c r="C925" t="str">
        <f>IFERROR(VLOOKUP($A925, Ledger!$B$2:$L$8, 4, 0),"")</f>
        <v/>
      </c>
      <c r="D925" t="str">
        <f>IFERROR(VLOOKUP($A925, Ledger!$B$2:$L$8, 5, 0),"")</f>
        <v/>
      </c>
      <c r="E925" t="str">
        <f>IFERROR(VLOOKUP($A925, Ledger!$B$2:$L$8, 6, 0),"")</f>
        <v/>
      </c>
      <c r="F925" t="str">
        <f>IFERROR(VLOOKUP($A925,'Student Data'!$A$2:$AR$6,32,0),"")</f>
        <v/>
      </c>
      <c r="G925" t="str">
        <f>IFERROR(VLOOKUP($A925,'Student Data'!$A$2:$AR$6,33,0),"")</f>
        <v/>
      </c>
      <c r="H925" t="str">
        <f>IFERROR(VLOOKUP($A925,'Student Data'!$A$2:$AR$6,34,0),"")</f>
        <v/>
      </c>
      <c r="I925" t="str">
        <f>IFERROR(VLOOKUP($A925,'Student Data'!$A$2:$AR$6,35,0),"")</f>
        <v/>
      </c>
      <c r="J925" t="str">
        <f>IFERROR(VLOOKUP($A925,'Student Data'!$A$2:$AR$6,36,0),"")</f>
        <v/>
      </c>
      <c r="K925" t="str">
        <f t="shared" si="28"/>
        <v/>
      </c>
      <c r="L925" t="str">
        <f t="shared" si="29"/>
        <v/>
      </c>
      <c r="M925" t="str">
        <f>IFERROR(IF($C925="","",SUMIFS(Ledger!$K$2:$K$4, Ledger!$B$2:$B$4, $A925, Ledger!$C$2:$C$4, M$2)),"****")</f>
        <v/>
      </c>
      <c r="N925" t="str">
        <f>IFERROR(IF($C925="","",SUMIFS(Ledger!$K$2:$K$4, Ledger!$B$2:$B$4, $A925, Ledger!$C$2:$C$4, N$2)),"****")</f>
        <v/>
      </c>
      <c r="O925" t="str">
        <f>IFERROR(IF($C925="","",SUMIFS(Ledger!$K$2:$K$4, Ledger!$B$2:$B$4, $A925, Ledger!$C$2:$C$4, O$2)),"****")</f>
        <v/>
      </c>
      <c r="P925" t="str">
        <f>IFERROR(IF($C925="","",SUMIFS(Ledger!$K$2:$K$4, Ledger!$B$2:$B$4, $A925, Ledger!$C$2:$C$4, P$2)),"****")</f>
        <v/>
      </c>
      <c r="Q925" t="str">
        <f>IFERROR(IF($C925="","",SUMIFS(Ledger!$K$2:$K$4, Ledger!$B$2:$B$4, $A925, Ledger!$C$2:$C$4, Q$2)),"****")</f>
        <v/>
      </c>
      <c r="R925" t="str">
        <f>IFERROR(IF($C925="","",SUMIFS(Ledger!$K$2:$K$4, Ledger!$B$2:$B$4, $A925, Ledger!$C$2:$C$4, R$2)),"****")</f>
        <v/>
      </c>
      <c r="S925" t="str">
        <f>IFERROR(IF($C925="","",SUMIFS(Ledger!$K$2:$K$4, Ledger!$B$2:$B$4, $A925, Ledger!$C$2:$C$4, S$2)),"****")</f>
        <v/>
      </c>
      <c r="T925" t="str">
        <f>IFERROR(IF($C925="","",SUMIFS(Ledger!$K$2:$K$4, Ledger!$B$2:$B$4, $A925, Ledger!$C$2:$C$4, T$2)),"****")</f>
        <v/>
      </c>
      <c r="U925" t="str">
        <f>IFERROR(IF($C925="","",SUMIFS(Ledger!$K$2:$K$4, Ledger!$B$2:$B$4, $A925, Ledger!$C$2:$C$4, U$2)),"****")</f>
        <v/>
      </c>
      <c r="V925" t="str">
        <f>IFERROR(IF($C925="","",SUMIFS(Ledger!$K$2:$K$4, Ledger!$B$2:$B$4, $A925, Ledger!$C$2:$C$4, V$2)),"****")</f>
        <v/>
      </c>
      <c r="W925" t="str">
        <f>IFERROR(IF($C925="","",SUMIFS(Ledger!$K$2:$K$4, Ledger!$B$2:$B$4, $A925, Ledger!$C$2:$C$4, W$2)),"****")</f>
        <v/>
      </c>
      <c r="X925" t="str">
        <f>IFERROR(IF($C925="","",SUMIFS(Ledger!$K$2:$K$4, Ledger!$B$2:$B$4, $A925, Ledger!$C$2:$C$4, X$2)),"****")</f>
        <v/>
      </c>
    </row>
    <row r="926" spans="1:24" x14ac:dyDescent="0.3">
      <c r="A926" s="106">
        <v>924</v>
      </c>
      <c r="B926" t="str">
        <f>IFERROR(VLOOKUP($A926, Ledger!$B$2:$L$8, 3, 0),"")</f>
        <v/>
      </c>
      <c r="C926" t="str">
        <f>IFERROR(VLOOKUP($A926, Ledger!$B$2:$L$8, 4, 0),"")</f>
        <v/>
      </c>
      <c r="D926" t="str">
        <f>IFERROR(VLOOKUP($A926, Ledger!$B$2:$L$8, 5, 0),"")</f>
        <v/>
      </c>
      <c r="E926" t="str">
        <f>IFERROR(VLOOKUP($A926, Ledger!$B$2:$L$8, 6, 0),"")</f>
        <v/>
      </c>
      <c r="F926" t="str">
        <f>IFERROR(VLOOKUP($A926,'Student Data'!$A$2:$AR$6,32,0),"")</f>
        <v/>
      </c>
      <c r="G926" t="str">
        <f>IFERROR(VLOOKUP($A926,'Student Data'!$A$2:$AR$6,33,0),"")</f>
        <v/>
      </c>
      <c r="H926" t="str">
        <f>IFERROR(VLOOKUP($A926,'Student Data'!$A$2:$AR$6,34,0),"")</f>
        <v/>
      </c>
      <c r="I926" t="str">
        <f>IFERROR(VLOOKUP($A926,'Student Data'!$A$2:$AR$6,35,0),"")</f>
        <v/>
      </c>
      <c r="J926" t="str">
        <f>IFERROR(VLOOKUP($A926,'Student Data'!$A$2:$AR$6,36,0),"")</f>
        <v/>
      </c>
      <c r="K926" t="str">
        <f t="shared" si="28"/>
        <v/>
      </c>
      <c r="L926" t="str">
        <f t="shared" si="29"/>
        <v/>
      </c>
      <c r="M926" t="str">
        <f>IFERROR(IF($C926="","",SUMIFS(Ledger!$K$2:$K$4, Ledger!$B$2:$B$4, $A926, Ledger!$C$2:$C$4, M$2)),"****")</f>
        <v/>
      </c>
      <c r="N926" t="str">
        <f>IFERROR(IF($C926="","",SUMIFS(Ledger!$K$2:$K$4, Ledger!$B$2:$B$4, $A926, Ledger!$C$2:$C$4, N$2)),"****")</f>
        <v/>
      </c>
      <c r="O926" t="str">
        <f>IFERROR(IF($C926="","",SUMIFS(Ledger!$K$2:$K$4, Ledger!$B$2:$B$4, $A926, Ledger!$C$2:$C$4, O$2)),"****")</f>
        <v/>
      </c>
      <c r="P926" t="str">
        <f>IFERROR(IF($C926="","",SUMIFS(Ledger!$K$2:$K$4, Ledger!$B$2:$B$4, $A926, Ledger!$C$2:$C$4, P$2)),"****")</f>
        <v/>
      </c>
      <c r="Q926" t="str">
        <f>IFERROR(IF($C926="","",SUMIFS(Ledger!$K$2:$K$4, Ledger!$B$2:$B$4, $A926, Ledger!$C$2:$C$4, Q$2)),"****")</f>
        <v/>
      </c>
      <c r="R926" t="str">
        <f>IFERROR(IF($C926="","",SUMIFS(Ledger!$K$2:$K$4, Ledger!$B$2:$B$4, $A926, Ledger!$C$2:$C$4, R$2)),"****")</f>
        <v/>
      </c>
      <c r="S926" t="str">
        <f>IFERROR(IF($C926="","",SUMIFS(Ledger!$K$2:$K$4, Ledger!$B$2:$B$4, $A926, Ledger!$C$2:$C$4, S$2)),"****")</f>
        <v/>
      </c>
      <c r="T926" t="str">
        <f>IFERROR(IF($C926="","",SUMIFS(Ledger!$K$2:$K$4, Ledger!$B$2:$B$4, $A926, Ledger!$C$2:$C$4, T$2)),"****")</f>
        <v/>
      </c>
      <c r="U926" t="str">
        <f>IFERROR(IF($C926="","",SUMIFS(Ledger!$K$2:$K$4, Ledger!$B$2:$B$4, $A926, Ledger!$C$2:$C$4, U$2)),"****")</f>
        <v/>
      </c>
      <c r="V926" t="str">
        <f>IFERROR(IF($C926="","",SUMIFS(Ledger!$K$2:$K$4, Ledger!$B$2:$B$4, $A926, Ledger!$C$2:$C$4, V$2)),"****")</f>
        <v/>
      </c>
      <c r="W926" t="str">
        <f>IFERROR(IF($C926="","",SUMIFS(Ledger!$K$2:$K$4, Ledger!$B$2:$B$4, $A926, Ledger!$C$2:$C$4, W$2)),"****")</f>
        <v/>
      </c>
      <c r="X926" t="str">
        <f>IFERROR(IF($C926="","",SUMIFS(Ledger!$K$2:$K$4, Ledger!$B$2:$B$4, $A926, Ledger!$C$2:$C$4, X$2)),"****")</f>
        <v/>
      </c>
    </row>
    <row r="927" spans="1:24" x14ac:dyDescent="0.3">
      <c r="A927" s="106">
        <v>925</v>
      </c>
      <c r="B927" t="str">
        <f>IFERROR(VLOOKUP($A927, Ledger!$B$2:$L$8, 3, 0),"")</f>
        <v/>
      </c>
      <c r="C927" t="str">
        <f>IFERROR(VLOOKUP($A927, Ledger!$B$2:$L$8, 4, 0),"")</f>
        <v/>
      </c>
      <c r="D927" t="str">
        <f>IFERROR(VLOOKUP($A927, Ledger!$B$2:$L$8, 5, 0),"")</f>
        <v/>
      </c>
      <c r="E927" t="str">
        <f>IFERROR(VLOOKUP($A927, Ledger!$B$2:$L$8, 6, 0),"")</f>
        <v/>
      </c>
      <c r="F927" t="str">
        <f>IFERROR(VLOOKUP($A927,'Student Data'!$A$2:$AR$6,32,0),"")</f>
        <v/>
      </c>
      <c r="G927" t="str">
        <f>IFERROR(VLOOKUP($A927,'Student Data'!$A$2:$AR$6,33,0),"")</f>
        <v/>
      </c>
      <c r="H927" t="str">
        <f>IFERROR(VLOOKUP($A927,'Student Data'!$A$2:$AR$6,34,0),"")</f>
        <v/>
      </c>
      <c r="I927" t="str">
        <f>IFERROR(VLOOKUP($A927,'Student Data'!$A$2:$AR$6,35,0),"")</f>
        <v/>
      </c>
      <c r="J927" t="str">
        <f>IFERROR(VLOOKUP($A927,'Student Data'!$A$2:$AR$6,36,0),"")</f>
        <v/>
      </c>
      <c r="K927" t="str">
        <f t="shared" si="28"/>
        <v/>
      </c>
      <c r="L927" t="str">
        <f t="shared" si="29"/>
        <v/>
      </c>
      <c r="M927" t="str">
        <f>IFERROR(IF($C927="","",SUMIFS(Ledger!$K$2:$K$4, Ledger!$B$2:$B$4, $A927, Ledger!$C$2:$C$4, M$2)),"****")</f>
        <v/>
      </c>
      <c r="N927" t="str">
        <f>IFERROR(IF($C927="","",SUMIFS(Ledger!$K$2:$K$4, Ledger!$B$2:$B$4, $A927, Ledger!$C$2:$C$4, N$2)),"****")</f>
        <v/>
      </c>
      <c r="O927" t="str">
        <f>IFERROR(IF($C927="","",SUMIFS(Ledger!$K$2:$K$4, Ledger!$B$2:$B$4, $A927, Ledger!$C$2:$C$4, O$2)),"****")</f>
        <v/>
      </c>
      <c r="P927" t="str">
        <f>IFERROR(IF($C927="","",SUMIFS(Ledger!$K$2:$K$4, Ledger!$B$2:$B$4, $A927, Ledger!$C$2:$C$4, P$2)),"****")</f>
        <v/>
      </c>
      <c r="Q927" t="str">
        <f>IFERROR(IF($C927="","",SUMIFS(Ledger!$K$2:$K$4, Ledger!$B$2:$B$4, $A927, Ledger!$C$2:$C$4, Q$2)),"****")</f>
        <v/>
      </c>
      <c r="R927" t="str">
        <f>IFERROR(IF($C927="","",SUMIFS(Ledger!$K$2:$K$4, Ledger!$B$2:$B$4, $A927, Ledger!$C$2:$C$4, R$2)),"****")</f>
        <v/>
      </c>
      <c r="S927" t="str">
        <f>IFERROR(IF($C927="","",SUMIFS(Ledger!$K$2:$K$4, Ledger!$B$2:$B$4, $A927, Ledger!$C$2:$C$4, S$2)),"****")</f>
        <v/>
      </c>
      <c r="T927" t="str">
        <f>IFERROR(IF($C927="","",SUMIFS(Ledger!$K$2:$K$4, Ledger!$B$2:$B$4, $A927, Ledger!$C$2:$C$4, T$2)),"****")</f>
        <v/>
      </c>
      <c r="U927" t="str">
        <f>IFERROR(IF($C927="","",SUMIFS(Ledger!$K$2:$K$4, Ledger!$B$2:$B$4, $A927, Ledger!$C$2:$C$4, U$2)),"****")</f>
        <v/>
      </c>
      <c r="V927" t="str">
        <f>IFERROR(IF($C927="","",SUMIFS(Ledger!$K$2:$K$4, Ledger!$B$2:$B$4, $A927, Ledger!$C$2:$C$4, V$2)),"****")</f>
        <v/>
      </c>
      <c r="W927" t="str">
        <f>IFERROR(IF($C927="","",SUMIFS(Ledger!$K$2:$K$4, Ledger!$B$2:$B$4, $A927, Ledger!$C$2:$C$4, W$2)),"****")</f>
        <v/>
      </c>
      <c r="X927" t="str">
        <f>IFERROR(IF($C927="","",SUMIFS(Ledger!$K$2:$K$4, Ledger!$B$2:$B$4, $A927, Ledger!$C$2:$C$4, X$2)),"****")</f>
        <v/>
      </c>
    </row>
    <row r="928" spans="1:24" x14ac:dyDescent="0.3">
      <c r="A928" s="106">
        <v>926</v>
      </c>
      <c r="B928" t="str">
        <f>IFERROR(VLOOKUP($A928, Ledger!$B$2:$L$8, 3, 0),"")</f>
        <v/>
      </c>
      <c r="C928" t="str">
        <f>IFERROR(VLOOKUP($A928, Ledger!$B$2:$L$8, 4, 0),"")</f>
        <v/>
      </c>
      <c r="D928" t="str">
        <f>IFERROR(VLOOKUP($A928, Ledger!$B$2:$L$8, 5, 0),"")</f>
        <v/>
      </c>
      <c r="E928" t="str">
        <f>IFERROR(VLOOKUP($A928, Ledger!$B$2:$L$8, 6, 0),"")</f>
        <v/>
      </c>
      <c r="F928" t="str">
        <f>IFERROR(VLOOKUP($A928,'Student Data'!$A$2:$AR$6,32,0),"")</f>
        <v/>
      </c>
      <c r="G928" t="str">
        <f>IFERROR(VLOOKUP($A928,'Student Data'!$A$2:$AR$6,33,0),"")</f>
        <v/>
      </c>
      <c r="H928" t="str">
        <f>IFERROR(VLOOKUP($A928,'Student Data'!$A$2:$AR$6,34,0),"")</f>
        <v/>
      </c>
      <c r="I928" t="str">
        <f>IFERROR(VLOOKUP($A928,'Student Data'!$A$2:$AR$6,35,0),"")</f>
        <v/>
      </c>
      <c r="J928" t="str">
        <f>IFERROR(VLOOKUP($A928,'Student Data'!$A$2:$AR$6,36,0),"")</f>
        <v/>
      </c>
      <c r="K928" t="str">
        <f t="shared" si="28"/>
        <v/>
      </c>
      <c r="L928" t="str">
        <f t="shared" si="29"/>
        <v/>
      </c>
      <c r="M928" t="str">
        <f>IFERROR(IF($C928="","",SUMIFS(Ledger!$K$2:$K$4, Ledger!$B$2:$B$4, $A928, Ledger!$C$2:$C$4, M$2)),"****")</f>
        <v/>
      </c>
      <c r="N928" t="str">
        <f>IFERROR(IF($C928="","",SUMIFS(Ledger!$K$2:$K$4, Ledger!$B$2:$B$4, $A928, Ledger!$C$2:$C$4, N$2)),"****")</f>
        <v/>
      </c>
      <c r="O928" t="str">
        <f>IFERROR(IF($C928="","",SUMIFS(Ledger!$K$2:$K$4, Ledger!$B$2:$B$4, $A928, Ledger!$C$2:$C$4, O$2)),"****")</f>
        <v/>
      </c>
      <c r="P928" t="str">
        <f>IFERROR(IF($C928="","",SUMIFS(Ledger!$K$2:$K$4, Ledger!$B$2:$B$4, $A928, Ledger!$C$2:$C$4, P$2)),"****")</f>
        <v/>
      </c>
      <c r="Q928" t="str">
        <f>IFERROR(IF($C928="","",SUMIFS(Ledger!$K$2:$K$4, Ledger!$B$2:$B$4, $A928, Ledger!$C$2:$C$4, Q$2)),"****")</f>
        <v/>
      </c>
      <c r="R928" t="str">
        <f>IFERROR(IF($C928="","",SUMIFS(Ledger!$K$2:$K$4, Ledger!$B$2:$B$4, $A928, Ledger!$C$2:$C$4, R$2)),"****")</f>
        <v/>
      </c>
      <c r="S928" t="str">
        <f>IFERROR(IF($C928="","",SUMIFS(Ledger!$K$2:$K$4, Ledger!$B$2:$B$4, $A928, Ledger!$C$2:$C$4, S$2)),"****")</f>
        <v/>
      </c>
      <c r="T928" t="str">
        <f>IFERROR(IF($C928="","",SUMIFS(Ledger!$K$2:$K$4, Ledger!$B$2:$B$4, $A928, Ledger!$C$2:$C$4, T$2)),"****")</f>
        <v/>
      </c>
      <c r="U928" t="str">
        <f>IFERROR(IF($C928="","",SUMIFS(Ledger!$K$2:$K$4, Ledger!$B$2:$B$4, $A928, Ledger!$C$2:$C$4, U$2)),"****")</f>
        <v/>
      </c>
      <c r="V928" t="str">
        <f>IFERROR(IF($C928="","",SUMIFS(Ledger!$K$2:$K$4, Ledger!$B$2:$B$4, $A928, Ledger!$C$2:$C$4, V$2)),"****")</f>
        <v/>
      </c>
      <c r="W928" t="str">
        <f>IFERROR(IF($C928="","",SUMIFS(Ledger!$K$2:$K$4, Ledger!$B$2:$B$4, $A928, Ledger!$C$2:$C$4, W$2)),"****")</f>
        <v/>
      </c>
      <c r="X928" t="str">
        <f>IFERROR(IF($C928="","",SUMIFS(Ledger!$K$2:$K$4, Ledger!$B$2:$B$4, $A928, Ledger!$C$2:$C$4, X$2)),"****")</f>
        <v/>
      </c>
    </row>
    <row r="929" spans="1:24" x14ac:dyDescent="0.3">
      <c r="A929" s="106">
        <v>927</v>
      </c>
      <c r="B929" t="str">
        <f>IFERROR(VLOOKUP($A929, Ledger!$B$2:$L$8, 3, 0),"")</f>
        <v/>
      </c>
      <c r="C929" t="str">
        <f>IFERROR(VLOOKUP($A929, Ledger!$B$2:$L$8, 4, 0),"")</f>
        <v/>
      </c>
      <c r="D929" t="str">
        <f>IFERROR(VLOOKUP($A929, Ledger!$B$2:$L$8, 5, 0),"")</f>
        <v/>
      </c>
      <c r="E929" t="str">
        <f>IFERROR(VLOOKUP($A929, Ledger!$B$2:$L$8, 6, 0),"")</f>
        <v/>
      </c>
      <c r="F929" t="str">
        <f>IFERROR(VLOOKUP($A929,'Student Data'!$A$2:$AR$6,32,0),"")</f>
        <v/>
      </c>
      <c r="G929" t="str">
        <f>IFERROR(VLOOKUP($A929,'Student Data'!$A$2:$AR$6,33,0),"")</f>
        <v/>
      </c>
      <c r="H929" t="str">
        <f>IFERROR(VLOOKUP($A929,'Student Data'!$A$2:$AR$6,34,0),"")</f>
        <v/>
      </c>
      <c r="I929" t="str">
        <f>IFERROR(VLOOKUP($A929,'Student Data'!$A$2:$AR$6,35,0),"")</f>
        <v/>
      </c>
      <c r="J929" t="str">
        <f>IFERROR(VLOOKUP($A929,'Student Data'!$A$2:$AR$6,36,0),"")</f>
        <v/>
      </c>
      <c r="K929" t="str">
        <f t="shared" si="28"/>
        <v/>
      </c>
      <c r="L929" t="str">
        <f t="shared" si="29"/>
        <v/>
      </c>
      <c r="M929" t="str">
        <f>IFERROR(IF($C929="","",SUMIFS(Ledger!$K$2:$K$4, Ledger!$B$2:$B$4, $A929, Ledger!$C$2:$C$4, M$2)),"****")</f>
        <v/>
      </c>
      <c r="N929" t="str">
        <f>IFERROR(IF($C929="","",SUMIFS(Ledger!$K$2:$K$4, Ledger!$B$2:$B$4, $A929, Ledger!$C$2:$C$4, N$2)),"****")</f>
        <v/>
      </c>
      <c r="O929" t="str">
        <f>IFERROR(IF($C929="","",SUMIFS(Ledger!$K$2:$K$4, Ledger!$B$2:$B$4, $A929, Ledger!$C$2:$C$4, O$2)),"****")</f>
        <v/>
      </c>
      <c r="P929" t="str">
        <f>IFERROR(IF($C929="","",SUMIFS(Ledger!$K$2:$K$4, Ledger!$B$2:$B$4, $A929, Ledger!$C$2:$C$4, P$2)),"****")</f>
        <v/>
      </c>
      <c r="Q929" t="str">
        <f>IFERROR(IF($C929="","",SUMIFS(Ledger!$K$2:$K$4, Ledger!$B$2:$B$4, $A929, Ledger!$C$2:$C$4, Q$2)),"****")</f>
        <v/>
      </c>
      <c r="R929" t="str">
        <f>IFERROR(IF($C929="","",SUMIFS(Ledger!$K$2:$K$4, Ledger!$B$2:$B$4, $A929, Ledger!$C$2:$C$4, R$2)),"****")</f>
        <v/>
      </c>
      <c r="S929" t="str">
        <f>IFERROR(IF($C929="","",SUMIFS(Ledger!$K$2:$K$4, Ledger!$B$2:$B$4, $A929, Ledger!$C$2:$C$4, S$2)),"****")</f>
        <v/>
      </c>
      <c r="T929" t="str">
        <f>IFERROR(IF($C929="","",SUMIFS(Ledger!$K$2:$K$4, Ledger!$B$2:$B$4, $A929, Ledger!$C$2:$C$4, T$2)),"****")</f>
        <v/>
      </c>
      <c r="U929" t="str">
        <f>IFERROR(IF($C929="","",SUMIFS(Ledger!$K$2:$K$4, Ledger!$B$2:$B$4, $A929, Ledger!$C$2:$C$4, U$2)),"****")</f>
        <v/>
      </c>
      <c r="V929" t="str">
        <f>IFERROR(IF($C929="","",SUMIFS(Ledger!$K$2:$K$4, Ledger!$B$2:$B$4, $A929, Ledger!$C$2:$C$4, V$2)),"****")</f>
        <v/>
      </c>
      <c r="W929" t="str">
        <f>IFERROR(IF($C929="","",SUMIFS(Ledger!$K$2:$K$4, Ledger!$B$2:$B$4, $A929, Ledger!$C$2:$C$4, W$2)),"****")</f>
        <v/>
      </c>
      <c r="X929" t="str">
        <f>IFERROR(IF($C929="","",SUMIFS(Ledger!$K$2:$K$4, Ledger!$B$2:$B$4, $A929, Ledger!$C$2:$C$4, X$2)),"****")</f>
        <v/>
      </c>
    </row>
    <row r="930" spans="1:24" x14ac:dyDescent="0.3">
      <c r="A930" s="106">
        <v>928</v>
      </c>
      <c r="B930" t="str">
        <f>IFERROR(VLOOKUP($A930, Ledger!$B$2:$L$8, 3, 0),"")</f>
        <v/>
      </c>
      <c r="C930" t="str">
        <f>IFERROR(VLOOKUP($A930, Ledger!$B$2:$L$8, 4, 0),"")</f>
        <v/>
      </c>
      <c r="D930" t="str">
        <f>IFERROR(VLOOKUP($A930, Ledger!$B$2:$L$8, 5, 0),"")</f>
        <v/>
      </c>
      <c r="E930" t="str">
        <f>IFERROR(VLOOKUP($A930, Ledger!$B$2:$L$8, 6, 0),"")</f>
        <v/>
      </c>
      <c r="F930" t="str">
        <f>IFERROR(VLOOKUP($A930,'Student Data'!$A$2:$AR$6,32,0),"")</f>
        <v/>
      </c>
      <c r="G930" t="str">
        <f>IFERROR(VLOOKUP($A930,'Student Data'!$A$2:$AR$6,33,0),"")</f>
        <v/>
      </c>
      <c r="H930" t="str">
        <f>IFERROR(VLOOKUP($A930,'Student Data'!$A$2:$AR$6,34,0),"")</f>
        <v/>
      </c>
      <c r="I930" t="str">
        <f>IFERROR(VLOOKUP($A930,'Student Data'!$A$2:$AR$6,35,0),"")</f>
        <v/>
      </c>
      <c r="J930" t="str">
        <f>IFERROR(VLOOKUP($A930,'Student Data'!$A$2:$AR$6,36,0),"")</f>
        <v/>
      </c>
      <c r="K930" t="str">
        <f t="shared" si="28"/>
        <v/>
      </c>
      <c r="L930" t="str">
        <f t="shared" si="29"/>
        <v/>
      </c>
      <c r="M930" t="str">
        <f>IFERROR(IF($C930="","",SUMIFS(Ledger!$K$2:$K$4, Ledger!$B$2:$B$4, $A930, Ledger!$C$2:$C$4, M$2)),"****")</f>
        <v/>
      </c>
      <c r="N930" t="str">
        <f>IFERROR(IF($C930="","",SUMIFS(Ledger!$K$2:$K$4, Ledger!$B$2:$B$4, $A930, Ledger!$C$2:$C$4, N$2)),"****")</f>
        <v/>
      </c>
      <c r="O930" t="str">
        <f>IFERROR(IF($C930="","",SUMIFS(Ledger!$K$2:$K$4, Ledger!$B$2:$B$4, $A930, Ledger!$C$2:$C$4, O$2)),"****")</f>
        <v/>
      </c>
      <c r="P930" t="str">
        <f>IFERROR(IF($C930="","",SUMIFS(Ledger!$K$2:$K$4, Ledger!$B$2:$B$4, $A930, Ledger!$C$2:$C$4, P$2)),"****")</f>
        <v/>
      </c>
      <c r="Q930" t="str">
        <f>IFERROR(IF($C930="","",SUMIFS(Ledger!$K$2:$K$4, Ledger!$B$2:$B$4, $A930, Ledger!$C$2:$C$4, Q$2)),"****")</f>
        <v/>
      </c>
      <c r="R930" t="str">
        <f>IFERROR(IF($C930="","",SUMIFS(Ledger!$K$2:$K$4, Ledger!$B$2:$B$4, $A930, Ledger!$C$2:$C$4, R$2)),"****")</f>
        <v/>
      </c>
      <c r="S930" t="str">
        <f>IFERROR(IF($C930="","",SUMIFS(Ledger!$K$2:$K$4, Ledger!$B$2:$B$4, $A930, Ledger!$C$2:$C$4, S$2)),"****")</f>
        <v/>
      </c>
      <c r="T930" t="str">
        <f>IFERROR(IF($C930="","",SUMIFS(Ledger!$K$2:$K$4, Ledger!$B$2:$B$4, $A930, Ledger!$C$2:$C$4, T$2)),"****")</f>
        <v/>
      </c>
      <c r="U930" t="str">
        <f>IFERROR(IF($C930="","",SUMIFS(Ledger!$K$2:$K$4, Ledger!$B$2:$B$4, $A930, Ledger!$C$2:$C$4, U$2)),"****")</f>
        <v/>
      </c>
      <c r="V930" t="str">
        <f>IFERROR(IF($C930="","",SUMIFS(Ledger!$K$2:$K$4, Ledger!$B$2:$B$4, $A930, Ledger!$C$2:$C$4, V$2)),"****")</f>
        <v/>
      </c>
      <c r="W930" t="str">
        <f>IFERROR(IF($C930="","",SUMIFS(Ledger!$K$2:$K$4, Ledger!$B$2:$B$4, $A930, Ledger!$C$2:$C$4, W$2)),"****")</f>
        <v/>
      </c>
      <c r="X930" t="str">
        <f>IFERROR(IF($C930="","",SUMIFS(Ledger!$K$2:$K$4, Ledger!$B$2:$B$4, $A930, Ledger!$C$2:$C$4, X$2)),"****")</f>
        <v/>
      </c>
    </row>
    <row r="931" spans="1:24" x14ac:dyDescent="0.3">
      <c r="A931" s="106">
        <v>929</v>
      </c>
      <c r="B931" t="str">
        <f>IFERROR(VLOOKUP($A931, Ledger!$B$2:$L$8, 3, 0),"")</f>
        <v/>
      </c>
      <c r="C931" t="str">
        <f>IFERROR(VLOOKUP($A931, Ledger!$B$2:$L$8, 4, 0),"")</f>
        <v/>
      </c>
      <c r="D931" t="str">
        <f>IFERROR(VLOOKUP($A931, Ledger!$B$2:$L$8, 5, 0),"")</f>
        <v/>
      </c>
      <c r="E931" t="str">
        <f>IFERROR(VLOOKUP($A931, Ledger!$B$2:$L$8, 6, 0),"")</f>
        <v/>
      </c>
      <c r="F931" t="str">
        <f>IFERROR(VLOOKUP($A931,'Student Data'!$A$2:$AR$6,32,0),"")</f>
        <v/>
      </c>
      <c r="G931" t="str">
        <f>IFERROR(VLOOKUP($A931,'Student Data'!$A$2:$AR$6,33,0),"")</f>
        <v/>
      </c>
      <c r="H931" t="str">
        <f>IFERROR(VLOOKUP($A931,'Student Data'!$A$2:$AR$6,34,0),"")</f>
        <v/>
      </c>
      <c r="I931" t="str">
        <f>IFERROR(VLOOKUP($A931,'Student Data'!$A$2:$AR$6,35,0),"")</f>
        <v/>
      </c>
      <c r="J931" t="str">
        <f>IFERROR(VLOOKUP($A931,'Student Data'!$A$2:$AR$6,36,0),"")</f>
        <v/>
      </c>
      <c r="K931" t="str">
        <f t="shared" si="28"/>
        <v/>
      </c>
      <c r="L931" t="str">
        <f t="shared" si="29"/>
        <v/>
      </c>
      <c r="M931" t="str">
        <f>IFERROR(IF($C931="","",SUMIFS(Ledger!$K$2:$K$4, Ledger!$B$2:$B$4, $A931, Ledger!$C$2:$C$4, M$2)),"****")</f>
        <v/>
      </c>
      <c r="N931" t="str">
        <f>IFERROR(IF($C931="","",SUMIFS(Ledger!$K$2:$K$4, Ledger!$B$2:$B$4, $A931, Ledger!$C$2:$C$4, N$2)),"****")</f>
        <v/>
      </c>
      <c r="O931" t="str">
        <f>IFERROR(IF($C931="","",SUMIFS(Ledger!$K$2:$K$4, Ledger!$B$2:$B$4, $A931, Ledger!$C$2:$C$4, O$2)),"****")</f>
        <v/>
      </c>
      <c r="P931" t="str">
        <f>IFERROR(IF($C931="","",SUMIFS(Ledger!$K$2:$K$4, Ledger!$B$2:$B$4, $A931, Ledger!$C$2:$C$4, P$2)),"****")</f>
        <v/>
      </c>
      <c r="Q931" t="str">
        <f>IFERROR(IF($C931="","",SUMIFS(Ledger!$K$2:$K$4, Ledger!$B$2:$B$4, $A931, Ledger!$C$2:$C$4, Q$2)),"****")</f>
        <v/>
      </c>
      <c r="R931" t="str">
        <f>IFERROR(IF($C931="","",SUMIFS(Ledger!$K$2:$K$4, Ledger!$B$2:$B$4, $A931, Ledger!$C$2:$C$4, R$2)),"****")</f>
        <v/>
      </c>
      <c r="S931" t="str">
        <f>IFERROR(IF($C931="","",SUMIFS(Ledger!$K$2:$K$4, Ledger!$B$2:$B$4, $A931, Ledger!$C$2:$C$4, S$2)),"****")</f>
        <v/>
      </c>
      <c r="T931" t="str">
        <f>IFERROR(IF($C931="","",SUMIFS(Ledger!$K$2:$K$4, Ledger!$B$2:$B$4, $A931, Ledger!$C$2:$C$4, T$2)),"****")</f>
        <v/>
      </c>
      <c r="U931" t="str">
        <f>IFERROR(IF($C931="","",SUMIFS(Ledger!$K$2:$K$4, Ledger!$B$2:$B$4, $A931, Ledger!$C$2:$C$4, U$2)),"****")</f>
        <v/>
      </c>
      <c r="V931" t="str">
        <f>IFERROR(IF($C931="","",SUMIFS(Ledger!$K$2:$K$4, Ledger!$B$2:$B$4, $A931, Ledger!$C$2:$C$4, V$2)),"****")</f>
        <v/>
      </c>
      <c r="W931" t="str">
        <f>IFERROR(IF($C931="","",SUMIFS(Ledger!$K$2:$K$4, Ledger!$B$2:$B$4, $A931, Ledger!$C$2:$C$4, W$2)),"****")</f>
        <v/>
      </c>
      <c r="X931" t="str">
        <f>IFERROR(IF($C931="","",SUMIFS(Ledger!$K$2:$K$4, Ledger!$B$2:$B$4, $A931, Ledger!$C$2:$C$4, X$2)),"****")</f>
        <v/>
      </c>
    </row>
    <row r="932" spans="1:24" x14ac:dyDescent="0.3">
      <c r="A932" s="106">
        <v>930</v>
      </c>
      <c r="B932" t="str">
        <f>IFERROR(VLOOKUP($A932, Ledger!$B$2:$L$8, 3, 0),"")</f>
        <v/>
      </c>
      <c r="C932" t="str">
        <f>IFERROR(VLOOKUP($A932, Ledger!$B$2:$L$8, 4, 0),"")</f>
        <v/>
      </c>
      <c r="D932" t="str">
        <f>IFERROR(VLOOKUP($A932, Ledger!$B$2:$L$8, 5, 0),"")</f>
        <v/>
      </c>
      <c r="E932" t="str">
        <f>IFERROR(VLOOKUP($A932, Ledger!$B$2:$L$8, 6, 0),"")</f>
        <v/>
      </c>
      <c r="F932" t="str">
        <f>IFERROR(VLOOKUP($A932,'Student Data'!$A$2:$AR$6,32,0),"")</f>
        <v/>
      </c>
      <c r="G932" t="str">
        <f>IFERROR(VLOOKUP($A932,'Student Data'!$A$2:$AR$6,33,0),"")</f>
        <v/>
      </c>
      <c r="H932" t="str">
        <f>IFERROR(VLOOKUP($A932,'Student Data'!$A$2:$AR$6,34,0),"")</f>
        <v/>
      </c>
      <c r="I932" t="str">
        <f>IFERROR(VLOOKUP($A932,'Student Data'!$A$2:$AR$6,35,0),"")</f>
        <v/>
      </c>
      <c r="J932" t="str">
        <f>IFERROR(VLOOKUP($A932,'Student Data'!$A$2:$AR$6,36,0),"")</f>
        <v/>
      </c>
      <c r="K932" t="str">
        <f t="shared" si="28"/>
        <v/>
      </c>
      <c r="L932" t="str">
        <f t="shared" si="29"/>
        <v/>
      </c>
      <c r="M932" t="str">
        <f>IFERROR(IF($C932="","",SUMIFS(Ledger!$K$2:$K$4, Ledger!$B$2:$B$4, $A932, Ledger!$C$2:$C$4, M$2)),"****")</f>
        <v/>
      </c>
      <c r="N932" t="str">
        <f>IFERROR(IF($C932="","",SUMIFS(Ledger!$K$2:$K$4, Ledger!$B$2:$B$4, $A932, Ledger!$C$2:$C$4, N$2)),"****")</f>
        <v/>
      </c>
      <c r="O932" t="str">
        <f>IFERROR(IF($C932="","",SUMIFS(Ledger!$K$2:$K$4, Ledger!$B$2:$B$4, $A932, Ledger!$C$2:$C$4, O$2)),"****")</f>
        <v/>
      </c>
      <c r="P932" t="str">
        <f>IFERROR(IF($C932="","",SUMIFS(Ledger!$K$2:$K$4, Ledger!$B$2:$B$4, $A932, Ledger!$C$2:$C$4, P$2)),"****")</f>
        <v/>
      </c>
      <c r="Q932" t="str">
        <f>IFERROR(IF($C932="","",SUMIFS(Ledger!$K$2:$K$4, Ledger!$B$2:$B$4, $A932, Ledger!$C$2:$C$4, Q$2)),"****")</f>
        <v/>
      </c>
      <c r="R932" t="str">
        <f>IFERROR(IF($C932="","",SUMIFS(Ledger!$K$2:$K$4, Ledger!$B$2:$B$4, $A932, Ledger!$C$2:$C$4, R$2)),"****")</f>
        <v/>
      </c>
      <c r="S932" t="str">
        <f>IFERROR(IF($C932="","",SUMIFS(Ledger!$K$2:$K$4, Ledger!$B$2:$B$4, $A932, Ledger!$C$2:$C$4, S$2)),"****")</f>
        <v/>
      </c>
      <c r="T932" t="str">
        <f>IFERROR(IF($C932="","",SUMIFS(Ledger!$K$2:$K$4, Ledger!$B$2:$B$4, $A932, Ledger!$C$2:$C$4, T$2)),"****")</f>
        <v/>
      </c>
      <c r="U932" t="str">
        <f>IFERROR(IF($C932="","",SUMIFS(Ledger!$K$2:$K$4, Ledger!$B$2:$B$4, $A932, Ledger!$C$2:$C$4, U$2)),"****")</f>
        <v/>
      </c>
      <c r="V932" t="str">
        <f>IFERROR(IF($C932="","",SUMIFS(Ledger!$K$2:$K$4, Ledger!$B$2:$B$4, $A932, Ledger!$C$2:$C$4, V$2)),"****")</f>
        <v/>
      </c>
      <c r="W932" t="str">
        <f>IFERROR(IF($C932="","",SUMIFS(Ledger!$K$2:$K$4, Ledger!$B$2:$B$4, $A932, Ledger!$C$2:$C$4, W$2)),"****")</f>
        <v/>
      </c>
      <c r="X932" t="str">
        <f>IFERROR(IF($C932="","",SUMIFS(Ledger!$K$2:$K$4, Ledger!$B$2:$B$4, $A932, Ledger!$C$2:$C$4, X$2)),"****")</f>
        <v/>
      </c>
    </row>
    <row r="933" spans="1:24" x14ac:dyDescent="0.3">
      <c r="A933" s="106">
        <v>931</v>
      </c>
      <c r="B933" t="str">
        <f>IFERROR(VLOOKUP($A933, Ledger!$B$2:$L$8, 3, 0),"")</f>
        <v/>
      </c>
      <c r="C933" t="str">
        <f>IFERROR(VLOOKUP($A933, Ledger!$B$2:$L$8, 4, 0),"")</f>
        <v/>
      </c>
      <c r="D933" t="str">
        <f>IFERROR(VLOOKUP($A933, Ledger!$B$2:$L$8, 5, 0),"")</f>
        <v/>
      </c>
      <c r="E933" t="str">
        <f>IFERROR(VLOOKUP($A933, Ledger!$B$2:$L$8, 6, 0),"")</f>
        <v/>
      </c>
      <c r="F933" t="str">
        <f>IFERROR(VLOOKUP($A933,'Student Data'!$A$2:$AR$6,32,0),"")</f>
        <v/>
      </c>
      <c r="G933" t="str">
        <f>IFERROR(VLOOKUP($A933,'Student Data'!$A$2:$AR$6,33,0),"")</f>
        <v/>
      </c>
      <c r="H933" t="str">
        <f>IFERROR(VLOOKUP($A933,'Student Data'!$A$2:$AR$6,34,0),"")</f>
        <v/>
      </c>
      <c r="I933" t="str">
        <f>IFERROR(VLOOKUP($A933,'Student Data'!$A$2:$AR$6,35,0),"")</f>
        <v/>
      </c>
      <c r="J933" t="str">
        <f>IFERROR(VLOOKUP($A933,'Student Data'!$A$2:$AR$6,36,0),"")</f>
        <v/>
      </c>
      <c r="K933" t="str">
        <f t="shared" si="28"/>
        <v/>
      </c>
      <c r="L933" t="str">
        <f t="shared" si="29"/>
        <v/>
      </c>
      <c r="M933" t="str">
        <f>IFERROR(IF($C933="","",SUMIFS(Ledger!$K$2:$K$4, Ledger!$B$2:$B$4, $A933, Ledger!$C$2:$C$4, M$2)),"****")</f>
        <v/>
      </c>
      <c r="N933" t="str">
        <f>IFERROR(IF($C933="","",SUMIFS(Ledger!$K$2:$K$4, Ledger!$B$2:$B$4, $A933, Ledger!$C$2:$C$4, N$2)),"****")</f>
        <v/>
      </c>
      <c r="O933" t="str">
        <f>IFERROR(IF($C933="","",SUMIFS(Ledger!$K$2:$K$4, Ledger!$B$2:$B$4, $A933, Ledger!$C$2:$C$4, O$2)),"****")</f>
        <v/>
      </c>
      <c r="P933" t="str">
        <f>IFERROR(IF($C933="","",SUMIFS(Ledger!$K$2:$K$4, Ledger!$B$2:$B$4, $A933, Ledger!$C$2:$C$4, P$2)),"****")</f>
        <v/>
      </c>
      <c r="Q933" t="str">
        <f>IFERROR(IF($C933="","",SUMIFS(Ledger!$K$2:$K$4, Ledger!$B$2:$B$4, $A933, Ledger!$C$2:$C$4, Q$2)),"****")</f>
        <v/>
      </c>
      <c r="R933" t="str">
        <f>IFERROR(IF($C933="","",SUMIFS(Ledger!$K$2:$K$4, Ledger!$B$2:$B$4, $A933, Ledger!$C$2:$C$4, R$2)),"****")</f>
        <v/>
      </c>
      <c r="S933" t="str">
        <f>IFERROR(IF($C933="","",SUMIFS(Ledger!$K$2:$K$4, Ledger!$B$2:$B$4, $A933, Ledger!$C$2:$C$4, S$2)),"****")</f>
        <v/>
      </c>
      <c r="T933" t="str">
        <f>IFERROR(IF($C933="","",SUMIFS(Ledger!$K$2:$K$4, Ledger!$B$2:$B$4, $A933, Ledger!$C$2:$C$4, T$2)),"****")</f>
        <v/>
      </c>
      <c r="U933" t="str">
        <f>IFERROR(IF($C933="","",SUMIFS(Ledger!$K$2:$K$4, Ledger!$B$2:$B$4, $A933, Ledger!$C$2:$C$4, U$2)),"****")</f>
        <v/>
      </c>
      <c r="V933" t="str">
        <f>IFERROR(IF($C933="","",SUMIFS(Ledger!$K$2:$K$4, Ledger!$B$2:$B$4, $A933, Ledger!$C$2:$C$4, V$2)),"****")</f>
        <v/>
      </c>
      <c r="W933" t="str">
        <f>IFERROR(IF($C933="","",SUMIFS(Ledger!$K$2:$K$4, Ledger!$B$2:$B$4, $A933, Ledger!$C$2:$C$4, W$2)),"****")</f>
        <v/>
      </c>
      <c r="X933" t="str">
        <f>IFERROR(IF($C933="","",SUMIFS(Ledger!$K$2:$K$4, Ledger!$B$2:$B$4, $A933, Ledger!$C$2:$C$4, X$2)),"****")</f>
        <v/>
      </c>
    </row>
    <row r="934" spans="1:24" x14ac:dyDescent="0.3">
      <c r="A934" s="106">
        <v>932</v>
      </c>
      <c r="B934" t="str">
        <f>IFERROR(VLOOKUP($A934, Ledger!$B$2:$L$8, 3, 0),"")</f>
        <v/>
      </c>
      <c r="C934" t="str">
        <f>IFERROR(VLOOKUP($A934, Ledger!$B$2:$L$8, 4, 0),"")</f>
        <v/>
      </c>
      <c r="D934" t="str">
        <f>IFERROR(VLOOKUP($A934, Ledger!$B$2:$L$8, 5, 0),"")</f>
        <v/>
      </c>
      <c r="E934" t="str">
        <f>IFERROR(VLOOKUP($A934, Ledger!$B$2:$L$8, 6, 0),"")</f>
        <v/>
      </c>
      <c r="F934" t="str">
        <f>IFERROR(VLOOKUP($A934,'Student Data'!$A$2:$AR$6,32,0),"")</f>
        <v/>
      </c>
      <c r="G934" t="str">
        <f>IFERROR(VLOOKUP($A934,'Student Data'!$A$2:$AR$6,33,0),"")</f>
        <v/>
      </c>
      <c r="H934" t="str">
        <f>IFERROR(VLOOKUP($A934,'Student Data'!$A$2:$AR$6,34,0),"")</f>
        <v/>
      </c>
      <c r="I934" t="str">
        <f>IFERROR(VLOOKUP($A934,'Student Data'!$A$2:$AR$6,35,0),"")</f>
        <v/>
      </c>
      <c r="J934" t="str">
        <f>IFERROR(VLOOKUP($A934,'Student Data'!$A$2:$AR$6,36,0),"")</f>
        <v/>
      </c>
      <c r="K934" t="str">
        <f t="shared" si="28"/>
        <v/>
      </c>
      <c r="L934" t="str">
        <f t="shared" si="29"/>
        <v/>
      </c>
      <c r="M934" t="str">
        <f>IFERROR(IF($C934="","",SUMIFS(Ledger!$K$2:$K$4, Ledger!$B$2:$B$4, $A934, Ledger!$C$2:$C$4, M$2)),"****")</f>
        <v/>
      </c>
      <c r="N934" t="str">
        <f>IFERROR(IF($C934="","",SUMIFS(Ledger!$K$2:$K$4, Ledger!$B$2:$B$4, $A934, Ledger!$C$2:$C$4, N$2)),"****")</f>
        <v/>
      </c>
      <c r="O934" t="str">
        <f>IFERROR(IF($C934="","",SUMIFS(Ledger!$K$2:$K$4, Ledger!$B$2:$B$4, $A934, Ledger!$C$2:$C$4, O$2)),"****")</f>
        <v/>
      </c>
      <c r="P934" t="str">
        <f>IFERROR(IF($C934="","",SUMIFS(Ledger!$K$2:$K$4, Ledger!$B$2:$B$4, $A934, Ledger!$C$2:$C$4, P$2)),"****")</f>
        <v/>
      </c>
      <c r="Q934" t="str">
        <f>IFERROR(IF($C934="","",SUMIFS(Ledger!$K$2:$K$4, Ledger!$B$2:$B$4, $A934, Ledger!$C$2:$C$4, Q$2)),"****")</f>
        <v/>
      </c>
      <c r="R934" t="str">
        <f>IFERROR(IF($C934="","",SUMIFS(Ledger!$K$2:$K$4, Ledger!$B$2:$B$4, $A934, Ledger!$C$2:$C$4, R$2)),"****")</f>
        <v/>
      </c>
      <c r="S934" t="str">
        <f>IFERROR(IF($C934="","",SUMIFS(Ledger!$K$2:$K$4, Ledger!$B$2:$B$4, $A934, Ledger!$C$2:$C$4, S$2)),"****")</f>
        <v/>
      </c>
      <c r="T934" t="str">
        <f>IFERROR(IF($C934="","",SUMIFS(Ledger!$K$2:$K$4, Ledger!$B$2:$B$4, $A934, Ledger!$C$2:$C$4, T$2)),"****")</f>
        <v/>
      </c>
      <c r="U934" t="str">
        <f>IFERROR(IF($C934="","",SUMIFS(Ledger!$K$2:$K$4, Ledger!$B$2:$B$4, $A934, Ledger!$C$2:$C$4, U$2)),"****")</f>
        <v/>
      </c>
      <c r="V934" t="str">
        <f>IFERROR(IF($C934="","",SUMIFS(Ledger!$K$2:$K$4, Ledger!$B$2:$B$4, $A934, Ledger!$C$2:$C$4, V$2)),"****")</f>
        <v/>
      </c>
      <c r="W934" t="str">
        <f>IFERROR(IF($C934="","",SUMIFS(Ledger!$K$2:$K$4, Ledger!$B$2:$B$4, $A934, Ledger!$C$2:$C$4, W$2)),"****")</f>
        <v/>
      </c>
      <c r="X934" t="str">
        <f>IFERROR(IF($C934="","",SUMIFS(Ledger!$K$2:$K$4, Ledger!$B$2:$B$4, $A934, Ledger!$C$2:$C$4, X$2)),"****")</f>
        <v/>
      </c>
    </row>
    <row r="935" spans="1:24" x14ac:dyDescent="0.3">
      <c r="A935" s="106">
        <v>933</v>
      </c>
      <c r="B935" t="str">
        <f>IFERROR(VLOOKUP($A935, Ledger!$B$2:$L$8, 3, 0),"")</f>
        <v/>
      </c>
      <c r="C935" t="str">
        <f>IFERROR(VLOOKUP($A935, Ledger!$B$2:$L$8, 4, 0),"")</f>
        <v/>
      </c>
      <c r="D935" t="str">
        <f>IFERROR(VLOOKUP($A935, Ledger!$B$2:$L$8, 5, 0),"")</f>
        <v/>
      </c>
      <c r="E935" t="str">
        <f>IFERROR(VLOOKUP($A935, Ledger!$B$2:$L$8, 6, 0),"")</f>
        <v/>
      </c>
      <c r="F935" t="str">
        <f>IFERROR(VLOOKUP($A935,'Student Data'!$A$2:$AR$6,32,0),"")</f>
        <v/>
      </c>
      <c r="G935" t="str">
        <f>IFERROR(VLOOKUP($A935,'Student Data'!$A$2:$AR$6,33,0),"")</f>
        <v/>
      </c>
      <c r="H935" t="str">
        <f>IFERROR(VLOOKUP($A935,'Student Data'!$A$2:$AR$6,34,0),"")</f>
        <v/>
      </c>
      <c r="I935" t="str">
        <f>IFERROR(VLOOKUP($A935,'Student Data'!$A$2:$AR$6,35,0),"")</f>
        <v/>
      </c>
      <c r="J935" t="str">
        <f>IFERROR(VLOOKUP($A935,'Student Data'!$A$2:$AR$6,36,0),"")</f>
        <v/>
      </c>
      <c r="K935" t="str">
        <f t="shared" si="28"/>
        <v/>
      </c>
      <c r="L935" t="str">
        <f t="shared" si="29"/>
        <v/>
      </c>
      <c r="M935" t="str">
        <f>IFERROR(IF($C935="","",SUMIFS(Ledger!$K$2:$K$4, Ledger!$B$2:$B$4, $A935, Ledger!$C$2:$C$4, M$2)),"****")</f>
        <v/>
      </c>
      <c r="N935" t="str">
        <f>IFERROR(IF($C935="","",SUMIFS(Ledger!$K$2:$K$4, Ledger!$B$2:$B$4, $A935, Ledger!$C$2:$C$4, N$2)),"****")</f>
        <v/>
      </c>
      <c r="O935" t="str">
        <f>IFERROR(IF($C935="","",SUMIFS(Ledger!$K$2:$K$4, Ledger!$B$2:$B$4, $A935, Ledger!$C$2:$C$4, O$2)),"****")</f>
        <v/>
      </c>
      <c r="P935" t="str">
        <f>IFERROR(IF($C935="","",SUMIFS(Ledger!$K$2:$K$4, Ledger!$B$2:$B$4, $A935, Ledger!$C$2:$C$4, P$2)),"****")</f>
        <v/>
      </c>
      <c r="Q935" t="str">
        <f>IFERROR(IF($C935="","",SUMIFS(Ledger!$K$2:$K$4, Ledger!$B$2:$B$4, $A935, Ledger!$C$2:$C$4, Q$2)),"****")</f>
        <v/>
      </c>
      <c r="R935" t="str">
        <f>IFERROR(IF($C935="","",SUMIFS(Ledger!$K$2:$K$4, Ledger!$B$2:$B$4, $A935, Ledger!$C$2:$C$4, R$2)),"****")</f>
        <v/>
      </c>
      <c r="S935" t="str">
        <f>IFERROR(IF($C935="","",SUMIFS(Ledger!$K$2:$K$4, Ledger!$B$2:$B$4, $A935, Ledger!$C$2:$C$4, S$2)),"****")</f>
        <v/>
      </c>
      <c r="T935" t="str">
        <f>IFERROR(IF($C935="","",SUMIFS(Ledger!$K$2:$K$4, Ledger!$B$2:$B$4, $A935, Ledger!$C$2:$C$4, T$2)),"****")</f>
        <v/>
      </c>
      <c r="U935" t="str">
        <f>IFERROR(IF($C935="","",SUMIFS(Ledger!$K$2:$K$4, Ledger!$B$2:$B$4, $A935, Ledger!$C$2:$C$4, U$2)),"****")</f>
        <v/>
      </c>
      <c r="V935" t="str">
        <f>IFERROR(IF($C935="","",SUMIFS(Ledger!$K$2:$K$4, Ledger!$B$2:$B$4, $A935, Ledger!$C$2:$C$4, V$2)),"****")</f>
        <v/>
      </c>
      <c r="W935" t="str">
        <f>IFERROR(IF($C935="","",SUMIFS(Ledger!$K$2:$K$4, Ledger!$B$2:$B$4, $A935, Ledger!$C$2:$C$4, W$2)),"****")</f>
        <v/>
      </c>
      <c r="X935" t="str">
        <f>IFERROR(IF($C935="","",SUMIFS(Ledger!$K$2:$K$4, Ledger!$B$2:$B$4, $A935, Ledger!$C$2:$C$4, X$2)),"****")</f>
        <v/>
      </c>
    </row>
    <row r="936" spans="1:24" x14ac:dyDescent="0.3">
      <c r="A936" s="106">
        <v>934</v>
      </c>
      <c r="B936" t="str">
        <f>IFERROR(VLOOKUP($A936, Ledger!$B$2:$L$8, 3, 0),"")</f>
        <v/>
      </c>
      <c r="C936" t="str">
        <f>IFERROR(VLOOKUP($A936, Ledger!$B$2:$L$8, 4, 0),"")</f>
        <v/>
      </c>
      <c r="D936" t="str">
        <f>IFERROR(VLOOKUP($A936, Ledger!$B$2:$L$8, 5, 0),"")</f>
        <v/>
      </c>
      <c r="E936" t="str">
        <f>IFERROR(VLOOKUP($A936, Ledger!$B$2:$L$8, 6, 0),"")</f>
        <v/>
      </c>
      <c r="F936" t="str">
        <f>IFERROR(VLOOKUP($A936,'Student Data'!$A$2:$AR$6,32,0),"")</f>
        <v/>
      </c>
      <c r="G936" t="str">
        <f>IFERROR(VLOOKUP($A936,'Student Data'!$A$2:$AR$6,33,0),"")</f>
        <v/>
      </c>
      <c r="H936" t="str">
        <f>IFERROR(VLOOKUP($A936,'Student Data'!$A$2:$AR$6,34,0),"")</f>
        <v/>
      </c>
      <c r="I936" t="str">
        <f>IFERROR(VLOOKUP($A936,'Student Data'!$A$2:$AR$6,35,0),"")</f>
        <v/>
      </c>
      <c r="J936" t="str">
        <f>IFERROR(VLOOKUP($A936,'Student Data'!$A$2:$AR$6,36,0),"")</f>
        <v/>
      </c>
      <c r="K936" t="str">
        <f t="shared" si="28"/>
        <v/>
      </c>
      <c r="L936" t="str">
        <f t="shared" si="29"/>
        <v/>
      </c>
      <c r="M936" t="str">
        <f>IFERROR(IF($C936="","",SUMIFS(Ledger!$K$2:$K$4, Ledger!$B$2:$B$4, $A936, Ledger!$C$2:$C$4, M$2)),"****")</f>
        <v/>
      </c>
      <c r="N936" t="str">
        <f>IFERROR(IF($C936="","",SUMIFS(Ledger!$K$2:$K$4, Ledger!$B$2:$B$4, $A936, Ledger!$C$2:$C$4, N$2)),"****")</f>
        <v/>
      </c>
      <c r="O936" t="str">
        <f>IFERROR(IF($C936="","",SUMIFS(Ledger!$K$2:$K$4, Ledger!$B$2:$B$4, $A936, Ledger!$C$2:$C$4, O$2)),"****")</f>
        <v/>
      </c>
      <c r="P936" t="str">
        <f>IFERROR(IF($C936="","",SUMIFS(Ledger!$K$2:$K$4, Ledger!$B$2:$B$4, $A936, Ledger!$C$2:$C$4, P$2)),"****")</f>
        <v/>
      </c>
      <c r="Q936" t="str">
        <f>IFERROR(IF($C936="","",SUMIFS(Ledger!$K$2:$K$4, Ledger!$B$2:$B$4, $A936, Ledger!$C$2:$C$4, Q$2)),"****")</f>
        <v/>
      </c>
      <c r="R936" t="str">
        <f>IFERROR(IF($C936="","",SUMIFS(Ledger!$K$2:$K$4, Ledger!$B$2:$B$4, $A936, Ledger!$C$2:$C$4, R$2)),"****")</f>
        <v/>
      </c>
      <c r="S936" t="str">
        <f>IFERROR(IF($C936="","",SUMIFS(Ledger!$K$2:$K$4, Ledger!$B$2:$B$4, $A936, Ledger!$C$2:$C$4, S$2)),"****")</f>
        <v/>
      </c>
      <c r="T936" t="str">
        <f>IFERROR(IF($C936="","",SUMIFS(Ledger!$K$2:$K$4, Ledger!$B$2:$B$4, $A936, Ledger!$C$2:$C$4, T$2)),"****")</f>
        <v/>
      </c>
      <c r="U936" t="str">
        <f>IFERROR(IF($C936="","",SUMIFS(Ledger!$K$2:$K$4, Ledger!$B$2:$B$4, $A936, Ledger!$C$2:$C$4, U$2)),"****")</f>
        <v/>
      </c>
      <c r="V936" t="str">
        <f>IFERROR(IF($C936="","",SUMIFS(Ledger!$K$2:$K$4, Ledger!$B$2:$B$4, $A936, Ledger!$C$2:$C$4, V$2)),"****")</f>
        <v/>
      </c>
      <c r="W936" t="str">
        <f>IFERROR(IF($C936="","",SUMIFS(Ledger!$K$2:$K$4, Ledger!$B$2:$B$4, $A936, Ledger!$C$2:$C$4, W$2)),"****")</f>
        <v/>
      </c>
      <c r="X936" t="str">
        <f>IFERROR(IF($C936="","",SUMIFS(Ledger!$K$2:$K$4, Ledger!$B$2:$B$4, $A936, Ledger!$C$2:$C$4, X$2)),"****")</f>
        <v/>
      </c>
    </row>
    <row r="937" spans="1:24" x14ac:dyDescent="0.3">
      <c r="A937" s="106">
        <v>935</v>
      </c>
      <c r="B937" t="str">
        <f>IFERROR(VLOOKUP($A937, Ledger!$B$2:$L$8, 3, 0),"")</f>
        <v/>
      </c>
      <c r="C937" t="str">
        <f>IFERROR(VLOOKUP($A937, Ledger!$B$2:$L$8, 4, 0),"")</f>
        <v/>
      </c>
      <c r="D937" t="str">
        <f>IFERROR(VLOOKUP($A937, Ledger!$B$2:$L$8, 5, 0),"")</f>
        <v/>
      </c>
      <c r="E937" t="str">
        <f>IFERROR(VLOOKUP($A937, Ledger!$B$2:$L$8, 6, 0),"")</f>
        <v/>
      </c>
      <c r="F937" t="str">
        <f>IFERROR(VLOOKUP($A937,'Student Data'!$A$2:$AR$6,32,0),"")</f>
        <v/>
      </c>
      <c r="G937" t="str">
        <f>IFERROR(VLOOKUP($A937,'Student Data'!$A$2:$AR$6,33,0),"")</f>
        <v/>
      </c>
      <c r="H937" t="str">
        <f>IFERROR(VLOOKUP($A937,'Student Data'!$A$2:$AR$6,34,0),"")</f>
        <v/>
      </c>
      <c r="I937" t="str">
        <f>IFERROR(VLOOKUP($A937,'Student Data'!$A$2:$AR$6,35,0),"")</f>
        <v/>
      </c>
      <c r="J937" t="str">
        <f>IFERROR(VLOOKUP($A937,'Student Data'!$A$2:$AR$6,36,0),"")</f>
        <v/>
      </c>
      <c r="K937" t="str">
        <f t="shared" si="28"/>
        <v/>
      </c>
      <c r="L937" t="str">
        <f t="shared" si="29"/>
        <v/>
      </c>
      <c r="M937" t="str">
        <f>IFERROR(IF($C937="","",SUMIFS(Ledger!$K$2:$K$4, Ledger!$B$2:$B$4, $A937, Ledger!$C$2:$C$4, M$2)),"****")</f>
        <v/>
      </c>
      <c r="N937" t="str">
        <f>IFERROR(IF($C937="","",SUMIFS(Ledger!$K$2:$K$4, Ledger!$B$2:$B$4, $A937, Ledger!$C$2:$C$4, N$2)),"****")</f>
        <v/>
      </c>
      <c r="O937" t="str">
        <f>IFERROR(IF($C937="","",SUMIFS(Ledger!$K$2:$K$4, Ledger!$B$2:$B$4, $A937, Ledger!$C$2:$C$4, O$2)),"****")</f>
        <v/>
      </c>
      <c r="P937" t="str">
        <f>IFERROR(IF($C937="","",SUMIFS(Ledger!$K$2:$K$4, Ledger!$B$2:$B$4, $A937, Ledger!$C$2:$C$4, P$2)),"****")</f>
        <v/>
      </c>
      <c r="Q937" t="str">
        <f>IFERROR(IF($C937="","",SUMIFS(Ledger!$K$2:$K$4, Ledger!$B$2:$B$4, $A937, Ledger!$C$2:$C$4, Q$2)),"****")</f>
        <v/>
      </c>
      <c r="R937" t="str">
        <f>IFERROR(IF($C937="","",SUMIFS(Ledger!$K$2:$K$4, Ledger!$B$2:$B$4, $A937, Ledger!$C$2:$C$4, R$2)),"****")</f>
        <v/>
      </c>
      <c r="S937" t="str">
        <f>IFERROR(IF($C937="","",SUMIFS(Ledger!$K$2:$K$4, Ledger!$B$2:$B$4, $A937, Ledger!$C$2:$C$4, S$2)),"****")</f>
        <v/>
      </c>
      <c r="T937" t="str">
        <f>IFERROR(IF($C937="","",SUMIFS(Ledger!$K$2:$K$4, Ledger!$B$2:$B$4, $A937, Ledger!$C$2:$C$4, T$2)),"****")</f>
        <v/>
      </c>
      <c r="U937" t="str">
        <f>IFERROR(IF($C937="","",SUMIFS(Ledger!$K$2:$K$4, Ledger!$B$2:$B$4, $A937, Ledger!$C$2:$C$4, U$2)),"****")</f>
        <v/>
      </c>
      <c r="V937" t="str">
        <f>IFERROR(IF($C937="","",SUMIFS(Ledger!$K$2:$K$4, Ledger!$B$2:$B$4, $A937, Ledger!$C$2:$C$4, V$2)),"****")</f>
        <v/>
      </c>
      <c r="W937" t="str">
        <f>IFERROR(IF($C937="","",SUMIFS(Ledger!$K$2:$K$4, Ledger!$B$2:$B$4, $A937, Ledger!$C$2:$C$4, W$2)),"****")</f>
        <v/>
      </c>
      <c r="X937" t="str">
        <f>IFERROR(IF($C937="","",SUMIFS(Ledger!$K$2:$K$4, Ledger!$B$2:$B$4, $A937, Ledger!$C$2:$C$4, X$2)),"****")</f>
        <v/>
      </c>
    </row>
    <row r="938" spans="1:24" x14ac:dyDescent="0.3">
      <c r="A938" s="106">
        <v>936</v>
      </c>
      <c r="B938" t="str">
        <f>IFERROR(VLOOKUP($A938, Ledger!$B$2:$L$8, 3, 0),"")</f>
        <v/>
      </c>
      <c r="C938" t="str">
        <f>IFERROR(VLOOKUP($A938, Ledger!$B$2:$L$8, 4, 0),"")</f>
        <v/>
      </c>
      <c r="D938" t="str">
        <f>IFERROR(VLOOKUP($A938, Ledger!$B$2:$L$8, 5, 0),"")</f>
        <v/>
      </c>
      <c r="E938" t="str">
        <f>IFERROR(VLOOKUP($A938, Ledger!$B$2:$L$8, 6, 0),"")</f>
        <v/>
      </c>
      <c r="F938" t="str">
        <f>IFERROR(VLOOKUP($A938,'Student Data'!$A$2:$AR$6,32,0),"")</f>
        <v/>
      </c>
      <c r="G938" t="str">
        <f>IFERROR(VLOOKUP($A938,'Student Data'!$A$2:$AR$6,33,0),"")</f>
        <v/>
      </c>
      <c r="H938" t="str">
        <f>IFERROR(VLOOKUP($A938,'Student Data'!$A$2:$AR$6,34,0),"")</f>
        <v/>
      </c>
      <c r="I938" t="str">
        <f>IFERROR(VLOOKUP($A938,'Student Data'!$A$2:$AR$6,35,0),"")</f>
        <v/>
      </c>
      <c r="J938" t="str">
        <f>IFERROR(VLOOKUP($A938,'Student Data'!$A$2:$AR$6,36,0),"")</f>
        <v/>
      </c>
      <c r="K938" t="str">
        <f t="shared" si="28"/>
        <v/>
      </c>
      <c r="L938" t="str">
        <f t="shared" si="29"/>
        <v/>
      </c>
      <c r="M938" t="str">
        <f>IFERROR(IF($C938="","",SUMIFS(Ledger!$K$2:$K$4, Ledger!$B$2:$B$4, $A938, Ledger!$C$2:$C$4, M$2)),"****")</f>
        <v/>
      </c>
      <c r="N938" t="str">
        <f>IFERROR(IF($C938="","",SUMIFS(Ledger!$K$2:$K$4, Ledger!$B$2:$B$4, $A938, Ledger!$C$2:$C$4, N$2)),"****")</f>
        <v/>
      </c>
      <c r="O938" t="str">
        <f>IFERROR(IF($C938="","",SUMIFS(Ledger!$K$2:$K$4, Ledger!$B$2:$B$4, $A938, Ledger!$C$2:$C$4, O$2)),"****")</f>
        <v/>
      </c>
      <c r="P938" t="str">
        <f>IFERROR(IF($C938="","",SUMIFS(Ledger!$K$2:$K$4, Ledger!$B$2:$B$4, $A938, Ledger!$C$2:$C$4, P$2)),"****")</f>
        <v/>
      </c>
      <c r="Q938" t="str">
        <f>IFERROR(IF($C938="","",SUMIFS(Ledger!$K$2:$K$4, Ledger!$B$2:$B$4, $A938, Ledger!$C$2:$C$4, Q$2)),"****")</f>
        <v/>
      </c>
      <c r="R938" t="str">
        <f>IFERROR(IF($C938="","",SUMIFS(Ledger!$K$2:$K$4, Ledger!$B$2:$B$4, $A938, Ledger!$C$2:$C$4, R$2)),"****")</f>
        <v/>
      </c>
      <c r="S938" t="str">
        <f>IFERROR(IF($C938="","",SUMIFS(Ledger!$K$2:$K$4, Ledger!$B$2:$B$4, $A938, Ledger!$C$2:$C$4, S$2)),"****")</f>
        <v/>
      </c>
      <c r="T938" t="str">
        <f>IFERROR(IF($C938="","",SUMIFS(Ledger!$K$2:$K$4, Ledger!$B$2:$B$4, $A938, Ledger!$C$2:$C$4, T$2)),"****")</f>
        <v/>
      </c>
      <c r="U938" t="str">
        <f>IFERROR(IF($C938="","",SUMIFS(Ledger!$K$2:$K$4, Ledger!$B$2:$B$4, $A938, Ledger!$C$2:$C$4, U$2)),"****")</f>
        <v/>
      </c>
      <c r="V938" t="str">
        <f>IFERROR(IF($C938="","",SUMIFS(Ledger!$K$2:$K$4, Ledger!$B$2:$B$4, $A938, Ledger!$C$2:$C$4, V$2)),"****")</f>
        <v/>
      </c>
      <c r="W938" t="str">
        <f>IFERROR(IF($C938="","",SUMIFS(Ledger!$K$2:$K$4, Ledger!$B$2:$B$4, $A938, Ledger!$C$2:$C$4, W$2)),"****")</f>
        <v/>
      </c>
      <c r="X938" t="str">
        <f>IFERROR(IF($C938="","",SUMIFS(Ledger!$K$2:$K$4, Ledger!$B$2:$B$4, $A938, Ledger!$C$2:$C$4, X$2)),"****")</f>
        <v/>
      </c>
    </row>
    <row r="939" spans="1:24" x14ac:dyDescent="0.3">
      <c r="A939" s="106">
        <v>937</v>
      </c>
      <c r="B939" t="str">
        <f>IFERROR(VLOOKUP($A939, Ledger!$B$2:$L$8, 3, 0),"")</f>
        <v/>
      </c>
      <c r="C939" t="str">
        <f>IFERROR(VLOOKUP($A939, Ledger!$B$2:$L$8, 4, 0),"")</f>
        <v/>
      </c>
      <c r="D939" t="str">
        <f>IFERROR(VLOOKUP($A939, Ledger!$B$2:$L$8, 5, 0),"")</f>
        <v/>
      </c>
      <c r="E939" t="str">
        <f>IFERROR(VLOOKUP($A939, Ledger!$B$2:$L$8, 6, 0),"")</f>
        <v/>
      </c>
      <c r="F939" t="str">
        <f>IFERROR(VLOOKUP($A939,'Student Data'!$A$2:$AR$6,32,0),"")</f>
        <v/>
      </c>
      <c r="G939" t="str">
        <f>IFERROR(VLOOKUP($A939,'Student Data'!$A$2:$AR$6,33,0),"")</f>
        <v/>
      </c>
      <c r="H939" t="str">
        <f>IFERROR(VLOOKUP($A939,'Student Data'!$A$2:$AR$6,34,0),"")</f>
        <v/>
      </c>
      <c r="I939" t="str">
        <f>IFERROR(VLOOKUP($A939,'Student Data'!$A$2:$AR$6,35,0),"")</f>
        <v/>
      </c>
      <c r="J939" t="str">
        <f>IFERROR(VLOOKUP($A939,'Student Data'!$A$2:$AR$6,36,0),"")</f>
        <v/>
      </c>
      <c r="K939" t="str">
        <f t="shared" si="28"/>
        <v/>
      </c>
      <c r="L939" t="str">
        <f t="shared" si="29"/>
        <v/>
      </c>
      <c r="M939" t="str">
        <f>IFERROR(IF($C939="","",SUMIFS(Ledger!$K$2:$K$4, Ledger!$B$2:$B$4, $A939, Ledger!$C$2:$C$4, M$2)),"****")</f>
        <v/>
      </c>
      <c r="N939" t="str">
        <f>IFERROR(IF($C939="","",SUMIFS(Ledger!$K$2:$K$4, Ledger!$B$2:$B$4, $A939, Ledger!$C$2:$C$4, N$2)),"****")</f>
        <v/>
      </c>
      <c r="O939" t="str">
        <f>IFERROR(IF($C939="","",SUMIFS(Ledger!$K$2:$K$4, Ledger!$B$2:$B$4, $A939, Ledger!$C$2:$C$4, O$2)),"****")</f>
        <v/>
      </c>
      <c r="P939" t="str">
        <f>IFERROR(IF($C939="","",SUMIFS(Ledger!$K$2:$K$4, Ledger!$B$2:$B$4, $A939, Ledger!$C$2:$C$4, P$2)),"****")</f>
        <v/>
      </c>
      <c r="Q939" t="str">
        <f>IFERROR(IF($C939="","",SUMIFS(Ledger!$K$2:$K$4, Ledger!$B$2:$B$4, $A939, Ledger!$C$2:$C$4, Q$2)),"****")</f>
        <v/>
      </c>
      <c r="R939" t="str">
        <f>IFERROR(IF($C939="","",SUMIFS(Ledger!$K$2:$K$4, Ledger!$B$2:$B$4, $A939, Ledger!$C$2:$C$4, R$2)),"****")</f>
        <v/>
      </c>
      <c r="S939" t="str">
        <f>IFERROR(IF($C939="","",SUMIFS(Ledger!$K$2:$K$4, Ledger!$B$2:$B$4, $A939, Ledger!$C$2:$C$4, S$2)),"****")</f>
        <v/>
      </c>
      <c r="T939" t="str">
        <f>IFERROR(IF($C939="","",SUMIFS(Ledger!$K$2:$K$4, Ledger!$B$2:$B$4, $A939, Ledger!$C$2:$C$4, T$2)),"****")</f>
        <v/>
      </c>
      <c r="U939" t="str">
        <f>IFERROR(IF($C939="","",SUMIFS(Ledger!$K$2:$K$4, Ledger!$B$2:$B$4, $A939, Ledger!$C$2:$C$4, U$2)),"****")</f>
        <v/>
      </c>
      <c r="V939" t="str">
        <f>IFERROR(IF($C939="","",SUMIFS(Ledger!$K$2:$K$4, Ledger!$B$2:$B$4, $A939, Ledger!$C$2:$C$4, V$2)),"****")</f>
        <v/>
      </c>
      <c r="W939" t="str">
        <f>IFERROR(IF($C939="","",SUMIFS(Ledger!$K$2:$K$4, Ledger!$B$2:$B$4, $A939, Ledger!$C$2:$C$4, W$2)),"****")</f>
        <v/>
      </c>
      <c r="X939" t="str">
        <f>IFERROR(IF($C939="","",SUMIFS(Ledger!$K$2:$K$4, Ledger!$B$2:$B$4, $A939, Ledger!$C$2:$C$4, X$2)),"****")</f>
        <v/>
      </c>
    </row>
    <row r="940" spans="1:24" x14ac:dyDescent="0.3">
      <c r="A940" s="106">
        <v>938</v>
      </c>
      <c r="B940" t="str">
        <f>IFERROR(VLOOKUP($A940, Ledger!$B$2:$L$8, 3, 0),"")</f>
        <v/>
      </c>
      <c r="C940" t="str">
        <f>IFERROR(VLOOKUP($A940, Ledger!$B$2:$L$8, 4, 0),"")</f>
        <v/>
      </c>
      <c r="D940" t="str">
        <f>IFERROR(VLOOKUP($A940, Ledger!$B$2:$L$8, 5, 0),"")</f>
        <v/>
      </c>
      <c r="E940" t="str">
        <f>IFERROR(VLOOKUP($A940, Ledger!$B$2:$L$8, 6, 0),"")</f>
        <v/>
      </c>
      <c r="F940" t="str">
        <f>IFERROR(VLOOKUP($A940,'Student Data'!$A$2:$AR$6,32,0),"")</f>
        <v/>
      </c>
      <c r="G940" t="str">
        <f>IFERROR(VLOOKUP($A940,'Student Data'!$A$2:$AR$6,33,0),"")</f>
        <v/>
      </c>
      <c r="H940" t="str">
        <f>IFERROR(VLOOKUP($A940,'Student Data'!$A$2:$AR$6,34,0),"")</f>
        <v/>
      </c>
      <c r="I940" t="str">
        <f>IFERROR(VLOOKUP($A940,'Student Data'!$A$2:$AR$6,35,0),"")</f>
        <v/>
      </c>
      <c r="J940" t="str">
        <f>IFERROR(VLOOKUP($A940,'Student Data'!$A$2:$AR$6,36,0),"")</f>
        <v/>
      </c>
      <c r="K940" t="str">
        <f t="shared" si="28"/>
        <v/>
      </c>
      <c r="L940" t="str">
        <f t="shared" si="29"/>
        <v/>
      </c>
      <c r="M940" t="str">
        <f>IFERROR(IF($C940="","",SUMIFS(Ledger!$K$2:$K$4, Ledger!$B$2:$B$4, $A940, Ledger!$C$2:$C$4, M$2)),"****")</f>
        <v/>
      </c>
      <c r="N940" t="str">
        <f>IFERROR(IF($C940="","",SUMIFS(Ledger!$K$2:$K$4, Ledger!$B$2:$B$4, $A940, Ledger!$C$2:$C$4, N$2)),"****")</f>
        <v/>
      </c>
      <c r="O940" t="str">
        <f>IFERROR(IF($C940="","",SUMIFS(Ledger!$K$2:$K$4, Ledger!$B$2:$B$4, $A940, Ledger!$C$2:$C$4, O$2)),"****")</f>
        <v/>
      </c>
      <c r="P940" t="str">
        <f>IFERROR(IF($C940="","",SUMIFS(Ledger!$K$2:$K$4, Ledger!$B$2:$B$4, $A940, Ledger!$C$2:$C$4, P$2)),"****")</f>
        <v/>
      </c>
      <c r="Q940" t="str">
        <f>IFERROR(IF($C940="","",SUMIFS(Ledger!$K$2:$K$4, Ledger!$B$2:$B$4, $A940, Ledger!$C$2:$C$4, Q$2)),"****")</f>
        <v/>
      </c>
      <c r="R940" t="str">
        <f>IFERROR(IF($C940="","",SUMIFS(Ledger!$K$2:$K$4, Ledger!$B$2:$B$4, $A940, Ledger!$C$2:$C$4, R$2)),"****")</f>
        <v/>
      </c>
      <c r="S940" t="str">
        <f>IFERROR(IF($C940="","",SUMIFS(Ledger!$K$2:$K$4, Ledger!$B$2:$B$4, $A940, Ledger!$C$2:$C$4, S$2)),"****")</f>
        <v/>
      </c>
      <c r="T940" t="str">
        <f>IFERROR(IF($C940="","",SUMIFS(Ledger!$K$2:$K$4, Ledger!$B$2:$B$4, $A940, Ledger!$C$2:$C$4, T$2)),"****")</f>
        <v/>
      </c>
      <c r="U940" t="str">
        <f>IFERROR(IF($C940="","",SUMIFS(Ledger!$K$2:$K$4, Ledger!$B$2:$B$4, $A940, Ledger!$C$2:$C$4, U$2)),"****")</f>
        <v/>
      </c>
      <c r="V940" t="str">
        <f>IFERROR(IF($C940="","",SUMIFS(Ledger!$K$2:$K$4, Ledger!$B$2:$B$4, $A940, Ledger!$C$2:$C$4, V$2)),"****")</f>
        <v/>
      </c>
      <c r="W940" t="str">
        <f>IFERROR(IF($C940="","",SUMIFS(Ledger!$K$2:$K$4, Ledger!$B$2:$B$4, $A940, Ledger!$C$2:$C$4, W$2)),"****")</f>
        <v/>
      </c>
      <c r="X940" t="str">
        <f>IFERROR(IF($C940="","",SUMIFS(Ledger!$K$2:$K$4, Ledger!$B$2:$B$4, $A940, Ledger!$C$2:$C$4, X$2)),"****")</f>
        <v/>
      </c>
    </row>
    <row r="941" spans="1:24" x14ac:dyDescent="0.3">
      <c r="A941" s="106">
        <v>939</v>
      </c>
      <c r="B941" t="str">
        <f>IFERROR(VLOOKUP($A941, Ledger!$B$2:$L$8, 3, 0),"")</f>
        <v/>
      </c>
      <c r="C941" t="str">
        <f>IFERROR(VLOOKUP($A941, Ledger!$B$2:$L$8, 4, 0),"")</f>
        <v/>
      </c>
      <c r="D941" t="str">
        <f>IFERROR(VLOOKUP($A941, Ledger!$B$2:$L$8, 5, 0),"")</f>
        <v/>
      </c>
      <c r="E941" t="str">
        <f>IFERROR(VLOOKUP($A941, Ledger!$B$2:$L$8, 6, 0),"")</f>
        <v/>
      </c>
      <c r="F941" t="str">
        <f>IFERROR(VLOOKUP($A941,'Student Data'!$A$2:$AR$6,32,0),"")</f>
        <v/>
      </c>
      <c r="G941" t="str">
        <f>IFERROR(VLOOKUP($A941,'Student Data'!$A$2:$AR$6,33,0),"")</f>
        <v/>
      </c>
      <c r="H941" t="str">
        <f>IFERROR(VLOOKUP($A941,'Student Data'!$A$2:$AR$6,34,0),"")</f>
        <v/>
      </c>
      <c r="I941" t="str">
        <f>IFERROR(VLOOKUP($A941,'Student Data'!$A$2:$AR$6,35,0),"")</f>
        <v/>
      </c>
      <c r="J941" t="str">
        <f>IFERROR(VLOOKUP($A941,'Student Data'!$A$2:$AR$6,36,0),"")</f>
        <v/>
      </c>
      <c r="K941" t="str">
        <f t="shared" si="28"/>
        <v/>
      </c>
      <c r="L941" t="str">
        <f t="shared" si="29"/>
        <v/>
      </c>
      <c r="M941" t="str">
        <f>IFERROR(IF($C941="","",SUMIFS(Ledger!$K$2:$K$4, Ledger!$B$2:$B$4, $A941, Ledger!$C$2:$C$4, M$2)),"****")</f>
        <v/>
      </c>
      <c r="N941" t="str">
        <f>IFERROR(IF($C941="","",SUMIFS(Ledger!$K$2:$K$4, Ledger!$B$2:$B$4, $A941, Ledger!$C$2:$C$4, N$2)),"****")</f>
        <v/>
      </c>
      <c r="O941" t="str">
        <f>IFERROR(IF($C941="","",SUMIFS(Ledger!$K$2:$K$4, Ledger!$B$2:$B$4, $A941, Ledger!$C$2:$C$4, O$2)),"****")</f>
        <v/>
      </c>
      <c r="P941" t="str">
        <f>IFERROR(IF($C941="","",SUMIFS(Ledger!$K$2:$K$4, Ledger!$B$2:$B$4, $A941, Ledger!$C$2:$C$4, P$2)),"****")</f>
        <v/>
      </c>
      <c r="Q941" t="str">
        <f>IFERROR(IF($C941="","",SUMIFS(Ledger!$K$2:$K$4, Ledger!$B$2:$B$4, $A941, Ledger!$C$2:$C$4, Q$2)),"****")</f>
        <v/>
      </c>
      <c r="R941" t="str">
        <f>IFERROR(IF($C941="","",SUMIFS(Ledger!$K$2:$K$4, Ledger!$B$2:$B$4, $A941, Ledger!$C$2:$C$4, R$2)),"****")</f>
        <v/>
      </c>
      <c r="S941" t="str">
        <f>IFERROR(IF($C941="","",SUMIFS(Ledger!$K$2:$K$4, Ledger!$B$2:$B$4, $A941, Ledger!$C$2:$C$4, S$2)),"****")</f>
        <v/>
      </c>
      <c r="T941" t="str">
        <f>IFERROR(IF($C941="","",SUMIFS(Ledger!$K$2:$K$4, Ledger!$B$2:$B$4, $A941, Ledger!$C$2:$C$4, T$2)),"****")</f>
        <v/>
      </c>
      <c r="U941" t="str">
        <f>IFERROR(IF($C941="","",SUMIFS(Ledger!$K$2:$K$4, Ledger!$B$2:$B$4, $A941, Ledger!$C$2:$C$4, U$2)),"****")</f>
        <v/>
      </c>
      <c r="V941" t="str">
        <f>IFERROR(IF($C941="","",SUMIFS(Ledger!$K$2:$K$4, Ledger!$B$2:$B$4, $A941, Ledger!$C$2:$C$4, V$2)),"****")</f>
        <v/>
      </c>
      <c r="W941" t="str">
        <f>IFERROR(IF($C941="","",SUMIFS(Ledger!$K$2:$K$4, Ledger!$B$2:$B$4, $A941, Ledger!$C$2:$C$4, W$2)),"****")</f>
        <v/>
      </c>
      <c r="X941" t="str">
        <f>IFERROR(IF($C941="","",SUMIFS(Ledger!$K$2:$K$4, Ledger!$B$2:$B$4, $A941, Ledger!$C$2:$C$4, X$2)),"****")</f>
        <v/>
      </c>
    </row>
    <row r="942" spans="1:24" x14ac:dyDescent="0.3">
      <c r="A942" s="106">
        <v>940</v>
      </c>
      <c r="B942" t="str">
        <f>IFERROR(VLOOKUP($A942, Ledger!$B$2:$L$8, 3, 0),"")</f>
        <v/>
      </c>
      <c r="C942" t="str">
        <f>IFERROR(VLOOKUP($A942, Ledger!$B$2:$L$8, 4, 0),"")</f>
        <v/>
      </c>
      <c r="D942" t="str">
        <f>IFERROR(VLOOKUP($A942, Ledger!$B$2:$L$8, 5, 0),"")</f>
        <v/>
      </c>
      <c r="E942" t="str">
        <f>IFERROR(VLOOKUP($A942, Ledger!$B$2:$L$8, 6, 0),"")</f>
        <v/>
      </c>
      <c r="F942" t="str">
        <f>IFERROR(VLOOKUP($A942,'Student Data'!$A$2:$AR$6,32,0),"")</f>
        <v/>
      </c>
      <c r="G942" t="str">
        <f>IFERROR(VLOOKUP($A942,'Student Data'!$A$2:$AR$6,33,0),"")</f>
        <v/>
      </c>
      <c r="H942" t="str">
        <f>IFERROR(VLOOKUP($A942,'Student Data'!$A$2:$AR$6,34,0),"")</f>
        <v/>
      </c>
      <c r="I942" t="str">
        <f>IFERROR(VLOOKUP($A942,'Student Data'!$A$2:$AR$6,35,0),"")</f>
        <v/>
      </c>
      <c r="J942" t="str">
        <f>IFERROR(VLOOKUP($A942,'Student Data'!$A$2:$AR$6,36,0),"")</f>
        <v/>
      </c>
      <c r="K942" t="str">
        <f t="shared" si="28"/>
        <v/>
      </c>
      <c r="L942" t="str">
        <f t="shared" si="29"/>
        <v/>
      </c>
      <c r="M942" t="str">
        <f>IFERROR(IF($C942="","",SUMIFS(Ledger!$K$2:$K$4, Ledger!$B$2:$B$4, $A942, Ledger!$C$2:$C$4, M$2)),"****")</f>
        <v/>
      </c>
      <c r="N942" t="str">
        <f>IFERROR(IF($C942="","",SUMIFS(Ledger!$K$2:$K$4, Ledger!$B$2:$B$4, $A942, Ledger!$C$2:$C$4, N$2)),"****")</f>
        <v/>
      </c>
      <c r="O942" t="str">
        <f>IFERROR(IF($C942="","",SUMIFS(Ledger!$K$2:$K$4, Ledger!$B$2:$B$4, $A942, Ledger!$C$2:$C$4, O$2)),"****")</f>
        <v/>
      </c>
      <c r="P942" t="str">
        <f>IFERROR(IF($C942="","",SUMIFS(Ledger!$K$2:$K$4, Ledger!$B$2:$B$4, $A942, Ledger!$C$2:$C$4, P$2)),"****")</f>
        <v/>
      </c>
      <c r="Q942" t="str">
        <f>IFERROR(IF($C942="","",SUMIFS(Ledger!$K$2:$K$4, Ledger!$B$2:$B$4, $A942, Ledger!$C$2:$C$4, Q$2)),"****")</f>
        <v/>
      </c>
      <c r="R942" t="str">
        <f>IFERROR(IF($C942="","",SUMIFS(Ledger!$K$2:$K$4, Ledger!$B$2:$B$4, $A942, Ledger!$C$2:$C$4, R$2)),"****")</f>
        <v/>
      </c>
      <c r="S942" t="str">
        <f>IFERROR(IF($C942="","",SUMIFS(Ledger!$K$2:$K$4, Ledger!$B$2:$B$4, $A942, Ledger!$C$2:$C$4, S$2)),"****")</f>
        <v/>
      </c>
      <c r="T942" t="str">
        <f>IFERROR(IF($C942="","",SUMIFS(Ledger!$K$2:$K$4, Ledger!$B$2:$B$4, $A942, Ledger!$C$2:$C$4, T$2)),"****")</f>
        <v/>
      </c>
      <c r="U942" t="str">
        <f>IFERROR(IF($C942="","",SUMIFS(Ledger!$K$2:$K$4, Ledger!$B$2:$B$4, $A942, Ledger!$C$2:$C$4, U$2)),"****")</f>
        <v/>
      </c>
      <c r="V942" t="str">
        <f>IFERROR(IF($C942="","",SUMIFS(Ledger!$K$2:$K$4, Ledger!$B$2:$B$4, $A942, Ledger!$C$2:$C$4, V$2)),"****")</f>
        <v/>
      </c>
      <c r="W942" t="str">
        <f>IFERROR(IF($C942="","",SUMIFS(Ledger!$K$2:$K$4, Ledger!$B$2:$B$4, $A942, Ledger!$C$2:$C$4, W$2)),"****")</f>
        <v/>
      </c>
      <c r="X942" t="str">
        <f>IFERROR(IF($C942="","",SUMIFS(Ledger!$K$2:$K$4, Ledger!$B$2:$B$4, $A942, Ledger!$C$2:$C$4, X$2)),"****")</f>
        <v/>
      </c>
    </row>
    <row r="943" spans="1:24" x14ac:dyDescent="0.3">
      <c r="A943" s="106">
        <v>941</v>
      </c>
      <c r="B943" t="str">
        <f>IFERROR(VLOOKUP($A943, Ledger!$B$2:$L$8, 3, 0),"")</f>
        <v/>
      </c>
      <c r="C943" t="str">
        <f>IFERROR(VLOOKUP($A943, Ledger!$B$2:$L$8, 4, 0),"")</f>
        <v/>
      </c>
      <c r="D943" t="str">
        <f>IFERROR(VLOOKUP($A943, Ledger!$B$2:$L$8, 5, 0),"")</f>
        <v/>
      </c>
      <c r="E943" t="str">
        <f>IFERROR(VLOOKUP($A943, Ledger!$B$2:$L$8, 6, 0),"")</f>
        <v/>
      </c>
      <c r="F943" t="str">
        <f>IFERROR(VLOOKUP($A943,'Student Data'!$A$2:$AR$6,32,0),"")</f>
        <v/>
      </c>
      <c r="G943" t="str">
        <f>IFERROR(VLOOKUP($A943,'Student Data'!$A$2:$AR$6,33,0),"")</f>
        <v/>
      </c>
      <c r="H943" t="str">
        <f>IFERROR(VLOOKUP($A943,'Student Data'!$A$2:$AR$6,34,0),"")</f>
        <v/>
      </c>
      <c r="I943" t="str">
        <f>IFERROR(VLOOKUP($A943,'Student Data'!$A$2:$AR$6,35,0),"")</f>
        <v/>
      </c>
      <c r="J943" t="str">
        <f>IFERROR(VLOOKUP($A943,'Student Data'!$A$2:$AR$6,36,0),"")</f>
        <v/>
      </c>
      <c r="K943" t="str">
        <f t="shared" si="28"/>
        <v/>
      </c>
      <c r="L943" t="str">
        <f t="shared" si="29"/>
        <v/>
      </c>
      <c r="M943" t="str">
        <f>IFERROR(IF($C943="","",SUMIFS(Ledger!$K$2:$K$4, Ledger!$B$2:$B$4, $A943, Ledger!$C$2:$C$4, M$2)),"****")</f>
        <v/>
      </c>
      <c r="N943" t="str">
        <f>IFERROR(IF($C943="","",SUMIFS(Ledger!$K$2:$K$4, Ledger!$B$2:$B$4, $A943, Ledger!$C$2:$C$4, N$2)),"****")</f>
        <v/>
      </c>
      <c r="O943" t="str">
        <f>IFERROR(IF($C943="","",SUMIFS(Ledger!$K$2:$K$4, Ledger!$B$2:$B$4, $A943, Ledger!$C$2:$C$4, O$2)),"****")</f>
        <v/>
      </c>
      <c r="P943" t="str">
        <f>IFERROR(IF($C943="","",SUMIFS(Ledger!$K$2:$K$4, Ledger!$B$2:$B$4, $A943, Ledger!$C$2:$C$4, P$2)),"****")</f>
        <v/>
      </c>
      <c r="Q943" t="str">
        <f>IFERROR(IF($C943="","",SUMIFS(Ledger!$K$2:$K$4, Ledger!$B$2:$B$4, $A943, Ledger!$C$2:$C$4, Q$2)),"****")</f>
        <v/>
      </c>
      <c r="R943" t="str">
        <f>IFERROR(IF($C943="","",SUMIFS(Ledger!$K$2:$K$4, Ledger!$B$2:$B$4, $A943, Ledger!$C$2:$C$4, R$2)),"****")</f>
        <v/>
      </c>
      <c r="S943" t="str">
        <f>IFERROR(IF($C943="","",SUMIFS(Ledger!$K$2:$K$4, Ledger!$B$2:$B$4, $A943, Ledger!$C$2:$C$4, S$2)),"****")</f>
        <v/>
      </c>
      <c r="T943" t="str">
        <f>IFERROR(IF($C943="","",SUMIFS(Ledger!$K$2:$K$4, Ledger!$B$2:$B$4, $A943, Ledger!$C$2:$C$4, T$2)),"****")</f>
        <v/>
      </c>
      <c r="U943" t="str">
        <f>IFERROR(IF($C943="","",SUMIFS(Ledger!$K$2:$K$4, Ledger!$B$2:$B$4, $A943, Ledger!$C$2:$C$4, U$2)),"****")</f>
        <v/>
      </c>
      <c r="V943" t="str">
        <f>IFERROR(IF($C943="","",SUMIFS(Ledger!$K$2:$K$4, Ledger!$B$2:$B$4, $A943, Ledger!$C$2:$C$4, V$2)),"****")</f>
        <v/>
      </c>
      <c r="W943" t="str">
        <f>IFERROR(IF($C943="","",SUMIFS(Ledger!$K$2:$K$4, Ledger!$B$2:$B$4, $A943, Ledger!$C$2:$C$4, W$2)),"****")</f>
        <v/>
      </c>
      <c r="X943" t="str">
        <f>IFERROR(IF($C943="","",SUMIFS(Ledger!$K$2:$K$4, Ledger!$B$2:$B$4, $A943, Ledger!$C$2:$C$4, X$2)),"****")</f>
        <v/>
      </c>
    </row>
    <row r="944" spans="1:24" x14ac:dyDescent="0.3">
      <c r="A944" s="106">
        <v>942</v>
      </c>
      <c r="B944" t="str">
        <f>IFERROR(VLOOKUP($A944, Ledger!$B$2:$L$8, 3, 0),"")</f>
        <v/>
      </c>
      <c r="C944" t="str">
        <f>IFERROR(VLOOKUP($A944, Ledger!$B$2:$L$8, 4, 0),"")</f>
        <v/>
      </c>
      <c r="D944" t="str">
        <f>IFERROR(VLOOKUP($A944, Ledger!$B$2:$L$8, 5, 0),"")</f>
        <v/>
      </c>
      <c r="E944" t="str">
        <f>IFERROR(VLOOKUP($A944, Ledger!$B$2:$L$8, 6, 0),"")</f>
        <v/>
      </c>
      <c r="F944" t="str">
        <f>IFERROR(VLOOKUP($A944,'Student Data'!$A$2:$AR$6,32,0),"")</f>
        <v/>
      </c>
      <c r="G944" t="str">
        <f>IFERROR(VLOOKUP($A944,'Student Data'!$A$2:$AR$6,33,0),"")</f>
        <v/>
      </c>
      <c r="H944" t="str">
        <f>IFERROR(VLOOKUP($A944,'Student Data'!$A$2:$AR$6,34,0),"")</f>
        <v/>
      </c>
      <c r="I944" t="str">
        <f>IFERROR(VLOOKUP($A944,'Student Data'!$A$2:$AR$6,35,0),"")</f>
        <v/>
      </c>
      <c r="J944" t="str">
        <f>IFERROR(VLOOKUP($A944,'Student Data'!$A$2:$AR$6,36,0),"")</f>
        <v/>
      </c>
      <c r="K944" t="str">
        <f t="shared" si="28"/>
        <v/>
      </c>
      <c r="L944" t="str">
        <f t="shared" si="29"/>
        <v/>
      </c>
      <c r="M944" t="str">
        <f>IFERROR(IF($C944="","",SUMIFS(Ledger!$K$2:$K$4, Ledger!$B$2:$B$4, $A944, Ledger!$C$2:$C$4, M$2)),"****")</f>
        <v/>
      </c>
      <c r="N944" t="str">
        <f>IFERROR(IF($C944="","",SUMIFS(Ledger!$K$2:$K$4, Ledger!$B$2:$B$4, $A944, Ledger!$C$2:$C$4, N$2)),"****")</f>
        <v/>
      </c>
      <c r="O944" t="str">
        <f>IFERROR(IF($C944="","",SUMIFS(Ledger!$K$2:$K$4, Ledger!$B$2:$B$4, $A944, Ledger!$C$2:$C$4, O$2)),"****")</f>
        <v/>
      </c>
      <c r="P944" t="str">
        <f>IFERROR(IF($C944="","",SUMIFS(Ledger!$K$2:$K$4, Ledger!$B$2:$B$4, $A944, Ledger!$C$2:$C$4, P$2)),"****")</f>
        <v/>
      </c>
      <c r="Q944" t="str">
        <f>IFERROR(IF($C944="","",SUMIFS(Ledger!$K$2:$K$4, Ledger!$B$2:$B$4, $A944, Ledger!$C$2:$C$4, Q$2)),"****")</f>
        <v/>
      </c>
      <c r="R944" t="str">
        <f>IFERROR(IF($C944="","",SUMIFS(Ledger!$K$2:$K$4, Ledger!$B$2:$B$4, $A944, Ledger!$C$2:$C$4, R$2)),"****")</f>
        <v/>
      </c>
      <c r="S944" t="str">
        <f>IFERROR(IF($C944="","",SUMIFS(Ledger!$K$2:$K$4, Ledger!$B$2:$B$4, $A944, Ledger!$C$2:$C$4, S$2)),"****")</f>
        <v/>
      </c>
      <c r="T944" t="str">
        <f>IFERROR(IF($C944="","",SUMIFS(Ledger!$K$2:$K$4, Ledger!$B$2:$B$4, $A944, Ledger!$C$2:$C$4, T$2)),"****")</f>
        <v/>
      </c>
      <c r="U944" t="str">
        <f>IFERROR(IF($C944="","",SUMIFS(Ledger!$K$2:$K$4, Ledger!$B$2:$B$4, $A944, Ledger!$C$2:$C$4, U$2)),"****")</f>
        <v/>
      </c>
      <c r="V944" t="str">
        <f>IFERROR(IF($C944="","",SUMIFS(Ledger!$K$2:$K$4, Ledger!$B$2:$B$4, $A944, Ledger!$C$2:$C$4, V$2)),"****")</f>
        <v/>
      </c>
      <c r="W944" t="str">
        <f>IFERROR(IF($C944="","",SUMIFS(Ledger!$K$2:$K$4, Ledger!$B$2:$B$4, $A944, Ledger!$C$2:$C$4, W$2)),"****")</f>
        <v/>
      </c>
      <c r="X944" t="str">
        <f>IFERROR(IF($C944="","",SUMIFS(Ledger!$K$2:$K$4, Ledger!$B$2:$B$4, $A944, Ledger!$C$2:$C$4, X$2)),"****")</f>
        <v/>
      </c>
    </row>
    <row r="945" spans="1:24" x14ac:dyDescent="0.3">
      <c r="A945" s="106">
        <v>943</v>
      </c>
      <c r="B945" t="str">
        <f>IFERROR(VLOOKUP($A945, Ledger!$B$2:$L$8, 3, 0),"")</f>
        <v/>
      </c>
      <c r="C945" t="str">
        <f>IFERROR(VLOOKUP($A945, Ledger!$B$2:$L$8, 4, 0),"")</f>
        <v/>
      </c>
      <c r="D945" t="str">
        <f>IFERROR(VLOOKUP($A945, Ledger!$B$2:$L$8, 5, 0),"")</f>
        <v/>
      </c>
      <c r="E945" t="str">
        <f>IFERROR(VLOOKUP($A945, Ledger!$B$2:$L$8, 6, 0),"")</f>
        <v/>
      </c>
      <c r="F945" t="str">
        <f>IFERROR(VLOOKUP($A945,'Student Data'!$A$2:$AR$6,32,0),"")</f>
        <v/>
      </c>
      <c r="G945" t="str">
        <f>IFERROR(VLOOKUP($A945,'Student Data'!$A$2:$AR$6,33,0),"")</f>
        <v/>
      </c>
      <c r="H945" t="str">
        <f>IFERROR(VLOOKUP($A945,'Student Data'!$A$2:$AR$6,34,0),"")</f>
        <v/>
      </c>
      <c r="I945" t="str">
        <f>IFERROR(VLOOKUP($A945,'Student Data'!$A$2:$AR$6,35,0),"")</f>
        <v/>
      </c>
      <c r="J945" t="str">
        <f>IFERROR(VLOOKUP($A945,'Student Data'!$A$2:$AR$6,36,0),"")</f>
        <v/>
      </c>
      <c r="K945" t="str">
        <f t="shared" si="28"/>
        <v/>
      </c>
      <c r="L945" t="str">
        <f t="shared" si="29"/>
        <v/>
      </c>
      <c r="M945" t="str">
        <f>IFERROR(IF($C945="","",SUMIFS(Ledger!$K$2:$K$4, Ledger!$B$2:$B$4, $A945, Ledger!$C$2:$C$4, M$2)),"****")</f>
        <v/>
      </c>
      <c r="N945" t="str">
        <f>IFERROR(IF($C945="","",SUMIFS(Ledger!$K$2:$K$4, Ledger!$B$2:$B$4, $A945, Ledger!$C$2:$C$4, N$2)),"****")</f>
        <v/>
      </c>
      <c r="O945" t="str">
        <f>IFERROR(IF($C945="","",SUMIFS(Ledger!$K$2:$K$4, Ledger!$B$2:$B$4, $A945, Ledger!$C$2:$C$4, O$2)),"****")</f>
        <v/>
      </c>
      <c r="P945" t="str">
        <f>IFERROR(IF($C945="","",SUMIFS(Ledger!$K$2:$K$4, Ledger!$B$2:$B$4, $A945, Ledger!$C$2:$C$4, P$2)),"****")</f>
        <v/>
      </c>
      <c r="Q945" t="str">
        <f>IFERROR(IF($C945="","",SUMIFS(Ledger!$K$2:$K$4, Ledger!$B$2:$B$4, $A945, Ledger!$C$2:$C$4, Q$2)),"****")</f>
        <v/>
      </c>
      <c r="R945" t="str">
        <f>IFERROR(IF($C945="","",SUMIFS(Ledger!$K$2:$K$4, Ledger!$B$2:$B$4, $A945, Ledger!$C$2:$C$4, R$2)),"****")</f>
        <v/>
      </c>
      <c r="S945" t="str">
        <f>IFERROR(IF($C945="","",SUMIFS(Ledger!$K$2:$K$4, Ledger!$B$2:$B$4, $A945, Ledger!$C$2:$C$4, S$2)),"****")</f>
        <v/>
      </c>
      <c r="T945" t="str">
        <f>IFERROR(IF($C945="","",SUMIFS(Ledger!$K$2:$K$4, Ledger!$B$2:$B$4, $A945, Ledger!$C$2:$C$4, T$2)),"****")</f>
        <v/>
      </c>
      <c r="U945" t="str">
        <f>IFERROR(IF($C945="","",SUMIFS(Ledger!$K$2:$K$4, Ledger!$B$2:$B$4, $A945, Ledger!$C$2:$C$4, U$2)),"****")</f>
        <v/>
      </c>
      <c r="V945" t="str">
        <f>IFERROR(IF($C945="","",SUMIFS(Ledger!$K$2:$K$4, Ledger!$B$2:$B$4, $A945, Ledger!$C$2:$C$4, V$2)),"****")</f>
        <v/>
      </c>
      <c r="W945" t="str">
        <f>IFERROR(IF($C945="","",SUMIFS(Ledger!$K$2:$K$4, Ledger!$B$2:$B$4, $A945, Ledger!$C$2:$C$4, W$2)),"****")</f>
        <v/>
      </c>
      <c r="X945" t="str">
        <f>IFERROR(IF($C945="","",SUMIFS(Ledger!$K$2:$K$4, Ledger!$B$2:$B$4, $A945, Ledger!$C$2:$C$4, X$2)),"****")</f>
        <v/>
      </c>
    </row>
    <row r="946" spans="1:24" x14ac:dyDescent="0.3">
      <c r="A946" s="106">
        <v>944</v>
      </c>
      <c r="B946" t="str">
        <f>IFERROR(VLOOKUP($A946, Ledger!$B$2:$L$8, 3, 0),"")</f>
        <v/>
      </c>
      <c r="C946" t="str">
        <f>IFERROR(VLOOKUP($A946, Ledger!$B$2:$L$8, 4, 0),"")</f>
        <v/>
      </c>
      <c r="D946" t="str">
        <f>IFERROR(VLOOKUP($A946, Ledger!$B$2:$L$8, 5, 0),"")</f>
        <v/>
      </c>
      <c r="E946" t="str">
        <f>IFERROR(VLOOKUP($A946, Ledger!$B$2:$L$8, 6, 0),"")</f>
        <v/>
      </c>
      <c r="F946" t="str">
        <f>IFERROR(VLOOKUP($A946,'Student Data'!$A$2:$AR$6,32,0),"")</f>
        <v/>
      </c>
      <c r="G946" t="str">
        <f>IFERROR(VLOOKUP($A946,'Student Data'!$A$2:$AR$6,33,0),"")</f>
        <v/>
      </c>
      <c r="H946" t="str">
        <f>IFERROR(VLOOKUP($A946,'Student Data'!$A$2:$AR$6,34,0),"")</f>
        <v/>
      </c>
      <c r="I946" t="str">
        <f>IFERROR(VLOOKUP($A946,'Student Data'!$A$2:$AR$6,35,0),"")</f>
        <v/>
      </c>
      <c r="J946" t="str">
        <f>IFERROR(VLOOKUP($A946,'Student Data'!$A$2:$AR$6,36,0),"")</f>
        <v/>
      </c>
      <c r="K946" t="str">
        <f t="shared" si="28"/>
        <v/>
      </c>
      <c r="L946" t="str">
        <f t="shared" si="29"/>
        <v/>
      </c>
      <c r="M946" t="str">
        <f>IFERROR(IF($C946="","",SUMIFS(Ledger!$K$2:$K$4, Ledger!$B$2:$B$4, $A946, Ledger!$C$2:$C$4, M$2)),"****")</f>
        <v/>
      </c>
      <c r="N946" t="str">
        <f>IFERROR(IF($C946="","",SUMIFS(Ledger!$K$2:$K$4, Ledger!$B$2:$B$4, $A946, Ledger!$C$2:$C$4, N$2)),"****")</f>
        <v/>
      </c>
      <c r="O946" t="str">
        <f>IFERROR(IF($C946="","",SUMIFS(Ledger!$K$2:$K$4, Ledger!$B$2:$B$4, $A946, Ledger!$C$2:$C$4, O$2)),"****")</f>
        <v/>
      </c>
      <c r="P946" t="str">
        <f>IFERROR(IF($C946="","",SUMIFS(Ledger!$K$2:$K$4, Ledger!$B$2:$B$4, $A946, Ledger!$C$2:$C$4, P$2)),"****")</f>
        <v/>
      </c>
      <c r="Q946" t="str">
        <f>IFERROR(IF($C946="","",SUMIFS(Ledger!$K$2:$K$4, Ledger!$B$2:$B$4, $A946, Ledger!$C$2:$C$4, Q$2)),"****")</f>
        <v/>
      </c>
      <c r="R946" t="str">
        <f>IFERROR(IF($C946="","",SUMIFS(Ledger!$K$2:$K$4, Ledger!$B$2:$B$4, $A946, Ledger!$C$2:$C$4, R$2)),"****")</f>
        <v/>
      </c>
      <c r="S946" t="str">
        <f>IFERROR(IF($C946="","",SUMIFS(Ledger!$K$2:$K$4, Ledger!$B$2:$B$4, $A946, Ledger!$C$2:$C$4, S$2)),"****")</f>
        <v/>
      </c>
      <c r="T946" t="str">
        <f>IFERROR(IF($C946="","",SUMIFS(Ledger!$K$2:$K$4, Ledger!$B$2:$B$4, $A946, Ledger!$C$2:$C$4, T$2)),"****")</f>
        <v/>
      </c>
      <c r="U946" t="str">
        <f>IFERROR(IF($C946="","",SUMIFS(Ledger!$K$2:$K$4, Ledger!$B$2:$B$4, $A946, Ledger!$C$2:$C$4, U$2)),"****")</f>
        <v/>
      </c>
      <c r="V946" t="str">
        <f>IFERROR(IF($C946="","",SUMIFS(Ledger!$K$2:$K$4, Ledger!$B$2:$B$4, $A946, Ledger!$C$2:$C$4, V$2)),"****")</f>
        <v/>
      </c>
      <c r="W946" t="str">
        <f>IFERROR(IF($C946="","",SUMIFS(Ledger!$K$2:$K$4, Ledger!$B$2:$B$4, $A946, Ledger!$C$2:$C$4, W$2)),"****")</f>
        <v/>
      </c>
      <c r="X946" t="str">
        <f>IFERROR(IF($C946="","",SUMIFS(Ledger!$K$2:$K$4, Ledger!$B$2:$B$4, $A946, Ledger!$C$2:$C$4, X$2)),"****")</f>
        <v/>
      </c>
    </row>
    <row r="947" spans="1:24" x14ac:dyDescent="0.3">
      <c r="A947" s="106">
        <v>945</v>
      </c>
      <c r="B947" t="str">
        <f>IFERROR(VLOOKUP($A947, Ledger!$B$2:$L$8, 3, 0),"")</f>
        <v/>
      </c>
      <c r="C947" t="str">
        <f>IFERROR(VLOOKUP($A947, Ledger!$B$2:$L$8, 4, 0),"")</f>
        <v/>
      </c>
      <c r="D947" t="str">
        <f>IFERROR(VLOOKUP($A947, Ledger!$B$2:$L$8, 5, 0),"")</f>
        <v/>
      </c>
      <c r="E947" t="str">
        <f>IFERROR(VLOOKUP($A947, Ledger!$B$2:$L$8, 6, 0),"")</f>
        <v/>
      </c>
      <c r="F947" t="str">
        <f>IFERROR(VLOOKUP($A947,'Student Data'!$A$2:$AR$6,32,0),"")</f>
        <v/>
      </c>
      <c r="G947" t="str">
        <f>IFERROR(VLOOKUP($A947,'Student Data'!$A$2:$AR$6,33,0),"")</f>
        <v/>
      </c>
      <c r="H947" t="str">
        <f>IFERROR(VLOOKUP($A947,'Student Data'!$A$2:$AR$6,34,0),"")</f>
        <v/>
      </c>
      <c r="I947" t="str">
        <f>IFERROR(VLOOKUP($A947,'Student Data'!$A$2:$AR$6,35,0),"")</f>
        <v/>
      </c>
      <c r="J947" t="str">
        <f>IFERROR(VLOOKUP($A947,'Student Data'!$A$2:$AR$6,36,0),"")</f>
        <v/>
      </c>
      <c r="K947" t="str">
        <f t="shared" si="28"/>
        <v/>
      </c>
      <c r="L947" t="str">
        <f t="shared" si="29"/>
        <v/>
      </c>
      <c r="M947" t="str">
        <f>IFERROR(IF($C947="","",SUMIFS(Ledger!$K$2:$K$4, Ledger!$B$2:$B$4, $A947, Ledger!$C$2:$C$4, M$2)),"****")</f>
        <v/>
      </c>
      <c r="N947" t="str">
        <f>IFERROR(IF($C947="","",SUMIFS(Ledger!$K$2:$K$4, Ledger!$B$2:$B$4, $A947, Ledger!$C$2:$C$4, N$2)),"****")</f>
        <v/>
      </c>
      <c r="O947" t="str">
        <f>IFERROR(IF($C947="","",SUMIFS(Ledger!$K$2:$K$4, Ledger!$B$2:$B$4, $A947, Ledger!$C$2:$C$4, O$2)),"****")</f>
        <v/>
      </c>
      <c r="P947" t="str">
        <f>IFERROR(IF($C947="","",SUMIFS(Ledger!$K$2:$K$4, Ledger!$B$2:$B$4, $A947, Ledger!$C$2:$C$4, P$2)),"****")</f>
        <v/>
      </c>
      <c r="Q947" t="str">
        <f>IFERROR(IF($C947="","",SUMIFS(Ledger!$K$2:$K$4, Ledger!$B$2:$B$4, $A947, Ledger!$C$2:$C$4, Q$2)),"****")</f>
        <v/>
      </c>
      <c r="R947" t="str">
        <f>IFERROR(IF($C947="","",SUMIFS(Ledger!$K$2:$K$4, Ledger!$B$2:$B$4, $A947, Ledger!$C$2:$C$4, R$2)),"****")</f>
        <v/>
      </c>
      <c r="S947" t="str">
        <f>IFERROR(IF($C947="","",SUMIFS(Ledger!$K$2:$K$4, Ledger!$B$2:$B$4, $A947, Ledger!$C$2:$C$4, S$2)),"****")</f>
        <v/>
      </c>
      <c r="T947" t="str">
        <f>IFERROR(IF($C947="","",SUMIFS(Ledger!$K$2:$K$4, Ledger!$B$2:$B$4, $A947, Ledger!$C$2:$C$4, T$2)),"****")</f>
        <v/>
      </c>
      <c r="U947" t="str">
        <f>IFERROR(IF($C947="","",SUMIFS(Ledger!$K$2:$K$4, Ledger!$B$2:$B$4, $A947, Ledger!$C$2:$C$4, U$2)),"****")</f>
        <v/>
      </c>
      <c r="V947" t="str">
        <f>IFERROR(IF($C947="","",SUMIFS(Ledger!$K$2:$K$4, Ledger!$B$2:$B$4, $A947, Ledger!$C$2:$C$4, V$2)),"****")</f>
        <v/>
      </c>
      <c r="W947" t="str">
        <f>IFERROR(IF($C947="","",SUMIFS(Ledger!$K$2:$K$4, Ledger!$B$2:$B$4, $A947, Ledger!$C$2:$C$4, W$2)),"****")</f>
        <v/>
      </c>
      <c r="X947" t="str">
        <f>IFERROR(IF($C947="","",SUMIFS(Ledger!$K$2:$K$4, Ledger!$B$2:$B$4, $A947, Ledger!$C$2:$C$4, X$2)),"****")</f>
        <v/>
      </c>
    </row>
    <row r="948" spans="1:24" x14ac:dyDescent="0.3">
      <c r="A948" s="106">
        <v>946</v>
      </c>
      <c r="B948" t="str">
        <f>IFERROR(VLOOKUP($A948, Ledger!$B$2:$L$8, 3, 0),"")</f>
        <v/>
      </c>
      <c r="C948" t="str">
        <f>IFERROR(VLOOKUP($A948, Ledger!$B$2:$L$8, 4, 0),"")</f>
        <v/>
      </c>
      <c r="D948" t="str">
        <f>IFERROR(VLOOKUP($A948, Ledger!$B$2:$L$8, 5, 0),"")</f>
        <v/>
      </c>
      <c r="E948" t="str">
        <f>IFERROR(VLOOKUP($A948, Ledger!$B$2:$L$8, 6, 0),"")</f>
        <v/>
      </c>
      <c r="F948" t="str">
        <f>IFERROR(VLOOKUP($A948,'Student Data'!$A$2:$AR$6,32,0),"")</f>
        <v/>
      </c>
      <c r="G948" t="str">
        <f>IFERROR(VLOOKUP($A948,'Student Data'!$A$2:$AR$6,33,0),"")</f>
        <v/>
      </c>
      <c r="H948" t="str">
        <f>IFERROR(VLOOKUP($A948,'Student Data'!$A$2:$AR$6,34,0),"")</f>
        <v/>
      </c>
      <c r="I948" t="str">
        <f>IFERROR(VLOOKUP($A948,'Student Data'!$A$2:$AR$6,35,0),"")</f>
        <v/>
      </c>
      <c r="J948" t="str">
        <f>IFERROR(VLOOKUP($A948,'Student Data'!$A$2:$AR$6,36,0),"")</f>
        <v/>
      </c>
      <c r="K948" t="str">
        <f t="shared" si="28"/>
        <v/>
      </c>
      <c r="L948" t="str">
        <f t="shared" si="29"/>
        <v/>
      </c>
      <c r="M948" t="str">
        <f>IFERROR(IF($C948="","",SUMIFS(Ledger!$K$2:$K$4, Ledger!$B$2:$B$4, $A948, Ledger!$C$2:$C$4, M$2)),"****")</f>
        <v/>
      </c>
      <c r="N948" t="str">
        <f>IFERROR(IF($C948="","",SUMIFS(Ledger!$K$2:$K$4, Ledger!$B$2:$B$4, $A948, Ledger!$C$2:$C$4, N$2)),"****")</f>
        <v/>
      </c>
      <c r="O948" t="str">
        <f>IFERROR(IF($C948="","",SUMIFS(Ledger!$K$2:$K$4, Ledger!$B$2:$B$4, $A948, Ledger!$C$2:$C$4, O$2)),"****")</f>
        <v/>
      </c>
      <c r="P948" t="str">
        <f>IFERROR(IF($C948="","",SUMIFS(Ledger!$K$2:$K$4, Ledger!$B$2:$B$4, $A948, Ledger!$C$2:$C$4, P$2)),"****")</f>
        <v/>
      </c>
      <c r="Q948" t="str">
        <f>IFERROR(IF($C948="","",SUMIFS(Ledger!$K$2:$K$4, Ledger!$B$2:$B$4, $A948, Ledger!$C$2:$C$4, Q$2)),"****")</f>
        <v/>
      </c>
      <c r="R948" t="str">
        <f>IFERROR(IF($C948="","",SUMIFS(Ledger!$K$2:$K$4, Ledger!$B$2:$B$4, $A948, Ledger!$C$2:$C$4, R$2)),"****")</f>
        <v/>
      </c>
      <c r="S948" t="str">
        <f>IFERROR(IF($C948="","",SUMIFS(Ledger!$K$2:$K$4, Ledger!$B$2:$B$4, $A948, Ledger!$C$2:$C$4, S$2)),"****")</f>
        <v/>
      </c>
      <c r="T948" t="str">
        <f>IFERROR(IF($C948="","",SUMIFS(Ledger!$K$2:$K$4, Ledger!$B$2:$B$4, $A948, Ledger!$C$2:$C$4, T$2)),"****")</f>
        <v/>
      </c>
      <c r="U948" t="str">
        <f>IFERROR(IF($C948="","",SUMIFS(Ledger!$K$2:$K$4, Ledger!$B$2:$B$4, $A948, Ledger!$C$2:$C$4, U$2)),"****")</f>
        <v/>
      </c>
      <c r="V948" t="str">
        <f>IFERROR(IF($C948="","",SUMIFS(Ledger!$K$2:$K$4, Ledger!$B$2:$B$4, $A948, Ledger!$C$2:$C$4, V$2)),"****")</f>
        <v/>
      </c>
      <c r="W948" t="str">
        <f>IFERROR(IF($C948="","",SUMIFS(Ledger!$K$2:$K$4, Ledger!$B$2:$B$4, $A948, Ledger!$C$2:$C$4, W$2)),"****")</f>
        <v/>
      </c>
      <c r="X948" t="str">
        <f>IFERROR(IF($C948="","",SUMIFS(Ledger!$K$2:$K$4, Ledger!$B$2:$B$4, $A948, Ledger!$C$2:$C$4, X$2)),"****")</f>
        <v/>
      </c>
    </row>
    <row r="949" spans="1:24" x14ac:dyDescent="0.3">
      <c r="A949" s="106">
        <v>947</v>
      </c>
      <c r="B949" t="str">
        <f>IFERROR(VLOOKUP($A949, Ledger!$B$2:$L$8, 3, 0),"")</f>
        <v/>
      </c>
      <c r="C949" t="str">
        <f>IFERROR(VLOOKUP($A949, Ledger!$B$2:$L$8, 4, 0),"")</f>
        <v/>
      </c>
      <c r="D949" t="str">
        <f>IFERROR(VLOOKUP($A949, Ledger!$B$2:$L$8, 5, 0),"")</f>
        <v/>
      </c>
      <c r="E949" t="str">
        <f>IFERROR(VLOOKUP($A949, Ledger!$B$2:$L$8, 6, 0),"")</f>
        <v/>
      </c>
      <c r="F949" t="str">
        <f>IFERROR(VLOOKUP($A949,'Student Data'!$A$2:$AR$6,32,0),"")</f>
        <v/>
      </c>
      <c r="G949" t="str">
        <f>IFERROR(VLOOKUP($A949,'Student Data'!$A$2:$AR$6,33,0),"")</f>
        <v/>
      </c>
      <c r="H949" t="str">
        <f>IFERROR(VLOOKUP($A949,'Student Data'!$A$2:$AR$6,34,0),"")</f>
        <v/>
      </c>
      <c r="I949" t="str">
        <f>IFERROR(VLOOKUP($A949,'Student Data'!$A$2:$AR$6,35,0),"")</f>
        <v/>
      </c>
      <c r="J949" t="str">
        <f>IFERROR(VLOOKUP($A949,'Student Data'!$A$2:$AR$6,36,0),"")</f>
        <v/>
      </c>
      <c r="K949" t="str">
        <f t="shared" si="28"/>
        <v/>
      </c>
      <c r="L949" t="str">
        <f t="shared" si="29"/>
        <v/>
      </c>
      <c r="M949" t="str">
        <f>IFERROR(IF($C949="","",SUMIFS(Ledger!$K$2:$K$4, Ledger!$B$2:$B$4, $A949, Ledger!$C$2:$C$4, M$2)),"****")</f>
        <v/>
      </c>
      <c r="N949" t="str">
        <f>IFERROR(IF($C949="","",SUMIFS(Ledger!$K$2:$K$4, Ledger!$B$2:$B$4, $A949, Ledger!$C$2:$C$4, N$2)),"****")</f>
        <v/>
      </c>
      <c r="O949" t="str">
        <f>IFERROR(IF($C949="","",SUMIFS(Ledger!$K$2:$K$4, Ledger!$B$2:$B$4, $A949, Ledger!$C$2:$C$4, O$2)),"****")</f>
        <v/>
      </c>
      <c r="P949" t="str">
        <f>IFERROR(IF($C949="","",SUMIFS(Ledger!$K$2:$K$4, Ledger!$B$2:$B$4, $A949, Ledger!$C$2:$C$4, P$2)),"****")</f>
        <v/>
      </c>
      <c r="Q949" t="str">
        <f>IFERROR(IF($C949="","",SUMIFS(Ledger!$K$2:$K$4, Ledger!$B$2:$B$4, $A949, Ledger!$C$2:$C$4, Q$2)),"****")</f>
        <v/>
      </c>
      <c r="R949" t="str">
        <f>IFERROR(IF($C949="","",SUMIFS(Ledger!$K$2:$K$4, Ledger!$B$2:$B$4, $A949, Ledger!$C$2:$C$4, R$2)),"****")</f>
        <v/>
      </c>
      <c r="S949" t="str">
        <f>IFERROR(IF($C949="","",SUMIFS(Ledger!$K$2:$K$4, Ledger!$B$2:$B$4, $A949, Ledger!$C$2:$C$4, S$2)),"****")</f>
        <v/>
      </c>
      <c r="T949" t="str">
        <f>IFERROR(IF($C949="","",SUMIFS(Ledger!$K$2:$K$4, Ledger!$B$2:$B$4, $A949, Ledger!$C$2:$C$4, T$2)),"****")</f>
        <v/>
      </c>
      <c r="U949" t="str">
        <f>IFERROR(IF($C949="","",SUMIFS(Ledger!$K$2:$K$4, Ledger!$B$2:$B$4, $A949, Ledger!$C$2:$C$4, U$2)),"****")</f>
        <v/>
      </c>
      <c r="V949" t="str">
        <f>IFERROR(IF($C949="","",SUMIFS(Ledger!$K$2:$K$4, Ledger!$B$2:$B$4, $A949, Ledger!$C$2:$C$4, V$2)),"****")</f>
        <v/>
      </c>
      <c r="W949" t="str">
        <f>IFERROR(IF($C949="","",SUMIFS(Ledger!$K$2:$K$4, Ledger!$B$2:$B$4, $A949, Ledger!$C$2:$C$4, W$2)),"****")</f>
        <v/>
      </c>
      <c r="X949" t="str">
        <f>IFERROR(IF($C949="","",SUMIFS(Ledger!$K$2:$K$4, Ledger!$B$2:$B$4, $A949, Ledger!$C$2:$C$4, X$2)),"****")</f>
        <v/>
      </c>
    </row>
    <row r="950" spans="1:24" x14ac:dyDescent="0.3">
      <c r="A950" s="106">
        <v>948</v>
      </c>
      <c r="B950" t="str">
        <f>IFERROR(VLOOKUP($A950, Ledger!$B$2:$L$8, 3, 0),"")</f>
        <v/>
      </c>
      <c r="C950" t="str">
        <f>IFERROR(VLOOKUP($A950, Ledger!$B$2:$L$8, 4, 0),"")</f>
        <v/>
      </c>
      <c r="D950" t="str">
        <f>IFERROR(VLOOKUP($A950, Ledger!$B$2:$L$8, 5, 0),"")</f>
        <v/>
      </c>
      <c r="E950" t="str">
        <f>IFERROR(VLOOKUP($A950, Ledger!$B$2:$L$8, 6, 0),"")</f>
        <v/>
      </c>
      <c r="F950" t="str">
        <f>IFERROR(VLOOKUP($A950,'Student Data'!$A$2:$AR$6,32,0),"")</f>
        <v/>
      </c>
      <c r="G950" t="str">
        <f>IFERROR(VLOOKUP($A950,'Student Data'!$A$2:$AR$6,33,0),"")</f>
        <v/>
      </c>
      <c r="H950" t="str">
        <f>IFERROR(VLOOKUP($A950,'Student Data'!$A$2:$AR$6,34,0),"")</f>
        <v/>
      </c>
      <c r="I950" t="str">
        <f>IFERROR(VLOOKUP($A950,'Student Data'!$A$2:$AR$6,35,0),"")</f>
        <v/>
      </c>
      <c r="J950" t="str">
        <f>IFERROR(VLOOKUP($A950,'Student Data'!$A$2:$AR$6,36,0),"")</f>
        <v/>
      </c>
      <c r="K950" t="str">
        <f t="shared" si="28"/>
        <v/>
      </c>
      <c r="L950" t="str">
        <f t="shared" si="29"/>
        <v/>
      </c>
      <c r="M950" t="str">
        <f>IFERROR(IF($C950="","",SUMIFS(Ledger!$K$2:$K$4, Ledger!$B$2:$B$4, $A950, Ledger!$C$2:$C$4, M$2)),"****")</f>
        <v/>
      </c>
      <c r="N950" t="str">
        <f>IFERROR(IF($C950="","",SUMIFS(Ledger!$K$2:$K$4, Ledger!$B$2:$B$4, $A950, Ledger!$C$2:$C$4, N$2)),"****")</f>
        <v/>
      </c>
      <c r="O950" t="str">
        <f>IFERROR(IF($C950="","",SUMIFS(Ledger!$K$2:$K$4, Ledger!$B$2:$B$4, $A950, Ledger!$C$2:$C$4, O$2)),"****")</f>
        <v/>
      </c>
      <c r="P950" t="str">
        <f>IFERROR(IF($C950="","",SUMIFS(Ledger!$K$2:$K$4, Ledger!$B$2:$B$4, $A950, Ledger!$C$2:$C$4, P$2)),"****")</f>
        <v/>
      </c>
      <c r="Q950" t="str">
        <f>IFERROR(IF($C950="","",SUMIFS(Ledger!$K$2:$K$4, Ledger!$B$2:$B$4, $A950, Ledger!$C$2:$C$4, Q$2)),"****")</f>
        <v/>
      </c>
      <c r="R950" t="str">
        <f>IFERROR(IF($C950="","",SUMIFS(Ledger!$K$2:$K$4, Ledger!$B$2:$B$4, $A950, Ledger!$C$2:$C$4, R$2)),"****")</f>
        <v/>
      </c>
      <c r="S950" t="str">
        <f>IFERROR(IF($C950="","",SUMIFS(Ledger!$K$2:$K$4, Ledger!$B$2:$B$4, $A950, Ledger!$C$2:$C$4, S$2)),"****")</f>
        <v/>
      </c>
      <c r="T950" t="str">
        <f>IFERROR(IF($C950="","",SUMIFS(Ledger!$K$2:$K$4, Ledger!$B$2:$B$4, $A950, Ledger!$C$2:$C$4, T$2)),"****")</f>
        <v/>
      </c>
      <c r="U950" t="str">
        <f>IFERROR(IF($C950="","",SUMIFS(Ledger!$K$2:$K$4, Ledger!$B$2:$B$4, $A950, Ledger!$C$2:$C$4, U$2)),"****")</f>
        <v/>
      </c>
      <c r="V950" t="str">
        <f>IFERROR(IF($C950="","",SUMIFS(Ledger!$K$2:$K$4, Ledger!$B$2:$B$4, $A950, Ledger!$C$2:$C$4, V$2)),"****")</f>
        <v/>
      </c>
      <c r="W950" t="str">
        <f>IFERROR(IF($C950="","",SUMIFS(Ledger!$K$2:$K$4, Ledger!$B$2:$B$4, $A950, Ledger!$C$2:$C$4, W$2)),"****")</f>
        <v/>
      </c>
      <c r="X950" t="str">
        <f>IFERROR(IF($C950="","",SUMIFS(Ledger!$K$2:$K$4, Ledger!$B$2:$B$4, $A950, Ledger!$C$2:$C$4, X$2)),"****")</f>
        <v/>
      </c>
    </row>
    <row r="951" spans="1:24" x14ac:dyDescent="0.3">
      <c r="A951" s="106">
        <v>949</v>
      </c>
      <c r="B951" t="str">
        <f>IFERROR(VLOOKUP($A951, Ledger!$B$2:$L$8, 3, 0),"")</f>
        <v/>
      </c>
      <c r="C951" t="str">
        <f>IFERROR(VLOOKUP($A951, Ledger!$B$2:$L$8, 4, 0),"")</f>
        <v/>
      </c>
      <c r="D951" t="str">
        <f>IFERROR(VLOOKUP($A951, Ledger!$B$2:$L$8, 5, 0),"")</f>
        <v/>
      </c>
      <c r="E951" t="str">
        <f>IFERROR(VLOOKUP($A951, Ledger!$B$2:$L$8, 6, 0),"")</f>
        <v/>
      </c>
      <c r="F951" t="str">
        <f>IFERROR(VLOOKUP($A951,'Student Data'!$A$2:$AR$6,32,0),"")</f>
        <v/>
      </c>
      <c r="G951" t="str">
        <f>IFERROR(VLOOKUP($A951,'Student Data'!$A$2:$AR$6,33,0),"")</f>
        <v/>
      </c>
      <c r="H951" t="str">
        <f>IFERROR(VLOOKUP($A951,'Student Data'!$A$2:$AR$6,34,0),"")</f>
        <v/>
      </c>
      <c r="I951" t="str">
        <f>IFERROR(VLOOKUP($A951,'Student Data'!$A$2:$AR$6,35,0),"")</f>
        <v/>
      </c>
      <c r="J951" t="str">
        <f>IFERROR(VLOOKUP($A951,'Student Data'!$A$2:$AR$6,36,0),"")</f>
        <v/>
      </c>
      <c r="K951" t="str">
        <f t="shared" si="28"/>
        <v/>
      </c>
      <c r="L951" t="str">
        <f t="shared" si="29"/>
        <v/>
      </c>
      <c r="M951" t="str">
        <f>IFERROR(IF($C951="","",SUMIFS(Ledger!$K$2:$K$4, Ledger!$B$2:$B$4, $A951, Ledger!$C$2:$C$4, M$2)),"****")</f>
        <v/>
      </c>
      <c r="N951" t="str">
        <f>IFERROR(IF($C951="","",SUMIFS(Ledger!$K$2:$K$4, Ledger!$B$2:$B$4, $A951, Ledger!$C$2:$C$4, N$2)),"****")</f>
        <v/>
      </c>
      <c r="O951" t="str">
        <f>IFERROR(IF($C951="","",SUMIFS(Ledger!$K$2:$K$4, Ledger!$B$2:$B$4, $A951, Ledger!$C$2:$C$4, O$2)),"****")</f>
        <v/>
      </c>
      <c r="P951" t="str">
        <f>IFERROR(IF($C951="","",SUMIFS(Ledger!$K$2:$K$4, Ledger!$B$2:$B$4, $A951, Ledger!$C$2:$C$4, P$2)),"****")</f>
        <v/>
      </c>
      <c r="Q951" t="str">
        <f>IFERROR(IF($C951="","",SUMIFS(Ledger!$K$2:$K$4, Ledger!$B$2:$B$4, $A951, Ledger!$C$2:$C$4, Q$2)),"****")</f>
        <v/>
      </c>
      <c r="R951" t="str">
        <f>IFERROR(IF($C951="","",SUMIFS(Ledger!$K$2:$K$4, Ledger!$B$2:$B$4, $A951, Ledger!$C$2:$C$4, R$2)),"****")</f>
        <v/>
      </c>
      <c r="S951" t="str">
        <f>IFERROR(IF($C951="","",SUMIFS(Ledger!$K$2:$K$4, Ledger!$B$2:$B$4, $A951, Ledger!$C$2:$C$4, S$2)),"****")</f>
        <v/>
      </c>
      <c r="T951" t="str">
        <f>IFERROR(IF($C951="","",SUMIFS(Ledger!$K$2:$K$4, Ledger!$B$2:$B$4, $A951, Ledger!$C$2:$C$4, T$2)),"****")</f>
        <v/>
      </c>
      <c r="U951" t="str">
        <f>IFERROR(IF($C951="","",SUMIFS(Ledger!$K$2:$K$4, Ledger!$B$2:$B$4, $A951, Ledger!$C$2:$C$4, U$2)),"****")</f>
        <v/>
      </c>
      <c r="V951" t="str">
        <f>IFERROR(IF($C951="","",SUMIFS(Ledger!$K$2:$K$4, Ledger!$B$2:$B$4, $A951, Ledger!$C$2:$C$4, V$2)),"****")</f>
        <v/>
      </c>
      <c r="W951" t="str">
        <f>IFERROR(IF($C951="","",SUMIFS(Ledger!$K$2:$K$4, Ledger!$B$2:$B$4, $A951, Ledger!$C$2:$C$4, W$2)),"****")</f>
        <v/>
      </c>
      <c r="X951" t="str">
        <f>IFERROR(IF($C951="","",SUMIFS(Ledger!$K$2:$K$4, Ledger!$B$2:$B$4, $A951, Ledger!$C$2:$C$4, X$2)),"****")</f>
        <v/>
      </c>
    </row>
    <row r="952" spans="1:24" x14ac:dyDescent="0.3">
      <c r="A952" s="106">
        <v>950</v>
      </c>
      <c r="B952" t="str">
        <f>IFERROR(VLOOKUP($A952, Ledger!$B$2:$L$8, 3, 0),"")</f>
        <v/>
      </c>
      <c r="C952" t="str">
        <f>IFERROR(VLOOKUP($A952, Ledger!$B$2:$L$8, 4, 0),"")</f>
        <v/>
      </c>
      <c r="D952" t="str">
        <f>IFERROR(VLOOKUP($A952, Ledger!$B$2:$L$8, 5, 0),"")</f>
        <v/>
      </c>
      <c r="E952" t="str">
        <f>IFERROR(VLOOKUP($A952, Ledger!$B$2:$L$8, 6, 0),"")</f>
        <v/>
      </c>
      <c r="F952" t="str">
        <f>IFERROR(VLOOKUP($A952,'Student Data'!$A$2:$AR$6,32,0),"")</f>
        <v/>
      </c>
      <c r="G952" t="str">
        <f>IFERROR(VLOOKUP($A952,'Student Data'!$A$2:$AR$6,33,0),"")</f>
        <v/>
      </c>
      <c r="H952" t="str">
        <f>IFERROR(VLOOKUP($A952,'Student Data'!$A$2:$AR$6,34,0),"")</f>
        <v/>
      </c>
      <c r="I952" t="str">
        <f>IFERROR(VLOOKUP($A952,'Student Data'!$A$2:$AR$6,35,0),"")</f>
        <v/>
      </c>
      <c r="J952" t="str">
        <f>IFERROR(VLOOKUP($A952,'Student Data'!$A$2:$AR$6,36,0),"")</f>
        <v/>
      </c>
      <c r="K952" t="str">
        <f t="shared" si="28"/>
        <v/>
      </c>
      <c r="L952" t="str">
        <f t="shared" si="29"/>
        <v/>
      </c>
      <c r="M952" t="str">
        <f>IFERROR(IF($C952="","",SUMIFS(Ledger!$K$2:$K$4, Ledger!$B$2:$B$4, $A952, Ledger!$C$2:$C$4, M$2)),"****")</f>
        <v/>
      </c>
      <c r="N952" t="str">
        <f>IFERROR(IF($C952="","",SUMIFS(Ledger!$K$2:$K$4, Ledger!$B$2:$B$4, $A952, Ledger!$C$2:$C$4, N$2)),"****")</f>
        <v/>
      </c>
      <c r="O952" t="str">
        <f>IFERROR(IF($C952="","",SUMIFS(Ledger!$K$2:$K$4, Ledger!$B$2:$B$4, $A952, Ledger!$C$2:$C$4, O$2)),"****")</f>
        <v/>
      </c>
      <c r="P952" t="str">
        <f>IFERROR(IF($C952="","",SUMIFS(Ledger!$K$2:$K$4, Ledger!$B$2:$B$4, $A952, Ledger!$C$2:$C$4, P$2)),"****")</f>
        <v/>
      </c>
      <c r="Q952" t="str">
        <f>IFERROR(IF($C952="","",SUMIFS(Ledger!$K$2:$K$4, Ledger!$B$2:$B$4, $A952, Ledger!$C$2:$C$4, Q$2)),"****")</f>
        <v/>
      </c>
      <c r="R952" t="str">
        <f>IFERROR(IF($C952="","",SUMIFS(Ledger!$K$2:$K$4, Ledger!$B$2:$B$4, $A952, Ledger!$C$2:$C$4, R$2)),"****")</f>
        <v/>
      </c>
      <c r="S952" t="str">
        <f>IFERROR(IF($C952="","",SUMIFS(Ledger!$K$2:$K$4, Ledger!$B$2:$B$4, $A952, Ledger!$C$2:$C$4, S$2)),"****")</f>
        <v/>
      </c>
      <c r="T952" t="str">
        <f>IFERROR(IF($C952="","",SUMIFS(Ledger!$K$2:$K$4, Ledger!$B$2:$B$4, $A952, Ledger!$C$2:$C$4, T$2)),"****")</f>
        <v/>
      </c>
      <c r="U952" t="str">
        <f>IFERROR(IF($C952="","",SUMIFS(Ledger!$K$2:$K$4, Ledger!$B$2:$B$4, $A952, Ledger!$C$2:$C$4, U$2)),"****")</f>
        <v/>
      </c>
      <c r="V952" t="str">
        <f>IFERROR(IF($C952="","",SUMIFS(Ledger!$K$2:$K$4, Ledger!$B$2:$B$4, $A952, Ledger!$C$2:$C$4, V$2)),"****")</f>
        <v/>
      </c>
      <c r="W952" t="str">
        <f>IFERROR(IF($C952="","",SUMIFS(Ledger!$K$2:$K$4, Ledger!$B$2:$B$4, $A952, Ledger!$C$2:$C$4, W$2)),"****")</f>
        <v/>
      </c>
      <c r="X952" t="str">
        <f>IFERROR(IF($C952="","",SUMIFS(Ledger!$K$2:$K$4, Ledger!$B$2:$B$4, $A952, Ledger!$C$2:$C$4, X$2)),"****")</f>
        <v/>
      </c>
    </row>
    <row r="953" spans="1:24" x14ac:dyDescent="0.3">
      <c r="A953" s="106">
        <v>951</v>
      </c>
      <c r="B953" t="str">
        <f>IFERROR(VLOOKUP($A953, Ledger!$B$2:$L$8, 3, 0),"")</f>
        <v/>
      </c>
      <c r="C953" t="str">
        <f>IFERROR(VLOOKUP($A953, Ledger!$B$2:$L$8, 4, 0),"")</f>
        <v/>
      </c>
      <c r="D953" t="str">
        <f>IFERROR(VLOOKUP($A953, Ledger!$B$2:$L$8, 5, 0),"")</f>
        <v/>
      </c>
      <c r="E953" t="str">
        <f>IFERROR(VLOOKUP($A953, Ledger!$B$2:$L$8, 6, 0),"")</f>
        <v/>
      </c>
      <c r="F953" t="str">
        <f>IFERROR(VLOOKUP($A953,'Student Data'!$A$2:$AR$6,32,0),"")</f>
        <v/>
      </c>
      <c r="G953" t="str">
        <f>IFERROR(VLOOKUP($A953,'Student Data'!$A$2:$AR$6,33,0),"")</f>
        <v/>
      </c>
      <c r="H953" t="str">
        <f>IFERROR(VLOOKUP($A953,'Student Data'!$A$2:$AR$6,34,0),"")</f>
        <v/>
      </c>
      <c r="I953" t="str">
        <f>IFERROR(VLOOKUP($A953,'Student Data'!$A$2:$AR$6,35,0),"")</f>
        <v/>
      </c>
      <c r="J953" t="str">
        <f>IFERROR(VLOOKUP($A953,'Student Data'!$A$2:$AR$6,36,0),"")</f>
        <v/>
      </c>
      <c r="K953" t="str">
        <f t="shared" si="28"/>
        <v/>
      </c>
      <c r="L953" t="str">
        <f t="shared" si="29"/>
        <v/>
      </c>
      <c r="M953" t="str">
        <f>IFERROR(IF($C953="","",SUMIFS(Ledger!$K$2:$K$4, Ledger!$B$2:$B$4, $A953, Ledger!$C$2:$C$4, M$2)),"****")</f>
        <v/>
      </c>
      <c r="N953" t="str">
        <f>IFERROR(IF($C953="","",SUMIFS(Ledger!$K$2:$K$4, Ledger!$B$2:$B$4, $A953, Ledger!$C$2:$C$4, N$2)),"****")</f>
        <v/>
      </c>
      <c r="O953" t="str">
        <f>IFERROR(IF($C953="","",SUMIFS(Ledger!$K$2:$K$4, Ledger!$B$2:$B$4, $A953, Ledger!$C$2:$C$4, O$2)),"****")</f>
        <v/>
      </c>
      <c r="P953" t="str">
        <f>IFERROR(IF($C953="","",SUMIFS(Ledger!$K$2:$K$4, Ledger!$B$2:$B$4, $A953, Ledger!$C$2:$C$4, P$2)),"****")</f>
        <v/>
      </c>
      <c r="Q953" t="str">
        <f>IFERROR(IF($C953="","",SUMIFS(Ledger!$K$2:$K$4, Ledger!$B$2:$B$4, $A953, Ledger!$C$2:$C$4, Q$2)),"****")</f>
        <v/>
      </c>
      <c r="R953" t="str">
        <f>IFERROR(IF($C953="","",SUMIFS(Ledger!$K$2:$K$4, Ledger!$B$2:$B$4, $A953, Ledger!$C$2:$C$4, R$2)),"****")</f>
        <v/>
      </c>
      <c r="S953" t="str">
        <f>IFERROR(IF($C953="","",SUMIFS(Ledger!$K$2:$K$4, Ledger!$B$2:$B$4, $A953, Ledger!$C$2:$C$4, S$2)),"****")</f>
        <v/>
      </c>
      <c r="T953" t="str">
        <f>IFERROR(IF($C953="","",SUMIFS(Ledger!$K$2:$K$4, Ledger!$B$2:$B$4, $A953, Ledger!$C$2:$C$4, T$2)),"****")</f>
        <v/>
      </c>
      <c r="U953" t="str">
        <f>IFERROR(IF($C953="","",SUMIFS(Ledger!$K$2:$K$4, Ledger!$B$2:$B$4, $A953, Ledger!$C$2:$C$4, U$2)),"****")</f>
        <v/>
      </c>
      <c r="V953" t="str">
        <f>IFERROR(IF($C953="","",SUMIFS(Ledger!$K$2:$K$4, Ledger!$B$2:$B$4, $A953, Ledger!$C$2:$C$4, V$2)),"****")</f>
        <v/>
      </c>
      <c r="W953" t="str">
        <f>IFERROR(IF($C953="","",SUMIFS(Ledger!$K$2:$K$4, Ledger!$B$2:$B$4, $A953, Ledger!$C$2:$C$4, W$2)),"****")</f>
        <v/>
      </c>
      <c r="X953" t="str">
        <f>IFERROR(IF($C953="","",SUMIFS(Ledger!$K$2:$K$4, Ledger!$B$2:$B$4, $A953, Ledger!$C$2:$C$4, X$2)),"****")</f>
        <v/>
      </c>
    </row>
    <row r="954" spans="1:24" x14ac:dyDescent="0.3">
      <c r="A954" s="106">
        <v>952</v>
      </c>
      <c r="B954" t="str">
        <f>IFERROR(VLOOKUP($A954, Ledger!$B$2:$L$8, 3, 0),"")</f>
        <v/>
      </c>
      <c r="C954" t="str">
        <f>IFERROR(VLOOKUP($A954, Ledger!$B$2:$L$8, 4, 0),"")</f>
        <v/>
      </c>
      <c r="D954" t="str">
        <f>IFERROR(VLOOKUP($A954, Ledger!$B$2:$L$8, 5, 0),"")</f>
        <v/>
      </c>
      <c r="E954" t="str">
        <f>IFERROR(VLOOKUP($A954, Ledger!$B$2:$L$8, 6, 0),"")</f>
        <v/>
      </c>
      <c r="F954" t="str">
        <f>IFERROR(VLOOKUP($A954,'Student Data'!$A$2:$AR$6,32,0),"")</f>
        <v/>
      </c>
      <c r="G954" t="str">
        <f>IFERROR(VLOOKUP($A954,'Student Data'!$A$2:$AR$6,33,0),"")</f>
        <v/>
      </c>
      <c r="H954" t="str">
        <f>IFERROR(VLOOKUP($A954,'Student Data'!$A$2:$AR$6,34,0),"")</f>
        <v/>
      </c>
      <c r="I954" t="str">
        <f>IFERROR(VLOOKUP($A954,'Student Data'!$A$2:$AR$6,35,0),"")</f>
        <v/>
      </c>
      <c r="J954" t="str">
        <f>IFERROR(VLOOKUP($A954,'Student Data'!$A$2:$AR$6,36,0),"")</f>
        <v/>
      </c>
      <c r="K954" t="str">
        <f t="shared" si="28"/>
        <v/>
      </c>
      <c r="L954" t="str">
        <f t="shared" si="29"/>
        <v/>
      </c>
      <c r="M954" t="str">
        <f>IFERROR(IF($C954="","",SUMIFS(Ledger!$K$2:$K$4, Ledger!$B$2:$B$4, $A954, Ledger!$C$2:$C$4, M$2)),"****")</f>
        <v/>
      </c>
      <c r="N954" t="str">
        <f>IFERROR(IF($C954="","",SUMIFS(Ledger!$K$2:$K$4, Ledger!$B$2:$B$4, $A954, Ledger!$C$2:$C$4, N$2)),"****")</f>
        <v/>
      </c>
      <c r="O954" t="str">
        <f>IFERROR(IF($C954="","",SUMIFS(Ledger!$K$2:$K$4, Ledger!$B$2:$B$4, $A954, Ledger!$C$2:$C$4, O$2)),"****")</f>
        <v/>
      </c>
      <c r="P954" t="str">
        <f>IFERROR(IF($C954="","",SUMIFS(Ledger!$K$2:$K$4, Ledger!$B$2:$B$4, $A954, Ledger!$C$2:$C$4, P$2)),"****")</f>
        <v/>
      </c>
      <c r="Q954" t="str">
        <f>IFERROR(IF($C954="","",SUMIFS(Ledger!$K$2:$K$4, Ledger!$B$2:$B$4, $A954, Ledger!$C$2:$C$4, Q$2)),"****")</f>
        <v/>
      </c>
      <c r="R954" t="str">
        <f>IFERROR(IF($C954="","",SUMIFS(Ledger!$K$2:$K$4, Ledger!$B$2:$B$4, $A954, Ledger!$C$2:$C$4, R$2)),"****")</f>
        <v/>
      </c>
      <c r="S954" t="str">
        <f>IFERROR(IF($C954="","",SUMIFS(Ledger!$K$2:$K$4, Ledger!$B$2:$B$4, $A954, Ledger!$C$2:$C$4, S$2)),"****")</f>
        <v/>
      </c>
      <c r="T954" t="str">
        <f>IFERROR(IF($C954="","",SUMIFS(Ledger!$K$2:$K$4, Ledger!$B$2:$B$4, $A954, Ledger!$C$2:$C$4, T$2)),"****")</f>
        <v/>
      </c>
      <c r="U954" t="str">
        <f>IFERROR(IF($C954="","",SUMIFS(Ledger!$K$2:$K$4, Ledger!$B$2:$B$4, $A954, Ledger!$C$2:$C$4, U$2)),"****")</f>
        <v/>
      </c>
      <c r="V954" t="str">
        <f>IFERROR(IF($C954="","",SUMIFS(Ledger!$K$2:$K$4, Ledger!$B$2:$B$4, $A954, Ledger!$C$2:$C$4, V$2)),"****")</f>
        <v/>
      </c>
      <c r="W954" t="str">
        <f>IFERROR(IF($C954="","",SUMIFS(Ledger!$K$2:$K$4, Ledger!$B$2:$B$4, $A954, Ledger!$C$2:$C$4, W$2)),"****")</f>
        <v/>
      </c>
      <c r="X954" t="str">
        <f>IFERROR(IF($C954="","",SUMIFS(Ledger!$K$2:$K$4, Ledger!$B$2:$B$4, $A954, Ledger!$C$2:$C$4, X$2)),"****")</f>
        <v/>
      </c>
    </row>
    <row r="955" spans="1:24" x14ac:dyDescent="0.3">
      <c r="A955" s="106">
        <v>953</v>
      </c>
      <c r="B955" t="str">
        <f>IFERROR(VLOOKUP($A955, Ledger!$B$2:$L$8, 3, 0),"")</f>
        <v/>
      </c>
      <c r="C955" t="str">
        <f>IFERROR(VLOOKUP($A955, Ledger!$B$2:$L$8, 4, 0),"")</f>
        <v/>
      </c>
      <c r="D955" t="str">
        <f>IFERROR(VLOOKUP($A955, Ledger!$B$2:$L$8, 5, 0),"")</f>
        <v/>
      </c>
      <c r="E955" t="str">
        <f>IFERROR(VLOOKUP($A955, Ledger!$B$2:$L$8, 6, 0),"")</f>
        <v/>
      </c>
      <c r="F955" t="str">
        <f>IFERROR(VLOOKUP($A955,'Student Data'!$A$2:$AR$6,32,0),"")</f>
        <v/>
      </c>
      <c r="G955" t="str">
        <f>IFERROR(VLOOKUP($A955,'Student Data'!$A$2:$AR$6,33,0),"")</f>
        <v/>
      </c>
      <c r="H955" t="str">
        <f>IFERROR(VLOOKUP($A955,'Student Data'!$A$2:$AR$6,34,0),"")</f>
        <v/>
      </c>
      <c r="I955" t="str">
        <f>IFERROR(VLOOKUP($A955,'Student Data'!$A$2:$AR$6,35,0),"")</f>
        <v/>
      </c>
      <c r="J955" t="str">
        <f>IFERROR(VLOOKUP($A955,'Student Data'!$A$2:$AR$6,36,0),"")</f>
        <v/>
      </c>
      <c r="K955" t="str">
        <f t="shared" si="28"/>
        <v/>
      </c>
      <c r="L955" t="str">
        <f t="shared" si="29"/>
        <v/>
      </c>
      <c r="M955" t="str">
        <f>IFERROR(IF($C955="","",SUMIFS(Ledger!$K$2:$K$4, Ledger!$B$2:$B$4, $A955, Ledger!$C$2:$C$4, M$2)),"****")</f>
        <v/>
      </c>
      <c r="N955" t="str">
        <f>IFERROR(IF($C955="","",SUMIFS(Ledger!$K$2:$K$4, Ledger!$B$2:$B$4, $A955, Ledger!$C$2:$C$4, N$2)),"****")</f>
        <v/>
      </c>
      <c r="O955" t="str">
        <f>IFERROR(IF($C955="","",SUMIFS(Ledger!$K$2:$K$4, Ledger!$B$2:$B$4, $A955, Ledger!$C$2:$C$4, O$2)),"****")</f>
        <v/>
      </c>
      <c r="P955" t="str">
        <f>IFERROR(IF($C955="","",SUMIFS(Ledger!$K$2:$K$4, Ledger!$B$2:$B$4, $A955, Ledger!$C$2:$C$4, P$2)),"****")</f>
        <v/>
      </c>
      <c r="Q955" t="str">
        <f>IFERROR(IF($C955="","",SUMIFS(Ledger!$K$2:$K$4, Ledger!$B$2:$B$4, $A955, Ledger!$C$2:$C$4, Q$2)),"****")</f>
        <v/>
      </c>
      <c r="R955" t="str">
        <f>IFERROR(IF($C955="","",SUMIFS(Ledger!$K$2:$K$4, Ledger!$B$2:$B$4, $A955, Ledger!$C$2:$C$4, R$2)),"****")</f>
        <v/>
      </c>
      <c r="S955" t="str">
        <f>IFERROR(IF($C955="","",SUMIFS(Ledger!$K$2:$K$4, Ledger!$B$2:$B$4, $A955, Ledger!$C$2:$C$4, S$2)),"****")</f>
        <v/>
      </c>
      <c r="T955" t="str">
        <f>IFERROR(IF($C955="","",SUMIFS(Ledger!$K$2:$K$4, Ledger!$B$2:$B$4, $A955, Ledger!$C$2:$C$4, T$2)),"****")</f>
        <v/>
      </c>
      <c r="U955" t="str">
        <f>IFERROR(IF($C955="","",SUMIFS(Ledger!$K$2:$K$4, Ledger!$B$2:$B$4, $A955, Ledger!$C$2:$C$4, U$2)),"****")</f>
        <v/>
      </c>
      <c r="V955" t="str">
        <f>IFERROR(IF($C955="","",SUMIFS(Ledger!$K$2:$K$4, Ledger!$B$2:$B$4, $A955, Ledger!$C$2:$C$4, V$2)),"****")</f>
        <v/>
      </c>
      <c r="W955" t="str">
        <f>IFERROR(IF($C955="","",SUMIFS(Ledger!$K$2:$K$4, Ledger!$B$2:$B$4, $A955, Ledger!$C$2:$C$4, W$2)),"****")</f>
        <v/>
      </c>
      <c r="X955" t="str">
        <f>IFERROR(IF($C955="","",SUMIFS(Ledger!$K$2:$K$4, Ledger!$B$2:$B$4, $A955, Ledger!$C$2:$C$4, X$2)),"****")</f>
        <v/>
      </c>
    </row>
    <row r="956" spans="1:24" x14ac:dyDescent="0.3">
      <c r="A956" s="106">
        <v>954</v>
      </c>
      <c r="B956" t="str">
        <f>IFERROR(VLOOKUP($A956, Ledger!$B$2:$L$8, 3, 0),"")</f>
        <v/>
      </c>
      <c r="C956" t="str">
        <f>IFERROR(VLOOKUP($A956, Ledger!$B$2:$L$8, 4, 0),"")</f>
        <v/>
      </c>
      <c r="D956" t="str">
        <f>IFERROR(VLOOKUP($A956, Ledger!$B$2:$L$8, 5, 0),"")</f>
        <v/>
      </c>
      <c r="E956" t="str">
        <f>IFERROR(VLOOKUP($A956, Ledger!$B$2:$L$8, 6, 0),"")</f>
        <v/>
      </c>
      <c r="F956" t="str">
        <f>IFERROR(VLOOKUP($A956,'Student Data'!$A$2:$AR$6,32,0),"")</f>
        <v/>
      </c>
      <c r="G956" t="str">
        <f>IFERROR(VLOOKUP($A956,'Student Data'!$A$2:$AR$6,33,0),"")</f>
        <v/>
      </c>
      <c r="H956" t="str">
        <f>IFERROR(VLOOKUP($A956,'Student Data'!$A$2:$AR$6,34,0),"")</f>
        <v/>
      </c>
      <c r="I956" t="str">
        <f>IFERROR(VLOOKUP($A956,'Student Data'!$A$2:$AR$6,35,0),"")</f>
        <v/>
      </c>
      <c r="J956" t="str">
        <f>IFERROR(VLOOKUP($A956,'Student Data'!$A$2:$AR$6,36,0),"")</f>
        <v/>
      </c>
      <c r="K956" t="str">
        <f t="shared" si="28"/>
        <v/>
      </c>
      <c r="L956" t="str">
        <f t="shared" si="29"/>
        <v/>
      </c>
      <c r="M956" t="str">
        <f>IFERROR(IF($C956="","",SUMIFS(Ledger!$K$2:$K$4, Ledger!$B$2:$B$4, $A956, Ledger!$C$2:$C$4, M$2)),"****")</f>
        <v/>
      </c>
      <c r="N956" t="str">
        <f>IFERROR(IF($C956="","",SUMIFS(Ledger!$K$2:$K$4, Ledger!$B$2:$B$4, $A956, Ledger!$C$2:$C$4, N$2)),"****")</f>
        <v/>
      </c>
      <c r="O956" t="str">
        <f>IFERROR(IF($C956="","",SUMIFS(Ledger!$K$2:$K$4, Ledger!$B$2:$B$4, $A956, Ledger!$C$2:$C$4, O$2)),"****")</f>
        <v/>
      </c>
      <c r="P956" t="str">
        <f>IFERROR(IF($C956="","",SUMIFS(Ledger!$K$2:$K$4, Ledger!$B$2:$B$4, $A956, Ledger!$C$2:$C$4, P$2)),"****")</f>
        <v/>
      </c>
      <c r="Q956" t="str">
        <f>IFERROR(IF($C956="","",SUMIFS(Ledger!$K$2:$K$4, Ledger!$B$2:$B$4, $A956, Ledger!$C$2:$C$4, Q$2)),"****")</f>
        <v/>
      </c>
      <c r="R956" t="str">
        <f>IFERROR(IF($C956="","",SUMIFS(Ledger!$K$2:$K$4, Ledger!$B$2:$B$4, $A956, Ledger!$C$2:$C$4, R$2)),"****")</f>
        <v/>
      </c>
      <c r="S956" t="str">
        <f>IFERROR(IF($C956="","",SUMIFS(Ledger!$K$2:$K$4, Ledger!$B$2:$B$4, $A956, Ledger!$C$2:$C$4, S$2)),"****")</f>
        <v/>
      </c>
      <c r="T956" t="str">
        <f>IFERROR(IF($C956="","",SUMIFS(Ledger!$K$2:$K$4, Ledger!$B$2:$B$4, $A956, Ledger!$C$2:$C$4, T$2)),"****")</f>
        <v/>
      </c>
      <c r="U956" t="str">
        <f>IFERROR(IF($C956="","",SUMIFS(Ledger!$K$2:$K$4, Ledger!$B$2:$B$4, $A956, Ledger!$C$2:$C$4, U$2)),"****")</f>
        <v/>
      </c>
      <c r="V956" t="str">
        <f>IFERROR(IF($C956="","",SUMIFS(Ledger!$K$2:$K$4, Ledger!$B$2:$B$4, $A956, Ledger!$C$2:$C$4, V$2)),"****")</f>
        <v/>
      </c>
      <c r="W956" t="str">
        <f>IFERROR(IF($C956="","",SUMIFS(Ledger!$K$2:$K$4, Ledger!$B$2:$B$4, $A956, Ledger!$C$2:$C$4, W$2)),"****")</f>
        <v/>
      </c>
      <c r="X956" t="str">
        <f>IFERROR(IF($C956="","",SUMIFS(Ledger!$K$2:$K$4, Ledger!$B$2:$B$4, $A956, Ledger!$C$2:$C$4, X$2)),"****")</f>
        <v/>
      </c>
    </row>
    <row r="957" spans="1:24" x14ac:dyDescent="0.3">
      <c r="A957" s="106">
        <v>955</v>
      </c>
      <c r="B957" t="str">
        <f>IFERROR(VLOOKUP($A957, Ledger!$B$2:$L$8, 3, 0),"")</f>
        <v/>
      </c>
      <c r="C957" t="str">
        <f>IFERROR(VLOOKUP($A957, Ledger!$B$2:$L$8, 4, 0),"")</f>
        <v/>
      </c>
      <c r="D957" t="str">
        <f>IFERROR(VLOOKUP($A957, Ledger!$B$2:$L$8, 5, 0),"")</f>
        <v/>
      </c>
      <c r="E957" t="str">
        <f>IFERROR(VLOOKUP($A957, Ledger!$B$2:$L$8, 6, 0),"")</f>
        <v/>
      </c>
      <c r="F957" t="str">
        <f>IFERROR(VLOOKUP($A957,'Student Data'!$A$2:$AR$6,32,0),"")</f>
        <v/>
      </c>
      <c r="G957" t="str">
        <f>IFERROR(VLOOKUP($A957,'Student Data'!$A$2:$AR$6,33,0),"")</f>
        <v/>
      </c>
      <c r="H957" t="str">
        <f>IFERROR(VLOOKUP($A957,'Student Data'!$A$2:$AR$6,34,0),"")</f>
        <v/>
      </c>
      <c r="I957" t="str">
        <f>IFERROR(VLOOKUP($A957,'Student Data'!$A$2:$AR$6,35,0),"")</f>
        <v/>
      </c>
      <c r="J957" t="str">
        <f>IFERROR(VLOOKUP($A957,'Student Data'!$A$2:$AR$6,36,0),"")</f>
        <v/>
      </c>
      <c r="K957" t="str">
        <f t="shared" si="28"/>
        <v/>
      </c>
      <c r="L957" t="str">
        <f t="shared" si="29"/>
        <v/>
      </c>
      <c r="M957" t="str">
        <f>IFERROR(IF($C957="","",SUMIFS(Ledger!$K$2:$K$4, Ledger!$B$2:$B$4, $A957, Ledger!$C$2:$C$4, M$2)),"****")</f>
        <v/>
      </c>
      <c r="N957" t="str">
        <f>IFERROR(IF($C957="","",SUMIFS(Ledger!$K$2:$K$4, Ledger!$B$2:$B$4, $A957, Ledger!$C$2:$C$4, N$2)),"****")</f>
        <v/>
      </c>
      <c r="O957" t="str">
        <f>IFERROR(IF($C957="","",SUMIFS(Ledger!$K$2:$K$4, Ledger!$B$2:$B$4, $A957, Ledger!$C$2:$C$4, O$2)),"****")</f>
        <v/>
      </c>
      <c r="P957" t="str">
        <f>IFERROR(IF($C957="","",SUMIFS(Ledger!$K$2:$K$4, Ledger!$B$2:$B$4, $A957, Ledger!$C$2:$C$4, P$2)),"****")</f>
        <v/>
      </c>
      <c r="Q957" t="str">
        <f>IFERROR(IF($C957="","",SUMIFS(Ledger!$K$2:$K$4, Ledger!$B$2:$B$4, $A957, Ledger!$C$2:$C$4, Q$2)),"****")</f>
        <v/>
      </c>
      <c r="R957" t="str">
        <f>IFERROR(IF($C957="","",SUMIFS(Ledger!$K$2:$K$4, Ledger!$B$2:$B$4, $A957, Ledger!$C$2:$C$4, R$2)),"****")</f>
        <v/>
      </c>
      <c r="S957" t="str">
        <f>IFERROR(IF($C957="","",SUMIFS(Ledger!$K$2:$K$4, Ledger!$B$2:$B$4, $A957, Ledger!$C$2:$C$4, S$2)),"****")</f>
        <v/>
      </c>
      <c r="T957" t="str">
        <f>IFERROR(IF($C957="","",SUMIFS(Ledger!$K$2:$K$4, Ledger!$B$2:$B$4, $A957, Ledger!$C$2:$C$4, T$2)),"****")</f>
        <v/>
      </c>
      <c r="U957" t="str">
        <f>IFERROR(IF($C957="","",SUMIFS(Ledger!$K$2:$K$4, Ledger!$B$2:$B$4, $A957, Ledger!$C$2:$C$4, U$2)),"****")</f>
        <v/>
      </c>
      <c r="V957" t="str">
        <f>IFERROR(IF($C957="","",SUMIFS(Ledger!$K$2:$K$4, Ledger!$B$2:$B$4, $A957, Ledger!$C$2:$C$4, V$2)),"****")</f>
        <v/>
      </c>
      <c r="W957" t="str">
        <f>IFERROR(IF($C957="","",SUMIFS(Ledger!$K$2:$K$4, Ledger!$B$2:$B$4, $A957, Ledger!$C$2:$C$4, W$2)),"****")</f>
        <v/>
      </c>
      <c r="X957" t="str">
        <f>IFERROR(IF($C957="","",SUMIFS(Ledger!$K$2:$K$4, Ledger!$B$2:$B$4, $A957, Ledger!$C$2:$C$4, X$2)),"****")</f>
        <v/>
      </c>
    </row>
    <row r="958" spans="1:24" x14ac:dyDescent="0.3">
      <c r="A958" s="106">
        <v>956</v>
      </c>
      <c r="B958" t="str">
        <f>IFERROR(VLOOKUP($A958, Ledger!$B$2:$L$8, 3, 0),"")</f>
        <v/>
      </c>
      <c r="C958" t="str">
        <f>IFERROR(VLOOKUP($A958, Ledger!$B$2:$L$8, 4, 0),"")</f>
        <v/>
      </c>
      <c r="D958" t="str">
        <f>IFERROR(VLOOKUP($A958, Ledger!$B$2:$L$8, 5, 0),"")</f>
        <v/>
      </c>
      <c r="E958" t="str">
        <f>IFERROR(VLOOKUP($A958, Ledger!$B$2:$L$8, 6, 0),"")</f>
        <v/>
      </c>
      <c r="F958" t="str">
        <f>IFERROR(VLOOKUP($A958,'Student Data'!$A$2:$AR$6,32,0),"")</f>
        <v/>
      </c>
      <c r="G958" t="str">
        <f>IFERROR(VLOOKUP($A958,'Student Data'!$A$2:$AR$6,33,0),"")</f>
        <v/>
      </c>
      <c r="H958" t="str">
        <f>IFERROR(VLOOKUP($A958,'Student Data'!$A$2:$AR$6,34,0),"")</f>
        <v/>
      </c>
      <c r="I958" t="str">
        <f>IFERROR(VLOOKUP($A958,'Student Data'!$A$2:$AR$6,35,0),"")</f>
        <v/>
      </c>
      <c r="J958" t="str">
        <f>IFERROR(VLOOKUP($A958,'Student Data'!$A$2:$AR$6,36,0),"")</f>
        <v/>
      </c>
      <c r="K958" t="str">
        <f t="shared" si="28"/>
        <v/>
      </c>
      <c r="L958" t="str">
        <f t="shared" si="29"/>
        <v/>
      </c>
      <c r="M958" t="str">
        <f>IFERROR(IF($C958="","",SUMIFS(Ledger!$K$2:$K$4, Ledger!$B$2:$B$4, $A958, Ledger!$C$2:$C$4, M$2)),"****")</f>
        <v/>
      </c>
      <c r="N958" t="str">
        <f>IFERROR(IF($C958="","",SUMIFS(Ledger!$K$2:$K$4, Ledger!$B$2:$B$4, $A958, Ledger!$C$2:$C$4, N$2)),"****")</f>
        <v/>
      </c>
      <c r="O958" t="str">
        <f>IFERROR(IF($C958="","",SUMIFS(Ledger!$K$2:$K$4, Ledger!$B$2:$B$4, $A958, Ledger!$C$2:$C$4, O$2)),"****")</f>
        <v/>
      </c>
      <c r="P958" t="str">
        <f>IFERROR(IF($C958="","",SUMIFS(Ledger!$K$2:$K$4, Ledger!$B$2:$B$4, $A958, Ledger!$C$2:$C$4, P$2)),"****")</f>
        <v/>
      </c>
      <c r="Q958" t="str">
        <f>IFERROR(IF($C958="","",SUMIFS(Ledger!$K$2:$K$4, Ledger!$B$2:$B$4, $A958, Ledger!$C$2:$C$4, Q$2)),"****")</f>
        <v/>
      </c>
      <c r="R958" t="str">
        <f>IFERROR(IF($C958="","",SUMIFS(Ledger!$K$2:$K$4, Ledger!$B$2:$B$4, $A958, Ledger!$C$2:$C$4, R$2)),"****")</f>
        <v/>
      </c>
      <c r="S958" t="str">
        <f>IFERROR(IF($C958="","",SUMIFS(Ledger!$K$2:$K$4, Ledger!$B$2:$B$4, $A958, Ledger!$C$2:$C$4, S$2)),"****")</f>
        <v/>
      </c>
      <c r="T958" t="str">
        <f>IFERROR(IF($C958="","",SUMIFS(Ledger!$K$2:$K$4, Ledger!$B$2:$B$4, $A958, Ledger!$C$2:$C$4, T$2)),"****")</f>
        <v/>
      </c>
      <c r="U958" t="str">
        <f>IFERROR(IF($C958="","",SUMIFS(Ledger!$K$2:$K$4, Ledger!$B$2:$B$4, $A958, Ledger!$C$2:$C$4, U$2)),"****")</f>
        <v/>
      </c>
      <c r="V958" t="str">
        <f>IFERROR(IF($C958="","",SUMIFS(Ledger!$K$2:$K$4, Ledger!$B$2:$B$4, $A958, Ledger!$C$2:$C$4, V$2)),"****")</f>
        <v/>
      </c>
      <c r="W958" t="str">
        <f>IFERROR(IF($C958="","",SUMIFS(Ledger!$K$2:$K$4, Ledger!$B$2:$B$4, $A958, Ledger!$C$2:$C$4, W$2)),"****")</f>
        <v/>
      </c>
      <c r="X958" t="str">
        <f>IFERROR(IF($C958="","",SUMIFS(Ledger!$K$2:$K$4, Ledger!$B$2:$B$4, $A958, Ledger!$C$2:$C$4, X$2)),"****")</f>
        <v/>
      </c>
    </row>
    <row r="959" spans="1:24" x14ac:dyDescent="0.3">
      <c r="A959" s="106">
        <v>957</v>
      </c>
      <c r="B959" t="str">
        <f>IFERROR(VLOOKUP($A959, Ledger!$B$2:$L$8, 3, 0),"")</f>
        <v/>
      </c>
      <c r="C959" t="str">
        <f>IFERROR(VLOOKUP($A959, Ledger!$B$2:$L$8, 4, 0),"")</f>
        <v/>
      </c>
      <c r="D959" t="str">
        <f>IFERROR(VLOOKUP($A959, Ledger!$B$2:$L$8, 5, 0),"")</f>
        <v/>
      </c>
      <c r="E959" t="str">
        <f>IFERROR(VLOOKUP($A959, Ledger!$B$2:$L$8, 6, 0),"")</f>
        <v/>
      </c>
      <c r="F959" t="str">
        <f>IFERROR(VLOOKUP($A959,'Student Data'!$A$2:$AR$6,32,0),"")</f>
        <v/>
      </c>
      <c r="G959" t="str">
        <f>IFERROR(VLOOKUP($A959,'Student Data'!$A$2:$AR$6,33,0),"")</f>
        <v/>
      </c>
      <c r="H959" t="str">
        <f>IFERROR(VLOOKUP($A959,'Student Data'!$A$2:$AR$6,34,0),"")</f>
        <v/>
      </c>
      <c r="I959" t="str">
        <f>IFERROR(VLOOKUP($A959,'Student Data'!$A$2:$AR$6,35,0),"")</f>
        <v/>
      </c>
      <c r="J959" t="str">
        <f>IFERROR(VLOOKUP($A959,'Student Data'!$A$2:$AR$6,36,0),"")</f>
        <v/>
      </c>
      <c r="K959" t="str">
        <f t="shared" si="28"/>
        <v/>
      </c>
      <c r="L959" t="str">
        <f t="shared" si="29"/>
        <v/>
      </c>
      <c r="M959" t="str">
        <f>IFERROR(IF($C959="","",SUMIFS(Ledger!$K$2:$K$4, Ledger!$B$2:$B$4, $A959, Ledger!$C$2:$C$4, M$2)),"****")</f>
        <v/>
      </c>
      <c r="N959" t="str">
        <f>IFERROR(IF($C959="","",SUMIFS(Ledger!$K$2:$K$4, Ledger!$B$2:$B$4, $A959, Ledger!$C$2:$C$4, N$2)),"****")</f>
        <v/>
      </c>
      <c r="O959" t="str">
        <f>IFERROR(IF($C959="","",SUMIFS(Ledger!$K$2:$K$4, Ledger!$B$2:$B$4, $A959, Ledger!$C$2:$C$4, O$2)),"****")</f>
        <v/>
      </c>
      <c r="P959" t="str">
        <f>IFERROR(IF($C959="","",SUMIFS(Ledger!$K$2:$K$4, Ledger!$B$2:$B$4, $A959, Ledger!$C$2:$C$4, P$2)),"****")</f>
        <v/>
      </c>
      <c r="Q959" t="str">
        <f>IFERROR(IF($C959="","",SUMIFS(Ledger!$K$2:$K$4, Ledger!$B$2:$B$4, $A959, Ledger!$C$2:$C$4, Q$2)),"****")</f>
        <v/>
      </c>
      <c r="R959" t="str">
        <f>IFERROR(IF($C959="","",SUMIFS(Ledger!$K$2:$K$4, Ledger!$B$2:$B$4, $A959, Ledger!$C$2:$C$4, R$2)),"****")</f>
        <v/>
      </c>
      <c r="S959" t="str">
        <f>IFERROR(IF($C959="","",SUMIFS(Ledger!$K$2:$K$4, Ledger!$B$2:$B$4, $A959, Ledger!$C$2:$C$4, S$2)),"****")</f>
        <v/>
      </c>
      <c r="T959" t="str">
        <f>IFERROR(IF($C959="","",SUMIFS(Ledger!$K$2:$K$4, Ledger!$B$2:$B$4, $A959, Ledger!$C$2:$C$4, T$2)),"****")</f>
        <v/>
      </c>
      <c r="U959" t="str">
        <f>IFERROR(IF($C959="","",SUMIFS(Ledger!$K$2:$K$4, Ledger!$B$2:$B$4, $A959, Ledger!$C$2:$C$4, U$2)),"****")</f>
        <v/>
      </c>
      <c r="V959" t="str">
        <f>IFERROR(IF($C959="","",SUMIFS(Ledger!$K$2:$K$4, Ledger!$B$2:$B$4, $A959, Ledger!$C$2:$C$4, V$2)),"****")</f>
        <v/>
      </c>
      <c r="W959" t="str">
        <f>IFERROR(IF($C959="","",SUMIFS(Ledger!$K$2:$K$4, Ledger!$B$2:$B$4, $A959, Ledger!$C$2:$C$4, W$2)),"****")</f>
        <v/>
      </c>
      <c r="X959" t="str">
        <f>IFERROR(IF($C959="","",SUMIFS(Ledger!$K$2:$K$4, Ledger!$B$2:$B$4, $A959, Ledger!$C$2:$C$4, X$2)),"****")</f>
        <v/>
      </c>
    </row>
    <row r="960" spans="1:24" x14ac:dyDescent="0.3">
      <c r="A960" s="106">
        <v>958</v>
      </c>
      <c r="B960" t="str">
        <f>IFERROR(VLOOKUP($A960, Ledger!$B$2:$L$8, 3, 0),"")</f>
        <v/>
      </c>
      <c r="C960" t="str">
        <f>IFERROR(VLOOKUP($A960, Ledger!$B$2:$L$8, 4, 0),"")</f>
        <v/>
      </c>
      <c r="D960" t="str">
        <f>IFERROR(VLOOKUP($A960, Ledger!$B$2:$L$8, 5, 0),"")</f>
        <v/>
      </c>
      <c r="E960" t="str">
        <f>IFERROR(VLOOKUP($A960, Ledger!$B$2:$L$8, 6, 0),"")</f>
        <v/>
      </c>
      <c r="F960" t="str">
        <f>IFERROR(VLOOKUP($A960,'Student Data'!$A$2:$AR$6,32,0),"")</f>
        <v/>
      </c>
      <c r="G960" t="str">
        <f>IFERROR(VLOOKUP($A960,'Student Data'!$A$2:$AR$6,33,0),"")</f>
        <v/>
      </c>
      <c r="H960" t="str">
        <f>IFERROR(VLOOKUP($A960,'Student Data'!$A$2:$AR$6,34,0),"")</f>
        <v/>
      </c>
      <c r="I960" t="str">
        <f>IFERROR(VLOOKUP($A960,'Student Data'!$A$2:$AR$6,35,0),"")</f>
        <v/>
      </c>
      <c r="J960" t="str">
        <f>IFERROR(VLOOKUP($A960,'Student Data'!$A$2:$AR$6,36,0),"")</f>
        <v/>
      </c>
      <c r="K960" t="str">
        <f t="shared" si="28"/>
        <v/>
      </c>
      <c r="L960" t="str">
        <f t="shared" si="29"/>
        <v/>
      </c>
      <c r="M960" t="str">
        <f>IFERROR(IF($C960="","",SUMIFS(Ledger!$K$2:$K$4, Ledger!$B$2:$B$4, $A960, Ledger!$C$2:$C$4, M$2)),"****")</f>
        <v/>
      </c>
      <c r="N960" t="str">
        <f>IFERROR(IF($C960="","",SUMIFS(Ledger!$K$2:$K$4, Ledger!$B$2:$B$4, $A960, Ledger!$C$2:$C$4, N$2)),"****")</f>
        <v/>
      </c>
      <c r="O960" t="str">
        <f>IFERROR(IF($C960="","",SUMIFS(Ledger!$K$2:$K$4, Ledger!$B$2:$B$4, $A960, Ledger!$C$2:$C$4, O$2)),"****")</f>
        <v/>
      </c>
      <c r="P960" t="str">
        <f>IFERROR(IF($C960="","",SUMIFS(Ledger!$K$2:$K$4, Ledger!$B$2:$B$4, $A960, Ledger!$C$2:$C$4, P$2)),"****")</f>
        <v/>
      </c>
      <c r="Q960" t="str">
        <f>IFERROR(IF($C960="","",SUMIFS(Ledger!$K$2:$K$4, Ledger!$B$2:$B$4, $A960, Ledger!$C$2:$C$4, Q$2)),"****")</f>
        <v/>
      </c>
      <c r="R960" t="str">
        <f>IFERROR(IF($C960="","",SUMIFS(Ledger!$K$2:$K$4, Ledger!$B$2:$B$4, $A960, Ledger!$C$2:$C$4, R$2)),"****")</f>
        <v/>
      </c>
      <c r="S960" t="str">
        <f>IFERROR(IF($C960="","",SUMIFS(Ledger!$K$2:$K$4, Ledger!$B$2:$B$4, $A960, Ledger!$C$2:$C$4, S$2)),"****")</f>
        <v/>
      </c>
      <c r="T960" t="str">
        <f>IFERROR(IF($C960="","",SUMIFS(Ledger!$K$2:$K$4, Ledger!$B$2:$B$4, $A960, Ledger!$C$2:$C$4, T$2)),"****")</f>
        <v/>
      </c>
      <c r="U960" t="str">
        <f>IFERROR(IF($C960="","",SUMIFS(Ledger!$K$2:$K$4, Ledger!$B$2:$B$4, $A960, Ledger!$C$2:$C$4, U$2)),"****")</f>
        <v/>
      </c>
      <c r="V960" t="str">
        <f>IFERROR(IF($C960="","",SUMIFS(Ledger!$K$2:$K$4, Ledger!$B$2:$B$4, $A960, Ledger!$C$2:$C$4, V$2)),"****")</f>
        <v/>
      </c>
      <c r="W960" t="str">
        <f>IFERROR(IF($C960="","",SUMIFS(Ledger!$K$2:$K$4, Ledger!$B$2:$B$4, $A960, Ledger!$C$2:$C$4, W$2)),"****")</f>
        <v/>
      </c>
      <c r="X960" t="str">
        <f>IFERROR(IF($C960="","",SUMIFS(Ledger!$K$2:$K$4, Ledger!$B$2:$B$4, $A960, Ledger!$C$2:$C$4, X$2)),"****")</f>
        <v/>
      </c>
    </row>
    <row r="961" spans="1:24" x14ac:dyDescent="0.3">
      <c r="A961" s="106">
        <v>959</v>
      </c>
      <c r="B961" t="str">
        <f>IFERROR(VLOOKUP($A961, Ledger!$B$2:$L$8, 3, 0),"")</f>
        <v/>
      </c>
      <c r="C961" t="str">
        <f>IFERROR(VLOOKUP($A961, Ledger!$B$2:$L$8, 4, 0),"")</f>
        <v/>
      </c>
      <c r="D961" t="str">
        <f>IFERROR(VLOOKUP($A961, Ledger!$B$2:$L$8, 5, 0),"")</f>
        <v/>
      </c>
      <c r="E961" t="str">
        <f>IFERROR(VLOOKUP($A961, Ledger!$B$2:$L$8, 6, 0),"")</f>
        <v/>
      </c>
      <c r="F961" t="str">
        <f>IFERROR(VLOOKUP($A961,'Student Data'!$A$2:$AR$6,32,0),"")</f>
        <v/>
      </c>
      <c r="G961" t="str">
        <f>IFERROR(VLOOKUP($A961,'Student Data'!$A$2:$AR$6,33,0),"")</f>
        <v/>
      </c>
      <c r="H961" t="str">
        <f>IFERROR(VLOOKUP($A961,'Student Data'!$A$2:$AR$6,34,0),"")</f>
        <v/>
      </c>
      <c r="I961" t="str">
        <f>IFERROR(VLOOKUP($A961,'Student Data'!$A$2:$AR$6,35,0),"")</f>
        <v/>
      </c>
      <c r="J961" t="str">
        <f>IFERROR(VLOOKUP($A961,'Student Data'!$A$2:$AR$6,36,0),"")</f>
        <v/>
      </c>
      <c r="K961" t="str">
        <f t="shared" si="28"/>
        <v/>
      </c>
      <c r="L961" t="str">
        <f t="shared" si="29"/>
        <v/>
      </c>
      <c r="M961" t="str">
        <f>IFERROR(IF($C961="","",SUMIFS(Ledger!$K$2:$K$4, Ledger!$B$2:$B$4, $A961, Ledger!$C$2:$C$4, M$2)),"****")</f>
        <v/>
      </c>
      <c r="N961" t="str">
        <f>IFERROR(IF($C961="","",SUMIFS(Ledger!$K$2:$K$4, Ledger!$B$2:$B$4, $A961, Ledger!$C$2:$C$4, N$2)),"****")</f>
        <v/>
      </c>
      <c r="O961" t="str">
        <f>IFERROR(IF($C961="","",SUMIFS(Ledger!$K$2:$K$4, Ledger!$B$2:$B$4, $A961, Ledger!$C$2:$C$4, O$2)),"****")</f>
        <v/>
      </c>
      <c r="P961" t="str">
        <f>IFERROR(IF($C961="","",SUMIFS(Ledger!$K$2:$K$4, Ledger!$B$2:$B$4, $A961, Ledger!$C$2:$C$4, P$2)),"****")</f>
        <v/>
      </c>
      <c r="Q961" t="str">
        <f>IFERROR(IF($C961="","",SUMIFS(Ledger!$K$2:$K$4, Ledger!$B$2:$B$4, $A961, Ledger!$C$2:$C$4, Q$2)),"****")</f>
        <v/>
      </c>
      <c r="R961" t="str">
        <f>IFERROR(IF($C961="","",SUMIFS(Ledger!$K$2:$K$4, Ledger!$B$2:$B$4, $A961, Ledger!$C$2:$C$4, R$2)),"****")</f>
        <v/>
      </c>
      <c r="S961" t="str">
        <f>IFERROR(IF($C961="","",SUMIFS(Ledger!$K$2:$K$4, Ledger!$B$2:$B$4, $A961, Ledger!$C$2:$C$4, S$2)),"****")</f>
        <v/>
      </c>
      <c r="T961" t="str">
        <f>IFERROR(IF($C961="","",SUMIFS(Ledger!$K$2:$K$4, Ledger!$B$2:$B$4, $A961, Ledger!$C$2:$C$4, T$2)),"****")</f>
        <v/>
      </c>
      <c r="U961" t="str">
        <f>IFERROR(IF($C961="","",SUMIFS(Ledger!$K$2:$K$4, Ledger!$B$2:$B$4, $A961, Ledger!$C$2:$C$4, U$2)),"****")</f>
        <v/>
      </c>
      <c r="V961" t="str">
        <f>IFERROR(IF($C961="","",SUMIFS(Ledger!$K$2:$K$4, Ledger!$B$2:$B$4, $A961, Ledger!$C$2:$C$4, V$2)),"****")</f>
        <v/>
      </c>
      <c r="W961" t="str">
        <f>IFERROR(IF($C961="","",SUMIFS(Ledger!$K$2:$K$4, Ledger!$B$2:$B$4, $A961, Ledger!$C$2:$C$4, W$2)),"****")</f>
        <v/>
      </c>
      <c r="X961" t="str">
        <f>IFERROR(IF($C961="","",SUMIFS(Ledger!$K$2:$K$4, Ledger!$B$2:$B$4, $A961, Ledger!$C$2:$C$4, X$2)),"****")</f>
        <v/>
      </c>
    </row>
    <row r="962" spans="1:24" x14ac:dyDescent="0.3">
      <c r="A962" s="106">
        <v>960</v>
      </c>
      <c r="B962" t="str">
        <f>IFERROR(VLOOKUP($A962, Ledger!$B$2:$L$8, 3, 0),"")</f>
        <v/>
      </c>
      <c r="C962" t="str">
        <f>IFERROR(VLOOKUP($A962, Ledger!$B$2:$L$8, 4, 0),"")</f>
        <v/>
      </c>
      <c r="D962" t="str">
        <f>IFERROR(VLOOKUP($A962, Ledger!$B$2:$L$8, 5, 0),"")</f>
        <v/>
      </c>
      <c r="E962" t="str">
        <f>IFERROR(VLOOKUP($A962, Ledger!$B$2:$L$8, 6, 0),"")</f>
        <v/>
      </c>
      <c r="F962" t="str">
        <f>IFERROR(VLOOKUP($A962,'Student Data'!$A$2:$AR$6,32,0),"")</f>
        <v/>
      </c>
      <c r="G962" t="str">
        <f>IFERROR(VLOOKUP($A962,'Student Data'!$A$2:$AR$6,33,0),"")</f>
        <v/>
      </c>
      <c r="H962" t="str">
        <f>IFERROR(VLOOKUP($A962,'Student Data'!$A$2:$AR$6,34,0),"")</f>
        <v/>
      </c>
      <c r="I962" t="str">
        <f>IFERROR(VLOOKUP($A962,'Student Data'!$A$2:$AR$6,35,0),"")</f>
        <v/>
      </c>
      <c r="J962" t="str">
        <f>IFERROR(VLOOKUP($A962,'Student Data'!$A$2:$AR$6,36,0),"")</f>
        <v/>
      </c>
      <c r="K962" t="str">
        <f t="shared" si="28"/>
        <v/>
      </c>
      <c r="L962" t="str">
        <f t="shared" si="29"/>
        <v/>
      </c>
      <c r="M962" t="str">
        <f>IFERROR(IF($C962="","",SUMIFS(Ledger!$K$2:$K$4, Ledger!$B$2:$B$4, $A962, Ledger!$C$2:$C$4, M$2)),"****")</f>
        <v/>
      </c>
      <c r="N962" t="str">
        <f>IFERROR(IF($C962="","",SUMIFS(Ledger!$K$2:$K$4, Ledger!$B$2:$B$4, $A962, Ledger!$C$2:$C$4, N$2)),"****")</f>
        <v/>
      </c>
      <c r="O962" t="str">
        <f>IFERROR(IF($C962="","",SUMIFS(Ledger!$K$2:$K$4, Ledger!$B$2:$B$4, $A962, Ledger!$C$2:$C$4, O$2)),"****")</f>
        <v/>
      </c>
      <c r="P962" t="str">
        <f>IFERROR(IF($C962="","",SUMIFS(Ledger!$K$2:$K$4, Ledger!$B$2:$B$4, $A962, Ledger!$C$2:$C$4, P$2)),"****")</f>
        <v/>
      </c>
      <c r="Q962" t="str">
        <f>IFERROR(IF($C962="","",SUMIFS(Ledger!$K$2:$K$4, Ledger!$B$2:$B$4, $A962, Ledger!$C$2:$C$4, Q$2)),"****")</f>
        <v/>
      </c>
      <c r="R962" t="str">
        <f>IFERROR(IF($C962="","",SUMIFS(Ledger!$K$2:$K$4, Ledger!$B$2:$B$4, $A962, Ledger!$C$2:$C$4, R$2)),"****")</f>
        <v/>
      </c>
      <c r="S962" t="str">
        <f>IFERROR(IF($C962="","",SUMIFS(Ledger!$K$2:$K$4, Ledger!$B$2:$B$4, $A962, Ledger!$C$2:$C$4, S$2)),"****")</f>
        <v/>
      </c>
      <c r="T962" t="str">
        <f>IFERROR(IF($C962="","",SUMIFS(Ledger!$K$2:$K$4, Ledger!$B$2:$B$4, $A962, Ledger!$C$2:$C$4, T$2)),"****")</f>
        <v/>
      </c>
      <c r="U962" t="str">
        <f>IFERROR(IF($C962="","",SUMIFS(Ledger!$K$2:$K$4, Ledger!$B$2:$B$4, $A962, Ledger!$C$2:$C$4, U$2)),"****")</f>
        <v/>
      </c>
      <c r="V962" t="str">
        <f>IFERROR(IF($C962="","",SUMIFS(Ledger!$K$2:$K$4, Ledger!$B$2:$B$4, $A962, Ledger!$C$2:$C$4, V$2)),"****")</f>
        <v/>
      </c>
      <c r="W962" t="str">
        <f>IFERROR(IF($C962="","",SUMIFS(Ledger!$K$2:$K$4, Ledger!$B$2:$B$4, $A962, Ledger!$C$2:$C$4, W$2)),"****")</f>
        <v/>
      </c>
      <c r="X962" t="str">
        <f>IFERROR(IF($C962="","",SUMIFS(Ledger!$K$2:$K$4, Ledger!$B$2:$B$4, $A962, Ledger!$C$2:$C$4, X$2)),"****")</f>
        <v/>
      </c>
    </row>
    <row r="963" spans="1:24" x14ac:dyDescent="0.3">
      <c r="A963" s="106">
        <v>961</v>
      </c>
      <c r="B963" t="str">
        <f>IFERROR(VLOOKUP($A963, Ledger!$B$2:$L$8, 3, 0),"")</f>
        <v/>
      </c>
      <c r="C963" t="str">
        <f>IFERROR(VLOOKUP($A963, Ledger!$B$2:$L$8, 4, 0),"")</f>
        <v/>
      </c>
      <c r="D963" t="str">
        <f>IFERROR(VLOOKUP($A963, Ledger!$B$2:$L$8, 5, 0),"")</f>
        <v/>
      </c>
      <c r="E963" t="str">
        <f>IFERROR(VLOOKUP($A963, Ledger!$B$2:$L$8, 6, 0),"")</f>
        <v/>
      </c>
      <c r="F963" t="str">
        <f>IFERROR(VLOOKUP($A963,'Student Data'!$A$2:$AR$6,32,0),"")</f>
        <v/>
      </c>
      <c r="G963" t="str">
        <f>IFERROR(VLOOKUP($A963,'Student Data'!$A$2:$AR$6,33,0),"")</f>
        <v/>
      </c>
      <c r="H963" t="str">
        <f>IFERROR(VLOOKUP($A963,'Student Data'!$A$2:$AR$6,34,0),"")</f>
        <v/>
      </c>
      <c r="I963" t="str">
        <f>IFERROR(VLOOKUP($A963,'Student Data'!$A$2:$AR$6,35,0),"")</f>
        <v/>
      </c>
      <c r="J963" t="str">
        <f>IFERROR(VLOOKUP($A963,'Student Data'!$A$2:$AR$6,36,0),"")</f>
        <v/>
      </c>
      <c r="K963" t="str">
        <f t="shared" si="28"/>
        <v/>
      </c>
      <c r="L963" t="str">
        <f t="shared" si="29"/>
        <v/>
      </c>
      <c r="M963" t="str">
        <f>IFERROR(IF($C963="","",SUMIFS(Ledger!$K$2:$K$4, Ledger!$B$2:$B$4, $A963, Ledger!$C$2:$C$4, M$2)),"****")</f>
        <v/>
      </c>
      <c r="N963" t="str">
        <f>IFERROR(IF($C963="","",SUMIFS(Ledger!$K$2:$K$4, Ledger!$B$2:$B$4, $A963, Ledger!$C$2:$C$4, N$2)),"****")</f>
        <v/>
      </c>
      <c r="O963" t="str">
        <f>IFERROR(IF($C963="","",SUMIFS(Ledger!$K$2:$K$4, Ledger!$B$2:$B$4, $A963, Ledger!$C$2:$C$4, O$2)),"****")</f>
        <v/>
      </c>
      <c r="P963" t="str">
        <f>IFERROR(IF($C963="","",SUMIFS(Ledger!$K$2:$K$4, Ledger!$B$2:$B$4, $A963, Ledger!$C$2:$C$4, P$2)),"****")</f>
        <v/>
      </c>
      <c r="Q963" t="str">
        <f>IFERROR(IF($C963="","",SUMIFS(Ledger!$K$2:$K$4, Ledger!$B$2:$B$4, $A963, Ledger!$C$2:$C$4, Q$2)),"****")</f>
        <v/>
      </c>
      <c r="R963" t="str">
        <f>IFERROR(IF($C963="","",SUMIFS(Ledger!$K$2:$K$4, Ledger!$B$2:$B$4, $A963, Ledger!$C$2:$C$4, R$2)),"****")</f>
        <v/>
      </c>
      <c r="S963" t="str">
        <f>IFERROR(IF($C963="","",SUMIFS(Ledger!$K$2:$K$4, Ledger!$B$2:$B$4, $A963, Ledger!$C$2:$C$4, S$2)),"****")</f>
        <v/>
      </c>
      <c r="T963" t="str">
        <f>IFERROR(IF($C963="","",SUMIFS(Ledger!$K$2:$K$4, Ledger!$B$2:$B$4, $A963, Ledger!$C$2:$C$4, T$2)),"****")</f>
        <v/>
      </c>
      <c r="U963" t="str">
        <f>IFERROR(IF($C963="","",SUMIFS(Ledger!$K$2:$K$4, Ledger!$B$2:$B$4, $A963, Ledger!$C$2:$C$4, U$2)),"****")</f>
        <v/>
      </c>
      <c r="V963" t="str">
        <f>IFERROR(IF($C963="","",SUMIFS(Ledger!$K$2:$K$4, Ledger!$B$2:$B$4, $A963, Ledger!$C$2:$C$4, V$2)),"****")</f>
        <v/>
      </c>
      <c r="W963" t="str">
        <f>IFERROR(IF($C963="","",SUMIFS(Ledger!$K$2:$K$4, Ledger!$B$2:$B$4, $A963, Ledger!$C$2:$C$4, W$2)),"****")</f>
        <v/>
      </c>
      <c r="X963" t="str">
        <f>IFERROR(IF($C963="","",SUMIFS(Ledger!$K$2:$K$4, Ledger!$B$2:$B$4, $A963, Ledger!$C$2:$C$4, X$2)),"****")</f>
        <v/>
      </c>
    </row>
    <row r="964" spans="1:24" x14ac:dyDescent="0.3">
      <c r="A964" s="106">
        <v>962</v>
      </c>
      <c r="B964" t="str">
        <f>IFERROR(VLOOKUP($A964, Ledger!$B$2:$L$8, 3, 0),"")</f>
        <v/>
      </c>
      <c r="C964" t="str">
        <f>IFERROR(VLOOKUP($A964, Ledger!$B$2:$L$8, 4, 0),"")</f>
        <v/>
      </c>
      <c r="D964" t="str">
        <f>IFERROR(VLOOKUP($A964, Ledger!$B$2:$L$8, 5, 0),"")</f>
        <v/>
      </c>
      <c r="E964" t="str">
        <f>IFERROR(VLOOKUP($A964, Ledger!$B$2:$L$8, 6, 0),"")</f>
        <v/>
      </c>
      <c r="F964" t="str">
        <f>IFERROR(VLOOKUP($A964,'Student Data'!$A$2:$AR$6,32,0),"")</f>
        <v/>
      </c>
      <c r="G964" t="str">
        <f>IFERROR(VLOOKUP($A964,'Student Data'!$A$2:$AR$6,33,0),"")</f>
        <v/>
      </c>
      <c r="H964" t="str">
        <f>IFERROR(VLOOKUP($A964,'Student Data'!$A$2:$AR$6,34,0),"")</f>
        <v/>
      </c>
      <c r="I964" t="str">
        <f>IFERROR(VLOOKUP($A964,'Student Data'!$A$2:$AR$6,35,0),"")</f>
        <v/>
      </c>
      <c r="J964" t="str">
        <f>IFERROR(VLOOKUP($A964,'Student Data'!$A$2:$AR$6,36,0),"")</f>
        <v/>
      </c>
      <c r="K964" t="str">
        <f t="shared" ref="K964:K1027" si="30">IFERROR(IF(C964="","",SUM(M964:X964)),"0")</f>
        <v/>
      </c>
      <c r="L964" t="str">
        <f t="shared" ref="L964:L1027" si="31">IFERROR(IF(C964="","",J964-K964),"0")</f>
        <v/>
      </c>
      <c r="M964" t="str">
        <f>IFERROR(IF($C964="","",SUMIFS(Ledger!$K$2:$K$4, Ledger!$B$2:$B$4, $A964, Ledger!$C$2:$C$4, M$2)),"****")</f>
        <v/>
      </c>
      <c r="N964" t="str">
        <f>IFERROR(IF($C964="","",SUMIFS(Ledger!$K$2:$K$4, Ledger!$B$2:$B$4, $A964, Ledger!$C$2:$C$4, N$2)),"****")</f>
        <v/>
      </c>
      <c r="O964" t="str">
        <f>IFERROR(IF($C964="","",SUMIFS(Ledger!$K$2:$K$4, Ledger!$B$2:$B$4, $A964, Ledger!$C$2:$C$4, O$2)),"****")</f>
        <v/>
      </c>
      <c r="P964" t="str">
        <f>IFERROR(IF($C964="","",SUMIFS(Ledger!$K$2:$K$4, Ledger!$B$2:$B$4, $A964, Ledger!$C$2:$C$4, P$2)),"****")</f>
        <v/>
      </c>
      <c r="Q964" t="str">
        <f>IFERROR(IF($C964="","",SUMIFS(Ledger!$K$2:$K$4, Ledger!$B$2:$B$4, $A964, Ledger!$C$2:$C$4, Q$2)),"****")</f>
        <v/>
      </c>
      <c r="R964" t="str">
        <f>IFERROR(IF($C964="","",SUMIFS(Ledger!$K$2:$K$4, Ledger!$B$2:$B$4, $A964, Ledger!$C$2:$C$4, R$2)),"****")</f>
        <v/>
      </c>
      <c r="S964" t="str">
        <f>IFERROR(IF($C964="","",SUMIFS(Ledger!$K$2:$K$4, Ledger!$B$2:$B$4, $A964, Ledger!$C$2:$C$4, S$2)),"****")</f>
        <v/>
      </c>
      <c r="T964" t="str">
        <f>IFERROR(IF($C964="","",SUMIFS(Ledger!$K$2:$K$4, Ledger!$B$2:$B$4, $A964, Ledger!$C$2:$C$4, T$2)),"****")</f>
        <v/>
      </c>
      <c r="U964" t="str">
        <f>IFERROR(IF($C964="","",SUMIFS(Ledger!$K$2:$K$4, Ledger!$B$2:$B$4, $A964, Ledger!$C$2:$C$4, U$2)),"****")</f>
        <v/>
      </c>
      <c r="V964" t="str">
        <f>IFERROR(IF($C964="","",SUMIFS(Ledger!$K$2:$K$4, Ledger!$B$2:$B$4, $A964, Ledger!$C$2:$C$4, V$2)),"****")</f>
        <v/>
      </c>
      <c r="W964" t="str">
        <f>IFERROR(IF($C964="","",SUMIFS(Ledger!$K$2:$K$4, Ledger!$B$2:$B$4, $A964, Ledger!$C$2:$C$4, W$2)),"****")</f>
        <v/>
      </c>
      <c r="X964" t="str">
        <f>IFERROR(IF($C964="","",SUMIFS(Ledger!$K$2:$K$4, Ledger!$B$2:$B$4, $A964, Ledger!$C$2:$C$4, X$2)),"****")</f>
        <v/>
      </c>
    </row>
    <row r="965" spans="1:24" x14ac:dyDescent="0.3">
      <c r="A965" s="106">
        <v>963</v>
      </c>
      <c r="B965" t="str">
        <f>IFERROR(VLOOKUP($A965, Ledger!$B$2:$L$8, 3, 0),"")</f>
        <v/>
      </c>
      <c r="C965" t="str">
        <f>IFERROR(VLOOKUP($A965, Ledger!$B$2:$L$8, 4, 0),"")</f>
        <v/>
      </c>
      <c r="D965" t="str">
        <f>IFERROR(VLOOKUP($A965, Ledger!$B$2:$L$8, 5, 0),"")</f>
        <v/>
      </c>
      <c r="E965" t="str">
        <f>IFERROR(VLOOKUP($A965, Ledger!$B$2:$L$8, 6, 0),"")</f>
        <v/>
      </c>
      <c r="F965" t="str">
        <f>IFERROR(VLOOKUP($A965,'Student Data'!$A$2:$AR$6,32,0),"")</f>
        <v/>
      </c>
      <c r="G965" t="str">
        <f>IFERROR(VLOOKUP($A965,'Student Data'!$A$2:$AR$6,33,0),"")</f>
        <v/>
      </c>
      <c r="H965" t="str">
        <f>IFERROR(VLOOKUP($A965,'Student Data'!$A$2:$AR$6,34,0),"")</f>
        <v/>
      </c>
      <c r="I965" t="str">
        <f>IFERROR(VLOOKUP($A965,'Student Data'!$A$2:$AR$6,35,0),"")</f>
        <v/>
      </c>
      <c r="J965" t="str">
        <f>IFERROR(VLOOKUP($A965,'Student Data'!$A$2:$AR$6,36,0),"")</f>
        <v/>
      </c>
      <c r="K965" t="str">
        <f t="shared" si="30"/>
        <v/>
      </c>
      <c r="L965" t="str">
        <f t="shared" si="31"/>
        <v/>
      </c>
      <c r="M965" t="str">
        <f>IFERROR(IF($C965="","",SUMIFS(Ledger!$K$2:$K$4, Ledger!$B$2:$B$4, $A965, Ledger!$C$2:$C$4, M$2)),"****")</f>
        <v/>
      </c>
      <c r="N965" t="str">
        <f>IFERROR(IF($C965="","",SUMIFS(Ledger!$K$2:$K$4, Ledger!$B$2:$B$4, $A965, Ledger!$C$2:$C$4, N$2)),"****")</f>
        <v/>
      </c>
      <c r="O965" t="str">
        <f>IFERROR(IF($C965="","",SUMIFS(Ledger!$K$2:$K$4, Ledger!$B$2:$B$4, $A965, Ledger!$C$2:$C$4, O$2)),"****")</f>
        <v/>
      </c>
      <c r="P965" t="str">
        <f>IFERROR(IF($C965="","",SUMIFS(Ledger!$K$2:$K$4, Ledger!$B$2:$B$4, $A965, Ledger!$C$2:$C$4, P$2)),"****")</f>
        <v/>
      </c>
      <c r="Q965" t="str">
        <f>IFERROR(IF($C965="","",SUMIFS(Ledger!$K$2:$K$4, Ledger!$B$2:$B$4, $A965, Ledger!$C$2:$C$4, Q$2)),"****")</f>
        <v/>
      </c>
      <c r="R965" t="str">
        <f>IFERROR(IF($C965="","",SUMIFS(Ledger!$K$2:$K$4, Ledger!$B$2:$B$4, $A965, Ledger!$C$2:$C$4, R$2)),"****")</f>
        <v/>
      </c>
      <c r="S965" t="str">
        <f>IFERROR(IF($C965="","",SUMIFS(Ledger!$K$2:$K$4, Ledger!$B$2:$B$4, $A965, Ledger!$C$2:$C$4, S$2)),"****")</f>
        <v/>
      </c>
      <c r="T965" t="str">
        <f>IFERROR(IF($C965="","",SUMIFS(Ledger!$K$2:$K$4, Ledger!$B$2:$B$4, $A965, Ledger!$C$2:$C$4, T$2)),"****")</f>
        <v/>
      </c>
      <c r="U965" t="str">
        <f>IFERROR(IF($C965="","",SUMIFS(Ledger!$K$2:$K$4, Ledger!$B$2:$B$4, $A965, Ledger!$C$2:$C$4, U$2)),"****")</f>
        <v/>
      </c>
      <c r="V965" t="str">
        <f>IFERROR(IF($C965="","",SUMIFS(Ledger!$K$2:$K$4, Ledger!$B$2:$B$4, $A965, Ledger!$C$2:$C$4, V$2)),"****")</f>
        <v/>
      </c>
      <c r="W965" t="str">
        <f>IFERROR(IF($C965="","",SUMIFS(Ledger!$K$2:$K$4, Ledger!$B$2:$B$4, $A965, Ledger!$C$2:$C$4, W$2)),"****")</f>
        <v/>
      </c>
      <c r="X965" t="str">
        <f>IFERROR(IF($C965="","",SUMIFS(Ledger!$K$2:$K$4, Ledger!$B$2:$B$4, $A965, Ledger!$C$2:$C$4, X$2)),"****")</f>
        <v/>
      </c>
    </row>
    <row r="966" spans="1:24" x14ac:dyDescent="0.3">
      <c r="A966" s="106">
        <v>964</v>
      </c>
      <c r="B966" t="str">
        <f>IFERROR(VLOOKUP($A966, Ledger!$B$2:$L$8, 3, 0),"")</f>
        <v/>
      </c>
      <c r="C966" t="str">
        <f>IFERROR(VLOOKUP($A966, Ledger!$B$2:$L$8, 4, 0),"")</f>
        <v/>
      </c>
      <c r="D966" t="str">
        <f>IFERROR(VLOOKUP($A966, Ledger!$B$2:$L$8, 5, 0),"")</f>
        <v/>
      </c>
      <c r="E966" t="str">
        <f>IFERROR(VLOOKUP($A966, Ledger!$B$2:$L$8, 6, 0),"")</f>
        <v/>
      </c>
      <c r="F966" t="str">
        <f>IFERROR(VLOOKUP($A966,'Student Data'!$A$2:$AR$6,32,0),"")</f>
        <v/>
      </c>
      <c r="G966" t="str">
        <f>IFERROR(VLOOKUP($A966,'Student Data'!$A$2:$AR$6,33,0),"")</f>
        <v/>
      </c>
      <c r="H966" t="str">
        <f>IFERROR(VLOOKUP($A966,'Student Data'!$A$2:$AR$6,34,0),"")</f>
        <v/>
      </c>
      <c r="I966" t="str">
        <f>IFERROR(VLOOKUP($A966,'Student Data'!$A$2:$AR$6,35,0),"")</f>
        <v/>
      </c>
      <c r="J966" t="str">
        <f>IFERROR(VLOOKUP($A966,'Student Data'!$A$2:$AR$6,36,0),"")</f>
        <v/>
      </c>
      <c r="K966" t="str">
        <f t="shared" si="30"/>
        <v/>
      </c>
      <c r="L966" t="str">
        <f t="shared" si="31"/>
        <v/>
      </c>
      <c r="M966" t="str">
        <f>IFERROR(IF($C966="","",SUMIFS(Ledger!$K$2:$K$4, Ledger!$B$2:$B$4, $A966, Ledger!$C$2:$C$4, M$2)),"****")</f>
        <v/>
      </c>
      <c r="N966" t="str">
        <f>IFERROR(IF($C966="","",SUMIFS(Ledger!$K$2:$K$4, Ledger!$B$2:$B$4, $A966, Ledger!$C$2:$C$4, N$2)),"****")</f>
        <v/>
      </c>
      <c r="O966" t="str">
        <f>IFERROR(IF($C966="","",SUMIFS(Ledger!$K$2:$K$4, Ledger!$B$2:$B$4, $A966, Ledger!$C$2:$C$4, O$2)),"****")</f>
        <v/>
      </c>
      <c r="P966" t="str">
        <f>IFERROR(IF($C966="","",SUMIFS(Ledger!$K$2:$K$4, Ledger!$B$2:$B$4, $A966, Ledger!$C$2:$C$4, P$2)),"****")</f>
        <v/>
      </c>
      <c r="Q966" t="str">
        <f>IFERROR(IF($C966="","",SUMIFS(Ledger!$K$2:$K$4, Ledger!$B$2:$B$4, $A966, Ledger!$C$2:$C$4, Q$2)),"****")</f>
        <v/>
      </c>
      <c r="R966" t="str">
        <f>IFERROR(IF($C966="","",SUMIFS(Ledger!$K$2:$K$4, Ledger!$B$2:$B$4, $A966, Ledger!$C$2:$C$4, R$2)),"****")</f>
        <v/>
      </c>
      <c r="S966" t="str">
        <f>IFERROR(IF($C966="","",SUMIFS(Ledger!$K$2:$K$4, Ledger!$B$2:$B$4, $A966, Ledger!$C$2:$C$4, S$2)),"****")</f>
        <v/>
      </c>
      <c r="T966" t="str">
        <f>IFERROR(IF($C966="","",SUMIFS(Ledger!$K$2:$K$4, Ledger!$B$2:$B$4, $A966, Ledger!$C$2:$C$4, T$2)),"****")</f>
        <v/>
      </c>
      <c r="U966" t="str">
        <f>IFERROR(IF($C966="","",SUMIFS(Ledger!$K$2:$K$4, Ledger!$B$2:$B$4, $A966, Ledger!$C$2:$C$4, U$2)),"****")</f>
        <v/>
      </c>
      <c r="V966" t="str">
        <f>IFERROR(IF($C966="","",SUMIFS(Ledger!$K$2:$K$4, Ledger!$B$2:$B$4, $A966, Ledger!$C$2:$C$4, V$2)),"****")</f>
        <v/>
      </c>
      <c r="W966" t="str">
        <f>IFERROR(IF($C966="","",SUMIFS(Ledger!$K$2:$K$4, Ledger!$B$2:$B$4, $A966, Ledger!$C$2:$C$4, W$2)),"****")</f>
        <v/>
      </c>
      <c r="X966" t="str">
        <f>IFERROR(IF($C966="","",SUMIFS(Ledger!$K$2:$K$4, Ledger!$B$2:$B$4, $A966, Ledger!$C$2:$C$4, X$2)),"****")</f>
        <v/>
      </c>
    </row>
    <row r="967" spans="1:24" x14ac:dyDescent="0.3">
      <c r="A967" s="106">
        <v>965</v>
      </c>
      <c r="B967" t="str">
        <f>IFERROR(VLOOKUP($A967, Ledger!$B$2:$L$8, 3, 0),"")</f>
        <v/>
      </c>
      <c r="C967" t="str">
        <f>IFERROR(VLOOKUP($A967, Ledger!$B$2:$L$8, 4, 0),"")</f>
        <v/>
      </c>
      <c r="D967" t="str">
        <f>IFERROR(VLOOKUP($A967, Ledger!$B$2:$L$8, 5, 0),"")</f>
        <v/>
      </c>
      <c r="E967" t="str">
        <f>IFERROR(VLOOKUP($A967, Ledger!$B$2:$L$8, 6, 0),"")</f>
        <v/>
      </c>
      <c r="F967" t="str">
        <f>IFERROR(VLOOKUP($A967,'Student Data'!$A$2:$AR$6,32,0),"")</f>
        <v/>
      </c>
      <c r="G967" t="str">
        <f>IFERROR(VLOOKUP($A967,'Student Data'!$A$2:$AR$6,33,0),"")</f>
        <v/>
      </c>
      <c r="H967" t="str">
        <f>IFERROR(VLOOKUP($A967,'Student Data'!$A$2:$AR$6,34,0),"")</f>
        <v/>
      </c>
      <c r="I967" t="str">
        <f>IFERROR(VLOOKUP($A967,'Student Data'!$A$2:$AR$6,35,0),"")</f>
        <v/>
      </c>
      <c r="J967" t="str">
        <f>IFERROR(VLOOKUP($A967,'Student Data'!$A$2:$AR$6,36,0),"")</f>
        <v/>
      </c>
      <c r="K967" t="str">
        <f t="shared" si="30"/>
        <v/>
      </c>
      <c r="L967" t="str">
        <f t="shared" si="31"/>
        <v/>
      </c>
      <c r="M967" t="str">
        <f>IFERROR(IF($C967="","",SUMIFS(Ledger!$K$2:$K$4, Ledger!$B$2:$B$4, $A967, Ledger!$C$2:$C$4, M$2)),"****")</f>
        <v/>
      </c>
      <c r="N967" t="str">
        <f>IFERROR(IF($C967="","",SUMIFS(Ledger!$K$2:$K$4, Ledger!$B$2:$B$4, $A967, Ledger!$C$2:$C$4, N$2)),"****")</f>
        <v/>
      </c>
      <c r="O967" t="str">
        <f>IFERROR(IF($C967="","",SUMIFS(Ledger!$K$2:$K$4, Ledger!$B$2:$B$4, $A967, Ledger!$C$2:$C$4, O$2)),"****")</f>
        <v/>
      </c>
      <c r="P967" t="str">
        <f>IFERROR(IF($C967="","",SUMIFS(Ledger!$K$2:$K$4, Ledger!$B$2:$B$4, $A967, Ledger!$C$2:$C$4, P$2)),"****")</f>
        <v/>
      </c>
      <c r="Q967" t="str">
        <f>IFERROR(IF($C967="","",SUMIFS(Ledger!$K$2:$K$4, Ledger!$B$2:$B$4, $A967, Ledger!$C$2:$C$4, Q$2)),"****")</f>
        <v/>
      </c>
      <c r="R967" t="str">
        <f>IFERROR(IF($C967="","",SUMIFS(Ledger!$K$2:$K$4, Ledger!$B$2:$B$4, $A967, Ledger!$C$2:$C$4, R$2)),"****")</f>
        <v/>
      </c>
      <c r="S967" t="str">
        <f>IFERROR(IF($C967="","",SUMIFS(Ledger!$K$2:$K$4, Ledger!$B$2:$B$4, $A967, Ledger!$C$2:$C$4, S$2)),"****")</f>
        <v/>
      </c>
      <c r="T967" t="str">
        <f>IFERROR(IF($C967="","",SUMIFS(Ledger!$K$2:$K$4, Ledger!$B$2:$B$4, $A967, Ledger!$C$2:$C$4, T$2)),"****")</f>
        <v/>
      </c>
      <c r="U967" t="str">
        <f>IFERROR(IF($C967="","",SUMIFS(Ledger!$K$2:$K$4, Ledger!$B$2:$B$4, $A967, Ledger!$C$2:$C$4, U$2)),"****")</f>
        <v/>
      </c>
      <c r="V967" t="str">
        <f>IFERROR(IF($C967="","",SUMIFS(Ledger!$K$2:$K$4, Ledger!$B$2:$B$4, $A967, Ledger!$C$2:$C$4, V$2)),"****")</f>
        <v/>
      </c>
      <c r="W967" t="str">
        <f>IFERROR(IF($C967="","",SUMIFS(Ledger!$K$2:$K$4, Ledger!$B$2:$B$4, $A967, Ledger!$C$2:$C$4, W$2)),"****")</f>
        <v/>
      </c>
      <c r="X967" t="str">
        <f>IFERROR(IF($C967="","",SUMIFS(Ledger!$K$2:$K$4, Ledger!$B$2:$B$4, $A967, Ledger!$C$2:$C$4, X$2)),"****")</f>
        <v/>
      </c>
    </row>
    <row r="968" spans="1:24" x14ac:dyDescent="0.3">
      <c r="A968" s="106">
        <v>966</v>
      </c>
      <c r="B968" t="str">
        <f>IFERROR(VLOOKUP($A968, Ledger!$B$2:$L$8, 3, 0),"")</f>
        <v/>
      </c>
      <c r="C968" t="str">
        <f>IFERROR(VLOOKUP($A968, Ledger!$B$2:$L$8, 4, 0),"")</f>
        <v/>
      </c>
      <c r="D968" t="str">
        <f>IFERROR(VLOOKUP($A968, Ledger!$B$2:$L$8, 5, 0),"")</f>
        <v/>
      </c>
      <c r="E968" t="str">
        <f>IFERROR(VLOOKUP($A968, Ledger!$B$2:$L$8, 6, 0),"")</f>
        <v/>
      </c>
      <c r="F968" t="str">
        <f>IFERROR(VLOOKUP($A968,'Student Data'!$A$2:$AR$6,32,0),"")</f>
        <v/>
      </c>
      <c r="G968" t="str">
        <f>IFERROR(VLOOKUP($A968,'Student Data'!$A$2:$AR$6,33,0),"")</f>
        <v/>
      </c>
      <c r="H968" t="str">
        <f>IFERROR(VLOOKUP($A968,'Student Data'!$A$2:$AR$6,34,0),"")</f>
        <v/>
      </c>
      <c r="I968" t="str">
        <f>IFERROR(VLOOKUP($A968,'Student Data'!$A$2:$AR$6,35,0),"")</f>
        <v/>
      </c>
      <c r="J968" t="str">
        <f>IFERROR(VLOOKUP($A968,'Student Data'!$A$2:$AR$6,36,0),"")</f>
        <v/>
      </c>
      <c r="K968" t="str">
        <f t="shared" si="30"/>
        <v/>
      </c>
      <c r="L968" t="str">
        <f t="shared" si="31"/>
        <v/>
      </c>
      <c r="M968" t="str">
        <f>IFERROR(IF($C968="","",SUMIFS(Ledger!$K$2:$K$4, Ledger!$B$2:$B$4, $A968, Ledger!$C$2:$C$4, M$2)),"****")</f>
        <v/>
      </c>
      <c r="N968" t="str">
        <f>IFERROR(IF($C968="","",SUMIFS(Ledger!$K$2:$K$4, Ledger!$B$2:$B$4, $A968, Ledger!$C$2:$C$4, N$2)),"****")</f>
        <v/>
      </c>
      <c r="O968" t="str">
        <f>IFERROR(IF($C968="","",SUMIFS(Ledger!$K$2:$K$4, Ledger!$B$2:$B$4, $A968, Ledger!$C$2:$C$4, O$2)),"****")</f>
        <v/>
      </c>
      <c r="P968" t="str">
        <f>IFERROR(IF($C968="","",SUMIFS(Ledger!$K$2:$K$4, Ledger!$B$2:$B$4, $A968, Ledger!$C$2:$C$4, P$2)),"****")</f>
        <v/>
      </c>
      <c r="Q968" t="str">
        <f>IFERROR(IF($C968="","",SUMIFS(Ledger!$K$2:$K$4, Ledger!$B$2:$B$4, $A968, Ledger!$C$2:$C$4, Q$2)),"****")</f>
        <v/>
      </c>
      <c r="R968" t="str">
        <f>IFERROR(IF($C968="","",SUMIFS(Ledger!$K$2:$K$4, Ledger!$B$2:$B$4, $A968, Ledger!$C$2:$C$4, R$2)),"****")</f>
        <v/>
      </c>
      <c r="S968" t="str">
        <f>IFERROR(IF($C968="","",SUMIFS(Ledger!$K$2:$K$4, Ledger!$B$2:$B$4, $A968, Ledger!$C$2:$C$4, S$2)),"****")</f>
        <v/>
      </c>
      <c r="T968" t="str">
        <f>IFERROR(IF($C968="","",SUMIFS(Ledger!$K$2:$K$4, Ledger!$B$2:$B$4, $A968, Ledger!$C$2:$C$4, T$2)),"****")</f>
        <v/>
      </c>
      <c r="U968" t="str">
        <f>IFERROR(IF($C968="","",SUMIFS(Ledger!$K$2:$K$4, Ledger!$B$2:$B$4, $A968, Ledger!$C$2:$C$4, U$2)),"****")</f>
        <v/>
      </c>
      <c r="V968" t="str">
        <f>IFERROR(IF($C968="","",SUMIFS(Ledger!$K$2:$K$4, Ledger!$B$2:$B$4, $A968, Ledger!$C$2:$C$4, V$2)),"****")</f>
        <v/>
      </c>
      <c r="W968" t="str">
        <f>IFERROR(IF($C968="","",SUMIFS(Ledger!$K$2:$K$4, Ledger!$B$2:$B$4, $A968, Ledger!$C$2:$C$4, W$2)),"****")</f>
        <v/>
      </c>
      <c r="X968" t="str">
        <f>IFERROR(IF($C968="","",SUMIFS(Ledger!$K$2:$K$4, Ledger!$B$2:$B$4, $A968, Ledger!$C$2:$C$4, X$2)),"****")</f>
        <v/>
      </c>
    </row>
    <row r="969" spans="1:24" x14ac:dyDescent="0.3">
      <c r="A969" s="106">
        <v>967</v>
      </c>
      <c r="B969" t="str">
        <f>IFERROR(VLOOKUP($A969, Ledger!$B$2:$L$8, 3, 0),"")</f>
        <v/>
      </c>
      <c r="C969" t="str">
        <f>IFERROR(VLOOKUP($A969, Ledger!$B$2:$L$8, 4, 0),"")</f>
        <v/>
      </c>
      <c r="D969" t="str">
        <f>IFERROR(VLOOKUP($A969, Ledger!$B$2:$L$8, 5, 0),"")</f>
        <v/>
      </c>
      <c r="E969" t="str">
        <f>IFERROR(VLOOKUP($A969, Ledger!$B$2:$L$8, 6, 0),"")</f>
        <v/>
      </c>
      <c r="F969" t="str">
        <f>IFERROR(VLOOKUP($A969,'Student Data'!$A$2:$AR$6,32,0),"")</f>
        <v/>
      </c>
      <c r="G969" t="str">
        <f>IFERROR(VLOOKUP($A969,'Student Data'!$A$2:$AR$6,33,0),"")</f>
        <v/>
      </c>
      <c r="H969" t="str">
        <f>IFERROR(VLOOKUP($A969,'Student Data'!$A$2:$AR$6,34,0),"")</f>
        <v/>
      </c>
      <c r="I969" t="str">
        <f>IFERROR(VLOOKUP($A969,'Student Data'!$A$2:$AR$6,35,0),"")</f>
        <v/>
      </c>
      <c r="J969" t="str">
        <f>IFERROR(VLOOKUP($A969,'Student Data'!$A$2:$AR$6,36,0),"")</f>
        <v/>
      </c>
      <c r="K969" t="str">
        <f t="shared" si="30"/>
        <v/>
      </c>
      <c r="L969" t="str">
        <f t="shared" si="31"/>
        <v/>
      </c>
      <c r="M969" t="str">
        <f>IFERROR(IF($C969="","",SUMIFS(Ledger!$K$2:$K$4, Ledger!$B$2:$B$4, $A969, Ledger!$C$2:$C$4, M$2)),"****")</f>
        <v/>
      </c>
      <c r="N969" t="str">
        <f>IFERROR(IF($C969="","",SUMIFS(Ledger!$K$2:$K$4, Ledger!$B$2:$B$4, $A969, Ledger!$C$2:$C$4, N$2)),"****")</f>
        <v/>
      </c>
      <c r="O969" t="str">
        <f>IFERROR(IF($C969="","",SUMIFS(Ledger!$K$2:$K$4, Ledger!$B$2:$B$4, $A969, Ledger!$C$2:$C$4, O$2)),"****")</f>
        <v/>
      </c>
      <c r="P969" t="str">
        <f>IFERROR(IF($C969="","",SUMIFS(Ledger!$K$2:$K$4, Ledger!$B$2:$B$4, $A969, Ledger!$C$2:$C$4, P$2)),"****")</f>
        <v/>
      </c>
      <c r="Q969" t="str">
        <f>IFERROR(IF($C969="","",SUMIFS(Ledger!$K$2:$K$4, Ledger!$B$2:$B$4, $A969, Ledger!$C$2:$C$4, Q$2)),"****")</f>
        <v/>
      </c>
      <c r="R969" t="str">
        <f>IFERROR(IF($C969="","",SUMIFS(Ledger!$K$2:$K$4, Ledger!$B$2:$B$4, $A969, Ledger!$C$2:$C$4, R$2)),"****")</f>
        <v/>
      </c>
      <c r="S969" t="str">
        <f>IFERROR(IF($C969="","",SUMIFS(Ledger!$K$2:$K$4, Ledger!$B$2:$B$4, $A969, Ledger!$C$2:$C$4, S$2)),"****")</f>
        <v/>
      </c>
      <c r="T969" t="str">
        <f>IFERROR(IF($C969="","",SUMIFS(Ledger!$K$2:$K$4, Ledger!$B$2:$B$4, $A969, Ledger!$C$2:$C$4, T$2)),"****")</f>
        <v/>
      </c>
      <c r="U969" t="str">
        <f>IFERROR(IF($C969="","",SUMIFS(Ledger!$K$2:$K$4, Ledger!$B$2:$B$4, $A969, Ledger!$C$2:$C$4, U$2)),"****")</f>
        <v/>
      </c>
      <c r="V969" t="str">
        <f>IFERROR(IF($C969="","",SUMIFS(Ledger!$K$2:$K$4, Ledger!$B$2:$B$4, $A969, Ledger!$C$2:$C$4, V$2)),"****")</f>
        <v/>
      </c>
      <c r="W969" t="str">
        <f>IFERROR(IF($C969="","",SUMIFS(Ledger!$K$2:$K$4, Ledger!$B$2:$B$4, $A969, Ledger!$C$2:$C$4, W$2)),"****")</f>
        <v/>
      </c>
      <c r="X969" t="str">
        <f>IFERROR(IF($C969="","",SUMIFS(Ledger!$K$2:$K$4, Ledger!$B$2:$B$4, $A969, Ledger!$C$2:$C$4, X$2)),"****")</f>
        <v/>
      </c>
    </row>
    <row r="970" spans="1:24" x14ac:dyDescent="0.3">
      <c r="A970" s="106">
        <v>968</v>
      </c>
      <c r="B970" t="str">
        <f>IFERROR(VLOOKUP($A970, Ledger!$B$2:$L$8, 3, 0),"")</f>
        <v/>
      </c>
      <c r="C970" t="str">
        <f>IFERROR(VLOOKUP($A970, Ledger!$B$2:$L$8, 4, 0),"")</f>
        <v/>
      </c>
      <c r="D970" t="str">
        <f>IFERROR(VLOOKUP($A970, Ledger!$B$2:$L$8, 5, 0),"")</f>
        <v/>
      </c>
      <c r="E970" t="str">
        <f>IFERROR(VLOOKUP($A970, Ledger!$B$2:$L$8, 6, 0),"")</f>
        <v/>
      </c>
      <c r="F970" t="str">
        <f>IFERROR(VLOOKUP($A970,'Student Data'!$A$2:$AR$6,32,0),"")</f>
        <v/>
      </c>
      <c r="G970" t="str">
        <f>IFERROR(VLOOKUP($A970,'Student Data'!$A$2:$AR$6,33,0),"")</f>
        <v/>
      </c>
      <c r="H970" t="str">
        <f>IFERROR(VLOOKUP($A970,'Student Data'!$A$2:$AR$6,34,0),"")</f>
        <v/>
      </c>
      <c r="I970" t="str">
        <f>IFERROR(VLOOKUP($A970,'Student Data'!$A$2:$AR$6,35,0),"")</f>
        <v/>
      </c>
      <c r="J970" t="str">
        <f>IFERROR(VLOOKUP($A970,'Student Data'!$A$2:$AR$6,36,0),"")</f>
        <v/>
      </c>
      <c r="K970" t="str">
        <f t="shared" si="30"/>
        <v/>
      </c>
      <c r="L970" t="str">
        <f t="shared" si="31"/>
        <v/>
      </c>
      <c r="M970" t="str">
        <f>IFERROR(IF($C970="","",SUMIFS(Ledger!$K$2:$K$4, Ledger!$B$2:$B$4, $A970, Ledger!$C$2:$C$4, M$2)),"****")</f>
        <v/>
      </c>
      <c r="N970" t="str">
        <f>IFERROR(IF($C970="","",SUMIFS(Ledger!$K$2:$K$4, Ledger!$B$2:$B$4, $A970, Ledger!$C$2:$C$4, N$2)),"****")</f>
        <v/>
      </c>
      <c r="O970" t="str">
        <f>IFERROR(IF($C970="","",SUMIFS(Ledger!$K$2:$K$4, Ledger!$B$2:$B$4, $A970, Ledger!$C$2:$C$4, O$2)),"****")</f>
        <v/>
      </c>
      <c r="P970" t="str">
        <f>IFERROR(IF($C970="","",SUMIFS(Ledger!$K$2:$K$4, Ledger!$B$2:$B$4, $A970, Ledger!$C$2:$C$4, P$2)),"****")</f>
        <v/>
      </c>
      <c r="Q970" t="str">
        <f>IFERROR(IF($C970="","",SUMIFS(Ledger!$K$2:$K$4, Ledger!$B$2:$B$4, $A970, Ledger!$C$2:$C$4, Q$2)),"****")</f>
        <v/>
      </c>
      <c r="R970" t="str">
        <f>IFERROR(IF($C970="","",SUMIFS(Ledger!$K$2:$K$4, Ledger!$B$2:$B$4, $A970, Ledger!$C$2:$C$4, R$2)),"****")</f>
        <v/>
      </c>
      <c r="S970" t="str">
        <f>IFERROR(IF($C970="","",SUMIFS(Ledger!$K$2:$K$4, Ledger!$B$2:$B$4, $A970, Ledger!$C$2:$C$4, S$2)),"****")</f>
        <v/>
      </c>
      <c r="T970" t="str">
        <f>IFERROR(IF($C970="","",SUMIFS(Ledger!$K$2:$K$4, Ledger!$B$2:$B$4, $A970, Ledger!$C$2:$C$4, T$2)),"****")</f>
        <v/>
      </c>
      <c r="U970" t="str">
        <f>IFERROR(IF($C970="","",SUMIFS(Ledger!$K$2:$K$4, Ledger!$B$2:$B$4, $A970, Ledger!$C$2:$C$4, U$2)),"****")</f>
        <v/>
      </c>
      <c r="V970" t="str">
        <f>IFERROR(IF($C970="","",SUMIFS(Ledger!$K$2:$K$4, Ledger!$B$2:$B$4, $A970, Ledger!$C$2:$C$4, V$2)),"****")</f>
        <v/>
      </c>
      <c r="W970" t="str">
        <f>IFERROR(IF($C970="","",SUMIFS(Ledger!$K$2:$K$4, Ledger!$B$2:$B$4, $A970, Ledger!$C$2:$C$4, W$2)),"****")</f>
        <v/>
      </c>
      <c r="X970" t="str">
        <f>IFERROR(IF($C970="","",SUMIFS(Ledger!$K$2:$K$4, Ledger!$B$2:$B$4, $A970, Ledger!$C$2:$C$4, X$2)),"****")</f>
        <v/>
      </c>
    </row>
    <row r="971" spans="1:24" x14ac:dyDescent="0.3">
      <c r="A971" s="106">
        <v>969</v>
      </c>
      <c r="B971" t="str">
        <f>IFERROR(VLOOKUP($A971, Ledger!$B$2:$L$8, 3, 0),"")</f>
        <v/>
      </c>
      <c r="C971" t="str">
        <f>IFERROR(VLOOKUP($A971, Ledger!$B$2:$L$8, 4, 0),"")</f>
        <v/>
      </c>
      <c r="D971" t="str">
        <f>IFERROR(VLOOKUP($A971, Ledger!$B$2:$L$8, 5, 0),"")</f>
        <v/>
      </c>
      <c r="E971" t="str">
        <f>IFERROR(VLOOKUP($A971, Ledger!$B$2:$L$8, 6, 0),"")</f>
        <v/>
      </c>
      <c r="F971" t="str">
        <f>IFERROR(VLOOKUP($A971,'Student Data'!$A$2:$AR$6,32,0),"")</f>
        <v/>
      </c>
      <c r="G971" t="str">
        <f>IFERROR(VLOOKUP($A971,'Student Data'!$A$2:$AR$6,33,0),"")</f>
        <v/>
      </c>
      <c r="H971" t="str">
        <f>IFERROR(VLOOKUP($A971,'Student Data'!$A$2:$AR$6,34,0),"")</f>
        <v/>
      </c>
      <c r="I971" t="str">
        <f>IFERROR(VLOOKUP($A971,'Student Data'!$A$2:$AR$6,35,0),"")</f>
        <v/>
      </c>
      <c r="J971" t="str">
        <f>IFERROR(VLOOKUP($A971,'Student Data'!$A$2:$AR$6,36,0),"")</f>
        <v/>
      </c>
      <c r="K971" t="str">
        <f t="shared" si="30"/>
        <v/>
      </c>
      <c r="L971" t="str">
        <f t="shared" si="31"/>
        <v/>
      </c>
      <c r="M971" t="str">
        <f>IFERROR(IF($C971="","",SUMIFS(Ledger!$K$2:$K$4, Ledger!$B$2:$B$4, $A971, Ledger!$C$2:$C$4, M$2)),"****")</f>
        <v/>
      </c>
      <c r="N971" t="str">
        <f>IFERROR(IF($C971="","",SUMIFS(Ledger!$K$2:$K$4, Ledger!$B$2:$B$4, $A971, Ledger!$C$2:$C$4, N$2)),"****")</f>
        <v/>
      </c>
      <c r="O971" t="str">
        <f>IFERROR(IF($C971="","",SUMIFS(Ledger!$K$2:$K$4, Ledger!$B$2:$B$4, $A971, Ledger!$C$2:$C$4, O$2)),"****")</f>
        <v/>
      </c>
      <c r="P971" t="str">
        <f>IFERROR(IF($C971="","",SUMIFS(Ledger!$K$2:$K$4, Ledger!$B$2:$B$4, $A971, Ledger!$C$2:$C$4, P$2)),"****")</f>
        <v/>
      </c>
      <c r="Q971" t="str">
        <f>IFERROR(IF($C971="","",SUMIFS(Ledger!$K$2:$K$4, Ledger!$B$2:$B$4, $A971, Ledger!$C$2:$C$4, Q$2)),"****")</f>
        <v/>
      </c>
      <c r="R971" t="str">
        <f>IFERROR(IF($C971="","",SUMIFS(Ledger!$K$2:$K$4, Ledger!$B$2:$B$4, $A971, Ledger!$C$2:$C$4, R$2)),"****")</f>
        <v/>
      </c>
      <c r="S971" t="str">
        <f>IFERROR(IF($C971="","",SUMIFS(Ledger!$K$2:$K$4, Ledger!$B$2:$B$4, $A971, Ledger!$C$2:$C$4, S$2)),"****")</f>
        <v/>
      </c>
      <c r="T971" t="str">
        <f>IFERROR(IF($C971="","",SUMIFS(Ledger!$K$2:$K$4, Ledger!$B$2:$B$4, $A971, Ledger!$C$2:$C$4, T$2)),"****")</f>
        <v/>
      </c>
      <c r="U971" t="str">
        <f>IFERROR(IF($C971="","",SUMIFS(Ledger!$K$2:$K$4, Ledger!$B$2:$B$4, $A971, Ledger!$C$2:$C$4, U$2)),"****")</f>
        <v/>
      </c>
      <c r="V971" t="str">
        <f>IFERROR(IF($C971="","",SUMIFS(Ledger!$K$2:$K$4, Ledger!$B$2:$B$4, $A971, Ledger!$C$2:$C$4, V$2)),"****")</f>
        <v/>
      </c>
      <c r="W971" t="str">
        <f>IFERROR(IF($C971="","",SUMIFS(Ledger!$K$2:$K$4, Ledger!$B$2:$B$4, $A971, Ledger!$C$2:$C$4, W$2)),"****")</f>
        <v/>
      </c>
      <c r="X971" t="str">
        <f>IFERROR(IF($C971="","",SUMIFS(Ledger!$K$2:$K$4, Ledger!$B$2:$B$4, $A971, Ledger!$C$2:$C$4, X$2)),"****")</f>
        <v/>
      </c>
    </row>
    <row r="972" spans="1:24" x14ac:dyDescent="0.3">
      <c r="A972" s="106">
        <v>970</v>
      </c>
      <c r="B972" t="str">
        <f>IFERROR(VLOOKUP($A972, Ledger!$B$2:$L$8, 3, 0),"")</f>
        <v/>
      </c>
      <c r="C972" t="str">
        <f>IFERROR(VLOOKUP($A972, Ledger!$B$2:$L$8, 4, 0),"")</f>
        <v/>
      </c>
      <c r="D972" t="str">
        <f>IFERROR(VLOOKUP($A972, Ledger!$B$2:$L$8, 5, 0),"")</f>
        <v/>
      </c>
      <c r="E972" t="str">
        <f>IFERROR(VLOOKUP($A972, Ledger!$B$2:$L$8, 6, 0),"")</f>
        <v/>
      </c>
      <c r="F972" t="str">
        <f>IFERROR(VLOOKUP($A972,'Student Data'!$A$2:$AR$6,32,0),"")</f>
        <v/>
      </c>
      <c r="G972" t="str">
        <f>IFERROR(VLOOKUP($A972,'Student Data'!$A$2:$AR$6,33,0),"")</f>
        <v/>
      </c>
      <c r="H972" t="str">
        <f>IFERROR(VLOOKUP($A972,'Student Data'!$A$2:$AR$6,34,0),"")</f>
        <v/>
      </c>
      <c r="I972" t="str">
        <f>IFERROR(VLOOKUP($A972,'Student Data'!$A$2:$AR$6,35,0),"")</f>
        <v/>
      </c>
      <c r="J972" t="str">
        <f>IFERROR(VLOOKUP($A972,'Student Data'!$A$2:$AR$6,36,0),"")</f>
        <v/>
      </c>
      <c r="K972" t="str">
        <f t="shared" si="30"/>
        <v/>
      </c>
      <c r="L972" t="str">
        <f t="shared" si="31"/>
        <v/>
      </c>
      <c r="M972" t="str">
        <f>IFERROR(IF($C972="","",SUMIFS(Ledger!$K$2:$K$4, Ledger!$B$2:$B$4, $A972, Ledger!$C$2:$C$4, M$2)),"****")</f>
        <v/>
      </c>
      <c r="N972" t="str">
        <f>IFERROR(IF($C972="","",SUMIFS(Ledger!$K$2:$K$4, Ledger!$B$2:$B$4, $A972, Ledger!$C$2:$C$4, N$2)),"****")</f>
        <v/>
      </c>
      <c r="O972" t="str">
        <f>IFERROR(IF($C972="","",SUMIFS(Ledger!$K$2:$K$4, Ledger!$B$2:$B$4, $A972, Ledger!$C$2:$C$4, O$2)),"****")</f>
        <v/>
      </c>
      <c r="P972" t="str">
        <f>IFERROR(IF($C972="","",SUMIFS(Ledger!$K$2:$K$4, Ledger!$B$2:$B$4, $A972, Ledger!$C$2:$C$4, P$2)),"****")</f>
        <v/>
      </c>
      <c r="Q972" t="str">
        <f>IFERROR(IF($C972="","",SUMIFS(Ledger!$K$2:$K$4, Ledger!$B$2:$B$4, $A972, Ledger!$C$2:$C$4, Q$2)),"****")</f>
        <v/>
      </c>
      <c r="R972" t="str">
        <f>IFERROR(IF($C972="","",SUMIFS(Ledger!$K$2:$K$4, Ledger!$B$2:$B$4, $A972, Ledger!$C$2:$C$4, R$2)),"****")</f>
        <v/>
      </c>
      <c r="S972" t="str">
        <f>IFERROR(IF($C972="","",SUMIFS(Ledger!$K$2:$K$4, Ledger!$B$2:$B$4, $A972, Ledger!$C$2:$C$4, S$2)),"****")</f>
        <v/>
      </c>
      <c r="T972" t="str">
        <f>IFERROR(IF($C972="","",SUMIFS(Ledger!$K$2:$K$4, Ledger!$B$2:$B$4, $A972, Ledger!$C$2:$C$4, T$2)),"****")</f>
        <v/>
      </c>
      <c r="U972" t="str">
        <f>IFERROR(IF($C972="","",SUMIFS(Ledger!$K$2:$K$4, Ledger!$B$2:$B$4, $A972, Ledger!$C$2:$C$4, U$2)),"****")</f>
        <v/>
      </c>
      <c r="V972" t="str">
        <f>IFERROR(IF($C972="","",SUMIFS(Ledger!$K$2:$K$4, Ledger!$B$2:$B$4, $A972, Ledger!$C$2:$C$4, V$2)),"****")</f>
        <v/>
      </c>
      <c r="W972" t="str">
        <f>IFERROR(IF($C972="","",SUMIFS(Ledger!$K$2:$K$4, Ledger!$B$2:$B$4, $A972, Ledger!$C$2:$C$4, W$2)),"****")</f>
        <v/>
      </c>
      <c r="X972" t="str">
        <f>IFERROR(IF($C972="","",SUMIFS(Ledger!$K$2:$K$4, Ledger!$B$2:$B$4, $A972, Ledger!$C$2:$C$4, X$2)),"****")</f>
        <v/>
      </c>
    </row>
    <row r="973" spans="1:24" x14ac:dyDescent="0.3">
      <c r="A973" s="106">
        <v>971</v>
      </c>
      <c r="B973" t="str">
        <f>IFERROR(VLOOKUP($A973, Ledger!$B$2:$L$8, 3, 0),"")</f>
        <v/>
      </c>
      <c r="C973" t="str">
        <f>IFERROR(VLOOKUP($A973, Ledger!$B$2:$L$8, 4, 0),"")</f>
        <v/>
      </c>
      <c r="D973" t="str">
        <f>IFERROR(VLOOKUP($A973, Ledger!$B$2:$L$8, 5, 0),"")</f>
        <v/>
      </c>
      <c r="E973" t="str">
        <f>IFERROR(VLOOKUP($A973, Ledger!$B$2:$L$8, 6, 0),"")</f>
        <v/>
      </c>
      <c r="F973" t="str">
        <f>IFERROR(VLOOKUP($A973,'Student Data'!$A$2:$AR$6,32,0),"")</f>
        <v/>
      </c>
      <c r="G973" t="str">
        <f>IFERROR(VLOOKUP($A973,'Student Data'!$A$2:$AR$6,33,0),"")</f>
        <v/>
      </c>
      <c r="H973" t="str">
        <f>IFERROR(VLOOKUP($A973,'Student Data'!$A$2:$AR$6,34,0),"")</f>
        <v/>
      </c>
      <c r="I973" t="str">
        <f>IFERROR(VLOOKUP($A973,'Student Data'!$A$2:$AR$6,35,0),"")</f>
        <v/>
      </c>
      <c r="J973" t="str">
        <f>IFERROR(VLOOKUP($A973,'Student Data'!$A$2:$AR$6,36,0),"")</f>
        <v/>
      </c>
      <c r="K973" t="str">
        <f t="shared" si="30"/>
        <v/>
      </c>
      <c r="L973" t="str">
        <f t="shared" si="31"/>
        <v/>
      </c>
      <c r="M973" t="str">
        <f>IFERROR(IF($C973="","",SUMIFS(Ledger!$K$2:$K$4, Ledger!$B$2:$B$4, $A973, Ledger!$C$2:$C$4, M$2)),"****")</f>
        <v/>
      </c>
      <c r="N973" t="str">
        <f>IFERROR(IF($C973="","",SUMIFS(Ledger!$K$2:$K$4, Ledger!$B$2:$B$4, $A973, Ledger!$C$2:$C$4, N$2)),"****")</f>
        <v/>
      </c>
      <c r="O973" t="str">
        <f>IFERROR(IF($C973="","",SUMIFS(Ledger!$K$2:$K$4, Ledger!$B$2:$B$4, $A973, Ledger!$C$2:$C$4, O$2)),"****")</f>
        <v/>
      </c>
      <c r="P973" t="str">
        <f>IFERROR(IF($C973="","",SUMIFS(Ledger!$K$2:$K$4, Ledger!$B$2:$B$4, $A973, Ledger!$C$2:$C$4, P$2)),"****")</f>
        <v/>
      </c>
      <c r="Q973" t="str">
        <f>IFERROR(IF($C973="","",SUMIFS(Ledger!$K$2:$K$4, Ledger!$B$2:$B$4, $A973, Ledger!$C$2:$C$4, Q$2)),"****")</f>
        <v/>
      </c>
      <c r="R973" t="str">
        <f>IFERROR(IF($C973="","",SUMIFS(Ledger!$K$2:$K$4, Ledger!$B$2:$B$4, $A973, Ledger!$C$2:$C$4, R$2)),"****")</f>
        <v/>
      </c>
      <c r="S973" t="str">
        <f>IFERROR(IF($C973="","",SUMIFS(Ledger!$K$2:$K$4, Ledger!$B$2:$B$4, $A973, Ledger!$C$2:$C$4, S$2)),"****")</f>
        <v/>
      </c>
      <c r="T973" t="str">
        <f>IFERROR(IF($C973="","",SUMIFS(Ledger!$K$2:$K$4, Ledger!$B$2:$B$4, $A973, Ledger!$C$2:$C$4, T$2)),"****")</f>
        <v/>
      </c>
      <c r="U973" t="str">
        <f>IFERROR(IF($C973="","",SUMIFS(Ledger!$K$2:$K$4, Ledger!$B$2:$B$4, $A973, Ledger!$C$2:$C$4, U$2)),"****")</f>
        <v/>
      </c>
      <c r="V973" t="str">
        <f>IFERROR(IF($C973="","",SUMIFS(Ledger!$K$2:$K$4, Ledger!$B$2:$B$4, $A973, Ledger!$C$2:$C$4, V$2)),"****")</f>
        <v/>
      </c>
      <c r="W973" t="str">
        <f>IFERROR(IF($C973="","",SUMIFS(Ledger!$K$2:$K$4, Ledger!$B$2:$B$4, $A973, Ledger!$C$2:$C$4, W$2)),"****")</f>
        <v/>
      </c>
      <c r="X973" t="str">
        <f>IFERROR(IF($C973="","",SUMIFS(Ledger!$K$2:$K$4, Ledger!$B$2:$B$4, $A973, Ledger!$C$2:$C$4, X$2)),"****")</f>
        <v/>
      </c>
    </row>
    <row r="974" spans="1:24" x14ac:dyDescent="0.3">
      <c r="A974" s="106">
        <v>972</v>
      </c>
      <c r="B974" t="str">
        <f>IFERROR(VLOOKUP($A974, Ledger!$B$2:$L$8, 3, 0),"")</f>
        <v/>
      </c>
      <c r="C974" t="str">
        <f>IFERROR(VLOOKUP($A974, Ledger!$B$2:$L$8, 4, 0),"")</f>
        <v/>
      </c>
      <c r="D974" t="str">
        <f>IFERROR(VLOOKUP($A974, Ledger!$B$2:$L$8, 5, 0),"")</f>
        <v/>
      </c>
      <c r="E974" t="str">
        <f>IFERROR(VLOOKUP($A974, Ledger!$B$2:$L$8, 6, 0),"")</f>
        <v/>
      </c>
      <c r="F974" t="str">
        <f>IFERROR(VLOOKUP($A974,'Student Data'!$A$2:$AR$6,32,0),"")</f>
        <v/>
      </c>
      <c r="G974" t="str">
        <f>IFERROR(VLOOKUP($A974,'Student Data'!$A$2:$AR$6,33,0),"")</f>
        <v/>
      </c>
      <c r="H974" t="str">
        <f>IFERROR(VLOOKUP($A974,'Student Data'!$A$2:$AR$6,34,0),"")</f>
        <v/>
      </c>
      <c r="I974" t="str">
        <f>IFERROR(VLOOKUP($A974,'Student Data'!$A$2:$AR$6,35,0),"")</f>
        <v/>
      </c>
      <c r="J974" t="str">
        <f>IFERROR(VLOOKUP($A974,'Student Data'!$A$2:$AR$6,36,0),"")</f>
        <v/>
      </c>
      <c r="K974" t="str">
        <f t="shared" si="30"/>
        <v/>
      </c>
      <c r="L974" t="str">
        <f t="shared" si="31"/>
        <v/>
      </c>
      <c r="M974" t="str">
        <f>IFERROR(IF($C974="","",SUMIFS(Ledger!$K$2:$K$4, Ledger!$B$2:$B$4, $A974, Ledger!$C$2:$C$4, M$2)),"****")</f>
        <v/>
      </c>
      <c r="N974" t="str">
        <f>IFERROR(IF($C974="","",SUMIFS(Ledger!$K$2:$K$4, Ledger!$B$2:$B$4, $A974, Ledger!$C$2:$C$4, N$2)),"****")</f>
        <v/>
      </c>
      <c r="O974" t="str">
        <f>IFERROR(IF($C974="","",SUMIFS(Ledger!$K$2:$K$4, Ledger!$B$2:$B$4, $A974, Ledger!$C$2:$C$4, O$2)),"****")</f>
        <v/>
      </c>
      <c r="P974" t="str">
        <f>IFERROR(IF($C974="","",SUMIFS(Ledger!$K$2:$K$4, Ledger!$B$2:$B$4, $A974, Ledger!$C$2:$C$4, P$2)),"****")</f>
        <v/>
      </c>
      <c r="Q974" t="str">
        <f>IFERROR(IF($C974="","",SUMIFS(Ledger!$K$2:$K$4, Ledger!$B$2:$B$4, $A974, Ledger!$C$2:$C$4, Q$2)),"****")</f>
        <v/>
      </c>
      <c r="R974" t="str">
        <f>IFERROR(IF($C974="","",SUMIFS(Ledger!$K$2:$K$4, Ledger!$B$2:$B$4, $A974, Ledger!$C$2:$C$4, R$2)),"****")</f>
        <v/>
      </c>
      <c r="S974" t="str">
        <f>IFERROR(IF($C974="","",SUMIFS(Ledger!$K$2:$K$4, Ledger!$B$2:$B$4, $A974, Ledger!$C$2:$C$4, S$2)),"****")</f>
        <v/>
      </c>
      <c r="T974" t="str">
        <f>IFERROR(IF($C974="","",SUMIFS(Ledger!$K$2:$K$4, Ledger!$B$2:$B$4, $A974, Ledger!$C$2:$C$4, T$2)),"****")</f>
        <v/>
      </c>
      <c r="U974" t="str">
        <f>IFERROR(IF($C974="","",SUMIFS(Ledger!$K$2:$K$4, Ledger!$B$2:$B$4, $A974, Ledger!$C$2:$C$4, U$2)),"****")</f>
        <v/>
      </c>
      <c r="V974" t="str">
        <f>IFERROR(IF($C974="","",SUMIFS(Ledger!$K$2:$K$4, Ledger!$B$2:$B$4, $A974, Ledger!$C$2:$C$4, V$2)),"****")</f>
        <v/>
      </c>
      <c r="W974" t="str">
        <f>IFERROR(IF($C974="","",SUMIFS(Ledger!$K$2:$K$4, Ledger!$B$2:$B$4, $A974, Ledger!$C$2:$C$4, W$2)),"****")</f>
        <v/>
      </c>
      <c r="X974" t="str">
        <f>IFERROR(IF($C974="","",SUMIFS(Ledger!$K$2:$K$4, Ledger!$B$2:$B$4, $A974, Ledger!$C$2:$C$4, X$2)),"****")</f>
        <v/>
      </c>
    </row>
    <row r="975" spans="1:24" x14ac:dyDescent="0.3">
      <c r="A975" s="106">
        <v>973</v>
      </c>
      <c r="B975" t="str">
        <f>IFERROR(VLOOKUP($A975, Ledger!$B$2:$L$8, 3, 0),"")</f>
        <v/>
      </c>
      <c r="C975" t="str">
        <f>IFERROR(VLOOKUP($A975, Ledger!$B$2:$L$8, 4, 0),"")</f>
        <v/>
      </c>
      <c r="D975" t="str">
        <f>IFERROR(VLOOKUP($A975, Ledger!$B$2:$L$8, 5, 0),"")</f>
        <v/>
      </c>
      <c r="E975" t="str">
        <f>IFERROR(VLOOKUP($A975, Ledger!$B$2:$L$8, 6, 0),"")</f>
        <v/>
      </c>
      <c r="F975" t="str">
        <f>IFERROR(VLOOKUP($A975,'Student Data'!$A$2:$AR$6,32,0),"")</f>
        <v/>
      </c>
      <c r="G975" t="str">
        <f>IFERROR(VLOOKUP($A975,'Student Data'!$A$2:$AR$6,33,0),"")</f>
        <v/>
      </c>
      <c r="H975" t="str">
        <f>IFERROR(VLOOKUP($A975,'Student Data'!$A$2:$AR$6,34,0),"")</f>
        <v/>
      </c>
      <c r="I975" t="str">
        <f>IFERROR(VLOOKUP($A975,'Student Data'!$A$2:$AR$6,35,0),"")</f>
        <v/>
      </c>
      <c r="J975" t="str">
        <f>IFERROR(VLOOKUP($A975,'Student Data'!$A$2:$AR$6,36,0),"")</f>
        <v/>
      </c>
      <c r="K975" t="str">
        <f t="shared" si="30"/>
        <v/>
      </c>
      <c r="L975" t="str">
        <f t="shared" si="31"/>
        <v/>
      </c>
      <c r="M975" t="str">
        <f>IFERROR(IF($C975="","",SUMIFS(Ledger!$K$2:$K$4, Ledger!$B$2:$B$4, $A975, Ledger!$C$2:$C$4, M$2)),"****")</f>
        <v/>
      </c>
      <c r="N975" t="str">
        <f>IFERROR(IF($C975="","",SUMIFS(Ledger!$K$2:$K$4, Ledger!$B$2:$B$4, $A975, Ledger!$C$2:$C$4, N$2)),"****")</f>
        <v/>
      </c>
      <c r="O975" t="str">
        <f>IFERROR(IF($C975="","",SUMIFS(Ledger!$K$2:$K$4, Ledger!$B$2:$B$4, $A975, Ledger!$C$2:$C$4, O$2)),"****")</f>
        <v/>
      </c>
      <c r="P975" t="str">
        <f>IFERROR(IF($C975="","",SUMIFS(Ledger!$K$2:$K$4, Ledger!$B$2:$B$4, $A975, Ledger!$C$2:$C$4, P$2)),"****")</f>
        <v/>
      </c>
      <c r="Q975" t="str">
        <f>IFERROR(IF($C975="","",SUMIFS(Ledger!$K$2:$K$4, Ledger!$B$2:$B$4, $A975, Ledger!$C$2:$C$4, Q$2)),"****")</f>
        <v/>
      </c>
      <c r="R975" t="str">
        <f>IFERROR(IF($C975="","",SUMIFS(Ledger!$K$2:$K$4, Ledger!$B$2:$B$4, $A975, Ledger!$C$2:$C$4, R$2)),"****")</f>
        <v/>
      </c>
      <c r="S975" t="str">
        <f>IFERROR(IF($C975="","",SUMIFS(Ledger!$K$2:$K$4, Ledger!$B$2:$B$4, $A975, Ledger!$C$2:$C$4, S$2)),"****")</f>
        <v/>
      </c>
      <c r="T975" t="str">
        <f>IFERROR(IF($C975="","",SUMIFS(Ledger!$K$2:$K$4, Ledger!$B$2:$B$4, $A975, Ledger!$C$2:$C$4, T$2)),"****")</f>
        <v/>
      </c>
      <c r="U975" t="str">
        <f>IFERROR(IF($C975="","",SUMIFS(Ledger!$K$2:$K$4, Ledger!$B$2:$B$4, $A975, Ledger!$C$2:$C$4, U$2)),"****")</f>
        <v/>
      </c>
      <c r="V975" t="str">
        <f>IFERROR(IF($C975="","",SUMIFS(Ledger!$K$2:$K$4, Ledger!$B$2:$B$4, $A975, Ledger!$C$2:$C$4, V$2)),"****")</f>
        <v/>
      </c>
      <c r="W975" t="str">
        <f>IFERROR(IF($C975="","",SUMIFS(Ledger!$K$2:$K$4, Ledger!$B$2:$B$4, $A975, Ledger!$C$2:$C$4, W$2)),"****")</f>
        <v/>
      </c>
      <c r="X975" t="str">
        <f>IFERROR(IF($C975="","",SUMIFS(Ledger!$K$2:$K$4, Ledger!$B$2:$B$4, $A975, Ledger!$C$2:$C$4, X$2)),"****")</f>
        <v/>
      </c>
    </row>
    <row r="976" spans="1:24" x14ac:dyDescent="0.3">
      <c r="A976" s="106">
        <v>974</v>
      </c>
      <c r="B976" t="str">
        <f>IFERROR(VLOOKUP($A976, Ledger!$B$2:$L$8, 3, 0),"")</f>
        <v/>
      </c>
      <c r="C976" t="str">
        <f>IFERROR(VLOOKUP($A976, Ledger!$B$2:$L$8, 4, 0),"")</f>
        <v/>
      </c>
      <c r="D976" t="str">
        <f>IFERROR(VLOOKUP($A976, Ledger!$B$2:$L$8, 5, 0),"")</f>
        <v/>
      </c>
      <c r="E976" t="str">
        <f>IFERROR(VLOOKUP($A976, Ledger!$B$2:$L$8, 6, 0),"")</f>
        <v/>
      </c>
      <c r="F976" t="str">
        <f>IFERROR(VLOOKUP($A976,'Student Data'!$A$2:$AR$6,32,0),"")</f>
        <v/>
      </c>
      <c r="G976" t="str">
        <f>IFERROR(VLOOKUP($A976,'Student Data'!$A$2:$AR$6,33,0),"")</f>
        <v/>
      </c>
      <c r="H976" t="str">
        <f>IFERROR(VLOOKUP($A976,'Student Data'!$A$2:$AR$6,34,0),"")</f>
        <v/>
      </c>
      <c r="I976" t="str">
        <f>IFERROR(VLOOKUP($A976,'Student Data'!$A$2:$AR$6,35,0),"")</f>
        <v/>
      </c>
      <c r="J976" t="str">
        <f>IFERROR(VLOOKUP($A976,'Student Data'!$A$2:$AR$6,36,0),"")</f>
        <v/>
      </c>
      <c r="K976" t="str">
        <f t="shared" si="30"/>
        <v/>
      </c>
      <c r="L976" t="str">
        <f t="shared" si="31"/>
        <v/>
      </c>
      <c r="M976" t="str">
        <f>IFERROR(IF($C976="","",SUMIFS(Ledger!$K$2:$K$4, Ledger!$B$2:$B$4, $A976, Ledger!$C$2:$C$4, M$2)),"****")</f>
        <v/>
      </c>
      <c r="N976" t="str">
        <f>IFERROR(IF($C976="","",SUMIFS(Ledger!$K$2:$K$4, Ledger!$B$2:$B$4, $A976, Ledger!$C$2:$C$4, N$2)),"****")</f>
        <v/>
      </c>
      <c r="O976" t="str">
        <f>IFERROR(IF($C976="","",SUMIFS(Ledger!$K$2:$K$4, Ledger!$B$2:$B$4, $A976, Ledger!$C$2:$C$4, O$2)),"****")</f>
        <v/>
      </c>
      <c r="P976" t="str">
        <f>IFERROR(IF($C976="","",SUMIFS(Ledger!$K$2:$K$4, Ledger!$B$2:$B$4, $A976, Ledger!$C$2:$C$4, P$2)),"****")</f>
        <v/>
      </c>
      <c r="Q976" t="str">
        <f>IFERROR(IF($C976="","",SUMIFS(Ledger!$K$2:$K$4, Ledger!$B$2:$B$4, $A976, Ledger!$C$2:$C$4, Q$2)),"****")</f>
        <v/>
      </c>
      <c r="R976" t="str">
        <f>IFERROR(IF($C976="","",SUMIFS(Ledger!$K$2:$K$4, Ledger!$B$2:$B$4, $A976, Ledger!$C$2:$C$4, R$2)),"****")</f>
        <v/>
      </c>
      <c r="S976" t="str">
        <f>IFERROR(IF($C976="","",SUMIFS(Ledger!$K$2:$K$4, Ledger!$B$2:$B$4, $A976, Ledger!$C$2:$C$4, S$2)),"****")</f>
        <v/>
      </c>
      <c r="T976" t="str">
        <f>IFERROR(IF($C976="","",SUMIFS(Ledger!$K$2:$K$4, Ledger!$B$2:$B$4, $A976, Ledger!$C$2:$C$4, T$2)),"****")</f>
        <v/>
      </c>
      <c r="U976" t="str">
        <f>IFERROR(IF($C976="","",SUMIFS(Ledger!$K$2:$K$4, Ledger!$B$2:$B$4, $A976, Ledger!$C$2:$C$4, U$2)),"****")</f>
        <v/>
      </c>
      <c r="V976" t="str">
        <f>IFERROR(IF($C976="","",SUMIFS(Ledger!$K$2:$K$4, Ledger!$B$2:$B$4, $A976, Ledger!$C$2:$C$4, V$2)),"****")</f>
        <v/>
      </c>
      <c r="W976" t="str">
        <f>IFERROR(IF($C976="","",SUMIFS(Ledger!$K$2:$K$4, Ledger!$B$2:$B$4, $A976, Ledger!$C$2:$C$4, W$2)),"****")</f>
        <v/>
      </c>
      <c r="X976" t="str">
        <f>IFERROR(IF($C976="","",SUMIFS(Ledger!$K$2:$K$4, Ledger!$B$2:$B$4, $A976, Ledger!$C$2:$C$4, X$2)),"****")</f>
        <v/>
      </c>
    </row>
    <row r="977" spans="1:24" x14ac:dyDescent="0.3">
      <c r="A977" s="106">
        <v>975</v>
      </c>
      <c r="B977" t="str">
        <f>IFERROR(VLOOKUP($A977, Ledger!$B$2:$L$8, 3, 0),"")</f>
        <v/>
      </c>
      <c r="C977" t="str">
        <f>IFERROR(VLOOKUP($A977, Ledger!$B$2:$L$8, 4, 0),"")</f>
        <v/>
      </c>
      <c r="D977" t="str">
        <f>IFERROR(VLOOKUP($A977, Ledger!$B$2:$L$8, 5, 0),"")</f>
        <v/>
      </c>
      <c r="E977" t="str">
        <f>IFERROR(VLOOKUP($A977, Ledger!$B$2:$L$8, 6, 0),"")</f>
        <v/>
      </c>
      <c r="F977" t="str">
        <f>IFERROR(VLOOKUP($A977,'Student Data'!$A$2:$AR$6,32,0),"")</f>
        <v/>
      </c>
      <c r="G977" t="str">
        <f>IFERROR(VLOOKUP($A977,'Student Data'!$A$2:$AR$6,33,0),"")</f>
        <v/>
      </c>
      <c r="H977" t="str">
        <f>IFERROR(VLOOKUP($A977,'Student Data'!$A$2:$AR$6,34,0),"")</f>
        <v/>
      </c>
      <c r="I977" t="str">
        <f>IFERROR(VLOOKUP($A977,'Student Data'!$A$2:$AR$6,35,0),"")</f>
        <v/>
      </c>
      <c r="J977" t="str">
        <f>IFERROR(VLOOKUP($A977,'Student Data'!$A$2:$AR$6,36,0),"")</f>
        <v/>
      </c>
      <c r="K977" t="str">
        <f t="shared" si="30"/>
        <v/>
      </c>
      <c r="L977" t="str">
        <f t="shared" si="31"/>
        <v/>
      </c>
      <c r="M977" t="str">
        <f>IFERROR(IF($C977="","",SUMIFS(Ledger!$K$2:$K$4, Ledger!$B$2:$B$4, $A977, Ledger!$C$2:$C$4, M$2)),"****")</f>
        <v/>
      </c>
      <c r="N977" t="str">
        <f>IFERROR(IF($C977="","",SUMIFS(Ledger!$K$2:$K$4, Ledger!$B$2:$B$4, $A977, Ledger!$C$2:$C$4, N$2)),"****")</f>
        <v/>
      </c>
      <c r="O977" t="str">
        <f>IFERROR(IF($C977="","",SUMIFS(Ledger!$K$2:$K$4, Ledger!$B$2:$B$4, $A977, Ledger!$C$2:$C$4, O$2)),"****")</f>
        <v/>
      </c>
      <c r="P977" t="str">
        <f>IFERROR(IF($C977="","",SUMIFS(Ledger!$K$2:$K$4, Ledger!$B$2:$B$4, $A977, Ledger!$C$2:$C$4, P$2)),"****")</f>
        <v/>
      </c>
      <c r="Q977" t="str">
        <f>IFERROR(IF($C977="","",SUMIFS(Ledger!$K$2:$K$4, Ledger!$B$2:$B$4, $A977, Ledger!$C$2:$C$4, Q$2)),"****")</f>
        <v/>
      </c>
      <c r="R977" t="str">
        <f>IFERROR(IF($C977="","",SUMIFS(Ledger!$K$2:$K$4, Ledger!$B$2:$B$4, $A977, Ledger!$C$2:$C$4, R$2)),"****")</f>
        <v/>
      </c>
      <c r="S977" t="str">
        <f>IFERROR(IF($C977="","",SUMIFS(Ledger!$K$2:$K$4, Ledger!$B$2:$B$4, $A977, Ledger!$C$2:$C$4, S$2)),"****")</f>
        <v/>
      </c>
      <c r="T977" t="str">
        <f>IFERROR(IF($C977="","",SUMIFS(Ledger!$K$2:$K$4, Ledger!$B$2:$B$4, $A977, Ledger!$C$2:$C$4, T$2)),"****")</f>
        <v/>
      </c>
      <c r="U977" t="str">
        <f>IFERROR(IF($C977="","",SUMIFS(Ledger!$K$2:$K$4, Ledger!$B$2:$B$4, $A977, Ledger!$C$2:$C$4, U$2)),"****")</f>
        <v/>
      </c>
      <c r="V977" t="str">
        <f>IFERROR(IF($C977="","",SUMIFS(Ledger!$K$2:$K$4, Ledger!$B$2:$B$4, $A977, Ledger!$C$2:$C$4, V$2)),"****")</f>
        <v/>
      </c>
      <c r="W977" t="str">
        <f>IFERROR(IF($C977="","",SUMIFS(Ledger!$K$2:$K$4, Ledger!$B$2:$B$4, $A977, Ledger!$C$2:$C$4, W$2)),"****")</f>
        <v/>
      </c>
      <c r="X977" t="str">
        <f>IFERROR(IF($C977="","",SUMIFS(Ledger!$K$2:$K$4, Ledger!$B$2:$B$4, $A977, Ledger!$C$2:$C$4, X$2)),"****")</f>
        <v/>
      </c>
    </row>
    <row r="978" spans="1:24" x14ac:dyDescent="0.3">
      <c r="A978" s="106">
        <v>976</v>
      </c>
      <c r="B978" t="str">
        <f>IFERROR(VLOOKUP($A978, Ledger!$B$2:$L$8, 3, 0),"")</f>
        <v/>
      </c>
      <c r="C978" t="str">
        <f>IFERROR(VLOOKUP($A978, Ledger!$B$2:$L$8, 4, 0),"")</f>
        <v/>
      </c>
      <c r="D978" t="str">
        <f>IFERROR(VLOOKUP($A978, Ledger!$B$2:$L$8, 5, 0),"")</f>
        <v/>
      </c>
      <c r="E978" t="str">
        <f>IFERROR(VLOOKUP($A978, Ledger!$B$2:$L$8, 6, 0),"")</f>
        <v/>
      </c>
      <c r="F978" t="str">
        <f>IFERROR(VLOOKUP($A978,'Student Data'!$A$2:$AR$6,32,0),"")</f>
        <v/>
      </c>
      <c r="G978" t="str">
        <f>IFERROR(VLOOKUP($A978,'Student Data'!$A$2:$AR$6,33,0),"")</f>
        <v/>
      </c>
      <c r="H978" t="str">
        <f>IFERROR(VLOOKUP($A978,'Student Data'!$A$2:$AR$6,34,0),"")</f>
        <v/>
      </c>
      <c r="I978" t="str">
        <f>IFERROR(VLOOKUP($A978,'Student Data'!$A$2:$AR$6,35,0),"")</f>
        <v/>
      </c>
      <c r="J978" t="str">
        <f>IFERROR(VLOOKUP($A978,'Student Data'!$A$2:$AR$6,36,0),"")</f>
        <v/>
      </c>
      <c r="K978" t="str">
        <f t="shared" si="30"/>
        <v/>
      </c>
      <c r="L978" t="str">
        <f t="shared" si="31"/>
        <v/>
      </c>
      <c r="M978" t="str">
        <f>IFERROR(IF($C978="","",SUMIFS(Ledger!$K$2:$K$4, Ledger!$B$2:$B$4, $A978, Ledger!$C$2:$C$4, M$2)),"****")</f>
        <v/>
      </c>
      <c r="N978" t="str">
        <f>IFERROR(IF($C978="","",SUMIFS(Ledger!$K$2:$K$4, Ledger!$B$2:$B$4, $A978, Ledger!$C$2:$C$4, N$2)),"****")</f>
        <v/>
      </c>
      <c r="O978" t="str">
        <f>IFERROR(IF($C978="","",SUMIFS(Ledger!$K$2:$K$4, Ledger!$B$2:$B$4, $A978, Ledger!$C$2:$C$4, O$2)),"****")</f>
        <v/>
      </c>
      <c r="P978" t="str">
        <f>IFERROR(IF($C978="","",SUMIFS(Ledger!$K$2:$K$4, Ledger!$B$2:$B$4, $A978, Ledger!$C$2:$C$4, P$2)),"****")</f>
        <v/>
      </c>
      <c r="Q978" t="str">
        <f>IFERROR(IF($C978="","",SUMIFS(Ledger!$K$2:$K$4, Ledger!$B$2:$B$4, $A978, Ledger!$C$2:$C$4, Q$2)),"****")</f>
        <v/>
      </c>
      <c r="R978" t="str">
        <f>IFERROR(IF($C978="","",SUMIFS(Ledger!$K$2:$K$4, Ledger!$B$2:$B$4, $A978, Ledger!$C$2:$C$4, R$2)),"****")</f>
        <v/>
      </c>
      <c r="S978" t="str">
        <f>IFERROR(IF($C978="","",SUMIFS(Ledger!$K$2:$K$4, Ledger!$B$2:$B$4, $A978, Ledger!$C$2:$C$4, S$2)),"****")</f>
        <v/>
      </c>
      <c r="T978" t="str">
        <f>IFERROR(IF($C978="","",SUMIFS(Ledger!$K$2:$K$4, Ledger!$B$2:$B$4, $A978, Ledger!$C$2:$C$4, T$2)),"****")</f>
        <v/>
      </c>
      <c r="U978" t="str">
        <f>IFERROR(IF($C978="","",SUMIFS(Ledger!$K$2:$K$4, Ledger!$B$2:$B$4, $A978, Ledger!$C$2:$C$4, U$2)),"****")</f>
        <v/>
      </c>
      <c r="V978" t="str">
        <f>IFERROR(IF($C978="","",SUMIFS(Ledger!$K$2:$K$4, Ledger!$B$2:$B$4, $A978, Ledger!$C$2:$C$4, V$2)),"****")</f>
        <v/>
      </c>
      <c r="W978" t="str">
        <f>IFERROR(IF($C978="","",SUMIFS(Ledger!$K$2:$K$4, Ledger!$B$2:$B$4, $A978, Ledger!$C$2:$C$4, W$2)),"****")</f>
        <v/>
      </c>
      <c r="X978" t="str">
        <f>IFERROR(IF($C978="","",SUMIFS(Ledger!$K$2:$K$4, Ledger!$B$2:$B$4, $A978, Ledger!$C$2:$C$4, X$2)),"****")</f>
        <v/>
      </c>
    </row>
    <row r="979" spans="1:24" x14ac:dyDescent="0.3">
      <c r="A979" s="106">
        <v>977</v>
      </c>
      <c r="B979" t="str">
        <f>IFERROR(VLOOKUP($A979, Ledger!$B$2:$L$8, 3, 0),"")</f>
        <v/>
      </c>
      <c r="C979" t="str">
        <f>IFERROR(VLOOKUP($A979, Ledger!$B$2:$L$8, 4, 0),"")</f>
        <v/>
      </c>
      <c r="D979" t="str">
        <f>IFERROR(VLOOKUP($A979, Ledger!$B$2:$L$8, 5, 0),"")</f>
        <v/>
      </c>
      <c r="E979" t="str">
        <f>IFERROR(VLOOKUP($A979, Ledger!$B$2:$L$8, 6, 0),"")</f>
        <v/>
      </c>
      <c r="F979" t="str">
        <f>IFERROR(VLOOKUP($A979,'Student Data'!$A$2:$AR$6,32,0),"")</f>
        <v/>
      </c>
      <c r="G979" t="str">
        <f>IFERROR(VLOOKUP($A979,'Student Data'!$A$2:$AR$6,33,0),"")</f>
        <v/>
      </c>
      <c r="H979" t="str">
        <f>IFERROR(VLOOKUP($A979,'Student Data'!$A$2:$AR$6,34,0),"")</f>
        <v/>
      </c>
      <c r="I979" t="str">
        <f>IFERROR(VLOOKUP($A979,'Student Data'!$A$2:$AR$6,35,0),"")</f>
        <v/>
      </c>
      <c r="J979" t="str">
        <f>IFERROR(VLOOKUP($A979,'Student Data'!$A$2:$AR$6,36,0),"")</f>
        <v/>
      </c>
      <c r="K979" t="str">
        <f t="shared" si="30"/>
        <v/>
      </c>
      <c r="L979" t="str">
        <f t="shared" si="31"/>
        <v/>
      </c>
      <c r="M979" t="str">
        <f>IFERROR(IF($C979="","",SUMIFS(Ledger!$K$2:$K$4, Ledger!$B$2:$B$4, $A979, Ledger!$C$2:$C$4, M$2)),"****")</f>
        <v/>
      </c>
      <c r="N979" t="str">
        <f>IFERROR(IF($C979="","",SUMIFS(Ledger!$K$2:$K$4, Ledger!$B$2:$B$4, $A979, Ledger!$C$2:$C$4, N$2)),"****")</f>
        <v/>
      </c>
      <c r="O979" t="str">
        <f>IFERROR(IF($C979="","",SUMIFS(Ledger!$K$2:$K$4, Ledger!$B$2:$B$4, $A979, Ledger!$C$2:$C$4, O$2)),"****")</f>
        <v/>
      </c>
      <c r="P979" t="str">
        <f>IFERROR(IF($C979="","",SUMIFS(Ledger!$K$2:$K$4, Ledger!$B$2:$B$4, $A979, Ledger!$C$2:$C$4, P$2)),"****")</f>
        <v/>
      </c>
      <c r="Q979" t="str">
        <f>IFERROR(IF($C979="","",SUMIFS(Ledger!$K$2:$K$4, Ledger!$B$2:$B$4, $A979, Ledger!$C$2:$C$4, Q$2)),"****")</f>
        <v/>
      </c>
      <c r="R979" t="str">
        <f>IFERROR(IF($C979="","",SUMIFS(Ledger!$K$2:$K$4, Ledger!$B$2:$B$4, $A979, Ledger!$C$2:$C$4, R$2)),"****")</f>
        <v/>
      </c>
      <c r="S979" t="str">
        <f>IFERROR(IF($C979="","",SUMIFS(Ledger!$K$2:$K$4, Ledger!$B$2:$B$4, $A979, Ledger!$C$2:$C$4, S$2)),"****")</f>
        <v/>
      </c>
      <c r="T979" t="str">
        <f>IFERROR(IF($C979="","",SUMIFS(Ledger!$K$2:$K$4, Ledger!$B$2:$B$4, $A979, Ledger!$C$2:$C$4, T$2)),"****")</f>
        <v/>
      </c>
      <c r="U979" t="str">
        <f>IFERROR(IF($C979="","",SUMIFS(Ledger!$K$2:$K$4, Ledger!$B$2:$B$4, $A979, Ledger!$C$2:$C$4, U$2)),"****")</f>
        <v/>
      </c>
      <c r="V979" t="str">
        <f>IFERROR(IF($C979="","",SUMIFS(Ledger!$K$2:$K$4, Ledger!$B$2:$B$4, $A979, Ledger!$C$2:$C$4, V$2)),"****")</f>
        <v/>
      </c>
      <c r="W979" t="str">
        <f>IFERROR(IF($C979="","",SUMIFS(Ledger!$K$2:$K$4, Ledger!$B$2:$B$4, $A979, Ledger!$C$2:$C$4, W$2)),"****")</f>
        <v/>
      </c>
      <c r="X979" t="str">
        <f>IFERROR(IF($C979="","",SUMIFS(Ledger!$K$2:$K$4, Ledger!$B$2:$B$4, $A979, Ledger!$C$2:$C$4, X$2)),"****")</f>
        <v/>
      </c>
    </row>
    <row r="980" spans="1:24" x14ac:dyDescent="0.3">
      <c r="A980" s="106">
        <v>978</v>
      </c>
      <c r="B980" t="str">
        <f>IFERROR(VLOOKUP($A980, Ledger!$B$2:$L$8, 3, 0),"")</f>
        <v/>
      </c>
      <c r="C980" t="str">
        <f>IFERROR(VLOOKUP($A980, Ledger!$B$2:$L$8, 4, 0),"")</f>
        <v/>
      </c>
      <c r="D980" t="str">
        <f>IFERROR(VLOOKUP($A980, Ledger!$B$2:$L$8, 5, 0),"")</f>
        <v/>
      </c>
      <c r="E980" t="str">
        <f>IFERROR(VLOOKUP($A980, Ledger!$B$2:$L$8, 6, 0),"")</f>
        <v/>
      </c>
      <c r="F980" t="str">
        <f>IFERROR(VLOOKUP($A980,'Student Data'!$A$2:$AR$6,32,0),"")</f>
        <v/>
      </c>
      <c r="G980" t="str">
        <f>IFERROR(VLOOKUP($A980,'Student Data'!$A$2:$AR$6,33,0),"")</f>
        <v/>
      </c>
      <c r="H980" t="str">
        <f>IFERROR(VLOOKUP($A980,'Student Data'!$A$2:$AR$6,34,0),"")</f>
        <v/>
      </c>
      <c r="I980" t="str">
        <f>IFERROR(VLOOKUP($A980,'Student Data'!$A$2:$AR$6,35,0),"")</f>
        <v/>
      </c>
      <c r="J980" t="str">
        <f>IFERROR(VLOOKUP($A980,'Student Data'!$A$2:$AR$6,36,0),"")</f>
        <v/>
      </c>
      <c r="K980" t="str">
        <f t="shared" si="30"/>
        <v/>
      </c>
      <c r="L980" t="str">
        <f t="shared" si="31"/>
        <v/>
      </c>
      <c r="M980" t="str">
        <f>IFERROR(IF($C980="","",SUMIFS(Ledger!$K$2:$K$4, Ledger!$B$2:$B$4, $A980, Ledger!$C$2:$C$4, M$2)),"****")</f>
        <v/>
      </c>
      <c r="N980" t="str">
        <f>IFERROR(IF($C980="","",SUMIFS(Ledger!$K$2:$K$4, Ledger!$B$2:$B$4, $A980, Ledger!$C$2:$C$4, N$2)),"****")</f>
        <v/>
      </c>
      <c r="O980" t="str">
        <f>IFERROR(IF($C980="","",SUMIFS(Ledger!$K$2:$K$4, Ledger!$B$2:$B$4, $A980, Ledger!$C$2:$C$4, O$2)),"****")</f>
        <v/>
      </c>
      <c r="P980" t="str">
        <f>IFERROR(IF($C980="","",SUMIFS(Ledger!$K$2:$K$4, Ledger!$B$2:$B$4, $A980, Ledger!$C$2:$C$4, P$2)),"****")</f>
        <v/>
      </c>
      <c r="Q980" t="str">
        <f>IFERROR(IF($C980="","",SUMIFS(Ledger!$K$2:$K$4, Ledger!$B$2:$B$4, $A980, Ledger!$C$2:$C$4, Q$2)),"****")</f>
        <v/>
      </c>
      <c r="R980" t="str">
        <f>IFERROR(IF($C980="","",SUMIFS(Ledger!$K$2:$K$4, Ledger!$B$2:$B$4, $A980, Ledger!$C$2:$C$4, R$2)),"****")</f>
        <v/>
      </c>
      <c r="S980" t="str">
        <f>IFERROR(IF($C980="","",SUMIFS(Ledger!$K$2:$K$4, Ledger!$B$2:$B$4, $A980, Ledger!$C$2:$C$4, S$2)),"****")</f>
        <v/>
      </c>
      <c r="T980" t="str">
        <f>IFERROR(IF($C980="","",SUMIFS(Ledger!$K$2:$K$4, Ledger!$B$2:$B$4, $A980, Ledger!$C$2:$C$4, T$2)),"****")</f>
        <v/>
      </c>
      <c r="U980" t="str">
        <f>IFERROR(IF($C980="","",SUMIFS(Ledger!$K$2:$K$4, Ledger!$B$2:$B$4, $A980, Ledger!$C$2:$C$4, U$2)),"****")</f>
        <v/>
      </c>
      <c r="V980" t="str">
        <f>IFERROR(IF($C980="","",SUMIFS(Ledger!$K$2:$K$4, Ledger!$B$2:$B$4, $A980, Ledger!$C$2:$C$4, V$2)),"****")</f>
        <v/>
      </c>
      <c r="W980" t="str">
        <f>IFERROR(IF($C980="","",SUMIFS(Ledger!$K$2:$K$4, Ledger!$B$2:$B$4, $A980, Ledger!$C$2:$C$4, W$2)),"****")</f>
        <v/>
      </c>
      <c r="X980" t="str">
        <f>IFERROR(IF($C980="","",SUMIFS(Ledger!$K$2:$K$4, Ledger!$B$2:$B$4, $A980, Ledger!$C$2:$C$4, X$2)),"****")</f>
        <v/>
      </c>
    </row>
    <row r="981" spans="1:24" x14ac:dyDescent="0.3">
      <c r="A981" s="106">
        <v>979</v>
      </c>
      <c r="B981" t="str">
        <f>IFERROR(VLOOKUP($A981, Ledger!$B$2:$L$8, 3, 0),"")</f>
        <v/>
      </c>
      <c r="C981" t="str">
        <f>IFERROR(VLOOKUP($A981, Ledger!$B$2:$L$8, 4, 0),"")</f>
        <v/>
      </c>
      <c r="D981" t="str">
        <f>IFERROR(VLOOKUP($A981, Ledger!$B$2:$L$8, 5, 0),"")</f>
        <v/>
      </c>
      <c r="E981" t="str">
        <f>IFERROR(VLOOKUP($A981, Ledger!$B$2:$L$8, 6, 0),"")</f>
        <v/>
      </c>
      <c r="F981" t="str">
        <f>IFERROR(VLOOKUP($A981,'Student Data'!$A$2:$AR$6,32,0),"")</f>
        <v/>
      </c>
      <c r="G981" t="str">
        <f>IFERROR(VLOOKUP($A981,'Student Data'!$A$2:$AR$6,33,0),"")</f>
        <v/>
      </c>
      <c r="H981" t="str">
        <f>IFERROR(VLOOKUP($A981,'Student Data'!$A$2:$AR$6,34,0),"")</f>
        <v/>
      </c>
      <c r="I981" t="str">
        <f>IFERROR(VLOOKUP($A981,'Student Data'!$A$2:$AR$6,35,0),"")</f>
        <v/>
      </c>
      <c r="J981" t="str">
        <f>IFERROR(VLOOKUP($A981,'Student Data'!$A$2:$AR$6,36,0),"")</f>
        <v/>
      </c>
      <c r="K981" t="str">
        <f t="shared" si="30"/>
        <v/>
      </c>
      <c r="L981" t="str">
        <f t="shared" si="31"/>
        <v/>
      </c>
      <c r="M981" t="str">
        <f>IFERROR(IF($C981="","",SUMIFS(Ledger!$K$2:$K$4, Ledger!$B$2:$B$4, $A981, Ledger!$C$2:$C$4, M$2)),"****")</f>
        <v/>
      </c>
      <c r="N981" t="str">
        <f>IFERROR(IF($C981="","",SUMIFS(Ledger!$K$2:$K$4, Ledger!$B$2:$B$4, $A981, Ledger!$C$2:$C$4, N$2)),"****")</f>
        <v/>
      </c>
      <c r="O981" t="str">
        <f>IFERROR(IF($C981="","",SUMIFS(Ledger!$K$2:$K$4, Ledger!$B$2:$B$4, $A981, Ledger!$C$2:$C$4, O$2)),"****")</f>
        <v/>
      </c>
      <c r="P981" t="str">
        <f>IFERROR(IF($C981="","",SUMIFS(Ledger!$K$2:$K$4, Ledger!$B$2:$B$4, $A981, Ledger!$C$2:$C$4, P$2)),"****")</f>
        <v/>
      </c>
      <c r="Q981" t="str">
        <f>IFERROR(IF($C981="","",SUMIFS(Ledger!$K$2:$K$4, Ledger!$B$2:$B$4, $A981, Ledger!$C$2:$C$4, Q$2)),"****")</f>
        <v/>
      </c>
      <c r="R981" t="str">
        <f>IFERROR(IF($C981="","",SUMIFS(Ledger!$K$2:$K$4, Ledger!$B$2:$B$4, $A981, Ledger!$C$2:$C$4, R$2)),"****")</f>
        <v/>
      </c>
      <c r="S981" t="str">
        <f>IFERROR(IF($C981="","",SUMIFS(Ledger!$K$2:$K$4, Ledger!$B$2:$B$4, $A981, Ledger!$C$2:$C$4, S$2)),"****")</f>
        <v/>
      </c>
      <c r="T981" t="str">
        <f>IFERROR(IF($C981="","",SUMIFS(Ledger!$K$2:$K$4, Ledger!$B$2:$B$4, $A981, Ledger!$C$2:$C$4, T$2)),"****")</f>
        <v/>
      </c>
      <c r="U981" t="str">
        <f>IFERROR(IF($C981="","",SUMIFS(Ledger!$K$2:$K$4, Ledger!$B$2:$B$4, $A981, Ledger!$C$2:$C$4, U$2)),"****")</f>
        <v/>
      </c>
      <c r="V981" t="str">
        <f>IFERROR(IF($C981="","",SUMIFS(Ledger!$K$2:$K$4, Ledger!$B$2:$B$4, $A981, Ledger!$C$2:$C$4, V$2)),"****")</f>
        <v/>
      </c>
      <c r="W981" t="str">
        <f>IFERROR(IF($C981="","",SUMIFS(Ledger!$K$2:$K$4, Ledger!$B$2:$B$4, $A981, Ledger!$C$2:$C$4, W$2)),"****")</f>
        <v/>
      </c>
      <c r="X981" t="str">
        <f>IFERROR(IF($C981="","",SUMIFS(Ledger!$K$2:$K$4, Ledger!$B$2:$B$4, $A981, Ledger!$C$2:$C$4, X$2)),"****")</f>
        <v/>
      </c>
    </row>
    <row r="982" spans="1:24" x14ac:dyDescent="0.3">
      <c r="A982" s="106">
        <v>980</v>
      </c>
      <c r="B982" t="str">
        <f>IFERROR(VLOOKUP($A982, Ledger!$B$2:$L$8, 3, 0),"")</f>
        <v/>
      </c>
      <c r="C982" t="str">
        <f>IFERROR(VLOOKUP($A982, Ledger!$B$2:$L$8, 4, 0),"")</f>
        <v/>
      </c>
      <c r="D982" t="str">
        <f>IFERROR(VLOOKUP($A982, Ledger!$B$2:$L$8, 5, 0),"")</f>
        <v/>
      </c>
      <c r="E982" t="str">
        <f>IFERROR(VLOOKUP($A982, Ledger!$B$2:$L$8, 6, 0),"")</f>
        <v/>
      </c>
      <c r="F982" t="str">
        <f>IFERROR(VLOOKUP($A982,'Student Data'!$A$2:$AR$6,32,0),"")</f>
        <v/>
      </c>
      <c r="G982" t="str">
        <f>IFERROR(VLOOKUP($A982,'Student Data'!$A$2:$AR$6,33,0),"")</f>
        <v/>
      </c>
      <c r="H982" t="str">
        <f>IFERROR(VLOOKUP($A982,'Student Data'!$A$2:$AR$6,34,0),"")</f>
        <v/>
      </c>
      <c r="I982" t="str">
        <f>IFERROR(VLOOKUP($A982,'Student Data'!$A$2:$AR$6,35,0),"")</f>
        <v/>
      </c>
      <c r="J982" t="str">
        <f>IFERROR(VLOOKUP($A982,'Student Data'!$A$2:$AR$6,36,0),"")</f>
        <v/>
      </c>
      <c r="K982" t="str">
        <f t="shared" si="30"/>
        <v/>
      </c>
      <c r="L982" t="str">
        <f t="shared" si="31"/>
        <v/>
      </c>
      <c r="M982" t="str">
        <f>IFERROR(IF($C982="","",SUMIFS(Ledger!$K$2:$K$4, Ledger!$B$2:$B$4, $A982, Ledger!$C$2:$C$4, M$2)),"****")</f>
        <v/>
      </c>
      <c r="N982" t="str">
        <f>IFERROR(IF($C982="","",SUMIFS(Ledger!$K$2:$K$4, Ledger!$B$2:$B$4, $A982, Ledger!$C$2:$C$4, N$2)),"****")</f>
        <v/>
      </c>
      <c r="O982" t="str">
        <f>IFERROR(IF($C982="","",SUMIFS(Ledger!$K$2:$K$4, Ledger!$B$2:$B$4, $A982, Ledger!$C$2:$C$4, O$2)),"****")</f>
        <v/>
      </c>
      <c r="P982" t="str">
        <f>IFERROR(IF($C982="","",SUMIFS(Ledger!$K$2:$K$4, Ledger!$B$2:$B$4, $A982, Ledger!$C$2:$C$4, P$2)),"****")</f>
        <v/>
      </c>
      <c r="Q982" t="str">
        <f>IFERROR(IF($C982="","",SUMIFS(Ledger!$K$2:$K$4, Ledger!$B$2:$B$4, $A982, Ledger!$C$2:$C$4, Q$2)),"****")</f>
        <v/>
      </c>
      <c r="R982" t="str">
        <f>IFERROR(IF($C982="","",SUMIFS(Ledger!$K$2:$K$4, Ledger!$B$2:$B$4, $A982, Ledger!$C$2:$C$4, R$2)),"****")</f>
        <v/>
      </c>
      <c r="S982" t="str">
        <f>IFERROR(IF($C982="","",SUMIFS(Ledger!$K$2:$K$4, Ledger!$B$2:$B$4, $A982, Ledger!$C$2:$C$4, S$2)),"****")</f>
        <v/>
      </c>
      <c r="T982" t="str">
        <f>IFERROR(IF($C982="","",SUMIFS(Ledger!$K$2:$K$4, Ledger!$B$2:$B$4, $A982, Ledger!$C$2:$C$4, T$2)),"****")</f>
        <v/>
      </c>
      <c r="U982" t="str">
        <f>IFERROR(IF($C982="","",SUMIFS(Ledger!$K$2:$K$4, Ledger!$B$2:$B$4, $A982, Ledger!$C$2:$C$4, U$2)),"****")</f>
        <v/>
      </c>
      <c r="V982" t="str">
        <f>IFERROR(IF($C982="","",SUMIFS(Ledger!$K$2:$K$4, Ledger!$B$2:$B$4, $A982, Ledger!$C$2:$C$4, V$2)),"****")</f>
        <v/>
      </c>
      <c r="W982" t="str">
        <f>IFERROR(IF($C982="","",SUMIFS(Ledger!$K$2:$K$4, Ledger!$B$2:$B$4, $A982, Ledger!$C$2:$C$4, W$2)),"****")</f>
        <v/>
      </c>
      <c r="X982" t="str">
        <f>IFERROR(IF($C982="","",SUMIFS(Ledger!$K$2:$K$4, Ledger!$B$2:$B$4, $A982, Ledger!$C$2:$C$4, X$2)),"****")</f>
        <v/>
      </c>
    </row>
    <row r="983" spans="1:24" x14ac:dyDescent="0.3">
      <c r="A983" s="106">
        <v>981</v>
      </c>
      <c r="B983" t="str">
        <f>IFERROR(VLOOKUP($A983, Ledger!$B$2:$L$8, 3, 0),"")</f>
        <v/>
      </c>
      <c r="C983" t="str">
        <f>IFERROR(VLOOKUP($A983, Ledger!$B$2:$L$8, 4, 0),"")</f>
        <v/>
      </c>
      <c r="D983" t="str">
        <f>IFERROR(VLOOKUP($A983, Ledger!$B$2:$L$8, 5, 0),"")</f>
        <v/>
      </c>
      <c r="E983" t="str">
        <f>IFERROR(VLOOKUP($A983, Ledger!$B$2:$L$8, 6, 0),"")</f>
        <v/>
      </c>
      <c r="F983" t="str">
        <f>IFERROR(VLOOKUP($A983,'Student Data'!$A$2:$AR$6,32,0),"")</f>
        <v/>
      </c>
      <c r="G983" t="str">
        <f>IFERROR(VLOOKUP($A983,'Student Data'!$A$2:$AR$6,33,0),"")</f>
        <v/>
      </c>
      <c r="H983" t="str">
        <f>IFERROR(VLOOKUP($A983,'Student Data'!$A$2:$AR$6,34,0),"")</f>
        <v/>
      </c>
      <c r="I983" t="str">
        <f>IFERROR(VLOOKUP($A983,'Student Data'!$A$2:$AR$6,35,0),"")</f>
        <v/>
      </c>
      <c r="J983" t="str">
        <f>IFERROR(VLOOKUP($A983,'Student Data'!$A$2:$AR$6,36,0),"")</f>
        <v/>
      </c>
      <c r="K983" t="str">
        <f t="shared" si="30"/>
        <v/>
      </c>
      <c r="L983" t="str">
        <f t="shared" si="31"/>
        <v/>
      </c>
      <c r="M983" t="str">
        <f>IFERROR(IF($C983="","",SUMIFS(Ledger!$K$2:$K$4, Ledger!$B$2:$B$4, $A983, Ledger!$C$2:$C$4, M$2)),"****")</f>
        <v/>
      </c>
      <c r="N983" t="str">
        <f>IFERROR(IF($C983="","",SUMIFS(Ledger!$K$2:$K$4, Ledger!$B$2:$B$4, $A983, Ledger!$C$2:$C$4, N$2)),"****")</f>
        <v/>
      </c>
      <c r="O983" t="str">
        <f>IFERROR(IF($C983="","",SUMIFS(Ledger!$K$2:$K$4, Ledger!$B$2:$B$4, $A983, Ledger!$C$2:$C$4, O$2)),"****")</f>
        <v/>
      </c>
      <c r="P983" t="str">
        <f>IFERROR(IF($C983="","",SUMIFS(Ledger!$K$2:$K$4, Ledger!$B$2:$B$4, $A983, Ledger!$C$2:$C$4, P$2)),"****")</f>
        <v/>
      </c>
      <c r="Q983" t="str">
        <f>IFERROR(IF($C983="","",SUMIFS(Ledger!$K$2:$K$4, Ledger!$B$2:$B$4, $A983, Ledger!$C$2:$C$4, Q$2)),"****")</f>
        <v/>
      </c>
      <c r="R983" t="str">
        <f>IFERROR(IF($C983="","",SUMIFS(Ledger!$K$2:$K$4, Ledger!$B$2:$B$4, $A983, Ledger!$C$2:$C$4, R$2)),"****")</f>
        <v/>
      </c>
      <c r="S983" t="str">
        <f>IFERROR(IF($C983="","",SUMIFS(Ledger!$K$2:$K$4, Ledger!$B$2:$B$4, $A983, Ledger!$C$2:$C$4, S$2)),"****")</f>
        <v/>
      </c>
      <c r="T983" t="str">
        <f>IFERROR(IF($C983="","",SUMIFS(Ledger!$K$2:$K$4, Ledger!$B$2:$B$4, $A983, Ledger!$C$2:$C$4, T$2)),"****")</f>
        <v/>
      </c>
      <c r="U983" t="str">
        <f>IFERROR(IF($C983="","",SUMIFS(Ledger!$K$2:$K$4, Ledger!$B$2:$B$4, $A983, Ledger!$C$2:$C$4, U$2)),"****")</f>
        <v/>
      </c>
      <c r="V983" t="str">
        <f>IFERROR(IF($C983="","",SUMIFS(Ledger!$K$2:$K$4, Ledger!$B$2:$B$4, $A983, Ledger!$C$2:$C$4, V$2)),"****")</f>
        <v/>
      </c>
      <c r="W983" t="str">
        <f>IFERROR(IF($C983="","",SUMIFS(Ledger!$K$2:$K$4, Ledger!$B$2:$B$4, $A983, Ledger!$C$2:$C$4, W$2)),"****")</f>
        <v/>
      </c>
      <c r="X983" t="str">
        <f>IFERROR(IF($C983="","",SUMIFS(Ledger!$K$2:$K$4, Ledger!$B$2:$B$4, $A983, Ledger!$C$2:$C$4, X$2)),"****")</f>
        <v/>
      </c>
    </row>
    <row r="984" spans="1:24" x14ac:dyDescent="0.3">
      <c r="A984" s="106">
        <v>982</v>
      </c>
      <c r="B984" t="str">
        <f>IFERROR(VLOOKUP($A984, Ledger!$B$2:$L$8, 3, 0),"")</f>
        <v/>
      </c>
      <c r="C984" t="str">
        <f>IFERROR(VLOOKUP($A984, Ledger!$B$2:$L$8, 4, 0),"")</f>
        <v/>
      </c>
      <c r="D984" t="str">
        <f>IFERROR(VLOOKUP($A984, Ledger!$B$2:$L$8, 5, 0),"")</f>
        <v/>
      </c>
      <c r="E984" t="str">
        <f>IFERROR(VLOOKUP($A984, Ledger!$B$2:$L$8, 6, 0),"")</f>
        <v/>
      </c>
      <c r="F984" t="str">
        <f>IFERROR(VLOOKUP($A984,'Student Data'!$A$2:$AR$6,32,0),"")</f>
        <v/>
      </c>
      <c r="G984" t="str">
        <f>IFERROR(VLOOKUP($A984,'Student Data'!$A$2:$AR$6,33,0),"")</f>
        <v/>
      </c>
      <c r="H984" t="str">
        <f>IFERROR(VLOOKUP($A984,'Student Data'!$A$2:$AR$6,34,0),"")</f>
        <v/>
      </c>
      <c r="I984" t="str">
        <f>IFERROR(VLOOKUP($A984,'Student Data'!$A$2:$AR$6,35,0),"")</f>
        <v/>
      </c>
      <c r="J984" t="str">
        <f>IFERROR(VLOOKUP($A984,'Student Data'!$A$2:$AR$6,36,0),"")</f>
        <v/>
      </c>
      <c r="K984" t="str">
        <f t="shared" si="30"/>
        <v/>
      </c>
      <c r="L984" t="str">
        <f t="shared" si="31"/>
        <v/>
      </c>
      <c r="M984" t="str">
        <f>IFERROR(IF($C984="","",SUMIFS(Ledger!$K$2:$K$4, Ledger!$B$2:$B$4, $A984, Ledger!$C$2:$C$4, M$2)),"****")</f>
        <v/>
      </c>
      <c r="N984" t="str">
        <f>IFERROR(IF($C984="","",SUMIFS(Ledger!$K$2:$K$4, Ledger!$B$2:$B$4, $A984, Ledger!$C$2:$C$4, N$2)),"****")</f>
        <v/>
      </c>
      <c r="O984" t="str">
        <f>IFERROR(IF($C984="","",SUMIFS(Ledger!$K$2:$K$4, Ledger!$B$2:$B$4, $A984, Ledger!$C$2:$C$4, O$2)),"****")</f>
        <v/>
      </c>
      <c r="P984" t="str">
        <f>IFERROR(IF($C984="","",SUMIFS(Ledger!$K$2:$K$4, Ledger!$B$2:$B$4, $A984, Ledger!$C$2:$C$4, P$2)),"****")</f>
        <v/>
      </c>
      <c r="Q984" t="str">
        <f>IFERROR(IF($C984="","",SUMIFS(Ledger!$K$2:$K$4, Ledger!$B$2:$B$4, $A984, Ledger!$C$2:$C$4, Q$2)),"****")</f>
        <v/>
      </c>
      <c r="R984" t="str">
        <f>IFERROR(IF($C984="","",SUMIFS(Ledger!$K$2:$K$4, Ledger!$B$2:$B$4, $A984, Ledger!$C$2:$C$4, R$2)),"****")</f>
        <v/>
      </c>
      <c r="S984" t="str">
        <f>IFERROR(IF($C984="","",SUMIFS(Ledger!$K$2:$K$4, Ledger!$B$2:$B$4, $A984, Ledger!$C$2:$C$4, S$2)),"****")</f>
        <v/>
      </c>
      <c r="T984" t="str">
        <f>IFERROR(IF($C984="","",SUMIFS(Ledger!$K$2:$K$4, Ledger!$B$2:$B$4, $A984, Ledger!$C$2:$C$4, T$2)),"****")</f>
        <v/>
      </c>
      <c r="U984" t="str">
        <f>IFERROR(IF($C984="","",SUMIFS(Ledger!$K$2:$K$4, Ledger!$B$2:$B$4, $A984, Ledger!$C$2:$C$4, U$2)),"****")</f>
        <v/>
      </c>
      <c r="V984" t="str">
        <f>IFERROR(IF($C984="","",SUMIFS(Ledger!$K$2:$K$4, Ledger!$B$2:$B$4, $A984, Ledger!$C$2:$C$4, V$2)),"****")</f>
        <v/>
      </c>
      <c r="W984" t="str">
        <f>IFERROR(IF($C984="","",SUMIFS(Ledger!$K$2:$K$4, Ledger!$B$2:$B$4, $A984, Ledger!$C$2:$C$4, W$2)),"****")</f>
        <v/>
      </c>
      <c r="X984" t="str">
        <f>IFERROR(IF($C984="","",SUMIFS(Ledger!$K$2:$K$4, Ledger!$B$2:$B$4, $A984, Ledger!$C$2:$C$4, X$2)),"****")</f>
        <v/>
      </c>
    </row>
    <row r="985" spans="1:24" x14ac:dyDescent="0.3">
      <c r="A985" s="106">
        <v>983</v>
      </c>
      <c r="B985" t="str">
        <f>IFERROR(VLOOKUP($A985, Ledger!$B$2:$L$8, 3, 0),"")</f>
        <v/>
      </c>
      <c r="C985" t="str">
        <f>IFERROR(VLOOKUP($A985, Ledger!$B$2:$L$8, 4, 0),"")</f>
        <v/>
      </c>
      <c r="D985" t="str">
        <f>IFERROR(VLOOKUP($A985, Ledger!$B$2:$L$8, 5, 0),"")</f>
        <v/>
      </c>
      <c r="E985" t="str">
        <f>IFERROR(VLOOKUP($A985, Ledger!$B$2:$L$8, 6, 0),"")</f>
        <v/>
      </c>
      <c r="F985" t="str">
        <f>IFERROR(VLOOKUP($A985,'Student Data'!$A$2:$AR$6,32,0),"")</f>
        <v/>
      </c>
      <c r="G985" t="str">
        <f>IFERROR(VLOOKUP($A985,'Student Data'!$A$2:$AR$6,33,0),"")</f>
        <v/>
      </c>
      <c r="H985" t="str">
        <f>IFERROR(VLOOKUP($A985,'Student Data'!$A$2:$AR$6,34,0),"")</f>
        <v/>
      </c>
      <c r="I985" t="str">
        <f>IFERROR(VLOOKUP($A985,'Student Data'!$A$2:$AR$6,35,0),"")</f>
        <v/>
      </c>
      <c r="J985" t="str">
        <f>IFERROR(VLOOKUP($A985,'Student Data'!$A$2:$AR$6,36,0),"")</f>
        <v/>
      </c>
      <c r="K985" t="str">
        <f t="shared" si="30"/>
        <v/>
      </c>
      <c r="L985" t="str">
        <f t="shared" si="31"/>
        <v/>
      </c>
      <c r="M985" t="str">
        <f>IFERROR(IF($C985="","",SUMIFS(Ledger!$K$2:$K$4, Ledger!$B$2:$B$4, $A985, Ledger!$C$2:$C$4, M$2)),"****")</f>
        <v/>
      </c>
      <c r="N985" t="str">
        <f>IFERROR(IF($C985="","",SUMIFS(Ledger!$K$2:$K$4, Ledger!$B$2:$B$4, $A985, Ledger!$C$2:$C$4, N$2)),"****")</f>
        <v/>
      </c>
      <c r="O985" t="str">
        <f>IFERROR(IF($C985="","",SUMIFS(Ledger!$K$2:$K$4, Ledger!$B$2:$B$4, $A985, Ledger!$C$2:$C$4, O$2)),"****")</f>
        <v/>
      </c>
      <c r="P985" t="str">
        <f>IFERROR(IF($C985="","",SUMIFS(Ledger!$K$2:$K$4, Ledger!$B$2:$B$4, $A985, Ledger!$C$2:$C$4, P$2)),"****")</f>
        <v/>
      </c>
      <c r="Q985" t="str">
        <f>IFERROR(IF($C985="","",SUMIFS(Ledger!$K$2:$K$4, Ledger!$B$2:$B$4, $A985, Ledger!$C$2:$C$4, Q$2)),"****")</f>
        <v/>
      </c>
      <c r="R985" t="str">
        <f>IFERROR(IF($C985="","",SUMIFS(Ledger!$K$2:$K$4, Ledger!$B$2:$B$4, $A985, Ledger!$C$2:$C$4, R$2)),"****")</f>
        <v/>
      </c>
      <c r="S985" t="str">
        <f>IFERROR(IF($C985="","",SUMIFS(Ledger!$K$2:$K$4, Ledger!$B$2:$B$4, $A985, Ledger!$C$2:$C$4, S$2)),"****")</f>
        <v/>
      </c>
      <c r="T985" t="str">
        <f>IFERROR(IF($C985="","",SUMIFS(Ledger!$K$2:$K$4, Ledger!$B$2:$B$4, $A985, Ledger!$C$2:$C$4, T$2)),"****")</f>
        <v/>
      </c>
      <c r="U985" t="str">
        <f>IFERROR(IF($C985="","",SUMIFS(Ledger!$K$2:$K$4, Ledger!$B$2:$B$4, $A985, Ledger!$C$2:$C$4, U$2)),"****")</f>
        <v/>
      </c>
      <c r="V985" t="str">
        <f>IFERROR(IF($C985="","",SUMIFS(Ledger!$K$2:$K$4, Ledger!$B$2:$B$4, $A985, Ledger!$C$2:$C$4, V$2)),"****")</f>
        <v/>
      </c>
      <c r="W985" t="str">
        <f>IFERROR(IF($C985="","",SUMIFS(Ledger!$K$2:$K$4, Ledger!$B$2:$B$4, $A985, Ledger!$C$2:$C$4, W$2)),"****")</f>
        <v/>
      </c>
      <c r="X985" t="str">
        <f>IFERROR(IF($C985="","",SUMIFS(Ledger!$K$2:$K$4, Ledger!$B$2:$B$4, $A985, Ledger!$C$2:$C$4, X$2)),"****")</f>
        <v/>
      </c>
    </row>
    <row r="986" spans="1:24" x14ac:dyDescent="0.3">
      <c r="A986" s="106">
        <v>984</v>
      </c>
      <c r="B986" t="str">
        <f>IFERROR(VLOOKUP($A986, Ledger!$B$2:$L$8, 3, 0),"")</f>
        <v/>
      </c>
      <c r="C986" t="str">
        <f>IFERROR(VLOOKUP($A986, Ledger!$B$2:$L$8, 4, 0),"")</f>
        <v/>
      </c>
      <c r="D986" t="str">
        <f>IFERROR(VLOOKUP($A986, Ledger!$B$2:$L$8, 5, 0),"")</f>
        <v/>
      </c>
      <c r="E986" t="str">
        <f>IFERROR(VLOOKUP($A986, Ledger!$B$2:$L$8, 6, 0),"")</f>
        <v/>
      </c>
      <c r="F986" t="str">
        <f>IFERROR(VLOOKUP($A986,'Student Data'!$A$2:$AR$6,32,0),"")</f>
        <v/>
      </c>
      <c r="G986" t="str">
        <f>IFERROR(VLOOKUP($A986,'Student Data'!$A$2:$AR$6,33,0),"")</f>
        <v/>
      </c>
      <c r="H986" t="str">
        <f>IFERROR(VLOOKUP($A986,'Student Data'!$A$2:$AR$6,34,0),"")</f>
        <v/>
      </c>
      <c r="I986" t="str">
        <f>IFERROR(VLOOKUP($A986,'Student Data'!$A$2:$AR$6,35,0),"")</f>
        <v/>
      </c>
      <c r="J986" t="str">
        <f>IFERROR(VLOOKUP($A986,'Student Data'!$A$2:$AR$6,36,0),"")</f>
        <v/>
      </c>
      <c r="K986" t="str">
        <f t="shared" si="30"/>
        <v/>
      </c>
      <c r="L986" t="str">
        <f t="shared" si="31"/>
        <v/>
      </c>
      <c r="M986" t="str">
        <f>IFERROR(IF($C986="","",SUMIFS(Ledger!$K$2:$K$4, Ledger!$B$2:$B$4, $A986, Ledger!$C$2:$C$4, M$2)),"****")</f>
        <v/>
      </c>
      <c r="N986" t="str">
        <f>IFERROR(IF($C986="","",SUMIFS(Ledger!$K$2:$K$4, Ledger!$B$2:$B$4, $A986, Ledger!$C$2:$C$4, N$2)),"****")</f>
        <v/>
      </c>
      <c r="O986" t="str">
        <f>IFERROR(IF($C986="","",SUMIFS(Ledger!$K$2:$K$4, Ledger!$B$2:$B$4, $A986, Ledger!$C$2:$C$4, O$2)),"****")</f>
        <v/>
      </c>
      <c r="P986" t="str">
        <f>IFERROR(IF($C986="","",SUMIFS(Ledger!$K$2:$K$4, Ledger!$B$2:$B$4, $A986, Ledger!$C$2:$C$4, P$2)),"****")</f>
        <v/>
      </c>
      <c r="Q986" t="str">
        <f>IFERROR(IF($C986="","",SUMIFS(Ledger!$K$2:$K$4, Ledger!$B$2:$B$4, $A986, Ledger!$C$2:$C$4, Q$2)),"****")</f>
        <v/>
      </c>
      <c r="R986" t="str">
        <f>IFERROR(IF($C986="","",SUMIFS(Ledger!$K$2:$K$4, Ledger!$B$2:$B$4, $A986, Ledger!$C$2:$C$4, R$2)),"****")</f>
        <v/>
      </c>
      <c r="S986" t="str">
        <f>IFERROR(IF($C986="","",SUMIFS(Ledger!$K$2:$K$4, Ledger!$B$2:$B$4, $A986, Ledger!$C$2:$C$4, S$2)),"****")</f>
        <v/>
      </c>
      <c r="T986" t="str">
        <f>IFERROR(IF($C986="","",SUMIFS(Ledger!$K$2:$K$4, Ledger!$B$2:$B$4, $A986, Ledger!$C$2:$C$4, T$2)),"****")</f>
        <v/>
      </c>
      <c r="U986" t="str">
        <f>IFERROR(IF($C986="","",SUMIFS(Ledger!$K$2:$K$4, Ledger!$B$2:$B$4, $A986, Ledger!$C$2:$C$4, U$2)),"****")</f>
        <v/>
      </c>
      <c r="V986" t="str">
        <f>IFERROR(IF($C986="","",SUMIFS(Ledger!$K$2:$K$4, Ledger!$B$2:$B$4, $A986, Ledger!$C$2:$C$4, V$2)),"****")</f>
        <v/>
      </c>
      <c r="W986" t="str">
        <f>IFERROR(IF($C986="","",SUMIFS(Ledger!$K$2:$K$4, Ledger!$B$2:$B$4, $A986, Ledger!$C$2:$C$4, W$2)),"****")</f>
        <v/>
      </c>
      <c r="X986" t="str">
        <f>IFERROR(IF($C986="","",SUMIFS(Ledger!$K$2:$K$4, Ledger!$B$2:$B$4, $A986, Ledger!$C$2:$C$4, X$2)),"****")</f>
        <v/>
      </c>
    </row>
    <row r="987" spans="1:24" x14ac:dyDescent="0.3">
      <c r="A987" s="106">
        <v>985</v>
      </c>
      <c r="B987" t="str">
        <f>IFERROR(VLOOKUP($A987, Ledger!$B$2:$L$8, 3, 0),"")</f>
        <v/>
      </c>
      <c r="C987" t="str">
        <f>IFERROR(VLOOKUP($A987, Ledger!$B$2:$L$8, 4, 0),"")</f>
        <v/>
      </c>
      <c r="D987" t="str">
        <f>IFERROR(VLOOKUP($A987, Ledger!$B$2:$L$8, 5, 0),"")</f>
        <v/>
      </c>
      <c r="E987" t="str">
        <f>IFERROR(VLOOKUP($A987, Ledger!$B$2:$L$8, 6, 0),"")</f>
        <v/>
      </c>
      <c r="F987" t="str">
        <f>IFERROR(VLOOKUP($A987,'Student Data'!$A$2:$AR$6,32,0),"")</f>
        <v/>
      </c>
      <c r="G987" t="str">
        <f>IFERROR(VLOOKUP($A987,'Student Data'!$A$2:$AR$6,33,0),"")</f>
        <v/>
      </c>
      <c r="H987" t="str">
        <f>IFERROR(VLOOKUP($A987,'Student Data'!$A$2:$AR$6,34,0),"")</f>
        <v/>
      </c>
      <c r="I987" t="str">
        <f>IFERROR(VLOOKUP($A987,'Student Data'!$A$2:$AR$6,35,0),"")</f>
        <v/>
      </c>
      <c r="J987" t="str">
        <f>IFERROR(VLOOKUP($A987,'Student Data'!$A$2:$AR$6,36,0),"")</f>
        <v/>
      </c>
      <c r="K987" t="str">
        <f t="shared" si="30"/>
        <v/>
      </c>
      <c r="L987" t="str">
        <f t="shared" si="31"/>
        <v/>
      </c>
      <c r="M987" t="str">
        <f>IFERROR(IF($C987="","",SUMIFS(Ledger!$K$2:$K$4, Ledger!$B$2:$B$4, $A987, Ledger!$C$2:$C$4, M$2)),"****")</f>
        <v/>
      </c>
      <c r="N987" t="str">
        <f>IFERROR(IF($C987="","",SUMIFS(Ledger!$K$2:$K$4, Ledger!$B$2:$B$4, $A987, Ledger!$C$2:$C$4, N$2)),"****")</f>
        <v/>
      </c>
      <c r="O987" t="str">
        <f>IFERROR(IF($C987="","",SUMIFS(Ledger!$K$2:$K$4, Ledger!$B$2:$B$4, $A987, Ledger!$C$2:$C$4, O$2)),"****")</f>
        <v/>
      </c>
      <c r="P987" t="str">
        <f>IFERROR(IF($C987="","",SUMIFS(Ledger!$K$2:$K$4, Ledger!$B$2:$B$4, $A987, Ledger!$C$2:$C$4, P$2)),"****")</f>
        <v/>
      </c>
      <c r="Q987" t="str">
        <f>IFERROR(IF($C987="","",SUMIFS(Ledger!$K$2:$K$4, Ledger!$B$2:$B$4, $A987, Ledger!$C$2:$C$4, Q$2)),"****")</f>
        <v/>
      </c>
      <c r="R987" t="str">
        <f>IFERROR(IF($C987="","",SUMIFS(Ledger!$K$2:$K$4, Ledger!$B$2:$B$4, $A987, Ledger!$C$2:$C$4, R$2)),"****")</f>
        <v/>
      </c>
      <c r="S987" t="str">
        <f>IFERROR(IF($C987="","",SUMIFS(Ledger!$K$2:$K$4, Ledger!$B$2:$B$4, $A987, Ledger!$C$2:$C$4, S$2)),"****")</f>
        <v/>
      </c>
      <c r="T987" t="str">
        <f>IFERROR(IF($C987="","",SUMIFS(Ledger!$K$2:$K$4, Ledger!$B$2:$B$4, $A987, Ledger!$C$2:$C$4, T$2)),"****")</f>
        <v/>
      </c>
      <c r="U987" t="str">
        <f>IFERROR(IF($C987="","",SUMIFS(Ledger!$K$2:$K$4, Ledger!$B$2:$B$4, $A987, Ledger!$C$2:$C$4, U$2)),"****")</f>
        <v/>
      </c>
      <c r="V987" t="str">
        <f>IFERROR(IF($C987="","",SUMIFS(Ledger!$K$2:$K$4, Ledger!$B$2:$B$4, $A987, Ledger!$C$2:$C$4, V$2)),"****")</f>
        <v/>
      </c>
      <c r="W987" t="str">
        <f>IFERROR(IF($C987="","",SUMIFS(Ledger!$K$2:$K$4, Ledger!$B$2:$B$4, $A987, Ledger!$C$2:$C$4, W$2)),"****")</f>
        <v/>
      </c>
      <c r="X987" t="str">
        <f>IFERROR(IF($C987="","",SUMIFS(Ledger!$K$2:$K$4, Ledger!$B$2:$B$4, $A987, Ledger!$C$2:$C$4, X$2)),"****")</f>
        <v/>
      </c>
    </row>
    <row r="988" spans="1:24" x14ac:dyDescent="0.3">
      <c r="A988" s="106">
        <v>986</v>
      </c>
      <c r="B988" t="str">
        <f>IFERROR(VLOOKUP($A988, Ledger!$B$2:$L$8, 3, 0),"")</f>
        <v/>
      </c>
      <c r="C988" t="str">
        <f>IFERROR(VLOOKUP($A988, Ledger!$B$2:$L$8, 4, 0),"")</f>
        <v/>
      </c>
      <c r="D988" t="str">
        <f>IFERROR(VLOOKUP($A988, Ledger!$B$2:$L$8, 5, 0),"")</f>
        <v/>
      </c>
      <c r="E988" t="str">
        <f>IFERROR(VLOOKUP($A988, Ledger!$B$2:$L$8, 6, 0),"")</f>
        <v/>
      </c>
      <c r="F988" t="str">
        <f>IFERROR(VLOOKUP($A988,'Student Data'!$A$2:$AR$6,32,0),"")</f>
        <v/>
      </c>
      <c r="G988" t="str">
        <f>IFERROR(VLOOKUP($A988,'Student Data'!$A$2:$AR$6,33,0),"")</f>
        <v/>
      </c>
      <c r="H988" t="str">
        <f>IFERROR(VLOOKUP($A988,'Student Data'!$A$2:$AR$6,34,0),"")</f>
        <v/>
      </c>
      <c r="I988" t="str">
        <f>IFERROR(VLOOKUP($A988,'Student Data'!$A$2:$AR$6,35,0),"")</f>
        <v/>
      </c>
      <c r="J988" t="str">
        <f>IFERROR(VLOOKUP($A988,'Student Data'!$A$2:$AR$6,36,0),"")</f>
        <v/>
      </c>
      <c r="K988" t="str">
        <f t="shared" si="30"/>
        <v/>
      </c>
      <c r="L988" t="str">
        <f t="shared" si="31"/>
        <v/>
      </c>
      <c r="M988" t="str">
        <f>IFERROR(IF($C988="","",SUMIFS(Ledger!$K$2:$K$4, Ledger!$B$2:$B$4, $A988, Ledger!$C$2:$C$4, M$2)),"****")</f>
        <v/>
      </c>
      <c r="N988" t="str">
        <f>IFERROR(IF($C988="","",SUMIFS(Ledger!$K$2:$K$4, Ledger!$B$2:$B$4, $A988, Ledger!$C$2:$C$4, N$2)),"****")</f>
        <v/>
      </c>
      <c r="O988" t="str">
        <f>IFERROR(IF($C988="","",SUMIFS(Ledger!$K$2:$K$4, Ledger!$B$2:$B$4, $A988, Ledger!$C$2:$C$4, O$2)),"****")</f>
        <v/>
      </c>
      <c r="P988" t="str">
        <f>IFERROR(IF($C988="","",SUMIFS(Ledger!$K$2:$K$4, Ledger!$B$2:$B$4, $A988, Ledger!$C$2:$C$4, P$2)),"****")</f>
        <v/>
      </c>
      <c r="Q988" t="str">
        <f>IFERROR(IF($C988="","",SUMIFS(Ledger!$K$2:$K$4, Ledger!$B$2:$B$4, $A988, Ledger!$C$2:$C$4, Q$2)),"****")</f>
        <v/>
      </c>
      <c r="R988" t="str">
        <f>IFERROR(IF($C988="","",SUMIFS(Ledger!$K$2:$K$4, Ledger!$B$2:$B$4, $A988, Ledger!$C$2:$C$4, R$2)),"****")</f>
        <v/>
      </c>
      <c r="S988" t="str">
        <f>IFERROR(IF($C988="","",SUMIFS(Ledger!$K$2:$K$4, Ledger!$B$2:$B$4, $A988, Ledger!$C$2:$C$4, S$2)),"****")</f>
        <v/>
      </c>
      <c r="T988" t="str">
        <f>IFERROR(IF($C988="","",SUMIFS(Ledger!$K$2:$K$4, Ledger!$B$2:$B$4, $A988, Ledger!$C$2:$C$4, T$2)),"****")</f>
        <v/>
      </c>
      <c r="U988" t="str">
        <f>IFERROR(IF($C988="","",SUMIFS(Ledger!$K$2:$K$4, Ledger!$B$2:$B$4, $A988, Ledger!$C$2:$C$4, U$2)),"****")</f>
        <v/>
      </c>
      <c r="V988" t="str">
        <f>IFERROR(IF($C988="","",SUMIFS(Ledger!$K$2:$K$4, Ledger!$B$2:$B$4, $A988, Ledger!$C$2:$C$4, V$2)),"****")</f>
        <v/>
      </c>
      <c r="W988" t="str">
        <f>IFERROR(IF($C988="","",SUMIFS(Ledger!$K$2:$K$4, Ledger!$B$2:$B$4, $A988, Ledger!$C$2:$C$4, W$2)),"****")</f>
        <v/>
      </c>
      <c r="X988" t="str">
        <f>IFERROR(IF($C988="","",SUMIFS(Ledger!$K$2:$K$4, Ledger!$B$2:$B$4, $A988, Ledger!$C$2:$C$4, X$2)),"****")</f>
        <v/>
      </c>
    </row>
    <row r="989" spans="1:24" x14ac:dyDescent="0.3">
      <c r="A989" s="106">
        <v>987</v>
      </c>
      <c r="B989" t="str">
        <f>IFERROR(VLOOKUP($A989, Ledger!$B$2:$L$8, 3, 0),"")</f>
        <v/>
      </c>
      <c r="C989" t="str">
        <f>IFERROR(VLOOKUP($A989, Ledger!$B$2:$L$8, 4, 0),"")</f>
        <v/>
      </c>
      <c r="D989" t="str">
        <f>IFERROR(VLOOKUP($A989, Ledger!$B$2:$L$8, 5, 0),"")</f>
        <v/>
      </c>
      <c r="E989" t="str">
        <f>IFERROR(VLOOKUP($A989, Ledger!$B$2:$L$8, 6, 0),"")</f>
        <v/>
      </c>
      <c r="F989" t="str">
        <f>IFERROR(VLOOKUP($A989,'Student Data'!$A$2:$AR$6,32,0),"")</f>
        <v/>
      </c>
      <c r="G989" t="str">
        <f>IFERROR(VLOOKUP($A989,'Student Data'!$A$2:$AR$6,33,0),"")</f>
        <v/>
      </c>
      <c r="H989" t="str">
        <f>IFERROR(VLOOKUP($A989,'Student Data'!$A$2:$AR$6,34,0),"")</f>
        <v/>
      </c>
      <c r="I989" t="str">
        <f>IFERROR(VLOOKUP($A989,'Student Data'!$A$2:$AR$6,35,0),"")</f>
        <v/>
      </c>
      <c r="J989" t="str">
        <f>IFERROR(VLOOKUP($A989,'Student Data'!$A$2:$AR$6,36,0),"")</f>
        <v/>
      </c>
      <c r="K989" t="str">
        <f t="shared" si="30"/>
        <v/>
      </c>
      <c r="L989" t="str">
        <f t="shared" si="31"/>
        <v/>
      </c>
      <c r="M989" t="str">
        <f>IFERROR(IF($C989="","",SUMIFS(Ledger!$K$2:$K$4, Ledger!$B$2:$B$4, $A989, Ledger!$C$2:$C$4, M$2)),"****")</f>
        <v/>
      </c>
      <c r="N989" t="str">
        <f>IFERROR(IF($C989="","",SUMIFS(Ledger!$K$2:$K$4, Ledger!$B$2:$B$4, $A989, Ledger!$C$2:$C$4, N$2)),"****")</f>
        <v/>
      </c>
      <c r="O989" t="str">
        <f>IFERROR(IF($C989="","",SUMIFS(Ledger!$K$2:$K$4, Ledger!$B$2:$B$4, $A989, Ledger!$C$2:$C$4, O$2)),"****")</f>
        <v/>
      </c>
      <c r="P989" t="str">
        <f>IFERROR(IF($C989="","",SUMIFS(Ledger!$K$2:$K$4, Ledger!$B$2:$B$4, $A989, Ledger!$C$2:$C$4, P$2)),"****")</f>
        <v/>
      </c>
      <c r="Q989" t="str">
        <f>IFERROR(IF($C989="","",SUMIFS(Ledger!$K$2:$K$4, Ledger!$B$2:$B$4, $A989, Ledger!$C$2:$C$4, Q$2)),"****")</f>
        <v/>
      </c>
      <c r="R989" t="str">
        <f>IFERROR(IF($C989="","",SUMIFS(Ledger!$K$2:$K$4, Ledger!$B$2:$B$4, $A989, Ledger!$C$2:$C$4, R$2)),"****")</f>
        <v/>
      </c>
      <c r="S989" t="str">
        <f>IFERROR(IF($C989="","",SUMIFS(Ledger!$K$2:$K$4, Ledger!$B$2:$B$4, $A989, Ledger!$C$2:$C$4, S$2)),"****")</f>
        <v/>
      </c>
      <c r="T989" t="str">
        <f>IFERROR(IF($C989="","",SUMIFS(Ledger!$K$2:$K$4, Ledger!$B$2:$B$4, $A989, Ledger!$C$2:$C$4, T$2)),"****")</f>
        <v/>
      </c>
      <c r="U989" t="str">
        <f>IFERROR(IF($C989="","",SUMIFS(Ledger!$K$2:$K$4, Ledger!$B$2:$B$4, $A989, Ledger!$C$2:$C$4, U$2)),"****")</f>
        <v/>
      </c>
      <c r="V989" t="str">
        <f>IFERROR(IF($C989="","",SUMIFS(Ledger!$K$2:$K$4, Ledger!$B$2:$B$4, $A989, Ledger!$C$2:$C$4, V$2)),"****")</f>
        <v/>
      </c>
      <c r="W989" t="str">
        <f>IFERROR(IF($C989="","",SUMIFS(Ledger!$K$2:$K$4, Ledger!$B$2:$B$4, $A989, Ledger!$C$2:$C$4, W$2)),"****")</f>
        <v/>
      </c>
      <c r="X989" t="str">
        <f>IFERROR(IF($C989="","",SUMIFS(Ledger!$K$2:$K$4, Ledger!$B$2:$B$4, $A989, Ledger!$C$2:$C$4, X$2)),"****")</f>
        <v/>
      </c>
    </row>
    <row r="990" spans="1:24" x14ac:dyDescent="0.3">
      <c r="A990" s="106">
        <v>988</v>
      </c>
      <c r="B990" t="str">
        <f>IFERROR(VLOOKUP($A990, Ledger!$B$2:$L$8, 3, 0),"")</f>
        <v/>
      </c>
      <c r="C990" t="str">
        <f>IFERROR(VLOOKUP($A990, Ledger!$B$2:$L$8, 4, 0),"")</f>
        <v/>
      </c>
      <c r="D990" t="str">
        <f>IFERROR(VLOOKUP($A990, Ledger!$B$2:$L$8, 5, 0),"")</f>
        <v/>
      </c>
      <c r="E990" t="str">
        <f>IFERROR(VLOOKUP($A990, Ledger!$B$2:$L$8, 6, 0),"")</f>
        <v/>
      </c>
      <c r="F990" t="str">
        <f>IFERROR(VLOOKUP($A990,'Student Data'!$A$2:$AR$6,32,0),"")</f>
        <v/>
      </c>
      <c r="G990" t="str">
        <f>IFERROR(VLOOKUP($A990,'Student Data'!$A$2:$AR$6,33,0),"")</f>
        <v/>
      </c>
      <c r="H990" t="str">
        <f>IFERROR(VLOOKUP($A990,'Student Data'!$A$2:$AR$6,34,0),"")</f>
        <v/>
      </c>
      <c r="I990" t="str">
        <f>IFERROR(VLOOKUP($A990,'Student Data'!$A$2:$AR$6,35,0),"")</f>
        <v/>
      </c>
      <c r="J990" t="str">
        <f>IFERROR(VLOOKUP($A990,'Student Data'!$A$2:$AR$6,36,0),"")</f>
        <v/>
      </c>
      <c r="K990" t="str">
        <f t="shared" si="30"/>
        <v/>
      </c>
      <c r="L990" t="str">
        <f t="shared" si="31"/>
        <v/>
      </c>
      <c r="M990" t="str">
        <f>IFERROR(IF($C990="","",SUMIFS(Ledger!$K$2:$K$4, Ledger!$B$2:$B$4, $A990, Ledger!$C$2:$C$4, M$2)),"****")</f>
        <v/>
      </c>
      <c r="N990" t="str">
        <f>IFERROR(IF($C990="","",SUMIFS(Ledger!$K$2:$K$4, Ledger!$B$2:$B$4, $A990, Ledger!$C$2:$C$4, N$2)),"****")</f>
        <v/>
      </c>
      <c r="O990" t="str">
        <f>IFERROR(IF($C990="","",SUMIFS(Ledger!$K$2:$K$4, Ledger!$B$2:$B$4, $A990, Ledger!$C$2:$C$4, O$2)),"****")</f>
        <v/>
      </c>
      <c r="P990" t="str">
        <f>IFERROR(IF($C990="","",SUMIFS(Ledger!$K$2:$K$4, Ledger!$B$2:$B$4, $A990, Ledger!$C$2:$C$4, P$2)),"****")</f>
        <v/>
      </c>
      <c r="Q990" t="str">
        <f>IFERROR(IF($C990="","",SUMIFS(Ledger!$K$2:$K$4, Ledger!$B$2:$B$4, $A990, Ledger!$C$2:$C$4, Q$2)),"****")</f>
        <v/>
      </c>
      <c r="R990" t="str">
        <f>IFERROR(IF($C990="","",SUMIFS(Ledger!$K$2:$K$4, Ledger!$B$2:$B$4, $A990, Ledger!$C$2:$C$4, R$2)),"****")</f>
        <v/>
      </c>
      <c r="S990" t="str">
        <f>IFERROR(IF($C990="","",SUMIFS(Ledger!$K$2:$K$4, Ledger!$B$2:$B$4, $A990, Ledger!$C$2:$C$4, S$2)),"****")</f>
        <v/>
      </c>
      <c r="T990" t="str">
        <f>IFERROR(IF($C990="","",SUMIFS(Ledger!$K$2:$K$4, Ledger!$B$2:$B$4, $A990, Ledger!$C$2:$C$4, T$2)),"****")</f>
        <v/>
      </c>
      <c r="U990" t="str">
        <f>IFERROR(IF($C990="","",SUMIFS(Ledger!$K$2:$K$4, Ledger!$B$2:$B$4, $A990, Ledger!$C$2:$C$4, U$2)),"****")</f>
        <v/>
      </c>
      <c r="V990" t="str">
        <f>IFERROR(IF($C990="","",SUMIFS(Ledger!$K$2:$K$4, Ledger!$B$2:$B$4, $A990, Ledger!$C$2:$C$4, V$2)),"****")</f>
        <v/>
      </c>
      <c r="W990" t="str">
        <f>IFERROR(IF($C990="","",SUMIFS(Ledger!$K$2:$K$4, Ledger!$B$2:$B$4, $A990, Ledger!$C$2:$C$4, W$2)),"****")</f>
        <v/>
      </c>
      <c r="X990" t="str">
        <f>IFERROR(IF($C990="","",SUMIFS(Ledger!$K$2:$K$4, Ledger!$B$2:$B$4, $A990, Ledger!$C$2:$C$4, X$2)),"****")</f>
        <v/>
      </c>
    </row>
    <row r="991" spans="1:24" x14ac:dyDescent="0.3">
      <c r="A991" s="106">
        <v>989</v>
      </c>
      <c r="B991" t="str">
        <f>IFERROR(VLOOKUP($A991, Ledger!$B$2:$L$8, 3, 0),"")</f>
        <v/>
      </c>
      <c r="C991" t="str">
        <f>IFERROR(VLOOKUP($A991, Ledger!$B$2:$L$8, 4, 0),"")</f>
        <v/>
      </c>
      <c r="D991" t="str">
        <f>IFERROR(VLOOKUP($A991, Ledger!$B$2:$L$8, 5, 0),"")</f>
        <v/>
      </c>
      <c r="E991" t="str">
        <f>IFERROR(VLOOKUP($A991, Ledger!$B$2:$L$8, 6, 0),"")</f>
        <v/>
      </c>
      <c r="F991" t="str">
        <f>IFERROR(VLOOKUP($A991,'Student Data'!$A$2:$AR$6,32,0),"")</f>
        <v/>
      </c>
      <c r="G991" t="str">
        <f>IFERROR(VLOOKUP($A991,'Student Data'!$A$2:$AR$6,33,0),"")</f>
        <v/>
      </c>
      <c r="H991" t="str">
        <f>IFERROR(VLOOKUP($A991,'Student Data'!$A$2:$AR$6,34,0),"")</f>
        <v/>
      </c>
      <c r="I991" t="str">
        <f>IFERROR(VLOOKUP($A991,'Student Data'!$A$2:$AR$6,35,0),"")</f>
        <v/>
      </c>
      <c r="J991" t="str">
        <f>IFERROR(VLOOKUP($A991,'Student Data'!$A$2:$AR$6,36,0),"")</f>
        <v/>
      </c>
      <c r="K991" t="str">
        <f t="shared" si="30"/>
        <v/>
      </c>
      <c r="L991" t="str">
        <f t="shared" si="31"/>
        <v/>
      </c>
      <c r="M991" t="str">
        <f>IFERROR(IF($C991="","",SUMIFS(Ledger!$K$2:$K$4, Ledger!$B$2:$B$4, $A991, Ledger!$C$2:$C$4, M$2)),"****")</f>
        <v/>
      </c>
      <c r="N991" t="str">
        <f>IFERROR(IF($C991="","",SUMIFS(Ledger!$K$2:$K$4, Ledger!$B$2:$B$4, $A991, Ledger!$C$2:$C$4, N$2)),"****")</f>
        <v/>
      </c>
      <c r="O991" t="str">
        <f>IFERROR(IF($C991="","",SUMIFS(Ledger!$K$2:$K$4, Ledger!$B$2:$B$4, $A991, Ledger!$C$2:$C$4, O$2)),"****")</f>
        <v/>
      </c>
      <c r="P991" t="str">
        <f>IFERROR(IF($C991="","",SUMIFS(Ledger!$K$2:$K$4, Ledger!$B$2:$B$4, $A991, Ledger!$C$2:$C$4, P$2)),"****")</f>
        <v/>
      </c>
      <c r="Q991" t="str">
        <f>IFERROR(IF($C991="","",SUMIFS(Ledger!$K$2:$K$4, Ledger!$B$2:$B$4, $A991, Ledger!$C$2:$C$4, Q$2)),"****")</f>
        <v/>
      </c>
      <c r="R991" t="str">
        <f>IFERROR(IF($C991="","",SUMIFS(Ledger!$K$2:$K$4, Ledger!$B$2:$B$4, $A991, Ledger!$C$2:$C$4, R$2)),"****")</f>
        <v/>
      </c>
      <c r="S991" t="str">
        <f>IFERROR(IF($C991="","",SUMIFS(Ledger!$K$2:$K$4, Ledger!$B$2:$B$4, $A991, Ledger!$C$2:$C$4, S$2)),"****")</f>
        <v/>
      </c>
      <c r="T991" t="str">
        <f>IFERROR(IF($C991="","",SUMIFS(Ledger!$K$2:$K$4, Ledger!$B$2:$B$4, $A991, Ledger!$C$2:$C$4, T$2)),"****")</f>
        <v/>
      </c>
      <c r="U991" t="str">
        <f>IFERROR(IF($C991="","",SUMIFS(Ledger!$K$2:$K$4, Ledger!$B$2:$B$4, $A991, Ledger!$C$2:$C$4, U$2)),"****")</f>
        <v/>
      </c>
      <c r="V991" t="str">
        <f>IFERROR(IF($C991="","",SUMIFS(Ledger!$K$2:$K$4, Ledger!$B$2:$B$4, $A991, Ledger!$C$2:$C$4, V$2)),"****")</f>
        <v/>
      </c>
      <c r="W991" t="str">
        <f>IFERROR(IF($C991="","",SUMIFS(Ledger!$K$2:$K$4, Ledger!$B$2:$B$4, $A991, Ledger!$C$2:$C$4, W$2)),"****")</f>
        <v/>
      </c>
      <c r="X991" t="str">
        <f>IFERROR(IF($C991="","",SUMIFS(Ledger!$K$2:$K$4, Ledger!$B$2:$B$4, $A991, Ledger!$C$2:$C$4, X$2)),"****")</f>
        <v/>
      </c>
    </row>
    <row r="992" spans="1:24" x14ac:dyDescent="0.3">
      <c r="A992" s="106">
        <v>990</v>
      </c>
      <c r="B992" t="str">
        <f>IFERROR(VLOOKUP($A992, Ledger!$B$2:$L$8, 3, 0),"")</f>
        <v/>
      </c>
      <c r="C992" t="str">
        <f>IFERROR(VLOOKUP($A992, Ledger!$B$2:$L$8, 4, 0),"")</f>
        <v/>
      </c>
      <c r="D992" t="str">
        <f>IFERROR(VLOOKUP($A992, Ledger!$B$2:$L$8, 5, 0),"")</f>
        <v/>
      </c>
      <c r="E992" t="str">
        <f>IFERROR(VLOOKUP($A992, Ledger!$B$2:$L$8, 6, 0),"")</f>
        <v/>
      </c>
      <c r="F992" t="str">
        <f>IFERROR(VLOOKUP($A992,'Student Data'!$A$2:$AR$6,32,0),"")</f>
        <v/>
      </c>
      <c r="G992" t="str">
        <f>IFERROR(VLOOKUP($A992,'Student Data'!$A$2:$AR$6,33,0),"")</f>
        <v/>
      </c>
      <c r="H992" t="str">
        <f>IFERROR(VLOOKUP($A992,'Student Data'!$A$2:$AR$6,34,0),"")</f>
        <v/>
      </c>
      <c r="I992" t="str">
        <f>IFERROR(VLOOKUP($A992,'Student Data'!$A$2:$AR$6,35,0),"")</f>
        <v/>
      </c>
      <c r="J992" t="str">
        <f>IFERROR(VLOOKUP($A992,'Student Data'!$A$2:$AR$6,36,0),"")</f>
        <v/>
      </c>
      <c r="K992" t="str">
        <f t="shared" si="30"/>
        <v/>
      </c>
      <c r="L992" t="str">
        <f t="shared" si="31"/>
        <v/>
      </c>
      <c r="M992" t="str">
        <f>IFERROR(IF($C992="","",SUMIFS(Ledger!$K$2:$K$4, Ledger!$B$2:$B$4, $A992, Ledger!$C$2:$C$4, M$2)),"****")</f>
        <v/>
      </c>
      <c r="N992" t="str">
        <f>IFERROR(IF($C992="","",SUMIFS(Ledger!$K$2:$K$4, Ledger!$B$2:$B$4, $A992, Ledger!$C$2:$C$4, N$2)),"****")</f>
        <v/>
      </c>
      <c r="O992" t="str">
        <f>IFERROR(IF($C992="","",SUMIFS(Ledger!$K$2:$K$4, Ledger!$B$2:$B$4, $A992, Ledger!$C$2:$C$4, O$2)),"****")</f>
        <v/>
      </c>
      <c r="P992" t="str">
        <f>IFERROR(IF($C992="","",SUMIFS(Ledger!$K$2:$K$4, Ledger!$B$2:$B$4, $A992, Ledger!$C$2:$C$4, P$2)),"****")</f>
        <v/>
      </c>
      <c r="Q992" t="str">
        <f>IFERROR(IF($C992="","",SUMIFS(Ledger!$K$2:$K$4, Ledger!$B$2:$B$4, $A992, Ledger!$C$2:$C$4, Q$2)),"****")</f>
        <v/>
      </c>
      <c r="R992" t="str">
        <f>IFERROR(IF($C992="","",SUMIFS(Ledger!$K$2:$K$4, Ledger!$B$2:$B$4, $A992, Ledger!$C$2:$C$4, R$2)),"****")</f>
        <v/>
      </c>
      <c r="S992" t="str">
        <f>IFERROR(IF($C992="","",SUMIFS(Ledger!$K$2:$K$4, Ledger!$B$2:$B$4, $A992, Ledger!$C$2:$C$4, S$2)),"****")</f>
        <v/>
      </c>
      <c r="T992" t="str">
        <f>IFERROR(IF($C992="","",SUMIFS(Ledger!$K$2:$K$4, Ledger!$B$2:$B$4, $A992, Ledger!$C$2:$C$4, T$2)),"****")</f>
        <v/>
      </c>
      <c r="U992" t="str">
        <f>IFERROR(IF($C992="","",SUMIFS(Ledger!$K$2:$K$4, Ledger!$B$2:$B$4, $A992, Ledger!$C$2:$C$4, U$2)),"****")</f>
        <v/>
      </c>
      <c r="V992" t="str">
        <f>IFERROR(IF($C992="","",SUMIFS(Ledger!$K$2:$K$4, Ledger!$B$2:$B$4, $A992, Ledger!$C$2:$C$4, V$2)),"****")</f>
        <v/>
      </c>
      <c r="W992" t="str">
        <f>IFERROR(IF($C992="","",SUMIFS(Ledger!$K$2:$K$4, Ledger!$B$2:$B$4, $A992, Ledger!$C$2:$C$4, W$2)),"****")</f>
        <v/>
      </c>
      <c r="X992" t="str">
        <f>IFERROR(IF($C992="","",SUMIFS(Ledger!$K$2:$K$4, Ledger!$B$2:$B$4, $A992, Ledger!$C$2:$C$4, X$2)),"****")</f>
        <v/>
      </c>
    </row>
    <row r="993" spans="1:24" x14ac:dyDescent="0.3">
      <c r="A993" s="106">
        <v>991</v>
      </c>
      <c r="B993" t="str">
        <f>IFERROR(VLOOKUP($A993, Ledger!$B$2:$L$8, 3, 0),"")</f>
        <v/>
      </c>
      <c r="C993" t="str">
        <f>IFERROR(VLOOKUP($A993, Ledger!$B$2:$L$8, 4, 0),"")</f>
        <v/>
      </c>
      <c r="D993" t="str">
        <f>IFERROR(VLOOKUP($A993, Ledger!$B$2:$L$8, 5, 0),"")</f>
        <v/>
      </c>
      <c r="E993" t="str">
        <f>IFERROR(VLOOKUP($A993, Ledger!$B$2:$L$8, 6, 0),"")</f>
        <v/>
      </c>
      <c r="F993" t="str">
        <f>IFERROR(VLOOKUP($A993,'Student Data'!$A$2:$AR$6,32,0),"")</f>
        <v/>
      </c>
      <c r="G993" t="str">
        <f>IFERROR(VLOOKUP($A993,'Student Data'!$A$2:$AR$6,33,0),"")</f>
        <v/>
      </c>
      <c r="H993" t="str">
        <f>IFERROR(VLOOKUP($A993,'Student Data'!$A$2:$AR$6,34,0),"")</f>
        <v/>
      </c>
      <c r="I993" t="str">
        <f>IFERROR(VLOOKUP($A993,'Student Data'!$A$2:$AR$6,35,0),"")</f>
        <v/>
      </c>
      <c r="J993" t="str">
        <f>IFERROR(VLOOKUP($A993,'Student Data'!$A$2:$AR$6,36,0),"")</f>
        <v/>
      </c>
      <c r="K993" t="str">
        <f t="shared" si="30"/>
        <v/>
      </c>
      <c r="L993" t="str">
        <f t="shared" si="31"/>
        <v/>
      </c>
      <c r="M993" t="str">
        <f>IFERROR(IF($C993="","",SUMIFS(Ledger!$K$2:$K$4, Ledger!$B$2:$B$4, $A993, Ledger!$C$2:$C$4, M$2)),"****")</f>
        <v/>
      </c>
      <c r="N993" t="str">
        <f>IFERROR(IF($C993="","",SUMIFS(Ledger!$K$2:$K$4, Ledger!$B$2:$B$4, $A993, Ledger!$C$2:$C$4, N$2)),"****")</f>
        <v/>
      </c>
      <c r="O993" t="str">
        <f>IFERROR(IF($C993="","",SUMIFS(Ledger!$K$2:$K$4, Ledger!$B$2:$B$4, $A993, Ledger!$C$2:$C$4, O$2)),"****")</f>
        <v/>
      </c>
      <c r="P993" t="str">
        <f>IFERROR(IF($C993="","",SUMIFS(Ledger!$K$2:$K$4, Ledger!$B$2:$B$4, $A993, Ledger!$C$2:$C$4, P$2)),"****")</f>
        <v/>
      </c>
      <c r="Q993" t="str">
        <f>IFERROR(IF($C993="","",SUMIFS(Ledger!$K$2:$K$4, Ledger!$B$2:$B$4, $A993, Ledger!$C$2:$C$4, Q$2)),"****")</f>
        <v/>
      </c>
      <c r="R993" t="str">
        <f>IFERROR(IF($C993="","",SUMIFS(Ledger!$K$2:$K$4, Ledger!$B$2:$B$4, $A993, Ledger!$C$2:$C$4, R$2)),"****")</f>
        <v/>
      </c>
      <c r="S993" t="str">
        <f>IFERROR(IF($C993="","",SUMIFS(Ledger!$K$2:$K$4, Ledger!$B$2:$B$4, $A993, Ledger!$C$2:$C$4, S$2)),"****")</f>
        <v/>
      </c>
      <c r="T993" t="str">
        <f>IFERROR(IF($C993="","",SUMIFS(Ledger!$K$2:$K$4, Ledger!$B$2:$B$4, $A993, Ledger!$C$2:$C$4, T$2)),"****")</f>
        <v/>
      </c>
      <c r="U993" t="str">
        <f>IFERROR(IF($C993="","",SUMIFS(Ledger!$K$2:$K$4, Ledger!$B$2:$B$4, $A993, Ledger!$C$2:$C$4, U$2)),"****")</f>
        <v/>
      </c>
      <c r="V993" t="str">
        <f>IFERROR(IF($C993="","",SUMIFS(Ledger!$K$2:$K$4, Ledger!$B$2:$B$4, $A993, Ledger!$C$2:$C$4, V$2)),"****")</f>
        <v/>
      </c>
      <c r="W993" t="str">
        <f>IFERROR(IF($C993="","",SUMIFS(Ledger!$K$2:$K$4, Ledger!$B$2:$B$4, $A993, Ledger!$C$2:$C$4, W$2)),"****")</f>
        <v/>
      </c>
      <c r="X993" t="str">
        <f>IFERROR(IF($C993="","",SUMIFS(Ledger!$K$2:$K$4, Ledger!$B$2:$B$4, $A993, Ledger!$C$2:$C$4, X$2)),"****")</f>
        <v/>
      </c>
    </row>
    <row r="994" spans="1:24" x14ac:dyDescent="0.3">
      <c r="A994" s="106">
        <v>992</v>
      </c>
      <c r="B994" t="str">
        <f>IFERROR(VLOOKUP($A994, Ledger!$B$2:$L$8, 3, 0),"")</f>
        <v/>
      </c>
      <c r="C994" t="str">
        <f>IFERROR(VLOOKUP($A994, Ledger!$B$2:$L$8, 4, 0),"")</f>
        <v/>
      </c>
      <c r="D994" t="str">
        <f>IFERROR(VLOOKUP($A994, Ledger!$B$2:$L$8, 5, 0),"")</f>
        <v/>
      </c>
      <c r="E994" t="str">
        <f>IFERROR(VLOOKUP($A994, Ledger!$B$2:$L$8, 6, 0),"")</f>
        <v/>
      </c>
      <c r="F994" t="str">
        <f>IFERROR(VLOOKUP($A994,'Student Data'!$A$2:$AR$6,32,0),"")</f>
        <v/>
      </c>
      <c r="G994" t="str">
        <f>IFERROR(VLOOKUP($A994,'Student Data'!$A$2:$AR$6,33,0),"")</f>
        <v/>
      </c>
      <c r="H994" t="str">
        <f>IFERROR(VLOOKUP($A994,'Student Data'!$A$2:$AR$6,34,0),"")</f>
        <v/>
      </c>
      <c r="I994" t="str">
        <f>IFERROR(VLOOKUP($A994,'Student Data'!$A$2:$AR$6,35,0),"")</f>
        <v/>
      </c>
      <c r="J994" t="str">
        <f>IFERROR(VLOOKUP($A994,'Student Data'!$A$2:$AR$6,36,0),"")</f>
        <v/>
      </c>
      <c r="K994" t="str">
        <f t="shared" si="30"/>
        <v/>
      </c>
      <c r="L994" t="str">
        <f t="shared" si="31"/>
        <v/>
      </c>
      <c r="M994" t="str">
        <f>IFERROR(IF($C994="","",SUMIFS(Ledger!$K$2:$K$4, Ledger!$B$2:$B$4, $A994, Ledger!$C$2:$C$4, M$2)),"****")</f>
        <v/>
      </c>
      <c r="N994" t="str">
        <f>IFERROR(IF($C994="","",SUMIFS(Ledger!$K$2:$K$4, Ledger!$B$2:$B$4, $A994, Ledger!$C$2:$C$4, N$2)),"****")</f>
        <v/>
      </c>
      <c r="O994" t="str">
        <f>IFERROR(IF($C994="","",SUMIFS(Ledger!$K$2:$K$4, Ledger!$B$2:$B$4, $A994, Ledger!$C$2:$C$4, O$2)),"****")</f>
        <v/>
      </c>
      <c r="P994" t="str">
        <f>IFERROR(IF($C994="","",SUMIFS(Ledger!$K$2:$K$4, Ledger!$B$2:$B$4, $A994, Ledger!$C$2:$C$4, P$2)),"****")</f>
        <v/>
      </c>
      <c r="Q994" t="str">
        <f>IFERROR(IF($C994="","",SUMIFS(Ledger!$K$2:$K$4, Ledger!$B$2:$B$4, $A994, Ledger!$C$2:$C$4, Q$2)),"****")</f>
        <v/>
      </c>
      <c r="R994" t="str">
        <f>IFERROR(IF($C994="","",SUMIFS(Ledger!$K$2:$K$4, Ledger!$B$2:$B$4, $A994, Ledger!$C$2:$C$4, R$2)),"****")</f>
        <v/>
      </c>
      <c r="S994" t="str">
        <f>IFERROR(IF($C994="","",SUMIFS(Ledger!$K$2:$K$4, Ledger!$B$2:$B$4, $A994, Ledger!$C$2:$C$4, S$2)),"****")</f>
        <v/>
      </c>
      <c r="T994" t="str">
        <f>IFERROR(IF($C994="","",SUMIFS(Ledger!$K$2:$K$4, Ledger!$B$2:$B$4, $A994, Ledger!$C$2:$C$4, T$2)),"****")</f>
        <v/>
      </c>
      <c r="U994" t="str">
        <f>IFERROR(IF($C994="","",SUMIFS(Ledger!$K$2:$K$4, Ledger!$B$2:$B$4, $A994, Ledger!$C$2:$C$4, U$2)),"****")</f>
        <v/>
      </c>
      <c r="V994" t="str">
        <f>IFERROR(IF($C994="","",SUMIFS(Ledger!$K$2:$K$4, Ledger!$B$2:$B$4, $A994, Ledger!$C$2:$C$4, V$2)),"****")</f>
        <v/>
      </c>
      <c r="W994" t="str">
        <f>IFERROR(IF($C994="","",SUMIFS(Ledger!$K$2:$K$4, Ledger!$B$2:$B$4, $A994, Ledger!$C$2:$C$4, W$2)),"****")</f>
        <v/>
      </c>
      <c r="X994" t="str">
        <f>IFERROR(IF($C994="","",SUMIFS(Ledger!$K$2:$K$4, Ledger!$B$2:$B$4, $A994, Ledger!$C$2:$C$4, X$2)),"****")</f>
        <v/>
      </c>
    </row>
    <row r="995" spans="1:24" x14ac:dyDescent="0.3">
      <c r="A995" s="106">
        <v>993</v>
      </c>
      <c r="B995" t="str">
        <f>IFERROR(VLOOKUP($A995, Ledger!$B$2:$L$8, 3, 0),"")</f>
        <v/>
      </c>
      <c r="C995" t="str">
        <f>IFERROR(VLOOKUP($A995, Ledger!$B$2:$L$8, 4, 0),"")</f>
        <v/>
      </c>
      <c r="D995" t="str">
        <f>IFERROR(VLOOKUP($A995, Ledger!$B$2:$L$8, 5, 0),"")</f>
        <v/>
      </c>
      <c r="E995" t="str">
        <f>IFERROR(VLOOKUP($A995, Ledger!$B$2:$L$8, 6, 0),"")</f>
        <v/>
      </c>
      <c r="F995" t="str">
        <f>IFERROR(VLOOKUP($A995,'Student Data'!$A$2:$AR$6,32,0),"")</f>
        <v/>
      </c>
      <c r="G995" t="str">
        <f>IFERROR(VLOOKUP($A995,'Student Data'!$A$2:$AR$6,33,0),"")</f>
        <v/>
      </c>
      <c r="H995" t="str">
        <f>IFERROR(VLOOKUP($A995,'Student Data'!$A$2:$AR$6,34,0),"")</f>
        <v/>
      </c>
      <c r="I995" t="str">
        <f>IFERROR(VLOOKUP($A995,'Student Data'!$A$2:$AR$6,35,0),"")</f>
        <v/>
      </c>
      <c r="J995" t="str">
        <f>IFERROR(VLOOKUP($A995,'Student Data'!$A$2:$AR$6,36,0),"")</f>
        <v/>
      </c>
      <c r="K995" t="str">
        <f t="shared" si="30"/>
        <v/>
      </c>
      <c r="L995" t="str">
        <f t="shared" si="31"/>
        <v/>
      </c>
      <c r="M995" t="str">
        <f>IFERROR(IF($C995="","",SUMIFS(Ledger!$K$2:$K$4, Ledger!$B$2:$B$4, $A995, Ledger!$C$2:$C$4, M$2)),"****")</f>
        <v/>
      </c>
      <c r="N995" t="str">
        <f>IFERROR(IF($C995="","",SUMIFS(Ledger!$K$2:$K$4, Ledger!$B$2:$B$4, $A995, Ledger!$C$2:$C$4, N$2)),"****")</f>
        <v/>
      </c>
      <c r="O995" t="str">
        <f>IFERROR(IF($C995="","",SUMIFS(Ledger!$K$2:$K$4, Ledger!$B$2:$B$4, $A995, Ledger!$C$2:$C$4, O$2)),"****")</f>
        <v/>
      </c>
      <c r="P995" t="str">
        <f>IFERROR(IF($C995="","",SUMIFS(Ledger!$K$2:$K$4, Ledger!$B$2:$B$4, $A995, Ledger!$C$2:$C$4, P$2)),"****")</f>
        <v/>
      </c>
      <c r="Q995" t="str">
        <f>IFERROR(IF($C995="","",SUMIFS(Ledger!$K$2:$K$4, Ledger!$B$2:$B$4, $A995, Ledger!$C$2:$C$4, Q$2)),"****")</f>
        <v/>
      </c>
      <c r="R995" t="str">
        <f>IFERROR(IF($C995="","",SUMIFS(Ledger!$K$2:$K$4, Ledger!$B$2:$B$4, $A995, Ledger!$C$2:$C$4, R$2)),"****")</f>
        <v/>
      </c>
      <c r="S995" t="str">
        <f>IFERROR(IF($C995="","",SUMIFS(Ledger!$K$2:$K$4, Ledger!$B$2:$B$4, $A995, Ledger!$C$2:$C$4, S$2)),"****")</f>
        <v/>
      </c>
      <c r="T995" t="str">
        <f>IFERROR(IF($C995="","",SUMIFS(Ledger!$K$2:$K$4, Ledger!$B$2:$B$4, $A995, Ledger!$C$2:$C$4, T$2)),"****")</f>
        <v/>
      </c>
      <c r="U995" t="str">
        <f>IFERROR(IF($C995="","",SUMIFS(Ledger!$K$2:$K$4, Ledger!$B$2:$B$4, $A995, Ledger!$C$2:$C$4, U$2)),"****")</f>
        <v/>
      </c>
      <c r="V995" t="str">
        <f>IFERROR(IF($C995="","",SUMIFS(Ledger!$K$2:$K$4, Ledger!$B$2:$B$4, $A995, Ledger!$C$2:$C$4, V$2)),"****")</f>
        <v/>
      </c>
      <c r="W995" t="str">
        <f>IFERROR(IF($C995="","",SUMIFS(Ledger!$K$2:$K$4, Ledger!$B$2:$B$4, $A995, Ledger!$C$2:$C$4, W$2)),"****")</f>
        <v/>
      </c>
      <c r="X995" t="str">
        <f>IFERROR(IF($C995="","",SUMIFS(Ledger!$K$2:$K$4, Ledger!$B$2:$B$4, $A995, Ledger!$C$2:$C$4, X$2)),"****")</f>
        <v/>
      </c>
    </row>
    <row r="996" spans="1:24" x14ac:dyDescent="0.3">
      <c r="A996" s="106">
        <v>994</v>
      </c>
      <c r="B996" t="str">
        <f>IFERROR(VLOOKUP($A996, Ledger!$B$2:$L$8, 3, 0),"")</f>
        <v/>
      </c>
      <c r="C996" t="str">
        <f>IFERROR(VLOOKUP($A996, Ledger!$B$2:$L$8, 4, 0),"")</f>
        <v/>
      </c>
      <c r="D996" t="str">
        <f>IFERROR(VLOOKUP($A996, Ledger!$B$2:$L$8, 5, 0),"")</f>
        <v/>
      </c>
      <c r="E996" t="str">
        <f>IFERROR(VLOOKUP($A996, Ledger!$B$2:$L$8, 6, 0),"")</f>
        <v/>
      </c>
      <c r="F996" t="str">
        <f>IFERROR(VLOOKUP($A996,'Student Data'!$A$2:$AR$6,32,0),"")</f>
        <v/>
      </c>
      <c r="G996" t="str">
        <f>IFERROR(VLOOKUP($A996,'Student Data'!$A$2:$AR$6,33,0),"")</f>
        <v/>
      </c>
      <c r="H996" t="str">
        <f>IFERROR(VLOOKUP($A996,'Student Data'!$A$2:$AR$6,34,0),"")</f>
        <v/>
      </c>
      <c r="I996" t="str">
        <f>IFERROR(VLOOKUP($A996,'Student Data'!$A$2:$AR$6,35,0),"")</f>
        <v/>
      </c>
      <c r="J996" t="str">
        <f>IFERROR(VLOOKUP($A996,'Student Data'!$A$2:$AR$6,36,0),"")</f>
        <v/>
      </c>
      <c r="K996" t="str">
        <f t="shared" si="30"/>
        <v/>
      </c>
      <c r="L996" t="str">
        <f t="shared" si="31"/>
        <v/>
      </c>
      <c r="M996" t="str">
        <f>IFERROR(IF($C996="","",SUMIFS(Ledger!$K$2:$K$4, Ledger!$B$2:$B$4, $A996, Ledger!$C$2:$C$4, M$2)),"****")</f>
        <v/>
      </c>
      <c r="N996" t="str">
        <f>IFERROR(IF($C996="","",SUMIFS(Ledger!$K$2:$K$4, Ledger!$B$2:$B$4, $A996, Ledger!$C$2:$C$4, N$2)),"****")</f>
        <v/>
      </c>
      <c r="O996" t="str">
        <f>IFERROR(IF($C996="","",SUMIFS(Ledger!$K$2:$K$4, Ledger!$B$2:$B$4, $A996, Ledger!$C$2:$C$4, O$2)),"****")</f>
        <v/>
      </c>
      <c r="P996" t="str">
        <f>IFERROR(IF($C996="","",SUMIFS(Ledger!$K$2:$K$4, Ledger!$B$2:$B$4, $A996, Ledger!$C$2:$C$4, P$2)),"****")</f>
        <v/>
      </c>
      <c r="Q996" t="str">
        <f>IFERROR(IF($C996="","",SUMIFS(Ledger!$K$2:$K$4, Ledger!$B$2:$B$4, $A996, Ledger!$C$2:$C$4, Q$2)),"****")</f>
        <v/>
      </c>
      <c r="R996" t="str">
        <f>IFERROR(IF($C996="","",SUMIFS(Ledger!$K$2:$K$4, Ledger!$B$2:$B$4, $A996, Ledger!$C$2:$C$4, R$2)),"****")</f>
        <v/>
      </c>
      <c r="S996" t="str">
        <f>IFERROR(IF($C996="","",SUMIFS(Ledger!$K$2:$K$4, Ledger!$B$2:$B$4, $A996, Ledger!$C$2:$C$4, S$2)),"****")</f>
        <v/>
      </c>
      <c r="T996" t="str">
        <f>IFERROR(IF($C996="","",SUMIFS(Ledger!$K$2:$K$4, Ledger!$B$2:$B$4, $A996, Ledger!$C$2:$C$4, T$2)),"****")</f>
        <v/>
      </c>
      <c r="U996" t="str">
        <f>IFERROR(IF($C996="","",SUMIFS(Ledger!$K$2:$K$4, Ledger!$B$2:$B$4, $A996, Ledger!$C$2:$C$4, U$2)),"****")</f>
        <v/>
      </c>
      <c r="V996" t="str">
        <f>IFERROR(IF($C996="","",SUMIFS(Ledger!$K$2:$K$4, Ledger!$B$2:$B$4, $A996, Ledger!$C$2:$C$4, V$2)),"****")</f>
        <v/>
      </c>
      <c r="W996" t="str">
        <f>IFERROR(IF($C996="","",SUMIFS(Ledger!$K$2:$K$4, Ledger!$B$2:$B$4, $A996, Ledger!$C$2:$C$4, W$2)),"****")</f>
        <v/>
      </c>
      <c r="X996" t="str">
        <f>IFERROR(IF($C996="","",SUMIFS(Ledger!$K$2:$K$4, Ledger!$B$2:$B$4, $A996, Ledger!$C$2:$C$4, X$2)),"****")</f>
        <v/>
      </c>
    </row>
    <row r="997" spans="1:24" x14ac:dyDescent="0.3">
      <c r="A997" s="106">
        <v>995</v>
      </c>
      <c r="B997" t="str">
        <f>IFERROR(VLOOKUP($A997, Ledger!$B$2:$L$8, 3, 0),"")</f>
        <v/>
      </c>
      <c r="C997" t="str">
        <f>IFERROR(VLOOKUP($A997, Ledger!$B$2:$L$8, 4, 0),"")</f>
        <v/>
      </c>
      <c r="D997" t="str">
        <f>IFERROR(VLOOKUP($A997, Ledger!$B$2:$L$8, 5, 0),"")</f>
        <v/>
      </c>
      <c r="E997" t="str">
        <f>IFERROR(VLOOKUP($A997, Ledger!$B$2:$L$8, 6, 0),"")</f>
        <v/>
      </c>
      <c r="F997" t="str">
        <f>IFERROR(VLOOKUP($A997,'Student Data'!$A$2:$AR$6,32,0),"")</f>
        <v/>
      </c>
      <c r="G997" t="str">
        <f>IFERROR(VLOOKUP($A997,'Student Data'!$A$2:$AR$6,33,0),"")</f>
        <v/>
      </c>
      <c r="H997" t="str">
        <f>IFERROR(VLOOKUP($A997,'Student Data'!$A$2:$AR$6,34,0),"")</f>
        <v/>
      </c>
      <c r="I997" t="str">
        <f>IFERROR(VLOOKUP($A997,'Student Data'!$A$2:$AR$6,35,0),"")</f>
        <v/>
      </c>
      <c r="J997" t="str">
        <f>IFERROR(VLOOKUP($A997,'Student Data'!$A$2:$AR$6,36,0),"")</f>
        <v/>
      </c>
      <c r="K997" t="str">
        <f t="shared" si="30"/>
        <v/>
      </c>
      <c r="L997" t="str">
        <f t="shared" si="31"/>
        <v/>
      </c>
      <c r="M997" t="str">
        <f>IFERROR(IF($C997="","",SUMIFS(Ledger!$K$2:$K$4, Ledger!$B$2:$B$4, $A997, Ledger!$C$2:$C$4, M$2)),"****")</f>
        <v/>
      </c>
      <c r="N997" t="str">
        <f>IFERROR(IF($C997="","",SUMIFS(Ledger!$K$2:$K$4, Ledger!$B$2:$B$4, $A997, Ledger!$C$2:$C$4, N$2)),"****")</f>
        <v/>
      </c>
      <c r="O997" t="str">
        <f>IFERROR(IF($C997="","",SUMIFS(Ledger!$K$2:$K$4, Ledger!$B$2:$B$4, $A997, Ledger!$C$2:$C$4, O$2)),"****")</f>
        <v/>
      </c>
      <c r="P997" t="str">
        <f>IFERROR(IF($C997="","",SUMIFS(Ledger!$K$2:$K$4, Ledger!$B$2:$B$4, $A997, Ledger!$C$2:$C$4, P$2)),"****")</f>
        <v/>
      </c>
      <c r="Q997" t="str">
        <f>IFERROR(IF($C997="","",SUMIFS(Ledger!$K$2:$K$4, Ledger!$B$2:$B$4, $A997, Ledger!$C$2:$C$4, Q$2)),"****")</f>
        <v/>
      </c>
      <c r="R997" t="str">
        <f>IFERROR(IF($C997="","",SUMIFS(Ledger!$K$2:$K$4, Ledger!$B$2:$B$4, $A997, Ledger!$C$2:$C$4, R$2)),"****")</f>
        <v/>
      </c>
      <c r="S997" t="str">
        <f>IFERROR(IF($C997="","",SUMIFS(Ledger!$K$2:$K$4, Ledger!$B$2:$B$4, $A997, Ledger!$C$2:$C$4, S$2)),"****")</f>
        <v/>
      </c>
      <c r="T997" t="str">
        <f>IFERROR(IF($C997="","",SUMIFS(Ledger!$K$2:$K$4, Ledger!$B$2:$B$4, $A997, Ledger!$C$2:$C$4, T$2)),"****")</f>
        <v/>
      </c>
      <c r="U997" t="str">
        <f>IFERROR(IF($C997="","",SUMIFS(Ledger!$K$2:$K$4, Ledger!$B$2:$B$4, $A997, Ledger!$C$2:$C$4, U$2)),"****")</f>
        <v/>
      </c>
      <c r="V997" t="str">
        <f>IFERROR(IF($C997="","",SUMIFS(Ledger!$K$2:$K$4, Ledger!$B$2:$B$4, $A997, Ledger!$C$2:$C$4, V$2)),"****")</f>
        <v/>
      </c>
      <c r="W997" t="str">
        <f>IFERROR(IF($C997="","",SUMIFS(Ledger!$K$2:$K$4, Ledger!$B$2:$B$4, $A997, Ledger!$C$2:$C$4, W$2)),"****")</f>
        <v/>
      </c>
      <c r="X997" t="str">
        <f>IFERROR(IF($C997="","",SUMIFS(Ledger!$K$2:$K$4, Ledger!$B$2:$B$4, $A997, Ledger!$C$2:$C$4, X$2)),"****")</f>
        <v/>
      </c>
    </row>
    <row r="998" spans="1:24" x14ac:dyDescent="0.3">
      <c r="A998" s="106">
        <v>996</v>
      </c>
      <c r="B998" t="str">
        <f>IFERROR(VLOOKUP($A998, Ledger!$B$2:$L$8, 3, 0),"")</f>
        <v/>
      </c>
      <c r="C998" t="str">
        <f>IFERROR(VLOOKUP($A998, Ledger!$B$2:$L$8, 4, 0),"")</f>
        <v/>
      </c>
      <c r="D998" t="str">
        <f>IFERROR(VLOOKUP($A998, Ledger!$B$2:$L$8, 5, 0),"")</f>
        <v/>
      </c>
      <c r="E998" t="str">
        <f>IFERROR(VLOOKUP($A998, Ledger!$B$2:$L$8, 6, 0),"")</f>
        <v/>
      </c>
      <c r="F998" t="str">
        <f>IFERROR(VLOOKUP($A998,'Student Data'!$A$2:$AR$6,32,0),"")</f>
        <v/>
      </c>
      <c r="G998" t="str">
        <f>IFERROR(VLOOKUP($A998,'Student Data'!$A$2:$AR$6,33,0),"")</f>
        <v/>
      </c>
      <c r="H998" t="str">
        <f>IFERROR(VLOOKUP($A998,'Student Data'!$A$2:$AR$6,34,0),"")</f>
        <v/>
      </c>
      <c r="I998" t="str">
        <f>IFERROR(VLOOKUP($A998,'Student Data'!$A$2:$AR$6,35,0),"")</f>
        <v/>
      </c>
      <c r="J998" t="str">
        <f>IFERROR(VLOOKUP($A998,'Student Data'!$A$2:$AR$6,36,0),"")</f>
        <v/>
      </c>
      <c r="K998" t="str">
        <f t="shared" si="30"/>
        <v/>
      </c>
      <c r="L998" t="str">
        <f t="shared" si="31"/>
        <v/>
      </c>
      <c r="M998" t="str">
        <f>IFERROR(IF($C998="","",SUMIFS(Ledger!$K$2:$K$4, Ledger!$B$2:$B$4, $A998, Ledger!$C$2:$C$4, M$2)),"****")</f>
        <v/>
      </c>
      <c r="N998" t="str">
        <f>IFERROR(IF($C998="","",SUMIFS(Ledger!$K$2:$K$4, Ledger!$B$2:$B$4, $A998, Ledger!$C$2:$C$4, N$2)),"****")</f>
        <v/>
      </c>
      <c r="O998" t="str">
        <f>IFERROR(IF($C998="","",SUMIFS(Ledger!$K$2:$K$4, Ledger!$B$2:$B$4, $A998, Ledger!$C$2:$C$4, O$2)),"****")</f>
        <v/>
      </c>
      <c r="P998" t="str">
        <f>IFERROR(IF($C998="","",SUMIFS(Ledger!$K$2:$K$4, Ledger!$B$2:$B$4, $A998, Ledger!$C$2:$C$4, P$2)),"****")</f>
        <v/>
      </c>
      <c r="Q998" t="str">
        <f>IFERROR(IF($C998="","",SUMIFS(Ledger!$K$2:$K$4, Ledger!$B$2:$B$4, $A998, Ledger!$C$2:$C$4, Q$2)),"****")</f>
        <v/>
      </c>
      <c r="R998" t="str">
        <f>IFERROR(IF($C998="","",SUMIFS(Ledger!$K$2:$K$4, Ledger!$B$2:$B$4, $A998, Ledger!$C$2:$C$4, R$2)),"****")</f>
        <v/>
      </c>
      <c r="S998" t="str">
        <f>IFERROR(IF($C998="","",SUMIFS(Ledger!$K$2:$K$4, Ledger!$B$2:$B$4, $A998, Ledger!$C$2:$C$4, S$2)),"****")</f>
        <v/>
      </c>
      <c r="T998" t="str">
        <f>IFERROR(IF($C998="","",SUMIFS(Ledger!$K$2:$K$4, Ledger!$B$2:$B$4, $A998, Ledger!$C$2:$C$4, T$2)),"****")</f>
        <v/>
      </c>
      <c r="U998" t="str">
        <f>IFERROR(IF($C998="","",SUMIFS(Ledger!$K$2:$K$4, Ledger!$B$2:$B$4, $A998, Ledger!$C$2:$C$4, U$2)),"****")</f>
        <v/>
      </c>
      <c r="V998" t="str">
        <f>IFERROR(IF($C998="","",SUMIFS(Ledger!$K$2:$K$4, Ledger!$B$2:$B$4, $A998, Ledger!$C$2:$C$4, V$2)),"****")</f>
        <v/>
      </c>
      <c r="W998" t="str">
        <f>IFERROR(IF($C998="","",SUMIFS(Ledger!$K$2:$K$4, Ledger!$B$2:$B$4, $A998, Ledger!$C$2:$C$4, W$2)),"****")</f>
        <v/>
      </c>
      <c r="X998" t="str">
        <f>IFERROR(IF($C998="","",SUMIFS(Ledger!$K$2:$K$4, Ledger!$B$2:$B$4, $A998, Ledger!$C$2:$C$4, X$2)),"****")</f>
        <v/>
      </c>
    </row>
    <row r="999" spans="1:24" x14ac:dyDescent="0.3">
      <c r="A999" s="106">
        <v>997</v>
      </c>
      <c r="B999" t="str">
        <f>IFERROR(VLOOKUP($A999, Ledger!$B$2:$L$8, 3, 0),"")</f>
        <v/>
      </c>
      <c r="C999" t="str">
        <f>IFERROR(VLOOKUP($A999, Ledger!$B$2:$L$8, 4, 0),"")</f>
        <v/>
      </c>
      <c r="D999" t="str">
        <f>IFERROR(VLOOKUP($A999, Ledger!$B$2:$L$8, 5, 0),"")</f>
        <v/>
      </c>
      <c r="E999" t="str">
        <f>IFERROR(VLOOKUP($A999, Ledger!$B$2:$L$8, 6, 0),"")</f>
        <v/>
      </c>
      <c r="F999" t="str">
        <f>IFERROR(VLOOKUP($A999,'Student Data'!$A$2:$AR$6,32,0),"")</f>
        <v/>
      </c>
      <c r="G999" t="str">
        <f>IFERROR(VLOOKUP($A999,'Student Data'!$A$2:$AR$6,33,0),"")</f>
        <v/>
      </c>
      <c r="H999" t="str">
        <f>IFERROR(VLOOKUP($A999,'Student Data'!$A$2:$AR$6,34,0),"")</f>
        <v/>
      </c>
      <c r="I999" t="str">
        <f>IFERROR(VLOOKUP($A999,'Student Data'!$A$2:$AR$6,35,0),"")</f>
        <v/>
      </c>
      <c r="J999" t="str">
        <f>IFERROR(VLOOKUP($A999,'Student Data'!$A$2:$AR$6,36,0),"")</f>
        <v/>
      </c>
      <c r="K999" t="str">
        <f t="shared" si="30"/>
        <v/>
      </c>
      <c r="L999" t="str">
        <f t="shared" si="31"/>
        <v/>
      </c>
      <c r="M999" t="str">
        <f>IFERROR(IF($C999="","",SUMIFS(Ledger!$K$2:$K$4, Ledger!$B$2:$B$4, $A999, Ledger!$C$2:$C$4, M$2)),"****")</f>
        <v/>
      </c>
      <c r="N999" t="str">
        <f>IFERROR(IF($C999="","",SUMIFS(Ledger!$K$2:$K$4, Ledger!$B$2:$B$4, $A999, Ledger!$C$2:$C$4, N$2)),"****")</f>
        <v/>
      </c>
      <c r="O999" t="str">
        <f>IFERROR(IF($C999="","",SUMIFS(Ledger!$K$2:$K$4, Ledger!$B$2:$B$4, $A999, Ledger!$C$2:$C$4, O$2)),"****")</f>
        <v/>
      </c>
      <c r="P999" t="str">
        <f>IFERROR(IF($C999="","",SUMIFS(Ledger!$K$2:$K$4, Ledger!$B$2:$B$4, $A999, Ledger!$C$2:$C$4, P$2)),"****")</f>
        <v/>
      </c>
      <c r="Q999" t="str">
        <f>IFERROR(IF($C999="","",SUMIFS(Ledger!$K$2:$K$4, Ledger!$B$2:$B$4, $A999, Ledger!$C$2:$C$4, Q$2)),"****")</f>
        <v/>
      </c>
      <c r="R999" t="str">
        <f>IFERROR(IF($C999="","",SUMIFS(Ledger!$K$2:$K$4, Ledger!$B$2:$B$4, $A999, Ledger!$C$2:$C$4, R$2)),"****")</f>
        <v/>
      </c>
      <c r="S999" t="str">
        <f>IFERROR(IF($C999="","",SUMIFS(Ledger!$K$2:$K$4, Ledger!$B$2:$B$4, $A999, Ledger!$C$2:$C$4, S$2)),"****")</f>
        <v/>
      </c>
      <c r="T999" t="str">
        <f>IFERROR(IF($C999="","",SUMIFS(Ledger!$K$2:$K$4, Ledger!$B$2:$B$4, $A999, Ledger!$C$2:$C$4, T$2)),"****")</f>
        <v/>
      </c>
      <c r="U999" t="str">
        <f>IFERROR(IF($C999="","",SUMIFS(Ledger!$K$2:$K$4, Ledger!$B$2:$B$4, $A999, Ledger!$C$2:$C$4, U$2)),"****")</f>
        <v/>
      </c>
      <c r="V999" t="str">
        <f>IFERROR(IF($C999="","",SUMIFS(Ledger!$K$2:$K$4, Ledger!$B$2:$B$4, $A999, Ledger!$C$2:$C$4, V$2)),"****")</f>
        <v/>
      </c>
      <c r="W999" t="str">
        <f>IFERROR(IF($C999="","",SUMIFS(Ledger!$K$2:$K$4, Ledger!$B$2:$B$4, $A999, Ledger!$C$2:$C$4, W$2)),"****")</f>
        <v/>
      </c>
      <c r="X999" t="str">
        <f>IFERROR(IF($C999="","",SUMIFS(Ledger!$K$2:$K$4, Ledger!$B$2:$B$4, $A999, Ledger!$C$2:$C$4, X$2)),"****")</f>
        <v/>
      </c>
    </row>
    <row r="1000" spans="1:24" x14ac:dyDescent="0.3">
      <c r="A1000" s="106">
        <v>998</v>
      </c>
      <c r="B1000" t="str">
        <f>IFERROR(VLOOKUP($A1000, Ledger!$B$2:$L$8, 3, 0),"")</f>
        <v/>
      </c>
      <c r="C1000" t="str">
        <f>IFERROR(VLOOKUP($A1000, Ledger!$B$2:$L$8, 4, 0),"")</f>
        <v/>
      </c>
      <c r="D1000" t="str">
        <f>IFERROR(VLOOKUP($A1000, Ledger!$B$2:$L$8, 5, 0),"")</f>
        <v/>
      </c>
      <c r="E1000" t="str">
        <f>IFERROR(VLOOKUP($A1000, Ledger!$B$2:$L$8, 6, 0),"")</f>
        <v/>
      </c>
      <c r="F1000" t="str">
        <f>IFERROR(VLOOKUP($A1000,'Student Data'!$A$2:$AR$6,32,0),"")</f>
        <v/>
      </c>
      <c r="G1000" t="str">
        <f>IFERROR(VLOOKUP($A1000,'Student Data'!$A$2:$AR$6,33,0),"")</f>
        <v/>
      </c>
      <c r="H1000" t="str">
        <f>IFERROR(VLOOKUP($A1000,'Student Data'!$A$2:$AR$6,34,0),"")</f>
        <v/>
      </c>
      <c r="I1000" t="str">
        <f>IFERROR(VLOOKUP($A1000,'Student Data'!$A$2:$AR$6,35,0),"")</f>
        <v/>
      </c>
      <c r="J1000" t="str">
        <f>IFERROR(VLOOKUP($A1000,'Student Data'!$A$2:$AR$6,36,0),"")</f>
        <v/>
      </c>
      <c r="K1000" t="str">
        <f t="shared" si="30"/>
        <v/>
      </c>
      <c r="L1000" t="str">
        <f t="shared" si="31"/>
        <v/>
      </c>
      <c r="M1000" t="str">
        <f>IFERROR(IF($C1000="","",SUMIFS(Ledger!$K$2:$K$4, Ledger!$B$2:$B$4, $A1000, Ledger!$C$2:$C$4, M$2)),"****")</f>
        <v/>
      </c>
      <c r="N1000" t="str">
        <f>IFERROR(IF($C1000="","",SUMIFS(Ledger!$K$2:$K$4, Ledger!$B$2:$B$4, $A1000, Ledger!$C$2:$C$4, N$2)),"****")</f>
        <v/>
      </c>
      <c r="O1000" t="str">
        <f>IFERROR(IF($C1000="","",SUMIFS(Ledger!$K$2:$K$4, Ledger!$B$2:$B$4, $A1000, Ledger!$C$2:$C$4, O$2)),"****")</f>
        <v/>
      </c>
      <c r="P1000" t="str">
        <f>IFERROR(IF($C1000="","",SUMIFS(Ledger!$K$2:$K$4, Ledger!$B$2:$B$4, $A1000, Ledger!$C$2:$C$4, P$2)),"****")</f>
        <v/>
      </c>
      <c r="Q1000" t="str">
        <f>IFERROR(IF($C1000="","",SUMIFS(Ledger!$K$2:$K$4, Ledger!$B$2:$B$4, $A1000, Ledger!$C$2:$C$4, Q$2)),"****")</f>
        <v/>
      </c>
      <c r="R1000" t="str">
        <f>IFERROR(IF($C1000="","",SUMIFS(Ledger!$K$2:$K$4, Ledger!$B$2:$B$4, $A1000, Ledger!$C$2:$C$4, R$2)),"****")</f>
        <v/>
      </c>
      <c r="S1000" t="str">
        <f>IFERROR(IF($C1000="","",SUMIFS(Ledger!$K$2:$K$4, Ledger!$B$2:$B$4, $A1000, Ledger!$C$2:$C$4, S$2)),"****")</f>
        <v/>
      </c>
      <c r="T1000" t="str">
        <f>IFERROR(IF($C1000="","",SUMIFS(Ledger!$K$2:$K$4, Ledger!$B$2:$B$4, $A1000, Ledger!$C$2:$C$4, T$2)),"****")</f>
        <v/>
      </c>
      <c r="U1000" t="str">
        <f>IFERROR(IF($C1000="","",SUMIFS(Ledger!$K$2:$K$4, Ledger!$B$2:$B$4, $A1000, Ledger!$C$2:$C$4, U$2)),"****")</f>
        <v/>
      </c>
      <c r="V1000" t="str">
        <f>IFERROR(IF($C1000="","",SUMIFS(Ledger!$K$2:$K$4, Ledger!$B$2:$B$4, $A1000, Ledger!$C$2:$C$4, V$2)),"****")</f>
        <v/>
      </c>
      <c r="W1000" t="str">
        <f>IFERROR(IF($C1000="","",SUMIFS(Ledger!$K$2:$K$4, Ledger!$B$2:$B$4, $A1000, Ledger!$C$2:$C$4, W$2)),"****")</f>
        <v/>
      </c>
      <c r="X1000" t="str">
        <f>IFERROR(IF($C1000="","",SUMIFS(Ledger!$K$2:$K$4, Ledger!$B$2:$B$4, $A1000, Ledger!$C$2:$C$4, X$2)),"****")</f>
        <v/>
      </c>
    </row>
    <row r="1001" spans="1:24" x14ac:dyDescent="0.3">
      <c r="A1001" s="106">
        <v>999</v>
      </c>
      <c r="B1001" t="str">
        <f>IFERROR(VLOOKUP($A1001, Ledger!$B$2:$L$8, 3, 0),"")</f>
        <v/>
      </c>
      <c r="C1001" t="str">
        <f>IFERROR(VLOOKUP($A1001, Ledger!$B$2:$L$8, 4, 0),"")</f>
        <v/>
      </c>
      <c r="D1001" t="str">
        <f>IFERROR(VLOOKUP($A1001, Ledger!$B$2:$L$8, 5, 0),"")</f>
        <v/>
      </c>
      <c r="E1001" t="str">
        <f>IFERROR(VLOOKUP($A1001, Ledger!$B$2:$L$8, 6, 0),"")</f>
        <v/>
      </c>
      <c r="F1001" t="str">
        <f>IFERROR(VLOOKUP($A1001,'Student Data'!$A$2:$AR$6,32,0),"")</f>
        <v/>
      </c>
      <c r="G1001" t="str">
        <f>IFERROR(VLOOKUP($A1001,'Student Data'!$A$2:$AR$6,33,0),"")</f>
        <v/>
      </c>
      <c r="H1001" t="str">
        <f>IFERROR(VLOOKUP($A1001,'Student Data'!$A$2:$AR$6,34,0),"")</f>
        <v/>
      </c>
      <c r="I1001" t="str">
        <f>IFERROR(VLOOKUP($A1001,'Student Data'!$A$2:$AR$6,35,0),"")</f>
        <v/>
      </c>
      <c r="J1001" t="str">
        <f>IFERROR(VLOOKUP($A1001,'Student Data'!$A$2:$AR$6,36,0),"")</f>
        <v/>
      </c>
      <c r="K1001" t="str">
        <f t="shared" si="30"/>
        <v/>
      </c>
      <c r="L1001" t="str">
        <f t="shared" si="31"/>
        <v/>
      </c>
      <c r="M1001" t="str">
        <f>IFERROR(IF($C1001="","",SUMIFS(Ledger!$K$2:$K$4, Ledger!$B$2:$B$4, $A1001, Ledger!$C$2:$C$4, M$2)),"****")</f>
        <v/>
      </c>
      <c r="N1001" t="str">
        <f>IFERROR(IF($C1001="","",SUMIFS(Ledger!$K$2:$K$4, Ledger!$B$2:$B$4, $A1001, Ledger!$C$2:$C$4, N$2)),"****")</f>
        <v/>
      </c>
      <c r="O1001" t="str">
        <f>IFERROR(IF($C1001="","",SUMIFS(Ledger!$K$2:$K$4, Ledger!$B$2:$B$4, $A1001, Ledger!$C$2:$C$4, O$2)),"****")</f>
        <v/>
      </c>
      <c r="P1001" t="str">
        <f>IFERROR(IF($C1001="","",SUMIFS(Ledger!$K$2:$K$4, Ledger!$B$2:$B$4, $A1001, Ledger!$C$2:$C$4, P$2)),"****")</f>
        <v/>
      </c>
      <c r="Q1001" t="str">
        <f>IFERROR(IF($C1001="","",SUMIFS(Ledger!$K$2:$K$4, Ledger!$B$2:$B$4, $A1001, Ledger!$C$2:$C$4, Q$2)),"****")</f>
        <v/>
      </c>
      <c r="R1001" t="str">
        <f>IFERROR(IF($C1001="","",SUMIFS(Ledger!$K$2:$K$4, Ledger!$B$2:$B$4, $A1001, Ledger!$C$2:$C$4, R$2)),"****")</f>
        <v/>
      </c>
      <c r="S1001" t="str">
        <f>IFERROR(IF($C1001="","",SUMIFS(Ledger!$K$2:$K$4, Ledger!$B$2:$B$4, $A1001, Ledger!$C$2:$C$4, S$2)),"****")</f>
        <v/>
      </c>
      <c r="T1001" t="str">
        <f>IFERROR(IF($C1001="","",SUMIFS(Ledger!$K$2:$K$4, Ledger!$B$2:$B$4, $A1001, Ledger!$C$2:$C$4, T$2)),"****")</f>
        <v/>
      </c>
      <c r="U1001" t="str">
        <f>IFERROR(IF($C1001="","",SUMIFS(Ledger!$K$2:$K$4, Ledger!$B$2:$B$4, $A1001, Ledger!$C$2:$C$4, U$2)),"****")</f>
        <v/>
      </c>
      <c r="V1001" t="str">
        <f>IFERROR(IF($C1001="","",SUMIFS(Ledger!$K$2:$K$4, Ledger!$B$2:$B$4, $A1001, Ledger!$C$2:$C$4, V$2)),"****")</f>
        <v/>
      </c>
      <c r="W1001" t="str">
        <f>IFERROR(IF($C1001="","",SUMIFS(Ledger!$K$2:$K$4, Ledger!$B$2:$B$4, $A1001, Ledger!$C$2:$C$4, W$2)),"****")</f>
        <v/>
      </c>
      <c r="X1001" t="str">
        <f>IFERROR(IF($C1001="","",SUMIFS(Ledger!$K$2:$K$4, Ledger!$B$2:$B$4, $A1001, Ledger!$C$2:$C$4, X$2)),"****")</f>
        <v/>
      </c>
    </row>
    <row r="1002" spans="1:24" x14ac:dyDescent="0.3">
      <c r="A1002" s="106">
        <v>1000</v>
      </c>
      <c r="B1002" t="str">
        <f>IFERROR(VLOOKUP($A1002, Ledger!$B$2:$L$8, 3, 0),"")</f>
        <v/>
      </c>
      <c r="C1002" t="str">
        <f>IFERROR(VLOOKUP($A1002, Ledger!$B$2:$L$8, 4, 0),"")</f>
        <v/>
      </c>
      <c r="D1002" t="str">
        <f>IFERROR(VLOOKUP($A1002, Ledger!$B$2:$L$8, 5, 0),"")</f>
        <v/>
      </c>
      <c r="E1002" t="str">
        <f>IFERROR(VLOOKUP($A1002, Ledger!$B$2:$L$8, 6, 0),"")</f>
        <v/>
      </c>
      <c r="F1002" t="str">
        <f>IFERROR(VLOOKUP($A1002,'Student Data'!$A$2:$AR$6,32,0),"")</f>
        <v/>
      </c>
      <c r="G1002" t="str">
        <f>IFERROR(VLOOKUP($A1002,'Student Data'!$A$2:$AR$6,33,0),"")</f>
        <v/>
      </c>
      <c r="H1002" t="str">
        <f>IFERROR(VLOOKUP($A1002,'Student Data'!$A$2:$AR$6,34,0),"")</f>
        <v/>
      </c>
      <c r="I1002" t="str">
        <f>IFERROR(VLOOKUP($A1002,'Student Data'!$A$2:$AR$6,35,0),"")</f>
        <v/>
      </c>
      <c r="J1002" t="str">
        <f>IFERROR(VLOOKUP($A1002,'Student Data'!$A$2:$AR$6,36,0),"")</f>
        <v/>
      </c>
      <c r="K1002" t="str">
        <f t="shared" si="30"/>
        <v/>
      </c>
      <c r="L1002" t="str">
        <f t="shared" si="31"/>
        <v/>
      </c>
      <c r="M1002" t="str">
        <f>IFERROR(IF($C1002="","",SUMIFS(Ledger!$K$2:$K$4, Ledger!$B$2:$B$4, $A1002, Ledger!$C$2:$C$4, M$2)),"****")</f>
        <v/>
      </c>
      <c r="N1002" t="str">
        <f>IFERROR(IF($C1002="","",SUMIFS(Ledger!$K$2:$K$4, Ledger!$B$2:$B$4, $A1002, Ledger!$C$2:$C$4, N$2)),"****")</f>
        <v/>
      </c>
      <c r="O1002" t="str">
        <f>IFERROR(IF($C1002="","",SUMIFS(Ledger!$K$2:$K$4, Ledger!$B$2:$B$4, $A1002, Ledger!$C$2:$C$4, O$2)),"****")</f>
        <v/>
      </c>
      <c r="P1002" t="str">
        <f>IFERROR(IF($C1002="","",SUMIFS(Ledger!$K$2:$K$4, Ledger!$B$2:$B$4, $A1002, Ledger!$C$2:$C$4, P$2)),"****")</f>
        <v/>
      </c>
      <c r="Q1002" t="str">
        <f>IFERROR(IF($C1002="","",SUMIFS(Ledger!$K$2:$K$4, Ledger!$B$2:$B$4, $A1002, Ledger!$C$2:$C$4, Q$2)),"****")</f>
        <v/>
      </c>
      <c r="R1002" t="str">
        <f>IFERROR(IF($C1002="","",SUMIFS(Ledger!$K$2:$K$4, Ledger!$B$2:$B$4, $A1002, Ledger!$C$2:$C$4, R$2)),"****")</f>
        <v/>
      </c>
      <c r="S1002" t="str">
        <f>IFERROR(IF($C1002="","",SUMIFS(Ledger!$K$2:$K$4, Ledger!$B$2:$B$4, $A1002, Ledger!$C$2:$C$4, S$2)),"****")</f>
        <v/>
      </c>
      <c r="T1002" t="str">
        <f>IFERROR(IF($C1002="","",SUMIFS(Ledger!$K$2:$K$4, Ledger!$B$2:$B$4, $A1002, Ledger!$C$2:$C$4, T$2)),"****")</f>
        <v/>
      </c>
      <c r="U1002" t="str">
        <f>IFERROR(IF($C1002="","",SUMIFS(Ledger!$K$2:$K$4, Ledger!$B$2:$B$4, $A1002, Ledger!$C$2:$C$4, U$2)),"****")</f>
        <v/>
      </c>
      <c r="V1002" t="str">
        <f>IFERROR(IF($C1002="","",SUMIFS(Ledger!$K$2:$K$4, Ledger!$B$2:$B$4, $A1002, Ledger!$C$2:$C$4, V$2)),"****")</f>
        <v/>
      </c>
      <c r="W1002" t="str">
        <f>IFERROR(IF($C1002="","",SUMIFS(Ledger!$K$2:$K$4, Ledger!$B$2:$B$4, $A1002, Ledger!$C$2:$C$4, W$2)),"****")</f>
        <v/>
      </c>
      <c r="X1002" t="str">
        <f>IFERROR(IF($C1002="","",SUMIFS(Ledger!$K$2:$K$4, Ledger!$B$2:$B$4, $A1002, Ledger!$C$2:$C$4, X$2)),"****")</f>
        <v/>
      </c>
    </row>
    <row r="1003" spans="1:24" x14ac:dyDescent="0.3">
      <c r="A1003" s="106">
        <v>1001</v>
      </c>
      <c r="B1003" t="str">
        <f>IFERROR(VLOOKUP($A1003, Ledger!$B$2:$L$8, 3, 0),"")</f>
        <v/>
      </c>
      <c r="C1003" t="str">
        <f>IFERROR(VLOOKUP($A1003, Ledger!$B$2:$L$8, 4, 0),"")</f>
        <v/>
      </c>
      <c r="D1003" t="str">
        <f>IFERROR(VLOOKUP($A1003, Ledger!$B$2:$L$8, 5, 0),"")</f>
        <v/>
      </c>
      <c r="E1003" t="str">
        <f>IFERROR(VLOOKUP($A1003, Ledger!$B$2:$L$8, 6, 0),"")</f>
        <v/>
      </c>
      <c r="F1003" t="str">
        <f>IFERROR(VLOOKUP($A1003,'Student Data'!$A$2:$AR$6,32,0),"")</f>
        <v/>
      </c>
      <c r="G1003" t="str">
        <f>IFERROR(VLOOKUP($A1003,'Student Data'!$A$2:$AR$6,33,0),"")</f>
        <v/>
      </c>
      <c r="H1003" t="str">
        <f>IFERROR(VLOOKUP($A1003,'Student Data'!$A$2:$AR$6,34,0),"")</f>
        <v/>
      </c>
      <c r="I1003" t="str">
        <f>IFERROR(VLOOKUP($A1003,'Student Data'!$A$2:$AR$6,35,0),"")</f>
        <v/>
      </c>
      <c r="J1003" t="str">
        <f>IFERROR(VLOOKUP($A1003,'Student Data'!$A$2:$AR$6,36,0),"")</f>
        <v/>
      </c>
      <c r="K1003" t="str">
        <f t="shared" si="30"/>
        <v/>
      </c>
      <c r="L1003" t="str">
        <f t="shared" si="31"/>
        <v/>
      </c>
      <c r="M1003" t="str">
        <f>IFERROR(IF($C1003="","",SUMIFS(Ledger!$K$2:$K$4, Ledger!$B$2:$B$4, $A1003, Ledger!$C$2:$C$4, M$2)),"****")</f>
        <v/>
      </c>
      <c r="N1003" t="str">
        <f>IFERROR(IF($C1003="","",SUMIFS(Ledger!$K$2:$K$4, Ledger!$B$2:$B$4, $A1003, Ledger!$C$2:$C$4, N$2)),"****")</f>
        <v/>
      </c>
      <c r="O1003" t="str">
        <f>IFERROR(IF($C1003="","",SUMIFS(Ledger!$K$2:$K$4, Ledger!$B$2:$B$4, $A1003, Ledger!$C$2:$C$4, O$2)),"****")</f>
        <v/>
      </c>
      <c r="P1003" t="str">
        <f>IFERROR(IF($C1003="","",SUMIFS(Ledger!$K$2:$K$4, Ledger!$B$2:$B$4, $A1003, Ledger!$C$2:$C$4, P$2)),"****")</f>
        <v/>
      </c>
      <c r="Q1003" t="str">
        <f>IFERROR(IF($C1003="","",SUMIFS(Ledger!$K$2:$K$4, Ledger!$B$2:$B$4, $A1003, Ledger!$C$2:$C$4, Q$2)),"****")</f>
        <v/>
      </c>
      <c r="R1003" t="str">
        <f>IFERROR(IF($C1003="","",SUMIFS(Ledger!$K$2:$K$4, Ledger!$B$2:$B$4, $A1003, Ledger!$C$2:$C$4, R$2)),"****")</f>
        <v/>
      </c>
      <c r="S1003" t="str">
        <f>IFERROR(IF($C1003="","",SUMIFS(Ledger!$K$2:$K$4, Ledger!$B$2:$B$4, $A1003, Ledger!$C$2:$C$4, S$2)),"****")</f>
        <v/>
      </c>
      <c r="T1003" t="str">
        <f>IFERROR(IF($C1003="","",SUMIFS(Ledger!$K$2:$K$4, Ledger!$B$2:$B$4, $A1003, Ledger!$C$2:$C$4, T$2)),"****")</f>
        <v/>
      </c>
      <c r="U1003" t="str">
        <f>IFERROR(IF($C1003="","",SUMIFS(Ledger!$K$2:$K$4, Ledger!$B$2:$B$4, $A1003, Ledger!$C$2:$C$4, U$2)),"****")</f>
        <v/>
      </c>
      <c r="V1003" t="str">
        <f>IFERROR(IF($C1003="","",SUMIFS(Ledger!$K$2:$K$4, Ledger!$B$2:$B$4, $A1003, Ledger!$C$2:$C$4, V$2)),"****")</f>
        <v/>
      </c>
      <c r="W1003" t="str">
        <f>IFERROR(IF($C1003="","",SUMIFS(Ledger!$K$2:$K$4, Ledger!$B$2:$B$4, $A1003, Ledger!$C$2:$C$4, W$2)),"****")</f>
        <v/>
      </c>
      <c r="X1003" t="str">
        <f>IFERROR(IF($C1003="","",SUMIFS(Ledger!$K$2:$K$4, Ledger!$B$2:$B$4, $A1003, Ledger!$C$2:$C$4, X$2)),"****")</f>
        <v/>
      </c>
    </row>
    <row r="1004" spans="1:24" x14ac:dyDescent="0.3">
      <c r="A1004" s="106">
        <v>1002</v>
      </c>
      <c r="B1004" t="str">
        <f>IFERROR(VLOOKUP($A1004, Ledger!$B$2:$L$8, 3, 0),"")</f>
        <v/>
      </c>
      <c r="C1004" t="str">
        <f>IFERROR(VLOOKUP($A1004, Ledger!$B$2:$L$8, 4, 0),"")</f>
        <v/>
      </c>
      <c r="D1004" t="str">
        <f>IFERROR(VLOOKUP($A1004, Ledger!$B$2:$L$8, 5, 0),"")</f>
        <v/>
      </c>
      <c r="E1004" t="str">
        <f>IFERROR(VLOOKUP($A1004, Ledger!$B$2:$L$8, 6, 0),"")</f>
        <v/>
      </c>
      <c r="F1004" t="str">
        <f>IFERROR(VLOOKUP($A1004,'Student Data'!$A$2:$AR$6,32,0),"")</f>
        <v/>
      </c>
      <c r="G1004" t="str">
        <f>IFERROR(VLOOKUP($A1004,'Student Data'!$A$2:$AR$6,33,0),"")</f>
        <v/>
      </c>
      <c r="H1004" t="str">
        <f>IFERROR(VLOOKUP($A1004,'Student Data'!$A$2:$AR$6,34,0),"")</f>
        <v/>
      </c>
      <c r="I1004" t="str">
        <f>IFERROR(VLOOKUP($A1004,'Student Data'!$A$2:$AR$6,35,0),"")</f>
        <v/>
      </c>
      <c r="J1004" t="str">
        <f>IFERROR(VLOOKUP($A1004,'Student Data'!$A$2:$AR$6,36,0),"")</f>
        <v/>
      </c>
      <c r="K1004" t="str">
        <f t="shared" si="30"/>
        <v/>
      </c>
      <c r="L1004" t="str">
        <f t="shared" si="31"/>
        <v/>
      </c>
      <c r="M1004" t="str">
        <f>IFERROR(IF($C1004="","",SUMIFS(Ledger!$K$2:$K$4, Ledger!$B$2:$B$4, $A1004, Ledger!$C$2:$C$4, M$2)),"****")</f>
        <v/>
      </c>
      <c r="N1004" t="str">
        <f>IFERROR(IF($C1004="","",SUMIFS(Ledger!$K$2:$K$4, Ledger!$B$2:$B$4, $A1004, Ledger!$C$2:$C$4, N$2)),"****")</f>
        <v/>
      </c>
      <c r="O1004" t="str">
        <f>IFERROR(IF($C1004="","",SUMIFS(Ledger!$K$2:$K$4, Ledger!$B$2:$B$4, $A1004, Ledger!$C$2:$C$4, O$2)),"****")</f>
        <v/>
      </c>
      <c r="P1004" t="str">
        <f>IFERROR(IF($C1004="","",SUMIFS(Ledger!$K$2:$K$4, Ledger!$B$2:$B$4, $A1004, Ledger!$C$2:$C$4, P$2)),"****")</f>
        <v/>
      </c>
      <c r="Q1004" t="str">
        <f>IFERROR(IF($C1004="","",SUMIFS(Ledger!$K$2:$K$4, Ledger!$B$2:$B$4, $A1004, Ledger!$C$2:$C$4, Q$2)),"****")</f>
        <v/>
      </c>
      <c r="R1004" t="str">
        <f>IFERROR(IF($C1004="","",SUMIFS(Ledger!$K$2:$K$4, Ledger!$B$2:$B$4, $A1004, Ledger!$C$2:$C$4, R$2)),"****")</f>
        <v/>
      </c>
      <c r="S1004" t="str">
        <f>IFERROR(IF($C1004="","",SUMIFS(Ledger!$K$2:$K$4, Ledger!$B$2:$B$4, $A1004, Ledger!$C$2:$C$4, S$2)),"****")</f>
        <v/>
      </c>
      <c r="T1004" t="str">
        <f>IFERROR(IF($C1004="","",SUMIFS(Ledger!$K$2:$K$4, Ledger!$B$2:$B$4, $A1004, Ledger!$C$2:$C$4, T$2)),"****")</f>
        <v/>
      </c>
      <c r="U1004" t="str">
        <f>IFERROR(IF($C1004="","",SUMIFS(Ledger!$K$2:$K$4, Ledger!$B$2:$B$4, $A1004, Ledger!$C$2:$C$4, U$2)),"****")</f>
        <v/>
      </c>
      <c r="V1004" t="str">
        <f>IFERROR(IF($C1004="","",SUMIFS(Ledger!$K$2:$K$4, Ledger!$B$2:$B$4, $A1004, Ledger!$C$2:$C$4, V$2)),"****")</f>
        <v/>
      </c>
      <c r="W1004" t="str">
        <f>IFERROR(IF($C1004="","",SUMIFS(Ledger!$K$2:$K$4, Ledger!$B$2:$B$4, $A1004, Ledger!$C$2:$C$4, W$2)),"****")</f>
        <v/>
      </c>
      <c r="X1004" t="str">
        <f>IFERROR(IF($C1004="","",SUMIFS(Ledger!$K$2:$K$4, Ledger!$B$2:$B$4, $A1004, Ledger!$C$2:$C$4, X$2)),"****")</f>
        <v/>
      </c>
    </row>
    <row r="1005" spans="1:24" x14ac:dyDescent="0.3">
      <c r="A1005" s="106">
        <v>1003</v>
      </c>
      <c r="B1005" t="str">
        <f>IFERROR(VLOOKUP($A1005, Ledger!$B$2:$L$8, 3, 0),"")</f>
        <v/>
      </c>
      <c r="C1005" t="str">
        <f>IFERROR(VLOOKUP($A1005, Ledger!$B$2:$L$8, 4, 0),"")</f>
        <v/>
      </c>
      <c r="D1005" t="str">
        <f>IFERROR(VLOOKUP($A1005, Ledger!$B$2:$L$8, 5, 0),"")</f>
        <v/>
      </c>
      <c r="E1005" t="str">
        <f>IFERROR(VLOOKUP($A1005, Ledger!$B$2:$L$8, 6, 0),"")</f>
        <v/>
      </c>
      <c r="F1005" t="str">
        <f>IFERROR(VLOOKUP($A1005,'Student Data'!$A$2:$AR$6,32,0),"")</f>
        <v/>
      </c>
      <c r="G1005" t="str">
        <f>IFERROR(VLOOKUP($A1005,'Student Data'!$A$2:$AR$6,33,0),"")</f>
        <v/>
      </c>
      <c r="H1005" t="str">
        <f>IFERROR(VLOOKUP($A1005,'Student Data'!$A$2:$AR$6,34,0),"")</f>
        <v/>
      </c>
      <c r="I1005" t="str">
        <f>IFERROR(VLOOKUP($A1005,'Student Data'!$A$2:$AR$6,35,0),"")</f>
        <v/>
      </c>
      <c r="J1005" t="str">
        <f>IFERROR(VLOOKUP($A1005,'Student Data'!$A$2:$AR$6,36,0),"")</f>
        <v/>
      </c>
      <c r="K1005" t="str">
        <f t="shared" si="30"/>
        <v/>
      </c>
      <c r="L1005" t="str">
        <f t="shared" si="31"/>
        <v/>
      </c>
      <c r="M1005" t="str">
        <f>IFERROR(IF($C1005="","",SUMIFS(Ledger!$K$2:$K$4, Ledger!$B$2:$B$4, $A1005, Ledger!$C$2:$C$4, M$2)),"****")</f>
        <v/>
      </c>
      <c r="N1005" t="str">
        <f>IFERROR(IF($C1005="","",SUMIFS(Ledger!$K$2:$K$4, Ledger!$B$2:$B$4, $A1005, Ledger!$C$2:$C$4, N$2)),"****")</f>
        <v/>
      </c>
      <c r="O1005" t="str">
        <f>IFERROR(IF($C1005="","",SUMIFS(Ledger!$K$2:$K$4, Ledger!$B$2:$B$4, $A1005, Ledger!$C$2:$C$4, O$2)),"****")</f>
        <v/>
      </c>
      <c r="P1005" t="str">
        <f>IFERROR(IF($C1005="","",SUMIFS(Ledger!$K$2:$K$4, Ledger!$B$2:$B$4, $A1005, Ledger!$C$2:$C$4, P$2)),"****")</f>
        <v/>
      </c>
      <c r="Q1005" t="str">
        <f>IFERROR(IF($C1005="","",SUMIFS(Ledger!$K$2:$K$4, Ledger!$B$2:$B$4, $A1005, Ledger!$C$2:$C$4, Q$2)),"****")</f>
        <v/>
      </c>
      <c r="R1005" t="str">
        <f>IFERROR(IF($C1005="","",SUMIFS(Ledger!$K$2:$K$4, Ledger!$B$2:$B$4, $A1005, Ledger!$C$2:$C$4, R$2)),"****")</f>
        <v/>
      </c>
      <c r="S1005" t="str">
        <f>IFERROR(IF($C1005="","",SUMIFS(Ledger!$K$2:$K$4, Ledger!$B$2:$B$4, $A1005, Ledger!$C$2:$C$4, S$2)),"****")</f>
        <v/>
      </c>
      <c r="T1005" t="str">
        <f>IFERROR(IF($C1005="","",SUMIFS(Ledger!$K$2:$K$4, Ledger!$B$2:$B$4, $A1005, Ledger!$C$2:$C$4, T$2)),"****")</f>
        <v/>
      </c>
      <c r="U1005" t="str">
        <f>IFERROR(IF($C1005="","",SUMIFS(Ledger!$K$2:$K$4, Ledger!$B$2:$B$4, $A1005, Ledger!$C$2:$C$4, U$2)),"****")</f>
        <v/>
      </c>
      <c r="V1005" t="str">
        <f>IFERROR(IF($C1005="","",SUMIFS(Ledger!$K$2:$K$4, Ledger!$B$2:$B$4, $A1005, Ledger!$C$2:$C$4, V$2)),"****")</f>
        <v/>
      </c>
      <c r="W1005" t="str">
        <f>IFERROR(IF($C1005="","",SUMIFS(Ledger!$K$2:$K$4, Ledger!$B$2:$B$4, $A1005, Ledger!$C$2:$C$4, W$2)),"****")</f>
        <v/>
      </c>
      <c r="X1005" t="str">
        <f>IFERROR(IF($C1005="","",SUMIFS(Ledger!$K$2:$K$4, Ledger!$B$2:$B$4, $A1005, Ledger!$C$2:$C$4, X$2)),"****")</f>
        <v/>
      </c>
    </row>
    <row r="1006" spans="1:24" x14ac:dyDescent="0.3">
      <c r="A1006" s="106">
        <v>1004</v>
      </c>
      <c r="B1006" t="str">
        <f>IFERROR(VLOOKUP($A1006, Ledger!$B$2:$L$8, 3, 0),"")</f>
        <v/>
      </c>
      <c r="C1006" t="str">
        <f>IFERROR(VLOOKUP($A1006, Ledger!$B$2:$L$8, 4, 0),"")</f>
        <v/>
      </c>
      <c r="D1006" t="str">
        <f>IFERROR(VLOOKUP($A1006, Ledger!$B$2:$L$8, 5, 0),"")</f>
        <v/>
      </c>
      <c r="E1006" t="str">
        <f>IFERROR(VLOOKUP($A1006, Ledger!$B$2:$L$8, 6, 0),"")</f>
        <v/>
      </c>
      <c r="F1006" t="str">
        <f>IFERROR(VLOOKUP($A1006,'Student Data'!$A$2:$AR$6,32,0),"")</f>
        <v/>
      </c>
      <c r="G1006" t="str">
        <f>IFERROR(VLOOKUP($A1006,'Student Data'!$A$2:$AR$6,33,0),"")</f>
        <v/>
      </c>
      <c r="H1006" t="str">
        <f>IFERROR(VLOOKUP($A1006,'Student Data'!$A$2:$AR$6,34,0),"")</f>
        <v/>
      </c>
      <c r="I1006" t="str">
        <f>IFERROR(VLOOKUP($A1006,'Student Data'!$A$2:$AR$6,35,0),"")</f>
        <v/>
      </c>
      <c r="J1006" t="str">
        <f>IFERROR(VLOOKUP($A1006,'Student Data'!$A$2:$AR$6,36,0),"")</f>
        <v/>
      </c>
      <c r="K1006" t="str">
        <f t="shared" si="30"/>
        <v/>
      </c>
      <c r="L1006" t="str">
        <f t="shared" si="31"/>
        <v/>
      </c>
      <c r="M1006" t="str">
        <f>IFERROR(IF($C1006="","",SUMIFS(Ledger!$K$2:$K$4, Ledger!$B$2:$B$4, $A1006, Ledger!$C$2:$C$4, M$2)),"****")</f>
        <v/>
      </c>
      <c r="N1006" t="str">
        <f>IFERROR(IF($C1006="","",SUMIFS(Ledger!$K$2:$K$4, Ledger!$B$2:$B$4, $A1006, Ledger!$C$2:$C$4, N$2)),"****")</f>
        <v/>
      </c>
      <c r="O1006" t="str">
        <f>IFERROR(IF($C1006="","",SUMIFS(Ledger!$K$2:$K$4, Ledger!$B$2:$B$4, $A1006, Ledger!$C$2:$C$4, O$2)),"****")</f>
        <v/>
      </c>
      <c r="P1006" t="str">
        <f>IFERROR(IF($C1006="","",SUMIFS(Ledger!$K$2:$K$4, Ledger!$B$2:$B$4, $A1006, Ledger!$C$2:$C$4, P$2)),"****")</f>
        <v/>
      </c>
      <c r="Q1006" t="str">
        <f>IFERROR(IF($C1006="","",SUMIFS(Ledger!$K$2:$K$4, Ledger!$B$2:$B$4, $A1006, Ledger!$C$2:$C$4, Q$2)),"****")</f>
        <v/>
      </c>
      <c r="R1006" t="str">
        <f>IFERROR(IF($C1006="","",SUMIFS(Ledger!$K$2:$K$4, Ledger!$B$2:$B$4, $A1006, Ledger!$C$2:$C$4, R$2)),"****")</f>
        <v/>
      </c>
      <c r="S1006" t="str">
        <f>IFERROR(IF($C1006="","",SUMIFS(Ledger!$K$2:$K$4, Ledger!$B$2:$B$4, $A1006, Ledger!$C$2:$C$4, S$2)),"****")</f>
        <v/>
      </c>
      <c r="T1006" t="str">
        <f>IFERROR(IF($C1006="","",SUMIFS(Ledger!$K$2:$K$4, Ledger!$B$2:$B$4, $A1006, Ledger!$C$2:$C$4, T$2)),"****")</f>
        <v/>
      </c>
      <c r="U1006" t="str">
        <f>IFERROR(IF($C1006="","",SUMIFS(Ledger!$K$2:$K$4, Ledger!$B$2:$B$4, $A1006, Ledger!$C$2:$C$4, U$2)),"****")</f>
        <v/>
      </c>
      <c r="V1006" t="str">
        <f>IFERROR(IF($C1006="","",SUMIFS(Ledger!$K$2:$K$4, Ledger!$B$2:$B$4, $A1006, Ledger!$C$2:$C$4, V$2)),"****")</f>
        <v/>
      </c>
      <c r="W1006" t="str">
        <f>IFERROR(IF($C1006="","",SUMIFS(Ledger!$K$2:$K$4, Ledger!$B$2:$B$4, $A1006, Ledger!$C$2:$C$4, W$2)),"****")</f>
        <v/>
      </c>
      <c r="X1006" t="str">
        <f>IFERROR(IF($C1006="","",SUMIFS(Ledger!$K$2:$K$4, Ledger!$B$2:$B$4, $A1006, Ledger!$C$2:$C$4, X$2)),"****")</f>
        <v/>
      </c>
    </row>
    <row r="1007" spans="1:24" x14ac:dyDescent="0.3">
      <c r="A1007" s="106">
        <v>1005</v>
      </c>
      <c r="B1007" t="str">
        <f>IFERROR(VLOOKUP($A1007, Ledger!$B$2:$L$8, 3, 0),"")</f>
        <v/>
      </c>
      <c r="C1007" t="str">
        <f>IFERROR(VLOOKUP($A1007, Ledger!$B$2:$L$8, 4, 0),"")</f>
        <v/>
      </c>
      <c r="D1007" t="str">
        <f>IFERROR(VLOOKUP($A1007, Ledger!$B$2:$L$8, 5, 0),"")</f>
        <v/>
      </c>
      <c r="E1007" t="str">
        <f>IFERROR(VLOOKUP($A1007, Ledger!$B$2:$L$8, 6, 0),"")</f>
        <v/>
      </c>
      <c r="F1007" t="str">
        <f>IFERROR(VLOOKUP($A1007,'Student Data'!$A$2:$AR$6,32,0),"")</f>
        <v/>
      </c>
      <c r="G1007" t="str">
        <f>IFERROR(VLOOKUP($A1007,'Student Data'!$A$2:$AR$6,33,0),"")</f>
        <v/>
      </c>
      <c r="H1007" t="str">
        <f>IFERROR(VLOOKUP($A1007,'Student Data'!$A$2:$AR$6,34,0),"")</f>
        <v/>
      </c>
      <c r="I1007" t="str">
        <f>IFERROR(VLOOKUP($A1007,'Student Data'!$A$2:$AR$6,35,0),"")</f>
        <v/>
      </c>
      <c r="J1007" t="str">
        <f>IFERROR(VLOOKUP($A1007,'Student Data'!$A$2:$AR$6,36,0),"")</f>
        <v/>
      </c>
      <c r="K1007" t="str">
        <f t="shared" si="30"/>
        <v/>
      </c>
      <c r="L1007" t="str">
        <f t="shared" si="31"/>
        <v/>
      </c>
      <c r="M1007" t="str">
        <f>IFERROR(IF($C1007="","",SUMIFS(Ledger!$K$2:$K$4, Ledger!$B$2:$B$4, $A1007, Ledger!$C$2:$C$4, M$2)),"****")</f>
        <v/>
      </c>
      <c r="N1007" t="str">
        <f>IFERROR(IF($C1007="","",SUMIFS(Ledger!$K$2:$K$4, Ledger!$B$2:$B$4, $A1007, Ledger!$C$2:$C$4, N$2)),"****")</f>
        <v/>
      </c>
      <c r="O1007" t="str">
        <f>IFERROR(IF($C1007="","",SUMIFS(Ledger!$K$2:$K$4, Ledger!$B$2:$B$4, $A1007, Ledger!$C$2:$C$4, O$2)),"****")</f>
        <v/>
      </c>
      <c r="P1007" t="str">
        <f>IFERROR(IF($C1007="","",SUMIFS(Ledger!$K$2:$K$4, Ledger!$B$2:$B$4, $A1007, Ledger!$C$2:$C$4, P$2)),"****")</f>
        <v/>
      </c>
      <c r="Q1007" t="str">
        <f>IFERROR(IF($C1007="","",SUMIFS(Ledger!$K$2:$K$4, Ledger!$B$2:$B$4, $A1007, Ledger!$C$2:$C$4, Q$2)),"****")</f>
        <v/>
      </c>
      <c r="R1007" t="str">
        <f>IFERROR(IF($C1007="","",SUMIFS(Ledger!$K$2:$K$4, Ledger!$B$2:$B$4, $A1007, Ledger!$C$2:$C$4, R$2)),"****")</f>
        <v/>
      </c>
      <c r="S1007" t="str">
        <f>IFERROR(IF($C1007="","",SUMIFS(Ledger!$K$2:$K$4, Ledger!$B$2:$B$4, $A1007, Ledger!$C$2:$C$4, S$2)),"****")</f>
        <v/>
      </c>
      <c r="T1007" t="str">
        <f>IFERROR(IF($C1007="","",SUMIFS(Ledger!$K$2:$K$4, Ledger!$B$2:$B$4, $A1007, Ledger!$C$2:$C$4, T$2)),"****")</f>
        <v/>
      </c>
      <c r="U1007" t="str">
        <f>IFERROR(IF($C1007="","",SUMIFS(Ledger!$K$2:$K$4, Ledger!$B$2:$B$4, $A1007, Ledger!$C$2:$C$4, U$2)),"****")</f>
        <v/>
      </c>
      <c r="V1007" t="str">
        <f>IFERROR(IF($C1007="","",SUMIFS(Ledger!$K$2:$K$4, Ledger!$B$2:$B$4, $A1007, Ledger!$C$2:$C$4, V$2)),"****")</f>
        <v/>
      </c>
      <c r="W1007" t="str">
        <f>IFERROR(IF($C1007="","",SUMIFS(Ledger!$K$2:$K$4, Ledger!$B$2:$B$4, $A1007, Ledger!$C$2:$C$4, W$2)),"****")</f>
        <v/>
      </c>
      <c r="X1007" t="str">
        <f>IFERROR(IF($C1007="","",SUMIFS(Ledger!$K$2:$K$4, Ledger!$B$2:$B$4, $A1007, Ledger!$C$2:$C$4, X$2)),"****")</f>
        <v/>
      </c>
    </row>
    <row r="1008" spans="1:24" x14ac:dyDescent="0.3">
      <c r="A1008" s="106">
        <v>1006</v>
      </c>
      <c r="B1008" t="str">
        <f>IFERROR(VLOOKUP($A1008, Ledger!$B$2:$L$8, 3, 0),"")</f>
        <v/>
      </c>
      <c r="C1008" t="str">
        <f>IFERROR(VLOOKUP($A1008, Ledger!$B$2:$L$8, 4, 0),"")</f>
        <v/>
      </c>
      <c r="D1008" t="str">
        <f>IFERROR(VLOOKUP($A1008, Ledger!$B$2:$L$8, 5, 0),"")</f>
        <v/>
      </c>
      <c r="E1008" t="str">
        <f>IFERROR(VLOOKUP($A1008, Ledger!$B$2:$L$8, 6, 0),"")</f>
        <v/>
      </c>
      <c r="F1008" t="str">
        <f>IFERROR(VLOOKUP($A1008,'Student Data'!$A$2:$AR$6,32,0),"")</f>
        <v/>
      </c>
      <c r="G1008" t="str">
        <f>IFERROR(VLOOKUP($A1008,'Student Data'!$A$2:$AR$6,33,0),"")</f>
        <v/>
      </c>
      <c r="H1008" t="str">
        <f>IFERROR(VLOOKUP($A1008,'Student Data'!$A$2:$AR$6,34,0),"")</f>
        <v/>
      </c>
      <c r="I1008" t="str">
        <f>IFERROR(VLOOKUP($A1008,'Student Data'!$A$2:$AR$6,35,0),"")</f>
        <v/>
      </c>
      <c r="J1008" t="str">
        <f>IFERROR(VLOOKUP($A1008,'Student Data'!$A$2:$AR$6,36,0),"")</f>
        <v/>
      </c>
      <c r="K1008" t="str">
        <f t="shared" si="30"/>
        <v/>
      </c>
      <c r="L1008" t="str">
        <f t="shared" si="31"/>
        <v/>
      </c>
      <c r="M1008" t="str">
        <f>IFERROR(IF($C1008="","",SUMIFS(Ledger!$K$2:$K$4, Ledger!$B$2:$B$4, $A1008, Ledger!$C$2:$C$4, M$2)),"****")</f>
        <v/>
      </c>
      <c r="N1008" t="str">
        <f>IFERROR(IF($C1008="","",SUMIFS(Ledger!$K$2:$K$4, Ledger!$B$2:$B$4, $A1008, Ledger!$C$2:$C$4, N$2)),"****")</f>
        <v/>
      </c>
      <c r="O1008" t="str">
        <f>IFERROR(IF($C1008="","",SUMIFS(Ledger!$K$2:$K$4, Ledger!$B$2:$B$4, $A1008, Ledger!$C$2:$C$4, O$2)),"****")</f>
        <v/>
      </c>
      <c r="P1008" t="str">
        <f>IFERROR(IF($C1008="","",SUMIFS(Ledger!$K$2:$K$4, Ledger!$B$2:$B$4, $A1008, Ledger!$C$2:$C$4, P$2)),"****")</f>
        <v/>
      </c>
      <c r="Q1008" t="str">
        <f>IFERROR(IF($C1008="","",SUMIFS(Ledger!$K$2:$K$4, Ledger!$B$2:$B$4, $A1008, Ledger!$C$2:$C$4, Q$2)),"****")</f>
        <v/>
      </c>
      <c r="R1008" t="str">
        <f>IFERROR(IF($C1008="","",SUMIFS(Ledger!$K$2:$K$4, Ledger!$B$2:$B$4, $A1008, Ledger!$C$2:$C$4, R$2)),"****")</f>
        <v/>
      </c>
      <c r="S1008" t="str">
        <f>IFERROR(IF($C1008="","",SUMIFS(Ledger!$K$2:$K$4, Ledger!$B$2:$B$4, $A1008, Ledger!$C$2:$C$4, S$2)),"****")</f>
        <v/>
      </c>
      <c r="T1008" t="str">
        <f>IFERROR(IF($C1008="","",SUMIFS(Ledger!$K$2:$K$4, Ledger!$B$2:$B$4, $A1008, Ledger!$C$2:$C$4, T$2)),"****")</f>
        <v/>
      </c>
      <c r="U1008" t="str">
        <f>IFERROR(IF($C1008="","",SUMIFS(Ledger!$K$2:$K$4, Ledger!$B$2:$B$4, $A1008, Ledger!$C$2:$C$4, U$2)),"****")</f>
        <v/>
      </c>
      <c r="V1008" t="str">
        <f>IFERROR(IF($C1008="","",SUMIFS(Ledger!$K$2:$K$4, Ledger!$B$2:$B$4, $A1008, Ledger!$C$2:$C$4, V$2)),"****")</f>
        <v/>
      </c>
      <c r="W1008" t="str">
        <f>IFERROR(IF($C1008="","",SUMIFS(Ledger!$K$2:$K$4, Ledger!$B$2:$B$4, $A1008, Ledger!$C$2:$C$4, W$2)),"****")</f>
        <v/>
      </c>
      <c r="X1008" t="str">
        <f>IFERROR(IF($C1008="","",SUMIFS(Ledger!$K$2:$K$4, Ledger!$B$2:$B$4, $A1008, Ledger!$C$2:$C$4, X$2)),"****")</f>
        <v/>
      </c>
    </row>
    <row r="1009" spans="1:24" x14ac:dyDescent="0.3">
      <c r="A1009" s="106">
        <v>1007</v>
      </c>
      <c r="B1009" t="str">
        <f>IFERROR(VLOOKUP($A1009, Ledger!$B$2:$L$8, 3, 0),"")</f>
        <v/>
      </c>
      <c r="C1009" t="str">
        <f>IFERROR(VLOOKUP($A1009, Ledger!$B$2:$L$8, 4, 0),"")</f>
        <v/>
      </c>
      <c r="D1009" t="str">
        <f>IFERROR(VLOOKUP($A1009, Ledger!$B$2:$L$8, 5, 0),"")</f>
        <v/>
      </c>
      <c r="E1009" t="str">
        <f>IFERROR(VLOOKUP($A1009, Ledger!$B$2:$L$8, 6, 0),"")</f>
        <v/>
      </c>
      <c r="F1009" t="str">
        <f>IFERROR(VLOOKUP($A1009,'Student Data'!$A$2:$AR$6,32,0),"")</f>
        <v/>
      </c>
      <c r="G1009" t="str">
        <f>IFERROR(VLOOKUP($A1009,'Student Data'!$A$2:$AR$6,33,0),"")</f>
        <v/>
      </c>
      <c r="H1009" t="str">
        <f>IFERROR(VLOOKUP($A1009,'Student Data'!$A$2:$AR$6,34,0),"")</f>
        <v/>
      </c>
      <c r="I1009" t="str">
        <f>IFERROR(VLOOKUP($A1009,'Student Data'!$A$2:$AR$6,35,0),"")</f>
        <v/>
      </c>
      <c r="J1009" t="str">
        <f>IFERROR(VLOOKUP($A1009,'Student Data'!$A$2:$AR$6,36,0),"")</f>
        <v/>
      </c>
      <c r="K1009" t="str">
        <f t="shared" si="30"/>
        <v/>
      </c>
      <c r="L1009" t="str">
        <f t="shared" si="31"/>
        <v/>
      </c>
      <c r="M1009" t="str">
        <f>IFERROR(IF($C1009="","",SUMIFS(Ledger!$K$2:$K$4, Ledger!$B$2:$B$4, $A1009, Ledger!$C$2:$C$4, M$2)),"****")</f>
        <v/>
      </c>
      <c r="N1009" t="str">
        <f>IFERROR(IF($C1009="","",SUMIFS(Ledger!$K$2:$K$4, Ledger!$B$2:$B$4, $A1009, Ledger!$C$2:$C$4, N$2)),"****")</f>
        <v/>
      </c>
      <c r="O1009" t="str">
        <f>IFERROR(IF($C1009="","",SUMIFS(Ledger!$K$2:$K$4, Ledger!$B$2:$B$4, $A1009, Ledger!$C$2:$C$4, O$2)),"****")</f>
        <v/>
      </c>
      <c r="P1009" t="str">
        <f>IFERROR(IF($C1009="","",SUMIFS(Ledger!$K$2:$K$4, Ledger!$B$2:$B$4, $A1009, Ledger!$C$2:$C$4, P$2)),"****")</f>
        <v/>
      </c>
      <c r="Q1009" t="str">
        <f>IFERROR(IF($C1009="","",SUMIFS(Ledger!$K$2:$K$4, Ledger!$B$2:$B$4, $A1009, Ledger!$C$2:$C$4, Q$2)),"****")</f>
        <v/>
      </c>
      <c r="R1009" t="str">
        <f>IFERROR(IF($C1009="","",SUMIFS(Ledger!$K$2:$K$4, Ledger!$B$2:$B$4, $A1009, Ledger!$C$2:$C$4, R$2)),"****")</f>
        <v/>
      </c>
      <c r="S1009" t="str">
        <f>IFERROR(IF($C1009="","",SUMIFS(Ledger!$K$2:$K$4, Ledger!$B$2:$B$4, $A1009, Ledger!$C$2:$C$4, S$2)),"****")</f>
        <v/>
      </c>
      <c r="T1009" t="str">
        <f>IFERROR(IF($C1009="","",SUMIFS(Ledger!$K$2:$K$4, Ledger!$B$2:$B$4, $A1009, Ledger!$C$2:$C$4, T$2)),"****")</f>
        <v/>
      </c>
      <c r="U1009" t="str">
        <f>IFERROR(IF($C1009="","",SUMIFS(Ledger!$K$2:$K$4, Ledger!$B$2:$B$4, $A1009, Ledger!$C$2:$C$4, U$2)),"****")</f>
        <v/>
      </c>
      <c r="V1009" t="str">
        <f>IFERROR(IF($C1009="","",SUMIFS(Ledger!$K$2:$K$4, Ledger!$B$2:$B$4, $A1009, Ledger!$C$2:$C$4, V$2)),"****")</f>
        <v/>
      </c>
      <c r="W1009" t="str">
        <f>IFERROR(IF($C1009="","",SUMIFS(Ledger!$K$2:$K$4, Ledger!$B$2:$B$4, $A1009, Ledger!$C$2:$C$4, W$2)),"****")</f>
        <v/>
      </c>
      <c r="X1009" t="str">
        <f>IFERROR(IF($C1009="","",SUMIFS(Ledger!$K$2:$K$4, Ledger!$B$2:$B$4, $A1009, Ledger!$C$2:$C$4, X$2)),"****")</f>
        <v/>
      </c>
    </row>
    <row r="1010" spans="1:24" x14ac:dyDescent="0.3">
      <c r="A1010" s="106">
        <v>1008</v>
      </c>
      <c r="B1010" t="str">
        <f>IFERROR(VLOOKUP($A1010, Ledger!$B$2:$L$8, 3, 0),"")</f>
        <v/>
      </c>
      <c r="C1010" t="str">
        <f>IFERROR(VLOOKUP($A1010, Ledger!$B$2:$L$8, 4, 0),"")</f>
        <v/>
      </c>
      <c r="D1010" t="str">
        <f>IFERROR(VLOOKUP($A1010, Ledger!$B$2:$L$8, 5, 0),"")</f>
        <v/>
      </c>
      <c r="E1010" t="str">
        <f>IFERROR(VLOOKUP($A1010, Ledger!$B$2:$L$8, 6, 0),"")</f>
        <v/>
      </c>
      <c r="F1010" t="str">
        <f>IFERROR(VLOOKUP($A1010,'Student Data'!$A$2:$AR$6,32,0),"")</f>
        <v/>
      </c>
      <c r="G1010" t="str">
        <f>IFERROR(VLOOKUP($A1010,'Student Data'!$A$2:$AR$6,33,0),"")</f>
        <v/>
      </c>
      <c r="H1010" t="str">
        <f>IFERROR(VLOOKUP($A1010,'Student Data'!$A$2:$AR$6,34,0),"")</f>
        <v/>
      </c>
      <c r="I1010" t="str">
        <f>IFERROR(VLOOKUP($A1010,'Student Data'!$A$2:$AR$6,35,0),"")</f>
        <v/>
      </c>
      <c r="J1010" t="str">
        <f>IFERROR(VLOOKUP($A1010,'Student Data'!$A$2:$AR$6,36,0),"")</f>
        <v/>
      </c>
      <c r="K1010" t="str">
        <f t="shared" si="30"/>
        <v/>
      </c>
      <c r="L1010" t="str">
        <f t="shared" si="31"/>
        <v/>
      </c>
      <c r="M1010" t="str">
        <f>IFERROR(IF($C1010="","",SUMIFS(Ledger!$K$2:$K$4, Ledger!$B$2:$B$4, $A1010, Ledger!$C$2:$C$4, M$2)),"****")</f>
        <v/>
      </c>
      <c r="N1010" t="str">
        <f>IFERROR(IF($C1010="","",SUMIFS(Ledger!$K$2:$K$4, Ledger!$B$2:$B$4, $A1010, Ledger!$C$2:$C$4, N$2)),"****")</f>
        <v/>
      </c>
      <c r="O1010" t="str">
        <f>IFERROR(IF($C1010="","",SUMIFS(Ledger!$K$2:$K$4, Ledger!$B$2:$B$4, $A1010, Ledger!$C$2:$C$4, O$2)),"****")</f>
        <v/>
      </c>
      <c r="P1010" t="str">
        <f>IFERROR(IF($C1010="","",SUMIFS(Ledger!$K$2:$K$4, Ledger!$B$2:$B$4, $A1010, Ledger!$C$2:$C$4, P$2)),"****")</f>
        <v/>
      </c>
      <c r="Q1010" t="str">
        <f>IFERROR(IF($C1010="","",SUMIFS(Ledger!$K$2:$K$4, Ledger!$B$2:$B$4, $A1010, Ledger!$C$2:$C$4, Q$2)),"****")</f>
        <v/>
      </c>
      <c r="R1010" t="str">
        <f>IFERROR(IF($C1010="","",SUMIFS(Ledger!$K$2:$K$4, Ledger!$B$2:$B$4, $A1010, Ledger!$C$2:$C$4, R$2)),"****")</f>
        <v/>
      </c>
      <c r="S1010" t="str">
        <f>IFERROR(IF($C1010="","",SUMIFS(Ledger!$K$2:$K$4, Ledger!$B$2:$B$4, $A1010, Ledger!$C$2:$C$4, S$2)),"****")</f>
        <v/>
      </c>
      <c r="T1010" t="str">
        <f>IFERROR(IF($C1010="","",SUMIFS(Ledger!$K$2:$K$4, Ledger!$B$2:$B$4, $A1010, Ledger!$C$2:$C$4, T$2)),"****")</f>
        <v/>
      </c>
      <c r="U1010" t="str">
        <f>IFERROR(IF($C1010="","",SUMIFS(Ledger!$K$2:$K$4, Ledger!$B$2:$B$4, $A1010, Ledger!$C$2:$C$4, U$2)),"****")</f>
        <v/>
      </c>
      <c r="V1010" t="str">
        <f>IFERROR(IF($C1010="","",SUMIFS(Ledger!$K$2:$K$4, Ledger!$B$2:$B$4, $A1010, Ledger!$C$2:$C$4, V$2)),"****")</f>
        <v/>
      </c>
      <c r="W1010" t="str">
        <f>IFERROR(IF($C1010="","",SUMIFS(Ledger!$K$2:$K$4, Ledger!$B$2:$B$4, $A1010, Ledger!$C$2:$C$4, W$2)),"****")</f>
        <v/>
      </c>
      <c r="X1010" t="str">
        <f>IFERROR(IF($C1010="","",SUMIFS(Ledger!$K$2:$K$4, Ledger!$B$2:$B$4, $A1010, Ledger!$C$2:$C$4, X$2)),"****")</f>
        <v/>
      </c>
    </row>
    <row r="1011" spans="1:24" x14ac:dyDescent="0.3">
      <c r="A1011" s="106">
        <v>1009</v>
      </c>
      <c r="B1011" t="str">
        <f>IFERROR(VLOOKUP($A1011, Ledger!$B$2:$L$8, 3, 0),"")</f>
        <v/>
      </c>
      <c r="C1011" t="str">
        <f>IFERROR(VLOOKUP($A1011, Ledger!$B$2:$L$8, 4, 0),"")</f>
        <v/>
      </c>
      <c r="D1011" t="str">
        <f>IFERROR(VLOOKUP($A1011, Ledger!$B$2:$L$8, 5, 0),"")</f>
        <v/>
      </c>
      <c r="E1011" t="str">
        <f>IFERROR(VLOOKUP($A1011, Ledger!$B$2:$L$8, 6, 0),"")</f>
        <v/>
      </c>
      <c r="F1011" t="str">
        <f>IFERROR(VLOOKUP($A1011,'Student Data'!$A$2:$AR$6,32,0),"")</f>
        <v/>
      </c>
      <c r="G1011" t="str">
        <f>IFERROR(VLOOKUP($A1011,'Student Data'!$A$2:$AR$6,33,0),"")</f>
        <v/>
      </c>
      <c r="H1011" t="str">
        <f>IFERROR(VLOOKUP($A1011,'Student Data'!$A$2:$AR$6,34,0),"")</f>
        <v/>
      </c>
      <c r="I1011" t="str">
        <f>IFERROR(VLOOKUP($A1011,'Student Data'!$A$2:$AR$6,35,0),"")</f>
        <v/>
      </c>
      <c r="J1011" t="str">
        <f>IFERROR(VLOOKUP($A1011,'Student Data'!$A$2:$AR$6,36,0),"")</f>
        <v/>
      </c>
      <c r="K1011" t="str">
        <f t="shared" si="30"/>
        <v/>
      </c>
      <c r="L1011" t="str">
        <f t="shared" si="31"/>
        <v/>
      </c>
      <c r="M1011" t="str">
        <f>IFERROR(IF($C1011="","",SUMIFS(Ledger!$K$2:$K$4, Ledger!$B$2:$B$4, $A1011, Ledger!$C$2:$C$4, M$2)),"****")</f>
        <v/>
      </c>
      <c r="N1011" t="str">
        <f>IFERROR(IF($C1011="","",SUMIFS(Ledger!$K$2:$K$4, Ledger!$B$2:$B$4, $A1011, Ledger!$C$2:$C$4, N$2)),"****")</f>
        <v/>
      </c>
      <c r="O1011" t="str">
        <f>IFERROR(IF($C1011="","",SUMIFS(Ledger!$K$2:$K$4, Ledger!$B$2:$B$4, $A1011, Ledger!$C$2:$C$4, O$2)),"****")</f>
        <v/>
      </c>
      <c r="P1011" t="str">
        <f>IFERROR(IF($C1011="","",SUMIFS(Ledger!$K$2:$K$4, Ledger!$B$2:$B$4, $A1011, Ledger!$C$2:$C$4, P$2)),"****")</f>
        <v/>
      </c>
      <c r="Q1011" t="str">
        <f>IFERROR(IF($C1011="","",SUMIFS(Ledger!$K$2:$K$4, Ledger!$B$2:$B$4, $A1011, Ledger!$C$2:$C$4, Q$2)),"****")</f>
        <v/>
      </c>
      <c r="R1011" t="str">
        <f>IFERROR(IF($C1011="","",SUMIFS(Ledger!$K$2:$K$4, Ledger!$B$2:$B$4, $A1011, Ledger!$C$2:$C$4, R$2)),"****")</f>
        <v/>
      </c>
      <c r="S1011" t="str">
        <f>IFERROR(IF($C1011="","",SUMIFS(Ledger!$K$2:$K$4, Ledger!$B$2:$B$4, $A1011, Ledger!$C$2:$C$4, S$2)),"****")</f>
        <v/>
      </c>
      <c r="T1011" t="str">
        <f>IFERROR(IF($C1011="","",SUMIFS(Ledger!$K$2:$K$4, Ledger!$B$2:$B$4, $A1011, Ledger!$C$2:$C$4, T$2)),"****")</f>
        <v/>
      </c>
      <c r="U1011" t="str">
        <f>IFERROR(IF($C1011="","",SUMIFS(Ledger!$K$2:$K$4, Ledger!$B$2:$B$4, $A1011, Ledger!$C$2:$C$4, U$2)),"****")</f>
        <v/>
      </c>
      <c r="V1011" t="str">
        <f>IFERROR(IF($C1011="","",SUMIFS(Ledger!$K$2:$K$4, Ledger!$B$2:$B$4, $A1011, Ledger!$C$2:$C$4, V$2)),"****")</f>
        <v/>
      </c>
      <c r="W1011" t="str">
        <f>IFERROR(IF($C1011="","",SUMIFS(Ledger!$K$2:$K$4, Ledger!$B$2:$B$4, $A1011, Ledger!$C$2:$C$4, W$2)),"****")</f>
        <v/>
      </c>
      <c r="X1011" t="str">
        <f>IFERROR(IF($C1011="","",SUMIFS(Ledger!$K$2:$K$4, Ledger!$B$2:$B$4, $A1011, Ledger!$C$2:$C$4, X$2)),"****")</f>
        <v/>
      </c>
    </row>
    <row r="1012" spans="1:24" x14ac:dyDescent="0.3">
      <c r="A1012" s="106">
        <v>1010</v>
      </c>
      <c r="B1012" t="str">
        <f>IFERROR(VLOOKUP($A1012, Ledger!$B$2:$L$8, 3, 0),"")</f>
        <v/>
      </c>
      <c r="C1012" t="str">
        <f>IFERROR(VLOOKUP($A1012, Ledger!$B$2:$L$8, 4, 0),"")</f>
        <v/>
      </c>
      <c r="D1012" t="str">
        <f>IFERROR(VLOOKUP($A1012, Ledger!$B$2:$L$8, 5, 0),"")</f>
        <v/>
      </c>
      <c r="E1012" t="str">
        <f>IFERROR(VLOOKUP($A1012, Ledger!$B$2:$L$8, 6, 0),"")</f>
        <v/>
      </c>
      <c r="F1012" t="str">
        <f>IFERROR(VLOOKUP($A1012,'Student Data'!$A$2:$AR$6,32,0),"")</f>
        <v/>
      </c>
      <c r="G1012" t="str">
        <f>IFERROR(VLOOKUP($A1012,'Student Data'!$A$2:$AR$6,33,0),"")</f>
        <v/>
      </c>
      <c r="H1012" t="str">
        <f>IFERROR(VLOOKUP($A1012,'Student Data'!$A$2:$AR$6,34,0),"")</f>
        <v/>
      </c>
      <c r="I1012" t="str">
        <f>IFERROR(VLOOKUP($A1012,'Student Data'!$A$2:$AR$6,35,0),"")</f>
        <v/>
      </c>
      <c r="J1012" t="str">
        <f>IFERROR(VLOOKUP($A1012,'Student Data'!$A$2:$AR$6,36,0),"")</f>
        <v/>
      </c>
      <c r="K1012" t="str">
        <f t="shared" si="30"/>
        <v/>
      </c>
      <c r="L1012" t="str">
        <f t="shared" si="31"/>
        <v/>
      </c>
      <c r="M1012" t="str">
        <f>IFERROR(IF($C1012="","",SUMIFS(Ledger!$K$2:$K$4, Ledger!$B$2:$B$4, $A1012, Ledger!$C$2:$C$4, M$2)),"****")</f>
        <v/>
      </c>
      <c r="N1012" t="str">
        <f>IFERROR(IF($C1012="","",SUMIFS(Ledger!$K$2:$K$4, Ledger!$B$2:$B$4, $A1012, Ledger!$C$2:$C$4, N$2)),"****")</f>
        <v/>
      </c>
      <c r="O1012" t="str">
        <f>IFERROR(IF($C1012="","",SUMIFS(Ledger!$K$2:$K$4, Ledger!$B$2:$B$4, $A1012, Ledger!$C$2:$C$4, O$2)),"****")</f>
        <v/>
      </c>
      <c r="P1012" t="str">
        <f>IFERROR(IF($C1012="","",SUMIFS(Ledger!$K$2:$K$4, Ledger!$B$2:$B$4, $A1012, Ledger!$C$2:$C$4, P$2)),"****")</f>
        <v/>
      </c>
      <c r="Q1012" t="str">
        <f>IFERROR(IF($C1012="","",SUMIFS(Ledger!$K$2:$K$4, Ledger!$B$2:$B$4, $A1012, Ledger!$C$2:$C$4, Q$2)),"****")</f>
        <v/>
      </c>
      <c r="R1012" t="str">
        <f>IFERROR(IF($C1012="","",SUMIFS(Ledger!$K$2:$K$4, Ledger!$B$2:$B$4, $A1012, Ledger!$C$2:$C$4, R$2)),"****")</f>
        <v/>
      </c>
      <c r="S1012" t="str">
        <f>IFERROR(IF($C1012="","",SUMIFS(Ledger!$K$2:$K$4, Ledger!$B$2:$B$4, $A1012, Ledger!$C$2:$C$4, S$2)),"****")</f>
        <v/>
      </c>
      <c r="T1012" t="str">
        <f>IFERROR(IF($C1012="","",SUMIFS(Ledger!$K$2:$K$4, Ledger!$B$2:$B$4, $A1012, Ledger!$C$2:$C$4, T$2)),"****")</f>
        <v/>
      </c>
      <c r="U1012" t="str">
        <f>IFERROR(IF($C1012="","",SUMIFS(Ledger!$K$2:$K$4, Ledger!$B$2:$B$4, $A1012, Ledger!$C$2:$C$4, U$2)),"****")</f>
        <v/>
      </c>
      <c r="V1012" t="str">
        <f>IFERROR(IF($C1012="","",SUMIFS(Ledger!$K$2:$K$4, Ledger!$B$2:$B$4, $A1012, Ledger!$C$2:$C$4, V$2)),"****")</f>
        <v/>
      </c>
      <c r="W1012" t="str">
        <f>IFERROR(IF($C1012="","",SUMIFS(Ledger!$K$2:$K$4, Ledger!$B$2:$B$4, $A1012, Ledger!$C$2:$C$4, W$2)),"****")</f>
        <v/>
      </c>
      <c r="X1012" t="str">
        <f>IFERROR(IF($C1012="","",SUMIFS(Ledger!$K$2:$K$4, Ledger!$B$2:$B$4, $A1012, Ledger!$C$2:$C$4, X$2)),"****")</f>
        <v/>
      </c>
    </row>
    <row r="1013" spans="1:24" x14ac:dyDescent="0.3">
      <c r="A1013" s="106">
        <v>1011</v>
      </c>
      <c r="B1013" t="str">
        <f>IFERROR(VLOOKUP($A1013, Ledger!$B$2:$L$8, 3, 0),"")</f>
        <v/>
      </c>
      <c r="C1013" t="str">
        <f>IFERROR(VLOOKUP($A1013, Ledger!$B$2:$L$8, 4, 0),"")</f>
        <v/>
      </c>
      <c r="D1013" t="str">
        <f>IFERROR(VLOOKUP($A1013, Ledger!$B$2:$L$8, 5, 0),"")</f>
        <v/>
      </c>
      <c r="E1013" t="str">
        <f>IFERROR(VLOOKUP($A1013, Ledger!$B$2:$L$8, 6, 0),"")</f>
        <v/>
      </c>
      <c r="F1013" t="str">
        <f>IFERROR(VLOOKUP($A1013,'Student Data'!$A$2:$AR$6,32,0),"")</f>
        <v/>
      </c>
      <c r="G1013" t="str">
        <f>IFERROR(VLOOKUP($A1013,'Student Data'!$A$2:$AR$6,33,0),"")</f>
        <v/>
      </c>
      <c r="H1013" t="str">
        <f>IFERROR(VLOOKUP($A1013,'Student Data'!$A$2:$AR$6,34,0),"")</f>
        <v/>
      </c>
      <c r="I1013" t="str">
        <f>IFERROR(VLOOKUP($A1013,'Student Data'!$A$2:$AR$6,35,0),"")</f>
        <v/>
      </c>
      <c r="J1013" t="str">
        <f>IFERROR(VLOOKUP($A1013,'Student Data'!$A$2:$AR$6,36,0),"")</f>
        <v/>
      </c>
      <c r="K1013" t="str">
        <f t="shared" si="30"/>
        <v/>
      </c>
      <c r="L1013" t="str">
        <f t="shared" si="31"/>
        <v/>
      </c>
      <c r="M1013" t="str">
        <f>IFERROR(IF($C1013="","",SUMIFS(Ledger!$K$2:$K$4, Ledger!$B$2:$B$4, $A1013, Ledger!$C$2:$C$4, M$2)),"****")</f>
        <v/>
      </c>
      <c r="N1013" t="str">
        <f>IFERROR(IF($C1013="","",SUMIFS(Ledger!$K$2:$K$4, Ledger!$B$2:$B$4, $A1013, Ledger!$C$2:$C$4, N$2)),"****")</f>
        <v/>
      </c>
      <c r="O1013" t="str">
        <f>IFERROR(IF($C1013="","",SUMIFS(Ledger!$K$2:$K$4, Ledger!$B$2:$B$4, $A1013, Ledger!$C$2:$C$4, O$2)),"****")</f>
        <v/>
      </c>
      <c r="P1013" t="str">
        <f>IFERROR(IF($C1013="","",SUMIFS(Ledger!$K$2:$K$4, Ledger!$B$2:$B$4, $A1013, Ledger!$C$2:$C$4, P$2)),"****")</f>
        <v/>
      </c>
      <c r="Q1013" t="str">
        <f>IFERROR(IF($C1013="","",SUMIFS(Ledger!$K$2:$K$4, Ledger!$B$2:$B$4, $A1013, Ledger!$C$2:$C$4, Q$2)),"****")</f>
        <v/>
      </c>
      <c r="R1013" t="str">
        <f>IFERROR(IF($C1013="","",SUMIFS(Ledger!$K$2:$K$4, Ledger!$B$2:$B$4, $A1013, Ledger!$C$2:$C$4, R$2)),"****")</f>
        <v/>
      </c>
      <c r="S1013" t="str">
        <f>IFERROR(IF($C1013="","",SUMIFS(Ledger!$K$2:$K$4, Ledger!$B$2:$B$4, $A1013, Ledger!$C$2:$C$4, S$2)),"****")</f>
        <v/>
      </c>
      <c r="T1013" t="str">
        <f>IFERROR(IF($C1013="","",SUMIFS(Ledger!$K$2:$K$4, Ledger!$B$2:$B$4, $A1013, Ledger!$C$2:$C$4, T$2)),"****")</f>
        <v/>
      </c>
      <c r="U1013" t="str">
        <f>IFERROR(IF($C1013="","",SUMIFS(Ledger!$K$2:$K$4, Ledger!$B$2:$B$4, $A1013, Ledger!$C$2:$C$4, U$2)),"****")</f>
        <v/>
      </c>
      <c r="V1013" t="str">
        <f>IFERROR(IF($C1013="","",SUMIFS(Ledger!$K$2:$K$4, Ledger!$B$2:$B$4, $A1013, Ledger!$C$2:$C$4, V$2)),"****")</f>
        <v/>
      </c>
      <c r="W1013" t="str">
        <f>IFERROR(IF($C1013="","",SUMIFS(Ledger!$K$2:$K$4, Ledger!$B$2:$B$4, $A1013, Ledger!$C$2:$C$4, W$2)),"****")</f>
        <v/>
      </c>
      <c r="X1013" t="str">
        <f>IFERROR(IF($C1013="","",SUMIFS(Ledger!$K$2:$K$4, Ledger!$B$2:$B$4, $A1013, Ledger!$C$2:$C$4, X$2)),"****")</f>
        <v/>
      </c>
    </row>
    <row r="1014" spans="1:24" x14ac:dyDescent="0.3">
      <c r="A1014" s="106">
        <v>1012</v>
      </c>
      <c r="B1014" t="str">
        <f>IFERROR(VLOOKUP($A1014, Ledger!$B$2:$L$8, 3, 0),"")</f>
        <v/>
      </c>
      <c r="C1014" t="str">
        <f>IFERROR(VLOOKUP($A1014, Ledger!$B$2:$L$8, 4, 0),"")</f>
        <v/>
      </c>
      <c r="D1014" t="str">
        <f>IFERROR(VLOOKUP($A1014, Ledger!$B$2:$L$8, 5, 0),"")</f>
        <v/>
      </c>
      <c r="E1014" t="str">
        <f>IFERROR(VLOOKUP($A1014, Ledger!$B$2:$L$8, 6, 0),"")</f>
        <v/>
      </c>
      <c r="F1014" t="str">
        <f>IFERROR(VLOOKUP($A1014,'Student Data'!$A$2:$AR$6,32,0),"")</f>
        <v/>
      </c>
      <c r="G1014" t="str">
        <f>IFERROR(VLOOKUP($A1014,'Student Data'!$A$2:$AR$6,33,0),"")</f>
        <v/>
      </c>
      <c r="H1014" t="str">
        <f>IFERROR(VLOOKUP($A1014,'Student Data'!$A$2:$AR$6,34,0),"")</f>
        <v/>
      </c>
      <c r="I1014" t="str">
        <f>IFERROR(VLOOKUP($A1014,'Student Data'!$A$2:$AR$6,35,0),"")</f>
        <v/>
      </c>
      <c r="J1014" t="str">
        <f>IFERROR(VLOOKUP($A1014,'Student Data'!$A$2:$AR$6,36,0),"")</f>
        <v/>
      </c>
      <c r="K1014" t="str">
        <f t="shared" si="30"/>
        <v/>
      </c>
      <c r="L1014" t="str">
        <f t="shared" si="31"/>
        <v/>
      </c>
      <c r="M1014" t="str">
        <f>IFERROR(IF($C1014="","",SUMIFS(Ledger!$K$2:$K$4, Ledger!$B$2:$B$4, $A1014, Ledger!$C$2:$C$4, M$2)),"****")</f>
        <v/>
      </c>
      <c r="N1014" t="str">
        <f>IFERROR(IF($C1014="","",SUMIFS(Ledger!$K$2:$K$4, Ledger!$B$2:$B$4, $A1014, Ledger!$C$2:$C$4, N$2)),"****")</f>
        <v/>
      </c>
      <c r="O1014" t="str">
        <f>IFERROR(IF($C1014="","",SUMIFS(Ledger!$K$2:$K$4, Ledger!$B$2:$B$4, $A1014, Ledger!$C$2:$C$4, O$2)),"****")</f>
        <v/>
      </c>
      <c r="P1014" t="str">
        <f>IFERROR(IF($C1014="","",SUMIFS(Ledger!$K$2:$K$4, Ledger!$B$2:$B$4, $A1014, Ledger!$C$2:$C$4, P$2)),"****")</f>
        <v/>
      </c>
      <c r="Q1014" t="str">
        <f>IFERROR(IF($C1014="","",SUMIFS(Ledger!$K$2:$K$4, Ledger!$B$2:$B$4, $A1014, Ledger!$C$2:$C$4, Q$2)),"****")</f>
        <v/>
      </c>
      <c r="R1014" t="str">
        <f>IFERROR(IF($C1014="","",SUMIFS(Ledger!$K$2:$K$4, Ledger!$B$2:$B$4, $A1014, Ledger!$C$2:$C$4, R$2)),"****")</f>
        <v/>
      </c>
      <c r="S1014" t="str">
        <f>IFERROR(IF($C1014="","",SUMIFS(Ledger!$K$2:$K$4, Ledger!$B$2:$B$4, $A1014, Ledger!$C$2:$C$4, S$2)),"****")</f>
        <v/>
      </c>
      <c r="T1014" t="str">
        <f>IFERROR(IF($C1014="","",SUMIFS(Ledger!$K$2:$K$4, Ledger!$B$2:$B$4, $A1014, Ledger!$C$2:$C$4, T$2)),"****")</f>
        <v/>
      </c>
      <c r="U1014" t="str">
        <f>IFERROR(IF($C1014="","",SUMIFS(Ledger!$K$2:$K$4, Ledger!$B$2:$B$4, $A1014, Ledger!$C$2:$C$4, U$2)),"****")</f>
        <v/>
      </c>
      <c r="V1014" t="str">
        <f>IFERROR(IF($C1014="","",SUMIFS(Ledger!$K$2:$K$4, Ledger!$B$2:$B$4, $A1014, Ledger!$C$2:$C$4, V$2)),"****")</f>
        <v/>
      </c>
      <c r="W1014" t="str">
        <f>IFERROR(IF($C1014="","",SUMIFS(Ledger!$K$2:$K$4, Ledger!$B$2:$B$4, $A1014, Ledger!$C$2:$C$4, W$2)),"****")</f>
        <v/>
      </c>
      <c r="X1014" t="str">
        <f>IFERROR(IF($C1014="","",SUMIFS(Ledger!$K$2:$K$4, Ledger!$B$2:$B$4, $A1014, Ledger!$C$2:$C$4, X$2)),"****")</f>
        <v/>
      </c>
    </row>
    <row r="1015" spans="1:24" x14ac:dyDescent="0.3">
      <c r="A1015" s="106">
        <v>1013</v>
      </c>
      <c r="B1015" t="str">
        <f>IFERROR(VLOOKUP($A1015, Ledger!$B$2:$L$8, 3, 0),"")</f>
        <v/>
      </c>
      <c r="C1015" t="str">
        <f>IFERROR(VLOOKUP($A1015, Ledger!$B$2:$L$8, 4, 0),"")</f>
        <v/>
      </c>
      <c r="D1015" t="str">
        <f>IFERROR(VLOOKUP($A1015, Ledger!$B$2:$L$8, 5, 0),"")</f>
        <v/>
      </c>
      <c r="E1015" t="str">
        <f>IFERROR(VLOOKUP($A1015, Ledger!$B$2:$L$8, 6, 0),"")</f>
        <v/>
      </c>
      <c r="F1015" t="str">
        <f>IFERROR(VLOOKUP($A1015,'Student Data'!$A$2:$AR$6,32,0),"")</f>
        <v/>
      </c>
      <c r="G1015" t="str">
        <f>IFERROR(VLOOKUP($A1015,'Student Data'!$A$2:$AR$6,33,0),"")</f>
        <v/>
      </c>
      <c r="H1015" t="str">
        <f>IFERROR(VLOOKUP($A1015,'Student Data'!$A$2:$AR$6,34,0),"")</f>
        <v/>
      </c>
      <c r="I1015" t="str">
        <f>IFERROR(VLOOKUP($A1015,'Student Data'!$A$2:$AR$6,35,0),"")</f>
        <v/>
      </c>
      <c r="J1015" t="str">
        <f>IFERROR(VLOOKUP($A1015,'Student Data'!$A$2:$AR$6,36,0),"")</f>
        <v/>
      </c>
      <c r="K1015" t="str">
        <f t="shared" si="30"/>
        <v/>
      </c>
      <c r="L1015" t="str">
        <f t="shared" si="31"/>
        <v/>
      </c>
      <c r="M1015" t="str">
        <f>IFERROR(IF($C1015="","",SUMIFS(Ledger!$K$2:$K$4, Ledger!$B$2:$B$4, $A1015, Ledger!$C$2:$C$4, M$2)),"****")</f>
        <v/>
      </c>
      <c r="N1015" t="str">
        <f>IFERROR(IF($C1015="","",SUMIFS(Ledger!$K$2:$K$4, Ledger!$B$2:$B$4, $A1015, Ledger!$C$2:$C$4, N$2)),"****")</f>
        <v/>
      </c>
      <c r="O1015" t="str">
        <f>IFERROR(IF($C1015="","",SUMIFS(Ledger!$K$2:$K$4, Ledger!$B$2:$B$4, $A1015, Ledger!$C$2:$C$4, O$2)),"****")</f>
        <v/>
      </c>
      <c r="P1015" t="str">
        <f>IFERROR(IF($C1015="","",SUMIFS(Ledger!$K$2:$K$4, Ledger!$B$2:$B$4, $A1015, Ledger!$C$2:$C$4, P$2)),"****")</f>
        <v/>
      </c>
      <c r="Q1015" t="str">
        <f>IFERROR(IF($C1015="","",SUMIFS(Ledger!$K$2:$K$4, Ledger!$B$2:$B$4, $A1015, Ledger!$C$2:$C$4, Q$2)),"****")</f>
        <v/>
      </c>
      <c r="R1015" t="str">
        <f>IFERROR(IF($C1015="","",SUMIFS(Ledger!$K$2:$K$4, Ledger!$B$2:$B$4, $A1015, Ledger!$C$2:$C$4, R$2)),"****")</f>
        <v/>
      </c>
      <c r="S1015" t="str">
        <f>IFERROR(IF($C1015="","",SUMIFS(Ledger!$K$2:$K$4, Ledger!$B$2:$B$4, $A1015, Ledger!$C$2:$C$4, S$2)),"****")</f>
        <v/>
      </c>
      <c r="T1015" t="str">
        <f>IFERROR(IF($C1015="","",SUMIFS(Ledger!$K$2:$K$4, Ledger!$B$2:$B$4, $A1015, Ledger!$C$2:$C$4, T$2)),"****")</f>
        <v/>
      </c>
      <c r="U1015" t="str">
        <f>IFERROR(IF($C1015="","",SUMIFS(Ledger!$K$2:$K$4, Ledger!$B$2:$B$4, $A1015, Ledger!$C$2:$C$4, U$2)),"****")</f>
        <v/>
      </c>
      <c r="V1015" t="str">
        <f>IFERROR(IF($C1015="","",SUMIFS(Ledger!$K$2:$K$4, Ledger!$B$2:$B$4, $A1015, Ledger!$C$2:$C$4, V$2)),"****")</f>
        <v/>
      </c>
      <c r="W1015" t="str">
        <f>IFERROR(IF($C1015="","",SUMIFS(Ledger!$K$2:$K$4, Ledger!$B$2:$B$4, $A1015, Ledger!$C$2:$C$4, W$2)),"****")</f>
        <v/>
      </c>
      <c r="X1015" t="str">
        <f>IFERROR(IF($C1015="","",SUMIFS(Ledger!$K$2:$K$4, Ledger!$B$2:$B$4, $A1015, Ledger!$C$2:$C$4, X$2)),"****")</f>
        <v/>
      </c>
    </row>
    <row r="1016" spans="1:24" x14ac:dyDescent="0.3">
      <c r="A1016" s="106">
        <v>1014</v>
      </c>
      <c r="B1016" t="str">
        <f>IFERROR(VLOOKUP($A1016, Ledger!$B$2:$L$8, 3, 0),"")</f>
        <v/>
      </c>
      <c r="C1016" t="str">
        <f>IFERROR(VLOOKUP($A1016, Ledger!$B$2:$L$8, 4, 0),"")</f>
        <v/>
      </c>
      <c r="D1016" t="str">
        <f>IFERROR(VLOOKUP($A1016, Ledger!$B$2:$L$8, 5, 0),"")</f>
        <v/>
      </c>
      <c r="E1016" t="str">
        <f>IFERROR(VLOOKUP($A1016, Ledger!$B$2:$L$8, 6, 0),"")</f>
        <v/>
      </c>
      <c r="F1016" t="str">
        <f>IFERROR(VLOOKUP($A1016,'Student Data'!$A$2:$AR$6,32,0),"")</f>
        <v/>
      </c>
      <c r="G1016" t="str">
        <f>IFERROR(VLOOKUP($A1016,'Student Data'!$A$2:$AR$6,33,0),"")</f>
        <v/>
      </c>
      <c r="H1016" t="str">
        <f>IFERROR(VLOOKUP($A1016,'Student Data'!$A$2:$AR$6,34,0),"")</f>
        <v/>
      </c>
      <c r="I1016" t="str">
        <f>IFERROR(VLOOKUP($A1016,'Student Data'!$A$2:$AR$6,35,0),"")</f>
        <v/>
      </c>
      <c r="J1016" t="str">
        <f>IFERROR(VLOOKUP($A1016,'Student Data'!$A$2:$AR$6,36,0),"")</f>
        <v/>
      </c>
      <c r="K1016" t="str">
        <f t="shared" si="30"/>
        <v/>
      </c>
      <c r="L1016" t="str">
        <f t="shared" si="31"/>
        <v/>
      </c>
      <c r="M1016" t="str">
        <f>IFERROR(IF($C1016="","",SUMIFS(Ledger!$K$2:$K$4, Ledger!$B$2:$B$4, $A1016, Ledger!$C$2:$C$4, M$2)),"****")</f>
        <v/>
      </c>
      <c r="N1016" t="str">
        <f>IFERROR(IF($C1016="","",SUMIFS(Ledger!$K$2:$K$4, Ledger!$B$2:$B$4, $A1016, Ledger!$C$2:$C$4, N$2)),"****")</f>
        <v/>
      </c>
      <c r="O1016" t="str">
        <f>IFERROR(IF($C1016="","",SUMIFS(Ledger!$K$2:$K$4, Ledger!$B$2:$B$4, $A1016, Ledger!$C$2:$C$4, O$2)),"****")</f>
        <v/>
      </c>
      <c r="P1016" t="str">
        <f>IFERROR(IF($C1016="","",SUMIFS(Ledger!$K$2:$K$4, Ledger!$B$2:$B$4, $A1016, Ledger!$C$2:$C$4, P$2)),"****")</f>
        <v/>
      </c>
      <c r="Q1016" t="str">
        <f>IFERROR(IF($C1016="","",SUMIFS(Ledger!$K$2:$K$4, Ledger!$B$2:$B$4, $A1016, Ledger!$C$2:$C$4, Q$2)),"****")</f>
        <v/>
      </c>
      <c r="R1016" t="str">
        <f>IFERROR(IF($C1016="","",SUMIFS(Ledger!$K$2:$K$4, Ledger!$B$2:$B$4, $A1016, Ledger!$C$2:$C$4, R$2)),"****")</f>
        <v/>
      </c>
      <c r="S1016" t="str">
        <f>IFERROR(IF($C1016="","",SUMIFS(Ledger!$K$2:$K$4, Ledger!$B$2:$B$4, $A1016, Ledger!$C$2:$C$4, S$2)),"****")</f>
        <v/>
      </c>
      <c r="T1016" t="str">
        <f>IFERROR(IF($C1016="","",SUMIFS(Ledger!$K$2:$K$4, Ledger!$B$2:$B$4, $A1016, Ledger!$C$2:$C$4, T$2)),"****")</f>
        <v/>
      </c>
      <c r="U1016" t="str">
        <f>IFERROR(IF($C1016="","",SUMIFS(Ledger!$K$2:$K$4, Ledger!$B$2:$B$4, $A1016, Ledger!$C$2:$C$4, U$2)),"****")</f>
        <v/>
      </c>
      <c r="V1016" t="str">
        <f>IFERROR(IF($C1016="","",SUMIFS(Ledger!$K$2:$K$4, Ledger!$B$2:$B$4, $A1016, Ledger!$C$2:$C$4, V$2)),"****")</f>
        <v/>
      </c>
      <c r="W1016" t="str">
        <f>IFERROR(IF($C1016="","",SUMIFS(Ledger!$K$2:$K$4, Ledger!$B$2:$B$4, $A1016, Ledger!$C$2:$C$4, W$2)),"****")</f>
        <v/>
      </c>
      <c r="X1016" t="str">
        <f>IFERROR(IF($C1016="","",SUMIFS(Ledger!$K$2:$K$4, Ledger!$B$2:$B$4, $A1016, Ledger!$C$2:$C$4, X$2)),"****")</f>
        <v/>
      </c>
    </row>
    <row r="1017" spans="1:24" x14ac:dyDescent="0.3">
      <c r="A1017" s="106">
        <v>1015</v>
      </c>
      <c r="B1017" t="str">
        <f>IFERROR(VLOOKUP($A1017, Ledger!$B$2:$L$8, 3, 0),"")</f>
        <v/>
      </c>
      <c r="C1017" t="str">
        <f>IFERROR(VLOOKUP($A1017, Ledger!$B$2:$L$8, 4, 0),"")</f>
        <v/>
      </c>
      <c r="D1017" t="str">
        <f>IFERROR(VLOOKUP($A1017, Ledger!$B$2:$L$8, 5, 0),"")</f>
        <v/>
      </c>
      <c r="E1017" t="str">
        <f>IFERROR(VLOOKUP($A1017, Ledger!$B$2:$L$8, 6, 0),"")</f>
        <v/>
      </c>
      <c r="F1017" t="str">
        <f>IFERROR(VLOOKUP($A1017,'Student Data'!$A$2:$AR$6,32,0),"")</f>
        <v/>
      </c>
      <c r="G1017" t="str">
        <f>IFERROR(VLOOKUP($A1017,'Student Data'!$A$2:$AR$6,33,0),"")</f>
        <v/>
      </c>
      <c r="H1017" t="str">
        <f>IFERROR(VLOOKUP($A1017,'Student Data'!$A$2:$AR$6,34,0),"")</f>
        <v/>
      </c>
      <c r="I1017" t="str">
        <f>IFERROR(VLOOKUP($A1017,'Student Data'!$A$2:$AR$6,35,0),"")</f>
        <v/>
      </c>
      <c r="J1017" t="str">
        <f>IFERROR(VLOOKUP($A1017,'Student Data'!$A$2:$AR$6,36,0),"")</f>
        <v/>
      </c>
      <c r="K1017" t="str">
        <f t="shared" si="30"/>
        <v/>
      </c>
      <c r="L1017" t="str">
        <f t="shared" si="31"/>
        <v/>
      </c>
      <c r="M1017" t="str">
        <f>IFERROR(IF($C1017="","",SUMIFS(Ledger!$K$2:$K$4, Ledger!$B$2:$B$4, $A1017, Ledger!$C$2:$C$4, M$2)),"****")</f>
        <v/>
      </c>
      <c r="N1017" t="str">
        <f>IFERROR(IF($C1017="","",SUMIFS(Ledger!$K$2:$K$4, Ledger!$B$2:$B$4, $A1017, Ledger!$C$2:$C$4, N$2)),"****")</f>
        <v/>
      </c>
      <c r="O1017" t="str">
        <f>IFERROR(IF($C1017="","",SUMIFS(Ledger!$K$2:$K$4, Ledger!$B$2:$B$4, $A1017, Ledger!$C$2:$C$4, O$2)),"****")</f>
        <v/>
      </c>
      <c r="P1017" t="str">
        <f>IFERROR(IF($C1017="","",SUMIFS(Ledger!$K$2:$K$4, Ledger!$B$2:$B$4, $A1017, Ledger!$C$2:$C$4, P$2)),"****")</f>
        <v/>
      </c>
      <c r="Q1017" t="str">
        <f>IFERROR(IF($C1017="","",SUMIFS(Ledger!$K$2:$K$4, Ledger!$B$2:$B$4, $A1017, Ledger!$C$2:$C$4, Q$2)),"****")</f>
        <v/>
      </c>
      <c r="R1017" t="str">
        <f>IFERROR(IF($C1017="","",SUMIFS(Ledger!$K$2:$K$4, Ledger!$B$2:$B$4, $A1017, Ledger!$C$2:$C$4, R$2)),"****")</f>
        <v/>
      </c>
      <c r="S1017" t="str">
        <f>IFERROR(IF($C1017="","",SUMIFS(Ledger!$K$2:$K$4, Ledger!$B$2:$B$4, $A1017, Ledger!$C$2:$C$4, S$2)),"****")</f>
        <v/>
      </c>
      <c r="T1017" t="str">
        <f>IFERROR(IF($C1017="","",SUMIFS(Ledger!$K$2:$K$4, Ledger!$B$2:$B$4, $A1017, Ledger!$C$2:$C$4, T$2)),"****")</f>
        <v/>
      </c>
      <c r="U1017" t="str">
        <f>IFERROR(IF($C1017="","",SUMIFS(Ledger!$K$2:$K$4, Ledger!$B$2:$B$4, $A1017, Ledger!$C$2:$C$4, U$2)),"****")</f>
        <v/>
      </c>
      <c r="V1017" t="str">
        <f>IFERROR(IF($C1017="","",SUMIFS(Ledger!$K$2:$K$4, Ledger!$B$2:$B$4, $A1017, Ledger!$C$2:$C$4, V$2)),"****")</f>
        <v/>
      </c>
      <c r="W1017" t="str">
        <f>IFERROR(IF($C1017="","",SUMIFS(Ledger!$K$2:$K$4, Ledger!$B$2:$B$4, $A1017, Ledger!$C$2:$C$4, W$2)),"****")</f>
        <v/>
      </c>
      <c r="X1017" t="str">
        <f>IFERROR(IF($C1017="","",SUMIFS(Ledger!$K$2:$K$4, Ledger!$B$2:$B$4, $A1017, Ledger!$C$2:$C$4, X$2)),"****")</f>
        <v/>
      </c>
    </row>
    <row r="1018" spans="1:24" x14ac:dyDescent="0.3">
      <c r="A1018" s="106">
        <v>1016</v>
      </c>
      <c r="B1018" t="str">
        <f>IFERROR(VLOOKUP($A1018, Ledger!$B$2:$L$8, 3, 0),"")</f>
        <v/>
      </c>
      <c r="C1018" t="str">
        <f>IFERROR(VLOOKUP($A1018, Ledger!$B$2:$L$8, 4, 0),"")</f>
        <v/>
      </c>
      <c r="D1018" t="str">
        <f>IFERROR(VLOOKUP($A1018, Ledger!$B$2:$L$8, 5, 0),"")</f>
        <v/>
      </c>
      <c r="E1018" t="str">
        <f>IFERROR(VLOOKUP($A1018, Ledger!$B$2:$L$8, 6, 0),"")</f>
        <v/>
      </c>
      <c r="F1018" t="str">
        <f>IFERROR(VLOOKUP($A1018,'Student Data'!$A$2:$AR$6,32,0),"")</f>
        <v/>
      </c>
      <c r="G1018" t="str">
        <f>IFERROR(VLOOKUP($A1018,'Student Data'!$A$2:$AR$6,33,0),"")</f>
        <v/>
      </c>
      <c r="H1018" t="str">
        <f>IFERROR(VLOOKUP($A1018,'Student Data'!$A$2:$AR$6,34,0),"")</f>
        <v/>
      </c>
      <c r="I1018" t="str">
        <f>IFERROR(VLOOKUP($A1018,'Student Data'!$A$2:$AR$6,35,0),"")</f>
        <v/>
      </c>
      <c r="J1018" t="str">
        <f>IFERROR(VLOOKUP($A1018,'Student Data'!$A$2:$AR$6,36,0),"")</f>
        <v/>
      </c>
      <c r="K1018" t="str">
        <f t="shared" si="30"/>
        <v/>
      </c>
      <c r="L1018" t="str">
        <f t="shared" si="31"/>
        <v/>
      </c>
      <c r="M1018" t="str">
        <f>IFERROR(IF($C1018="","",SUMIFS(Ledger!$K$2:$K$4, Ledger!$B$2:$B$4, $A1018, Ledger!$C$2:$C$4, M$2)),"****")</f>
        <v/>
      </c>
      <c r="N1018" t="str">
        <f>IFERROR(IF($C1018="","",SUMIFS(Ledger!$K$2:$K$4, Ledger!$B$2:$B$4, $A1018, Ledger!$C$2:$C$4, N$2)),"****")</f>
        <v/>
      </c>
      <c r="O1018" t="str">
        <f>IFERROR(IF($C1018="","",SUMIFS(Ledger!$K$2:$K$4, Ledger!$B$2:$B$4, $A1018, Ledger!$C$2:$C$4, O$2)),"****")</f>
        <v/>
      </c>
      <c r="P1018" t="str">
        <f>IFERROR(IF($C1018="","",SUMIFS(Ledger!$K$2:$K$4, Ledger!$B$2:$B$4, $A1018, Ledger!$C$2:$C$4, P$2)),"****")</f>
        <v/>
      </c>
      <c r="Q1018" t="str">
        <f>IFERROR(IF($C1018="","",SUMIFS(Ledger!$K$2:$K$4, Ledger!$B$2:$B$4, $A1018, Ledger!$C$2:$C$4, Q$2)),"****")</f>
        <v/>
      </c>
      <c r="R1018" t="str">
        <f>IFERROR(IF($C1018="","",SUMIFS(Ledger!$K$2:$K$4, Ledger!$B$2:$B$4, $A1018, Ledger!$C$2:$C$4, R$2)),"****")</f>
        <v/>
      </c>
      <c r="S1018" t="str">
        <f>IFERROR(IF($C1018="","",SUMIFS(Ledger!$K$2:$K$4, Ledger!$B$2:$B$4, $A1018, Ledger!$C$2:$C$4, S$2)),"****")</f>
        <v/>
      </c>
      <c r="T1018" t="str">
        <f>IFERROR(IF($C1018="","",SUMIFS(Ledger!$K$2:$K$4, Ledger!$B$2:$B$4, $A1018, Ledger!$C$2:$C$4, T$2)),"****")</f>
        <v/>
      </c>
      <c r="U1018" t="str">
        <f>IFERROR(IF($C1018="","",SUMIFS(Ledger!$K$2:$K$4, Ledger!$B$2:$B$4, $A1018, Ledger!$C$2:$C$4, U$2)),"****")</f>
        <v/>
      </c>
      <c r="V1018" t="str">
        <f>IFERROR(IF($C1018="","",SUMIFS(Ledger!$K$2:$K$4, Ledger!$B$2:$B$4, $A1018, Ledger!$C$2:$C$4, V$2)),"****")</f>
        <v/>
      </c>
      <c r="W1018" t="str">
        <f>IFERROR(IF($C1018="","",SUMIFS(Ledger!$K$2:$K$4, Ledger!$B$2:$B$4, $A1018, Ledger!$C$2:$C$4, W$2)),"****")</f>
        <v/>
      </c>
      <c r="X1018" t="str">
        <f>IFERROR(IF($C1018="","",SUMIFS(Ledger!$K$2:$K$4, Ledger!$B$2:$B$4, $A1018, Ledger!$C$2:$C$4, X$2)),"****")</f>
        <v/>
      </c>
    </row>
    <row r="1019" spans="1:24" x14ac:dyDescent="0.3">
      <c r="A1019" s="106">
        <v>1017</v>
      </c>
      <c r="B1019" t="str">
        <f>IFERROR(VLOOKUP($A1019, Ledger!$B$2:$L$8, 3, 0),"")</f>
        <v/>
      </c>
      <c r="C1019" t="str">
        <f>IFERROR(VLOOKUP($A1019, Ledger!$B$2:$L$8, 4, 0),"")</f>
        <v/>
      </c>
      <c r="D1019" t="str">
        <f>IFERROR(VLOOKUP($A1019, Ledger!$B$2:$L$8, 5, 0),"")</f>
        <v/>
      </c>
      <c r="E1019" t="str">
        <f>IFERROR(VLOOKUP($A1019, Ledger!$B$2:$L$8, 6, 0),"")</f>
        <v/>
      </c>
      <c r="F1019" t="str">
        <f>IFERROR(VLOOKUP($A1019,'Student Data'!$A$2:$AR$6,32,0),"")</f>
        <v/>
      </c>
      <c r="G1019" t="str">
        <f>IFERROR(VLOOKUP($A1019,'Student Data'!$A$2:$AR$6,33,0),"")</f>
        <v/>
      </c>
      <c r="H1019" t="str">
        <f>IFERROR(VLOOKUP($A1019,'Student Data'!$A$2:$AR$6,34,0),"")</f>
        <v/>
      </c>
      <c r="I1019" t="str">
        <f>IFERROR(VLOOKUP($A1019,'Student Data'!$A$2:$AR$6,35,0),"")</f>
        <v/>
      </c>
      <c r="J1019" t="str">
        <f>IFERROR(VLOOKUP($A1019,'Student Data'!$A$2:$AR$6,36,0),"")</f>
        <v/>
      </c>
      <c r="K1019" t="str">
        <f t="shared" si="30"/>
        <v/>
      </c>
      <c r="L1019" t="str">
        <f t="shared" si="31"/>
        <v/>
      </c>
      <c r="M1019" t="str">
        <f>IFERROR(IF($C1019="","",SUMIFS(Ledger!$K$2:$K$4, Ledger!$B$2:$B$4, $A1019, Ledger!$C$2:$C$4, M$2)),"****")</f>
        <v/>
      </c>
      <c r="N1019" t="str">
        <f>IFERROR(IF($C1019="","",SUMIFS(Ledger!$K$2:$K$4, Ledger!$B$2:$B$4, $A1019, Ledger!$C$2:$C$4, N$2)),"****")</f>
        <v/>
      </c>
      <c r="O1019" t="str">
        <f>IFERROR(IF($C1019="","",SUMIFS(Ledger!$K$2:$K$4, Ledger!$B$2:$B$4, $A1019, Ledger!$C$2:$C$4, O$2)),"****")</f>
        <v/>
      </c>
      <c r="P1019" t="str">
        <f>IFERROR(IF($C1019="","",SUMIFS(Ledger!$K$2:$K$4, Ledger!$B$2:$B$4, $A1019, Ledger!$C$2:$C$4, P$2)),"****")</f>
        <v/>
      </c>
      <c r="Q1019" t="str">
        <f>IFERROR(IF($C1019="","",SUMIFS(Ledger!$K$2:$K$4, Ledger!$B$2:$B$4, $A1019, Ledger!$C$2:$C$4, Q$2)),"****")</f>
        <v/>
      </c>
      <c r="R1019" t="str">
        <f>IFERROR(IF($C1019="","",SUMIFS(Ledger!$K$2:$K$4, Ledger!$B$2:$B$4, $A1019, Ledger!$C$2:$C$4, R$2)),"****")</f>
        <v/>
      </c>
      <c r="S1019" t="str">
        <f>IFERROR(IF($C1019="","",SUMIFS(Ledger!$K$2:$K$4, Ledger!$B$2:$B$4, $A1019, Ledger!$C$2:$C$4, S$2)),"****")</f>
        <v/>
      </c>
      <c r="T1019" t="str">
        <f>IFERROR(IF($C1019="","",SUMIFS(Ledger!$K$2:$K$4, Ledger!$B$2:$B$4, $A1019, Ledger!$C$2:$C$4, T$2)),"****")</f>
        <v/>
      </c>
      <c r="U1019" t="str">
        <f>IFERROR(IF($C1019="","",SUMIFS(Ledger!$K$2:$K$4, Ledger!$B$2:$B$4, $A1019, Ledger!$C$2:$C$4, U$2)),"****")</f>
        <v/>
      </c>
      <c r="V1019" t="str">
        <f>IFERROR(IF($C1019="","",SUMIFS(Ledger!$K$2:$K$4, Ledger!$B$2:$B$4, $A1019, Ledger!$C$2:$C$4, V$2)),"****")</f>
        <v/>
      </c>
      <c r="W1019" t="str">
        <f>IFERROR(IF($C1019="","",SUMIFS(Ledger!$K$2:$K$4, Ledger!$B$2:$B$4, $A1019, Ledger!$C$2:$C$4, W$2)),"****")</f>
        <v/>
      </c>
      <c r="X1019" t="str">
        <f>IFERROR(IF($C1019="","",SUMIFS(Ledger!$K$2:$K$4, Ledger!$B$2:$B$4, $A1019, Ledger!$C$2:$C$4, X$2)),"****")</f>
        <v/>
      </c>
    </row>
    <row r="1020" spans="1:24" x14ac:dyDescent="0.3">
      <c r="A1020" s="106">
        <v>1018</v>
      </c>
      <c r="B1020" t="str">
        <f>IFERROR(VLOOKUP($A1020, Ledger!$B$2:$L$8, 3, 0),"")</f>
        <v/>
      </c>
      <c r="C1020" t="str">
        <f>IFERROR(VLOOKUP($A1020, Ledger!$B$2:$L$8, 4, 0),"")</f>
        <v/>
      </c>
      <c r="D1020" t="str">
        <f>IFERROR(VLOOKUP($A1020, Ledger!$B$2:$L$8, 5, 0),"")</f>
        <v/>
      </c>
      <c r="E1020" t="str">
        <f>IFERROR(VLOOKUP($A1020, Ledger!$B$2:$L$8, 6, 0),"")</f>
        <v/>
      </c>
      <c r="F1020" t="str">
        <f>IFERROR(VLOOKUP($A1020,'Student Data'!$A$2:$AR$6,32,0),"")</f>
        <v/>
      </c>
      <c r="G1020" t="str">
        <f>IFERROR(VLOOKUP($A1020,'Student Data'!$A$2:$AR$6,33,0),"")</f>
        <v/>
      </c>
      <c r="H1020" t="str">
        <f>IFERROR(VLOOKUP($A1020,'Student Data'!$A$2:$AR$6,34,0),"")</f>
        <v/>
      </c>
      <c r="I1020" t="str">
        <f>IFERROR(VLOOKUP($A1020,'Student Data'!$A$2:$AR$6,35,0),"")</f>
        <v/>
      </c>
      <c r="J1020" t="str">
        <f>IFERROR(VLOOKUP($A1020,'Student Data'!$A$2:$AR$6,36,0),"")</f>
        <v/>
      </c>
      <c r="K1020" t="str">
        <f t="shared" si="30"/>
        <v/>
      </c>
      <c r="L1020" t="str">
        <f t="shared" si="31"/>
        <v/>
      </c>
      <c r="M1020" t="str">
        <f>IFERROR(IF($C1020="","",SUMIFS(Ledger!$K$2:$K$4, Ledger!$B$2:$B$4, $A1020, Ledger!$C$2:$C$4, M$2)),"****")</f>
        <v/>
      </c>
      <c r="N1020" t="str">
        <f>IFERROR(IF($C1020="","",SUMIFS(Ledger!$K$2:$K$4, Ledger!$B$2:$B$4, $A1020, Ledger!$C$2:$C$4, N$2)),"****")</f>
        <v/>
      </c>
      <c r="O1020" t="str">
        <f>IFERROR(IF($C1020="","",SUMIFS(Ledger!$K$2:$K$4, Ledger!$B$2:$B$4, $A1020, Ledger!$C$2:$C$4, O$2)),"****")</f>
        <v/>
      </c>
      <c r="P1020" t="str">
        <f>IFERROR(IF($C1020="","",SUMIFS(Ledger!$K$2:$K$4, Ledger!$B$2:$B$4, $A1020, Ledger!$C$2:$C$4, P$2)),"****")</f>
        <v/>
      </c>
      <c r="Q1020" t="str">
        <f>IFERROR(IF($C1020="","",SUMIFS(Ledger!$K$2:$K$4, Ledger!$B$2:$B$4, $A1020, Ledger!$C$2:$C$4, Q$2)),"****")</f>
        <v/>
      </c>
      <c r="R1020" t="str">
        <f>IFERROR(IF($C1020="","",SUMIFS(Ledger!$K$2:$K$4, Ledger!$B$2:$B$4, $A1020, Ledger!$C$2:$C$4, R$2)),"****")</f>
        <v/>
      </c>
      <c r="S1020" t="str">
        <f>IFERROR(IF($C1020="","",SUMIFS(Ledger!$K$2:$K$4, Ledger!$B$2:$B$4, $A1020, Ledger!$C$2:$C$4, S$2)),"****")</f>
        <v/>
      </c>
      <c r="T1020" t="str">
        <f>IFERROR(IF($C1020="","",SUMIFS(Ledger!$K$2:$K$4, Ledger!$B$2:$B$4, $A1020, Ledger!$C$2:$C$4, T$2)),"****")</f>
        <v/>
      </c>
      <c r="U1020" t="str">
        <f>IFERROR(IF($C1020="","",SUMIFS(Ledger!$K$2:$K$4, Ledger!$B$2:$B$4, $A1020, Ledger!$C$2:$C$4, U$2)),"****")</f>
        <v/>
      </c>
      <c r="V1020" t="str">
        <f>IFERROR(IF($C1020="","",SUMIFS(Ledger!$K$2:$K$4, Ledger!$B$2:$B$4, $A1020, Ledger!$C$2:$C$4, V$2)),"****")</f>
        <v/>
      </c>
      <c r="W1020" t="str">
        <f>IFERROR(IF($C1020="","",SUMIFS(Ledger!$K$2:$K$4, Ledger!$B$2:$B$4, $A1020, Ledger!$C$2:$C$4, W$2)),"****")</f>
        <v/>
      </c>
      <c r="X1020" t="str">
        <f>IFERROR(IF($C1020="","",SUMIFS(Ledger!$K$2:$K$4, Ledger!$B$2:$B$4, $A1020, Ledger!$C$2:$C$4, X$2)),"****")</f>
        <v/>
      </c>
    </row>
    <row r="1021" spans="1:24" x14ac:dyDescent="0.3">
      <c r="A1021" s="106">
        <v>1019</v>
      </c>
      <c r="B1021" t="str">
        <f>IFERROR(VLOOKUP($A1021, Ledger!$B$2:$L$8, 3, 0),"")</f>
        <v/>
      </c>
      <c r="C1021" t="str">
        <f>IFERROR(VLOOKUP($A1021, Ledger!$B$2:$L$8, 4, 0),"")</f>
        <v/>
      </c>
      <c r="D1021" t="str">
        <f>IFERROR(VLOOKUP($A1021, Ledger!$B$2:$L$8, 5, 0),"")</f>
        <v/>
      </c>
      <c r="E1021" t="str">
        <f>IFERROR(VLOOKUP($A1021, Ledger!$B$2:$L$8, 6, 0),"")</f>
        <v/>
      </c>
      <c r="F1021" t="str">
        <f>IFERROR(VLOOKUP($A1021,'Student Data'!$A$2:$AR$6,32,0),"")</f>
        <v/>
      </c>
      <c r="G1021" t="str">
        <f>IFERROR(VLOOKUP($A1021,'Student Data'!$A$2:$AR$6,33,0),"")</f>
        <v/>
      </c>
      <c r="H1021" t="str">
        <f>IFERROR(VLOOKUP($A1021,'Student Data'!$A$2:$AR$6,34,0),"")</f>
        <v/>
      </c>
      <c r="I1021" t="str">
        <f>IFERROR(VLOOKUP($A1021,'Student Data'!$A$2:$AR$6,35,0),"")</f>
        <v/>
      </c>
      <c r="J1021" t="str">
        <f>IFERROR(VLOOKUP($A1021,'Student Data'!$A$2:$AR$6,36,0),"")</f>
        <v/>
      </c>
      <c r="K1021" t="str">
        <f t="shared" si="30"/>
        <v/>
      </c>
      <c r="L1021" t="str">
        <f t="shared" si="31"/>
        <v/>
      </c>
      <c r="M1021" t="str">
        <f>IFERROR(IF($C1021="","",SUMIFS(Ledger!$K$2:$K$4, Ledger!$B$2:$B$4, $A1021, Ledger!$C$2:$C$4, M$2)),"****")</f>
        <v/>
      </c>
      <c r="N1021" t="str">
        <f>IFERROR(IF($C1021="","",SUMIFS(Ledger!$K$2:$K$4, Ledger!$B$2:$B$4, $A1021, Ledger!$C$2:$C$4, N$2)),"****")</f>
        <v/>
      </c>
      <c r="O1021" t="str">
        <f>IFERROR(IF($C1021="","",SUMIFS(Ledger!$K$2:$K$4, Ledger!$B$2:$B$4, $A1021, Ledger!$C$2:$C$4, O$2)),"****")</f>
        <v/>
      </c>
      <c r="P1021" t="str">
        <f>IFERROR(IF($C1021="","",SUMIFS(Ledger!$K$2:$K$4, Ledger!$B$2:$B$4, $A1021, Ledger!$C$2:$C$4, P$2)),"****")</f>
        <v/>
      </c>
      <c r="Q1021" t="str">
        <f>IFERROR(IF($C1021="","",SUMIFS(Ledger!$K$2:$K$4, Ledger!$B$2:$B$4, $A1021, Ledger!$C$2:$C$4, Q$2)),"****")</f>
        <v/>
      </c>
      <c r="R1021" t="str">
        <f>IFERROR(IF($C1021="","",SUMIFS(Ledger!$K$2:$K$4, Ledger!$B$2:$B$4, $A1021, Ledger!$C$2:$C$4, R$2)),"****")</f>
        <v/>
      </c>
      <c r="S1021" t="str">
        <f>IFERROR(IF($C1021="","",SUMIFS(Ledger!$K$2:$K$4, Ledger!$B$2:$B$4, $A1021, Ledger!$C$2:$C$4, S$2)),"****")</f>
        <v/>
      </c>
      <c r="T1021" t="str">
        <f>IFERROR(IF($C1021="","",SUMIFS(Ledger!$K$2:$K$4, Ledger!$B$2:$B$4, $A1021, Ledger!$C$2:$C$4, T$2)),"****")</f>
        <v/>
      </c>
      <c r="U1021" t="str">
        <f>IFERROR(IF($C1021="","",SUMIFS(Ledger!$K$2:$K$4, Ledger!$B$2:$B$4, $A1021, Ledger!$C$2:$C$4, U$2)),"****")</f>
        <v/>
      </c>
      <c r="V1021" t="str">
        <f>IFERROR(IF($C1021="","",SUMIFS(Ledger!$K$2:$K$4, Ledger!$B$2:$B$4, $A1021, Ledger!$C$2:$C$4, V$2)),"****")</f>
        <v/>
      </c>
      <c r="W1021" t="str">
        <f>IFERROR(IF($C1021="","",SUMIFS(Ledger!$K$2:$K$4, Ledger!$B$2:$B$4, $A1021, Ledger!$C$2:$C$4, W$2)),"****")</f>
        <v/>
      </c>
      <c r="X1021" t="str">
        <f>IFERROR(IF($C1021="","",SUMIFS(Ledger!$K$2:$K$4, Ledger!$B$2:$B$4, $A1021, Ledger!$C$2:$C$4, X$2)),"****")</f>
        <v/>
      </c>
    </row>
    <row r="1022" spans="1:24" x14ac:dyDescent="0.3">
      <c r="A1022" s="106">
        <v>1020</v>
      </c>
      <c r="B1022" t="str">
        <f>IFERROR(VLOOKUP($A1022, Ledger!$B$2:$L$8, 3, 0),"")</f>
        <v/>
      </c>
      <c r="C1022" t="str">
        <f>IFERROR(VLOOKUP($A1022, Ledger!$B$2:$L$8, 4, 0),"")</f>
        <v/>
      </c>
      <c r="D1022" t="str">
        <f>IFERROR(VLOOKUP($A1022, Ledger!$B$2:$L$8, 5, 0),"")</f>
        <v/>
      </c>
      <c r="E1022" t="str">
        <f>IFERROR(VLOOKUP($A1022, Ledger!$B$2:$L$8, 6, 0),"")</f>
        <v/>
      </c>
      <c r="F1022" t="str">
        <f>IFERROR(VLOOKUP($A1022,'Student Data'!$A$2:$AR$6,32,0),"")</f>
        <v/>
      </c>
      <c r="G1022" t="str">
        <f>IFERROR(VLOOKUP($A1022,'Student Data'!$A$2:$AR$6,33,0),"")</f>
        <v/>
      </c>
      <c r="H1022" t="str">
        <f>IFERROR(VLOOKUP($A1022,'Student Data'!$A$2:$AR$6,34,0),"")</f>
        <v/>
      </c>
      <c r="I1022" t="str">
        <f>IFERROR(VLOOKUP($A1022,'Student Data'!$A$2:$AR$6,35,0),"")</f>
        <v/>
      </c>
      <c r="J1022" t="str">
        <f>IFERROR(VLOOKUP($A1022,'Student Data'!$A$2:$AR$6,36,0),"")</f>
        <v/>
      </c>
      <c r="K1022" t="str">
        <f t="shared" si="30"/>
        <v/>
      </c>
      <c r="L1022" t="str">
        <f t="shared" si="31"/>
        <v/>
      </c>
      <c r="M1022" t="str">
        <f>IFERROR(IF($C1022="","",SUMIFS(Ledger!$K$2:$K$4, Ledger!$B$2:$B$4, $A1022, Ledger!$C$2:$C$4, M$2)),"****")</f>
        <v/>
      </c>
      <c r="N1022" t="str">
        <f>IFERROR(IF($C1022="","",SUMIFS(Ledger!$K$2:$K$4, Ledger!$B$2:$B$4, $A1022, Ledger!$C$2:$C$4, N$2)),"****")</f>
        <v/>
      </c>
      <c r="O1022" t="str">
        <f>IFERROR(IF($C1022="","",SUMIFS(Ledger!$K$2:$K$4, Ledger!$B$2:$B$4, $A1022, Ledger!$C$2:$C$4, O$2)),"****")</f>
        <v/>
      </c>
      <c r="P1022" t="str">
        <f>IFERROR(IF($C1022="","",SUMIFS(Ledger!$K$2:$K$4, Ledger!$B$2:$B$4, $A1022, Ledger!$C$2:$C$4, P$2)),"****")</f>
        <v/>
      </c>
      <c r="Q1022" t="str">
        <f>IFERROR(IF($C1022="","",SUMIFS(Ledger!$K$2:$K$4, Ledger!$B$2:$B$4, $A1022, Ledger!$C$2:$C$4, Q$2)),"****")</f>
        <v/>
      </c>
      <c r="R1022" t="str">
        <f>IFERROR(IF($C1022="","",SUMIFS(Ledger!$K$2:$K$4, Ledger!$B$2:$B$4, $A1022, Ledger!$C$2:$C$4, R$2)),"****")</f>
        <v/>
      </c>
      <c r="S1022" t="str">
        <f>IFERROR(IF($C1022="","",SUMIFS(Ledger!$K$2:$K$4, Ledger!$B$2:$B$4, $A1022, Ledger!$C$2:$C$4, S$2)),"****")</f>
        <v/>
      </c>
      <c r="T1022" t="str">
        <f>IFERROR(IF($C1022="","",SUMIFS(Ledger!$K$2:$K$4, Ledger!$B$2:$B$4, $A1022, Ledger!$C$2:$C$4, T$2)),"****")</f>
        <v/>
      </c>
      <c r="U1022" t="str">
        <f>IFERROR(IF($C1022="","",SUMIFS(Ledger!$K$2:$K$4, Ledger!$B$2:$B$4, $A1022, Ledger!$C$2:$C$4, U$2)),"****")</f>
        <v/>
      </c>
      <c r="V1022" t="str">
        <f>IFERROR(IF($C1022="","",SUMIFS(Ledger!$K$2:$K$4, Ledger!$B$2:$B$4, $A1022, Ledger!$C$2:$C$4, V$2)),"****")</f>
        <v/>
      </c>
      <c r="W1022" t="str">
        <f>IFERROR(IF($C1022="","",SUMIFS(Ledger!$K$2:$K$4, Ledger!$B$2:$B$4, $A1022, Ledger!$C$2:$C$4, W$2)),"****")</f>
        <v/>
      </c>
      <c r="X1022" t="str">
        <f>IFERROR(IF($C1022="","",SUMIFS(Ledger!$K$2:$K$4, Ledger!$B$2:$B$4, $A1022, Ledger!$C$2:$C$4, X$2)),"****")</f>
        <v/>
      </c>
    </row>
    <row r="1023" spans="1:24" x14ac:dyDescent="0.3">
      <c r="A1023" s="106">
        <v>1021</v>
      </c>
      <c r="B1023" t="str">
        <f>IFERROR(VLOOKUP($A1023, Ledger!$B$2:$L$8, 3, 0),"")</f>
        <v/>
      </c>
      <c r="C1023" t="str">
        <f>IFERROR(VLOOKUP($A1023, Ledger!$B$2:$L$8, 4, 0),"")</f>
        <v/>
      </c>
      <c r="D1023" t="str">
        <f>IFERROR(VLOOKUP($A1023, Ledger!$B$2:$L$8, 5, 0),"")</f>
        <v/>
      </c>
      <c r="E1023" t="str">
        <f>IFERROR(VLOOKUP($A1023, Ledger!$B$2:$L$8, 6, 0),"")</f>
        <v/>
      </c>
      <c r="F1023" t="str">
        <f>IFERROR(VLOOKUP($A1023,'Student Data'!$A$2:$AR$6,32,0),"")</f>
        <v/>
      </c>
      <c r="G1023" t="str">
        <f>IFERROR(VLOOKUP($A1023,'Student Data'!$A$2:$AR$6,33,0),"")</f>
        <v/>
      </c>
      <c r="H1023" t="str">
        <f>IFERROR(VLOOKUP($A1023,'Student Data'!$A$2:$AR$6,34,0),"")</f>
        <v/>
      </c>
      <c r="I1023" t="str">
        <f>IFERROR(VLOOKUP($A1023,'Student Data'!$A$2:$AR$6,35,0),"")</f>
        <v/>
      </c>
      <c r="J1023" t="str">
        <f>IFERROR(VLOOKUP($A1023,'Student Data'!$A$2:$AR$6,36,0),"")</f>
        <v/>
      </c>
      <c r="K1023" t="str">
        <f t="shared" si="30"/>
        <v/>
      </c>
      <c r="L1023" t="str">
        <f t="shared" si="31"/>
        <v/>
      </c>
      <c r="M1023" t="str">
        <f>IFERROR(IF($C1023="","",SUMIFS(Ledger!$K$2:$K$4, Ledger!$B$2:$B$4, $A1023, Ledger!$C$2:$C$4, M$2)),"****")</f>
        <v/>
      </c>
      <c r="N1023" t="str">
        <f>IFERROR(IF($C1023="","",SUMIFS(Ledger!$K$2:$K$4, Ledger!$B$2:$B$4, $A1023, Ledger!$C$2:$C$4, N$2)),"****")</f>
        <v/>
      </c>
      <c r="O1023" t="str">
        <f>IFERROR(IF($C1023="","",SUMIFS(Ledger!$K$2:$K$4, Ledger!$B$2:$B$4, $A1023, Ledger!$C$2:$C$4, O$2)),"****")</f>
        <v/>
      </c>
      <c r="P1023" t="str">
        <f>IFERROR(IF($C1023="","",SUMIFS(Ledger!$K$2:$K$4, Ledger!$B$2:$B$4, $A1023, Ledger!$C$2:$C$4, P$2)),"****")</f>
        <v/>
      </c>
      <c r="Q1023" t="str">
        <f>IFERROR(IF($C1023="","",SUMIFS(Ledger!$K$2:$K$4, Ledger!$B$2:$B$4, $A1023, Ledger!$C$2:$C$4, Q$2)),"****")</f>
        <v/>
      </c>
      <c r="R1023" t="str">
        <f>IFERROR(IF($C1023="","",SUMIFS(Ledger!$K$2:$K$4, Ledger!$B$2:$B$4, $A1023, Ledger!$C$2:$C$4, R$2)),"****")</f>
        <v/>
      </c>
      <c r="S1023" t="str">
        <f>IFERROR(IF($C1023="","",SUMIFS(Ledger!$K$2:$K$4, Ledger!$B$2:$B$4, $A1023, Ledger!$C$2:$C$4, S$2)),"****")</f>
        <v/>
      </c>
      <c r="T1023" t="str">
        <f>IFERROR(IF($C1023="","",SUMIFS(Ledger!$K$2:$K$4, Ledger!$B$2:$B$4, $A1023, Ledger!$C$2:$C$4, T$2)),"****")</f>
        <v/>
      </c>
      <c r="U1023" t="str">
        <f>IFERROR(IF($C1023="","",SUMIFS(Ledger!$K$2:$K$4, Ledger!$B$2:$B$4, $A1023, Ledger!$C$2:$C$4, U$2)),"****")</f>
        <v/>
      </c>
      <c r="V1023" t="str">
        <f>IFERROR(IF($C1023="","",SUMIFS(Ledger!$K$2:$K$4, Ledger!$B$2:$B$4, $A1023, Ledger!$C$2:$C$4, V$2)),"****")</f>
        <v/>
      </c>
      <c r="W1023" t="str">
        <f>IFERROR(IF($C1023="","",SUMIFS(Ledger!$K$2:$K$4, Ledger!$B$2:$B$4, $A1023, Ledger!$C$2:$C$4, W$2)),"****")</f>
        <v/>
      </c>
      <c r="X1023" t="str">
        <f>IFERROR(IF($C1023="","",SUMIFS(Ledger!$K$2:$K$4, Ledger!$B$2:$B$4, $A1023, Ledger!$C$2:$C$4, X$2)),"****")</f>
        <v/>
      </c>
    </row>
    <row r="1024" spans="1:24" x14ac:dyDescent="0.3">
      <c r="A1024" s="106">
        <v>1022</v>
      </c>
      <c r="B1024" t="str">
        <f>IFERROR(VLOOKUP($A1024, Ledger!$B$2:$L$8, 3, 0),"")</f>
        <v/>
      </c>
      <c r="C1024" t="str">
        <f>IFERROR(VLOOKUP($A1024, Ledger!$B$2:$L$8, 4, 0),"")</f>
        <v/>
      </c>
      <c r="D1024" t="str">
        <f>IFERROR(VLOOKUP($A1024, Ledger!$B$2:$L$8, 5, 0),"")</f>
        <v/>
      </c>
      <c r="E1024" t="str">
        <f>IFERROR(VLOOKUP($A1024, Ledger!$B$2:$L$8, 6, 0),"")</f>
        <v/>
      </c>
      <c r="F1024" t="str">
        <f>IFERROR(VLOOKUP($A1024,'Student Data'!$A$2:$AR$6,32,0),"")</f>
        <v/>
      </c>
      <c r="G1024" t="str">
        <f>IFERROR(VLOOKUP($A1024,'Student Data'!$A$2:$AR$6,33,0),"")</f>
        <v/>
      </c>
      <c r="H1024" t="str">
        <f>IFERROR(VLOOKUP($A1024,'Student Data'!$A$2:$AR$6,34,0),"")</f>
        <v/>
      </c>
      <c r="I1024" t="str">
        <f>IFERROR(VLOOKUP($A1024,'Student Data'!$A$2:$AR$6,35,0),"")</f>
        <v/>
      </c>
      <c r="J1024" t="str">
        <f>IFERROR(VLOOKUP($A1024,'Student Data'!$A$2:$AR$6,36,0),"")</f>
        <v/>
      </c>
      <c r="K1024" t="str">
        <f t="shared" si="30"/>
        <v/>
      </c>
      <c r="L1024" t="str">
        <f t="shared" si="31"/>
        <v/>
      </c>
      <c r="M1024" t="str">
        <f>IFERROR(IF($C1024="","",SUMIFS(Ledger!$K$2:$K$4, Ledger!$B$2:$B$4, $A1024, Ledger!$C$2:$C$4, M$2)),"****")</f>
        <v/>
      </c>
      <c r="N1024" t="str">
        <f>IFERROR(IF($C1024="","",SUMIFS(Ledger!$K$2:$K$4, Ledger!$B$2:$B$4, $A1024, Ledger!$C$2:$C$4, N$2)),"****")</f>
        <v/>
      </c>
      <c r="O1024" t="str">
        <f>IFERROR(IF($C1024="","",SUMIFS(Ledger!$K$2:$K$4, Ledger!$B$2:$B$4, $A1024, Ledger!$C$2:$C$4, O$2)),"****")</f>
        <v/>
      </c>
      <c r="P1024" t="str">
        <f>IFERROR(IF($C1024="","",SUMIFS(Ledger!$K$2:$K$4, Ledger!$B$2:$B$4, $A1024, Ledger!$C$2:$C$4, P$2)),"****")</f>
        <v/>
      </c>
      <c r="Q1024" t="str">
        <f>IFERROR(IF($C1024="","",SUMIFS(Ledger!$K$2:$K$4, Ledger!$B$2:$B$4, $A1024, Ledger!$C$2:$C$4, Q$2)),"****")</f>
        <v/>
      </c>
      <c r="R1024" t="str">
        <f>IFERROR(IF($C1024="","",SUMIFS(Ledger!$K$2:$K$4, Ledger!$B$2:$B$4, $A1024, Ledger!$C$2:$C$4, R$2)),"****")</f>
        <v/>
      </c>
      <c r="S1024" t="str">
        <f>IFERROR(IF($C1024="","",SUMIFS(Ledger!$K$2:$K$4, Ledger!$B$2:$B$4, $A1024, Ledger!$C$2:$C$4, S$2)),"****")</f>
        <v/>
      </c>
      <c r="T1024" t="str">
        <f>IFERROR(IF($C1024="","",SUMIFS(Ledger!$K$2:$K$4, Ledger!$B$2:$B$4, $A1024, Ledger!$C$2:$C$4, T$2)),"****")</f>
        <v/>
      </c>
      <c r="U1024" t="str">
        <f>IFERROR(IF($C1024="","",SUMIFS(Ledger!$K$2:$K$4, Ledger!$B$2:$B$4, $A1024, Ledger!$C$2:$C$4, U$2)),"****")</f>
        <v/>
      </c>
      <c r="V1024" t="str">
        <f>IFERROR(IF($C1024="","",SUMIFS(Ledger!$K$2:$K$4, Ledger!$B$2:$B$4, $A1024, Ledger!$C$2:$C$4, V$2)),"****")</f>
        <v/>
      </c>
      <c r="W1024" t="str">
        <f>IFERROR(IF($C1024="","",SUMIFS(Ledger!$K$2:$K$4, Ledger!$B$2:$B$4, $A1024, Ledger!$C$2:$C$4, W$2)),"****")</f>
        <v/>
      </c>
      <c r="X1024" t="str">
        <f>IFERROR(IF($C1024="","",SUMIFS(Ledger!$K$2:$K$4, Ledger!$B$2:$B$4, $A1024, Ledger!$C$2:$C$4, X$2)),"****")</f>
        <v/>
      </c>
    </row>
    <row r="1025" spans="1:24" x14ac:dyDescent="0.3">
      <c r="A1025" s="106">
        <v>1023</v>
      </c>
      <c r="B1025" t="str">
        <f>IFERROR(VLOOKUP($A1025, Ledger!$B$2:$L$8, 3, 0),"")</f>
        <v/>
      </c>
      <c r="C1025" t="str">
        <f>IFERROR(VLOOKUP($A1025, Ledger!$B$2:$L$8, 4, 0),"")</f>
        <v/>
      </c>
      <c r="D1025" t="str">
        <f>IFERROR(VLOOKUP($A1025, Ledger!$B$2:$L$8, 5, 0),"")</f>
        <v/>
      </c>
      <c r="E1025" t="str">
        <f>IFERROR(VLOOKUP($A1025, Ledger!$B$2:$L$8, 6, 0),"")</f>
        <v/>
      </c>
      <c r="F1025" t="str">
        <f>IFERROR(VLOOKUP($A1025,'Student Data'!$A$2:$AR$6,32,0),"")</f>
        <v/>
      </c>
      <c r="G1025" t="str">
        <f>IFERROR(VLOOKUP($A1025,'Student Data'!$A$2:$AR$6,33,0),"")</f>
        <v/>
      </c>
      <c r="H1025" t="str">
        <f>IFERROR(VLOOKUP($A1025,'Student Data'!$A$2:$AR$6,34,0),"")</f>
        <v/>
      </c>
      <c r="I1025" t="str">
        <f>IFERROR(VLOOKUP($A1025,'Student Data'!$A$2:$AR$6,35,0),"")</f>
        <v/>
      </c>
      <c r="J1025" t="str">
        <f>IFERROR(VLOOKUP($A1025,'Student Data'!$A$2:$AR$6,36,0),"")</f>
        <v/>
      </c>
      <c r="K1025" t="str">
        <f t="shared" si="30"/>
        <v/>
      </c>
      <c r="L1025" t="str">
        <f t="shared" si="31"/>
        <v/>
      </c>
      <c r="M1025" t="str">
        <f>IFERROR(IF($C1025="","",SUMIFS(Ledger!$K$2:$K$4, Ledger!$B$2:$B$4, $A1025, Ledger!$C$2:$C$4, M$2)),"****")</f>
        <v/>
      </c>
      <c r="N1025" t="str">
        <f>IFERROR(IF($C1025="","",SUMIFS(Ledger!$K$2:$K$4, Ledger!$B$2:$B$4, $A1025, Ledger!$C$2:$C$4, N$2)),"****")</f>
        <v/>
      </c>
      <c r="O1025" t="str">
        <f>IFERROR(IF($C1025="","",SUMIFS(Ledger!$K$2:$K$4, Ledger!$B$2:$B$4, $A1025, Ledger!$C$2:$C$4, O$2)),"****")</f>
        <v/>
      </c>
      <c r="P1025" t="str">
        <f>IFERROR(IF($C1025="","",SUMIFS(Ledger!$K$2:$K$4, Ledger!$B$2:$B$4, $A1025, Ledger!$C$2:$C$4, P$2)),"****")</f>
        <v/>
      </c>
      <c r="Q1025" t="str">
        <f>IFERROR(IF($C1025="","",SUMIFS(Ledger!$K$2:$K$4, Ledger!$B$2:$B$4, $A1025, Ledger!$C$2:$C$4, Q$2)),"****")</f>
        <v/>
      </c>
      <c r="R1025" t="str">
        <f>IFERROR(IF($C1025="","",SUMIFS(Ledger!$K$2:$K$4, Ledger!$B$2:$B$4, $A1025, Ledger!$C$2:$C$4, R$2)),"****")</f>
        <v/>
      </c>
      <c r="S1025" t="str">
        <f>IFERROR(IF($C1025="","",SUMIFS(Ledger!$K$2:$K$4, Ledger!$B$2:$B$4, $A1025, Ledger!$C$2:$C$4, S$2)),"****")</f>
        <v/>
      </c>
      <c r="T1025" t="str">
        <f>IFERROR(IF($C1025="","",SUMIFS(Ledger!$K$2:$K$4, Ledger!$B$2:$B$4, $A1025, Ledger!$C$2:$C$4, T$2)),"****")</f>
        <v/>
      </c>
      <c r="U1025" t="str">
        <f>IFERROR(IF($C1025="","",SUMIFS(Ledger!$K$2:$K$4, Ledger!$B$2:$B$4, $A1025, Ledger!$C$2:$C$4, U$2)),"****")</f>
        <v/>
      </c>
      <c r="V1025" t="str">
        <f>IFERROR(IF($C1025="","",SUMIFS(Ledger!$K$2:$K$4, Ledger!$B$2:$B$4, $A1025, Ledger!$C$2:$C$4, V$2)),"****")</f>
        <v/>
      </c>
      <c r="W1025" t="str">
        <f>IFERROR(IF($C1025="","",SUMIFS(Ledger!$K$2:$K$4, Ledger!$B$2:$B$4, $A1025, Ledger!$C$2:$C$4, W$2)),"****")</f>
        <v/>
      </c>
      <c r="X1025" t="str">
        <f>IFERROR(IF($C1025="","",SUMIFS(Ledger!$K$2:$K$4, Ledger!$B$2:$B$4, $A1025, Ledger!$C$2:$C$4, X$2)),"****")</f>
        <v/>
      </c>
    </row>
    <row r="1026" spans="1:24" x14ac:dyDescent="0.3">
      <c r="A1026" s="106">
        <v>1024</v>
      </c>
      <c r="B1026" t="str">
        <f>IFERROR(VLOOKUP($A1026, Ledger!$B$2:$L$8, 3, 0),"")</f>
        <v/>
      </c>
      <c r="C1026" t="str">
        <f>IFERROR(VLOOKUP($A1026, Ledger!$B$2:$L$8, 4, 0),"")</f>
        <v/>
      </c>
      <c r="D1026" t="str">
        <f>IFERROR(VLOOKUP($A1026, Ledger!$B$2:$L$8, 5, 0),"")</f>
        <v/>
      </c>
      <c r="E1026" t="str">
        <f>IFERROR(VLOOKUP($A1026, Ledger!$B$2:$L$8, 6, 0),"")</f>
        <v/>
      </c>
      <c r="F1026" t="str">
        <f>IFERROR(VLOOKUP($A1026,'Student Data'!$A$2:$AR$6,32,0),"")</f>
        <v/>
      </c>
      <c r="G1026" t="str">
        <f>IFERROR(VLOOKUP($A1026,'Student Data'!$A$2:$AR$6,33,0),"")</f>
        <v/>
      </c>
      <c r="H1026" t="str">
        <f>IFERROR(VLOOKUP($A1026,'Student Data'!$A$2:$AR$6,34,0),"")</f>
        <v/>
      </c>
      <c r="I1026" t="str">
        <f>IFERROR(VLOOKUP($A1026,'Student Data'!$A$2:$AR$6,35,0),"")</f>
        <v/>
      </c>
      <c r="J1026" t="str">
        <f>IFERROR(VLOOKUP($A1026,'Student Data'!$A$2:$AR$6,36,0),"")</f>
        <v/>
      </c>
      <c r="K1026" t="str">
        <f t="shared" si="30"/>
        <v/>
      </c>
      <c r="L1026" t="str">
        <f t="shared" si="31"/>
        <v/>
      </c>
      <c r="M1026" t="str">
        <f>IFERROR(IF($C1026="","",SUMIFS(Ledger!$K$2:$K$4, Ledger!$B$2:$B$4, $A1026, Ledger!$C$2:$C$4, M$2)),"****")</f>
        <v/>
      </c>
      <c r="N1026" t="str">
        <f>IFERROR(IF($C1026="","",SUMIFS(Ledger!$K$2:$K$4, Ledger!$B$2:$B$4, $A1026, Ledger!$C$2:$C$4, N$2)),"****")</f>
        <v/>
      </c>
      <c r="O1026" t="str">
        <f>IFERROR(IF($C1026="","",SUMIFS(Ledger!$K$2:$K$4, Ledger!$B$2:$B$4, $A1026, Ledger!$C$2:$C$4, O$2)),"****")</f>
        <v/>
      </c>
      <c r="P1026" t="str">
        <f>IFERROR(IF($C1026="","",SUMIFS(Ledger!$K$2:$K$4, Ledger!$B$2:$B$4, $A1026, Ledger!$C$2:$C$4, P$2)),"****")</f>
        <v/>
      </c>
      <c r="Q1026" t="str">
        <f>IFERROR(IF($C1026="","",SUMIFS(Ledger!$K$2:$K$4, Ledger!$B$2:$B$4, $A1026, Ledger!$C$2:$C$4, Q$2)),"****")</f>
        <v/>
      </c>
      <c r="R1026" t="str">
        <f>IFERROR(IF($C1026="","",SUMIFS(Ledger!$K$2:$K$4, Ledger!$B$2:$B$4, $A1026, Ledger!$C$2:$C$4, R$2)),"****")</f>
        <v/>
      </c>
      <c r="S1026" t="str">
        <f>IFERROR(IF($C1026="","",SUMIFS(Ledger!$K$2:$K$4, Ledger!$B$2:$B$4, $A1026, Ledger!$C$2:$C$4, S$2)),"****")</f>
        <v/>
      </c>
      <c r="T1026" t="str">
        <f>IFERROR(IF($C1026="","",SUMIFS(Ledger!$K$2:$K$4, Ledger!$B$2:$B$4, $A1026, Ledger!$C$2:$C$4, T$2)),"****")</f>
        <v/>
      </c>
      <c r="U1026" t="str">
        <f>IFERROR(IF($C1026="","",SUMIFS(Ledger!$K$2:$K$4, Ledger!$B$2:$B$4, $A1026, Ledger!$C$2:$C$4, U$2)),"****")</f>
        <v/>
      </c>
      <c r="V1026" t="str">
        <f>IFERROR(IF($C1026="","",SUMIFS(Ledger!$K$2:$K$4, Ledger!$B$2:$B$4, $A1026, Ledger!$C$2:$C$4, V$2)),"****")</f>
        <v/>
      </c>
      <c r="W1026" t="str">
        <f>IFERROR(IF($C1026="","",SUMIFS(Ledger!$K$2:$K$4, Ledger!$B$2:$B$4, $A1026, Ledger!$C$2:$C$4, W$2)),"****")</f>
        <v/>
      </c>
      <c r="X1026" t="str">
        <f>IFERROR(IF($C1026="","",SUMIFS(Ledger!$K$2:$K$4, Ledger!$B$2:$B$4, $A1026, Ledger!$C$2:$C$4, X$2)),"****")</f>
        <v/>
      </c>
    </row>
    <row r="1027" spans="1:24" x14ac:dyDescent="0.3">
      <c r="A1027" s="106">
        <v>1025</v>
      </c>
      <c r="B1027" t="str">
        <f>IFERROR(VLOOKUP($A1027, Ledger!$B$2:$L$8, 3, 0),"")</f>
        <v/>
      </c>
      <c r="C1027" t="str">
        <f>IFERROR(VLOOKUP($A1027, Ledger!$B$2:$L$8, 4, 0),"")</f>
        <v/>
      </c>
      <c r="D1027" t="str">
        <f>IFERROR(VLOOKUP($A1027, Ledger!$B$2:$L$8, 5, 0),"")</f>
        <v/>
      </c>
      <c r="E1027" t="str">
        <f>IFERROR(VLOOKUP($A1027, Ledger!$B$2:$L$8, 6, 0),"")</f>
        <v/>
      </c>
      <c r="F1027" t="str">
        <f>IFERROR(VLOOKUP($A1027,'Student Data'!$A$2:$AR$6,32,0),"")</f>
        <v/>
      </c>
      <c r="G1027" t="str">
        <f>IFERROR(VLOOKUP($A1027,'Student Data'!$A$2:$AR$6,33,0),"")</f>
        <v/>
      </c>
      <c r="H1027" t="str">
        <f>IFERROR(VLOOKUP($A1027,'Student Data'!$A$2:$AR$6,34,0),"")</f>
        <v/>
      </c>
      <c r="I1027" t="str">
        <f>IFERROR(VLOOKUP($A1027,'Student Data'!$A$2:$AR$6,35,0),"")</f>
        <v/>
      </c>
      <c r="J1027" t="str">
        <f>IFERROR(VLOOKUP($A1027,'Student Data'!$A$2:$AR$6,36,0),"")</f>
        <v/>
      </c>
      <c r="K1027" t="str">
        <f t="shared" si="30"/>
        <v/>
      </c>
      <c r="L1027" t="str">
        <f t="shared" si="31"/>
        <v/>
      </c>
      <c r="M1027" t="str">
        <f>IFERROR(IF($C1027="","",SUMIFS(Ledger!$K$2:$K$4, Ledger!$B$2:$B$4, $A1027, Ledger!$C$2:$C$4, M$2)),"****")</f>
        <v/>
      </c>
      <c r="N1027" t="str">
        <f>IFERROR(IF($C1027="","",SUMIFS(Ledger!$K$2:$K$4, Ledger!$B$2:$B$4, $A1027, Ledger!$C$2:$C$4, N$2)),"****")</f>
        <v/>
      </c>
      <c r="O1027" t="str">
        <f>IFERROR(IF($C1027="","",SUMIFS(Ledger!$K$2:$K$4, Ledger!$B$2:$B$4, $A1027, Ledger!$C$2:$C$4, O$2)),"****")</f>
        <v/>
      </c>
      <c r="P1027" t="str">
        <f>IFERROR(IF($C1027="","",SUMIFS(Ledger!$K$2:$K$4, Ledger!$B$2:$B$4, $A1027, Ledger!$C$2:$C$4, P$2)),"****")</f>
        <v/>
      </c>
      <c r="Q1027" t="str">
        <f>IFERROR(IF($C1027="","",SUMIFS(Ledger!$K$2:$K$4, Ledger!$B$2:$B$4, $A1027, Ledger!$C$2:$C$4, Q$2)),"****")</f>
        <v/>
      </c>
      <c r="R1027" t="str">
        <f>IFERROR(IF($C1027="","",SUMIFS(Ledger!$K$2:$K$4, Ledger!$B$2:$B$4, $A1027, Ledger!$C$2:$C$4, R$2)),"****")</f>
        <v/>
      </c>
      <c r="S1027" t="str">
        <f>IFERROR(IF($C1027="","",SUMIFS(Ledger!$K$2:$K$4, Ledger!$B$2:$B$4, $A1027, Ledger!$C$2:$C$4, S$2)),"****")</f>
        <v/>
      </c>
      <c r="T1027" t="str">
        <f>IFERROR(IF($C1027="","",SUMIFS(Ledger!$K$2:$K$4, Ledger!$B$2:$B$4, $A1027, Ledger!$C$2:$C$4, T$2)),"****")</f>
        <v/>
      </c>
      <c r="U1027" t="str">
        <f>IFERROR(IF($C1027="","",SUMIFS(Ledger!$K$2:$K$4, Ledger!$B$2:$B$4, $A1027, Ledger!$C$2:$C$4, U$2)),"****")</f>
        <v/>
      </c>
      <c r="V1027" t="str">
        <f>IFERROR(IF($C1027="","",SUMIFS(Ledger!$K$2:$K$4, Ledger!$B$2:$B$4, $A1027, Ledger!$C$2:$C$4, V$2)),"****")</f>
        <v/>
      </c>
      <c r="W1027" t="str">
        <f>IFERROR(IF($C1027="","",SUMIFS(Ledger!$K$2:$K$4, Ledger!$B$2:$B$4, $A1027, Ledger!$C$2:$C$4, W$2)),"****")</f>
        <v/>
      </c>
      <c r="X1027" t="str">
        <f>IFERROR(IF($C1027="","",SUMIFS(Ledger!$K$2:$K$4, Ledger!$B$2:$B$4, $A1027, Ledger!$C$2:$C$4, X$2)),"****")</f>
        <v/>
      </c>
    </row>
    <row r="1028" spans="1:24" x14ac:dyDescent="0.3">
      <c r="A1028" s="106">
        <v>1026</v>
      </c>
      <c r="B1028" t="str">
        <f>IFERROR(VLOOKUP($A1028, Ledger!$B$2:$L$8, 3, 0),"")</f>
        <v/>
      </c>
      <c r="C1028" t="str">
        <f>IFERROR(VLOOKUP($A1028, Ledger!$B$2:$L$8, 4, 0),"")</f>
        <v/>
      </c>
      <c r="D1028" t="str">
        <f>IFERROR(VLOOKUP($A1028, Ledger!$B$2:$L$8, 5, 0),"")</f>
        <v/>
      </c>
      <c r="E1028" t="str">
        <f>IFERROR(VLOOKUP($A1028, Ledger!$B$2:$L$8, 6, 0),"")</f>
        <v/>
      </c>
      <c r="F1028" t="str">
        <f>IFERROR(VLOOKUP($A1028,'Student Data'!$A$2:$AR$6,32,0),"")</f>
        <v/>
      </c>
      <c r="G1028" t="str">
        <f>IFERROR(VLOOKUP($A1028,'Student Data'!$A$2:$AR$6,33,0),"")</f>
        <v/>
      </c>
      <c r="H1028" t="str">
        <f>IFERROR(VLOOKUP($A1028,'Student Data'!$A$2:$AR$6,34,0),"")</f>
        <v/>
      </c>
      <c r="I1028" t="str">
        <f>IFERROR(VLOOKUP($A1028,'Student Data'!$A$2:$AR$6,35,0),"")</f>
        <v/>
      </c>
      <c r="J1028" t="str">
        <f>IFERROR(VLOOKUP($A1028,'Student Data'!$A$2:$AR$6,36,0),"")</f>
        <v/>
      </c>
      <c r="K1028" t="str">
        <f t="shared" ref="K1028:K1091" si="32">IFERROR(IF(C1028="","",SUM(M1028:X1028)),"0")</f>
        <v/>
      </c>
      <c r="L1028" t="str">
        <f t="shared" ref="L1028:L1091" si="33">IFERROR(IF(C1028="","",J1028-K1028),"0")</f>
        <v/>
      </c>
      <c r="M1028" t="str">
        <f>IFERROR(IF($C1028="","",SUMIFS(Ledger!$K$2:$K$4, Ledger!$B$2:$B$4, $A1028, Ledger!$C$2:$C$4, M$2)),"****")</f>
        <v/>
      </c>
      <c r="N1028" t="str">
        <f>IFERROR(IF($C1028="","",SUMIFS(Ledger!$K$2:$K$4, Ledger!$B$2:$B$4, $A1028, Ledger!$C$2:$C$4, N$2)),"****")</f>
        <v/>
      </c>
      <c r="O1028" t="str">
        <f>IFERROR(IF($C1028="","",SUMIFS(Ledger!$K$2:$K$4, Ledger!$B$2:$B$4, $A1028, Ledger!$C$2:$C$4, O$2)),"****")</f>
        <v/>
      </c>
      <c r="P1028" t="str">
        <f>IFERROR(IF($C1028="","",SUMIFS(Ledger!$K$2:$K$4, Ledger!$B$2:$B$4, $A1028, Ledger!$C$2:$C$4, P$2)),"****")</f>
        <v/>
      </c>
      <c r="Q1028" t="str">
        <f>IFERROR(IF($C1028="","",SUMIFS(Ledger!$K$2:$K$4, Ledger!$B$2:$B$4, $A1028, Ledger!$C$2:$C$4, Q$2)),"****")</f>
        <v/>
      </c>
      <c r="R1028" t="str">
        <f>IFERROR(IF($C1028="","",SUMIFS(Ledger!$K$2:$K$4, Ledger!$B$2:$B$4, $A1028, Ledger!$C$2:$C$4, R$2)),"****")</f>
        <v/>
      </c>
      <c r="S1028" t="str">
        <f>IFERROR(IF($C1028="","",SUMIFS(Ledger!$K$2:$K$4, Ledger!$B$2:$B$4, $A1028, Ledger!$C$2:$C$4, S$2)),"****")</f>
        <v/>
      </c>
      <c r="T1028" t="str">
        <f>IFERROR(IF($C1028="","",SUMIFS(Ledger!$K$2:$K$4, Ledger!$B$2:$B$4, $A1028, Ledger!$C$2:$C$4, T$2)),"****")</f>
        <v/>
      </c>
      <c r="U1028" t="str">
        <f>IFERROR(IF($C1028="","",SUMIFS(Ledger!$K$2:$K$4, Ledger!$B$2:$B$4, $A1028, Ledger!$C$2:$C$4, U$2)),"****")</f>
        <v/>
      </c>
      <c r="V1028" t="str">
        <f>IFERROR(IF($C1028="","",SUMIFS(Ledger!$K$2:$K$4, Ledger!$B$2:$B$4, $A1028, Ledger!$C$2:$C$4, V$2)),"****")</f>
        <v/>
      </c>
      <c r="W1028" t="str">
        <f>IFERROR(IF($C1028="","",SUMIFS(Ledger!$K$2:$K$4, Ledger!$B$2:$B$4, $A1028, Ledger!$C$2:$C$4, W$2)),"****")</f>
        <v/>
      </c>
      <c r="X1028" t="str">
        <f>IFERROR(IF($C1028="","",SUMIFS(Ledger!$K$2:$K$4, Ledger!$B$2:$B$4, $A1028, Ledger!$C$2:$C$4, X$2)),"****")</f>
        <v/>
      </c>
    </row>
    <row r="1029" spans="1:24" x14ac:dyDescent="0.3">
      <c r="A1029" s="106">
        <v>1027</v>
      </c>
      <c r="B1029" t="str">
        <f>IFERROR(VLOOKUP($A1029, Ledger!$B$2:$L$8, 3, 0),"")</f>
        <v/>
      </c>
      <c r="C1029" t="str">
        <f>IFERROR(VLOOKUP($A1029, Ledger!$B$2:$L$8, 4, 0),"")</f>
        <v/>
      </c>
      <c r="D1029" t="str">
        <f>IFERROR(VLOOKUP($A1029, Ledger!$B$2:$L$8, 5, 0),"")</f>
        <v/>
      </c>
      <c r="E1029" t="str">
        <f>IFERROR(VLOOKUP($A1029, Ledger!$B$2:$L$8, 6, 0),"")</f>
        <v/>
      </c>
      <c r="F1029" t="str">
        <f>IFERROR(VLOOKUP($A1029,'Student Data'!$A$2:$AR$6,32,0),"")</f>
        <v/>
      </c>
      <c r="G1029" t="str">
        <f>IFERROR(VLOOKUP($A1029,'Student Data'!$A$2:$AR$6,33,0),"")</f>
        <v/>
      </c>
      <c r="H1029" t="str">
        <f>IFERROR(VLOOKUP($A1029,'Student Data'!$A$2:$AR$6,34,0),"")</f>
        <v/>
      </c>
      <c r="I1029" t="str">
        <f>IFERROR(VLOOKUP($A1029,'Student Data'!$A$2:$AR$6,35,0),"")</f>
        <v/>
      </c>
      <c r="J1029" t="str">
        <f>IFERROR(VLOOKUP($A1029,'Student Data'!$A$2:$AR$6,36,0),"")</f>
        <v/>
      </c>
      <c r="K1029" t="str">
        <f t="shared" si="32"/>
        <v/>
      </c>
      <c r="L1029" t="str">
        <f t="shared" si="33"/>
        <v/>
      </c>
      <c r="M1029" t="str">
        <f>IFERROR(IF($C1029="","",SUMIFS(Ledger!$K$2:$K$4, Ledger!$B$2:$B$4, $A1029, Ledger!$C$2:$C$4, M$2)),"****")</f>
        <v/>
      </c>
      <c r="N1029" t="str">
        <f>IFERROR(IF($C1029="","",SUMIFS(Ledger!$K$2:$K$4, Ledger!$B$2:$B$4, $A1029, Ledger!$C$2:$C$4, N$2)),"****")</f>
        <v/>
      </c>
      <c r="O1029" t="str">
        <f>IFERROR(IF($C1029="","",SUMIFS(Ledger!$K$2:$K$4, Ledger!$B$2:$B$4, $A1029, Ledger!$C$2:$C$4, O$2)),"****")</f>
        <v/>
      </c>
      <c r="P1029" t="str">
        <f>IFERROR(IF($C1029="","",SUMIFS(Ledger!$K$2:$K$4, Ledger!$B$2:$B$4, $A1029, Ledger!$C$2:$C$4, P$2)),"****")</f>
        <v/>
      </c>
      <c r="Q1029" t="str">
        <f>IFERROR(IF($C1029="","",SUMIFS(Ledger!$K$2:$K$4, Ledger!$B$2:$B$4, $A1029, Ledger!$C$2:$C$4, Q$2)),"****")</f>
        <v/>
      </c>
      <c r="R1029" t="str">
        <f>IFERROR(IF($C1029="","",SUMIFS(Ledger!$K$2:$K$4, Ledger!$B$2:$B$4, $A1029, Ledger!$C$2:$C$4, R$2)),"****")</f>
        <v/>
      </c>
      <c r="S1029" t="str">
        <f>IFERROR(IF($C1029="","",SUMIFS(Ledger!$K$2:$K$4, Ledger!$B$2:$B$4, $A1029, Ledger!$C$2:$C$4, S$2)),"****")</f>
        <v/>
      </c>
      <c r="T1029" t="str">
        <f>IFERROR(IF($C1029="","",SUMIFS(Ledger!$K$2:$K$4, Ledger!$B$2:$B$4, $A1029, Ledger!$C$2:$C$4, T$2)),"****")</f>
        <v/>
      </c>
      <c r="U1029" t="str">
        <f>IFERROR(IF($C1029="","",SUMIFS(Ledger!$K$2:$K$4, Ledger!$B$2:$B$4, $A1029, Ledger!$C$2:$C$4, U$2)),"****")</f>
        <v/>
      </c>
      <c r="V1029" t="str">
        <f>IFERROR(IF($C1029="","",SUMIFS(Ledger!$K$2:$K$4, Ledger!$B$2:$B$4, $A1029, Ledger!$C$2:$C$4, V$2)),"****")</f>
        <v/>
      </c>
      <c r="W1029" t="str">
        <f>IFERROR(IF($C1029="","",SUMIFS(Ledger!$K$2:$K$4, Ledger!$B$2:$B$4, $A1029, Ledger!$C$2:$C$4, W$2)),"****")</f>
        <v/>
      </c>
      <c r="X1029" t="str">
        <f>IFERROR(IF($C1029="","",SUMIFS(Ledger!$K$2:$K$4, Ledger!$B$2:$B$4, $A1029, Ledger!$C$2:$C$4, X$2)),"****")</f>
        <v/>
      </c>
    </row>
    <row r="1030" spans="1:24" x14ac:dyDescent="0.3">
      <c r="A1030" s="106">
        <v>1028</v>
      </c>
      <c r="B1030" t="str">
        <f>IFERROR(VLOOKUP($A1030, Ledger!$B$2:$L$8, 3, 0),"")</f>
        <v/>
      </c>
      <c r="C1030" t="str">
        <f>IFERROR(VLOOKUP($A1030, Ledger!$B$2:$L$8, 4, 0),"")</f>
        <v/>
      </c>
      <c r="D1030" t="str">
        <f>IFERROR(VLOOKUP($A1030, Ledger!$B$2:$L$8, 5, 0),"")</f>
        <v/>
      </c>
      <c r="E1030" t="str">
        <f>IFERROR(VLOOKUP($A1030, Ledger!$B$2:$L$8, 6, 0),"")</f>
        <v/>
      </c>
      <c r="F1030" t="str">
        <f>IFERROR(VLOOKUP($A1030,'Student Data'!$A$2:$AR$6,32,0),"")</f>
        <v/>
      </c>
      <c r="G1030" t="str">
        <f>IFERROR(VLOOKUP($A1030,'Student Data'!$A$2:$AR$6,33,0),"")</f>
        <v/>
      </c>
      <c r="H1030" t="str">
        <f>IFERROR(VLOOKUP($A1030,'Student Data'!$A$2:$AR$6,34,0),"")</f>
        <v/>
      </c>
      <c r="I1030" t="str">
        <f>IFERROR(VLOOKUP($A1030,'Student Data'!$A$2:$AR$6,35,0),"")</f>
        <v/>
      </c>
      <c r="J1030" t="str">
        <f>IFERROR(VLOOKUP($A1030,'Student Data'!$A$2:$AR$6,36,0),"")</f>
        <v/>
      </c>
      <c r="K1030" t="str">
        <f t="shared" si="32"/>
        <v/>
      </c>
      <c r="L1030" t="str">
        <f t="shared" si="33"/>
        <v/>
      </c>
      <c r="M1030" t="str">
        <f>IFERROR(IF($C1030="","",SUMIFS(Ledger!$K$2:$K$4, Ledger!$B$2:$B$4, $A1030, Ledger!$C$2:$C$4, M$2)),"****")</f>
        <v/>
      </c>
      <c r="N1030" t="str">
        <f>IFERROR(IF($C1030="","",SUMIFS(Ledger!$K$2:$K$4, Ledger!$B$2:$B$4, $A1030, Ledger!$C$2:$C$4, N$2)),"****")</f>
        <v/>
      </c>
      <c r="O1030" t="str">
        <f>IFERROR(IF($C1030="","",SUMIFS(Ledger!$K$2:$K$4, Ledger!$B$2:$B$4, $A1030, Ledger!$C$2:$C$4, O$2)),"****")</f>
        <v/>
      </c>
      <c r="P1030" t="str">
        <f>IFERROR(IF($C1030="","",SUMIFS(Ledger!$K$2:$K$4, Ledger!$B$2:$B$4, $A1030, Ledger!$C$2:$C$4, P$2)),"****")</f>
        <v/>
      </c>
      <c r="Q1030" t="str">
        <f>IFERROR(IF($C1030="","",SUMIFS(Ledger!$K$2:$K$4, Ledger!$B$2:$B$4, $A1030, Ledger!$C$2:$C$4, Q$2)),"****")</f>
        <v/>
      </c>
      <c r="R1030" t="str">
        <f>IFERROR(IF($C1030="","",SUMIFS(Ledger!$K$2:$K$4, Ledger!$B$2:$B$4, $A1030, Ledger!$C$2:$C$4, R$2)),"****")</f>
        <v/>
      </c>
      <c r="S1030" t="str">
        <f>IFERROR(IF($C1030="","",SUMIFS(Ledger!$K$2:$K$4, Ledger!$B$2:$B$4, $A1030, Ledger!$C$2:$C$4, S$2)),"****")</f>
        <v/>
      </c>
      <c r="T1030" t="str">
        <f>IFERROR(IF($C1030="","",SUMIFS(Ledger!$K$2:$K$4, Ledger!$B$2:$B$4, $A1030, Ledger!$C$2:$C$4, T$2)),"****")</f>
        <v/>
      </c>
      <c r="U1030" t="str">
        <f>IFERROR(IF($C1030="","",SUMIFS(Ledger!$K$2:$K$4, Ledger!$B$2:$B$4, $A1030, Ledger!$C$2:$C$4, U$2)),"****")</f>
        <v/>
      </c>
      <c r="V1030" t="str">
        <f>IFERROR(IF($C1030="","",SUMIFS(Ledger!$K$2:$K$4, Ledger!$B$2:$B$4, $A1030, Ledger!$C$2:$C$4, V$2)),"****")</f>
        <v/>
      </c>
      <c r="W1030" t="str">
        <f>IFERROR(IF($C1030="","",SUMIFS(Ledger!$K$2:$K$4, Ledger!$B$2:$B$4, $A1030, Ledger!$C$2:$C$4, W$2)),"****")</f>
        <v/>
      </c>
      <c r="X1030" t="str">
        <f>IFERROR(IF($C1030="","",SUMIFS(Ledger!$K$2:$K$4, Ledger!$B$2:$B$4, $A1030, Ledger!$C$2:$C$4, X$2)),"****")</f>
        <v/>
      </c>
    </row>
    <row r="1031" spans="1:24" x14ac:dyDescent="0.3">
      <c r="A1031" s="106">
        <v>1029</v>
      </c>
      <c r="B1031" t="str">
        <f>IFERROR(VLOOKUP($A1031, Ledger!$B$2:$L$8, 3, 0),"")</f>
        <v/>
      </c>
      <c r="C1031" t="str">
        <f>IFERROR(VLOOKUP($A1031, Ledger!$B$2:$L$8, 4, 0),"")</f>
        <v/>
      </c>
      <c r="D1031" t="str">
        <f>IFERROR(VLOOKUP($A1031, Ledger!$B$2:$L$8, 5, 0),"")</f>
        <v/>
      </c>
      <c r="E1031" t="str">
        <f>IFERROR(VLOOKUP($A1031, Ledger!$B$2:$L$8, 6, 0),"")</f>
        <v/>
      </c>
      <c r="F1031" t="str">
        <f>IFERROR(VLOOKUP($A1031,'Student Data'!$A$2:$AR$6,32,0),"")</f>
        <v/>
      </c>
      <c r="G1031" t="str">
        <f>IFERROR(VLOOKUP($A1031,'Student Data'!$A$2:$AR$6,33,0),"")</f>
        <v/>
      </c>
      <c r="H1031" t="str">
        <f>IFERROR(VLOOKUP($A1031,'Student Data'!$A$2:$AR$6,34,0),"")</f>
        <v/>
      </c>
      <c r="I1031" t="str">
        <f>IFERROR(VLOOKUP($A1031,'Student Data'!$A$2:$AR$6,35,0),"")</f>
        <v/>
      </c>
      <c r="J1031" t="str">
        <f>IFERROR(VLOOKUP($A1031,'Student Data'!$A$2:$AR$6,36,0),"")</f>
        <v/>
      </c>
      <c r="K1031" t="str">
        <f t="shared" si="32"/>
        <v/>
      </c>
      <c r="L1031" t="str">
        <f t="shared" si="33"/>
        <v/>
      </c>
      <c r="M1031" t="str">
        <f>IFERROR(IF($C1031="","",SUMIFS(Ledger!$K$2:$K$4, Ledger!$B$2:$B$4, $A1031, Ledger!$C$2:$C$4, M$2)),"****")</f>
        <v/>
      </c>
      <c r="N1031" t="str">
        <f>IFERROR(IF($C1031="","",SUMIFS(Ledger!$K$2:$K$4, Ledger!$B$2:$B$4, $A1031, Ledger!$C$2:$C$4, N$2)),"****")</f>
        <v/>
      </c>
      <c r="O1031" t="str">
        <f>IFERROR(IF($C1031="","",SUMIFS(Ledger!$K$2:$K$4, Ledger!$B$2:$B$4, $A1031, Ledger!$C$2:$C$4, O$2)),"****")</f>
        <v/>
      </c>
      <c r="P1031" t="str">
        <f>IFERROR(IF($C1031="","",SUMIFS(Ledger!$K$2:$K$4, Ledger!$B$2:$B$4, $A1031, Ledger!$C$2:$C$4, P$2)),"****")</f>
        <v/>
      </c>
      <c r="Q1031" t="str">
        <f>IFERROR(IF($C1031="","",SUMIFS(Ledger!$K$2:$K$4, Ledger!$B$2:$B$4, $A1031, Ledger!$C$2:$C$4, Q$2)),"****")</f>
        <v/>
      </c>
      <c r="R1031" t="str">
        <f>IFERROR(IF($C1031="","",SUMIFS(Ledger!$K$2:$K$4, Ledger!$B$2:$B$4, $A1031, Ledger!$C$2:$C$4, R$2)),"****")</f>
        <v/>
      </c>
      <c r="S1031" t="str">
        <f>IFERROR(IF($C1031="","",SUMIFS(Ledger!$K$2:$K$4, Ledger!$B$2:$B$4, $A1031, Ledger!$C$2:$C$4, S$2)),"****")</f>
        <v/>
      </c>
      <c r="T1031" t="str">
        <f>IFERROR(IF($C1031="","",SUMIFS(Ledger!$K$2:$K$4, Ledger!$B$2:$B$4, $A1031, Ledger!$C$2:$C$4, T$2)),"****")</f>
        <v/>
      </c>
      <c r="U1031" t="str">
        <f>IFERROR(IF($C1031="","",SUMIFS(Ledger!$K$2:$K$4, Ledger!$B$2:$B$4, $A1031, Ledger!$C$2:$C$4, U$2)),"****")</f>
        <v/>
      </c>
      <c r="V1031" t="str">
        <f>IFERROR(IF($C1031="","",SUMIFS(Ledger!$K$2:$K$4, Ledger!$B$2:$B$4, $A1031, Ledger!$C$2:$C$4, V$2)),"****")</f>
        <v/>
      </c>
      <c r="W1031" t="str">
        <f>IFERROR(IF($C1031="","",SUMIFS(Ledger!$K$2:$K$4, Ledger!$B$2:$B$4, $A1031, Ledger!$C$2:$C$4, W$2)),"****")</f>
        <v/>
      </c>
      <c r="X1031" t="str">
        <f>IFERROR(IF($C1031="","",SUMIFS(Ledger!$K$2:$K$4, Ledger!$B$2:$B$4, $A1031, Ledger!$C$2:$C$4, X$2)),"****")</f>
        <v/>
      </c>
    </row>
    <row r="1032" spans="1:24" x14ac:dyDescent="0.3">
      <c r="A1032" s="106">
        <v>1030</v>
      </c>
      <c r="B1032" t="str">
        <f>IFERROR(VLOOKUP($A1032, Ledger!$B$2:$L$8, 3, 0),"")</f>
        <v/>
      </c>
      <c r="C1032" t="str">
        <f>IFERROR(VLOOKUP($A1032, Ledger!$B$2:$L$8, 4, 0),"")</f>
        <v/>
      </c>
      <c r="D1032" t="str">
        <f>IFERROR(VLOOKUP($A1032, Ledger!$B$2:$L$8, 5, 0),"")</f>
        <v/>
      </c>
      <c r="E1032" t="str">
        <f>IFERROR(VLOOKUP($A1032, Ledger!$B$2:$L$8, 6, 0),"")</f>
        <v/>
      </c>
      <c r="F1032" t="str">
        <f>IFERROR(VLOOKUP($A1032,'Student Data'!$A$2:$AR$6,32,0),"")</f>
        <v/>
      </c>
      <c r="G1032" t="str">
        <f>IFERROR(VLOOKUP($A1032,'Student Data'!$A$2:$AR$6,33,0),"")</f>
        <v/>
      </c>
      <c r="H1032" t="str">
        <f>IFERROR(VLOOKUP($A1032,'Student Data'!$A$2:$AR$6,34,0),"")</f>
        <v/>
      </c>
      <c r="I1032" t="str">
        <f>IFERROR(VLOOKUP($A1032,'Student Data'!$A$2:$AR$6,35,0),"")</f>
        <v/>
      </c>
      <c r="J1032" t="str">
        <f>IFERROR(VLOOKUP($A1032,'Student Data'!$A$2:$AR$6,36,0),"")</f>
        <v/>
      </c>
      <c r="K1032" t="str">
        <f t="shared" si="32"/>
        <v/>
      </c>
      <c r="L1032" t="str">
        <f t="shared" si="33"/>
        <v/>
      </c>
      <c r="M1032" t="str">
        <f>IFERROR(IF($C1032="","",SUMIFS(Ledger!$K$2:$K$4, Ledger!$B$2:$B$4, $A1032, Ledger!$C$2:$C$4, M$2)),"****")</f>
        <v/>
      </c>
      <c r="N1032" t="str">
        <f>IFERROR(IF($C1032="","",SUMIFS(Ledger!$K$2:$K$4, Ledger!$B$2:$B$4, $A1032, Ledger!$C$2:$C$4, N$2)),"****")</f>
        <v/>
      </c>
      <c r="O1032" t="str">
        <f>IFERROR(IF($C1032="","",SUMIFS(Ledger!$K$2:$K$4, Ledger!$B$2:$B$4, $A1032, Ledger!$C$2:$C$4, O$2)),"****")</f>
        <v/>
      </c>
      <c r="P1032" t="str">
        <f>IFERROR(IF($C1032="","",SUMIFS(Ledger!$K$2:$K$4, Ledger!$B$2:$B$4, $A1032, Ledger!$C$2:$C$4, P$2)),"****")</f>
        <v/>
      </c>
      <c r="Q1032" t="str">
        <f>IFERROR(IF($C1032="","",SUMIFS(Ledger!$K$2:$K$4, Ledger!$B$2:$B$4, $A1032, Ledger!$C$2:$C$4, Q$2)),"****")</f>
        <v/>
      </c>
      <c r="R1032" t="str">
        <f>IFERROR(IF($C1032="","",SUMIFS(Ledger!$K$2:$K$4, Ledger!$B$2:$B$4, $A1032, Ledger!$C$2:$C$4, R$2)),"****")</f>
        <v/>
      </c>
      <c r="S1032" t="str">
        <f>IFERROR(IF($C1032="","",SUMIFS(Ledger!$K$2:$K$4, Ledger!$B$2:$B$4, $A1032, Ledger!$C$2:$C$4, S$2)),"****")</f>
        <v/>
      </c>
      <c r="T1032" t="str">
        <f>IFERROR(IF($C1032="","",SUMIFS(Ledger!$K$2:$K$4, Ledger!$B$2:$B$4, $A1032, Ledger!$C$2:$C$4, T$2)),"****")</f>
        <v/>
      </c>
      <c r="U1032" t="str">
        <f>IFERROR(IF($C1032="","",SUMIFS(Ledger!$K$2:$K$4, Ledger!$B$2:$B$4, $A1032, Ledger!$C$2:$C$4, U$2)),"****")</f>
        <v/>
      </c>
      <c r="V1032" t="str">
        <f>IFERROR(IF($C1032="","",SUMIFS(Ledger!$K$2:$K$4, Ledger!$B$2:$B$4, $A1032, Ledger!$C$2:$C$4, V$2)),"****")</f>
        <v/>
      </c>
      <c r="W1032" t="str">
        <f>IFERROR(IF($C1032="","",SUMIFS(Ledger!$K$2:$K$4, Ledger!$B$2:$B$4, $A1032, Ledger!$C$2:$C$4, W$2)),"****")</f>
        <v/>
      </c>
      <c r="X1032" t="str">
        <f>IFERROR(IF($C1032="","",SUMIFS(Ledger!$K$2:$K$4, Ledger!$B$2:$B$4, $A1032, Ledger!$C$2:$C$4, X$2)),"****")</f>
        <v/>
      </c>
    </row>
    <row r="1033" spans="1:24" x14ac:dyDescent="0.3">
      <c r="A1033" s="106">
        <v>1031</v>
      </c>
      <c r="B1033" t="str">
        <f>IFERROR(VLOOKUP($A1033, Ledger!$B$2:$L$8, 3, 0),"")</f>
        <v/>
      </c>
      <c r="C1033" t="str">
        <f>IFERROR(VLOOKUP($A1033, Ledger!$B$2:$L$8, 4, 0),"")</f>
        <v/>
      </c>
      <c r="D1033" t="str">
        <f>IFERROR(VLOOKUP($A1033, Ledger!$B$2:$L$8, 5, 0),"")</f>
        <v/>
      </c>
      <c r="E1033" t="str">
        <f>IFERROR(VLOOKUP($A1033, Ledger!$B$2:$L$8, 6, 0),"")</f>
        <v/>
      </c>
      <c r="F1033" t="str">
        <f>IFERROR(VLOOKUP($A1033,'Student Data'!$A$2:$AR$6,32,0),"")</f>
        <v/>
      </c>
      <c r="G1033" t="str">
        <f>IFERROR(VLOOKUP($A1033,'Student Data'!$A$2:$AR$6,33,0),"")</f>
        <v/>
      </c>
      <c r="H1033" t="str">
        <f>IFERROR(VLOOKUP($A1033,'Student Data'!$A$2:$AR$6,34,0),"")</f>
        <v/>
      </c>
      <c r="I1033" t="str">
        <f>IFERROR(VLOOKUP($A1033,'Student Data'!$A$2:$AR$6,35,0),"")</f>
        <v/>
      </c>
      <c r="J1033" t="str">
        <f>IFERROR(VLOOKUP($A1033,'Student Data'!$A$2:$AR$6,36,0),"")</f>
        <v/>
      </c>
      <c r="K1033" t="str">
        <f t="shared" si="32"/>
        <v/>
      </c>
      <c r="L1033" t="str">
        <f t="shared" si="33"/>
        <v/>
      </c>
      <c r="M1033" t="str">
        <f>IFERROR(IF($C1033="","",SUMIFS(Ledger!$K$2:$K$4, Ledger!$B$2:$B$4, $A1033, Ledger!$C$2:$C$4, M$2)),"****")</f>
        <v/>
      </c>
      <c r="N1033" t="str">
        <f>IFERROR(IF($C1033="","",SUMIFS(Ledger!$K$2:$K$4, Ledger!$B$2:$B$4, $A1033, Ledger!$C$2:$C$4, N$2)),"****")</f>
        <v/>
      </c>
      <c r="O1033" t="str">
        <f>IFERROR(IF($C1033="","",SUMIFS(Ledger!$K$2:$K$4, Ledger!$B$2:$B$4, $A1033, Ledger!$C$2:$C$4, O$2)),"****")</f>
        <v/>
      </c>
      <c r="P1033" t="str">
        <f>IFERROR(IF($C1033="","",SUMIFS(Ledger!$K$2:$K$4, Ledger!$B$2:$B$4, $A1033, Ledger!$C$2:$C$4, P$2)),"****")</f>
        <v/>
      </c>
      <c r="Q1033" t="str">
        <f>IFERROR(IF($C1033="","",SUMIFS(Ledger!$K$2:$K$4, Ledger!$B$2:$B$4, $A1033, Ledger!$C$2:$C$4, Q$2)),"****")</f>
        <v/>
      </c>
      <c r="R1033" t="str">
        <f>IFERROR(IF($C1033="","",SUMIFS(Ledger!$K$2:$K$4, Ledger!$B$2:$B$4, $A1033, Ledger!$C$2:$C$4, R$2)),"****")</f>
        <v/>
      </c>
      <c r="S1033" t="str">
        <f>IFERROR(IF($C1033="","",SUMIFS(Ledger!$K$2:$K$4, Ledger!$B$2:$B$4, $A1033, Ledger!$C$2:$C$4, S$2)),"****")</f>
        <v/>
      </c>
      <c r="T1033" t="str">
        <f>IFERROR(IF($C1033="","",SUMIFS(Ledger!$K$2:$K$4, Ledger!$B$2:$B$4, $A1033, Ledger!$C$2:$C$4, T$2)),"****")</f>
        <v/>
      </c>
      <c r="U1033" t="str">
        <f>IFERROR(IF($C1033="","",SUMIFS(Ledger!$K$2:$K$4, Ledger!$B$2:$B$4, $A1033, Ledger!$C$2:$C$4, U$2)),"****")</f>
        <v/>
      </c>
      <c r="V1033" t="str">
        <f>IFERROR(IF($C1033="","",SUMIFS(Ledger!$K$2:$K$4, Ledger!$B$2:$B$4, $A1033, Ledger!$C$2:$C$4, V$2)),"****")</f>
        <v/>
      </c>
      <c r="W1033" t="str">
        <f>IFERROR(IF($C1033="","",SUMIFS(Ledger!$K$2:$K$4, Ledger!$B$2:$B$4, $A1033, Ledger!$C$2:$C$4, W$2)),"****")</f>
        <v/>
      </c>
      <c r="X1033" t="str">
        <f>IFERROR(IF($C1033="","",SUMIFS(Ledger!$K$2:$K$4, Ledger!$B$2:$B$4, $A1033, Ledger!$C$2:$C$4, X$2)),"****")</f>
        <v/>
      </c>
    </row>
    <row r="1034" spans="1:24" x14ac:dyDescent="0.3">
      <c r="A1034" s="106">
        <v>1032</v>
      </c>
      <c r="B1034" t="str">
        <f>IFERROR(VLOOKUP($A1034, Ledger!$B$2:$L$8, 3, 0),"")</f>
        <v/>
      </c>
      <c r="C1034" t="str">
        <f>IFERROR(VLOOKUP($A1034, Ledger!$B$2:$L$8, 4, 0),"")</f>
        <v/>
      </c>
      <c r="D1034" t="str">
        <f>IFERROR(VLOOKUP($A1034, Ledger!$B$2:$L$8, 5, 0),"")</f>
        <v/>
      </c>
      <c r="E1034" t="str">
        <f>IFERROR(VLOOKUP($A1034, Ledger!$B$2:$L$8, 6, 0),"")</f>
        <v/>
      </c>
      <c r="F1034" t="str">
        <f>IFERROR(VLOOKUP($A1034,'Student Data'!$A$2:$AR$6,32,0),"")</f>
        <v/>
      </c>
      <c r="G1034" t="str">
        <f>IFERROR(VLOOKUP($A1034,'Student Data'!$A$2:$AR$6,33,0),"")</f>
        <v/>
      </c>
      <c r="H1034" t="str">
        <f>IFERROR(VLOOKUP($A1034,'Student Data'!$A$2:$AR$6,34,0),"")</f>
        <v/>
      </c>
      <c r="I1034" t="str">
        <f>IFERROR(VLOOKUP($A1034,'Student Data'!$A$2:$AR$6,35,0),"")</f>
        <v/>
      </c>
      <c r="J1034" t="str">
        <f>IFERROR(VLOOKUP($A1034,'Student Data'!$A$2:$AR$6,36,0),"")</f>
        <v/>
      </c>
      <c r="K1034" t="str">
        <f t="shared" si="32"/>
        <v/>
      </c>
      <c r="L1034" t="str">
        <f t="shared" si="33"/>
        <v/>
      </c>
      <c r="M1034" t="str">
        <f>IFERROR(IF($C1034="","",SUMIFS(Ledger!$K$2:$K$4, Ledger!$B$2:$B$4, $A1034, Ledger!$C$2:$C$4, M$2)),"****")</f>
        <v/>
      </c>
      <c r="N1034" t="str">
        <f>IFERROR(IF($C1034="","",SUMIFS(Ledger!$K$2:$K$4, Ledger!$B$2:$B$4, $A1034, Ledger!$C$2:$C$4, N$2)),"****")</f>
        <v/>
      </c>
      <c r="O1034" t="str">
        <f>IFERROR(IF($C1034="","",SUMIFS(Ledger!$K$2:$K$4, Ledger!$B$2:$B$4, $A1034, Ledger!$C$2:$C$4, O$2)),"****")</f>
        <v/>
      </c>
      <c r="P1034" t="str">
        <f>IFERROR(IF($C1034="","",SUMIFS(Ledger!$K$2:$K$4, Ledger!$B$2:$B$4, $A1034, Ledger!$C$2:$C$4, P$2)),"****")</f>
        <v/>
      </c>
      <c r="Q1034" t="str">
        <f>IFERROR(IF($C1034="","",SUMIFS(Ledger!$K$2:$K$4, Ledger!$B$2:$B$4, $A1034, Ledger!$C$2:$C$4, Q$2)),"****")</f>
        <v/>
      </c>
      <c r="R1034" t="str">
        <f>IFERROR(IF($C1034="","",SUMIFS(Ledger!$K$2:$K$4, Ledger!$B$2:$B$4, $A1034, Ledger!$C$2:$C$4, R$2)),"****")</f>
        <v/>
      </c>
      <c r="S1034" t="str">
        <f>IFERROR(IF($C1034="","",SUMIFS(Ledger!$K$2:$K$4, Ledger!$B$2:$B$4, $A1034, Ledger!$C$2:$C$4, S$2)),"****")</f>
        <v/>
      </c>
      <c r="T1034" t="str">
        <f>IFERROR(IF($C1034="","",SUMIFS(Ledger!$K$2:$K$4, Ledger!$B$2:$B$4, $A1034, Ledger!$C$2:$C$4, T$2)),"****")</f>
        <v/>
      </c>
      <c r="U1034" t="str">
        <f>IFERROR(IF($C1034="","",SUMIFS(Ledger!$K$2:$K$4, Ledger!$B$2:$B$4, $A1034, Ledger!$C$2:$C$4, U$2)),"****")</f>
        <v/>
      </c>
      <c r="V1034" t="str">
        <f>IFERROR(IF($C1034="","",SUMIFS(Ledger!$K$2:$K$4, Ledger!$B$2:$B$4, $A1034, Ledger!$C$2:$C$4, V$2)),"****")</f>
        <v/>
      </c>
      <c r="W1034" t="str">
        <f>IFERROR(IF($C1034="","",SUMIFS(Ledger!$K$2:$K$4, Ledger!$B$2:$B$4, $A1034, Ledger!$C$2:$C$4, W$2)),"****")</f>
        <v/>
      </c>
      <c r="X1034" t="str">
        <f>IFERROR(IF($C1034="","",SUMIFS(Ledger!$K$2:$K$4, Ledger!$B$2:$B$4, $A1034, Ledger!$C$2:$C$4, X$2)),"****")</f>
        <v/>
      </c>
    </row>
    <row r="1035" spans="1:24" x14ac:dyDescent="0.3">
      <c r="A1035" s="106">
        <v>1033</v>
      </c>
      <c r="B1035" t="str">
        <f>IFERROR(VLOOKUP($A1035, Ledger!$B$2:$L$8, 3, 0),"")</f>
        <v/>
      </c>
      <c r="C1035" t="str">
        <f>IFERROR(VLOOKUP($A1035, Ledger!$B$2:$L$8, 4, 0),"")</f>
        <v/>
      </c>
      <c r="D1035" t="str">
        <f>IFERROR(VLOOKUP($A1035, Ledger!$B$2:$L$8, 5, 0),"")</f>
        <v/>
      </c>
      <c r="E1035" t="str">
        <f>IFERROR(VLOOKUP($A1035, Ledger!$B$2:$L$8, 6, 0),"")</f>
        <v/>
      </c>
      <c r="F1035" t="str">
        <f>IFERROR(VLOOKUP($A1035,'Student Data'!$A$2:$AR$6,32,0),"")</f>
        <v/>
      </c>
      <c r="G1035" t="str">
        <f>IFERROR(VLOOKUP($A1035,'Student Data'!$A$2:$AR$6,33,0),"")</f>
        <v/>
      </c>
      <c r="H1035" t="str">
        <f>IFERROR(VLOOKUP($A1035,'Student Data'!$A$2:$AR$6,34,0),"")</f>
        <v/>
      </c>
      <c r="I1035" t="str">
        <f>IFERROR(VLOOKUP($A1035,'Student Data'!$A$2:$AR$6,35,0),"")</f>
        <v/>
      </c>
      <c r="J1035" t="str">
        <f>IFERROR(VLOOKUP($A1035,'Student Data'!$A$2:$AR$6,36,0),"")</f>
        <v/>
      </c>
      <c r="K1035" t="str">
        <f t="shared" si="32"/>
        <v/>
      </c>
      <c r="L1035" t="str">
        <f t="shared" si="33"/>
        <v/>
      </c>
      <c r="M1035" t="str">
        <f>IFERROR(IF($C1035="","",SUMIFS(Ledger!$K$2:$K$4, Ledger!$B$2:$B$4, $A1035, Ledger!$C$2:$C$4, M$2)),"****")</f>
        <v/>
      </c>
      <c r="N1035" t="str">
        <f>IFERROR(IF($C1035="","",SUMIFS(Ledger!$K$2:$K$4, Ledger!$B$2:$B$4, $A1035, Ledger!$C$2:$C$4, N$2)),"****")</f>
        <v/>
      </c>
      <c r="O1035" t="str">
        <f>IFERROR(IF($C1035="","",SUMIFS(Ledger!$K$2:$K$4, Ledger!$B$2:$B$4, $A1035, Ledger!$C$2:$C$4, O$2)),"****")</f>
        <v/>
      </c>
      <c r="P1035" t="str">
        <f>IFERROR(IF($C1035="","",SUMIFS(Ledger!$K$2:$K$4, Ledger!$B$2:$B$4, $A1035, Ledger!$C$2:$C$4, P$2)),"****")</f>
        <v/>
      </c>
      <c r="Q1035" t="str">
        <f>IFERROR(IF($C1035="","",SUMIFS(Ledger!$K$2:$K$4, Ledger!$B$2:$B$4, $A1035, Ledger!$C$2:$C$4, Q$2)),"****")</f>
        <v/>
      </c>
      <c r="R1035" t="str">
        <f>IFERROR(IF($C1035="","",SUMIFS(Ledger!$K$2:$K$4, Ledger!$B$2:$B$4, $A1035, Ledger!$C$2:$C$4, R$2)),"****")</f>
        <v/>
      </c>
      <c r="S1035" t="str">
        <f>IFERROR(IF($C1035="","",SUMIFS(Ledger!$K$2:$K$4, Ledger!$B$2:$B$4, $A1035, Ledger!$C$2:$C$4, S$2)),"****")</f>
        <v/>
      </c>
      <c r="T1035" t="str">
        <f>IFERROR(IF($C1035="","",SUMIFS(Ledger!$K$2:$K$4, Ledger!$B$2:$B$4, $A1035, Ledger!$C$2:$C$4, T$2)),"****")</f>
        <v/>
      </c>
      <c r="U1035" t="str">
        <f>IFERROR(IF($C1035="","",SUMIFS(Ledger!$K$2:$K$4, Ledger!$B$2:$B$4, $A1035, Ledger!$C$2:$C$4, U$2)),"****")</f>
        <v/>
      </c>
      <c r="V1035" t="str">
        <f>IFERROR(IF($C1035="","",SUMIFS(Ledger!$K$2:$K$4, Ledger!$B$2:$B$4, $A1035, Ledger!$C$2:$C$4, V$2)),"****")</f>
        <v/>
      </c>
      <c r="W1035" t="str">
        <f>IFERROR(IF($C1035="","",SUMIFS(Ledger!$K$2:$K$4, Ledger!$B$2:$B$4, $A1035, Ledger!$C$2:$C$4, W$2)),"****")</f>
        <v/>
      </c>
      <c r="X1035" t="str">
        <f>IFERROR(IF($C1035="","",SUMIFS(Ledger!$K$2:$K$4, Ledger!$B$2:$B$4, $A1035, Ledger!$C$2:$C$4, X$2)),"****")</f>
        <v/>
      </c>
    </row>
    <row r="1036" spans="1:24" x14ac:dyDescent="0.3">
      <c r="A1036" s="106">
        <v>1034</v>
      </c>
      <c r="B1036" t="str">
        <f>IFERROR(VLOOKUP($A1036, Ledger!$B$2:$L$8, 3, 0),"")</f>
        <v/>
      </c>
      <c r="C1036" t="str">
        <f>IFERROR(VLOOKUP($A1036, Ledger!$B$2:$L$8, 4, 0),"")</f>
        <v/>
      </c>
      <c r="D1036" t="str">
        <f>IFERROR(VLOOKUP($A1036, Ledger!$B$2:$L$8, 5, 0),"")</f>
        <v/>
      </c>
      <c r="E1036" t="str">
        <f>IFERROR(VLOOKUP($A1036, Ledger!$B$2:$L$8, 6, 0),"")</f>
        <v/>
      </c>
      <c r="F1036" t="str">
        <f>IFERROR(VLOOKUP($A1036,'Student Data'!$A$2:$AR$6,32,0),"")</f>
        <v/>
      </c>
      <c r="G1036" t="str">
        <f>IFERROR(VLOOKUP($A1036,'Student Data'!$A$2:$AR$6,33,0),"")</f>
        <v/>
      </c>
      <c r="H1036" t="str">
        <f>IFERROR(VLOOKUP($A1036,'Student Data'!$A$2:$AR$6,34,0),"")</f>
        <v/>
      </c>
      <c r="I1036" t="str">
        <f>IFERROR(VLOOKUP($A1036,'Student Data'!$A$2:$AR$6,35,0),"")</f>
        <v/>
      </c>
      <c r="J1036" t="str">
        <f>IFERROR(VLOOKUP($A1036,'Student Data'!$A$2:$AR$6,36,0),"")</f>
        <v/>
      </c>
      <c r="K1036" t="str">
        <f t="shared" si="32"/>
        <v/>
      </c>
      <c r="L1036" t="str">
        <f t="shared" si="33"/>
        <v/>
      </c>
      <c r="M1036" t="str">
        <f>IFERROR(IF($C1036="","",SUMIFS(Ledger!$K$2:$K$4, Ledger!$B$2:$B$4, $A1036, Ledger!$C$2:$C$4, M$2)),"****")</f>
        <v/>
      </c>
      <c r="N1036" t="str">
        <f>IFERROR(IF($C1036="","",SUMIFS(Ledger!$K$2:$K$4, Ledger!$B$2:$B$4, $A1036, Ledger!$C$2:$C$4, N$2)),"****")</f>
        <v/>
      </c>
      <c r="O1036" t="str">
        <f>IFERROR(IF($C1036="","",SUMIFS(Ledger!$K$2:$K$4, Ledger!$B$2:$B$4, $A1036, Ledger!$C$2:$C$4, O$2)),"****")</f>
        <v/>
      </c>
      <c r="P1036" t="str">
        <f>IFERROR(IF($C1036="","",SUMIFS(Ledger!$K$2:$K$4, Ledger!$B$2:$B$4, $A1036, Ledger!$C$2:$C$4, P$2)),"****")</f>
        <v/>
      </c>
      <c r="Q1036" t="str">
        <f>IFERROR(IF($C1036="","",SUMIFS(Ledger!$K$2:$K$4, Ledger!$B$2:$B$4, $A1036, Ledger!$C$2:$C$4, Q$2)),"****")</f>
        <v/>
      </c>
      <c r="R1036" t="str">
        <f>IFERROR(IF($C1036="","",SUMIFS(Ledger!$K$2:$K$4, Ledger!$B$2:$B$4, $A1036, Ledger!$C$2:$C$4, R$2)),"****")</f>
        <v/>
      </c>
      <c r="S1036" t="str">
        <f>IFERROR(IF($C1036="","",SUMIFS(Ledger!$K$2:$K$4, Ledger!$B$2:$B$4, $A1036, Ledger!$C$2:$C$4, S$2)),"****")</f>
        <v/>
      </c>
      <c r="T1036" t="str">
        <f>IFERROR(IF($C1036="","",SUMIFS(Ledger!$K$2:$K$4, Ledger!$B$2:$B$4, $A1036, Ledger!$C$2:$C$4, T$2)),"****")</f>
        <v/>
      </c>
      <c r="U1036" t="str">
        <f>IFERROR(IF($C1036="","",SUMIFS(Ledger!$K$2:$K$4, Ledger!$B$2:$B$4, $A1036, Ledger!$C$2:$C$4, U$2)),"****")</f>
        <v/>
      </c>
      <c r="V1036" t="str">
        <f>IFERROR(IF($C1036="","",SUMIFS(Ledger!$K$2:$K$4, Ledger!$B$2:$B$4, $A1036, Ledger!$C$2:$C$4, V$2)),"****")</f>
        <v/>
      </c>
      <c r="W1036" t="str">
        <f>IFERROR(IF($C1036="","",SUMIFS(Ledger!$K$2:$K$4, Ledger!$B$2:$B$4, $A1036, Ledger!$C$2:$C$4, W$2)),"****")</f>
        <v/>
      </c>
      <c r="X1036" t="str">
        <f>IFERROR(IF($C1036="","",SUMIFS(Ledger!$K$2:$K$4, Ledger!$B$2:$B$4, $A1036, Ledger!$C$2:$C$4, X$2)),"****")</f>
        <v/>
      </c>
    </row>
    <row r="1037" spans="1:24" x14ac:dyDescent="0.3">
      <c r="A1037" s="106">
        <v>1035</v>
      </c>
      <c r="B1037" t="str">
        <f>IFERROR(VLOOKUP($A1037, Ledger!$B$2:$L$8, 3, 0),"")</f>
        <v/>
      </c>
      <c r="C1037" t="str">
        <f>IFERROR(VLOOKUP($A1037, Ledger!$B$2:$L$8, 4, 0),"")</f>
        <v/>
      </c>
      <c r="D1037" t="str">
        <f>IFERROR(VLOOKUP($A1037, Ledger!$B$2:$L$8, 5, 0),"")</f>
        <v/>
      </c>
      <c r="E1037" t="str">
        <f>IFERROR(VLOOKUP($A1037, Ledger!$B$2:$L$8, 6, 0),"")</f>
        <v/>
      </c>
      <c r="F1037" t="str">
        <f>IFERROR(VLOOKUP($A1037,'Student Data'!$A$2:$AR$6,32,0),"")</f>
        <v/>
      </c>
      <c r="G1037" t="str">
        <f>IFERROR(VLOOKUP($A1037,'Student Data'!$A$2:$AR$6,33,0),"")</f>
        <v/>
      </c>
      <c r="H1037" t="str">
        <f>IFERROR(VLOOKUP($A1037,'Student Data'!$A$2:$AR$6,34,0),"")</f>
        <v/>
      </c>
      <c r="I1037" t="str">
        <f>IFERROR(VLOOKUP($A1037,'Student Data'!$A$2:$AR$6,35,0),"")</f>
        <v/>
      </c>
      <c r="J1037" t="str">
        <f>IFERROR(VLOOKUP($A1037,'Student Data'!$A$2:$AR$6,36,0),"")</f>
        <v/>
      </c>
      <c r="K1037" t="str">
        <f t="shared" si="32"/>
        <v/>
      </c>
      <c r="L1037" t="str">
        <f t="shared" si="33"/>
        <v/>
      </c>
      <c r="M1037" t="str">
        <f>IFERROR(IF($C1037="","",SUMIFS(Ledger!$K$2:$K$4, Ledger!$B$2:$B$4, $A1037, Ledger!$C$2:$C$4, M$2)),"****")</f>
        <v/>
      </c>
      <c r="N1037" t="str">
        <f>IFERROR(IF($C1037="","",SUMIFS(Ledger!$K$2:$K$4, Ledger!$B$2:$B$4, $A1037, Ledger!$C$2:$C$4, N$2)),"****")</f>
        <v/>
      </c>
      <c r="O1037" t="str">
        <f>IFERROR(IF($C1037="","",SUMIFS(Ledger!$K$2:$K$4, Ledger!$B$2:$B$4, $A1037, Ledger!$C$2:$C$4, O$2)),"****")</f>
        <v/>
      </c>
      <c r="P1037" t="str">
        <f>IFERROR(IF($C1037="","",SUMIFS(Ledger!$K$2:$K$4, Ledger!$B$2:$B$4, $A1037, Ledger!$C$2:$C$4, P$2)),"****")</f>
        <v/>
      </c>
      <c r="Q1037" t="str">
        <f>IFERROR(IF($C1037="","",SUMIFS(Ledger!$K$2:$K$4, Ledger!$B$2:$B$4, $A1037, Ledger!$C$2:$C$4, Q$2)),"****")</f>
        <v/>
      </c>
      <c r="R1037" t="str">
        <f>IFERROR(IF($C1037="","",SUMIFS(Ledger!$K$2:$K$4, Ledger!$B$2:$B$4, $A1037, Ledger!$C$2:$C$4, R$2)),"****")</f>
        <v/>
      </c>
      <c r="S1037" t="str">
        <f>IFERROR(IF($C1037="","",SUMIFS(Ledger!$K$2:$K$4, Ledger!$B$2:$B$4, $A1037, Ledger!$C$2:$C$4, S$2)),"****")</f>
        <v/>
      </c>
      <c r="T1037" t="str">
        <f>IFERROR(IF($C1037="","",SUMIFS(Ledger!$K$2:$K$4, Ledger!$B$2:$B$4, $A1037, Ledger!$C$2:$C$4, T$2)),"****")</f>
        <v/>
      </c>
      <c r="U1037" t="str">
        <f>IFERROR(IF($C1037="","",SUMIFS(Ledger!$K$2:$K$4, Ledger!$B$2:$B$4, $A1037, Ledger!$C$2:$C$4, U$2)),"****")</f>
        <v/>
      </c>
      <c r="V1037" t="str">
        <f>IFERROR(IF($C1037="","",SUMIFS(Ledger!$K$2:$K$4, Ledger!$B$2:$B$4, $A1037, Ledger!$C$2:$C$4, V$2)),"****")</f>
        <v/>
      </c>
      <c r="W1037" t="str">
        <f>IFERROR(IF($C1037="","",SUMIFS(Ledger!$K$2:$K$4, Ledger!$B$2:$B$4, $A1037, Ledger!$C$2:$C$4, W$2)),"****")</f>
        <v/>
      </c>
      <c r="X1037" t="str">
        <f>IFERROR(IF($C1037="","",SUMIFS(Ledger!$K$2:$K$4, Ledger!$B$2:$B$4, $A1037, Ledger!$C$2:$C$4, X$2)),"****")</f>
        <v/>
      </c>
    </row>
    <row r="1038" spans="1:24" x14ac:dyDescent="0.3">
      <c r="A1038" s="106">
        <v>1036</v>
      </c>
      <c r="B1038" t="str">
        <f>IFERROR(VLOOKUP($A1038, Ledger!$B$2:$L$8, 3, 0),"")</f>
        <v/>
      </c>
      <c r="C1038" t="str">
        <f>IFERROR(VLOOKUP($A1038, Ledger!$B$2:$L$8, 4, 0),"")</f>
        <v/>
      </c>
      <c r="D1038" t="str">
        <f>IFERROR(VLOOKUP($A1038, Ledger!$B$2:$L$8, 5, 0),"")</f>
        <v/>
      </c>
      <c r="E1038" t="str">
        <f>IFERROR(VLOOKUP($A1038, Ledger!$B$2:$L$8, 6, 0),"")</f>
        <v/>
      </c>
      <c r="F1038" t="str">
        <f>IFERROR(VLOOKUP($A1038,'Student Data'!$A$2:$AR$6,32,0),"")</f>
        <v/>
      </c>
      <c r="G1038" t="str">
        <f>IFERROR(VLOOKUP($A1038,'Student Data'!$A$2:$AR$6,33,0),"")</f>
        <v/>
      </c>
      <c r="H1038" t="str">
        <f>IFERROR(VLOOKUP($A1038,'Student Data'!$A$2:$AR$6,34,0),"")</f>
        <v/>
      </c>
      <c r="I1038" t="str">
        <f>IFERROR(VLOOKUP($A1038,'Student Data'!$A$2:$AR$6,35,0),"")</f>
        <v/>
      </c>
      <c r="J1038" t="str">
        <f>IFERROR(VLOOKUP($A1038,'Student Data'!$A$2:$AR$6,36,0),"")</f>
        <v/>
      </c>
      <c r="K1038" t="str">
        <f t="shared" si="32"/>
        <v/>
      </c>
      <c r="L1038" t="str">
        <f t="shared" si="33"/>
        <v/>
      </c>
      <c r="M1038" t="str">
        <f>IFERROR(IF($C1038="","",SUMIFS(Ledger!$K$2:$K$4, Ledger!$B$2:$B$4, $A1038, Ledger!$C$2:$C$4, M$2)),"****")</f>
        <v/>
      </c>
      <c r="N1038" t="str">
        <f>IFERROR(IF($C1038="","",SUMIFS(Ledger!$K$2:$K$4, Ledger!$B$2:$B$4, $A1038, Ledger!$C$2:$C$4, N$2)),"****")</f>
        <v/>
      </c>
      <c r="O1038" t="str">
        <f>IFERROR(IF($C1038="","",SUMIFS(Ledger!$K$2:$K$4, Ledger!$B$2:$B$4, $A1038, Ledger!$C$2:$C$4, O$2)),"****")</f>
        <v/>
      </c>
      <c r="P1038" t="str">
        <f>IFERROR(IF($C1038="","",SUMIFS(Ledger!$K$2:$K$4, Ledger!$B$2:$B$4, $A1038, Ledger!$C$2:$C$4, P$2)),"****")</f>
        <v/>
      </c>
      <c r="Q1038" t="str">
        <f>IFERROR(IF($C1038="","",SUMIFS(Ledger!$K$2:$K$4, Ledger!$B$2:$B$4, $A1038, Ledger!$C$2:$C$4, Q$2)),"****")</f>
        <v/>
      </c>
      <c r="R1038" t="str">
        <f>IFERROR(IF($C1038="","",SUMIFS(Ledger!$K$2:$K$4, Ledger!$B$2:$B$4, $A1038, Ledger!$C$2:$C$4, R$2)),"****")</f>
        <v/>
      </c>
      <c r="S1038" t="str">
        <f>IFERROR(IF($C1038="","",SUMIFS(Ledger!$K$2:$K$4, Ledger!$B$2:$B$4, $A1038, Ledger!$C$2:$C$4, S$2)),"****")</f>
        <v/>
      </c>
      <c r="T1038" t="str">
        <f>IFERROR(IF($C1038="","",SUMIFS(Ledger!$K$2:$K$4, Ledger!$B$2:$B$4, $A1038, Ledger!$C$2:$C$4, T$2)),"****")</f>
        <v/>
      </c>
      <c r="U1038" t="str">
        <f>IFERROR(IF($C1038="","",SUMIFS(Ledger!$K$2:$K$4, Ledger!$B$2:$B$4, $A1038, Ledger!$C$2:$C$4, U$2)),"****")</f>
        <v/>
      </c>
      <c r="V1038" t="str">
        <f>IFERROR(IF($C1038="","",SUMIFS(Ledger!$K$2:$K$4, Ledger!$B$2:$B$4, $A1038, Ledger!$C$2:$C$4, V$2)),"****")</f>
        <v/>
      </c>
      <c r="W1038" t="str">
        <f>IFERROR(IF($C1038="","",SUMIFS(Ledger!$K$2:$K$4, Ledger!$B$2:$B$4, $A1038, Ledger!$C$2:$C$4, W$2)),"****")</f>
        <v/>
      </c>
      <c r="X1038" t="str">
        <f>IFERROR(IF($C1038="","",SUMIFS(Ledger!$K$2:$K$4, Ledger!$B$2:$B$4, $A1038, Ledger!$C$2:$C$4, X$2)),"****")</f>
        <v/>
      </c>
    </row>
    <row r="1039" spans="1:24" x14ac:dyDescent="0.3">
      <c r="A1039" s="106">
        <v>1037</v>
      </c>
      <c r="B1039" t="str">
        <f>IFERROR(VLOOKUP($A1039, Ledger!$B$2:$L$8, 3, 0),"")</f>
        <v/>
      </c>
      <c r="C1039" t="str">
        <f>IFERROR(VLOOKUP($A1039, Ledger!$B$2:$L$8, 4, 0),"")</f>
        <v/>
      </c>
      <c r="D1039" t="str">
        <f>IFERROR(VLOOKUP($A1039, Ledger!$B$2:$L$8, 5, 0),"")</f>
        <v/>
      </c>
      <c r="E1039" t="str">
        <f>IFERROR(VLOOKUP($A1039, Ledger!$B$2:$L$8, 6, 0),"")</f>
        <v/>
      </c>
      <c r="F1039" t="str">
        <f>IFERROR(VLOOKUP($A1039,'Student Data'!$A$2:$AR$6,32,0),"")</f>
        <v/>
      </c>
      <c r="G1039" t="str">
        <f>IFERROR(VLOOKUP($A1039,'Student Data'!$A$2:$AR$6,33,0),"")</f>
        <v/>
      </c>
      <c r="H1039" t="str">
        <f>IFERROR(VLOOKUP($A1039,'Student Data'!$A$2:$AR$6,34,0),"")</f>
        <v/>
      </c>
      <c r="I1039" t="str">
        <f>IFERROR(VLOOKUP($A1039,'Student Data'!$A$2:$AR$6,35,0),"")</f>
        <v/>
      </c>
      <c r="J1039" t="str">
        <f>IFERROR(VLOOKUP($A1039,'Student Data'!$A$2:$AR$6,36,0),"")</f>
        <v/>
      </c>
      <c r="K1039" t="str">
        <f t="shared" si="32"/>
        <v/>
      </c>
      <c r="L1039" t="str">
        <f t="shared" si="33"/>
        <v/>
      </c>
      <c r="M1039" t="str">
        <f>IFERROR(IF($C1039="","",SUMIFS(Ledger!$K$2:$K$4, Ledger!$B$2:$B$4, $A1039, Ledger!$C$2:$C$4, M$2)),"****")</f>
        <v/>
      </c>
      <c r="N1039" t="str">
        <f>IFERROR(IF($C1039="","",SUMIFS(Ledger!$K$2:$K$4, Ledger!$B$2:$B$4, $A1039, Ledger!$C$2:$C$4, N$2)),"****")</f>
        <v/>
      </c>
      <c r="O1039" t="str">
        <f>IFERROR(IF($C1039="","",SUMIFS(Ledger!$K$2:$K$4, Ledger!$B$2:$B$4, $A1039, Ledger!$C$2:$C$4, O$2)),"****")</f>
        <v/>
      </c>
      <c r="P1039" t="str">
        <f>IFERROR(IF($C1039="","",SUMIFS(Ledger!$K$2:$K$4, Ledger!$B$2:$B$4, $A1039, Ledger!$C$2:$C$4, P$2)),"****")</f>
        <v/>
      </c>
      <c r="Q1039" t="str">
        <f>IFERROR(IF($C1039="","",SUMIFS(Ledger!$K$2:$K$4, Ledger!$B$2:$B$4, $A1039, Ledger!$C$2:$C$4, Q$2)),"****")</f>
        <v/>
      </c>
      <c r="R1039" t="str">
        <f>IFERROR(IF($C1039="","",SUMIFS(Ledger!$K$2:$K$4, Ledger!$B$2:$B$4, $A1039, Ledger!$C$2:$C$4, R$2)),"****")</f>
        <v/>
      </c>
      <c r="S1039" t="str">
        <f>IFERROR(IF($C1039="","",SUMIFS(Ledger!$K$2:$K$4, Ledger!$B$2:$B$4, $A1039, Ledger!$C$2:$C$4, S$2)),"****")</f>
        <v/>
      </c>
      <c r="T1039" t="str">
        <f>IFERROR(IF($C1039="","",SUMIFS(Ledger!$K$2:$K$4, Ledger!$B$2:$B$4, $A1039, Ledger!$C$2:$C$4, T$2)),"****")</f>
        <v/>
      </c>
      <c r="U1039" t="str">
        <f>IFERROR(IF($C1039="","",SUMIFS(Ledger!$K$2:$K$4, Ledger!$B$2:$B$4, $A1039, Ledger!$C$2:$C$4, U$2)),"****")</f>
        <v/>
      </c>
      <c r="V1039" t="str">
        <f>IFERROR(IF($C1039="","",SUMIFS(Ledger!$K$2:$K$4, Ledger!$B$2:$B$4, $A1039, Ledger!$C$2:$C$4, V$2)),"****")</f>
        <v/>
      </c>
      <c r="W1039" t="str">
        <f>IFERROR(IF($C1039="","",SUMIFS(Ledger!$K$2:$K$4, Ledger!$B$2:$B$4, $A1039, Ledger!$C$2:$C$4, W$2)),"****")</f>
        <v/>
      </c>
      <c r="X1039" t="str">
        <f>IFERROR(IF($C1039="","",SUMIFS(Ledger!$K$2:$K$4, Ledger!$B$2:$B$4, $A1039, Ledger!$C$2:$C$4, X$2)),"****")</f>
        <v/>
      </c>
    </row>
    <row r="1040" spans="1:24" x14ac:dyDescent="0.3">
      <c r="A1040" s="106">
        <v>1038</v>
      </c>
      <c r="B1040" t="str">
        <f>IFERROR(VLOOKUP($A1040, Ledger!$B$2:$L$8, 3, 0),"")</f>
        <v/>
      </c>
      <c r="C1040" t="str">
        <f>IFERROR(VLOOKUP($A1040, Ledger!$B$2:$L$8, 4, 0),"")</f>
        <v/>
      </c>
      <c r="D1040" t="str">
        <f>IFERROR(VLOOKUP($A1040, Ledger!$B$2:$L$8, 5, 0),"")</f>
        <v/>
      </c>
      <c r="E1040" t="str">
        <f>IFERROR(VLOOKUP($A1040, Ledger!$B$2:$L$8, 6, 0),"")</f>
        <v/>
      </c>
      <c r="F1040" t="str">
        <f>IFERROR(VLOOKUP($A1040,'Student Data'!$A$2:$AR$6,32,0),"")</f>
        <v/>
      </c>
      <c r="G1040" t="str">
        <f>IFERROR(VLOOKUP($A1040,'Student Data'!$A$2:$AR$6,33,0),"")</f>
        <v/>
      </c>
      <c r="H1040" t="str">
        <f>IFERROR(VLOOKUP($A1040,'Student Data'!$A$2:$AR$6,34,0),"")</f>
        <v/>
      </c>
      <c r="I1040" t="str">
        <f>IFERROR(VLOOKUP($A1040,'Student Data'!$A$2:$AR$6,35,0),"")</f>
        <v/>
      </c>
      <c r="J1040" t="str">
        <f>IFERROR(VLOOKUP($A1040,'Student Data'!$A$2:$AR$6,36,0),"")</f>
        <v/>
      </c>
      <c r="K1040" t="str">
        <f t="shared" si="32"/>
        <v/>
      </c>
      <c r="L1040" t="str">
        <f t="shared" si="33"/>
        <v/>
      </c>
      <c r="M1040" t="str">
        <f>IFERROR(IF($C1040="","",SUMIFS(Ledger!$K$2:$K$4, Ledger!$B$2:$B$4, $A1040, Ledger!$C$2:$C$4, M$2)),"****")</f>
        <v/>
      </c>
      <c r="N1040" t="str">
        <f>IFERROR(IF($C1040="","",SUMIFS(Ledger!$K$2:$K$4, Ledger!$B$2:$B$4, $A1040, Ledger!$C$2:$C$4, N$2)),"****")</f>
        <v/>
      </c>
      <c r="O1040" t="str">
        <f>IFERROR(IF($C1040="","",SUMIFS(Ledger!$K$2:$K$4, Ledger!$B$2:$B$4, $A1040, Ledger!$C$2:$C$4, O$2)),"****")</f>
        <v/>
      </c>
      <c r="P1040" t="str">
        <f>IFERROR(IF($C1040="","",SUMIFS(Ledger!$K$2:$K$4, Ledger!$B$2:$B$4, $A1040, Ledger!$C$2:$C$4, P$2)),"****")</f>
        <v/>
      </c>
      <c r="Q1040" t="str">
        <f>IFERROR(IF($C1040="","",SUMIFS(Ledger!$K$2:$K$4, Ledger!$B$2:$B$4, $A1040, Ledger!$C$2:$C$4, Q$2)),"****")</f>
        <v/>
      </c>
      <c r="R1040" t="str">
        <f>IFERROR(IF($C1040="","",SUMIFS(Ledger!$K$2:$K$4, Ledger!$B$2:$B$4, $A1040, Ledger!$C$2:$C$4, R$2)),"****")</f>
        <v/>
      </c>
      <c r="S1040" t="str">
        <f>IFERROR(IF($C1040="","",SUMIFS(Ledger!$K$2:$K$4, Ledger!$B$2:$B$4, $A1040, Ledger!$C$2:$C$4, S$2)),"****")</f>
        <v/>
      </c>
      <c r="T1040" t="str">
        <f>IFERROR(IF($C1040="","",SUMIFS(Ledger!$K$2:$K$4, Ledger!$B$2:$B$4, $A1040, Ledger!$C$2:$C$4, T$2)),"****")</f>
        <v/>
      </c>
      <c r="U1040" t="str">
        <f>IFERROR(IF($C1040="","",SUMIFS(Ledger!$K$2:$K$4, Ledger!$B$2:$B$4, $A1040, Ledger!$C$2:$C$4, U$2)),"****")</f>
        <v/>
      </c>
      <c r="V1040" t="str">
        <f>IFERROR(IF($C1040="","",SUMIFS(Ledger!$K$2:$K$4, Ledger!$B$2:$B$4, $A1040, Ledger!$C$2:$C$4, V$2)),"****")</f>
        <v/>
      </c>
      <c r="W1040" t="str">
        <f>IFERROR(IF($C1040="","",SUMIFS(Ledger!$K$2:$K$4, Ledger!$B$2:$B$4, $A1040, Ledger!$C$2:$C$4, W$2)),"****")</f>
        <v/>
      </c>
      <c r="X1040" t="str">
        <f>IFERROR(IF($C1040="","",SUMIFS(Ledger!$K$2:$K$4, Ledger!$B$2:$B$4, $A1040, Ledger!$C$2:$C$4, X$2)),"****")</f>
        <v/>
      </c>
    </row>
    <row r="1041" spans="1:24" x14ac:dyDescent="0.3">
      <c r="A1041" s="106">
        <v>1039</v>
      </c>
      <c r="B1041" t="str">
        <f>IFERROR(VLOOKUP($A1041, Ledger!$B$2:$L$8, 3, 0),"")</f>
        <v/>
      </c>
      <c r="C1041" t="str">
        <f>IFERROR(VLOOKUP($A1041, Ledger!$B$2:$L$8, 4, 0),"")</f>
        <v/>
      </c>
      <c r="D1041" t="str">
        <f>IFERROR(VLOOKUP($A1041, Ledger!$B$2:$L$8, 5, 0),"")</f>
        <v/>
      </c>
      <c r="E1041" t="str">
        <f>IFERROR(VLOOKUP($A1041, Ledger!$B$2:$L$8, 6, 0),"")</f>
        <v/>
      </c>
      <c r="F1041" t="str">
        <f>IFERROR(VLOOKUP($A1041,'Student Data'!$A$2:$AR$6,32,0),"")</f>
        <v/>
      </c>
      <c r="G1041" t="str">
        <f>IFERROR(VLOOKUP($A1041,'Student Data'!$A$2:$AR$6,33,0),"")</f>
        <v/>
      </c>
      <c r="H1041" t="str">
        <f>IFERROR(VLOOKUP($A1041,'Student Data'!$A$2:$AR$6,34,0),"")</f>
        <v/>
      </c>
      <c r="I1041" t="str">
        <f>IFERROR(VLOOKUP($A1041,'Student Data'!$A$2:$AR$6,35,0),"")</f>
        <v/>
      </c>
      <c r="J1041" t="str">
        <f>IFERROR(VLOOKUP($A1041,'Student Data'!$A$2:$AR$6,36,0),"")</f>
        <v/>
      </c>
      <c r="K1041" t="str">
        <f t="shared" si="32"/>
        <v/>
      </c>
      <c r="L1041" t="str">
        <f t="shared" si="33"/>
        <v/>
      </c>
      <c r="M1041" t="str">
        <f>IFERROR(IF($C1041="","",SUMIFS(Ledger!$K$2:$K$4, Ledger!$B$2:$B$4, $A1041, Ledger!$C$2:$C$4, M$2)),"****")</f>
        <v/>
      </c>
      <c r="N1041" t="str">
        <f>IFERROR(IF($C1041="","",SUMIFS(Ledger!$K$2:$K$4, Ledger!$B$2:$B$4, $A1041, Ledger!$C$2:$C$4, N$2)),"****")</f>
        <v/>
      </c>
      <c r="O1041" t="str">
        <f>IFERROR(IF($C1041="","",SUMIFS(Ledger!$K$2:$K$4, Ledger!$B$2:$B$4, $A1041, Ledger!$C$2:$C$4, O$2)),"****")</f>
        <v/>
      </c>
      <c r="P1041" t="str">
        <f>IFERROR(IF($C1041="","",SUMIFS(Ledger!$K$2:$K$4, Ledger!$B$2:$B$4, $A1041, Ledger!$C$2:$C$4, P$2)),"****")</f>
        <v/>
      </c>
      <c r="Q1041" t="str">
        <f>IFERROR(IF($C1041="","",SUMIFS(Ledger!$K$2:$K$4, Ledger!$B$2:$B$4, $A1041, Ledger!$C$2:$C$4, Q$2)),"****")</f>
        <v/>
      </c>
      <c r="R1041" t="str">
        <f>IFERROR(IF($C1041="","",SUMIFS(Ledger!$K$2:$K$4, Ledger!$B$2:$B$4, $A1041, Ledger!$C$2:$C$4, R$2)),"****")</f>
        <v/>
      </c>
      <c r="S1041" t="str">
        <f>IFERROR(IF($C1041="","",SUMIFS(Ledger!$K$2:$K$4, Ledger!$B$2:$B$4, $A1041, Ledger!$C$2:$C$4, S$2)),"****")</f>
        <v/>
      </c>
      <c r="T1041" t="str">
        <f>IFERROR(IF($C1041="","",SUMIFS(Ledger!$K$2:$K$4, Ledger!$B$2:$B$4, $A1041, Ledger!$C$2:$C$4, T$2)),"****")</f>
        <v/>
      </c>
      <c r="U1041" t="str">
        <f>IFERROR(IF($C1041="","",SUMIFS(Ledger!$K$2:$K$4, Ledger!$B$2:$B$4, $A1041, Ledger!$C$2:$C$4, U$2)),"****")</f>
        <v/>
      </c>
      <c r="V1041" t="str">
        <f>IFERROR(IF($C1041="","",SUMIFS(Ledger!$K$2:$K$4, Ledger!$B$2:$B$4, $A1041, Ledger!$C$2:$C$4, V$2)),"****")</f>
        <v/>
      </c>
      <c r="W1041" t="str">
        <f>IFERROR(IF($C1041="","",SUMIFS(Ledger!$K$2:$K$4, Ledger!$B$2:$B$4, $A1041, Ledger!$C$2:$C$4, W$2)),"****")</f>
        <v/>
      </c>
      <c r="X1041" t="str">
        <f>IFERROR(IF($C1041="","",SUMIFS(Ledger!$K$2:$K$4, Ledger!$B$2:$B$4, $A1041, Ledger!$C$2:$C$4, X$2)),"****")</f>
        <v/>
      </c>
    </row>
    <row r="1042" spans="1:24" x14ac:dyDescent="0.3">
      <c r="A1042" s="106">
        <v>1040</v>
      </c>
      <c r="B1042" t="str">
        <f>IFERROR(VLOOKUP($A1042, Ledger!$B$2:$L$8, 3, 0),"")</f>
        <v/>
      </c>
      <c r="C1042" t="str">
        <f>IFERROR(VLOOKUP($A1042, Ledger!$B$2:$L$8, 4, 0),"")</f>
        <v/>
      </c>
      <c r="D1042" t="str">
        <f>IFERROR(VLOOKUP($A1042, Ledger!$B$2:$L$8, 5, 0),"")</f>
        <v/>
      </c>
      <c r="E1042" t="str">
        <f>IFERROR(VLOOKUP($A1042, Ledger!$B$2:$L$8, 6, 0),"")</f>
        <v/>
      </c>
      <c r="F1042" t="str">
        <f>IFERROR(VLOOKUP($A1042,'Student Data'!$A$2:$AR$6,32,0),"")</f>
        <v/>
      </c>
      <c r="G1042" t="str">
        <f>IFERROR(VLOOKUP($A1042,'Student Data'!$A$2:$AR$6,33,0),"")</f>
        <v/>
      </c>
      <c r="H1042" t="str">
        <f>IFERROR(VLOOKUP($A1042,'Student Data'!$A$2:$AR$6,34,0),"")</f>
        <v/>
      </c>
      <c r="I1042" t="str">
        <f>IFERROR(VLOOKUP($A1042,'Student Data'!$A$2:$AR$6,35,0),"")</f>
        <v/>
      </c>
      <c r="J1042" t="str">
        <f>IFERROR(VLOOKUP($A1042,'Student Data'!$A$2:$AR$6,36,0),"")</f>
        <v/>
      </c>
      <c r="K1042" t="str">
        <f t="shared" si="32"/>
        <v/>
      </c>
      <c r="L1042" t="str">
        <f t="shared" si="33"/>
        <v/>
      </c>
      <c r="M1042" t="str">
        <f>IFERROR(IF($C1042="","",SUMIFS(Ledger!$K$2:$K$4, Ledger!$B$2:$B$4, $A1042, Ledger!$C$2:$C$4, M$2)),"****")</f>
        <v/>
      </c>
      <c r="N1042" t="str">
        <f>IFERROR(IF($C1042="","",SUMIFS(Ledger!$K$2:$K$4, Ledger!$B$2:$B$4, $A1042, Ledger!$C$2:$C$4, N$2)),"****")</f>
        <v/>
      </c>
      <c r="O1042" t="str">
        <f>IFERROR(IF($C1042="","",SUMIFS(Ledger!$K$2:$K$4, Ledger!$B$2:$B$4, $A1042, Ledger!$C$2:$C$4, O$2)),"****")</f>
        <v/>
      </c>
      <c r="P1042" t="str">
        <f>IFERROR(IF($C1042="","",SUMIFS(Ledger!$K$2:$K$4, Ledger!$B$2:$B$4, $A1042, Ledger!$C$2:$C$4, P$2)),"****")</f>
        <v/>
      </c>
      <c r="Q1042" t="str">
        <f>IFERROR(IF($C1042="","",SUMIFS(Ledger!$K$2:$K$4, Ledger!$B$2:$B$4, $A1042, Ledger!$C$2:$C$4, Q$2)),"****")</f>
        <v/>
      </c>
      <c r="R1042" t="str">
        <f>IFERROR(IF($C1042="","",SUMIFS(Ledger!$K$2:$K$4, Ledger!$B$2:$B$4, $A1042, Ledger!$C$2:$C$4, R$2)),"****")</f>
        <v/>
      </c>
      <c r="S1042" t="str">
        <f>IFERROR(IF($C1042="","",SUMIFS(Ledger!$K$2:$K$4, Ledger!$B$2:$B$4, $A1042, Ledger!$C$2:$C$4, S$2)),"****")</f>
        <v/>
      </c>
      <c r="T1042" t="str">
        <f>IFERROR(IF($C1042="","",SUMIFS(Ledger!$K$2:$K$4, Ledger!$B$2:$B$4, $A1042, Ledger!$C$2:$C$4, T$2)),"****")</f>
        <v/>
      </c>
      <c r="U1042" t="str">
        <f>IFERROR(IF($C1042="","",SUMIFS(Ledger!$K$2:$K$4, Ledger!$B$2:$B$4, $A1042, Ledger!$C$2:$C$4, U$2)),"****")</f>
        <v/>
      </c>
      <c r="V1042" t="str">
        <f>IFERROR(IF($C1042="","",SUMIFS(Ledger!$K$2:$K$4, Ledger!$B$2:$B$4, $A1042, Ledger!$C$2:$C$4, V$2)),"****")</f>
        <v/>
      </c>
      <c r="W1042" t="str">
        <f>IFERROR(IF($C1042="","",SUMIFS(Ledger!$K$2:$K$4, Ledger!$B$2:$B$4, $A1042, Ledger!$C$2:$C$4, W$2)),"****")</f>
        <v/>
      </c>
      <c r="X1042" t="str">
        <f>IFERROR(IF($C1042="","",SUMIFS(Ledger!$K$2:$K$4, Ledger!$B$2:$B$4, $A1042, Ledger!$C$2:$C$4, X$2)),"****")</f>
        <v/>
      </c>
    </row>
    <row r="1043" spans="1:24" x14ac:dyDescent="0.3">
      <c r="A1043" s="106">
        <v>1041</v>
      </c>
      <c r="B1043" t="str">
        <f>IFERROR(VLOOKUP($A1043, Ledger!$B$2:$L$8, 3, 0),"")</f>
        <v/>
      </c>
      <c r="C1043" t="str">
        <f>IFERROR(VLOOKUP($A1043, Ledger!$B$2:$L$8, 4, 0),"")</f>
        <v/>
      </c>
      <c r="D1043" t="str">
        <f>IFERROR(VLOOKUP($A1043, Ledger!$B$2:$L$8, 5, 0),"")</f>
        <v/>
      </c>
      <c r="E1043" t="str">
        <f>IFERROR(VLOOKUP($A1043, Ledger!$B$2:$L$8, 6, 0),"")</f>
        <v/>
      </c>
      <c r="F1043" t="str">
        <f>IFERROR(VLOOKUP($A1043,'Student Data'!$A$2:$AR$6,32,0),"")</f>
        <v/>
      </c>
      <c r="G1043" t="str">
        <f>IFERROR(VLOOKUP($A1043,'Student Data'!$A$2:$AR$6,33,0),"")</f>
        <v/>
      </c>
      <c r="H1043" t="str">
        <f>IFERROR(VLOOKUP($A1043,'Student Data'!$A$2:$AR$6,34,0),"")</f>
        <v/>
      </c>
      <c r="I1043" t="str">
        <f>IFERROR(VLOOKUP($A1043,'Student Data'!$A$2:$AR$6,35,0),"")</f>
        <v/>
      </c>
      <c r="J1043" t="str">
        <f>IFERROR(VLOOKUP($A1043,'Student Data'!$A$2:$AR$6,36,0),"")</f>
        <v/>
      </c>
      <c r="K1043" t="str">
        <f t="shared" si="32"/>
        <v/>
      </c>
      <c r="L1043" t="str">
        <f t="shared" si="33"/>
        <v/>
      </c>
      <c r="M1043" t="str">
        <f>IFERROR(IF($C1043="","",SUMIFS(Ledger!$K$2:$K$4, Ledger!$B$2:$B$4, $A1043, Ledger!$C$2:$C$4, M$2)),"****")</f>
        <v/>
      </c>
      <c r="N1043" t="str">
        <f>IFERROR(IF($C1043="","",SUMIFS(Ledger!$K$2:$K$4, Ledger!$B$2:$B$4, $A1043, Ledger!$C$2:$C$4, N$2)),"****")</f>
        <v/>
      </c>
      <c r="O1043" t="str">
        <f>IFERROR(IF($C1043="","",SUMIFS(Ledger!$K$2:$K$4, Ledger!$B$2:$B$4, $A1043, Ledger!$C$2:$C$4, O$2)),"****")</f>
        <v/>
      </c>
      <c r="P1043" t="str">
        <f>IFERROR(IF($C1043="","",SUMIFS(Ledger!$K$2:$K$4, Ledger!$B$2:$B$4, $A1043, Ledger!$C$2:$C$4, P$2)),"****")</f>
        <v/>
      </c>
      <c r="Q1043" t="str">
        <f>IFERROR(IF($C1043="","",SUMIFS(Ledger!$K$2:$K$4, Ledger!$B$2:$B$4, $A1043, Ledger!$C$2:$C$4, Q$2)),"****")</f>
        <v/>
      </c>
      <c r="R1043" t="str">
        <f>IFERROR(IF($C1043="","",SUMIFS(Ledger!$K$2:$K$4, Ledger!$B$2:$B$4, $A1043, Ledger!$C$2:$C$4, R$2)),"****")</f>
        <v/>
      </c>
      <c r="S1043" t="str">
        <f>IFERROR(IF($C1043="","",SUMIFS(Ledger!$K$2:$K$4, Ledger!$B$2:$B$4, $A1043, Ledger!$C$2:$C$4, S$2)),"****")</f>
        <v/>
      </c>
      <c r="T1043" t="str">
        <f>IFERROR(IF($C1043="","",SUMIFS(Ledger!$K$2:$K$4, Ledger!$B$2:$B$4, $A1043, Ledger!$C$2:$C$4, T$2)),"****")</f>
        <v/>
      </c>
      <c r="U1043" t="str">
        <f>IFERROR(IF($C1043="","",SUMIFS(Ledger!$K$2:$K$4, Ledger!$B$2:$B$4, $A1043, Ledger!$C$2:$C$4, U$2)),"****")</f>
        <v/>
      </c>
      <c r="V1043" t="str">
        <f>IFERROR(IF($C1043="","",SUMIFS(Ledger!$K$2:$K$4, Ledger!$B$2:$B$4, $A1043, Ledger!$C$2:$C$4, V$2)),"****")</f>
        <v/>
      </c>
      <c r="W1043" t="str">
        <f>IFERROR(IF($C1043="","",SUMIFS(Ledger!$K$2:$K$4, Ledger!$B$2:$B$4, $A1043, Ledger!$C$2:$C$4, W$2)),"****")</f>
        <v/>
      </c>
      <c r="X1043" t="str">
        <f>IFERROR(IF($C1043="","",SUMIFS(Ledger!$K$2:$K$4, Ledger!$B$2:$B$4, $A1043, Ledger!$C$2:$C$4, X$2)),"****")</f>
        <v/>
      </c>
    </row>
    <row r="1044" spans="1:24" x14ac:dyDescent="0.3">
      <c r="A1044" s="106">
        <v>1042</v>
      </c>
      <c r="B1044" t="str">
        <f>IFERROR(VLOOKUP($A1044, Ledger!$B$2:$L$8, 3, 0),"")</f>
        <v/>
      </c>
      <c r="C1044" t="str">
        <f>IFERROR(VLOOKUP($A1044, Ledger!$B$2:$L$8, 4, 0),"")</f>
        <v/>
      </c>
      <c r="D1044" t="str">
        <f>IFERROR(VLOOKUP($A1044, Ledger!$B$2:$L$8, 5, 0),"")</f>
        <v/>
      </c>
      <c r="E1044" t="str">
        <f>IFERROR(VLOOKUP($A1044, Ledger!$B$2:$L$8, 6, 0),"")</f>
        <v/>
      </c>
      <c r="F1044" t="str">
        <f>IFERROR(VLOOKUP($A1044,'Student Data'!$A$2:$AR$6,32,0),"")</f>
        <v/>
      </c>
      <c r="G1044" t="str">
        <f>IFERROR(VLOOKUP($A1044,'Student Data'!$A$2:$AR$6,33,0),"")</f>
        <v/>
      </c>
      <c r="H1044" t="str">
        <f>IFERROR(VLOOKUP($A1044,'Student Data'!$A$2:$AR$6,34,0),"")</f>
        <v/>
      </c>
      <c r="I1044" t="str">
        <f>IFERROR(VLOOKUP($A1044,'Student Data'!$A$2:$AR$6,35,0),"")</f>
        <v/>
      </c>
      <c r="J1044" t="str">
        <f>IFERROR(VLOOKUP($A1044,'Student Data'!$A$2:$AR$6,36,0),"")</f>
        <v/>
      </c>
      <c r="K1044" t="str">
        <f t="shared" si="32"/>
        <v/>
      </c>
      <c r="L1044" t="str">
        <f t="shared" si="33"/>
        <v/>
      </c>
      <c r="M1044" t="str">
        <f>IFERROR(IF($C1044="","",SUMIFS(Ledger!$K$2:$K$4, Ledger!$B$2:$B$4, $A1044, Ledger!$C$2:$C$4, M$2)),"****")</f>
        <v/>
      </c>
      <c r="N1044" t="str">
        <f>IFERROR(IF($C1044="","",SUMIFS(Ledger!$K$2:$K$4, Ledger!$B$2:$B$4, $A1044, Ledger!$C$2:$C$4, N$2)),"****")</f>
        <v/>
      </c>
      <c r="O1044" t="str">
        <f>IFERROR(IF($C1044="","",SUMIFS(Ledger!$K$2:$K$4, Ledger!$B$2:$B$4, $A1044, Ledger!$C$2:$C$4, O$2)),"****")</f>
        <v/>
      </c>
      <c r="P1044" t="str">
        <f>IFERROR(IF($C1044="","",SUMIFS(Ledger!$K$2:$K$4, Ledger!$B$2:$B$4, $A1044, Ledger!$C$2:$C$4, P$2)),"****")</f>
        <v/>
      </c>
      <c r="Q1044" t="str">
        <f>IFERROR(IF($C1044="","",SUMIFS(Ledger!$K$2:$K$4, Ledger!$B$2:$B$4, $A1044, Ledger!$C$2:$C$4, Q$2)),"****")</f>
        <v/>
      </c>
      <c r="R1044" t="str">
        <f>IFERROR(IF($C1044="","",SUMIFS(Ledger!$K$2:$K$4, Ledger!$B$2:$B$4, $A1044, Ledger!$C$2:$C$4, R$2)),"****")</f>
        <v/>
      </c>
      <c r="S1044" t="str">
        <f>IFERROR(IF($C1044="","",SUMIFS(Ledger!$K$2:$K$4, Ledger!$B$2:$B$4, $A1044, Ledger!$C$2:$C$4, S$2)),"****")</f>
        <v/>
      </c>
      <c r="T1044" t="str">
        <f>IFERROR(IF($C1044="","",SUMIFS(Ledger!$K$2:$K$4, Ledger!$B$2:$B$4, $A1044, Ledger!$C$2:$C$4, T$2)),"****")</f>
        <v/>
      </c>
      <c r="U1044" t="str">
        <f>IFERROR(IF($C1044="","",SUMIFS(Ledger!$K$2:$K$4, Ledger!$B$2:$B$4, $A1044, Ledger!$C$2:$C$4, U$2)),"****")</f>
        <v/>
      </c>
      <c r="V1044" t="str">
        <f>IFERROR(IF($C1044="","",SUMIFS(Ledger!$K$2:$K$4, Ledger!$B$2:$B$4, $A1044, Ledger!$C$2:$C$4, V$2)),"****")</f>
        <v/>
      </c>
      <c r="W1044" t="str">
        <f>IFERROR(IF($C1044="","",SUMIFS(Ledger!$K$2:$K$4, Ledger!$B$2:$B$4, $A1044, Ledger!$C$2:$C$4, W$2)),"****")</f>
        <v/>
      </c>
      <c r="X1044" t="str">
        <f>IFERROR(IF($C1044="","",SUMIFS(Ledger!$K$2:$K$4, Ledger!$B$2:$B$4, $A1044, Ledger!$C$2:$C$4, X$2)),"****")</f>
        <v/>
      </c>
    </row>
    <row r="1045" spans="1:24" x14ac:dyDescent="0.3">
      <c r="A1045" s="106">
        <v>1043</v>
      </c>
      <c r="B1045" t="str">
        <f>IFERROR(VLOOKUP($A1045, Ledger!$B$2:$L$8, 3, 0),"")</f>
        <v/>
      </c>
      <c r="C1045" t="str">
        <f>IFERROR(VLOOKUP($A1045, Ledger!$B$2:$L$8, 4, 0),"")</f>
        <v/>
      </c>
      <c r="D1045" t="str">
        <f>IFERROR(VLOOKUP($A1045, Ledger!$B$2:$L$8, 5, 0),"")</f>
        <v/>
      </c>
      <c r="E1045" t="str">
        <f>IFERROR(VLOOKUP($A1045, Ledger!$B$2:$L$8, 6, 0),"")</f>
        <v/>
      </c>
      <c r="F1045" t="str">
        <f>IFERROR(VLOOKUP($A1045,'Student Data'!$A$2:$AR$6,32,0),"")</f>
        <v/>
      </c>
      <c r="G1045" t="str">
        <f>IFERROR(VLOOKUP($A1045,'Student Data'!$A$2:$AR$6,33,0),"")</f>
        <v/>
      </c>
      <c r="H1045" t="str">
        <f>IFERROR(VLOOKUP($A1045,'Student Data'!$A$2:$AR$6,34,0),"")</f>
        <v/>
      </c>
      <c r="I1045" t="str">
        <f>IFERROR(VLOOKUP($A1045,'Student Data'!$A$2:$AR$6,35,0),"")</f>
        <v/>
      </c>
      <c r="J1045" t="str">
        <f>IFERROR(VLOOKUP($A1045,'Student Data'!$A$2:$AR$6,36,0),"")</f>
        <v/>
      </c>
      <c r="K1045" t="str">
        <f t="shared" si="32"/>
        <v/>
      </c>
      <c r="L1045" t="str">
        <f t="shared" si="33"/>
        <v/>
      </c>
      <c r="M1045" t="str">
        <f>IFERROR(IF($C1045="","",SUMIFS(Ledger!$K$2:$K$4, Ledger!$B$2:$B$4, $A1045, Ledger!$C$2:$C$4, M$2)),"****")</f>
        <v/>
      </c>
      <c r="N1045" t="str">
        <f>IFERROR(IF($C1045="","",SUMIFS(Ledger!$K$2:$K$4, Ledger!$B$2:$B$4, $A1045, Ledger!$C$2:$C$4, N$2)),"****")</f>
        <v/>
      </c>
      <c r="O1045" t="str">
        <f>IFERROR(IF($C1045="","",SUMIFS(Ledger!$K$2:$K$4, Ledger!$B$2:$B$4, $A1045, Ledger!$C$2:$C$4, O$2)),"****")</f>
        <v/>
      </c>
      <c r="P1045" t="str">
        <f>IFERROR(IF($C1045="","",SUMIFS(Ledger!$K$2:$K$4, Ledger!$B$2:$B$4, $A1045, Ledger!$C$2:$C$4, P$2)),"****")</f>
        <v/>
      </c>
      <c r="Q1045" t="str">
        <f>IFERROR(IF($C1045="","",SUMIFS(Ledger!$K$2:$K$4, Ledger!$B$2:$B$4, $A1045, Ledger!$C$2:$C$4, Q$2)),"****")</f>
        <v/>
      </c>
      <c r="R1045" t="str">
        <f>IFERROR(IF($C1045="","",SUMIFS(Ledger!$K$2:$K$4, Ledger!$B$2:$B$4, $A1045, Ledger!$C$2:$C$4, R$2)),"****")</f>
        <v/>
      </c>
      <c r="S1045" t="str">
        <f>IFERROR(IF($C1045="","",SUMIFS(Ledger!$K$2:$K$4, Ledger!$B$2:$B$4, $A1045, Ledger!$C$2:$C$4, S$2)),"****")</f>
        <v/>
      </c>
      <c r="T1045" t="str">
        <f>IFERROR(IF($C1045="","",SUMIFS(Ledger!$K$2:$K$4, Ledger!$B$2:$B$4, $A1045, Ledger!$C$2:$C$4, T$2)),"****")</f>
        <v/>
      </c>
      <c r="U1045" t="str">
        <f>IFERROR(IF($C1045="","",SUMIFS(Ledger!$K$2:$K$4, Ledger!$B$2:$B$4, $A1045, Ledger!$C$2:$C$4, U$2)),"****")</f>
        <v/>
      </c>
      <c r="V1045" t="str">
        <f>IFERROR(IF($C1045="","",SUMIFS(Ledger!$K$2:$K$4, Ledger!$B$2:$B$4, $A1045, Ledger!$C$2:$C$4, V$2)),"****")</f>
        <v/>
      </c>
      <c r="W1045" t="str">
        <f>IFERROR(IF($C1045="","",SUMIFS(Ledger!$K$2:$K$4, Ledger!$B$2:$B$4, $A1045, Ledger!$C$2:$C$4, W$2)),"****")</f>
        <v/>
      </c>
      <c r="X1045" t="str">
        <f>IFERROR(IF($C1045="","",SUMIFS(Ledger!$K$2:$K$4, Ledger!$B$2:$B$4, $A1045, Ledger!$C$2:$C$4, X$2)),"****")</f>
        <v/>
      </c>
    </row>
    <row r="1046" spans="1:24" x14ac:dyDescent="0.3">
      <c r="A1046" s="106">
        <v>1044</v>
      </c>
      <c r="B1046" t="str">
        <f>IFERROR(VLOOKUP($A1046, Ledger!$B$2:$L$8, 3, 0),"")</f>
        <v/>
      </c>
      <c r="C1046" t="str">
        <f>IFERROR(VLOOKUP($A1046, Ledger!$B$2:$L$8, 4, 0),"")</f>
        <v/>
      </c>
      <c r="D1046" t="str">
        <f>IFERROR(VLOOKUP($A1046, Ledger!$B$2:$L$8, 5, 0),"")</f>
        <v/>
      </c>
      <c r="E1046" t="str">
        <f>IFERROR(VLOOKUP($A1046, Ledger!$B$2:$L$8, 6, 0),"")</f>
        <v/>
      </c>
      <c r="F1046" t="str">
        <f>IFERROR(VLOOKUP($A1046,'Student Data'!$A$2:$AR$6,32,0),"")</f>
        <v/>
      </c>
      <c r="G1046" t="str">
        <f>IFERROR(VLOOKUP($A1046,'Student Data'!$A$2:$AR$6,33,0),"")</f>
        <v/>
      </c>
      <c r="H1046" t="str">
        <f>IFERROR(VLOOKUP($A1046,'Student Data'!$A$2:$AR$6,34,0),"")</f>
        <v/>
      </c>
      <c r="I1046" t="str">
        <f>IFERROR(VLOOKUP($A1046,'Student Data'!$A$2:$AR$6,35,0),"")</f>
        <v/>
      </c>
      <c r="J1046" t="str">
        <f>IFERROR(VLOOKUP($A1046,'Student Data'!$A$2:$AR$6,36,0),"")</f>
        <v/>
      </c>
      <c r="K1046" t="str">
        <f t="shared" si="32"/>
        <v/>
      </c>
      <c r="L1046" t="str">
        <f t="shared" si="33"/>
        <v/>
      </c>
      <c r="M1046" t="str">
        <f>IFERROR(IF($C1046="","",SUMIFS(Ledger!$K$2:$K$4, Ledger!$B$2:$B$4, $A1046, Ledger!$C$2:$C$4, M$2)),"****")</f>
        <v/>
      </c>
      <c r="N1046" t="str">
        <f>IFERROR(IF($C1046="","",SUMIFS(Ledger!$K$2:$K$4, Ledger!$B$2:$B$4, $A1046, Ledger!$C$2:$C$4, N$2)),"****")</f>
        <v/>
      </c>
      <c r="O1046" t="str">
        <f>IFERROR(IF($C1046="","",SUMIFS(Ledger!$K$2:$K$4, Ledger!$B$2:$B$4, $A1046, Ledger!$C$2:$C$4, O$2)),"****")</f>
        <v/>
      </c>
      <c r="P1046" t="str">
        <f>IFERROR(IF($C1046="","",SUMIFS(Ledger!$K$2:$K$4, Ledger!$B$2:$B$4, $A1046, Ledger!$C$2:$C$4, P$2)),"****")</f>
        <v/>
      </c>
      <c r="Q1046" t="str">
        <f>IFERROR(IF($C1046="","",SUMIFS(Ledger!$K$2:$K$4, Ledger!$B$2:$B$4, $A1046, Ledger!$C$2:$C$4, Q$2)),"****")</f>
        <v/>
      </c>
      <c r="R1046" t="str">
        <f>IFERROR(IF($C1046="","",SUMIFS(Ledger!$K$2:$K$4, Ledger!$B$2:$B$4, $A1046, Ledger!$C$2:$C$4, R$2)),"****")</f>
        <v/>
      </c>
      <c r="S1046" t="str">
        <f>IFERROR(IF($C1046="","",SUMIFS(Ledger!$K$2:$K$4, Ledger!$B$2:$B$4, $A1046, Ledger!$C$2:$C$4, S$2)),"****")</f>
        <v/>
      </c>
      <c r="T1046" t="str">
        <f>IFERROR(IF($C1046="","",SUMIFS(Ledger!$K$2:$K$4, Ledger!$B$2:$B$4, $A1046, Ledger!$C$2:$C$4, T$2)),"****")</f>
        <v/>
      </c>
      <c r="U1046" t="str">
        <f>IFERROR(IF($C1046="","",SUMIFS(Ledger!$K$2:$K$4, Ledger!$B$2:$B$4, $A1046, Ledger!$C$2:$C$4, U$2)),"****")</f>
        <v/>
      </c>
      <c r="V1046" t="str">
        <f>IFERROR(IF($C1046="","",SUMIFS(Ledger!$K$2:$K$4, Ledger!$B$2:$B$4, $A1046, Ledger!$C$2:$C$4, V$2)),"****")</f>
        <v/>
      </c>
      <c r="W1046" t="str">
        <f>IFERROR(IF($C1046="","",SUMIFS(Ledger!$K$2:$K$4, Ledger!$B$2:$B$4, $A1046, Ledger!$C$2:$C$4, W$2)),"****")</f>
        <v/>
      </c>
      <c r="X1046" t="str">
        <f>IFERROR(IF($C1046="","",SUMIFS(Ledger!$K$2:$K$4, Ledger!$B$2:$B$4, $A1046, Ledger!$C$2:$C$4, X$2)),"****")</f>
        <v/>
      </c>
    </row>
    <row r="1047" spans="1:24" x14ac:dyDescent="0.3">
      <c r="A1047" s="106">
        <v>1045</v>
      </c>
      <c r="B1047" t="str">
        <f>IFERROR(VLOOKUP($A1047, Ledger!$B$2:$L$8, 3, 0),"")</f>
        <v/>
      </c>
      <c r="C1047" t="str">
        <f>IFERROR(VLOOKUP($A1047, Ledger!$B$2:$L$8, 4, 0),"")</f>
        <v/>
      </c>
      <c r="D1047" t="str">
        <f>IFERROR(VLOOKUP($A1047, Ledger!$B$2:$L$8, 5, 0),"")</f>
        <v/>
      </c>
      <c r="E1047" t="str">
        <f>IFERROR(VLOOKUP($A1047, Ledger!$B$2:$L$8, 6, 0),"")</f>
        <v/>
      </c>
      <c r="F1047" t="str">
        <f>IFERROR(VLOOKUP($A1047,'Student Data'!$A$2:$AR$6,32,0),"")</f>
        <v/>
      </c>
      <c r="G1047" t="str">
        <f>IFERROR(VLOOKUP($A1047,'Student Data'!$A$2:$AR$6,33,0),"")</f>
        <v/>
      </c>
      <c r="H1047" t="str">
        <f>IFERROR(VLOOKUP($A1047,'Student Data'!$A$2:$AR$6,34,0),"")</f>
        <v/>
      </c>
      <c r="I1047" t="str">
        <f>IFERROR(VLOOKUP($A1047,'Student Data'!$A$2:$AR$6,35,0),"")</f>
        <v/>
      </c>
      <c r="J1047" t="str">
        <f>IFERROR(VLOOKUP($A1047,'Student Data'!$A$2:$AR$6,36,0),"")</f>
        <v/>
      </c>
      <c r="K1047" t="str">
        <f t="shared" si="32"/>
        <v/>
      </c>
      <c r="L1047" t="str">
        <f t="shared" si="33"/>
        <v/>
      </c>
      <c r="M1047" t="str">
        <f>IFERROR(IF($C1047="","",SUMIFS(Ledger!$K$2:$K$4, Ledger!$B$2:$B$4, $A1047, Ledger!$C$2:$C$4, M$2)),"****")</f>
        <v/>
      </c>
      <c r="N1047" t="str">
        <f>IFERROR(IF($C1047="","",SUMIFS(Ledger!$K$2:$K$4, Ledger!$B$2:$B$4, $A1047, Ledger!$C$2:$C$4, N$2)),"****")</f>
        <v/>
      </c>
      <c r="O1047" t="str">
        <f>IFERROR(IF($C1047="","",SUMIFS(Ledger!$K$2:$K$4, Ledger!$B$2:$B$4, $A1047, Ledger!$C$2:$C$4, O$2)),"****")</f>
        <v/>
      </c>
      <c r="P1047" t="str">
        <f>IFERROR(IF($C1047="","",SUMIFS(Ledger!$K$2:$K$4, Ledger!$B$2:$B$4, $A1047, Ledger!$C$2:$C$4, P$2)),"****")</f>
        <v/>
      </c>
      <c r="Q1047" t="str">
        <f>IFERROR(IF($C1047="","",SUMIFS(Ledger!$K$2:$K$4, Ledger!$B$2:$B$4, $A1047, Ledger!$C$2:$C$4, Q$2)),"****")</f>
        <v/>
      </c>
      <c r="R1047" t="str">
        <f>IFERROR(IF($C1047="","",SUMIFS(Ledger!$K$2:$K$4, Ledger!$B$2:$B$4, $A1047, Ledger!$C$2:$C$4, R$2)),"****")</f>
        <v/>
      </c>
      <c r="S1047" t="str">
        <f>IFERROR(IF($C1047="","",SUMIFS(Ledger!$K$2:$K$4, Ledger!$B$2:$B$4, $A1047, Ledger!$C$2:$C$4, S$2)),"****")</f>
        <v/>
      </c>
      <c r="T1047" t="str">
        <f>IFERROR(IF($C1047="","",SUMIFS(Ledger!$K$2:$K$4, Ledger!$B$2:$B$4, $A1047, Ledger!$C$2:$C$4, T$2)),"****")</f>
        <v/>
      </c>
      <c r="U1047" t="str">
        <f>IFERROR(IF($C1047="","",SUMIFS(Ledger!$K$2:$K$4, Ledger!$B$2:$B$4, $A1047, Ledger!$C$2:$C$4, U$2)),"****")</f>
        <v/>
      </c>
      <c r="V1047" t="str">
        <f>IFERROR(IF($C1047="","",SUMIFS(Ledger!$K$2:$K$4, Ledger!$B$2:$B$4, $A1047, Ledger!$C$2:$C$4, V$2)),"****")</f>
        <v/>
      </c>
      <c r="W1047" t="str">
        <f>IFERROR(IF($C1047="","",SUMIFS(Ledger!$K$2:$K$4, Ledger!$B$2:$B$4, $A1047, Ledger!$C$2:$C$4, W$2)),"****")</f>
        <v/>
      </c>
      <c r="X1047" t="str">
        <f>IFERROR(IF($C1047="","",SUMIFS(Ledger!$K$2:$K$4, Ledger!$B$2:$B$4, $A1047, Ledger!$C$2:$C$4, X$2)),"****")</f>
        <v/>
      </c>
    </row>
    <row r="1048" spans="1:24" x14ac:dyDescent="0.3">
      <c r="A1048" s="106">
        <v>1046</v>
      </c>
      <c r="B1048" t="str">
        <f>IFERROR(VLOOKUP($A1048, Ledger!$B$2:$L$8, 3, 0),"")</f>
        <v/>
      </c>
      <c r="C1048" t="str">
        <f>IFERROR(VLOOKUP($A1048, Ledger!$B$2:$L$8, 4, 0),"")</f>
        <v/>
      </c>
      <c r="D1048" t="str">
        <f>IFERROR(VLOOKUP($A1048, Ledger!$B$2:$L$8, 5, 0),"")</f>
        <v/>
      </c>
      <c r="E1048" t="str">
        <f>IFERROR(VLOOKUP($A1048, Ledger!$B$2:$L$8, 6, 0),"")</f>
        <v/>
      </c>
      <c r="F1048" t="str">
        <f>IFERROR(VLOOKUP($A1048,'Student Data'!$A$2:$AR$6,32,0),"")</f>
        <v/>
      </c>
      <c r="G1048" t="str">
        <f>IFERROR(VLOOKUP($A1048,'Student Data'!$A$2:$AR$6,33,0),"")</f>
        <v/>
      </c>
      <c r="H1048" t="str">
        <f>IFERROR(VLOOKUP($A1048,'Student Data'!$A$2:$AR$6,34,0),"")</f>
        <v/>
      </c>
      <c r="I1048" t="str">
        <f>IFERROR(VLOOKUP($A1048,'Student Data'!$A$2:$AR$6,35,0),"")</f>
        <v/>
      </c>
      <c r="J1048" t="str">
        <f>IFERROR(VLOOKUP($A1048,'Student Data'!$A$2:$AR$6,36,0),"")</f>
        <v/>
      </c>
      <c r="K1048" t="str">
        <f t="shared" si="32"/>
        <v/>
      </c>
      <c r="L1048" t="str">
        <f t="shared" si="33"/>
        <v/>
      </c>
      <c r="M1048" t="str">
        <f>IFERROR(IF($C1048="","",SUMIFS(Ledger!$K$2:$K$4, Ledger!$B$2:$B$4, $A1048, Ledger!$C$2:$C$4, M$2)),"****")</f>
        <v/>
      </c>
      <c r="N1048" t="str">
        <f>IFERROR(IF($C1048="","",SUMIFS(Ledger!$K$2:$K$4, Ledger!$B$2:$B$4, $A1048, Ledger!$C$2:$C$4, N$2)),"****")</f>
        <v/>
      </c>
      <c r="O1048" t="str">
        <f>IFERROR(IF($C1048="","",SUMIFS(Ledger!$K$2:$K$4, Ledger!$B$2:$B$4, $A1048, Ledger!$C$2:$C$4, O$2)),"****")</f>
        <v/>
      </c>
      <c r="P1048" t="str">
        <f>IFERROR(IF($C1048="","",SUMIFS(Ledger!$K$2:$K$4, Ledger!$B$2:$B$4, $A1048, Ledger!$C$2:$C$4, P$2)),"****")</f>
        <v/>
      </c>
      <c r="Q1048" t="str">
        <f>IFERROR(IF($C1048="","",SUMIFS(Ledger!$K$2:$K$4, Ledger!$B$2:$B$4, $A1048, Ledger!$C$2:$C$4, Q$2)),"****")</f>
        <v/>
      </c>
      <c r="R1048" t="str">
        <f>IFERROR(IF($C1048="","",SUMIFS(Ledger!$K$2:$K$4, Ledger!$B$2:$B$4, $A1048, Ledger!$C$2:$C$4, R$2)),"****")</f>
        <v/>
      </c>
      <c r="S1048" t="str">
        <f>IFERROR(IF($C1048="","",SUMIFS(Ledger!$K$2:$K$4, Ledger!$B$2:$B$4, $A1048, Ledger!$C$2:$C$4, S$2)),"****")</f>
        <v/>
      </c>
      <c r="T1048" t="str">
        <f>IFERROR(IF($C1048="","",SUMIFS(Ledger!$K$2:$K$4, Ledger!$B$2:$B$4, $A1048, Ledger!$C$2:$C$4, T$2)),"****")</f>
        <v/>
      </c>
      <c r="U1048" t="str">
        <f>IFERROR(IF($C1048="","",SUMIFS(Ledger!$K$2:$K$4, Ledger!$B$2:$B$4, $A1048, Ledger!$C$2:$C$4, U$2)),"****")</f>
        <v/>
      </c>
      <c r="V1048" t="str">
        <f>IFERROR(IF($C1048="","",SUMIFS(Ledger!$K$2:$K$4, Ledger!$B$2:$B$4, $A1048, Ledger!$C$2:$C$4, V$2)),"****")</f>
        <v/>
      </c>
      <c r="W1048" t="str">
        <f>IFERROR(IF($C1048="","",SUMIFS(Ledger!$K$2:$K$4, Ledger!$B$2:$B$4, $A1048, Ledger!$C$2:$C$4, W$2)),"****")</f>
        <v/>
      </c>
      <c r="X1048" t="str">
        <f>IFERROR(IF($C1048="","",SUMIFS(Ledger!$K$2:$K$4, Ledger!$B$2:$B$4, $A1048, Ledger!$C$2:$C$4, X$2)),"****")</f>
        <v/>
      </c>
    </row>
    <row r="1049" spans="1:24" x14ac:dyDescent="0.3">
      <c r="A1049" s="106">
        <v>1047</v>
      </c>
      <c r="B1049" t="str">
        <f>IFERROR(VLOOKUP($A1049, Ledger!$B$2:$L$8, 3, 0),"")</f>
        <v/>
      </c>
      <c r="C1049" t="str">
        <f>IFERROR(VLOOKUP($A1049, Ledger!$B$2:$L$8, 4, 0),"")</f>
        <v/>
      </c>
      <c r="D1049" t="str">
        <f>IFERROR(VLOOKUP($A1049, Ledger!$B$2:$L$8, 5, 0),"")</f>
        <v/>
      </c>
      <c r="E1049" t="str">
        <f>IFERROR(VLOOKUP($A1049, Ledger!$B$2:$L$8, 6, 0),"")</f>
        <v/>
      </c>
      <c r="F1049" t="str">
        <f>IFERROR(VLOOKUP($A1049,'Student Data'!$A$2:$AR$6,32,0),"")</f>
        <v/>
      </c>
      <c r="G1049" t="str">
        <f>IFERROR(VLOOKUP($A1049,'Student Data'!$A$2:$AR$6,33,0),"")</f>
        <v/>
      </c>
      <c r="H1049" t="str">
        <f>IFERROR(VLOOKUP($A1049,'Student Data'!$A$2:$AR$6,34,0),"")</f>
        <v/>
      </c>
      <c r="I1049" t="str">
        <f>IFERROR(VLOOKUP($A1049,'Student Data'!$A$2:$AR$6,35,0),"")</f>
        <v/>
      </c>
      <c r="J1049" t="str">
        <f>IFERROR(VLOOKUP($A1049,'Student Data'!$A$2:$AR$6,36,0),"")</f>
        <v/>
      </c>
      <c r="K1049" t="str">
        <f t="shared" si="32"/>
        <v/>
      </c>
      <c r="L1049" t="str">
        <f t="shared" si="33"/>
        <v/>
      </c>
      <c r="M1049" t="str">
        <f>IFERROR(IF($C1049="","",SUMIFS(Ledger!$K$2:$K$4, Ledger!$B$2:$B$4, $A1049, Ledger!$C$2:$C$4, M$2)),"****")</f>
        <v/>
      </c>
      <c r="N1049" t="str">
        <f>IFERROR(IF($C1049="","",SUMIFS(Ledger!$K$2:$K$4, Ledger!$B$2:$B$4, $A1049, Ledger!$C$2:$C$4, N$2)),"****")</f>
        <v/>
      </c>
      <c r="O1049" t="str">
        <f>IFERROR(IF($C1049="","",SUMIFS(Ledger!$K$2:$K$4, Ledger!$B$2:$B$4, $A1049, Ledger!$C$2:$C$4, O$2)),"****")</f>
        <v/>
      </c>
      <c r="P1049" t="str">
        <f>IFERROR(IF($C1049="","",SUMIFS(Ledger!$K$2:$K$4, Ledger!$B$2:$B$4, $A1049, Ledger!$C$2:$C$4, P$2)),"****")</f>
        <v/>
      </c>
      <c r="Q1049" t="str">
        <f>IFERROR(IF($C1049="","",SUMIFS(Ledger!$K$2:$K$4, Ledger!$B$2:$B$4, $A1049, Ledger!$C$2:$C$4, Q$2)),"****")</f>
        <v/>
      </c>
      <c r="R1049" t="str">
        <f>IFERROR(IF($C1049="","",SUMIFS(Ledger!$K$2:$K$4, Ledger!$B$2:$B$4, $A1049, Ledger!$C$2:$C$4, R$2)),"****")</f>
        <v/>
      </c>
      <c r="S1049" t="str">
        <f>IFERROR(IF($C1049="","",SUMIFS(Ledger!$K$2:$K$4, Ledger!$B$2:$B$4, $A1049, Ledger!$C$2:$C$4, S$2)),"****")</f>
        <v/>
      </c>
      <c r="T1049" t="str">
        <f>IFERROR(IF($C1049="","",SUMIFS(Ledger!$K$2:$K$4, Ledger!$B$2:$B$4, $A1049, Ledger!$C$2:$C$4, T$2)),"****")</f>
        <v/>
      </c>
      <c r="U1049" t="str">
        <f>IFERROR(IF($C1049="","",SUMIFS(Ledger!$K$2:$K$4, Ledger!$B$2:$B$4, $A1049, Ledger!$C$2:$C$4, U$2)),"****")</f>
        <v/>
      </c>
      <c r="V1049" t="str">
        <f>IFERROR(IF($C1049="","",SUMIFS(Ledger!$K$2:$K$4, Ledger!$B$2:$B$4, $A1049, Ledger!$C$2:$C$4, V$2)),"****")</f>
        <v/>
      </c>
      <c r="W1049" t="str">
        <f>IFERROR(IF($C1049="","",SUMIFS(Ledger!$K$2:$K$4, Ledger!$B$2:$B$4, $A1049, Ledger!$C$2:$C$4, W$2)),"****")</f>
        <v/>
      </c>
      <c r="X1049" t="str">
        <f>IFERROR(IF($C1049="","",SUMIFS(Ledger!$K$2:$K$4, Ledger!$B$2:$B$4, $A1049, Ledger!$C$2:$C$4, X$2)),"****")</f>
        <v/>
      </c>
    </row>
    <row r="1050" spans="1:24" x14ac:dyDescent="0.3">
      <c r="A1050" s="106">
        <v>1048</v>
      </c>
      <c r="B1050" t="str">
        <f>IFERROR(VLOOKUP($A1050, Ledger!$B$2:$L$8, 3, 0),"")</f>
        <v/>
      </c>
      <c r="C1050" t="str">
        <f>IFERROR(VLOOKUP($A1050, Ledger!$B$2:$L$8, 4, 0),"")</f>
        <v/>
      </c>
      <c r="D1050" t="str">
        <f>IFERROR(VLOOKUP($A1050, Ledger!$B$2:$L$8, 5, 0),"")</f>
        <v/>
      </c>
      <c r="E1050" t="str">
        <f>IFERROR(VLOOKUP($A1050, Ledger!$B$2:$L$8, 6, 0),"")</f>
        <v/>
      </c>
      <c r="F1050" t="str">
        <f>IFERROR(VLOOKUP($A1050,'Student Data'!$A$2:$AR$6,32,0),"")</f>
        <v/>
      </c>
      <c r="G1050" t="str">
        <f>IFERROR(VLOOKUP($A1050,'Student Data'!$A$2:$AR$6,33,0),"")</f>
        <v/>
      </c>
      <c r="H1050" t="str">
        <f>IFERROR(VLOOKUP($A1050,'Student Data'!$A$2:$AR$6,34,0),"")</f>
        <v/>
      </c>
      <c r="I1050" t="str">
        <f>IFERROR(VLOOKUP($A1050,'Student Data'!$A$2:$AR$6,35,0),"")</f>
        <v/>
      </c>
      <c r="J1050" t="str">
        <f>IFERROR(VLOOKUP($A1050,'Student Data'!$A$2:$AR$6,36,0),"")</f>
        <v/>
      </c>
      <c r="K1050" t="str">
        <f t="shared" si="32"/>
        <v/>
      </c>
      <c r="L1050" t="str">
        <f t="shared" si="33"/>
        <v/>
      </c>
      <c r="M1050" t="str">
        <f>IFERROR(IF($C1050="","",SUMIFS(Ledger!$K$2:$K$4, Ledger!$B$2:$B$4, $A1050, Ledger!$C$2:$C$4, M$2)),"****")</f>
        <v/>
      </c>
      <c r="N1050" t="str">
        <f>IFERROR(IF($C1050="","",SUMIFS(Ledger!$K$2:$K$4, Ledger!$B$2:$B$4, $A1050, Ledger!$C$2:$C$4, N$2)),"****")</f>
        <v/>
      </c>
      <c r="O1050" t="str">
        <f>IFERROR(IF($C1050="","",SUMIFS(Ledger!$K$2:$K$4, Ledger!$B$2:$B$4, $A1050, Ledger!$C$2:$C$4, O$2)),"****")</f>
        <v/>
      </c>
      <c r="P1050" t="str">
        <f>IFERROR(IF($C1050="","",SUMIFS(Ledger!$K$2:$K$4, Ledger!$B$2:$B$4, $A1050, Ledger!$C$2:$C$4, P$2)),"****")</f>
        <v/>
      </c>
      <c r="Q1050" t="str">
        <f>IFERROR(IF($C1050="","",SUMIFS(Ledger!$K$2:$K$4, Ledger!$B$2:$B$4, $A1050, Ledger!$C$2:$C$4, Q$2)),"****")</f>
        <v/>
      </c>
      <c r="R1050" t="str">
        <f>IFERROR(IF($C1050="","",SUMIFS(Ledger!$K$2:$K$4, Ledger!$B$2:$B$4, $A1050, Ledger!$C$2:$C$4, R$2)),"****")</f>
        <v/>
      </c>
      <c r="S1050" t="str">
        <f>IFERROR(IF($C1050="","",SUMIFS(Ledger!$K$2:$K$4, Ledger!$B$2:$B$4, $A1050, Ledger!$C$2:$C$4, S$2)),"****")</f>
        <v/>
      </c>
      <c r="T1050" t="str">
        <f>IFERROR(IF($C1050="","",SUMIFS(Ledger!$K$2:$K$4, Ledger!$B$2:$B$4, $A1050, Ledger!$C$2:$C$4, T$2)),"****")</f>
        <v/>
      </c>
      <c r="U1050" t="str">
        <f>IFERROR(IF($C1050="","",SUMIFS(Ledger!$K$2:$K$4, Ledger!$B$2:$B$4, $A1050, Ledger!$C$2:$C$4, U$2)),"****")</f>
        <v/>
      </c>
      <c r="V1050" t="str">
        <f>IFERROR(IF($C1050="","",SUMIFS(Ledger!$K$2:$K$4, Ledger!$B$2:$B$4, $A1050, Ledger!$C$2:$C$4, V$2)),"****")</f>
        <v/>
      </c>
      <c r="W1050" t="str">
        <f>IFERROR(IF($C1050="","",SUMIFS(Ledger!$K$2:$K$4, Ledger!$B$2:$B$4, $A1050, Ledger!$C$2:$C$4, W$2)),"****")</f>
        <v/>
      </c>
      <c r="X1050" t="str">
        <f>IFERROR(IF($C1050="","",SUMIFS(Ledger!$K$2:$K$4, Ledger!$B$2:$B$4, $A1050, Ledger!$C$2:$C$4, X$2)),"****")</f>
        <v/>
      </c>
    </row>
    <row r="1051" spans="1:24" x14ac:dyDescent="0.3">
      <c r="A1051" s="106">
        <v>1049</v>
      </c>
      <c r="B1051" t="str">
        <f>IFERROR(VLOOKUP($A1051, Ledger!$B$2:$L$8, 3, 0),"")</f>
        <v/>
      </c>
      <c r="C1051" t="str">
        <f>IFERROR(VLOOKUP($A1051, Ledger!$B$2:$L$8, 4, 0),"")</f>
        <v/>
      </c>
      <c r="D1051" t="str">
        <f>IFERROR(VLOOKUP($A1051, Ledger!$B$2:$L$8, 5, 0),"")</f>
        <v/>
      </c>
      <c r="E1051" t="str">
        <f>IFERROR(VLOOKUP($A1051, Ledger!$B$2:$L$8, 6, 0),"")</f>
        <v/>
      </c>
      <c r="F1051" t="str">
        <f>IFERROR(VLOOKUP($A1051,'Student Data'!$A$2:$AR$6,32,0),"")</f>
        <v/>
      </c>
      <c r="G1051" t="str">
        <f>IFERROR(VLOOKUP($A1051,'Student Data'!$A$2:$AR$6,33,0),"")</f>
        <v/>
      </c>
      <c r="H1051" t="str">
        <f>IFERROR(VLOOKUP($A1051,'Student Data'!$A$2:$AR$6,34,0),"")</f>
        <v/>
      </c>
      <c r="I1051" t="str">
        <f>IFERROR(VLOOKUP($A1051,'Student Data'!$A$2:$AR$6,35,0),"")</f>
        <v/>
      </c>
      <c r="J1051" t="str">
        <f>IFERROR(VLOOKUP($A1051,'Student Data'!$A$2:$AR$6,36,0),"")</f>
        <v/>
      </c>
      <c r="K1051" t="str">
        <f t="shared" si="32"/>
        <v/>
      </c>
      <c r="L1051" t="str">
        <f t="shared" si="33"/>
        <v/>
      </c>
      <c r="M1051" t="str">
        <f>IFERROR(IF($C1051="","",SUMIFS(Ledger!$K$2:$K$4, Ledger!$B$2:$B$4, $A1051, Ledger!$C$2:$C$4, M$2)),"****")</f>
        <v/>
      </c>
      <c r="N1051" t="str">
        <f>IFERROR(IF($C1051="","",SUMIFS(Ledger!$K$2:$K$4, Ledger!$B$2:$B$4, $A1051, Ledger!$C$2:$C$4, N$2)),"****")</f>
        <v/>
      </c>
      <c r="O1051" t="str">
        <f>IFERROR(IF($C1051="","",SUMIFS(Ledger!$K$2:$K$4, Ledger!$B$2:$B$4, $A1051, Ledger!$C$2:$C$4, O$2)),"****")</f>
        <v/>
      </c>
      <c r="P1051" t="str">
        <f>IFERROR(IF($C1051="","",SUMIFS(Ledger!$K$2:$K$4, Ledger!$B$2:$B$4, $A1051, Ledger!$C$2:$C$4, P$2)),"****")</f>
        <v/>
      </c>
      <c r="Q1051" t="str">
        <f>IFERROR(IF($C1051="","",SUMIFS(Ledger!$K$2:$K$4, Ledger!$B$2:$B$4, $A1051, Ledger!$C$2:$C$4, Q$2)),"****")</f>
        <v/>
      </c>
      <c r="R1051" t="str">
        <f>IFERROR(IF($C1051="","",SUMIFS(Ledger!$K$2:$K$4, Ledger!$B$2:$B$4, $A1051, Ledger!$C$2:$C$4, R$2)),"****")</f>
        <v/>
      </c>
      <c r="S1051" t="str">
        <f>IFERROR(IF($C1051="","",SUMIFS(Ledger!$K$2:$K$4, Ledger!$B$2:$B$4, $A1051, Ledger!$C$2:$C$4, S$2)),"****")</f>
        <v/>
      </c>
      <c r="T1051" t="str">
        <f>IFERROR(IF($C1051="","",SUMIFS(Ledger!$K$2:$K$4, Ledger!$B$2:$B$4, $A1051, Ledger!$C$2:$C$4, T$2)),"****")</f>
        <v/>
      </c>
      <c r="U1051" t="str">
        <f>IFERROR(IF($C1051="","",SUMIFS(Ledger!$K$2:$K$4, Ledger!$B$2:$B$4, $A1051, Ledger!$C$2:$C$4, U$2)),"****")</f>
        <v/>
      </c>
      <c r="V1051" t="str">
        <f>IFERROR(IF($C1051="","",SUMIFS(Ledger!$K$2:$K$4, Ledger!$B$2:$B$4, $A1051, Ledger!$C$2:$C$4, V$2)),"****")</f>
        <v/>
      </c>
      <c r="W1051" t="str">
        <f>IFERROR(IF($C1051="","",SUMIFS(Ledger!$K$2:$K$4, Ledger!$B$2:$B$4, $A1051, Ledger!$C$2:$C$4, W$2)),"****")</f>
        <v/>
      </c>
      <c r="X1051" t="str">
        <f>IFERROR(IF($C1051="","",SUMIFS(Ledger!$K$2:$K$4, Ledger!$B$2:$B$4, $A1051, Ledger!$C$2:$C$4, X$2)),"****")</f>
        <v/>
      </c>
    </row>
    <row r="1052" spans="1:24" x14ac:dyDescent="0.3">
      <c r="A1052" s="106">
        <v>1050</v>
      </c>
      <c r="B1052" t="str">
        <f>IFERROR(VLOOKUP($A1052, Ledger!$B$2:$L$8, 3, 0),"")</f>
        <v/>
      </c>
      <c r="C1052" t="str">
        <f>IFERROR(VLOOKUP($A1052, Ledger!$B$2:$L$8, 4, 0),"")</f>
        <v/>
      </c>
      <c r="D1052" t="str">
        <f>IFERROR(VLOOKUP($A1052, Ledger!$B$2:$L$8, 5, 0),"")</f>
        <v/>
      </c>
      <c r="E1052" t="str">
        <f>IFERROR(VLOOKUP($A1052, Ledger!$B$2:$L$8, 6, 0),"")</f>
        <v/>
      </c>
      <c r="F1052" t="str">
        <f>IFERROR(VLOOKUP($A1052,'Student Data'!$A$2:$AR$6,32,0),"")</f>
        <v/>
      </c>
      <c r="G1052" t="str">
        <f>IFERROR(VLOOKUP($A1052,'Student Data'!$A$2:$AR$6,33,0),"")</f>
        <v/>
      </c>
      <c r="H1052" t="str">
        <f>IFERROR(VLOOKUP($A1052,'Student Data'!$A$2:$AR$6,34,0),"")</f>
        <v/>
      </c>
      <c r="I1052" t="str">
        <f>IFERROR(VLOOKUP($A1052,'Student Data'!$A$2:$AR$6,35,0),"")</f>
        <v/>
      </c>
      <c r="J1052" t="str">
        <f>IFERROR(VLOOKUP($A1052,'Student Data'!$A$2:$AR$6,36,0),"")</f>
        <v/>
      </c>
      <c r="K1052" t="str">
        <f t="shared" si="32"/>
        <v/>
      </c>
      <c r="L1052" t="str">
        <f t="shared" si="33"/>
        <v/>
      </c>
      <c r="M1052" t="str">
        <f>IFERROR(IF($C1052="","",SUMIFS(Ledger!$K$2:$K$4, Ledger!$B$2:$B$4, $A1052, Ledger!$C$2:$C$4, M$2)),"****")</f>
        <v/>
      </c>
      <c r="N1052" t="str">
        <f>IFERROR(IF($C1052="","",SUMIFS(Ledger!$K$2:$K$4, Ledger!$B$2:$B$4, $A1052, Ledger!$C$2:$C$4, N$2)),"****")</f>
        <v/>
      </c>
      <c r="O1052" t="str">
        <f>IFERROR(IF($C1052="","",SUMIFS(Ledger!$K$2:$K$4, Ledger!$B$2:$B$4, $A1052, Ledger!$C$2:$C$4, O$2)),"****")</f>
        <v/>
      </c>
      <c r="P1052" t="str">
        <f>IFERROR(IF($C1052="","",SUMIFS(Ledger!$K$2:$K$4, Ledger!$B$2:$B$4, $A1052, Ledger!$C$2:$C$4, P$2)),"****")</f>
        <v/>
      </c>
      <c r="Q1052" t="str">
        <f>IFERROR(IF($C1052="","",SUMIFS(Ledger!$K$2:$K$4, Ledger!$B$2:$B$4, $A1052, Ledger!$C$2:$C$4, Q$2)),"****")</f>
        <v/>
      </c>
      <c r="R1052" t="str">
        <f>IFERROR(IF($C1052="","",SUMIFS(Ledger!$K$2:$K$4, Ledger!$B$2:$B$4, $A1052, Ledger!$C$2:$C$4, R$2)),"****")</f>
        <v/>
      </c>
      <c r="S1052" t="str">
        <f>IFERROR(IF($C1052="","",SUMIFS(Ledger!$K$2:$K$4, Ledger!$B$2:$B$4, $A1052, Ledger!$C$2:$C$4, S$2)),"****")</f>
        <v/>
      </c>
      <c r="T1052" t="str">
        <f>IFERROR(IF($C1052="","",SUMIFS(Ledger!$K$2:$K$4, Ledger!$B$2:$B$4, $A1052, Ledger!$C$2:$C$4, T$2)),"****")</f>
        <v/>
      </c>
      <c r="U1052" t="str">
        <f>IFERROR(IF($C1052="","",SUMIFS(Ledger!$K$2:$K$4, Ledger!$B$2:$B$4, $A1052, Ledger!$C$2:$C$4, U$2)),"****")</f>
        <v/>
      </c>
      <c r="V1052" t="str">
        <f>IFERROR(IF($C1052="","",SUMIFS(Ledger!$K$2:$K$4, Ledger!$B$2:$B$4, $A1052, Ledger!$C$2:$C$4, V$2)),"****")</f>
        <v/>
      </c>
      <c r="W1052" t="str">
        <f>IFERROR(IF($C1052="","",SUMIFS(Ledger!$K$2:$K$4, Ledger!$B$2:$B$4, $A1052, Ledger!$C$2:$C$4, W$2)),"****")</f>
        <v/>
      </c>
      <c r="X1052" t="str">
        <f>IFERROR(IF($C1052="","",SUMIFS(Ledger!$K$2:$K$4, Ledger!$B$2:$B$4, $A1052, Ledger!$C$2:$C$4, X$2)),"****")</f>
        <v/>
      </c>
    </row>
    <row r="1053" spans="1:24" x14ac:dyDescent="0.3">
      <c r="A1053" s="106">
        <v>1051</v>
      </c>
      <c r="B1053" t="str">
        <f>IFERROR(VLOOKUP($A1053, Ledger!$B$2:$L$8, 3, 0),"")</f>
        <v/>
      </c>
      <c r="C1053" t="str">
        <f>IFERROR(VLOOKUP($A1053, Ledger!$B$2:$L$8, 4, 0),"")</f>
        <v/>
      </c>
      <c r="D1053" t="str">
        <f>IFERROR(VLOOKUP($A1053, Ledger!$B$2:$L$8, 5, 0),"")</f>
        <v/>
      </c>
      <c r="E1053" t="str">
        <f>IFERROR(VLOOKUP($A1053, Ledger!$B$2:$L$8, 6, 0),"")</f>
        <v/>
      </c>
      <c r="F1053" t="str">
        <f>IFERROR(VLOOKUP($A1053,'Student Data'!$A$2:$AR$6,32,0),"")</f>
        <v/>
      </c>
      <c r="G1053" t="str">
        <f>IFERROR(VLOOKUP($A1053,'Student Data'!$A$2:$AR$6,33,0),"")</f>
        <v/>
      </c>
      <c r="H1053" t="str">
        <f>IFERROR(VLOOKUP($A1053,'Student Data'!$A$2:$AR$6,34,0),"")</f>
        <v/>
      </c>
      <c r="I1053" t="str">
        <f>IFERROR(VLOOKUP($A1053,'Student Data'!$A$2:$AR$6,35,0),"")</f>
        <v/>
      </c>
      <c r="J1053" t="str">
        <f>IFERROR(VLOOKUP($A1053,'Student Data'!$A$2:$AR$6,36,0),"")</f>
        <v/>
      </c>
      <c r="K1053" t="str">
        <f t="shared" si="32"/>
        <v/>
      </c>
      <c r="L1053" t="str">
        <f t="shared" si="33"/>
        <v/>
      </c>
      <c r="M1053" t="str">
        <f>IFERROR(IF($C1053="","",SUMIFS(Ledger!$K$2:$K$4, Ledger!$B$2:$B$4, $A1053, Ledger!$C$2:$C$4, M$2)),"****")</f>
        <v/>
      </c>
      <c r="N1053" t="str">
        <f>IFERROR(IF($C1053="","",SUMIFS(Ledger!$K$2:$K$4, Ledger!$B$2:$B$4, $A1053, Ledger!$C$2:$C$4, N$2)),"****")</f>
        <v/>
      </c>
      <c r="O1053" t="str">
        <f>IFERROR(IF($C1053="","",SUMIFS(Ledger!$K$2:$K$4, Ledger!$B$2:$B$4, $A1053, Ledger!$C$2:$C$4, O$2)),"****")</f>
        <v/>
      </c>
      <c r="P1053" t="str">
        <f>IFERROR(IF($C1053="","",SUMIFS(Ledger!$K$2:$K$4, Ledger!$B$2:$B$4, $A1053, Ledger!$C$2:$C$4, P$2)),"****")</f>
        <v/>
      </c>
      <c r="Q1053" t="str">
        <f>IFERROR(IF($C1053="","",SUMIFS(Ledger!$K$2:$K$4, Ledger!$B$2:$B$4, $A1053, Ledger!$C$2:$C$4, Q$2)),"****")</f>
        <v/>
      </c>
      <c r="R1053" t="str">
        <f>IFERROR(IF($C1053="","",SUMIFS(Ledger!$K$2:$K$4, Ledger!$B$2:$B$4, $A1053, Ledger!$C$2:$C$4, R$2)),"****")</f>
        <v/>
      </c>
      <c r="S1053" t="str">
        <f>IFERROR(IF($C1053="","",SUMIFS(Ledger!$K$2:$K$4, Ledger!$B$2:$B$4, $A1053, Ledger!$C$2:$C$4, S$2)),"****")</f>
        <v/>
      </c>
      <c r="T1053" t="str">
        <f>IFERROR(IF($C1053="","",SUMIFS(Ledger!$K$2:$K$4, Ledger!$B$2:$B$4, $A1053, Ledger!$C$2:$C$4, T$2)),"****")</f>
        <v/>
      </c>
      <c r="U1053" t="str">
        <f>IFERROR(IF($C1053="","",SUMIFS(Ledger!$K$2:$K$4, Ledger!$B$2:$B$4, $A1053, Ledger!$C$2:$C$4, U$2)),"****")</f>
        <v/>
      </c>
      <c r="V1053" t="str">
        <f>IFERROR(IF($C1053="","",SUMIFS(Ledger!$K$2:$K$4, Ledger!$B$2:$B$4, $A1053, Ledger!$C$2:$C$4, V$2)),"****")</f>
        <v/>
      </c>
      <c r="W1053" t="str">
        <f>IFERROR(IF($C1053="","",SUMIFS(Ledger!$K$2:$K$4, Ledger!$B$2:$B$4, $A1053, Ledger!$C$2:$C$4, W$2)),"****")</f>
        <v/>
      </c>
      <c r="X1053" t="str">
        <f>IFERROR(IF($C1053="","",SUMIFS(Ledger!$K$2:$K$4, Ledger!$B$2:$B$4, $A1053, Ledger!$C$2:$C$4, X$2)),"****")</f>
        <v/>
      </c>
    </row>
    <row r="1054" spans="1:24" x14ac:dyDescent="0.3">
      <c r="A1054" s="106">
        <v>1052</v>
      </c>
      <c r="B1054" t="str">
        <f>IFERROR(VLOOKUP($A1054, Ledger!$B$2:$L$8, 3, 0),"")</f>
        <v/>
      </c>
      <c r="C1054" t="str">
        <f>IFERROR(VLOOKUP($A1054, Ledger!$B$2:$L$8, 4, 0),"")</f>
        <v/>
      </c>
      <c r="D1054" t="str">
        <f>IFERROR(VLOOKUP($A1054, Ledger!$B$2:$L$8, 5, 0),"")</f>
        <v/>
      </c>
      <c r="E1054" t="str">
        <f>IFERROR(VLOOKUP($A1054, Ledger!$B$2:$L$8, 6, 0),"")</f>
        <v/>
      </c>
      <c r="F1054" t="str">
        <f>IFERROR(VLOOKUP($A1054,'Student Data'!$A$2:$AR$6,32,0),"")</f>
        <v/>
      </c>
      <c r="G1054" t="str">
        <f>IFERROR(VLOOKUP($A1054,'Student Data'!$A$2:$AR$6,33,0),"")</f>
        <v/>
      </c>
      <c r="H1054" t="str">
        <f>IFERROR(VLOOKUP($A1054,'Student Data'!$A$2:$AR$6,34,0),"")</f>
        <v/>
      </c>
      <c r="I1054" t="str">
        <f>IFERROR(VLOOKUP($A1054,'Student Data'!$A$2:$AR$6,35,0),"")</f>
        <v/>
      </c>
      <c r="J1054" t="str">
        <f>IFERROR(VLOOKUP($A1054,'Student Data'!$A$2:$AR$6,36,0),"")</f>
        <v/>
      </c>
      <c r="K1054" t="str">
        <f t="shared" si="32"/>
        <v/>
      </c>
      <c r="L1054" t="str">
        <f t="shared" si="33"/>
        <v/>
      </c>
      <c r="M1054" t="str">
        <f>IFERROR(IF($C1054="","",SUMIFS(Ledger!$K$2:$K$4, Ledger!$B$2:$B$4, $A1054, Ledger!$C$2:$C$4, M$2)),"****")</f>
        <v/>
      </c>
      <c r="N1054" t="str">
        <f>IFERROR(IF($C1054="","",SUMIFS(Ledger!$K$2:$K$4, Ledger!$B$2:$B$4, $A1054, Ledger!$C$2:$C$4, N$2)),"****")</f>
        <v/>
      </c>
      <c r="O1054" t="str">
        <f>IFERROR(IF($C1054="","",SUMIFS(Ledger!$K$2:$K$4, Ledger!$B$2:$B$4, $A1054, Ledger!$C$2:$C$4, O$2)),"****")</f>
        <v/>
      </c>
      <c r="P1054" t="str">
        <f>IFERROR(IF($C1054="","",SUMIFS(Ledger!$K$2:$K$4, Ledger!$B$2:$B$4, $A1054, Ledger!$C$2:$C$4, P$2)),"****")</f>
        <v/>
      </c>
      <c r="Q1054" t="str">
        <f>IFERROR(IF($C1054="","",SUMIFS(Ledger!$K$2:$K$4, Ledger!$B$2:$B$4, $A1054, Ledger!$C$2:$C$4, Q$2)),"****")</f>
        <v/>
      </c>
      <c r="R1054" t="str">
        <f>IFERROR(IF($C1054="","",SUMIFS(Ledger!$K$2:$K$4, Ledger!$B$2:$B$4, $A1054, Ledger!$C$2:$C$4, R$2)),"****")</f>
        <v/>
      </c>
      <c r="S1054" t="str">
        <f>IFERROR(IF($C1054="","",SUMIFS(Ledger!$K$2:$K$4, Ledger!$B$2:$B$4, $A1054, Ledger!$C$2:$C$4, S$2)),"****")</f>
        <v/>
      </c>
      <c r="T1054" t="str">
        <f>IFERROR(IF($C1054="","",SUMIFS(Ledger!$K$2:$K$4, Ledger!$B$2:$B$4, $A1054, Ledger!$C$2:$C$4, T$2)),"****")</f>
        <v/>
      </c>
      <c r="U1054" t="str">
        <f>IFERROR(IF($C1054="","",SUMIFS(Ledger!$K$2:$K$4, Ledger!$B$2:$B$4, $A1054, Ledger!$C$2:$C$4, U$2)),"****")</f>
        <v/>
      </c>
      <c r="V1054" t="str">
        <f>IFERROR(IF($C1054="","",SUMIFS(Ledger!$K$2:$K$4, Ledger!$B$2:$B$4, $A1054, Ledger!$C$2:$C$4, V$2)),"****")</f>
        <v/>
      </c>
      <c r="W1054" t="str">
        <f>IFERROR(IF($C1054="","",SUMIFS(Ledger!$K$2:$K$4, Ledger!$B$2:$B$4, $A1054, Ledger!$C$2:$C$4, W$2)),"****")</f>
        <v/>
      </c>
      <c r="X1054" t="str">
        <f>IFERROR(IF($C1054="","",SUMIFS(Ledger!$K$2:$K$4, Ledger!$B$2:$B$4, $A1054, Ledger!$C$2:$C$4, X$2)),"****")</f>
        <v/>
      </c>
    </row>
    <row r="1055" spans="1:24" x14ac:dyDescent="0.3">
      <c r="A1055" s="106">
        <v>1053</v>
      </c>
      <c r="B1055" t="str">
        <f>IFERROR(VLOOKUP($A1055, Ledger!$B$2:$L$8, 3, 0),"")</f>
        <v/>
      </c>
      <c r="C1055" t="str">
        <f>IFERROR(VLOOKUP($A1055, Ledger!$B$2:$L$8, 4, 0),"")</f>
        <v/>
      </c>
      <c r="D1055" t="str">
        <f>IFERROR(VLOOKUP($A1055, Ledger!$B$2:$L$8, 5, 0),"")</f>
        <v/>
      </c>
      <c r="E1055" t="str">
        <f>IFERROR(VLOOKUP($A1055, Ledger!$B$2:$L$8, 6, 0),"")</f>
        <v/>
      </c>
      <c r="F1055" t="str">
        <f>IFERROR(VLOOKUP($A1055,'Student Data'!$A$2:$AR$6,32,0),"")</f>
        <v/>
      </c>
      <c r="G1055" t="str">
        <f>IFERROR(VLOOKUP($A1055,'Student Data'!$A$2:$AR$6,33,0),"")</f>
        <v/>
      </c>
      <c r="H1055" t="str">
        <f>IFERROR(VLOOKUP($A1055,'Student Data'!$A$2:$AR$6,34,0),"")</f>
        <v/>
      </c>
      <c r="I1055" t="str">
        <f>IFERROR(VLOOKUP($A1055,'Student Data'!$A$2:$AR$6,35,0),"")</f>
        <v/>
      </c>
      <c r="J1055" t="str">
        <f>IFERROR(VLOOKUP($A1055,'Student Data'!$A$2:$AR$6,36,0),"")</f>
        <v/>
      </c>
      <c r="K1055" t="str">
        <f t="shared" si="32"/>
        <v/>
      </c>
      <c r="L1055" t="str">
        <f t="shared" si="33"/>
        <v/>
      </c>
      <c r="M1055" t="str">
        <f>IFERROR(IF($C1055="","",SUMIFS(Ledger!$K$2:$K$4, Ledger!$B$2:$B$4, $A1055, Ledger!$C$2:$C$4, M$2)),"****")</f>
        <v/>
      </c>
      <c r="N1055" t="str">
        <f>IFERROR(IF($C1055="","",SUMIFS(Ledger!$K$2:$K$4, Ledger!$B$2:$B$4, $A1055, Ledger!$C$2:$C$4, N$2)),"****")</f>
        <v/>
      </c>
      <c r="O1055" t="str">
        <f>IFERROR(IF($C1055="","",SUMIFS(Ledger!$K$2:$K$4, Ledger!$B$2:$B$4, $A1055, Ledger!$C$2:$C$4, O$2)),"****")</f>
        <v/>
      </c>
      <c r="P1055" t="str">
        <f>IFERROR(IF($C1055="","",SUMIFS(Ledger!$K$2:$K$4, Ledger!$B$2:$B$4, $A1055, Ledger!$C$2:$C$4, P$2)),"****")</f>
        <v/>
      </c>
      <c r="Q1055" t="str">
        <f>IFERROR(IF($C1055="","",SUMIFS(Ledger!$K$2:$K$4, Ledger!$B$2:$B$4, $A1055, Ledger!$C$2:$C$4, Q$2)),"****")</f>
        <v/>
      </c>
      <c r="R1055" t="str">
        <f>IFERROR(IF($C1055="","",SUMIFS(Ledger!$K$2:$K$4, Ledger!$B$2:$B$4, $A1055, Ledger!$C$2:$C$4, R$2)),"****")</f>
        <v/>
      </c>
      <c r="S1055" t="str">
        <f>IFERROR(IF($C1055="","",SUMIFS(Ledger!$K$2:$K$4, Ledger!$B$2:$B$4, $A1055, Ledger!$C$2:$C$4, S$2)),"****")</f>
        <v/>
      </c>
      <c r="T1055" t="str">
        <f>IFERROR(IF($C1055="","",SUMIFS(Ledger!$K$2:$K$4, Ledger!$B$2:$B$4, $A1055, Ledger!$C$2:$C$4, T$2)),"****")</f>
        <v/>
      </c>
      <c r="U1055" t="str">
        <f>IFERROR(IF($C1055="","",SUMIFS(Ledger!$K$2:$K$4, Ledger!$B$2:$B$4, $A1055, Ledger!$C$2:$C$4, U$2)),"****")</f>
        <v/>
      </c>
      <c r="V1055" t="str">
        <f>IFERROR(IF($C1055="","",SUMIFS(Ledger!$K$2:$K$4, Ledger!$B$2:$B$4, $A1055, Ledger!$C$2:$C$4, V$2)),"****")</f>
        <v/>
      </c>
      <c r="W1055" t="str">
        <f>IFERROR(IF($C1055="","",SUMIFS(Ledger!$K$2:$K$4, Ledger!$B$2:$B$4, $A1055, Ledger!$C$2:$C$4, W$2)),"****")</f>
        <v/>
      </c>
      <c r="X1055" t="str">
        <f>IFERROR(IF($C1055="","",SUMIFS(Ledger!$K$2:$K$4, Ledger!$B$2:$B$4, $A1055, Ledger!$C$2:$C$4, X$2)),"****")</f>
        <v/>
      </c>
    </row>
    <row r="1056" spans="1:24" x14ac:dyDescent="0.3">
      <c r="A1056" s="106">
        <v>1054</v>
      </c>
      <c r="B1056" t="str">
        <f>IFERROR(VLOOKUP($A1056, Ledger!$B$2:$L$8, 3, 0),"")</f>
        <v/>
      </c>
      <c r="C1056" t="str">
        <f>IFERROR(VLOOKUP($A1056, Ledger!$B$2:$L$8, 4, 0),"")</f>
        <v/>
      </c>
      <c r="D1056" t="str">
        <f>IFERROR(VLOOKUP($A1056, Ledger!$B$2:$L$8, 5, 0),"")</f>
        <v/>
      </c>
      <c r="E1056" t="str">
        <f>IFERROR(VLOOKUP($A1056, Ledger!$B$2:$L$8, 6, 0),"")</f>
        <v/>
      </c>
      <c r="F1056" t="str">
        <f>IFERROR(VLOOKUP($A1056,'Student Data'!$A$2:$AR$6,32,0),"")</f>
        <v/>
      </c>
      <c r="G1056" t="str">
        <f>IFERROR(VLOOKUP($A1056,'Student Data'!$A$2:$AR$6,33,0),"")</f>
        <v/>
      </c>
      <c r="H1056" t="str">
        <f>IFERROR(VLOOKUP($A1056,'Student Data'!$A$2:$AR$6,34,0),"")</f>
        <v/>
      </c>
      <c r="I1056" t="str">
        <f>IFERROR(VLOOKUP($A1056,'Student Data'!$A$2:$AR$6,35,0),"")</f>
        <v/>
      </c>
      <c r="J1056" t="str">
        <f>IFERROR(VLOOKUP($A1056,'Student Data'!$A$2:$AR$6,36,0),"")</f>
        <v/>
      </c>
      <c r="K1056" t="str">
        <f t="shared" si="32"/>
        <v/>
      </c>
      <c r="L1056" t="str">
        <f t="shared" si="33"/>
        <v/>
      </c>
      <c r="M1056" t="str">
        <f>IFERROR(IF($C1056="","",SUMIFS(Ledger!$K$2:$K$4, Ledger!$B$2:$B$4, $A1056, Ledger!$C$2:$C$4, M$2)),"****")</f>
        <v/>
      </c>
      <c r="N1056" t="str">
        <f>IFERROR(IF($C1056="","",SUMIFS(Ledger!$K$2:$K$4, Ledger!$B$2:$B$4, $A1056, Ledger!$C$2:$C$4, N$2)),"****")</f>
        <v/>
      </c>
      <c r="O1056" t="str">
        <f>IFERROR(IF($C1056="","",SUMIFS(Ledger!$K$2:$K$4, Ledger!$B$2:$B$4, $A1056, Ledger!$C$2:$C$4, O$2)),"****")</f>
        <v/>
      </c>
      <c r="P1056" t="str">
        <f>IFERROR(IF($C1056="","",SUMIFS(Ledger!$K$2:$K$4, Ledger!$B$2:$B$4, $A1056, Ledger!$C$2:$C$4, P$2)),"****")</f>
        <v/>
      </c>
      <c r="Q1056" t="str">
        <f>IFERROR(IF($C1056="","",SUMIFS(Ledger!$K$2:$K$4, Ledger!$B$2:$B$4, $A1056, Ledger!$C$2:$C$4, Q$2)),"****")</f>
        <v/>
      </c>
      <c r="R1056" t="str">
        <f>IFERROR(IF($C1056="","",SUMIFS(Ledger!$K$2:$K$4, Ledger!$B$2:$B$4, $A1056, Ledger!$C$2:$C$4, R$2)),"****")</f>
        <v/>
      </c>
      <c r="S1056" t="str">
        <f>IFERROR(IF($C1056="","",SUMIFS(Ledger!$K$2:$K$4, Ledger!$B$2:$B$4, $A1056, Ledger!$C$2:$C$4, S$2)),"****")</f>
        <v/>
      </c>
      <c r="T1056" t="str">
        <f>IFERROR(IF($C1056="","",SUMIFS(Ledger!$K$2:$K$4, Ledger!$B$2:$B$4, $A1056, Ledger!$C$2:$C$4, T$2)),"****")</f>
        <v/>
      </c>
      <c r="U1056" t="str">
        <f>IFERROR(IF($C1056="","",SUMIFS(Ledger!$K$2:$K$4, Ledger!$B$2:$B$4, $A1056, Ledger!$C$2:$C$4, U$2)),"****")</f>
        <v/>
      </c>
      <c r="V1056" t="str">
        <f>IFERROR(IF($C1056="","",SUMIFS(Ledger!$K$2:$K$4, Ledger!$B$2:$B$4, $A1056, Ledger!$C$2:$C$4, V$2)),"****")</f>
        <v/>
      </c>
      <c r="W1056" t="str">
        <f>IFERROR(IF($C1056="","",SUMIFS(Ledger!$K$2:$K$4, Ledger!$B$2:$B$4, $A1056, Ledger!$C$2:$C$4, W$2)),"****")</f>
        <v/>
      </c>
      <c r="X1056" t="str">
        <f>IFERROR(IF($C1056="","",SUMIFS(Ledger!$K$2:$K$4, Ledger!$B$2:$B$4, $A1056, Ledger!$C$2:$C$4, X$2)),"****")</f>
        <v/>
      </c>
    </row>
    <row r="1057" spans="1:24" x14ac:dyDescent="0.3">
      <c r="A1057" s="106">
        <v>1055</v>
      </c>
      <c r="B1057" t="str">
        <f>IFERROR(VLOOKUP($A1057, Ledger!$B$2:$L$8, 3, 0),"")</f>
        <v/>
      </c>
      <c r="C1057" t="str">
        <f>IFERROR(VLOOKUP($A1057, Ledger!$B$2:$L$8, 4, 0),"")</f>
        <v/>
      </c>
      <c r="D1057" t="str">
        <f>IFERROR(VLOOKUP($A1057, Ledger!$B$2:$L$8, 5, 0),"")</f>
        <v/>
      </c>
      <c r="E1057" t="str">
        <f>IFERROR(VLOOKUP($A1057, Ledger!$B$2:$L$8, 6, 0),"")</f>
        <v/>
      </c>
      <c r="F1057" t="str">
        <f>IFERROR(VLOOKUP($A1057,'Student Data'!$A$2:$AR$6,32,0),"")</f>
        <v/>
      </c>
      <c r="G1057" t="str">
        <f>IFERROR(VLOOKUP($A1057,'Student Data'!$A$2:$AR$6,33,0),"")</f>
        <v/>
      </c>
      <c r="H1057" t="str">
        <f>IFERROR(VLOOKUP($A1057,'Student Data'!$A$2:$AR$6,34,0),"")</f>
        <v/>
      </c>
      <c r="I1057" t="str">
        <f>IFERROR(VLOOKUP($A1057,'Student Data'!$A$2:$AR$6,35,0),"")</f>
        <v/>
      </c>
      <c r="J1057" t="str">
        <f>IFERROR(VLOOKUP($A1057,'Student Data'!$A$2:$AR$6,36,0),"")</f>
        <v/>
      </c>
      <c r="K1057" t="str">
        <f t="shared" si="32"/>
        <v/>
      </c>
      <c r="L1057" t="str">
        <f t="shared" si="33"/>
        <v/>
      </c>
      <c r="M1057" t="str">
        <f>IFERROR(IF($C1057="","",SUMIFS(Ledger!$K$2:$K$4, Ledger!$B$2:$B$4, $A1057, Ledger!$C$2:$C$4, M$2)),"****")</f>
        <v/>
      </c>
      <c r="N1057" t="str">
        <f>IFERROR(IF($C1057="","",SUMIFS(Ledger!$K$2:$K$4, Ledger!$B$2:$B$4, $A1057, Ledger!$C$2:$C$4, N$2)),"****")</f>
        <v/>
      </c>
      <c r="O1057" t="str">
        <f>IFERROR(IF($C1057="","",SUMIFS(Ledger!$K$2:$K$4, Ledger!$B$2:$B$4, $A1057, Ledger!$C$2:$C$4, O$2)),"****")</f>
        <v/>
      </c>
      <c r="P1057" t="str">
        <f>IFERROR(IF($C1057="","",SUMIFS(Ledger!$K$2:$K$4, Ledger!$B$2:$B$4, $A1057, Ledger!$C$2:$C$4, P$2)),"****")</f>
        <v/>
      </c>
      <c r="Q1057" t="str">
        <f>IFERROR(IF($C1057="","",SUMIFS(Ledger!$K$2:$K$4, Ledger!$B$2:$B$4, $A1057, Ledger!$C$2:$C$4, Q$2)),"****")</f>
        <v/>
      </c>
      <c r="R1057" t="str">
        <f>IFERROR(IF($C1057="","",SUMIFS(Ledger!$K$2:$K$4, Ledger!$B$2:$B$4, $A1057, Ledger!$C$2:$C$4, R$2)),"****")</f>
        <v/>
      </c>
      <c r="S1057" t="str">
        <f>IFERROR(IF($C1057="","",SUMIFS(Ledger!$K$2:$K$4, Ledger!$B$2:$B$4, $A1057, Ledger!$C$2:$C$4, S$2)),"****")</f>
        <v/>
      </c>
      <c r="T1057" t="str">
        <f>IFERROR(IF($C1057="","",SUMIFS(Ledger!$K$2:$K$4, Ledger!$B$2:$B$4, $A1057, Ledger!$C$2:$C$4, T$2)),"****")</f>
        <v/>
      </c>
      <c r="U1057" t="str">
        <f>IFERROR(IF($C1057="","",SUMIFS(Ledger!$K$2:$K$4, Ledger!$B$2:$B$4, $A1057, Ledger!$C$2:$C$4, U$2)),"****")</f>
        <v/>
      </c>
      <c r="V1057" t="str">
        <f>IFERROR(IF($C1057="","",SUMIFS(Ledger!$K$2:$K$4, Ledger!$B$2:$B$4, $A1057, Ledger!$C$2:$C$4, V$2)),"****")</f>
        <v/>
      </c>
      <c r="W1057" t="str">
        <f>IFERROR(IF($C1057="","",SUMIFS(Ledger!$K$2:$K$4, Ledger!$B$2:$B$4, $A1057, Ledger!$C$2:$C$4, W$2)),"****")</f>
        <v/>
      </c>
      <c r="X1057" t="str">
        <f>IFERROR(IF($C1057="","",SUMIFS(Ledger!$K$2:$K$4, Ledger!$B$2:$B$4, $A1057, Ledger!$C$2:$C$4, X$2)),"****")</f>
        <v/>
      </c>
    </row>
    <row r="1058" spans="1:24" x14ac:dyDescent="0.3">
      <c r="A1058" s="106">
        <v>1056</v>
      </c>
      <c r="B1058" t="str">
        <f>IFERROR(VLOOKUP($A1058, Ledger!$B$2:$L$8, 3, 0),"")</f>
        <v/>
      </c>
      <c r="C1058" t="str">
        <f>IFERROR(VLOOKUP($A1058, Ledger!$B$2:$L$8, 4, 0),"")</f>
        <v/>
      </c>
      <c r="D1058" t="str">
        <f>IFERROR(VLOOKUP($A1058, Ledger!$B$2:$L$8, 5, 0),"")</f>
        <v/>
      </c>
      <c r="E1058" t="str">
        <f>IFERROR(VLOOKUP($A1058, Ledger!$B$2:$L$8, 6, 0),"")</f>
        <v/>
      </c>
      <c r="F1058" t="str">
        <f>IFERROR(VLOOKUP($A1058,'Student Data'!$A$2:$AR$6,32,0),"")</f>
        <v/>
      </c>
      <c r="G1058" t="str">
        <f>IFERROR(VLOOKUP($A1058,'Student Data'!$A$2:$AR$6,33,0),"")</f>
        <v/>
      </c>
      <c r="H1058" t="str">
        <f>IFERROR(VLOOKUP($A1058,'Student Data'!$A$2:$AR$6,34,0),"")</f>
        <v/>
      </c>
      <c r="I1058" t="str">
        <f>IFERROR(VLOOKUP($A1058,'Student Data'!$A$2:$AR$6,35,0),"")</f>
        <v/>
      </c>
      <c r="J1058" t="str">
        <f>IFERROR(VLOOKUP($A1058,'Student Data'!$A$2:$AR$6,36,0),"")</f>
        <v/>
      </c>
      <c r="K1058" t="str">
        <f t="shared" si="32"/>
        <v/>
      </c>
      <c r="L1058" t="str">
        <f t="shared" si="33"/>
        <v/>
      </c>
      <c r="M1058" t="str">
        <f>IFERROR(IF($C1058="","",SUMIFS(Ledger!$K$2:$K$4, Ledger!$B$2:$B$4, $A1058, Ledger!$C$2:$C$4, M$2)),"****")</f>
        <v/>
      </c>
      <c r="N1058" t="str">
        <f>IFERROR(IF($C1058="","",SUMIFS(Ledger!$K$2:$K$4, Ledger!$B$2:$B$4, $A1058, Ledger!$C$2:$C$4, N$2)),"****")</f>
        <v/>
      </c>
      <c r="O1058" t="str">
        <f>IFERROR(IF($C1058="","",SUMIFS(Ledger!$K$2:$K$4, Ledger!$B$2:$B$4, $A1058, Ledger!$C$2:$C$4, O$2)),"****")</f>
        <v/>
      </c>
      <c r="P1058" t="str">
        <f>IFERROR(IF($C1058="","",SUMIFS(Ledger!$K$2:$K$4, Ledger!$B$2:$B$4, $A1058, Ledger!$C$2:$C$4, P$2)),"****")</f>
        <v/>
      </c>
      <c r="Q1058" t="str">
        <f>IFERROR(IF($C1058="","",SUMIFS(Ledger!$K$2:$K$4, Ledger!$B$2:$B$4, $A1058, Ledger!$C$2:$C$4, Q$2)),"****")</f>
        <v/>
      </c>
      <c r="R1058" t="str">
        <f>IFERROR(IF($C1058="","",SUMIFS(Ledger!$K$2:$K$4, Ledger!$B$2:$B$4, $A1058, Ledger!$C$2:$C$4, R$2)),"****")</f>
        <v/>
      </c>
      <c r="S1058" t="str">
        <f>IFERROR(IF($C1058="","",SUMIFS(Ledger!$K$2:$K$4, Ledger!$B$2:$B$4, $A1058, Ledger!$C$2:$C$4, S$2)),"****")</f>
        <v/>
      </c>
      <c r="T1058" t="str">
        <f>IFERROR(IF($C1058="","",SUMIFS(Ledger!$K$2:$K$4, Ledger!$B$2:$B$4, $A1058, Ledger!$C$2:$C$4, T$2)),"****")</f>
        <v/>
      </c>
      <c r="U1058" t="str">
        <f>IFERROR(IF($C1058="","",SUMIFS(Ledger!$K$2:$K$4, Ledger!$B$2:$B$4, $A1058, Ledger!$C$2:$C$4, U$2)),"****")</f>
        <v/>
      </c>
      <c r="V1058" t="str">
        <f>IFERROR(IF($C1058="","",SUMIFS(Ledger!$K$2:$K$4, Ledger!$B$2:$B$4, $A1058, Ledger!$C$2:$C$4, V$2)),"****")</f>
        <v/>
      </c>
      <c r="W1058" t="str">
        <f>IFERROR(IF($C1058="","",SUMIFS(Ledger!$K$2:$K$4, Ledger!$B$2:$B$4, $A1058, Ledger!$C$2:$C$4, W$2)),"****")</f>
        <v/>
      </c>
      <c r="X1058" t="str">
        <f>IFERROR(IF($C1058="","",SUMIFS(Ledger!$K$2:$K$4, Ledger!$B$2:$B$4, $A1058, Ledger!$C$2:$C$4, X$2)),"****")</f>
        <v/>
      </c>
    </row>
    <row r="1059" spans="1:24" x14ac:dyDescent="0.3">
      <c r="A1059" s="106">
        <v>1057</v>
      </c>
      <c r="B1059" t="str">
        <f>IFERROR(VLOOKUP($A1059, Ledger!$B$2:$L$8, 3, 0),"")</f>
        <v/>
      </c>
      <c r="C1059" t="str">
        <f>IFERROR(VLOOKUP($A1059, Ledger!$B$2:$L$8, 4, 0),"")</f>
        <v/>
      </c>
      <c r="D1059" t="str">
        <f>IFERROR(VLOOKUP($A1059, Ledger!$B$2:$L$8, 5, 0),"")</f>
        <v/>
      </c>
      <c r="E1059" t="str">
        <f>IFERROR(VLOOKUP($A1059, Ledger!$B$2:$L$8, 6, 0),"")</f>
        <v/>
      </c>
      <c r="F1059" t="str">
        <f>IFERROR(VLOOKUP($A1059,'Student Data'!$A$2:$AR$6,32,0),"")</f>
        <v/>
      </c>
      <c r="G1059" t="str">
        <f>IFERROR(VLOOKUP($A1059,'Student Data'!$A$2:$AR$6,33,0),"")</f>
        <v/>
      </c>
      <c r="H1059" t="str">
        <f>IFERROR(VLOOKUP($A1059,'Student Data'!$A$2:$AR$6,34,0),"")</f>
        <v/>
      </c>
      <c r="I1059" t="str">
        <f>IFERROR(VLOOKUP($A1059,'Student Data'!$A$2:$AR$6,35,0),"")</f>
        <v/>
      </c>
      <c r="J1059" t="str">
        <f>IFERROR(VLOOKUP($A1059,'Student Data'!$A$2:$AR$6,36,0),"")</f>
        <v/>
      </c>
      <c r="K1059" t="str">
        <f t="shared" si="32"/>
        <v/>
      </c>
      <c r="L1059" t="str">
        <f t="shared" si="33"/>
        <v/>
      </c>
      <c r="M1059" t="str">
        <f>IFERROR(IF($C1059="","",SUMIFS(Ledger!$K$2:$K$4, Ledger!$B$2:$B$4, $A1059, Ledger!$C$2:$C$4, M$2)),"****")</f>
        <v/>
      </c>
      <c r="N1059" t="str">
        <f>IFERROR(IF($C1059="","",SUMIFS(Ledger!$K$2:$K$4, Ledger!$B$2:$B$4, $A1059, Ledger!$C$2:$C$4, N$2)),"****")</f>
        <v/>
      </c>
      <c r="O1059" t="str">
        <f>IFERROR(IF($C1059="","",SUMIFS(Ledger!$K$2:$K$4, Ledger!$B$2:$B$4, $A1059, Ledger!$C$2:$C$4, O$2)),"****")</f>
        <v/>
      </c>
      <c r="P1059" t="str">
        <f>IFERROR(IF($C1059="","",SUMIFS(Ledger!$K$2:$K$4, Ledger!$B$2:$B$4, $A1059, Ledger!$C$2:$C$4, P$2)),"****")</f>
        <v/>
      </c>
      <c r="Q1059" t="str">
        <f>IFERROR(IF($C1059="","",SUMIFS(Ledger!$K$2:$K$4, Ledger!$B$2:$B$4, $A1059, Ledger!$C$2:$C$4, Q$2)),"****")</f>
        <v/>
      </c>
      <c r="R1059" t="str">
        <f>IFERROR(IF($C1059="","",SUMIFS(Ledger!$K$2:$K$4, Ledger!$B$2:$B$4, $A1059, Ledger!$C$2:$C$4, R$2)),"****")</f>
        <v/>
      </c>
      <c r="S1059" t="str">
        <f>IFERROR(IF($C1059="","",SUMIFS(Ledger!$K$2:$K$4, Ledger!$B$2:$B$4, $A1059, Ledger!$C$2:$C$4, S$2)),"****")</f>
        <v/>
      </c>
      <c r="T1059" t="str">
        <f>IFERROR(IF($C1059="","",SUMIFS(Ledger!$K$2:$K$4, Ledger!$B$2:$B$4, $A1059, Ledger!$C$2:$C$4, T$2)),"****")</f>
        <v/>
      </c>
      <c r="U1059" t="str">
        <f>IFERROR(IF($C1059="","",SUMIFS(Ledger!$K$2:$K$4, Ledger!$B$2:$B$4, $A1059, Ledger!$C$2:$C$4, U$2)),"****")</f>
        <v/>
      </c>
      <c r="V1059" t="str">
        <f>IFERROR(IF($C1059="","",SUMIFS(Ledger!$K$2:$K$4, Ledger!$B$2:$B$4, $A1059, Ledger!$C$2:$C$4, V$2)),"****")</f>
        <v/>
      </c>
      <c r="W1059" t="str">
        <f>IFERROR(IF($C1059="","",SUMIFS(Ledger!$K$2:$K$4, Ledger!$B$2:$B$4, $A1059, Ledger!$C$2:$C$4, W$2)),"****")</f>
        <v/>
      </c>
      <c r="X1059" t="str">
        <f>IFERROR(IF($C1059="","",SUMIFS(Ledger!$K$2:$K$4, Ledger!$B$2:$B$4, $A1059, Ledger!$C$2:$C$4, X$2)),"****")</f>
        <v/>
      </c>
    </row>
    <row r="1060" spans="1:24" x14ac:dyDescent="0.3">
      <c r="A1060" s="106">
        <v>1058</v>
      </c>
      <c r="B1060" t="str">
        <f>IFERROR(VLOOKUP($A1060, Ledger!$B$2:$L$8, 3, 0),"")</f>
        <v/>
      </c>
      <c r="C1060" t="str">
        <f>IFERROR(VLOOKUP($A1060, Ledger!$B$2:$L$8, 4, 0),"")</f>
        <v/>
      </c>
      <c r="D1060" t="str">
        <f>IFERROR(VLOOKUP($A1060, Ledger!$B$2:$L$8, 5, 0),"")</f>
        <v/>
      </c>
      <c r="E1060" t="str">
        <f>IFERROR(VLOOKUP($A1060, Ledger!$B$2:$L$8, 6, 0),"")</f>
        <v/>
      </c>
      <c r="F1060" t="str">
        <f>IFERROR(VLOOKUP($A1060,'Student Data'!$A$2:$AR$6,32,0),"")</f>
        <v/>
      </c>
      <c r="G1060" t="str">
        <f>IFERROR(VLOOKUP($A1060,'Student Data'!$A$2:$AR$6,33,0),"")</f>
        <v/>
      </c>
      <c r="H1060" t="str">
        <f>IFERROR(VLOOKUP($A1060,'Student Data'!$A$2:$AR$6,34,0),"")</f>
        <v/>
      </c>
      <c r="I1060" t="str">
        <f>IFERROR(VLOOKUP($A1060,'Student Data'!$A$2:$AR$6,35,0),"")</f>
        <v/>
      </c>
      <c r="J1060" t="str">
        <f>IFERROR(VLOOKUP($A1060,'Student Data'!$A$2:$AR$6,36,0),"")</f>
        <v/>
      </c>
      <c r="K1060" t="str">
        <f t="shared" si="32"/>
        <v/>
      </c>
      <c r="L1060" t="str">
        <f t="shared" si="33"/>
        <v/>
      </c>
      <c r="M1060" t="str">
        <f>IFERROR(IF($C1060="","",SUMIFS(Ledger!$K$2:$K$4, Ledger!$B$2:$B$4, $A1060, Ledger!$C$2:$C$4, M$2)),"****")</f>
        <v/>
      </c>
      <c r="N1060" t="str">
        <f>IFERROR(IF($C1060="","",SUMIFS(Ledger!$K$2:$K$4, Ledger!$B$2:$B$4, $A1060, Ledger!$C$2:$C$4, N$2)),"****")</f>
        <v/>
      </c>
      <c r="O1060" t="str">
        <f>IFERROR(IF($C1060="","",SUMIFS(Ledger!$K$2:$K$4, Ledger!$B$2:$B$4, $A1060, Ledger!$C$2:$C$4, O$2)),"****")</f>
        <v/>
      </c>
      <c r="P1060" t="str">
        <f>IFERROR(IF($C1060="","",SUMIFS(Ledger!$K$2:$K$4, Ledger!$B$2:$B$4, $A1060, Ledger!$C$2:$C$4, P$2)),"****")</f>
        <v/>
      </c>
      <c r="Q1060" t="str">
        <f>IFERROR(IF($C1060="","",SUMIFS(Ledger!$K$2:$K$4, Ledger!$B$2:$B$4, $A1060, Ledger!$C$2:$C$4, Q$2)),"****")</f>
        <v/>
      </c>
      <c r="R1060" t="str">
        <f>IFERROR(IF($C1060="","",SUMIFS(Ledger!$K$2:$K$4, Ledger!$B$2:$B$4, $A1060, Ledger!$C$2:$C$4, R$2)),"****")</f>
        <v/>
      </c>
      <c r="S1060" t="str">
        <f>IFERROR(IF($C1060="","",SUMIFS(Ledger!$K$2:$K$4, Ledger!$B$2:$B$4, $A1060, Ledger!$C$2:$C$4, S$2)),"****")</f>
        <v/>
      </c>
      <c r="T1060" t="str">
        <f>IFERROR(IF($C1060="","",SUMIFS(Ledger!$K$2:$K$4, Ledger!$B$2:$B$4, $A1060, Ledger!$C$2:$C$4, T$2)),"****")</f>
        <v/>
      </c>
      <c r="U1060" t="str">
        <f>IFERROR(IF($C1060="","",SUMIFS(Ledger!$K$2:$K$4, Ledger!$B$2:$B$4, $A1060, Ledger!$C$2:$C$4, U$2)),"****")</f>
        <v/>
      </c>
      <c r="V1060" t="str">
        <f>IFERROR(IF($C1060="","",SUMIFS(Ledger!$K$2:$K$4, Ledger!$B$2:$B$4, $A1060, Ledger!$C$2:$C$4, V$2)),"****")</f>
        <v/>
      </c>
      <c r="W1060" t="str">
        <f>IFERROR(IF($C1060="","",SUMIFS(Ledger!$K$2:$K$4, Ledger!$B$2:$B$4, $A1060, Ledger!$C$2:$C$4, W$2)),"****")</f>
        <v/>
      </c>
      <c r="X1060" t="str">
        <f>IFERROR(IF($C1060="","",SUMIFS(Ledger!$K$2:$K$4, Ledger!$B$2:$B$4, $A1060, Ledger!$C$2:$C$4, X$2)),"****")</f>
        <v/>
      </c>
    </row>
    <row r="1061" spans="1:24" x14ac:dyDescent="0.3">
      <c r="A1061" s="106">
        <v>1059</v>
      </c>
      <c r="B1061" t="str">
        <f>IFERROR(VLOOKUP($A1061, Ledger!$B$2:$L$8, 3, 0),"")</f>
        <v/>
      </c>
      <c r="C1061" t="str">
        <f>IFERROR(VLOOKUP($A1061, Ledger!$B$2:$L$8, 4, 0),"")</f>
        <v/>
      </c>
      <c r="D1061" t="str">
        <f>IFERROR(VLOOKUP($A1061, Ledger!$B$2:$L$8, 5, 0),"")</f>
        <v/>
      </c>
      <c r="E1061" t="str">
        <f>IFERROR(VLOOKUP($A1061, Ledger!$B$2:$L$8, 6, 0),"")</f>
        <v/>
      </c>
      <c r="F1061" t="str">
        <f>IFERROR(VLOOKUP($A1061,'Student Data'!$A$2:$AR$6,32,0),"")</f>
        <v/>
      </c>
      <c r="G1061" t="str">
        <f>IFERROR(VLOOKUP($A1061,'Student Data'!$A$2:$AR$6,33,0),"")</f>
        <v/>
      </c>
      <c r="H1061" t="str">
        <f>IFERROR(VLOOKUP($A1061,'Student Data'!$A$2:$AR$6,34,0),"")</f>
        <v/>
      </c>
      <c r="I1061" t="str">
        <f>IFERROR(VLOOKUP($A1061,'Student Data'!$A$2:$AR$6,35,0),"")</f>
        <v/>
      </c>
      <c r="J1061" t="str">
        <f>IFERROR(VLOOKUP($A1061,'Student Data'!$A$2:$AR$6,36,0),"")</f>
        <v/>
      </c>
      <c r="K1061" t="str">
        <f t="shared" si="32"/>
        <v/>
      </c>
      <c r="L1061" t="str">
        <f t="shared" si="33"/>
        <v/>
      </c>
      <c r="M1061" t="str">
        <f>IFERROR(IF($C1061="","",SUMIFS(Ledger!$K$2:$K$4, Ledger!$B$2:$B$4, $A1061, Ledger!$C$2:$C$4, M$2)),"****")</f>
        <v/>
      </c>
      <c r="N1061" t="str">
        <f>IFERROR(IF($C1061="","",SUMIFS(Ledger!$K$2:$K$4, Ledger!$B$2:$B$4, $A1061, Ledger!$C$2:$C$4, N$2)),"****")</f>
        <v/>
      </c>
      <c r="O1061" t="str">
        <f>IFERROR(IF($C1061="","",SUMIFS(Ledger!$K$2:$K$4, Ledger!$B$2:$B$4, $A1061, Ledger!$C$2:$C$4, O$2)),"****")</f>
        <v/>
      </c>
      <c r="P1061" t="str">
        <f>IFERROR(IF($C1061="","",SUMIFS(Ledger!$K$2:$K$4, Ledger!$B$2:$B$4, $A1061, Ledger!$C$2:$C$4, P$2)),"****")</f>
        <v/>
      </c>
      <c r="Q1061" t="str">
        <f>IFERROR(IF($C1061="","",SUMIFS(Ledger!$K$2:$K$4, Ledger!$B$2:$B$4, $A1061, Ledger!$C$2:$C$4, Q$2)),"****")</f>
        <v/>
      </c>
      <c r="R1061" t="str">
        <f>IFERROR(IF($C1061="","",SUMIFS(Ledger!$K$2:$K$4, Ledger!$B$2:$B$4, $A1061, Ledger!$C$2:$C$4, R$2)),"****")</f>
        <v/>
      </c>
      <c r="S1061" t="str">
        <f>IFERROR(IF($C1061="","",SUMIFS(Ledger!$K$2:$K$4, Ledger!$B$2:$B$4, $A1061, Ledger!$C$2:$C$4, S$2)),"****")</f>
        <v/>
      </c>
      <c r="T1061" t="str">
        <f>IFERROR(IF($C1061="","",SUMIFS(Ledger!$K$2:$K$4, Ledger!$B$2:$B$4, $A1061, Ledger!$C$2:$C$4, T$2)),"****")</f>
        <v/>
      </c>
      <c r="U1061" t="str">
        <f>IFERROR(IF($C1061="","",SUMIFS(Ledger!$K$2:$K$4, Ledger!$B$2:$B$4, $A1061, Ledger!$C$2:$C$4, U$2)),"****")</f>
        <v/>
      </c>
      <c r="V1061" t="str">
        <f>IFERROR(IF($C1061="","",SUMIFS(Ledger!$K$2:$K$4, Ledger!$B$2:$B$4, $A1061, Ledger!$C$2:$C$4, V$2)),"****")</f>
        <v/>
      </c>
      <c r="W1061" t="str">
        <f>IFERROR(IF($C1061="","",SUMIFS(Ledger!$K$2:$K$4, Ledger!$B$2:$B$4, $A1061, Ledger!$C$2:$C$4, W$2)),"****")</f>
        <v/>
      </c>
      <c r="X1061" t="str">
        <f>IFERROR(IF($C1061="","",SUMIFS(Ledger!$K$2:$K$4, Ledger!$B$2:$B$4, $A1061, Ledger!$C$2:$C$4, X$2)),"****")</f>
        <v/>
      </c>
    </row>
    <row r="1062" spans="1:24" x14ac:dyDescent="0.3">
      <c r="A1062" s="106">
        <v>1060</v>
      </c>
      <c r="B1062" t="str">
        <f>IFERROR(VLOOKUP($A1062, Ledger!$B$2:$L$8, 3, 0),"")</f>
        <v/>
      </c>
      <c r="C1062" t="str">
        <f>IFERROR(VLOOKUP($A1062, Ledger!$B$2:$L$8, 4, 0),"")</f>
        <v/>
      </c>
      <c r="D1062" t="str">
        <f>IFERROR(VLOOKUP($A1062, Ledger!$B$2:$L$8, 5, 0),"")</f>
        <v/>
      </c>
      <c r="E1062" t="str">
        <f>IFERROR(VLOOKUP($A1062, Ledger!$B$2:$L$8, 6, 0),"")</f>
        <v/>
      </c>
      <c r="F1062" t="str">
        <f>IFERROR(VLOOKUP($A1062,'Student Data'!$A$2:$AR$6,32,0),"")</f>
        <v/>
      </c>
      <c r="G1062" t="str">
        <f>IFERROR(VLOOKUP($A1062,'Student Data'!$A$2:$AR$6,33,0),"")</f>
        <v/>
      </c>
      <c r="H1062" t="str">
        <f>IFERROR(VLOOKUP($A1062,'Student Data'!$A$2:$AR$6,34,0),"")</f>
        <v/>
      </c>
      <c r="I1062" t="str">
        <f>IFERROR(VLOOKUP($A1062,'Student Data'!$A$2:$AR$6,35,0),"")</f>
        <v/>
      </c>
      <c r="J1062" t="str">
        <f>IFERROR(VLOOKUP($A1062,'Student Data'!$A$2:$AR$6,36,0),"")</f>
        <v/>
      </c>
      <c r="K1062" t="str">
        <f t="shared" si="32"/>
        <v/>
      </c>
      <c r="L1062" t="str">
        <f t="shared" si="33"/>
        <v/>
      </c>
      <c r="M1062" t="str">
        <f>IFERROR(IF($C1062="","",SUMIFS(Ledger!$K$2:$K$4, Ledger!$B$2:$B$4, $A1062, Ledger!$C$2:$C$4, M$2)),"****")</f>
        <v/>
      </c>
      <c r="N1062" t="str">
        <f>IFERROR(IF($C1062="","",SUMIFS(Ledger!$K$2:$K$4, Ledger!$B$2:$B$4, $A1062, Ledger!$C$2:$C$4, N$2)),"****")</f>
        <v/>
      </c>
      <c r="O1062" t="str">
        <f>IFERROR(IF($C1062="","",SUMIFS(Ledger!$K$2:$K$4, Ledger!$B$2:$B$4, $A1062, Ledger!$C$2:$C$4, O$2)),"****")</f>
        <v/>
      </c>
      <c r="P1062" t="str">
        <f>IFERROR(IF($C1062="","",SUMIFS(Ledger!$K$2:$K$4, Ledger!$B$2:$B$4, $A1062, Ledger!$C$2:$C$4, P$2)),"****")</f>
        <v/>
      </c>
      <c r="Q1062" t="str">
        <f>IFERROR(IF($C1062="","",SUMIFS(Ledger!$K$2:$K$4, Ledger!$B$2:$B$4, $A1062, Ledger!$C$2:$C$4, Q$2)),"****")</f>
        <v/>
      </c>
      <c r="R1062" t="str">
        <f>IFERROR(IF($C1062="","",SUMIFS(Ledger!$K$2:$K$4, Ledger!$B$2:$B$4, $A1062, Ledger!$C$2:$C$4, R$2)),"****")</f>
        <v/>
      </c>
      <c r="S1062" t="str">
        <f>IFERROR(IF($C1062="","",SUMIFS(Ledger!$K$2:$K$4, Ledger!$B$2:$B$4, $A1062, Ledger!$C$2:$C$4, S$2)),"****")</f>
        <v/>
      </c>
      <c r="T1062" t="str">
        <f>IFERROR(IF($C1062="","",SUMIFS(Ledger!$K$2:$K$4, Ledger!$B$2:$B$4, $A1062, Ledger!$C$2:$C$4, T$2)),"****")</f>
        <v/>
      </c>
      <c r="U1062" t="str">
        <f>IFERROR(IF($C1062="","",SUMIFS(Ledger!$K$2:$K$4, Ledger!$B$2:$B$4, $A1062, Ledger!$C$2:$C$4, U$2)),"****")</f>
        <v/>
      </c>
      <c r="V1062" t="str">
        <f>IFERROR(IF($C1062="","",SUMIFS(Ledger!$K$2:$K$4, Ledger!$B$2:$B$4, $A1062, Ledger!$C$2:$C$4, V$2)),"****")</f>
        <v/>
      </c>
      <c r="W1062" t="str">
        <f>IFERROR(IF($C1062="","",SUMIFS(Ledger!$K$2:$K$4, Ledger!$B$2:$B$4, $A1062, Ledger!$C$2:$C$4, W$2)),"****")</f>
        <v/>
      </c>
      <c r="X1062" t="str">
        <f>IFERROR(IF($C1062="","",SUMIFS(Ledger!$K$2:$K$4, Ledger!$B$2:$B$4, $A1062, Ledger!$C$2:$C$4, X$2)),"****")</f>
        <v/>
      </c>
    </row>
    <row r="1063" spans="1:24" x14ac:dyDescent="0.3">
      <c r="A1063" s="106">
        <v>1061</v>
      </c>
      <c r="B1063" t="str">
        <f>IFERROR(VLOOKUP($A1063, Ledger!$B$2:$L$8, 3, 0),"")</f>
        <v/>
      </c>
      <c r="C1063" t="str">
        <f>IFERROR(VLOOKUP($A1063, Ledger!$B$2:$L$8, 4, 0),"")</f>
        <v/>
      </c>
      <c r="D1063" t="str">
        <f>IFERROR(VLOOKUP($A1063, Ledger!$B$2:$L$8, 5, 0),"")</f>
        <v/>
      </c>
      <c r="E1063" t="str">
        <f>IFERROR(VLOOKUP($A1063, Ledger!$B$2:$L$8, 6, 0),"")</f>
        <v/>
      </c>
      <c r="F1063" t="str">
        <f>IFERROR(VLOOKUP($A1063,'Student Data'!$A$2:$AR$6,32,0),"")</f>
        <v/>
      </c>
      <c r="G1063" t="str">
        <f>IFERROR(VLOOKUP($A1063,'Student Data'!$A$2:$AR$6,33,0),"")</f>
        <v/>
      </c>
      <c r="H1063" t="str">
        <f>IFERROR(VLOOKUP($A1063,'Student Data'!$A$2:$AR$6,34,0),"")</f>
        <v/>
      </c>
      <c r="I1063" t="str">
        <f>IFERROR(VLOOKUP($A1063,'Student Data'!$A$2:$AR$6,35,0),"")</f>
        <v/>
      </c>
      <c r="J1063" t="str">
        <f>IFERROR(VLOOKUP($A1063,'Student Data'!$A$2:$AR$6,36,0),"")</f>
        <v/>
      </c>
      <c r="K1063" t="str">
        <f t="shared" si="32"/>
        <v/>
      </c>
      <c r="L1063" t="str">
        <f t="shared" si="33"/>
        <v/>
      </c>
      <c r="M1063" t="str">
        <f>IFERROR(IF($C1063="","",SUMIFS(Ledger!$K$2:$K$4, Ledger!$B$2:$B$4, $A1063, Ledger!$C$2:$C$4, M$2)),"****")</f>
        <v/>
      </c>
      <c r="N1063" t="str">
        <f>IFERROR(IF($C1063="","",SUMIFS(Ledger!$K$2:$K$4, Ledger!$B$2:$B$4, $A1063, Ledger!$C$2:$C$4, N$2)),"****")</f>
        <v/>
      </c>
      <c r="O1063" t="str">
        <f>IFERROR(IF($C1063="","",SUMIFS(Ledger!$K$2:$K$4, Ledger!$B$2:$B$4, $A1063, Ledger!$C$2:$C$4, O$2)),"****")</f>
        <v/>
      </c>
      <c r="P1063" t="str">
        <f>IFERROR(IF($C1063="","",SUMIFS(Ledger!$K$2:$K$4, Ledger!$B$2:$B$4, $A1063, Ledger!$C$2:$C$4, P$2)),"****")</f>
        <v/>
      </c>
      <c r="Q1063" t="str">
        <f>IFERROR(IF($C1063="","",SUMIFS(Ledger!$K$2:$K$4, Ledger!$B$2:$B$4, $A1063, Ledger!$C$2:$C$4, Q$2)),"****")</f>
        <v/>
      </c>
      <c r="R1063" t="str">
        <f>IFERROR(IF($C1063="","",SUMIFS(Ledger!$K$2:$K$4, Ledger!$B$2:$B$4, $A1063, Ledger!$C$2:$C$4, R$2)),"****")</f>
        <v/>
      </c>
      <c r="S1063" t="str">
        <f>IFERROR(IF($C1063="","",SUMIFS(Ledger!$K$2:$K$4, Ledger!$B$2:$B$4, $A1063, Ledger!$C$2:$C$4, S$2)),"****")</f>
        <v/>
      </c>
      <c r="T1063" t="str">
        <f>IFERROR(IF($C1063="","",SUMIFS(Ledger!$K$2:$K$4, Ledger!$B$2:$B$4, $A1063, Ledger!$C$2:$C$4, T$2)),"****")</f>
        <v/>
      </c>
      <c r="U1063" t="str">
        <f>IFERROR(IF($C1063="","",SUMIFS(Ledger!$K$2:$K$4, Ledger!$B$2:$B$4, $A1063, Ledger!$C$2:$C$4, U$2)),"****")</f>
        <v/>
      </c>
      <c r="V1063" t="str">
        <f>IFERROR(IF($C1063="","",SUMIFS(Ledger!$K$2:$K$4, Ledger!$B$2:$B$4, $A1063, Ledger!$C$2:$C$4, V$2)),"****")</f>
        <v/>
      </c>
      <c r="W1063" t="str">
        <f>IFERROR(IF($C1063="","",SUMIFS(Ledger!$K$2:$K$4, Ledger!$B$2:$B$4, $A1063, Ledger!$C$2:$C$4, W$2)),"****")</f>
        <v/>
      </c>
      <c r="X1063" t="str">
        <f>IFERROR(IF($C1063="","",SUMIFS(Ledger!$K$2:$K$4, Ledger!$B$2:$B$4, $A1063, Ledger!$C$2:$C$4, X$2)),"****")</f>
        <v/>
      </c>
    </row>
    <row r="1064" spans="1:24" x14ac:dyDescent="0.3">
      <c r="A1064" s="106">
        <v>1062</v>
      </c>
      <c r="B1064" t="str">
        <f>IFERROR(VLOOKUP($A1064, Ledger!$B$2:$L$8, 3, 0),"")</f>
        <v/>
      </c>
      <c r="C1064" t="str">
        <f>IFERROR(VLOOKUP($A1064, Ledger!$B$2:$L$8, 4, 0),"")</f>
        <v/>
      </c>
      <c r="D1064" t="str">
        <f>IFERROR(VLOOKUP($A1064, Ledger!$B$2:$L$8, 5, 0),"")</f>
        <v/>
      </c>
      <c r="E1064" t="str">
        <f>IFERROR(VLOOKUP($A1064, Ledger!$B$2:$L$8, 6, 0),"")</f>
        <v/>
      </c>
      <c r="F1064" t="str">
        <f>IFERROR(VLOOKUP($A1064,'Student Data'!$A$2:$AR$6,32,0),"")</f>
        <v/>
      </c>
      <c r="G1064" t="str">
        <f>IFERROR(VLOOKUP($A1064,'Student Data'!$A$2:$AR$6,33,0),"")</f>
        <v/>
      </c>
      <c r="H1064" t="str">
        <f>IFERROR(VLOOKUP($A1064,'Student Data'!$A$2:$AR$6,34,0),"")</f>
        <v/>
      </c>
      <c r="I1064" t="str">
        <f>IFERROR(VLOOKUP($A1064,'Student Data'!$A$2:$AR$6,35,0),"")</f>
        <v/>
      </c>
      <c r="J1064" t="str">
        <f>IFERROR(VLOOKUP($A1064,'Student Data'!$A$2:$AR$6,36,0),"")</f>
        <v/>
      </c>
      <c r="K1064" t="str">
        <f t="shared" si="32"/>
        <v/>
      </c>
      <c r="L1064" t="str">
        <f t="shared" si="33"/>
        <v/>
      </c>
      <c r="M1064" t="str">
        <f>IFERROR(IF($C1064="","",SUMIFS(Ledger!$K$2:$K$4, Ledger!$B$2:$B$4, $A1064, Ledger!$C$2:$C$4, M$2)),"****")</f>
        <v/>
      </c>
      <c r="N1064" t="str">
        <f>IFERROR(IF($C1064="","",SUMIFS(Ledger!$K$2:$K$4, Ledger!$B$2:$B$4, $A1064, Ledger!$C$2:$C$4, N$2)),"****")</f>
        <v/>
      </c>
      <c r="O1064" t="str">
        <f>IFERROR(IF($C1064="","",SUMIFS(Ledger!$K$2:$K$4, Ledger!$B$2:$B$4, $A1064, Ledger!$C$2:$C$4, O$2)),"****")</f>
        <v/>
      </c>
      <c r="P1064" t="str">
        <f>IFERROR(IF($C1064="","",SUMIFS(Ledger!$K$2:$K$4, Ledger!$B$2:$B$4, $A1064, Ledger!$C$2:$C$4, P$2)),"****")</f>
        <v/>
      </c>
      <c r="Q1064" t="str">
        <f>IFERROR(IF($C1064="","",SUMIFS(Ledger!$K$2:$K$4, Ledger!$B$2:$B$4, $A1064, Ledger!$C$2:$C$4, Q$2)),"****")</f>
        <v/>
      </c>
      <c r="R1064" t="str">
        <f>IFERROR(IF($C1064="","",SUMIFS(Ledger!$K$2:$K$4, Ledger!$B$2:$B$4, $A1064, Ledger!$C$2:$C$4, R$2)),"****")</f>
        <v/>
      </c>
      <c r="S1064" t="str">
        <f>IFERROR(IF($C1064="","",SUMIFS(Ledger!$K$2:$K$4, Ledger!$B$2:$B$4, $A1064, Ledger!$C$2:$C$4, S$2)),"****")</f>
        <v/>
      </c>
      <c r="T1064" t="str">
        <f>IFERROR(IF($C1064="","",SUMIFS(Ledger!$K$2:$K$4, Ledger!$B$2:$B$4, $A1064, Ledger!$C$2:$C$4, T$2)),"****")</f>
        <v/>
      </c>
      <c r="U1064" t="str">
        <f>IFERROR(IF($C1064="","",SUMIFS(Ledger!$K$2:$K$4, Ledger!$B$2:$B$4, $A1064, Ledger!$C$2:$C$4, U$2)),"****")</f>
        <v/>
      </c>
      <c r="V1064" t="str">
        <f>IFERROR(IF($C1064="","",SUMIFS(Ledger!$K$2:$K$4, Ledger!$B$2:$B$4, $A1064, Ledger!$C$2:$C$4, V$2)),"****")</f>
        <v/>
      </c>
      <c r="W1064" t="str">
        <f>IFERROR(IF($C1064="","",SUMIFS(Ledger!$K$2:$K$4, Ledger!$B$2:$B$4, $A1064, Ledger!$C$2:$C$4, W$2)),"****")</f>
        <v/>
      </c>
      <c r="X1064" t="str">
        <f>IFERROR(IF($C1064="","",SUMIFS(Ledger!$K$2:$K$4, Ledger!$B$2:$B$4, $A1064, Ledger!$C$2:$C$4, X$2)),"****")</f>
        <v/>
      </c>
    </row>
    <row r="1065" spans="1:24" x14ac:dyDescent="0.3">
      <c r="A1065" s="106">
        <v>1063</v>
      </c>
      <c r="B1065" t="str">
        <f>IFERROR(VLOOKUP($A1065, Ledger!$B$2:$L$8, 3, 0),"")</f>
        <v/>
      </c>
      <c r="C1065" t="str">
        <f>IFERROR(VLOOKUP($A1065, Ledger!$B$2:$L$8, 4, 0),"")</f>
        <v/>
      </c>
      <c r="D1065" t="str">
        <f>IFERROR(VLOOKUP($A1065, Ledger!$B$2:$L$8, 5, 0),"")</f>
        <v/>
      </c>
      <c r="E1065" t="str">
        <f>IFERROR(VLOOKUP($A1065, Ledger!$B$2:$L$8, 6, 0),"")</f>
        <v/>
      </c>
      <c r="F1065" t="str">
        <f>IFERROR(VLOOKUP($A1065,'Student Data'!$A$2:$AR$6,32,0),"")</f>
        <v/>
      </c>
      <c r="G1065" t="str">
        <f>IFERROR(VLOOKUP($A1065,'Student Data'!$A$2:$AR$6,33,0),"")</f>
        <v/>
      </c>
      <c r="H1065" t="str">
        <f>IFERROR(VLOOKUP($A1065,'Student Data'!$A$2:$AR$6,34,0),"")</f>
        <v/>
      </c>
      <c r="I1065" t="str">
        <f>IFERROR(VLOOKUP($A1065,'Student Data'!$A$2:$AR$6,35,0),"")</f>
        <v/>
      </c>
      <c r="J1065" t="str">
        <f>IFERROR(VLOOKUP($A1065,'Student Data'!$A$2:$AR$6,36,0),"")</f>
        <v/>
      </c>
      <c r="K1065" t="str">
        <f t="shared" si="32"/>
        <v/>
      </c>
      <c r="L1065" t="str">
        <f t="shared" si="33"/>
        <v/>
      </c>
      <c r="M1065" t="str">
        <f>IFERROR(IF($C1065="","",SUMIFS(Ledger!$K$2:$K$4, Ledger!$B$2:$B$4, $A1065, Ledger!$C$2:$C$4, M$2)),"****")</f>
        <v/>
      </c>
      <c r="N1065" t="str">
        <f>IFERROR(IF($C1065="","",SUMIFS(Ledger!$K$2:$K$4, Ledger!$B$2:$B$4, $A1065, Ledger!$C$2:$C$4, N$2)),"****")</f>
        <v/>
      </c>
      <c r="O1065" t="str">
        <f>IFERROR(IF($C1065="","",SUMIFS(Ledger!$K$2:$K$4, Ledger!$B$2:$B$4, $A1065, Ledger!$C$2:$C$4, O$2)),"****")</f>
        <v/>
      </c>
      <c r="P1065" t="str">
        <f>IFERROR(IF($C1065="","",SUMIFS(Ledger!$K$2:$K$4, Ledger!$B$2:$B$4, $A1065, Ledger!$C$2:$C$4, P$2)),"****")</f>
        <v/>
      </c>
      <c r="Q1065" t="str">
        <f>IFERROR(IF($C1065="","",SUMIFS(Ledger!$K$2:$K$4, Ledger!$B$2:$B$4, $A1065, Ledger!$C$2:$C$4, Q$2)),"****")</f>
        <v/>
      </c>
      <c r="R1065" t="str">
        <f>IFERROR(IF($C1065="","",SUMIFS(Ledger!$K$2:$K$4, Ledger!$B$2:$B$4, $A1065, Ledger!$C$2:$C$4, R$2)),"****")</f>
        <v/>
      </c>
      <c r="S1065" t="str">
        <f>IFERROR(IF($C1065="","",SUMIFS(Ledger!$K$2:$K$4, Ledger!$B$2:$B$4, $A1065, Ledger!$C$2:$C$4, S$2)),"****")</f>
        <v/>
      </c>
      <c r="T1065" t="str">
        <f>IFERROR(IF($C1065="","",SUMIFS(Ledger!$K$2:$K$4, Ledger!$B$2:$B$4, $A1065, Ledger!$C$2:$C$4, T$2)),"****")</f>
        <v/>
      </c>
      <c r="U1065" t="str">
        <f>IFERROR(IF($C1065="","",SUMIFS(Ledger!$K$2:$K$4, Ledger!$B$2:$B$4, $A1065, Ledger!$C$2:$C$4, U$2)),"****")</f>
        <v/>
      </c>
      <c r="V1065" t="str">
        <f>IFERROR(IF($C1065="","",SUMIFS(Ledger!$K$2:$K$4, Ledger!$B$2:$B$4, $A1065, Ledger!$C$2:$C$4, V$2)),"****")</f>
        <v/>
      </c>
      <c r="W1065" t="str">
        <f>IFERROR(IF($C1065="","",SUMIFS(Ledger!$K$2:$K$4, Ledger!$B$2:$B$4, $A1065, Ledger!$C$2:$C$4, W$2)),"****")</f>
        <v/>
      </c>
      <c r="X1065" t="str">
        <f>IFERROR(IF($C1065="","",SUMIFS(Ledger!$K$2:$K$4, Ledger!$B$2:$B$4, $A1065, Ledger!$C$2:$C$4, X$2)),"****")</f>
        <v/>
      </c>
    </row>
    <row r="1066" spans="1:24" x14ac:dyDescent="0.3">
      <c r="A1066" s="106">
        <v>1064</v>
      </c>
      <c r="B1066" t="str">
        <f>IFERROR(VLOOKUP($A1066, Ledger!$B$2:$L$8, 3, 0),"")</f>
        <v/>
      </c>
      <c r="C1066" t="str">
        <f>IFERROR(VLOOKUP($A1066, Ledger!$B$2:$L$8, 4, 0),"")</f>
        <v/>
      </c>
      <c r="D1066" t="str">
        <f>IFERROR(VLOOKUP($A1066, Ledger!$B$2:$L$8, 5, 0),"")</f>
        <v/>
      </c>
      <c r="E1066" t="str">
        <f>IFERROR(VLOOKUP($A1066, Ledger!$B$2:$L$8, 6, 0),"")</f>
        <v/>
      </c>
      <c r="F1066" t="str">
        <f>IFERROR(VLOOKUP($A1066,'Student Data'!$A$2:$AR$6,32,0),"")</f>
        <v/>
      </c>
      <c r="G1066" t="str">
        <f>IFERROR(VLOOKUP($A1066,'Student Data'!$A$2:$AR$6,33,0),"")</f>
        <v/>
      </c>
      <c r="H1066" t="str">
        <f>IFERROR(VLOOKUP($A1066,'Student Data'!$A$2:$AR$6,34,0),"")</f>
        <v/>
      </c>
      <c r="I1066" t="str">
        <f>IFERROR(VLOOKUP($A1066,'Student Data'!$A$2:$AR$6,35,0),"")</f>
        <v/>
      </c>
      <c r="J1066" t="str">
        <f>IFERROR(VLOOKUP($A1066,'Student Data'!$A$2:$AR$6,36,0),"")</f>
        <v/>
      </c>
      <c r="K1066" t="str">
        <f t="shared" si="32"/>
        <v/>
      </c>
      <c r="L1066" t="str">
        <f t="shared" si="33"/>
        <v/>
      </c>
      <c r="M1066" t="str">
        <f>IFERROR(IF($C1066="","",SUMIFS(Ledger!$K$2:$K$4, Ledger!$B$2:$B$4, $A1066, Ledger!$C$2:$C$4, M$2)),"****")</f>
        <v/>
      </c>
      <c r="N1066" t="str">
        <f>IFERROR(IF($C1066="","",SUMIFS(Ledger!$K$2:$K$4, Ledger!$B$2:$B$4, $A1066, Ledger!$C$2:$C$4, N$2)),"****")</f>
        <v/>
      </c>
      <c r="O1066" t="str">
        <f>IFERROR(IF($C1066="","",SUMIFS(Ledger!$K$2:$K$4, Ledger!$B$2:$B$4, $A1066, Ledger!$C$2:$C$4, O$2)),"****")</f>
        <v/>
      </c>
      <c r="P1066" t="str">
        <f>IFERROR(IF($C1066="","",SUMIFS(Ledger!$K$2:$K$4, Ledger!$B$2:$B$4, $A1066, Ledger!$C$2:$C$4, P$2)),"****")</f>
        <v/>
      </c>
      <c r="Q1066" t="str">
        <f>IFERROR(IF($C1066="","",SUMIFS(Ledger!$K$2:$K$4, Ledger!$B$2:$B$4, $A1066, Ledger!$C$2:$C$4, Q$2)),"****")</f>
        <v/>
      </c>
      <c r="R1066" t="str">
        <f>IFERROR(IF($C1066="","",SUMIFS(Ledger!$K$2:$K$4, Ledger!$B$2:$B$4, $A1066, Ledger!$C$2:$C$4, R$2)),"****")</f>
        <v/>
      </c>
      <c r="S1066" t="str">
        <f>IFERROR(IF($C1066="","",SUMIFS(Ledger!$K$2:$K$4, Ledger!$B$2:$B$4, $A1066, Ledger!$C$2:$C$4, S$2)),"****")</f>
        <v/>
      </c>
      <c r="T1066" t="str">
        <f>IFERROR(IF($C1066="","",SUMIFS(Ledger!$K$2:$K$4, Ledger!$B$2:$B$4, $A1066, Ledger!$C$2:$C$4, T$2)),"****")</f>
        <v/>
      </c>
      <c r="U1066" t="str">
        <f>IFERROR(IF($C1066="","",SUMIFS(Ledger!$K$2:$K$4, Ledger!$B$2:$B$4, $A1066, Ledger!$C$2:$C$4, U$2)),"****")</f>
        <v/>
      </c>
      <c r="V1066" t="str">
        <f>IFERROR(IF($C1066="","",SUMIFS(Ledger!$K$2:$K$4, Ledger!$B$2:$B$4, $A1066, Ledger!$C$2:$C$4, V$2)),"****")</f>
        <v/>
      </c>
      <c r="W1066" t="str">
        <f>IFERROR(IF($C1066="","",SUMIFS(Ledger!$K$2:$K$4, Ledger!$B$2:$B$4, $A1066, Ledger!$C$2:$C$4, W$2)),"****")</f>
        <v/>
      </c>
      <c r="X1066" t="str">
        <f>IFERROR(IF($C1066="","",SUMIFS(Ledger!$K$2:$K$4, Ledger!$B$2:$B$4, $A1066, Ledger!$C$2:$C$4, X$2)),"****")</f>
        <v/>
      </c>
    </row>
    <row r="1067" spans="1:24" x14ac:dyDescent="0.3">
      <c r="A1067" s="106">
        <v>1065</v>
      </c>
      <c r="B1067" t="str">
        <f>IFERROR(VLOOKUP($A1067, Ledger!$B$2:$L$8, 3, 0),"")</f>
        <v/>
      </c>
      <c r="C1067" t="str">
        <f>IFERROR(VLOOKUP($A1067, Ledger!$B$2:$L$8, 4, 0),"")</f>
        <v/>
      </c>
      <c r="D1067" t="str">
        <f>IFERROR(VLOOKUP($A1067, Ledger!$B$2:$L$8, 5, 0),"")</f>
        <v/>
      </c>
      <c r="E1067" t="str">
        <f>IFERROR(VLOOKUP($A1067, Ledger!$B$2:$L$8, 6, 0),"")</f>
        <v/>
      </c>
      <c r="F1067" t="str">
        <f>IFERROR(VLOOKUP($A1067,'Student Data'!$A$2:$AR$6,32,0),"")</f>
        <v/>
      </c>
      <c r="G1067" t="str">
        <f>IFERROR(VLOOKUP($A1067,'Student Data'!$A$2:$AR$6,33,0),"")</f>
        <v/>
      </c>
      <c r="H1067" t="str">
        <f>IFERROR(VLOOKUP($A1067,'Student Data'!$A$2:$AR$6,34,0),"")</f>
        <v/>
      </c>
      <c r="I1067" t="str">
        <f>IFERROR(VLOOKUP($A1067,'Student Data'!$A$2:$AR$6,35,0),"")</f>
        <v/>
      </c>
      <c r="J1067" t="str">
        <f>IFERROR(VLOOKUP($A1067,'Student Data'!$A$2:$AR$6,36,0),"")</f>
        <v/>
      </c>
      <c r="K1067" t="str">
        <f t="shared" si="32"/>
        <v/>
      </c>
      <c r="L1067" t="str">
        <f t="shared" si="33"/>
        <v/>
      </c>
      <c r="M1067" t="str">
        <f>IFERROR(IF($C1067="","",SUMIFS(Ledger!$K$2:$K$4, Ledger!$B$2:$B$4, $A1067, Ledger!$C$2:$C$4, M$2)),"****")</f>
        <v/>
      </c>
      <c r="N1067" t="str">
        <f>IFERROR(IF($C1067="","",SUMIFS(Ledger!$K$2:$K$4, Ledger!$B$2:$B$4, $A1067, Ledger!$C$2:$C$4, N$2)),"****")</f>
        <v/>
      </c>
      <c r="O1067" t="str">
        <f>IFERROR(IF($C1067="","",SUMIFS(Ledger!$K$2:$K$4, Ledger!$B$2:$B$4, $A1067, Ledger!$C$2:$C$4, O$2)),"****")</f>
        <v/>
      </c>
      <c r="P1067" t="str">
        <f>IFERROR(IF($C1067="","",SUMIFS(Ledger!$K$2:$K$4, Ledger!$B$2:$B$4, $A1067, Ledger!$C$2:$C$4, P$2)),"****")</f>
        <v/>
      </c>
      <c r="Q1067" t="str">
        <f>IFERROR(IF($C1067="","",SUMIFS(Ledger!$K$2:$K$4, Ledger!$B$2:$B$4, $A1067, Ledger!$C$2:$C$4, Q$2)),"****")</f>
        <v/>
      </c>
      <c r="R1067" t="str">
        <f>IFERROR(IF($C1067="","",SUMIFS(Ledger!$K$2:$K$4, Ledger!$B$2:$B$4, $A1067, Ledger!$C$2:$C$4, R$2)),"****")</f>
        <v/>
      </c>
      <c r="S1067" t="str">
        <f>IFERROR(IF($C1067="","",SUMIFS(Ledger!$K$2:$K$4, Ledger!$B$2:$B$4, $A1067, Ledger!$C$2:$C$4, S$2)),"****")</f>
        <v/>
      </c>
      <c r="T1067" t="str">
        <f>IFERROR(IF($C1067="","",SUMIFS(Ledger!$K$2:$K$4, Ledger!$B$2:$B$4, $A1067, Ledger!$C$2:$C$4, T$2)),"****")</f>
        <v/>
      </c>
      <c r="U1067" t="str">
        <f>IFERROR(IF($C1067="","",SUMIFS(Ledger!$K$2:$K$4, Ledger!$B$2:$B$4, $A1067, Ledger!$C$2:$C$4, U$2)),"****")</f>
        <v/>
      </c>
      <c r="V1067" t="str">
        <f>IFERROR(IF($C1067="","",SUMIFS(Ledger!$K$2:$K$4, Ledger!$B$2:$B$4, $A1067, Ledger!$C$2:$C$4, V$2)),"****")</f>
        <v/>
      </c>
      <c r="W1067" t="str">
        <f>IFERROR(IF($C1067="","",SUMIFS(Ledger!$K$2:$K$4, Ledger!$B$2:$B$4, $A1067, Ledger!$C$2:$C$4, W$2)),"****")</f>
        <v/>
      </c>
      <c r="X1067" t="str">
        <f>IFERROR(IF($C1067="","",SUMIFS(Ledger!$K$2:$K$4, Ledger!$B$2:$B$4, $A1067, Ledger!$C$2:$C$4, X$2)),"****")</f>
        <v/>
      </c>
    </row>
    <row r="1068" spans="1:24" x14ac:dyDescent="0.3">
      <c r="A1068" s="106">
        <v>1066</v>
      </c>
      <c r="B1068" t="str">
        <f>IFERROR(VLOOKUP($A1068, Ledger!$B$2:$L$8, 3, 0),"")</f>
        <v/>
      </c>
      <c r="C1068" t="str">
        <f>IFERROR(VLOOKUP($A1068, Ledger!$B$2:$L$8, 4, 0),"")</f>
        <v/>
      </c>
      <c r="D1068" t="str">
        <f>IFERROR(VLOOKUP($A1068, Ledger!$B$2:$L$8, 5, 0),"")</f>
        <v/>
      </c>
      <c r="E1068" t="str">
        <f>IFERROR(VLOOKUP($A1068, Ledger!$B$2:$L$8, 6, 0),"")</f>
        <v/>
      </c>
      <c r="F1068" t="str">
        <f>IFERROR(VLOOKUP($A1068,'Student Data'!$A$2:$AR$6,32,0),"")</f>
        <v/>
      </c>
      <c r="G1068" t="str">
        <f>IFERROR(VLOOKUP($A1068,'Student Data'!$A$2:$AR$6,33,0),"")</f>
        <v/>
      </c>
      <c r="H1068" t="str">
        <f>IFERROR(VLOOKUP($A1068,'Student Data'!$A$2:$AR$6,34,0),"")</f>
        <v/>
      </c>
      <c r="I1068" t="str">
        <f>IFERROR(VLOOKUP($A1068,'Student Data'!$A$2:$AR$6,35,0),"")</f>
        <v/>
      </c>
      <c r="J1068" t="str">
        <f>IFERROR(VLOOKUP($A1068,'Student Data'!$A$2:$AR$6,36,0),"")</f>
        <v/>
      </c>
      <c r="K1068" t="str">
        <f t="shared" si="32"/>
        <v/>
      </c>
      <c r="L1068" t="str">
        <f t="shared" si="33"/>
        <v/>
      </c>
      <c r="M1068" t="str">
        <f>IFERROR(IF($C1068="","",SUMIFS(Ledger!$K$2:$K$4, Ledger!$B$2:$B$4, $A1068, Ledger!$C$2:$C$4, M$2)),"****")</f>
        <v/>
      </c>
      <c r="N1068" t="str">
        <f>IFERROR(IF($C1068="","",SUMIFS(Ledger!$K$2:$K$4, Ledger!$B$2:$B$4, $A1068, Ledger!$C$2:$C$4, N$2)),"****")</f>
        <v/>
      </c>
      <c r="O1068" t="str">
        <f>IFERROR(IF($C1068="","",SUMIFS(Ledger!$K$2:$K$4, Ledger!$B$2:$B$4, $A1068, Ledger!$C$2:$C$4, O$2)),"****")</f>
        <v/>
      </c>
      <c r="P1068" t="str">
        <f>IFERROR(IF($C1068="","",SUMIFS(Ledger!$K$2:$K$4, Ledger!$B$2:$B$4, $A1068, Ledger!$C$2:$C$4, P$2)),"****")</f>
        <v/>
      </c>
      <c r="Q1068" t="str">
        <f>IFERROR(IF($C1068="","",SUMIFS(Ledger!$K$2:$K$4, Ledger!$B$2:$B$4, $A1068, Ledger!$C$2:$C$4, Q$2)),"****")</f>
        <v/>
      </c>
      <c r="R1068" t="str">
        <f>IFERROR(IF($C1068="","",SUMIFS(Ledger!$K$2:$K$4, Ledger!$B$2:$B$4, $A1068, Ledger!$C$2:$C$4, R$2)),"****")</f>
        <v/>
      </c>
      <c r="S1068" t="str">
        <f>IFERROR(IF($C1068="","",SUMIFS(Ledger!$K$2:$K$4, Ledger!$B$2:$B$4, $A1068, Ledger!$C$2:$C$4, S$2)),"****")</f>
        <v/>
      </c>
      <c r="T1068" t="str">
        <f>IFERROR(IF($C1068="","",SUMIFS(Ledger!$K$2:$K$4, Ledger!$B$2:$B$4, $A1068, Ledger!$C$2:$C$4, T$2)),"****")</f>
        <v/>
      </c>
      <c r="U1068" t="str">
        <f>IFERROR(IF($C1068="","",SUMIFS(Ledger!$K$2:$K$4, Ledger!$B$2:$B$4, $A1068, Ledger!$C$2:$C$4, U$2)),"****")</f>
        <v/>
      </c>
      <c r="V1068" t="str">
        <f>IFERROR(IF($C1068="","",SUMIFS(Ledger!$K$2:$K$4, Ledger!$B$2:$B$4, $A1068, Ledger!$C$2:$C$4, V$2)),"****")</f>
        <v/>
      </c>
      <c r="W1068" t="str">
        <f>IFERROR(IF($C1068="","",SUMIFS(Ledger!$K$2:$K$4, Ledger!$B$2:$B$4, $A1068, Ledger!$C$2:$C$4, W$2)),"****")</f>
        <v/>
      </c>
      <c r="X1068" t="str">
        <f>IFERROR(IF($C1068="","",SUMIFS(Ledger!$K$2:$K$4, Ledger!$B$2:$B$4, $A1068, Ledger!$C$2:$C$4, X$2)),"****")</f>
        <v/>
      </c>
    </row>
    <row r="1069" spans="1:24" x14ac:dyDescent="0.3">
      <c r="A1069" s="106">
        <v>1067</v>
      </c>
      <c r="B1069" t="str">
        <f>IFERROR(VLOOKUP($A1069, Ledger!$B$2:$L$8, 3, 0),"")</f>
        <v/>
      </c>
      <c r="C1069" t="str">
        <f>IFERROR(VLOOKUP($A1069, Ledger!$B$2:$L$8, 4, 0),"")</f>
        <v/>
      </c>
      <c r="D1069" t="str">
        <f>IFERROR(VLOOKUP($A1069, Ledger!$B$2:$L$8, 5, 0),"")</f>
        <v/>
      </c>
      <c r="E1069" t="str">
        <f>IFERROR(VLOOKUP($A1069, Ledger!$B$2:$L$8, 6, 0),"")</f>
        <v/>
      </c>
      <c r="F1069" t="str">
        <f>IFERROR(VLOOKUP($A1069,'Student Data'!$A$2:$AR$6,32,0),"")</f>
        <v/>
      </c>
      <c r="G1069" t="str">
        <f>IFERROR(VLOOKUP($A1069,'Student Data'!$A$2:$AR$6,33,0),"")</f>
        <v/>
      </c>
      <c r="H1069" t="str">
        <f>IFERROR(VLOOKUP($A1069,'Student Data'!$A$2:$AR$6,34,0),"")</f>
        <v/>
      </c>
      <c r="I1069" t="str">
        <f>IFERROR(VLOOKUP($A1069,'Student Data'!$A$2:$AR$6,35,0),"")</f>
        <v/>
      </c>
      <c r="J1069" t="str">
        <f>IFERROR(VLOOKUP($A1069,'Student Data'!$A$2:$AR$6,36,0),"")</f>
        <v/>
      </c>
      <c r="K1069" t="str">
        <f t="shared" si="32"/>
        <v/>
      </c>
      <c r="L1069" t="str">
        <f t="shared" si="33"/>
        <v/>
      </c>
      <c r="M1069" t="str">
        <f>IFERROR(IF($C1069="","",SUMIFS(Ledger!$K$2:$K$4, Ledger!$B$2:$B$4, $A1069, Ledger!$C$2:$C$4, M$2)),"****")</f>
        <v/>
      </c>
      <c r="N1069" t="str">
        <f>IFERROR(IF($C1069="","",SUMIFS(Ledger!$K$2:$K$4, Ledger!$B$2:$B$4, $A1069, Ledger!$C$2:$C$4, N$2)),"****")</f>
        <v/>
      </c>
      <c r="O1069" t="str">
        <f>IFERROR(IF($C1069="","",SUMIFS(Ledger!$K$2:$K$4, Ledger!$B$2:$B$4, $A1069, Ledger!$C$2:$C$4, O$2)),"****")</f>
        <v/>
      </c>
      <c r="P1069" t="str">
        <f>IFERROR(IF($C1069="","",SUMIFS(Ledger!$K$2:$K$4, Ledger!$B$2:$B$4, $A1069, Ledger!$C$2:$C$4, P$2)),"****")</f>
        <v/>
      </c>
      <c r="Q1069" t="str">
        <f>IFERROR(IF($C1069="","",SUMIFS(Ledger!$K$2:$K$4, Ledger!$B$2:$B$4, $A1069, Ledger!$C$2:$C$4, Q$2)),"****")</f>
        <v/>
      </c>
      <c r="R1069" t="str">
        <f>IFERROR(IF($C1069="","",SUMIFS(Ledger!$K$2:$K$4, Ledger!$B$2:$B$4, $A1069, Ledger!$C$2:$C$4, R$2)),"****")</f>
        <v/>
      </c>
      <c r="S1069" t="str">
        <f>IFERROR(IF($C1069="","",SUMIFS(Ledger!$K$2:$K$4, Ledger!$B$2:$B$4, $A1069, Ledger!$C$2:$C$4, S$2)),"****")</f>
        <v/>
      </c>
      <c r="T1069" t="str">
        <f>IFERROR(IF($C1069="","",SUMIFS(Ledger!$K$2:$K$4, Ledger!$B$2:$B$4, $A1069, Ledger!$C$2:$C$4, T$2)),"****")</f>
        <v/>
      </c>
      <c r="U1069" t="str">
        <f>IFERROR(IF($C1069="","",SUMIFS(Ledger!$K$2:$K$4, Ledger!$B$2:$B$4, $A1069, Ledger!$C$2:$C$4, U$2)),"****")</f>
        <v/>
      </c>
      <c r="V1069" t="str">
        <f>IFERROR(IF($C1069="","",SUMIFS(Ledger!$K$2:$K$4, Ledger!$B$2:$B$4, $A1069, Ledger!$C$2:$C$4, V$2)),"****")</f>
        <v/>
      </c>
      <c r="W1069" t="str">
        <f>IFERROR(IF($C1069="","",SUMIFS(Ledger!$K$2:$K$4, Ledger!$B$2:$B$4, $A1069, Ledger!$C$2:$C$4, W$2)),"****")</f>
        <v/>
      </c>
      <c r="X1069" t="str">
        <f>IFERROR(IF($C1069="","",SUMIFS(Ledger!$K$2:$K$4, Ledger!$B$2:$B$4, $A1069, Ledger!$C$2:$C$4, X$2)),"****")</f>
        <v/>
      </c>
    </row>
    <row r="1070" spans="1:24" x14ac:dyDescent="0.3">
      <c r="A1070" s="106">
        <v>1068</v>
      </c>
      <c r="B1070" t="str">
        <f>IFERROR(VLOOKUP($A1070, Ledger!$B$2:$L$8, 3, 0),"")</f>
        <v/>
      </c>
      <c r="C1070" t="str">
        <f>IFERROR(VLOOKUP($A1070, Ledger!$B$2:$L$8, 4, 0),"")</f>
        <v/>
      </c>
      <c r="D1070" t="str">
        <f>IFERROR(VLOOKUP($A1070, Ledger!$B$2:$L$8, 5, 0),"")</f>
        <v/>
      </c>
      <c r="E1070" t="str">
        <f>IFERROR(VLOOKUP($A1070, Ledger!$B$2:$L$8, 6, 0),"")</f>
        <v/>
      </c>
      <c r="F1070" t="str">
        <f>IFERROR(VLOOKUP($A1070,'Student Data'!$A$2:$AR$6,32,0),"")</f>
        <v/>
      </c>
      <c r="G1070" t="str">
        <f>IFERROR(VLOOKUP($A1070,'Student Data'!$A$2:$AR$6,33,0),"")</f>
        <v/>
      </c>
      <c r="H1070" t="str">
        <f>IFERROR(VLOOKUP($A1070,'Student Data'!$A$2:$AR$6,34,0),"")</f>
        <v/>
      </c>
      <c r="I1070" t="str">
        <f>IFERROR(VLOOKUP($A1070,'Student Data'!$A$2:$AR$6,35,0),"")</f>
        <v/>
      </c>
      <c r="J1070" t="str">
        <f>IFERROR(VLOOKUP($A1070,'Student Data'!$A$2:$AR$6,36,0),"")</f>
        <v/>
      </c>
      <c r="K1070" t="str">
        <f t="shared" si="32"/>
        <v/>
      </c>
      <c r="L1070" t="str">
        <f t="shared" si="33"/>
        <v/>
      </c>
      <c r="M1070" t="str">
        <f>IFERROR(IF($C1070="","",SUMIFS(Ledger!$K$2:$K$4, Ledger!$B$2:$B$4, $A1070, Ledger!$C$2:$C$4, M$2)),"****")</f>
        <v/>
      </c>
      <c r="N1070" t="str">
        <f>IFERROR(IF($C1070="","",SUMIFS(Ledger!$K$2:$K$4, Ledger!$B$2:$B$4, $A1070, Ledger!$C$2:$C$4, N$2)),"****")</f>
        <v/>
      </c>
      <c r="O1070" t="str">
        <f>IFERROR(IF($C1070="","",SUMIFS(Ledger!$K$2:$K$4, Ledger!$B$2:$B$4, $A1070, Ledger!$C$2:$C$4, O$2)),"****")</f>
        <v/>
      </c>
      <c r="P1070" t="str">
        <f>IFERROR(IF($C1070="","",SUMIFS(Ledger!$K$2:$K$4, Ledger!$B$2:$B$4, $A1070, Ledger!$C$2:$C$4, P$2)),"****")</f>
        <v/>
      </c>
      <c r="Q1070" t="str">
        <f>IFERROR(IF($C1070="","",SUMIFS(Ledger!$K$2:$K$4, Ledger!$B$2:$B$4, $A1070, Ledger!$C$2:$C$4, Q$2)),"****")</f>
        <v/>
      </c>
      <c r="R1070" t="str">
        <f>IFERROR(IF($C1070="","",SUMIFS(Ledger!$K$2:$K$4, Ledger!$B$2:$B$4, $A1070, Ledger!$C$2:$C$4, R$2)),"****")</f>
        <v/>
      </c>
      <c r="S1070" t="str">
        <f>IFERROR(IF($C1070="","",SUMIFS(Ledger!$K$2:$K$4, Ledger!$B$2:$B$4, $A1070, Ledger!$C$2:$C$4, S$2)),"****")</f>
        <v/>
      </c>
      <c r="T1070" t="str">
        <f>IFERROR(IF($C1070="","",SUMIFS(Ledger!$K$2:$K$4, Ledger!$B$2:$B$4, $A1070, Ledger!$C$2:$C$4, T$2)),"****")</f>
        <v/>
      </c>
      <c r="U1070" t="str">
        <f>IFERROR(IF($C1070="","",SUMIFS(Ledger!$K$2:$K$4, Ledger!$B$2:$B$4, $A1070, Ledger!$C$2:$C$4, U$2)),"****")</f>
        <v/>
      </c>
      <c r="V1070" t="str">
        <f>IFERROR(IF($C1070="","",SUMIFS(Ledger!$K$2:$K$4, Ledger!$B$2:$B$4, $A1070, Ledger!$C$2:$C$4, V$2)),"****")</f>
        <v/>
      </c>
      <c r="W1070" t="str">
        <f>IFERROR(IF($C1070="","",SUMIFS(Ledger!$K$2:$K$4, Ledger!$B$2:$B$4, $A1070, Ledger!$C$2:$C$4, W$2)),"****")</f>
        <v/>
      </c>
      <c r="X1070" t="str">
        <f>IFERROR(IF($C1070="","",SUMIFS(Ledger!$K$2:$K$4, Ledger!$B$2:$B$4, $A1070, Ledger!$C$2:$C$4, X$2)),"****")</f>
        <v/>
      </c>
    </row>
    <row r="1071" spans="1:24" x14ac:dyDescent="0.3">
      <c r="A1071" s="106">
        <v>1069</v>
      </c>
      <c r="B1071" t="str">
        <f>IFERROR(VLOOKUP($A1071, Ledger!$B$2:$L$8, 3, 0),"")</f>
        <v/>
      </c>
      <c r="C1071" t="str">
        <f>IFERROR(VLOOKUP($A1071, Ledger!$B$2:$L$8, 4, 0),"")</f>
        <v/>
      </c>
      <c r="D1071" t="str">
        <f>IFERROR(VLOOKUP($A1071, Ledger!$B$2:$L$8, 5, 0),"")</f>
        <v/>
      </c>
      <c r="E1071" t="str">
        <f>IFERROR(VLOOKUP($A1071, Ledger!$B$2:$L$8, 6, 0),"")</f>
        <v/>
      </c>
      <c r="F1071" t="str">
        <f>IFERROR(VLOOKUP($A1071,'Student Data'!$A$2:$AR$6,32,0),"")</f>
        <v/>
      </c>
      <c r="G1071" t="str">
        <f>IFERROR(VLOOKUP($A1071,'Student Data'!$A$2:$AR$6,33,0),"")</f>
        <v/>
      </c>
      <c r="H1071" t="str">
        <f>IFERROR(VLOOKUP($A1071,'Student Data'!$A$2:$AR$6,34,0),"")</f>
        <v/>
      </c>
      <c r="I1071" t="str">
        <f>IFERROR(VLOOKUP($A1071,'Student Data'!$A$2:$AR$6,35,0),"")</f>
        <v/>
      </c>
      <c r="J1071" t="str">
        <f>IFERROR(VLOOKUP($A1071,'Student Data'!$A$2:$AR$6,36,0),"")</f>
        <v/>
      </c>
      <c r="K1071" t="str">
        <f t="shared" si="32"/>
        <v/>
      </c>
      <c r="L1071" t="str">
        <f t="shared" si="33"/>
        <v/>
      </c>
      <c r="M1071" t="str">
        <f>IFERROR(IF($C1071="","",SUMIFS(Ledger!$K$2:$K$4, Ledger!$B$2:$B$4, $A1071, Ledger!$C$2:$C$4, M$2)),"****")</f>
        <v/>
      </c>
      <c r="N1071" t="str">
        <f>IFERROR(IF($C1071="","",SUMIFS(Ledger!$K$2:$K$4, Ledger!$B$2:$B$4, $A1071, Ledger!$C$2:$C$4, N$2)),"****")</f>
        <v/>
      </c>
      <c r="O1071" t="str">
        <f>IFERROR(IF($C1071="","",SUMIFS(Ledger!$K$2:$K$4, Ledger!$B$2:$B$4, $A1071, Ledger!$C$2:$C$4, O$2)),"****")</f>
        <v/>
      </c>
      <c r="P1071" t="str">
        <f>IFERROR(IF($C1071="","",SUMIFS(Ledger!$K$2:$K$4, Ledger!$B$2:$B$4, $A1071, Ledger!$C$2:$C$4, P$2)),"****")</f>
        <v/>
      </c>
      <c r="Q1071" t="str">
        <f>IFERROR(IF($C1071="","",SUMIFS(Ledger!$K$2:$K$4, Ledger!$B$2:$B$4, $A1071, Ledger!$C$2:$C$4, Q$2)),"****")</f>
        <v/>
      </c>
      <c r="R1071" t="str">
        <f>IFERROR(IF($C1071="","",SUMIFS(Ledger!$K$2:$K$4, Ledger!$B$2:$B$4, $A1071, Ledger!$C$2:$C$4, R$2)),"****")</f>
        <v/>
      </c>
      <c r="S1071" t="str">
        <f>IFERROR(IF($C1071="","",SUMIFS(Ledger!$K$2:$K$4, Ledger!$B$2:$B$4, $A1071, Ledger!$C$2:$C$4, S$2)),"****")</f>
        <v/>
      </c>
      <c r="T1071" t="str">
        <f>IFERROR(IF($C1071="","",SUMIFS(Ledger!$K$2:$K$4, Ledger!$B$2:$B$4, $A1071, Ledger!$C$2:$C$4, T$2)),"****")</f>
        <v/>
      </c>
      <c r="U1071" t="str">
        <f>IFERROR(IF($C1071="","",SUMIFS(Ledger!$K$2:$K$4, Ledger!$B$2:$B$4, $A1071, Ledger!$C$2:$C$4, U$2)),"****")</f>
        <v/>
      </c>
      <c r="V1071" t="str">
        <f>IFERROR(IF($C1071="","",SUMIFS(Ledger!$K$2:$K$4, Ledger!$B$2:$B$4, $A1071, Ledger!$C$2:$C$4, V$2)),"****")</f>
        <v/>
      </c>
      <c r="W1071" t="str">
        <f>IFERROR(IF($C1071="","",SUMIFS(Ledger!$K$2:$K$4, Ledger!$B$2:$B$4, $A1071, Ledger!$C$2:$C$4, W$2)),"****")</f>
        <v/>
      </c>
      <c r="X1071" t="str">
        <f>IFERROR(IF($C1071="","",SUMIFS(Ledger!$K$2:$K$4, Ledger!$B$2:$B$4, $A1071, Ledger!$C$2:$C$4, X$2)),"****")</f>
        <v/>
      </c>
    </row>
    <row r="1072" spans="1:24" x14ac:dyDescent="0.3">
      <c r="A1072" s="106">
        <v>1070</v>
      </c>
      <c r="B1072" t="str">
        <f>IFERROR(VLOOKUP($A1072, Ledger!$B$2:$L$8, 3, 0),"")</f>
        <v/>
      </c>
      <c r="C1072" t="str">
        <f>IFERROR(VLOOKUP($A1072, Ledger!$B$2:$L$8, 4, 0),"")</f>
        <v/>
      </c>
      <c r="D1072" t="str">
        <f>IFERROR(VLOOKUP($A1072, Ledger!$B$2:$L$8, 5, 0),"")</f>
        <v/>
      </c>
      <c r="E1072" t="str">
        <f>IFERROR(VLOOKUP($A1072, Ledger!$B$2:$L$8, 6, 0),"")</f>
        <v/>
      </c>
      <c r="F1072" t="str">
        <f>IFERROR(VLOOKUP($A1072,'Student Data'!$A$2:$AR$6,32,0),"")</f>
        <v/>
      </c>
      <c r="G1072" t="str">
        <f>IFERROR(VLOOKUP($A1072,'Student Data'!$A$2:$AR$6,33,0),"")</f>
        <v/>
      </c>
      <c r="H1072" t="str">
        <f>IFERROR(VLOOKUP($A1072,'Student Data'!$A$2:$AR$6,34,0),"")</f>
        <v/>
      </c>
      <c r="I1072" t="str">
        <f>IFERROR(VLOOKUP($A1072,'Student Data'!$A$2:$AR$6,35,0),"")</f>
        <v/>
      </c>
      <c r="J1072" t="str">
        <f>IFERROR(VLOOKUP($A1072,'Student Data'!$A$2:$AR$6,36,0),"")</f>
        <v/>
      </c>
      <c r="K1072" t="str">
        <f t="shared" si="32"/>
        <v/>
      </c>
      <c r="L1072" t="str">
        <f t="shared" si="33"/>
        <v/>
      </c>
      <c r="M1072" t="str">
        <f>IFERROR(IF($C1072="","",SUMIFS(Ledger!$K$2:$K$4, Ledger!$B$2:$B$4, $A1072, Ledger!$C$2:$C$4, M$2)),"****")</f>
        <v/>
      </c>
      <c r="N1072" t="str">
        <f>IFERROR(IF($C1072="","",SUMIFS(Ledger!$K$2:$K$4, Ledger!$B$2:$B$4, $A1072, Ledger!$C$2:$C$4, N$2)),"****")</f>
        <v/>
      </c>
      <c r="O1072" t="str">
        <f>IFERROR(IF($C1072="","",SUMIFS(Ledger!$K$2:$K$4, Ledger!$B$2:$B$4, $A1072, Ledger!$C$2:$C$4, O$2)),"****")</f>
        <v/>
      </c>
      <c r="P1072" t="str">
        <f>IFERROR(IF($C1072="","",SUMIFS(Ledger!$K$2:$K$4, Ledger!$B$2:$B$4, $A1072, Ledger!$C$2:$C$4, P$2)),"****")</f>
        <v/>
      </c>
      <c r="Q1072" t="str">
        <f>IFERROR(IF($C1072="","",SUMIFS(Ledger!$K$2:$K$4, Ledger!$B$2:$B$4, $A1072, Ledger!$C$2:$C$4, Q$2)),"****")</f>
        <v/>
      </c>
      <c r="R1072" t="str">
        <f>IFERROR(IF($C1072="","",SUMIFS(Ledger!$K$2:$K$4, Ledger!$B$2:$B$4, $A1072, Ledger!$C$2:$C$4, R$2)),"****")</f>
        <v/>
      </c>
      <c r="S1072" t="str">
        <f>IFERROR(IF($C1072="","",SUMIFS(Ledger!$K$2:$K$4, Ledger!$B$2:$B$4, $A1072, Ledger!$C$2:$C$4, S$2)),"****")</f>
        <v/>
      </c>
      <c r="T1072" t="str">
        <f>IFERROR(IF($C1072="","",SUMIFS(Ledger!$K$2:$K$4, Ledger!$B$2:$B$4, $A1072, Ledger!$C$2:$C$4, T$2)),"****")</f>
        <v/>
      </c>
      <c r="U1072" t="str">
        <f>IFERROR(IF($C1072="","",SUMIFS(Ledger!$K$2:$K$4, Ledger!$B$2:$B$4, $A1072, Ledger!$C$2:$C$4, U$2)),"****")</f>
        <v/>
      </c>
      <c r="V1072" t="str">
        <f>IFERROR(IF($C1072="","",SUMIFS(Ledger!$K$2:$K$4, Ledger!$B$2:$B$4, $A1072, Ledger!$C$2:$C$4, V$2)),"****")</f>
        <v/>
      </c>
      <c r="W1072" t="str">
        <f>IFERROR(IF($C1072="","",SUMIFS(Ledger!$K$2:$K$4, Ledger!$B$2:$B$4, $A1072, Ledger!$C$2:$C$4, W$2)),"****")</f>
        <v/>
      </c>
      <c r="X1072" t="str">
        <f>IFERROR(IF($C1072="","",SUMIFS(Ledger!$K$2:$K$4, Ledger!$B$2:$B$4, $A1072, Ledger!$C$2:$C$4, X$2)),"****")</f>
        <v/>
      </c>
    </row>
    <row r="1073" spans="1:24" x14ac:dyDescent="0.3">
      <c r="A1073" s="106">
        <v>1071</v>
      </c>
      <c r="B1073" t="str">
        <f>IFERROR(VLOOKUP($A1073, Ledger!$B$2:$L$8, 3, 0),"")</f>
        <v/>
      </c>
      <c r="C1073" t="str">
        <f>IFERROR(VLOOKUP($A1073, Ledger!$B$2:$L$8, 4, 0),"")</f>
        <v/>
      </c>
      <c r="D1073" t="str">
        <f>IFERROR(VLOOKUP($A1073, Ledger!$B$2:$L$8, 5, 0),"")</f>
        <v/>
      </c>
      <c r="E1073" t="str">
        <f>IFERROR(VLOOKUP($A1073, Ledger!$B$2:$L$8, 6, 0),"")</f>
        <v/>
      </c>
      <c r="F1073" t="str">
        <f>IFERROR(VLOOKUP($A1073,'Student Data'!$A$2:$AR$6,32,0),"")</f>
        <v/>
      </c>
      <c r="G1073" t="str">
        <f>IFERROR(VLOOKUP($A1073,'Student Data'!$A$2:$AR$6,33,0),"")</f>
        <v/>
      </c>
      <c r="H1073" t="str">
        <f>IFERROR(VLOOKUP($A1073,'Student Data'!$A$2:$AR$6,34,0),"")</f>
        <v/>
      </c>
      <c r="I1073" t="str">
        <f>IFERROR(VLOOKUP($A1073,'Student Data'!$A$2:$AR$6,35,0),"")</f>
        <v/>
      </c>
      <c r="J1073" t="str">
        <f>IFERROR(VLOOKUP($A1073,'Student Data'!$A$2:$AR$6,36,0),"")</f>
        <v/>
      </c>
      <c r="K1073" t="str">
        <f t="shared" si="32"/>
        <v/>
      </c>
      <c r="L1073" t="str">
        <f t="shared" si="33"/>
        <v/>
      </c>
      <c r="M1073" t="str">
        <f>IFERROR(IF($C1073="","",SUMIFS(Ledger!$K$2:$K$4, Ledger!$B$2:$B$4, $A1073, Ledger!$C$2:$C$4, M$2)),"****")</f>
        <v/>
      </c>
      <c r="N1073" t="str">
        <f>IFERROR(IF($C1073="","",SUMIFS(Ledger!$K$2:$K$4, Ledger!$B$2:$B$4, $A1073, Ledger!$C$2:$C$4, N$2)),"****")</f>
        <v/>
      </c>
      <c r="O1073" t="str">
        <f>IFERROR(IF($C1073="","",SUMIFS(Ledger!$K$2:$K$4, Ledger!$B$2:$B$4, $A1073, Ledger!$C$2:$C$4, O$2)),"****")</f>
        <v/>
      </c>
      <c r="P1073" t="str">
        <f>IFERROR(IF($C1073="","",SUMIFS(Ledger!$K$2:$K$4, Ledger!$B$2:$B$4, $A1073, Ledger!$C$2:$C$4, P$2)),"****")</f>
        <v/>
      </c>
      <c r="Q1073" t="str">
        <f>IFERROR(IF($C1073="","",SUMIFS(Ledger!$K$2:$K$4, Ledger!$B$2:$B$4, $A1073, Ledger!$C$2:$C$4, Q$2)),"****")</f>
        <v/>
      </c>
      <c r="R1073" t="str">
        <f>IFERROR(IF($C1073="","",SUMIFS(Ledger!$K$2:$K$4, Ledger!$B$2:$B$4, $A1073, Ledger!$C$2:$C$4, R$2)),"****")</f>
        <v/>
      </c>
      <c r="S1073" t="str">
        <f>IFERROR(IF($C1073="","",SUMIFS(Ledger!$K$2:$K$4, Ledger!$B$2:$B$4, $A1073, Ledger!$C$2:$C$4, S$2)),"****")</f>
        <v/>
      </c>
      <c r="T1073" t="str">
        <f>IFERROR(IF($C1073="","",SUMIFS(Ledger!$K$2:$K$4, Ledger!$B$2:$B$4, $A1073, Ledger!$C$2:$C$4, T$2)),"****")</f>
        <v/>
      </c>
      <c r="U1073" t="str">
        <f>IFERROR(IF($C1073="","",SUMIFS(Ledger!$K$2:$K$4, Ledger!$B$2:$B$4, $A1073, Ledger!$C$2:$C$4, U$2)),"****")</f>
        <v/>
      </c>
      <c r="V1073" t="str">
        <f>IFERROR(IF($C1073="","",SUMIFS(Ledger!$K$2:$K$4, Ledger!$B$2:$B$4, $A1073, Ledger!$C$2:$C$4, V$2)),"****")</f>
        <v/>
      </c>
      <c r="W1073" t="str">
        <f>IFERROR(IF($C1073="","",SUMIFS(Ledger!$K$2:$K$4, Ledger!$B$2:$B$4, $A1073, Ledger!$C$2:$C$4, W$2)),"****")</f>
        <v/>
      </c>
      <c r="X1073" t="str">
        <f>IFERROR(IF($C1073="","",SUMIFS(Ledger!$K$2:$K$4, Ledger!$B$2:$B$4, $A1073, Ledger!$C$2:$C$4, X$2)),"****")</f>
        <v/>
      </c>
    </row>
    <row r="1074" spans="1:24" x14ac:dyDescent="0.3">
      <c r="A1074" s="106">
        <v>1072</v>
      </c>
      <c r="B1074" t="str">
        <f>IFERROR(VLOOKUP($A1074, Ledger!$B$2:$L$8, 3, 0),"")</f>
        <v/>
      </c>
      <c r="C1074" t="str">
        <f>IFERROR(VLOOKUP($A1074, Ledger!$B$2:$L$8, 4, 0),"")</f>
        <v/>
      </c>
      <c r="D1074" t="str">
        <f>IFERROR(VLOOKUP($A1074, Ledger!$B$2:$L$8, 5, 0),"")</f>
        <v/>
      </c>
      <c r="E1074" t="str">
        <f>IFERROR(VLOOKUP($A1074, Ledger!$B$2:$L$8, 6, 0),"")</f>
        <v/>
      </c>
      <c r="F1074" t="str">
        <f>IFERROR(VLOOKUP($A1074,'Student Data'!$A$2:$AR$6,32,0),"")</f>
        <v/>
      </c>
      <c r="G1074" t="str">
        <f>IFERROR(VLOOKUP($A1074,'Student Data'!$A$2:$AR$6,33,0),"")</f>
        <v/>
      </c>
      <c r="H1074" t="str">
        <f>IFERROR(VLOOKUP($A1074,'Student Data'!$A$2:$AR$6,34,0),"")</f>
        <v/>
      </c>
      <c r="I1074" t="str">
        <f>IFERROR(VLOOKUP($A1074,'Student Data'!$A$2:$AR$6,35,0),"")</f>
        <v/>
      </c>
      <c r="J1074" t="str">
        <f>IFERROR(VLOOKUP($A1074,'Student Data'!$A$2:$AR$6,36,0),"")</f>
        <v/>
      </c>
      <c r="K1074" t="str">
        <f t="shared" si="32"/>
        <v/>
      </c>
      <c r="L1074" t="str">
        <f t="shared" si="33"/>
        <v/>
      </c>
      <c r="M1074" t="str">
        <f>IFERROR(IF($C1074="","",SUMIFS(Ledger!$K$2:$K$4, Ledger!$B$2:$B$4, $A1074, Ledger!$C$2:$C$4, M$2)),"****")</f>
        <v/>
      </c>
      <c r="N1074" t="str">
        <f>IFERROR(IF($C1074="","",SUMIFS(Ledger!$K$2:$K$4, Ledger!$B$2:$B$4, $A1074, Ledger!$C$2:$C$4, N$2)),"****")</f>
        <v/>
      </c>
      <c r="O1074" t="str">
        <f>IFERROR(IF($C1074="","",SUMIFS(Ledger!$K$2:$K$4, Ledger!$B$2:$B$4, $A1074, Ledger!$C$2:$C$4, O$2)),"****")</f>
        <v/>
      </c>
      <c r="P1074" t="str">
        <f>IFERROR(IF($C1074="","",SUMIFS(Ledger!$K$2:$K$4, Ledger!$B$2:$B$4, $A1074, Ledger!$C$2:$C$4, P$2)),"****")</f>
        <v/>
      </c>
      <c r="Q1074" t="str">
        <f>IFERROR(IF($C1074="","",SUMIFS(Ledger!$K$2:$K$4, Ledger!$B$2:$B$4, $A1074, Ledger!$C$2:$C$4, Q$2)),"****")</f>
        <v/>
      </c>
      <c r="R1074" t="str">
        <f>IFERROR(IF($C1074="","",SUMIFS(Ledger!$K$2:$K$4, Ledger!$B$2:$B$4, $A1074, Ledger!$C$2:$C$4, R$2)),"****")</f>
        <v/>
      </c>
      <c r="S1074" t="str">
        <f>IFERROR(IF($C1074="","",SUMIFS(Ledger!$K$2:$K$4, Ledger!$B$2:$B$4, $A1074, Ledger!$C$2:$C$4, S$2)),"****")</f>
        <v/>
      </c>
      <c r="T1074" t="str">
        <f>IFERROR(IF($C1074="","",SUMIFS(Ledger!$K$2:$K$4, Ledger!$B$2:$B$4, $A1074, Ledger!$C$2:$C$4, T$2)),"****")</f>
        <v/>
      </c>
      <c r="U1074" t="str">
        <f>IFERROR(IF($C1074="","",SUMIFS(Ledger!$K$2:$K$4, Ledger!$B$2:$B$4, $A1074, Ledger!$C$2:$C$4, U$2)),"****")</f>
        <v/>
      </c>
      <c r="V1074" t="str">
        <f>IFERROR(IF($C1074="","",SUMIFS(Ledger!$K$2:$K$4, Ledger!$B$2:$B$4, $A1074, Ledger!$C$2:$C$4, V$2)),"****")</f>
        <v/>
      </c>
      <c r="W1074" t="str">
        <f>IFERROR(IF($C1074="","",SUMIFS(Ledger!$K$2:$K$4, Ledger!$B$2:$B$4, $A1074, Ledger!$C$2:$C$4, W$2)),"****")</f>
        <v/>
      </c>
      <c r="X1074" t="str">
        <f>IFERROR(IF($C1074="","",SUMIFS(Ledger!$K$2:$K$4, Ledger!$B$2:$B$4, $A1074, Ledger!$C$2:$C$4, X$2)),"****")</f>
        <v/>
      </c>
    </row>
    <row r="1075" spans="1:24" x14ac:dyDescent="0.3">
      <c r="A1075" s="106">
        <v>1073</v>
      </c>
      <c r="B1075" t="str">
        <f>IFERROR(VLOOKUP($A1075, Ledger!$B$2:$L$8, 3, 0),"")</f>
        <v/>
      </c>
      <c r="C1075" t="str">
        <f>IFERROR(VLOOKUP($A1075, Ledger!$B$2:$L$8, 4, 0),"")</f>
        <v/>
      </c>
      <c r="D1075" t="str">
        <f>IFERROR(VLOOKUP($A1075, Ledger!$B$2:$L$8, 5, 0),"")</f>
        <v/>
      </c>
      <c r="E1075" t="str">
        <f>IFERROR(VLOOKUP($A1075, Ledger!$B$2:$L$8, 6, 0),"")</f>
        <v/>
      </c>
      <c r="F1075" t="str">
        <f>IFERROR(VLOOKUP($A1075,'Student Data'!$A$2:$AR$6,32,0),"")</f>
        <v/>
      </c>
      <c r="G1075" t="str">
        <f>IFERROR(VLOOKUP($A1075,'Student Data'!$A$2:$AR$6,33,0),"")</f>
        <v/>
      </c>
      <c r="H1075" t="str">
        <f>IFERROR(VLOOKUP($A1075,'Student Data'!$A$2:$AR$6,34,0),"")</f>
        <v/>
      </c>
      <c r="I1075" t="str">
        <f>IFERROR(VLOOKUP($A1075,'Student Data'!$A$2:$AR$6,35,0),"")</f>
        <v/>
      </c>
      <c r="J1075" t="str">
        <f>IFERROR(VLOOKUP($A1075,'Student Data'!$A$2:$AR$6,36,0),"")</f>
        <v/>
      </c>
      <c r="K1075" t="str">
        <f t="shared" si="32"/>
        <v/>
      </c>
      <c r="L1075" t="str">
        <f t="shared" si="33"/>
        <v/>
      </c>
      <c r="M1075" t="str">
        <f>IFERROR(IF($C1075="","",SUMIFS(Ledger!$K$2:$K$4, Ledger!$B$2:$B$4, $A1075, Ledger!$C$2:$C$4, M$2)),"****")</f>
        <v/>
      </c>
      <c r="N1075" t="str">
        <f>IFERROR(IF($C1075="","",SUMIFS(Ledger!$K$2:$K$4, Ledger!$B$2:$B$4, $A1075, Ledger!$C$2:$C$4, N$2)),"****")</f>
        <v/>
      </c>
      <c r="O1075" t="str">
        <f>IFERROR(IF($C1075="","",SUMIFS(Ledger!$K$2:$K$4, Ledger!$B$2:$B$4, $A1075, Ledger!$C$2:$C$4, O$2)),"****")</f>
        <v/>
      </c>
      <c r="P1075" t="str">
        <f>IFERROR(IF($C1075="","",SUMIFS(Ledger!$K$2:$K$4, Ledger!$B$2:$B$4, $A1075, Ledger!$C$2:$C$4, P$2)),"****")</f>
        <v/>
      </c>
      <c r="Q1075" t="str">
        <f>IFERROR(IF($C1075="","",SUMIFS(Ledger!$K$2:$K$4, Ledger!$B$2:$B$4, $A1075, Ledger!$C$2:$C$4, Q$2)),"****")</f>
        <v/>
      </c>
      <c r="R1075" t="str">
        <f>IFERROR(IF($C1075="","",SUMIFS(Ledger!$K$2:$K$4, Ledger!$B$2:$B$4, $A1075, Ledger!$C$2:$C$4, R$2)),"****")</f>
        <v/>
      </c>
      <c r="S1075" t="str">
        <f>IFERROR(IF($C1075="","",SUMIFS(Ledger!$K$2:$K$4, Ledger!$B$2:$B$4, $A1075, Ledger!$C$2:$C$4, S$2)),"****")</f>
        <v/>
      </c>
      <c r="T1075" t="str">
        <f>IFERROR(IF($C1075="","",SUMIFS(Ledger!$K$2:$K$4, Ledger!$B$2:$B$4, $A1075, Ledger!$C$2:$C$4, T$2)),"****")</f>
        <v/>
      </c>
      <c r="U1075" t="str">
        <f>IFERROR(IF($C1075="","",SUMIFS(Ledger!$K$2:$K$4, Ledger!$B$2:$B$4, $A1075, Ledger!$C$2:$C$4, U$2)),"****")</f>
        <v/>
      </c>
      <c r="V1075" t="str">
        <f>IFERROR(IF($C1075="","",SUMIFS(Ledger!$K$2:$K$4, Ledger!$B$2:$B$4, $A1075, Ledger!$C$2:$C$4, V$2)),"****")</f>
        <v/>
      </c>
      <c r="W1075" t="str">
        <f>IFERROR(IF($C1075="","",SUMIFS(Ledger!$K$2:$K$4, Ledger!$B$2:$B$4, $A1075, Ledger!$C$2:$C$4, W$2)),"****")</f>
        <v/>
      </c>
      <c r="X1075" t="str">
        <f>IFERROR(IF($C1075="","",SUMIFS(Ledger!$K$2:$K$4, Ledger!$B$2:$B$4, $A1075, Ledger!$C$2:$C$4, X$2)),"****")</f>
        <v/>
      </c>
    </row>
    <row r="1076" spans="1:24" x14ac:dyDescent="0.3">
      <c r="A1076" s="106">
        <v>1074</v>
      </c>
      <c r="B1076" t="str">
        <f>IFERROR(VLOOKUP($A1076, Ledger!$B$2:$L$8, 3, 0),"")</f>
        <v/>
      </c>
      <c r="C1076" t="str">
        <f>IFERROR(VLOOKUP($A1076, Ledger!$B$2:$L$8, 4, 0),"")</f>
        <v/>
      </c>
      <c r="D1076" t="str">
        <f>IFERROR(VLOOKUP($A1076, Ledger!$B$2:$L$8, 5, 0),"")</f>
        <v/>
      </c>
      <c r="E1076" t="str">
        <f>IFERROR(VLOOKUP($A1076, Ledger!$B$2:$L$8, 6, 0),"")</f>
        <v/>
      </c>
      <c r="F1076" t="str">
        <f>IFERROR(VLOOKUP($A1076,'Student Data'!$A$2:$AR$6,32,0),"")</f>
        <v/>
      </c>
      <c r="G1076" t="str">
        <f>IFERROR(VLOOKUP($A1076,'Student Data'!$A$2:$AR$6,33,0),"")</f>
        <v/>
      </c>
      <c r="H1076" t="str">
        <f>IFERROR(VLOOKUP($A1076,'Student Data'!$A$2:$AR$6,34,0),"")</f>
        <v/>
      </c>
      <c r="I1076" t="str">
        <f>IFERROR(VLOOKUP($A1076,'Student Data'!$A$2:$AR$6,35,0),"")</f>
        <v/>
      </c>
      <c r="J1076" t="str">
        <f>IFERROR(VLOOKUP($A1076,'Student Data'!$A$2:$AR$6,36,0),"")</f>
        <v/>
      </c>
      <c r="K1076" t="str">
        <f t="shared" si="32"/>
        <v/>
      </c>
      <c r="L1076" t="str">
        <f t="shared" si="33"/>
        <v/>
      </c>
      <c r="M1076" t="str">
        <f>IFERROR(IF($C1076="","",SUMIFS(Ledger!$K$2:$K$4, Ledger!$B$2:$B$4, $A1076, Ledger!$C$2:$C$4, M$2)),"****")</f>
        <v/>
      </c>
      <c r="N1076" t="str">
        <f>IFERROR(IF($C1076="","",SUMIFS(Ledger!$K$2:$K$4, Ledger!$B$2:$B$4, $A1076, Ledger!$C$2:$C$4, N$2)),"****")</f>
        <v/>
      </c>
      <c r="O1076" t="str">
        <f>IFERROR(IF($C1076="","",SUMIFS(Ledger!$K$2:$K$4, Ledger!$B$2:$B$4, $A1076, Ledger!$C$2:$C$4, O$2)),"****")</f>
        <v/>
      </c>
      <c r="P1076" t="str">
        <f>IFERROR(IF($C1076="","",SUMIFS(Ledger!$K$2:$K$4, Ledger!$B$2:$B$4, $A1076, Ledger!$C$2:$C$4, P$2)),"****")</f>
        <v/>
      </c>
      <c r="Q1076" t="str">
        <f>IFERROR(IF($C1076="","",SUMIFS(Ledger!$K$2:$K$4, Ledger!$B$2:$B$4, $A1076, Ledger!$C$2:$C$4, Q$2)),"****")</f>
        <v/>
      </c>
      <c r="R1076" t="str">
        <f>IFERROR(IF($C1076="","",SUMIFS(Ledger!$K$2:$K$4, Ledger!$B$2:$B$4, $A1076, Ledger!$C$2:$C$4, R$2)),"****")</f>
        <v/>
      </c>
      <c r="S1076" t="str">
        <f>IFERROR(IF($C1076="","",SUMIFS(Ledger!$K$2:$K$4, Ledger!$B$2:$B$4, $A1076, Ledger!$C$2:$C$4, S$2)),"****")</f>
        <v/>
      </c>
      <c r="T1076" t="str">
        <f>IFERROR(IF($C1076="","",SUMIFS(Ledger!$K$2:$K$4, Ledger!$B$2:$B$4, $A1076, Ledger!$C$2:$C$4, T$2)),"****")</f>
        <v/>
      </c>
      <c r="U1076" t="str">
        <f>IFERROR(IF($C1076="","",SUMIFS(Ledger!$K$2:$K$4, Ledger!$B$2:$B$4, $A1076, Ledger!$C$2:$C$4, U$2)),"****")</f>
        <v/>
      </c>
      <c r="V1076" t="str">
        <f>IFERROR(IF($C1076="","",SUMIFS(Ledger!$K$2:$K$4, Ledger!$B$2:$B$4, $A1076, Ledger!$C$2:$C$4, V$2)),"****")</f>
        <v/>
      </c>
      <c r="W1076" t="str">
        <f>IFERROR(IF($C1076="","",SUMIFS(Ledger!$K$2:$K$4, Ledger!$B$2:$B$4, $A1076, Ledger!$C$2:$C$4, W$2)),"****")</f>
        <v/>
      </c>
      <c r="X1076" t="str">
        <f>IFERROR(IF($C1076="","",SUMIFS(Ledger!$K$2:$K$4, Ledger!$B$2:$B$4, $A1076, Ledger!$C$2:$C$4, X$2)),"****")</f>
        <v/>
      </c>
    </row>
    <row r="1077" spans="1:24" x14ac:dyDescent="0.3">
      <c r="A1077" s="106">
        <v>1075</v>
      </c>
      <c r="B1077" t="str">
        <f>IFERROR(VLOOKUP($A1077, Ledger!$B$2:$L$8, 3, 0),"")</f>
        <v/>
      </c>
      <c r="C1077" t="str">
        <f>IFERROR(VLOOKUP($A1077, Ledger!$B$2:$L$8, 4, 0),"")</f>
        <v/>
      </c>
      <c r="D1077" t="str">
        <f>IFERROR(VLOOKUP($A1077, Ledger!$B$2:$L$8, 5, 0),"")</f>
        <v/>
      </c>
      <c r="E1077" t="str">
        <f>IFERROR(VLOOKUP($A1077, Ledger!$B$2:$L$8, 6, 0),"")</f>
        <v/>
      </c>
      <c r="F1077" t="str">
        <f>IFERROR(VLOOKUP($A1077,'Student Data'!$A$2:$AR$6,32,0),"")</f>
        <v/>
      </c>
      <c r="G1077" t="str">
        <f>IFERROR(VLOOKUP($A1077,'Student Data'!$A$2:$AR$6,33,0),"")</f>
        <v/>
      </c>
      <c r="H1077" t="str">
        <f>IFERROR(VLOOKUP($A1077,'Student Data'!$A$2:$AR$6,34,0),"")</f>
        <v/>
      </c>
      <c r="I1077" t="str">
        <f>IFERROR(VLOOKUP($A1077,'Student Data'!$A$2:$AR$6,35,0),"")</f>
        <v/>
      </c>
      <c r="J1077" t="str">
        <f>IFERROR(VLOOKUP($A1077,'Student Data'!$A$2:$AR$6,36,0),"")</f>
        <v/>
      </c>
      <c r="K1077" t="str">
        <f t="shared" si="32"/>
        <v/>
      </c>
      <c r="L1077" t="str">
        <f t="shared" si="33"/>
        <v/>
      </c>
      <c r="M1077" t="str">
        <f>IFERROR(IF($C1077="","",SUMIFS(Ledger!$K$2:$K$4, Ledger!$B$2:$B$4, $A1077, Ledger!$C$2:$C$4, M$2)),"****")</f>
        <v/>
      </c>
      <c r="N1077" t="str">
        <f>IFERROR(IF($C1077="","",SUMIFS(Ledger!$K$2:$K$4, Ledger!$B$2:$B$4, $A1077, Ledger!$C$2:$C$4, N$2)),"****")</f>
        <v/>
      </c>
      <c r="O1077" t="str">
        <f>IFERROR(IF($C1077="","",SUMIFS(Ledger!$K$2:$K$4, Ledger!$B$2:$B$4, $A1077, Ledger!$C$2:$C$4, O$2)),"****")</f>
        <v/>
      </c>
      <c r="P1077" t="str">
        <f>IFERROR(IF($C1077="","",SUMIFS(Ledger!$K$2:$K$4, Ledger!$B$2:$B$4, $A1077, Ledger!$C$2:$C$4, P$2)),"****")</f>
        <v/>
      </c>
      <c r="Q1077" t="str">
        <f>IFERROR(IF($C1077="","",SUMIFS(Ledger!$K$2:$K$4, Ledger!$B$2:$B$4, $A1077, Ledger!$C$2:$C$4, Q$2)),"****")</f>
        <v/>
      </c>
      <c r="R1077" t="str">
        <f>IFERROR(IF($C1077="","",SUMIFS(Ledger!$K$2:$K$4, Ledger!$B$2:$B$4, $A1077, Ledger!$C$2:$C$4, R$2)),"****")</f>
        <v/>
      </c>
      <c r="S1077" t="str">
        <f>IFERROR(IF($C1077="","",SUMIFS(Ledger!$K$2:$K$4, Ledger!$B$2:$B$4, $A1077, Ledger!$C$2:$C$4, S$2)),"****")</f>
        <v/>
      </c>
      <c r="T1077" t="str">
        <f>IFERROR(IF($C1077="","",SUMIFS(Ledger!$K$2:$K$4, Ledger!$B$2:$B$4, $A1077, Ledger!$C$2:$C$4, T$2)),"****")</f>
        <v/>
      </c>
      <c r="U1077" t="str">
        <f>IFERROR(IF($C1077="","",SUMIFS(Ledger!$K$2:$K$4, Ledger!$B$2:$B$4, $A1077, Ledger!$C$2:$C$4, U$2)),"****")</f>
        <v/>
      </c>
      <c r="V1077" t="str">
        <f>IFERROR(IF($C1077="","",SUMIFS(Ledger!$K$2:$K$4, Ledger!$B$2:$B$4, $A1077, Ledger!$C$2:$C$4, V$2)),"****")</f>
        <v/>
      </c>
      <c r="W1077" t="str">
        <f>IFERROR(IF($C1077="","",SUMIFS(Ledger!$K$2:$K$4, Ledger!$B$2:$B$4, $A1077, Ledger!$C$2:$C$4, W$2)),"****")</f>
        <v/>
      </c>
      <c r="X1077" t="str">
        <f>IFERROR(IF($C1077="","",SUMIFS(Ledger!$K$2:$K$4, Ledger!$B$2:$B$4, $A1077, Ledger!$C$2:$C$4, X$2)),"****")</f>
        <v/>
      </c>
    </row>
    <row r="1078" spans="1:24" x14ac:dyDescent="0.3">
      <c r="A1078" s="106">
        <v>1076</v>
      </c>
      <c r="B1078" t="str">
        <f>IFERROR(VLOOKUP($A1078, Ledger!$B$2:$L$8, 3, 0),"")</f>
        <v/>
      </c>
      <c r="C1078" t="str">
        <f>IFERROR(VLOOKUP($A1078, Ledger!$B$2:$L$8, 4, 0),"")</f>
        <v/>
      </c>
      <c r="D1078" t="str">
        <f>IFERROR(VLOOKUP($A1078, Ledger!$B$2:$L$8, 5, 0),"")</f>
        <v/>
      </c>
      <c r="E1078" t="str">
        <f>IFERROR(VLOOKUP($A1078, Ledger!$B$2:$L$8, 6, 0),"")</f>
        <v/>
      </c>
      <c r="F1078" t="str">
        <f>IFERROR(VLOOKUP($A1078,'Student Data'!$A$2:$AR$6,32,0),"")</f>
        <v/>
      </c>
      <c r="G1078" t="str">
        <f>IFERROR(VLOOKUP($A1078,'Student Data'!$A$2:$AR$6,33,0),"")</f>
        <v/>
      </c>
      <c r="H1078" t="str">
        <f>IFERROR(VLOOKUP($A1078,'Student Data'!$A$2:$AR$6,34,0),"")</f>
        <v/>
      </c>
      <c r="I1078" t="str">
        <f>IFERROR(VLOOKUP($A1078,'Student Data'!$A$2:$AR$6,35,0),"")</f>
        <v/>
      </c>
      <c r="J1078" t="str">
        <f>IFERROR(VLOOKUP($A1078,'Student Data'!$A$2:$AR$6,36,0),"")</f>
        <v/>
      </c>
      <c r="K1078" t="str">
        <f t="shared" si="32"/>
        <v/>
      </c>
      <c r="L1078" t="str">
        <f t="shared" si="33"/>
        <v/>
      </c>
      <c r="M1078" t="str">
        <f>IFERROR(IF($C1078="","",SUMIFS(Ledger!$K$2:$K$4, Ledger!$B$2:$B$4, $A1078, Ledger!$C$2:$C$4, M$2)),"****")</f>
        <v/>
      </c>
      <c r="N1078" t="str">
        <f>IFERROR(IF($C1078="","",SUMIFS(Ledger!$K$2:$K$4, Ledger!$B$2:$B$4, $A1078, Ledger!$C$2:$C$4, N$2)),"****")</f>
        <v/>
      </c>
      <c r="O1078" t="str">
        <f>IFERROR(IF($C1078="","",SUMIFS(Ledger!$K$2:$K$4, Ledger!$B$2:$B$4, $A1078, Ledger!$C$2:$C$4, O$2)),"****")</f>
        <v/>
      </c>
      <c r="P1078" t="str">
        <f>IFERROR(IF($C1078="","",SUMIFS(Ledger!$K$2:$K$4, Ledger!$B$2:$B$4, $A1078, Ledger!$C$2:$C$4, P$2)),"****")</f>
        <v/>
      </c>
      <c r="Q1078" t="str">
        <f>IFERROR(IF($C1078="","",SUMIFS(Ledger!$K$2:$K$4, Ledger!$B$2:$B$4, $A1078, Ledger!$C$2:$C$4, Q$2)),"****")</f>
        <v/>
      </c>
      <c r="R1078" t="str">
        <f>IFERROR(IF($C1078="","",SUMIFS(Ledger!$K$2:$K$4, Ledger!$B$2:$B$4, $A1078, Ledger!$C$2:$C$4, R$2)),"****")</f>
        <v/>
      </c>
      <c r="S1078" t="str">
        <f>IFERROR(IF($C1078="","",SUMIFS(Ledger!$K$2:$K$4, Ledger!$B$2:$B$4, $A1078, Ledger!$C$2:$C$4, S$2)),"****")</f>
        <v/>
      </c>
      <c r="T1078" t="str">
        <f>IFERROR(IF($C1078="","",SUMIFS(Ledger!$K$2:$K$4, Ledger!$B$2:$B$4, $A1078, Ledger!$C$2:$C$4, T$2)),"****")</f>
        <v/>
      </c>
      <c r="U1078" t="str">
        <f>IFERROR(IF($C1078="","",SUMIFS(Ledger!$K$2:$K$4, Ledger!$B$2:$B$4, $A1078, Ledger!$C$2:$C$4, U$2)),"****")</f>
        <v/>
      </c>
      <c r="V1078" t="str">
        <f>IFERROR(IF($C1078="","",SUMIFS(Ledger!$K$2:$K$4, Ledger!$B$2:$B$4, $A1078, Ledger!$C$2:$C$4, V$2)),"****")</f>
        <v/>
      </c>
      <c r="W1078" t="str">
        <f>IFERROR(IF($C1078="","",SUMIFS(Ledger!$K$2:$K$4, Ledger!$B$2:$B$4, $A1078, Ledger!$C$2:$C$4, W$2)),"****")</f>
        <v/>
      </c>
      <c r="X1078" t="str">
        <f>IFERROR(IF($C1078="","",SUMIFS(Ledger!$K$2:$K$4, Ledger!$B$2:$B$4, $A1078, Ledger!$C$2:$C$4, X$2)),"****")</f>
        <v/>
      </c>
    </row>
    <row r="1079" spans="1:24" x14ac:dyDescent="0.3">
      <c r="A1079" s="106">
        <v>1077</v>
      </c>
      <c r="B1079" t="str">
        <f>IFERROR(VLOOKUP($A1079, Ledger!$B$2:$L$8, 3, 0),"")</f>
        <v/>
      </c>
      <c r="C1079" t="str">
        <f>IFERROR(VLOOKUP($A1079, Ledger!$B$2:$L$8, 4, 0),"")</f>
        <v/>
      </c>
      <c r="D1079" t="str">
        <f>IFERROR(VLOOKUP($A1079, Ledger!$B$2:$L$8, 5, 0),"")</f>
        <v/>
      </c>
      <c r="E1079" t="str">
        <f>IFERROR(VLOOKUP($A1079, Ledger!$B$2:$L$8, 6, 0),"")</f>
        <v/>
      </c>
      <c r="F1079" t="str">
        <f>IFERROR(VLOOKUP($A1079,'Student Data'!$A$2:$AR$6,32,0),"")</f>
        <v/>
      </c>
      <c r="G1079" t="str">
        <f>IFERROR(VLOOKUP($A1079,'Student Data'!$A$2:$AR$6,33,0),"")</f>
        <v/>
      </c>
      <c r="H1079" t="str">
        <f>IFERROR(VLOOKUP($A1079,'Student Data'!$A$2:$AR$6,34,0),"")</f>
        <v/>
      </c>
      <c r="I1079" t="str">
        <f>IFERROR(VLOOKUP($A1079,'Student Data'!$A$2:$AR$6,35,0),"")</f>
        <v/>
      </c>
      <c r="J1079" t="str">
        <f>IFERROR(VLOOKUP($A1079,'Student Data'!$A$2:$AR$6,36,0),"")</f>
        <v/>
      </c>
      <c r="K1079" t="str">
        <f t="shared" si="32"/>
        <v/>
      </c>
      <c r="L1079" t="str">
        <f t="shared" si="33"/>
        <v/>
      </c>
      <c r="M1079" t="str">
        <f>IFERROR(IF($C1079="","",SUMIFS(Ledger!$K$2:$K$4, Ledger!$B$2:$B$4, $A1079, Ledger!$C$2:$C$4, M$2)),"****")</f>
        <v/>
      </c>
      <c r="N1079" t="str">
        <f>IFERROR(IF($C1079="","",SUMIFS(Ledger!$K$2:$K$4, Ledger!$B$2:$B$4, $A1079, Ledger!$C$2:$C$4, N$2)),"****")</f>
        <v/>
      </c>
      <c r="O1079" t="str">
        <f>IFERROR(IF($C1079="","",SUMIFS(Ledger!$K$2:$K$4, Ledger!$B$2:$B$4, $A1079, Ledger!$C$2:$C$4, O$2)),"****")</f>
        <v/>
      </c>
      <c r="P1079" t="str">
        <f>IFERROR(IF($C1079="","",SUMIFS(Ledger!$K$2:$K$4, Ledger!$B$2:$B$4, $A1079, Ledger!$C$2:$C$4, P$2)),"****")</f>
        <v/>
      </c>
      <c r="Q1079" t="str">
        <f>IFERROR(IF($C1079="","",SUMIFS(Ledger!$K$2:$K$4, Ledger!$B$2:$B$4, $A1079, Ledger!$C$2:$C$4, Q$2)),"****")</f>
        <v/>
      </c>
      <c r="R1079" t="str">
        <f>IFERROR(IF($C1079="","",SUMIFS(Ledger!$K$2:$K$4, Ledger!$B$2:$B$4, $A1079, Ledger!$C$2:$C$4, R$2)),"****")</f>
        <v/>
      </c>
      <c r="S1079" t="str">
        <f>IFERROR(IF($C1079="","",SUMIFS(Ledger!$K$2:$K$4, Ledger!$B$2:$B$4, $A1079, Ledger!$C$2:$C$4, S$2)),"****")</f>
        <v/>
      </c>
      <c r="T1079" t="str">
        <f>IFERROR(IF($C1079="","",SUMIFS(Ledger!$K$2:$K$4, Ledger!$B$2:$B$4, $A1079, Ledger!$C$2:$C$4, T$2)),"****")</f>
        <v/>
      </c>
      <c r="U1079" t="str">
        <f>IFERROR(IF($C1079="","",SUMIFS(Ledger!$K$2:$K$4, Ledger!$B$2:$B$4, $A1079, Ledger!$C$2:$C$4, U$2)),"****")</f>
        <v/>
      </c>
      <c r="V1079" t="str">
        <f>IFERROR(IF($C1079="","",SUMIFS(Ledger!$K$2:$K$4, Ledger!$B$2:$B$4, $A1079, Ledger!$C$2:$C$4, V$2)),"****")</f>
        <v/>
      </c>
      <c r="W1079" t="str">
        <f>IFERROR(IF($C1079="","",SUMIFS(Ledger!$K$2:$K$4, Ledger!$B$2:$B$4, $A1079, Ledger!$C$2:$C$4, W$2)),"****")</f>
        <v/>
      </c>
      <c r="X1079" t="str">
        <f>IFERROR(IF($C1079="","",SUMIFS(Ledger!$K$2:$K$4, Ledger!$B$2:$B$4, $A1079, Ledger!$C$2:$C$4, X$2)),"****")</f>
        <v/>
      </c>
    </row>
    <row r="1080" spans="1:24" x14ac:dyDescent="0.3">
      <c r="A1080" s="106">
        <v>1078</v>
      </c>
      <c r="B1080" t="str">
        <f>IFERROR(VLOOKUP($A1080, Ledger!$B$2:$L$8, 3, 0),"")</f>
        <v/>
      </c>
      <c r="C1080" t="str">
        <f>IFERROR(VLOOKUP($A1080, Ledger!$B$2:$L$8, 4, 0),"")</f>
        <v/>
      </c>
      <c r="D1080" t="str">
        <f>IFERROR(VLOOKUP($A1080, Ledger!$B$2:$L$8, 5, 0),"")</f>
        <v/>
      </c>
      <c r="E1080" t="str">
        <f>IFERROR(VLOOKUP($A1080, Ledger!$B$2:$L$8, 6, 0),"")</f>
        <v/>
      </c>
      <c r="F1080" t="str">
        <f>IFERROR(VLOOKUP($A1080,'Student Data'!$A$2:$AR$6,32,0),"")</f>
        <v/>
      </c>
      <c r="G1080" t="str">
        <f>IFERROR(VLOOKUP($A1080,'Student Data'!$A$2:$AR$6,33,0),"")</f>
        <v/>
      </c>
      <c r="H1080" t="str">
        <f>IFERROR(VLOOKUP($A1080,'Student Data'!$A$2:$AR$6,34,0),"")</f>
        <v/>
      </c>
      <c r="I1080" t="str">
        <f>IFERROR(VLOOKUP($A1080,'Student Data'!$A$2:$AR$6,35,0),"")</f>
        <v/>
      </c>
      <c r="J1080" t="str">
        <f>IFERROR(VLOOKUP($A1080,'Student Data'!$A$2:$AR$6,36,0),"")</f>
        <v/>
      </c>
      <c r="K1080" t="str">
        <f t="shared" si="32"/>
        <v/>
      </c>
      <c r="L1080" t="str">
        <f t="shared" si="33"/>
        <v/>
      </c>
      <c r="M1080" t="str">
        <f>IFERROR(IF($C1080="","",SUMIFS(Ledger!$K$2:$K$4, Ledger!$B$2:$B$4, $A1080, Ledger!$C$2:$C$4, M$2)),"****")</f>
        <v/>
      </c>
      <c r="N1080" t="str">
        <f>IFERROR(IF($C1080="","",SUMIFS(Ledger!$K$2:$K$4, Ledger!$B$2:$B$4, $A1080, Ledger!$C$2:$C$4, N$2)),"****")</f>
        <v/>
      </c>
      <c r="O1080" t="str">
        <f>IFERROR(IF($C1080="","",SUMIFS(Ledger!$K$2:$K$4, Ledger!$B$2:$B$4, $A1080, Ledger!$C$2:$C$4, O$2)),"****")</f>
        <v/>
      </c>
      <c r="P1080" t="str">
        <f>IFERROR(IF($C1080="","",SUMIFS(Ledger!$K$2:$K$4, Ledger!$B$2:$B$4, $A1080, Ledger!$C$2:$C$4, P$2)),"****")</f>
        <v/>
      </c>
      <c r="Q1080" t="str">
        <f>IFERROR(IF($C1080="","",SUMIFS(Ledger!$K$2:$K$4, Ledger!$B$2:$B$4, $A1080, Ledger!$C$2:$C$4, Q$2)),"****")</f>
        <v/>
      </c>
      <c r="R1080" t="str">
        <f>IFERROR(IF($C1080="","",SUMIFS(Ledger!$K$2:$K$4, Ledger!$B$2:$B$4, $A1080, Ledger!$C$2:$C$4, R$2)),"****")</f>
        <v/>
      </c>
      <c r="S1080" t="str">
        <f>IFERROR(IF($C1080="","",SUMIFS(Ledger!$K$2:$K$4, Ledger!$B$2:$B$4, $A1080, Ledger!$C$2:$C$4, S$2)),"****")</f>
        <v/>
      </c>
      <c r="T1080" t="str">
        <f>IFERROR(IF($C1080="","",SUMIFS(Ledger!$K$2:$K$4, Ledger!$B$2:$B$4, $A1080, Ledger!$C$2:$C$4, T$2)),"****")</f>
        <v/>
      </c>
      <c r="U1080" t="str">
        <f>IFERROR(IF($C1080="","",SUMIFS(Ledger!$K$2:$K$4, Ledger!$B$2:$B$4, $A1080, Ledger!$C$2:$C$4, U$2)),"****")</f>
        <v/>
      </c>
      <c r="V1080" t="str">
        <f>IFERROR(IF($C1080="","",SUMIFS(Ledger!$K$2:$K$4, Ledger!$B$2:$B$4, $A1080, Ledger!$C$2:$C$4, V$2)),"****")</f>
        <v/>
      </c>
      <c r="W1080" t="str">
        <f>IFERROR(IF($C1080="","",SUMIFS(Ledger!$K$2:$K$4, Ledger!$B$2:$B$4, $A1080, Ledger!$C$2:$C$4, W$2)),"****")</f>
        <v/>
      </c>
      <c r="X1080" t="str">
        <f>IFERROR(IF($C1080="","",SUMIFS(Ledger!$K$2:$K$4, Ledger!$B$2:$B$4, $A1080, Ledger!$C$2:$C$4, X$2)),"****")</f>
        <v/>
      </c>
    </row>
    <row r="1081" spans="1:24" x14ac:dyDescent="0.3">
      <c r="A1081" s="106">
        <v>1079</v>
      </c>
      <c r="B1081" t="str">
        <f>IFERROR(VLOOKUP($A1081, Ledger!$B$2:$L$8, 3, 0),"")</f>
        <v/>
      </c>
      <c r="C1081" t="str">
        <f>IFERROR(VLOOKUP($A1081, Ledger!$B$2:$L$8, 4, 0),"")</f>
        <v/>
      </c>
      <c r="D1081" t="str">
        <f>IFERROR(VLOOKUP($A1081, Ledger!$B$2:$L$8, 5, 0),"")</f>
        <v/>
      </c>
      <c r="E1081" t="str">
        <f>IFERROR(VLOOKUP($A1081, Ledger!$B$2:$L$8, 6, 0),"")</f>
        <v/>
      </c>
      <c r="F1081" t="str">
        <f>IFERROR(VLOOKUP($A1081,'Student Data'!$A$2:$AR$6,32,0),"")</f>
        <v/>
      </c>
      <c r="G1081" t="str">
        <f>IFERROR(VLOOKUP($A1081,'Student Data'!$A$2:$AR$6,33,0),"")</f>
        <v/>
      </c>
      <c r="H1081" t="str">
        <f>IFERROR(VLOOKUP($A1081,'Student Data'!$A$2:$AR$6,34,0),"")</f>
        <v/>
      </c>
      <c r="I1081" t="str">
        <f>IFERROR(VLOOKUP($A1081,'Student Data'!$A$2:$AR$6,35,0),"")</f>
        <v/>
      </c>
      <c r="J1081" t="str">
        <f>IFERROR(VLOOKUP($A1081,'Student Data'!$A$2:$AR$6,36,0),"")</f>
        <v/>
      </c>
      <c r="K1081" t="str">
        <f t="shared" si="32"/>
        <v/>
      </c>
      <c r="L1081" t="str">
        <f t="shared" si="33"/>
        <v/>
      </c>
      <c r="M1081" t="str">
        <f>IFERROR(IF($C1081="","",SUMIFS(Ledger!$K$2:$K$4, Ledger!$B$2:$B$4, $A1081, Ledger!$C$2:$C$4, M$2)),"****")</f>
        <v/>
      </c>
      <c r="N1081" t="str">
        <f>IFERROR(IF($C1081="","",SUMIFS(Ledger!$K$2:$K$4, Ledger!$B$2:$B$4, $A1081, Ledger!$C$2:$C$4, N$2)),"****")</f>
        <v/>
      </c>
      <c r="O1081" t="str">
        <f>IFERROR(IF($C1081="","",SUMIFS(Ledger!$K$2:$K$4, Ledger!$B$2:$B$4, $A1081, Ledger!$C$2:$C$4, O$2)),"****")</f>
        <v/>
      </c>
      <c r="P1081" t="str">
        <f>IFERROR(IF($C1081="","",SUMIFS(Ledger!$K$2:$K$4, Ledger!$B$2:$B$4, $A1081, Ledger!$C$2:$C$4, P$2)),"****")</f>
        <v/>
      </c>
      <c r="Q1081" t="str">
        <f>IFERROR(IF($C1081="","",SUMIFS(Ledger!$K$2:$K$4, Ledger!$B$2:$B$4, $A1081, Ledger!$C$2:$C$4, Q$2)),"****")</f>
        <v/>
      </c>
      <c r="R1081" t="str">
        <f>IFERROR(IF($C1081="","",SUMIFS(Ledger!$K$2:$K$4, Ledger!$B$2:$B$4, $A1081, Ledger!$C$2:$C$4, R$2)),"****")</f>
        <v/>
      </c>
      <c r="S1081" t="str">
        <f>IFERROR(IF($C1081="","",SUMIFS(Ledger!$K$2:$K$4, Ledger!$B$2:$B$4, $A1081, Ledger!$C$2:$C$4, S$2)),"****")</f>
        <v/>
      </c>
      <c r="T1081" t="str">
        <f>IFERROR(IF($C1081="","",SUMIFS(Ledger!$K$2:$K$4, Ledger!$B$2:$B$4, $A1081, Ledger!$C$2:$C$4, T$2)),"****")</f>
        <v/>
      </c>
      <c r="U1081" t="str">
        <f>IFERROR(IF($C1081="","",SUMIFS(Ledger!$K$2:$K$4, Ledger!$B$2:$B$4, $A1081, Ledger!$C$2:$C$4, U$2)),"****")</f>
        <v/>
      </c>
      <c r="V1081" t="str">
        <f>IFERROR(IF($C1081="","",SUMIFS(Ledger!$K$2:$K$4, Ledger!$B$2:$B$4, $A1081, Ledger!$C$2:$C$4, V$2)),"****")</f>
        <v/>
      </c>
      <c r="W1081" t="str">
        <f>IFERROR(IF($C1081="","",SUMIFS(Ledger!$K$2:$K$4, Ledger!$B$2:$B$4, $A1081, Ledger!$C$2:$C$4, W$2)),"****")</f>
        <v/>
      </c>
      <c r="X1081" t="str">
        <f>IFERROR(IF($C1081="","",SUMIFS(Ledger!$K$2:$K$4, Ledger!$B$2:$B$4, $A1081, Ledger!$C$2:$C$4, X$2)),"****")</f>
        <v/>
      </c>
    </row>
    <row r="1082" spans="1:24" x14ac:dyDescent="0.3">
      <c r="A1082" s="106">
        <v>1080</v>
      </c>
      <c r="B1082" t="str">
        <f>IFERROR(VLOOKUP($A1082, Ledger!$B$2:$L$8, 3, 0),"")</f>
        <v/>
      </c>
      <c r="C1082" t="str">
        <f>IFERROR(VLOOKUP($A1082, Ledger!$B$2:$L$8, 4, 0),"")</f>
        <v/>
      </c>
      <c r="D1082" t="str">
        <f>IFERROR(VLOOKUP($A1082, Ledger!$B$2:$L$8, 5, 0),"")</f>
        <v/>
      </c>
      <c r="E1082" t="str">
        <f>IFERROR(VLOOKUP($A1082, Ledger!$B$2:$L$8, 6, 0),"")</f>
        <v/>
      </c>
      <c r="F1082" t="str">
        <f>IFERROR(VLOOKUP($A1082,'Student Data'!$A$2:$AR$6,32,0),"")</f>
        <v/>
      </c>
      <c r="G1082" t="str">
        <f>IFERROR(VLOOKUP($A1082,'Student Data'!$A$2:$AR$6,33,0),"")</f>
        <v/>
      </c>
      <c r="H1082" t="str">
        <f>IFERROR(VLOOKUP($A1082,'Student Data'!$A$2:$AR$6,34,0),"")</f>
        <v/>
      </c>
      <c r="I1082" t="str">
        <f>IFERROR(VLOOKUP($A1082,'Student Data'!$A$2:$AR$6,35,0),"")</f>
        <v/>
      </c>
      <c r="J1082" t="str">
        <f>IFERROR(VLOOKUP($A1082,'Student Data'!$A$2:$AR$6,36,0),"")</f>
        <v/>
      </c>
      <c r="K1082" t="str">
        <f t="shared" si="32"/>
        <v/>
      </c>
      <c r="L1082" t="str">
        <f t="shared" si="33"/>
        <v/>
      </c>
      <c r="M1082" t="str">
        <f>IFERROR(IF($C1082="","",SUMIFS(Ledger!$K$2:$K$4, Ledger!$B$2:$B$4, $A1082, Ledger!$C$2:$C$4, M$2)),"****")</f>
        <v/>
      </c>
      <c r="N1082" t="str">
        <f>IFERROR(IF($C1082="","",SUMIFS(Ledger!$K$2:$K$4, Ledger!$B$2:$B$4, $A1082, Ledger!$C$2:$C$4, N$2)),"****")</f>
        <v/>
      </c>
      <c r="O1082" t="str">
        <f>IFERROR(IF($C1082="","",SUMIFS(Ledger!$K$2:$K$4, Ledger!$B$2:$B$4, $A1082, Ledger!$C$2:$C$4, O$2)),"****")</f>
        <v/>
      </c>
      <c r="P1082" t="str">
        <f>IFERROR(IF($C1082="","",SUMIFS(Ledger!$K$2:$K$4, Ledger!$B$2:$B$4, $A1082, Ledger!$C$2:$C$4, P$2)),"****")</f>
        <v/>
      </c>
      <c r="Q1082" t="str">
        <f>IFERROR(IF($C1082="","",SUMIFS(Ledger!$K$2:$K$4, Ledger!$B$2:$B$4, $A1082, Ledger!$C$2:$C$4, Q$2)),"****")</f>
        <v/>
      </c>
      <c r="R1082" t="str">
        <f>IFERROR(IF($C1082="","",SUMIFS(Ledger!$K$2:$K$4, Ledger!$B$2:$B$4, $A1082, Ledger!$C$2:$C$4, R$2)),"****")</f>
        <v/>
      </c>
      <c r="S1082" t="str">
        <f>IFERROR(IF($C1082="","",SUMIFS(Ledger!$K$2:$K$4, Ledger!$B$2:$B$4, $A1082, Ledger!$C$2:$C$4, S$2)),"****")</f>
        <v/>
      </c>
      <c r="T1082" t="str">
        <f>IFERROR(IF($C1082="","",SUMIFS(Ledger!$K$2:$K$4, Ledger!$B$2:$B$4, $A1082, Ledger!$C$2:$C$4, T$2)),"****")</f>
        <v/>
      </c>
      <c r="U1082" t="str">
        <f>IFERROR(IF($C1082="","",SUMIFS(Ledger!$K$2:$K$4, Ledger!$B$2:$B$4, $A1082, Ledger!$C$2:$C$4, U$2)),"****")</f>
        <v/>
      </c>
      <c r="V1082" t="str">
        <f>IFERROR(IF($C1082="","",SUMIFS(Ledger!$K$2:$K$4, Ledger!$B$2:$B$4, $A1082, Ledger!$C$2:$C$4, V$2)),"****")</f>
        <v/>
      </c>
      <c r="W1082" t="str">
        <f>IFERROR(IF($C1082="","",SUMIFS(Ledger!$K$2:$K$4, Ledger!$B$2:$B$4, $A1082, Ledger!$C$2:$C$4, W$2)),"****")</f>
        <v/>
      </c>
      <c r="X1082" t="str">
        <f>IFERROR(IF($C1082="","",SUMIFS(Ledger!$K$2:$K$4, Ledger!$B$2:$B$4, $A1082, Ledger!$C$2:$C$4, X$2)),"****")</f>
        <v/>
      </c>
    </row>
    <row r="1083" spans="1:24" x14ac:dyDescent="0.3">
      <c r="A1083" s="106">
        <v>1081</v>
      </c>
      <c r="B1083" t="str">
        <f>IFERROR(VLOOKUP($A1083, Ledger!$B$2:$L$8, 3, 0),"")</f>
        <v/>
      </c>
      <c r="C1083" t="str">
        <f>IFERROR(VLOOKUP($A1083, Ledger!$B$2:$L$8, 4, 0),"")</f>
        <v/>
      </c>
      <c r="D1083" t="str">
        <f>IFERROR(VLOOKUP($A1083, Ledger!$B$2:$L$8, 5, 0),"")</f>
        <v/>
      </c>
      <c r="E1083" t="str">
        <f>IFERROR(VLOOKUP($A1083, Ledger!$B$2:$L$8, 6, 0),"")</f>
        <v/>
      </c>
      <c r="F1083" t="str">
        <f>IFERROR(VLOOKUP($A1083,'Student Data'!$A$2:$AR$6,32,0),"")</f>
        <v/>
      </c>
      <c r="G1083" t="str">
        <f>IFERROR(VLOOKUP($A1083,'Student Data'!$A$2:$AR$6,33,0),"")</f>
        <v/>
      </c>
      <c r="H1083" t="str">
        <f>IFERROR(VLOOKUP($A1083,'Student Data'!$A$2:$AR$6,34,0),"")</f>
        <v/>
      </c>
      <c r="I1083" t="str">
        <f>IFERROR(VLOOKUP($A1083,'Student Data'!$A$2:$AR$6,35,0),"")</f>
        <v/>
      </c>
      <c r="J1083" t="str">
        <f>IFERROR(VLOOKUP($A1083,'Student Data'!$A$2:$AR$6,36,0),"")</f>
        <v/>
      </c>
      <c r="K1083" t="str">
        <f t="shared" si="32"/>
        <v/>
      </c>
      <c r="L1083" t="str">
        <f t="shared" si="33"/>
        <v/>
      </c>
      <c r="M1083" t="str">
        <f>IFERROR(IF($C1083="","",SUMIFS(Ledger!$K$2:$K$4, Ledger!$B$2:$B$4, $A1083, Ledger!$C$2:$C$4, M$2)),"****")</f>
        <v/>
      </c>
      <c r="N1083" t="str">
        <f>IFERROR(IF($C1083="","",SUMIFS(Ledger!$K$2:$K$4, Ledger!$B$2:$B$4, $A1083, Ledger!$C$2:$C$4, N$2)),"****")</f>
        <v/>
      </c>
      <c r="O1083" t="str">
        <f>IFERROR(IF($C1083="","",SUMIFS(Ledger!$K$2:$K$4, Ledger!$B$2:$B$4, $A1083, Ledger!$C$2:$C$4, O$2)),"****")</f>
        <v/>
      </c>
      <c r="P1083" t="str">
        <f>IFERROR(IF($C1083="","",SUMIFS(Ledger!$K$2:$K$4, Ledger!$B$2:$B$4, $A1083, Ledger!$C$2:$C$4, P$2)),"****")</f>
        <v/>
      </c>
      <c r="Q1083" t="str">
        <f>IFERROR(IF($C1083="","",SUMIFS(Ledger!$K$2:$K$4, Ledger!$B$2:$B$4, $A1083, Ledger!$C$2:$C$4, Q$2)),"****")</f>
        <v/>
      </c>
      <c r="R1083" t="str">
        <f>IFERROR(IF($C1083="","",SUMIFS(Ledger!$K$2:$K$4, Ledger!$B$2:$B$4, $A1083, Ledger!$C$2:$C$4, R$2)),"****")</f>
        <v/>
      </c>
      <c r="S1083" t="str">
        <f>IFERROR(IF($C1083="","",SUMIFS(Ledger!$K$2:$K$4, Ledger!$B$2:$B$4, $A1083, Ledger!$C$2:$C$4, S$2)),"****")</f>
        <v/>
      </c>
      <c r="T1083" t="str">
        <f>IFERROR(IF($C1083="","",SUMIFS(Ledger!$K$2:$K$4, Ledger!$B$2:$B$4, $A1083, Ledger!$C$2:$C$4, T$2)),"****")</f>
        <v/>
      </c>
      <c r="U1083" t="str">
        <f>IFERROR(IF($C1083="","",SUMIFS(Ledger!$K$2:$K$4, Ledger!$B$2:$B$4, $A1083, Ledger!$C$2:$C$4, U$2)),"****")</f>
        <v/>
      </c>
      <c r="V1083" t="str">
        <f>IFERROR(IF($C1083="","",SUMIFS(Ledger!$K$2:$K$4, Ledger!$B$2:$B$4, $A1083, Ledger!$C$2:$C$4, V$2)),"****")</f>
        <v/>
      </c>
      <c r="W1083" t="str">
        <f>IFERROR(IF($C1083="","",SUMIFS(Ledger!$K$2:$K$4, Ledger!$B$2:$B$4, $A1083, Ledger!$C$2:$C$4, W$2)),"****")</f>
        <v/>
      </c>
      <c r="X1083" t="str">
        <f>IFERROR(IF($C1083="","",SUMIFS(Ledger!$K$2:$K$4, Ledger!$B$2:$B$4, $A1083, Ledger!$C$2:$C$4, X$2)),"****")</f>
        <v/>
      </c>
    </row>
    <row r="1084" spans="1:24" x14ac:dyDescent="0.3">
      <c r="A1084" s="106">
        <v>1082</v>
      </c>
      <c r="B1084" t="str">
        <f>IFERROR(VLOOKUP($A1084, Ledger!$B$2:$L$8, 3, 0),"")</f>
        <v/>
      </c>
      <c r="C1084" t="str">
        <f>IFERROR(VLOOKUP($A1084, Ledger!$B$2:$L$8, 4, 0),"")</f>
        <v/>
      </c>
      <c r="D1084" t="str">
        <f>IFERROR(VLOOKUP($A1084, Ledger!$B$2:$L$8, 5, 0),"")</f>
        <v/>
      </c>
      <c r="E1084" t="str">
        <f>IFERROR(VLOOKUP($A1084, Ledger!$B$2:$L$8, 6, 0),"")</f>
        <v/>
      </c>
      <c r="F1084" t="str">
        <f>IFERROR(VLOOKUP($A1084,'Student Data'!$A$2:$AR$6,32,0),"")</f>
        <v/>
      </c>
      <c r="G1084" t="str">
        <f>IFERROR(VLOOKUP($A1084,'Student Data'!$A$2:$AR$6,33,0),"")</f>
        <v/>
      </c>
      <c r="H1084" t="str">
        <f>IFERROR(VLOOKUP($A1084,'Student Data'!$A$2:$AR$6,34,0),"")</f>
        <v/>
      </c>
      <c r="I1084" t="str">
        <f>IFERROR(VLOOKUP($A1084,'Student Data'!$A$2:$AR$6,35,0),"")</f>
        <v/>
      </c>
      <c r="J1084" t="str">
        <f>IFERROR(VLOOKUP($A1084,'Student Data'!$A$2:$AR$6,36,0),"")</f>
        <v/>
      </c>
      <c r="K1084" t="str">
        <f t="shared" si="32"/>
        <v/>
      </c>
      <c r="L1084" t="str">
        <f t="shared" si="33"/>
        <v/>
      </c>
      <c r="M1084" t="str">
        <f>IFERROR(IF($C1084="","",SUMIFS(Ledger!$K$2:$K$4, Ledger!$B$2:$B$4, $A1084, Ledger!$C$2:$C$4, M$2)),"****")</f>
        <v/>
      </c>
      <c r="N1084" t="str">
        <f>IFERROR(IF($C1084="","",SUMIFS(Ledger!$K$2:$K$4, Ledger!$B$2:$B$4, $A1084, Ledger!$C$2:$C$4, N$2)),"****")</f>
        <v/>
      </c>
      <c r="O1084" t="str">
        <f>IFERROR(IF($C1084="","",SUMIFS(Ledger!$K$2:$K$4, Ledger!$B$2:$B$4, $A1084, Ledger!$C$2:$C$4, O$2)),"****")</f>
        <v/>
      </c>
      <c r="P1084" t="str">
        <f>IFERROR(IF($C1084="","",SUMIFS(Ledger!$K$2:$K$4, Ledger!$B$2:$B$4, $A1084, Ledger!$C$2:$C$4, P$2)),"****")</f>
        <v/>
      </c>
      <c r="Q1084" t="str">
        <f>IFERROR(IF($C1084="","",SUMIFS(Ledger!$K$2:$K$4, Ledger!$B$2:$B$4, $A1084, Ledger!$C$2:$C$4, Q$2)),"****")</f>
        <v/>
      </c>
      <c r="R1084" t="str">
        <f>IFERROR(IF($C1084="","",SUMIFS(Ledger!$K$2:$K$4, Ledger!$B$2:$B$4, $A1084, Ledger!$C$2:$C$4, R$2)),"****")</f>
        <v/>
      </c>
      <c r="S1084" t="str">
        <f>IFERROR(IF($C1084="","",SUMIFS(Ledger!$K$2:$K$4, Ledger!$B$2:$B$4, $A1084, Ledger!$C$2:$C$4, S$2)),"****")</f>
        <v/>
      </c>
      <c r="T1084" t="str">
        <f>IFERROR(IF($C1084="","",SUMIFS(Ledger!$K$2:$K$4, Ledger!$B$2:$B$4, $A1084, Ledger!$C$2:$C$4, T$2)),"****")</f>
        <v/>
      </c>
      <c r="U1084" t="str">
        <f>IFERROR(IF($C1084="","",SUMIFS(Ledger!$K$2:$K$4, Ledger!$B$2:$B$4, $A1084, Ledger!$C$2:$C$4, U$2)),"****")</f>
        <v/>
      </c>
      <c r="V1084" t="str">
        <f>IFERROR(IF($C1084="","",SUMIFS(Ledger!$K$2:$K$4, Ledger!$B$2:$B$4, $A1084, Ledger!$C$2:$C$4, V$2)),"****")</f>
        <v/>
      </c>
      <c r="W1084" t="str">
        <f>IFERROR(IF($C1084="","",SUMIFS(Ledger!$K$2:$K$4, Ledger!$B$2:$B$4, $A1084, Ledger!$C$2:$C$4, W$2)),"****")</f>
        <v/>
      </c>
      <c r="X1084" t="str">
        <f>IFERROR(IF($C1084="","",SUMIFS(Ledger!$K$2:$K$4, Ledger!$B$2:$B$4, $A1084, Ledger!$C$2:$C$4, X$2)),"****")</f>
        <v/>
      </c>
    </row>
    <row r="1085" spans="1:24" x14ac:dyDescent="0.3">
      <c r="A1085" s="106">
        <v>1083</v>
      </c>
      <c r="B1085" t="str">
        <f>IFERROR(VLOOKUP($A1085, Ledger!$B$2:$L$8, 3, 0),"")</f>
        <v/>
      </c>
      <c r="C1085" t="str">
        <f>IFERROR(VLOOKUP($A1085, Ledger!$B$2:$L$8, 4, 0),"")</f>
        <v/>
      </c>
      <c r="D1085" t="str">
        <f>IFERROR(VLOOKUP($A1085, Ledger!$B$2:$L$8, 5, 0),"")</f>
        <v/>
      </c>
      <c r="E1085" t="str">
        <f>IFERROR(VLOOKUP($A1085, Ledger!$B$2:$L$8, 6, 0),"")</f>
        <v/>
      </c>
      <c r="F1085" t="str">
        <f>IFERROR(VLOOKUP($A1085,'Student Data'!$A$2:$AR$6,32,0),"")</f>
        <v/>
      </c>
      <c r="G1085" t="str">
        <f>IFERROR(VLOOKUP($A1085,'Student Data'!$A$2:$AR$6,33,0),"")</f>
        <v/>
      </c>
      <c r="H1085" t="str">
        <f>IFERROR(VLOOKUP($A1085,'Student Data'!$A$2:$AR$6,34,0),"")</f>
        <v/>
      </c>
      <c r="I1085" t="str">
        <f>IFERROR(VLOOKUP($A1085,'Student Data'!$A$2:$AR$6,35,0),"")</f>
        <v/>
      </c>
      <c r="J1085" t="str">
        <f>IFERROR(VLOOKUP($A1085,'Student Data'!$A$2:$AR$6,36,0),"")</f>
        <v/>
      </c>
      <c r="K1085" t="str">
        <f t="shared" si="32"/>
        <v/>
      </c>
      <c r="L1085" t="str">
        <f t="shared" si="33"/>
        <v/>
      </c>
      <c r="M1085" t="str">
        <f>IFERROR(IF($C1085="","",SUMIFS(Ledger!$K$2:$K$4, Ledger!$B$2:$B$4, $A1085, Ledger!$C$2:$C$4, M$2)),"****")</f>
        <v/>
      </c>
      <c r="N1085" t="str">
        <f>IFERROR(IF($C1085="","",SUMIFS(Ledger!$K$2:$K$4, Ledger!$B$2:$B$4, $A1085, Ledger!$C$2:$C$4, N$2)),"****")</f>
        <v/>
      </c>
      <c r="O1085" t="str">
        <f>IFERROR(IF($C1085="","",SUMIFS(Ledger!$K$2:$K$4, Ledger!$B$2:$B$4, $A1085, Ledger!$C$2:$C$4, O$2)),"****")</f>
        <v/>
      </c>
      <c r="P1085" t="str">
        <f>IFERROR(IF($C1085="","",SUMIFS(Ledger!$K$2:$K$4, Ledger!$B$2:$B$4, $A1085, Ledger!$C$2:$C$4, P$2)),"****")</f>
        <v/>
      </c>
      <c r="Q1085" t="str">
        <f>IFERROR(IF($C1085="","",SUMIFS(Ledger!$K$2:$K$4, Ledger!$B$2:$B$4, $A1085, Ledger!$C$2:$C$4, Q$2)),"****")</f>
        <v/>
      </c>
      <c r="R1085" t="str">
        <f>IFERROR(IF($C1085="","",SUMIFS(Ledger!$K$2:$K$4, Ledger!$B$2:$B$4, $A1085, Ledger!$C$2:$C$4, R$2)),"****")</f>
        <v/>
      </c>
      <c r="S1085" t="str">
        <f>IFERROR(IF($C1085="","",SUMIFS(Ledger!$K$2:$K$4, Ledger!$B$2:$B$4, $A1085, Ledger!$C$2:$C$4, S$2)),"****")</f>
        <v/>
      </c>
      <c r="T1085" t="str">
        <f>IFERROR(IF($C1085="","",SUMIFS(Ledger!$K$2:$K$4, Ledger!$B$2:$B$4, $A1085, Ledger!$C$2:$C$4, T$2)),"****")</f>
        <v/>
      </c>
      <c r="U1085" t="str">
        <f>IFERROR(IF($C1085="","",SUMIFS(Ledger!$K$2:$K$4, Ledger!$B$2:$B$4, $A1085, Ledger!$C$2:$C$4, U$2)),"****")</f>
        <v/>
      </c>
      <c r="V1085" t="str">
        <f>IFERROR(IF($C1085="","",SUMIFS(Ledger!$K$2:$K$4, Ledger!$B$2:$B$4, $A1085, Ledger!$C$2:$C$4, V$2)),"****")</f>
        <v/>
      </c>
      <c r="W1085" t="str">
        <f>IFERROR(IF($C1085="","",SUMIFS(Ledger!$K$2:$K$4, Ledger!$B$2:$B$4, $A1085, Ledger!$C$2:$C$4, W$2)),"****")</f>
        <v/>
      </c>
      <c r="X1085" t="str">
        <f>IFERROR(IF($C1085="","",SUMIFS(Ledger!$K$2:$K$4, Ledger!$B$2:$B$4, $A1085, Ledger!$C$2:$C$4, X$2)),"****")</f>
        <v/>
      </c>
    </row>
    <row r="1086" spans="1:24" x14ac:dyDescent="0.3">
      <c r="A1086" s="106">
        <v>1084</v>
      </c>
      <c r="B1086" t="str">
        <f>IFERROR(VLOOKUP($A1086, Ledger!$B$2:$L$8, 3, 0),"")</f>
        <v/>
      </c>
      <c r="C1086" t="str">
        <f>IFERROR(VLOOKUP($A1086, Ledger!$B$2:$L$8, 4, 0),"")</f>
        <v/>
      </c>
      <c r="D1086" t="str">
        <f>IFERROR(VLOOKUP($A1086, Ledger!$B$2:$L$8, 5, 0),"")</f>
        <v/>
      </c>
      <c r="E1086" t="str">
        <f>IFERROR(VLOOKUP($A1086, Ledger!$B$2:$L$8, 6, 0),"")</f>
        <v/>
      </c>
      <c r="F1086" t="str">
        <f>IFERROR(VLOOKUP($A1086,'Student Data'!$A$2:$AR$6,32,0),"")</f>
        <v/>
      </c>
      <c r="G1086" t="str">
        <f>IFERROR(VLOOKUP($A1086,'Student Data'!$A$2:$AR$6,33,0),"")</f>
        <v/>
      </c>
      <c r="H1086" t="str">
        <f>IFERROR(VLOOKUP($A1086,'Student Data'!$A$2:$AR$6,34,0),"")</f>
        <v/>
      </c>
      <c r="I1086" t="str">
        <f>IFERROR(VLOOKUP($A1086,'Student Data'!$A$2:$AR$6,35,0),"")</f>
        <v/>
      </c>
      <c r="J1086" t="str">
        <f>IFERROR(VLOOKUP($A1086,'Student Data'!$A$2:$AR$6,36,0),"")</f>
        <v/>
      </c>
      <c r="K1086" t="str">
        <f t="shared" si="32"/>
        <v/>
      </c>
      <c r="L1086" t="str">
        <f t="shared" si="33"/>
        <v/>
      </c>
      <c r="M1086" t="str">
        <f>IFERROR(IF($C1086="","",SUMIFS(Ledger!$K$2:$K$4, Ledger!$B$2:$B$4, $A1086, Ledger!$C$2:$C$4, M$2)),"****")</f>
        <v/>
      </c>
      <c r="N1086" t="str">
        <f>IFERROR(IF($C1086="","",SUMIFS(Ledger!$K$2:$K$4, Ledger!$B$2:$B$4, $A1086, Ledger!$C$2:$C$4, N$2)),"****")</f>
        <v/>
      </c>
      <c r="O1086" t="str">
        <f>IFERROR(IF($C1086="","",SUMIFS(Ledger!$K$2:$K$4, Ledger!$B$2:$B$4, $A1086, Ledger!$C$2:$C$4, O$2)),"****")</f>
        <v/>
      </c>
      <c r="P1086" t="str">
        <f>IFERROR(IF($C1086="","",SUMIFS(Ledger!$K$2:$K$4, Ledger!$B$2:$B$4, $A1086, Ledger!$C$2:$C$4, P$2)),"****")</f>
        <v/>
      </c>
      <c r="Q1086" t="str">
        <f>IFERROR(IF($C1086="","",SUMIFS(Ledger!$K$2:$K$4, Ledger!$B$2:$B$4, $A1086, Ledger!$C$2:$C$4, Q$2)),"****")</f>
        <v/>
      </c>
      <c r="R1086" t="str">
        <f>IFERROR(IF($C1086="","",SUMIFS(Ledger!$K$2:$K$4, Ledger!$B$2:$B$4, $A1086, Ledger!$C$2:$C$4, R$2)),"****")</f>
        <v/>
      </c>
      <c r="S1086" t="str">
        <f>IFERROR(IF($C1086="","",SUMIFS(Ledger!$K$2:$K$4, Ledger!$B$2:$B$4, $A1086, Ledger!$C$2:$C$4, S$2)),"****")</f>
        <v/>
      </c>
      <c r="T1086" t="str">
        <f>IFERROR(IF($C1086="","",SUMIFS(Ledger!$K$2:$K$4, Ledger!$B$2:$B$4, $A1086, Ledger!$C$2:$C$4, T$2)),"****")</f>
        <v/>
      </c>
      <c r="U1086" t="str">
        <f>IFERROR(IF($C1086="","",SUMIFS(Ledger!$K$2:$K$4, Ledger!$B$2:$B$4, $A1086, Ledger!$C$2:$C$4, U$2)),"****")</f>
        <v/>
      </c>
      <c r="V1086" t="str">
        <f>IFERROR(IF($C1086="","",SUMIFS(Ledger!$K$2:$K$4, Ledger!$B$2:$B$4, $A1086, Ledger!$C$2:$C$4, V$2)),"****")</f>
        <v/>
      </c>
      <c r="W1086" t="str">
        <f>IFERROR(IF($C1086="","",SUMIFS(Ledger!$K$2:$K$4, Ledger!$B$2:$B$4, $A1086, Ledger!$C$2:$C$4, W$2)),"****")</f>
        <v/>
      </c>
      <c r="X1086" t="str">
        <f>IFERROR(IF($C1086="","",SUMIFS(Ledger!$K$2:$K$4, Ledger!$B$2:$B$4, $A1086, Ledger!$C$2:$C$4, X$2)),"****")</f>
        <v/>
      </c>
    </row>
    <row r="1087" spans="1:24" x14ac:dyDescent="0.3">
      <c r="A1087" s="106">
        <v>1085</v>
      </c>
      <c r="B1087" t="str">
        <f>IFERROR(VLOOKUP($A1087, Ledger!$B$2:$L$8, 3, 0),"")</f>
        <v/>
      </c>
      <c r="C1087" t="str">
        <f>IFERROR(VLOOKUP($A1087, Ledger!$B$2:$L$8, 4, 0),"")</f>
        <v/>
      </c>
      <c r="D1087" t="str">
        <f>IFERROR(VLOOKUP($A1087, Ledger!$B$2:$L$8, 5, 0),"")</f>
        <v/>
      </c>
      <c r="E1087" t="str">
        <f>IFERROR(VLOOKUP($A1087, Ledger!$B$2:$L$8, 6, 0),"")</f>
        <v/>
      </c>
      <c r="F1087" t="str">
        <f>IFERROR(VLOOKUP($A1087,'Student Data'!$A$2:$AR$6,32,0),"")</f>
        <v/>
      </c>
      <c r="G1087" t="str">
        <f>IFERROR(VLOOKUP($A1087,'Student Data'!$A$2:$AR$6,33,0),"")</f>
        <v/>
      </c>
      <c r="H1087" t="str">
        <f>IFERROR(VLOOKUP($A1087,'Student Data'!$A$2:$AR$6,34,0),"")</f>
        <v/>
      </c>
      <c r="I1087" t="str">
        <f>IFERROR(VLOOKUP($A1087,'Student Data'!$A$2:$AR$6,35,0),"")</f>
        <v/>
      </c>
      <c r="J1087" t="str">
        <f>IFERROR(VLOOKUP($A1087,'Student Data'!$A$2:$AR$6,36,0),"")</f>
        <v/>
      </c>
      <c r="K1087" t="str">
        <f t="shared" si="32"/>
        <v/>
      </c>
      <c r="L1087" t="str">
        <f t="shared" si="33"/>
        <v/>
      </c>
      <c r="M1087" t="str">
        <f>IFERROR(IF($C1087="","",SUMIFS(Ledger!$K$2:$K$4, Ledger!$B$2:$B$4, $A1087, Ledger!$C$2:$C$4, M$2)),"****")</f>
        <v/>
      </c>
      <c r="N1087" t="str">
        <f>IFERROR(IF($C1087="","",SUMIFS(Ledger!$K$2:$K$4, Ledger!$B$2:$B$4, $A1087, Ledger!$C$2:$C$4, N$2)),"****")</f>
        <v/>
      </c>
      <c r="O1087" t="str">
        <f>IFERROR(IF($C1087="","",SUMIFS(Ledger!$K$2:$K$4, Ledger!$B$2:$B$4, $A1087, Ledger!$C$2:$C$4, O$2)),"****")</f>
        <v/>
      </c>
      <c r="P1087" t="str">
        <f>IFERROR(IF($C1087="","",SUMIFS(Ledger!$K$2:$K$4, Ledger!$B$2:$B$4, $A1087, Ledger!$C$2:$C$4, P$2)),"****")</f>
        <v/>
      </c>
      <c r="Q1087" t="str">
        <f>IFERROR(IF($C1087="","",SUMIFS(Ledger!$K$2:$K$4, Ledger!$B$2:$B$4, $A1087, Ledger!$C$2:$C$4, Q$2)),"****")</f>
        <v/>
      </c>
      <c r="R1087" t="str">
        <f>IFERROR(IF($C1087="","",SUMIFS(Ledger!$K$2:$K$4, Ledger!$B$2:$B$4, $A1087, Ledger!$C$2:$C$4, R$2)),"****")</f>
        <v/>
      </c>
      <c r="S1087" t="str">
        <f>IFERROR(IF($C1087="","",SUMIFS(Ledger!$K$2:$K$4, Ledger!$B$2:$B$4, $A1087, Ledger!$C$2:$C$4, S$2)),"****")</f>
        <v/>
      </c>
      <c r="T1087" t="str">
        <f>IFERROR(IF($C1087="","",SUMIFS(Ledger!$K$2:$K$4, Ledger!$B$2:$B$4, $A1087, Ledger!$C$2:$C$4, T$2)),"****")</f>
        <v/>
      </c>
      <c r="U1087" t="str">
        <f>IFERROR(IF($C1087="","",SUMIFS(Ledger!$K$2:$K$4, Ledger!$B$2:$B$4, $A1087, Ledger!$C$2:$C$4, U$2)),"****")</f>
        <v/>
      </c>
      <c r="V1087" t="str">
        <f>IFERROR(IF($C1087="","",SUMIFS(Ledger!$K$2:$K$4, Ledger!$B$2:$B$4, $A1087, Ledger!$C$2:$C$4, V$2)),"****")</f>
        <v/>
      </c>
      <c r="W1087" t="str">
        <f>IFERROR(IF($C1087="","",SUMIFS(Ledger!$K$2:$K$4, Ledger!$B$2:$B$4, $A1087, Ledger!$C$2:$C$4, W$2)),"****")</f>
        <v/>
      </c>
      <c r="X1087" t="str">
        <f>IFERROR(IF($C1087="","",SUMIFS(Ledger!$K$2:$K$4, Ledger!$B$2:$B$4, $A1087, Ledger!$C$2:$C$4, X$2)),"****")</f>
        <v/>
      </c>
    </row>
    <row r="1088" spans="1:24" x14ac:dyDescent="0.3">
      <c r="A1088" s="106">
        <v>1086</v>
      </c>
      <c r="B1088" t="str">
        <f>IFERROR(VLOOKUP($A1088, Ledger!$B$2:$L$8, 3, 0),"")</f>
        <v/>
      </c>
      <c r="C1088" t="str">
        <f>IFERROR(VLOOKUP($A1088, Ledger!$B$2:$L$8, 4, 0),"")</f>
        <v/>
      </c>
      <c r="D1088" t="str">
        <f>IFERROR(VLOOKUP($A1088, Ledger!$B$2:$L$8, 5, 0),"")</f>
        <v/>
      </c>
      <c r="E1088" t="str">
        <f>IFERROR(VLOOKUP($A1088, Ledger!$B$2:$L$8, 6, 0),"")</f>
        <v/>
      </c>
      <c r="F1088" t="str">
        <f>IFERROR(VLOOKUP($A1088,'Student Data'!$A$2:$AR$6,32,0),"")</f>
        <v/>
      </c>
      <c r="G1088" t="str">
        <f>IFERROR(VLOOKUP($A1088,'Student Data'!$A$2:$AR$6,33,0),"")</f>
        <v/>
      </c>
      <c r="H1088" t="str">
        <f>IFERROR(VLOOKUP($A1088,'Student Data'!$A$2:$AR$6,34,0),"")</f>
        <v/>
      </c>
      <c r="I1088" t="str">
        <f>IFERROR(VLOOKUP($A1088,'Student Data'!$A$2:$AR$6,35,0),"")</f>
        <v/>
      </c>
      <c r="J1088" t="str">
        <f>IFERROR(VLOOKUP($A1088,'Student Data'!$A$2:$AR$6,36,0),"")</f>
        <v/>
      </c>
      <c r="K1088" t="str">
        <f t="shared" si="32"/>
        <v/>
      </c>
      <c r="L1088" t="str">
        <f t="shared" si="33"/>
        <v/>
      </c>
      <c r="M1088" t="str">
        <f>IFERROR(IF($C1088="","",SUMIFS(Ledger!$K$2:$K$4, Ledger!$B$2:$B$4, $A1088, Ledger!$C$2:$C$4, M$2)),"****")</f>
        <v/>
      </c>
      <c r="N1088" t="str">
        <f>IFERROR(IF($C1088="","",SUMIFS(Ledger!$K$2:$K$4, Ledger!$B$2:$B$4, $A1088, Ledger!$C$2:$C$4, N$2)),"****")</f>
        <v/>
      </c>
      <c r="O1088" t="str">
        <f>IFERROR(IF($C1088="","",SUMIFS(Ledger!$K$2:$K$4, Ledger!$B$2:$B$4, $A1088, Ledger!$C$2:$C$4, O$2)),"****")</f>
        <v/>
      </c>
      <c r="P1088" t="str">
        <f>IFERROR(IF($C1088="","",SUMIFS(Ledger!$K$2:$K$4, Ledger!$B$2:$B$4, $A1088, Ledger!$C$2:$C$4, P$2)),"****")</f>
        <v/>
      </c>
      <c r="Q1088" t="str">
        <f>IFERROR(IF($C1088="","",SUMIFS(Ledger!$K$2:$K$4, Ledger!$B$2:$B$4, $A1088, Ledger!$C$2:$C$4, Q$2)),"****")</f>
        <v/>
      </c>
      <c r="R1088" t="str">
        <f>IFERROR(IF($C1088="","",SUMIFS(Ledger!$K$2:$K$4, Ledger!$B$2:$B$4, $A1088, Ledger!$C$2:$C$4, R$2)),"****")</f>
        <v/>
      </c>
      <c r="S1088" t="str">
        <f>IFERROR(IF($C1088="","",SUMIFS(Ledger!$K$2:$K$4, Ledger!$B$2:$B$4, $A1088, Ledger!$C$2:$C$4, S$2)),"****")</f>
        <v/>
      </c>
      <c r="T1088" t="str">
        <f>IFERROR(IF($C1088="","",SUMIFS(Ledger!$K$2:$K$4, Ledger!$B$2:$B$4, $A1088, Ledger!$C$2:$C$4, T$2)),"****")</f>
        <v/>
      </c>
      <c r="U1088" t="str">
        <f>IFERROR(IF($C1088="","",SUMIFS(Ledger!$K$2:$K$4, Ledger!$B$2:$B$4, $A1088, Ledger!$C$2:$C$4, U$2)),"****")</f>
        <v/>
      </c>
      <c r="V1088" t="str">
        <f>IFERROR(IF($C1088="","",SUMIFS(Ledger!$K$2:$K$4, Ledger!$B$2:$B$4, $A1088, Ledger!$C$2:$C$4, V$2)),"****")</f>
        <v/>
      </c>
      <c r="W1088" t="str">
        <f>IFERROR(IF($C1088="","",SUMIFS(Ledger!$K$2:$K$4, Ledger!$B$2:$B$4, $A1088, Ledger!$C$2:$C$4, W$2)),"****")</f>
        <v/>
      </c>
      <c r="X1088" t="str">
        <f>IFERROR(IF($C1088="","",SUMIFS(Ledger!$K$2:$K$4, Ledger!$B$2:$B$4, $A1088, Ledger!$C$2:$C$4, X$2)),"****")</f>
        <v/>
      </c>
    </row>
    <row r="1089" spans="1:24" x14ac:dyDescent="0.3">
      <c r="A1089" s="106">
        <v>1087</v>
      </c>
      <c r="B1089" t="str">
        <f>IFERROR(VLOOKUP($A1089, Ledger!$B$2:$L$8, 3, 0),"")</f>
        <v/>
      </c>
      <c r="C1089" t="str">
        <f>IFERROR(VLOOKUP($A1089, Ledger!$B$2:$L$8, 4, 0),"")</f>
        <v/>
      </c>
      <c r="D1089" t="str">
        <f>IFERROR(VLOOKUP($A1089, Ledger!$B$2:$L$8, 5, 0),"")</f>
        <v/>
      </c>
      <c r="E1089" t="str">
        <f>IFERROR(VLOOKUP($A1089, Ledger!$B$2:$L$8, 6, 0),"")</f>
        <v/>
      </c>
      <c r="F1089" t="str">
        <f>IFERROR(VLOOKUP($A1089,'Student Data'!$A$2:$AR$6,32,0),"")</f>
        <v/>
      </c>
      <c r="G1089" t="str">
        <f>IFERROR(VLOOKUP($A1089,'Student Data'!$A$2:$AR$6,33,0),"")</f>
        <v/>
      </c>
      <c r="H1089" t="str">
        <f>IFERROR(VLOOKUP($A1089,'Student Data'!$A$2:$AR$6,34,0),"")</f>
        <v/>
      </c>
      <c r="I1089" t="str">
        <f>IFERROR(VLOOKUP($A1089,'Student Data'!$A$2:$AR$6,35,0),"")</f>
        <v/>
      </c>
      <c r="J1089" t="str">
        <f>IFERROR(VLOOKUP($A1089,'Student Data'!$A$2:$AR$6,36,0),"")</f>
        <v/>
      </c>
      <c r="K1089" t="str">
        <f t="shared" si="32"/>
        <v/>
      </c>
      <c r="L1089" t="str">
        <f t="shared" si="33"/>
        <v/>
      </c>
      <c r="M1089" t="str">
        <f>IFERROR(IF($C1089="","",SUMIFS(Ledger!$K$2:$K$4, Ledger!$B$2:$B$4, $A1089, Ledger!$C$2:$C$4, M$2)),"****")</f>
        <v/>
      </c>
      <c r="N1089" t="str">
        <f>IFERROR(IF($C1089="","",SUMIFS(Ledger!$K$2:$K$4, Ledger!$B$2:$B$4, $A1089, Ledger!$C$2:$C$4, N$2)),"****")</f>
        <v/>
      </c>
      <c r="O1089" t="str">
        <f>IFERROR(IF($C1089="","",SUMIFS(Ledger!$K$2:$K$4, Ledger!$B$2:$B$4, $A1089, Ledger!$C$2:$C$4, O$2)),"****")</f>
        <v/>
      </c>
      <c r="P1089" t="str">
        <f>IFERROR(IF($C1089="","",SUMIFS(Ledger!$K$2:$K$4, Ledger!$B$2:$B$4, $A1089, Ledger!$C$2:$C$4, P$2)),"****")</f>
        <v/>
      </c>
      <c r="Q1089" t="str">
        <f>IFERROR(IF($C1089="","",SUMIFS(Ledger!$K$2:$K$4, Ledger!$B$2:$B$4, $A1089, Ledger!$C$2:$C$4, Q$2)),"****")</f>
        <v/>
      </c>
      <c r="R1089" t="str">
        <f>IFERROR(IF($C1089="","",SUMIFS(Ledger!$K$2:$K$4, Ledger!$B$2:$B$4, $A1089, Ledger!$C$2:$C$4, R$2)),"****")</f>
        <v/>
      </c>
      <c r="S1089" t="str">
        <f>IFERROR(IF($C1089="","",SUMIFS(Ledger!$K$2:$K$4, Ledger!$B$2:$B$4, $A1089, Ledger!$C$2:$C$4, S$2)),"****")</f>
        <v/>
      </c>
      <c r="T1089" t="str">
        <f>IFERROR(IF($C1089="","",SUMIFS(Ledger!$K$2:$K$4, Ledger!$B$2:$B$4, $A1089, Ledger!$C$2:$C$4, T$2)),"****")</f>
        <v/>
      </c>
      <c r="U1089" t="str">
        <f>IFERROR(IF($C1089="","",SUMIFS(Ledger!$K$2:$K$4, Ledger!$B$2:$B$4, $A1089, Ledger!$C$2:$C$4, U$2)),"****")</f>
        <v/>
      </c>
      <c r="V1089" t="str">
        <f>IFERROR(IF($C1089="","",SUMIFS(Ledger!$K$2:$K$4, Ledger!$B$2:$B$4, $A1089, Ledger!$C$2:$C$4, V$2)),"****")</f>
        <v/>
      </c>
      <c r="W1089" t="str">
        <f>IFERROR(IF($C1089="","",SUMIFS(Ledger!$K$2:$K$4, Ledger!$B$2:$B$4, $A1089, Ledger!$C$2:$C$4, W$2)),"****")</f>
        <v/>
      </c>
      <c r="X1089" t="str">
        <f>IFERROR(IF($C1089="","",SUMIFS(Ledger!$K$2:$K$4, Ledger!$B$2:$B$4, $A1089, Ledger!$C$2:$C$4, X$2)),"****")</f>
        <v/>
      </c>
    </row>
    <row r="1090" spans="1:24" x14ac:dyDescent="0.3">
      <c r="A1090" s="106">
        <v>1088</v>
      </c>
      <c r="B1090" t="str">
        <f>IFERROR(VLOOKUP($A1090, Ledger!$B$2:$L$8, 3, 0),"")</f>
        <v/>
      </c>
      <c r="C1090" t="str">
        <f>IFERROR(VLOOKUP($A1090, Ledger!$B$2:$L$8, 4, 0),"")</f>
        <v/>
      </c>
      <c r="D1090" t="str">
        <f>IFERROR(VLOOKUP($A1090, Ledger!$B$2:$L$8, 5, 0),"")</f>
        <v/>
      </c>
      <c r="E1090" t="str">
        <f>IFERROR(VLOOKUP($A1090, Ledger!$B$2:$L$8, 6, 0),"")</f>
        <v/>
      </c>
      <c r="F1090" t="str">
        <f>IFERROR(VLOOKUP($A1090,'Student Data'!$A$2:$AR$6,32,0),"")</f>
        <v/>
      </c>
      <c r="G1090" t="str">
        <f>IFERROR(VLOOKUP($A1090,'Student Data'!$A$2:$AR$6,33,0),"")</f>
        <v/>
      </c>
      <c r="H1090" t="str">
        <f>IFERROR(VLOOKUP($A1090,'Student Data'!$A$2:$AR$6,34,0),"")</f>
        <v/>
      </c>
      <c r="I1090" t="str">
        <f>IFERROR(VLOOKUP($A1090,'Student Data'!$A$2:$AR$6,35,0),"")</f>
        <v/>
      </c>
      <c r="J1090" t="str">
        <f>IFERROR(VLOOKUP($A1090,'Student Data'!$A$2:$AR$6,36,0),"")</f>
        <v/>
      </c>
      <c r="K1090" t="str">
        <f t="shared" si="32"/>
        <v/>
      </c>
      <c r="L1090" t="str">
        <f t="shared" si="33"/>
        <v/>
      </c>
      <c r="M1090" t="str">
        <f>IFERROR(IF($C1090="","",SUMIFS(Ledger!$K$2:$K$4, Ledger!$B$2:$B$4, $A1090, Ledger!$C$2:$C$4, M$2)),"****")</f>
        <v/>
      </c>
      <c r="N1090" t="str">
        <f>IFERROR(IF($C1090="","",SUMIFS(Ledger!$K$2:$K$4, Ledger!$B$2:$B$4, $A1090, Ledger!$C$2:$C$4, N$2)),"****")</f>
        <v/>
      </c>
      <c r="O1090" t="str">
        <f>IFERROR(IF($C1090="","",SUMIFS(Ledger!$K$2:$K$4, Ledger!$B$2:$B$4, $A1090, Ledger!$C$2:$C$4, O$2)),"****")</f>
        <v/>
      </c>
      <c r="P1090" t="str">
        <f>IFERROR(IF($C1090="","",SUMIFS(Ledger!$K$2:$K$4, Ledger!$B$2:$B$4, $A1090, Ledger!$C$2:$C$4, P$2)),"****")</f>
        <v/>
      </c>
      <c r="Q1090" t="str">
        <f>IFERROR(IF($C1090="","",SUMIFS(Ledger!$K$2:$K$4, Ledger!$B$2:$B$4, $A1090, Ledger!$C$2:$C$4, Q$2)),"****")</f>
        <v/>
      </c>
      <c r="R1090" t="str">
        <f>IFERROR(IF($C1090="","",SUMIFS(Ledger!$K$2:$K$4, Ledger!$B$2:$B$4, $A1090, Ledger!$C$2:$C$4, R$2)),"****")</f>
        <v/>
      </c>
      <c r="S1090" t="str">
        <f>IFERROR(IF($C1090="","",SUMIFS(Ledger!$K$2:$K$4, Ledger!$B$2:$B$4, $A1090, Ledger!$C$2:$C$4, S$2)),"****")</f>
        <v/>
      </c>
      <c r="T1090" t="str">
        <f>IFERROR(IF($C1090="","",SUMIFS(Ledger!$K$2:$K$4, Ledger!$B$2:$B$4, $A1090, Ledger!$C$2:$C$4, T$2)),"****")</f>
        <v/>
      </c>
      <c r="U1090" t="str">
        <f>IFERROR(IF($C1090="","",SUMIFS(Ledger!$K$2:$K$4, Ledger!$B$2:$B$4, $A1090, Ledger!$C$2:$C$4, U$2)),"****")</f>
        <v/>
      </c>
      <c r="V1090" t="str">
        <f>IFERROR(IF($C1090="","",SUMIFS(Ledger!$K$2:$K$4, Ledger!$B$2:$B$4, $A1090, Ledger!$C$2:$C$4, V$2)),"****")</f>
        <v/>
      </c>
      <c r="W1090" t="str">
        <f>IFERROR(IF($C1090="","",SUMIFS(Ledger!$K$2:$K$4, Ledger!$B$2:$B$4, $A1090, Ledger!$C$2:$C$4, W$2)),"****")</f>
        <v/>
      </c>
      <c r="X1090" t="str">
        <f>IFERROR(IF($C1090="","",SUMIFS(Ledger!$K$2:$K$4, Ledger!$B$2:$B$4, $A1090, Ledger!$C$2:$C$4, X$2)),"****")</f>
        <v/>
      </c>
    </row>
    <row r="1091" spans="1:24" x14ac:dyDescent="0.3">
      <c r="A1091" s="106">
        <v>1089</v>
      </c>
      <c r="B1091" t="str">
        <f>IFERROR(VLOOKUP($A1091, Ledger!$B$2:$L$8, 3, 0),"")</f>
        <v/>
      </c>
      <c r="C1091" t="str">
        <f>IFERROR(VLOOKUP($A1091, Ledger!$B$2:$L$8, 4, 0),"")</f>
        <v/>
      </c>
      <c r="D1091" t="str">
        <f>IFERROR(VLOOKUP($A1091, Ledger!$B$2:$L$8, 5, 0),"")</f>
        <v/>
      </c>
      <c r="E1091" t="str">
        <f>IFERROR(VLOOKUP($A1091, Ledger!$B$2:$L$8, 6, 0),"")</f>
        <v/>
      </c>
      <c r="F1091" t="str">
        <f>IFERROR(VLOOKUP($A1091,'Student Data'!$A$2:$AR$6,32,0),"")</f>
        <v/>
      </c>
      <c r="G1091" t="str">
        <f>IFERROR(VLOOKUP($A1091,'Student Data'!$A$2:$AR$6,33,0),"")</f>
        <v/>
      </c>
      <c r="H1091" t="str">
        <f>IFERROR(VLOOKUP($A1091,'Student Data'!$A$2:$AR$6,34,0),"")</f>
        <v/>
      </c>
      <c r="I1091" t="str">
        <f>IFERROR(VLOOKUP($A1091,'Student Data'!$A$2:$AR$6,35,0),"")</f>
        <v/>
      </c>
      <c r="J1091" t="str">
        <f>IFERROR(VLOOKUP($A1091,'Student Data'!$A$2:$AR$6,36,0),"")</f>
        <v/>
      </c>
      <c r="K1091" t="str">
        <f t="shared" si="32"/>
        <v/>
      </c>
      <c r="L1091" t="str">
        <f t="shared" si="33"/>
        <v/>
      </c>
      <c r="M1091" t="str">
        <f>IFERROR(IF($C1091="","",SUMIFS(Ledger!$K$2:$K$4, Ledger!$B$2:$B$4, $A1091, Ledger!$C$2:$C$4, M$2)),"****")</f>
        <v/>
      </c>
      <c r="N1091" t="str">
        <f>IFERROR(IF($C1091="","",SUMIFS(Ledger!$K$2:$K$4, Ledger!$B$2:$B$4, $A1091, Ledger!$C$2:$C$4, N$2)),"****")</f>
        <v/>
      </c>
      <c r="O1091" t="str">
        <f>IFERROR(IF($C1091="","",SUMIFS(Ledger!$K$2:$K$4, Ledger!$B$2:$B$4, $A1091, Ledger!$C$2:$C$4, O$2)),"****")</f>
        <v/>
      </c>
      <c r="P1091" t="str">
        <f>IFERROR(IF($C1091="","",SUMIFS(Ledger!$K$2:$K$4, Ledger!$B$2:$B$4, $A1091, Ledger!$C$2:$C$4, P$2)),"****")</f>
        <v/>
      </c>
      <c r="Q1091" t="str">
        <f>IFERROR(IF($C1091="","",SUMIFS(Ledger!$K$2:$K$4, Ledger!$B$2:$B$4, $A1091, Ledger!$C$2:$C$4, Q$2)),"****")</f>
        <v/>
      </c>
      <c r="R1091" t="str">
        <f>IFERROR(IF($C1091="","",SUMIFS(Ledger!$K$2:$K$4, Ledger!$B$2:$B$4, $A1091, Ledger!$C$2:$C$4, R$2)),"****")</f>
        <v/>
      </c>
      <c r="S1091" t="str">
        <f>IFERROR(IF($C1091="","",SUMIFS(Ledger!$K$2:$K$4, Ledger!$B$2:$B$4, $A1091, Ledger!$C$2:$C$4, S$2)),"****")</f>
        <v/>
      </c>
      <c r="T1091" t="str">
        <f>IFERROR(IF($C1091="","",SUMIFS(Ledger!$K$2:$K$4, Ledger!$B$2:$B$4, $A1091, Ledger!$C$2:$C$4, T$2)),"****")</f>
        <v/>
      </c>
      <c r="U1091" t="str">
        <f>IFERROR(IF($C1091="","",SUMIFS(Ledger!$K$2:$K$4, Ledger!$B$2:$B$4, $A1091, Ledger!$C$2:$C$4, U$2)),"****")</f>
        <v/>
      </c>
      <c r="V1091" t="str">
        <f>IFERROR(IF($C1091="","",SUMIFS(Ledger!$K$2:$K$4, Ledger!$B$2:$B$4, $A1091, Ledger!$C$2:$C$4, V$2)),"****")</f>
        <v/>
      </c>
      <c r="W1091" t="str">
        <f>IFERROR(IF($C1091="","",SUMIFS(Ledger!$K$2:$K$4, Ledger!$B$2:$B$4, $A1091, Ledger!$C$2:$C$4, W$2)),"****")</f>
        <v/>
      </c>
      <c r="X1091" t="str">
        <f>IFERROR(IF($C1091="","",SUMIFS(Ledger!$K$2:$K$4, Ledger!$B$2:$B$4, $A1091, Ledger!$C$2:$C$4, X$2)),"****")</f>
        <v/>
      </c>
    </row>
    <row r="1092" spans="1:24" x14ac:dyDescent="0.3">
      <c r="A1092" s="106">
        <v>1090</v>
      </c>
      <c r="B1092" t="str">
        <f>IFERROR(VLOOKUP($A1092, Ledger!$B$2:$L$8, 3, 0),"")</f>
        <v/>
      </c>
      <c r="C1092" t="str">
        <f>IFERROR(VLOOKUP($A1092, Ledger!$B$2:$L$8, 4, 0),"")</f>
        <v/>
      </c>
      <c r="D1092" t="str">
        <f>IFERROR(VLOOKUP($A1092, Ledger!$B$2:$L$8, 5, 0),"")</f>
        <v/>
      </c>
      <c r="E1092" t="str">
        <f>IFERROR(VLOOKUP($A1092, Ledger!$B$2:$L$8, 6, 0),"")</f>
        <v/>
      </c>
      <c r="F1092" t="str">
        <f>IFERROR(VLOOKUP($A1092,'Student Data'!$A$2:$AR$6,32,0),"")</f>
        <v/>
      </c>
      <c r="G1092" t="str">
        <f>IFERROR(VLOOKUP($A1092,'Student Data'!$A$2:$AR$6,33,0),"")</f>
        <v/>
      </c>
      <c r="H1092" t="str">
        <f>IFERROR(VLOOKUP($A1092,'Student Data'!$A$2:$AR$6,34,0),"")</f>
        <v/>
      </c>
      <c r="I1092" t="str">
        <f>IFERROR(VLOOKUP($A1092,'Student Data'!$A$2:$AR$6,35,0),"")</f>
        <v/>
      </c>
      <c r="J1092" t="str">
        <f>IFERROR(VLOOKUP($A1092,'Student Data'!$A$2:$AR$6,36,0),"")</f>
        <v/>
      </c>
      <c r="K1092" t="str">
        <f t="shared" ref="K1092:K1155" si="34">IFERROR(IF(C1092="","",SUM(M1092:X1092)),"0")</f>
        <v/>
      </c>
      <c r="L1092" t="str">
        <f t="shared" ref="L1092:L1155" si="35">IFERROR(IF(C1092="","",J1092-K1092),"0")</f>
        <v/>
      </c>
      <c r="M1092" t="str">
        <f>IFERROR(IF($C1092="","",SUMIFS(Ledger!$K$2:$K$4, Ledger!$B$2:$B$4, $A1092, Ledger!$C$2:$C$4, M$2)),"****")</f>
        <v/>
      </c>
      <c r="N1092" t="str">
        <f>IFERROR(IF($C1092="","",SUMIFS(Ledger!$K$2:$K$4, Ledger!$B$2:$B$4, $A1092, Ledger!$C$2:$C$4, N$2)),"****")</f>
        <v/>
      </c>
      <c r="O1092" t="str">
        <f>IFERROR(IF($C1092="","",SUMIFS(Ledger!$K$2:$K$4, Ledger!$B$2:$B$4, $A1092, Ledger!$C$2:$C$4, O$2)),"****")</f>
        <v/>
      </c>
      <c r="P1092" t="str">
        <f>IFERROR(IF($C1092="","",SUMIFS(Ledger!$K$2:$K$4, Ledger!$B$2:$B$4, $A1092, Ledger!$C$2:$C$4, P$2)),"****")</f>
        <v/>
      </c>
      <c r="Q1092" t="str">
        <f>IFERROR(IF($C1092="","",SUMIFS(Ledger!$K$2:$K$4, Ledger!$B$2:$B$4, $A1092, Ledger!$C$2:$C$4, Q$2)),"****")</f>
        <v/>
      </c>
      <c r="R1092" t="str">
        <f>IFERROR(IF($C1092="","",SUMIFS(Ledger!$K$2:$K$4, Ledger!$B$2:$B$4, $A1092, Ledger!$C$2:$C$4, R$2)),"****")</f>
        <v/>
      </c>
      <c r="S1092" t="str">
        <f>IFERROR(IF($C1092="","",SUMIFS(Ledger!$K$2:$K$4, Ledger!$B$2:$B$4, $A1092, Ledger!$C$2:$C$4, S$2)),"****")</f>
        <v/>
      </c>
      <c r="T1092" t="str">
        <f>IFERROR(IF($C1092="","",SUMIFS(Ledger!$K$2:$K$4, Ledger!$B$2:$B$4, $A1092, Ledger!$C$2:$C$4, T$2)),"****")</f>
        <v/>
      </c>
      <c r="U1092" t="str">
        <f>IFERROR(IF($C1092="","",SUMIFS(Ledger!$K$2:$K$4, Ledger!$B$2:$B$4, $A1092, Ledger!$C$2:$C$4, U$2)),"****")</f>
        <v/>
      </c>
      <c r="V1092" t="str">
        <f>IFERROR(IF($C1092="","",SUMIFS(Ledger!$K$2:$K$4, Ledger!$B$2:$B$4, $A1092, Ledger!$C$2:$C$4, V$2)),"****")</f>
        <v/>
      </c>
      <c r="W1092" t="str">
        <f>IFERROR(IF($C1092="","",SUMIFS(Ledger!$K$2:$K$4, Ledger!$B$2:$B$4, $A1092, Ledger!$C$2:$C$4, W$2)),"****")</f>
        <v/>
      </c>
      <c r="X1092" t="str">
        <f>IFERROR(IF($C1092="","",SUMIFS(Ledger!$K$2:$K$4, Ledger!$B$2:$B$4, $A1092, Ledger!$C$2:$C$4, X$2)),"****")</f>
        <v/>
      </c>
    </row>
    <row r="1093" spans="1:24" x14ac:dyDescent="0.3">
      <c r="A1093" s="106">
        <v>1091</v>
      </c>
      <c r="B1093" t="str">
        <f>IFERROR(VLOOKUP($A1093, Ledger!$B$2:$L$8, 3, 0),"")</f>
        <v/>
      </c>
      <c r="C1093" t="str">
        <f>IFERROR(VLOOKUP($A1093, Ledger!$B$2:$L$8, 4, 0),"")</f>
        <v/>
      </c>
      <c r="D1093" t="str">
        <f>IFERROR(VLOOKUP($A1093, Ledger!$B$2:$L$8, 5, 0),"")</f>
        <v/>
      </c>
      <c r="E1093" t="str">
        <f>IFERROR(VLOOKUP($A1093, Ledger!$B$2:$L$8, 6, 0),"")</f>
        <v/>
      </c>
      <c r="F1093" t="str">
        <f>IFERROR(VLOOKUP($A1093,'Student Data'!$A$2:$AR$6,32,0),"")</f>
        <v/>
      </c>
      <c r="G1093" t="str">
        <f>IFERROR(VLOOKUP($A1093,'Student Data'!$A$2:$AR$6,33,0),"")</f>
        <v/>
      </c>
      <c r="H1093" t="str">
        <f>IFERROR(VLOOKUP($A1093,'Student Data'!$A$2:$AR$6,34,0),"")</f>
        <v/>
      </c>
      <c r="I1093" t="str">
        <f>IFERROR(VLOOKUP($A1093,'Student Data'!$A$2:$AR$6,35,0),"")</f>
        <v/>
      </c>
      <c r="J1093" t="str">
        <f>IFERROR(VLOOKUP($A1093,'Student Data'!$A$2:$AR$6,36,0),"")</f>
        <v/>
      </c>
      <c r="K1093" t="str">
        <f t="shared" si="34"/>
        <v/>
      </c>
      <c r="L1093" t="str">
        <f t="shared" si="35"/>
        <v/>
      </c>
      <c r="M1093" t="str">
        <f>IFERROR(IF($C1093="","",SUMIFS(Ledger!$K$2:$K$4, Ledger!$B$2:$B$4, $A1093, Ledger!$C$2:$C$4, M$2)),"****")</f>
        <v/>
      </c>
      <c r="N1093" t="str">
        <f>IFERROR(IF($C1093="","",SUMIFS(Ledger!$K$2:$K$4, Ledger!$B$2:$B$4, $A1093, Ledger!$C$2:$C$4, N$2)),"****")</f>
        <v/>
      </c>
      <c r="O1093" t="str">
        <f>IFERROR(IF($C1093="","",SUMIFS(Ledger!$K$2:$K$4, Ledger!$B$2:$B$4, $A1093, Ledger!$C$2:$C$4, O$2)),"****")</f>
        <v/>
      </c>
      <c r="P1093" t="str">
        <f>IFERROR(IF($C1093="","",SUMIFS(Ledger!$K$2:$K$4, Ledger!$B$2:$B$4, $A1093, Ledger!$C$2:$C$4, P$2)),"****")</f>
        <v/>
      </c>
      <c r="Q1093" t="str">
        <f>IFERROR(IF($C1093="","",SUMIFS(Ledger!$K$2:$K$4, Ledger!$B$2:$B$4, $A1093, Ledger!$C$2:$C$4, Q$2)),"****")</f>
        <v/>
      </c>
      <c r="R1093" t="str">
        <f>IFERROR(IF($C1093="","",SUMIFS(Ledger!$K$2:$K$4, Ledger!$B$2:$B$4, $A1093, Ledger!$C$2:$C$4, R$2)),"****")</f>
        <v/>
      </c>
      <c r="S1093" t="str">
        <f>IFERROR(IF($C1093="","",SUMIFS(Ledger!$K$2:$K$4, Ledger!$B$2:$B$4, $A1093, Ledger!$C$2:$C$4, S$2)),"****")</f>
        <v/>
      </c>
      <c r="T1093" t="str">
        <f>IFERROR(IF($C1093="","",SUMIFS(Ledger!$K$2:$K$4, Ledger!$B$2:$B$4, $A1093, Ledger!$C$2:$C$4, T$2)),"****")</f>
        <v/>
      </c>
      <c r="U1093" t="str">
        <f>IFERROR(IF($C1093="","",SUMIFS(Ledger!$K$2:$K$4, Ledger!$B$2:$B$4, $A1093, Ledger!$C$2:$C$4, U$2)),"****")</f>
        <v/>
      </c>
      <c r="V1093" t="str">
        <f>IFERROR(IF($C1093="","",SUMIFS(Ledger!$K$2:$K$4, Ledger!$B$2:$B$4, $A1093, Ledger!$C$2:$C$4, V$2)),"****")</f>
        <v/>
      </c>
      <c r="W1093" t="str">
        <f>IFERROR(IF($C1093="","",SUMIFS(Ledger!$K$2:$K$4, Ledger!$B$2:$B$4, $A1093, Ledger!$C$2:$C$4, W$2)),"****")</f>
        <v/>
      </c>
      <c r="X1093" t="str">
        <f>IFERROR(IF($C1093="","",SUMIFS(Ledger!$K$2:$K$4, Ledger!$B$2:$B$4, $A1093, Ledger!$C$2:$C$4, X$2)),"****")</f>
        <v/>
      </c>
    </row>
    <row r="1094" spans="1:24" x14ac:dyDescent="0.3">
      <c r="A1094" s="106">
        <v>1092</v>
      </c>
      <c r="B1094" t="str">
        <f>IFERROR(VLOOKUP($A1094, Ledger!$B$2:$L$8, 3, 0),"")</f>
        <v/>
      </c>
      <c r="C1094" t="str">
        <f>IFERROR(VLOOKUP($A1094, Ledger!$B$2:$L$8, 4, 0),"")</f>
        <v/>
      </c>
      <c r="D1094" t="str">
        <f>IFERROR(VLOOKUP($A1094, Ledger!$B$2:$L$8, 5, 0),"")</f>
        <v/>
      </c>
      <c r="E1094" t="str">
        <f>IFERROR(VLOOKUP($A1094, Ledger!$B$2:$L$8, 6, 0),"")</f>
        <v/>
      </c>
      <c r="F1094" t="str">
        <f>IFERROR(VLOOKUP($A1094,'Student Data'!$A$2:$AR$6,32,0),"")</f>
        <v/>
      </c>
      <c r="G1094" t="str">
        <f>IFERROR(VLOOKUP($A1094,'Student Data'!$A$2:$AR$6,33,0),"")</f>
        <v/>
      </c>
      <c r="H1094" t="str">
        <f>IFERROR(VLOOKUP($A1094,'Student Data'!$A$2:$AR$6,34,0),"")</f>
        <v/>
      </c>
      <c r="I1094" t="str">
        <f>IFERROR(VLOOKUP($A1094,'Student Data'!$A$2:$AR$6,35,0),"")</f>
        <v/>
      </c>
      <c r="J1094" t="str">
        <f>IFERROR(VLOOKUP($A1094,'Student Data'!$A$2:$AR$6,36,0),"")</f>
        <v/>
      </c>
      <c r="K1094" t="str">
        <f t="shared" si="34"/>
        <v/>
      </c>
      <c r="L1094" t="str">
        <f t="shared" si="35"/>
        <v/>
      </c>
      <c r="M1094" t="str">
        <f>IFERROR(IF($C1094="","",SUMIFS(Ledger!$K$2:$K$4, Ledger!$B$2:$B$4, $A1094, Ledger!$C$2:$C$4, M$2)),"****")</f>
        <v/>
      </c>
      <c r="N1094" t="str">
        <f>IFERROR(IF($C1094="","",SUMIFS(Ledger!$K$2:$K$4, Ledger!$B$2:$B$4, $A1094, Ledger!$C$2:$C$4, N$2)),"****")</f>
        <v/>
      </c>
      <c r="O1094" t="str">
        <f>IFERROR(IF($C1094="","",SUMIFS(Ledger!$K$2:$K$4, Ledger!$B$2:$B$4, $A1094, Ledger!$C$2:$C$4, O$2)),"****")</f>
        <v/>
      </c>
      <c r="P1094" t="str">
        <f>IFERROR(IF($C1094="","",SUMIFS(Ledger!$K$2:$K$4, Ledger!$B$2:$B$4, $A1094, Ledger!$C$2:$C$4, P$2)),"****")</f>
        <v/>
      </c>
      <c r="Q1094" t="str">
        <f>IFERROR(IF($C1094="","",SUMIFS(Ledger!$K$2:$K$4, Ledger!$B$2:$B$4, $A1094, Ledger!$C$2:$C$4, Q$2)),"****")</f>
        <v/>
      </c>
      <c r="R1094" t="str">
        <f>IFERROR(IF($C1094="","",SUMIFS(Ledger!$K$2:$K$4, Ledger!$B$2:$B$4, $A1094, Ledger!$C$2:$C$4, R$2)),"****")</f>
        <v/>
      </c>
      <c r="S1094" t="str">
        <f>IFERROR(IF($C1094="","",SUMIFS(Ledger!$K$2:$K$4, Ledger!$B$2:$B$4, $A1094, Ledger!$C$2:$C$4, S$2)),"****")</f>
        <v/>
      </c>
      <c r="T1094" t="str">
        <f>IFERROR(IF($C1094="","",SUMIFS(Ledger!$K$2:$K$4, Ledger!$B$2:$B$4, $A1094, Ledger!$C$2:$C$4, T$2)),"****")</f>
        <v/>
      </c>
      <c r="U1094" t="str">
        <f>IFERROR(IF($C1094="","",SUMIFS(Ledger!$K$2:$K$4, Ledger!$B$2:$B$4, $A1094, Ledger!$C$2:$C$4, U$2)),"****")</f>
        <v/>
      </c>
      <c r="V1094" t="str">
        <f>IFERROR(IF($C1094="","",SUMIFS(Ledger!$K$2:$K$4, Ledger!$B$2:$B$4, $A1094, Ledger!$C$2:$C$4, V$2)),"****")</f>
        <v/>
      </c>
      <c r="W1094" t="str">
        <f>IFERROR(IF($C1094="","",SUMIFS(Ledger!$K$2:$K$4, Ledger!$B$2:$B$4, $A1094, Ledger!$C$2:$C$4, W$2)),"****")</f>
        <v/>
      </c>
      <c r="X1094" t="str">
        <f>IFERROR(IF($C1094="","",SUMIFS(Ledger!$K$2:$K$4, Ledger!$B$2:$B$4, $A1094, Ledger!$C$2:$C$4, X$2)),"****")</f>
        <v/>
      </c>
    </row>
    <row r="1095" spans="1:24" x14ac:dyDescent="0.3">
      <c r="A1095" s="106">
        <v>1093</v>
      </c>
      <c r="B1095" t="str">
        <f>IFERROR(VLOOKUP($A1095, Ledger!$B$2:$L$8, 3, 0),"")</f>
        <v/>
      </c>
      <c r="C1095" t="str">
        <f>IFERROR(VLOOKUP($A1095, Ledger!$B$2:$L$8, 4, 0),"")</f>
        <v/>
      </c>
      <c r="D1095" t="str">
        <f>IFERROR(VLOOKUP($A1095, Ledger!$B$2:$L$8, 5, 0),"")</f>
        <v/>
      </c>
      <c r="E1095" t="str">
        <f>IFERROR(VLOOKUP($A1095, Ledger!$B$2:$L$8, 6, 0),"")</f>
        <v/>
      </c>
      <c r="F1095" t="str">
        <f>IFERROR(VLOOKUP($A1095,'Student Data'!$A$2:$AR$6,32,0),"")</f>
        <v/>
      </c>
      <c r="G1095" t="str">
        <f>IFERROR(VLOOKUP($A1095,'Student Data'!$A$2:$AR$6,33,0),"")</f>
        <v/>
      </c>
      <c r="H1095" t="str">
        <f>IFERROR(VLOOKUP($A1095,'Student Data'!$A$2:$AR$6,34,0),"")</f>
        <v/>
      </c>
      <c r="I1095" t="str">
        <f>IFERROR(VLOOKUP($A1095,'Student Data'!$A$2:$AR$6,35,0),"")</f>
        <v/>
      </c>
      <c r="J1095" t="str">
        <f>IFERROR(VLOOKUP($A1095,'Student Data'!$A$2:$AR$6,36,0),"")</f>
        <v/>
      </c>
      <c r="K1095" t="str">
        <f t="shared" si="34"/>
        <v/>
      </c>
      <c r="L1095" t="str">
        <f t="shared" si="35"/>
        <v/>
      </c>
      <c r="M1095" t="str">
        <f>IFERROR(IF($C1095="","",SUMIFS(Ledger!$K$2:$K$4, Ledger!$B$2:$B$4, $A1095, Ledger!$C$2:$C$4, M$2)),"****")</f>
        <v/>
      </c>
      <c r="N1095" t="str">
        <f>IFERROR(IF($C1095="","",SUMIFS(Ledger!$K$2:$K$4, Ledger!$B$2:$B$4, $A1095, Ledger!$C$2:$C$4, N$2)),"****")</f>
        <v/>
      </c>
      <c r="O1095" t="str">
        <f>IFERROR(IF($C1095="","",SUMIFS(Ledger!$K$2:$K$4, Ledger!$B$2:$B$4, $A1095, Ledger!$C$2:$C$4, O$2)),"****")</f>
        <v/>
      </c>
      <c r="P1095" t="str">
        <f>IFERROR(IF($C1095="","",SUMIFS(Ledger!$K$2:$K$4, Ledger!$B$2:$B$4, $A1095, Ledger!$C$2:$C$4, P$2)),"****")</f>
        <v/>
      </c>
      <c r="Q1095" t="str">
        <f>IFERROR(IF($C1095="","",SUMIFS(Ledger!$K$2:$K$4, Ledger!$B$2:$B$4, $A1095, Ledger!$C$2:$C$4, Q$2)),"****")</f>
        <v/>
      </c>
      <c r="R1095" t="str">
        <f>IFERROR(IF($C1095="","",SUMIFS(Ledger!$K$2:$K$4, Ledger!$B$2:$B$4, $A1095, Ledger!$C$2:$C$4, R$2)),"****")</f>
        <v/>
      </c>
      <c r="S1095" t="str">
        <f>IFERROR(IF($C1095="","",SUMIFS(Ledger!$K$2:$K$4, Ledger!$B$2:$B$4, $A1095, Ledger!$C$2:$C$4, S$2)),"****")</f>
        <v/>
      </c>
      <c r="T1095" t="str">
        <f>IFERROR(IF($C1095="","",SUMIFS(Ledger!$K$2:$K$4, Ledger!$B$2:$B$4, $A1095, Ledger!$C$2:$C$4, T$2)),"****")</f>
        <v/>
      </c>
      <c r="U1095" t="str">
        <f>IFERROR(IF($C1095="","",SUMIFS(Ledger!$K$2:$K$4, Ledger!$B$2:$B$4, $A1095, Ledger!$C$2:$C$4, U$2)),"****")</f>
        <v/>
      </c>
      <c r="V1095" t="str">
        <f>IFERROR(IF($C1095="","",SUMIFS(Ledger!$K$2:$K$4, Ledger!$B$2:$B$4, $A1095, Ledger!$C$2:$C$4, V$2)),"****")</f>
        <v/>
      </c>
      <c r="W1095" t="str">
        <f>IFERROR(IF($C1095="","",SUMIFS(Ledger!$K$2:$K$4, Ledger!$B$2:$B$4, $A1095, Ledger!$C$2:$C$4, W$2)),"****")</f>
        <v/>
      </c>
      <c r="X1095" t="str">
        <f>IFERROR(IF($C1095="","",SUMIFS(Ledger!$K$2:$K$4, Ledger!$B$2:$B$4, $A1095, Ledger!$C$2:$C$4, X$2)),"****")</f>
        <v/>
      </c>
    </row>
    <row r="1096" spans="1:24" x14ac:dyDescent="0.3">
      <c r="A1096" s="106">
        <v>1094</v>
      </c>
      <c r="B1096" t="str">
        <f>IFERROR(VLOOKUP($A1096, Ledger!$B$2:$L$8, 3, 0),"")</f>
        <v/>
      </c>
      <c r="C1096" t="str">
        <f>IFERROR(VLOOKUP($A1096, Ledger!$B$2:$L$8, 4, 0),"")</f>
        <v/>
      </c>
      <c r="D1096" t="str">
        <f>IFERROR(VLOOKUP($A1096, Ledger!$B$2:$L$8, 5, 0),"")</f>
        <v/>
      </c>
      <c r="E1096" t="str">
        <f>IFERROR(VLOOKUP($A1096, Ledger!$B$2:$L$8, 6, 0),"")</f>
        <v/>
      </c>
      <c r="F1096" t="str">
        <f>IFERROR(VLOOKUP($A1096,'Student Data'!$A$2:$AR$6,32,0),"")</f>
        <v/>
      </c>
      <c r="G1096" t="str">
        <f>IFERROR(VLOOKUP($A1096,'Student Data'!$A$2:$AR$6,33,0),"")</f>
        <v/>
      </c>
      <c r="H1096" t="str">
        <f>IFERROR(VLOOKUP($A1096,'Student Data'!$A$2:$AR$6,34,0),"")</f>
        <v/>
      </c>
      <c r="I1096" t="str">
        <f>IFERROR(VLOOKUP($A1096,'Student Data'!$A$2:$AR$6,35,0),"")</f>
        <v/>
      </c>
      <c r="J1096" t="str">
        <f>IFERROR(VLOOKUP($A1096,'Student Data'!$A$2:$AR$6,36,0),"")</f>
        <v/>
      </c>
      <c r="K1096" t="str">
        <f t="shared" si="34"/>
        <v/>
      </c>
      <c r="L1096" t="str">
        <f t="shared" si="35"/>
        <v/>
      </c>
      <c r="M1096" t="str">
        <f>IFERROR(IF($C1096="","",SUMIFS(Ledger!$K$2:$K$4, Ledger!$B$2:$B$4, $A1096, Ledger!$C$2:$C$4, M$2)),"****")</f>
        <v/>
      </c>
      <c r="N1096" t="str">
        <f>IFERROR(IF($C1096="","",SUMIFS(Ledger!$K$2:$K$4, Ledger!$B$2:$B$4, $A1096, Ledger!$C$2:$C$4, N$2)),"****")</f>
        <v/>
      </c>
      <c r="O1096" t="str">
        <f>IFERROR(IF($C1096="","",SUMIFS(Ledger!$K$2:$K$4, Ledger!$B$2:$B$4, $A1096, Ledger!$C$2:$C$4, O$2)),"****")</f>
        <v/>
      </c>
      <c r="P1096" t="str">
        <f>IFERROR(IF($C1096="","",SUMIFS(Ledger!$K$2:$K$4, Ledger!$B$2:$B$4, $A1096, Ledger!$C$2:$C$4, P$2)),"****")</f>
        <v/>
      </c>
      <c r="Q1096" t="str">
        <f>IFERROR(IF($C1096="","",SUMIFS(Ledger!$K$2:$K$4, Ledger!$B$2:$B$4, $A1096, Ledger!$C$2:$C$4, Q$2)),"****")</f>
        <v/>
      </c>
      <c r="R1096" t="str">
        <f>IFERROR(IF($C1096="","",SUMIFS(Ledger!$K$2:$K$4, Ledger!$B$2:$B$4, $A1096, Ledger!$C$2:$C$4, R$2)),"****")</f>
        <v/>
      </c>
      <c r="S1096" t="str">
        <f>IFERROR(IF($C1096="","",SUMIFS(Ledger!$K$2:$K$4, Ledger!$B$2:$B$4, $A1096, Ledger!$C$2:$C$4, S$2)),"****")</f>
        <v/>
      </c>
      <c r="T1096" t="str">
        <f>IFERROR(IF($C1096="","",SUMIFS(Ledger!$K$2:$K$4, Ledger!$B$2:$B$4, $A1096, Ledger!$C$2:$C$4, T$2)),"****")</f>
        <v/>
      </c>
      <c r="U1096" t="str">
        <f>IFERROR(IF($C1096="","",SUMIFS(Ledger!$K$2:$K$4, Ledger!$B$2:$B$4, $A1096, Ledger!$C$2:$C$4, U$2)),"****")</f>
        <v/>
      </c>
      <c r="V1096" t="str">
        <f>IFERROR(IF($C1096="","",SUMIFS(Ledger!$K$2:$K$4, Ledger!$B$2:$B$4, $A1096, Ledger!$C$2:$C$4, V$2)),"****")</f>
        <v/>
      </c>
      <c r="W1096" t="str">
        <f>IFERROR(IF($C1096="","",SUMIFS(Ledger!$K$2:$K$4, Ledger!$B$2:$B$4, $A1096, Ledger!$C$2:$C$4, W$2)),"****")</f>
        <v/>
      </c>
      <c r="X1096" t="str">
        <f>IFERROR(IF($C1096="","",SUMIFS(Ledger!$K$2:$K$4, Ledger!$B$2:$B$4, $A1096, Ledger!$C$2:$C$4, X$2)),"****")</f>
        <v/>
      </c>
    </row>
    <row r="1097" spans="1:24" x14ac:dyDescent="0.3">
      <c r="A1097" s="106">
        <v>1095</v>
      </c>
      <c r="B1097" t="str">
        <f>IFERROR(VLOOKUP($A1097, Ledger!$B$2:$L$8, 3, 0),"")</f>
        <v/>
      </c>
      <c r="C1097" t="str">
        <f>IFERROR(VLOOKUP($A1097, Ledger!$B$2:$L$8, 4, 0),"")</f>
        <v/>
      </c>
      <c r="D1097" t="str">
        <f>IFERROR(VLOOKUP($A1097, Ledger!$B$2:$L$8, 5, 0),"")</f>
        <v/>
      </c>
      <c r="E1097" t="str">
        <f>IFERROR(VLOOKUP($A1097, Ledger!$B$2:$L$8, 6, 0),"")</f>
        <v/>
      </c>
      <c r="F1097" t="str">
        <f>IFERROR(VLOOKUP($A1097,'Student Data'!$A$2:$AR$6,32,0),"")</f>
        <v/>
      </c>
      <c r="G1097" t="str">
        <f>IFERROR(VLOOKUP($A1097,'Student Data'!$A$2:$AR$6,33,0),"")</f>
        <v/>
      </c>
      <c r="H1097" t="str">
        <f>IFERROR(VLOOKUP($A1097,'Student Data'!$A$2:$AR$6,34,0),"")</f>
        <v/>
      </c>
      <c r="I1097" t="str">
        <f>IFERROR(VLOOKUP($A1097,'Student Data'!$A$2:$AR$6,35,0),"")</f>
        <v/>
      </c>
      <c r="J1097" t="str">
        <f>IFERROR(VLOOKUP($A1097,'Student Data'!$A$2:$AR$6,36,0),"")</f>
        <v/>
      </c>
      <c r="K1097" t="str">
        <f t="shared" si="34"/>
        <v/>
      </c>
      <c r="L1097" t="str">
        <f t="shared" si="35"/>
        <v/>
      </c>
      <c r="M1097" t="str">
        <f>IFERROR(IF($C1097="","",SUMIFS(Ledger!$K$2:$K$4, Ledger!$B$2:$B$4, $A1097, Ledger!$C$2:$C$4, M$2)),"****")</f>
        <v/>
      </c>
      <c r="N1097" t="str">
        <f>IFERROR(IF($C1097="","",SUMIFS(Ledger!$K$2:$K$4, Ledger!$B$2:$B$4, $A1097, Ledger!$C$2:$C$4, N$2)),"****")</f>
        <v/>
      </c>
      <c r="O1097" t="str">
        <f>IFERROR(IF($C1097="","",SUMIFS(Ledger!$K$2:$K$4, Ledger!$B$2:$B$4, $A1097, Ledger!$C$2:$C$4, O$2)),"****")</f>
        <v/>
      </c>
      <c r="P1097" t="str">
        <f>IFERROR(IF($C1097="","",SUMIFS(Ledger!$K$2:$K$4, Ledger!$B$2:$B$4, $A1097, Ledger!$C$2:$C$4, P$2)),"****")</f>
        <v/>
      </c>
      <c r="Q1097" t="str">
        <f>IFERROR(IF($C1097="","",SUMIFS(Ledger!$K$2:$K$4, Ledger!$B$2:$B$4, $A1097, Ledger!$C$2:$C$4, Q$2)),"****")</f>
        <v/>
      </c>
      <c r="R1097" t="str">
        <f>IFERROR(IF($C1097="","",SUMIFS(Ledger!$K$2:$K$4, Ledger!$B$2:$B$4, $A1097, Ledger!$C$2:$C$4, R$2)),"****")</f>
        <v/>
      </c>
      <c r="S1097" t="str">
        <f>IFERROR(IF($C1097="","",SUMIFS(Ledger!$K$2:$K$4, Ledger!$B$2:$B$4, $A1097, Ledger!$C$2:$C$4, S$2)),"****")</f>
        <v/>
      </c>
      <c r="T1097" t="str">
        <f>IFERROR(IF($C1097="","",SUMIFS(Ledger!$K$2:$K$4, Ledger!$B$2:$B$4, $A1097, Ledger!$C$2:$C$4, T$2)),"****")</f>
        <v/>
      </c>
      <c r="U1097" t="str">
        <f>IFERROR(IF($C1097="","",SUMIFS(Ledger!$K$2:$K$4, Ledger!$B$2:$B$4, $A1097, Ledger!$C$2:$C$4, U$2)),"****")</f>
        <v/>
      </c>
      <c r="V1097" t="str">
        <f>IFERROR(IF($C1097="","",SUMIFS(Ledger!$K$2:$K$4, Ledger!$B$2:$B$4, $A1097, Ledger!$C$2:$C$4, V$2)),"****")</f>
        <v/>
      </c>
      <c r="W1097" t="str">
        <f>IFERROR(IF($C1097="","",SUMIFS(Ledger!$K$2:$K$4, Ledger!$B$2:$B$4, $A1097, Ledger!$C$2:$C$4, W$2)),"****")</f>
        <v/>
      </c>
      <c r="X1097" t="str">
        <f>IFERROR(IF($C1097="","",SUMIFS(Ledger!$K$2:$K$4, Ledger!$B$2:$B$4, $A1097, Ledger!$C$2:$C$4, X$2)),"****")</f>
        <v/>
      </c>
    </row>
    <row r="1098" spans="1:24" x14ac:dyDescent="0.3">
      <c r="A1098" s="106">
        <v>1096</v>
      </c>
      <c r="B1098" t="str">
        <f>IFERROR(VLOOKUP($A1098, Ledger!$B$2:$L$8, 3, 0),"")</f>
        <v/>
      </c>
      <c r="C1098" t="str">
        <f>IFERROR(VLOOKUP($A1098, Ledger!$B$2:$L$8, 4, 0),"")</f>
        <v/>
      </c>
      <c r="D1098" t="str">
        <f>IFERROR(VLOOKUP($A1098, Ledger!$B$2:$L$8, 5, 0),"")</f>
        <v/>
      </c>
      <c r="E1098" t="str">
        <f>IFERROR(VLOOKUP($A1098, Ledger!$B$2:$L$8, 6, 0),"")</f>
        <v/>
      </c>
      <c r="F1098" t="str">
        <f>IFERROR(VLOOKUP($A1098,'Student Data'!$A$2:$AR$6,32,0),"")</f>
        <v/>
      </c>
      <c r="G1098" t="str">
        <f>IFERROR(VLOOKUP($A1098,'Student Data'!$A$2:$AR$6,33,0),"")</f>
        <v/>
      </c>
      <c r="H1098" t="str">
        <f>IFERROR(VLOOKUP($A1098,'Student Data'!$A$2:$AR$6,34,0),"")</f>
        <v/>
      </c>
      <c r="I1098" t="str">
        <f>IFERROR(VLOOKUP($A1098,'Student Data'!$A$2:$AR$6,35,0),"")</f>
        <v/>
      </c>
      <c r="J1098" t="str">
        <f>IFERROR(VLOOKUP($A1098,'Student Data'!$A$2:$AR$6,36,0),"")</f>
        <v/>
      </c>
      <c r="K1098" t="str">
        <f t="shared" si="34"/>
        <v/>
      </c>
      <c r="L1098" t="str">
        <f t="shared" si="35"/>
        <v/>
      </c>
      <c r="M1098" t="str">
        <f>IFERROR(IF($C1098="","",SUMIFS(Ledger!$K$2:$K$4, Ledger!$B$2:$B$4, $A1098, Ledger!$C$2:$C$4, M$2)),"****")</f>
        <v/>
      </c>
      <c r="N1098" t="str">
        <f>IFERROR(IF($C1098="","",SUMIFS(Ledger!$K$2:$K$4, Ledger!$B$2:$B$4, $A1098, Ledger!$C$2:$C$4, N$2)),"****")</f>
        <v/>
      </c>
      <c r="O1098" t="str">
        <f>IFERROR(IF($C1098="","",SUMIFS(Ledger!$K$2:$K$4, Ledger!$B$2:$B$4, $A1098, Ledger!$C$2:$C$4, O$2)),"****")</f>
        <v/>
      </c>
      <c r="P1098" t="str">
        <f>IFERROR(IF($C1098="","",SUMIFS(Ledger!$K$2:$K$4, Ledger!$B$2:$B$4, $A1098, Ledger!$C$2:$C$4, P$2)),"****")</f>
        <v/>
      </c>
      <c r="Q1098" t="str">
        <f>IFERROR(IF($C1098="","",SUMIFS(Ledger!$K$2:$K$4, Ledger!$B$2:$B$4, $A1098, Ledger!$C$2:$C$4, Q$2)),"****")</f>
        <v/>
      </c>
      <c r="R1098" t="str">
        <f>IFERROR(IF($C1098="","",SUMIFS(Ledger!$K$2:$K$4, Ledger!$B$2:$B$4, $A1098, Ledger!$C$2:$C$4, R$2)),"****")</f>
        <v/>
      </c>
      <c r="S1098" t="str">
        <f>IFERROR(IF($C1098="","",SUMIFS(Ledger!$K$2:$K$4, Ledger!$B$2:$B$4, $A1098, Ledger!$C$2:$C$4, S$2)),"****")</f>
        <v/>
      </c>
      <c r="T1098" t="str">
        <f>IFERROR(IF($C1098="","",SUMIFS(Ledger!$K$2:$K$4, Ledger!$B$2:$B$4, $A1098, Ledger!$C$2:$C$4, T$2)),"****")</f>
        <v/>
      </c>
      <c r="U1098" t="str">
        <f>IFERROR(IF($C1098="","",SUMIFS(Ledger!$K$2:$K$4, Ledger!$B$2:$B$4, $A1098, Ledger!$C$2:$C$4, U$2)),"****")</f>
        <v/>
      </c>
      <c r="V1098" t="str">
        <f>IFERROR(IF($C1098="","",SUMIFS(Ledger!$K$2:$K$4, Ledger!$B$2:$B$4, $A1098, Ledger!$C$2:$C$4, V$2)),"****")</f>
        <v/>
      </c>
      <c r="W1098" t="str">
        <f>IFERROR(IF($C1098="","",SUMIFS(Ledger!$K$2:$K$4, Ledger!$B$2:$B$4, $A1098, Ledger!$C$2:$C$4, W$2)),"****")</f>
        <v/>
      </c>
      <c r="X1098" t="str">
        <f>IFERROR(IF($C1098="","",SUMIFS(Ledger!$K$2:$K$4, Ledger!$B$2:$B$4, $A1098, Ledger!$C$2:$C$4, X$2)),"****")</f>
        <v/>
      </c>
    </row>
    <row r="1099" spans="1:24" x14ac:dyDescent="0.3">
      <c r="A1099" s="106">
        <v>1097</v>
      </c>
      <c r="B1099" t="str">
        <f>IFERROR(VLOOKUP($A1099, Ledger!$B$2:$L$8, 3, 0),"")</f>
        <v/>
      </c>
      <c r="C1099" t="str">
        <f>IFERROR(VLOOKUP($A1099, Ledger!$B$2:$L$8, 4, 0),"")</f>
        <v/>
      </c>
      <c r="D1099" t="str">
        <f>IFERROR(VLOOKUP($A1099, Ledger!$B$2:$L$8, 5, 0),"")</f>
        <v/>
      </c>
      <c r="E1099" t="str">
        <f>IFERROR(VLOOKUP($A1099, Ledger!$B$2:$L$8, 6, 0),"")</f>
        <v/>
      </c>
      <c r="F1099" t="str">
        <f>IFERROR(VLOOKUP($A1099,'Student Data'!$A$2:$AR$6,32,0),"")</f>
        <v/>
      </c>
      <c r="G1099" t="str">
        <f>IFERROR(VLOOKUP($A1099,'Student Data'!$A$2:$AR$6,33,0),"")</f>
        <v/>
      </c>
      <c r="H1099" t="str">
        <f>IFERROR(VLOOKUP($A1099,'Student Data'!$A$2:$AR$6,34,0),"")</f>
        <v/>
      </c>
      <c r="I1099" t="str">
        <f>IFERROR(VLOOKUP($A1099,'Student Data'!$A$2:$AR$6,35,0),"")</f>
        <v/>
      </c>
      <c r="J1099" t="str">
        <f>IFERROR(VLOOKUP($A1099,'Student Data'!$A$2:$AR$6,36,0),"")</f>
        <v/>
      </c>
      <c r="K1099" t="str">
        <f t="shared" si="34"/>
        <v/>
      </c>
      <c r="L1099" t="str">
        <f t="shared" si="35"/>
        <v/>
      </c>
      <c r="M1099" t="str">
        <f>IFERROR(IF($C1099="","",SUMIFS(Ledger!$K$2:$K$4, Ledger!$B$2:$B$4, $A1099, Ledger!$C$2:$C$4, M$2)),"****")</f>
        <v/>
      </c>
      <c r="N1099" t="str">
        <f>IFERROR(IF($C1099="","",SUMIFS(Ledger!$K$2:$K$4, Ledger!$B$2:$B$4, $A1099, Ledger!$C$2:$C$4, N$2)),"****")</f>
        <v/>
      </c>
      <c r="O1099" t="str">
        <f>IFERROR(IF($C1099="","",SUMIFS(Ledger!$K$2:$K$4, Ledger!$B$2:$B$4, $A1099, Ledger!$C$2:$C$4, O$2)),"****")</f>
        <v/>
      </c>
      <c r="P1099" t="str">
        <f>IFERROR(IF($C1099="","",SUMIFS(Ledger!$K$2:$K$4, Ledger!$B$2:$B$4, $A1099, Ledger!$C$2:$C$4, P$2)),"****")</f>
        <v/>
      </c>
      <c r="Q1099" t="str">
        <f>IFERROR(IF($C1099="","",SUMIFS(Ledger!$K$2:$K$4, Ledger!$B$2:$B$4, $A1099, Ledger!$C$2:$C$4, Q$2)),"****")</f>
        <v/>
      </c>
      <c r="R1099" t="str">
        <f>IFERROR(IF($C1099="","",SUMIFS(Ledger!$K$2:$K$4, Ledger!$B$2:$B$4, $A1099, Ledger!$C$2:$C$4, R$2)),"****")</f>
        <v/>
      </c>
      <c r="S1099" t="str">
        <f>IFERROR(IF($C1099="","",SUMIFS(Ledger!$K$2:$K$4, Ledger!$B$2:$B$4, $A1099, Ledger!$C$2:$C$4, S$2)),"****")</f>
        <v/>
      </c>
      <c r="T1099" t="str">
        <f>IFERROR(IF($C1099="","",SUMIFS(Ledger!$K$2:$K$4, Ledger!$B$2:$B$4, $A1099, Ledger!$C$2:$C$4, T$2)),"****")</f>
        <v/>
      </c>
      <c r="U1099" t="str">
        <f>IFERROR(IF($C1099="","",SUMIFS(Ledger!$K$2:$K$4, Ledger!$B$2:$B$4, $A1099, Ledger!$C$2:$C$4, U$2)),"****")</f>
        <v/>
      </c>
      <c r="V1099" t="str">
        <f>IFERROR(IF($C1099="","",SUMIFS(Ledger!$K$2:$K$4, Ledger!$B$2:$B$4, $A1099, Ledger!$C$2:$C$4, V$2)),"****")</f>
        <v/>
      </c>
      <c r="W1099" t="str">
        <f>IFERROR(IF($C1099="","",SUMIFS(Ledger!$K$2:$K$4, Ledger!$B$2:$B$4, $A1099, Ledger!$C$2:$C$4, W$2)),"****")</f>
        <v/>
      </c>
      <c r="X1099" t="str">
        <f>IFERROR(IF($C1099="","",SUMIFS(Ledger!$K$2:$K$4, Ledger!$B$2:$B$4, $A1099, Ledger!$C$2:$C$4, X$2)),"****")</f>
        <v/>
      </c>
    </row>
    <row r="1100" spans="1:24" x14ac:dyDescent="0.3">
      <c r="A1100" s="106">
        <v>1098</v>
      </c>
      <c r="B1100" t="str">
        <f>IFERROR(VLOOKUP($A1100, Ledger!$B$2:$L$8, 3, 0),"")</f>
        <v/>
      </c>
      <c r="C1100" t="str">
        <f>IFERROR(VLOOKUP($A1100, Ledger!$B$2:$L$8, 4, 0),"")</f>
        <v/>
      </c>
      <c r="D1100" t="str">
        <f>IFERROR(VLOOKUP($A1100, Ledger!$B$2:$L$8, 5, 0),"")</f>
        <v/>
      </c>
      <c r="E1100" t="str">
        <f>IFERROR(VLOOKUP($A1100, Ledger!$B$2:$L$8, 6, 0),"")</f>
        <v/>
      </c>
      <c r="F1100" t="str">
        <f>IFERROR(VLOOKUP($A1100,'Student Data'!$A$2:$AR$6,32,0),"")</f>
        <v/>
      </c>
      <c r="G1100" t="str">
        <f>IFERROR(VLOOKUP($A1100,'Student Data'!$A$2:$AR$6,33,0),"")</f>
        <v/>
      </c>
      <c r="H1100" t="str">
        <f>IFERROR(VLOOKUP($A1100,'Student Data'!$A$2:$AR$6,34,0),"")</f>
        <v/>
      </c>
      <c r="I1100" t="str">
        <f>IFERROR(VLOOKUP($A1100,'Student Data'!$A$2:$AR$6,35,0),"")</f>
        <v/>
      </c>
      <c r="J1100" t="str">
        <f>IFERROR(VLOOKUP($A1100,'Student Data'!$A$2:$AR$6,36,0),"")</f>
        <v/>
      </c>
      <c r="K1100" t="str">
        <f t="shared" si="34"/>
        <v/>
      </c>
      <c r="L1100" t="str">
        <f t="shared" si="35"/>
        <v/>
      </c>
      <c r="M1100" t="str">
        <f>IFERROR(IF($C1100="","",SUMIFS(Ledger!$K$2:$K$4, Ledger!$B$2:$B$4, $A1100, Ledger!$C$2:$C$4, M$2)),"****")</f>
        <v/>
      </c>
      <c r="N1100" t="str">
        <f>IFERROR(IF($C1100="","",SUMIFS(Ledger!$K$2:$K$4, Ledger!$B$2:$B$4, $A1100, Ledger!$C$2:$C$4, N$2)),"****")</f>
        <v/>
      </c>
      <c r="O1100" t="str">
        <f>IFERROR(IF($C1100="","",SUMIFS(Ledger!$K$2:$K$4, Ledger!$B$2:$B$4, $A1100, Ledger!$C$2:$C$4, O$2)),"****")</f>
        <v/>
      </c>
      <c r="P1100" t="str">
        <f>IFERROR(IF($C1100="","",SUMIFS(Ledger!$K$2:$K$4, Ledger!$B$2:$B$4, $A1100, Ledger!$C$2:$C$4, P$2)),"****")</f>
        <v/>
      </c>
      <c r="Q1100" t="str">
        <f>IFERROR(IF($C1100="","",SUMIFS(Ledger!$K$2:$K$4, Ledger!$B$2:$B$4, $A1100, Ledger!$C$2:$C$4, Q$2)),"****")</f>
        <v/>
      </c>
      <c r="R1100" t="str">
        <f>IFERROR(IF($C1100="","",SUMIFS(Ledger!$K$2:$K$4, Ledger!$B$2:$B$4, $A1100, Ledger!$C$2:$C$4, R$2)),"****")</f>
        <v/>
      </c>
      <c r="S1100" t="str">
        <f>IFERROR(IF($C1100="","",SUMIFS(Ledger!$K$2:$K$4, Ledger!$B$2:$B$4, $A1100, Ledger!$C$2:$C$4, S$2)),"****")</f>
        <v/>
      </c>
      <c r="T1100" t="str">
        <f>IFERROR(IF($C1100="","",SUMIFS(Ledger!$K$2:$K$4, Ledger!$B$2:$B$4, $A1100, Ledger!$C$2:$C$4, T$2)),"****")</f>
        <v/>
      </c>
      <c r="U1100" t="str">
        <f>IFERROR(IF($C1100="","",SUMIFS(Ledger!$K$2:$K$4, Ledger!$B$2:$B$4, $A1100, Ledger!$C$2:$C$4, U$2)),"****")</f>
        <v/>
      </c>
      <c r="V1100" t="str">
        <f>IFERROR(IF($C1100="","",SUMIFS(Ledger!$K$2:$K$4, Ledger!$B$2:$B$4, $A1100, Ledger!$C$2:$C$4, V$2)),"****")</f>
        <v/>
      </c>
      <c r="W1100" t="str">
        <f>IFERROR(IF($C1100="","",SUMIFS(Ledger!$K$2:$K$4, Ledger!$B$2:$B$4, $A1100, Ledger!$C$2:$C$4, W$2)),"****")</f>
        <v/>
      </c>
      <c r="X1100" t="str">
        <f>IFERROR(IF($C1100="","",SUMIFS(Ledger!$K$2:$K$4, Ledger!$B$2:$B$4, $A1100, Ledger!$C$2:$C$4, X$2)),"****")</f>
        <v/>
      </c>
    </row>
    <row r="1101" spans="1:24" x14ac:dyDescent="0.3">
      <c r="A1101" s="106">
        <v>1099</v>
      </c>
      <c r="B1101" t="str">
        <f>IFERROR(VLOOKUP($A1101, Ledger!$B$2:$L$8, 3, 0),"")</f>
        <v/>
      </c>
      <c r="C1101" t="str">
        <f>IFERROR(VLOOKUP($A1101, Ledger!$B$2:$L$8, 4, 0),"")</f>
        <v/>
      </c>
      <c r="D1101" t="str">
        <f>IFERROR(VLOOKUP($A1101, Ledger!$B$2:$L$8, 5, 0),"")</f>
        <v/>
      </c>
      <c r="E1101" t="str">
        <f>IFERROR(VLOOKUP($A1101, Ledger!$B$2:$L$8, 6, 0),"")</f>
        <v/>
      </c>
      <c r="F1101" t="str">
        <f>IFERROR(VLOOKUP($A1101,'Student Data'!$A$2:$AR$6,32,0),"")</f>
        <v/>
      </c>
      <c r="G1101" t="str">
        <f>IFERROR(VLOOKUP($A1101,'Student Data'!$A$2:$AR$6,33,0),"")</f>
        <v/>
      </c>
      <c r="H1101" t="str">
        <f>IFERROR(VLOOKUP($A1101,'Student Data'!$A$2:$AR$6,34,0),"")</f>
        <v/>
      </c>
      <c r="I1101" t="str">
        <f>IFERROR(VLOOKUP($A1101,'Student Data'!$A$2:$AR$6,35,0),"")</f>
        <v/>
      </c>
      <c r="J1101" t="str">
        <f>IFERROR(VLOOKUP($A1101,'Student Data'!$A$2:$AR$6,36,0),"")</f>
        <v/>
      </c>
      <c r="K1101" t="str">
        <f t="shared" si="34"/>
        <v/>
      </c>
      <c r="L1101" t="str">
        <f t="shared" si="35"/>
        <v/>
      </c>
      <c r="M1101" t="str">
        <f>IFERROR(IF($C1101="","",SUMIFS(Ledger!$K$2:$K$4, Ledger!$B$2:$B$4, $A1101, Ledger!$C$2:$C$4, M$2)),"****")</f>
        <v/>
      </c>
      <c r="N1101" t="str">
        <f>IFERROR(IF($C1101="","",SUMIFS(Ledger!$K$2:$K$4, Ledger!$B$2:$B$4, $A1101, Ledger!$C$2:$C$4, N$2)),"****")</f>
        <v/>
      </c>
      <c r="O1101" t="str">
        <f>IFERROR(IF($C1101="","",SUMIFS(Ledger!$K$2:$K$4, Ledger!$B$2:$B$4, $A1101, Ledger!$C$2:$C$4, O$2)),"****")</f>
        <v/>
      </c>
      <c r="P1101" t="str">
        <f>IFERROR(IF($C1101="","",SUMIFS(Ledger!$K$2:$K$4, Ledger!$B$2:$B$4, $A1101, Ledger!$C$2:$C$4, P$2)),"****")</f>
        <v/>
      </c>
      <c r="Q1101" t="str">
        <f>IFERROR(IF($C1101="","",SUMIFS(Ledger!$K$2:$K$4, Ledger!$B$2:$B$4, $A1101, Ledger!$C$2:$C$4, Q$2)),"****")</f>
        <v/>
      </c>
      <c r="R1101" t="str">
        <f>IFERROR(IF($C1101="","",SUMIFS(Ledger!$K$2:$K$4, Ledger!$B$2:$B$4, $A1101, Ledger!$C$2:$C$4, R$2)),"****")</f>
        <v/>
      </c>
      <c r="S1101" t="str">
        <f>IFERROR(IF($C1101="","",SUMIFS(Ledger!$K$2:$K$4, Ledger!$B$2:$B$4, $A1101, Ledger!$C$2:$C$4, S$2)),"****")</f>
        <v/>
      </c>
      <c r="T1101" t="str">
        <f>IFERROR(IF($C1101="","",SUMIFS(Ledger!$K$2:$K$4, Ledger!$B$2:$B$4, $A1101, Ledger!$C$2:$C$4, T$2)),"****")</f>
        <v/>
      </c>
      <c r="U1101" t="str">
        <f>IFERROR(IF($C1101="","",SUMIFS(Ledger!$K$2:$K$4, Ledger!$B$2:$B$4, $A1101, Ledger!$C$2:$C$4, U$2)),"****")</f>
        <v/>
      </c>
      <c r="V1101" t="str">
        <f>IFERROR(IF($C1101="","",SUMIFS(Ledger!$K$2:$K$4, Ledger!$B$2:$B$4, $A1101, Ledger!$C$2:$C$4, V$2)),"****")</f>
        <v/>
      </c>
      <c r="W1101" t="str">
        <f>IFERROR(IF($C1101="","",SUMIFS(Ledger!$K$2:$K$4, Ledger!$B$2:$B$4, $A1101, Ledger!$C$2:$C$4, W$2)),"****")</f>
        <v/>
      </c>
      <c r="X1101" t="str">
        <f>IFERROR(IF($C1101="","",SUMIFS(Ledger!$K$2:$K$4, Ledger!$B$2:$B$4, $A1101, Ledger!$C$2:$C$4, X$2)),"****")</f>
        <v/>
      </c>
    </row>
    <row r="1102" spans="1:24" x14ac:dyDescent="0.3">
      <c r="A1102" s="106">
        <v>1100</v>
      </c>
      <c r="B1102" t="str">
        <f>IFERROR(VLOOKUP($A1102, Ledger!$B$2:$L$8, 3, 0),"")</f>
        <v/>
      </c>
      <c r="C1102" t="str">
        <f>IFERROR(VLOOKUP($A1102, Ledger!$B$2:$L$8, 4, 0),"")</f>
        <v/>
      </c>
      <c r="D1102" t="str">
        <f>IFERROR(VLOOKUP($A1102, Ledger!$B$2:$L$8, 5, 0),"")</f>
        <v/>
      </c>
      <c r="E1102" t="str">
        <f>IFERROR(VLOOKUP($A1102, Ledger!$B$2:$L$8, 6, 0),"")</f>
        <v/>
      </c>
      <c r="F1102" t="str">
        <f>IFERROR(VLOOKUP($A1102,'Student Data'!$A$2:$AR$6,32,0),"")</f>
        <v/>
      </c>
      <c r="G1102" t="str">
        <f>IFERROR(VLOOKUP($A1102,'Student Data'!$A$2:$AR$6,33,0),"")</f>
        <v/>
      </c>
      <c r="H1102" t="str">
        <f>IFERROR(VLOOKUP($A1102,'Student Data'!$A$2:$AR$6,34,0),"")</f>
        <v/>
      </c>
      <c r="I1102" t="str">
        <f>IFERROR(VLOOKUP($A1102,'Student Data'!$A$2:$AR$6,35,0),"")</f>
        <v/>
      </c>
      <c r="J1102" t="str">
        <f>IFERROR(VLOOKUP($A1102,'Student Data'!$A$2:$AR$6,36,0),"")</f>
        <v/>
      </c>
      <c r="K1102" t="str">
        <f t="shared" si="34"/>
        <v/>
      </c>
      <c r="L1102" t="str">
        <f t="shared" si="35"/>
        <v/>
      </c>
      <c r="M1102" t="str">
        <f>IFERROR(IF($C1102="","",SUMIFS(Ledger!$K$2:$K$4, Ledger!$B$2:$B$4, $A1102, Ledger!$C$2:$C$4, M$2)),"****")</f>
        <v/>
      </c>
      <c r="N1102" t="str">
        <f>IFERROR(IF($C1102="","",SUMIFS(Ledger!$K$2:$K$4, Ledger!$B$2:$B$4, $A1102, Ledger!$C$2:$C$4, N$2)),"****")</f>
        <v/>
      </c>
      <c r="O1102" t="str">
        <f>IFERROR(IF($C1102="","",SUMIFS(Ledger!$K$2:$K$4, Ledger!$B$2:$B$4, $A1102, Ledger!$C$2:$C$4, O$2)),"****")</f>
        <v/>
      </c>
      <c r="P1102" t="str">
        <f>IFERROR(IF($C1102="","",SUMIFS(Ledger!$K$2:$K$4, Ledger!$B$2:$B$4, $A1102, Ledger!$C$2:$C$4, P$2)),"****")</f>
        <v/>
      </c>
      <c r="Q1102" t="str">
        <f>IFERROR(IF($C1102="","",SUMIFS(Ledger!$K$2:$K$4, Ledger!$B$2:$B$4, $A1102, Ledger!$C$2:$C$4, Q$2)),"****")</f>
        <v/>
      </c>
      <c r="R1102" t="str">
        <f>IFERROR(IF($C1102="","",SUMIFS(Ledger!$K$2:$K$4, Ledger!$B$2:$B$4, $A1102, Ledger!$C$2:$C$4, R$2)),"****")</f>
        <v/>
      </c>
      <c r="S1102" t="str">
        <f>IFERROR(IF($C1102="","",SUMIFS(Ledger!$K$2:$K$4, Ledger!$B$2:$B$4, $A1102, Ledger!$C$2:$C$4, S$2)),"****")</f>
        <v/>
      </c>
      <c r="T1102" t="str">
        <f>IFERROR(IF($C1102="","",SUMIFS(Ledger!$K$2:$K$4, Ledger!$B$2:$B$4, $A1102, Ledger!$C$2:$C$4, T$2)),"****")</f>
        <v/>
      </c>
      <c r="U1102" t="str">
        <f>IFERROR(IF($C1102="","",SUMIFS(Ledger!$K$2:$K$4, Ledger!$B$2:$B$4, $A1102, Ledger!$C$2:$C$4, U$2)),"****")</f>
        <v/>
      </c>
      <c r="V1102" t="str">
        <f>IFERROR(IF($C1102="","",SUMIFS(Ledger!$K$2:$K$4, Ledger!$B$2:$B$4, $A1102, Ledger!$C$2:$C$4, V$2)),"****")</f>
        <v/>
      </c>
      <c r="W1102" t="str">
        <f>IFERROR(IF($C1102="","",SUMIFS(Ledger!$K$2:$K$4, Ledger!$B$2:$B$4, $A1102, Ledger!$C$2:$C$4, W$2)),"****")</f>
        <v/>
      </c>
      <c r="X1102" t="str">
        <f>IFERROR(IF($C1102="","",SUMIFS(Ledger!$K$2:$K$4, Ledger!$B$2:$B$4, $A1102, Ledger!$C$2:$C$4, X$2)),"****")</f>
        <v/>
      </c>
    </row>
    <row r="1103" spans="1:24" x14ac:dyDescent="0.3">
      <c r="A1103" s="106">
        <v>1101</v>
      </c>
      <c r="B1103" t="str">
        <f>IFERROR(VLOOKUP($A1103, Ledger!$B$2:$L$8, 3, 0),"")</f>
        <v/>
      </c>
      <c r="C1103" t="str">
        <f>IFERROR(VLOOKUP($A1103, Ledger!$B$2:$L$8, 4, 0),"")</f>
        <v/>
      </c>
      <c r="D1103" t="str">
        <f>IFERROR(VLOOKUP($A1103, Ledger!$B$2:$L$8, 5, 0),"")</f>
        <v/>
      </c>
      <c r="E1103" t="str">
        <f>IFERROR(VLOOKUP($A1103, Ledger!$B$2:$L$8, 6, 0),"")</f>
        <v/>
      </c>
      <c r="F1103" t="str">
        <f>IFERROR(VLOOKUP($A1103,'Student Data'!$A$2:$AR$6,32,0),"")</f>
        <v/>
      </c>
      <c r="G1103" t="str">
        <f>IFERROR(VLOOKUP($A1103,'Student Data'!$A$2:$AR$6,33,0),"")</f>
        <v/>
      </c>
      <c r="H1103" t="str">
        <f>IFERROR(VLOOKUP($A1103,'Student Data'!$A$2:$AR$6,34,0),"")</f>
        <v/>
      </c>
      <c r="I1103" t="str">
        <f>IFERROR(VLOOKUP($A1103,'Student Data'!$A$2:$AR$6,35,0),"")</f>
        <v/>
      </c>
      <c r="J1103" t="str">
        <f>IFERROR(VLOOKUP($A1103,'Student Data'!$A$2:$AR$6,36,0),"")</f>
        <v/>
      </c>
      <c r="K1103" t="str">
        <f t="shared" si="34"/>
        <v/>
      </c>
      <c r="L1103" t="str">
        <f t="shared" si="35"/>
        <v/>
      </c>
      <c r="M1103" t="str">
        <f>IFERROR(IF($C1103="","",SUMIFS(Ledger!$K$2:$K$4, Ledger!$B$2:$B$4, $A1103, Ledger!$C$2:$C$4, M$2)),"****")</f>
        <v/>
      </c>
      <c r="N1103" t="str">
        <f>IFERROR(IF($C1103="","",SUMIFS(Ledger!$K$2:$K$4, Ledger!$B$2:$B$4, $A1103, Ledger!$C$2:$C$4, N$2)),"****")</f>
        <v/>
      </c>
      <c r="O1103" t="str">
        <f>IFERROR(IF($C1103="","",SUMIFS(Ledger!$K$2:$K$4, Ledger!$B$2:$B$4, $A1103, Ledger!$C$2:$C$4, O$2)),"****")</f>
        <v/>
      </c>
      <c r="P1103" t="str">
        <f>IFERROR(IF($C1103="","",SUMIFS(Ledger!$K$2:$K$4, Ledger!$B$2:$B$4, $A1103, Ledger!$C$2:$C$4, P$2)),"****")</f>
        <v/>
      </c>
      <c r="Q1103" t="str">
        <f>IFERROR(IF($C1103="","",SUMIFS(Ledger!$K$2:$K$4, Ledger!$B$2:$B$4, $A1103, Ledger!$C$2:$C$4, Q$2)),"****")</f>
        <v/>
      </c>
      <c r="R1103" t="str">
        <f>IFERROR(IF($C1103="","",SUMIFS(Ledger!$K$2:$K$4, Ledger!$B$2:$B$4, $A1103, Ledger!$C$2:$C$4, R$2)),"****")</f>
        <v/>
      </c>
      <c r="S1103" t="str">
        <f>IFERROR(IF($C1103="","",SUMIFS(Ledger!$K$2:$K$4, Ledger!$B$2:$B$4, $A1103, Ledger!$C$2:$C$4, S$2)),"****")</f>
        <v/>
      </c>
      <c r="T1103" t="str">
        <f>IFERROR(IF($C1103="","",SUMIFS(Ledger!$K$2:$K$4, Ledger!$B$2:$B$4, $A1103, Ledger!$C$2:$C$4, T$2)),"****")</f>
        <v/>
      </c>
      <c r="U1103" t="str">
        <f>IFERROR(IF($C1103="","",SUMIFS(Ledger!$K$2:$K$4, Ledger!$B$2:$B$4, $A1103, Ledger!$C$2:$C$4, U$2)),"****")</f>
        <v/>
      </c>
      <c r="V1103" t="str">
        <f>IFERROR(IF($C1103="","",SUMIFS(Ledger!$K$2:$K$4, Ledger!$B$2:$B$4, $A1103, Ledger!$C$2:$C$4, V$2)),"****")</f>
        <v/>
      </c>
      <c r="W1103" t="str">
        <f>IFERROR(IF($C1103="","",SUMIFS(Ledger!$K$2:$K$4, Ledger!$B$2:$B$4, $A1103, Ledger!$C$2:$C$4, W$2)),"****")</f>
        <v/>
      </c>
      <c r="X1103" t="str">
        <f>IFERROR(IF($C1103="","",SUMIFS(Ledger!$K$2:$K$4, Ledger!$B$2:$B$4, $A1103, Ledger!$C$2:$C$4, X$2)),"****")</f>
        <v/>
      </c>
    </row>
    <row r="1104" spans="1:24" x14ac:dyDescent="0.3">
      <c r="A1104" s="106">
        <v>1102</v>
      </c>
      <c r="B1104" t="str">
        <f>IFERROR(VLOOKUP($A1104, Ledger!$B$2:$L$8, 3, 0),"")</f>
        <v/>
      </c>
      <c r="C1104" t="str">
        <f>IFERROR(VLOOKUP($A1104, Ledger!$B$2:$L$8, 4, 0),"")</f>
        <v/>
      </c>
      <c r="D1104" t="str">
        <f>IFERROR(VLOOKUP($A1104, Ledger!$B$2:$L$8, 5, 0),"")</f>
        <v/>
      </c>
      <c r="E1104" t="str">
        <f>IFERROR(VLOOKUP($A1104, Ledger!$B$2:$L$8, 6, 0),"")</f>
        <v/>
      </c>
      <c r="F1104" t="str">
        <f>IFERROR(VLOOKUP($A1104,'Student Data'!$A$2:$AR$6,32,0),"")</f>
        <v/>
      </c>
      <c r="G1104" t="str">
        <f>IFERROR(VLOOKUP($A1104,'Student Data'!$A$2:$AR$6,33,0),"")</f>
        <v/>
      </c>
      <c r="H1104" t="str">
        <f>IFERROR(VLOOKUP($A1104,'Student Data'!$A$2:$AR$6,34,0),"")</f>
        <v/>
      </c>
      <c r="I1104" t="str">
        <f>IFERROR(VLOOKUP($A1104,'Student Data'!$A$2:$AR$6,35,0),"")</f>
        <v/>
      </c>
      <c r="J1104" t="str">
        <f>IFERROR(VLOOKUP($A1104,'Student Data'!$A$2:$AR$6,36,0),"")</f>
        <v/>
      </c>
      <c r="K1104" t="str">
        <f t="shared" si="34"/>
        <v/>
      </c>
      <c r="L1104" t="str">
        <f t="shared" si="35"/>
        <v/>
      </c>
      <c r="M1104" t="str">
        <f>IFERROR(IF($C1104="","",SUMIFS(Ledger!$K$2:$K$4, Ledger!$B$2:$B$4, $A1104, Ledger!$C$2:$C$4, M$2)),"****")</f>
        <v/>
      </c>
      <c r="N1104" t="str">
        <f>IFERROR(IF($C1104="","",SUMIFS(Ledger!$K$2:$K$4, Ledger!$B$2:$B$4, $A1104, Ledger!$C$2:$C$4, N$2)),"****")</f>
        <v/>
      </c>
      <c r="O1104" t="str">
        <f>IFERROR(IF($C1104="","",SUMIFS(Ledger!$K$2:$K$4, Ledger!$B$2:$B$4, $A1104, Ledger!$C$2:$C$4, O$2)),"****")</f>
        <v/>
      </c>
      <c r="P1104" t="str">
        <f>IFERROR(IF($C1104="","",SUMIFS(Ledger!$K$2:$K$4, Ledger!$B$2:$B$4, $A1104, Ledger!$C$2:$C$4, P$2)),"****")</f>
        <v/>
      </c>
      <c r="Q1104" t="str">
        <f>IFERROR(IF($C1104="","",SUMIFS(Ledger!$K$2:$K$4, Ledger!$B$2:$B$4, $A1104, Ledger!$C$2:$C$4, Q$2)),"****")</f>
        <v/>
      </c>
      <c r="R1104" t="str">
        <f>IFERROR(IF($C1104="","",SUMIFS(Ledger!$K$2:$K$4, Ledger!$B$2:$B$4, $A1104, Ledger!$C$2:$C$4, R$2)),"****")</f>
        <v/>
      </c>
      <c r="S1104" t="str">
        <f>IFERROR(IF($C1104="","",SUMIFS(Ledger!$K$2:$K$4, Ledger!$B$2:$B$4, $A1104, Ledger!$C$2:$C$4, S$2)),"****")</f>
        <v/>
      </c>
      <c r="T1104" t="str">
        <f>IFERROR(IF($C1104="","",SUMIFS(Ledger!$K$2:$K$4, Ledger!$B$2:$B$4, $A1104, Ledger!$C$2:$C$4, T$2)),"****")</f>
        <v/>
      </c>
      <c r="U1104" t="str">
        <f>IFERROR(IF($C1104="","",SUMIFS(Ledger!$K$2:$K$4, Ledger!$B$2:$B$4, $A1104, Ledger!$C$2:$C$4, U$2)),"****")</f>
        <v/>
      </c>
      <c r="V1104" t="str">
        <f>IFERROR(IF($C1104="","",SUMIFS(Ledger!$K$2:$K$4, Ledger!$B$2:$B$4, $A1104, Ledger!$C$2:$C$4, V$2)),"****")</f>
        <v/>
      </c>
      <c r="W1104" t="str">
        <f>IFERROR(IF($C1104="","",SUMIFS(Ledger!$K$2:$K$4, Ledger!$B$2:$B$4, $A1104, Ledger!$C$2:$C$4, W$2)),"****")</f>
        <v/>
      </c>
      <c r="X1104" t="str">
        <f>IFERROR(IF($C1104="","",SUMIFS(Ledger!$K$2:$K$4, Ledger!$B$2:$B$4, $A1104, Ledger!$C$2:$C$4, X$2)),"****")</f>
        <v/>
      </c>
    </row>
    <row r="1105" spans="1:24" x14ac:dyDescent="0.3">
      <c r="A1105" s="106">
        <v>1103</v>
      </c>
      <c r="B1105" t="str">
        <f>IFERROR(VLOOKUP($A1105, Ledger!$B$2:$L$8, 3, 0),"")</f>
        <v/>
      </c>
      <c r="C1105" t="str">
        <f>IFERROR(VLOOKUP($A1105, Ledger!$B$2:$L$8, 4, 0),"")</f>
        <v/>
      </c>
      <c r="D1105" t="str">
        <f>IFERROR(VLOOKUP($A1105, Ledger!$B$2:$L$8, 5, 0),"")</f>
        <v/>
      </c>
      <c r="E1105" t="str">
        <f>IFERROR(VLOOKUP($A1105, Ledger!$B$2:$L$8, 6, 0),"")</f>
        <v/>
      </c>
      <c r="F1105" t="str">
        <f>IFERROR(VLOOKUP($A1105,'Student Data'!$A$2:$AR$6,32,0),"")</f>
        <v/>
      </c>
      <c r="G1105" t="str">
        <f>IFERROR(VLOOKUP($A1105,'Student Data'!$A$2:$AR$6,33,0),"")</f>
        <v/>
      </c>
      <c r="H1105" t="str">
        <f>IFERROR(VLOOKUP($A1105,'Student Data'!$A$2:$AR$6,34,0),"")</f>
        <v/>
      </c>
      <c r="I1105" t="str">
        <f>IFERROR(VLOOKUP($A1105,'Student Data'!$A$2:$AR$6,35,0),"")</f>
        <v/>
      </c>
      <c r="J1105" t="str">
        <f>IFERROR(VLOOKUP($A1105,'Student Data'!$A$2:$AR$6,36,0),"")</f>
        <v/>
      </c>
      <c r="K1105" t="str">
        <f t="shared" si="34"/>
        <v/>
      </c>
      <c r="L1105" t="str">
        <f t="shared" si="35"/>
        <v/>
      </c>
      <c r="M1105" t="str">
        <f>IFERROR(IF($C1105="","",SUMIFS(Ledger!$K$2:$K$4, Ledger!$B$2:$B$4, $A1105, Ledger!$C$2:$C$4, M$2)),"****")</f>
        <v/>
      </c>
      <c r="N1105" t="str">
        <f>IFERROR(IF($C1105="","",SUMIFS(Ledger!$K$2:$K$4, Ledger!$B$2:$B$4, $A1105, Ledger!$C$2:$C$4, N$2)),"****")</f>
        <v/>
      </c>
      <c r="O1105" t="str">
        <f>IFERROR(IF($C1105="","",SUMIFS(Ledger!$K$2:$K$4, Ledger!$B$2:$B$4, $A1105, Ledger!$C$2:$C$4, O$2)),"****")</f>
        <v/>
      </c>
      <c r="P1105" t="str">
        <f>IFERROR(IF($C1105="","",SUMIFS(Ledger!$K$2:$K$4, Ledger!$B$2:$B$4, $A1105, Ledger!$C$2:$C$4, P$2)),"****")</f>
        <v/>
      </c>
      <c r="Q1105" t="str">
        <f>IFERROR(IF($C1105="","",SUMIFS(Ledger!$K$2:$K$4, Ledger!$B$2:$B$4, $A1105, Ledger!$C$2:$C$4, Q$2)),"****")</f>
        <v/>
      </c>
      <c r="R1105" t="str">
        <f>IFERROR(IF($C1105="","",SUMIFS(Ledger!$K$2:$K$4, Ledger!$B$2:$B$4, $A1105, Ledger!$C$2:$C$4, R$2)),"****")</f>
        <v/>
      </c>
      <c r="S1105" t="str">
        <f>IFERROR(IF($C1105="","",SUMIFS(Ledger!$K$2:$K$4, Ledger!$B$2:$B$4, $A1105, Ledger!$C$2:$C$4, S$2)),"****")</f>
        <v/>
      </c>
      <c r="T1105" t="str">
        <f>IFERROR(IF($C1105="","",SUMIFS(Ledger!$K$2:$K$4, Ledger!$B$2:$B$4, $A1105, Ledger!$C$2:$C$4, T$2)),"****")</f>
        <v/>
      </c>
      <c r="U1105" t="str">
        <f>IFERROR(IF($C1105="","",SUMIFS(Ledger!$K$2:$K$4, Ledger!$B$2:$B$4, $A1105, Ledger!$C$2:$C$4, U$2)),"****")</f>
        <v/>
      </c>
      <c r="V1105" t="str">
        <f>IFERROR(IF($C1105="","",SUMIFS(Ledger!$K$2:$K$4, Ledger!$B$2:$B$4, $A1105, Ledger!$C$2:$C$4, V$2)),"****")</f>
        <v/>
      </c>
      <c r="W1105" t="str">
        <f>IFERROR(IF($C1105="","",SUMIFS(Ledger!$K$2:$K$4, Ledger!$B$2:$B$4, $A1105, Ledger!$C$2:$C$4, W$2)),"****")</f>
        <v/>
      </c>
      <c r="X1105" t="str">
        <f>IFERROR(IF($C1105="","",SUMIFS(Ledger!$K$2:$K$4, Ledger!$B$2:$B$4, $A1105, Ledger!$C$2:$C$4, X$2)),"****")</f>
        <v/>
      </c>
    </row>
    <row r="1106" spans="1:24" x14ac:dyDescent="0.3">
      <c r="A1106" s="106">
        <v>1104</v>
      </c>
      <c r="B1106" t="str">
        <f>IFERROR(VLOOKUP($A1106, Ledger!$B$2:$L$8, 3, 0),"")</f>
        <v/>
      </c>
      <c r="C1106" t="str">
        <f>IFERROR(VLOOKUP($A1106, Ledger!$B$2:$L$8, 4, 0),"")</f>
        <v/>
      </c>
      <c r="D1106" t="str">
        <f>IFERROR(VLOOKUP($A1106, Ledger!$B$2:$L$8, 5, 0),"")</f>
        <v/>
      </c>
      <c r="E1106" t="str">
        <f>IFERROR(VLOOKUP($A1106, Ledger!$B$2:$L$8, 6, 0),"")</f>
        <v/>
      </c>
      <c r="F1106" t="str">
        <f>IFERROR(VLOOKUP($A1106,'Student Data'!$A$2:$AR$6,32,0),"")</f>
        <v/>
      </c>
      <c r="G1106" t="str">
        <f>IFERROR(VLOOKUP($A1106,'Student Data'!$A$2:$AR$6,33,0),"")</f>
        <v/>
      </c>
      <c r="H1106" t="str">
        <f>IFERROR(VLOOKUP($A1106,'Student Data'!$A$2:$AR$6,34,0),"")</f>
        <v/>
      </c>
      <c r="I1106" t="str">
        <f>IFERROR(VLOOKUP($A1106,'Student Data'!$A$2:$AR$6,35,0),"")</f>
        <v/>
      </c>
      <c r="J1106" t="str">
        <f>IFERROR(VLOOKUP($A1106,'Student Data'!$A$2:$AR$6,36,0),"")</f>
        <v/>
      </c>
      <c r="K1106" t="str">
        <f t="shared" si="34"/>
        <v/>
      </c>
      <c r="L1106" t="str">
        <f t="shared" si="35"/>
        <v/>
      </c>
      <c r="M1106" t="str">
        <f>IFERROR(IF($C1106="","",SUMIFS(Ledger!$K$2:$K$4, Ledger!$B$2:$B$4, $A1106, Ledger!$C$2:$C$4, M$2)),"****")</f>
        <v/>
      </c>
      <c r="N1106" t="str">
        <f>IFERROR(IF($C1106="","",SUMIFS(Ledger!$K$2:$K$4, Ledger!$B$2:$B$4, $A1106, Ledger!$C$2:$C$4, N$2)),"****")</f>
        <v/>
      </c>
      <c r="O1106" t="str">
        <f>IFERROR(IF($C1106="","",SUMIFS(Ledger!$K$2:$K$4, Ledger!$B$2:$B$4, $A1106, Ledger!$C$2:$C$4, O$2)),"****")</f>
        <v/>
      </c>
      <c r="P1106" t="str">
        <f>IFERROR(IF($C1106="","",SUMIFS(Ledger!$K$2:$K$4, Ledger!$B$2:$B$4, $A1106, Ledger!$C$2:$C$4, P$2)),"****")</f>
        <v/>
      </c>
      <c r="Q1106" t="str">
        <f>IFERROR(IF($C1106="","",SUMIFS(Ledger!$K$2:$K$4, Ledger!$B$2:$B$4, $A1106, Ledger!$C$2:$C$4, Q$2)),"****")</f>
        <v/>
      </c>
      <c r="R1106" t="str">
        <f>IFERROR(IF($C1106="","",SUMIFS(Ledger!$K$2:$K$4, Ledger!$B$2:$B$4, $A1106, Ledger!$C$2:$C$4, R$2)),"****")</f>
        <v/>
      </c>
      <c r="S1106" t="str">
        <f>IFERROR(IF($C1106="","",SUMIFS(Ledger!$K$2:$K$4, Ledger!$B$2:$B$4, $A1106, Ledger!$C$2:$C$4, S$2)),"****")</f>
        <v/>
      </c>
      <c r="T1106" t="str">
        <f>IFERROR(IF($C1106="","",SUMIFS(Ledger!$K$2:$K$4, Ledger!$B$2:$B$4, $A1106, Ledger!$C$2:$C$4, T$2)),"****")</f>
        <v/>
      </c>
      <c r="U1106" t="str">
        <f>IFERROR(IF($C1106="","",SUMIFS(Ledger!$K$2:$K$4, Ledger!$B$2:$B$4, $A1106, Ledger!$C$2:$C$4, U$2)),"****")</f>
        <v/>
      </c>
      <c r="V1106" t="str">
        <f>IFERROR(IF($C1106="","",SUMIFS(Ledger!$K$2:$K$4, Ledger!$B$2:$B$4, $A1106, Ledger!$C$2:$C$4, V$2)),"****")</f>
        <v/>
      </c>
      <c r="W1106" t="str">
        <f>IFERROR(IF($C1106="","",SUMIFS(Ledger!$K$2:$K$4, Ledger!$B$2:$B$4, $A1106, Ledger!$C$2:$C$4, W$2)),"****")</f>
        <v/>
      </c>
      <c r="X1106" t="str">
        <f>IFERROR(IF($C1106="","",SUMIFS(Ledger!$K$2:$K$4, Ledger!$B$2:$B$4, $A1106, Ledger!$C$2:$C$4, X$2)),"****")</f>
        <v/>
      </c>
    </row>
    <row r="1107" spans="1:24" x14ac:dyDescent="0.3">
      <c r="A1107" s="106">
        <v>1105</v>
      </c>
      <c r="B1107" t="str">
        <f>IFERROR(VLOOKUP($A1107, Ledger!$B$2:$L$8, 3, 0),"")</f>
        <v/>
      </c>
      <c r="C1107" t="str">
        <f>IFERROR(VLOOKUP($A1107, Ledger!$B$2:$L$8, 4, 0),"")</f>
        <v/>
      </c>
      <c r="D1107" t="str">
        <f>IFERROR(VLOOKUP($A1107, Ledger!$B$2:$L$8, 5, 0),"")</f>
        <v/>
      </c>
      <c r="E1107" t="str">
        <f>IFERROR(VLOOKUP($A1107, Ledger!$B$2:$L$8, 6, 0),"")</f>
        <v/>
      </c>
      <c r="F1107" t="str">
        <f>IFERROR(VLOOKUP($A1107,'Student Data'!$A$2:$AR$6,32,0),"")</f>
        <v/>
      </c>
      <c r="G1107" t="str">
        <f>IFERROR(VLOOKUP($A1107,'Student Data'!$A$2:$AR$6,33,0),"")</f>
        <v/>
      </c>
      <c r="H1107" t="str">
        <f>IFERROR(VLOOKUP($A1107,'Student Data'!$A$2:$AR$6,34,0),"")</f>
        <v/>
      </c>
      <c r="I1107" t="str">
        <f>IFERROR(VLOOKUP($A1107,'Student Data'!$A$2:$AR$6,35,0),"")</f>
        <v/>
      </c>
      <c r="J1107" t="str">
        <f>IFERROR(VLOOKUP($A1107,'Student Data'!$A$2:$AR$6,36,0),"")</f>
        <v/>
      </c>
      <c r="K1107" t="str">
        <f t="shared" si="34"/>
        <v/>
      </c>
      <c r="L1107" t="str">
        <f t="shared" si="35"/>
        <v/>
      </c>
      <c r="M1107" t="str">
        <f>IFERROR(IF($C1107="","",SUMIFS(Ledger!$K$2:$K$4, Ledger!$B$2:$B$4, $A1107, Ledger!$C$2:$C$4, M$2)),"****")</f>
        <v/>
      </c>
      <c r="N1107" t="str">
        <f>IFERROR(IF($C1107="","",SUMIFS(Ledger!$K$2:$K$4, Ledger!$B$2:$B$4, $A1107, Ledger!$C$2:$C$4, N$2)),"****")</f>
        <v/>
      </c>
      <c r="O1107" t="str">
        <f>IFERROR(IF($C1107="","",SUMIFS(Ledger!$K$2:$K$4, Ledger!$B$2:$B$4, $A1107, Ledger!$C$2:$C$4, O$2)),"****")</f>
        <v/>
      </c>
      <c r="P1107" t="str">
        <f>IFERROR(IF($C1107="","",SUMIFS(Ledger!$K$2:$K$4, Ledger!$B$2:$B$4, $A1107, Ledger!$C$2:$C$4, P$2)),"****")</f>
        <v/>
      </c>
      <c r="Q1107" t="str">
        <f>IFERROR(IF($C1107="","",SUMIFS(Ledger!$K$2:$K$4, Ledger!$B$2:$B$4, $A1107, Ledger!$C$2:$C$4, Q$2)),"****")</f>
        <v/>
      </c>
      <c r="R1107" t="str">
        <f>IFERROR(IF($C1107="","",SUMIFS(Ledger!$K$2:$K$4, Ledger!$B$2:$B$4, $A1107, Ledger!$C$2:$C$4, R$2)),"****")</f>
        <v/>
      </c>
      <c r="S1107" t="str">
        <f>IFERROR(IF($C1107="","",SUMIFS(Ledger!$K$2:$K$4, Ledger!$B$2:$B$4, $A1107, Ledger!$C$2:$C$4, S$2)),"****")</f>
        <v/>
      </c>
      <c r="T1107" t="str">
        <f>IFERROR(IF($C1107="","",SUMIFS(Ledger!$K$2:$K$4, Ledger!$B$2:$B$4, $A1107, Ledger!$C$2:$C$4, T$2)),"****")</f>
        <v/>
      </c>
      <c r="U1107" t="str">
        <f>IFERROR(IF($C1107="","",SUMIFS(Ledger!$K$2:$K$4, Ledger!$B$2:$B$4, $A1107, Ledger!$C$2:$C$4, U$2)),"****")</f>
        <v/>
      </c>
      <c r="V1107" t="str">
        <f>IFERROR(IF($C1107="","",SUMIFS(Ledger!$K$2:$K$4, Ledger!$B$2:$B$4, $A1107, Ledger!$C$2:$C$4, V$2)),"****")</f>
        <v/>
      </c>
      <c r="W1107" t="str">
        <f>IFERROR(IF($C1107="","",SUMIFS(Ledger!$K$2:$K$4, Ledger!$B$2:$B$4, $A1107, Ledger!$C$2:$C$4, W$2)),"****")</f>
        <v/>
      </c>
      <c r="X1107" t="str">
        <f>IFERROR(IF($C1107="","",SUMIFS(Ledger!$K$2:$K$4, Ledger!$B$2:$B$4, $A1107, Ledger!$C$2:$C$4, X$2)),"****")</f>
        <v/>
      </c>
    </row>
    <row r="1108" spans="1:24" x14ac:dyDescent="0.3">
      <c r="A1108" s="106">
        <v>1106</v>
      </c>
      <c r="B1108" t="str">
        <f>IFERROR(VLOOKUP($A1108, Ledger!$B$2:$L$8, 3, 0),"")</f>
        <v/>
      </c>
      <c r="C1108" t="str">
        <f>IFERROR(VLOOKUP($A1108, Ledger!$B$2:$L$8, 4, 0),"")</f>
        <v/>
      </c>
      <c r="D1108" t="str">
        <f>IFERROR(VLOOKUP($A1108, Ledger!$B$2:$L$8, 5, 0),"")</f>
        <v/>
      </c>
      <c r="E1108" t="str">
        <f>IFERROR(VLOOKUP($A1108, Ledger!$B$2:$L$8, 6, 0),"")</f>
        <v/>
      </c>
      <c r="F1108" t="str">
        <f>IFERROR(VLOOKUP($A1108,'Student Data'!$A$2:$AR$6,32,0),"")</f>
        <v/>
      </c>
      <c r="G1108" t="str">
        <f>IFERROR(VLOOKUP($A1108,'Student Data'!$A$2:$AR$6,33,0),"")</f>
        <v/>
      </c>
      <c r="H1108" t="str">
        <f>IFERROR(VLOOKUP($A1108,'Student Data'!$A$2:$AR$6,34,0),"")</f>
        <v/>
      </c>
      <c r="I1108" t="str">
        <f>IFERROR(VLOOKUP($A1108,'Student Data'!$A$2:$AR$6,35,0),"")</f>
        <v/>
      </c>
      <c r="J1108" t="str">
        <f>IFERROR(VLOOKUP($A1108,'Student Data'!$A$2:$AR$6,36,0),"")</f>
        <v/>
      </c>
      <c r="K1108" t="str">
        <f t="shared" si="34"/>
        <v/>
      </c>
      <c r="L1108" t="str">
        <f t="shared" si="35"/>
        <v/>
      </c>
      <c r="M1108" t="str">
        <f>IFERROR(IF($C1108="","",SUMIFS(Ledger!$K$2:$K$4, Ledger!$B$2:$B$4, $A1108, Ledger!$C$2:$C$4, M$2)),"****")</f>
        <v/>
      </c>
      <c r="N1108" t="str">
        <f>IFERROR(IF($C1108="","",SUMIFS(Ledger!$K$2:$K$4, Ledger!$B$2:$B$4, $A1108, Ledger!$C$2:$C$4, N$2)),"****")</f>
        <v/>
      </c>
      <c r="O1108" t="str">
        <f>IFERROR(IF($C1108="","",SUMIFS(Ledger!$K$2:$K$4, Ledger!$B$2:$B$4, $A1108, Ledger!$C$2:$C$4, O$2)),"****")</f>
        <v/>
      </c>
      <c r="P1108" t="str">
        <f>IFERROR(IF($C1108="","",SUMIFS(Ledger!$K$2:$K$4, Ledger!$B$2:$B$4, $A1108, Ledger!$C$2:$C$4, P$2)),"****")</f>
        <v/>
      </c>
      <c r="Q1108" t="str">
        <f>IFERROR(IF($C1108="","",SUMIFS(Ledger!$K$2:$K$4, Ledger!$B$2:$B$4, $A1108, Ledger!$C$2:$C$4, Q$2)),"****")</f>
        <v/>
      </c>
      <c r="R1108" t="str">
        <f>IFERROR(IF($C1108="","",SUMIFS(Ledger!$K$2:$K$4, Ledger!$B$2:$B$4, $A1108, Ledger!$C$2:$C$4, R$2)),"****")</f>
        <v/>
      </c>
      <c r="S1108" t="str">
        <f>IFERROR(IF($C1108="","",SUMIFS(Ledger!$K$2:$K$4, Ledger!$B$2:$B$4, $A1108, Ledger!$C$2:$C$4, S$2)),"****")</f>
        <v/>
      </c>
      <c r="T1108" t="str">
        <f>IFERROR(IF($C1108="","",SUMIFS(Ledger!$K$2:$K$4, Ledger!$B$2:$B$4, $A1108, Ledger!$C$2:$C$4, T$2)),"****")</f>
        <v/>
      </c>
      <c r="U1108" t="str">
        <f>IFERROR(IF($C1108="","",SUMIFS(Ledger!$K$2:$K$4, Ledger!$B$2:$B$4, $A1108, Ledger!$C$2:$C$4, U$2)),"****")</f>
        <v/>
      </c>
      <c r="V1108" t="str">
        <f>IFERROR(IF($C1108="","",SUMIFS(Ledger!$K$2:$K$4, Ledger!$B$2:$B$4, $A1108, Ledger!$C$2:$C$4, V$2)),"****")</f>
        <v/>
      </c>
      <c r="W1108" t="str">
        <f>IFERROR(IF($C1108="","",SUMIFS(Ledger!$K$2:$K$4, Ledger!$B$2:$B$4, $A1108, Ledger!$C$2:$C$4, W$2)),"****")</f>
        <v/>
      </c>
      <c r="X1108" t="str">
        <f>IFERROR(IF($C1108="","",SUMIFS(Ledger!$K$2:$K$4, Ledger!$B$2:$B$4, $A1108, Ledger!$C$2:$C$4, X$2)),"****")</f>
        <v/>
      </c>
    </row>
    <row r="1109" spans="1:24" x14ac:dyDescent="0.3">
      <c r="A1109" s="106">
        <v>1107</v>
      </c>
      <c r="B1109" t="str">
        <f>IFERROR(VLOOKUP($A1109, Ledger!$B$2:$L$8, 3, 0),"")</f>
        <v/>
      </c>
      <c r="C1109" t="str">
        <f>IFERROR(VLOOKUP($A1109, Ledger!$B$2:$L$8, 4, 0),"")</f>
        <v/>
      </c>
      <c r="D1109" t="str">
        <f>IFERROR(VLOOKUP($A1109, Ledger!$B$2:$L$8, 5, 0),"")</f>
        <v/>
      </c>
      <c r="E1109" t="str">
        <f>IFERROR(VLOOKUP($A1109, Ledger!$B$2:$L$8, 6, 0),"")</f>
        <v/>
      </c>
      <c r="F1109" t="str">
        <f>IFERROR(VLOOKUP($A1109,'Student Data'!$A$2:$AR$6,32,0),"")</f>
        <v/>
      </c>
      <c r="G1109" t="str">
        <f>IFERROR(VLOOKUP($A1109,'Student Data'!$A$2:$AR$6,33,0),"")</f>
        <v/>
      </c>
      <c r="H1109" t="str">
        <f>IFERROR(VLOOKUP($A1109,'Student Data'!$A$2:$AR$6,34,0),"")</f>
        <v/>
      </c>
      <c r="I1109" t="str">
        <f>IFERROR(VLOOKUP($A1109,'Student Data'!$A$2:$AR$6,35,0),"")</f>
        <v/>
      </c>
      <c r="J1109" t="str">
        <f>IFERROR(VLOOKUP($A1109,'Student Data'!$A$2:$AR$6,36,0),"")</f>
        <v/>
      </c>
      <c r="K1109" t="str">
        <f t="shared" si="34"/>
        <v/>
      </c>
      <c r="L1109" t="str">
        <f t="shared" si="35"/>
        <v/>
      </c>
      <c r="M1109" t="str">
        <f>IFERROR(IF($C1109="","",SUMIFS(Ledger!$K$2:$K$4, Ledger!$B$2:$B$4, $A1109, Ledger!$C$2:$C$4, M$2)),"****")</f>
        <v/>
      </c>
      <c r="N1109" t="str">
        <f>IFERROR(IF($C1109="","",SUMIFS(Ledger!$K$2:$K$4, Ledger!$B$2:$B$4, $A1109, Ledger!$C$2:$C$4, N$2)),"****")</f>
        <v/>
      </c>
      <c r="O1109" t="str">
        <f>IFERROR(IF($C1109="","",SUMIFS(Ledger!$K$2:$K$4, Ledger!$B$2:$B$4, $A1109, Ledger!$C$2:$C$4, O$2)),"****")</f>
        <v/>
      </c>
      <c r="P1109" t="str">
        <f>IFERROR(IF($C1109="","",SUMIFS(Ledger!$K$2:$K$4, Ledger!$B$2:$B$4, $A1109, Ledger!$C$2:$C$4, P$2)),"****")</f>
        <v/>
      </c>
      <c r="Q1109" t="str">
        <f>IFERROR(IF($C1109="","",SUMIFS(Ledger!$K$2:$K$4, Ledger!$B$2:$B$4, $A1109, Ledger!$C$2:$C$4, Q$2)),"****")</f>
        <v/>
      </c>
      <c r="R1109" t="str">
        <f>IFERROR(IF($C1109="","",SUMIFS(Ledger!$K$2:$K$4, Ledger!$B$2:$B$4, $A1109, Ledger!$C$2:$C$4, R$2)),"****")</f>
        <v/>
      </c>
      <c r="S1109" t="str">
        <f>IFERROR(IF($C1109="","",SUMIFS(Ledger!$K$2:$K$4, Ledger!$B$2:$B$4, $A1109, Ledger!$C$2:$C$4, S$2)),"****")</f>
        <v/>
      </c>
      <c r="T1109" t="str">
        <f>IFERROR(IF($C1109="","",SUMIFS(Ledger!$K$2:$K$4, Ledger!$B$2:$B$4, $A1109, Ledger!$C$2:$C$4, T$2)),"****")</f>
        <v/>
      </c>
      <c r="U1109" t="str">
        <f>IFERROR(IF($C1109="","",SUMIFS(Ledger!$K$2:$K$4, Ledger!$B$2:$B$4, $A1109, Ledger!$C$2:$C$4, U$2)),"****")</f>
        <v/>
      </c>
      <c r="V1109" t="str">
        <f>IFERROR(IF($C1109="","",SUMIFS(Ledger!$K$2:$K$4, Ledger!$B$2:$B$4, $A1109, Ledger!$C$2:$C$4, V$2)),"****")</f>
        <v/>
      </c>
      <c r="W1109" t="str">
        <f>IFERROR(IF($C1109="","",SUMIFS(Ledger!$K$2:$K$4, Ledger!$B$2:$B$4, $A1109, Ledger!$C$2:$C$4, W$2)),"****")</f>
        <v/>
      </c>
      <c r="X1109" t="str">
        <f>IFERROR(IF($C1109="","",SUMIFS(Ledger!$K$2:$K$4, Ledger!$B$2:$B$4, $A1109, Ledger!$C$2:$C$4, X$2)),"****")</f>
        <v/>
      </c>
    </row>
    <row r="1110" spans="1:24" x14ac:dyDescent="0.3">
      <c r="A1110" s="106">
        <v>1108</v>
      </c>
      <c r="B1110" t="str">
        <f>IFERROR(VLOOKUP($A1110, Ledger!$B$2:$L$8, 3, 0),"")</f>
        <v/>
      </c>
      <c r="C1110" t="str">
        <f>IFERROR(VLOOKUP($A1110, Ledger!$B$2:$L$8, 4, 0),"")</f>
        <v/>
      </c>
      <c r="D1110" t="str">
        <f>IFERROR(VLOOKUP($A1110, Ledger!$B$2:$L$8, 5, 0),"")</f>
        <v/>
      </c>
      <c r="E1110" t="str">
        <f>IFERROR(VLOOKUP($A1110, Ledger!$B$2:$L$8, 6, 0),"")</f>
        <v/>
      </c>
      <c r="F1110" t="str">
        <f>IFERROR(VLOOKUP($A1110,'Student Data'!$A$2:$AR$6,32,0),"")</f>
        <v/>
      </c>
      <c r="G1110" t="str">
        <f>IFERROR(VLOOKUP($A1110,'Student Data'!$A$2:$AR$6,33,0),"")</f>
        <v/>
      </c>
      <c r="H1110" t="str">
        <f>IFERROR(VLOOKUP($A1110,'Student Data'!$A$2:$AR$6,34,0),"")</f>
        <v/>
      </c>
      <c r="I1110" t="str">
        <f>IFERROR(VLOOKUP($A1110,'Student Data'!$A$2:$AR$6,35,0),"")</f>
        <v/>
      </c>
      <c r="J1110" t="str">
        <f>IFERROR(VLOOKUP($A1110,'Student Data'!$A$2:$AR$6,36,0),"")</f>
        <v/>
      </c>
      <c r="K1110" t="str">
        <f t="shared" si="34"/>
        <v/>
      </c>
      <c r="L1110" t="str">
        <f t="shared" si="35"/>
        <v/>
      </c>
      <c r="M1110" t="str">
        <f>IFERROR(IF($C1110="","",SUMIFS(Ledger!$K$2:$K$4, Ledger!$B$2:$B$4, $A1110, Ledger!$C$2:$C$4, M$2)),"****")</f>
        <v/>
      </c>
      <c r="N1110" t="str">
        <f>IFERROR(IF($C1110="","",SUMIFS(Ledger!$K$2:$K$4, Ledger!$B$2:$B$4, $A1110, Ledger!$C$2:$C$4, N$2)),"****")</f>
        <v/>
      </c>
      <c r="O1110" t="str">
        <f>IFERROR(IF($C1110="","",SUMIFS(Ledger!$K$2:$K$4, Ledger!$B$2:$B$4, $A1110, Ledger!$C$2:$C$4, O$2)),"****")</f>
        <v/>
      </c>
      <c r="P1110" t="str">
        <f>IFERROR(IF($C1110="","",SUMIFS(Ledger!$K$2:$K$4, Ledger!$B$2:$B$4, $A1110, Ledger!$C$2:$C$4, P$2)),"****")</f>
        <v/>
      </c>
      <c r="Q1110" t="str">
        <f>IFERROR(IF($C1110="","",SUMIFS(Ledger!$K$2:$K$4, Ledger!$B$2:$B$4, $A1110, Ledger!$C$2:$C$4, Q$2)),"****")</f>
        <v/>
      </c>
      <c r="R1110" t="str">
        <f>IFERROR(IF($C1110="","",SUMIFS(Ledger!$K$2:$K$4, Ledger!$B$2:$B$4, $A1110, Ledger!$C$2:$C$4, R$2)),"****")</f>
        <v/>
      </c>
      <c r="S1110" t="str">
        <f>IFERROR(IF($C1110="","",SUMIFS(Ledger!$K$2:$K$4, Ledger!$B$2:$B$4, $A1110, Ledger!$C$2:$C$4, S$2)),"****")</f>
        <v/>
      </c>
      <c r="T1110" t="str">
        <f>IFERROR(IF($C1110="","",SUMIFS(Ledger!$K$2:$K$4, Ledger!$B$2:$B$4, $A1110, Ledger!$C$2:$C$4, T$2)),"****")</f>
        <v/>
      </c>
      <c r="U1110" t="str">
        <f>IFERROR(IF($C1110="","",SUMIFS(Ledger!$K$2:$K$4, Ledger!$B$2:$B$4, $A1110, Ledger!$C$2:$C$4, U$2)),"****")</f>
        <v/>
      </c>
      <c r="V1110" t="str">
        <f>IFERROR(IF($C1110="","",SUMIFS(Ledger!$K$2:$K$4, Ledger!$B$2:$B$4, $A1110, Ledger!$C$2:$C$4, V$2)),"****")</f>
        <v/>
      </c>
      <c r="W1110" t="str">
        <f>IFERROR(IF($C1110="","",SUMIFS(Ledger!$K$2:$K$4, Ledger!$B$2:$B$4, $A1110, Ledger!$C$2:$C$4, W$2)),"****")</f>
        <v/>
      </c>
      <c r="X1110" t="str">
        <f>IFERROR(IF($C1110="","",SUMIFS(Ledger!$K$2:$K$4, Ledger!$B$2:$B$4, $A1110, Ledger!$C$2:$C$4, X$2)),"****")</f>
        <v/>
      </c>
    </row>
    <row r="1111" spans="1:24" x14ac:dyDescent="0.3">
      <c r="A1111" s="106">
        <v>1109</v>
      </c>
      <c r="B1111" t="str">
        <f>IFERROR(VLOOKUP($A1111, Ledger!$B$2:$L$8, 3, 0),"")</f>
        <v/>
      </c>
      <c r="C1111" t="str">
        <f>IFERROR(VLOOKUP($A1111, Ledger!$B$2:$L$8, 4, 0),"")</f>
        <v/>
      </c>
      <c r="D1111" t="str">
        <f>IFERROR(VLOOKUP($A1111, Ledger!$B$2:$L$8, 5, 0),"")</f>
        <v/>
      </c>
      <c r="E1111" t="str">
        <f>IFERROR(VLOOKUP($A1111, Ledger!$B$2:$L$8, 6, 0),"")</f>
        <v/>
      </c>
      <c r="F1111" t="str">
        <f>IFERROR(VLOOKUP($A1111,'Student Data'!$A$2:$AR$6,32,0),"")</f>
        <v/>
      </c>
      <c r="G1111" t="str">
        <f>IFERROR(VLOOKUP($A1111,'Student Data'!$A$2:$AR$6,33,0),"")</f>
        <v/>
      </c>
      <c r="H1111" t="str">
        <f>IFERROR(VLOOKUP($A1111,'Student Data'!$A$2:$AR$6,34,0),"")</f>
        <v/>
      </c>
      <c r="I1111" t="str">
        <f>IFERROR(VLOOKUP($A1111,'Student Data'!$A$2:$AR$6,35,0),"")</f>
        <v/>
      </c>
      <c r="J1111" t="str">
        <f>IFERROR(VLOOKUP($A1111,'Student Data'!$A$2:$AR$6,36,0),"")</f>
        <v/>
      </c>
      <c r="K1111" t="str">
        <f t="shared" si="34"/>
        <v/>
      </c>
      <c r="L1111" t="str">
        <f t="shared" si="35"/>
        <v/>
      </c>
      <c r="M1111" t="str">
        <f>IFERROR(IF($C1111="","",SUMIFS(Ledger!$K$2:$K$4, Ledger!$B$2:$B$4, $A1111, Ledger!$C$2:$C$4, M$2)),"****")</f>
        <v/>
      </c>
      <c r="N1111" t="str">
        <f>IFERROR(IF($C1111="","",SUMIFS(Ledger!$K$2:$K$4, Ledger!$B$2:$B$4, $A1111, Ledger!$C$2:$C$4, N$2)),"****")</f>
        <v/>
      </c>
      <c r="O1111" t="str">
        <f>IFERROR(IF($C1111="","",SUMIFS(Ledger!$K$2:$K$4, Ledger!$B$2:$B$4, $A1111, Ledger!$C$2:$C$4, O$2)),"****")</f>
        <v/>
      </c>
      <c r="P1111" t="str">
        <f>IFERROR(IF($C1111="","",SUMIFS(Ledger!$K$2:$K$4, Ledger!$B$2:$B$4, $A1111, Ledger!$C$2:$C$4, P$2)),"****")</f>
        <v/>
      </c>
      <c r="Q1111" t="str">
        <f>IFERROR(IF($C1111="","",SUMIFS(Ledger!$K$2:$K$4, Ledger!$B$2:$B$4, $A1111, Ledger!$C$2:$C$4, Q$2)),"****")</f>
        <v/>
      </c>
      <c r="R1111" t="str">
        <f>IFERROR(IF($C1111="","",SUMIFS(Ledger!$K$2:$K$4, Ledger!$B$2:$B$4, $A1111, Ledger!$C$2:$C$4, R$2)),"****")</f>
        <v/>
      </c>
      <c r="S1111" t="str">
        <f>IFERROR(IF($C1111="","",SUMIFS(Ledger!$K$2:$K$4, Ledger!$B$2:$B$4, $A1111, Ledger!$C$2:$C$4, S$2)),"****")</f>
        <v/>
      </c>
      <c r="T1111" t="str">
        <f>IFERROR(IF($C1111="","",SUMIFS(Ledger!$K$2:$K$4, Ledger!$B$2:$B$4, $A1111, Ledger!$C$2:$C$4, T$2)),"****")</f>
        <v/>
      </c>
      <c r="U1111" t="str">
        <f>IFERROR(IF($C1111="","",SUMIFS(Ledger!$K$2:$K$4, Ledger!$B$2:$B$4, $A1111, Ledger!$C$2:$C$4, U$2)),"****")</f>
        <v/>
      </c>
      <c r="V1111" t="str">
        <f>IFERROR(IF($C1111="","",SUMIFS(Ledger!$K$2:$K$4, Ledger!$B$2:$B$4, $A1111, Ledger!$C$2:$C$4, V$2)),"****")</f>
        <v/>
      </c>
      <c r="W1111" t="str">
        <f>IFERROR(IF($C1111="","",SUMIFS(Ledger!$K$2:$K$4, Ledger!$B$2:$B$4, $A1111, Ledger!$C$2:$C$4, W$2)),"****")</f>
        <v/>
      </c>
      <c r="X1111" t="str">
        <f>IFERROR(IF($C1111="","",SUMIFS(Ledger!$K$2:$K$4, Ledger!$B$2:$B$4, $A1111, Ledger!$C$2:$C$4, X$2)),"****")</f>
        <v/>
      </c>
    </row>
    <row r="1112" spans="1:24" x14ac:dyDescent="0.3">
      <c r="A1112" s="106">
        <v>1110</v>
      </c>
      <c r="B1112" t="str">
        <f>IFERROR(VLOOKUP($A1112, Ledger!$B$2:$L$8, 3, 0),"")</f>
        <v/>
      </c>
      <c r="C1112" t="str">
        <f>IFERROR(VLOOKUP($A1112, Ledger!$B$2:$L$8, 4, 0),"")</f>
        <v/>
      </c>
      <c r="D1112" t="str">
        <f>IFERROR(VLOOKUP($A1112, Ledger!$B$2:$L$8, 5, 0),"")</f>
        <v/>
      </c>
      <c r="E1112" t="str">
        <f>IFERROR(VLOOKUP($A1112, Ledger!$B$2:$L$8, 6, 0),"")</f>
        <v/>
      </c>
      <c r="F1112" t="str">
        <f>IFERROR(VLOOKUP($A1112,'Student Data'!$A$2:$AR$6,32,0),"")</f>
        <v/>
      </c>
      <c r="G1112" t="str">
        <f>IFERROR(VLOOKUP($A1112,'Student Data'!$A$2:$AR$6,33,0),"")</f>
        <v/>
      </c>
      <c r="H1112" t="str">
        <f>IFERROR(VLOOKUP($A1112,'Student Data'!$A$2:$AR$6,34,0),"")</f>
        <v/>
      </c>
      <c r="I1112" t="str">
        <f>IFERROR(VLOOKUP($A1112,'Student Data'!$A$2:$AR$6,35,0),"")</f>
        <v/>
      </c>
      <c r="J1112" t="str">
        <f>IFERROR(VLOOKUP($A1112,'Student Data'!$A$2:$AR$6,36,0),"")</f>
        <v/>
      </c>
      <c r="K1112" t="str">
        <f t="shared" si="34"/>
        <v/>
      </c>
      <c r="L1112" t="str">
        <f t="shared" si="35"/>
        <v/>
      </c>
      <c r="M1112" t="str">
        <f>IFERROR(IF($C1112="","",SUMIFS(Ledger!$K$2:$K$4, Ledger!$B$2:$B$4, $A1112, Ledger!$C$2:$C$4, M$2)),"****")</f>
        <v/>
      </c>
      <c r="N1112" t="str">
        <f>IFERROR(IF($C1112="","",SUMIFS(Ledger!$K$2:$K$4, Ledger!$B$2:$B$4, $A1112, Ledger!$C$2:$C$4, N$2)),"****")</f>
        <v/>
      </c>
      <c r="O1112" t="str">
        <f>IFERROR(IF($C1112="","",SUMIFS(Ledger!$K$2:$K$4, Ledger!$B$2:$B$4, $A1112, Ledger!$C$2:$C$4, O$2)),"****")</f>
        <v/>
      </c>
      <c r="P1112" t="str">
        <f>IFERROR(IF($C1112="","",SUMIFS(Ledger!$K$2:$K$4, Ledger!$B$2:$B$4, $A1112, Ledger!$C$2:$C$4, P$2)),"****")</f>
        <v/>
      </c>
      <c r="Q1112" t="str">
        <f>IFERROR(IF($C1112="","",SUMIFS(Ledger!$K$2:$K$4, Ledger!$B$2:$B$4, $A1112, Ledger!$C$2:$C$4, Q$2)),"****")</f>
        <v/>
      </c>
      <c r="R1112" t="str">
        <f>IFERROR(IF($C1112="","",SUMIFS(Ledger!$K$2:$K$4, Ledger!$B$2:$B$4, $A1112, Ledger!$C$2:$C$4, R$2)),"****")</f>
        <v/>
      </c>
      <c r="S1112" t="str">
        <f>IFERROR(IF($C1112="","",SUMIFS(Ledger!$K$2:$K$4, Ledger!$B$2:$B$4, $A1112, Ledger!$C$2:$C$4, S$2)),"****")</f>
        <v/>
      </c>
      <c r="T1112" t="str">
        <f>IFERROR(IF($C1112="","",SUMIFS(Ledger!$K$2:$K$4, Ledger!$B$2:$B$4, $A1112, Ledger!$C$2:$C$4, T$2)),"****")</f>
        <v/>
      </c>
      <c r="U1112" t="str">
        <f>IFERROR(IF($C1112="","",SUMIFS(Ledger!$K$2:$K$4, Ledger!$B$2:$B$4, $A1112, Ledger!$C$2:$C$4, U$2)),"****")</f>
        <v/>
      </c>
      <c r="V1112" t="str">
        <f>IFERROR(IF($C1112="","",SUMIFS(Ledger!$K$2:$K$4, Ledger!$B$2:$B$4, $A1112, Ledger!$C$2:$C$4, V$2)),"****")</f>
        <v/>
      </c>
      <c r="W1112" t="str">
        <f>IFERROR(IF($C1112="","",SUMIFS(Ledger!$K$2:$K$4, Ledger!$B$2:$B$4, $A1112, Ledger!$C$2:$C$4, W$2)),"****")</f>
        <v/>
      </c>
      <c r="X1112" t="str">
        <f>IFERROR(IF($C1112="","",SUMIFS(Ledger!$K$2:$K$4, Ledger!$B$2:$B$4, $A1112, Ledger!$C$2:$C$4, X$2)),"****")</f>
        <v/>
      </c>
    </row>
    <row r="1113" spans="1:24" x14ac:dyDescent="0.3">
      <c r="A1113" s="106">
        <v>1111</v>
      </c>
      <c r="B1113" t="str">
        <f>IFERROR(VLOOKUP($A1113, Ledger!$B$2:$L$8, 3, 0),"")</f>
        <v/>
      </c>
      <c r="C1113" t="str">
        <f>IFERROR(VLOOKUP($A1113, Ledger!$B$2:$L$8, 4, 0),"")</f>
        <v/>
      </c>
      <c r="D1113" t="str">
        <f>IFERROR(VLOOKUP($A1113, Ledger!$B$2:$L$8, 5, 0),"")</f>
        <v/>
      </c>
      <c r="E1113" t="str">
        <f>IFERROR(VLOOKUP($A1113, Ledger!$B$2:$L$8, 6, 0),"")</f>
        <v/>
      </c>
      <c r="F1113" t="str">
        <f>IFERROR(VLOOKUP($A1113,'Student Data'!$A$2:$AR$6,32,0),"")</f>
        <v/>
      </c>
      <c r="G1113" t="str">
        <f>IFERROR(VLOOKUP($A1113,'Student Data'!$A$2:$AR$6,33,0),"")</f>
        <v/>
      </c>
      <c r="H1113" t="str">
        <f>IFERROR(VLOOKUP($A1113,'Student Data'!$A$2:$AR$6,34,0),"")</f>
        <v/>
      </c>
      <c r="I1113" t="str">
        <f>IFERROR(VLOOKUP($A1113,'Student Data'!$A$2:$AR$6,35,0),"")</f>
        <v/>
      </c>
      <c r="J1113" t="str">
        <f>IFERROR(VLOOKUP($A1113,'Student Data'!$A$2:$AR$6,36,0),"")</f>
        <v/>
      </c>
      <c r="K1113" t="str">
        <f t="shared" si="34"/>
        <v/>
      </c>
      <c r="L1113" t="str">
        <f t="shared" si="35"/>
        <v/>
      </c>
      <c r="M1113" t="str">
        <f>IFERROR(IF($C1113="","",SUMIFS(Ledger!$K$2:$K$4, Ledger!$B$2:$B$4, $A1113, Ledger!$C$2:$C$4, M$2)),"****")</f>
        <v/>
      </c>
      <c r="N1113" t="str">
        <f>IFERROR(IF($C1113="","",SUMIFS(Ledger!$K$2:$K$4, Ledger!$B$2:$B$4, $A1113, Ledger!$C$2:$C$4, N$2)),"****")</f>
        <v/>
      </c>
      <c r="O1113" t="str">
        <f>IFERROR(IF($C1113="","",SUMIFS(Ledger!$K$2:$K$4, Ledger!$B$2:$B$4, $A1113, Ledger!$C$2:$C$4, O$2)),"****")</f>
        <v/>
      </c>
      <c r="P1113" t="str">
        <f>IFERROR(IF($C1113="","",SUMIFS(Ledger!$K$2:$K$4, Ledger!$B$2:$B$4, $A1113, Ledger!$C$2:$C$4, P$2)),"****")</f>
        <v/>
      </c>
      <c r="Q1113" t="str">
        <f>IFERROR(IF($C1113="","",SUMIFS(Ledger!$K$2:$K$4, Ledger!$B$2:$B$4, $A1113, Ledger!$C$2:$C$4, Q$2)),"****")</f>
        <v/>
      </c>
      <c r="R1113" t="str">
        <f>IFERROR(IF($C1113="","",SUMIFS(Ledger!$K$2:$K$4, Ledger!$B$2:$B$4, $A1113, Ledger!$C$2:$C$4, R$2)),"****")</f>
        <v/>
      </c>
      <c r="S1113" t="str">
        <f>IFERROR(IF($C1113="","",SUMIFS(Ledger!$K$2:$K$4, Ledger!$B$2:$B$4, $A1113, Ledger!$C$2:$C$4, S$2)),"****")</f>
        <v/>
      </c>
      <c r="T1113" t="str">
        <f>IFERROR(IF($C1113="","",SUMIFS(Ledger!$K$2:$K$4, Ledger!$B$2:$B$4, $A1113, Ledger!$C$2:$C$4, T$2)),"****")</f>
        <v/>
      </c>
      <c r="U1113" t="str">
        <f>IFERROR(IF($C1113="","",SUMIFS(Ledger!$K$2:$K$4, Ledger!$B$2:$B$4, $A1113, Ledger!$C$2:$C$4, U$2)),"****")</f>
        <v/>
      </c>
      <c r="V1113" t="str">
        <f>IFERROR(IF($C1113="","",SUMIFS(Ledger!$K$2:$K$4, Ledger!$B$2:$B$4, $A1113, Ledger!$C$2:$C$4, V$2)),"****")</f>
        <v/>
      </c>
      <c r="W1113" t="str">
        <f>IFERROR(IF($C1113="","",SUMIFS(Ledger!$K$2:$K$4, Ledger!$B$2:$B$4, $A1113, Ledger!$C$2:$C$4, W$2)),"****")</f>
        <v/>
      </c>
      <c r="X1113" t="str">
        <f>IFERROR(IF($C1113="","",SUMIFS(Ledger!$K$2:$K$4, Ledger!$B$2:$B$4, $A1113, Ledger!$C$2:$C$4, X$2)),"****")</f>
        <v/>
      </c>
    </row>
    <row r="1114" spans="1:24" x14ac:dyDescent="0.3">
      <c r="A1114" s="106">
        <v>1112</v>
      </c>
      <c r="B1114" t="str">
        <f>IFERROR(VLOOKUP($A1114, Ledger!$B$2:$L$8, 3, 0),"")</f>
        <v/>
      </c>
      <c r="C1114" t="str">
        <f>IFERROR(VLOOKUP($A1114, Ledger!$B$2:$L$8, 4, 0),"")</f>
        <v/>
      </c>
      <c r="D1114" t="str">
        <f>IFERROR(VLOOKUP($A1114, Ledger!$B$2:$L$8, 5, 0),"")</f>
        <v/>
      </c>
      <c r="E1114" t="str">
        <f>IFERROR(VLOOKUP($A1114, Ledger!$B$2:$L$8, 6, 0),"")</f>
        <v/>
      </c>
      <c r="F1114" t="str">
        <f>IFERROR(VLOOKUP($A1114,'Student Data'!$A$2:$AR$6,32,0),"")</f>
        <v/>
      </c>
      <c r="G1114" t="str">
        <f>IFERROR(VLOOKUP($A1114,'Student Data'!$A$2:$AR$6,33,0),"")</f>
        <v/>
      </c>
      <c r="H1114" t="str">
        <f>IFERROR(VLOOKUP($A1114,'Student Data'!$A$2:$AR$6,34,0),"")</f>
        <v/>
      </c>
      <c r="I1114" t="str">
        <f>IFERROR(VLOOKUP($A1114,'Student Data'!$A$2:$AR$6,35,0),"")</f>
        <v/>
      </c>
      <c r="J1114" t="str">
        <f>IFERROR(VLOOKUP($A1114,'Student Data'!$A$2:$AR$6,36,0),"")</f>
        <v/>
      </c>
      <c r="K1114" t="str">
        <f t="shared" si="34"/>
        <v/>
      </c>
      <c r="L1114" t="str">
        <f t="shared" si="35"/>
        <v/>
      </c>
      <c r="M1114" t="str">
        <f>IFERROR(IF($C1114="","",SUMIFS(Ledger!$K$2:$K$4, Ledger!$B$2:$B$4, $A1114, Ledger!$C$2:$C$4, M$2)),"****")</f>
        <v/>
      </c>
      <c r="N1114" t="str">
        <f>IFERROR(IF($C1114="","",SUMIFS(Ledger!$K$2:$K$4, Ledger!$B$2:$B$4, $A1114, Ledger!$C$2:$C$4, N$2)),"****")</f>
        <v/>
      </c>
      <c r="O1114" t="str">
        <f>IFERROR(IF($C1114="","",SUMIFS(Ledger!$K$2:$K$4, Ledger!$B$2:$B$4, $A1114, Ledger!$C$2:$C$4, O$2)),"****")</f>
        <v/>
      </c>
      <c r="P1114" t="str">
        <f>IFERROR(IF($C1114="","",SUMIFS(Ledger!$K$2:$K$4, Ledger!$B$2:$B$4, $A1114, Ledger!$C$2:$C$4, P$2)),"****")</f>
        <v/>
      </c>
      <c r="Q1114" t="str">
        <f>IFERROR(IF($C1114="","",SUMIFS(Ledger!$K$2:$K$4, Ledger!$B$2:$B$4, $A1114, Ledger!$C$2:$C$4, Q$2)),"****")</f>
        <v/>
      </c>
      <c r="R1114" t="str">
        <f>IFERROR(IF($C1114="","",SUMIFS(Ledger!$K$2:$K$4, Ledger!$B$2:$B$4, $A1114, Ledger!$C$2:$C$4, R$2)),"****")</f>
        <v/>
      </c>
      <c r="S1114" t="str">
        <f>IFERROR(IF($C1114="","",SUMIFS(Ledger!$K$2:$K$4, Ledger!$B$2:$B$4, $A1114, Ledger!$C$2:$C$4, S$2)),"****")</f>
        <v/>
      </c>
      <c r="T1114" t="str">
        <f>IFERROR(IF($C1114="","",SUMIFS(Ledger!$K$2:$K$4, Ledger!$B$2:$B$4, $A1114, Ledger!$C$2:$C$4, T$2)),"****")</f>
        <v/>
      </c>
      <c r="U1114" t="str">
        <f>IFERROR(IF($C1114="","",SUMIFS(Ledger!$K$2:$K$4, Ledger!$B$2:$B$4, $A1114, Ledger!$C$2:$C$4, U$2)),"****")</f>
        <v/>
      </c>
      <c r="V1114" t="str">
        <f>IFERROR(IF($C1114="","",SUMIFS(Ledger!$K$2:$K$4, Ledger!$B$2:$B$4, $A1114, Ledger!$C$2:$C$4, V$2)),"****")</f>
        <v/>
      </c>
      <c r="W1114" t="str">
        <f>IFERROR(IF($C1114="","",SUMIFS(Ledger!$K$2:$K$4, Ledger!$B$2:$B$4, $A1114, Ledger!$C$2:$C$4, W$2)),"****")</f>
        <v/>
      </c>
      <c r="X1114" t="str">
        <f>IFERROR(IF($C1114="","",SUMIFS(Ledger!$K$2:$K$4, Ledger!$B$2:$B$4, $A1114, Ledger!$C$2:$C$4, X$2)),"****")</f>
        <v/>
      </c>
    </row>
    <row r="1115" spans="1:24" x14ac:dyDescent="0.3">
      <c r="A1115" s="106">
        <v>1113</v>
      </c>
      <c r="B1115" t="str">
        <f>IFERROR(VLOOKUP($A1115, Ledger!$B$2:$L$8, 3, 0),"")</f>
        <v/>
      </c>
      <c r="C1115" t="str">
        <f>IFERROR(VLOOKUP($A1115, Ledger!$B$2:$L$8, 4, 0),"")</f>
        <v/>
      </c>
      <c r="D1115" t="str">
        <f>IFERROR(VLOOKUP($A1115, Ledger!$B$2:$L$8, 5, 0),"")</f>
        <v/>
      </c>
      <c r="E1115" t="str">
        <f>IFERROR(VLOOKUP($A1115, Ledger!$B$2:$L$8, 6, 0),"")</f>
        <v/>
      </c>
      <c r="F1115" t="str">
        <f>IFERROR(VLOOKUP($A1115,'Student Data'!$A$2:$AR$6,32,0),"")</f>
        <v/>
      </c>
      <c r="G1115" t="str">
        <f>IFERROR(VLOOKUP($A1115,'Student Data'!$A$2:$AR$6,33,0),"")</f>
        <v/>
      </c>
      <c r="H1115" t="str">
        <f>IFERROR(VLOOKUP($A1115,'Student Data'!$A$2:$AR$6,34,0),"")</f>
        <v/>
      </c>
      <c r="I1115" t="str">
        <f>IFERROR(VLOOKUP($A1115,'Student Data'!$A$2:$AR$6,35,0),"")</f>
        <v/>
      </c>
      <c r="J1115" t="str">
        <f>IFERROR(VLOOKUP($A1115,'Student Data'!$A$2:$AR$6,36,0),"")</f>
        <v/>
      </c>
      <c r="K1115" t="str">
        <f t="shared" si="34"/>
        <v/>
      </c>
      <c r="L1115" t="str">
        <f t="shared" si="35"/>
        <v/>
      </c>
      <c r="M1115" t="str">
        <f>IFERROR(IF($C1115="","",SUMIFS(Ledger!$K$2:$K$4, Ledger!$B$2:$B$4, $A1115, Ledger!$C$2:$C$4, M$2)),"****")</f>
        <v/>
      </c>
      <c r="N1115" t="str">
        <f>IFERROR(IF($C1115="","",SUMIFS(Ledger!$K$2:$K$4, Ledger!$B$2:$B$4, $A1115, Ledger!$C$2:$C$4, N$2)),"****")</f>
        <v/>
      </c>
      <c r="O1115" t="str">
        <f>IFERROR(IF($C1115="","",SUMIFS(Ledger!$K$2:$K$4, Ledger!$B$2:$B$4, $A1115, Ledger!$C$2:$C$4, O$2)),"****")</f>
        <v/>
      </c>
      <c r="P1115" t="str">
        <f>IFERROR(IF($C1115="","",SUMIFS(Ledger!$K$2:$K$4, Ledger!$B$2:$B$4, $A1115, Ledger!$C$2:$C$4, P$2)),"****")</f>
        <v/>
      </c>
      <c r="Q1115" t="str">
        <f>IFERROR(IF($C1115="","",SUMIFS(Ledger!$K$2:$K$4, Ledger!$B$2:$B$4, $A1115, Ledger!$C$2:$C$4, Q$2)),"****")</f>
        <v/>
      </c>
      <c r="R1115" t="str">
        <f>IFERROR(IF($C1115="","",SUMIFS(Ledger!$K$2:$K$4, Ledger!$B$2:$B$4, $A1115, Ledger!$C$2:$C$4, R$2)),"****")</f>
        <v/>
      </c>
      <c r="S1115" t="str">
        <f>IFERROR(IF($C1115="","",SUMIFS(Ledger!$K$2:$K$4, Ledger!$B$2:$B$4, $A1115, Ledger!$C$2:$C$4, S$2)),"****")</f>
        <v/>
      </c>
      <c r="T1115" t="str">
        <f>IFERROR(IF($C1115="","",SUMIFS(Ledger!$K$2:$K$4, Ledger!$B$2:$B$4, $A1115, Ledger!$C$2:$C$4, T$2)),"****")</f>
        <v/>
      </c>
      <c r="U1115" t="str">
        <f>IFERROR(IF($C1115="","",SUMIFS(Ledger!$K$2:$K$4, Ledger!$B$2:$B$4, $A1115, Ledger!$C$2:$C$4, U$2)),"****")</f>
        <v/>
      </c>
      <c r="V1115" t="str">
        <f>IFERROR(IF($C1115="","",SUMIFS(Ledger!$K$2:$K$4, Ledger!$B$2:$B$4, $A1115, Ledger!$C$2:$C$4, V$2)),"****")</f>
        <v/>
      </c>
      <c r="W1115" t="str">
        <f>IFERROR(IF($C1115="","",SUMIFS(Ledger!$K$2:$K$4, Ledger!$B$2:$B$4, $A1115, Ledger!$C$2:$C$4, W$2)),"****")</f>
        <v/>
      </c>
      <c r="X1115" t="str">
        <f>IFERROR(IF($C1115="","",SUMIFS(Ledger!$K$2:$K$4, Ledger!$B$2:$B$4, $A1115, Ledger!$C$2:$C$4, X$2)),"****")</f>
        <v/>
      </c>
    </row>
    <row r="1116" spans="1:24" x14ac:dyDescent="0.3">
      <c r="A1116" s="106">
        <v>1114</v>
      </c>
      <c r="B1116" t="str">
        <f>IFERROR(VLOOKUP($A1116, Ledger!$B$2:$L$8, 3, 0),"")</f>
        <v/>
      </c>
      <c r="C1116" t="str">
        <f>IFERROR(VLOOKUP($A1116, Ledger!$B$2:$L$8, 4, 0),"")</f>
        <v/>
      </c>
      <c r="D1116" t="str">
        <f>IFERROR(VLOOKUP($A1116, Ledger!$B$2:$L$8, 5, 0),"")</f>
        <v/>
      </c>
      <c r="E1116" t="str">
        <f>IFERROR(VLOOKUP($A1116, Ledger!$B$2:$L$8, 6, 0),"")</f>
        <v/>
      </c>
      <c r="F1116" t="str">
        <f>IFERROR(VLOOKUP($A1116,'Student Data'!$A$2:$AR$6,32,0),"")</f>
        <v/>
      </c>
      <c r="G1116" t="str">
        <f>IFERROR(VLOOKUP($A1116,'Student Data'!$A$2:$AR$6,33,0),"")</f>
        <v/>
      </c>
      <c r="H1116" t="str">
        <f>IFERROR(VLOOKUP($A1116,'Student Data'!$A$2:$AR$6,34,0),"")</f>
        <v/>
      </c>
      <c r="I1116" t="str">
        <f>IFERROR(VLOOKUP($A1116,'Student Data'!$A$2:$AR$6,35,0),"")</f>
        <v/>
      </c>
      <c r="J1116" t="str">
        <f>IFERROR(VLOOKUP($A1116,'Student Data'!$A$2:$AR$6,36,0),"")</f>
        <v/>
      </c>
      <c r="K1116" t="str">
        <f t="shared" si="34"/>
        <v/>
      </c>
      <c r="L1116" t="str">
        <f t="shared" si="35"/>
        <v/>
      </c>
      <c r="M1116" t="str">
        <f>IFERROR(IF($C1116="","",SUMIFS(Ledger!$K$2:$K$4, Ledger!$B$2:$B$4, $A1116, Ledger!$C$2:$C$4, M$2)),"****")</f>
        <v/>
      </c>
      <c r="N1116" t="str">
        <f>IFERROR(IF($C1116="","",SUMIFS(Ledger!$K$2:$K$4, Ledger!$B$2:$B$4, $A1116, Ledger!$C$2:$C$4, N$2)),"****")</f>
        <v/>
      </c>
      <c r="O1116" t="str">
        <f>IFERROR(IF($C1116="","",SUMIFS(Ledger!$K$2:$K$4, Ledger!$B$2:$B$4, $A1116, Ledger!$C$2:$C$4, O$2)),"****")</f>
        <v/>
      </c>
      <c r="P1116" t="str">
        <f>IFERROR(IF($C1116="","",SUMIFS(Ledger!$K$2:$K$4, Ledger!$B$2:$B$4, $A1116, Ledger!$C$2:$C$4, P$2)),"****")</f>
        <v/>
      </c>
      <c r="Q1116" t="str">
        <f>IFERROR(IF($C1116="","",SUMIFS(Ledger!$K$2:$K$4, Ledger!$B$2:$B$4, $A1116, Ledger!$C$2:$C$4, Q$2)),"****")</f>
        <v/>
      </c>
      <c r="R1116" t="str">
        <f>IFERROR(IF($C1116="","",SUMIFS(Ledger!$K$2:$K$4, Ledger!$B$2:$B$4, $A1116, Ledger!$C$2:$C$4, R$2)),"****")</f>
        <v/>
      </c>
      <c r="S1116" t="str">
        <f>IFERROR(IF($C1116="","",SUMIFS(Ledger!$K$2:$K$4, Ledger!$B$2:$B$4, $A1116, Ledger!$C$2:$C$4, S$2)),"****")</f>
        <v/>
      </c>
      <c r="T1116" t="str">
        <f>IFERROR(IF($C1116="","",SUMIFS(Ledger!$K$2:$K$4, Ledger!$B$2:$B$4, $A1116, Ledger!$C$2:$C$4, T$2)),"****")</f>
        <v/>
      </c>
      <c r="U1116" t="str">
        <f>IFERROR(IF($C1116="","",SUMIFS(Ledger!$K$2:$K$4, Ledger!$B$2:$B$4, $A1116, Ledger!$C$2:$C$4, U$2)),"****")</f>
        <v/>
      </c>
      <c r="V1116" t="str">
        <f>IFERROR(IF($C1116="","",SUMIFS(Ledger!$K$2:$K$4, Ledger!$B$2:$B$4, $A1116, Ledger!$C$2:$C$4, V$2)),"****")</f>
        <v/>
      </c>
      <c r="W1116" t="str">
        <f>IFERROR(IF($C1116="","",SUMIFS(Ledger!$K$2:$K$4, Ledger!$B$2:$B$4, $A1116, Ledger!$C$2:$C$4, W$2)),"****")</f>
        <v/>
      </c>
      <c r="X1116" t="str">
        <f>IFERROR(IF($C1116="","",SUMIFS(Ledger!$K$2:$K$4, Ledger!$B$2:$B$4, $A1116, Ledger!$C$2:$C$4, X$2)),"****")</f>
        <v/>
      </c>
    </row>
    <row r="1117" spans="1:24" x14ac:dyDescent="0.3">
      <c r="A1117" s="106">
        <v>1115</v>
      </c>
      <c r="B1117" t="str">
        <f>IFERROR(VLOOKUP($A1117, Ledger!$B$2:$L$8, 3, 0),"")</f>
        <v/>
      </c>
      <c r="C1117" t="str">
        <f>IFERROR(VLOOKUP($A1117, Ledger!$B$2:$L$8, 4, 0),"")</f>
        <v/>
      </c>
      <c r="D1117" t="str">
        <f>IFERROR(VLOOKUP($A1117, Ledger!$B$2:$L$8, 5, 0),"")</f>
        <v/>
      </c>
      <c r="E1117" t="str">
        <f>IFERROR(VLOOKUP($A1117, Ledger!$B$2:$L$8, 6, 0),"")</f>
        <v/>
      </c>
      <c r="F1117" t="str">
        <f>IFERROR(VLOOKUP($A1117,'Student Data'!$A$2:$AR$6,32,0),"")</f>
        <v/>
      </c>
      <c r="G1117" t="str">
        <f>IFERROR(VLOOKUP($A1117,'Student Data'!$A$2:$AR$6,33,0),"")</f>
        <v/>
      </c>
      <c r="H1117" t="str">
        <f>IFERROR(VLOOKUP($A1117,'Student Data'!$A$2:$AR$6,34,0),"")</f>
        <v/>
      </c>
      <c r="I1117" t="str">
        <f>IFERROR(VLOOKUP($A1117,'Student Data'!$A$2:$AR$6,35,0),"")</f>
        <v/>
      </c>
      <c r="J1117" t="str">
        <f>IFERROR(VLOOKUP($A1117,'Student Data'!$A$2:$AR$6,36,0),"")</f>
        <v/>
      </c>
      <c r="K1117" t="str">
        <f t="shared" si="34"/>
        <v/>
      </c>
      <c r="L1117" t="str">
        <f t="shared" si="35"/>
        <v/>
      </c>
      <c r="M1117" t="str">
        <f>IFERROR(IF($C1117="","",SUMIFS(Ledger!$K$2:$K$4, Ledger!$B$2:$B$4, $A1117, Ledger!$C$2:$C$4, M$2)),"****")</f>
        <v/>
      </c>
      <c r="N1117" t="str">
        <f>IFERROR(IF($C1117="","",SUMIFS(Ledger!$K$2:$K$4, Ledger!$B$2:$B$4, $A1117, Ledger!$C$2:$C$4, N$2)),"****")</f>
        <v/>
      </c>
      <c r="O1117" t="str">
        <f>IFERROR(IF($C1117="","",SUMIFS(Ledger!$K$2:$K$4, Ledger!$B$2:$B$4, $A1117, Ledger!$C$2:$C$4, O$2)),"****")</f>
        <v/>
      </c>
      <c r="P1117" t="str">
        <f>IFERROR(IF($C1117="","",SUMIFS(Ledger!$K$2:$K$4, Ledger!$B$2:$B$4, $A1117, Ledger!$C$2:$C$4, P$2)),"****")</f>
        <v/>
      </c>
      <c r="Q1117" t="str">
        <f>IFERROR(IF($C1117="","",SUMIFS(Ledger!$K$2:$K$4, Ledger!$B$2:$B$4, $A1117, Ledger!$C$2:$C$4, Q$2)),"****")</f>
        <v/>
      </c>
      <c r="R1117" t="str">
        <f>IFERROR(IF($C1117="","",SUMIFS(Ledger!$K$2:$K$4, Ledger!$B$2:$B$4, $A1117, Ledger!$C$2:$C$4, R$2)),"****")</f>
        <v/>
      </c>
      <c r="S1117" t="str">
        <f>IFERROR(IF($C1117="","",SUMIFS(Ledger!$K$2:$K$4, Ledger!$B$2:$B$4, $A1117, Ledger!$C$2:$C$4, S$2)),"****")</f>
        <v/>
      </c>
      <c r="T1117" t="str">
        <f>IFERROR(IF($C1117="","",SUMIFS(Ledger!$K$2:$K$4, Ledger!$B$2:$B$4, $A1117, Ledger!$C$2:$C$4, T$2)),"****")</f>
        <v/>
      </c>
      <c r="U1117" t="str">
        <f>IFERROR(IF($C1117="","",SUMIFS(Ledger!$K$2:$K$4, Ledger!$B$2:$B$4, $A1117, Ledger!$C$2:$C$4, U$2)),"****")</f>
        <v/>
      </c>
      <c r="V1117" t="str">
        <f>IFERROR(IF($C1117="","",SUMIFS(Ledger!$K$2:$K$4, Ledger!$B$2:$B$4, $A1117, Ledger!$C$2:$C$4, V$2)),"****")</f>
        <v/>
      </c>
      <c r="W1117" t="str">
        <f>IFERROR(IF($C1117="","",SUMIFS(Ledger!$K$2:$K$4, Ledger!$B$2:$B$4, $A1117, Ledger!$C$2:$C$4, W$2)),"****")</f>
        <v/>
      </c>
      <c r="X1117" t="str">
        <f>IFERROR(IF($C1117="","",SUMIFS(Ledger!$K$2:$K$4, Ledger!$B$2:$B$4, $A1117, Ledger!$C$2:$C$4, X$2)),"****")</f>
        <v/>
      </c>
    </row>
    <row r="1118" spans="1:24" x14ac:dyDescent="0.3">
      <c r="A1118" s="106">
        <v>1116</v>
      </c>
      <c r="B1118" t="str">
        <f>IFERROR(VLOOKUP($A1118, Ledger!$B$2:$L$8, 3, 0),"")</f>
        <v/>
      </c>
      <c r="C1118" t="str">
        <f>IFERROR(VLOOKUP($A1118, Ledger!$B$2:$L$8, 4, 0),"")</f>
        <v/>
      </c>
      <c r="D1118" t="str">
        <f>IFERROR(VLOOKUP($A1118, Ledger!$B$2:$L$8, 5, 0),"")</f>
        <v/>
      </c>
      <c r="E1118" t="str">
        <f>IFERROR(VLOOKUP($A1118, Ledger!$B$2:$L$8, 6, 0),"")</f>
        <v/>
      </c>
      <c r="F1118" t="str">
        <f>IFERROR(VLOOKUP($A1118,'Student Data'!$A$2:$AR$6,32,0),"")</f>
        <v/>
      </c>
      <c r="G1118" t="str">
        <f>IFERROR(VLOOKUP($A1118,'Student Data'!$A$2:$AR$6,33,0),"")</f>
        <v/>
      </c>
      <c r="H1118" t="str">
        <f>IFERROR(VLOOKUP($A1118,'Student Data'!$A$2:$AR$6,34,0),"")</f>
        <v/>
      </c>
      <c r="I1118" t="str">
        <f>IFERROR(VLOOKUP($A1118,'Student Data'!$A$2:$AR$6,35,0),"")</f>
        <v/>
      </c>
      <c r="J1118" t="str">
        <f>IFERROR(VLOOKUP($A1118,'Student Data'!$A$2:$AR$6,36,0),"")</f>
        <v/>
      </c>
      <c r="K1118" t="str">
        <f t="shared" si="34"/>
        <v/>
      </c>
      <c r="L1118" t="str">
        <f t="shared" si="35"/>
        <v/>
      </c>
      <c r="M1118" t="str">
        <f>IFERROR(IF($C1118="","",SUMIFS(Ledger!$K$2:$K$4, Ledger!$B$2:$B$4, $A1118, Ledger!$C$2:$C$4, M$2)),"****")</f>
        <v/>
      </c>
      <c r="N1118" t="str">
        <f>IFERROR(IF($C1118="","",SUMIFS(Ledger!$K$2:$K$4, Ledger!$B$2:$B$4, $A1118, Ledger!$C$2:$C$4, N$2)),"****")</f>
        <v/>
      </c>
      <c r="O1118" t="str">
        <f>IFERROR(IF($C1118="","",SUMIFS(Ledger!$K$2:$K$4, Ledger!$B$2:$B$4, $A1118, Ledger!$C$2:$C$4, O$2)),"****")</f>
        <v/>
      </c>
      <c r="P1118" t="str">
        <f>IFERROR(IF($C1118="","",SUMIFS(Ledger!$K$2:$K$4, Ledger!$B$2:$B$4, $A1118, Ledger!$C$2:$C$4, P$2)),"****")</f>
        <v/>
      </c>
      <c r="Q1118" t="str">
        <f>IFERROR(IF($C1118="","",SUMIFS(Ledger!$K$2:$K$4, Ledger!$B$2:$B$4, $A1118, Ledger!$C$2:$C$4, Q$2)),"****")</f>
        <v/>
      </c>
      <c r="R1118" t="str">
        <f>IFERROR(IF($C1118="","",SUMIFS(Ledger!$K$2:$K$4, Ledger!$B$2:$B$4, $A1118, Ledger!$C$2:$C$4, R$2)),"****")</f>
        <v/>
      </c>
      <c r="S1118" t="str">
        <f>IFERROR(IF($C1118="","",SUMIFS(Ledger!$K$2:$K$4, Ledger!$B$2:$B$4, $A1118, Ledger!$C$2:$C$4, S$2)),"****")</f>
        <v/>
      </c>
      <c r="T1118" t="str">
        <f>IFERROR(IF($C1118="","",SUMIFS(Ledger!$K$2:$K$4, Ledger!$B$2:$B$4, $A1118, Ledger!$C$2:$C$4, T$2)),"****")</f>
        <v/>
      </c>
      <c r="U1118" t="str">
        <f>IFERROR(IF($C1118="","",SUMIFS(Ledger!$K$2:$K$4, Ledger!$B$2:$B$4, $A1118, Ledger!$C$2:$C$4, U$2)),"****")</f>
        <v/>
      </c>
      <c r="V1118" t="str">
        <f>IFERROR(IF($C1118="","",SUMIFS(Ledger!$K$2:$K$4, Ledger!$B$2:$B$4, $A1118, Ledger!$C$2:$C$4, V$2)),"****")</f>
        <v/>
      </c>
      <c r="W1118" t="str">
        <f>IFERROR(IF($C1118="","",SUMIFS(Ledger!$K$2:$K$4, Ledger!$B$2:$B$4, $A1118, Ledger!$C$2:$C$4, W$2)),"****")</f>
        <v/>
      </c>
      <c r="X1118" t="str">
        <f>IFERROR(IF($C1118="","",SUMIFS(Ledger!$K$2:$K$4, Ledger!$B$2:$B$4, $A1118, Ledger!$C$2:$C$4, X$2)),"****")</f>
        <v/>
      </c>
    </row>
    <row r="1119" spans="1:24" x14ac:dyDescent="0.3">
      <c r="A1119" s="106">
        <v>1117</v>
      </c>
      <c r="B1119" t="str">
        <f>IFERROR(VLOOKUP($A1119, Ledger!$B$2:$L$8, 3, 0),"")</f>
        <v/>
      </c>
      <c r="C1119" t="str">
        <f>IFERROR(VLOOKUP($A1119, Ledger!$B$2:$L$8, 4, 0),"")</f>
        <v/>
      </c>
      <c r="D1119" t="str">
        <f>IFERROR(VLOOKUP($A1119, Ledger!$B$2:$L$8, 5, 0),"")</f>
        <v/>
      </c>
      <c r="E1119" t="str">
        <f>IFERROR(VLOOKUP($A1119, Ledger!$B$2:$L$8, 6, 0),"")</f>
        <v/>
      </c>
      <c r="F1119" t="str">
        <f>IFERROR(VLOOKUP($A1119,'Student Data'!$A$2:$AR$6,32,0),"")</f>
        <v/>
      </c>
      <c r="G1119" t="str">
        <f>IFERROR(VLOOKUP($A1119,'Student Data'!$A$2:$AR$6,33,0),"")</f>
        <v/>
      </c>
      <c r="H1119" t="str">
        <f>IFERROR(VLOOKUP($A1119,'Student Data'!$A$2:$AR$6,34,0),"")</f>
        <v/>
      </c>
      <c r="I1119" t="str">
        <f>IFERROR(VLOOKUP($A1119,'Student Data'!$A$2:$AR$6,35,0),"")</f>
        <v/>
      </c>
      <c r="J1119" t="str">
        <f>IFERROR(VLOOKUP($A1119,'Student Data'!$A$2:$AR$6,36,0),"")</f>
        <v/>
      </c>
      <c r="K1119" t="str">
        <f t="shared" si="34"/>
        <v/>
      </c>
      <c r="L1119" t="str">
        <f t="shared" si="35"/>
        <v/>
      </c>
      <c r="M1119" t="str">
        <f>IFERROR(IF($C1119="","",SUMIFS(Ledger!$K$2:$K$4, Ledger!$B$2:$B$4, $A1119, Ledger!$C$2:$C$4, M$2)),"****")</f>
        <v/>
      </c>
      <c r="N1119" t="str">
        <f>IFERROR(IF($C1119="","",SUMIFS(Ledger!$K$2:$K$4, Ledger!$B$2:$B$4, $A1119, Ledger!$C$2:$C$4, N$2)),"****")</f>
        <v/>
      </c>
      <c r="O1119" t="str">
        <f>IFERROR(IF($C1119="","",SUMIFS(Ledger!$K$2:$K$4, Ledger!$B$2:$B$4, $A1119, Ledger!$C$2:$C$4, O$2)),"****")</f>
        <v/>
      </c>
      <c r="P1119" t="str">
        <f>IFERROR(IF($C1119="","",SUMIFS(Ledger!$K$2:$K$4, Ledger!$B$2:$B$4, $A1119, Ledger!$C$2:$C$4, P$2)),"****")</f>
        <v/>
      </c>
      <c r="Q1119" t="str">
        <f>IFERROR(IF($C1119="","",SUMIFS(Ledger!$K$2:$K$4, Ledger!$B$2:$B$4, $A1119, Ledger!$C$2:$C$4, Q$2)),"****")</f>
        <v/>
      </c>
      <c r="R1119" t="str">
        <f>IFERROR(IF($C1119="","",SUMIFS(Ledger!$K$2:$K$4, Ledger!$B$2:$B$4, $A1119, Ledger!$C$2:$C$4, R$2)),"****")</f>
        <v/>
      </c>
      <c r="S1119" t="str">
        <f>IFERROR(IF($C1119="","",SUMIFS(Ledger!$K$2:$K$4, Ledger!$B$2:$B$4, $A1119, Ledger!$C$2:$C$4, S$2)),"****")</f>
        <v/>
      </c>
      <c r="T1119" t="str">
        <f>IFERROR(IF($C1119="","",SUMIFS(Ledger!$K$2:$K$4, Ledger!$B$2:$B$4, $A1119, Ledger!$C$2:$C$4, T$2)),"****")</f>
        <v/>
      </c>
      <c r="U1119" t="str">
        <f>IFERROR(IF($C1119="","",SUMIFS(Ledger!$K$2:$K$4, Ledger!$B$2:$B$4, $A1119, Ledger!$C$2:$C$4, U$2)),"****")</f>
        <v/>
      </c>
      <c r="V1119" t="str">
        <f>IFERROR(IF($C1119="","",SUMIFS(Ledger!$K$2:$K$4, Ledger!$B$2:$B$4, $A1119, Ledger!$C$2:$C$4, V$2)),"****")</f>
        <v/>
      </c>
      <c r="W1119" t="str">
        <f>IFERROR(IF($C1119="","",SUMIFS(Ledger!$K$2:$K$4, Ledger!$B$2:$B$4, $A1119, Ledger!$C$2:$C$4, W$2)),"****")</f>
        <v/>
      </c>
      <c r="X1119" t="str">
        <f>IFERROR(IF($C1119="","",SUMIFS(Ledger!$K$2:$K$4, Ledger!$B$2:$B$4, $A1119, Ledger!$C$2:$C$4, X$2)),"****")</f>
        <v/>
      </c>
    </row>
    <row r="1120" spans="1:24" x14ac:dyDescent="0.3">
      <c r="A1120" s="106">
        <v>1118</v>
      </c>
      <c r="B1120" t="str">
        <f>IFERROR(VLOOKUP($A1120, Ledger!$B$2:$L$8, 3, 0),"")</f>
        <v/>
      </c>
      <c r="C1120" t="str">
        <f>IFERROR(VLOOKUP($A1120, Ledger!$B$2:$L$8, 4, 0),"")</f>
        <v/>
      </c>
      <c r="D1120" t="str">
        <f>IFERROR(VLOOKUP($A1120, Ledger!$B$2:$L$8, 5, 0),"")</f>
        <v/>
      </c>
      <c r="E1120" t="str">
        <f>IFERROR(VLOOKUP($A1120, Ledger!$B$2:$L$8, 6, 0),"")</f>
        <v/>
      </c>
      <c r="F1120" t="str">
        <f>IFERROR(VLOOKUP($A1120,'Student Data'!$A$2:$AR$6,32,0),"")</f>
        <v/>
      </c>
      <c r="G1120" t="str">
        <f>IFERROR(VLOOKUP($A1120,'Student Data'!$A$2:$AR$6,33,0),"")</f>
        <v/>
      </c>
      <c r="H1120" t="str">
        <f>IFERROR(VLOOKUP($A1120,'Student Data'!$A$2:$AR$6,34,0),"")</f>
        <v/>
      </c>
      <c r="I1120" t="str">
        <f>IFERROR(VLOOKUP($A1120,'Student Data'!$A$2:$AR$6,35,0),"")</f>
        <v/>
      </c>
      <c r="J1120" t="str">
        <f>IFERROR(VLOOKUP($A1120,'Student Data'!$A$2:$AR$6,36,0),"")</f>
        <v/>
      </c>
      <c r="K1120" t="str">
        <f t="shared" si="34"/>
        <v/>
      </c>
      <c r="L1120" t="str">
        <f t="shared" si="35"/>
        <v/>
      </c>
      <c r="M1120" t="str">
        <f>IFERROR(IF($C1120="","",SUMIFS(Ledger!$K$2:$K$4, Ledger!$B$2:$B$4, $A1120, Ledger!$C$2:$C$4, M$2)),"****")</f>
        <v/>
      </c>
      <c r="N1120" t="str">
        <f>IFERROR(IF($C1120="","",SUMIFS(Ledger!$K$2:$K$4, Ledger!$B$2:$B$4, $A1120, Ledger!$C$2:$C$4, N$2)),"****")</f>
        <v/>
      </c>
      <c r="O1120" t="str">
        <f>IFERROR(IF($C1120="","",SUMIFS(Ledger!$K$2:$K$4, Ledger!$B$2:$B$4, $A1120, Ledger!$C$2:$C$4, O$2)),"****")</f>
        <v/>
      </c>
      <c r="P1120" t="str">
        <f>IFERROR(IF($C1120="","",SUMIFS(Ledger!$K$2:$K$4, Ledger!$B$2:$B$4, $A1120, Ledger!$C$2:$C$4, P$2)),"****")</f>
        <v/>
      </c>
      <c r="Q1120" t="str">
        <f>IFERROR(IF($C1120="","",SUMIFS(Ledger!$K$2:$K$4, Ledger!$B$2:$B$4, $A1120, Ledger!$C$2:$C$4, Q$2)),"****")</f>
        <v/>
      </c>
      <c r="R1120" t="str">
        <f>IFERROR(IF($C1120="","",SUMIFS(Ledger!$K$2:$K$4, Ledger!$B$2:$B$4, $A1120, Ledger!$C$2:$C$4, R$2)),"****")</f>
        <v/>
      </c>
      <c r="S1120" t="str">
        <f>IFERROR(IF($C1120="","",SUMIFS(Ledger!$K$2:$K$4, Ledger!$B$2:$B$4, $A1120, Ledger!$C$2:$C$4, S$2)),"****")</f>
        <v/>
      </c>
      <c r="T1120" t="str">
        <f>IFERROR(IF($C1120="","",SUMIFS(Ledger!$K$2:$K$4, Ledger!$B$2:$B$4, $A1120, Ledger!$C$2:$C$4, T$2)),"****")</f>
        <v/>
      </c>
      <c r="U1120" t="str">
        <f>IFERROR(IF($C1120="","",SUMIFS(Ledger!$K$2:$K$4, Ledger!$B$2:$B$4, $A1120, Ledger!$C$2:$C$4, U$2)),"****")</f>
        <v/>
      </c>
      <c r="V1120" t="str">
        <f>IFERROR(IF($C1120="","",SUMIFS(Ledger!$K$2:$K$4, Ledger!$B$2:$B$4, $A1120, Ledger!$C$2:$C$4, V$2)),"****")</f>
        <v/>
      </c>
      <c r="W1120" t="str">
        <f>IFERROR(IF($C1120="","",SUMIFS(Ledger!$K$2:$K$4, Ledger!$B$2:$B$4, $A1120, Ledger!$C$2:$C$4, W$2)),"****")</f>
        <v/>
      </c>
      <c r="X1120" t="str">
        <f>IFERROR(IF($C1120="","",SUMIFS(Ledger!$K$2:$K$4, Ledger!$B$2:$B$4, $A1120, Ledger!$C$2:$C$4, X$2)),"****")</f>
        <v/>
      </c>
    </row>
    <row r="1121" spans="1:24" x14ac:dyDescent="0.3">
      <c r="A1121" s="106">
        <v>1119</v>
      </c>
      <c r="B1121" t="str">
        <f>IFERROR(VLOOKUP($A1121, Ledger!$B$2:$L$8, 3, 0),"")</f>
        <v/>
      </c>
      <c r="C1121" t="str">
        <f>IFERROR(VLOOKUP($A1121, Ledger!$B$2:$L$8, 4, 0),"")</f>
        <v/>
      </c>
      <c r="D1121" t="str">
        <f>IFERROR(VLOOKUP($A1121, Ledger!$B$2:$L$8, 5, 0),"")</f>
        <v/>
      </c>
      <c r="E1121" t="str">
        <f>IFERROR(VLOOKUP($A1121, Ledger!$B$2:$L$8, 6, 0),"")</f>
        <v/>
      </c>
      <c r="F1121" t="str">
        <f>IFERROR(VLOOKUP($A1121,'Student Data'!$A$2:$AR$6,32,0),"")</f>
        <v/>
      </c>
      <c r="G1121" t="str">
        <f>IFERROR(VLOOKUP($A1121,'Student Data'!$A$2:$AR$6,33,0),"")</f>
        <v/>
      </c>
      <c r="H1121" t="str">
        <f>IFERROR(VLOOKUP($A1121,'Student Data'!$A$2:$AR$6,34,0),"")</f>
        <v/>
      </c>
      <c r="I1121" t="str">
        <f>IFERROR(VLOOKUP($A1121,'Student Data'!$A$2:$AR$6,35,0),"")</f>
        <v/>
      </c>
      <c r="J1121" t="str">
        <f>IFERROR(VLOOKUP($A1121,'Student Data'!$A$2:$AR$6,36,0),"")</f>
        <v/>
      </c>
      <c r="K1121" t="str">
        <f t="shared" si="34"/>
        <v/>
      </c>
      <c r="L1121" t="str">
        <f t="shared" si="35"/>
        <v/>
      </c>
      <c r="M1121" t="str">
        <f>IFERROR(IF($C1121="","",SUMIFS(Ledger!$K$2:$K$4, Ledger!$B$2:$B$4, $A1121, Ledger!$C$2:$C$4, M$2)),"****")</f>
        <v/>
      </c>
      <c r="N1121" t="str">
        <f>IFERROR(IF($C1121="","",SUMIFS(Ledger!$K$2:$K$4, Ledger!$B$2:$B$4, $A1121, Ledger!$C$2:$C$4, N$2)),"****")</f>
        <v/>
      </c>
      <c r="O1121" t="str">
        <f>IFERROR(IF($C1121="","",SUMIFS(Ledger!$K$2:$K$4, Ledger!$B$2:$B$4, $A1121, Ledger!$C$2:$C$4, O$2)),"****")</f>
        <v/>
      </c>
      <c r="P1121" t="str">
        <f>IFERROR(IF($C1121="","",SUMIFS(Ledger!$K$2:$K$4, Ledger!$B$2:$B$4, $A1121, Ledger!$C$2:$C$4, P$2)),"****")</f>
        <v/>
      </c>
      <c r="Q1121" t="str">
        <f>IFERROR(IF($C1121="","",SUMIFS(Ledger!$K$2:$K$4, Ledger!$B$2:$B$4, $A1121, Ledger!$C$2:$C$4, Q$2)),"****")</f>
        <v/>
      </c>
      <c r="R1121" t="str">
        <f>IFERROR(IF($C1121="","",SUMIFS(Ledger!$K$2:$K$4, Ledger!$B$2:$B$4, $A1121, Ledger!$C$2:$C$4, R$2)),"****")</f>
        <v/>
      </c>
      <c r="S1121" t="str">
        <f>IFERROR(IF($C1121="","",SUMIFS(Ledger!$K$2:$K$4, Ledger!$B$2:$B$4, $A1121, Ledger!$C$2:$C$4, S$2)),"****")</f>
        <v/>
      </c>
      <c r="T1121" t="str">
        <f>IFERROR(IF($C1121="","",SUMIFS(Ledger!$K$2:$K$4, Ledger!$B$2:$B$4, $A1121, Ledger!$C$2:$C$4, T$2)),"****")</f>
        <v/>
      </c>
      <c r="U1121" t="str">
        <f>IFERROR(IF($C1121="","",SUMIFS(Ledger!$K$2:$K$4, Ledger!$B$2:$B$4, $A1121, Ledger!$C$2:$C$4, U$2)),"****")</f>
        <v/>
      </c>
      <c r="V1121" t="str">
        <f>IFERROR(IF($C1121="","",SUMIFS(Ledger!$K$2:$K$4, Ledger!$B$2:$B$4, $A1121, Ledger!$C$2:$C$4, V$2)),"****")</f>
        <v/>
      </c>
      <c r="W1121" t="str">
        <f>IFERROR(IF($C1121="","",SUMIFS(Ledger!$K$2:$K$4, Ledger!$B$2:$B$4, $A1121, Ledger!$C$2:$C$4, W$2)),"****")</f>
        <v/>
      </c>
      <c r="X1121" t="str">
        <f>IFERROR(IF($C1121="","",SUMIFS(Ledger!$K$2:$K$4, Ledger!$B$2:$B$4, $A1121, Ledger!$C$2:$C$4, X$2)),"****")</f>
        <v/>
      </c>
    </row>
    <row r="1122" spans="1:24" x14ac:dyDescent="0.3">
      <c r="A1122" s="106">
        <v>1120</v>
      </c>
      <c r="B1122" t="str">
        <f>IFERROR(VLOOKUP($A1122, Ledger!$B$2:$L$8, 3, 0),"")</f>
        <v/>
      </c>
      <c r="C1122" t="str">
        <f>IFERROR(VLOOKUP($A1122, Ledger!$B$2:$L$8, 4, 0),"")</f>
        <v/>
      </c>
      <c r="D1122" t="str">
        <f>IFERROR(VLOOKUP($A1122, Ledger!$B$2:$L$8, 5, 0),"")</f>
        <v/>
      </c>
      <c r="E1122" t="str">
        <f>IFERROR(VLOOKUP($A1122, Ledger!$B$2:$L$8, 6, 0),"")</f>
        <v/>
      </c>
      <c r="F1122" t="str">
        <f>IFERROR(VLOOKUP($A1122,'Student Data'!$A$2:$AR$6,32,0),"")</f>
        <v/>
      </c>
      <c r="G1122" t="str">
        <f>IFERROR(VLOOKUP($A1122,'Student Data'!$A$2:$AR$6,33,0),"")</f>
        <v/>
      </c>
      <c r="H1122" t="str">
        <f>IFERROR(VLOOKUP($A1122,'Student Data'!$A$2:$AR$6,34,0),"")</f>
        <v/>
      </c>
      <c r="I1122" t="str">
        <f>IFERROR(VLOOKUP($A1122,'Student Data'!$A$2:$AR$6,35,0),"")</f>
        <v/>
      </c>
      <c r="J1122" t="str">
        <f>IFERROR(VLOOKUP($A1122,'Student Data'!$A$2:$AR$6,36,0),"")</f>
        <v/>
      </c>
      <c r="K1122" t="str">
        <f t="shared" si="34"/>
        <v/>
      </c>
      <c r="L1122" t="str">
        <f t="shared" si="35"/>
        <v/>
      </c>
      <c r="M1122" t="str">
        <f>IFERROR(IF($C1122="","",SUMIFS(Ledger!$K$2:$K$4, Ledger!$B$2:$B$4, $A1122, Ledger!$C$2:$C$4, M$2)),"****")</f>
        <v/>
      </c>
      <c r="N1122" t="str">
        <f>IFERROR(IF($C1122="","",SUMIFS(Ledger!$K$2:$K$4, Ledger!$B$2:$B$4, $A1122, Ledger!$C$2:$C$4, N$2)),"****")</f>
        <v/>
      </c>
      <c r="O1122" t="str">
        <f>IFERROR(IF($C1122="","",SUMIFS(Ledger!$K$2:$K$4, Ledger!$B$2:$B$4, $A1122, Ledger!$C$2:$C$4, O$2)),"****")</f>
        <v/>
      </c>
      <c r="P1122" t="str">
        <f>IFERROR(IF($C1122="","",SUMIFS(Ledger!$K$2:$K$4, Ledger!$B$2:$B$4, $A1122, Ledger!$C$2:$C$4, P$2)),"****")</f>
        <v/>
      </c>
      <c r="Q1122" t="str">
        <f>IFERROR(IF($C1122="","",SUMIFS(Ledger!$K$2:$K$4, Ledger!$B$2:$B$4, $A1122, Ledger!$C$2:$C$4, Q$2)),"****")</f>
        <v/>
      </c>
      <c r="R1122" t="str">
        <f>IFERROR(IF($C1122="","",SUMIFS(Ledger!$K$2:$K$4, Ledger!$B$2:$B$4, $A1122, Ledger!$C$2:$C$4, R$2)),"****")</f>
        <v/>
      </c>
      <c r="S1122" t="str">
        <f>IFERROR(IF($C1122="","",SUMIFS(Ledger!$K$2:$K$4, Ledger!$B$2:$B$4, $A1122, Ledger!$C$2:$C$4, S$2)),"****")</f>
        <v/>
      </c>
      <c r="T1122" t="str">
        <f>IFERROR(IF($C1122="","",SUMIFS(Ledger!$K$2:$K$4, Ledger!$B$2:$B$4, $A1122, Ledger!$C$2:$C$4, T$2)),"****")</f>
        <v/>
      </c>
      <c r="U1122" t="str">
        <f>IFERROR(IF($C1122="","",SUMIFS(Ledger!$K$2:$K$4, Ledger!$B$2:$B$4, $A1122, Ledger!$C$2:$C$4, U$2)),"****")</f>
        <v/>
      </c>
      <c r="V1122" t="str">
        <f>IFERROR(IF($C1122="","",SUMIFS(Ledger!$K$2:$K$4, Ledger!$B$2:$B$4, $A1122, Ledger!$C$2:$C$4, V$2)),"****")</f>
        <v/>
      </c>
      <c r="W1122" t="str">
        <f>IFERROR(IF($C1122="","",SUMIFS(Ledger!$K$2:$K$4, Ledger!$B$2:$B$4, $A1122, Ledger!$C$2:$C$4, W$2)),"****")</f>
        <v/>
      </c>
      <c r="X1122" t="str">
        <f>IFERROR(IF($C1122="","",SUMIFS(Ledger!$K$2:$K$4, Ledger!$B$2:$B$4, $A1122, Ledger!$C$2:$C$4, X$2)),"****")</f>
        <v/>
      </c>
    </row>
    <row r="1123" spans="1:24" x14ac:dyDescent="0.3">
      <c r="A1123" s="106">
        <v>1121</v>
      </c>
      <c r="B1123" t="str">
        <f>IFERROR(VLOOKUP($A1123, Ledger!$B$2:$L$8, 3, 0),"")</f>
        <v/>
      </c>
      <c r="C1123" t="str">
        <f>IFERROR(VLOOKUP($A1123, Ledger!$B$2:$L$8, 4, 0),"")</f>
        <v/>
      </c>
      <c r="D1123" t="str">
        <f>IFERROR(VLOOKUP($A1123, Ledger!$B$2:$L$8, 5, 0),"")</f>
        <v/>
      </c>
      <c r="E1123" t="str">
        <f>IFERROR(VLOOKUP($A1123, Ledger!$B$2:$L$8, 6, 0),"")</f>
        <v/>
      </c>
      <c r="F1123" t="str">
        <f>IFERROR(VLOOKUP($A1123,'Student Data'!$A$2:$AR$6,32,0),"")</f>
        <v/>
      </c>
      <c r="G1123" t="str">
        <f>IFERROR(VLOOKUP($A1123,'Student Data'!$A$2:$AR$6,33,0),"")</f>
        <v/>
      </c>
      <c r="H1123" t="str">
        <f>IFERROR(VLOOKUP($A1123,'Student Data'!$A$2:$AR$6,34,0),"")</f>
        <v/>
      </c>
      <c r="I1123" t="str">
        <f>IFERROR(VLOOKUP($A1123,'Student Data'!$A$2:$AR$6,35,0),"")</f>
        <v/>
      </c>
      <c r="J1123" t="str">
        <f>IFERROR(VLOOKUP($A1123,'Student Data'!$A$2:$AR$6,36,0),"")</f>
        <v/>
      </c>
      <c r="K1123" t="str">
        <f t="shared" si="34"/>
        <v/>
      </c>
      <c r="L1123" t="str">
        <f t="shared" si="35"/>
        <v/>
      </c>
      <c r="M1123" t="str">
        <f>IFERROR(IF($C1123="","",SUMIFS(Ledger!$K$2:$K$4, Ledger!$B$2:$B$4, $A1123, Ledger!$C$2:$C$4, M$2)),"****")</f>
        <v/>
      </c>
      <c r="N1123" t="str">
        <f>IFERROR(IF($C1123="","",SUMIFS(Ledger!$K$2:$K$4, Ledger!$B$2:$B$4, $A1123, Ledger!$C$2:$C$4, N$2)),"****")</f>
        <v/>
      </c>
      <c r="O1123" t="str">
        <f>IFERROR(IF($C1123="","",SUMIFS(Ledger!$K$2:$K$4, Ledger!$B$2:$B$4, $A1123, Ledger!$C$2:$C$4, O$2)),"****")</f>
        <v/>
      </c>
      <c r="P1123" t="str">
        <f>IFERROR(IF($C1123="","",SUMIFS(Ledger!$K$2:$K$4, Ledger!$B$2:$B$4, $A1123, Ledger!$C$2:$C$4, P$2)),"****")</f>
        <v/>
      </c>
      <c r="Q1123" t="str">
        <f>IFERROR(IF($C1123="","",SUMIFS(Ledger!$K$2:$K$4, Ledger!$B$2:$B$4, $A1123, Ledger!$C$2:$C$4, Q$2)),"****")</f>
        <v/>
      </c>
      <c r="R1123" t="str">
        <f>IFERROR(IF($C1123="","",SUMIFS(Ledger!$K$2:$K$4, Ledger!$B$2:$B$4, $A1123, Ledger!$C$2:$C$4, R$2)),"****")</f>
        <v/>
      </c>
      <c r="S1123" t="str">
        <f>IFERROR(IF($C1123="","",SUMIFS(Ledger!$K$2:$K$4, Ledger!$B$2:$B$4, $A1123, Ledger!$C$2:$C$4, S$2)),"****")</f>
        <v/>
      </c>
      <c r="T1123" t="str">
        <f>IFERROR(IF($C1123="","",SUMIFS(Ledger!$K$2:$K$4, Ledger!$B$2:$B$4, $A1123, Ledger!$C$2:$C$4, T$2)),"****")</f>
        <v/>
      </c>
      <c r="U1123" t="str">
        <f>IFERROR(IF($C1123="","",SUMIFS(Ledger!$K$2:$K$4, Ledger!$B$2:$B$4, $A1123, Ledger!$C$2:$C$4, U$2)),"****")</f>
        <v/>
      </c>
      <c r="V1123" t="str">
        <f>IFERROR(IF($C1123="","",SUMIFS(Ledger!$K$2:$K$4, Ledger!$B$2:$B$4, $A1123, Ledger!$C$2:$C$4, V$2)),"****")</f>
        <v/>
      </c>
      <c r="W1123" t="str">
        <f>IFERROR(IF($C1123="","",SUMIFS(Ledger!$K$2:$K$4, Ledger!$B$2:$B$4, $A1123, Ledger!$C$2:$C$4, W$2)),"****")</f>
        <v/>
      </c>
      <c r="X1123" t="str">
        <f>IFERROR(IF($C1123="","",SUMIFS(Ledger!$K$2:$K$4, Ledger!$B$2:$B$4, $A1123, Ledger!$C$2:$C$4, X$2)),"****")</f>
        <v/>
      </c>
    </row>
    <row r="1124" spans="1:24" x14ac:dyDescent="0.3">
      <c r="A1124" s="106">
        <v>1122</v>
      </c>
      <c r="B1124" t="str">
        <f>IFERROR(VLOOKUP($A1124, Ledger!$B$2:$L$8, 3, 0),"")</f>
        <v/>
      </c>
      <c r="C1124" t="str">
        <f>IFERROR(VLOOKUP($A1124, Ledger!$B$2:$L$8, 4, 0),"")</f>
        <v/>
      </c>
      <c r="D1124" t="str">
        <f>IFERROR(VLOOKUP($A1124, Ledger!$B$2:$L$8, 5, 0),"")</f>
        <v/>
      </c>
      <c r="E1124" t="str">
        <f>IFERROR(VLOOKUP($A1124, Ledger!$B$2:$L$8, 6, 0),"")</f>
        <v/>
      </c>
      <c r="F1124" t="str">
        <f>IFERROR(VLOOKUP($A1124,'Student Data'!$A$2:$AR$6,32,0),"")</f>
        <v/>
      </c>
      <c r="G1124" t="str">
        <f>IFERROR(VLOOKUP($A1124,'Student Data'!$A$2:$AR$6,33,0),"")</f>
        <v/>
      </c>
      <c r="H1124" t="str">
        <f>IFERROR(VLOOKUP($A1124,'Student Data'!$A$2:$AR$6,34,0),"")</f>
        <v/>
      </c>
      <c r="I1124" t="str">
        <f>IFERROR(VLOOKUP($A1124,'Student Data'!$A$2:$AR$6,35,0),"")</f>
        <v/>
      </c>
      <c r="J1124" t="str">
        <f>IFERROR(VLOOKUP($A1124,'Student Data'!$A$2:$AR$6,36,0),"")</f>
        <v/>
      </c>
      <c r="K1124" t="str">
        <f t="shared" si="34"/>
        <v/>
      </c>
      <c r="L1124" t="str">
        <f t="shared" si="35"/>
        <v/>
      </c>
      <c r="M1124" t="str">
        <f>IFERROR(IF($C1124="","",SUMIFS(Ledger!$K$2:$K$4, Ledger!$B$2:$B$4, $A1124, Ledger!$C$2:$C$4, M$2)),"****")</f>
        <v/>
      </c>
      <c r="N1124" t="str">
        <f>IFERROR(IF($C1124="","",SUMIFS(Ledger!$K$2:$K$4, Ledger!$B$2:$B$4, $A1124, Ledger!$C$2:$C$4, N$2)),"****")</f>
        <v/>
      </c>
      <c r="O1124" t="str">
        <f>IFERROR(IF($C1124="","",SUMIFS(Ledger!$K$2:$K$4, Ledger!$B$2:$B$4, $A1124, Ledger!$C$2:$C$4, O$2)),"****")</f>
        <v/>
      </c>
      <c r="P1124" t="str">
        <f>IFERROR(IF($C1124="","",SUMIFS(Ledger!$K$2:$K$4, Ledger!$B$2:$B$4, $A1124, Ledger!$C$2:$C$4, P$2)),"****")</f>
        <v/>
      </c>
      <c r="Q1124" t="str">
        <f>IFERROR(IF($C1124="","",SUMIFS(Ledger!$K$2:$K$4, Ledger!$B$2:$B$4, $A1124, Ledger!$C$2:$C$4, Q$2)),"****")</f>
        <v/>
      </c>
      <c r="R1124" t="str">
        <f>IFERROR(IF($C1124="","",SUMIFS(Ledger!$K$2:$K$4, Ledger!$B$2:$B$4, $A1124, Ledger!$C$2:$C$4, R$2)),"****")</f>
        <v/>
      </c>
      <c r="S1124" t="str">
        <f>IFERROR(IF($C1124="","",SUMIFS(Ledger!$K$2:$K$4, Ledger!$B$2:$B$4, $A1124, Ledger!$C$2:$C$4, S$2)),"****")</f>
        <v/>
      </c>
      <c r="T1124" t="str">
        <f>IFERROR(IF($C1124="","",SUMIFS(Ledger!$K$2:$K$4, Ledger!$B$2:$B$4, $A1124, Ledger!$C$2:$C$4, T$2)),"****")</f>
        <v/>
      </c>
      <c r="U1124" t="str">
        <f>IFERROR(IF($C1124="","",SUMIFS(Ledger!$K$2:$K$4, Ledger!$B$2:$B$4, $A1124, Ledger!$C$2:$C$4, U$2)),"****")</f>
        <v/>
      </c>
      <c r="V1124" t="str">
        <f>IFERROR(IF($C1124="","",SUMIFS(Ledger!$K$2:$K$4, Ledger!$B$2:$B$4, $A1124, Ledger!$C$2:$C$4, V$2)),"****")</f>
        <v/>
      </c>
      <c r="W1124" t="str">
        <f>IFERROR(IF($C1124="","",SUMIFS(Ledger!$K$2:$K$4, Ledger!$B$2:$B$4, $A1124, Ledger!$C$2:$C$4, W$2)),"****")</f>
        <v/>
      </c>
      <c r="X1124" t="str">
        <f>IFERROR(IF($C1124="","",SUMIFS(Ledger!$K$2:$K$4, Ledger!$B$2:$B$4, $A1124, Ledger!$C$2:$C$4, X$2)),"****")</f>
        <v/>
      </c>
    </row>
    <row r="1125" spans="1:24" x14ac:dyDescent="0.3">
      <c r="A1125" s="106">
        <v>1123</v>
      </c>
      <c r="B1125" t="str">
        <f>IFERROR(VLOOKUP($A1125, Ledger!$B$2:$L$8, 3, 0),"")</f>
        <v/>
      </c>
      <c r="C1125" t="str">
        <f>IFERROR(VLOOKUP($A1125, Ledger!$B$2:$L$8, 4, 0),"")</f>
        <v/>
      </c>
      <c r="D1125" t="str">
        <f>IFERROR(VLOOKUP($A1125, Ledger!$B$2:$L$8, 5, 0),"")</f>
        <v/>
      </c>
      <c r="E1125" t="str">
        <f>IFERROR(VLOOKUP($A1125, Ledger!$B$2:$L$8, 6, 0),"")</f>
        <v/>
      </c>
      <c r="F1125" t="str">
        <f>IFERROR(VLOOKUP($A1125,'Student Data'!$A$2:$AR$6,32,0),"")</f>
        <v/>
      </c>
      <c r="G1125" t="str">
        <f>IFERROR(VLOOKUP($A1125,'Student Data'!$A$2:$AR$6,33,0),"")</f>
        <v/>
      </c>
      <c r="H1125" t="str">
        <f>IFERROR(VLOOKUP($A1125,'Student Data'!$A$2:$AR$6,34,0),"")</f>
        <v/>
      </c>
      <c r="I1125" t="str">
        <f>IFERROR(VLOOKUP($A1125,'Student Data'!$A$2:$AR$6,35,0),"")</f>
        <v/>
      </c>
      <c r="J1125" t="str">
        <f>IFERROR(VLOOKUP($A1125,'Student Data'!$A$2:$AR$6,36,0),"")</f>
        <v/>
      </c>
      <c r="K1125" t="str">
        <f t="shared" si="34"/>
        <v/>
      </c>
      <c r="L1125" t="str">
        <f t="shared" si="35"/>
        <v/>
      </c>
      <c r="M1125" t="str">
        <f>IFERROR(IF($C1125="","",SUMIFS(Ledger!$K$2:$K$4, Ledger!$B$2:$B$4, $A1125, Ledger!$C$2:$C$4, M$2)),"****")</f>
        <v/>
      </c>
      <c r="N1125" t="str">
        <f>IFERROR(IF($C1125="","",SUMIFS(Ledger!$K$2:$K$4, Ledger!$B$2:$B$4, $A1125, Ledger!$C$2:$C$4, N$2)),"****")</f>
        <v/>
      </c>
      <c r="O1125" t="str">
        <f>IFERROR(IF($C1125="","",SUMIFS(Ledger!$K$2:$K$4, Ledger!$B$2:$B$4, $A1125, Ledger!$C$2:$C$4, O$2)),"****")</f>
        <v/>
      </c>
      <c r="P1125" t="str">
        <f>IFERROR(IF($C1125="","",SUMIFS(Ledger!$K$2:$K$4, Ledger!$B$2:$B$4, $A1125, Ledger!$C$2:$C$4, P$2)),"****")</f>
        <v/>
      </c>
      <c r="Q1125" t="str">
        <f>IFERROR(IF($C1125="","",SUMIFS(Ledger!$K$2:$K$4, Ledger!$B$2:$B$4, $A1125, Ledger!$C$2:$C$4, Q$2)),"****")</f>
        <v/>
      </c>
      <c r="R1125" t="str">
        <f>IFERROR(IF($C1125="","",SUMIFS(Ledger!$K$2:$K$4, Ledger!$B$2:$B$4, $A1125, Ledger!$C$2:$C$4, R$2)),"****")</f>
        <v/>
      </c>
      <c r="S1125" t="str">
        <f>IFERROR(IF($C1125="","",SUMIFS(Ledger!$K$2:$K$4, Ledger!$B$2:$B$4, $A1125, Ledger!$C$2:$C$4, S$2)),"****")</f>
        <v/>
      </c>
      <c r="T1125" t="str">
        <f>IFERROR(IF($C1125="","",SUMIFS(Ledger!$K$2:$K$4, Ledger!$B$2:$B$4, $A1125, Ledger!$C$2:$C$4, T$2)),"****")</f>
        <v/>
      </c>
      <c r="U1125" t="str">
        <f>IFERROR(IF($C1125="","",SUMIFS(Ledger!$K$2:$K$4, Ledger!$B$2:$B$4, $A1125, Ledger!$C$2:$C$4, U$2)),"****")</f>
        <v/>
      </c>
      <c r="V1125" t="str">
        <f>IFERROR(IF($C1125="","",SUMIFS(Ledger!$K$2:$K$4, Ledger!$B$2:$B$4, $A1125, Ledger!$C$2:$C$4, V$2)),"****")</f>
        <v/>
      </c>
      <c r="W1125" t="str">
        <f>IFERROR(IF($C1125="","",SUMIFS(Ledger!$K$2:$K$4, Ledger!$B$2:$B$4, $A1125, Ledger!$C$2:$C$4, W$2)),"****")</f>
        <v/>
      </c>
      <c r="X1125" t="str">
        <f>IFERROR(IF($C1125="","",SUMIFS(Ledger!$K$2:$K$4, Ledger!$B$2:$B$4, $A1125, Ledger!$C$2:$C$4, X$2)),"****")</f>
        <v/>
      </c>
    </row>
    <row r="1126" spans="1:24" x14ac:dyDescent="0.3">
      <c r="A1126" s="106">
        <v>1124</v>
      </c>
      <c r="B1126" t="str">
        <f>IFERROR(VLOOKUP($A1126, Ledger!$B$2:$L$8, 3, 0),"")</f>
        <v/>
      </c>
      <c r="C1126" t="str">
        <f>IFERROR(VLOOKUP($A1126, Ledger!$B$2:$L$8, 4, 0),"")</f>
        <v/>
      </c>
      <c r="D1126" t="str">
        <f>IFERROR(VLOOKUP($A1126, Ledger!$B$2:$L$8, 5, 0),"")</f>
        <v/>
      </c>
      <c r="E1126" t="str">
        <f>IFERROR(VLOOKUP($A1126, Ledger!$B$2:$L$8, 6, 0),"")</f>
        <v/>
      </c>
      <c r="F1126" t="str">
        <f>IFERROR(VLOOKUP($A1126,'Student Data'!$A$2:$AR$6,32,0),"")</f>
        <v/>
      </c>
      <c r="G1126" t="str">
        <f>IFERROR(VLOOKUP($A1126,'Student Data'!$A$2:$AR$6,33,0),"")</f>
        <v/>
      </c>
      <c r="H1126" t="str">
        <f>IFERROR(VLOOKUP($A1126,'Student Data'!$A$2:$AR$6,34,0),"")</f>
        <v/>
      </c>
      <c r="I1126" t="str">
        <f>IFERROR(VLOOKUP($A1126,'Student Data'!$A$2:$AR$6,35,0),"")</f>
        <v/>
      </c>
      <c r="J1126" t="str">
        <f>IFERROR(VLOOKUP($A1126,'Student Data'!$A$2:$AR$6,36,0),"")</f>
        <v/>
      </c>
      <c r="K1126" t="str">
        <f t="shared" si="34"/>
        <v/>
      </c>
      <c r="L1126" t="str">
        <f t="shared" si="35"/>
        <v/>
      </c>
      <c r="M1126" t="str">
        <f>IFERROR(IF($C1126="","",SUMIFS(Ledger!$K$2:$K$4, Ledger!$B$2:$B$4, $A1126, Ledger!$C$2:$C$4, M$2)),"****")</f>
        <v/>
      </c>
      <c r="N1126" t="str">
        <f>IFERROR(IF($C1126="","",SUMIFS(Ledger!$K$2:$K$4, Ledger!$B$2:$B$4, $A1126, Ledger!$C$2:$C$4, N$2)),"****")</f>
        <v/>
      </c>
      <c r="O1126" t="str">
        <f>IFERROR(IF($C1126="","",SUMIFS(Ledger!$K$2:$K$4, Ledger!$B$2:$B$4, $A1126, Ledger!$C$2:$C$4, O$2)),"****")</f>
        <v/>
      </c>
      <c r="P1126" t="str">
        <f>IFERROR(IF($C1126="","",SUMIFS(Ledger!$K$2:$K$4, Ledger!$B$2:$B$4, $A1126, Ledger!$C$2:$C$4, P$2)),"****")</f>
        <v/>
      </c>
      <c r="Q1126" t="str">
        <f>IFERROR(IF($C1126="","",SUMIFS(Ledger!$K$2:$K$4, Ledger!$B$2:$B$4, $A1126, Ledger!$C$2:$C$4, Q$2)),"****")</f>
        <v/>
      </c>
      <c r="R1126" t="str">
        <f>IFERROR(IF($C1126="","",SUMIFS(Ledger!$K$2:$K$4, Ledger!$B$2:$B$4, $A1126, Ledger!$C$2:$C$4, R$2)),"****")</f>
        <v/>
      </c>
      <c r="S1126" t="str">
        <f>IFERROR(IF($C1126="","",SUMIFS(Ledger!$K$2:$K$4, Ledger!$B$2:$B$4, $A1126, Ledger!$C$2:$C$4, S$2)),"****")</f>
        <v/>
      </c>
      <c r="T1126" t="str">
        <f>IFERROR(IF($C1126="","",SUMIFS(Ledger!$K$2:$K$4, Ledger!$B$2:$B$4, $A1126, Ledger!$C$2:$C$4, T$2)),"****")</f>
        <v/>
      </c>
      <c r="U1126" t="str">
        <f>IFERROR(IF($C1126="","",SUMIFS(Ledger!$K$2:$K$4, Ledger!$B$2:$B$4, $A1126, Ledger!$C$2:$C$4, U$2)),"****")</f>
        <v/>
      </c>
      <c r="V1126" t="str">
        <f>IFERROR(IF($C1126="","",SUMIFS(Ledger!$K$2:$K$4, Ledger!$B$2:$B$4, $A1126, Ledger!$C$2:$C$4, V$2)),"****")</f>
        <v/>
      </c>
      <c r="W1126" t="str">
        <f>IFERROR(IF($C1126="","",SUMIFS(Ledger!$K$2:$K$4, Ledger!$B$2:$B$4, $A1126, Ledger!$C$2:$C$4, W$2)),"****")</f>
        <v/>
      </c>
      <c r="X1126" t="str">
        <f>IFERROR(IF($C1126="","",SUMIFS(Ledger!$K$2:$K$4, Ledger!$B$2:$B$4, $A1126, Ledger!$C$2:$C$4, X$2)),"****")</f>
        <v/>
      </c>
    </row>
    <row r="1127" spans="1:24" x14ac:dyDescent="0.3">
      <c r="A1127" s="106">
        <v>1125</v>
      </c>
      <c r="B1127" t="str">
        <f>IFERROR(VLOOKUP($A1127, Ledger!$B$2:$L$8, 3, 0),"")</f>
        <v/>
      </c>
      <c r="C1127" t="str">
        <f>IFERROR(VLOOKUP($A1127, Ledger!$B$2:$L$8, 4, 0),"")</f>
        <v/>
      </c>
      <c r="D1127" t="str">
        <f>IFERROR(VLOOKUP($A1127, Ledger!$B$2:$L$8, 5, 0),"")</f>
        <v/>
      </c>
      <c r="E1127" t="str">
        <f>IFERROR(VLOOKUP($A1127, Ledger!$B$2:$L$8, 6, 0),"")</f>
        <v/>
      </c>
      <c r="F1127" t="str">
        <f>IFERROR(VLOOKUP($A1127,'Student Data'!$A$2:$AR$6,32,0),"")</f>
        <v/>
      </c>
      <c r="G1127" t="str">
        <f>IFERROR(VLOOKUP($A1127,'Student Data'!$A$2:$AR$6,33,0),"")</f>
        <v/>
      </c>
      <c r="H1127" t="str">
        <f>IFERROR(VLOOKUP($A1127,'Student Data'!$A$2:$AR$6,34,0),"")</f>
        <v/>
      </c>
      <c r="I1127" t="str">
        <f>IFERROR(VLOOKUP($A1127,'Student Data'!$A$2:$AR$6,35,0),"")</f>
        <v/>
      </c>
      <c r="J1127" t="str">
        <f>IFERROR(VLOOKUP($A1127,'Student Data'!$A$2:$AR$6,36,0),"")</f>
        <v/>
      </c>
      <c r="K1127" t="str">
        <f t="shared" si="34"/>
        <v/>
      </c>
      <c r="L1127" t="str">
        <f t="shared" si="35"/>
        <v/>
      </c>
      <c r="M1127" t="str">
        <f>IFERROR(IF($C1127="","",SUMIFS(Ledger!$K$2:$K$4, Ledger!$B$2:$B$4, $A1127, Ledger!$C$2:$C$4, M$2)),"****")</f>
        <v/>
      </c>
      <c r="N1127" t="str">
        <f>IFERROR(IF($C1127="","",SUMIFS(Ledger!$K$2:$K$4, Ledger!$B$2:$B$4, $A1127, Ledger!$C$2:$C$4, N$2)),"****")</f>
        <v/>
      </c>
      <c r="O1127" t="str">
        <f>IFERROR(IF($C1127="","",SUMIFS(Ledger!$K$2:$K$4, Ledger!$B$2:$B$4, $A1127, Ledger!$C$2:$C$4, O$2)),"****")</f>
        <v/>
      </c>
      <c r="P1127" t="str">
        <f>IFERROR(IF($C1127="","",SUMIFS(Ledger!$K$2:$K$4, Ledger!$B$2:$B$4, $A1127, Ledger!$C$2:$C$4, P$2)),"****")</f>
        <v/>
      </c>
      <c r="Q1127" t="str">
        <f>IFERROR(IF($C1127="","",SUMIFS(Ledger!$K$2:$K$4, Ledger!$B$2:$B$4, $A1127, Ledger!$C$2:$C$4, Q$2)),"****")</f>
        <v/>
      </c>
      <c r="R1127" t="str">
        <f>IFERROR(IF($C1127="","",SUMIFS(Ledger!$K$2:$K$4, Ledger!$B$2:$B$4, $A1127, Ledger!$C$2:$C$4, R$2)),"****")</f>
        <v/>
      </c>
      <c r="S1127" t="str">
        <f>IFERROR(IF($C1127="","",SUMIFS(Ledger!$K$2:$K$4, Ledger!$B$2:$B$4, $A1127, Ledger!$C$2:$C$4, S$2)),"****")</f>
        <v/>
      </c>
      <c r="T1127" t="str">
        <f>IFERROR(IF($C1127="","",SUMIFS(Ledger!$K$2:$K$4, Ledger!$B$2:$B$4, $A1127, Ledger!$C$2:$C$4, T$2)),"****")</f>
        <v/>
      </c>
      <c r="U1127" t="str">
        <f>IFERROR(IF($C1127="","",SUMIFS(Ledger!$K$2:$K$4, Ledger!$B$2:$B$4, $A1127, Ledger!$C$2:$C$4, U$2)),"****")</f>
        <v/>
      </c>
      <c r="V1127" t="str">
        <f>IFERROR(IF($C1127="","",SUMIFS(Ledger!$K$2:$K$4, Ledger!$B$2:$B$4, $A1127, Ledger!$C$2:$C$4, V$2)),"****")</f>
        <v/>
      </c>
      <c r="W1127" t="str">
        <f>IFERROR(IF($C1127="","",SUMIFS(Ledger!$K$2:$K$4, Ledger!$B$2:$B$4, $A1127, Ledger!$C$2:$C$4, W$2)),"****")</f>
        <v/>
      </c>
      <c r="X1127" t="str">
        <f>IFERROR(IF($C1127="","",SUMIFS(Ledger!$K$2:$K$4, Ledger!$B$2:$B$4, $A1127, Ledger!$C$2:$C$4, X$2)),"****")</f>
        <v/>
      </c>
    </row>
    <row r="1128" spans="1:24" x14ac:dyDescent="0.3">
      <c r="A1128" s="106">
        <v>1126</v>
      </c>
      <c r="B1128" t="str">
        <f>IFERROR(VLOOKUP($A1128, Ledger!$B$2:$L$8, 3, 0),"")</f>
        <v/>
      </c>
      <c r="C1128" t="str">
        <f>IFERROR(VLOOKUP($A1128, Ledger!$B$2:$L$8, 4, 0),"")</f>
        <v/>
      </c>
      <c r="D1128" t="str">
        <f>IFERROR(VLOOKUP($A1128, Ledger!$B$2:$L$8, 5, 0),"")</f>
        <v/>
      </c>
      <c r="E1128" t="str">
        <f>IFERROR(VLOOKUP($A1128, Ledger!$B$2:$L$8, 6, 0),"")</f>
        <v/>
      </c>
      <c r="F1128" t="str">
        <f>IFERROR(VLOOKUP($A1128,'Student Data'!$A$2:$AR$6,32,0),"")</f>
        <v/>
      </c>
      <c r="G1128" t="str">
        <f>IFERROR(VLOOKUP($A1128,'Student Data'!$A$2:$AR$6,33,0),"")</f>
        <v/>
      </c>
      <c r="H1128" t="str">
        <f>IFERROR(VLOOKUP($A1128,'Student Data'!$A$2:$AR$6,34,0),"")</f>
        <v/>
      </c>
      <c r="I1128" t="str">
        <f>IFERROR(VLOOKUP($A1128,'Student Data'!$A$2:$AR$6,35,0),"")</f>
        <v/>
      </c>
      <c r="J1128" t="str">
        <f>IFERROR(VLOOKUP($A1128,'Student Data'!$A$2:$AR$6,36,0),"")</f>
        <v/>
      </c>
      <c r="K1128" t="str">
        <f t="shared" si="34"/>
        <v/>
      </c>
      <c r="L1128" t="str">
        <f t="shared" si="35"/>
        <v/>
      </c>
      <c r="M1128" t="str">
        <f>IFERROR(IF($C1128="","",SUMIFS(Ledger!$K$2:$K$4, Ledger!$B$2:$B$4, $A1128, Ledger!$C$2:$C$4, M$2)),"****")</f>
        <v/>
      </c>
      <c r="N1128" t="str">
        <f>IFERROR(IF($C1128="","",SUMIFS(Ledger!$K$2:$K$4, Ledger!$B$2:$B$4, $A1128, Ledger!$C$2:$C$4, N$2)),"****")</f>
        <v/>
      </c>
      <c r="O1128" t="str">
        <f>IFERROR(IF($C1128="","",SUMIFS(Ledger!$K$2:$K$4, Ledger!$B$2:$B$4, $A1128, Ledger!$C$2:$C$4, O$2)),"****")</f>
        <v/>
      </c>
      <c r="P1128" t="str">
        <f>IFERROR(IF($C1128="","",SUMIFS(Ledger!$K$2:$K$4, Ledger!$B$2:$B$4, $A1128, Ledger!$C$2:$C$4, P$2)),"****")</f>
        <v/>
      </c>
      <c r="Q1128" t="str">
        <f>IFERROR(IF($C1128="","",SUMIFS(Ledger!$K$2:$K$4, Ledger!$B$2:$B$4, $A1128, Ledger!$C$2:$C$4, Q$2)),"****")</f>
        <v/>
      </c>
      <c r="R1128" t="str">
        <f>IFERROR(IF($C1128="","",SUMIFS(Ledger!$K$2:$K$4, Ledger!$B$2:$B$4, $A1128, Ledger!$C$2:$C$4, R$2)),"****")</f>
        <v/>
      </c>
      <c r="S1128" t="str">
        <f>IFERROR(IF($C1128="","",SUMIFS(Ledger!$K$2:$K$4, Ledger!$B$2:$B$4, $A1128, Ledger!$C$2:$C$4, S$2)),"****")</f>
        <v/>
      </c>
      <c r="T1128" t="str">
        <f>IFERROR(IF($C1128="","",SUMIFS(Ledger!$K$2:$K$4, Ledger!$B$2:$B$4, $A1128, Ledger!$C$2:$C$4, T$2)),"****")</f>
        <v/>
      </c>
      <c r="U1128" t="str">
        <f>IFERROR(IF($C1128="","",SUMIFS(Ledger!$K$2:$K$4, Ledger!$B$2:$B$4, $A1128, Ledger!$C$2:$C$4, U$2)),"****")</f>
        <v/>
      </c>
      <c r="V1128" t="str">
        <f>IFERROR(IF($C1128="","",SUMIFS(Ledger!$K$2:$K$4, Ledger!$B$2:$B$4, $A1128, Ledger!$C$2:$C$4, V$2)),"****")</f>
        <v/>
      </c>
      <c r="W1128" t="str">
        <f>IFERROR(IF($C1128="","",SUMIFS(Ledger!$K$2:$K$4, Ledger!$B$2:$B$4, $A1128, Ledger!$C$2:$C$4, W$2)),"****")</f>
        <v/>
      </c>
      <c r="X1128" t="str">
        <f>IFERROR(IF($C1128="","",SUMIFS(Ledger!$K$2:$K$4, Ledger!$B$2:$B$4, $A1128, Ledger!$C$2:$C$4, X$2)),"****")</f>
        <v/>
      </c>
    </row>
    <row r="1129" spans="1:24" x14ac:dyDescent="0.3">
      <c r="A1129" s="106">
        <v>1127</v>
      </c>
      <c r="B1129" t="str">
        <f>IFERROR(VLOOKUP($A1129, Ledger!$B$2:$L$8, 3, 0),"")</f>
        <v/>
      </c>
      <c r="C1129" t="str">
        <f>IFERROR(VLOOKUP($A1129, Ledger!$B$2:$L$8, 4, 0),"")</f>
        <v/>
      </c>
      <c r="D1129" t="str">
        <f>IFERROR(VLOOKUP($A1129, Ledger!$B$2:$L$8, 5, 0),"")</f>
        <v/>
      </c>
      <c r="E1129" t="str">
        <f>IFERROR(VLOOKUP($A1129, Ledger!$B$2:$L$8, 6, 0),"")</f>
        <v/>
      </c>
      <c r="F1129" t="str">
        <f>IFERROR(VLOOKUP($A1129,'Student Data'!$A$2:$AR$6,32,0),"")</f>
        <v/>
      </c>
      <c r="G1129" t="str">
        <f>IFERROR(VLOOKUP($A1129,'Student Data'!$A$2:$AR$6,33,0),"")</f>
        <v/>
      </c>
      <c r="H1129" t="str">
        <f>IFERROR(VLOOKUP($A1129,'Student Data'!$A$2:$AR$6,34,0),"")</f>
        <v/>
      </c>
      <c r="I1129" t="str">
        <f>IFERROR(VLOOKUP($A1129,'Student Data'!$A$2:$AR$6,35,0),"")</f>
        <v/>
      </c>
      <c r="J1129" t="str">
        <f>IFERROR(VLOOKUP($A1129,'Student Data'!$A$2:$AR$6,36,0),"")</f>
        <v/>
      </c>
      <c r="K1129" t="str">
        <f t="shared" si="34"/>
        <v/>
      </c>
      <c r="L1129" t="str">
        <f t="shared" si="35"/>
        <v/>
      </c>
      <c r="M1129" t="str">
        <f>IFERROR(IF($C1129="","",SUMIFS(Ledger!$K$2:$K$4, Ledger!$B$2:$B$4, $A1129, Ledger!$C$2:$C$4, M$2)),"****")</f>
        <v/>
      </c>
      <c r="N1129" t="str">
        <f>IFERROR(IF($C1129="","",SUMIFS(Ledger!$K$2:$K$4, Ledger!$B$2:$B$4, $A1129, Ledger!$C$2:$C$4, N$2)),"****")</f>
        <v/>
      </c>
      <c r="O1129" t="str">
        <f>IFERROR(IF($C1129="","",SUMIFS(Ledger!$K$2:$K$4, Ledger!$B$2:$B$4, $A1129, Ledger!$C$2:$C$4, O$2)),"****")</f>
        <v/>
      </c>
      <c r="P1129" t="str">
        <f>IFERROR(IF($C1129="","",SUMIFS(Ledger!$K$2:$K$4, Ledger!$B$2:$B$4, $A1129, Ledger!$C$2:$C$4, P$2)),"****")</f>
        <v/>
      </c>
      <c r="Q1129" t="str">
        <f>IFERROR(IF($C1129="","",SUMIFS(Ledger!$K$2:$K$4, Ledger!$B$2:$B$4, $A1129, Ledger!$C$2:$C$4, Q$2)),"****")</f>
        <v/>
      </c>
      <c r="R1129" t="str">
        <f>IFERROR(IF($C1129="","",SUMIFS(Ledger!$K$2:$K$4, Ledger!$B$2:$B$4, $A1129, Ledger!$C$2:$C$4, R$2)),"****")</f>
        <v/>
      </c>
      <c r="S1129" t="str">
        <f>IFERROR(IF($C1129="","",SUMIFS(Ledger!$K$2:$K$4, Ledger!$B$2:$B$4, $A1129, Ledger!$C$2:$C$4, S$2)),"****")</f>
        <v/>
      </c>
      <c r="T1129" t="str">
        <f>IFERROR(IF($C1129="","",SUMIFS(Ledger!$K$2:$K$4, Ledger!$B$2:$B$4, $A1129, Ledger!$C$2:$C$4, T$2)),"****")</f>
        <v/>
      </c>
      <c r="U1129" t="str">
        <f>IFERROR(IF($C1129="","",SUMIFS(Ledger!$K$2:$K$4, Ledger!$B$2:$B$4, $A1129, Ledger!$C$2:$C$4, U$2)),"****")</f>
        <v/>
      </c>
      <c r="V1129" t="str">
        <f>IFERROR(IF($C1129="","",SUMIFS(Ledger!$K$2:$K$4, Ledger!$B$2:$B$4, $A1129, Ledger!$C$2:$C$4, V$2)),"****")</f>
        <v/>
      </c>
      <c r="W1129" t="str">
        <f>IFERROR(IF($C1129="","",SUMIFS(Ledger!$K$2:$K$4, Ledger!$B$2:$B$4, $A1129, Ledger!$C$2:$C$4, W$2)),"****")</f>
        <v/>
      </c>
      <c r="X1129" t="str">
        <f>IFERROR(IF($C1129="","",SUMIFS(Ledger!$K$2:$K$4, Ledger!$B$2:$B$4, $A1129, Ledger!$C$2:$C$4, X$2)),"****")</f>
        <v/>
      </c>
    </row>
    <row r="1130" spans="1:24" x14ac:dyDescent="0.3">
      <c r="A1130" s="106">
        <v>1128</v>
      </c>
      <c r="B1130" t="str">
        <f>IFERROR(VLOOKUP($A1130, Ledger!$B$2:$L$8, 3, 0),"")</f>
        <v/>
      </c>
      <c r="C1130" t="str">
        <f>IFERROR(VLOOKUP($A1130, Ledger!$B$2:$L$8, 4, 0),"")</f>
        <v/>
      </c>
      <c r="D1130" t="str">
        <f>IFERROR(VLOOKUP($A1130, Ledger!$B$2:$L$8, 5, 0),"")</f>
        <v/>
      </c>
      <c r="E1130" t="str">
        <f>IFERROR(VLOOKUP($A1130, Ledger!$B$2:$L$8, 6, 0),"")</f>
        <v/>
      </c>
      <c r="F1130" t="str">
        <f>IFERROR(VLOOKUP($A1130,'Student Data'!$A$2:$AR$6,32,0),"")</f>
        <v/>
      </c>
      <c r="G1130" t="str">
        <f>IFERROR(VLOOKUP($A1130,'Student Data'!$A$2:$AR$6,33,0),"")</f>
        <v/>
      </c>
      <c r="H1130" t="str">
        <f>IFERROR(VLOOKUP($A1130,'Student Data'!$A$2:$AR$6,34,0),"")</f>
        <v/>
      </c>
      <c r="I1130" t="str">
        <f>IFERROR(VLOOKUP($A1130,'Student Data'!$A$2:$AR$6,35,0),"")</f>
        <v/>
      </c>
      <c r="J1130" t="str">
        <f>IFERROR(VLOOKUP($A1130,'Student Data'!$A$2:$AR$6,36,0),"")</f>
        <v/>
      </c>
      <c r="K1130" t="str">
        <f t="shared" si="34"/>
        <v/>
      </c>
      <c r="L1130" t="str">
        <f t="shared" si="35"/>
        <v/>
      </c>
      <c r="M1130" t="str">
        <f>IFERROR(IF($C1130="","",SUMIFS(Ledger!$K$2:$K$4, Ledger!$B$2:$B$4, $A1130, Ledger!$C$2:$C$4, M$2)),"****")</f>
        <v/>
      </c>
      <c r="N1130" t="str">
        <f>IFERROR(IF($C1130="","",SUMIFS(Ledger!$K$2:$K$4, Ledger!$B$2:$B$4, $A1130, Ledger!$C$2:$C$4, N$2)),"****")</f>
        <v/>
      </c>
      <c r="O1130" t="str">
        <f>IFERROR(IF($C1130="","",SUMIFS(Ledger!$K$2:$K$4, Ledger!$B$2:$B$4, $A1130, Ledger!$C$2:$C$4, O$2)),"****")</f>
        <v/>
      </c>
      <c r="P1130" t="str">
        <f>IFERROR(IF($C1130="","",SUMIFS(Ledger!$K$2:$K$4, Ledger!$B$2:$B$4, $A1130, Ledger!$C$2:$C$4, P$2)),"****")</f>
        <v/>
      </c>
      <c r="Q1130" t="str">
        <f>IFERROR(IF($C1130="","",SUMIFS(Ledger!$K$2:$K$4, Ledger!$B$2:$B$4, $A1130, Ledger!$C$2:$C$4, Q$2)),"****")</f>
        <v/>
      </c>
      <c r="R1130" t="str">
        <f>IFERROR(IF($C1130="","",SUMIFS(Ledger!$K$2:$K$4, Ledger!$B$2:$B$4, $A1130, Ledger!$C$2:$C$4, R$2)),"****")</f>
        <v/>
      </c>
      <c r="S1130" t="str">
        <f>IFERROR(IF($C1130="","",SUMIFS(Ledger!$K$2:$K$4, Ledger!$B$2:$B$4, $A1130, Ledger!$C$2:$C$4, S$2)),"****")</f>
        <v/>
      </c>
      <c r="T1130" t="str">
        <f>IFERROR(IF($C1130="","",SUMIFS(Ledger!$K$2:$K$4, Ledger!$B$2:$B$4, $A1130, Ledger!$C$2:$C$4, T$2)),"****")</f>
        <v/>
      </c>
      <c r="U1130" t="str">
        <f>IFERROR(IF($C1130="","",SUMIFS(Ledger!$K$2:$K$4, Ledger!$B$2:$B$4, $A1130, Ledger!$C$2:$C$4, U$2)),"****")</f>
        <v/>
      </c>
      <c r="V1130" t="str">
        <f>IFERROR(IF($C1130="","",SUMIFS(Ledger!$K$2:$K$4, Ledger!$B$2:$B$4, $A1130, Ledger!$C$2:$C$4, V$2)),"****")</f>
        <v/>
      </c>
      <c r="W1130" t="str">
        <f>IFERROR(IF($C1130="","",SUMIFS(Ledger!$K$2:$K$4, Ledger!$B$2:$B$4, $A1130, Ledger!$C$2:$C$4, W$2)),"****")</f>
        <v/>
      </c>
      <c r="X1130" t="str">
        <f>IFERROR(IF($C1130="","",SUMIFS(Ledger!$K$2:$K$4, Ledger!$B$2:$B$4, $A1130, Ledger!$C$2:$C$4, X$2)),"****")</f>
        <v/>
      </c>
    </row>
    <row r="1131" spans="1:24" x14ac:dyDescent="0.3">
      <c r="A1131" s="106">
        <v>1129</v>
      </c>
      <c r="B1131" t="str">
        <f>IFERROR(VLOOKUP($A1131, Ledger!$B$2:$L$8, 3, 0),"")</f>
        <v/>
      </c>
      <c r="C1131" t="str">
        <f>IFERROR(VLOOKUP($A1131, Ledger!$B$2:$L$8, 4, 0),"")</f>
        <v/>
      </c>
      <c r="D1131" t="str">
        <f>IFERROR(VLOOKUP($A1131, Ledger!$B$2:$L$8, 5, 0),"")</f>
        <v/>
      </c>
      <c r="E1131" t="str">
        <f>IFERROR(VLOOKUP($A1131, Ledger!$B$2:$L$8, 6, 0),"")</f>
        <v/>
      </c>
      <c r="F1131" t="str">
        <f>IFERROR(VLOOKUP($A1131,'Student Data'!$A$2:$AR$6,32,0),"")</f>
        <v/>
      </c>
      <c r="G1131" t="str">
        <f>IFERROR(VLOOKUP($A1131,'Student Data'!$A$2:$AR$6,33,0),"")</f>
        <v/>
      </c>
      <c r="H1131" t="str">
        <f>IFERROR(VLOOKUP($A1131,'Student Data'!$A$2:$AR$6,34,0),"")</f>
        <v/>
      </c>
      <c r="I1131" t="str">
        <f>IFERROR(VLOOKUP($A1131,'Student Data'!$A$2:$AR$6,35,0),"")</f>
        <v/>
      </c>
      <c r="J1131" t="str">
        <f>IFERROR(VLOOKUP($A1131,'Student Data'!$A$2:$AR$6,36,0),"")</f>
        <v/>
      </c>
      <c r="K1131" t="str">
        <f t="shared" si="34"/>
        <v/>
      </c>
      <c r="L1131" t="str">
        <f t="shared" si="35"/>
        <v/>
      </c>
      <c r="M1131" t="str">
        <f>IFERROR(IF($C1131="","",SUMIFS(Ledger!$K$2:$K$4, Ledger!$B$2:$B$4, $A1131, Ledger!$C$2:$C$4, M$2)),"****")</f>
        <v/>
      </c>
      <c r="N1131" t="str">
        <f>IFERROR(IF($C1131="","",SUMIFS(Ledger!$K$2:$K$4, Ledger!$B$2:$B$4, $A1131, Ledger!$C$2:$C$4, N$2)),"****")</f>
        <v/>
      </c>
      <c r="O1131" t="str">
        <f>IFERROR(IF($C1131="","",SUMIFS(Ledger!$K$2:$K$4, Ledger!$B$2:$B$4, $A1131, Ledger!$C$2:$C$4, O$2)),"****")</f>
        <v/>
      </c>
      <c r="P1131" t="str">
        <f>IFERROR(IF($C1131="","",SUMIFS(Ledger!$K$2:$K$4, Ledger!$B$2:$B$4, $A1131, Ledger!$C$2:$C$4, P$2)),"****")</f>
        <v/>
      </c>
      <c r="Q1131" t="str">
        <f>IFERROR(IF($C1131="","",SUMIFS(Ledger!$K$2:$K$4, Ledger!$B$2:$B$4, $A1131, Ledger!$C$2:$C$4, Q$2)),"****")</f>
        <v/>
      </c>
      <c r="R1131" t="str">
        <f>IFERROR(IF($C1131="","",SUMIFS(Ledger!$K$2:$K$4, Ledger!$B$2:$B$4, $A1131, Ledger!$C$2:$C$4, R$2)),"****")</f>
        <v/>
      </c>
      <c r="S1131" t="str">
        <f>IFERROR(IF($C1131="","",SUMIFS(Ledger!$K$2:$K$4, Ledger!$B$2:$B$4, $A1131, Ledger!$C$2:$C$4, S$2)),"****")</f>
        <v/>
      </c>
      <c r="T1131" t="str">
        <f>IFERROR(IF($C1131="","",SUMIFS(Ledger!$K$2:$K$4, Ledger!$B$2:$B$4, $A1131, Ledger!$C$2:$C$4, T$2)),"****")</f>
        <v/>
      </c>
      <c r="U1131" t="str">
        <f>IFERROR(IF($C1131="","",SUMIFS(Ledger!$K$2:$K$4, Ledger!$B$2:$B$4, $A1131, Ledger!$C$2:$C$4, U$2)),"****")</f>
        <v/>
      </c>
      <c r="V1131" t="str">
        <f>IFERROR(IF($C1131="","",SUMIFS(Ledger!$K$2:$K$4, Ledger!$B$2:$B$4, $A1131, Ledger!$C$2:$C$4, V$2)),"****")</f>
        <v/>
      </c>
      <c r="W1131" t="str">
        <f>IFERROR(IF($C1131="","",SUMIFS(Ledger!$K$2:$K$4, Ledger!$B$2:$B$4, $A1131, Ledger!$C$2:$C$4, W$2)),"****")</f>
        <v/>
      </c>
      <c r="X1131" t="str">
        <f>IFERROR(IF($C1131="","",SUMIFS(Ledger!$K$2:$K$4, Ledger!$B$2:$B$4, $A1131, Ledger!$C$2:$C$4, X$2)),"****")</f>
        <v/>
      </c>
    </row>
    <row r="1132" spans="1:24" x14ac:dyDescent="0.3">
      <c r="A1132" s="106">
        <v>1130</v>
      </c>
      <c r="B1132" t="str">
        <f>IFERROR(VLOOKUP($A1132, Ledger!$B$2:$L$8, 3, 0),"")</f>
        <v/>
      </c>
      <c r="C1132" t="str">
        <f>IFERROR(VLOOKUP($A1132, Ledger!$B$2:$L$8, 4, 0),"")</f>
        <v/>
      </c>
      <c r="D1132" t="str">
        <f>IFERROR(VLOOKUP($A1132, Ledger!$B$2:$L$8, 5, 0),"")</f>
        <v/>
      </c>
      <c r="E1132" t="str">
        <f>IFERROR(VLOOKUP($A1132, Ledger!$B$2:$L$8, 6, 0),"")</f>
        <v/>
      </c>
      <c r="F1132" t="str">
        <f>IFERROR(VLOOKUP($A1132,'Student Data'!$A$2:$AR$6,32,0),"")</f>
        <v/>
      </c>
      <c r="G1132" t="str">
        <f>IFERROR(VLOOKUP($A1132,'Student Data'!$A$2:$AR$6,33,0),"")</f>
        <v/>
      </c>
      <c r="H1132" t="str">
        <f>IFERROR(VLOOKUP($A1132,'Student Data'!$A$2:$AR$6,34,0),"")</f>
        <v/>
      </c>
      <c r="I1132" t="str">
        <f>IFERROR(VLOOKUP($A1132,'Student Data'!$A$2:$AR$6,35,0),"")</f>
        <v/>
      </c>
      <c r="J1132" t="str">
        <f>IFERROR(VLOOKUP($A1132,'Student Data'!$A$2:$AR$6,36,0),"")</f>
        <v/>
      </c>
      <c r="K1132" t="str">
        <f t="shared" si="34"/>
        <v/>
      </c>
      <c r="L1132" t="str">
        <f t="shared" si="35"/>
        <v/>
      </c>
      <c r="M1132" t="str">
        <f>IFERROR(IF($C1132="","",SUMIFS(Ledger!$K$2:$K$4, Ledger!$B$2:$B$4, $A1132, Ledger!$C$2:$C$4, M$2)),"****")</f>
        <v/>
      </c>
      <c r="N1132" t="str">
        <f>IFERROR(IF($C1132="","",SUMIFS(Ledger!$K$2:$K$4, Ledger!$B$2:$B$4, $A1132, Ledger!$C$2:$C$4, N$2)),"****")</f>
        <v/>
      </c>
      <c r="O1132" t="str">
        <f>IFERROR(IF($C1132="","",SUMIFS(Ledger!$K$2:$K$4, Ledger!$B$2:$B$4, $A1132, Ledger!$C$2:$C$4, O$2)),"****")</f>
        <v/>
      </c>
      <c r="P1132" t="str">
        <f>IFERROR(IF($C1132="","",SUMIFS(Ledger!$K$2:$K$4, Ledger!$B$2:$B$4, $A1132, Ledger!$C$2:$C$4, P$2)),"****")</f>
        <v/>
      </c>
      <c r="Q1132" t="str">
        <f>IFERROR(IF($C1132="","",SUMIFS(Ledger!$K$2:$K$4, Ledger!$B$2:$B$4, $A1132, Ledger!$C$2:$C$4, Q$2)),"****")</f>
        <v/>
      </c>
      <c r="R1132" t="str">
        <f>IFERROR(IF($C1132="","",SUMIFS(Ledger!$K$2:$K$4, Ledger!$B$2:$B$4, $A1132, Ledger!$C$2:$C$4, R$2)),"****")</f>
        <v/>
      </c>
      <c r="S1132" t="str">
        <f>IFERROR(IF($C1132="","",SUMIFS(Ledger!$K$2:$K$4, Ledger!$B$2:$B$4, $A1132, Ledger!$C$2:$C$4, S$2)),"****")</f>
        <v/>
      </c>
      <c r="T1132" t="str">
        <f>IFERROR(IF($C1132="","",SUMIFS(Ledger!$K$2:$K$4, Ledger!$B$2:$B$4, $A1132, Ledger!$C$2:$C$4, T$2)),"****")</f>
        <v/>
      </c>
      <c r="U1132" t="str">
        <f>IFERROR(IF($C1132="","",SUMIFS(Ledger!$K$2:$K$4, Ledger!$B$2:$B$4, $A1132, Ledger!$C$2:$C$4, U$2)),"****")</f>
        <v/>
      </c>
      <c r="V1132" t="str">
        <f>IFERROR(IF($C1132="","",SUMIFS(Ledger!$K$2:$K$4, Ledger!$B$2:$B$4, $A1132, Ledger!$C$2:$C$4, V$2)),"****")</f>
        <v/>
      </c>
      <c r="W1132" t="str">
        <f>IFERROR(IF($C1132="","",SUMIFS(Ledger!$K$2:$K$4, Ledger!$B$2:$B$4, $A1132, Ledger!$C$2:$C$4, W$2)),"****")</f>
        <v/>
      </c>
      <c r="X1132" t="str">
        <f>IFERROR(IF($C1132="","",SUMIFS(Ledger!$K$2:$K$4, Ledger!$B$2:$B$4, $A1132, Ledger!$C$2:$C$4, X$2)),"****")</f>
        <v/>
      </c>
    </row>
    <row r="1133" spans="1:24" x14ac:dyDescent="0.3">
      <c r="A1133" s="106">
        <v>1131</v>
      </c>
      <c r="B1133" t="str">
        <f>IFERROR(VLOOKUP($A1133, Ledger!$B$2:$L$8, 3, 0),"")</f>
        <v/>
      </c>
      <c r="C1133" t="str">
        <f>IFERROR(VLOOKUP($A1133, Ledger!$B$2:$L$8, 4, 0),"")</f>
        <v/>
      </c>
      <c r="D1133" t="str">
        <f>IFERROR(VLOOKUP($A1133, Ledger!$B$2:$L$8, 5, 0),"")</f>
        <v/>
      </c>
      <c r="E1133" t="str">
        <f>IFERROR(VLOOKUP($A1133, Ledger!$B$2:$L$8, 6, 0),"")</f>
        <v/>
      </c>
      <c r="F1133" t="str">
        <f>IFERROR(VLOOKUP($A1133,'Student Data'!$A$2:$AR$6,32,0),"")</f>
        <v/>
      </c>
      <c r="G1133" t="str">
        <f>IFERROR(VLOOKUP($A1133,'Student Data'!$A$2:$AR$6,33,0),"")</f>
        <v/>
      </c>
      <c r="H1133" t="str">
        <f>IFERROR(VLOOKUP($A1133,'Student Data'!$A$2:$AR$6,34,0),"")</f>
        <v/>
      </c>
      <c r="I1133" t="str">
        <f>IFERROR(VLOOKUP($A1133,'Student Data'!$A$2:$AR$6,35,0),"")</f>
        <v/>
      </c>
      <c r="J1133" t="str">
        <f>IFERROR(VLOOKUP($A1133,'Student Data'!$A$2:$AR$6,36,0),"")</f>
        <v/>
      </c>
      <c r="K1133" t="str">
        <f t="shared" si="34"/>
        <v/>
      </c>
      <c r="L1133" t="str">
        <f t="shared" si="35"/>
        <v/>
      </c>
      <c r="M1133" t="str">
        <f>IFERROR(IF($C1133="","",SUMIFS(Ledger!$K$2:$K$4, Ledger!$B$2:$B$4, $A1133, Ledger!$C$2:$C$4, M$2)),"****")</f>
        <v/>
      </c>
      <c r="N1133" t="str">
        <f>IFERROR(IF($C1133="","",SUMIFS(Ledger!$K$2:$K$4, Ledger!$B$2:$B$4, $A1133, Ledger!$C$2:$C$4, N$2)),"****")</f>
        <v/>
      </c>
      <c r="O1133" t="str">
        <f>IFERROR(IF($C1133="","",SUMIFS(Ledger!$K$2:$K$4, Ledger!$B$2:$B$4, $A1133, Ledger!$C$2:$C$4, O$2)),"****")</f>
        <v/>
      </c>
      <c r="P1133" t="str">
        <f>IFERROR(IF($C1133="","",SUMIFS(Ledger!$K$2:$K$4, Ledger!$B$2:$B$4, $A1133, Ledger!$C$2:$C$4, P$2)),"****")</f>
        <v/>
      </c>
      <c r="Q1133" t="str">
        <f>IFERROR(IF($C1133="","",SUMIFS(Ledger!$K$2:$K$4, Ledger!$B$2:$B$4, $A1133, Ledger!$C$2:$C$4, Q$2)),"****")</f>
        <v/>
      </c>
      <c r="R1133" t="str">
        <f>IFERROR(IF($C1133="","",SUMIFS(Ledger!$K$2:$K$4, Ledger!$B$2:$B$4, $A1133, Ledger!$C$2:$C$4, R$2)),"****")</f>
        <v/>
      </c>
      <c r="S1133" t="str">
        <f>IFERROR(IF($C1133="","",SUMIFS(Ledger!$K$2:$K$4, Ledger!$B$2:$B$4, $A1133, Ledger!$C$2:$C$4, S$2)),"****")</f>
        <v/>
      </c>
      <c r="T1133" t="str">
        <f>IFERROR(IF($C1133="","",SUMIFS(Ledger!$K$2:$K$4, Ledger!$B$2:$B$4, $A1133, Ledger!$C$2:$C$4, T$2)),"****")</f>
        <v/>
      </c>
      <c r="U1133" t="str">
        <f>IFERROR(IF($C1133="","",SUMIFS(Ledger!$K$2:$K$4, Ledger!$B$2:$B$4, $A1133, Ledger!$C$2:$C$4, U$2)),"****")</f>
        <v/>
      </c>
      <c r="V1133" t="str">
        <f>IFERROR(IF($C1133="","",SUMIFS(Ledger!$K$2:$K$4, Ledger!$B$2:$B$4, $A1133, Ledger!$C$2:$C$4, V$2)),"****")</f>
        <v/>
      </c>
      <c r="W1133" t="str">
        <f>IFERROR(IF($C1133="","",SUMIFS(Ledger!$K$2:$K$4, Ledger!$B$2:$B$4, $A1133, Ledger!$C$2:$C$4, W$2)),"****")</f>
        <v/>
      </c>
      <c r="X1133" t="str">
        <f>IFERROR(IF($C1133="","",SUMIFS(Ledger!$K$2:$K$4, Ledger!$B$2:$B$4, $A1133, Ledger!$C$2:$C$4, X$2)),"****")</f>
        <v/>
      </c>
    </row>
    <row r="1134" spans="1:24" x14ac:dyDescent="0.3">
      <c r="A1134" s="106">
        <v>1132</v>
      </c>
      <c r="B1134" t="str">
        <f>IFERROR(VLOOKUP($A1134, Ledger!$B$2:$L$8, 3, 0),"")</f>
        <v/>
      </c>
      <c r="C1134" t="str">
        <f>IFERROR(VLOOKUP($A1134, Ledger!$B$2:$L$8, 4, 0),"")</f>
        <v/>
      </c>
      <c r="D1134" t="str">
        <f>IFERROR(VLOOKUP($A1134, Ledger!$B$2:$L$8, 5, 0),"")</f>
        <v/>
      </c>
      <c r="E1134" t="str">
        <f>IFERROR(VLOOKUP($A1134, Ledger!$B$2:$L$8, 6, 0),"")</f>
        <v/>
      </c>
      <c r="F1134" t="str">
        <f>IFERROR(VLOOKUP($A1134,'Student Data'!$A$2:$AR$6,32,0),"")</f>
        <v/>
      </c>
      <c r="G1134" t="str">
        <f>IFERROR(VLOOKUP($A1134,'Student Data'!$A$2:$AR$6,33,0),"")</f>
        <v/>
      </c>
      <c r="H1134" t="str">
        <f>IFERROR(VLOOKUP($A1134,'Student Data'!$A$2:$AR$6,34,0),"")</f>
        <v/>
      </c>
      <c r="I1134" t="str">
        <f>IFERROR(VLOOKUP($A1134,'Student Data'!$A$2:$AR$6,35,0),"")</f>
        <v/>
      </c>
      <c r="J1134" t="str">
        <f>IFERROR(VLOOKUP($A1134,'Student Data'!$A$2:$AR$6,36,0),"")</f>
        <v/>
      </c>
      <c r="K1134" t="str">
        <f t="shared" si="34"/>
        <v/>
      </c>
      <c r="L1134" t="str">
        <f t="shared" si="35"/>
        <v/>
      </c>
      <c r="M1134" t="str">
        <f>IFERROR(IF($C1134="","",SUMIFS(Ledger!$K$2:$K$4, Ledger!$B$2:$B$4, $A1134, Ledger!$C$2:$C$4, M$2)),"****")</f>
        <v/>
      </c>
      <c r="N1134" t="str">
        <f>IFERROR(IF($C1134="","",SUMIFS(Ledger!$K$2:$K$4, Ledger!$B$2:$B$4, $A1134, Ledger!$C$2:$C$4, N$2)),"****")</f>
        <v/>
      </c>
      <c r="O1134" t="str">
        <f>IFERROR(IF($C1134="","",SUMIFS(Ledger!$K$2:$K$4, Ledger!$B$2:$B$4, $A1134, Ledger!$C$2:$C$4, O$2)),"****")</f>
        <v/>
      </c>
      <c r="P1134" t="str">
        <f>IFERROR(IF($C1134="","",SUMIFS(Ledger!$K$2:$K$4, Ledger!$B$2:$B$4, $A1134, Ledger!$C$2:$C$4, P$2)),"****")</f>
        <v/>
      </c>
      <c r="Q1134" t="str">
        <f>IFERROR(IF($C1134="","",SUMIFS(Ledger!$K$2:$K$4, Ledger!$B$2:$B$4, $A1134, Ledger!$C$2:$C$4, Q$2)),"****")</f>
        <v/>
      </c>
      <c r="R1134" t="str">
        <f>IFERROR(IF($C1134="","",SUMIFS(Ledger!$K$2:$K$4, Ledger!$B$2:$B$4, $A1134, Ledger!$C$2:$C$4, R$2)),"****")</f>
        <v/>
      </c>
      <c r="S1134" t="str">
        <f>IFERROR(IF($C1134="","",SUMIFS(Ledger!$K$2:$K$4, Ledger!$B$2:$B$4, $A1134, Ledger!$C$2:$C$4, S$2)),"****")</f>
        <v/>
      </c>
      <c r="T1134" t="str">
        <f>IFERROR(IF($C1134="","",SUMIFS(Ledger!$K$2:$K$4, Ledger!$B$2:$B$4, $A1134, Ledger!$C$2:$C$4, T$2)),"****")</f>
        <v/>
      </c>
      <c r="U1134" t="str">
        <f>IFERROR(IF($C1134="","",SUMIFS(Ledger!$K$2:$K$4, Ledger!$B$2:$B$4, $A1134, Ledger!$C$2:$C$4, U$2)),"****")</f>
        <v/>
      </c>
      <c r="V1134" t="str">
        <f>IFERROR(IF($C1134="","",SUMIFS(Ledger!$K$2:$K$4, Ledger!$B$2:$B$4, $A1134, Ledger!$C$2:$C$4, V$2)),"****")</f>
        <v/>
      </c>
      <c r="W1134" t="str">
        <f>IFERROR(IF($C1134="","",SUMIFS(Ledger!$K$2:$K$4, Ledger!$B$2:$B$4, $A1134, Ledger!$C$2:$C$4, W$2)),"****")</f>
        <v/>
      </c>
      <c r="X1134" t="str">
        <f>IFERROR(IF($C1134="","",SUMIFS(Ledger!$K$2:$K$4, Ledger!$B$2:$B$4, $A1134, Ledger!$C$2:$C$4, X$2)),"****")</f>
        <v/>
      </c>
    </row>
    <row r="1135" spans="1:24" x14ac:dyDescent="0.3">
      <c r="A1135" s="106">
        <v>1133</v>
      </c>
      <c r="B1135" t="str">
        <f>IFERROR(VLOOKUP($A1135, Ledger!$B$2:$L$8, 3, 0),"")</f>
        <v/>
      </c>
      <c r="C1135" t="str">
        <f>IFERROR(VLOOKUP($A1135, Ledger!$B$2:$L$8, 4, 0),"")</f>
        <v/>
      </c>
      <c r="D1135" t="str">
        <f>IFERROR(VLOOKUP($A1135, Ledger!$B$2:$L$8, 5, 0),"")</f>
        <v/>
      </c>
      <c r="E1135" t="str">
        <f>IFERROR(VLOOKUP($A1135, Ledger!$B$2:$L$8, 6, 0),"")</f>
        <v/>
      </c>
      <c r="F1135" t="str">
        <f>IFERROR(VLOOKUP($A1135,'Student Data'!$A$2:$AR$6,32,0),"")</f>
        <v/>
      </c>
      <c r="G1135" t="str">
        <f>IFERROR(VLOOKUP($A1135,'Student Data'!$A$2:$AR$6,33,0),"")</f>
        <v/>
      </c>
      <c r="H1135" t="str">
        <f>IFERROR(VLOOKUP($A1135,'Student Data'!$A$2:$AR$6,34,0),"")</f>
        <v/>
      </c>
      <c r="I1135" t="str">
        <f>IFERROR(VLOOKUP($A1135,'Student Data'!$A$2:$AR$6,35,0),"")</f>
        <v/>
      </c>
      <c r="J1135" t="str">
        <f>IFERROR(VLOOKUP($A1135,'Student Data'!$A$2:$AR$6,36,0),"")</f>
        <v/>
      </c>
      <c r="K1135" t="str">
        <f t="shared" si="34"/>
        <v/>
      </c>
      <c r="L1135" t="str">
        <f t="shared" si="35"/>
        <v/>
      </c>
      <c r="M1135" t="str">
        <f>IFERROR(IF($C1135="","",SUMIFS(Ledger!$K$2:$K$4, Ledger!$B$2:$B$4, $A1135, Ledger!$C$2:$C$4, M$2)),"****")</f>
        <v/>
      </c>
      <c r="N1135" t="str">
        <f>IFERROR(IF($C1135="","",SUMIFS(Ledger!$K$2:$K$4, Ledger!$B$2:$B$4, $A1135, Ledger!$C$2:$C$4, N$2)),"****")</f>
        <v/>
      </c>
      <c r="O1135" t="str">
        <f>IFERROR(IF($C1135="","",SUMIFS(Ledger!$K$2:$K$4, Ledger!$B$2:$B$4, $A1135, Ledger!$C$2:$C$4, O$2)),"****")</f>
        <v/>
      </c>
      <c r="P1135" t="str">
        <f>IFERROR(IF($C1135="","",SUMIFS(Ledger!$K$2:$K$4, Ledger!$B$2:$B$4, $A1135, Ledger!$C$2:$C$4, P$2)),"****")</f>
        <v/>
      </c>
      <c r="Q1135" t="str">
        <f>IFERROR(IF($C1135="","",SUMIFS(Ledger!$K$2:$K$4, Ledger!$B$2:$B$4, $A1135, Ledger!$C$2:$C$4, Q$2)),"****")</f>
        <v/>
      </c>
      <c r="R1135" t="str">
        <f>IFERROR(IF($C1135="","",SUMIFS(Ledger!$K$2:$K$4, Ledger!$B$2:$B$4, $A1135, Ledger!$C$2:$C$4, R$2)),"****")</f>
        <v/>
      </c>
      <c r="S1135" t="str">
        <f>IFERROR(IF($C1135="","",SUMIFS(Ledger!$K$2:$K$4, Ledger!$B$2:$B$4, $A1135, Ledger!$C$2:$C$4, S$2)),"****")</f>
        <v/>
      </c>
      <c r="T1135" t="str">
        <f>IFERROR(IF($C1135="","",SUMIFS(Ledger!$K$2:$K$4, Ledger!$B$2:$B$4, $A1135, Ledger!$C$2:$C$4, T$2)),"****")</f>
        <v/>
      </c>
      <c r="U1135" t="str">
        <f>IFERROR(IF($C1135="","",SUMIFS(Ledger!$K$2:$K$4, Ledger!$B$2:$B$4, $A1135, Ledger!$C$2:$C$4, U$2)),"****")</f>
        <v/>
      </c>
      <c r="V1135" t="str">
        <f>IFERROR(IF($C1135="","",SUMIFS(Ledger!$K$2:$K$4, Ledger!$B$2:$B$4, $A1135, Ledger!$C$2:$C$4, V$2)),"****")</f>
        <v/>
      </c>
      <c r="W1135" t="str">
        <f>IFERROR(IF($C1135="","",SUMIFS(Ledger!$K$2:$K$4, Ledger!$B$2:$B$4, $A1135, Ledger!$C$2:$C$4, W$2)),"****")</f>
        <v/>
      </c>
      <c r="X1135" t="str">
        <f>IFERROR(IF($C1135="","",SUMIFS(Ledger!$K$2:$K$4, Ledger!$B$2:$B$4, $A1135, Ledger!$C$2:$C$4, X$2)),"****")</f>
        <v/>
      </c>
    </row>
    <row r="1136" spans="1:24" x14ac:dyDescent="0.3">
      <c r="A1136" s="106">
        <v>1134</v>
      </c>
      <c r="B1136" t="str">
        <f>IFERROR(VLOOKUP($A1136, Ledger!$B$2:$L$8, 3, 0),"")</f>
        <v/>
      </c>
      <c r="C1136" t="str">
        <f>IFERROR(VLOOKUP($A1136, Ledger!$B$2:$L$8, 4, 0),"")</f>
        <v/>
      </c>
      <c r="D1136" t="str">
        <f>IFERROR(VLOOKUP($A1136, Ledger!$B$2:$L$8, 5, 0),"")</f>
        <v/>
      </c>
      <c r="E1136" t="str">
        <f>IFERROR(VLOOKUP($A1136, Ledger!$B$2:$L$8, 6, 0),"")</f>
        <v/>
      </c>
      <c r="F1136" t="str">
        <f>IFERROR(VLOOKUP($A1136,'Student Data'!$A$2:$AR$6,32,0),"")</f>
        <v/>
      </c>
      <c r="G1136" t="str">
        <f>IFERROR(VLOOKUP($A1136,'Student Data'!$A$2:$AR$6,33,0),"")</f>
        <v/>
      </c>
      <c r="H1136" t="str">
        <f>IFERROR(VLOOKUP($A1136,'Student Data'!$A$2:$AR$6,34,0),"")</f>
        <v/>
      </c>
      <c r="I1136" t="str">
        <f>IFERROR(VLOOKUP($A1136,'Student Data'!$A$2:$AR$6,35,0),"")</f>
        <v/>
      </c>
      <c r="J1136" t="str">
        <f>IFERROR(VLOOKUP($A1136,'Student Data'!$A$2:$AR$6,36,0),"")</f>
        <v/>
      </c>
      <c r="K1136" t="str">
        <f t="shared" si="34"/>
        <v/>
      </c>
      <c r="L1136" t="str">
        <f t="shared" si="35"/>
        <v/>
      </c>
      <c r="M1136" t="str">
        <f>IFERROR(IF($C1136="","",SUMIFS(Ledger!$K$2:$K$4, Ledger!$B$2:$B$4, $A1136, Ledger!$C$2:$C$4, M$2)),"****")</f>
        <v/>
      </c>
      <c r="N1136" t="str">
        <f>IFERROR(IF($C1136="","",SUMIFS(Ledger!$K$2:$K$4, Ledger!$B$2:$B$4, $A1136, Ledger!$C$2:$C$4, N$2)),"****")</f>
        <v/>
      </c>
      <c r="O1136" t="str">
        <f>IFERROR(IF($C1136="","",SUMIFS(Ledger!$K$2:$K$4, Ledger!$B$2:$B$4, $A1136, Ledger!$C$2:$C$4, O$2)),"****")</f>
        <v/>
      </c>
      <c r="P1136" t="str">
        <f>IFERROR(IF($C1136="","",SUMIFS(Ledger!$K$2:$K$4, Ledger!$B$2:$B$4, $A1136, Ledger!$C$2:$C$4, P$2)),"****")</f>
        <v/>
      </c>
      <c r="Q1136" t="str">
        <f>IFERROR(IF($C1136="","",SUMIFS(Ledger!$K$2:$K$4, Ledger!$B$2:$B$4, $A1136, Ledger!$C$2:$C$4, Q$2)),"****")</f>
        <v/>
      </c>
      <c r="R1136" t="str">
        <f>IFERROR(IF($C1136="","",SUMIFS(Ledger!$K$2:$K$4, Ledger!$B$2:$B$4, $A1136, Ledger!$C$2:$C$4, R$2)),"****")</f>
        <v/>
      </c>
      <c r="S1136" t="str">
        <f>IFERROR(IF($C1136="","",SUMIFS(Ledger!$K$2:$K$4, Ledger!$B$2:$B$4, $A1136, Ledger!$C$2:$C$4, S$2)),"****")</f>
        <v/>
      </c>
      <c r="T1136" t="str">
        <f>IFERROR(IF($C1136="","",SUMIFS(Ledger!$K$2:$K$4, Ledger!$B$2:$B$4, $A1136, Ledger!$C$2:$C$4, T$2)),"****")</f>
        <v/>
      </c>
      <c r="U1136" t="str">
        <f>IFERROR(IF($C1136="","",SUMIFS(Ledger!$K$2:$K$4, Ledger!$B$2:$B$4, $A1136, Ledger!$C$2:$C$4, U$2)),"****")</f>
        <v/>
      </c>
      <c r="V1136" t="str">
        <f>IFERROR(IF($C1136="","",SUMIFS(Ledger!$K$2:$K$4, Ledger!$B$2:$B$4, $A1136, Ledger!$C$2:$C$4, V$2)),"****")</f>
        <v/>
      </c>
      <c r="W1136" t="str">
        <f>IFERROR(IF($C1136="","",SUMIFS(Ledger!$K$2:$K$4, Ledger!$B$2:$B$4, $A1136, Ledger!$C$2:$C$4, W$2)),"****")</f>
        <v/>
      </c>
      <c r="X1136" t="str">
        <f>IFERROR(IF($C1136="","",SUMIFS(Ledger!$K$2:$K$4, Ledger!$B$2:$B$4, $A1136, Ledger!$C$2:$C$4, X$2)),"****")</f>
        <v/>
      </c>
    </row>
    <row r="1137" spans="1:24" x14ac:dyDescent="0.3">
      <c r="A1137" s="106">
        <v>1135</v>
      </c>
      <c r="B1137" t="str">
        <f>IFERROR(VLOOKUP($A1137, Ledger!$B$2:$L$8, 3, 0),"")</f>
        <v/>
      </c>
      <c r="C1137" t="str">
        <f>IFERROR(VLOOKUP($A1137, Ledger!$B$2:$L$8, 4, 0),"")</f>
        <v/>
      </c>
      <c r="D1137" t="str">
        <f>IFERROR(VLOOKUP($A1137, Ledger!$B$2:$L$8, 5, 0),"")</f>
        <v/>
      </c>
      <c r="E1137" t="str">
        <f>IFERROR(VLOOKUP($A1137, Ledger!$B$2:$L$8, 6, 0),"")</f>
        <v/>
      </c>
      <c r="F1137" t="str">
        <f>IFERROR(VLOOKUP($A1137,'Student Data'!$A$2:$AR$6,32,0),"")</f>
        <v/>
      </c>
      <c r="G1137" t="str">
        <f>IFERROR(VLOOKUP($A1137,'Student Data'!$A$2:$AR$6,33,0),"")</f>
        <v/>
      </c>
      <c r="H1137" t="str">
        <f>IFERROR(VLOOKUP($A1137,'Student Data'!$A$2:$AR$6,34,0),"")</f>
        <v/>
      </c>
      <c r="I1137" t="str">
        <f>IFERROR(VLOOKUP($A1137,'Student Data'!$A$2:$AR$6,35,0),"")</f>
        <v/>
      </c>
      <c r="J1137" t="str">
        <f>IFERROR(VLOOKUP($A1137,'Student Data'!$A$2:$AR$6,36,0),"")</f>
        <v/>
      </c>
      <c r="K1137" t="str">
        <f t="shared" si="34"/>
        <v/>
      </c>
      <c r="L1137" t="str">
        <f t="shared" si="35"/>
        <v/>
      </c>
      <c r="M1137" t="str">
        <f>IFERROR(IF($C1137="","",SUMIFS(Ledger!$K$2:$K$4, Ledger!$B$2:$B$4, $A1137, Ledger!$C$2:$C$4, M$2)),"****")</f>
        <v/>
      </c>
      <c r="N1137" t="str">
        <f>IFERROR(IF($C1137="","",SUMIFS(Ledger!$K$2:$K$4, Ledger!$B$2:$B$4, $A1137, Ledger!$C$2:$C$4, N$2)),"****")</f>
        <v/>
      </c>
      <c r="O1137" t="str">
        <f>IFERROR(IF($C1137="","",SUMIFS(Ledger!$K$2:$K$4, Ledger!$B$2:$B$4, $A1137, Ledger!$C$2:$C$4, O$2)),"****")</f>
        <v/>
      </c>
      <c r="P1137" t="str">
        <f>IFERROR(IF($C1137="","",SUMIFS(Ledger!$K$2:$K$4, Ledger!$B$2:$B$4, $A1137, Ledger!$C$2:$C$4, P$2)),"****")</f>
        <v/>
      </c>
      <c r="Q1137" t="str">
        <f>IFERROR(IF($C1137="","",SUMIFS(Ledger!$K$2:$K$4, Ledger!$B$2:$B$4, $A1137, Ledger!$C$2:$C$4, Q$2)),"****")</f>
        <v/>
      </c>
      <c r="R1137" t="str">
        <f>IFERROR(IF($C1137="","",SUMIFS(Ledger!$K$2:$K$4, Ledger!$B$2:$B$4, $A1137, Ledger!$C$2:$C$4, R$2)),"****")</f>
        <v/>
      </c>
      <c r="S1137" t="str">
        <f>IFERROR(IF($C1137="","",SUMIFS(Ledger!$K$2:$K$4, Ledger!$B$2:$B$4, $A1137, Ledger!$C$2:$C$4, S$2)),"****")</f>
        <v/>
      </c>
      <c r="T1137" t="str">
        <f>IFERROR(IF($C1137="","",SUMIFS(Ledger!$K$2:$K$4, Ledger!$B$2:$B$4, $A1137, Ledger!$C$2:$C$4, T$2)),"****")</f>
        <v/>
      </c>
      <c r="U1137" t="str">
        <f>IFERROR(IF($C1137="","",SUMIFS(Ledger!$K$2:$K$4, Ledger!$B$2:$B$4, $A1137, Ledger!$C$2:$C$4, U$2)),"****")</f>
        <v/>
      </c>
      <c r="V1137" t="str">
        <f>IFERROR(IF($C1137="","",SUMIFS(Ledger!$K$2:$K$4, Ledger!$B$2:$B$4, $A1137, Ledger!$C$2:$C$4, V$2)),"****")</f>
        <v/>
      </c>
      <c r="W1137" t="str">
        <f>IFERROR(IF($C1137="","",SUMIFS(Ledger!$K$2:$K$4, Ledger!$B$2:$B$4, $A1137, Ledger!$C$2:$C$4, W$2)),"****")</f>
        <v/>
      </c>
      <c r="X1137" t="str">
        <f>IFERROR(IF($C1137="","",SUMIFS(Ledger!$K$2:$K$4, Ledger!$B$2:$B$4, $A1137, Ledger!$C$2:$C$4, X$2)),"****")</f>
        <v/>
      </c>
    </row>
    <row r="1138" spans="1:24" x14ac:dyDescent="0.3">
      <c r="A1138" s="106">
        <v>1136</v>
      </c>
      <c r="B1138" t="str">
        <f>IFERROR(VLOOKUP($A1138, Ledger!$B$2:$L$8, 3, 0),"")</f>
        <v/>
      </c>
      <c r="C1138" t="str">
        <f>IFERROR(VLOOKUP($A1138, Ledger!$B$2:$L$8, 4, 0),"")</f>
        <v/>
      </c>
      <c r="D1138" t="str">
        <f>IFERROR(VLOOKUP($A1138, Ledger!$B$2:$L$8, 5, 0),"")</f>
        <v/>
      </c>
      <c r="E1138" t="str">
        <f>IFERROR(VLOOKUP($A1138, Ledger!$B$2:$L$8, 6, 0),"")</f>
        <v/>
      </c>
      <c r="F1138" t="str">
        <f>IFERROR(VLOOKUP($A1138,'Student Data'!$A$2:$AR$6,32,0),"")</f>
        <v/>
      </c>
      <c r="G1138" t="str">
        <f>IFERROR(VLOOKUP($A1138,'Student Data'!$A$2:$AR$6,33,0),"")</f>
        <v/>
      </c>
      <c r="H1138" t="str">
        <f>IFERROR(VLOOKUP($A1138,'Student Data'!$A$2:$AR$6,34,0),"")</f>
        <v/>
      </c>
      <c r="I1138" t="str">
        <f>IFERROR(VLOOKUP($A1138,'Student Data'!$A$2:$AR$6,35,0),"")</f>
        <v/>
      </c>
      <c r="J1138" t="str">
        <f>IFERROR(VLOOKUP($A1138,'Student Data'!$A$2:$AR$6,36,0),"")</f>
        <v/>
      </c>
      <c r="K1138" t="str">
        <f t="shared" si="34"/>
        <v/>
      </c>
      <c r="L1138" t="str">
        <f t="shared" si="35"/>
        <v/>
      </c>
      <c r="M1138" t="str">
        <f>IFERROR(IF($C1138="","",SUMIFS(Ledger!$K$2:$K$4, Ledger!$B$2:$B$4, $A1138, Ledger!$C$2:$C$4, M$2)),"****")</f>
        <v/>
      </c>
      <c r="N1138" t="str">
        <f>IFERROR(IF($C1138="","",SUMIFS(Ledger!$K$2:$K$4, Ledger!$B$2:$B$4, $A1138, Ledger!$C$2:$C$4, N$2)),"****")</f>
        <v/>
      </c>
      <c r="O1138" t="str">
        <f>IFERROR(IF($C1138="","",SUMIFS(Ledger!$K$2:$K$4, Ledger!$B$2:$B$4, $A1138, Ledger!$C$2:$C$4, O$2)),"****")</f>
        <v/>
      </c>
      <c r="P1138" t="str">
        <f>IFERROR(IF($C1138="","",SUMIFS(Ledger!$K$2:$K$4, Ledger!$B$2:$B$4, $A1138, Ledger!$C$2:$C$4, P$2)),"****")</f>
        <v/>
      </c>
      <c r="Q1138" t="str">
        <f>IFERROR(IF($C1138="","",SUMIFS(Ledger!$K$2:$K$4, Ledger!$B$2:$B$4, $A1138, Ledger!$C$2:$C$4, Q$2)),"****")</f>
        <v/>
      </c>
      <c r="R1138" t="str">
        <f>IFERROR(IF($C1138="","",SUMIFS(Ledger!$K$2:$K$4, Ledger!$B$2:$B$4, $A1138, Ledger!$C$2:$C$4, R$2)),"****")</f>
        <v/>
      </c>
      <c r="S1138" t="str">
        <f>IFERROR(IF($C1138="","",SUMIFS(Ledger!$K$2:$K$4, Ledger!$B$2:$B$4, $A1138, Ledger!$C$2:$C$4, S$2)),"****")</f>
        <v/>
      </c>
      <c r="T1138" t="str">
        <f>IFERROR(IF($C1138="","",SUMIFS(Ledger!$K$2:$K$4, Ledger!$B$2:$B$4, $A1138, Ledger!$C$2:$C$4, T$2)),"****")</f>
        <v/>
      </c>
      <c r="U1138" t="str">
        <f>IFERROR(IF($C1138="","",SUMIFS(Ledger!$K$2:$K$4, Ledger!$B$2:$B$4, $A1138, Ledger!$C$2:$C$4, U$2)),"****")</f>
        <v/>
      </c>
      <c r="V1138" t="str">
        <f>IFERROR(IF($C1138="","",SUMIFS(Ledger!$K$2:$K$4, Ledger!$B$2:$B$4, $A1138, Ledger!$C$2:$C$4, V$2)),"****")</f>
        <v/>
      </c>
      <c r="W1138" t="str">
        <f>IFERROR(IF($C1138="","",SUMIFS(Ledger!$K$2:$K$4, Ledger!$B$2:$B$4, $A1138, Ledger!$C$2:$C$4, W$2)),"****")</f>
        <v/>
      </c>
      <c r="X1138" t="str">
        <f>IFERROR(IF($C1138="","",SUMIFS(Ledger!$K$2:$K$4, Ledger!$B$2:$B$4, $A1138, Ledger!$C$2:$C$4, X$2)),"****")</f>
        <v/>
      </c>
    </row>
    <row r="1139" spans="1:24" x14ac:dyDescent="0.3">
      <c r="A1139" s="106">
        <v>1137</v>
      </c>
      <c r="B1139" t="str">
        <f>IFERROR(VLOOKUP($A1139, Ledger!$B$2:$L$8, 3, 0),"")</f>
        <v/>
      </c>
      <c r="C1139" t="str">
        <f>IFERROR(VLOOKUP($A1139, Ledger!$B$2:$L$8, 4, 0),"")</f>
        <v/>
      </c>
      <c r="D1139" t="str">
        <f>IFERROR(VLOOKUP($A1139, Ledger!$B$2:$L$8, 5, 0),"")</f>
        <v/>
      </c>
      <c r="E1139" t="str">
        <f>IFERROR(VLOOKUP($A1139, Ledger!$B$2:$L$8, 6, 0),"")</f>
        <v/>
      </c>
      <c r="F1139" t="str">
        <f>IFERROR(VLOOKUP($A1139,'Student Data'!$A$2:$AR$6,32,0),"")</f>
        <v/>
      </c>
      <c r="G1139" t="str">
        <f>IFERROR(VLOOKUP($A1139,'Student Data'!$A$2:$AR$6,33,0),"")</f>
        <v/>
      </c>
      <c r="H1139" t="str">
        <f>IFERROR(VLOOKUP($A1139,'Student Data'!$A$2:$AR$6,34,0),"")</f>
        <v/>
      </c>
      <c r="I1139" t="str">
        <f>IFERROR(VLOOKUP($A1139,'Student Data'!$A$2:$AR$6,35,0),"")</f>
        <v/>
      </c>
      <c r="J1139" t="str">
        <f>IFERROR(VLOOKUP($A1139,'Student Data'!$A$2:$AR$6,36,0),"")</f>
        <v/>
      </c>
      <c r="K1139" t="str">
        <f t="shared" si="34"/>
        <v/>
      </c>
      <c r="L1139" t="str">
        <f t="shared" si="35"/>
        <v/>
      </c>
      <c r="M1139" t="str">
        <f>IFERROR(IF($C1139="","",SUMIFS(Ledger!$K$2:$K$4, Ledger!$B$2:$B$4, $A1139, Ledger!$C$2:$C$4, M$2)),"****")</f>
        <v/>
      </c>
      <c r="N1139" t="str">
        <f>IFERROR(IF($C1139="","",SUMIFS(Ledger!$K$2:$K$4, Ledger!$B$2:$B$4, $A1139, Ledger!$C$2:$C$4, N$2)),"****")</f>
        <v/>
      </c>
      <c r="O1139" t="str">
        <f>IFERROR(IF($C1139="","",SUMIFS(Ledger!$K$2:$K$4, Ledger!$B$2:$B$4, $A1139, Ledger!$C$2:$C$4, O$2)),"****")</f>
        <v/>
      </c>
      <c r="P1139" t="str">
        <f>IFERROR(IF($C1139="","",SUMIFS(Ledger!$K$2:$K$4, Ledger!$B$2:$B$4, $A1139, Ledger!$C$2:$C$4, P$2)),"****")</f>
        <v/>
      </c>
      <c r="Q1139" t="str">
        <f>IFERROR(IF($C1139="","",SUMIFS(Ledger!$K$2:$K$4, Ledger!$B$2:$B$4, $A1139, Ledger!$C$2:$C$4, Q$2)),"****")</f>
        <v/>
      </c>
      <c r="R1139" t="str">
        <f>IFERROR(IF($C1139="","",SUMIFS(Ledger!$K$2:$K$4, Ledger!$B$2:$B$4, $A1139, Ledger!$C$2:$C$4, R$2)),"****")</f>
        <v/>
      </c>
      <c r="S1139" t="str">
        <f>IFERROR(IF($C1139="","",SUMIFS(Ledger!$K$2:$K$4, Ledger!$B$2:$B$4, $A1139, Ledger!$C$2:$C$4, S$2)),"****")</f>
        <v/>
      </c>
      <c r="T1139" t="str">
        <f>IFERROR(IF($C1139="","",SUMIFS(Ledger!$K$2:$K$4, Ledger!$B$2:$B$4, $A1139, Ledger!$C$2:$C$4, T$2)),"****")</f>
        <v/>
      </c>
      <c r="U1139" t="str">
        <f>IFERROR(IF($C1139="","",SUMIFS(Ledger!$K$2:$K$4, Ledger!$B$2:$B$4, $A1139, Ledger!$C$2:$C$4, U$2)),"****")</f>
        <v/>
      </c>
      <c r="V1139" t="str">
        <f>IFERROR(IF($C1139="","",SUMIFS(Ledger!$K$2:$K$4, Ledger!$B$2:$B$4, $A1139, Ledger!$C$2:$C$4, V$2)),"****")</f>
        <v/>
      </c>
      <c r="W1139" t="str">
        <f>IFERROR(IF($C1139="","",SUMIFS(Ledger!$K$2:$K$4, Ledger!$B$2:$B$4, $A1139, Ledger!$C$2:$C$4, W$2)),"****")</f>
        <v/>
      </c>
      <c r="X1139" t="str">
        <f>IFERROR(IF($C1139="","",SUMIFS(Ledger!$K$2:$K$4, Ledger!$B$2:$B$4, $A1139, Ledger!$C$2:$C$4, X$2)),"****")</f>
        <v/>
      </c>
    </row>
    <row r="1140" spans="1:24" x14ac:dyDescent="0.3">
      <c r="A1140" s="106">
        <v>1138</v>
      </c>
      <c r="B1140" t="str">
        <f>IFERROR(VLOOKUP($A1140, Ledger!$B$2:$L$8, 3, 0),"")</f>
        <v/>
      </c>
      <c r="C1140" t="str">
        <f>IFERROR(VLOOKUP($A1140, Ledger!$B$2:$L$8, 4, 0),"")</f>
        <v/>
      </c>
      <c r="D1140" t="str">
        <f>IFERROR(VLOOKUP($A1140, Ledger!$B$2:$L$8, 5, 0),"")</f>
        <v/>
      </c>
      <c r="E1140" t="str">
        <f>IFERROR(VLOOKUP($A1140, Ledger!$B$2:$L$8, 6, 0),"")</f>
        <v/>
      </c>
      <c r="F1140" t="str">
        <f>IFERROR(VLOOKUP($A1140,'Student Data'!$A$2:$AR$6,32,0),"")</f>
        <v/>
      </c>
      <c r="G1140" t="str">
        <f>IFERROR(VLOOKUP($A1140,'Student Data'!$A$2:$AR$6,33,0),"")</f>
        <v/>
      </c>
      <c r="H1140" t="str">
        <f>IFERROR(VLOOKUP($A1140,'Student Data'!$A$2:$AR$6,34,0),"")</f>
        <v/>
      </c>
      <c r="I1140" t="str">
        <f>IFERROR(VLOOKUP($A1140,'Student Data'!$A$2:$AR$6,35,0),"")</f>
        <v/>
      </c>
      <c r="J1140" t="str">
        <f>IFERROR(VLOOKUP($A1140,'Student Data'!$A$2:$AR$6,36,0),"")</f>
        <v/>
      </c>
      <c r="K1140" t="str">
        <f t="shared" si="34"/>
        <v/>
      </c>
      <c r="L1140" t="str">
        <f t="shared" si="35"/>
        <v/>
      </c>
      <c r="M1140" t="str">
        <f>IFERROR(IF($C1140="","",SUMIFS(Ledger!$K$2:$K$4, Ledger!$B$2:$B$4, $A1140, Ledger!$C$2:$C$4, M$2)),"****")</f>
        <v/>
      </c>
      <c r="N1140" t="str">
        <f>IFERROR(IF($C1140="","",SUMIFS(Ledger!$K$2:$K$4, Ledger!$B$2:$B$4, $A1140, Ledger!$C$2:$C$4, N$2)),"****")</f>
        <v/>
      </c>
      <c r="O1140" t="str">
        <f>IFERROR(IF($C1140="","",SUMIFS(Ledger!$K$2:$K$4, Ledger!$B$2:$B$4, $A1140, Ledger!$C$2:$C$4, O$2)),"****")</f>
        <v/>
      </c>
      <c r="P1140" t="str">
        <f>IFERROR(IF($C1140="","",SUMIFS(Ledger!$K$2:$K$4, Ledger!$B$2:$B$4, $A1140, Ledger!$C$2:$C$4, P$2)),"****")</f>
        <v/>
      </c>
      <c r="Q1140" t="str">
        <f>IFERROR(IF($C1140="","",SUMIFS(Ledger!$K$2:$K$4, Ledger!$B$2:$B$4, $A1140, Ledger!$C$2:$C$4, Q$2)),"****")</f>
        <v/>
      </c>
      <c r="R1140" t="str">
        <f>IFERROR(IF($C1140="","",SUMIFS(Ledger!$K$2:$K$4, Ledger!$B$2:$B$4, $A1140, Ledger!$C$2:$C$4, R$2)),"****")</f>
        <v/>
      </c>
      <c r="S1140" t="str">
        <f>IFERROR(IF($C1140="","",SUMIFS(Ledger!$K$2:$K$4, Ledger!$B$2:$B$4, $A1140, Ledger!$C$2:$C$4, S$2)),"****")</f>
        <v/>
      </c>
      <c r="T1140" t="str">
        <f>IFERROR(IF($C1140="","",SUMIFS(Ledger!$K$2:$K$4, Ledger!$B$2:$B$4, $A1140, Ledger!$C$2:$C$4, T$2)),"****")</f>
        <v/>
      </c>
      <c r="U1140" t="str">
        <f>IFERROR(IF($C1140="","",SUMIFS(Ledger!$K$2:$K$4, Ledger!$B$2:$B$4, $A1140, Ledger!$C$2:$C$4, U$2)),"****")</f>
        <v/>
      </c>
      <c r="V1140" t="str">
        <f>IFERROR(IF($C1140="","",SUMIFS(Ledger!$K$2:$K$4, Ledger!$B$2:$B$4, $A1140, Ledger!$C$2:$C$4, V$2)),"****")</f>
        <v/>
      </c>
      <c r="W1140" t="str">
        <f>IFERROR(IF($C1140="","",SUMIFS(Ledger!$K$2:$K$4, Ledger!$B$2:$B$4, $A1140, Ledger!$C$2:$C$4, W$2)),"****")</f>
        <v/>
      </c>
      <c r="X1140" t="str">
        <f>IFERROR(IF($C1140="","",SUMIFS(Ledger!$K$2:$K$4, Ledger!$B$2:$B$4, $A1140, Ledger!$C$2:$C$4, X$2)),"****")</f>
        <v/>
      </c>
    </row>
    <row r="1141" spans="1:24" x14ac:dyDescent="0.3">
      <c r="A1141" s="106">
        <v>1139</v>
      </c>
      <c r="B1141" t="str">
        <f>IFERROR(VLOOKUP($A1141, Ledger!$B$2:$L$8, 3, 0),"")</f>
        <v/>
      </c>
      <c r="C1141" t="str">
        <f>IFERROR(VLOOKUP($A1141, Ledger!$B$2:$L$8, 4, 0),"")</f>
        <v/>
      </c>
      <c r="D1141" t="str">
        <f>IFERROR(VLOOKUP($A1141, Ledger!$B$2:$L$8, 5, 0),"")</f>
        <v/>
      </c>
      <c r="E1141" t="str">
        <f>IFERROR(VLOOKUP($A1141, Ledger!$B$2:$L$8, 6, 0),"")</f>
        <v/>
      </c>
      <c r="F1141" t="str">
        <f>IFERROR(VLOOKUP($A1141,'Student Data'!$A$2:$AR$6,32,0),"")</f>
        <v/>
      </c>
      <c r="G1141" t="str">
        <f>IFERROR(VLOOKUP($A1141,'Student Data'!$A$2:$AR$6,33,0),"")</f>
        <v/>
      </c>
      <c r="H1141" t="str">
        <f>IFERROR(VLOOKUP($A1141,'Student Data'!$A$2:$AR$6,34,0),"")</f>
        <v/>
      </c>
      <c r="I1141" t="str">
        <f>IFERROR(VLOOKUP($A1141,'Student Data'!$A$2:$AR$6,35,0),"")</f>
        <v/>
      </c>
      <c r="J1141" t="str">
        <f>IFERROR(VLOOKUP($A1141,'Student Data'!$A$2:$AR$6,36,0),"")</f>
        <v/>
      </c>
      <c r="K1141" t="str">
        <f t="shared" si="34"/>
        <v/>
      </c>
      <c r="L1141" t="str">
        <f t="shared" si="35"/>
        <v/>
      </c>
      <c r="M1141" t="str">
        <f>IFERROR(IF($C1141="","",SUMIFS(Ledger!$K$2:$K$4, Ledger!$B$2:$B$4, $A1141, Ledger!$C$2:$C$4, M$2)),"****")</f>
        <v/>
      </c>
      <c r="N1141" t="str">
        <f>IFERROR(IF($C1141="","",SUMIFS(Ledger!$K$2:$K$4, Ledger!$B$2:$B$4, $A1141, Ledger!$C$2:$C$4, N$2)),"****")</f>
        <v/>
      </c>
      <c r="O1141" t="str">
        <f>IFERROR(IF($C1141="","",SUMIFS(Ledger!$K$2:$K$4, Ledger!$B$2:$B$4, $A1141, Ledger!$C$2:$C$4, O$2)),"****")</f>
        <v/>
      </c>
      <c r="P1141" t="str">
        <f>IFERROR(IF($C1141="","",SUMIFS(Ledger!$K$2:$K$4, Ledger!$B$2:$B$4, $A1141, Ledger!$C$2:$C$4, P$2)),"****")</f>
        <v/>
      </c>
      <c r="Q1141" t="str">
        <f>IFERROR(IF($C1141="","",SUMIFS(Ledger!$K$2:$K$4, Ledger!$B$2:$B$4, $A1141, Ledger!$C$2:$C$4, Q$2)),"****")</f>
        <v/>
      </c>
      <c r="R1141" t="str">
        <f>IFERROR(IF($C1141="","",SUMIFS(Ledger!$K$2:$K$4, Ledger!$B$2:$B$4, $A1141, Ledger!$C$2:$C$4, R$2)),"****")</f>
        <v/>
      </c>
      <c r="S1141" t="str">
        <f>IFERROR(IF($C1141="","",SUMIFS(Ledger!$K$2:$K$4, Ledger!$B$2:$B$4, $A1141, Ledger!$C$2:$C$4, S$2)),"****")</f>
        <v/>
      </c>
      <c r="T1141" t="str">
        <f>IFERROR(IF($C1141="","",SUMIFS(Ledger!$K$2:$K$4, Ledger!$B$2:$B$4, $A1141, Ledger!$C$2:$C$4, T$2)),"****")</f>
        <v/>
      </c>
      <c r="U1141" t="str">
        <f>IFERROR(IF($C1141="","",SUMIFS(Ledger!$K$2:$K$4, Ledger!$B$2:$B$4, $A1141, Ledger!$C$2:$C$4, U$2)),"****")</f>
        <v/>
      </c>
      <c r="V1141" t="str">
        <f>IFERROR(IF($C1141="","",SUMIFS(Ledger!$K$2:$K$4, Ledger!$B$2:$B$4, $A1141, Ledger!$C$2:$C$4, V$2)),"****")</f>
        <v/>
      </c>
      <c r="W1141" t="str">
        <f>IFERROR(IF($C1141="","",SUMIFS(Ledger!$K$2:$K$4, Ledger!$B$2:$B$4, $A1141, Ledger!$C$2:$C$4, W$2)),"****")</f>
        <v/>
      </c>
      <c r="X1141" t="str">
        <f>IFERROR(IF($C1141="","",SUMIFS(Ledger!$K$2:$K$4, Ledger!$B$2:$B$4, $A1141, Ledger!$C$2:$C$4, X$2)),"****")</f>
        <v/>
      </c>
    </row>
    <row r="1142" spans="1:24" x14ac:dyDescent="0.3">
      <c r="A1142" s="106">
        <v>1140</v>
      </c>
      <c r="B1142" t="str">
        <f>IFERROR(VLOOKUP($A1142, Ledger!$B$2:$L$8, 3, 0),"")</f>
        <v/>
      </c>
      <c r="C1142" t="str">
        <f>IFERROR(VLOOKUP($A1142, Ledger!$B$2:$L$8, 4, 0),"")</f>
        <v/>
      </c>
      <c r="D1142" t="str">
        <f>IFERROR(VLOOKUP($A1142, Ledger!$B$2:$L$8, 5, 0),"")</f>
        <v/>
      </c>
      <c r="E1142" t="str">
        <f>IFERROR(VLOOKUP($A1142, Ledger!$B$2:$L$8, 6, 0),"")</f>
        <v/>
      </c>
      <c r="F1142" t="str">
        <f>IFERROR(VLOOKUP($A1142,'Student Data'!$A$2:$AR$6,32,0),"")</f>
        <v/>
      </c>
      <c r="G1142" t="str">
        <f>IFERROR(VLOOKUP($A1142,'Student Data'!$A$2:$AR$6,33,0),"")</f>
        <v/>
      </c>
      <c r="H1142" t="str">
        <f>IFERROR(VLOOKUP($A1142,'Student Data'!$A$2:$AR$6,34,0),"")</f>
        <v/>
      </c>
      <c r="I1142" t="str">
        <f>IFERROR(VLOOKUP($A1142,'Student Data'!$A$2:$AR$6,35,0),"")</f>
        <v/>
      </c>
      <c r="J1142" t="str">
        <f>IFERROR(VLOOKUP($A1142,'Student Data'!$A$2:$AR$6,36,0),"")</f>
        <v/>
      </c>
      <c r="K1142" t="str">
        <f t="shared" si="34"/>
        <v/>
      </c>
      <c r="L1142" t="str">
        <f t="shared" si="35"/>
        <v/>
      </c>
      <c r="M1142" t="str">
        <f>IFERROR(IF($C1142="","",SUMIFS(Ledger!$K$2:$K$4, Ledger!$B$2:$B$4, $A1142, Ledger!$C$2:$C$4, M$2)),"****")</f>
        <v/>
      </c>
      <c r="N1142" t="str">
        <f>IFERROR(IF($C1142="","",SUMIFS(Ledger!$K$2:$K$4, Ledger!$B$2:$B$4, $A1142, Ledger!$C$2:$C$4, N$2)),"****")</f>
        <v/>
      </c>
      <c r="O1142" t="str">
        <f>IFERROR(IF($C1142="","",SUMIFS(Ledger!$K$2:$K$4, Ledger!$B$2:$B$4, $A1142, Ledger!$C$2:$C$4, O$2)),"****")</f>
        <v/>
      </c>
      <c r="P1142" t="str">
        <f>IFERROR(IF($C1142="","",SUMIFS(Ledger!$K$2:$K$4, Ledger!$B$2:$B$4, $A1142, Ledger!$C$2:$C$4, P$2)),"****")</f>
        <v/>
      </c>
      <c r="Q1142" t="str">
        <f>IFERROR(IF($C1142="","",SUMIFS(Ledger!$K$2:$K$4, Ledger!$B$2:$B$4, $A1142, Ledger!$C$2:$C$4, Q$2)),"****")</f>
        <v/>
      </c>
      <c r="R1142" t="str">
        <f>IFERROR(IF($C1142="","",SUMIFS(Ledger!$K$2:$K$4, Ledger!$B$2:$B$4, $A1142, Ledger!$C$2:$C$4, R$2)),"****")</f>
        <v/>
      </c>
      <c r="S1142" t="str">
        <f>IFERROR(IF($C1142="","",SUMIFS(Ledger!$K$2:$K$4, Ledger!$B$2:$B$4, $A1142, Ledger!$C$2:$C$4, S$2)),"****")</f>
        <v/>
      </c>
      <c r="T1142" t="str">
        <f>IFERROR(IF($C1142="","",SUMIFS(Ledger!$K$2:$K$4, Ledger!$B$2:$B$4, $A1142, Ledger!$C$2:$C$4, T$2)),"****")</f>
        <v/>
      </c>
      <c r="U1142" t="str">
        <f>IFERROR(IF($C1142="","",SUMIFS(Ledger!$K$2:$K$4, Ledger!$B$2:$B$4, $A1142, Ledger!$C$2:$C$4, U$2)),"****")</f>
        <v/>
      </c>
      <c r="V1142" t="str">
        <f>IFERROR(IF($C1142="","",SUMIFS(Ledger!$K$2:$K$4, Ledger!$B$2:$B$4, $A1142, Ledger!$C$2:$C$4, V$2)),"****")</f>
        <v/>
      </c>
      <c r="W1142" t="str">
        <f>IFERROR(IF($C1142="","",SUMIFS(Ledger!$K$2:$K$4, Ledger!$B$2:$B$4, $A1142, Ledger!$C$2:$C$4, W$2)),"****")</f>
        <v/>
      </c>
      <c r="X1142" t="str">
        <f>IFERROR(IF($C1142="","",SUMIFS(Ledger!$K$2:$K$4, Ledger!$B$2:$B$4, $A1142, Ledger!$C$2:$C$4, X$2)),"****")</f>
        <v/>
      </c>
    </row>
    <row r="1143" spans="1:24" x14ac:dyDescent="0.3">
      <c r="A1143" s="106">
        <v>1141</v>
      </c>
      <c r="B1143" t="str">
        <f>IFERROR(VLOOKUP($A1143, Ledger!$B$2:$L$8, 3, 0),"")</f>
        <v/>
      </c>
      <c r="C1143" t="str">
        <f>IFERROR(VLOOKUP($A1143, Ledger!$B$2:$L$8, 4, 0),"")</f>
        <v/>
      </c>
      <c r="D1143" t="str">
        <f>IFERROR(VLOOKUP($A1143, Ledger!$B$2:$L$8, 5, 0),"")</f>
        <v/>
      </c>
      <c r="E1143" t="str">
        <f>IFERROR(VLOOKUP($A1143, Ledger!$B$2:$L$8, 6, 0),"")</f>
        <v/>
      </c>
      <c r="F1143" t="str">
        <f>IFERROR(VLOOKUP($A1143,'Student Data'!$A$2:$AR$6,32,0),"")</f>
        <v/>
      </c>
      <c r="G1143" t="str">
        <f>IFERROR(VLOOKUP($A1143,'Student Data'!$A$2:$AR$6,33,0),"")</f>
        <v/>
      </c>
      <c r="H1143" t="str">
        <f>IFERROR(VLOOKUP($A1143,'Student Data'!$A$2:$AR$6,34,0),"")</f>
        <v/>
      </c>
      <c r="I1143" t="str">
        <f>IFERROR(VLOOKUP($A1143,'Student Data'!$A$2:$AR$6,35,0),"")</f>
        <v/>
      </c>
      <c r="J1143" t="str">
        <f>IFERROR(VLOOKUP($A1143,'Student Data'!$A$2:$AR$6,36,0),"")</f>
        <v/>
      </c>
      <c r="K1143" t="str">
        <f t="shared" si="34"/>
        <v/>
      </c>
      <c r="L1143" t="str">
        <f t="shared" si="35"/>
        <v/>
      </c>
      <c r="M1143" t="str">
        <f>IFERROR(IF($C1143="","",SUMIFS(Ledger!$K$2:$K$4, Ledger!$B$2:$B$4, $A1143, Ledger!$C$2:$C$4, M$2)),"****")</f>
        <v/>
      </c>
      <c r="N1143" t="str">
        <f>IFERROR(IF($C1143="","",SUMIFS(Ledger!$K$2:$K$4, Ledger!$B$2:$B$4, $A1143, Ledger!$C$2:$C$4, N$2)),"****")</f>
        <v/>
      </c>
      <c r="O1143" t="str">
        <f>IFERROR(IF($C1143="","",SUMIFS(Ledger!$K$2:$K$4, Ledger!$B$2:$B$4, $A1143, Ledger!$C$2:$C$4, O$2)),"****")</f>
        <v/>
      </c>
      <c r="P1143" t="str">
        <f>IFERROR(IF($C1143="","",SUMIFS(Ledger!$K$2:$K$4, Ledger!$B$2:$B$4, $A1143, Ledger!$C$2:$C$4, P$2)),"****")</f>
        <v/>
      </c>
      <c r="Q1143" t="str">
        <f>IFERROR(IF($C1143="","",SUMIFS(Ledger!$K$2:$K$4, Ledger!$B$2:$B$4, $A1143, Ledger!$C$2:$C$4, Q$2)),"****")</f>
        <v/>
      </c>
      <c r="R1143" t="str">
        <f>IFERROR(IF($C1143="","",SUMIFS(Ledger!$K$2:$K$4, Ledger!$B$2:$B$4, $A1143, Ledger!$C$2:$C$4, R$2)),"****")</f>
        <v/>
      </c>
      <c r="S1143" t="str">
        <f>IFERROR(IF($C1143="","",SUMIFS(Ledger!$K$2:$K$4, Ledger!$B$2:$B$4, $A1143, Ledger!$C$2:$C$4, S$2)),"****")</f>
        <v/>
      </c>
      <c r="T1143" t="str">
        <f>IFERROR(IF($C1143="","",SUMIFS(Ledger!$K$2:$K$4, Ledger!$B$2:$B$4, $A1143, Ledger!$C$2:$C$4, T$2)),"****")</f>
        <v/>
      </c>
      <c r="U1143" t="str">
        <f>IFERROR(IF($C1143="","",SUMIFS(Ledger!$K$2:$K$4, Ledger!$B$2:$B$4, $A1143, Ledger!$C$2:$C$4, U$2)),"****")</f>
        <v/>
      </c>
      <c r="V1143" t="str">
        <f>IFERROR(IF($C1143="","",SUMIFS(Ledger!$K$2:$K$4, Ledger!$B$2:$B$4, $A1143, Ledger!$C$2:$C$4, V$2)),"****")</f>
        <v/>
      </c>
      <c r="W1143" t="str">
        <f>IFERROR(IF($C1143="","",SUMIFS(Ledger!$K$2:$K$4, Ledger!$B$2:$B$4, $A1143, Ledger!$C$2:$C$4, W$2)),"****")</f>
        <v/>
      </c>
      <c r="X1143" t="str">
        <f>IFERROR(IF($C1143="","",SUMIFS(Ledger!$K$2:$K$4, Ledger!$B$2:$B$4, $A1143, Ledger!$C$2:$C$4, X$2)),"****")</f>
        <v/>
      </c>
    </row>
    <row r="1144" spans="1:24" x14ac:dyDescent="0.3">
      <c r="A1144" s="106">
        <v>1142</v>
      </c>
      <c r="B1144" t="str">
        <f>IFERROR(VLOOKUP($A1144, Ledger!$B$2:$L$8, 3, 0),"")</f>
        <v/>
      </c>
      <c r="C1144" t="str">
        <f>IFERROR(VLOOKUP($A1144, Ledger!$B$2:$L$8, 4, 0),"")</f>
        <v/>
      </c>
      <c r="D1144" t="str">
        <f>IFERROR(VLOOKUP($A1144, Ledger!$B$2:$L$8, 5, 0),"")</f>
        <v/>
      </c>
      <c r="E1144" t="str">
        <f>IFERROR(VLOOKUP($A1144, Ledger!$B$2:$L$8, 6, 0),"")</f>
        <v/>
      </c>
      <c r="F1144" t="str">
        <f>IFERROR(VLOOKUP($A1144,'Student Data'!$A$2:$AR$6,32,0),"")</f>
        <v/>
      </c>
      <c r="G1144" t="str">
        <f>IFERROR(VLOOKUP($A1144,'Student Data'!$A$2:$AR$6,33,0),"")</f>
        <v/>
      </c>
      <c r="H1144" t="str">
        <f>IFERROR(VLOOKUP($A1144,'Student Data'!$A$2:$AR$6,34,0),"")</f>
        <v/>
      </c>
      <c r="I1144" t="str">
        <f>IFERROR(VLOOKUP($A1144,'Student Data'!$A$2:$AR$6,35,0),"")</f>
        <v/>
      </c>
      <c r="J1144" t="str">
        <f>IFERROR(VLOOKUP($A1144,'Student Data'!$A$2:$AR$6,36,0),"")</f>
        <v/>
      </c>
      <c r="K1144" t="str">
        <f t="shared" si="34"/>
        <v/>
      </c>
      <c r="L1144" t="str">
        <f t="shared" si="35"/>
        <v/>
      </c>
      <c r="M1144" t="str">
        <f>IFERROR(IF($C1144="","",SUMIFS(Ledger!$K$2:$K$4, Ledger!$B$2:$B$4, $A1144, Ledger!$C$2:$C$4, M$2)),"****")</f>
        <v/>
      </c>
      <c r="N1144" t="str">
        <f>IFERROR(IF($C1144="","",SUMIFS(Ledger!$K$2:$K$4, Ledger!$B$2:$B$4, $A1144, Ledger!$C$2:$C$4, N$2)),"****")</f>
        <v/>
      </c>
      <c r="O1144" t="str">
        <f>IFERROR(IF($C1144="","",SUMIFS(Ledger!$K$2:$K$4, Ledger!$B$2:$B$4, $A1144, Ledger!$C$2:$C$4, O$2)),"****")</f>
        <v/>
      </c>
      <c r="P1144" t="str">
        <f>IFERROR(IF($C1144="","",SUMIFS(Ledger!$K$2:$K$4, Ledger!$B$2:$B$4, $A1144, Ledger!$C$2:$C$4, P$2)),"****")</f>
        <v/>
      </c>
      <c r="Q1144" t="str">
        <f>IFERROR(IF($C1144="","",SUMIFS(Ledger!$K$2:$K$4, Ledger!$B$2:$B$4, $A1144, Ledger!$C$2:$C$4, Q$2)),"****")</f>
        <v/>
      </c>
      <c r="R1144" t="str">
        <f>IFERROR(IF($C1144="","",SUMIFS(Ledger!$K$2:$K$4, Ledger!$B$2:$B$4, $A1144, Ledger!$C$2:$C$4, R$2)),"****")</f>
        <v/>
      </c>
      <c r="S1144" t="str">
        <f>IFERROR(IF($C1144="","",SUMIFS(Ledger!$K$2:$K$4, Ledger!$B$2:$B$4, $A1144, Ledger!$C$2:$C$4, S$2)),"****")</f>
        <v/>
      </c>
      <c r="T1144" t="str">
        <f>IFERROR(IF($C1144="","",SUMIFS(Ledger!$K$2:$K$4, Ledger!$B$2:$B$4, $A1144, Ledger!$C$2:$C$4, T$2)),"****")</f>
        <v/>
      </c>
      <c r="U1144" t="str">
        <f>IFERROR(IF($C1144="","",SUMIFS(Ledger!$K$2:$K$4, Ledger!$B$2:$B$4, $A1144, Ledger!$C$2:$C$4, U$2)),"****")</f>
        <v/>
      </c>
      <c r="V1144" t="str">
        <f>IFERROR(IF($C1144="","",SUMIFS(Ledger!$K$2:$K$4, Ledger!$B$2:$B$4, $A1144, Ledger!$C$2:$C$4, V$2)),"****")</f>
        <v/>
      </c>
      <c r="W1144" t="str">
        <f>IFERROR(IF($C1144="","",SUMIFS(Ledger!$K$2:$K$4, Ledger!$B$2:$B$4, $A1144, Ledger!$C$2:$C$4, W$2)),"****")</f>
        <v/>
      </c>
      <c r="X1144" t="str">
        <f>IFERROR(IF($C1144="","",SUMIFS(Ledger!$K$2:$K$4, Ledger!$B$2:$B$4, $A1144, Ledger!$C$2:$C$4, X$2)),"****")</f>
        <v/>
      </c>
    </row>
    <row r="1145" spans="1:24" x14ac:dyDescent="0.3">
      <c r="A1145" s="106">
        <v>1143</v>
      </c>
      <c r="B1145" t="str">
        <f>IFERROR(VLOOKUP($A1145, Ledger!$B$2:$L$8, 3, 0),"")</f>
        <v/>
      </c>
      <c r="C1145" t="str">
        <f>IFERROR(VLOOKUP($A1145, Ledger!$B$2:$L$8, 4, 0),"")</f>
        <v/>
      </c>
      <c r="D1145" t="str">
        <f>IFERROR(VLOOKUP($A1145, Ledger!$B$2:$L$8, 5, 0),"")</f>
        <v/>
      </c>
      <c r="E1145" t="str">
        <f>IFERROR(VLOOKUP($A1145, Ledger!$B$2:$L$8, 6, 0),"")</f>
        <v/>
      </c>
      <c r="F1145" t="str">
        <f>IFERROR(VLOOKUP($A1145,'Student Data'!$A$2:$AR$6,32,0),"")</f>
        <v/>
      </c>
      <c r="G1145" t="str">
        <f>IFERROR(VLOOKUP($A1145,'Student Data'!$A$2:$AR$6,33,0),"")</f>
        <v/>
      </c>
      <c r="H1145" t="str">
        <f>IFERROR(VLOOKUP($A1145,'Student Data'!$A$2:$AR$6,34,0),"")</f>
        <v/>
      </c>
      <c r="I1145" t="str">
        <f>IFERROR(VLOOKUP($A1145,'Student Data'!$A$2:$AR$6,35,0),"")</f>
        <v/>
      </c>
      <c r="J1145" t="str">
        <f>IFERROR(VLOOKUP($A1145,'Student Data'!$A$2:$AR$6,36,0),"")</f>
        <v/>
      </c>
      <c r="K1145" t="str">
        <f t="shared" si="34"/>
        <v/>
      </c>
      <c r="L1145" t="str">
        <f t="shared" si="35"/>
        <v/>
      </c>
      <c r="M1145" t="str">
        <f>IFERROR(IF($C1145="","",SUMIFS(Ledger!$K$2:$K$4, Ledger!$B$2:$B$4, $A1145, Ledger!$C$2:$C$4, M$2)),"****")</f>
        <v/>
      </c>
      <c r="N1145" t="str">
        <f>IFERROR(IF($C1145="","",SUMIFS(Ledger!$K$2:$K$4, Ledger!$B$2:$B$4, $A1145, Ledger!$C$2:$C$4, N$2)),"****")</f>
        <v/>
      </c>
      <c r="O1145" t="str">
        <f>IFERROR(IF($C1145="","",SUMIFS(Ledger!$K$2:$K$4, Ledger!$B$2:$B$4, $A1145, Ledger!$C$2:$C$4, O$2)),"****")</f>
        <v/>
      </c>
      <c r="P1145" t="str">
        <f>IFERROR(IF($C1145="","",SUMIFS(Ledger!$K$2:$K$4, Ledger!$B$2:$B$4, $A1145, Ledger!$C$2:$C$4, P$2)),"****")</f>
        <v/>
      </c>
      <c r="Q1145" t="str">
        <f>IFERROR(IF($C1145="","",SUMIFS(Ledger!$K$2:$K$4, Ledger!$B$2:$B$4, $A1145, Ledger!$C$2:$C$4, Q$2)),"****")</f>
        <v/>
      </c>
      <c r="R1145" t="str">
        <f>IFERROR(IF($C1145="","",SUMIFS(Ledger!$K$2:$K$4, Ledger!$B$2:$B$4, $A1145, Ledger!$C$2:$C$4, R$2)),"****")</f>
        <v/>
      </c>
      <c r="S1145" t="str">
        <f>IFERROR(IF($C1145="","",SUMIFS(Ledger!$K$2:$K$4, Ledger!$B$2:$B$4, $A1145, Ledger!$C$2:$C$4, S$2)),"****")</f>
        <v/>
      </c>
      <c r="T1145" t="str">
        <f>IFERROR(IF($C1145="","",SUMIFS(Ledger!$K$2:$K$4, Ledger!$B$2:$B$4, $A1145, Ledger!$C$2:$C$4, T$2)),"****")</f>
        <v/>
      </c>
      <c r="U1145" t="str">
        <f>IFERROR(IF($C1145="","",SUMIFS(Ledger!$K$2:$K$4, Ledger!$B$2:$B$4, $A1145, Ledger!$C$2:$C$4, U$2)),"****")</f>
        <v/>
      </c>
      <c r="V1145" t="str">
        <f>IFERROR(IF($C1145="","",SUMIFS(Ledger!$K$2:$K$4, Ledger!$B$2:$B$4, $A1145, Ledger!$C$2:$C$4, V$2)),"****")</f>
        <v/>
      </c>
      <c r="W1145" t="str">
        <f>IFERROR(IF($C1145="","",SUMIFS(Ledger!$K$2:$K$4, Ledger!$B$2:$B$4, $A1145, Ledger!$C$2:$C$4, W$2)),"****")</f>
        <v/>
      </c>
      <c r="X1145" t="str">
        <f>IFERROR(IF($C1145="","",SUMIFS(Ledger!$K$2:$K$4, Ledger!$B$2:$B$4, $A1145, Ledger!$C$2:$C$4, X$2)),"****")</f>
        <v/>
      </c>
    </row>
    <row r="1146" spans="1:24" x14ac:dyDescent="0.3">
      <c r="A1146" s="106">
        <v>1144</v>
      </c>
      <c r="B1146" t="str">
        <f>IFERROR(VLOOKUP($A1146, Ledger!$B$2:$L$8, 3, 0),"")</f>
        <v/>
      </c>
      <c r="C1146" t="str">
        <f>IFERROR(VLOOKUP($A1146, Ledger!$B$2:$L$8, 4, 0),"")</f>
        <v/>
      </c>
      <c r="D1146" t="str">
        <f>IFERROR(VLOOKUP($A1146, Ledger!$B$2:$L$8, 5, 0),"")</f>
        <v/>
      </c>
      <c r="E1146" t="str">
        <f>IFERROR(VLOOKUP($A1146, Ledger!$B$2:$L$8, 6, 0),"")</f>
        <v/>
      </c>
      <c r="F1146" t="str">
        <f>IFERROR(VLOOKUP($A1146,'Student Data'!$A$2:$AR$6,32,0),"")</f>
        <v/>
      </c>
      <c r="G1146" t="str">
        <f>IFERROR(VLOOKUP($A1146,'Student Data'!$A$2:$AR$6,33,0),"")</f>
        <v/>
      </c>
      <c r="H1146" t="str">
        <f>IFERROR(VLOOKUP($A1146,'Student Data'!$A$2:$AR$6,34,0),"")</f>
        <v/>
      </c>
      <c r="I1146" t="str">
        <f>IFERROR(VLOOKUP($A1146,'Student Data'!$A$2:$AR$6,35,0),"")</f>
        <v/>
      </c>
      <c r="J1146" t="str">
        <f>IFERROR(VLOOKUP($A1146,'Student Data'!$A$2:$AR$6,36,0),"")</f>
        <v/>
      </c>
      <c r="K1146" t="str">
        <f t="shared" si="34"/>
        <v/>
      </c>
      <c r="L1146" t="str">
        <f t="shared" si="35"/>
        <v/>
      </c>
      <c r="M1146" t="str">
        <f>IFERROR(IF($C1146="","",SUMIFS(Ledger!$K$2:$K$4, Ledger!$B$2:$B$4, $A1146, Ledger!$C$2:$C$4, M$2)),"****")</f>
        <v/>
      </c>
      <c r="N1146" t="str">
        <f>IFERROR(IF($C1146="","",SUMIFS(Ledger!$K$2:$K$4, Ledger!$B$2:$B$4, $A1146, Ledger!$C$2:$C$4, N$2)),"****")</f>
        <v/>
      </c>
      <c r="O1146" t="str">
        <f>IFERROR(IF($C1146="","",SUMIFS(Ledger!$K$2:$K$4, Ledger!$B$2:$B$4, $A1146, Ledger!$C$2:$C$4, O$2)),"****")</f>
        <v/>
      </c>
      <c r="P1146" t="str">
        <f>IFERROR(IF($C1146="","",SUMIFS(Ledger!$K$2:$K$4, Ledger!$B$2:$B$4, $A1146, Ledger!$C$2:$C$4, P$2)),"****")</f>
        <v/>
      </c>
      <c r="Q1146" t="str">
        <f>IFERROR(IF($C1146="","",SUMIFS(Ledger!$K$2:$K$4, Ledger!$B$2:$B$4, $A1146, Ledger!$C$2:$C$4, Q$2)),"****")</f>
        <v/>
      </c>
      <c r="R1146" t="str">
        <f>IFERROR(IF($C1146="","",SUMIFS(Ledger!$K$2:$K$4, Ledger!$B$2:$B$4, $A1146, Ledger!$C$2:$C$4, R$2)),"****")</f>
        <v/>
      </c>
      <c r="S1146" t="str">
        <f>IFERROR(IF($C1146="","",SUMIFS(Ledger!$K$2:$K$4, Ledger!$B$2:$B$4, $A1146, Ledger!$C$2:$C$4, S$2)),"****")</f>
        <v/>
      </c>
      <c r="T1146" t="str">
        <f>IFERROR(IF($C1146="","",SUMIFS(Ledger!$K$2:$K$4, Ledger!$B$2:$B$4, $A1146, Ledger!$C$2:$C$4, T$2)),"****")</f>
        <v/>
      </c>
      <c r="U1146" t="str">
        <f>IFERROR(IF($C1146="","",SUMIFS(Ledger!$K$2:$K$4, Ledger!$B$2:$B$4, $A1146, Ledger!$C$2:$C$4, U$2)),"****")</f>
        <v/>
      </c>
      <c r="V1146" t="str">
        <f>IFERROR(IF($C1146="","",SUMIFS(Ledger!$K$2:$K$4, Ledger!$B$2:$B$4, $A1146, Ledger!$C$2:$C$4, V$2)),"****")</f>
        <v/>
      </c>
      <c r="W1146" t="str">
        <f>IFERROR(IF($C1146="","",SUMIFS(Ledger!$K$2:$K$4, Ledger!$B$2:$B$4, $A1146, Ledger!$C$2:$C$4, W$2)),"****")</f>
        <v/>
      </c>
      <c r="X1146" t="str">
        <f>IFERROR(IF($C1146="","",SUMIFS(Ledger!$K$2:$K$4, Ledger!$B$2:$B$4, $A1146, Ledger!$C$2:$C$4, X$2)),"****")</f>
        <v/>
      </c>
    </row>
    <row r="1147" spans="1:24" x14ac:dyDescent="0.3">
      <c r="A1147" s="106">
        <v>1145</v>
      </c>
      <c r="B1147" t="str">
        <f>IFERROR(VLOOKUP($A1147, Ledger!$B$2:$L$8, 3, 0),"")</f>
        <v/>
      </c>
      <c r="C1147" t="str">
        <f>IFERROR(VLOOKUP($A1147, Ledger!$B$2:$L$8, 4, 0),"")</f>
        <v/>
      </c>
      <c r="D1147" t="str">
        <f>IFERROR(VLOOKUP($A1147, Ledger!$B$2:$L$8, 5, 0),"")</f>
        <v/>
      </c>
      <c r="E1147" t="str">
        <f>IFERROR(VLOOKUP($A1147, Ledger!$B$2:$L$8, 6, 0),"")</f>
        <v/>
      </c>
      <c r="F1147" t="str">
        <f>IFERROR(VLOOKUP($A1147,'Student Data'!$A$2:$AR$6,32,0),"")</f>
        <v/>
      </c>
      <c r="G1147" t="str">
        <f>IFERROR(VLOOKUP($A1147,'Student Data'!$A$2:$AR$6,33,0),"")</f>
        <v/>
      </c>
      <c r="H1147" t="str">
        <f>IFERROR(VLOOKUP($A1147,'Student Data'!$A$2:$AR$6,34,0),"")</f>
        <v/>
      </c>
      <c r="I1147" t="str">
        <f>IFERROR(VLOOKUP($A1147,'Student Data'!$A$2:$AR$6,35,0),"")</f>
        <v/>
      </c>
      <c r="J1147" t="str">
        <f>IFERROR(VLOOKUP($A1147,'Student Data'!$A$2:$AR$6,36,0),"")</f>
        <v/>
      </c>
      <c r="K1147" t="str">
        <f t="shared" si="34"/>
        <v/>
      </c>
      <c r="L1147" t="str">
        <f t="shared" si="35"/>
        <v/>
      </c>
      <c r="M1147" t="str">
        <f>IFERROR(IF($C1147="","",SUMIFS(Ledger!$K$2:$K$4, Ledger!$B$2:$B$4, $A1147, Ledger!$C$2:$C$4, M$2)),"****")</f>
        <v/>
      </c>
      <c r="N1147" t="str">
        <f>IFERROR(IF($C1147="","",SUMIFS(Ledger!$K$2:$K$4, Ledger!$B$2:$B$4, $A1147, Ledger!$C$2:$C$4, N$2)),"****")</f>
        <v/>
      </c>
      <c r="O1147" t="str">
        <f>IFERROR(IF($C1147="","",SUMIFS(Ledger!$K$2:$K$4, Ledger!$B$2:$B$4, $A1147, Ledger!$C$2:$C$4, O$2)),"****")</f>
        <v/>
      </c>
      <c r="P1147" t="str">
        <f>IFERROR(IF($C1147="","",SUMIFS(Ledger!$K$2:$K$4, Ledger!$B$2:$B$4, $A1147, Ledger!$C$2:$C$4, P$2)),"****")</f>
        <v/>
      </c>
      <c r="Q1147" t="str">
        <f>IFERROR(IF($C1147="","",SUMIFS(Ledger!$K$2:$K$4, Ledger!$B$2:$B$4, $A1147, Ledger!$C$2:$C$4, Q$2)),"****")</f>
        <v/>
      </c>
      <c r="R1147" t="str">
        <f>IFERROR(IF($C1147="","",SUMIFS(Ledger!$K$2:$K$4, Ledger!$B$2:$B$4, $A1147, Ledger!$C$2:$C$4, R$2)),"****")</f>
        <v/>
      </c>
      <c r="S1147" t="str">
        <f>IFERROR(IF($C1147="","",SUMIFS(Ledger!$K$2:$K$4, Ledger!$B$2:$B$4, $A1147, Ledger!$C$2:$C$4, S$2)),"****")</f>
        <v/>
      </c>
      <c r="T1147" t="str">
        <f>IFERROR(IF($C1147="","",SUMIFS(Ledger!$K$2:$K$4, Ledger!$B$2:$B$4, $A1147, Ledger!$C$2:$C$4, T$2)),"****")</f>
        <v/>
      </c>
      <c r="U1147" t="str">
        <f>IFERROR(IF($C1147="","",SUMIFS(Ledger!$K$2:$K$4, Ledger!$B$2:$B$4, $A1147, Ledger!$C$2:$C$4, U$2)),"****")</f>
        <v/>
      </c>
      <c r="V1147" t="str">
        <f>IFERROR(IF($C1147="","",SUMIFS(Ledger!$K$2:$K$4, Ledger!$B$2:$B$4, $A1147, Ledger!$C$2:$C$4, V$2)),"****")</f>
        <v/>
      </c>
      <c r="W1147" t="str">
        <f>IFERROR(IF($C1147="","",SUMIFS(Ledger!$K$2:$K$4, Ledger!$B$2:$B$4, $A1147, Ledger!$C$2:$C$4, W$2)),"****")</f>
        <v/>
      </c>
      <c r="X1147" t="str">
        <f>IFERROR(IF($C1147="","",SUMIFS(Ledger!$K$2:$K$4, Ledger!$B$2:$B$4, $A1147, Ledger!$C$2:$C$4, X$2)),"****")</f>
        <v/>
      </c>
    </row>
    <row r="1148" spans="1:24" x14ac:dyDescent="0.3">
      <c r="A1148" s="106">
        <v>1146</v>
      </c>
      <c r="B1148" t="str">
        <f>IFERROR(VLOOKUP($A1148, Ledger!$B$2:$L$8, 3, 0),"")</f>
        <v/>
      </c>
      <c r="C1148" t="str">
        <f>IFERROR(VLOOKUP($A1148, Ledger!$B$2:$L$8, 4, 0),"")</f>
        <v/>
      </c>
      <c r="D1148" t="str">
        <f>IFERROR(VLOOKUP($A1148, Ledger!$B$2:$L$8, 5, 0),"")</f>
        <v/>
      </c>
      <c r="E1148" t="str">
        <f>IFERROR(VLOOKUP($A1148, Ledger!$B$2:$L$8, 6, 0),"")</f>
        <v/>
      </c>
      <c r="F1148" t="str">
        <f>IFERROR(VLOOKUP($A1148,'Student Data'!$A$2:$AR$6,32,0),"")</f>
        <v/>
      </c>
      <c r="G1148" t="str">
        <f>IFERROR(VLOOKUP($A1148,'Student Data'!$A$2:$AR$6,33,0),"")</f>
        <v/>
      </c>
      <c r="H1148" t="str">
        <f>IFERROR(VLOOKUP($A1148,'Student Data'!$A$2:$AR$6,34,0),"")</f>
        <v/>
      </c>
      <c r="I1148" t="str">
        <f>IFERROR(VLOOKUP($A1148,'Student Data'!$A$2:$AR$6,35,0),"")</f>
        <v/>
      </c>
      <c r="J1148" t="str">
        <f>IFERROR(VLOOKUP($A1148,'Student Data'!$A$2:$AR$6,36,0),"")</f>
        <v/>
      </c>
      <c r="K1148" t="str">
        <f t="shared" si="34"/>
        <v/>
      </c>
      <c r="L1148" t="str">
        <f t="shared" si="35"/>
        <v/>
      </c>
      <c r="M1148" t="str">
        <f>IFERROR(IF($C1148="","",SUMIFS(Ledger!$K$2:$K$4, Ledger!$B$2:$B$4, $A1148, Ledger!$C$2:$C$4, M$2)),"****")</f>
        <v/>
      </c>
      <c r="N1148" t="str">
        <f>IFERROR(IF($C1148="","",SUMIFS(Ledger!$K$2:$K$4, Ledger!$B$2:$B$4, $A1148, Ledger!$C$2:$C$4, N$2)),"****")</f>
        <v/>
      </c>
      <c r="O1148" t="str">
        <f>IFERROR(IF($C1148="","",SUMIFS(Ledger!$K$2:$K$4, Ledger!$B$2:$B$4, $A1148, Ledger!$C$2:$C$4, O$2)),"****")</f>
        <v/>
      </c>
      <c r="P1148" t="str">
        <f>IFERROR(IF($C1148="","",SUMIFS(Ledger!$K$2:$K$4, Ledger!$B$2:$B$4, $A1148, Ledger!$C$2:$C$4, P$2)),"****")</f>
        <v/>
      </c>
      <c r="Q1148" t="str">
        <f>IFERROR(IF($C1148="","",SUMIFS(Ledger!$K$2:$K$4, Ledger!$B$2:$B$4, $A1148, Ledger!$C$2:$C$4, Q$2)),"****")</f>
        <v/>
      </c>
      <c r="R1148" t="str">
        <f>IFERROR(IF($C1148="","",SUMIFS(Ledger!$K$2:$K$4, Ledger!$B$2:$B$4, $A1148, Ledger!$C$2:$C$4, R$2)),"****")</f>
        <v/>
      </c>
      <c r="S1148" t="str">
        <f>IFERROR(IF($C1148="","",SUMIFS(Ledger!$K$2:$K$4, Ledger!$B$2:$B$4, $A1148, Ledger!$C$2:$C$4, S$2)),"****")</f>
        <v/>
      </c>
      <c r="T1148" t="str">
        <f>IFERROR(IF($C1148="","",SUMIFS(Ledger!$K$2:$K$4, Ledger!$B$2:$B$4, $A1148, Ledger!$C$2:$C$4, T$2)),"****")</f>
        <v/>
      </c>
      <c r="U1148" t="str">
        <f>IFERROR(IF($C1148="","",SUMIFS(Ledger!$K$2:$K$4, Ledger!$B$2:$B$4, $A1148, Ledger!$C$2:$C$4, U$2)),"****")</f>
        <v/>
      </c>
      <c r="V1148" t="str">
        <f>IFERROR(IF($C1148="","",SUMIFS(Ledger!$K$2:$K$4, Ledger!$B$2:$B$4, $A1148, Ledger!$C$2:$C$4, V$2)),"****")</f>
        <v/>
      </c>
      <c r="W1148" t="str">
        <f>IFERROR(IF($C1148="","",SUMIFS(Ledger!$K$2:$K$4, Ledger!$B$2:$B$4, $A1148, Ledger!$C$2:$C$4, W$2)),"****")</f>
        <v/>
      </c>
      <c r="X1148" t="str">
        <f>IFERROR(IF($C1148="","",SUMIFS(Ledger!$K$2:$K$4, Ledger!$B$2:$B$4, $A1148, Ledger!$C$2:$C$4, X$2)),"****")</f>
        <v/>
      </c>
    </row>
    <row r="1149" spans="1:24" x14ac:dyDescent="0.3">
      <c r="A1149" s="106">
        <v>1147</v>
      </c>
      <c r="B1149" t="str">
        <f>IFERROR(VLOOKUP($A1149, Ledger!$B$2:$L$8, 3, 0),"")</f>
        <v/>
      </c>
      <c r="C1149" t="str">
        <f>IFERROR(VLOOKUP($A1149, Ledger!$B$2:$L$8, 4, 0),"")</f>
        <v/>
      </c>
      <c r="D1149" t="str">
        <f>IFERROR(VLOOKUP($A1149, Ledger!$B$2:$L$8, 5, 0),"")</f>
        <v/>
      </c>
      <c r="E1149" t="str">
        <f>IFERROR(VLOOKUP($A1149, Ledger!$B$2:$L$8, 6, 0),"")</f>
        <v/>
      </c>
      <c r="F1149" t="str">
        <f>IFERROR(VLOOKUP($A1149,'Student Data'!$A$2:$AR$6,32,0),"")</f>
        <v/>
      </c>
      <c r="G1149" t="str">
        <f>IFERROR(VLOOKUP($A1149,'Student Data'!$A$2:$AR$6,33,0),"")</f>
        <v/>
      </c>
      <c r="H1149" t="str">
        <f>IFERROR(VLOOKUP($A1149,'Student Data'!$A$2:$AR$6,34,0),"")</f>
        <v/>
      </c>
      <c r="I1149" t="str">
        <f>IFERROR(VLOOKUP($A1149,'Student Data'!$A$2:$AR$6,35,0),"")</f>
        <v/>
      </c>
      <c r="J1149" t="str">
        <f>IFERROR(VLOOKUP($A1149,'Student Data'!$A$2:$AR$6,36,0),"")</f>
        <v/>
      </c>
      <c r="K1149" t="str">
        <f t="shared" si="34"/>
        <v/>
      </c>
      <c r="L1149" t="str">
        <f t="shared" si="35"/>
        <v/>
      </c>
      <c r="M1149" t="str">
        <f>IFERROR(IF($C1149="","",SUMIFS(Ledger!$K$2:$K$4, Ledger!$B$2:$B$4, $A1149, Ledger!$C$2:$C$4, M$2)),"****")</f>
        <v/>
      </c>
      <c r="N1149" t="str">
        <f>IFERROR(IF($C1149="","",SUMIFS(Ledger!$K$2:$K$4, Ledger!$B$2:$B$4, $A1149, Ledger!$C$2:$C$4, N$2)),"****")</f>
        <v/>
      </c>
      <c r="O1149" t="str">
        <f>IFERROR(IF($C1149="","",SUMIFS(Ledger!$K$2:$K$4, Ledger!$B$2:$B$4, $A1149, Ledger!$C$2:$C$4, O$2)),"****")</f>
        <v/>
      </c>
      <c r="P1149" t="str">
        <f>IFERROR(IF($C1149="","",SUMIFS(Ledger!$K$2:$K$4, Ledger!$B$2:$B$4, $A1149, Ledger!$C$2:$C$4, P$2)),"****")</f>
        <v/>
      </c>
      <c r="Q1149" t="str">
        <f>IFERROR(IF($C1149="","",SUMIFS(Ledger!$K$2:$K$4, Ledger!$B$2:$B$4, $A1149, Ledger!$C$2:$C$4, Q$2)),"****")</f>
        <v/>
      </c>
      <c r="R1149" t="str">
        <f>IFERROR(IF($C1149="","",SUMIFS(Ledger!$K$2:$K$4, Ledger!$B$2:$B$4, $A1149, Ledger!$C$2:$C$4, R$2)),"****")</f>
        <v/>
      </c>
      <c r="S1149" t="str">
        <f>IFERROR(IF($C1149="","",SUMIFS(Ledger!$K$2:$K$4, Ledger!$B$2:$B$4, $A1149, Ledger!$C$2:$C$4, S$2)),"****")</f>
        <v/>
      </c>
      <c r="T1149" t="str">
        <f>IFERROR(IF($C1149="","",SUMIFS(Ledger!$K$2:$K$4, Ledger!$B$2:$B$4, $A1149, Ledger!$C$2:$C$4, T$2)),"****")</f>
        <v/>
      </c>
      <c r="U1149" t="str">
        <f>IFERROR(IF($C1149="","",SUMIFS(Ledger!$K$2:$K$4, Ledger!$B$2:$B$4, $A1149, Ledger!$C$2:$C$4, U$2)),"****")</f>
        <v/>
      </c>
      <c r="V1149" t="str">
        <f>IFERROR(IF($C1149="","",SUMIFS(Ledger!$K$2:$K$4, Ledger!$B$2:$B$4, $A1149, Ledger!$C$2:$C$4, V$2)),"****")</f>
        <v/>
      </c>
      <c r="W1149" t="str">
        <f>IFERROR(IF($C1149="","",SUMIFS(Ledger!$K$2:$K$4, Ledger!$B$2:$B$4, $A1149, Ledger!$C$2:$C$4, W$2)),"****")</f>
        <v/>
      </c>
      <c r="X1149" t="str">
        <f>IFERROR(IF($C1149="","",SUMIFS(Ledger!$K$2:$K$4, Ledger!$B$2:$B$4, $A1149, Ledger!$C$2:$C$4, X$2)),"****")</f>
        <v/>
      </c>
    </row>
    <row r="1150" spans="1:24" x14ac:dyDescent="0.3">
      <c r="A1150" s="106">
        <v>1148</v>
      </c>
      <c r="B1150" t="str">
        <f>IFERROR(VLOOKUP($A1150, Ledger!$B$2:$L$8, 3, 0),"")</f>
        <v/>
      </c>
      <c r="C1150" t="str">
        <f>IFERROR(VLOOKUP($A1150, Ledger!$B$2:$L$8, 4, 0),"")</f>
        <v/>
      </c>
      <c r="D1150" t="str">
        <f>IFERROR(VLOOKUP($A1150, Ledger!$B$2:$L$8, 5, 0),"")</f>
        <v/>
      </c>
      <c r="E1150" t="str">
        <f>IFERROR(VLOOKUP($A1150, Ledger!$B$2:$L$8, 6, 0),"")</f>
        <v/>
      </c>
      <c r="F1150" t="str">
        <f>IFERROR(VLOOKUP($A1150,'Student Data'!$A$2:$AR$6,32,0),"")</f>
        <v/>
      </c>
      <c r="G1150" t="str">
        <f>IFERROR(VLOOKUP($A1150,'Student Data'!$A$2:$AR$6,33,0),"")</f>
        <v/>
      </c>
      <c r="H1150" t="str">
        <f>IFERROR(VLOOKUP($A1150,'Student Data'!$A$2:$AR$6,34,0),"")</f>
        <v/>
      </c>
      <c r="I1150" t="str">
        <f>IFERROR(VLOOKUP($A1150,'Student Data'!$A$2:$AR$6,35,0),"")</f>
        <v/>
      </c>
      <c r="J1150" t="str">
        <f>IFERROR(VLOOKUP($A1150,'Student Data'!$A$2:$AR$6,36,0),"")</f>
        <v/>
      </c>
      <c r="K1150" t="str">
        <f t="shared" si="34"/>
        <v/>
      </c>
      <c r="L1150" t="str">
        <f t="shared" si="35"/>
        <v/>
      </c>
      <c r="M1150" t="str">
        <f>IFERROR(IF($C1150="","",SUMIFS(Ledger!$K$2:$K$4, Ledger!$B$2:$B$4, $A1150, Ledger!$C$2:$C$4, M$2)),"****")</f>
        <v/>
      </c>
      <c r="N1150" t="str">
        <f>IFERROR(IF($C1150="","",SUMIFS(Ledger!$K$2:$K$4, Ledger!$B$2:$B$4, $A1150, Ledger!$C$2:$C$4, N$2)),"****")</f>
        <v/>
      </c>
      <c r="O1150" t="str">
        <f>IFERROR(IF($C1150="","",SUMIFS(Ledger!$K$2:$K$4, Ledger!$B$2:$B$4, $A1150, Ledger!$C$2:$C$4, O$2)),"****")</f>
        <v/>
      </c>
      <c r="P1150" t="str">
        <f>IFERROR(IF($C1150="","",SUMIFS(Ledger!$K$2:$K$4, Ledger!$B$2:$B$4, $A1150, Ledger!$C$2:$C$4, P$2)),"****")</f>
        <v/>
      </c>
      <c r="Q1150" t="str">
        <f>IFERROR(IF($C1150="","",SUMIFS(Ledger!$K$2:$K$4, Ledger!$B$2:$B$4, $A1150, Ledger!$C$2:$C$4, Q$2)),"****")</f>
        <v/>
      </c>
      <c r="R1150" t="str">
        <f>IFERROR(IF($C1150="","",SUMIFS(Ledger!$K$2:$K$4, Ledger!$B$2:$B$4, $A1150, Ledger!$C$2:$C$4, R$2)),"****")</f>
        <v/>
      </c>
      <c r="S1150" t="str">
        <f>IFERROR(IF($C1150="","",SUMIFS(Ledger!$K$2:$K$4, Ledger!$B$2:$B$4, $A1150, Ledger!$C$2:$C$4, S$2)),"****")</f>
        <v/>
      </c>
      <c r="T1150" t="str">
        <f>IFERROR(IF($C1150="","",SUMIFS(Ledger!$K$2:$K$4, Ledger!$B$2:$B$4, $A1150, Ledger!$C$2:$C$4, T$2)),"****")</f>
        <v/>
      </c>
      <c r="U1150" t="str">
        <f>IFERROR(IF($C1150="","",SUMIFS(Ledger!$K$2:$K$4, Ledger!$B$2:$B$4, $A1150, Ledger!$C$2:$C$4, U$2)),"****")</f>
        <v/>
      </c>
      <c r="V1150" t="str">
        <f>IFERROR(IF($C1150="","",SUMIFS(Ledger!$K$2:$K$4, Ledger!$B$2:$B$4, $A1150, Ledger!$C$2:$C$4, V$2)),"****")</f>
        <v/>
      </c>
      <c r="W1150" t="str">
        <f>IFERROR(IF($C1150="","",SUMIFS(Ledger!$K$2:$K$4, Ledger!$B$2:$B$4, $A1150, Ledger!$C$2:$C$4, W$2)),"****")</f>
        <v/>
      </c>
      <c r="X1150" t="str">
        <f>IFERROR(IF($C1150="","",SUMIFS(Ledger!$K$2:$K$4, Ledger!$B$2:$B$4, $A1150, Ledger!$C$2:$C$4, X$2)),"****")</f>
        <v/>
      </c>
    </row>
    <row r="1151" spans="1:24" x14ac:dyDescent="0.3">
      <c r="A1151" s="106">
        <v>1149</v>
      </c>
      <c r="B1151" t="str">
        <f>IFERROR(VLOOKUP($A1151, Ledger!$B$2:$L$8, 3, 0),"")</f>
        <v/>
      </c>
      <c r="C1151" t="str">
        <f>IFERROR(VLOOKUP($A1151, Ledger!$B$2:$L$8, 4, 0),"")</f>
        <v/>
      </c>
      <c r="D1151" t="str">
        <f>IFERROR(VLOOKUP($A1151, Ledger!$B$2:$L$8, 5, 0),"")</f>
        <v/>
      </c>
      <c r="E1151" t="str">
        <f>IFERROR(VLOOKUP($A1151, Ledger!$B$2:$L$8, 6, 0),"")</f>
        <v/>
      </c>
      <c r="F1151" t="str">
        <f>IFERROR(VLOOKUP($A1151,'Student Data'!$A$2:$AR$6,32,0),"")</f>
        <v/>
      </c>
      <c r="G1151" t="str">
        <f>IFERROR(VLOOKUP($A1151,'Student Data'!$A$2:$AR$6,33,0),"")</f>
        <v/>
      </c>
      <c r="H1151" t="str">
        <f>IFERROR(VLOOKUP($A1151,'Student Data'!$A$2:$AR$6,34,0),"")</f>
        <v/>
      </c>
      <c r="I1151" t="str">
        <f>IFERROR(VLOOKUP($A1151,'Student Data'!$A$2:$AR$6,35,0),"")</f>
        <v/>
      </c>
      <c r="J1151" t="str">
        <f>IFERROR(VLOOKUP($A1151,'Student Data'!$A$2:$AR$6,36,0),"")</f>
        <v/>
      </c>
      <c r="K1151" t="str">
        <f t="shared" si="34"/>
        <v/>
      </c>
      <c r="L1151" t="str">
        <f t="shared" si="35"/>
        <v/>
      </c>
      <c r="M1151" t="str">
        <f>IFERROR(IF($C1151="","",SUMIFS(Ledger!$K$2:$K$4, Ledger!$B$2:$B$4, $A1151, Ledger!$C$2:$C$4, M$2)),"****")</f>
        <v/>
      </c>
      <c r="N1151" t="str">
        <f>IFERROR(IF($C1151="","",SUMIFS(Ledger!$K$2:$K$4, Ledger!$B$2:$B$4, $A1151, Ledger!$C$2:$C$4, N$2)),"****")</f>
        <v/>
      </c>
      <c r="O1151" t="str">
        <f>IFERROR(IF($C1151="","",SUMIFS(Ledger!$K$2:$K$4, Ledger!$B$2:$B$4, $A1151, Ledger!$C$2:$C$4, O$2)),"****")</f>
        <v/>
      </c>
      <c r="P1151" t="str">
        <f>IFERROR(IF($C1151="","",SUMIFS(Ledger!$K$2:$K$4, Ledger!$B$2:$B$4, $A1151, Ledger!$C$2:$C$4, P$2)),"****")</f>
        <v/>
      </c>
      <c r="Q1151" t="str">
        <f>IFERROR(IF($C1151="","",SUMIFS(Ledger!$K$2:$K$4, Ledger!$B$2:$B$4, $A1151, Ledger!$C$2:$C$4, Q$2)),"****")</f>
        <v/>
      </c>
      <c r="R1151" t="str">
        <f>IFERROR(IF($C1151="","",SUMIFS(Ledger!$K$2:$K$4, Ledger!$B$2:$B$4, $A1151, Ledger!$C$2:$C$4, R$2)),"****")</f>
        <v/>
      </c>
      <c r="S1151" t="str">
        <f>IFERROR(IF($C1151="","",SUMIFS(Ledger!$K$2:$K$4, Ledger!$B$2:$B$4, $A1151, Ledger!$C$2:$C$4, S$2)),"****")</f>
        <v/>
      </c>
      <c r="T1151" t="str">
        <f>IFERROR(IF($C1151="","",SUMIFS(Ledger!$K$2:$K$4, Ledger!$B$2:$B$4, $A1151, Ledger!$C$2:$C$4, T$2)),"****")</f>
        <v/>
      </c>
      <c r="U1151" t="str">
        <f>IFERROR(IF($C1151="","",SUMIFS(Ledger!$K$2:$K$4, Ledger!$B$2:$B$4, $A1151, Ledger!$C$2:$C$4, U$2)),"****")</f>
        <v/>
      </c>
      <c r="V1151" t="str">
        <f>IFERROR(IF($C1151="","",SUMIFS(Ledger!$K$2:$K$4, Ledger!$B$2:$B$4, $A1151, Ledger!$C$2:$C$4, V$2)),"****")</f>
        <v/>
      </c>
      <c r="W1151" t="str">
        <f>IFERROR(IF($C1151="","",SUMIFS(Ledger!$K$2:$K$4, Ledger!$B$2:$B$4, $A1151, Ledger!$C$2:$C$4, W$2)),"****")</f>
        <v/>
      </c>
      <c r="X1151" t="str">
        <f>IFERROR(IF($C1151="","",SUMIFS(Ledger!$K$2:$K$4, Ledger!$B$2:$B$4, $A1151, Ledger!$C$2:$C$4, X$2)),"****")</f>
        <v/>
      </c>
    </row>
    <row r="1152" spans="1:24" x14ac:dyDescent="0.3">
      <c r="A1152" s="106">
        <v>1150</v>
      </c>
      <c r="B1152" t="str">
        <f>IFERROR(VLOOKUP($A1152, Ledger!$B$2:$L$8, 3, 0),"")</f>
        <v/>
      </c>
      <c r="C1152" t="str">
        <f>IFERROR(VLOOKUP($A1152, Ledger!$B$2:$L$8, 4, 0),"")</f>
        <v/>
      </c>
      <c r="D1152" t="str">
        <f>IFERROR(VLOOKUP($A1152, Ledger!$B$2:$L$8, 5, 0),"")</f>
        <v/>
      </c>
      <c r="E1152" t="str">
        <f>IFERROR(VLOOKUP($A1152, Ledger!$B$2:$L$8, 6, 0),"")</f>
        <v/>
      </c>
      <c r="F1152" t="str">
        <f>IFERROR(VLOOKUP($A1152,'Student Data'!$A$2:$AR$6,32,0),"")</f>
        <v/>
      </c>
      <c r="G1152" t="str">
        <f>IFERROR(VLOOKUP($A1152,'Student Data'!$A$2:$AR$6,33,0),"")</f>
        <v/>
      </c>
      <c r="H1152" t="str">
        <f>IFERROR(VLOOKUP($A1152,'Student Data'!$A$2:$AR$6,34,0),"")</f>
        <v/>
      </c>
      <c r="I1152" t="str">
        <f>IFERROR(VLOOKUP($A1152,'Student Data'!$A$2:$AR$6,35,0),"")</f>
        <v/>
      </c>
      <c r="J1152" t="str">
        <f>IFERROR(VLOOKUP($A1152,'Student Data'!$A$2:$AR$6,36,0),"")</f>
        <v/>
      </c>
      <c r="K1152" t="str">
        <f t="shared" si="34"/>
        <v/>
      </c>
      <c r="L1152" t="str">
        <f t="shared" si="35"/>
        <v/>
      </c>
      <c r="M1152" t="str">
        <f>IFERROR(IF($C1152="","",SUMIFS(Ledger!$K$2:$K$4, Ledger!$B$2:$B$4, $A1152, Ledger!$C$2:$C$4, M$2)),"****")</f>
        <v/>
      </c>
      <c r="N1152" t="str">
        <f>IFERROR(IF($C1152="","",SUMIFS(Ledger!$K$2:$K$4, Ledger!$B$2:$B$4, $A1152, Ledger!$C$2:$C$4, N$2)),"****")</f>
        <v/>
      </c>
      <c r="O1152" t="str">
        <f>IFERROR(IF($C1152="","",SUMIFS(Ledger!$K$2:$K$4, Ledger!$B$2:$B$4, $A1152, Ledger!$C$2:$C$4, O$2)),"****")</f>
        <v/>
      </c>
      <c r="P1152" t="str">
        <f>IFERROR(IF($C1152="","",SUMIFS(Ledger!$K$2:$K$4, Ledger!$B$2:$B$4, $A1152, Ledger!$C$2:$C$4, P$2)),"****")</f>
        <v/>
      </c>
      <c r="Q1152" t="str">
        <f>IFERROR(IF($C1152="","",SUMIFS(Ledger!$K$2:$K$4, Ledger!$B$2:$B$4, $A1152, Ledger!$C$2:$C$4, Q$2)),"****")</f>
        <v/>
      </c>
      <c r="R1152" t="str">
        <f>IFERROR(IF($C1152="","",SUMIFS(Ledger!$K$2:$K$4, Ledger!$B$2:$B$4, $A1152, Ledger!$C$2:$C$4, R$2)),"****")</f>
        <v/>
      </c>
      <c r="S1152" t="str">
        <f>IFERROR(IF($C1152="","",SUMIFS(Ledger!$K$2:$K$4, Ledger!$B$2:$B$4, $A1152, Ledger!$C$2:$C$4, S$2)),"****")</f>
        <v/>
      </c>
      <c r="T1152" t="str">
        <f>IFERROR(IF($C1152="","",SUMIFS(Ledger!$K$2:$K$4, Ledger!$B$2:$B$4, $A1152, Ledger!$C$2:$C$4, T$2)),"****")</f>
        <v/>
      </c>
      <c r="U1152" t="str">
        <f>IFERROR(IF($C1152="","",SUMIFS(Ledger!$K$2:$K$4, Ledger!$B$2:$B$4, $A1152, Ledger!$C$2:$C$4, U$2)),"****")</f>
        <v/>
      </c>
      <c r="V1152" t="str">
        <f>IFERROR(IF($C1152="","",SUMIFS(Ledger!$K$2:$K$4, Ledger!$B$2:$B$4, $A1152, Ledger!$C$2:$C$4, V$2)),"****")</f>
        <v/>
      </c>
      <c r="W1152" t="str">
        <f>IFERROR(IF($C1152="","",SUMIFS(Ledger!$K$2:$K$4, Ledger!$B$2:$B$4, $A1152, Ledger!$C$2:$C$4, W$2)),"****")</f>
        <v/>
      </c>
      <c r="X1152" t="str">
        <f>IFERROR(IF($C1152="","",SUMIFS(Ledger!$K$2:$K$4, Ledger!$B$2:$B$4, $A1152, Ledger!$C$2:$C$4, X$2)),"****")</f>
        <v/>
      </c>
    </row>
    <row r="1153" spans="1:24" x14ac:dyDescent="0.3">
      <c r="A1153" s="106">
        <v>1151</v>
      </c>
      <c r="B1153" t="str">
        <f>IFERROR(VLOOKUP($A1153, Ledger!$B$2:$L$8, 3, 0),"")</f>
        <v/>
      </c>
      <c r="C1153" t="str">
        <f>IFERROR(VLOOKUP($A1153, Ledger!$B$2:$L$8, 4, 0),"")</f>
        <v/>
      </c>
      <c r="D1153" t="str">
        <f>IFERROR(VLOOKUP($A1153, Ledger!$B$2:$L$8, 5, 0),"")</f>
        <v/>
      </c>
      <c r="E1153" t="str">
        <f>IFERROR(VLOOKUP($A1153, Ledger!$B$2:$L$8, 6, 0),"")</f>
        <v/>
      </c>
      <c r="F1153" t="str">
        <f>IFERROR(VLOOKUP($A1153,'Student Data'!$A$2:$AR$6,32,0),"")</f>
        <v/>
      </c>
      <c r="G1153" t="str">
        <f>IFERROR(VLOOKUP($A1153,'Student Data'!$A$2:$AR$6,33,0),"")</f>
        <v/>
      </c>
      <c r="H1153" t="str">
        <f>IFERROR(VLOOKUP($A1153,'Student Data'!$A$2:$AR$6,34,0),"")</f>
        <v/>
      </c>
      <c r="I1153" t="str">
        <f>IFERROR(VLOOKUP($A1153,'Student Data'!$A$2:$AR$6,35,0),"")</f>
        <v/>
      </c>
      <c r="J1153" t="str">
        <f>IFERROR(VLOOKUP($A1153,'Student Data'!$A$2:$AR$6,36,0),"")</f>
        <v/>
      </c>
      <c r="K1153" t="str">
        <f t="shared" si="34"/>
        <v/>
      </c>
      <c r="L1153" t="str">
        <f t="shared" si="35"/>
        <v/>
      </c>
      <c r="M1153" t="str">
        <f>IFERROR(IF($C1153="","",SUMIFS(Ledger!$K$2:$K$4, Ledger!$B$2:$B$4, $A1153, Ledger!$C$2:$C$4, M$2)),"****")</f>
        <v/>
      </c>
      <c r="N1153" t="str">
        <f>IFERROR(IF($C1153="","",SUMIFS(Ledger!$K$2:$K$4, Ledger!$B$2:$B$4, $A1153, Ledger!$C$2:$C$4, N$2)),"****")</f>
        <v/>
      </c>
      <c r="O1153" t="str">
        <f>IFERROR(IF($C1153="","",SUMIFS(Ledger!$K$2:$K$4, Ledger!$B$2:$B$4, $A1153, Ledger!$C$2:$C$4, O$2)),"****")</f>
        <v/>
      </c>
      <c r="P1153" t="str">
        <f>IFERROR(IF($C1153="","",SUMIFS(Ledger!$K$2:$K$4, Ledger!$B$2:$B$4, $A1153, Ledger!$C$2:$C$4, P$2)),"****")</f>
        <v/>
      </c>
      <c r="Q1153" t="str">
        <f>IFERROR(IF($C1153="","",SUMIFS(Ledger!$K$2:$K$4, Ledger!$B$2:$B$4, $A1153, Ledger!$C$2:$C$4, Q$2)),"****")</f>
        <v/>
      </c>
      <c r="R1153" t="str">
        <f>IFERROR(IF($C1153="","",SUMIFS(Ledger!$K$2:$K$4, Ledger!$B$2:$B$4, $A1153, Ledger!$C$2:$C$4, R$2)),"****")</f>
        <v/>
      </c>
      <c r="S1153" t="str">
        <f>IFERROR(IF($C1153="","",SUMIFS(Ledger!$K$2:$K$4, Ledger!$B$2:$B$4, $A1153, Ledger!$C$2:$C$4, S$2)),"****")</f>
        <v/>
      </c>
      <c r="T1153" t="str">
        <f>IFERROR(IF($C1153="","",SUMIFS(Ledger!$K$2:$K$4, Ledger!$B$2:$B$4, $A1153, Ledger!$C$2:$C$4, T$2)),"****")</f>
        <v/>
      </c>
      <c r="U1153" t="str">
        <f>IFERROR(IF($C1153="","",SUMIFS(Ledger!$K$2:$K$4, Ledger!$B$2:$B$4, $A1153, Ledger!$C$2:$C$4, U$2)),"****")</f>
        <v/>
      </c>
      <c r="V1153" t="str">
        <f>IFERROR(IF($C1153="","",SUMIFS(Ledger!$K$2:$K$4, Ledger!$B$2:$B$4, $A1153, Ledger!$C$2:$C$4, V$2)),"****")</f>
        <v/>
      </c>
      <c r="W1153" t="str">
        <f>IFERROR(IF($C1153="","",SUMIFS(Ledger!$K$2:$K$4, Ledger!$B$2:$B$4, $A1153, Ledger!$C$2:$C$4, W$2)),"****")</f>
        <v/>
      </c>
      <c r="X1153" t="str">
        <f>IFERROR(IF($C1153="","",SUMIFS(Ledger!$K$2:$K$4, Ledger!$B$2:$B$4, $A1153, Ledger!$C$2:$C$4, X$2)),"****")</f>
        <v/>
      </c>
    </row>
    <row r="1154" spans="1:24" x14ac:dyDescent="0.3">
      <c r="A1154" s="106">
        <v>1152</v>
      </c>
      <c r="B1154" t="str">
        <f>IFERROR(VLOOKUP($A1154, Ledger!$B$2:$L$8, 3, 0),"")</f>
        <v/>
      </c>
      <c r="C1154" t="str">
        <f>IFERROR(VLOOKUP($A1154, Ledger!$B$2:$L$8, 4, 0),"")</f>
        <v/>
      </c>
      <c r="D1154" t="str">
        <f>IFERROR(VLOOKUP($A1154, Ledger!$B$2:$L$8, 5, 0),"")</f>
        <v/>
      </c>
      <c r="E1154" t="str">
        <f>IFERROR(VLOOKUP($A1154, Ledger!$B$2:$L$8, 6, 0),"")</f>
        <v/>
      </c>
      <c r="F1154" t="str">
        <f>IFERROR(VLOOKUP($A1154,'Student Data'!$A$2:$AR$6,32,0),"")</f>
        <v/>
      </c>
      <c r="G1154" t="str">
        <f>IFERROR(VLOOKUP($A1154,'Student Data'!$A$2:$AR$6,33,0),"")</f>
        <v/>
      </c>
      <c r="H1154" t="str">
        <f>IFERROR(VLOOKUP($A1154,'Student Data'!$A$2:$AR$6,34,0),"")</f>
        <v/>
      </c>
      <c r="I1154" t="str">
        <f>IFERROR(VLOOKUP($A1154,'Student Data'!$A$2:$AR$6,35,0),"")</f>
        <v/>
      </c>
      <c r="J1154" t="str">
        <f>IFERROR(VLOOKUP($A1154,'Student Data'!$A$2:$AR$6,36,0),"")</f>
        <v/>
      </c>
      <c r="K1154" t="str">
        <f t="shared" si="34"/>
        <v/>
      </c>
      <c r="L1154" t="str">
        <f t="shared" si="35"/>
        <v/>
      </c>
      <c r="M1154" t="str">
        <f>IFERROR(IF($C1154="","",SUMIFS(Ledger!$K$2:$K$4, Ledger!$B$2:$B$4, $A1154, Ledger!$C$2:$C$4, M$2)),"****")</f>
        <v/>
      </c>
      <c r="N1154" t="str">
        <f>IFERROR(IF($C1154="","",SUMIFS(Ledger!$K$2:$K$4, Ledger!$B$2:$B$4, $A1154, Ledger!$C$2:$C$4, N$2)),"****")</f>
        <v/>
      </c>
      <c r="O1154" t="str">
        <f>IFERROR(IF($C1154="","",SUMIFS(Ledger!$K$2:$K$4, Ledger!$B$2:$B$4, $A1154, Ledger!$C$2:$C$4, O$2)),"****")</f>
        <v/>
      </c>
      <c r="P1154" t="str">
        <f>IFERROR(IF($C1154="","",SUMIFS(Ledger!$K$2:$K$4, Ledger!$B$2:$B$4, $A1154, Ledger!$C$2:$C$4, P$2)),"****")</f>
        <v/>
      </c>
      <c r="Q1154" t="str">
        <f>IFERROR(IF($C1154="","",SUMIFS(Ledger!$K$2:$K$4, Ledger!$B$2:$B$4, $A1154, Ledger!$C$2:$C$4, Q$2)),"****")</f>
        <v/>
      </c>
      <c r="R1154" t="str">
        <f>IFERROR(IF($C1154="","",SUMIFS(Ledger!$K$2:$K$4, Ledger!$B$2:$B$4, $A1154, Ledger!$C$2:$C$4, R$2)),"****")</f>
        <v/>
      </c>
      <c r="S1154" t="str">
        <f>IFERROR(IF($C1154="","",SUMIFS(Ledger!$K$2:$K$4, Ledger!$B$2:$B$4, $A1154, Ledger!$C$2:$C$4, S$2)),"****")</f>
        <v/>
      </c>
      <c r="T1154" t="str">
        <f>IFERROR(IF($C1154="","",SUMIFS(Ledger!$K$2:$K$4, Ledger!$B$2:$B$4, $A1154, Ledger!$C$2:$C$4, T$2)),"****")</f>
        <v/>
      </c>
      <c r="U1154" t="str">
        <f>IFERROR(IF($C1154="","",SUMIFS(Ledger!$K$2:$K$4, Ledger!$B$2:$B$4, $A1154, Ledger!$C$2:$C$4, U$2)),"****")</f>
        <v/>
      </c>
      <c r="V1154" t="str">
        <f>IFERROR(IF($C1154="","",SUMIFS(Ledger!$K$2:$K$4, Ledger!$B$2:$B$4, $A1154, Ledger!$C$2:$C$4, V$2)),"****")</f>
        <v/>
      </c>
      <c r="W1154" t="str">
        <f>IFERROR(IF($C1154="","",SUMIFS(Ledger!$K$2:$K$4, Ledger!$B$2:$B$4, $A1154, Ledger!$C$2:$C$4, W$2)),"****")</f>
        <v/>
      </c>
      <c r="X1154" t="str">
        <f>IFERROR(IF($C1154="","",SUMIFS(Ledger!$K$2:$K$4, Ledger!$B$2:$B$4, $A1154, Ledger!$C$2:$C$4, X$2)),"****")</f>
        <v/>
      </c>
    </row>
    <row r="1155" spans="1:24" x14ac:dyDescent="0.3">
      <c r="A1155" s="106">
        <v>1153</v>
      </c>
      <c r="B1155" t="str">
        <f>IFERROR(VLOOKUP($A1155, Ledger!$B$2:$L$8, 3, 0),"")</f>
        <v/>
      </c>
      <c r="C1155" t="str">
        <f>IFERROR(VLOOKUP($A1155, Ledger!$B$2:$L$8, 4, 0),"")</f>
        <v/>
      </c>
      <c r="D1155" t="str">
        <f>IFERROR(VLOOKUP($A1155, Ledger!$B$2:$L$8, 5, 0),"")</f>
        <v/>
      </c>
      <c r="E1155" t="str">
        <f>IFERROR(VLOOKUP($A1155, Ledger!$B$2:$L$8, 6, 0),"")</f>
        <v/>
      </c>
      <c r="F1155" t="str">
        <f>IFERROR(VLOOKUP($A1155,'Student Data'!$A$2:$AR$6,32,0),"")</f>
        <v/>
      </c>
      <c r="G1155" t="str">
        <f>IFERROR(VLOOKUP($A1155,'Student Data'!$A$2:$AR$6,33,0),"")</f>
        <v/>
      </c>
      <c r="H1155" t="str">
        <f>IFERROR(VLOOKUP($A1155,'Student Data'!$A$2:$AR$6,34,0),"")</f>
        <v/>
      </c>
      <c r="I1155" t="str">
        <f>IFERROR(VLOOKUP($A1155,'Student Data'!$A$2:$AR$6,35,0),"")</f>
        <v/>
      </c>
      <c r="J1155" t="str">
        <f>IFERROR(VLOOKUP($A1155,'Student Data'!$A$2:$AR$6,36,0),"")</f>
        <v/>
      </c>
      <c r="K1155" t="str">
        <f t="shared" si="34"/>
        <v/>
      </c>
      <c r="L1155" t="str">
        <f t="shared" si="35"/>
        <v/>
      </c>
      <c r="M1155" t="str">
        <f>IFERROR(IF($C1155="","",SUMIFS(Ledger!$K$2:$K$4, Ledger!$B$2:$B$4, $A1155, Ledger!$C$2:$C$4, M$2)),"****")</f>
        <v/>
      </c>
      <c r="N1155" t="str">
        <f>IFERROR(IF($C1155="","",SUMIFS(Ledger!$K$2:$K$4, Ledger!$B$2:$B$4, $A1155, Ledger!$C$2:$C$4, N$2)),"****")</f>
        <v/>
      </c>
      <c r="O1155" t="str">
        <f>IFERROR(IF($C1155="","",SUMIFS(Ledger!$K$2:$K$4, Ledger!$B$2:$B$4, $A1155, Ledger!$C$2:$C$4, O$2)),"****")</f>
        <v/>
      </c>
      <c r="P1155" t="str">
        <f>IFERROR(IF($C1155="","",SUMIFS(Ledger!$K$2:$K$4, Ledger!$B$2:$B$4, $A1155, Ledger!$C$2:$C$4, P$2)),"****")</f>
        <v/>
      </c>
      <c r="Q1155" t="str">
        <f>IFERROR(IF($C1155="","",SUMIFS(Ledger!$K$2:$K$4, Ledger!$B$2:$B$4, $A1155, Ledger!$C$2:$C$4, Q$2)),"****")</f>
        <v/>
      </c>
      <c r="R1155" t="str">
        <f>IFERROR(IF($C1155="","",SUMIFS(Ledger!$K$2:$K$4, Ledger!$B$2:$B$4, $A1155, Ledger!$C$2:$C$4, R$2)),"****")</f>
        <v/>
      </c>
      <c r="S1155" t="str">
        <f>IFERROR(IF($C1155="","",SUMIFS(Ledger!$K$2:$K$4, Ledger!$B$2:$B$4, $A1155, Ledger!$C$2:$C$4, S$2)),"****")</f>
        <v/>
      </c>
      <c r="T1155" t="str">
        <f>IFERROR(IF($C1155="","",SUMIFS(Ledger!$K$2:$K$4, Ledger!$B$2:$B$4, $A1155, Ledger!$C$2:$C$4, T$2)),"****")</f>
        <v/>
      </c>
      <c r="U1155" t="str">
        <f>IFERROR(IF($C1155="","",SUMIFS(Ledger!$K$2:$K$4, Ledger!$B$2:$B$4, $A1155, Ledger!$C$2:$C$4, U$2)),"****")</f>
        <v/>
      </c>
      <c r="V1155" t="str">
        <f>IFERROR(IF($C1155="","",SUMIFS(Ledger!$K$2:$K$4, Ledger!$B$2:$B$4, $A1155, Ledger!$C$2:$C$4, V$2)),"****")</f>
        <v/>
      </c>
      <c r="W1155" t="str">
        <f>IFERROR(IF($C1155="","",SUMIFS(Ledger!$K$2:$K$4, Ledger!$B$2:$B$4, $A1155, Ledger!$C$2:$C$4, W$2)),"****")</f>
        <v/>
      </c>
      <c r="X1155" t="str">
        <f>IFERROR(IF($C1155="","",SUMIFS(Ledger!$K$2:$K$4, Ledger!$B$2:$B$4, $A1155, Ledger!$C$2:$C$4, X$2)),"****")</f>
        <v/>
      </c>
    </row>
    <row r="1156" spans="1:24" x14ac:dyDescent="0.3">
      <c r="A1156" s="106">
        <v>1154</v>
      </c>
      <c r="B1156" t="str">
        <f>IFERROR(VLOOKUP($A1156, Ledger!$B$2:$L$8, 3, 0),"")</f>
        <v/>
      </c>
      <c r="C1156" t="str">
        <f>IFERROR(VLOOKUP($A1156, Ledger!$B$2:$L$8, 4, 0),"")</f>
        <v/>
      </c>
      <c r="D1156" t="str">
        <f>IFERROR(VLOOKUP($A1156, Ledger!$B$2:$L$8, 5, 0),"")</f>
        <v/>
      </c>
      <c r="E1156" t="str">
        <f>IFERROR(VLOOKUP($A1156, Ledger!$B$2:$L$8, 6, 0),"")</f>
        <v/>
      </c>
      <c r="F1156" t="str">
        <f>IFERROR(VLOOKUP($A1156,'Student Data'!$A$2:$AR$6,32,0),"")</f>
        <v/>
      </c>
      <c r="G1156" t="str">
        <f>IFERROR(VLOOKUP($A1156,'Student Data'!$A$2:$AR$6,33,0),"")</f>
        <v/>
      </c>
      <c r="H1156" t="str">
        <f>IFERROR(VLOOKUP($A1156,'Student Data'!$A$2:$AR$6,34,0),"")</f>
        <v/>
      </c>
      <c r="I1156" t="str">
        <f>IFERROR(VLOOKUP($A1156,'Student Data'!$A$2:$AR$6,35,0),"")</f>
        <v/>
      </c>
      <c r="J1156" t="str">
        <f>IFERROR(VLOOKUP($A1156,'Student Data'!$A$2:$AR$6,36,0),"")</f>
        <v/>
      </c>
      <c r="K1156" t="str">
        <f t="shared" ref="K1156:K1202" si="36">IFERROR(IF(C1156="","",SUM(M1156:X1156)),"0")</f>
        <v/>
      </c>
      <c r="L1156" t="str">
        <f t="shared" ref="L1156:L1202" si="37">IFERROR(IF(C1156="","",J1156-K1156),"0")</f>
        <v/>
      </c>
      <c r="M1156" t="str">
        <f>IFERROR(IF($C1156="","",SUMIFS(Ledger!$K$2:$K$4, Ledger!$B$2:$B$4, $A1156, Ledger!$C$2:$C$4, M$2)),"****")</f>
        <v/>
      </c>
      <c r="N1156" t="str">
        <f>IFERROR(IF($C1156="","",SUMIFS(Ledger!$K$2:$K$4, Ledger!$B$2:$B$4, $A1156, Ledger!$C$2:$C$4, N$2)),"****")</f>
        <v/>
      </c>
      <c r="O1156" t="str">
        <f>IFERROR(IF($C1156="","",SUMIFS(Ledger!$K$2:$K$4, Ledger!$B$2:$B$4, $A1156, Ledger!$C$2:$C$4, O$2)),"****")</f>
        <v/>
      </c>
      <c r="P1156" t="str">
        <f>IFERROR(IF($C1156="","",SUMIFS(Ledger!$K$2:$K$4, Ledger!$B$2:$B$4, $A1156, Ledger!$C$2:$C$4, P$2)),"****")</f>
        <v/>
      </c>
      <c r="Q1156" t="str">
        <f>IFERROR(IF($C1156="","",SUMIFS(Ledger!$K$2:$K$4, Ledger!$B$2:$B$4, $A1156, Ledger!$C$2:$C$4, Q$2)),"****")</f>
        <v/>
      </c>
      <c r="R1156" t="str">
        <f>IFERROR(IF($C1156="","",SUMIFS(Ledger!$K$2:$K$4, Ledger!$B$2:$B$4, $A1156, Ledger!$C$2:$C$4, R$2)),"****")</f>
        <v/>
      </c>
      <c r="S1156" t="str">
        <f>IFERROR(IF($C1156="","",SUMIFS(Ledger!$K$2:$K$4, Ledger!$B$2:$B$4, $A1156, Ledger!$C$2:$C$4, S$2)),"****")</f>
        <v/>
      </c>
      <c r="T1156" t="str">
        <f>IFERROR(IF($C1156="","",SUMIFS(Ledger!$K$2:$K$4, Ledger!$B$2:$B$4, $A1156, Ledger!$C$2:$C$4, T$2)),"****")</f>
        <v/>
      </c>
      <c r="U1156" t="str">
        <f>IFERROR(IF($C1156="","",SUMIFS(Ledger!$K$2:$K$4, Ledger!$B$2:$B$4, $A1156, Ledger!$C$2:$C$4, U$2)),"****")</f>
        <v/>
      </c>
      <c r="V1156" t="str">
        <f>IFERROR(IF($C1156="","",SUMIFS(Ledger!$K$2:$K$4, Ledger!$B$2:$B$4, $A1156, Ledger!$C$2:$C$4, V$2)),"****")</f>
        <v/>
      </c>
      <c r="W1156" t="str">
        <f>IFERROR(IF($C1156="","",SUMIFS(Ledger!$K$2:$K$4, Ledger!$B$2:$B$4, $A1156, Ledger!$C$2:$C$4, W$2)),"****")</f>
        <v/>
      </c>
      <c r="X1156" t="str">
        <f>IFERROR(IF($C1156="","",SUMIFS(Ledger!$K$2:$K$4, Ledger!$B$2:$B$4, $A1156, Ledger!$C$2:$C$4, X$2)),"****")</f>
        <v/>
      </c>
    </row>
    <row r="1157" spans="1:24" x14ac:dyDescent="0.3">
      <c r="A1157" s="106">
        <v>1155</v>
      </c>
      <c r="B1157" t="str">
        <f>IFERROR(VLOOKUP($A1157, Ledger!$B$2:$L$8, 3, 0),"")</f>
        <v/>
      </c>
      <c r="C1157" t="str">
        <f>IFERROR(VLOOKUP($A1157, Ledger!$B$2:$L$8, 4, 0),"")</f>
        <v/>
      </c>
      <c r="D1157" t="str">
        <f>IFERROR(VLOOKUP($A1157, Ledger!$B$2:$L$8, 5, 0),"")</f>
        <v/>
      </c>
      <c r="E1157" t="str">
        <f>IFERROR(VLOOKUP($A1157, Ledger!$B$2:$L$8, 6, 0),"")</f>
        <v/>
      </c>
      <c r="F1157" t="str">
        <f>IFERROR(VLOOKUP($A1157,'Student Data'!$A$2:$AR$6,32,0),"")</f>
        <v/>
      </c>
      <c r="G1157" t="str">
        <f>IFERROR(VLOOKUP($A1157,'Student Data'!$A$2:$AR$6,33,0),"")</f>
        <v/>
      </c>
      <c r="H1157" t="str">
        <f>IFERROR(VLOOKUP($A1157,'Student Data'!$A$2:$AR$6,34,0),"")</f>
        <v/>
      </c>
      <c r="I1157" t="str">
        <f>IFERROR(VLOOKUP($A1157,'Student Data'!$A$2:$AR$6,35,0),"")</f>
        <v/>
      </c>
      <c r="J1157" t="str">
        <f>IFERROR(VLOOKUP($A1157,'Student Data'!$A$2:$AR$6,36,0),"")</f>
        <v/>
      </c>
      <c r="K1157" t="str">
        <f t="shared" si="36"/>
        <v/>
      </c>
      <c r="L1157" t="str">
        <f t="shared" si="37"/>
        <v/>
      </c>
      <c r="M1157" t="str">
        <f>IFERROR(IF($C1157="","",SUMIFS(Ledger!$K$2:$K$4, Ledger!$B$2:$B$4, $A1157, Ledger!$C$2:$C$4, M$2)),"****")</f>
        <v/>
      </c>
      <c r="N1157" t="str">
        <f>IFERROR(IF($C1157="","",SUMIFS(Ledger!$K$2:$K$4, Ledger!$B$2:$B$4, $A1157, Ledger!$C$2:$C$4, N$2)),"****")</f>
        <v/>
      </c>
      <c r="O1157" t="str">
        <f>IFERROR(IF($C1157="","",SUMIFS(Ledger!$K$2:$K$4, Ledger!$B$2:$B$4, $A1157, Ledger!$C$2:$C$4, O$2)),"****")</f>
        <v/>
      </c>
      <c r="P1157" t="str">
        <f>IFERROR(IF($C1157="","",SUMIFS(Ledger!$K$2:$K$4, Ledger!$B$2:$B$4, $A1157, Ledger!$C$2:$C$4, P$2)),"****")</f>
        <v/>
      </c>
      <c r="Q1157" t="str">
        <f>IFERROR(IF($C1157="","",SUMIFS(Ledger!$K$2:$K$4, Ledger!$B$2:$B$4, $A1157, Ledger!$C$2:$C$4, Q$2)),"****")</f>
        <v/>
      </c>
      <c r="R1157" t="str">
        <f>IFERROR(IF($C1157="","",SUMIFS(Ledger!$K$2:$K$4, Ledger!$B$2:$B$4, $A1157, Ledger!$C$2:$C$4, R$2)),"****")</f>
        <v/>
      </c>
      <c r="S1157" t="str">
        <f>IFERROR(IF($C1157="","",SUMIFS(Ledger!$K$2:$K$4, Ledger!$B$2:$B$4, $A1157, Ledger!$C$2:$C$4, S$2)),"****")</f>
        <v/>
      </c>
      <c r="T1157" t="str">
        <f>IFERROR(IF($C1157="","",SUMIFS(Ledger!$K$2:$K$4, Ledger!$B$2:$B$4, $A1157, Ledger!$C$2:$C$4, T$2)),"****")</f>
        <v/>
      </c>
      <c r="U1157" t="str">
        <f>IFERROR(IF($C1157="","",SUMIFS(Ledger!$K$2:$K$4, Ledger!$B$2:$B$4, $A1157, Ledger!$C$2:$C$4, U$2)),"****")</f>
        <v/>
      </c>
      <c r="V1157" t="str">
        <f>IFERROR(IF($C1157="","",SUMIFS(Ledger!$K$2:$K$4, Ledger!$B$2:$B$4, $A1157, Ledger!$C$2:$C$4, V$2)),"****")</f>
        <v/>
      </c>
      <c r="W1157" t="str">
        <f>IFERROR(IF($C1157="","",SUMIFS(Ledger!$K$2:$K$4, Ledger!$B$2:$B$4, $A1157, Ledger!$C$2:$C$4, W$2)),"****")</f>
        <v/>
      </c>
      <c r="X1157" t="str">
        <f>IFERROR(IF($C1157="","",SUMIFS(Ledger!$K$2:$K$4, Ledger!$B$2:$B$4, $A1157, Ledger!$C$2:$C$4, X$2)),"****")</f>
        <v/>
      </c>
    </row>
    <row r="1158" spans="1:24" x14ac:dyDescent="0.3">
      <c r="A1158" s="106">
        <v>1156</v>
      </c>
      <c r="B1158" t="str">
        <f>IFERROR(VLOOKUP($A1158, Ledger!$B$2:$L$8, 3, 0),"")</f>
        <v/>
      </c>
      <c r="C1158" t="str">
        <f>IFERROR(VLOOKUP($A1158, Ledger!$B$2:$L$8, 4, 0),"")</f>
        <v/>
      </c>
      <c r="D1158" t="str">
        <f>IFERROR(VLOOKUP($A1158, Ledger!$B$2:$L$8, 5, 0),"")</f>
        <v/>
      </c>
      <c r="E1158" t="str">
        <f>IFERROR(VLOOKUP($A1158, Ledger!$B$2:$L$8, 6, 0),"")</f>
        <v/>
      </c>
      <c r="F1158" t="str">
        <f>IFERROR(VLOOKUP($A1158,'Student Data'!$A$2:$AR$6,32,0),"")</f>
        <v/>
      </c>
      <c r="G1158" t="str">
        <f>IFERROR(VLOOKUP($A1158,'Student Data'!$A$2:$AR$6,33,0),"")</f>
        <v/>
      </c>
      <c r="H1158" t="str">
        <f>IFERROR(VLOOKUP($A1158,'Student Data'!$A$2:$AR$6,34,0),"")</f>
        <v/>
      </c>
      <c r="I1158" t="str">
        <f>IFERROR(VLOOKUP($A1158,'Student Data'!$A$2:$AR$6,35,0),"")</f>
        <v/>
      </c>
      <c r="J1158" t="str">
        <f>IFERROR(VLOOKUP($A1158,'Student Data'!$A$2:$AR$6,36,0),"")</f>
        <v/>
      </c>
      <c r="K1158" t="str">
        <f t="shared" si="36"/>
        <v/>
      </c>
      <c r="L1158" t="str">
        <f t="shared" si="37"/>
        <v/>
      </c>
      <c r="M1158" t="str">
        <f>IFERROR(IF($C1158="","",SUMIFS(Ledger!$K$2:$K$4, Ledger!$B$2:$B$4, $A1158, Ledger!$C$2:$C$4, M$2)),"****")</f>
        <v/>
      </c>
      <c r="N1158" t="str">
        <f>IFERROR(IF($C1158="","",SUMIFS(Ledger!$K$2:$K$4, Ledger!$B$2:$B$4, $A1158, Ledger!$C$2:$C$4, N$2)),"****")</f>
        <v/>
      </c>
      <c r="O1158" t="str">
        <f>IFERROR(IF($C1158="","",SUMIFS(Ledger!$K$2:$K$4, Ledger!$B$2:$B$4, $A1158, Ledger!$C$2:$C$4, O$2)),"****")</f>
        <v/>
      </c>
      <c r="P1158" t="str">
        <f>IFERROR(IF($C1158="","",SUMIFS(Ledger!$K$2:$K$4, Ledger!$B$2:$B$4, $A1158, Ledger!$C$2:$C$4, P$2)),"****")</f>
        <v/>
      </c>
      <c r="Q1158" t="str">
        <f>IFERROR(IF($C1158="","",SUMIFS(Ledger!$K$2:$K$4, Ledger!$B$2:$B$4, $A1158, Ledger!$C$2:$C$4, Q$2)),"****")</f>
        <v/>
      </c>
      <c r="R1158" t="str">
        <f>IFERROR(IF($C1158="","",SUMIFS(Ledger!$K$2:$K$4, Ledger!$B$2:$B$4, $A1158, Ledger!$C$2:$C$4, R$2)),"****")</f>
        <v/>
      </c>
      <c r="S1158" t="str">
        <f>IFERROR(IF($C1158="","",SUMIFS(Ledger!$K$2:$K$4, Ledger!$B$2:$B$4, $A1158, Ledger!$C$2:$C$4, S$2)),"****")</f>
        <v/>
      </c>
      <c r="T1158" t="str">
        <f>IFERROR(IF($C1158="","",SUMIFS(Ledger!$K$2:$K$4, Ledger!$B$2:$B$4, $A1158, Ledger!$C$2:$C$4, T$2)),"****")</f>
        <v/>
      </c>
      <c r="U1158" t="str">
        <f>IFERROR(IF($C1158="","",SUMIFS(Ledger!$K$2:$K$4, Ledger!$B$2:$B$4, $A1158, Ledger!$C$2:$C$4, U$2)),"****")</f>
        <v/>
      </c>
      <c r="V1158" t="str">
        <f>IFERROR(IF($C1158="","",SUMIFS(Ledger!$K$2:$K$4, Ledger!$B$2:$B$4, $A1158, Ledger!$C$2:$C$4, V$2)),"****")</f>
        <v/>
      </c>
      <c r="W1158" t="str">
        <f>IFERROR(IF($C1158="","",SUMIFS(Ledger!$K$2:$K$4, Ledger!$B$2:$B$4, $A1158, Ledger!$C$2:$C$4, W$2)),"****")</f>
        <v/>
      </c>
      <c r="X1158" t="str">
        <f>IFERROR(IF($C1158="","",SUMIFS(Ledger!$K$2:$K$4, Ledger!$B$2:$B$4, $A1158, Ledger!$C$2:$C$4, X$2)),"****")</f>
        <v/>
      </c>
    </row>
    <row r="1159" spans="1:24" x14ac:dyDescent="0.3">
      <c r="A1159" s="106">
        <v>1157</v>
      </c>
      <c r="B1159" t="str">
        <f>IFERROR(VLOOKUP($A1159, Ledger!$B$2:$L$8, 3, 0),"")</f>
        <v/>
      </c>
      <c r="C1159" t="str">
        <f>IFERROR(VLOOKUP($A1159, Ledger!$B$2:$L$8, 4, 0),"")</f>
        <v/>
      </c>
      <c r="D1159" t="str">
        <f>IFERROR(VLOOKUP($A1159, Ledger!$B$2:$L$8, 5, 0),"")</f>
        <v/>
      </c>
      <c r="E1159" t="str">
        <f>IFERROR(VLOOKUP($A1159, Ledger!$B$2:$L$8, 6, 0),"")</f>
        <v/>
      </c>
      <c r="F1159" t="str">
        <f>IFERROR(VLOOKUP($A1159,'Student Data'!$A$2:$AR$6,32,0),"")</f>
        <v/>
      </c>
      <c r="G1159" t="str">
        <f>IFERROR(VLOOKUP($A1159,'Student Data'!$A$2:$AR$6,33,0),"")</f>
        <v/>
      </c>
      <c r="H1159" t="str">
        <f>IFERROR(VLOOKUP($A1159,'Student Data'!$A$2:$AR$6,34,0),"")</f>
        <v/>
      </c>
      <c r="I1159" t="str">
        <f>IFERROR(VLOOKUP($A1159,'Student Data'!$A$2:$AR$6,35,0),"")</f>
        <v/>
      </c>
      <c r="J1159" t="str">
        <f>IFERROR(VLOOKUP($A1159,'Student Data'!$A$2:$AR$6,36,0),"")</f>
        <v/>
      </c>
      <c r="K1159" t="str">
        <f t="shared" si="36"/>
        <v/>
      </c>
      <c r="L1159" t="str">
        <f t="shared" si="37"/>
        <v/>
      </c>
      <c r="M1159" t="str">
        <f>IFERROR(IF($C1159="","",SUMIFS(Ledger!$K$2:$K$4, Ledger!$B$2:$B$4, $A1159, Ledger!$C$2:$C$4, M$2)),"****")</f>
        <v/>
      </c>
      <c r="N1159" t="str">
        <f>IFERROR(IF($C1159="","",SUMIFS(Ledger!$K$2:$K$4, Ledger!$B$2:$B$4, $A1159, Ledger!$C$2:$C$4, N$2)),"****")</f>
        <v/>
      </c>
      <c r="O1159" t="str">
        <f>IFERROR(IF($C1159="","",SUMIFS(Ledger!$K$2:$K$4, Ledger!$B$2:$B$4, $A1159, Ledger!$C$2:$C$4, O$2)),"****")</f>
        <v/>
      </c>
      <c r="P1159" t="str">
        <f>IFERROR(IF($C1159="","",SUMIFS(Ledger!$K$2:$K$4, Ledger!$B$2:$B$4, $A1159, Ledger!$C$2:$C$4, P$2)),"****")</f>
        <v/>
      </c>
      <c r="Q1159" t="str">
        <f>IFERROR(IF($C1159="","",SUMIFS(Ledger!$K$2:$K$4, Ledger!$B$2:$B$4, $A1159, Ledger!$C$2:$C$4, Q$2)),"****")</f>
        <v/>
      </c>
      <c r="R1159" t="str">
        <f>IFERROR(IF($C1159="","",SUMIFS(Ledger!$K$2:$K$4, Ledger!$B$2:$B$4, $A1159, Ledger!$C$2:$C$4, R$2)),"****")</f>
        <v/>
      </c>
      <c r="S1159" t="str">
        <f>IFERROR(IF($C1159="","",SUMIFS(Ledger!$K$2:$K$4, Ledger!$B$2:$B$4, $A1159, Ledger!$C$2:$C$4, S$2)),"****")</f>
        <v/>
      </c>
      <c r="T1159" t="str">
        <f>IFERROR(IF($C1159="","",SUMIFS(Ledger!$K$2:$K$4, Ledger!$B$2:$B$4, $A1159, Ledger!$C$2:$C$4, T$2)),"****")</f>
        <v/>
      </c>
      <c r="U1159" t="str">
        <f>IFERROR(IF($C1159="","",SUMIFS(Ledger!$K$2:$K$4, Ledger!$B$2:$B$4, $A1159, Ledger!$C$2:$C$4, U$2)),"****")</f>
        <v/>
      </c>
      <c r="V1159" t="str">
        <f>IFERROR(IF($C1159="","",SUMIFS(Ledger!$K$2:$K$4, Ledger!$B$2:$B$4, $A1159, Ledger!$C$2:$C$4, V$2)),"****")</f>
        <v/>
      </c>
      <c r="W1159" t="str">
        <f>IFERROR(IF($C1159="","",SUMIFS(Ledger!$K$2:$K$4, Ledger!$B$2:$B$4, $A1159, Ledger!$C$2:$C$4, W$2)),"****")</f>
        <v/>
      </c>
      <c r="X1159" t="str">
        <f>IFERROR(IF($C1159="","",SUMIFS(Ledger!$K$2:$K$4, Ledger!$B$2:$B$4, $A1159, Ledger!$C$2:$C$4, X$2)),"****")</f>
        <v/>
      </c>
    </row>
    <row r="1160" spans="1:24" x14ac:dyDescent="0.3">
      <c r="A1160" s="106">
        <v>1158</v>
      </c>
      <c r="B1160" t="str">
        <f>IFERROR(VLOOKUP($A1160, Ledger!$B$2:$L$8, 3, 0),"")</f>
        <v/>
      </c>
      <c r="C1160" t="str">
        <f>IFERROR(VLOOKUP($A1160, Ledger!$B$2:$L$8, 4, 0),"")</f>
        <v/>
      </c>
      <c r="D1160" t="str">
        <f>IFERROR(VLOOKUP($A1160, Ledger!$B$2:$L$8, 5, 0),"")</f>
        <v/>
      </c>
      <c r="E1160" t="str">
        <f>IFERROR(VLOOKUP($A1160, Ledger!$B$2:$L$8, 6, 0),"")</f>
        <v/>
      </c>
      <c r="F1160" t="str">
        <f>IFERROR(VLOOKUP($A1160,'Student Data'!$A$2:$AR$6,32,0),"")</f>
        <v/>
      </c>
      <c r="G1160" t="str">
        <f>IFERROR(VLOOKUP($A1160,'Student Data'!$A$2:$AR$6,33,0),"")</f>
        <v/>
      </c>
      <c r="H1160" t="str">
        <f>IFERROR(VLOOKUP($A1160,'Student Data'!$A$2:$AR$6,34,0),"")</f>
        <v/>
      </c>
      <c r="I1160" t="str">
        <f>IFERROR(VLOOKUP($A1160,'Student Data'!$A$2:$AR$6,35,0),"")</f>
        <v/>
      </c>
      <c r="J1160" t="str">
        <f>IFERROR(VLOOKUP($A1160,'Student Data'!$A$2:$AR$6,36,0),"")</f>
        <v/>
      </c>
      <c r="K1160" t="str">
        <f t="shared" si="36"/>
        <v/>
      </c>
      <c r="L1160" t="str">
        <f t="shared" si="37"/>
        <v/>
      </c>
      <c r="M1160" t="str">
        <f>IFERROR(IF($C1160="","",SUMIFS(Ledger!$K$2:$K$4, Ledger!$B$2:$B$4, $A1160, Ledger!$C$2:$C$4, M$2)),"****")</f>
        <v/>
      </c>
      <c r="N1160" t="str">
        <f>IFERROR(IF($C1160="","",SUMIFS(Ledger!$K$2:$K$4, Ledger!$B$2:$B$4, $A1160, Ledger!$C$2:$C$4, N$2)),"****")</f>
        <v/>
      </c>
      <c r="O1160" t="str">
        <f>IFERROR(IF($C1160="","",SUMIFS(Ledger!$K$2:$K$4, Ledger!$B$2:$B$4, $A1160, Ledger!$C$2:$C$4, O$2)),"****")</f>
        <v/>
      </c>
      <c r="P1160" t="str">
        <f>IFERROR(IF($C1160="","",SUMIFS(Ledger!$K$2:$K$4, Ledger!$B$2:$B$4, $A1160, Ledger!$C$2:$C$4, P$2)),"****")</f>
        <v/>
      </c>
      <c r="Q1160" t="str">
        <f>IFERROR(IF($C1160="","",SUMIFS(Ledger!$K$2:$K$4, Ledger!$B$2:$B$4, $A1160, Ledger!$C$2:$C$4, Q$2)),"****")</f>
        <v/>
      </c>
      <c r="R1160" t="str">
        <f>IFERROR(IF($C1160="","",SUMIFS(Ledger!$K$2:$K$4, Ledger!$B$2:$B$4, $A1160, Ledger!$C$2:$C$4, R$2)),"****")</f>
        <v/>
      </c>
      <c r="S1160" t="str">
        <f>IFERROR(IF($C1160="","",SUMIFS(Ledger!$K$2:$K$4, Ledger!$B$2:$B$4, $A1160, Ledger!$C$2:$C$4, S$2)),"****")</f>
        <v/>
      </c>
      <c r="T1160" t="str">
        <f>IFERROR(IF($C1160="","",SUMIFS(Ledger!$K$2:$K$4, Ledger!$B$2:$B$4, $A1160, Ledger!$C$2:$C$4, T$2)),"****")</f>
        <v/>
      </c>
      <c r="U1160" t="str">
        <f>IFERROR(IF($C1160="","",SUMIFS(Ledger!$K$2:$K$4, Ledger!$B$2:$B$4, $A1160, Ledger!$C$2:$C$4, U$2)),"****")</f>
        <v/>
      </c>
      <c r="V1160" t="str">
        <f>IFERROR(IF($C1160="","",SUMIFS(Ledger!$K$2:$K$4, Ledger!$B$2:$B$4, $A1160, Ledger!$C$2:$C$4, V$2)),"****")</f>
        <v/>
      </c>
      <c r="W1160" t="str">
        <f>IFERROR(IF($C1160="","",SUMIFS(Ledger!$K$2:$K$4, Ledger!$B$2:$B$4, $A1160, Ledger!$C$2:$C$4, W$2)),"****")</f>
        <v/>
      </c>
      <c r="X1160" t="str">
        <f>IFERROR(IF($C1160="","",SUMIFS(Ledger!$K$2:$K$4, Ledger!$B$2:$B$4, $A1160, Ledger!$C$2:$C$4, X$2)),"****")</f>
        <v/>
      </c>
    </row>
    <row r="1161" spans="1:24" x14ac:dyDescent="0.3">
      <c r="A1161" s="106">
        <v>1159</v>
      </c>
      <c r="B1161" t="str">
        <f>IFERROR(VLOOKUP($A1161, Ledger!$B$2:$L$8, 3, 0),"")</f>
        <v/>
      </c>
      <c r="C1161" t="str">
        <f>IFERROR(VLOOKUP($A1161, Ledger!$B$2:$L$8, 4, 0),"")</f>
        <v/>
      </c>
      <c r="D1161" t="str">
        <f>IFERROR(VLOOKUP($A1161, Ledger!$B$2:$L$8, 5, 0),"")</f>
        <v/>
      </c>
      <c r="E1161" t="str">
        <f>IFERROR(VLOOKUP($A1161, Ledger!$B$2:$L$8, 6, 0),"")</f>
        <v/>
      </c>
      <c r="F1161" t="str">
        <f>IFERROR(VLOOKUP($A1161,'Student Data'!$A$2:$AR$6,32,0),"")</f>
        <v/>
      </c>
      <c r="G1161" t="str">
        <f>IFERROR(VLOOKUP($A1161,'Student Data'!$A$2:$AR$6,33,0),"")</f>
        <v/>
      </c>
      <c r="H1161" t="str">
        <f>IFERROR(VLOOKUP($A1161,'Student Data'!$A$2:$AR$6,34,0),"")</f>
        <v/>
      </c>
      <c r="I1161" t="str">
        <f>IFERROR(VLOOKUP($A1161,'Student Data'!$A$2:$AR$6,35,0),"")</f>
        <v/>
      </c>
      <c r="J1161" t="str">
        <f>IFERROR(VLOOKUP($A1161,'Student Data'!$A$2:$AR$6,36,0),"")</f>
        <v/>
      </c>
      <c r="K1161" t="str">
        <f t="shared" si="36"/>
        <v/>
      </c>
      <c r="L1161" t="str">
        <f t="shared" si="37"/>
        <v/>
      </c>
      <c r="M1161" t="str">
        <f>IFERROR(IF($C1161="","",SUMIFS(Ledger!$K$2:$K$4, Ledger!$B$2:$B$4, $A1161, Ledger!$C$2:$C$4, M$2)),"****")</f>
        <v/>
      </c>
      <c r="N1161" t="str">
        <f>IFERROR(IF($C1161="","",SUMIFS(Ledger!$K$2:$K$4, Ledger!$B$2:$B$4, $A1161, Ledger!$C$2:$C$4, N$2)),"****")</f>
        <v/>
      </c>
      <c r="O1161" t="str">
        <f>IFERROR(IF($C1161="","",SUMIFS(Ledger!$K$2:$K$4, Ledger!$B$2:$B$4, $A1161, Ledger!$C$2:$C$4, O$2)),"****")</f>
        <v/>
      </c>
      <c r="P1161" t="str">
        <f>IFERROR(IF($C1161="","",SUMIFS(Ledger!$K$2:$K$4, Ledger!$B$2:$B$4, $A1161, Ledger!$C$2:$C$4, P$2)),"****")</f>
        <v/>
      </c>
      <c r="Q1161" t="str">
        <f>IFERROR(IF($C1161="","",SUMIFS(Ledger!$K$2:$K$4, Ledger!$B$2:$B$4, $A1161, Ledger!$C$2:$C$4, Q$2)),"****")</f>
        <v/>
      </c>
      <c r="R1161" t="str">
        <f>IFERROR(IF($C1161="","",SUMIFS(Ledger!$K$2:$K$4, Ledger!$B$2:$B$4, $A1161, Ledger!$C$2:$C$4, R$2)),"****")</f>
        <v/>
      </c>
      <c r="S1161" t="str">
        <f>IFERROR(IF($C1161="","",SUMIFS(Ledger!$K$2:$K$4, Ledger!$B$2:$B$4, $A1161, Ledger!$C$2:$C$4, S$2)),"****")</f>
        <v/>
      </c>
      <c r="T1161" t="str">
        <f>IFERROR(IF($C1161="","",SUMIFS(Ledger!$K$2:$K$4, Ledger!$B$2:$B$4, $A1161, Ledger!$C$2:$C$4, T$2)),"****")</f>
        <v/>
      </c>
      <c r="U1161" t="str">
        <f>IFERROR(IF($C1161="","",SUMIFS(Ledger!$K$2:$K$4, Ledger!$B$2:$B$4, $A1161, Ledger!$C$2:$C$4, U$2)),"****")</f>
        <v/>
      </c>
      <c r="V1161" t="str">
        <f>IFERROR(IF($C1161="","",SUMIFS(Ledger!$K$2:$K$4, Ledger!$B$2:$B$4, $A1161, Ledger!$C$2:$C$4, V$2)),"****")</f>
        <v/>
      </c>
      <c r="W1161" t="str">
        <f>IFERROR(IF($C1161="","",SUMIFS(Ledger!$K$2:$K$4, Ledger!$B$2:$B$4, $A1161, Ledger!$C$2:$C$4, W$2)),"****")</f>
        <v/>
      </c>
      <c r="X1161" t="str">
        <f>IFERROR(IF($C1161="","",SUMIFS(Ledger!$K$2:$K$4, Ledger!$B$2:$B$4, $A1161, Ledger!$C$2:$C$4, X$2)),"****")</f>
        <v/>
      </c>
    </row>
    <row r="1162" spans="1:24" x14ac:dyDescent="0.3">
      <c r="A1162" s="106">
        <v>1160</v>
      </c>
      <c r="B1162" t="str">
        <f>IFERROR(VLOOKUP($A1162, Ledger!$B$2:$L$8, 3, 0),"")</f>
        <v/>
      </c>
      <c r="C1162" t="str">
        <f>IFERROR(VLOOKUP($A1162, Ledger!$B$2:$L$8, 4, 0),"")</f>
        <v/>
      </c>
      <c r="D1162" t="str">
        <f>IFERROR(VLOOKUP($A1162, Ledger!$B$2:$L$8, 5, 0),"")</f>
        <v/>
      </c>
      <c r="E1162" t="str">
        <f>IFERROR(VLOOKUP($A1162, Ledger!$B$2:$L$8, 6, 0),"")</f>
        <v/>
      </c>
      <c r="F1162" t="str">
        <f>IFERROR(VLOOKUP($A1162,'Student Data'!$A$2:$AR$6,32,0),"")</f>
        <v/>
      </c>
      <c r="G1162" t="str">
        <f>IFERROR(VLOOKUP($A1162,'Student Data'!$A$2:$AR$6,33,0),"")</f>
        <v/>
      </c>
      <c r="H1162" t="str">
        <f>IFERROR(VLOOKUP($A1162,'Student Data'!$A$2:$AR$6,34,0),"")</f>
        <v/>
      </c>
      <c r="I1162" t="str">
        <f>IFERROR(VLOOKUP($A1162,'Student Data'!$A$2:$AR$6,35,0),"")</f>
        <v/>
      </c>
      <c r="J1162" t="str">
        <f>IFERROR(VLOOKUP($A1162,'Student Data'!$A$2:$AR$6,36,0),"")</f>
        <v/>
      </c>
      <c r="K1162" t="str">
        <f t="shared" si="36"/>
        <v/>
      </c>
      <c r="L1162" t="str">
        <f t="shared" si="37"/>
        <v/>
      </c>
      <c r="M1162" t="str">
        <f>IFERROR(IF($C1162="","",SUMIFS(Ledger!$K$2:$K$4, Ledger!$B$2:$B$4, $A1162, Ledger!$C$2:$C$4, M$2)),"****")</f>
        <v/>
      </c>
      <c r="N1162" t="str">
        <f>IFERROR(IF($C1162="","",SUMIFS(Ledger!$K$2:$K$4, Ledger!$B$2:$B$4, $A1162, Ledger!$C$2:$C$4, N$2)),"****")</f>
        <v/>
      </c>
      <c r="O1162" t="str">
        <f>IFERROR(IF($C1162="","",SUMIFS(Ledger!$K$2:$K$4, Ledger!$B$2:$B$4, $A1162, Ledger!$C$2:$C$4, O$2)),"****")</f>
        <v/>
      </c>
      <c r="P1162" t="str">
        <f>IFERROR(IF($C1162="","",SUMIFS(Ledger!$K$2:$K$4, Ledger!$B$2:$B$4, $A1162, Ledger!$C$2:$C$4, P$2)),"****")</f>
        <v/>
      </c>
      <c r="Q1162" t="str">
        <f>IFERROR(IF($C1162="","",SUMIFS(Ledger!$K$2:$K$4, Ledger!$B$2:$B$4, $A1162, Ledger!$C$2:$C$4, Q$2)),"****")</f>
        <v/>
      </c>
      <c r="R1162" t="str">
        <f>IFERROR(IF($C1162="","",SUMIFS(Ledger!$K$2:$K$4, Ledger!$B$2:$B$4, $A1162, Ledger!$C$2:$C$4, R$2)),"****")</f>
        <v/>
      </c>
      <c r="S1162" t="str">
        <f>IFERROR(IF($C1162="","",SUMIFS(Ledger!$K$2:$K$4, Ledger!$B$2:$B$4, $A1162, Ledger!$C$2:$C$4, S$2)),"****")</f>
        <v/>
      </c>
      <c r="T1162" t="str">
        <f>IFERROR(IF($C1162="","",SUMIFS(Ledger!$K$2:$K$4, Ledger!$B$2:$B$4, $A1162, Ledger!$C$2:$C$4, T$2)),"****")</f>
        <v/>
      </c>
      <c r="U1162" t="str">
        <f>IFERROR(IF($C1162="","",SUMIFS(Ledger!$K$2:$K$4, Ledger!$B$2:$B$4, $A1162, Ledger!$C$2:$C$4, U$2)),"****")</f>
        <v/>
      </c>
      <c r="V1162" t="str">
        <f>IFERROR(IF($C1162="","",SUMIFS(Ledger!$K$2:$K$4, Ledger!$B$2:$B$4, $A1162, Ledger!$C$2:$C$4, V$2)),"****")</f>
        <v/>
      </c>
      <c r="W1162" t="str">
        <f>IFERROR(IF($C1162="","",SUMIFS(Ledger!$K$2:$K$4, Ledger!$B$2:$B$4, $A1162, Ledger!$C$2:$C$4, W$2)),"****")</f>
        <v/>
      </c>
      <c r="X1162" t="str">
        <f>IFERROR(IF($C1162="","",SUMIFS(Ledger!$K$2:$K$4, Ledger!$B$2:$B$4, $A1162, Ledger!$C$2:$C$4, X$2)),"****")</f>
        <v/>
      </c>
    </row>
    <row r="1163" spans="1:24" x14ac:dyDescent="0.3">
      <c r="A1163" s="106">
        <v>1161</v>
      </c>
      <c r="B1163" t="str">
        <f>IFERROR(VLOOKUP($A1163, Ledger!$B$2:$L$8, 3, 0),"")</f>
        <v/>
      </c>
      <c r="C1163" t="str">
        <f>IFERROR(VLOOKUP($A1163, Ledger!$B$2:$L$8, 4, 0),"")</f>
        <v/>
      </c>
      <c r="D1163" t="str">
        <f>IFERROR(VLOOKUP($A1163, Ledger!$B$2:$L$8, 5, 0),"")</f>
        <v/>
      </c>
      <c r="E1163" t="str">
        <f>IFERROR(VLOOKUP($A1163, Ledger!$B$2:$L$8, 6, 0),"")</f>
        <v/>
      </c>
      <c r="F1163" t="str">
        <f>IFERROR(VLOOKUP($A1163,'Student Data'!$A$2:$AR$6,32,0),"")</f>
        <v/>
      </c>
      <c r="G1163" t="str">
        <f>IFERROR(VLOOKUP($A1163,'Student Data'!$A$2:$AR$6,33,0),"")</f>
        <v/>
      </c>
      <c r="H1163" t="str">
        <f>IFERROR(VLOOKUP($A1163,'Student Data'!$A$2:$AR$6,34,0),"")</f>
        <v/>
      </c>
      <c r="I1163" t="str">
        <f>IFERROR(VLOOKUP($A1163,'Student Data'!$A$2:$AR$6,35,0),"")</f>
        <v/>
      </c>
      <c r="J1163" t="str">
        <f>IFERROR(VLOOKUP($A1163,'Student Data'!$A$2:$AR$6,36,0),"")</f>
        <v/>
      </c>
      <c r="K1163" t="str">
        <f t="shared" si="36"/>
        <v/>
      </c>
      <c r="L1163" t="str">
        <f t="shared" si="37"/>
        <v/>
      </c>
      <c r="M1163" t="str">
        <f>IFERROR(IF($C1163="","",SUMIFS(Ledger!$K$2:$K$4, Ledger!$B$2:$B$4, $A1163, Ledger!$C$2:$C$4, M$2)),"****")</f>
        <v/>
      </c>
      <c r="N1163" t="str">
        <f>IFERROR(IF($C1163="","",SUMIFS(Ledger!$K$2:$K$4, Ledger!$B$2:$B$4, $A1163, Ledger!$C$2:$C$4, N$2)),"****")</f>
        <v/>
      </c>
      <c r="O1163" t="str">
        <f>IFERROR(IF($C1163="","",SUMIFS(Ledger!$K$2:$K$4, Ledger!$B$2:$B$4, $A1163, Ledger!$C$2:$C$4, O$2)),"****")</f>
        <v/>
      </c>
      <c r="P1163" t="str">
        <f>IFERROR(IF($C1163="","",SUMIFS(Ledger!$K$2:$K$4, Ledger!$B$2:$B$4, $A1163, Ledger!$C$2:$C$4, P$2)),"****")</f>
        <v/>
      </c>
      <c r="Q1163" t="str">
        <f>IFERROR(IF($C1163="","",SUMIFS(Ledger!$K$2:$K$4, Ledger!$B$2:$B$4, $A1163, Ledger!$C$2:$C$4, Q$2)),"****")</f>
        <v/>
      </c>
      <c r="R1163" t="str">
        <f>IFERROR(IF($C1163="","",SUMIFS(Ledger!$K$2:$K$4, Ledger!$B$2:$B$4, $A1163, Ledger!$C$2:$C$4, R$2)),"****")</f>
        <v/>
      </c>
      <c r="S1163" t="str">
        <f>IFERROR(IF($C1163="","",SUMIFS(Ledger!$K$2:$K$4, Ledger!$B$2:$B$4, $A1163, Ledger!$C$2:$C$4, S$2)),"****")</f>
        <v/>
      </c>
      <c r="T1163" t="str">
        <f>IFERROR(IF($C1163="","",SUMIFS(Ledger!$K$2:$K$4, Ledger!$B$2:$B$4, $A1163, Ledger!$C$2:$C$4, T$2)),"****")</f>
        <v/>
      </c>
      <c r="U1163" t="str">
        <f>IFERROR(IF($C1163="","",SUMIFS(Ledger!$K$2:$K$4, Ledger!$B$2:$B$4, $A1163, Ledger!$C$2:$C$4, U$2)),"****")</f>
        <v/>
      </c>
      <c r="V1163" t="str">
        <f>IFERROR(IF($C1163="","",SUMIFS(Ledger!$K$2:$K$4, Ledger!$B$2:$B$4, $A1163, Ledger!$C$2:$C$4, V$2)),"****")</f>
        <v/>
      </c>
      <c r="W1163" t="str">
        <f>IFERROR(IF($C1163="","",SUMIFS(Ledger!$K$2:$K$4, Ledger!$B$2:$B$4, $A1163, Ledger!$C$2:$C$4, W$2)),"****")</f>
        <v/>
      </c>
      <c r="X1163" t="str">
        <f>IFERROR(IF($C1163="","",SUMIFS(Ledger!$K$2:$K$4, Ledger!$B$2:$B$4, $A1163, Ledger!$C$2:$C$4, X$2)),"****")</f>
        <v/>
      </c>
    </row>
    <row r="1164" spans="1:24" x14ac:dyDescent="0.3">
      <c r="A1164" s="106">
        <v>1162</v>
      </c>
      <c r="B1164" t="str">
        <f>IFERROR(VLOOKUP($A1164, Ledger!$B$2:$L$8, 3, 0),"")</f>
        <v/>
      </c>
      <c r="C1164" t="str">
        <f>IFERROR(VLOOKUP($A1164, Ledger!$B$2:$L$8, 4, 0),"")</f>
        <v/>
      </c>
      <c r="D1164" t="str">
        <f>IFERROR(VLOOKUP($A1164, Ledger!$B$2:$L$8, 5, 0),"")</f>
        <v/>
      </c>
      <c r="E1164" t="str">
        <f>IFERROR(VLOOKUP($A1164, Ledger!$B$2:$L$8, 6, 0),"")</f>
        <v/>
      </c>
      <c r="F1164" t="str">
        <f>IFERROR(VLOOKUP($A1164,'Student Data'!$A$2:$AR$6,32,0),"")</f>
        <v/>
      </c>
      <c r="G1164" t="str">
        <f>IFERROR(VLOOKUP($A1164,'Student Data'!$A$2:$AR$6,33,0),"")</f>
        <v/>
      </c>
      <c r="H1164" t="str">
        <f>IFERROR(VLOOKUP($A1164,'Student Data'!$A$2:$AR$6,34,0),"")</f>
        <v/>
      </c>
      <c r="I1164" t="str">
        <f>IFERROR(VLOOKUP($A1164,'Student Data'!$A$2:$AR$6,35,0),"")</f>
        <v/>
      </c>
      <c r="J1164" t="str">
        <f>IFERROR(VLOOKUP($A1164,'Student Data'!$A$2:$AR$6,36,0),"")</f>
        <v/>
      </c>
      <c r="K1164" t="str">
        <f t="shared" si="36"/>
        <v/>
      </c>
      <c r="L1164" t="str">
        <f t="shared" si="37"/>
        <v/>
      </c>
      <c r="M1164" t="str">
        <f>IFERROR(IF($C1164="","",SUMIFS(Ledger!$K$2:$K$4, Ledger!$B$2:$B$4, $A1164, Ledger!$C$2:$C$4, M$2)),"****")</f>
        <v/>
      </c>
      <c r="N1164" t="str">
        <f>IFERROR(IF($C1164="","",SUMIFS(Ledger!$K$2:$K$4, Ledger!$B$2:$B$4, $A1164, Ledger!$C$2:$C$4, N$2)),"****")</f>
        <v/>
      </c>
      <c r="O1164" t="str">
        <f>IFERROR(IF($C1164="","",SUMIFS(Ledger!$K$2:$K$4, Ledger!$B$2:$B$4, $A1164, Ledger!$C$2:$C$4, O$2)),"****")</f>
        <v/>
      </c>
      <c r="P1164" t="str">
        <f>IFERROR(IF($C1164="","",SUMIFS(Ledger!$K$2:$K$4, Ledger!$B$2:$B$4, $A1164, Ledger!$C$2:$C$4, P$2)),"****")</f>
        <v/>
      </c>
      <c r="Q1164" t="str">
        <f>IFERROR(IF($C1164="","",SUMIFS(Ledger!$K$2:$K$4, Ledger!$B$2:$B$4, $A1164, Ledger!$C$2:$C$4, Q$2)),"****")</f>
        <v/>
      </c>
      <c r="R1164" t="str">
        <f>IFERROR(IF($C1164="","",SUMIFS(Ledger!$K$2:$K$4, Ledger!$B$2:$B$4, $A1164, Ledger!$C$2:$C$4, R$2)),"****")</f>
        <v/>
      </c>
      <c r="S1164" t="str">
        <f>IFERROR(IF($C1164="","",SUMIFS(Ledger!$K$2:$K$4, Ledger!$B$2:$B$4, $A1164, Ledger!$C$2:$C$4, S$2)),"****")</f>
        <v/>
      </c>
      <c r="T1164" t="str">
        <f>IFERROR(IF($C1164="","",SUMIFS(Ledger!$K$2:$K$4, Ledger!$B$2:$B$4, $A1164, Ledger!$C$2:$C$4, T$2)),"****")</f>
        <v/>
      </c>
      <c r="U1164" t="str">
        <f>IFERROR(IF($C1164="","",SUMIFS(Ledger!$K$2:$K$4, Ledger!$B$2:$B$4, $A1164, Ledger!$C$2:$C$4, U$2)),"****")</f>
        <v/>
      </c>
      <c r="V1164" t="str">
        <f>IFERROR(IF($C1164="","",SUMIFS(Ledger!$K$2:$K$4, Ledger!$B$2:$B$4, $A1164, Ledger!$C$2:$C$4, V$2)),"****")</f>
        <v/>
      </c>
      <c r="W1164" t="str">
        <f>IFERROR(IF($C1164="","",SUMIFS(Ledger!$K$2:$K$4, Ledger!$B$2:$B$4, $A1164, Ledger!$C$2:$C$4, W$2)),"****")</f>
        <v/>
      </c>
      <c r="X1164" t="str">
        <f>IFERROR(IF($C1164="","",SUMIFS(Ledger!$K$2:$K$4, Ledger!$B$2:$B$4, $A1164, Ledger!$C$2:$C$4, X$2)),"****")</f>
        <v/>
      </c>
    </row>
    <row r="1165" spans="1:24" x14ac:dyDescent="0.3">
      <c r="A1165" s="106">
        <v>1163</v>
      </c>
      <c r="B1165" t="str">
        <f>IFERROR(VLOOKUP($A1165, Ledger!$B$2:$L$8, 3, 0),"")</f>
        <v/>
      </c>
      <c r="C1165" t="str">
        <f>IFERROR(VLOOKUP($A1165, Ledger!$B$2:$L$8, 4, 0),"")</f>
        <v/>
      </c>
      <c r="D1165" t="str">
        <f>IFERROR(VLOOKUP($A1165, Ledger!$B$2:$L$8, 5, 0),"")</f>
        <v/>
      </c>
      <c r="E1165" t="str">
        <f>IFERROR(VLOOKUP($A1165, Ledger!$B$2:$L$8, 6, 0),"")</f>
        <v/>
      </c>
      <c r="F1165" t="str">
        <f>IFERROR(VLOOKUP($A1165,'Student Data'!$A$2:$AR$6,32,0),"")</f>
        <v/>
      </c>
      <c r="G1165" t="str">
        <f>IFERROR(VLOOKUP($A1165,'Student Data'!$A$2:$AR$6,33,0),"")</f>
        <v/>
      </c>
      <c r="H1165" t="str">
        <f>IFERROR(VLOOKUP($A1165,'Student Data'!$A$2:$AR$6,34,0),"")</f>
        <v/>
      </c>
      <c r="I1165" t="str">
        <f>IFERROR(VLOOKUP($A1165,'Student Data'!$A$2:$AR$6,35,0),"")</f>
        <v/>
      </c>
      <c r="J1165" t="str">
        <f>IFERROR(VLOOKUP($A1165,'Student Data'!$A$2:$AR$6,36,0),"")</f>
        <v/>
      </c>
      <c r="K1165" t="str">
        <f t="shared" si="36"/>
        <v/>
      </c>
      <c r="L1165" t="str">
        <f t="shared" si="37"/>
        <v/>
      </c>
      <c r="M1165" t="str">
        <f>IFERROR(IF($C1165="","",SUMIFS(Ledger!$K$2:$K$4, Ledger!$B$2:$B$4, $A1165, Ledger!$C$2:$C$4, M$2)),"****")</f>
        <v/>
      </c>
      <c r="N1165" t="str">
        <f>IFERROR(IF($C1165="","",SUMIFS(Ledger!$K$2:$K$4, Ledger!$B$2:$B$4, $A1165, Ledger!$C$2:$C$4, N$2)),"****")</f>
        <v/>
      </c>
      <c r="O1165" t="str">
        <f>IFERROR(IF($C1165="","",SUMIFS(Ledger!$K$2:$K$4, Ledger!$B$2:$B$4, $A1165, Ledger!$C$2:$C$4, O$2)),"****")</f>
        <v/>
      </c>
      <c r="P1165" t="str">
        <f>IFERROR(IF($C1165="","",SUMIFS(Ledger!$K$2:$K$4, Ledger!$B$2:$B$4, $A1165, Ledger!$C$2:$C$4, P$2)),"****")</f>
        <v/>
      </c>
      <c r="Q1165" t="str">
        <f>IFERROR(IF($C1165="","",SUMIFS(Ledger!$K$2:$K$4, Ledger!$B$2:$B$4, $A1165, Ledger!$C$2:$C$4, Q$2)),"****")</f>
        <v/>
      </c>
      <c r="R1165" t="str">
        <f>IFERROR(IF($C1165="","",SUMIFS(Ledger!$K$2:$K$4, Ledger!$B$2:$B$4, $A1165, Ledger!$C$2:$C$4, R$2)),"****")</f>
        <v/>
      </c>
      <c r="S1165" t="str">
        <f>IFERROR(IF($C1165="","",SUMIFS(Ledger!$K$2:$K$4, Ledger!$B$2:$B$4, $A1165, Ledger!$C$2:$C$4, S$2)),"****")</f>
        <v/>
      </c>
      <c r="T1165" t="str">
        <f>IFERROR(IF($C1165="","",SUMIFS(Ledger!$K$2:$K$4, Ledger!$B$2:$B$4, $A1165, Ledger!$C$2:$C$4, T$2)),"****")</f>
        <v/>
      </c>
      <c r="U1165" t="str">
        <f>IFERROR(IF($C1165="","",SUMIFS(Ledger!$K$2:$K$4, Ledger!$B$2:$B$4, $A1165, Ledger!$C$2:$C$4, U$2)),"****")</f>
        <v/>
      </c>
      <c r="V1165" t="str">
        <f>IFERROR(IF($C1165="","",SUMIFS(Ledger!$K$2:$K$4, Ledger!$B$2:$B$4, $A1165, Ledger!$C$2:$C$4, V$2)),"****")</f>
        <v/>
      </c>
      <c r="W1165" t="str">
        <f>IFERROR(IF($C1165="","",SUMIFS(Ledger!$K$2:$K$4, Ledger!$B$2:$B$4, $A1165, Ledger!$C$2:$C$4, W$2)),"****")</f>
        <v/>
      </c>
      <c r="X1165" t="str">
        <f>IFERROR(IF($C1165="","",SUMIFS(Ledger!$K$2:$K$4, Ledger!$B$2:$B$4, $A1165, Ledger!$C$2:$C$4, X$2)),"****")</f>
        <v/>
      </c>
    </row>
    <row r="1166" spans="1:24" x14ac:dyDescent="0.3">
      <c r="A1166" s="106">
        <v>1164</v>
      </c>
      <c r="B1166" t="str">
        <f>IFERROR(VLOOKUP($A1166, Ledger!$B$2:$L$8, 3, 0),"")</f>
        <v/>
      </c>
      <c r="C1166" t="str">
        <f>IFERROR(VLOOKUP($A1166, Ledger!$B$2:$L$8, 4, 0),"")</f>
        <v/>
      </c>
      <c r="D1166" t="str">
        <f>IFERROR(VLOOKUP($A1166, Ledger!$B$2:$L$8, 5, 0),"")</f>
        <v/>
      </c>
      <c r="E1166" t="str">
        <f>IFERROR(VLOOKUP($A1166, Ledger!$B$2:$L$8, 6, 0),"")</f>
        <v/>
      </c>
      <c r="F1166" t="str">
        <f>IFERROR(VLOOKUP($A1166,'Student Data'!$A$2:$AR$6,32,0),"")</f>
        <v/>
      </c>
      <c r="G1166" t="str">
        <f>IFERROR(VLOOKUP($A1166,'Student Data'!$A$2:$AR$6,33,0),"")</f>
        <v/>
      </c>
      <c r="H1166" t="str">
        <f>IFERROR(VLOOKUP($A1166,'Student Data'!$A$2:$AR$6,34,0),"")</f>
        <v/>
      </c>
      <c r="I1166" t="str">
        <f>IFERROR(VLOOKUP($A1166,'Student Data'!$A$2:$AR$6,35,0),"")</f>
        <v/>
      </c>
      <c r="J1166" t="str">
        <f>IFERROR(VLOOKUP($A1166,'Student Data'!$A$2:$AR$6,36,0),"")</f>
        <v/>
      </c>
      <c r="K1166" t="str">
        <f t="shared" si="36"/>
        <v/>
      </c>
      <c r="L1166" t="str">
        <f t="shared" si="37"/>
        <v/>
      </c>
      <c r="M1166" t="str">
        <f>IFERROR(IF($C1166="","",SUMIFS(Ledger!$K$2:$K$4, Ledger!$B$2:$B$4, $A1166, Ledger!$C$2:$C$4, M$2)),"****")</f>
        <v/>
      </c>
      <c r="N1166" t="str">
        <f>IFERROR(IF($C1166="","",SUMIFS(Ledger!$K$2:$K$4, Ledger!$B$2:$B$4, $A1166, Ledger!$C$2:$C$4, N$2)),"****")</f>
        <v/>
      </c>
      <c r="O1166" t="str">
        <f>IFERROR(IF($C1166="","",SUMIFS(Ledger!$K$2:$K$4, Ledger!$B$2:$B$4, $A1166, Ledger!$C$2:$C$4, O$2)),"****")</f>
        <v/>
      </c>
      <c r="P1166" t="str">
        <f>IFERROR(IF($C1166="","",SUMIFS(Ledger!$K$2:$K$4, Ledger!$B$2:$B$4, $A1166, Ledger!$C$2:$C$4, P$2)),"****")</f>
        <v/>
      </c>
      <c r="Q1166" t="str">
        <f>IFERROR(IF($C1166="","",SUMIFS(Ledger!$K$2:$K$4, Ledger!$B$2:$B$4, $A1166, Ledger!$C$2:$C$4, Q$2)),"****")</f>
        <v/>
      </c>
      <c r="R1166" t="str">
        <f>IFERROR(IF($C1166="","",SUMIFS(Ledger!$K$2:$K$4, Ledger!$B$2:$B$4, $A1166, Ledger!$C$2:$C$4, R$2)),"****")</f>
        <v/>
      </c>
      <c r="S1166" t="str">
        <f>IFERROR(IF($C1166="","",SUMIFS(Ledger!$K$2:$K$4, Ledger!$B$2:$B$4, $A1166, Ledger!$C$2:$C$4, S$2)),"****")</f>
        <v/>
      </c>
      <c r="T1166" t="str">
        <f>IFERROR(IF($C1166="","",SUMIFS(Ledger!$K$2:$K$4, Ledger!$B$2:$B$4, $A1166, Ledger!$C$2:$C$4, T$2)),"****")</f>
        <v/>
      </c>
      <c r="U1166" t="str">
        <f>IFERROR(IF($C1166="","",SUMIFS(Ledger!$K$2:$K$4, Ledger!$B$2:$B$4, $A1166, Ledger!$C$2:$C$4, U$2)),"****")</f>
        <v/>
      </c>
      <c r="V1166" t="str">
        <f>IFERROR(IF($C1166="","",SUMIFS(Ledger!$K$2:$K$4, Ledger!$B$2:$B$4, $A1166, Ledger!$C$2:$C$4, V$2)),"****")</f>
        <v/>
      </c>
      <c r="W1166" t="str">
        <f>IFERROR(IF($C1166="","",SUMIFS(Ledger!$K$2:$K$4, Ledger!$B$2:$B$4, $A1166, Ledger!$C$2:$C$4, W$2)),"****")</f>
        <v/>
      </c>
      <c r="X1166" t="str">
        <f>IFERROR(IF($C1166="","",SUMIFS(Ledger!$K$2:$K$4, Ledger!$B$2:$B$4, $A1166, Ledger!$C$2:$C$4, X$2)),"****")</f>
        <v/>
      </c>
    </row>
    <row r="1167" spans="1:24" x14ac:dyDescent="0.3">
      <c r="A1167" s="106">
        <v>1165</v>
      </c>
      <c r="B1167" t="str">
        <f>IFERROR(VLOOKUP($A1167, Ledger!$B$2:$L$8, 3, 0),"")</f>
        <v/>
      </c>
      <c r="C1167" t="str">
        <f>IFERROR(VLOOKUP($A1167, Ledger!$B$2:$L$8, 4, 0),"")</f>
        <v/>
      </c>
      <c r="D1167" t="str">
        <f>IFERROR(VLOOKUP($A1167, Ledger!$B$2:$L$8, 5, 0),"")</f>
        <v/>
      </c>
      <c r="E1167" t="str">
        <f>IFERROR(VLOOKUP($A1167, Ledger!$B$2:$L$8, 6, 0),"")</f>
        <v/>
      </c>
      <c r="F1167" t="str">
        <f>IFERROR(VLOOKUP($A1167,'Student Data'!$A$2:$AR$6,32,0),"")</f>
        <v/>
      </c>
      <c r="G1167" t="str">
        <f>IFERROR(VLOOKUP($A1167,'Student Data'!$A$2:$AR$6,33,0),"")</f>
        <v/>
      </c>
      <c r="H1167" t="str">
        <f>IFERROR(VLOOKUP($A1167,'Student Data'!$A$2:$AR$6,34,0),"")</f>
        <v/>
      </c>
      <c r="I1167" t="str">
        <f>IFERROR(VLOOKUP($A1167,'Student Data'!$A$2:$AR$6,35,0),"")</f>
        <v/>
      </c>
      <c r="J1167" t="str">
        <f>IFERROR(VLOOKUP($A1167,'Student Data'!$A$2:$AR$6,36,0),"")</f>
        <v/>
      </c>
      <c r="K1167" t="str">
        <f t="shared" si="36"/>
        <v/>
      </c>
      <c r="L1167" t="str">
        <f t="shared" si="37"/>
        <v/>
      </c>
      <c r="M1167" t="str">
        <f>IFERROR(IF($C1167="","",SUMIFS(Ledger!$K$2:$K$4, Ledger!$B$2:$B$4, $A1167, Ledger!$C$2:$C$4, M$2)),"****")</f>
        <v/>
      </c>
      <c r="N1167" t="str">
        <f>IFERROR(IF($C1167="","",SUMIFS(Ledger!$K$2:$K$4, Ledger!$B$2:$B$4, $A1167, Ledger!$C$2:$C$4, N$2)),"****")</f>
        <v/>
      </c>
      <c r="O1167" t="str">
        <f>IFERROR(IF($C1167="","",SUMIFS(Ledger!$K$2:$K$4, Ledger!$B$2:$B$4, $A1167, Ledger!$C$2:$C$4, O$2)),"****")</f>
        <v/>
      </c>
      <c r="P1167" t="str">
        <f>IFERROR(IF($C1167="","",SUMIFS(Ledger!$K$2:$K$4, Ledger!$B$2:$B$4, $A1167, Ledger!$C$2:$C$4, P$2)),"****")</f>
        <v/>
      </c>
      <c r="Q1167" t="str">
        <f>IFERROR(IF($C1167="","",SUMIFS(Ledger!$K$2:$K$4, Ledger!$B$2:$B$4, $A1167, Ledger!$C$2:$C$4, Q$2)),"****")</f>
        <v/>
      </c>
      <c r="R1167" t="str">
        <f>IFERROR(IF($C1167="","",SUMIFS(Ledger!$K$2:$K$4, Ledger!$B$2:$B$4, $A1167, Ledger!$C$2:$C$4, R$2)),"****")</f>
        <v/>
      </c>
      <c r="S1167" t="str">
        <f>IFERROR(IF($C1167="","",SUMIFS(Ledger!$K$2:$K$4, Ledger!$B$2:$B$4, $A1167, Ledger!$C$2:$C$4, S$2)),"****")</f>
        <v/>
      </c>
      <c r="T1167" t="str">
        <f>IFERROR(IF($C1167="","",SUMIFS(Ledger!$K$2:$K$4, Ledger!$B$2:$B$4, $A1167, Ledger!$C$2:$C$4, T$2)),"****")</f>
        <v/>
      </c>
      <c r="U1167" t="str">
        <f>IFERROR(IF($C1167="","",SUMIFS(Ledger!$K$2:$K$4, Ledger!$B$2:$B$4, $A1167, Ledger!$C$2:$C$4, U$2)),"****")</f>
        <v/>
      </c>
      <c r="V1167" t="str">
        <f>IFERROR(IF($C1167="","",SUMIFS(Ledger!$K$2:$K$4, Ledger!$B$2:$B$4, $A1167, Ledger!$C$2:$C$4, V$2)),"****")</f>
        <v/>
      </c>
      <c r="W1167" t="str">
        <f>IFERROR(IF($C1167="","",SUMIFS(Ledger!$K$2:$K$4, Ledger!$B$2:$B$4, $A1167, Ledger!$C$2:$C$4, W$2)),"****")</f>
        <v/>
      </c>
      <c r="X1167" t="str">
        <f>IFERROR(IF($C1167="","",SUMIFS(Ledger!$K$2:$K$4, Ledger!$B$2:$B$4, $A1167, Ledger!$C$2:$C$4, X$2)),"****")</f>
        <v/>
      </c>
    </row>
    <row r="1168" spans="1:24" x14ac:dyDescent="0.3">
      <c r="A1168" s="106">
        <v>1166</v>
      </c>
      <c r="B1168" t="str">
        <f>IFERROR(VLOOKUP($A1168, Ledger!$B$2:$L$8, 3, 0),"")</f>
        <v/>
      </c>
      <c r="C1168" t="str">
        <f>IFERROR(VLOOKUP($A1168, Ledger!$B$2:$L$8, 4, 0),"")</f>
        <v/>
      </c>
      <c r="D1168" t="str">
        <f>IFERROR(VLOOKUP($A1168, Ledger!$B$2:$L$8, 5, 0),"")</f>
        <v/>
      </c>
      <c r="E1168" t="str">
        <f>IFERROR(VLOOKUP($A1168, Ledger!$B$2:$L$8, 6, 0),"")</f>
        <v/>
      </c>
      <c r="F1168" t="str">
        <f>IFERROR(VLOOKUP($A1168,'Student Data'!$A$2:$AR$6,32,0),"")</f>
        <v/>
      </c>
      <c r="G1168" t="str">
        <f>IFERROR(VLOOKUP($A1168,'Student Data'!$A$2:$AR$6,33,0),"")</f>
        <v/>
      </c>
      <c r="H1168" t="str">
        <f>IFERROR(VLOOKUP($A1168,'Student Data'!$A$2:$AR$6,34,0),"")</f>
        <v/>
      </c>
      <c r="I1168" t="str">
        <f>IFERROR(VLOOKUP($A1168,'Student Data'!$A$2:$AR$6,35,0),"")</f>
        <v/>
      </c>
      <c r="J1168" t="str">
        <f>IFERROR(VLOOKUP($A1168,'Student Data'!$A$2:$AR$6,36,0),"")</f>
        <v/>
      </c>
      <c r="K1168" t="str">
        <f t="shared" si="36"/>
        <v/>
      </c>
      <c r="L1168" t="str">
        <f t="shared" si="37"/>
        <v/>
      </c>
      <c r="M1168" t="str">
        <f>IFERROR(IF($C1168="","",SUMIFS(Ledger!$K$2:$K$4, Ledger!$B$2:$B$4, $A1168, Ledger!$C$2:$C$4, M$2)),"****")</f>
        <v/>
      </c>
      <c r="N1168" t="str">
        <f>IFERROR(IF($C1168="","",SUMIFS(Ledger!$K$2:$K$4, Ledger!$B$2:$B$4, $A1168, Ledger!$C$2:$C$4, N$2)),"****")</f>
        <v/>
      </c>
      <c r="O1168" t="str">
        <f>IFERROR(IF($C1168="","",SUMIFS(Ledger!$K$2:$K$4, Ledger!$B$2:$B$4, $A1168, Ledger!$C$2:$C$4, O$2)),"****")</f>
        <v/>
      </c>
      <c r="P1168" t="str">
        <f>IFERROR(IF($C1168="","",SUMIFS(Ledger!$K$2:$K$4, Ledger!$B$2:$B$4, $A1168, Ledger!$C$2:$C$4, P$2)),"****")</f>
        <v/>
      </c>
      <c r="Q1168" t="str">
        <f>IFERROR(IF($C1168="","",SUMIFS(Ledger!$K$2:$K$4, Ledger!$B$2:$B$4, $A1168, Ledger!$C$2:$C$4, Q$2)),"****")</f>
        <v/>
      </c>
      <c r="R1168" t="str">
        <f>IFERROR(IF($C1168="","",SUMIFS(Ledger!$K$2:$K$4, Ledger!$B$2:$B$4, $A1168, Ledger!$C$2:$C$4, R$2)),"****")</f>
        <v/>
      </c>
      <c r="S1168" t="str">
        <f>IFERROR(IF($C1168="","",SUMIFS(Ledger!$K$2:$K$4, Ledger!$B$2:$B$4, $A1168, Ledger!$C$2:$C$4, S$2)),"****")</f>
        <v/>
      </c>
      <c r="T1168" t="str">
        <f>IFERROR(IF($C1168="","",SUMIFS(Ledger!$K$2:$K$4, Ledger!$B$2:$B$4, $A1168, Ledger!$C$2:$C$4, T$2)),"****")</f>
        <v/>
      </c>
      <c r="U1168" t="str">
        <f>IFERROR(IF($C1168="","",SUMIFS(Ledger!$K$2:$K$4, Ledger!$B$2:$B$4, $A1168, Ledger!$C$2:$C$4, U$2)),"****")</f>
        <v/>
      </c>
      <c r="V1168" t="str">
        <f>IFERROR(IF($C1168="","",SUMIFS(Ledger!$K$2:$K$4, Ledger!$B$2:$B$4, $A1168, Ledger!$C$2:$C$4, V$2)),"****")</f>
        <v/>
      </c>
      <c r="W1168" t="str">
        <f>IFERROR(IF($C1168="","",SUMIFS(Ledger!$K$2:$K$4, Ledger!$B$2:$B$4, $A1168, Ledger!$C$2:$C$4, W$2)),"****")</f>
        <v/>
      </c>
      <c r="X1168" t="str">
        <f>IFERROR(IF($C1168="","",SUMIFS(Ledger!$K$2:$K$4, Ledger!$B$2:$B$4, $A1168, Ledger!$C$2:$C$4, X$2)),"****")</f>
        <v/>
      </c>
    </row>
    <row r="1169" spans="1:24" x14ac:dyDescent="0.3">
      <c r="A1169" s="106">
        <v>1167</v>
      </c>
      <c r="B1169" t="str">
        <f>IFERROR(VLOOKUP($A1169, Ledger!$B$2:$L$8, 3, 0),"")</f>
        <v/>
      </c>
      <c r="C1169" t="str">
        <f>IFERROR(VLOOKUP($A1169, Ledger!$B$2:$L$8, 4, 0),"")</f>
        <v/>
      </c>
      <c r="D1169" t="str">
        <f>IFERROR(VLOOKUP($A1169, Ledger!$B$2:$L$8, 5, 0),"")</f>
        <v/>
      </c>
      <c r="E1169" t="str">
        <f>IFERROR(VLOOKUP($A1169, Ledger!$B$2:$L$8, 6, 0),"")</f>
        <v/>
      </c>
      <c r="F1169" t="str">
        <f>IFERROR(VLOOKUP($A1169,'Student Data'!$A$2:$AR$6,32,0),"")</f>
        <v/>
      </c>
      <c r="G1169" t="str">
        <f>IFERROR(VLOOKUP($A1169,'Student Data'!$A$2:$AR$6,33,0),"")</f>
        <v/>
      </c>
      <c r="H1169" t="str">
        <f>IFERROR(VLOOKUP($A1169,'Student Data'!$A$2:$AR$6,34,0),"")</f>
        <v/>
      </c>
      <c r="I1169" t="str">
        <f>IFERROR(VLOOKUP($A1169,'Student Data'!$A$2:$AR$6,35,0),"")</f>
        <v/>
      </c>
      <c r="J1169" t="str">
        <f>IFERROR(VLOOKUP($A1169,'Student Data'!$A$2:$AR$6,36,0),"")</f>
        <v/>
      </c>
      <c r="K1169" t="str">
        <f t="shared" si="36"/>
        <v/>
      </c>
      <c r="L1169" t="str">
        <f t="shared" si="37"/>
        <v/>
      </c>
      <c r="M1169" t="str">
        <f>IFERROR(IF($C1169="","",SUMIFS(Ledger!$K$2:$K$4, Ledger!$B$2:$B$4, $A1169, Ledger!$C$2:$C$4, M$2)),"****")</f>
        <v/>
      </c>
      <c r="N1169" t="str">
        <f>IFERROR(IF($C1169="","",SUMIFS(Ledger!$K$2:$K$4, Ledger!$B$2:$B$4, $A1169, Ledger!$C$2:$C$4, N$2)),"****")</f>
        <v/>
      </c>
      <c r="O1169" t="str">
        <f>IFERROR(IF($C1169="","",SUMIFS(Ledger!$K$2:$K$4, Ledger!$B$2:$B$4, $A1169, Ledger!$C$2:$C$4, O$2)),"****")</f>
        <v/>
      </c>
      <c r="P1169" t="str">
        <f>IFERROR(IF($C1169="","",SUMIFS(Ledger!$K$2:$K$4, Ledger!$B$2:$B$4, $A1169, Ledger!$C$2:$C$4, P$2)),"****")</f>
        <v/>
      </c>
      <c r="Q1169" t="str">
        <f>IFERROR(IF($C1169="","",SUMIFS(Ledger!$K$2:$K$4, Ledger!$B$2:$B$4, $A1169, Ledger!$C$2:$C$4, Q$2)),"****")</f>
        <v/>
      </c>
      <c r="R1169" t="str">
        <f>IFERROR(IF($C1169="","",SUMIFS(Ledger!$K$2:$K$4, Ledger!$B$2:$B$4, $A1169, Ledger!$C$2:$C$4, R$2)),"****")</f>
        <v/>
      </c>
      <c r="S1169" t="str">
        <f>IFERROR(IF($C1169="","",SUMIFS(Ledger!$K$2:$K$4, Ledger!$B$2:$B$4, $A1169, Ledger!$C$2:$C$4, S$2)),"****")</f>
        <v/>
      </c>
      <c r="T1169" t="str">
        <f>IFERROR(IF($C1169="","",SUMIFS(Ledger!$K$2:$K$4, Ledger!$B$2:$B$4, $A1169, Ledger!$C$2:$C$4, T$2)),"****")</f>
        <v/>
      </c>
      <c r="U1169" t="str">
        <f>IFERROR(IF($C1169="","",SUMIFS(Ledger!$K$2:$K$4, Ledger!$B$2:$B$4, $A1169, Ledger!$C$2:$C$4, U$2)),"****")</f>
        <v/>
      </c>
      <c r="V1169" t="str">
        <f>IFERROR(IF($C1169="","",SUMIFS(Ledger!$K$2:$K$4, Ledger!$B$2:$B$4, $A1169, Ledger!$C$2:$C$4, V$2)),"****")</f>
        <v/>
      </c>
      <c r="W1169" t="str">
        <f>IFERROR(IF($C1169="","",SUMIFS(Ledger!$K$2:$K$4, Ledger!$B$2:$B$4, $A1169, Ledger!$C$2:$C$4, W$2)),"****")</f>
        <v/>
      </c>
      <c r="X1169" t="str">
        <f>IFERROR(IF($C1169="","",SUMIFS(Ledger!$K$2:$K$4, Ledger!$B$2:$B$4, $A1169, Ledger!$C$2:$C$4, X$2)),"****")</f>
        <v/>
      </c>
    </row>
    <row r="1170" spans="1:24" x14ac:dyDescent="0.3">
      <c r="A1170" s="106">
        <v>1168</v>
      </c>
      <c r="B1170" t="str">
        <f>IFERROR(VLOOKUP($A1170, Ledger!$B$2:$L$8, 3, 0),"")</f>
        <v/>
      </c>
      <c r="C1170" t="str">
        <f>IFERROR(VLOOKUP($A1170, Ledger!$B$2:$L$8, 4, 0),"")</f>
        <v/>
      </c>
      <c r="D1170" t="str">
        <f>IFERROR(VLOOKUP($A1170, Ledger!$B$2:$L$8, 5, 0),"")</f>
        <v/>
      </c>
      <c r="E1170" t="str">
        <f>IFERROR(VLOOKUP($A1170, Ledger!$B$2:$L$8, 6, 0),"")</f>
        <v/>
      </c>
      <c r="F1170" t="str">
        <f>IFERROR(VLOOKUP($A1170,'Student Data'!$A$2:$AR$6,32,0),"")</f>
        <v/>
      </c>
      <c r="G1170" t="str">
        <f>IFERROR(VLOOKUP($A1170,'Student Data'!$A$2:$AR$6,33,0),"")</f>
        <v/>
      </c>
      <c r="H1170" t="str">
        <f>IFERROR(VLOOKUP($A1170,'Student Data'!$A$2:$AR$6,34,0),"")</f>
        <v/>
      </c>
      <c r="I1170" t="str">
        <f>IFERROR(VLOOKUP($A1170,'Student Data'!$A$2:$AR$6,35,0),"")</f>
        <v/>
      </c>
      <c r="J1170" t="str">
        <f>IFERROR(VLOOKUP($A1170,'Student Data'!$A$2:$AR$6,36,0),"")</f>
        <v/>
      </c>
      <c r="K1170" t="str">
        <f t="shared" si="36"/>
        <v/>
      </c>
      <c r="L1170" t="str">
        <f t="shared" si="37"/>
        <v/>
      </c>
      <c r="M1170" t="str">
        <f>IFERROR(IF($C1170="","",SUMIFS(Ledger!$K$2:$K$4, Ledger!$B$2:$B$4, $A1170, Ledger!$C$2:$C$4, M$2)),"****")</f>
        <v/>
      </c>
      <c r="N1170" t="str">
        <f>IFERROR(IF($C1170="","",SUMIFS(Ledger!$K$2:$K$4, Ledger!$B$2:$B$4, $A1170, Ledger!$C$2:$C$4, N$2)),"****")</f>
        <v/>
      </c>
      <c r="O1170" t="str">
        <f>IFERROR(IF($C1170="","",SUMIFS(Ledger!$K$2:$K$4, Ledger!$B$2:$B$4, $A1170, Ledger!$C$2:$C$4, O$2)),"****")</f>
        <v/>
      </c>
      <c r="P1170" t="str">
        <f>IFERROR(IF($C1170="","",SUMIFS(Ledger!$K$2:$K$4, Ledger!$B$2:$B$4, $A1170, Ledger!$C$2:$C$4, P$2)),"****")</f>
        <v/>
      </c>
      <c r="Q1170" t="str">
        <f>IFERROR(IF($C1170="","",SUMIFS(Ledger!$K$2:$K$4, Ledger!$B$2:$B$4, $A1170, Ledger!$C$2:$C$4, Q$2)),"****")</f>
        <v/>
      </c>
      <c r="R1170" t="str">
        <f>IFERROR(IF($C1170="","",SUMIFS(Ledger!$K$2:$K$4, Ledger!$B$2:$B$4, $A1170, Ledger!$C$2:$C$4, R$2)),"****")</f>
        <v/>
      </c>
      <c r="S1170" t="str">
        <f>IFERROR(IF($C1170="","",SUMIFS(Ledger!$K$2:$K$4, Ledger!$B$2:$B$4, $A1170, Ledger!$C$2:$C$4, S$2)),"****")</f>
        <v/>
      </c>
      <c r="T1170" t="str">
        <f>IFERROR(IF($C1170="","",SUMIFS(Ledger!$K$2:$K$4, Ledger!$B$2:$B$4, $A1170, Ledger!$C$2:$C$4, T$2)),"****")</f>
        <v/>
      </c>
      <c r="U1170" t="str">
        <f>IFERROR(IF($C1170="","",SUMIFS(Ledger!$K$2:$K$4, Ledger!$B$2:$B$4, $A1170, Ledger!$C$2:$C$4, U$2)),"****")</f>
        <v/>
      </c>
      <c r="V1170" t="str">
        <f>IFERROR(IF($C1170="","",SUMIFS(Ledger!$K$2:$K$4, Ledger!$B$2:$B$4, $A1170, Ledger!$C$2:$C$4, V$2)),"****")</f>
        <v/>
      </c>
      <c r="W1170" t="str">
        <f>IFERROR(IF($C1170="","",SUMIFS(Ledger!$K$2:$K$4, Ledger!$B$2:$B$4, $A1170, Ledger!$C$2:$C$4, W$2)),"****")</f>
        <v/>
      </c>
      <c r="X1170" t="str">
        <f>IFERROR(IF($C1170="","",SUMIFS(Ledger!$K$2:$K$4, Ledger!$B$2:$B$4, $A1170, Ledger!$C$2:$C$4, X$2)),"****")</f>
        <v/>
      </c>
    </row>
    <row r="1171" spans="1:24" x14ac:dyDescent="0.3">
      <c r="A1171" s="106">
        <v>1169</v>
      </c>
      <c r="B1171" t="str">
        <f>IFERROR(VLOOKUP($A1171, Ledger!$B$2:$L$8, 3, 0),"")</f>
        <v/>
      </c>
      <c r="C1171" t="str">
        <f>IFERROR(VLOOKUP($A1171, Ledger!$B$2:$L$8, 4, 0),"")</f>
        <v/>
      </c>
      <c r="D1171" t="str">
        <f>IFERROR(VLOOKUP($A1171, Ledger!$B$2:$L$8, 5, 0),"")</f>
        <v/>
      </c>
      <c r="E1171" t="str">
        <f>IFERROR(VLOOKUP($A1171, Ledger!$B$2:$L$8, 6, 0),"")</f>
        <v/>
      </c>
      <c r="F1171" t="str">
        <f>IFERROR(VLOOKUP($A1171,'Student Data'!$A$2:$AR$6,32,0),"")</f>
        <v/>
      </c>
      <c r="G1171" t="str">
        <f>IFERROR(VLOOKUP($A1171,'Student Data'!$A$2:$AR$6,33,0),"")</f>
        <v/>
      </c>
      <c r="H1171" t="str">
        <f>IFERROR(VLOOKUP($A1171,'Student Data'!$A$2:$AR$6,34,0),"")</f>
        <v/>
      </c>
      <c r="I1171" t="str">
        <f>IFERROR(VLOOKUP($A1171,'Student Data'!$A$2:$AR$6,35,0),"")</f>
        <v/>
      </c>
      <c r="J1171" t="str">
        <f>IFERROR(VLOOKUP($A1171,'Student Data'!$A$2:$AR$6,36,0),"")</f>
        <v/>
      </c>
      <c r="K1171" t="str">
        <f t="shared" si="36"/>
        <v/>
      </c>
      <c r="L1171" t="str">
        <f t="shared" si="37"/>
        <v/>
      </c>
      <c r="M1171" t="str">
        <f>IFERROR(IF($C1171="","",SUMIFS(Ledger!$K$2:$K$4, Ledger!$B$2:$B$4, $A1171, Ledger!$C$2:$C$4, M$2)),"****")</f>
        <v/>
      </c>
      <c r="N1171" t="str">
        <f>IFERROR(IF($C1171="","",SUMIFS(Ledger!$K$2:$K$4, Ledger!$B$2:$B$4, $A1171, Ledger!$C$2:$C$4, N$2)),"****")</f>
        <v/>
      </c>
      <c r="O1171" t="str">
        <f>IFERROR(IF($C1171="","",SUMIFS(Ledger!$K$2:$K$4, Ledger!$B$2:$B$4, $A1171, Ledger!$C$2:$C$4, O$2)),"****")</f>
        <v/>
      </c>
      <c r="P1171" t="str">
        <f>IFERROR(IF($C1171="","",SUMIFS(Ledger!$K$2:$K$4, Ledger!$B$2:$B$4, $A1171, Ledger!$C$2:$C$4, P$2)),"****")</f>
        <v/>
      </c>
      <c r="Q1171" t="str">
        <f>IFERROR(IF($C1171="","",SUMIFS(Ledger!$K$2:$K$4, Ledger!$B$2:$B$4, $A1171, Ledger!$C$2:$C$4, Q$2)),"****")</f>
        <v/>
      </c>
      <c r="R1171" t="str">
        <f>IFERROR(IF($C1171="","",SUMIFS(Ledger!$K$2:$K$4, Ledger!$B$2:$B$4, $A1171, Ledger!$C$2:$C$4, R$2)),"****")</f>
        <v/>
      </c>
      <c r="S1171" t="str">
        <f>IFERROR(IF($C1171="","",SUMIFS(Ledger!$K$2:$K$4, Ledger!$B$2:$B$4, $A1171, Ledger!$C$2:$C$4, S$2)),"****")</f>
        <v/>
      </c>
      <c r="T1171" t="str">
        <f>IFERROR(IF($C1171="","",SUMIFS(Ledger!$K$2:$K$4, Ledger!$B$2:$B$4, $A1171, Ledger!$C$2:$C$4, T$2)),"****")</f>
        <v/>
      </c>
      <c r="U1171" t="str">
        <f>IFERROR(IF($C1171="","",SUMIFS(Ledger!$K$2:$K$4, Ledger!$B$2:$B$4, $A1171, Ledger!$C$2:$C$4, U$2)),"****")</f>
        <v/>
      </c>
      <c r="V1171" t="str">
        <f>IFERROR(IF($C1171="","",SUMIFS(Ledger!$K$2:$K$4, Ledger!$B$2:$B$4, $A1171, Ledger!$C$2:$C$4, V$2)),"****")</f>
        <v/>
      </c>
      <c r="W1171" t="str">
        <f>IFERROR(IF($C1171="","",SUMIFS(Ledger!$K$2:$K$4, Ledger!$B$2:$B$4, $A1171, Ledger!$C$2:$C$4, W$2)),"****")</f>
        <v/>
      </c>
      <c r="X1171" t="str">
        <f>IFERROR(IF($C1171="","",SUMIFS(Ledger!$K$2:$K$4, Ledger!$B$2:$B$4, $A1171, Ledger!$C$2:$C$4, X$2)),"****")</f>
        <v/>
      </c>
    </row>
    <row r="1172" spans="1:24" x14ac:dyDescent="0.3">
      <c r="A1172" s="106">
        <v>1170</v>
      </c>
      <c r="B1172" t="str">
        <f>IFERROR(VLOOKUP($A1172, Ledger!$B$2:$L$8, 3, 0),"")</f>
        <v/>
      </c>
      <c r="C1172" t="str">
        <f>IFERROR(VLOOKUP($A1172, Ledger!$B$2:$L$8, 4, 0),"")</f>
        <v/>
      </c>
      <c r="D1172" t="str">
        <f>IFERROR(VLOOKUP($A1172, Ledger!$B$2:$L$8, 5, 0),"")</f>
        <v/>
      </c>
      <c r="E1172" t="str">
        <f>IFERROR(VLOOKUP($A1172, Ledger!$B$2:$L$8, 6, 0),"")</f>
        <v/>
      </c>
      <c r="F1172" t="str">
        <f>IFERROR(VLOOKUP($A1172,'Student Data'!$A$2:$AR$6,32,0),"")</f>
        <v/>
      </c>
      <c r="G1172" t="str">
        <f>IFERROR(VLOOKUP($A1172,'Student Data'!$A$2:$AR$6,33,0),"")</f>
        <v/>
      </c>
      <c r="H1172" t="str">
        <f>IFERROR(VLOOKUP($A1172,'Student Data'!$A$2:$AR$6,34,0),"")</f>
        <v/>
      </c>
      <c r="I1172" t="str">
        <f>IFERROR(VLOOKUP($A1172,'Student Data'!$A$2:$AR$6,35,0),"")</f>
        <v/>
      </c>
      <c r="J1172" t="str">
        <f>IFERROR(VLOOKUP($A1172,'Student Data'!$A$2:$AR$6,36,0),"")</f>
        <v/>
      </c>
      <c r="K1172" t="str">
        <f t="shared" si="36"/>
        <v/>
      </c>
      <c r="L1172" t="str">
        <f t="shared" si="37"/>
        <v/>
      </c>
      <c r="M1172" t="str">
        <f>IFERROR(IF($C1172="","",SUMIFS(Ledger!$K$2:$K$4, Ledger!$B$2:$B$4, $A1172, Ledger!$C$2:$C$4, M$2)),"****")</f>
        <v/>
      </c>
      <c r="N1172" t="str">
        <f>IFERROR(IF($C1172="","",SUMIFS(Ledger!$K$2:$K$4, Ledger!$B$2:$B$4, $A1172, Ledger!$C$2:$C$4, N$2)),"****")</f>
        <v/>
      </c>
      <c r="O1172" t="str">
        <f>IFERROR(IF($C1172="","",SUMIFS(Ledger!$K$2:$K$4, Ledger!$B$2:$B$4, $A1172, Ledger!$C$2:$C$4, O$2)),"****")</f>
        <v/>
      </c>
      <c r="P1172" t="str">
        <f>IFERROR(IF($C1172="","",SUMIFS(Ledger!$K$2:$K$4, Ledger!$B$2:$B$4, $A1172, Ledger!$C$2:$C$4, P$2)),"****")</f>
        <v/>
      </c>
      <c r="Q1172" t="str">
        <f>IFERROR(IF($C1172="","",SUMIFS(Ledger!$K$2:$K$4, Ledger!$B$2:$B$4, $A1172, Ledger!$C$2:$C$4, Q$2)),"****")</f>
        <v/>
      </c>
      <c r="R1172" t="str">
        <f>IFERROR(IF($C1172="","",SUMIFS(Ledger!$K$2:$K$4, Ledger!$B$2:$B$4, $A1172, Ledger!$C$2:$C$4, R$2)),"****")</f>
        <v/>
      </c>
      <c r="S1172" t="str">
        <f>IFERROR(IF($C1172="","",SUMIFS(Ledger!$K$2:$K$4, Ledger!$B$2:$B$4, $A1172, Ledger!$C$2:$C$4, S$2)),"****")</f>
        <v/>
      </c>
      <c r="T1172" t="str">
        <f>IFERROR(IF($C1172="","",SUMIFS(Ledger!$K$2:$K$4, Ledger!$B$2:$B$4, $A1172, Ledger!$C$2:$C$4, T$2)),"****")</f>
        <v/>
      </c>
      <c r="U1172" t="str">
        <f>IFERROR(IF($C1172="","",SUMIFS(Ledger!$K$2:$K$4, Ledger!$B$2:$B$4, $A1172, Ledger!$C$2:$C$4, U$2)),"****")</f>
        <v/>
      </c>
      <c r="V1172" t="str">
        <f>IFERROR(IF($C1172="","",SUMIFS(Ledger!$K$2:$K$4, Ledger!$B$2:$B$4, $A1172, Ledger!$C$2:$C$4, V$2)),"****")</f>
        <v/>
      </c>
      <c r="W1172" t="str">
        <f>IFERROR(IF($C1172="","",SUMIFS(Ledger!$K$2:$K$4, Ledger!$B$2:$B$4, $A1172, Ledger!$C$2:$C$4, W$2)),"****")</f>
        <v/>
      </c>
      <c r="X1172" t="str">
        <f>IFERROR(IF($C1172="","",SUMIFS(Ledger!$K$2:$K$4, Ledger!$B$2:$B$4, $A1172, Ledger!$C$2:$C$4, X$2)),"****")</f>
        <v/>
      </c>
    </row>
    <row r="1173" spans="1:24" x14ac:dyDescent="0.3">
      <c r="A1173" s="106">
        <v>1171</v>
      </c>
      <c r="B1173" t="str">
        <f>IFERROR(VLOOKUP($A1173, Ledger!$B$2:$L$8, 3, 0),"")</f>
        <v/>
      </c>
      <c r="C1173" t="str">
        <f>IFERROR(VLOOKUP($A1173, Ledger!$B$2:$L$8, 4, 0),"")</f>
        <v/>
      </c>
      <c r="D1173" t="str">
        <f>IFERROR(VLOOKUP($A1173, Ledger!$B$2:$L$8, 5, 0),"")</f>
        <v/>
      </c>
      <c r="E1173" t="str">
        <f>IFERROR(VLOOKUP($A1173, Ledger!$B$2:$L$8, 6, 0),"")</f>
        <v/>
      </c>
      <c r="F1173" t="str">
        <f>IFERROR(VLOOKUP($A1173,'Student Data'!$A$2:$AR$6,32,0),"")</f>
        <v/>
      </c>
      <c r="G1173" t="str">
        <f>IFERROR(VLOOKUP($A1173,'Student Data'!$A$2:$AR$6,33,0),"")</f>
        <v/>
      </c>
      <c r="H1173" t="str">
        <f>IFERROR(VLOOKUP($A1173,'Student Data'!$A$2:$AR$6,34,0),"")</f>
        <v/>
      </c>
      <c r="I1173" t="str">
        <f>IFERROR(VLOOKUP($A1173,'Student Data'!$A$2:$AR$6,35,0),"")</f>
        <v/>
      </c>
      <c r="J1173" t="str">
        <f>IFERROR(VLOOKUP($A1173,'Student Data'!$A$2:$AR$6,36,0),"")</f>
        <v/>
      </c>
      <c r="K1173" t="str">
        <f t="shared" si="36"/>
        <v/>
      </c>
      <c r="L1173" t="str">
        <f t="shared" si="37"/>
        <v/>
      </c>
      <c r="M1173" t="str">
        <f>IFERROR(IF($C1173="","",SUMIFS(Ledger!$K$2:$K$4, Ledger!$B$2:$B$4, $A1173, Ledger!$C$2:$C$4, M$2)),"****")</f>
        <v/>
      </c>
      <c r="N1173" t="str">
        <f>IFERROR(IF($C1173="","",SUMIFS(Ledger!$K$2:$K$4, Ledger!$B$2:$B$4, $A1173, Ledger!$C$2:$C$4, N$2)),"****")</f>
        <v/>
      </c>
      <c r="O1173" t="str">
        <f>IFERROR(IF($C1173="","",SUMIFS(Ledger!$K$2:$K$4, Ledger!$B$2:$B$4, $A1173, Ledger!$C$2:$C$4, O$2)),"****")</f>
        <v/>
      </c>
      <c r="P1173" t="str">
        <f>IFERROR(IF($C1173="","",SUMIFS(Ledger!$K$2:$K$4, Ledger!$B$2:$B$4, $A1173, Ledger!$C$2:$C$4, P$2)),"****")</f>
        <v/>
      </c>
      <c r="Q1173" t="str">
        <f>IFERROR(IF($C1173="","",SUMIFS(Ledger!$K$2:$K$4, Ledger!$B$2:$B$4, $A1173, Ledger!$C$2:$C$4, Q$2)),"****")</f>
        <v/>
      </c>
      <c r="R1173" t="str">
        <f>IFERROR(IF($C1173="","",SUMIFS(Ledger!$K$2:$K$4, Ledger!$B$2:$B$4, $A1173, Ledger!$C$2:$C$4, R$2)),"****")</f>
        <v/>
      </c>
      <c r="S1173" t="str">
        <f>IFERROR(IF($C1173="","",SUMIFS(Ledger!$K$2:$K$4, Ledger!$B$2:$B$4, $A1173, Ledger!$C$2:$C$4, S$2)),"****")</f>
        <v/>
      </c>
      <c r="T1173" t="str">
        <f>IFERROR(IF($C1173="","",SUMIFS(Ledger!$K$2:$K$4, Ledger!$B$2:$B$4, $A1173, Ledger!$C$2:$C$4, T$2)),"****")</f>
        <v/>
      </c>
      <c r="U1173" t="str">
        <f>IFERROR(IF($C1173="","",SUMIFS(Ledger!$K$2:$K$4, Ledger!$B$2:$B$4, $A1173, Ledger!$C$2:$C$4, U$2)),"****")</f>
        <v/>
      </c>
      <c r="V1173" t="str">
        <f>IFERROR(IF($C1173="","",SUMIFS(Ledger!$K$2:$K$4, Ledger!$B$2:$B$4, $A1173, Ledger!$C$2:$C$4, V$2)),"****")</f>
        <v/>
      </c>
      <c r="W1173" t="str">
        <f>IFERROR(IF($C1173="","",SUMIFS(Ledger!$K$2:$K$4, Ledger!$B$2:$B$4, $A1173, Ledger!$C$2:$C$4, W$2)),"****")</f>
        <v/>
      </c>
      <c r="X1173" t="str">
        <f>IFERROR(IF($C1173="","",SUMIFS(Ledger!$K$2:$K$4, Ledger!$B$2:$B$4, $A1173, Ledger!$C$2:$C$4, X$2)),"****")</f>
        <v/>
      </c>
    </row>
    <row r="1174" spans="1:24" x14ac:dyDescent="0.3">
      <c r="A1174" s="106">
        <v>1172</v>
      </c>
      <c r="B1174" t="str">
        <f>IFERROR(VLOOKUP($A1174, Ledger!$B$2:$L$8, 3, 0),"")</f>
        <v/>
      </c>
      <c r="C1174" t="str">
        <f>IFERROR(VLOOKUP($A1174, Ledger!$B$2:$L$8, 4, 0),"")</f>
        <v/>
      </c>
      <c r="D1174" t="str">
        <f>IFERROR(VLOOKUP($A1174, Ledger!$B$2:$L$8, 5, 0),"")</f>
        <v/>
      </c>
      <c r="E1174" t="str">
        <f>IFERROR(VLOOKUP($A1174, Ledger!$B$2:$L$8, 6, 0),"")</f>
        <v/>
      </c>
      <c r="F1174" t="str">
        <f>IFERROR(VLOOKUP($A1174,'Student Data'!$A$2:$AR$6,32,0),"")</f>
        <v/>
      </c>
      <c r="G1174" t="str">
        <f>IFERROR(VLOOKUP($A1174,'Student Data'!$A$2:$AR$6,33,0),"")</f>
        <v/>
      </c>
      <c r="H1174" t="str">
        <f>IFERROR(VLOOKUP($A1174,'Student Data'!$A$2:$AR$6,34,0),"")</f>
        <v/>
      </c>
      <c r="I1174" t="str">
        <f>IFERROR(VLOOKUP($A1174,'Student Data'!$A$2:$AR$6,35,0),"")</f>
        <v/>
      </c>
      <c r="J1174" t="str">
        <f>IFERROR(VLOOKUP($A1174,'Student Data'!$A$2:$AR$6,36,0),"")</f>
        <v/>
      </c>
      <c r="K1174" t="str">
        <f t="shared" si="36"/>
        <v/>
      </c>
      <c r="L1174" t="str">
        <f t="shared" si="37"/>
        <v/>
      </c>
      <c r="M1174" t="str">
        <f>IFERROR(IF($C1174="","",SUMIFS(Ledger!$K$2:$K$4, Ledger!$B$2:$B$4, $A1174, Ledger!$C$2:$C$4, M$2)),"****")</f>
        <v/>
      </c>
      <c r="N1174" t="str">
        <f>IFERROR(IF($C1174="","",SUMIFS(Ledger!$K$2:$K$4, Ledger!$B$2:$B$4, $A1174, Ledger!$C$2:$C$4, N$2)),"****")</f>
        <v/>
      </c>
      <c r="O1174" t="str">
        <f>IFERROR(IF($C1174="","",SUMIFS(Ledger!$K$2:$K$4, Ledger!$B$2:$B$4, $A1174, Ledger!$C$2:$C$4, O$2)),"****")</f>
        <v/>
      </c>
      <c r="P1174" t="str">
        <f>IFERROR(IF($C1174="","",SUMIFS(Ledger!$K$2:$K$4, Ledger!$B$2:$B$4, $A1174, Ledger!$C$2:$C$4, P$2)),"****")</f>
        <v/>
      </c>
      <c r="Q1174" t="str">
        <f>IFERROR(IF($C1174="","",SUMIFS(Ledger!$K$2:$K$4, Ledger!$B$2:$B$4, $A1174, Ledger!$C$2:$C$4, Q$2)),"****")</f>
        <v/>
      </c>
      <c r="R1174" t="str">
        <f>IFERROR(IF($C1174="","",SUMIFS(Ledger!$K$2:$K$4, Ledger!$B$2:$B$4, $A1174, Ledger!$C$2:$C$4, R$2)),"****")</f>
        <v/>
      </c>
      <c r="S1174" t="str">
        <f>IFERROR(IF($C1174="","",SUMIFS(Ledger!$K$2:$K$4, Ledger!$B$2:$B$4, $A1174, Ledger!$C$2:$C$4, S$2)),"****")</f>
        <v/>
      </c>
      <c r="T1174" t="str">
        <f>IFERROR(IF($C1174="","",SUMIFS(Ledger!$K$2:$K$4, Ledger!$B$2:$B$4, $A1174, Ledger!$C$2:$C$4, T$2)),"****")</f>
        <v/>
      </c>
      <c r="U1174" t="str">
        <f>IFERROR(IF($C1174="","",SUMIFS(Ledger!$K$2:$K$4, Ledger!$B$2:$B$4, $A1174, Ledger!$C$2:$C$4, U$2)),"****")</f>
        <v/>
      </c>
      <c r="V1174" t="str">
        <f>IFERROR(IF($C1174="","",SUMIFS(Ledger!$K$2:$K$4, Ledger!$B$2:$B$4, $A1174, Ledger!$C$2:$C$4, V$2)),"****")</f>
        <v/>
      </c>
      <c r="W1174" t="str">
        <f>IFERROR(IF($C1174="","",SUMIFS(Ledger!$K$2:$K$4, Ledger!$B$2:$B$4, $A1174, Ledger!$C$2:$C$4, W$2)),"****")</f>
        <v/>
      </c>
      <c r="X1174" t="str">
        <f>IFERROR(IF($C1174="","",SUMIFS(Ledger!$K$2:$K$4, Ledger!$B$2:$B$4, $A1174, Ledger!$C$2:$C$4, X$2)),"****")</f>
        <v/>
      </c>
    </row>
    <row r="1175" spans="1:24" x14ac:dyDescent="0.3">
      <c r="A1175" s="106">
        <v>1173</v>
      </c>
      <c r="B1175" t="str">
        <f>IFERROR(VLOOKUP($A1175, Ledger!$B$2:$L$8, 3, 0),"")</f>
        <v/>
      </c>
      <c r="C1175" t="str">
        <f>IFERROR(VLOOKUP($A1175, Ledger!$B$2:$L$8, 4, 0),"")</f>
        <v/>
      </c>
      <c r="D1175" t="str">
        <f>IFERROR(VLOOKUP($A1175, Ledger!$B$2:$L$8, 5, 0),"")</f>
        <v/>
      </c>
      <c r="E1175" t="str">
        <f>IFERROR(VLOOKUP($A1175, Ledger!$B$2:$L$8, 6, 0),"")</f>
        <v/>
      </c>
      <c r="F1175" t="str">
        <f>IFERROR(VLOOKUP($A1175,'Student Data'!$A$2:$AR$6,32,0),"")</f>
        <v/>
      </c>
      <c r="G1175" t="str">
        <f>IFERROR(VLOOKUP($A1175,'Student Data'!$A$2:$AR$6,33,0),"")</f>
        <v/>
      </c>
      <c r="H1175" t="str">
        <f>IFERROR(VLOOKUP($A1175,'Student Data'!$A$2:$AR$6,34,0),"")</f>
        <v/>
      </c>
      <c r="I1175" t="str">
        <f>IFERROR(VLOOKUP($A1175,'Student Data'!$A$2:$AR$6,35,0),"")</f>
        <v/>
      </c>
      <c r="J1175" t="str">
        <f>IFERROR(VLOOKUP($A1175,'Student Data'!$A$2:$AR$6,36,0),"")</f>
        <v/>
      </c>
      <c r="K1175" t="str">
        <f t="shared" si="36"/>
        <v/>
      </c>
      <c r="L1175" t="str">
        <f t="shared" si="37"/>
        <v/>
      </c>
      <c r="M1175" t="str">
        <f>IFERROR(IF($C1175="","",SUMIFS(Ledger!$K$2:$K$4, Ledger!$B$2:$B$4, $A1175, Ledger!$C$2:$C$4, M$2)),"****")</f>
        <v/>
      </c>
      <c r="N1175" t="str">
        <f>IFERROR(IF($C1175="","",SUMIFS(Ledger!$K$2:$K$4, Ledger!$B$2:$B$4, $A1175, Ledger!$C$2:$C$4, N$2)),"****")</f>
        <v/>
      </c>
      <c r="O1175" t="str">
        <f>IFERROR(IF($C1175="","",SUMIFS(Ledger!$K$2:$K$4, Ledger!$B$2:$B$4, $A1175, Ledger!$C$2:$C$4, O$2)),"****")</f>
        <v/>
      </c>
      <c r="P1175" t="str">
        <f>IFERROR(IF($C1175="","",SUMIFS(Ledger!$K$2:$K$4, Ledger!$B$2:$B$4, $A1175, Ledger!$C$2:$C$4, P$2)),"****")</f>
        <v/>
      </c>
      <c r="Q1175" t="str">
        <f>IFERROR(IF($C1175="","",SUMIFS(Ledger!$K$2:$K$4, Ledger!$B$2:$B$4, $A1175, Ledger!$C$2:$C$4, Q$2)),"****")</f>
        <v/>
      </c>
      <c r="R1175" t="str">
        <f>IFERROR(IF($C1175="","",SUMIFS(Ledger!$K$2:$K$4, Ledger!$B$2:$B$4, $A1175, Ledger!$C$2:$C$4, R$2)),"****")</f>
        <v/>
      </c>
      <c r="S1175" t="str">
        <f>IFERROR(IF($C1175="","",SUMIFS(Ledger!$K$2:$K$4, Ledger!$B$2:$B$4, $A1175, Ledger!$C$2:$C$4, S$2)),"****")</f>
        <v/>
      </c>
      <c r="T1175" t="str">
        <f>IFERROR(IF($C1175="","",SUMIFS(Ledger!$K$2:$K$4, Ledger!$B$2:$B$4, $A1175, Ledger!$C$2:$C$4, T$2)),"****")</f>
        <v/>
      </c>
      <c r="U1175" t="str">
        <f>IFERROR(IF($C1175="","",SUMIFS(Ledger!$K$2:$K$4, Ledger!$B$2:$B$4, $A1175, Ledger!$C$2:$C$4, U$2)),"****")</f>
        <v/>
      </c>
      <c r="V1175" t="str">
        <f>IFERROR(IF($C1175="","",SUMIFS(Ledger!$K$2:$K$4, Ledger!$B$2:$B$4, $A1175, Ledger!$C$2:$C$4, V$2)),"****")</f>
        <v/>
      </c>
      <c r="W1175" t="str">
        <f>IFERROR(IF($C1175="","",SUMIFS(Ledger!$K$2:$K$4, Ledger!$B$2:$B$4, $A1175, Ledger!$C$2:$C$4, W$2)),"****")</f>
        <v/>
      </c>
      <c r="X1175" t="str">
        <f>IFERROR(IF($C1175="","",SUMIFS(Ledger!$K$2:$K$4, Ledger!$B$2:$B$4, $A1175, Ledger!$C$2:$C$4, X$2)),"****")</f>
        <v/>
      </c>
    </row>
    <row r="1176" spans="1:24" x14ac:dyDescent="0.3">
      <c r="A1176" s="106">
        <v>1174</v>
      </c>
      <c r="B1176" t="str">
        <f>IFERROR(VLOOKUP($A1176, Ledger!$B$2:$L$8, 3, 0),"")</f>
        <v/>
      </c>
      <c r="C1176" t="str">
        <f>IFERROR(VLOOKUP($A1176, Ledger!$B$2:$L$8, 4, 0),"")</f>
        <v/>
      </c>
      <c r="D1176" t="str">
        <f>IFERROR(VLOOKUP($A1176, Ledger!$B$2:$L$8, 5, 0),"")</f>
        <v/>
      </c>
      <c r="E1176" t="str">
        <f>IFERROR(VLOOKUP($A1176, Ledger!$B$2:$L$8, 6, 0),"")</f>
        <v/>
      </c>
      <c r="F1176" t="str">
        <f>IFERROR(VLOOKUP($A1176,'Student Data'!$A$2:$AR$6,32,0),"")</f>
        <v/>
      </c>
      <c r="G1176" t="str">
        <f>IFERROR(VLOOKUP($A1176,'Student Data'!$A$2:$AR$6,33,0),"")</f>
        <v/>
      </c>
      <c r="H1176" t="str">
        <f>IFERROR(VLOOKUP($A1176,'Student Data'!$A$2:$AR$6,34,0),"")</f>
        <v/>
      </c>
      <c r="I1176" t="str">
        <f>IFERROR(VLOOKUP($A1176,'Student Data'!$A$2:$AR$6,35,0),"")</f>
        <v/>
      </c>
      <c r="J1176" t="str">
        <f>IFERROR(VLOOKUP($A1176,'Student Data'!$A$2:$AR$6,36,0),"")</f>
        <v/>
      </c>
      <c r="K1176" t="str">
        <f t="shared" si="36"/>
        <v/>
      </c>
      <c r="L1176" t="str">
        <f t="shared" si="37"/>
        <v/>
      </c>
      <c r="M1176" t="str">
        <f>IFERROR(IF($C1176="","",SUMIFS(Ledger!$K$2:$K$4, Ledger!$B$2:$B$4, $A1176, Ledger!$C$2:$C$4, M$2)),"****")</f>
        <v/>
      </c>
      <c r="N1176" t="str">
        <f>IFERROR(IF($C1176="","",SUMIFS(Ledger!$K$2:$K$4, Ledger!$B$2:$B$4, $A1176, Ledger!$C$2:$C$4, N$2)),"****")</f>
        <v/>
      </c>
      <c r="O1176" t="str">
        <f>IFERROR(IF($C1176="","",SUMIFS(Ledger!$K$2:$K$4, Ledger!$B$2:$B$4, $A1176, Ledger!$C$2:$C$4, O$2)),"****")</f>
        <v/>
      </c>
      <c r="P1176" t="str">
        <f>IFERROR(IF($C1176="","",SUMIFS(Ledger!$K$2:$K$4, Ledger!$B$2:$B$4, $A1176, Ledger!$C$2:$C$4, P$2)),"****")</f>
        <v/>
      </c>
      <c r="Q1176" t="str">
        <f>IFERROR(IF($C1176="","",SUMIFS(Ledger!$K$2:$K$4, Ledger!$B$2:$B$4, $A1176, Ledger!$C$2:$C$4, Q$2)),"****")</f>
        <v/>
      </c>
      <c r="R1176" t="str">
        <f>IFERROR(IF($C1176="","",SUMIFS(Ledger!$K$2:$K$4, Ledger!$B$2:$B$4, $A1176, Ledger!$C$2:$C$4, R$2)),"****")</f>
        <v/>
      </c>
      <c r="S1176" t="str">
        <f>IFERROR(IF($C1176="","",SUMIFS(Ledger!$K$2:$K$4, Ledger!$B$2:$B$4, $A1176, Ledger!$C$2:$C$4, S$2)),"****")</f>
        <v/>
      </c>
      <c r="T1176" t="str">
        <f>IFERROR(IF($C1176="","",SUMIFS(Ledger!$K$2:$K$4, Ledger!$B$2:$B$4, $A1176, Ledger!$C$2:$C$4, T$2)),"****")</f>
        <v/>
      </c>
      <c r="U1176" t="str">
        <f>IFERROR(IF($C1176="","",SUMIFS(Ledger!$K$2:$K$4, Ledger!$B$2:$B$4, $A1176, Ledger!$C$2:$C$4, U$2)),"****")</f>
        <v/>
      </c>
      <c r="V1176" t="str">
        <f>IFERROR(IF($C1176="","",SUMIFS(Ledger!$K$2:$K$4, Ledger!$B$2:$B$4, $A1176, Ledger!$C$2:$C$4, V$2)),"****")</f>
        <v/>
      </c>
      <c r="W1176" t="str">
        <f>IFERROR(IF($C1176="","",SUMIFS(Ledger!$K$2:$K$4, Ledger!$B$2:$B$4, $A1176, Ledger!$C$2:$C$4, W$2)),"****")</f>
        <v/>
      </c>
      <c r="X1176" t="str">
        <f>IFERROR(IF($C1176="","",SUMIFS(Ledger!$K$2:$K$4, Ledger!$B$2:$B$4, $A1176, Ledger!$C$2:$C$4, X$2)),"****")</f>
        <v/>
      </c>
    </row>
    <row r="1177" spans="1:24" x14ac:dyDescent="0.3">
      <c r="A1177" s="106">
        <v>1175</v>
      </c>
      <c r="B1177" t="str">
        <f>IFERROR(VLOOKUP($A1177, Ledger!$B$2:$L$8, 3, 0),"")</f>
        <v/>
      </c>
      <c r="C1177" t="str">
        <f>IFERROR(VLOOKUP($A1177, Ledger!$B$2:$L$8, 4, 0),"")</f>
        <v/>
      </c>
      <c r="D1177" t="str">
        <f>IFERROR(VLOOKUP($A1177, Ledger!$B$2:$L$8, 5, 0),"")</f>
        <v/>
      </c>
      <c r="E1177" t="str">
        <f>IFERROR(VLOOKUP($A1177, Ledger!$B$2:$L$8, 6, 0),"")</f>
        <v/>
      </c>
      <c r="F1177" t="str">
        <f>IFERROR(VLOOKUP($A1177,'Student Data'!$A$2:$AR$6,32,0),"")</f>
        <v/>
      </c>
      <c r="G1177" t="str">
        <f>IFERROR(VLOOKUP($A1177,'Student Data'!$A$2:$AR$6,33,0),"")</f>
        <v/>
      </c>
      <c r="H1177" t="str">
        <f>IFERROR(VLOOKUP($A1177,'Student Data'!$A$2:$AR$6,34,0),"")</f>
        <v/>
      </c>
      <c r="I1177" t="str">
        <f>IFERROR(VLOOKUP($A1177,'Student Data'!$A$2:$AR$6,35,0),"")</f>
        <v/>
      </c>
      <c r="J1177" t="str">
        <f>IFERROR(VLOOKUP($A1177,'Student Data'!$A$2:$AR$6,36,0),"")</f>
        <v/>
      </c>
      <c r="K1177" t="str">
        <f t="shared" si="36"/>
        <v/>
      </c>
      <c r="L1177" t="str">
        <f t="shared" si="37"/>
        <v/>
      </c>
      <c r="M1177" t="str">
        <f>IFERROR(IF($C1177="","",SUMIFS(Ledger!$K$2:$K$4, Ledger!$B$2:$B$4, $A1177, Ledger!$C$2:$C$4, M$2)),"****")</f>
        <v/>
      </c>
      <c r="N1177" t="str">
        <f>IFERROR(IF($C1177="","",SUMIFS(Ledger!$K$2:$K$4, Ledger!$B$2:$B$4, $A1177, Ledger!$C$2:$C$4, N$2)),"****")</f>
        <v/>
      </c>
      <c r="O1177" t="str">
        <f>IFERROR(IF($C1177="","",SUMIFS(Ledger!$K$2:$K$4, Ledger!$B$2:$B$4, $A1177, Ledger!$C$2:$C$4, O$2)),"****")</f>
        <v/>
      </c>
      <c r="P1177" t="str">
        <f>IFERROR(IF($C1177="","",SUMIFS(Ledger!$K$2:$K$4, Ledger!$B$2:$B$4, $A1177, Ledger!$C$2:$C$4, P$2)),"****")</f>
        <v/>
      </c>
      <c r="Q1177" t="str">
        <f>IFERROR(IF($C1177="","",SUMIFS(Ledger!$K$2:$K$4, Ledger!$B$2:$B$4, $A1177, Ledger!$C$2:$C$4, Q$2)),"****")</f>
        <v/>
      </c>
      <c r="R1177" t="str">
        <f>IFERROR(IF($C1177="","",SUMIFS(Ledger!$K$2:$K$4, Ledger!$B$2:$B$4, $A1177, Ledger!$C$2:$C$4, R$2)),"****")</f>
        <v/>
      </c>
      <c r="S1177" t="str">
        <f>IFERROR(IF($C1177="","",SUMIFS(Ledger!$K$2:$K$4, Ledger!$B$2:$B$4, $A1177, Ledger!$C$2:$C$4, S$2)),"****")</f>
        <v/>
      </c>
      <c r="T1177" t="str">
        <f>IFERROR(IF($C1177="","",SUMIFS(Ledger!$K$2:$K$4, Ledger!$B$2:$B$4, $A1177, Ledger!$C$2:$C$4, T$2)),"****")</f>
        <v/>
      </c>
      <c r="U1177" t="str">
        <f>IFERROR(IF($C1177="","",SUMIFS(Ledger!$K$2:$K$4, Ledger!$B$2:$B$4, $A1177, Ledger!$C$2:$C$4, U$2)),"****")</f>
        <v/>
      </c>
      <c r="V1177" t="str">
        <f>IFERROR(IF($C1177="","",SUMIFS(Ledger!$K$2:$K$4, Ledger!$B$2:$B$4, $A1177, Ledger!$C$2:$C$4, V$2)),"****")</f>
        <v/>
      </c>
      <c r="W1177" t="str">
        <f>IFERROR(IF($C1177="","",SUMIFS(Ledger!$K$2:$K$4, Ledger!$B$2:$B$4, $A1177, Ledger!$C$2:$C$4, W$2)),"****")</f>
        <v/>
      </c>
      <c r="X1177" t="str">
        <f>IFERROR(IF($C1177="","",SUMIFS(Ledger!$K$2:$K$4, Ledger!$B$2:$B$4, $A1177, Ledger!$C$2:$C$4, X$2)),"****")</f>
        <v/>
      </c>
    </row>
    <row r="1178" spans="1:24" x14ac:dyDescent="0.3">
      <c r="A1178" s="106">
        <v>1176</v>
      </c>
      <c r="B1178" t="str">
        <f>IFERROR(VLOOKUP($A1178, Ledger!$B$2:$L$8, 3, 0),"")</f>
        <v/>
      </c>
      <c r="C1178" t="str">
        <f>IFERROR(VLOOKUP($A1178, Ledger!$B$2:$L$8, 4, 0),"")</f>
        <v/>
      </c>
      <c r="D1178" t="str">
        <f>IFERROR(VLOOKUP($A1178, Ledger!$B$2:$L$8, 5, 0),"")</f>
        <v/>
      </c>
      <c r="E1178" t="str">
        <f>IFERROR(VLOOKUP($A1178, Ledger!$B$2:$L$8, 6, 0),"")</f>
        <v/>
      </c>
      <c r="F1178" t="str">
        <f>IFERROR(VLOOKUP($A1178,'Student Data'!$A$2:$AR$6,32,0),"")</f>
        <v/>
      </c>
      <c r="G1178" t="str">
        <f>IFERROR(VLOOKUP($A1178,'Student Data'!$A$2:$AR$6,33,0),"")</f>
        <v/>
      </c>
      <c r="H1178" t="str">
        <f>IFERROR(VLOOKUP($A1178,'Student Data'!$A$2:$AR$6,34,0),"")</f>
        <v/>
      </c>
      <c r="I1178" t="str">
        <f>IFERROR(VLOOKUP($A1178,'Student Data'!$A$2:$AR$6,35,0),"")</f>
        <v/>
      </c>
      <c r="J1178" t="str">
        <f>IFERROR(VLOOKUP($A1178,'Student Data'!$A$2:$AR$6,36,0),"")</f>
        <v/>
      </c>
      <c r="K1178" t="str">
        <f t="shared" si="36"/>
        <v/>
      </c>
      <c r="L1178" t="str">
        <f t="shared" si="37"/>
        <v/>
      </c>
      <c r="M1178" t="str">
        <f>IFERROR(IF($C1178="","",SUMIFS(Ledger!$K$2:$K$4, Ledger!$B$2:$B$4, $A1178, Ledger!$C$2:$C$4, M$2)),"****")</f>
        <v/>
      </c>
      <c r="N1178" t="str">
        <f>IFERROR(IF($C1178="","",SUMIFS(Ledger!$K$2:$K$4, Ledger!$B$2:$B$4, $A1178, Ledger!$C$2:$C$4, N$2)),"****")</f>
        <v/>
      </c>
      <c r="O1178" t="str">
        <f>IFERROR(IF($C1178="","",SUMIFS(Ledger!$K$2:$K$4, Ledger!$B$2:$B$4, $A1178, Ledger!$C$2:$C$4, O$2)),"****")</f>
        <v/>
      </c>
      <c r="P1178" t="str">
        <f>IFERROR(IF($C1178="","",SUMIFS(Ledger!$K$2:$K$4, Ledger!$B$2:$B$4, $A1178, Ledger!$C$2:$C$4, P$2)),"****")</f>
        <v/>
      </c>
      <c r="Q1178" t="str">
        <f>IFERROR(IF($C1178="","",SUMIFS(Ledger!$K$2:$K$4, Ledger!$B$2:$B$4, $A1178, Ledger!$C$2:$C$4, Q$2)),"****")</f>
        <v/>
      </c>
      <c r="R1178" t="str">
        <f>IFERROR(IF($C1178="","",SUMIFS(Ledger!$K$2:$K$4, Ledger!$B$2:$B$4, $A1178, Ledger!$C$2:$C$4, R$2)),"****")</f>
        <v/>
      </c>
      <c r="S1178" t="str">
        <f>IFERROR(IF($C1178="","",SUMIFS(Ledger!$K$2:$K$4, Ledger!$B$2:$B$4, $A1178, Ledger!$C$2:$C$4, S$2)),"****")</f>
        <v/>
      </c>
      <c r="T1178" t="str">
        <f>IFERROR(IF($C1178="","",SUMIFS(Ledger!$K$2:$K$4, Ledger!$B$2:$B$4, $A1178, Ledger!$C$2:$C$4, T$2)),"****")</f>
        <v/>
      </c>
      <c r="U1178" t="str">
        <f>IFERROR(IF($C1178="","",SUMIFS(Ledger!$K$2:$K$4, Ledger!$B$2:$B$4, $A1178, Ledger!$C$2:$C$4, U$2)),"****")</f>
        <v/>
      </c>
      <c r="V1178" t="str">
        <f>IFERROR(IF($C1178="","",SUMIFS(Ledger!$K$2:$K$4, Ledger!$B$2:$B$4, $A1178, Ledger!$C$2:$C$4, V$2)),"****")</f>
        <v/>
      </c>
      <c r="W1178" t="str">
        <f>IFERROR(IF($C1178="","",SUMIFS(Ledger!$K$2:$K$4, Ledger!$B$2:$B$4, $A1178, Ledger!$C$2:$C$4, W$2)),"****")</f>
        <v/>
      </c>
      <c r="X1178" t="str">
        <f>IFERROR(IF($C1178="","",SUMIFS(Ledger!$K$2:$K$4, Ledger!$B$2:$B$4, $A1178, Ledger!$C$2:$C$4, X$2)),"****")</f>
        <v/>
      </c>
    </row>
    <row r="1179" spans="1:24" x14ac:dyDescent="0.3">
      <c r="A1179" s="106">
        <v>1177</v>
      </c>
      <c r="B1179" t="str">
        <f>IFERROR(VLOOKUP($A1179, Ledger!$B$2:$L$8, 3, 0),"")</f>
        <v/>
      </c>
      <c r="C1179" t="str">
        <f>IFERROR(VLOOKUP($A1179, Ledger!$B$2:$L$8, 4, 0),"")</f>
        <v/>
      </c>
      <c r="D1179" t="str">
        <f>IFERROR(VLOOKUP($A1179, Ledger!$B$2:$L$8, 5, 0),"")</f>
        <v/>
      </c>
      <c r="E1179" t="str">
        <f>IFERROR(VLOOKUP($A1179, Ledger!$B$2:$L$8, 6, 0),"")</f>
        <v/>
      </c>
      <c r="F1179" t="str">
        <f>IFERROR(VLOOKUP($A1179,'Student Data'!$A$2:$AR$6,32,0),"")</f>
        <v/>
      </c>
      <c r="G1179" t="str">
        <f>IFERROR(VLOOKUP($A1179,'Student Data'!$A$2:$AR$6,33,0),"")</f>
        <v/>
      </c>
      <c r="H1179" t="str">
        <f>IFERROR(VLOOKUP($A1179,'Student Data'!$A$2:$AR$6,34,0),"")</f>
        <v/>
      </c>
      <c r="I1179" t="str">
        <f>IFERROR(VLOOKUP($A1179,'Student Data'!$A$2:$AR$6,35,0),"")</f>
        <v/>
      </c>
      <c r="J1179" t="str">
        <f>IFERROR(VLOOKUP($A1179,'Student Data'!$A$2:$AR$6,36,0),"")</f>
        <v/>
      </c>
      <c r="K1179" t="str">
        <f t="shared" si="36"/>
        <v/>
      </c>
      <c r="L1179" t="str">
        <f t="shared" si="37"/>
        <v/>
      </c>
      <c r="M1179" t="str">
        <f>IFERROR(IF($C1179="","",SUMIFS(Ledger!$K$2:$K$4, Ledger!$B$2:$B$4, $A1179, Ledger!$C$2:$C$4, M$2)),"****")</f>
        <v/>
      </c>
      <c r="N1179" t="str">
        <f>IFERROR(IF($C1179="","",SUMIFS(Ledger!$K$2:$K$4, Ledger!$B$2:$B$4, $A1179, Ledger!$C$2:$C$4, N$2)),"****")</f>
        <v/>
      </c>
      <c r="O1179" t="str">
        <f>IFERROR(IF($C1179="","",SUMIFS(Ledger!$K$2:$K$4, Ledger!$B$2:$B$4, $A1179, Ledger!$C$2:$C$4, O$2)),"****")</f>
        <v/>
      </c>
      <c r="P1179" t="str">
        <f>IFERROR(IF($C1179="","",SUMIFS(Ledger!$K$2:$K$4, Ledger!$B$2:$B$4, $A1179, Ledger!$C$2:$C$4, P$2)),"****")</f>
        <v/>
      </c>
      <c r="Q1179" t="str">
        <f>IFERROR(IF($C1179="","",SUMIFS(Ledger!$K$2:$K$4, Ledger!$B$2:$B$4, $A1179, Ledger!$C$2:$C$4, Q$2)),"****")</f>
        <v/>
      </c>
      <c r="R1179" t="str">
        <f>IFERROR(IF($C1179="","",SUMIFS(Ledger!$K$2:$K$4, Ledger!$B$2:$B$4, $A1179, Ledger!$C$2:$C$4, R$2)),"****")</f>
        <v/>
      </c>
      <c r="S1179" t="str">
        <f>IFERROR(IF($C1179="","",SUMIFS(Ledger!$K$2:$K$4, Ledger!$B$2:$B$4, $A1179, Ledger!$C$2:$C$4, S$2)),"****")</f>
        <v/>
      </c>
      <c r="T1179" t="str">
        <f>IFERROR(IF($C1179="","",SUMIFS(Ledger!$K$2:$K$4, Ledger!$B$2:$B$4, $A1179, Ledger!$C$2:$C$4, T$2)),"****")</f>
        <v/>
      </c>
      <c r="U1179" t="str">
        <f>IFERROR(IF($C1179="","",SUMIFS(Ledger!$K$2:$K$4, Ledger!$B$2:$B$4, $A1179, Ledger!$C$2:$C$4, U$2)),"****")</f>
        <v/>
      </c>
      <c r="V1179" t="str">
        <f>IFERROR(IF($C1179="","",SUMIFS(Ledger!$K$2:$K$4, Ledger!$B$2:$B$4, $A1179, Ledger!$C$2:$C$4, V$2)),"****")</f>
        <v/>
      </c>
      <c r="W1179" t="str">
        <f>IFERROR(IF($C1179="","",SUMIFS(Ledger!$K$2:$K$4, Ledger!$B$2:$B$4, $A1179, Ledger!$C$2:$C$4, W$2)),"****")</f>
        <v/>
      </c>
      <c r="X1179" t="str">
        <f>IFERROR(IF($C1179="","",SUMIFS(Ledger!$K$2:$K$4, Ledger!$B$2:$B$4, $A1179, Ledger!$C$2:$C$4, X$2)),"****")</f>
        <v/>
      </c>
    </row>
    <row r="1180" spans="1:24" x14ac:dyDescent="0.3">
      <c r="A1180" s="106">
        <v>1178</v>
      </c>
      <c r="B1180" t="str">
        <f>IFERROR(VLOOKUP($A1180, Ledger!$B$2:$L$8, 3, 0),"")</f>
        <v/>
      </c>
      <c r="C1180" t="str">
        <f>IFERROR(VLOOKUP($A1180, Ledger!$B$2:$L$8, 4, 0),"")</f>
        <v/>
      </c>
      <c r="D1180" t="str">
        <f>IFERROR(VLOOKUP($A1180, Ledger!$B$2:$L$8, 5, 0),"")</f>
        <v/>
      </c>
      <c r="E1180" t="str">
        <f>IFERROR(VLOOKUP($A1180, Ledger!$B$2:$L$8, 6, 0),"")</f>
        <v/>
      </c>
      <c r="F1180" t="str">
        <f>IFERROR(VLOOKUP($A1180,'Student Data'!$A$2:$AR$6,32,0),"")</f>
        <v/>
      </c>
      <c r="G1180" t="str">
        <f>IFERROR(VLOOKUP($A1180,'Student Data'!$A$2:$AR$6,33,0),"")</f>
        <v/>
      </c>
      <c r="H1180" t="str">
        <f>IFERROR(VLOOKUP($A1180,'Student Data'!$A$2:$AR$6,34,0),"")</f>
        <v/>
      </c>
      <c r="I1180" t="str">
        <f>IFERROR(VLOOKUP($A1180,'Student Data'!$A$2:$AR$6,35,0),"")</f>
        <v/>
      </c>
      <c r="J1180" t="str">
        <f>IFERROR(VLOOKUP($A1180,'Student Data'!$A$2:$AR$6,36,0),"")</f>
        <v/>
      </c>
      <c r="K1180" t="str">
        <f t="shared" si="36"/>
        <v/>
      </c>
      <c r="L1180" t="str">
        <f t="shared" si="37"/>
        <v/>
      </c>
      <c r="M1180" t="str">
        <f>IFERROR(IF($C1180="","",SUMIFS(Ledger!$K$2:$K$4, Ledger!$B$2:$B$4, $A1180, Ledger!$C$2:$C$4, M$2)),"****")</f>
        <v/>
      </c>
      <c r="N1180" t="str">
        <f>IFERROR(IF($C1180="","",SUMIFS(Ledger!$K$2:$K$4, Ledger!$B$2:$B$4, $A1180, Ledger!$C$2:$C$4, N$2)),"****")</f>
        <v/>
      </c>
      <c r="O1180" t="str">
        <f>IFERROR(IF($C1180="","",SUMIFS(Ledger!$K$2:$K$4, Ledger!$B$2:$B$4, $A1180, Ledger!$C$2:$C$4, O$2)),"****")</f>
        <v/>
      </c>
      <c r="P1180" t="str">
        <f>IFERROR(IF($C1180="","",SUMIFS(Ledger!$K$2:$K$4, Ledger!$B$2:$B$4, $A1180, Ledger!$C$2:$C$4, P$2)),"****")</f>
        <v/>
      </c>
      <c r="Q1180" t="str">
        <f>IFERROR(IF($C1180="","",SUMIFS(Ledger!$K$2:$K$4, Ledger!$B$2:$B$4, $A1180, Ledger!$C$2:$C$4, Q$2)),"****")</f>
        <v/>
      </c>
      <c r="R1180" t="str">
        <f>IFERROR(IF($C1180="","",SUMIFS(Ledger!$K$2:$K$4, Ledger!$B$2:$B$4, $A1180, Ledger!$C$2:$C$4, R$2)),"****")</f>
        <v/>
      </c>
      <c r="S1180" t="str">
        <f>IFERROR(IF($C1180="","",SUMIFS(Ledger!$K$2:$K$4, Ledger!$B$2:$B$4, $A1180, Ledger!$C$2:$C$4, S$2)),"****")</f>
        <v/>
      </c>
      <c r="T1180" t="str">
        <f>IFERROR(IF($C1180="","",SUMIFS(Ledger!$K$2:$K$4, Ledger!$B$2:$B$4, $A1180, Ledger!$C$2:$C$4, T$2)),"****")</f>
        <v/>
      </c>
      <c r="U1180" t="str">
        <f>IFERROR(IF($C1180="","",SUMIFS(Ledger!$K$2:$K$4, Ledger!$B$2:$B$4, $A1180, Ledger!$C$2:$C$4, U$2)),"****")</f>
        <v/>
      </c>
      <c r="V1180" t="str">
        <f>IFERROR(IF($C1180="","",SUMIFS(Ledger!$K$2:$K$4, Ledger!$B$2:$B$4, $A1180, Ledger!$C$2:$C$4, V$2)),"****")</f>
        <v/>
      </c>
      <c r="W1180" t="str">
        <f>IFERROR(IF($C1180="","",SUMIFS(Ledger!$K$2:$K$4, Ledger!$B$2:$B$4, $A1180, Ledger!$C$2:$C$4, W$2)),"****")</f>
        <v/>
      </c>
      <c r="X1180" t="str">
        <f>IFERROR(IF($C1180="","",SUMIFS(Ledger!$K$2:$K$4, Ledger!$B$2:$B$4, $A1180, Ledger!$C$2:$C$4, X$2)),"****")</f>
        <v/>
      </c>
    </row>
    <row r="1181" spans="1:24" x14ac:dyDescent="0.3">
      <c r="A1181" s="106">
        <v>1179</v>
      </c>
      <c r="B1181" t="str">
        <f>IFERROR(VLOOKUP($A1181, Ledger!$B$2:$L$8, 3, 0),"")</f>
        <v/>
      </c>
      <c r="C1181" t="str">
        <f>IFERROR(VLOOKUP($A1181, Ledger!$B$2:$L$8, 4, 0),"")</f>
        <v/>
      </c>
      <c r="D1181" t="str">
        <f>IFERROR(VLOOKUP($A1181, Ledger!$B$2:$L$8, 5, 0),"")</f>
        <v/>
      </c>
      <c r="E1181" t="str">
        <f>IFERROR(VLOOKUP($A1181, Ledger!$B$2:$L$8, 6, 0),"")</f>
        <v/>
      </c>
      <c r="F1181" t="str">
        <f>IFERROR(VLOOKUP($A1181,'Student Data'!$A$2:$AR$6,32,0),"")</f>
        <v/>
      </c>
      <c r="G1181" t="str">
        <f>IFERROR(VLOOKUP($A1181,'Student Data'!$A$2:$AR$6,33,0),"")</f>
        <v/>
      </c>
      <c r="H1181" t="str">
        <f>IFERROR(VLOOKUP($A1181,'Student Data'!$A$2:$AR$6,34,0),"")</f>
        <v/>
      </c>
      <c r="I1181" t="str">
        <f>IFERROR(VLOOKUP($A1181,'Student Data'!$A$2:$AR$6,35,0),"")</f>
        <v/>
      </c>
      <c r="J1181" t="str">
        <f>IFERROR(VLOOKUP($A1181,'Student Data'!$A$2:$AR$6,36,0),"")</f>
        <v/>
      </c>
      <c r="K1181" t="str">
        <f t="shared" si="36"/>
        <v/>
      </c>
      <c r="L1181" t="str">
        <f t="shared" si="37"/>
        <v/>
      </c>
      <c r="M1181" t="str">
        <f>IFERROR(IF($C1181="","",SUMIFS(Ledger!$K$2:$K$4, Ledger!$B$2:$B$4, $A1181, Ledger!$C$2:$C$4, M$2)),"****")</f>
        <v/>
      </c>
      <c r="N1181" t="str">
        <f>IFERROR(IF($C1181="","",SUMIFS(Ledger!$K$2:$K$4, Ledger!$B$2:$B$4, $A1181, Ledger!$C$2:$C$4, N$2)),"****")</f>
        <v/>
      </c>
      <c r="O1181" t="str">
        <f>IFERROR(IF($C1181="","",SUMIFS(Ledger!$K$2:$K$4, Ledger!$B$2:$B$4, $A1181, Ledger!$C$2:$C$4, O$2)),"****")</f>
        <v/>
      </c>
      <c r="P1181" t="str">
        <f>IFERROR(IF($C1181="","",SUMIFS(Ledger!$K$2:$K$4, Ledger!$B$2:$B$4, $A1181, Ledger!$C$2:$C$4, P$2)),"****")</f>
        <v/>
      </c>
      <c r="Q1181" t="str">
        <f>IFERROR(IF($C1181="","",SUMIFS(Ledger!$K$2:$K$4, Ledger!$B$2:$B$4, $A1181, Ledger!$C$2:$C$4, Q$2)),"****")</f>
        <v/>
      </c>
      <c r="R1181" t="str">
        <f>IFERROR(IF($C1181="","",SUMIFS(Ledger!$K$2:$K$4, Ledger!$B$2:$B$4, $A1181, Ledger!$C$2:$C$4, R$2)),"****")</f>
        <v/>
      </c>
      <c r="S1181" t="str">
        <f>IFERROR(IF($C1181="","",SUMIFS(Ledger!$K$2:$K$4, Ledger!$B$2:$B$4, $A1181, Ledger!$C$2:$C$4, S$2)),"****")</f>
        <v/>
      </c>
      <c r="T1181" t="str">
        <f>IFERROR(IF($C1181="","",SUMIFS(Ledger!$K$2:$K$4, Ledger!$B$2:$B$4, $A1181, Ledger!$C$2:$C$4, T$2)),"****")</f>
        <v/>
      </c>
      <c r="U1181" t="str">
        <f>IFERROR(IF($C1181="","",SUMIFS(Ledger!$K$2:$K$4, Ledger!$B$2:$B$4, $A1181, Ledger!$C$2:$C$4, U$2)),"****")</f>
        <v/>
      </c>
      <c r="V1181" t="str">
        <f>IFERROR(IF($C1181="","",SUMIFS(Ledger!$K$2:$K$4, Ledger!$B$2:$B$4, $A1181, Ledger!$C$2:$C$4, V$2)),"****")</f>
        <v/>
      </c>
      <c r="W1181" t="str">
        <f>IFERROR(IF($C1181="","",SUMIFS(Ledger!$K$2:$K$4, Ledger!$B$2:$B$4, $A1181, Ledger!$C$2:$C$4, W$2)),"****")</f>
        <v/>
      </c>
      <c r="X1181" t="str">
        <f>IFERROR(IF($C1181="","",SUMIFS(Ledger!$K$2:$K$4, Ledger!$B$2:$B$4, $A1181, Ledger!$C$2:$C$4, X$2)),"****")</f>
        <v/>
      </c>
    </row>
    <row r="1182" spans="1:24" x14ac:dyDescent="0.3">
      <c r="A1182" s="106">
        <v>1180</v>
      </c>
      <c r="B1182" t="str">
        <f>IFERROR(VLOOKUP($A1182, Ledger!$B$2:$L$8, 3, 0),"")</f>
        <v/>
      </c>
      <c r="C1182" t="str">
        <f>IFERROR(VLOOKUP($A1182, Ledger!$B$2:$L$8, 4, 0),"")</f>
        <v/>
      </c>
      <c r="D1182" t="str">
        <f>IFERROR(VLOOKUP($A1182, Ledger!$B$2:$L$8, 5, 0),"")</f>
        <v/>
      </c>
      <c r="E1182" t="str">
        <f>IFERROR(VLOOKUP($A1182, Ledger!$B$2:$L$8, 6, 0),"")</f>
        <v/>
      </c>
      <c r="F1182" t="str">
        <f>IFERROR(VLOOKUP($A1182,'Student Data'!$A$2:$AR$6,32,0),"")</f>
        <v/>
      </c>
      <c r="G1182" t="str">
        <f>IFERROR(VLOOKUP($A1182,'Student Data'!$A$2:$AR$6,33,0),"")</f>
        <v/>
      </c>
      <c r="H1182" t="str">
        <f>IFERROR(VLOOKUP($A1182,'Student Data'!$A$2:$AR$6,34,0),"")</f>
        <v/>
      </c>
      <c r="I1182" t="str">
        <f>IFERROR(VLOOKUP($A1182,'Student Data'!$A$2:$AR$6,35,0),"")</f>
        <v/>
      </c>
      <c r="J1182" t="str">
        <f>IFERROR(VLOOKUP($A1182,'Student Data'!$A$2:$AR$6,36,0),"")</f>
        <v/>
      </c>
      <c r="K1182" t="str">
        <f t="shared" si="36"/>
        <v/>
      </c>
      <c r="L1182" t="str">
        <f t="shared" si="37"/>
        <v/>
      </c>
      <c r="M1182" t="str">
        <f>IFERROR(IF($C1182="","",SUMIFS(Ledger!$K$2:$K$4, Ledger!$B$2:$B$4, $A1182, Ledger!$C$2:$C$4, M$2)),"****")</f>
        <v/>
      </c>
      <c r="N1182" t="str">
        <f>IFERROR(IF($C1182="","",SUMIFS(Ledger!$K$2:$K$4, Ledger!$B$2:$B$4, $A1182, Ledger!$C$2:$C$4, N$2)),"****")</f>
        <v/>
      </c>
      <c r="O1182" t="str">
        <f>IFERROR(IF($C1182="","",SUMIFS(Ledger!$K$2:$K$4, Ledger!$B$2:$B$4, $A1182, Ledger!$C$2:$C$4, O$2)),"****")</f>
        <v/>
      </c>
      <c r="P1182" t="str">
        <f>IFERROR(IF($C1182="","",SUMIFS(Ledger!$K$2:$K$4, Ledger!$B$2:$B$4, $A1182, Ledger!$C$2:$C$4, P$2)),"****")</f>
        <v/>
      </c>
      <c r="Q1182" t="str">
        <f>IFERROR(IF($C1182="","",SUMIFS(Ledger!$K$2:$K$4, Ledger!$B$2:$B$4, $A1182, Ledger!$C$2:$C$4, Q$2)),"****")</f>
        <v/>
      </c>
      <c r="R1182" t="str">
        <f>IFERROR(IF($C1182="","",SUMIFS(Ledger!$K$2:$K$4, Ledger!$B$2:$B$4, $A1182, Ledger!$C$2:$C$4, R$2)),"****")</f>
        <v/>
      </c>
      <c r="S1182" t="str">
        <f>IFERROR(IF($C1182="","",SUMIFS(Ledger!$K$2:$K$4, Ledger!$B$2:$B$4, $A1182, Ledger!$C$2:$C$4, S$2)),"****")</f>
        <v/>
      </c>
      <c r="T1182" t="str">
        <f>IFERROR(IF($C1182="","",SUMIFS(Ledger!$K$2:$K$4, Ledger!$B$2:$B$4, $A1182, Ledger!$C$2:$C$4, T$2)),"****")</f>
        <v/>
      </c>
      <c r="U1182" t="str">
        <f>IFERROR(IF($C1182="","",SUMIFS(Ledger!$K$2:$K$4, Ledger!$B$2:$B$4, $A1182, Ledger!$C$2:$C$4, U$2)),"****")</f>
        <v/>
      </c>
      <c r="V1182" t="str">
        <f>IFERROR(IF($C1182="","",SUMIFS(Ledger!$K$2:$K$4, Ledger!$B$2:$B$4, $A1182, Ledger!$C$2:$C$4, V$2)),"****")</f>
        <v/>
      </c>
      <c r="W1182" t="str">
        <f>IFERROR(IF($C1182="","",SUMIFS(Ledger!$K$2:$K$4, Ledger!$B$2:$B$4, $A1182, Ledger!$C$2:$C$4, W$2)),"****")</f>
        <v/>
      </c>
      <c r="X1182" t="str">
        <f>IFERROR(IF($C1182="","",SUMIFS(Ledger!$K$2:$K$4, Ledger!$B$2:$B$4, $A1182, Ledger!$C$2:$C$4, X$2)),"****")</f>
        <v/>
      </c>
    </row>
    <row r="1183" spans="1:24" x14ac:dyDescent="0.3">
      <c r="A1183" s="106">
        <v>1181</v>
      </c>
      <c r="B1183" t="str">
        <f>IFERROR(VLOOKUP($A1183, Ledger!$B$2:$L$8, 3, 0),"")</f>
        <v/>
      </c>
      <c r="C1183" t="str">
        <f>IFERROR(VLOOKUP($A1183, Ledger!$B$2:$L$8, 4, 0),"")</f>
        <v/>
      </c>
      <c r="D1183" t="str">
        <f>IFERROR(VLOOKUP($A1183, Ledger!$B$2:$L$8, 5, 0),"")</f>
        <v/>
      </c>
      <c r="E1183" t="str">
        <f>IFERROR(VLOOKUP($A1183, Ledger!$B$2:$L$8, 6, 0),"")</f>
        <v/>
      </c>
      <c r="F1183" t="str">
        <f>IFERROR(VLOOKUP($A1183,'Student Data'!$A$2:$AR$6,32,0),"")</f>
        <v/>
      </c>
      <c r="G1183" t="str">
        <f>IFERROR(VLOOKUP($A1183,'Student Data'!$A$2:$AR$6,33,0),"")</f>
        <v/>
      </c>
      <c r="H1183" t="str">
        <f>IFERROR(VLOOKUP($A1183,'Student Data'!$A$2:$AR$6,34,0),"")</f>
        <v/>
      </c>
      <c r="I1183" t="str">
        <f>IFERROR(VLOOKUP($A1183,'Student Data'!$A$2:$AR$6,35,0),"")</f>
        <v/>
      </c>
      <c r="J1183" t="str">
        <f>IFERROR(VLOOKUP($A1183,'Student Data'!$A$2:$AR$6,36,0),"")</f>
        <v/>
      </c>
      <c r="K1183" t="str">
        <f t="shared" si="36"/>
        <v/>
      </c>
      <c r="L1183" t="str">
        <f t="shared" si="37"/>
        <v/>
      </c>
      <c r="M1183" t="str">
        <f>IFERROR(IF($C1183="","",SUMIFS(Ledger!$K$2:$K$4, Ledger!$B$2:$B$4, $A1183, Ledger!$C$2:$C$4, M$2)),"****")</f>
        <v/>
      </c>
      <c r="N1183" t="str">
        <f>IFERROR(IF($C1183="","",SUMIFS(Ledger!$K$2:$K$4, Ledger!$B$2:$B$4, $A1183, Ledger!$C$2:$C$4, N$2)),"****")</f>
        <v/>
      </c>
      <c r="O1183" t="str">
        <f>IFERROR(IF($C1183="","",SUMIFS(Ledger!$K$2:$K$4, Ledger!$B$2:$B$4, $A1183, Ledger!$C$2:$C$4, O$2)),"****")</f>
        <v/>
      </c>
      <c r="P1183" t="str">
        <f>IFERROR(IF($C1183="","",SUMIFS(Ledger!$K$2:$K$4, Ledger!$B$2:$B$4, $A1183, Ledger!$C$2:$C$4, P$2)),"****")</f>
        <v/>
      </c>
      <c r="Q1183" t="str">
        <f>IFERROR(IF($C1183="","",SUMIFS(Ledger!$K$2:$K$4, Ledger!$B$2:$B$4, $A1183, Ledger!$C$2:$C$4, Q$2)),"****")</f>
        <v/>
      </c>
      <c r="R1183" t="str">
        <f>IFERROR(IF($C1183="","",SUMIFS(Ledger!$K$2:$K$4, Ledger!$B$2:$B$4, $A1183, Ledger!$C$2:$C$4, R$2)),"****")</f>
        <v/>
      </c>
      <c r="S1183" t="str">
        <f>IFERROR(IF($C1183="","",SUMIFS(Ledger!$K$2:$K$4, Ledger!$B$2:$B$4, $A1183, Ledger!$C$2:$C$4, S$2)),"****")</f>
        <v/>
      </c>
      <c r="T1183" t="str">
        <f>IFERROR(IF($C1183="","",SUMIFS(Ledger!$K$2:$K$4, Ledger!$B$2:$B$4, $A1183, Ledger!$C$2:$C$4, T$2)),"****")</f>
        <v/>
      </c>
      <c r="U1183" t="str">
        <f>IFERROR(IF($C1183="","",SUMIFS(Ledger!$K$2:$K$4, Ledger!$B$2:$B$4, $A1183, Ledger!$C$2:$C$4, U$2)),"****")</f>
        <v/>
      </c>
      <c r="V1183" t="str">
        <f>IFERROR(IF($C1183="","",SUMIFS(Ledger!$K$2:$K$4, Ledger!$B$2:$B$4, $A1183, Ledger!$C$2:$C$4, V$2)),"****")</f>
        <v/>
      </c>
      <c r="W1183" t="str">
        <f>IFERROR(IF($C1183="","",SUMIFS(Ledger!$K$2:$K$4, Ledger!$B$2:$B$4, $A1183, Ledger!$C$2:$C$4, W$2)),"****")</f>
        <v/>
      </c>
      <c r="X1183" t="str">
        <f>IFERROR(IF($C1183="","",SUMIFS(Ledger!$K$2:$K$4, Ledger!$B$2:$B$4, $A1183, Ledger!$C$2:$C$4, X$2)),"****")</f>
        <v/>
      </c>
    </row>
    <row r="1184" spans="1:24" x14ac:dyDescent="0.3">
      <c r="A1184" s="106">
        <v>1182</v>
      </c>
      <c r="B1184" t="str">
        <f>IFERROR(VLOOKUP($A1184, Ledger!$B$2:$L$8, 3, 0),"")</f>
        <v/>
      </c>
      <c r="C1184" t="str">
        <f>IFERROR(VLOOKUP($A1184, Ledger!$B$2:$L$8, 4, 0),"")</f>
        <v/>
      </c>
      <c r="D1184" t="str">
        <f>IFERROR(VLOOKUP($A1184, Ledger!$B$2:$L$8, 5, 0),"")</f>
        <v/>
      </c>
      <c r="E1184" t="str">
        <f>IFERROR(VLOOKUP($A1184, Ledger!$B$2:$L$8, 6, 0),"")</f>
        <v/>
      </c>
      <c r="F1184" t="str">
        <f>IFERROR(VLOOKUP($A1184,'Student Data'!$A$2:$AR$6,32,0),"")</f>
        <v/>
      </c>
      <c r="G1184" t="str">
        <f>IFERROR(VLOOKUP($A1184,'Student Data'!$A$2:$AR$6,33,0),"")</f>
        <v/>
      </c>
      <c r="H1184" t="str">
        <f>IFERROR(VLOOKUP($A1184,'Student Data'!$A$2:$AR$6,34,0),"")</f>
        <v/>
      </c>
      <c r="I1184" t="str">
        <f>IFERROR(VLOOKUP($A1184,'Student Data'!$A$2:$AR$6,35,0),"")</f>
        <v/>
      </c>
      <c r="J1184" t="str">
        <f>IFERROR(VLOOKUP($A1184,'Student Data'!$A$2:$AR$6,36,0),"")</f>
        <v/>
      </c>
      <c r="K1184" t="str">
        <f t="shared" si="36"/>
        <v/>
      </c>
      <c r="L1184" t="str">
        <f t="shared" si="37"/>
        <v/>
      </c>
      <c r="M1184" t="str">
        <f>IFERROR(IF($C1184="","",SUMIFS(Ledger!$K$2:$K$4, Ledger!$B$2:$B$4, $A1184, Ledger!$C$2:$C$4, M$2)),"****")</f>
        <v/>
      </c>
      <c r="N1184" t="str">
        <f>IFERROR(IF($C1184="","",SUMIFS(Ledger!$K$2:$K$4, Ledger!$B$2:$B$4, $A1184, Ledger!$C$2:$C$4, N$2)),"****")</f>
        <v/>
      </c>
      <c r="O1184" t="str">
        <f>IFERROR(IF($C1184="","",SUMIFS(Ledger!$K$2:$K$4, Ledger!$B$2:$B$4, $A1184, Ledger!$C$2:$C$4, O$2)),"****")</f>
        <v/>
      </c>
      <c r="P1184" t="str">
        <f>IFERROR(IF($C1184="","",SUMIFS(Ledger!$K$2:$K$4, Ledger!$B$2:$B$4, $A1184, Ledger!$C$2:$C$4, P$2)),"****")</f>
        <v/>
      </c>
      <c r="Q1184" t="str">
        <f>IFERROR(IF($C1184="","",SUMIFS(Ledger!$K$2:$K$4, Ledger!$B$2:$B$4, $A1184, Ledger!$C$2:$C$4, Q$2)),"****")</f>
        <v/>
      </c>
      <c r="R1184" t="str">
        <f>IFERROR(IF($C1184="","",SUMIFS(Ledger!$K$2:$K$4, Ledger!$B$2:$B$4, $A1184, Ledger!$C$2:$C$4, R$2)),"****")</f>
        <v/>
      </c>
      <c r="S1184" t="str">
        <f>IFERROR(IF($C1184="","",SUMIFS(Ledger!$K$2:$K$4, Ledger!$B$2:$B$4, $A1184, Ledger!$C$2:$C$4, S$2)),"****")</f>
        <v/>
      </c>
      <c r="T1184" t="str">
        <f>IFERROR(IF($C1184="","",SUMIFS(Ledger!$K$2:$K$4, Ledger!$B$2:$B$4, $A1184, Ledger!$C$2:$C$4, T$2)),"****")</f>
        <v/>
      </c>
      <c r="U1184" t="str">
        <f>IFERROR(IF($C1184="","",SUMIFS(Ledger!$K$2:$K$4, Ledger!$B$2:$B$4, $A1184, Ledger!$C$2:$C$4, U$2)),"****")</f>
        <v/>
      </c>
      <c r="V1184" t="str">
        <f>IFERROR(IF($C1184="","",SUMIFS(Ledger!$K$2:$K$4, Ledger!$B$2:$B$4, $A1184, Ledger!$C$2:$C$4, V$2)),"****")</f>
        <v/>
      </c>
      <c r="W1184" t="str">
        <f>IFERROR(IF($C1184="","",SUMIFS(Ledger!$K$2:$K$4, Ledger!$B$2:$B$4, $A1184, Ledger!$C$2:$C$4, W$2)),"****")</f>
        <v/>
      </c>
      <c r="X1184" t="str">
        <f>IFERROR(IF($C1184="","",SUMIFS(Ledger!$K$2:$K$4, Ledger!$B$2:$B$4, $A1184, Ledger!$C$2:$C$4, X$2)),"****")</f>
        <v/>
      </c>
    </row>
    <row r="1185" spans="1:24" x14ac:dyDescent="0.3">
      <c r="A1185" s="106">
        <v>1183</v>
      </c>
      <c r="B1185" t="str">
        <f>IFERROR(VLOOKUP($A1185, Ledger!$B$2:$L$8, 3, 0),"")</f>
        <v/>
      </c>
      <c r="C1185" t="str">
        <f>IFERROR(VLOOKUP($A1185, Ledger!$B$2:$L$8, 4, 0),"")</f>
        <v/>
      </c>
      <c r="D1185" t="str">
        <f>IFERROR(VLOOKUP($A1185, Ledger!$B$2:$L$8, 5, 0),"")</f>
        <v/>
      </c>
      <c r="E1185" t="str">
        <f>IFERROR(VLOOKUP($A1185, Ledger!$B$2:$L$8, 6, 0),"")</f>
        <v/>
      </c>
      <c r="F1185" t="str">
        <f>IFERROR(VLOOKUP($A1185,'Student Data'!$A$2:$AR$6,32,0),"")</f>
        <v/>
      </c>
      <c r="G1185" t="str">
        <f>IFERROR(VLOOKUP($A1185,'Student Data'!$A$2:$AR$6,33,0),"")</f>
        <v/>
      </c>
      <c r="H1185" t="str">
        <f>IFERROR(VLOOKUP($A1185,'Student Data'!$A$2:$AR$6,34,0),"")</f>
        <v/>
      </c>
      <c r="I1185" t="str">
        <f>IFERROR(VLOOKUP($A1185,'Student Data'!$A$2:$AR$6,35,0),"")</f>
        <v/>
      </c>
      <c r="J1185" t="str">
        <f>IFERROR(VLOOKUP($A1185,'Student Data'!$A$2:$AR$6,36,0),"")</f>
        <v/>
      </c>
      <c r="K1185" t="str">
        <f t="shared" si="36"/>
        <v/>
      </c>
      <c r="L1185" t="str">
        <f t="shared" si="37"/>
        <v/>
      </c>
      <c r="M1185" t="str">
        <f>IFERROR(IF($C1185="","",SUMIFS(Ledger!$K$2:$K$4, Ledger!$B$2:$B$4, $A1185, Ledger!$C$2:$C$4, M$2)),"****")</f>
        <v/>
      </c>
      <c r="N1185" t="str">
        <f>IFERROR(IF($C1185="","",SUMIFS(Ledger!$K$2:$K$4, Ledger!$B$2:$B$4, $A1185, Ledger!$C$2:$C$4, N$2)),"****")</f>
        <v/>
      </c>
      <c r="O1185" t="str">
        <f>IFERROR(IF($C1185="","",SUMIFS(Ledger!$K$2:$K$4, Ledger!$B$2:$B$4, $A1185, Ledger!$C$2:$C$4, O$2)),"****")</f>
        <v/>
      </c>
      <c r="P1185" t="str">
        <f>IFERROR(IF($C1185="","",SUMIFS(Ledger!$K$2:$K$4, Ledger!$B$2:$B$4, $A1185, Ledger!$C$2:$C$4, P$2)),"****")</f>
        <v/>
      </c>
      <c r="Q1185" t="str">
        <f>IFERROR(IF($C1185="","",SUMIFS(Ledger!$K$2:$K$4, Ledger!$B$2:$B$4, $A1185, Ledger!$C$2:$C$4, Q$2)),"****")</f>
        <v/>
      </c>
      <c r="R1185" t="str">
        <f>IFERROR(IF($C1185="","",SUMIFS(Ledger!$K$2:$K$4, Ledger!$B$2:$B$4, $A1185, Ledger!$C$2:$C$4, R$2)),"****")</f>
        <v/>
      </c>
      <c r="S1185" t="str">
        <f>IFERROR(IF($C1185="","",SUMIFS(Ledger!$K$2:$K$4, Ledger!$B$2:$B$4, $A1185, Ledger!$C$2:$C$4, S$2)),"****")</f>
        <v/>
      </c>
      <c r="T1185" t="str">
        <f>IFERROR(IF($C1185="","",SUMIFS(Ledger!$K$2:$K$4, Ledger!$B$2:$B$4, $A1185, Ledger!$C$2:$C$4, T$2)),"****")</f>
        <v/>
      </c>
      <c r="U1185" t="str">
        <f>IFERROR(IF($C1185="","",SUMIFS(Ledger!$K$2:$K$4, Ledger!$B$2:$B$4, $A1185, Ledger!$C$2:$C$4, U$2)),"****")</f>
        <v/>
      </c>
      <c r="V1185" t="str">
        <f>IFERROR(IF($C1185="","",SUMIFS(Ledger!$K$2:$K$4, Ledger!$B$2:$B$4, $A1185, Ledger!$C$2:$C$4, V$2)),"****")</f>
        <v/>
      </c>
      <c r="W1185" t="str">
        <f>IFERROR(IF($C1185="","",SUMIFS(Ledger!$K$2:$K$4, Ledger!$B$2:$B$4, $A1185, Ledger!$C$2:$C$4, W$2)),"****")</f>
        <v/>
      </c>
      <c r="X1185" t="str">
        <f>IFERROR(IF($C1185="","",SUMIFS(Ledger!$K$2:$K$4, Ledger!$B$2:$B$4, $A1185, Ledger!$C$2:$C$4, X$2)),"****")</f>
        <v/>
      </c>
    </row>
    <row r="1186" spans="1:24" x14ac:dyDescent="0.3">
      <c r="A1186" s="106">
        <v>1184</v>
      </c>
      <c r="B1186" t="str">
        <f>IFERROR(VLOOKUP($A1186, Ledger!$B$2:$L$8, 3, 0),"")</f>
        <v/>
      </c>
      <c r="C1186" t="str">
        <f>IFERROR(VLOOKUP($A1186, Ledger!$B$2:$L$8, 4, 0),"")</f>
        <v/>
      </c>
      <c r="D1186" t="str">
        <f>IFERROR(VLOOKUP($A1186, Ledger!$B$2:$L$8, 5, 0),"")</f>
        <v/>
      </c>
      <c r="E1186" t="str">
        <f>IFERROR(VLOOKUP($A1186, Ledger!$B$2:$L$8, 6, 0),"")</f>
        <v/>
      </c>
      <c r="F1186" t="str">
        <f>IFERROR(VLOOKUP($A1186,'Student Data'!$A$2:$AR$6,32,0),"")</f>
        <v/>
      </c>
      <c r="G1186" t="str">
        <f>IFERROR(VLOOKUP($A1186,'Student Data'!$A$2:$AR$6,33,0),"")</f>
        <v/>
      </c>
      <c r="H1186" t="str">
        <f>IFERROR(VLOOKUP($A1186,'Student Data'!$A$2:$AR$6,34,0),"")</f>
        <v/>
      </c>
      <c r="I1186" t="str">
        <f>IFERROR(VLOOKUP($A1186,'Student Data'!$A$2:$AR$6,35,0),"")</f>
        <v/>
      </c>
      <c r="J1186" t="str">
        <f>IFERROR(VLOOKUP($A1186,'Student Data'!$A$2:$AR$6,36,0),"")</f>
        <v/>
      </c>
      <c r="K1186" t="str">
        <f t="shared" si="36"/>
        <v/>
      </c>
      <c r="L1186" t="str">
        <f t="shared" si="37"/>
        <v/>
      </c>
      <c r="M1186" t="str">
        <f>IFERROR(IF($C1186="","",SUMIFS(Ledger!$K$2:$K$4, Ledger!$B$2:$B$4, $A1186, Ledger!$C$2:$C$4, M$2)),"****")</f>
        <v/>
      </c>
      <c r="N1186" t="str">
        <f>IFERROR(IF($C1186="","",SUMIFS(Ledger!$K$2:$K$4, Ledger!$B$2:$B$4, $A1186, Ledger!$C$2:$C$4, N$2)),"****")</f>
        <v/>
      </c>
      <c r="O1186" t="str">
        <f>IFERROR(IF($C1186="","",SUMIFS(Ledger!$K$2:$K$4, Ledger!$B$2:$B$4, $A1186, Ledger!$C$2:$C$4, O$2)),"****")</f>
        <v/>
      </c>
      <c r="P1186" t="str">
        <f>IFERROR(IF($C1186="","",SUMIFS(Ledger!$K$2:$K$4, Ledger!$B$2:$B$4, $A1186, Ledger!$C$2:$C$4, P$2)),"****")</f>
        <v/>
      </c>
      <c r="Q1186" t="str">
        <f>IFERROR(IF($C1186="","",SUMIFS(Ledger!$K$2:$K$4, Ledger!$B$2:$B$4, $A1186, Ledger!$C$2:$C$4, Q$2)),"****")</f>
        <v/>
      </c>
      <c r="R1186" t="str">
        <f>IFERROR(IF($C1186="","",SUMIFS(Ledger!$K$2:$K$4, Ledger!$B$2:$B$4, $A1186, Ledger!$C$2:$C$4, R$2)),"****")</f>
        <v/>
      </c>
      <c r="S1186" t="str">
        <f>IFERROR(IF($C1186="","",SUMIFS(Ledger!$K$2:$K$4, Ledger!$B$2:$B$4, $A1186, Ledger!$C$2:$C$4, S$2)),"****")</f>
        <v/>
      </c>
      <c r="T1186" t="str">
        <f>IFERROR(IF($C1186="","",SUMIFS(Ledger!$K$2:$K$4, Ledger!$B$2:$B$4, $A1186, Ledger!$C$2:$C$4, T$2)),"****")</f>
        <v/>
      </c>
      <c r="U1186" t="str">
        <f>IFERROR(IF($C1186="","",SUMIFS(Ledger!$K$2:$K$4, Ledger!$B$2:$B$4, $A1186, Ledger!$C$2:$C$4, U$2)),"****")</f>
        <v/>
      </c>
      <c r="V1186" t="str">
        <f>IFERROR(IF($C1186="","",SUMIFS(Ledger!$K$2:$K$4, Ledger!$B$2:$B$4, $A1186, Ledger!$C$2:$C$4, V$2)),"****")</f>
        <v/>
      </c>
      <c r="W1186" t="str">
        <f>IFERROR(IF($C1186="","",SUMIFS(Ledger!$K$2:$K$4, Ledger!$B$2:$B$4, $A1186, Ledger!$C$2:$C$4, W$2)),"****")</f>
        <v/>
      </c>
      <c r="X1186" t="str">
        <f>IFERROR(IF($C1186="","",SUMIFS(Ledger!$K$2:$K$4, Ledger!$B$2:$B$4, $A1186, Ledger!$C$2:$C$4, X$2)),"****")</f>
        <v/>
      </c>
    </row>
    <row r="1187" spans="1:24" x14ac:dyDescent="0.3">
      <c r="A1187" s="106">
        <v>1185</v>
      </c>
      <c r="B1187" t="str">
        <f>IFERROR(VLOOKUP($A1187, Ledger!$B$2:$L$8, 3, 0),"")</f>
        <v/>
      </c>
      <c r="C1187" t="str">
        <f>IFERROR(VLOOKUP($A1187, Ledger!$B$2:$L$8, 4, 0),"")</f>
        <v/>
      </c>
      <c r="D1187" t="str">
        <f>IFERROR(VLOOKUP($A1187, Ledger!$B$2:$L$8, 5, 0),"")</f>
        <v/>
      </c>
      <c r="E1187" t="str">
        <f>IFERROR(VLOOKUP($A1187, Ledger!$B$2:$L$8, 6, 0),"")</f>
        <v/>
      </c>
      <c r="F1187" t="str">
        <f>IFERROR(VLOOKUP($A1187,'Student Data'!$A$2:$AR$6,32,0),"")</f>
        <v/>
      </c>
      <c r="G1187" t="str">
        <f>IFERROR(VLOOKUP($A1187,'Student Data'!$A$2:$AR$6,33,0),"")</f>
        <v/>
      </c>
      <c r="H1187" t="str">
        <f>IFERROR(VLOOKUP($A1187,'Student Data'!$A$2:$AR$6,34,0),"")</f>
        <v/>
      </c>
      <c r="I1187" t="str">
        <f>IFERROR(VLOOKUP($A1187,'Student Data'!$A$2:$AR$6,35,0),"")</f>
        <v/>
      </c>
      <c r="J1187" t="str">
        <f>IFERROR(VLOOKUP($A1187,'Student Data'!$A$2:$AR$6,36,0),"")</f>
        <v/>
      </c>
      <c r="K1187" t="str">
        <f t="shared" si="36"/>
        <v/>
      </c>
      <c r="L1187" t="str">
        <f t="shared" si="37"/>
        <v/>
      </c>
      <c r="M1187" t="str">
        <f>IFERROR(IF($C1187="","",SUMIFS(Ledger!$K$2:$K$4, Ledger!$B$2:$B$4, $A1187, Ledger!$C$2:$C$4, M$2)),"****")</f>
        <v/>
      </c>
      <c r="N1187" t="str">
        <f>IFERROR(IF($C1187="","",SUMIFS(Ledger!$K$2:$K$4, Ledger!$B$2:$B$4, $A1187, Ledger!$C$2:$C$4, N$2)),"****")</f>
        <v/>
      </c>
      <c r="O1187" t="str">
        <f>IFERROR(IF($C1187="","",SUMIFS(Ledger!$K$2:$K$4, Ledger!$B$2:$B$4, $A1187, Ledger!$C$2:$C$4, O$2)),"****")</f>
        <v/>
      </c>
      <c r="P1187" t="str">
        <f>IFERROR(IF($C1187="","",SUMIFS(Ledger!$K$2:$K$4, Ledger!$B$2:$B$4, $A1187, Ledger!$C$2:$C$4, P$2)),"****")</f>
        <v/>
      </c>
      <c r="Q1187" t="str">
        <f>IFERROR(IF($C1187="","",SUMIFS(Ledger!$K$2:$K$4, Ledger!$B$2:$B$4, $A1187, Ledger!$C$2:$C$4, Q$2)),"****")</f>
        <v/>
      </c>
      <c r="R1187" t="str">
        <f>IFERROR(IF($C1187="","",SUMIFS(Ledger!$K$2:$K$4, Ledger!$B$2:$B$4, $A1187, Ledger!$C$2:$C$4, R$2)),"****")</f>
        <v/>
      </c>
      <c r="S1187" t="str">
        <f>IFERROR(IF($C1187="","",SUMIFS(Ledger!$K$2:$K$4, Ledger!$B$2:$B$4, $A1187, Ledger!$C$2:$C$4, S$2)),"****")</f>
        <v/>
      </c>
      <c r="T1187" t="str">
        <f>IFERROR(IF($C1187="","",SUMIFS(Ledger!$K$2:$K$4, Ledger!$B$2:$B$4, $A1187, Ledger!$C$2:$C$4, T$2)),"****")</f>
        <v/>
      </c>
      <c r="U1187" t="str">
        <f>IFERROR(IF($C1187="","",SUMIFS(Ledger!$K$2:$K$4, Ledger!$B$2:$B$4, $A1187, Ledger!$C$2:$C$4, U$2)),"****")</f>
        <v/>
      </c>
      <c r="V1187" t="str">
        <f>IFERROR(IF($C1187="","",SUMIFS(Ledger!$K$2:$K$4, Ledger!$B$2:$B$4, $A1187, Ledger!$C$2:$C$4, V$2)),"****")</f>
        <v/>
      </c>
      <c r="W1187" t="str">
        <f>IFERROR(IF($C1187="","",SUMIFS(Ledger!$K$2:$K$4, Ledger!$B$2:$B$4, $A1187, Ledger!$C$2:$C$4, W$2)),"****")</f>
        <v/>
      </c>
      <c r="X1187" t="str">
        <f>IFERROR(IF($C1187="","",SUMIFS(Ledger!$K$2:$K$4, Ledger!$B$2:$B$4, $A1187, Ledger!$C$2:$C$4, X$2)),"****")</f>
        <v/>
      </c>
    </row>
    <row r="1188" spans="1:24" x14ac:dyDescent="0.3">
      <c r="A1188" s="106">
        <v>1186</v>
      </c>
      <c r="B1188" t="str">
        <f>IFERROR(VLOOKUP($A1188, Ledger!$B$2:$L$8, 3, 0),"")</f>
        <v/>
      </c>
      <c r="C1188" t="str">
        <f>IFERROR(VLOOKUP($A1188, Ledger!$B$2:$L$8, 4, 0),"")</f>
        <v/>
      </c>
      <c r="D1188" t="str">
        <f>IFERROR(VLOOKUP($A1188, Ledger!$B$2:$L$8, 5, 0),"")</f>
        <v/>
      </c>
      <c r="E1188" t="str">
        <f>IFERROR(VLOOKUP($A1188, Ledger!$B$2:$L$8, 6, 0),"")</f>
        <v/>
      </c>
      <c r="F1188" t="str">
        <f>IFERROR(VLOOKUP($A1188,'Student Data'!$A$2:$AR$6,32,0),"")</f>
        <v/>
      </c>
      <c r="G1188" t="str">
        <f>IFERROR(VLOOKUP($A1188,'Student Data'!$A$2:$AR$6,33,0),"")</f>
        <v/>
      </c>
      <c r="H1188" t="str">
        <f>IFERROR(VLOOKUP($A1188,'Student Data'!$A$2:$AR$6,34,0),"")</f>
        <v/>
      </c>
      <c r="I1188" t="str">
        <f>IFERROR(VLOOKUP($A1188,'Student Data'!$A$2:$AR$6,35,0),"")</f>
        <v/>
      </c>
      <c r="J1188" t="str">
        <f>IFERROR(VLOOKUP($A1188,'Student Data'!$A$2:$AR$6,36,0),"")</f>
        <v/>
      </c>
      <c r="K1188" t="str">
        <f t="shared" si="36"/>
        <v/>
      </c>
      <c r="L1188" t="str">
        <f t="shared" si="37"/>
        <v/>
      </c>
      <c r="M1188" t="str">
        <f>IFERROR(IF($C1188="","",SUMIFS(Ledger!$K$2:$K$4, Ledger!$B$2:$B$4, $A1188, Ledger!$C$2:$C$4, M$2)),"****")</f>
        <v/>
      </c>
      <c r="N1188" t="str">
        <f>IFERROR(IF($C1188="","",SUMIFS(Ledger!$K$2:$K$4, Ledger!$B$2:$B$4, $A1188, Ledger!$C$2:$C$4, N$2)),"****")</f>
        <v/>
      </c>
      <c r="O1188" t="str">
        <f>IFERROR(IF($C1188="","",SUMIFS(Ledger!$K$2:$K$4, Ledger!$B$2:$B$4, $A1188, Ledger!$C$2:$C$4, O$2)),"****")</f>
        <v/>
      </c>
      <c r="P1188" t="str">
        <f>IFERROR(IF($C1188="","",SUMIFS(Ledger!$K$2:$K$4, Ledger!$B$2:$B$4, $A1188, Ledger!$C$2:$C$4, P$2)),"****")</f>
        <v/>
      </c>
      <c r="Q1188" t="str">
        <f>IFERROR(IF($C1188="","",SUMIFS(Ledger!$K$2:$K$4, Ledger!$B$2:$B$4, $A1188, Ledger!$C$2:$C$4, Q$2)),"****")</f>
        <v/>
      </c>
      <c r="R1188" t="str">
        <f>IFERROR(IF($C1188="","",SUMIFS(Ledger!$K$2:$K$4, Ledger!$B$2:$B$4, $A1188, Ledger!$C$2:$C$4, R$2)),"****")</f>
        <v/>
      </c>
      <c r="S1188" t="str">
        <f>IFERROR(IF($C1188="","",SUMIFS(Ledger!$K$2:$K$4, Ledger!$B$2:$B$4, $A1188, Ledger!$C$2:$C$4, S$2)),"****")</f>
        <v/>
      </c>
      <c r="T1188" t="str">
        <f>IFERROR(IF($C1188="","",SUMIFS(Ledger!$K$2:$K$4, Ledger!$B$2:$B$4, $A1188, Ledger!$C$2:$C$4, T$2)),"****")</f>
        <v/>
      </c>
      <c r="U1188" t="str">
        <f>IFERROR(IF($C1188="","",SUMIFS(Ledger!$K$2:$K$4, Ledger!$B$2:$B$4, $A1188, Ledger!$C$2:$C$4, U$2)),"****")</f>
        <v/>
      </c>
      <c r="V1188" t="str">
        <f>IFERROR(IF($C1188="","",SUMIFS(Ledger!$K$2:$K$4, Ledger!$B$2:$B$4, $A1188, Ledger!$C$2:$C$4, V$2)),"****")</f>
        <v/>
      </c>
      <c r="W1188" t="str">
        <f>IFERROR(IF($C1188="","",SUMIFS(Ledger!$K$2:$K$4, Ledger!$B$2:$B$4, $A1188, Ledger!$C$2:$C$4, W$2)),"****")</f>
        <v/>
      </c>
      <c r="X1188" t="str">
        <f>IFERROR(IF($C1188="","",SUMIFS(Ledger!$K$2:$K$4, Ledger!$B$2:$B$4, $A1188, Ledger!$C$2:$C$4, X$2)),"****")</f>
        <v/>
      </c>
    </row>
    <row r="1189" spans="1:24" x14ac:dyDescent="0.3">
      <c r="A1189" s="106">
        <v>1187</v>
      </c>
      <c r="B1189" t="str">
        <f>IFERROR(VLOOKUP($A1189, Ledger!$B$2:$L$8, 3, 0),"")</f>
        <v/>
      </c>
      <c r="C1189" t="str">
        <f>IFERROR(VLOOKUP($A1189, Ledger!$B$2:$L$8, 4, 0),"")</f>
        <v/>
      </c>
      <c r="D1189" t="str">
        <f>IFERROR(VLOOKUP($A1189, Ledger!$B$2:$L$8, 5, 0),"")</f>
        <v/>
      </c>
      <c r="E1189" t="str">
        <f>IFERROR(VLOOKUP($A1189, Ledger!$B$2:$L$8, 6, 0),"")</f>
        <v/>
      </c>
      <c r="F1189" t="str">
        <f>IFERROR(VLOOKUP($A1189,'Student Data'!$A$2:$AR$6,32,0),"")</f>
        <v/>
      </c>
      <c r="G1189" t="str">
        <f>IFERROR(VLOOKUP($A1189,'Student Data'!$A$2:$AR$6,33,0),"")</f>
        <v/>
      </c>
      <c r="H1189" t="str">
        <f>IFERROR(VLOOKUP($A1189,'Student Data'!$A$2:$AR$6,34,0),"")</f>
        <v/>
      </c>
      <c r="I1189" t="str">
        <f>IFERROR(VLOOKUP($A1189,'Student Data'!$A$2:$AR$6,35,0),"")</f>
        <v/>
      </c>
      <c r="J1189" t="str">
        <f>IFERROR(VLOOKUP($A1189,'Student Data'!$A$2:$AR$6,36,0),"")</f>
        <v/>
      </c>
      <c r="K1189" t="str">
        <f t="shared" si="36"/>
        <v/>
      </c>
      <c r="L1189" t="str">
        <f t="shared" si="37"/>
        <v/>
      </c>
      <c r="M1189" t="str">
        <f>IFERROR(IF($C1189="","",SUMIFS(Ledger!$K$2:$K$4, Ledger!$B$2:$B$4, $A1189, Ledger!$C$2:$C$4, M$2)),"****")</f>
        <v/>
      </c>
      <c r="N1189" t="str">
        <f>IFERROR(IF($C1189="","",SUMIFS(Ledger!$K$2:$K$4, Ledger!$B$2:$B$4, $A1189, Ledger!$C$2:$C$4, N$2)),"****")</f>
        <v/>
      </c>
      <c r="O1189" t="str">
        <f>IFERROR(IF($C1189="","",SUMIFS(Ledger!$K$2:$K$4, Ledger!$B$2:$B$4, $A1189, Ledger!$C$2:$C$4, O$2)),"****")</f>
        <v/>
      </c>
      <c r="P1189" t="str">
        <f>IFERROR(IF($C1189="","",SUMIFS(Ledger!$K$2:$K$4, Ledger!$B$2:$B$4, $A1189, Ledger!$C$2:$C$4, P$2)),"****")</f>
        <v/>
      </c>
      <c r="Q1189" t="str">
        <f>IFERROR(IF($C1189="","",SUMIFS(Ledger!$K$2:$K$4, Ledger!$B$2:$B$4, $A1189, Ledger!$C$2:$C$4, Q$2)),"****")</f>
        <v/>
      </c>
      <c r="R1189" t="str">
        <f>IFERROR(IF($C1189="","",SUMIFS(Ledger!$K$2:$K$4, Ledger!$B$2:$B$4, $A1189, Ledger!$C$2:$C$4, R$2)),"****")</f>
        <v/>
      </c>
      <c r="S1189" t="str">
        <f>IFERROR(IF($C1189="","",SUMIFS(Ledger!$K$2:$K$4, Ledger!$B$2:$B$4, $A1189, Ledger!$C$2:$C$4, S$2)),"****")</f>
        <v/>
      </c>
      <c r="T1189" t="str">
        <f>IFERROR(IF($C1189="","",SUMIFS(Ledger!$K$2:$K$4, Ledger!$B$2:$B$4, $A1189, Ledger!$C$2:$C$4, T$2)),"****")</f>
        <v/>
      </c>
      <c r="U1189" t="str">
        <f>IFERROR(IF($C1189="","",SUMIFS(Ledger!$K$2:$K$4, Ledger!$B$2:$B$4, $A1189, Ledger!$C$2:$C$4, U$2)),"****")</f>
        <v/>
      </c>
      <c r="V1189" t="str">
        <f>IFERROR(IF($C1189="","",SUMIFS(Ledger!$K$2:$K$4, Ledger!$B$2:$B$4, $A1189, Ledger!$C$2:$C$4, V$2)),"****")</f>
        <v/>
      </c>
      <c r="W1189" t="str">
        <f>IFERROR(IF($C1189="","",SUMIFS(Ledger!$K$2:$K$4, Ledger!$B$2:$B$4, $A1189, Ledger!$C$2:$C$4, W$2)),"****")</f>
        <v/>
      </c>
      <c r="X1189" t="str">
        <f>IFERROR(IF($C1189="","",SUMIFS(Ledger!$K$2:$K$4, Ledger!$B$2:$B$4, $A1189, Ledger!$C$2:$C$4, X$2)),"****")</f>
        <v/>
      </c>
    </row>
    <row r="1190" spans="1:24" x14ac:dyDescent="0.3">
      <c r="A1190" s="106">
        <v>1188</v>
      </c>
      <c r="B1190" t="str">
        <f>IFERROR(VLOOKUP($A1190, Ledger!$B$2:$L$8, 3, 0),"")</f>
        <v/>
      </c>
      <c r="C1190" t="str">
        <f>IFERROR(VLOOKUP($A1190, Ledger!$B$2:$L$8, 4, 0),"")</f>
        <v/>
      </c>
      <c r="D1190" t="str">
        <f>IFERROR(VLOOKUP($A1190, Ledger!$B$2:$L$8, 5, 0),"")</f>
        <v/>
      </c>
      <c r="E1190" t="str">
        <f>IFERROR(VLOOKUP($A1190, Ledger!$B$2:$L$8, 6, 0),"")</f>
        <v/>
      </c>
      <c r="F1190" t="str">
        <f>IFERROR(VLOOKUP($A1190,'Student Data'!$A$2:$AR$6,32,0),"")</f>
        <v/>
      </c>
      <c r="G1190" t="str">
        <f>IFERROR(VLOOKUP($A1190,'Student Data'!$A$2:$AR$6,33,0),"")</f>
        <v/>
      </c>
      <c r="H1190" t="str">
        <f>IFERROR(VLOOKUP($A1190,'Student Data'!$A$2:$AR$6,34,0),"")</f>
        <v/>
      </c>
      <c r="I1190" t="str">
        <f>IFERROR(VLOOKUP($A1190,'Student Data'!$A$2:$AR$6,35,0),"")</f>
        <v/>
      </c>
      <c r="J1190" t="str">
        <f>IFERROR(VLOOKUP($A1190,'Student Data'!$A$2:$AR$6,36,0),"")</f>
        <v/>
      </c>
      <c r="K1190" t="str">
        <f t="shared" si="36"/>
        <v/>
      </c>
      <c r="L1190" t="str">
        <f t="shared" si="37"/>
        <v/>
      </c>
      <c r="M1190" t="str">
        <f>IFERROR(IF($C1190="","",SUMIFS(Ledger!$K$2:$K$4, Ledger!$B$2:$B$4, $A1190, Ledger!$C$2:$C$4, M$2)),"****")</f>
        <v/>
      </c>
      <c r="N1190" t="str">
        <f>IFERROR(IF($C1190="","",SUMIFS(Ledger!$K$2:$K$4, Ledger!$B$2:$B$4, $A1190, Ledger!$C$2:$C$4, N$2)),"****")</f>
        <v/>
      </c>
      <c r="O1190" t="str">
        <f>IFERROR(IF($C1190="","",SUMIFS(Ledger!$K$2:$K$4, Ledger!$B$2:$B$4, $A1190, Ledger!$C$2:$C$4, O$2)),"****")</f>
        <v/>
      </c>
      <c r="P1190" t="str">
        <f>IFERROR(IF($C1190="","",SUMIFS(Ledger!$K$2:$K$4, Ledger!$B$2:$B$4, $A1190, Ledger!$C$2:$C$4, P$2)),"****")</f>
        <v/>
      </c>
      <c r="Q1190" t="str">
        <f>IFERROR(IF($C1190="","",SUMIFS(Ledger!$K$2:$K$4, Ledger!$B$2:$B$4, $A1190, Ledger!$C$2:$C$4, Q$2)),"****")</f>
        <v/>
      </c>
      <c r="R1190" t="str">
        <f>IFERROR(IF($C1190="","",SUMIFS(Ledger!$K$2:$K$4, Ledger!$B$2:$B$4, $A1190, Ledger!$C$2:$C$4, R$2)),"****")</f>
        <v/>
      </c>
      <c r="S1190" t="str">
        <f>IFERROR(IF($C1190="","",SUMIFS(Ledger!$K$2:$K$4, Ledger!$B$2:$B$4, $A1190, Ledger!$C$2:$C$4, S$2)),"****")</f>
        <v/>
      </c>
      <c r="T1190" t="str">
        <f>IFERROR(IF($C1190="","",SUMIFS(Ledger!$K$2:$K$4, Ledger!$B$2:$B$4, $A1190, Ledger!$C$2:$C$4, T$2)),"****")</f>
        <v/>
      </c>
      <c r="U1190" t="str">
        <f>IFERROR(IF($C1190="","",SUMIFS(Ledger!$K$2:$K$4, Ledger!$B$2:$B$4, $A1190, Ledger!$C$2:$C$4, U$2)),"****")</f>
        <v/>
      </c>
      <c r="V1190" t="str">
        <f>IFERROR(IF($C1190="","",SUMIFS(Ledger!$K$2:$K$4, Ledger!$B$2:$B$4, $A1190, Ledger!$C$2:$C$4, V$2)),"****")</f>
        <v/>
      </c>
      <c r="W1190" t="str">
        <f>IFERROR(IF($C1190="","",SUMIFS(Ledger!$K$2:$K$4, Ledger!$B$2:$B$4, $A1190, Ledger!$C$2:$C$4, W$2)),"****")</f>
        <v/>
      </c>
      <c r="X1190" t="str">
        <f>IFERROR(IF($C1190="","",SUMIFS(Ledger!$K$2:$K$4, Ledger!$B$2:$B$4, $A1190, Ledger!$C$2:$C$4, X$2)),"****")</f>
        <v/>
      </c>
    </row>
    <row r="1191" spans="1:24" x14ac:dyDescent="0.3">
      <c r="A1191" s="106">
        <v>1189</v>
      </c>
      <c r="B1191" t="str">
        <f>IFERROR(VLOOKUP($A1191, Ledger!$B$2:$L$8, 3, 0),"")</f>
        <v/>
      </c>
      <c r="C1191" t="str">
        <f>IFERROR(VLOOKUP($A1191, Ledger!$B$2:$L$8, 4, 0),"")</f>
        <v/>
      </c>
      <c r="D1191" t="str">
        <f>IFERROR(VLOOKUP($A1191, Ledger!$B$2:$L$8, 5, 0),"")</f>
        <v/>
      </c>
      <c r="E1191" t="str">
        <f>IFERROR(VLOOKUP($A1191, Ledger!$B$2:$L$8, 6, 0),"")</f>
        <v/>
      </c>
      <c r="F1191" t="str">
        <f>IFERROR(VLOOKUP($A1191,'Student Data'!$A$2:$AR$6,32,0),"")</f>
        <v/>
      </c>
      <c r="G1191" t="str">
        <f>IFERROR(VLOOKUP($A1191,'Student Data'!$A$2:$AR$6,33,0),"")</f>
        <v/>
      </c>
      <c r="H1191" t="str">
        <f>IFERROR(VLOOKUP($A1191,'Student Data'!$A$2:$AR$6,34,0),"")</f>
        <v/>
      </c>
      <c r="I1191" t="str">
        <f>IFERROR(VLOOKUP($A1191,'Student Data'!$A$2:$AR$6,35,0),"")</f>
        <v/>
      </c>
      <c r="J1191" t="str">
        <f>IFERROR(VLOOKUP($A1191,'Student Data'!$A$2:$AR$6,36,0),"")</f>
        <v/>
      </c>
      <c r="K1191" t="str">
        <f t="shared" si="36"/>
        <v/>
      </c>
      <c r="L1191" t="str">
        <f t="shared" si="37"/>
        <v/>
      </c>
      <c r="M1191" t="str">
        <f>IFERROR(IF($C1191="","",SUMIFS(Ledger!$K$2:$K$4, Ledger!$B$2:$B$4, $A1191, Ledger!$C$2:$C$4, M$2)),"****")</f>
        <v/>
      </c>
      <c r="N1191" t="str">
        <f>IFERROR(IF($C1191="","",SUMIFS(Ledger!$K$2:$K$4, Ledger!$B$2:$B$4, $A1191, Ledger!$C$2:$C$4, N$2)),"****")</f>
        <v/>
      </c>
      <c r="O1191" t="str">
        <f>IFERROR(IF($C1191="","",SUMIFS(Ledger!$K$2:$K$4, Ledger!$B$2:$B$4, $A1191, Ledger!$C$2:$C$4, O$2)),"****")</f>
        <v/>
      </c>
      <c r="P1191" t="str">
        <f>IFERROR(IF($C1191="","",SUMIFS(Ledger!$K$2:$K$4, Ledger!$B$2:$B$4, $A1191, Ledger!$C$2:$C$4, P$2)),"****")</f>
        <v/>
      </c>
      <c r="Q1191" t="str">
        <f>IFERROR(IF($C1191="","",SUMIFS(Ledger!$K$2:$K$4, Ledger!$B$2:$B$4, $A1191, Ledger!$C$2:$C$4, Q$2)),"****")</f>
        <v/>
      </c>
      <c r="R1191" t="str">
        <f>IFERROR(IF($C1191="","",SUMIFS(Ledger!$K$2:$K$4, Ledger!$B$2:$B$4, $A1191, Ledger!$C$2:$C$4, R$2)),"****")</f>
        <v/>
      </c>
      <c r="S1191" t="str">
        <f>IFERROR(IF($C1191="","",SUMIFS(Ledger!$K$2:$K$4, Ledger!$B$2:$B$4, $A1191, Ledger!$C$2:$C$4, S$2)),"****")</f>
        <v/>
      </c>
      <c r="T1191" t="str">
        <f>IFERROR(IF($C1191="","",SUMIFS(Ledger!$K$2:$K$4, Ledger!$B$2:$B$4, $A1191, Ledger!$C$2:$C$4, T$2)),"****")</f>
        <v/>
      </c>
      <c r="U1191" t="str">
        <f>IFERROR(IF($C1191="","",SUMIFS(Ledger!$K$2:$K$4, Ledger!$B$2:$B$4, $A1191, Ledger!$C$2:$C$4, U$2)),"****")</f>
        <v/>
      </c>
      <c r="V1191" t="str">
        <f>IFERROR(IF($C1191="","",SUMIFS(Ledger!$K$2:$K$4, Ledger!$B$2:$B$4, $A1191, Ledger!$C$2:$C$4, V$2)),"****")</f>
        <v/>
      </c>
      <c r="W1191" t="str">
        <f>IFERROR(IF($C1191="","",SUMIFS(Ledger!$K$2:$K$4, Ledger!$B$2:$B$4, $A1191, Ledger!$C$2:$C$4, W$2)),"****")</f>
        <v/>
      </c>
      <c r="X1191" t="str">
        <f>IFERROR(IF($C1191="","",SUMIFS(Ledger!$K$2:$K$4, Ledger!$B$2:$B$4, $A1191, Ledger!$C$2:$C$4, X$2)),"****")</f>
        <v/>
      </c>
    </row>
    <row r="1192" spans="1:24" x14ac:dyDescent="0.3">
      <c r="A1192" s="106">
        <v>1190</v>
      </c>
      <c r="B1192" t="str">
        <f>IFERROR(VLOOKUP($A1192, Ledger!$B$2:$L$8, 3, 0),"")</f>
        <v/>
      </c>
      <c r="C1192" t="str">
        <f>IFERROR(VLOOKUP($A1192, Ledger!$B$2:$L$8, 4, 0),"")</f>
        <v/>
      </c>
      <c r="D1192" t="str">
        <f>IFERROR(VLOOKUP($A1192, Ledger!$B$2:$L$8, 5, 0),"")</f>
        <v/>
      </c>
      <c r="E1192" t="str">
        <f>IFERROR(VLOOKUP($A1192, Ledger!$B$2:$L$8, 6, 0),"")</f>
        <v/>
      </c>
      <c r="F1192" t="str">
        <f>IFERROR(VLOOKUP($A1192,'Student Data'!$A$2:$AR$6,32,0),"")</f>
        <v/>
      </c>
      <c r="G1192" t="str">
        <f>IFERROR(VLOOKUP($A1192,'Student Data'!$A$2:$AR$6,33,0),"")</f>
        <v/>
      </c>
      <c r="H1192" t="str">
        <f>IFERROR(VLOOKUP($A1192,'Student Data'!$A$2:$AR$6,34,0),"")</f>
        <v/>
      </c>
      <c r="I1192" t="str">
        <f>IFERROR(VLOOKUP($A1192,'Student Data'!$A$2:$AR$6,35,0),"")</f>
        <v/>
      </c>
      <c r="J1192" t="str">
        <f>IFERROR(VLOOKUP($A1192,'Student Data'!$A$2:$AR$6,36,0),"")</f>
        <v/>
      </c>
      <c r="K1192" t="str">
        <f t="shared" si="36"/>
        <v/>
      </c>
      <c r="L1192" t="str">
        <f t="shared" si="37"/>
        <v/>
      </c>
      <c r="M1192" t="str">
        <f>IFERROR(IF($C1192="","",SUMIFS(Ledger!$K$2:$K$4, Ledger!$B$2:$B$4, $A1192, Ledger!$C$2:$C$4, M$2)),"****")</f>
        <v/>
      </c>
      <c r="N1192" t="str">
        <f>IFERROR(IF($C1192="","",SUMIFS(Ledger!$K$2:$K$4, Ledger!$B$2:$B$4, $A1192, Ledger!$C$2:$C$4, N$2)),"****")</f>
        <v/>
      </c>
      <c r="O1192" t="str">
        <f>IFERROR(IF($C1192="","",SUMIFS(Ledger!$K$2:$K$4, Ledger!$B$2:$B$4, $A1192, Ledger!$C$2:$C$4, O$2)),"****")</f>
        <v/>
      </c>
      <c r="P1192" t="str">
        <f>IFERROR(IF($C1192="","",SUMIFS(Ledger!$K$2:$K$4, Ledger!$B$2:$B$4, $A1192, Ledger!$C$2:$C$4, P$2)),"****")</f>
        <v/>
      </c>
      <c r="Q1192" t="str">
        <f>IFERROR(IF($C1192="","",SUMIFS(Ledger!$K$2:$K$4, Ledger!$B$2:$B$4, $A1192, Ledger!$C$2:$C$4, Q$2)),"****")</f>
        <v/>
      </c>
      <c r="R1192" t="str">
        <f>IFERROR(IF($C1192="","",SUMIFS(Ledger!$K$2:$K$4, Ledger!$B$2:$B$4, $A1192, Ledger!$C$2:$C$4, R$2)),"****")</f>
        <v/>
      </c>
      <c r="S1192" t="str">
        <f>IFERROR(IF($C1192="","",SUMIFS(Ledger!$K$2:$K$4, Ledger!$B$2:$B$4, $A1192, Ledger!$C$2:$C$4, S$2)),"****")</f>
        <v/>
      </c>
      <c r="T1192" t="str">
        <f>IFERROR(IF($C1192="","",SUMIFS(Ledger!$K$2:$K$4, Ledger!$B$2:$B$4, $A1192, Ledger!$C$2:$C$4, T$2)),"****")</f>
        <v/>
      </c>
      <c r="U1192" t="str">
        <f>IFERROR(IF($C1192="","",SUMIFS(Ledger!$K$2:$K$4, Ledger!$B$2:$B$4, $A1192, Ledger!$C$2:$C$4, U$2)),"****")</f>
        <v/>
      </c>
      <c r="V1192" t="str">
        <f>IFERROR(IF($C1192="","",SUMIFS(Ledger!$K$2:$K$4, Ledger!$B$2:$B$4, $A1192, Ledger!$C$2:$C$4, V$2)),"****")</f>
        <v/>
      </c>
      <c r="W1192" t="str">
        <f>IFERROR(IF($C1192="","",SUMIFS(Ledger!$K$2:$K$4, Ledger!$B$2:$B$4, $A1192, Ledger!$C$2:$C$4, W$2)),"****")</f>
        <v/>
      </c>
      <c r="X1192" t="str">
        <f>IFERROR(IF($C1192="","",SUMIFS(Ledger!$K$2:$K$4, Ledger!$B$2:$B$4, $A1192, Ledger!$C$2:$C$4, X$2)),"****")</f>
        <v/>
      </c>
    </row>
    <row r="1193" spans="1:24" x14ac:dyDescent="0.3">
      <c r="A1193" s="106">
        <v>1191</v>
      </c>
      <c r="B1193" t="str">
        <f>IFERROR(VLOOKUP($A1193, Ledger!$B$2:$L$8, 3, 0),"")</f>
        <v/>
      </c>
      <c r="C1193" t="str">
        <f>IFERROR(VLOOKUP($A1193, Ledger!$B$2:$L$8, 4, 0),"")</f>
        <v/>
      </c>
      <c r="D1193" t="str">
        <f>IFERROR(VLOOKUP($A1193, Ledger!$B$2:$L$8, 5, 0),"")</f>
        <v/>
      </c>
      <c r="E1193" t="str">
        <f>IFERROR(VLOOKUP($A1193, Ledger!$B$2:$L$8, 6, 0),"")</f>
        <v/>
      </c>
      <c r="F1193" t="str">
        <f>IFERROR(VLOOKUP($A1193,'Student Data'!$A$2:$AR$6,32,0),"")</f>
        <v/>
      </c>
      <c r="G1193" t="str">
        <f>IFERROR(VLOOKUP($A1193,'Student Data'!$A$2:$AR$6,33,0),"")</f>
        <v/>
      </c>
      <c r="H1193" t="str">
        <f>IFERROR(VLOOKUP($A1193,'Student Data'!$A$2:$AR$6,34,0),"")</f>
        <v/>
      </c>
      <c r="I1193" t="str">
        <f>IFERROR(VLOOKUP($A1193,'Student Data'!$A$2:$AR$6,35,0),"")</f>
        <v/>
      </c>
      <c r="J1193" t="str">
        <f>IFERROR(VLOOKUP($A1193,'Student Data'!$A$2:$AR$6,36,0),"")</f>
        <v/>
      </c>
      <c r="K1193" t="str">
        <f t="shared" si="36"/>
        <v/>
      </c>
      <c r="L1193" t="str">
        <f t="shared" si="37"/>
        <v/>
      </c>
      <c r="M1193" t="str">
        <f>IFERROR(IF($C1193="","",SUMIFS(Ledger!$K$2:$K$4, Ledger!$B$2:$B$4, $A1193, Ledger!$C$2:$C$4, M$2)),"****")</f>
        <v/>
      </c>
      <c r="N1193" t="str">
        <f>IFERROR(IF($C1193="","",SUMIFS(Ledger!$K$2:$K$4, Ledger!$B$2:$B$4, $A1193, Ledger!$C$2:$C$4, N$2)),"****")</f>
        <v/>
      </c>
      <c r="O1193" t="str">
        <f>IFERROR(IF($C1193="","",SUMIFS(Ledger!$K$2:$K$4, Ledger!$B$2:$B$4, $A1193, Ledger!$C$2:$C$4, O$2)),"****")</f>
        <v/>
      </c>
      <c r="P1193" t="str">
        <f>IFERROR(IF($C1193="","",SUMIFS(Ledger!$K$2:$K$4, Ledger!$B$2:$B$4, $A1193, Ledger!$C$2:$C$4, P$2)),"****")</f>
        <v/>
      </c>
      <c r="Q1193" t="str">
        <f>IFERROR(IF($C1193="","",SUMIFS(Ledger!$K$2:$K$4, Ledger!$B$2:$B$4, $A1193, Ledger!$C$2:$C$4, Q$2)),"****")</f>
        <v/>
      </c>
      <c r="R1193" t="str">
        <f>IFERROR(IF($C1193="","",SUMIFS(Ledger!$K$2:$K$4, Ledger!$B$2:$B$4, $A1193, Ledger!$C$2:$C$4, R$2)),"****")</f>
        <v/>
      </c>
      <c r="S1193" t="str">
        <f>IFERROR(IF($C1193="","",SUMIFS(Ledger!$K$2:$K$4, Ledger!$B$2:$B$4, $A1193, Ledger!$C$2:$C$4, S$2)),"****")</f>
        <v/>
      </c>
      <c r="T1193" t="str">
        <f>IFERROR(IF($C1193="","",SUMIFS(Ledger!$K$2:$K$4, Ledger!$B$2:$B$4, $A1193, Ledger!$C$2:$C$4, T$2)),"****")</f>
        <v/>
      </c>
      <c r="U1193" t="str">
        <f>IFERROR(IF($C1193="","",SUMIFS(Ledger!$K$2:$K$4, Ledger!$B$2:$B$4, $A1193, Ledger!$C$2:$C$4, U$2)),"****")</f>
        <v/>
      </c>
      <c r="V1193" t="str">
        <f>IFERROR(IF($C1193="","",SUMIFS(Ledger!$K$2:$K$4, Ledger!$B$2:$B$4, $A1193, Ledger!$C$2:$C$4, V$2)),"****")</f>
        <v/>
      </c>
      <c r="W1193" t="str">
        <f>IFERROR(IF($C1193="","",SUMIFS(Ledger!$K$2:$K$4, Ledger!$B$2:$B$4, $A1193, Ledger!$C$2:$C$4, W$2)),"****")</f>
        <v/>
      </c>
      <c r="X1193" t="str">
        <f>IFERROR(IF($C1193="","",SUMIFS(Ledger!$K$2:$K$4, Ledger!$B$2:$B$4, $A1193, Ledger!$C$2:$C$4, X$2)),"****")</f>
        <v/>
      </c>
    </row>
    <row r="1194" spans="1:24" x14ac:dyDescent="0.3">
      <c r="A1194" s="106">
        <v>1192</v>
      </c>
      <c r="B1194" t="str">
        <f>IFERROR(VLOOKUP($A1194, Ledger!$B$2:$L$8, 3, 0),"")</f>
        <v/>
      </c>
      <c r="C1194" t="str">
        <f>IFERROR(VLOOKUP($A1194, Ledger!$B$2:$L$8, 4, 0),"")</f>
        <v/>
      </c>
      <c r="D1194" t="str">
        <f>IFERROR(VLOOKUP($A1194, Ledger!$B$2:$L$8, 5, 0),"")</f>
        <v/>
      </c>
      <c r="E1194" t="str">
        <f>IFERROR(VLOOKUP($A1194, Ledger!$B$2:$L$8, 6, 0),"")</f>
        <v/>
      </c>
      <c r="F1194" t="str">
        <f>IFERROR(VLOOKUP($A1194,'Student Data'!$A$2:$AR$6,32,0),"")</f>
        <v/>
      </c>
      <c r="G1194" t="str">
        <f>IFERROR(VLOOKUP($A1194,'Student Data'!$A$2:$AR$6,33,0),"")</f>
        <v/>
      </c>
      <c r="H1194" t="str">
        <f>IFERROR(VLOOKUP($A1194,'Student Data'!$A$2:$AR$6,34,0),"")</f>
        <v/>
      </c>
      <c r="I1194" t="str">
        <f>IFERROR(VLOOKUP($A1194,'Student Data'!$A$2:$AR$6,35,0),"")</f>
        <v/>
      </c>
      <c r="J1194" t="str">
        <f>IFERROR(VLOOKUP($A1194,'Student Data'!$A$2:$AR$6,36,0),"")</f>
        <v/>
      </c>
      <c r="K1194" t="str">
        <f t="shared" si="36"/>
        <v/>
      </c>
      <c r="L1194" t="str">
        <f t="shared" si="37"/>
        <v/>
      </c>
      <c r="M1194" t="str">
        <f>IFERROR(IF($C1194="","",SUMIFS(Ledger!$K$2:$K$4, Ledger!$B$2:$B$4, $A1194, Ledger!$C$2:$C$4, M$2)),"****")</f>
        <v/>
      </c>
      <c r="N1194" t="str">
        <f>IFERROR(IF($C1194="","",SUMIFS(Ledger!$K$2:$K$4, Ledger!$B$2:$B$4, $A1194, Ledger!$C$2:$C$4, N$2)),"****")</f>
        <v/>
      </c>
      <c r="O1194" t="str">
        <f>IFERROR(IF($C1194="","",SUMIFS(Ledger!$K$2:$K$4, Ledger!$B$2:$B$4, $A1194, Ledger!$C$2:$C$4, O$2)),"****")</f>
        <v/>
      </c>
      <c r="P1194" t="str">
        <f>IFERROR(IF($C1194="","",SUMIFS(Ledger!$K$2:$K$4, Ledger!$B$2:$B$4, $A1194, Ledger!$C$2:$C$4, P$2)),"****")</f>
        <v/>
      </c>
      <c r="Q1194" t="str">
        <f>IFERROR(IF($C1194="","",SUMIFS(Ledger!$K$2:$K$4, Ledger!$B$2:$B$4, $A1194, Ledger!$C$2:$C$4, Q$2)),"****")</f>
        <v/>
      </c>
      <c r="R1194" t="str">
        <f>IFERROR(IF($C1194="","",SUMIFS(Ledger!$K$2:$K$4, Ledger!$B$2:$B$4, $A1194, Ledger!$C$2:$C$4, R$2)),"****")</f>
        <v/>
      </c>
      <c r="S1194" t="str">
        <f>IFERROR(IF($C1194="","",SUMIFS(Ledger!$K$2:$K$4, Ledger!$B$2:$B$4, $A1194, Ledger!$C$2:$C$4, S$2)),"****")</f>
        <v/>
      </c>
      <c r="T1194" t="str">
        <f>IFERROR(IF($C1194="","",SUMIFS(Ledger!$K$2:$K$4, Ledger!$B$2:$B$4, $A1194, Ledger!$C$2:$C$4, T$2)),"****")</f>
        <v/>
      </c>
      <c r="U1194" t="str">
        <f>IFERROR(IF($C1194="","",SUMIFS(Ledger!$K$2:$K$4, Ledger!$B$2:$B$4, $A1194, Ledger!$C$2:$C$4, U$2)),"****")</f>
        <v/>
      </c>
      <c r="V1194" t="str">
        <f>IFERROR(IF($C1194="","",SUMIFS(Ledger!$K$2:$K$4, Ledger!$B$2:$B$4, $A1194, Ledger!$C$2:$C$4, V$2)),"****")</f>
        <v/>
      </c>
      <c r="W1194" t="str">
        <f>IFERROR(IF($C1194="","",SUMIFS(Ledger!$K$2:$K$4, Ledger!$B$2:$B$4, $A1194, Ledger!$C$2:$C$4, W$2)),"****")</f>
        <v/>
      </c>
      <c r="X1194" t="str">
        <f>IFERROR(IF($C1194="","",SUMIFS(Ledger!$K$2:$K$4, Ledger!$B$2:$B$4, $A1194, Ledger!$C$2:$C$4, X$2)),"****")</f>
        <v/>
      </c>
    </row>
    <row r="1195" spans="1:24" x14ac:dyDescent="0.3">
      <c r="A1195" s="106">
        <v>1193</v>
      </c>
      <c r="B1195" t="str">
        <f>IFERROR(VLOOKUP($A1195, Ledger!$B$2:$L$8, 3, 0),"")</f>
        <v/>
      </c>
      <c r="C1195" t="str">
        <f>IFERROR(VLOOKUP($A1195, Ledger!$B$2:$L$8, 4, 0),"")</f>
        <v/>
      </c>
      <c r="D1195" t="str">
        <f>IFERROR(VLOOKUP($A1195, Ledger!$B$2:$L$8, 5, 0),"")</f>
        <v/>
      </c>
      <c r="E1195" t="str">
        <f>IFERROR(VLOOKUP($A1195, Ledger!$B$2:$L$8, 6, 0),"")</f>
        <v/>
      </c>
      <c r="F1195" t="str">
        <f>IFERROR(VLOOKUP($A1195,'Student Data'!$A$2:$AR$6,32,0),"")</f>
        <v/>
      </c>
      <c r="G1195" t="str">
        <f>IFERROR(VLOOKUP($A1195,'Student Data'!$A$2:$AR$6,33,0),"")</f>
        <v/>
      </c>
      <c r="H1195" t="str">
        <f>IFERROR(VLOOKUP($A1195,'Student Data'!$A$2:$AR$6,34,0),"")</f>
        <v/>
      </c>
      <c r="I1195" t="str">
        <f>IFERROR(VLOOKUP($A1195,'Student Data'!$A$2:$AR$6,35,0),"")</f>
        <v/>
      </c>
      <c r="J1195" t="str">
        <f>IFERROR(VLOOKUP($A1195,'Student Data'!$A$2:$AR$6,36,0),"")</f>
        <v/>
      </c>
      <c r="K1195" t="str">
        <f t="shared" si="36"/>
        <v/>
      </c>
      <c r="L1195" t="str">
        <f t="shared" si="37"/>
        <v/>
      </c>
      <c r="M1195" t="str">
        <f>IFERROR(IF($C1195="","",SUMIFS(Ledger!$K$2:$K$4, Ledger!$B$2:$B$4, $A1195, Ledger!$C$2:$C$4, M$2)),"****")</f>
        <v/>
      </c>
      <c r="N1195" t="str">
        <f>IFERROR(IF($C1195="","",SUMIFS(Ledger!$K$2:$K$4, Ledger!$B$2:$B$4, $A1195, Ledger!$C$2:$C$4, N$2)),"****")</f>
        <v/>
      </c>
      <c r="O1195" t="str">
        <f>IFERROR(IF($C1195="","",SUMIFS(Ledger!$K$2:$K$4, Ledger!$B$2:$B$4, $A1195, Ledger!$C$2:$C$4, O$2)),"****")</f>
        <v/>
      </c>
      <c r="P1195" t="str">
        <f>IFERROR(IF($C1195="","",SUMIFS(Ledger!$K$2:$K$4, Ledger!$B$2:$B$4, $A1195, Ledger!$C$2:$C$4, P$2)),"****")</f>
        <v/>
      </c>
      <c r="Q1195" t="str">
        <f>IFERROR(IF($C1195="","",SUMIFS(Ledger!$K$2:$K$4, Ledger!$B$2:$B$4, $A1195, Ledger!$C$2:$C$4, Q$2)),"****")</f>
        <v/>
      </c>
      <c r="R1195" t="str">
        <f>IFERROR(IF($C1195="","",SUMIFS(Ledger!$K$2:$K$4, Ledger!$B$2:$B$4, $A1195, Ledger!$C$2:$C$4, R$2)),"****")</f>
        <v/>
      </c>
      <c r="S1195" t="str">
        <f>IFERROR(IF($C1195="","",SUMIFS(Ledger!$K$2:$K$4, Ledger!$B$2:$B$4, $A1195, Ledger!$C$2:$C$4, S$2)),"****")</f>
        <v/>
      </c>
      <c r="T1195" t="str">
        <f>IFERROR(IF($C1195="","",SUMIFS(Ledger!$K$2:$K$4, Ledger!$B$2:$B$4, $A1195, Ledger!$C$2:$C$4, T$2)),"****")</f>
        <v/>
      </c>
      <c r="U1195" t="str">
        <f>IFERROR(IF($C1195="","",SUMIFS(Ledger!$K$2:$K$4, Ledger!$B$2:$B$4, $A1195, Ledger!$C$2:$C$4, U$2)),"****")</f>
        <v/>
      </c>
      <c r="V1195" t="str">
        <f>IFERROR(IF($C1195="","",SUMIFS(Ledger!$K$2:$K$4, Ledger!$B$2:$B$4, $A1195, Ledger!$C$2:$C$4, V$2)),"****")</f>
        <v/>
      </c>
      <c r="W1195" t="str">
        <f>IFERROR(IF($C1195="","",SUMIFS(Ledger!$K$2:$K$4, Ledger!$B$2:$B$4, $A1195, Ledger!$C$2:$C$4, W$2)),"****")</f>
        <v/>
      </c>
      <c r="X1195" t="str">
        <f>IFERROR(IF($C1195="","",SUMIFS(Ledger!$K$2:$K$4, Ledger!$B$2:$B$4, $A1195, Ledger!$C$2:$C$4, X$2)),"****")</f>
        <v/>
      </c>
    </row>
    <row r="1196" spans="1:24" x14ac:dyDescent="0.3">
      <c r="A1196" s="106">
        <v>1194</v>
      </c>
      <c r="B1196" t="str">
        <f>IFERROR(VLOOKUP($A1196, Ledger!$B$2:$L$8, 3, 0),"")</f>
        <v/>
      </c>
      <c r="C1196" t="str">
        <f>IFERROR(VLOOKUP($A1196, Ledger!$B$2:$L$8, 4, 0),"")</f>
        <v/>
      </c>
      <c r="D1196" t="str">
        <f>IFERROR(VLOOKUP($A1196, Ledger!$B$2:$L$8, 5, 0),"")</f>
        <v/>
      </c>
      <c r="E1196" t="str">
        <f>IFERROR(VLOOKUP($A1196, Ledger!$B$2:$L$8, 6, 0),"")</f>
        <v/>
      </c>
      <c r="F1196" t="str">
        <f>IFERROR(VLOOKUP($A1196,'Student Data'!$A$2:$AR$6,32,0),"")</f>
        <v/>
      </c>
      <c r="G1196" t="str">
        <f>IFERROR(VLOOKUP($A1196,'Student Data'!$A$2:$AR$6,33,0),"")</f>
        <v/>
      </c>
      <c r="H1196" t="str">
        <f>IFERROR(VLOOKUP($A1196,'Student Data'!$A$2:$AR$6,34,0),"")</f>
        <v/>
      </c>
      <c r="I1196" t="str">
        <f>IFERROR(VLOOKUP($A1196,'Student Data'!$A$2:$AR$6,35,0),"")</f>
        <v/>
      </c>
      <c r="J1196" t="str">
        <f>IFERROR(VLOOKUP($A1196,'Student Data'!$A$2:$AR$6,36,0),"")</f>
        <v/>
      </c>
      <c r="K1196" t="str">
        <f t="shared" si="36"/>
        <v/>
      </c>
      <c r="L1196" t="str">
        <f t="shared" si="37"/>
        <v/>
      </c>
      <c r="M1196" t="str">
        <f>IFERROR(IF($C1196="","",SUMIFS(Ledger!$K$2:$K$4, Ledger!$B$2:$B$4, $A1196, Ledger!$C$2:$C$4, M$2)),"****")</f>
        <v/>
      </c>
      <c r="N1196" t="str">
        <f>IFERROR(IF($C1196="","",SUMIFS(Ledger!$K$2:$K$4, Ledger!$B$2:$B$4, $A1196, Ledger!$C$2:$C$4, N$2)),"****")</f>
        <v/>
      </c>
      <c r="O1196" t="str">
        <f>IFERROR(IF($C1196="","",SUMIFS(Ledger!$K$2:$K$4, Ledger!$B$2:$B$4, $A1196, Ledger!$C$2:$C$4, O$2)),"****")</f>
        <v/>
      </c>
      <c r="P1196" t="str">
        <f>IFERROR(IF($C1196="","",SUMIFS(Ledger!$K$2:$K$4, Ledger!$B$2:$B$4, $A1196, Ledger!$C$2:$C$4, P$2)),"****")</f>
        <v/>
      </c>
      <c r="Q1196" t="str">
        <f>IFERROR(IF($C1196="","",SUMIFS(Ledger!$K$2:$K$4, Ledger!$B$2:$B$4, $A1196, Ledger!$C$2:$C$4, Q$2)),"****")</f>
        <v/>
      </c>
      <c r="R1196" t="str">
        <f>IFERROR(IF($C1196="","",SUMIFS(Ledger!$K$2:$K$4, Ledger!$B$2:$B$4, $A1196, Ledger!$C$2:$C$4, R$2)),"****")</f>
        <v/>
      </c>
      <c r="S1196" t="str">
        <f>IFERROR(IF($C1196="","",SUMIFS(Ledger!$K$2:$K$4, Ledger!$B$2:$B$4, $A1196, Ledger!$C$2:$C$4, S$2)),"****")</f>
        <v/>
      </c>
      <c r="T1196" t="str">
        <f>IFERROR(IF($C1196="","",SUMIFS(Ledger!$K$2:$K$4, Ledger!$B$2:$B$4, $A1196, Ledger!$C$2:$C$4, T$2)),"****")</f>
        <v/>
      </c>
      <c r="U1196" t="str">
        <f>IFERROR(IF($C1196="","",SUMIFS(Ledger!$K$2:$K$4, Ledger!$B$2:$B$4, $A1196, Ledger!$C$2:$C$4, U$2)),"****")</f>
        <v/>
      </c>
      <c r="V1196" t="str">
        <f>IFERROR(IF($C1196="","",SUMIFS(Ledger!$K$2:$K$4, Ledger!$B$2:$B$4, $A1196, Ledger!$C$2:$C$4, V$2)),"****")</f>
        <v/>
      </c>
      <c r="W1196" t="str">
        <f>IFERROR(IF($C1196="","",SUMIFS(Ledger!$K$2:$K$4, Ledger!$B$2:$B$4, $A1196, Ledger!$C$2:$C$4, W$2)),"****")</f>
        <v/>
      </c>
      <c r="X1196" t="str">
        <f>IFERROR(IF($C1196="","",SUMIFS(Ledger!$K$2:$K$4, Ledger!$B$2:$B$4, $A1196, Ledger!$C$2:$C$4, X$2)),"****")</f>
        <v/>
      </c>
    </row>
    <row r="1197" spans="1:24" x14ac:dyDescent="0.3">
      <c r="A1197" s="106">
        <v>1195</v>
      </c>
      <c r="B1197" t="str">
        <f>IFERROR(VLOOKUP($A1197, Ledger!$B$2:$L$8, 3, 0),"")</f>
        <v/>
      </c>
      <c r="C1197" t="str">
        <f>IFERROR(VLOOKUP($A1197, Ledger!$B$2:$L$8, 4, 0),"")</f>
        <v/>
      </c>
      <c r="D1197" t="str">
        <f>IFERROR(VLOOKUP($A1197, Ledger!$B$2:$L$8, 5, 0),"")</f>
        <v/>
      </c>
      <c r="E1197" t="str">
        <f>IFERROR(VLOOKUP($A1197, Ledger!$B$2:$L$8, 6, 0),"")</f>
        <v/>
      </c>
      <c r="F1197" t="str">
        <f>IFERROR(VLOOKUP($A1197,'Student Data'!$A$2:$AR$6,32,0),"")</f>
        <v/>
      </c>
      <c r="G1197" t="str">
        <f>IFERROR(VLOOKUP($A1197,'Student Data'!$A$2:$AR$6,33,0),"")</f>
        <v/>
      </c>
      <c r="H1197" t="str">
        <f>IFERROR(VLOOKUP($A1197,'Student Data'!$A$2:$AR$6,34,0),"")</f>
        <v/>
      </c>
      <c r="I1197" t="str">
        <f>IFERROR(VLOOKUP($A1197,'Student Data'!$A$2:$AR$6,35,0),"")</f>
        <v/>
      </c>
      <c r="J1197" t="str">
        <f>IFERROR(VLOOKUP($A1197,'Student Data'!$A$2:$AR$6,36,0),"")</f>
        <v/>
      </c>
      <c r="K1197" t="str">
        <f t="shared" si="36"/>
        <v/>
      </c>
      <c r="L1197" t="str">
        <f t="shared" si="37"/>
        <v/>
      </c>
      <c r="M1197" t="str">
        <f>IFERROR(IF($C1197="","",SUMIFS(Ledger!$K$2:$K$4, Ledger!$B$2:$B$4, $A1197, Ledger!$C$2:$C$4, M$2)),"****")</f>
        <v/>
      </c>
      <c r="N1197" t="str">
        <f>IFERROR(IF($C1197="","",SUMIFS(Ledger!$K$2:$K$4, Ledger!$B$2:$B$4, $A1197, Ledger!$C$2:$C$4, N$2)),"****")</f>
        <v/>
      </c>
      <c r="O1197" t="str">
        <f>IFERROR(IF($C1197="","",SUMIFS(Ledger!$K$2:$K$4, Ledger!$B$2:$B$4, $A1197, Ledger!$C$2:$C$4, O$2)),"****")</f>
        <v/>
      </c>
      <c r="P1197" t="str">
        <f>IFERROR(IF($C1197="","",SUMIFS(Ledger!$K$2:$K$4, Ledger!$B$2:$B$4, $A1197, Ledger!$C$2:$C$4, P$2)),"****")</f>
        <v/>
      </c>
      <c r="Q1197" t="str">
        <f>IFERROR(IF($C1197="","",SUMIFS(Ledger!$K$2:$K$4, Ledger!$B$2:$B$4, $A1197, Ledger!$C$2:$C$4, Q$2)),"****")</f>
        <v/>
      </c>
      <c r="R1197" t="str">
        <f>IFERROR(IF($C1197="","",SUMIFS(Ledger!$K$2:$K$4, Ledger!$B$2:$B$4, $A1197, Ledger!$C$2:$C$4, R$2)),"****")</f>
        <v/>
      </c>
      <c r="S1197" t="str">
        <f>IFERROR(IF($C1197="","",SUMIFS(Ledger!$K$2:$K$4, Ledger!$B$2:$B$4, $A1197, Ledger!$C$2:$C$4, S$2)),"****")</f>
        <v/>
      </c>
      <c r="T1197" t="str">
        <f>IFERROR(IF($C1197="","",SUMIFS(Ledger!$K$2:$K$4, Ledger!$B$2:$B$4, $A1197, Ledger!$C$2:$C$4, T$2)),"****")</f>
        <v/>
      </c>
      <c r="U1197" t="str">
        <f>IFERROR(IF($C1197="","",SUMIFS(Ledger!$K$2:$K$4, Ledger!$B$2:$B$4, $A1197, Ledger!$C$2:$C$4, U$2)),"****")</f>
        <v/>
      </c>
      <c r="V1197" t="str">
        <f>IFERROR(IF($C1197="","",SUMIFS(Ledger!$K$2:$K$4, Ledger!$B$2:$B$4, $A1197, Ledger!$C$2:$C$4, V$2)),"****")</f>
        <v/>
      </c>
      <c r="W1197" t="str">
        <f>IFERROR(IF($C1197="","",SUMIFS(Ledger!$K$2:$K$4, Ledger!$B$2:$B$4, $A1197, Ledger!$C$2:$C$4, W$2)),"****")</f>
        <v/>
      </c>
      <c r="X1197" t="str">
        <f>IFERROR(IF($C1197="","",SUMIFS(Ledger!$K$2:$K$4, Ledger!$B$2:$B$4, $A1197, Ledger!$C$2:$C$4, X$2)),"****")</f>
        <v/>
      </c>
    </row>
    <row r="1198" spans="1:24" x14ac:dyDescent="0.3">
      <c r="A1198" s="106">
        <v>1196</v>
      </c>
      <c r="B1198" t="str">
        <f>IFERROR(VLOOKUP($A1198, Ledger!$B$2:$L$8, 3, 0),"")</f>
        <v/>
      </c>
      <c r="C1198" t="str">
        <f>IFERROR(VLOOKUP($A1198, Ledger!$B$2:$L$8, 4, 0),"")</f>
        <v/>
      </c>
      <c r="D1198" t="str">
        <f>IFERROR(VLOOKUP($A1198, Ledger!$B$2:$L$8, 5, 0),"")</f>
        <v/>
      </c>
      <c r="E1198" t="str">
        <f>IFERROR(VLOOKUP($A1198, Ledger!$B$2:$L$8, 6, 0),"")</f>
        <v/>
      </c>
      <c r="F1198" t="str">
        <f>IFERROR(VLOOKUP($A1198,'Student Data'!$A$2:$AR$6,32,0),"")</f>
        <v/>
      </c>
      <c r="G1198" t="str">
        <f>IFERROR(VLOOKUP($A1198,'Student Data'!$A$2:$AR$6,33,0),"")</f>
        <v/>
      </c>
      <c r="H1198" t="str">
        <f>IFERROR(VLOOKUP($A1198,'Student Data'!$A$2:$AR$6,34,0),"")</f>
        <v/>
      </c>
      <c r="I1198" t="str">
        <f>IFERROR(VLOOKUP($A1198,'Student Data'!$A$2:$AR$6,35,0),"")</f>
        <v/>
      </c>
      <c r="J1198" t="str">
        <f>IFERROR(VLOOKUP($A1198,'Student Data'!$A$2:$AR$6,36,0),"")</f>
        <v/>
      </c>
      <c r="K1198" t="str">
        <f t="shared" si="36"/>
        <v/>
      </c>
      <c r="L1198" t="str">
        <f t="shared" si="37"/>
        <v/>
      </c>
      <c r="M1198" t="str">
        <f>IFERROR(IF($C1198="","",SUMIFS(Ledger!$K$2:$K$4, Ledger!$B$2:$B$4, $A1198, Ledger!$C$2:$C$4, M$2)),"****")</f>
        <v/>
      </c>
      <c r="N1198" t="str">
        <f>IFERROR(IF($C1198="","",SUMIFS(Ledger!$K$2:$K$4, Ledger!$B$2:$B$4, $A1198, Ledger!$C$2:$C$4, N$2)),"****")</f>
        <v/>
      </c>
      <c r="O1198" t="str">
        <f>IFERROR(IF($C1198="","",SUMIFS(Ledger!$K$2:$K$4, Ledger!$B$2:$B$4, $A1198, Ledger!$C$2:$C$4, O$2)),"****")</f>
        <v/>
      </c>
      <c r="P1198" t="str">
        <f>IFERROR(IF($C1198="","",SUMIFS(Ledger!$K$2:$K$4, Ledger!$B$2:$B$4, $A1198, Ledger!$C$2:$C$4, P$2)),"****")</f>
        <v/>
      </c>
      <c r="Q1198" t="str">
        <f>IFERROR(IF($C1198="","",SUMIFS(Ledger!$K$2:$K$4, Ledger!$B$2:$B$4, $A1198, Ledger!$C$2:$C$4, Q$2)),"****")</f>
        <v/>
      </c>
      <c r="R1198" t="str">
        <f>IFERROR(IF($C1198="","",SUMIFS(Ledger!$K$2:$K$4, Ledger!$B$2:$B$4, $A1198, Ledger!$C$2:$C$4, R$2)),"****")</f>
        <v/>
      </c>
      <c r="S1198" t="str">
        <f>IFERROR(IF($C1198="","",SUMIFS(Ledger!$K$2:$K$4, Ledger!$B$2:$B$4, $A1198, Ledger!$C$2:$C$4, S$2)),"****")</f>
        <v/>
      </c>
      <c r="T1198" t="str">
        <f>IFERROR(IF($C1198="","",SUMIFS(Ledger!$K$2:$K$4, Ledger!$B$2:$B$4, $A1198, Ledger!$C$2:$C$4, T$2)),"****")</f>
        <v/>
      </c>
      <c r="U1198" t="str">
        <f>IFERROR(IF($C1198="","",SUMIFS(Ledger!$K$2:$K$4, Ledger!$B$2:$B$4, $A1198, Ledger!$C$2:$C$4, U$2)),"****")</f>
        <v/>
      </c>
      <c r="V1198" t="str">
        <f>IFERROR(IF($C1198="","",SUMIFS(Ledger!$K$2:$K$4, Ledger!$B$2:$B$4, $A1198, Ledger!$C$2:$C$4, V$2)),"****")</f>
        <v/>
      </c>
      <c r="W1198" t="str">
        <f>IFERROR(IF($C1198="","",SUMIFS(Ledger!$K$2:$K$4, Ledger!$B$2:$B$4, $A1198, Ledger!$C$2:$C$4, W$2)),"****")</f>
        <v/>
      </c>
      <c r="X1198" t="str">
        <f>IFERROR(IF($C1198="","",SUMIFS(Ledger!$K$2:$K$4, Ledger!$B$2:$B$4, $A1198, Ledger!$C$2:$C$4, X$2)),"****")</f>
        <v/>
      </c>
    </row>
    <row r="1199" spans="1:24" x14ac:dyDescent="0.3">
      <c r="A1199" s="106">
        <v>1197</v>
      </c>
      <c r="B1199" t="str">
        <f>IFERROR(VLOOKUP($A1199, Ledger!$B$2:$L$8, 3, 0),"")</f>
        <v/>
      </c>
      <c r="C1199" t="str">
        <f>IFERROR(VLOOKUP($A1199, Ledger!$B$2:$L$8, 4, 0),"")</f>
        <v/>
      </c>
      <c r="D1199" t="str">
        <f>IFERROR(VLOOKUP($A1199, Ledger!$B$2:$L$8, 5, 0),"")</f>
        <v/>
      </c>
      <c r="E1199" t="str">
        <f>IFERROR(VLOOKUP($A1199, Ledger!$B$2:$L$8, 6, 0),"")</f>
        <v/>
      </c>
      <c r="F1199" t="str">
        <f>IFERROR(VLOOKUP($A1199,'Student Data'!$A$2:$AR$6,32,0),"")</f>
        <v/>
      </c>
      <c r="G1199" t="str">
        <f>IFERROR(VLOOKUP($A1199,'Student Data'!$A$2:$AR$6,33,0),"")</f>
        <v/>
      </c>
      <c r="H1199" t="str">
        <f>IFERROR(VLOOKUP($A1199,'Student Data'!$A$2:$AR$6,34,0),"")</f>
        <v/>
      </c>
      <c r="I1199" t="str">
        <f>IFERROR(VLOOKUP($A1199,'Student Data'!$A$2:$AR$6,35,0),"")</f>
        <v/>
      </c>
      <c r="J1199" t="str">
        <f>IFERROR(VLOOKUP($A1199,'Student Data'!$A$2:$AR$6,36,0),"")</f>
        <v/>
      </c>
      <c r="K1199" t="str">
        <f t="shared" si="36"/>
        <v/>
      </c>
      <c r="L1199" t="str">
        <f t="shared" si="37"/>
        <v/>
      </c>
      <c r="M1199" t="str">
        <f>IFERROR(IF($C1199="","",SUMIFS(Ledger!$K$2:$K$4, Ledger!$B$2:$B$4, $A1199, Ledger!$C$2:$C$4, M$2)),"****")</f>
        <v/>
      </c>
      <c r="N1199" t="str">
        <f>IFERROR(IF($C1199="","",SUMIFS(Ledger!$K$2:$K$4, Ledger!$B$2:$B$4, $A1199, Ledger!$C$2:$C$4, N$2)),"****")</f>
        <v/>
      </c>
      <c r="O1199" t="str">
        <f>IFERROR(IF($C1199="","",SUMIFS(Ledger!$K$2:$K$4, Ledger!$B$2:$B$4, $A1199, Ledger!$C$2:$C$4, O$2)),"****")</f>
        <v/>
      </c>
      <c r="P1199" t="str">
        <f>IFERROR(IF($C1199="","",SUMIFS(Ledger!$K$2:$K$4, Ledger!$B$2:$B$4, $A1199, Ledger!$C$2:$C$4, P$2)),"****")</f>
        <v/>
      </c>
      <c r="Q1199" t="str">
        <f>IFERROR(IF($C1199="","",SUMIFS(Ledger!$K$2:$K$4, Ledger!$B$2:$B$4, $A1199, Ledger!$C$2:$C$4, Q$2)),"****")</f>
        <v/>
      </c>
      <c r="R1199" t="str">
        <f>IFERROR(IF($C1199="","",SUMIFS(Ledger!$K$2:$K$4, Ledger!$B$2:$B$4, $A1199, Ledger!$C$2:$C$4, R$2)),"****")</f>
        <v/>
      </c>
      <c r="S1199" t="str">
        <f>IFERROR(IF($C1199="","",SUMIFS(Ledger!$K$2:$K$4, Ledger!$B$2:$B$4, $A1199, Ledger!$C$2:$C$4, S$2)),"****")</f>
        <v/>
      </c>
      <c r="T1199" t="str">
        <f>IFERROR(IF($C1199="","",SUMIFS(Ledger!$K$2:$K$4, Ledger!$B$2:$B$4, $A1199, Ledger!$C$2:$C$4, T$2)),"****")</f>
        <v/>
      </c>
      <c r="U1199" t="str">
        <f>IFERROR(IF($C1199="","",SUMIFS(Ledger!$K$2:$K$4, Ledger!$B$2:$B$4, $A1199, Ledger!$C$2:$C$4, U$2)),"****")</f>
        <v/>
      </c>
      <c r="V1199" t="str">
        <f>IFERROR(IF($C1199="","",SUMIFS(Ledger!$K$2:$K$4, Ledger!$B$2:$B$4, $A1199, Ledger!$C$2:$C$4, V$2)),"****")</f>
        <v/>
      </c>
      <c r="W1199" t="str">
        <f>IFERROR(IF($C1199="","",SUMIFS(Ledger!$K$2:$K$4, Ledger!$B$2:$B$4, $A1199, Ledger!$C$2:$C$4, W$2)),"****")</f>
        <v/>
      </c>
      <c r="X1199" t="str">
        <f>IFERROR(IF($C1199="","",SUMIFS(Ledger!$K$2:$K$4, Ledger!$B$2:$B$4, $A1199, Ledger!$C$2:$C$4, X$2)),"****")</f>
        <v/>
      </c>
    </row>
    <row r="1200" spans="1:24" x14ac:dyDescent="0.3">
      <c r="A1200" s="106">
        <v>1198</v>
      </c>
      <c r="B1200" t="str">
        <f>IFERROR(VLOOKUP($A1200, Ledger!$B$2:$L$8, 3, 0),"")</f>
        <v/>
      </c>
      <c r="C1200" t="str">
        <f>IFERROR(VLOOKUP($A1200, Ledger!$B$2:$L$8, 4, 0),"")</f>
        <v/>
      </c>
      <c r="D1200" t="str">
        <f>IFERROR(VLOOKUP($A1200, Ledger!$B$2:$L$8, 5, 0),"")</f>
        <v/>
      </c>
      <c r="E1200" t="str">
        <f>IFERROR(VLOOKUP($A1200, Ledger!$B$2:$L$8, 6, 0),"")</f>
        <v/>
      </c>
      <c r="F1200" t="str">
        <f>IFERROR(VLOOKUP($A1200,'Student Data'!$A$2:$AR$6,32,0),"")</f>
        <v/>
      </c>
      <c r="G1200" t="str">
        <f>IFERROR(VLOOKUP($A1200,'Student Data'!$A$2:$AR$6,33,0),"")</f>
        <v/>
      </c>
      <c r="H1200" t="str">
        <f>IFERROR(VLOOKUP($A1200,'Student Data'!$A$2:$AR$6,34,0),"")</f>
        <v/>
      </c>
      <c r="I1200" t="str">
        <f>IFERROR(VLOOKUP($A1200,'Student Data'!$A$2:$AR$6,35,0),"")</f>
        <v/>
      </c>
      <c r="J1200" t="str">
        <f>IFERROR(VLOOKUP($A1200,'Student Data'!$A$2:$AR$6,36,0),"")</f>
        <v/>
      </c>
      <c r="K1200" t="str">
        <f t="shared" si="36"/>
        <v/>
      </c>
      <c r="L1200" t="str">
        <f t="shared" si="37"/>
        <v/>
      </c>
      <c r="M1200" t="str">
        <f>IFERROR(IF($C1200="","",SUMIFS(Ledger!$K$2:$K$4, Ledger!$B$2:$B$4, $A1200, Ledger!$C$2:$C$4, M$2)),"****")</f>
        <v/>
      </c>
      <c r="N1200" t="str">
        <f>IFERROR(IF($C1200="","",SUMIFS(Ledger!$K$2:$K$4, Ledger!$B$2:$B$4, $A1200, Ledger!$C$2:$C$4, N$2)),"****")</f>
        <v/>
      </c>
      <c r="O1200" t="str">
        <f>IFERROR(IF($C1200="","",SUMIFS(Ledger!$K$2:$K$4, Ledger!$B$2:$B$4, $A1200, Ledger!$C$2:$C$4, O$2)),"****")</f>
        <v/>
      </c>
      <c r="P1200" t="str">
        <f>IFERROR(IF($C1200="","",SUMIFS(Ledger!$K$2:$K$4, Ledger!$B$2:$B$4, $A1200, Ledger!$C$2:$C$4, P$2)),"****")</f>
        <v/>
      </c>
      <c r="Q1200" t="str">
        <f>IFERROR(IF($C1200="","",SUMIFS(Ledger!$K$2:$K$4, Ledger!$B$2:$B$4, $A1200, Ledger!$C$2:$C$4, Q$2)),"****")</f>
        <v/>
      </c>
      <c r="R1200" t="str">
        <f>IFERROR(IF($C1200="","",SUMIFS(Ledger!$K$2:$K$4, Ledger!$B$2:$B$4, $A1200, Ledger!$C$2:$C$4, R$2)),"****")</f>
        <v/>
      </c>
      <c r="S1200" t="str">
        <f>IFERROR(IF($C1200="","",SUMIFS(Ledger!$K$2:$K$4, Ledger!$B$2:$B$4, $A1200, Ledger!$C$2:$C$4, S$2)),"****")</f>
        <v/>
      </c>
      <c r="T1200" t="str">
        <f>IFERROR(IF($C1200="","",SUMIFS(Ledger!$K$2:$K$4, Ledger!$B$2:$B$4, $A1200, Ledger!$C$2:$C$4, T$2)),"****")</f>
        <v/>
      </c>
      <c r="U1200" t="str">
        <f>IFERROR(IF($C1200="","",SUMIFS(Ledger!$K$2:$K$4, Ledger!$B$2:$B$4, $A1200, Ledger!$C$2:$C$4, U$2)),"****")</f>
        <v/>
      </c>
      <c r="V1200" t="str">
        <f>IFERROR(IF($C1200="","",SUMIFS(Ledger!$K$2:$K$4, Ledger!$B$2:$B$4, $A1200, Ledger!$C$2:$C$4, V$2)),"****")</f>
        <v/>
      </c>
      <c r="W1200" t="str">
        <f>IFERROR(IF($C1200="","",SUMIFS(Ledger!$K$2:$K$4, Ledger!$B$2:$B$4, $A1200, Ledger!$C$2:$C$4, W$2)),"****")</f>
        <v/>
      </c>
      <c r="X1200" t="str">
        <f>IFERROR(IF($C1200="","",SUMIFS(Ledger!$K$2:$K$4, Ledger!$B$2:$B$4, $A1200, Ledger!$C$2:$C$4, X$2)),"****")</f>
        <v/>
      </c>
    </row>
    <row r="1201" spans="1:24" x14ac:dyDescent="0.3">
      <c r="A1201" s="106">
        <v>1199</v>
      </c>
      <c r="B1201" t="str">
        <f>IFERROR(VLOOKUP($A1201, Ledger!$B$2:$L$8, 3, 0),"")</f>
        <v/>
      </c>
      <c r="C1201" t="str">
        <f>IFERROR(VLOOKUP($A1201, Ledger!$B$2:$L$8, 4, 0),"")</f>
        <v/>
      </c>
      <c r="D1201" t="str">
        <f>IFERROR(VLOOKUP($A1201, Ledger!$B$2:$L$8, 5, 0),"")</f>
        <v/>
      </c>
      <c r="E1201" t="str">
        <f>IFERROR(VLOOKUP($A1201, Ledger!$B$2:$L$8, 6, 0),"")</f>
        <v/>
      </c>
      <c r="F1201" t="str">
        <f>IFERROR(VLOOKUP($A1201,'Student Data'!$A$2:$AR$6,32,0),"")</f>
        <v/>
      </c>
      <c r="G1201" t="str">
        <f>IFERROR(VLOOKUP($A1201,'Student Data'!$A$2:$AR$6,33,0),"")</f>
        <v/>
      </c>
      <c r="H1201" t="str">
        <f>IFERROR(VLOOKUP($A1201,'Student Data'!$A$2:$AR$6,34,0),"")</f>
        <v/>
      </c>
      <c r="I1201" t="str">
        <f>IFERROR(VLOOKUP($A1201,'Student Data'!$A$2:$AR$6,35,0),"")</f>
        <v/>
      </c>
      <c r="J1201" t="str">
        <f>IFERROR(VLOOKUP($A1201,'Student Data'!$A$2:$AR$6,36,0),"")</f>
        <v/>
      </c>
      <c r="K1201" t="str">
        <f t="shared" si="36"/>
        <v/>
      </c>
      <c r="L1201" t="str">
        <f t="shared" si="37"/>
        <v/>
      </c>
      <c r="M1201" t="str">
        <f>IFERROR(IF($C1201="","",SUMIFS(Ledger!$K$2:$K$4, Ledger!$B$2:$B$4, $A1201, Ledger!$C$2:$C$4, M$2)),"****")</f>
        <v/>
      </c>
      <c r="N1201" t="str">
        <f>IFERROR(IF($C1201="","",SUMIFS(Ledger!$K$2:$K$4, Ledger!$B$2:$B$4, $A1201, Ledger!$C$2:$C$4, N$2)),"****")</f>
        <v/>
      </c>
      <c r="O1201" t="str">
        <f>IFERROR(IF($C1201="","",SUMIFS(Ledger!$K$2:$K$4, Ledger!$B$2:$B$4, $A1201, Ledger!$C$2:$C$4, O$2)),"****")</f>
        <v/>
      </c>
      <c r="P1201" t="str">
        <f>IFERROR(IF($C1201="","",SUMIFS(Ledger!$K$2:$K$4, Ledger!$B$2:$B$4, $A1201, Ledger!$C$2:$C$4, P$2)),"****")</f>
        <v/>
      </c>
      <c r="Q1201" t="str">
        <f>IFERROR(IF($C1201="","",SUMIFS(Ledger!$K$2:$K$4, Ledger!$B$2:$B$4, $A1201, Ledger!$C$2:$C$4, Q$2)),"****")</f>
        <v/>
      </c>
      <c r="R1201" t="str">
        <f>IFERROR(IF($C1201="","",SUMIFS(Ledger!$K$2:$K$4, Ledger!$B$2:$B$4, $A1201, Ledger!$C$2:$C$4, R$2)),"****")</f>
        <v/>
      </c>
      <c r="S1201" t="str">
        <f>IFERROR(IF($C1201="","",SUMIFS(Ledger!$K$2:$K$4, Ledger!$B$2:$B$4, $A1201, Ledger!$C$2:$C$4, S$2)),"****")</f>
        <v/>
      </c>
      <c r="T1201" t="str">
        <f>IFERROR(IF($C1201="","",SUMIFS(Ledger!$K$2:$K$4, Ledger!$B$2:$B$4, $A1201, Ledger!$C$2:$C$4, T$2)),"****")</f>
        <v/>
      </c>
      <c r="U1201" t="str">
        <f>IFERROR(IF($C1201="","",SUMIFS(Ledger!$K$2:$K$4, Ledger!$B$2:$B$4, $A1201, Ledger!$C$2:$C$4, U$2)),"****")</f>
        <v/>
      </c>
      <c r="V1201" t="str">
        <f>IFERROR(IF($C1201="","",SUMIFS(Ledger!$K$2:$K$4, Ledger!$B$2:$B$4, $A1201, Ledger!$C$2:$C$4, V$2)),"****")</f>
        <v/>
      </c>
      <c r="W1201" t="str">
        <f>IFERROR(IF($C1201="","",SUMIFS(Ledger!$K$2:$K$4, Ledger!$B$2:$B$4, $A1201, Ledger!$C$2:$C$4, W$2)),"****")</f>
        <v/>
      </c>
      <c r="X1201" t="str">
        <f>IFERROR(IF($C1201="","",SUMIFS(Ledger!$K$2:$K$4, Ledger!$B$2:$B$4, $A1201, Ledger!$C$2:$C$4, X$2)),"****")</f>
        <v/>
      </c>
    </row>
    <row r="1202" spans="1:24" x14ac:dyDescent="0.3">
      <c r="A1202" s="106">
        <v>1200</v>
      </c>
      <c r="B1202" t="str">
        <f>IFERROR(VLOOKUP($A1202, Ledger!$B$2:$L$8, 3, 0),"")</f>
        <v/>
      </c>
      <c r="C1202" t="str">
        <f>IFERROR(VLOOKUP($A1202, Ledger!$B$2:$L$8, 4, 0),"")</f>
        <v/>
      </c>
      <c r="D1202" t="str">
        <f>IFERROR(VLOOKUP($A1202, Ledger!$B$2:$L$8, 5, 0),"")</f>
        <v/>
      </c>
      <c r="E1202" t="str">
        <f>IFERROR(VLOOKUP($A1202, Ledger!$B$2:$L$8, 6, 0),"")</f>
        <v/>
      </c>
      <c r="F1202" t="str">
        <f>IFERROR(VLOOKUP($A1202,'Student Data'!$A$2:$AR$6,32,0),"")</f>
        <v/>
      </c>
      <c r="G1202" t="str">
        <f>IFERROR(VLOOKUP($A1202,'Student Data'!$A$2:$AR$6,33,0),"")</f>
        <v/>
      </c>
      <c r="H1202" t="str">
        <f>IFERROR(VLOOKUP($A1202,'Student Data'!$A$2:$AR$6,34,0),"")</f>
        <v/>
      </c>
      <c r="I1202" t="str">
        <f>IFERROR(VLOOKUP($A1202,'Student Data'!$A$2:$AR$6,35,0),"")</f>
        <v/>
      </c>
      <c r="J1202" t="str">
        <f>IFERROR(VLOOKUP($A1202,'Student Data'!$A$2:$AR$6,36,0),"")</f>
        <v/>
      </c>
      <c r="K1202" t="str">
        <f t="shared" si="36"/>
        <v/>
      </c>
      <c r="L1202" t="str">
        <f t="shared" si="37"/>
        <v/>
      </c>
      <c r="M1202" t="str">
        <f>IFERROR(IF($C1202="","",SUMIFS(Ledger!$K$2:$K$4, Ledger!$B$2:$B$4, $A1202, Ledger!$C$2:$C$4, M$2)),"****")</f>
        <v/>
      </c>
      <c r="N1202" t="str">
        <f>IFERROR(IF($C1202="","",SUMIFS(Ledger!$K$2:$K$4, Ledger!$B$2:$B$4, $A1202, Ledger!$C$2:$C$4, N$2)),"****")</f>
        <v/>
      </c>
      <c r="O1202" t="str">
        <f>IFERROR(IF($C1202="","",SUMIFS(Ledger!$K$2:$K$4, Ledger!$B$2:$B$4, $A1202, Ledger!$C$2:$C$4, O$2)),"****")</f>
        <v/>
      </c>
      <c r="P1202" t="str">
        <f>IFERROR(IF($C1202="","",SUMIFS(Ledger!$K$2:$K$4, Ledger!$B$2:$B$4, $A1202, Ledger!$C$2:$C$4, P$2)),"****")</f>
        <v/>
      </c>
      <c r="Q1202" t="str">
        <f>IFERROR(IF($C1202="","",SUMIFS(Ledger!$K$2:$K$4, Ledger!$B$2:$B$4, $A1202, Ledger!$C$2:$C$4, Q$2)),"****")</f>
        <v/>
      </c>
      <c r="R1202" t="str">
        <f>IFERROR(IF($C1202="","",SUMIFS(Ledger!$K$2:$K$4, Ledger!$B$2:$B$4, $A1202, Ledger!$C$2:$C$4, R$2)),"****")</f>
        <v/>
      </c>
      <c r="S1202" t="str">
        <f>IFERROR(IF($C1202="","",SUMIFS(Ledger!$K$2:$K$4, Ledger!$B$2:$B$4, $A1202, Ledger!$C$2:$C$4, S$2)),"****")</f>
        <v/>
      </c>
      <c r="T1202" t="str">
        <f>IFERROR(IF($C1202="","",SUMIFS(Ledger!$K$2:$K$4, Ledger!$B$2:$B$4, $A1202, Ledger!$C$2:$C$4, T$2)),"****")</f>
        <v/>
      </c>
      <c r="U1202" t="str">
        <f>IFERROR(IF($C1202="","",SUMIFS(Ledger!$K$2:$K$4, Ledger!$B$2:$B$4, $A1202, Ledger!$C$2:$C$4, U$2)),"****")</f>
        <v/>
      </c>
      <c r="V1202" t="str">
        <f>IFERROR(IF($C1202="","",SUMIFS(Ledger!$K$2:$K$4, Ledger!$B$2:$B$4, $A1202, Ledger!$C$2:$C$4, V$2)),"****")</f>
        <v/>
      </c>
      <c r="W1202" t="str">
        <f>IFERROR(IF($C1202="","",SUMIFS(Ledger!$K$2:$K$4, Ledger!$B$2:$B$4, $A1202, Ledger!$C$2:$C$4, W$2)),"****")</f>
        <v/>
      </c>
      <c r="X1202" t="str">
        <f>IFERROR(IF($C1202="","",SUMIFS(Ledger!$K$2:$K$4, Ledger!$B$2:$B$4, $A1202, Ledger!$C$2:$C$4, X$2)),"****")</f>
        <v/>
      </c>
    </row>
  </sheetData>
  <sheetProtection algorithmName="SHA-512" hashValue="puL2ElNDszs4qfHbDMajjfe2YV1lnXujaXDjFCDMvAfIt11KFZ03adw7MN7qZtBXM4GmG+/TRAgcc5EGoDDlDg==" saltValue="NbcxMA8wc3gP+xjIkdN7TA==" spinCount="100000" sheet="1" objects="1" scenarios="1"/>
  <mergeCells count="4">
    <mergeCell ref="A1:E1"/>
    <mergeCell ref="F1:J1"/>
    <mergeCell ref="K1:L1"/>
    <mergeCell ref="M1:X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FF3232"/>
  </sheetPr>
  <dimension ref="A1:BQ17"/>
  <sheetViews>
    <sheetView showGridLines="0" showRowColHeaders="0" workbookViewId="0"/>
  </sheetViews>
  <sheetFormatPr defaultRowHeight="14.4" x14ac:dyDescent="0.3"/>
  <cols>
    <col min="13" max="14" width="10.33203125" bestFit="1" customWidth="1"/>
    <col min="27" max="69" width="20.77734375" customWidth="1"/>
  </cols>
  <sheetData>
    <row r="1" spans="1:69" ht="15.6" x14ac:dyDescent="0.3">
      <c r="A1" s="1" t="s">
        <v>0</v>
      </c>
      <c r="C1" s="1" t="s">
        <v>10</v>
      </c>
      <c r="E1" s="1" t="s">
        <v>21</v>
      </c>
      <c r="G1" s="1" t="s">
        <v>31</v>
      </c>
      <c r="I1" s="1" t="s">
        <v>36</v>
      </c>
      <c r="K1" s="1" t="s">
        <v>44</v>
      </c>
      <c r="M1" s="1" t="s">
        <v>96</v>
      </c>
      <c r="N1" s="1" t="s">
        <v>97</v>
      </c>
      <c r="W1" s="78" t="s">
        <v>150</v>
      </c>
      <c r="Z1" s="172" t="s">
        <v>90</v>
      </c>
      <c r="AA1" s="172"/>
      <c r="AB1" s="172"/>
      <c r="AC1" s="172"/>
      <c r="AD1" s="172"/>
      <c r="AE1" s="172"/>
      <c r="AF1" s="172"/>
      <c r="AG1" s="172"/>
      <c r="AH1" s="172"/>
      <c r="AI1" s="175" t="s">
        <v>89</v>
      </c>
      <c r="AJ1" s="175"/>
      <c r="AK1" s="175"/>
      <c r="AL1" s="175"/>
      <c r="AM1" s="175"/>
      <c r="AN1" s="173" t="s">
        <v>88</v>
      </c>
      <c r="AO1" s="173"/>
      <c r="AP1" s="173"/>
      <c r="AQ1" s="173"/>
      <c r="AR1" s="173"/>
      <c r="AS1" s="176" t="s">
        <v>87</v>
      </c>
      <c r="AT1" s="176"/>
      <c r="AU1" s="174" t="s">
        <v>83</v>
      </c>
      <c r="AV1" s="174"/>
      <c r="AW1" s="177" t="s">
        <v>84</v>
      </c>
      <c r="AX1" s="177"/>
      <c r="AY1" s="177"/>
      <c r="AZ1" s="177"/>
      <c r="BA1" s="177"/>
      <c r="BB1" s="177"/>
      <c r="BC1" s="177"/>
      <c r="BD1" s="177"/>
      <c r="BE1" s="180" t="s">
        <v>85</v>
      </c>
      <c r="BF1" s="181"/>
      <c r="BG1" s="181"/>
      <c r="BH1" s="181"/>
      <c r="BI1" s="182"/>
      <c r="BJ1" s="173" t="s">
        <v>86</v>
      </c>
      <c r="BK1" s="173"/>
      <c r="BL1" s="173"/>
      <c r="BM1" s="173"/>
      <c r="BN1" s="173"/>
      <c r="BO1" s="173"/>
      <c r="BP1" s="173"/>
      <c r="BQ1" s="173"/>
    </row>
    <row r="2" spans="1:69" ht="15.6" x14ac:dyDescent="0.3">
      <c r="A2" t="s">
        <v>15</v>
      </c>
      <c r="C2" t="s">
        <v>11</v>
      </c>
      <c r="E2" t="s">
        <v>24</v>
      </c>
      <c r="G2" t="s">
        <v>32</v>
      </c>
      <c r="I2" t="s">
        <v>37</v>
      </c>
      <c r="K2" t="s">
        <v>92</v>
      </c>
      <c r="M2" s="77">
        <v>33237</v>
      </c>
      <c r="N2" s="77">
        <f ca="1">TODAY()</f>
        <v>45988</v>
      </c>
      <c r="W2" s="103">
        <v>0</v>
      </c>
      <c r="Z2" s="78" t="s">
        <v>91</v>
      </c>
      <c r="AA2" s="79" t="s">
        <v>43</v>
      </c>
      <c r="AB2" s="79" t="s">
        <v>44</v>
      </c>
      <c r="AC2" s="79" t="s">
        <v>45</v>
      </c>
      <c r="AD2" s="79" t="s">
        <v>36</v>
      </c>
      <c r="AE2" s="79" t="s">
        <v>31</v>
      </c>
      <c r="AF2" s="79" t="s">
        <v>46</v>
      </c>
      <c r="AG2" s="79" t="s">
        <v>59</v>
      </c>
      <c r="AH2" s="79" t="s">
        <v>60</v>
      </c>
      <c r="AI2" s="79" t="s">
        <v>47</v>
      </c>
      <c r="AJ2" s="79" t="s">
        <v>48</v>
      </c>
      <c r="AK2" s="79" t="s">
        <v>49</v>
      </c>
      <c r="AL2" s="79" t="s">
        <v>50</v>
      </c>
      <c r="AM2" s="79" t="s">
        <v>51</v>
      </c>
      <c r="AN2" s="79" t="s">
        <v>52</v>
      </c>
      <c r="AO2" s="79" t="s">
        <v>53</v>
      </c>
      <c r="AP2" s="79" t="s">
        <v>54</v>
      </c>
      <c r="AQ2" s="79" t="s">
        <v>55</v>
      </c>
      <c r="AR2" s="79" t="s">
        <v>56</v>
      </c>
      <c r="AS2" s="79" t="s">
        <v>57</v>
      </c>
      <c r="AT2" s="79" t="s">
        <v>58</v>
      </c>
      <c r="AU2" s="79" t="s">
        <v>61</v>
      </c>
      <c r="AV2" s="79" t="s">
        <v>62</v>
      </c>
      <c r="AW2" s="79" t="s">
        <v>63</v>
      </c>
      <c r="AX2" s="89" t="s">
        <v>149</v>
      </c>
      <c r="AY2" s="79" t="s">
        <v>64</v>
      </c>
      <c r="AZ2" s="79" t="s">
        <v>65</v>
      </c>
      <c r="BA2" s="79" t="s">
        <v>66</v>
      </c>
      <c r="BB2" s="79" t="s">
        <v>67</v>
      </c>
      <c r="BC2" s="79" t="s">
        <v>68</v>
      </c>
      <c r="BD2" s="79" t="s">
        <v>69</v>
      </c>
      <c r="BE2" s="79" t="s">
        <v>124</v>
      </c>
      <c r="BF2" s="79" t="s">
        <v>79</v>
      </c>
      <c r="BG2" s="79" t="s">
        <v>80</v>
      </c>
      <c r="BH2" s="79" t="s">
        <v>81</v>
      </c>
      <c r="BI2" s="79" t="s">
        <v>82</v>
      </c>
      <c r="BJ2" s="79" t="s">
        <v>70</v>
      </c>
      <c r="BK2" s="79" t="s">
        <v>72</v>
      </c>
      <c r="BL2" s="79" t="s">
        <v>71</v>
      </c>
      <c r="BM2" s="79" t="s">
        <v>73</v>
      </c>
      <c r="BN2" s="79" t="s">
        <v>74</v>
      </c>
      <c r="BO2" s="79" t="s">
        <v>75</v>
      </c>
      <c r="BP2" s="79" t="s">
        <v>76</v>
      </c>
      <c r="BQ2" s="79" t="s">
        <v>77</v>
      </c>
    </row>
    <row r="3" spans="1:69" x14ac:dyDescent="0.3">
      <c r="A3" t="s">
        <v>16</v>
      </c>
      <c r="C3" t="s">
        <v>12</v>
      </c>
      <c r="E3" t="s">
        <v>29</v>
      </c>
      <c r="G3" t="s">
        <v>33</v>
      </c>
      <c r="I3" t="s">
        <v>38</v>
      </c>
      <c r="K3" t="s">
        <v>93</v>
      </c>
      <c r="Z3" s="80">
        <f>(MAX('Student Data'!$A$1:$A$6)+1)</f>
        <v>1</v>
      </c>
      <c r="AA3" s="81" t="str">
        <f>IF('Student Entey'!$D2="","****",'Student Entey'!$D2)</f>
        <v>****</v>
      </c>
      <c r="AB3" s="81" t="str">
        <f>IF('Student Entey'!$D3="","****",'Student Entey'!$D3)</f>
        <v>****</v>
      </c>
      <c r="AC3" s="88" t="str">
        <f>IF('Student Entey'!$D4="","****",'Student Entey'!$D4)</f>
        <v>****</v>
      </c>
      <c r="AD3" s="81" t="str">
        <f>IF('Student Entey'!$D5="","****",'Student Entey'!$D5)</f>
        <v>****</v>
      </c>
      <c r="AE3" s="81" t="str">
        <f>IF('Student Entey'!$D6="","****",'Student Entey'!$D6)</f>
        <v>****</v>
      </c>
      <c r="AF3" s="81" t="str">
        <f>IF('Student Entey'!$D7="","****",'Student Entey'!$D7)</f>
        <v>****</v>
      </c>
      <c r="AG3" s="81" t="str">
        <f>IF('Student Entey'!$D8="","****",'Student Entey'!$D8)</f>
        <v>****</v>
      </c>
      <c r="AH3" s="81" t="str">
        <f>IF('Student Entey'!$D9="","****",'Student Entey'!$D9)</f>
        <v>****</v>
      </c>
      <c r="AI3" s="81" t="str">
        <f>IF('Student Entey'!$D10="","****",'Student Entey'!$D10)</f>
        <v>****</v>
      </c>
      <c r="AJ3" s="81" t="str">
        <f>IF('Student Entey'!$D11="","****",'Student Entey'!$D11)</f>
        <v>****</v>
      </c>
      <c r="AK3" s="81" t="str">
        <f>IF('Student Entey'!$D12="","****",'Student Entey'!$D12)</f>
        <v>****</v>
      </c>
      <c r="AL3" s="81">
        <f>IF('Student Entey'!$D13="",W2,'Student Entey'!$D13)</f>
        <v>0</v>
      </c>
      <c r="AM3" s="81" t="str">
        <f>IF('Student Entey'!$D14="","****",'Student Entey'!$D14)</f>
        <v>****</v>
      </c>
      <c r="AN3" s="81" t="str">
        <f>IF('Student Entey'!$D15="","****",'Student Entey'!$D15)</f>
        <v>****</v>
      </c>
      <c r="AO3" s="81" t="str">
        <f>IF('Student Entey'!$D16="","****",'Student Entey'!$D16)</f>
        <v>****</v>
      </c>
      <c r="AP3" s="81" t="str">
        <f>IF('Student Entey'!$D17="","****",'Student Entey'!$D17)</f>
        <v>****</v>
      </c>
      <c r="AQ3" s="81">
        <f>IF('Student Entey'!$D18="",W2,'Student Entey'!$D18)</f>
        <v>0</v>
      </c>
      <c r="AR3" s="81" t="str">
        <f>IF('Student Entey'!$D19="","****",'Student Entey'!$D19)</f>
        <v>****</v>
      </c>
      <c r="AS3" s="81" t="str">
        <f>IF('Student Entey'!$D20="","****",'Student Entey'!$D20)</f>
        <v>****</v>
      </c>
      <c r="AT3" s="81" t="str">
        <f>IF('Student Entey'!$D21="","****",'Student Entey'!$D21)</f>
        <v>****</v>
      </c>
      <c r="AU3" s="81" t="str">
        <f>IF('Student Entey'!$D22="","****",'Student Entey'!$D22)</f>
        <v>****</v>
      </c>
      <c r="AV3" s="81" t="str">
        <f>IF('Student Entey'!$D23="","****",'Student Entey'!$D23)</f>
        <v>****</v>
      </c>
      <c r="AW3" s="88">
        <f ca="1">IF('Student Entey'!$H2="","****",'Student Entey'!$H2)</f>
        <v>45988</v>
      </c>
      <c r="AX3" s="81">
        <f>IF('Student Entey'!$H3="",'Student Entey'!$H4,'Student Entey'!$H3)</f>
        <v>0</v>
      </c>
      <c r="AY3" s="81" t="str">
        <f>IF('Student Entey'!$H4="","****",'Student Entey'!$H4)</f>
        <v>****</v>
      </c>
      <c r="AZ3" s="81" t="str">
        <f>IF('Student Entey'!$H5="","****",'Student Entey'!$H5)</f>
        <v>****</v>
      </c>
      <c r="BA3" s="81" t="str">
        <f>IF('Student Entey'!$H6="","****",'Student Entey'!$H6)</f>
        <v>****</v>
      </c>
      <c r="BB3" s="81" t="str">
        <f>IF('Student Entey'!$H7="","****",'Student Entey'!$H7)</f>
        <v>****</v>
      </c>
      <c r="BC3" s="81" t="str">
        <f>IF('Student Entey'!$H8="","****",'Student Entey'!$H8)</f>
        <v>****</v>
      </c>
      <c r="BD3" s="81" t="str">
        <f>IF('Student Entey'!$H9="","****",'Student Entey'!$H9)</f>
        <v>****</v>
      </c>
      <c r="BE3" s="81">
        <f>IF('Student Entey'!$H10="",W2,'Student Entey'!$H10)</f>
        <v>0</v>
      </c>
      <c r="BF3" s="81">
        <f>IF('Student Entey'!$H11="",W2,'Student Entey'!$H11)</f>
        <v>0</v>
      </c>
      <c r="BG3" s="81">
        <f>IF('Student Entey'!$H12="",W2,'Student Entey'!$H12)</f>
        <v>0</v>
      </c>
      <c r="BH3" s="81">
        <f>IF('Student Entey'!$H13="",W2,'Student Entey'!$H13)</f>
        <v>0</v>
      </c>
      <c r="BI3" s="81">
        <f>IF('Student Entey'!$H14="",W2,'Student Entey'!$H14)</f>
        <v>0</v>
      </c>
      <c r="BJ3" s="81" t="str">
        <f>IF('Student Entey'!$H15="","****",'Student Entey'!$H15)</f>
        <v>****</v>
      </c>
      <c r="BK3" s="81" t="str">
        <f>IF('Student Entey'!$H16="","****",'Student Entey'!$H16)</f>
        <v>****</v>
      </c>
      <c r="BL3" s="81" t="str">
        <f>IF('Student Entey'!$H17="","****",'Student Entey'!$H17)</f>
        <v>****</v>
      </c>
      <c r="BM3" s="81" t="str">
        <f>IF('Student Entey'!$H18="","****",'Student Entey'!$H18)</f>
        <v>****</v>
      </c>
      <c r="BN3" s="81" t="str">
        <f>IF('Student Entey'!$H19="","****",'Student Entey'!$H19)</f>
        <v>****</v>
      </c>
      <c r="BO3" s="81" t="str">
        <f>IF('Student Entey'!$H20="","****",'Student Entey'!$H20)</f>
        <v>****</v>
      </c>
      <c r="BP3" s="81" t="str">
        <f>IF('Student Entey'!$H21="","****",'Student Entey'!$H21)</f>
        <v>****</v>
      </c>
      <c r="BQ3" s="81" t="str">
        <f>IF('Student Entey'!$H22="","****",'Student Entey'!$H22)</f>
        <v>****</v>
      </c>
    </row>
    <row r="4" spans="1:69" x14ac:dyDescent="0.3">
      <c r="A4" t="s">
        <v>14</v>
      </c>
      <c r="C4" t="s">
        <v>13</v>
      </c>
      <c r="E4" t="s">
        <v>30</v>
      </c>
      <c r="G4" t="s">
        <v>34</v>
      </c>
      <c r="I4" t="s">
        <v>39</v>
      </c>
      <c r="K4" t="s">
        <v>94</v>
      </c>
      <c r="Z4" s="69"/>
      <c r="AA4" s="69"/>
      <c r="AB4" s="69"/>
      <c r="AC4" s="69"/>
      <c r="AD4" s="69"/>
      <c r="AE4" s="69"/>
      <c r="AF4" s="69"/>
      <c r="AG4" s="69"/>
      <c r="AH4" s="69"/>
      <c r="AI4" s="69"/>
      <c r="AJ4" s="69"/>
      <c r="AK4" s="69"/>
      <c r="AL4" s="69"/>
      <c r="AM4" s="69"/>
      <c r="AN4" s="69"/>
      <c r="AO4" s="69"/>
      <c r="AP4" s="69"/>
      <c r="AQ4" s="69"/>
      <c r="AR4" s="69"/>
      <c r="AS4" s="69"/>
      <c r="AT4" s="69"/>
      <c r="AU4" s="69"/>
      <c r="AV4" s="69"/>
      <c r="AW4" s="69"/>
      <c r="AX4" s="69"/>
      <c r="AY4" s="69"/>
      <c r="AZ4" s="69"/>
      <c r="BA4" s="69"/>
      <c r="BB4" s="69"/>
      <c r="BC4" s="69"/>
      <c r="BD4" s="69"/>
      <c r="BE4" s="69"/>
      <c r="BF4" s="69"/>
      <c r="BG4" s="69"/>
      <c r="BH4" s="69"/>
      <c r="BI4" s="69"/>
      <c r="BJ4" s="69"/>
      <c r="BK4" s="69"/>
      <c r="BL4" s="69"/>
      <c r="BM4" s="69"/>
      <c r="BN4" s="69"/>
      <c r="BO4" s="69"/>
      <c r="BP4" s="69"/>
      <c r="BQ4" s="69"/>
    </row>
    <row r="5" spans="1:69" x14ac:dyDescent="0.3">
      <c r="A5" t="s">
        <v>17</v>
      </c>
      <c r="C5" t="s">
        <v>15</v>
      </c>
      <c r="E5" t="s">
        <v>27</v>
      </c>
      <c r="G5" t="s">
        <v>35</v>
      </c>
      <c r="I5" t="s">
        <v>40</v>
      </c>
    </row>
    <row r="6" spans="1:69" x14ac:dyDescent="0.3">
      <c r="A6" t="s">
        <v>1</v>
      </c>
      <c r="C6" t="s">
        <v>14</v>
      </c>
      <c r="E6" t="s">
        <v>25</v>
      </c>
      <c r="I6" t="s">
        <v>41</v>
      </c>
    </row>
    <row r="7" spans="1:69" x14ac:dyDescent="0.3">
      <c r="A7" t="s">
        <v>2</v>
      </c>
      <c r="C7" t="s">
        <v>1</v>
      </c>
      <c r="E7" t="s">
        <v>26</v>
      </c>
      <c r="I7" t="s">
        <v>42</v>
      </c>
    </row>
    <row r="8" spans="1:69" x14ac:dyDescent="0.3">
      <c r="A8" t="s">
        <v>3</v>
      </c>
      <c r="C8" t="s">
        <v>4</v>
      </c>
      <c r="E8" t="s">
        <v>95</v>
      </c>
    </row>
    <row r="9" spans="1:69" ht="15.6" x14ac:dyDescent="0.3">
      <c r="A9" t="s">
        <v>4</v>
      </c>
      <c r="E9" t="s">
        <v>23</v>
      </c>
      <c r="Z9" s="178" t="s">
        <v>120</v>
      </c>
      <c r="AA9" s="178"/>
      <c r="AB9" s="178"/>
      <c r="AC9" s="178"/>
      <c r="AD9" s="178"/>
      <c r="AE9" s="178"/>
      <c r="AF9" s="179"/>
      <c r="AG9" s="171" t="s">
        <v>85</v>
      </c>
      <c r="AH9" s="171"/>
      <c r="AI9" s="171"/>
      <c r="AJ9" s="171"/>
      <c r="AK9" s="171"/>
    </row>
    <row r="10" spans="1:69" ht="15.45" customHeight="1" x14ac:dyDescent="0.3">
      <c r="A10" t="s">
        <v>5</v>
      </c>
      <c r="E10" t="s">
        <v>22</v>
      </c>
      <c r="Z10" s="82" t="s">
        <v>145</v>
      </c>
      <c r="AA10" s="82" t="s">
        <v>91</v>
      </c>
      <c r="AB10" s="82" t="s">
        <v>148</v>
      </c>
      <c r="AC10" s="82" t="s">
        <v>0</v>
      </c>
      <c r="AD10" s="82" t="s">
        <v>43</v>
      </c>
      <c r="AE10" s="82" t="s">
        <v>47</v>
      </c>
      <c r="AF10" s="82" t="s">
        <v>123</v>
      </c>
      <c r="AG10" s="82" t="s">
        <v>82</v>
      </c>
      <c r="AH10" s="82" t="s">
        <v>126</v>
      </c>
      <c r="AI10" s="82" t="s">
        <v>115</v>
      </c>
      <c r="AJ10" s="82" t="s">
        <v>139</v>
      </c>
      <c r="AK10" s="82" t="s">
        <v>110</v>
      </c>
    </row>
    <row r="11" spans="1:69" x14ac:dyDescent="0.3">
      <c r="A11" t="s">
        <v>18</v>
      </c>
      <c r="E11" t="s">
        <v>28</v>
      </c>
      <c r="Z11" s="80">
        <f>(MAX(Ledger!$A$1:$A$9)+1)</f>
        <v>1</v>
      </c>
      <c r="AA11" s="80" t="str">
        <f>IF(Receipt!$E$10="","****",Receipt!$E$10)</f>
        <v>****</v>
      </c>
      <c r="AB11" s="86" t="str">
        <f ca="1">IF(Receipt!$E$24="","****",Receipt!$E$24)</f>
        <v>Nov</v>
      </c>
      <c r="AC11" s="80" t="str">
        <f>IF(Receipt!$I$11="","****",Receipt!$I$11)</f>
        <v>****</v>
      </c>
      <c r="AD11" s="80" t="str">
        <f>IF(Receipt!$E$11="","****",Receipt!$E$11)</f>
        <v>****</v>
      </c>
      <c r="AE11" s="80" t="str">
        <f>IF(Receipt!$E$12="","****",Receipt!$E$12)</f>
        <v>****</v>
      </c>
      <c r="AF11" s="80" t="str">
        <f>IF(Receipt!$I$12="","****",Receipt!$I$12)</f>
        <v>****</v>
      </c>
      <c r="AG11" s="80" t="str">
        <f>IF(Receipt!$E$20="","****",Receipt!$E$20)</f>
        <v>****</v>
      </c>
      <c r="AH11" s="80" t="str">
        <f>IF(Receipt!$I$17="","****",Receipt!$I$17)</f>
        <v>****</v>
      </c>
      <c r="AI11" s="87">
        <f ca="1">IF(Receipt!$I$10="","****",Receipt!$I$10)</f>
        <v>45988</v>
      </c>
      <c r="AJ11" s="80" t="str">
        <f>IF(Receipt!$I$19="","****",Receipt!$I$19)</f>
        <v>****</v>
      </c>
      <c r="AK11" s="80" t="str">
        <f>IF(Receipt!$I$20="","****",Receipt!$I$20)</f>
        <v>****</v>
      </c>
    </row>
    <row r="12" spans="1:69" x14ac:dyDescent="0.3">
      <c r="A12" t="s">
        <v>19</v>
      </c>
      <c r="Z12" s="69"/>
      <c r="AA12" s="69"/>
      <c r="AB12" s="69"/>
      <c r="AC12" s="69"/>
      <c r="AD12" s="69"/>
      <c r="AE12" s="69"/>
      <c r="AF12" s="69"/>
      <c r="AG12" s="69"/>
      <c r="AH12" s="69"/>
      <c r="AI12" s="69"/>
      <c r="AJ12" s="69"/>
      <c r="AK12" s="69"/>
    </row>
    <row r="13" spans="1:69" x14ac:dyDescent="0.3">
      <c r="A13" t="s">
        <v>20</v>
      </c>
    </row>
    <row r="14" spans="1:69" x14ac:dyDescent="0.3">
      <c r="A14" t="s">
        <v>6</v>
      </c>
    </row>
    <row r="15" spans="1:69" x14ac:dyDescent="0.3">
      <c r="A15" t="s">
        <v>7</v>
      </c>
    </row>
    <row r="16" spans="1:69" x14ac:dyDescent="0.3">
      <c r="A16" t="s">
        <v>8</v>
      </c>
    </row>
    <row r="17" spans="1:1" x14ac:dyDescent="0.3">
      <c r="A17" t="s">
        <v>9</v>
      </c>
    </row>
  </sheetData>
  <sheetProtection algorithmName="SHA-512" hashValue="Xd2dKFy79YNC9/PEaZ3iPTJ4NqlZGNIco9YyzYqVneeXMXCioYd4r2AUEgwwEn6nMI/UQqrJmwQw7kwqPh8bRQ==" saltValue="sFM9B4PYKR81CoRePcvtgA==" spinCount="100000" sheet="1" objects="1" scenarios="1"/>
  <mergeCells count="10">
    <mergeCell ref="AG9:AK9"/>
    <mergeCell ref="Z1:AH1"/>
    <mergeCell ref="BJ1:BQ1"/>
    <mergeCell ref="AU1:AV1"/>
    <mergeCell ref="AI1:AM1"/>
    <mergeCell ref="AN1:AR1"/>
    <mergeCell ref="AS1:AT1"/>
    <mergeCell ref="AW1:BD1"/>
    <mergeCell ref="Z9:AF9"/>
    <mergeCell ref="BE1:BI1"/>
  </mergeCells>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Student Entey</vt:lpstr>
      <vt:lpstr>Admission Form</vt:lpstr>
      <vt:lpstr>Receipt</vt:lpstr>
      <vt:lpstr>Student Data</vt:lpstr>
      <vt:lpstr>Ledger</vt:lpstr>
      <vt:lpstr>Accounts</vt:lpstr>
      <vt:lpstr>Caluclation</vt:lpstr>
      <vt:lpstr>'Admission Form'!Print_Area</vt:lpstr>
      <vt:lpstr>Receipt!Print_Area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Gagan Tomar</dc:creator>
  <cp:lastModifiedBy>Gagan Tomar</cp:lastModifiedBy>
  <cp:lastPrinted>2025-11-27T07:38:11Z</cp:lastPrinted>
  <dcterms:created xsi:type="dcterms:W3CDTF">2015-06-05T18:17:20Z</dcterms:created>
  <dcterms:modified xsi:type="dcterms:W3CDTF">2025-11-27T10:50:04Z</dcterms:modified>
</cp:coreProperties>
</file>